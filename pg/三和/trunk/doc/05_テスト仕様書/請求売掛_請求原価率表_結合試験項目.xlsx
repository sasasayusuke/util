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svn\三和商研\doc\05_テスト仕様書\"/>
    </mc:Choice>
  </mc:AlternateContent>
  <bookViews>
    <workbookView xWindow="0" yWindow="0" windowWidth="28800" windowHeight="13620" tabRatio="630"/>
  </bookViews>
  <sheets>
    <sheet name="変更履歴" sheetId="1" r:id="rId1"/>
    <sheet name="画面" sheetId="19" r:id="rId2"/>
    <sheet name="帳票" sheetId="20" r:id="rId3"/>
    <sheet name="参照" sheetId="12" state="hidden" r:id="rId4"/>
  </sheets>
  <definedNames>
    <definedName name="_xlnm.Print_Area" localSheetId="1">画面!$A$1:$BN$58</definedName>
    <definedName name="_xlnm.Print_Area" localSheetId="2">帳票!$A$1:$BN$39</definedName>
    <definedName name="_xlnm.Print_Area" localSheetId="0">変更履歴!$A$1:$BN$49</definedName>
    <definedName name="_xlnm.Print_Titles" localSheetId="1">画面!$1:$5</definedName>
    <definedName name="_xlnm.Print_Titles" localSheetId="2">帳票!$1:$5</definedName>
    <definedName name="_xlnm.Print_Titles" localSheetId="0">変更履歴!$1:$5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1" i="19" l="1"/>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11" i="20" l="1"/>
  <c r="C12" i="20"/>
  <c r="C13" i="20"/>
  <c r="C14" i="20"/>
  <c r="C15" i="20"/>
  <c r="C16" i="20"/>
  <c r="C17" i="20"/>
  <c r="C18" i="20"/>
  <c r="C19" i="20"/>
  <c r="C20" i="20"/>
  <c r="C21" i="20"/>
  <c r="C22" i="20"/>
  <c r="C23" i="20"/>
  <c r="C24" i="20"/>
  <c r="C25" i="20"/>
  <c r="C26" i="20"/>
  <c r="C27" i="20"/>
  <c r="C28" i="20"/>
  <c r="C29" i="20"/>
  <c r="C30" i="20"/>
  <c r="C31" i="20"/>
  <c r="C32" i="20"/>
  <c r="C33" i="20"/>
  <c r="C34" i="20"/>
  <c r="C35" i="20"/>
  <c r="C10" i="20" l="1"/>
  <c r="BI8" i="20"/>
  <c r="BJ3" i="20"/>
  <c r="BF3" i="20"/>
  <c r="BB3" i="20"/>
  <c r="AX3" i="20"/>
  <c r="L3" i="20"/>
  <c r="B3" i="20"/>
  <c r="BG8" i="20" l="1"/>
  <c r="BK8" i="20" s="1"/>
  <c r="C10" i="19" l="1"/>
  <c r="BI8" i="19"/>
  <c r="BJ3" i="19"/>
  <c r="BF3" i="19"/>
  <c r="BB3" i="19"/>
  <c r="AX3" i="19"/>
  <c r="L3" i="19"/>
  <c r="B3" i="19"/>
  <c r="X3" i="1" l="1"/>
  <c r="X3" i="20" l="1"/>
  <c r="BG8" i="19"/>
  <c r="BK8" i="19" s="1"/>
  <c r="X3" i="19"/>
  <c r="H3" i="1"/>
  <c r="R3" i="1"/>
  <c r="AK3" i="1"/>
  <c r="R3" i="20" l="1"/>
  <c r="H3" i="20"/>
  <c r="AK3" i="19"/>
  <c r="AK3" i="20"/>
  <c r="R3" i="19"/>
  <c r="H3" i="19"/>
</calcChain>
</file>

<file path=xl/sharedStrings.xml><?xml version="1.0" encoding="utf-8"?>
<sst xmlns="http://schemas.openxmlformats.org/spreadsheetml/2006/main" count="470" uniqueCount="176">
  <si>
    <t>システム名</t>
    <rPh sb="4" eb="5">
      <t>メイ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</si>
  <si>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</si>
  <si>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</si>
  <si>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</si>
  <si>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</si>
  <si>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</si>
  <si>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</si>
  <si>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</si>
  <si>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</si>
  <si>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</si>
  <si>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</si>
  <si>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</si>
  <si>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No.</t>
    <phoneticPr fontId="2"/>
  </si>
  <si>
    <t>新規作成</t>
    <rPh sb="0" eb="2">
      <t>シンキ</t>
    </rPh>
    <rPh sb="2" eb="4">
      <t>サクセイ</t>
    </rPh>
    <phoneticPr fontId="2"/>
  </si>
  <si>
    <t>-</t>
    <phoneticPr fontId="2"/>
  </si>
  <si>
    <t>ラベル</t>
  </si>
  <si>
    <t>インプット</t>
  </si>
  <si>
    <t>ボタン</t>
  </si>
  <si>
    <t>ラジオ</t>
    <phoneticPr fontId="2"/>
  </si>
  <si>
    <t>変更履歴</t>
    <rPh sb="0" eb="4">
      <t>ヘンコウリレキ</t>
    </rPh>
    <phoneticPr fontId="2"/>
  </si>
  <si>
    <t>1.0.0</t>
    <phoneticPr fontId="2"/>
  </si>
  <si>
    <t>大項目</t>
    <rPh sb="0" eb="3">
      <t>ダイコウモク</t>
    </rPh>
    <phoneticPr fontId="2"/>
  </si>
  <si>
    <t>中項目</t>
    <rPh sb="0" eb="1">
      <t>チュウ</t>
    </rPh>
    <rPh sb="1" eb="3">
      <t>コウモク</t>
    </rPh>
    <phoneticPr fontId="2"/>
  </si>
  <si>
    <t>小項目</t>
    <rPh sb="0" eb="1">
      <t>ショウ</t>
    </rPh>
    <rPh sb="1" eb="3">
      <t>コウモク</t>
    </rPh>
    <phoneticPr fontId="2"/>
  </si>
  <si>
    <t>確認観点</t>
    <rPh sb="0" eb="2">
      <t>カクニン</t>
    </rPh>
    <rPh sb="2" eb="4">
      <t>カンテン</t>
    </rPh>
    <phoneticPr fontId="2"/>
  </si>
  <si>
    <t>確認日</t>
    <rPh sb="0" eb="2">
      <t>カクニン</t>
    </rPh>
    <rPh sb="2" eb="3">
      <t>ビ</t>
    </rPh>
    <phoneticPr fontId="2"/>
  </si>
  <si>
    <t>確認者</t>
    <rPh sb="0" eb="3">
      <t>カクニンシャ</t>
    </rPh>
    <phoneticPr fontId="2"/>
  </si>
  <si>
    <t>試験結果備考</t>
    <rPh sb="0" eb="2">
      <t>シケン</t>
    </rPh>
    <rPh sb="2" eb="4">
      <t>ケッカ</t>
    </rPh>
    <rPh sb="4" eb="6">
      <t>ビコウ</t>
    </rPh>
    <phoneticPr fontId="2"/>
  </si>
  <si>
    <t>補足事項(テスト項目補足、テストデータ等)</t>
    <rPh sb="0" eb="2">
      <t>ホソク</t>
    </rPh>
    <rPh sb="2" eb="4">
      <t>ジコウ</t>
    </rPh>
    <phoneticPr fontId="2"/>
  </si>
  <si>
    <t>結果</t>
    <rPh sb="0" eb="2">
      <t>ケッカ</t>
    </rPh>
    <phoneticPr fontId="2"/>
  </si>
  <si>
    <t>試験対象</t>
    <rPh sb="0" eb="2">
      <t>シケン</t>
    </rPh>
    <rPh sb="2" eb="4">
      <t>タイショウ</t>
    </rPh>
    <phoneticPr fontId="2"/>
  </si>
  <si>
    <t>合計</t>
    <rPh sb="0" eb="2">
      <t>ゴウケイ</t>
    </rPh>
    <phoneticPr fontId="2"/>
  </si>
  <si>
    <t>件数</t>
    <rPh sb="0" eb="2">
      <t>ケンスウ</t>
    </rPh>
    <phoneticPr fontId="2"/>
  </si>
  <si>
    <t>終了</t>
    <rPh sb="0" eb="2">
      <t>シュウリョウ</t>
    </rPh>
    <phoneticPr fontId="2"/>
  </si>
  <si>
    <t>残</t>
    <rPh sb="0" eb="1">
      <t>ザン</t>
    </rPh>
    <phoneticPr fontId="2"/>
  </si>
  <si>
    <t>１回目</t>
    <rPh sb="1" eb="3">
      <t>カイメ</t>
    </rPh>
    <phoneticPr fontId="2"/>
  </si>
  <si>
    <t>2回目</t>
    <rPh sb="1" eb="3">
      <t>カイメ</t>
    </rPh>
    <phoneticPr fontId="2"/>
  </si>
  <si>
    <t>確認手順</t>
    <rPh sb="0" eb="2">
      <t>カクニン</t>
    </rPh>
    <rPh sb="2" eb="4">
      <t>テジュン</t>
    </rPh>
    <phoneticPr fontId="2"/>
  </si>
  <si>
    <t>受発注システム</t>
    <rPh sb="0" eb="3">
      <t>ジュハッチュウ</t>
    </rPh>
    <phoneticPr fontId="2"/>
  </si>
  <si>
    <t>受発注</t>
    <rPh sb="0" eb="3">
      <t>ジュハッチュウ</t>
    </rPh>
    <phoneticPr fontId="2"/>
  </si>
  <si>
    <t>業務分類</t>
    <phoneticPr fontId="2"/>
  </si>
  <si>
    <t>システム分類</t>
    <rPh sb="4" eb="6">
      <t>ブンルイ</t>
    </rPh>
    <phoneticPr fontId="2"/>
  </si>
  <si>
    <t>画面</t>
    <rPh sb="0" eb="2">
      <t>ガメン</t>
    </rPh>
    <phoneticPr fontId="2"/>
  </si>
  <si>
    <t>初期表示</t>
    <phoneticPr fontId="2"/>
  </si>
  <si>
    <t>エラーメッセージが表示されること</t>
    <rPh sb="9" eb="11">
      <t>ヒョウジ</t>
    </rPh>
    <phoneticPr fontId="2"/>
  </si>
  <si>
    <t>現行システムと同じデータが出力されること</t>
  </si>
  <si>
    <t>出力種類</t>
    <phoneticPr fontId="2"/>
  </si>
  <si>
    <t>作成日</t>
  </si>
  <si>
    <t>終了ボタン</t>
    <rPh sb="0" eb="2">
      <t>シュウリョウ</t>
    </rPh>
    <phoneticPr fontId="2"/>
  </si>
  <si>
    <t>終了ボタンを押下する</t>
    <rPh sb="0" eb="2">
      <t>シュウリョウ</t>
    </rPh>
    <rPh sb="6" eb="8">
      <t>オウカ</t>
    </rPh>
    <phoneticPr fontId="2"/>
  </si>
  <si>
    <t>終了の確認メッセージが表示されること</t>
    <rPh sb="0" eb="2">
      <t>シュウリョウ</t>
    </rPh>
    <rPh sb="3" eb="5">
      <t>カクニン</t>
    </rPh>
    <rPh sb="11" eb="13">
      <t>ヒョウジ</t>
    </rPh>
    <phoneticPr fontId="2"/>
  </si>
  <si>
    <t>出力内容</t>
    <rPh sb="0" eb="2">
      <t>シュツリョク</t>
    </rPh>
    <rPh sb="2" eb="4">
      <t>ナイヨウ</t>
    </rPh>
    <phoneticPr fontId="2"/>
  </si>
  <si>
    <t>年月日の値が空の状態で出力ボタンを押下する</t>
    <rPh sb="0" eb="1">
      <t>ネン</t>
    </rPh>
    <rPh sb="1" eb="3">
      <t>ゲツビ</t>
    </rPh>
    <rPh sb="4" eb="5">
      <t>アタイ</t>
    </rPh>
    <rPh sb="6" eb="7">
      <t>カラ</t>
    </rPh>
    <rPh sb="8" eb="10">
      <t>ジョウタイ</t>
    </rPh>
    <rPh sb="11" eb="13">
      <t>シュツリョク</t>
    </rPh>
    <rPh sb="17" eb="19">
      <t>オウカ</t>
    </rPh>
    <phoneticPr fontId="2"/>
  </si>
  <si>
    <t>年月日の値が空の状態で出力ボタンを押下する</t>
    <rPh sb="0" eb="1">
      <t>ネン</t>
    </rPh>
    <rPh sb="4" eb="5">
      <t>アタイ</t>
    </rPh>
    <rPh sb="6" eb="7">
      <t>カラ</t>
    </rPh>
    <rPh sb="8" eb="10">
      <t>ジョウタイ</t>
    </rPh>
    <rPh sb="17" eb="19">
      <t>オウカ</t>
    </rPh>
    <phoneticPr fontId="2"/>
  </si>
  <si>
    <t>Fromの値がToの値より大きい場合に出力ボタンを押下する</t>
    <rPh sb="5" eb="6">
      <t>アタイ</t>
    </rPh>
    <rPh sb="10" eb="11">
      <t>アタイ</t>
    </rPh>
    <rPh sb="13" eb="14">
      <t>オオ</t>
    </rPh>
    <rPh sb="16" eb="18">
      <t>バアイ</t>
    </rPh>
    <rPh sb="19" eb="21">
      <t>シュツリョク</t>
    </rPh>
    <rPh sb="25" eb="27">
      <t>オウカ</t>
    </rPh>
    <phoneticPr fontId="2"/>
  </si>
  <si>
    <t>エラー確認</t>
    <rPh sb="3" eb="5">
      <t>カクニン</t>
    </rPh>
    <phoneticPr fontId="2"/>
  </si>
  <si>
    <t>From,Toどちらにも値を入力して出力ボタンを押下</t>
  </si>
  <si>
    <t>出力ボタン</t>
    <phoneticPr fontId="2"/>
  </si>
  <si>
    <t>出力ボタンを押下</t>
  </si>
  <si>
    <t>Excelで帳票が出力されること</t>
    <rPh sb="6" eb="8">
      <t>チョウヒョウ</t>
    </rPh>
    <phoneticPr fontId="2"/>
  </si>
  <si>
    <t>Excelにパスワードが設定されていること</t>
    <rPh sb="12" eb="14">
      <t>セッテイ</t>
    </rPh>
    <phoneticPr fontId="2"/>
  </si>
  <si>
    <t>出力バリエーション</t>
    <phoneticPr fontId="2"/>
  </si>
  <si>
    <t>請求日付</t>
    <rPh sb="0" eb="2">
      <t>セイキュウ</t>
    </rPh>
    <rPh sb="2" eb="4">
      <t>ヒヅケ</t>
    </rPh>
    <phoneticPr fontId="2"/>
  </si>
  <si>
    <t>期間from</t>
  </si>
  <si>
    <t>期間to</t>
  </si>
  <si>
    <t>見積番号</t>
  </si>
  <si>
    <t>メニューより請求原価率表を起動する</t>
    <phoneticPr fontId="2"/>
  </si>
  <si>
    <t>請求日_1行目</t>
  </si>
  <si>
    <t>見積番号_1行目</t>
  </si>
  <si>
    <t>見積件名_1行目</t>
  </si>
  <si>
    <t>得CD_1行目</t>
  </si>
  <si>
    <t>物種CD_1行目</t>
  </si>
  <si>
    <t>物件種別_1行目</t>
  </si>
  <si>
    <t>売上金額_1行目</t>
  </si>
  <si>
    <t>仕入金額_1行目</t>
  </si>
  <si>
    <t>原価率_1行目</t>
  </si>
  <si>
    <t>標準原価率_1行目</t>
  </si>
  <si>
    <t>請求日</t>
  </si>
  <si>
    <t>見積件名</t>
  </si>
  <si>
    <t>得CD</t>
  </si>
  <si>
    <t>物種CD</t>
  </si>
  <si>
    <t>物件種別</t>
  </si>
  <si>
    <t>売上金額</t>
  </si>
  <si>
    <t>仕入金額</t>
  </si>
  <si>
    <t>原価率</t>
  </si>
  <si>
    <t>標準原価率</t>
  </si>
  <si>
    <t>詳細情報
SU1200_請求原価率表_帳票設計書.xlsx</t>
    <phoneticPr fontId="2"/>
  </si>
  <si>
    <t>児玉</t>
    <rPh sb="0" eb="2">
      <t>コダマ</t>
    </rPh>
    <phoneticPr fontId="2"/>
  </si>
  <si>
    <t>帳票</t>
    <rPh sb="0" eb="2">
      <t>チョウヒョウ</t>
    </rPh>
    <phoneticPr fontId="2"/>
  </si>
  <si>
    <t xml:space="preserve">入力欄が活性、かつ、当日の日付が入力されていること       
</t>
    <rPh sb="10" eb="12">
      <t>トウジツ</t>
    </rPh>
    <rPh sb="13" eb="15">
      <t>ヒヅケ</t>
    </rPh>
    <rPh sb="16" eb="18">
      <t>ニュウリョク</t>
    </rPh>
    <phoneticPr fontId="2"/>
  </si>
  <si>
    <t>得意先CD</t>
    <rPh sb="0" eb="3">
      <t>トクイサキ</t>
    </rPh>
    <phoneticPr fontId="2"/>
  </si>
  <si>
    <t>納入先CD</t>
    <rPh sb="0" eb="3">
      <t>ノウニュウサキ</t>
    </rPh>
    <phoneticPr fontId="2"/>
  </si>
  <si>
    <t>業種区分</t>
    <rPh sb="0" eb="4">
      <t>ギョウシュクブン</t>
    </rPh>
    <phoneticPr fontId="2"/>
  </si>
  <si>
    <t>見積件名</t>
    <rPh sb="0" eb="2">
      <t>ミツモリ</t>
    </rPh>
    <rPh sb="2" eb="4">
      <t>ケンメイ</t>
    </rPh>
    <phoneticPr fontId="2"/>
  </si>
  <si>
    <t>物件種別</t>
    <rPh sb="0" eb="4">
      <t>ブッケンシュベツ</t>
    </rPh>
    <phoneticPr fontId="2"/>
  </si>
  <si>
    <t>物件番号範囲(From)</t>
    <rPh sb="0" eb="2">
      <t>ブッケン</t>
    </rPh>
    <rPh sb="2" eb="4">
      <t>バンゴウ</t>
    </rPh>
    <rPh sb="4" eb="6">
      <t>ハンイ</t>
    </rPh>
    <phoneticPr fontId="2"/>
  </si>
  <si>
    <t>物件番号範囲(To)</t>
    <rPh sb="0" eb="2">
      <t>ブッケン</t>
    </rPh>
    <rPh sb="2" eb="4">
      <t>バンゴウ</t>
    </rPh>
    <rPh sb="4" eb="6">
      <t>ハンイ</t>
    </rPh>
    <phoneticPr fontId="2"/>
  </si>
  <si>
    <t>請求日付範囲(To)</t>
    <rPh sb="4" eb="6">
      <t>ハンイ</t>
    </rPh>
    <phoneticPr fontId="2"/>
  </si>
  <si>
    <t>請求日付範囲(From)</t>
    <rPh sb="4" eb="6">
      <t>ハンイ</t>
    </rPh>
    <phoneticPr fontId="2"/>
  </si>
  <si>
    <t xml:space="preserve">入力欄が活性、かつ、空欄であること       
</t>
    <rPh sb="10" eb="12">
      <t>クウラン</t>
    </rPh>
    <phoneticPr fontId="2"/>
  </si>
  <si>
    <t xml:space="preserve">入力欄が非活性、かつ、空欄であること       
</t>
    <rPh sb="4" eb="5">
      <t>ヒ</t>
    </rPh>
    <rPh sb="11" eb="13">
      <t>クウラン</t>
    </rPh>
    <phoneticPr fontId="2"/>
  </si>
  <si>
    <t>見積番号</t>
    <rPh sb="0" eb="4">
      <t>ミツモリバンゴウ</t>
    </rPh>
    <phoneticPr fontId="2"/>
  </si>
  <si>
    <t>見積日付</t>
    <rPh sb="0" eb="4">
      <t>ミツモリヒヅケ</t>
    </rPh>
    <phoneticPr fontId="2"/>
  </si>
  <si>
    <t>種別</t>
    <rPh sb="0" eb="1">
      <t>シュ</t>
    </rPh>
    <rPh sb="1" eb="2">
      <t>ベツ</t>
    </rPh>
    <phoneticPr fontId="2"/>
  </si>
  <si>
    <t>得意先</t>
    <rPh sb="0" eb="3">
      <t>トクイサキ</t>
    </rPh>
    <phoneticPr fontId="2"/>
  </si>
  <si>
    <t>納入先</t>
    <rPh sb="0" eb="3">
      <t>ノウニュウサキ</t>
    </rPh>
    <phoneticPr fontId="2"/>
  </si>
  <si>
    <t>見積金額</t>
    <rPh sb="0" eb="4">
      <t>ミツモリキンガク</t>
    </rPh>
    <phoneticPr fontId="2"/>
  </si>
  <si>
    <t>動作確認</t>
    <rPh sb="0" eb="4">
      <t>ドウサカクニン</t>
    </rPh>
    <phoneticPr fontId="2"/>
  </si>
  <si>
    <t>得意先CD　虫眼鏡</t>
    <rPh sb="6" eb="9">
      <t>ムシメガネ</t>
    </rPh>
    <phoneticPr fontId="2"/>
  </si>
  <si>
    <t>虫眼鏡を押下する</t>
  </si>
  <si>
    <t>得意先CD検索のダイアログが立ち上がること。</t>
    <rPh sb="5" eb="7">
      <t>ケンサク</t>
    </rPh>
    <phoneticPr fontId="2"/>
  </si>
  <si>
    <t>得意先CD検索画面で得意先CDを検索し、得意先CDを選択する。</t>
    <rPh sb="5" eb="7">
      <t>ケンサク</t>
    </rPh>
    <phoneticPr fontId="2"/>
  </si>
  <si>
    <t>得意先CD　×ボタン</t>
  </si>
  <si>
    <t>×ボタンを押下する</t>
    <rPh sb="5" eb="7">
      <t>オウカ</t>
    </rPh>
    <phoneticPr fontId="2"/>
  </si>
  <si>
    <t>以下の項目が得意先CD入力前と同じであること
納入先CD(活性)
業種区分(活性)
物件種別(活性)
見積件名(活性)
物件番号範囲(From)(活性)
物件番号範囲(To)(活性)
請求日付範囲(From)(活性)
請求日付範囲(To)(活性)
見積番号(非活性)
見積日付(非活性)
種別(非活性)
得意先(非活性)
納入先(非活性)
見積件名(非活性)
見積金額(非活性)</t>
    <phoneticPr fontId="2"/>
  </si>
  <si>
    <t>以下の項目が得意先CD削除前と同じであること
納入先CD(活性)
業種区分(活性)
物件種別(活性)
見積件名(活性)
物件番号範囲(From)(活性)
物件番号範囲(To)(活性)
請求日付範囲(From)(活性)
請求日付範囲(To)(活性)
見積番号(非活性)
見積日付(非活性)
種別(非活性)
得意先(非活性)
納入先(非活性)
見積件名(非活性)
見積金額(非活性)</t>
    <rPh sb="11" eb="13">
      <t>サクジョ</t>
    </rPh>
    <phoneticPr fontId="2"/>
  </si>
  <si>
    <t>納入先CD　虫眼鏡</t>
    <rPh sb="6" eb="9">
      <t>ムシメガネ</t>
    </rPh>
    <phoneticPr fontId="2"/>
  </si>
  <si>
    <t>納入先CD検索のダイアログが立ち上がること。</t>
    <rPh sb="5" eb="7">
      <t>ケンサク</t>
    </rPh>
    <phoneticPr fontId="2"/>
  </si>
  <si>
    <t>納入先CD検索画面で納入先CDを検索し、納入先CDを選択する。</t>
    <rPh sb="5" eb="7">
      <t>ケンサク</t>
    </rPh>
    <phoneticPr fontId="2"/>
  </si>
  <si>
    <t>納入先CD　×ボタン</t>
  </si>
  <si>
    <t>以下の項目に選択した得意先の該当情報が削除されること
得意先CD(活性)</t>
    <rPh sb="10" eb="13">
      <t>トクイサキ</t>
    </rPh>
    <rPh sb="19" eb="21">
      <t>サクジョ</t>
    </rPh>
    <phoneticPr fontId="2"/>
  </si>
  <si>
    <t>以下の項目に選択した得意先の該当情報が表示されること
得意先CD(活性)</t>
    <rPh sb="10" eb="13">
      <t>トクイサキ</t>
    </rPh>
    <phoneticPr fontId="2"/>
  </si>
  <si>
    <t>以下の項目に選択した納入先の該当情報が表示されること
納入先CD(活性)</t>
    <rPh sb="10" eb="13">
      <t>ノウニュウサキ</t>
    </rPh>
    <phoneticPr fontId="2"/>
  </si>
  <si>
    <t>以下の項目に選択した納入先の該当情報が削除されること
納入先CD(活性)</t>
    <rPh sb="10" eb="12">
      <t>ノウニュウ</t>
    </rPh>
    <rPh sb="12" eb="13">
      <t>サキ</t>
    </rPh>
    <rPh sb="19" eb="21">
      <t>サクジョ</t>
    </rPh>
    <phoneticPr fontId="2"/>
  </si>
  <si>
    <t>以下の項目が納入先CD入力前と同じであること
得意先CD(活性)
業種区分(活性)
物件種別(活性)
見積件名(活性)
物件番号範囲(From)(活性)
物件番号範囲(To)(活性)
請求日付範囲(From)(活性)
請求日付範囲(To)(活性)
見積番号(非活性)
見積日付(非活性)
種別(非活性)
得意先(非活性)
納入先(非活性)
見積件名(非活性)
見積金額(非活性)</t>
    <phoneticPr fontId="2"/>
  </si>
  <si>
    <t>以下の項目が納入先CD削除前と同じであること
得意先CD(活性)
業種区分(活性)
物件種別(活性)
見積件名(活性)
物件番号範囲(From)(活性)
物件番号範囲(To)(活性)
請求日付範囲(From)(活性)
請求日付範囲(To)(活性)
見積番号(非活性)
見積日付(非活性)
種別(非活性)
得意先(非活性)
納入先(非活性)
見積件名(非活性)
見積金額(非活性)</t>
    <rPh sb="11" eb="13">
      <t>サクジョ</t>
    </rPh>
    <phoneticPr fontId="2"/>
  </si>
  <si>
    <t>以下の項目に選択した納入先の該当情報が表示されること
物件番号範囲(From)(活性)</t>
    <rPh sb="10" eb="13">
      <t>ノウニュウサキ</t>
    </rPh>
    <phoneticPr fontId="2"/>
  </si>
  <si>
    <t>物件番号範囲(From)　虫眼鏡</t>
    <rPh sb="13" eb="16">
      <t>ムシメガネ</t>
    </rPh>
    <phoneticPr fontId="2"/>
  </si>
  <si>
    <t>物件番号範囲(From)　×ボタン</t>
  </si>
  <si>
    <t>以下の項目に選択した納入先の該当情報が削除されること
物件番号範囲(From)(活性)</t>
    <rPh sb="10" eb="12">
      <t>ノウニュウ</t>
    </rPh>
    <rPh sb="12" eb="13">
      <t>サキ</t>
    </rPh>
    <rPh sb="19" eb="21">
      <t>サクジョ</t>
    </rPh>
    <phoneticPr fontId="2"/>
  </si>
  <si>
    <t>物件番号範囲検索画面で物件番号範囲を検索し、物件番号範囲を選択する。</t>
    <rPh sb="6" eb="8">
      <t>ケンサク</t>
    </rPh>
    <phoneticPr fontId="2"/>
  </si>
  <si>
    <t>物件番号範囲検索のダイアログが立ち上がること。</t>
    <rPh sb="6" eb="8">
      <t>ケンサク</t>
    </rPh>
    <phoneticPr fontId="2"/>
  </si>
  <si>
    <t xml:space="preserve">以下の項目が物件番号範囲入力前と同じであること
得意先CD(活性)
納入先CD(活性)
業種区分(活性)
物件種別(活性)
見積件名(活性)
物件番号範囲(To)(活性)
請求日付範囲(From)(活性)
請求日付範囲(To)(活性)
見積番号(非活性)
見積日付(非活性)
種別(非活性)
得意先(非活性)
納入先(非活性)
見積件名(非活性)
見積金額(非活性)
</t>
    <phoneticPr fontId="2"/>
  </si>
  <si>
    <t xml:space="preserve">以下の項目が物件番号範囲削除前と同じであること
得意先CD(活性)
納入先CD(活性)
業種区分(活性)
物件種別(活性)
見積件名(活性)
物件番号範囲(To)(活性)
請求日付範囲(From)(活性)
請求日付範囲(To)(活性)
見積番号(非活性)
見積日付(非活性)
種別(非活性)
得意先(非活性)
納入先(非活性)
見積件名(非活性)
見積金額(非活性)
</t>
    <rPh sb="12" eb="14">
      <t>サクジョ</t>
    </rPh>
    <phoneticPr fontId="2"/>
  </si>
  <si>
    <t>物件番号範囲(To)　虫眼鏡</t>
    <rPh sb="11" eb="14">
      <t>ムシメガネ</t>
    </rPh>
    <phoneticPr fontId="2"/>
  </si>
  <si>
    <t>物件番号範囲(To)　×ボタン</t>
    <phoneticPr fontId="2"/>
  </si>
  <si>
    <t>以下の項目に選択した納入先の該当情報が表示されること
物件番号範囲(To)(活性)</t>
    <rPh sb="10" eb="13">
      <t>ノウニュウサキ</t>
    </rPh>
    <phoneticPr fontId="2"/>
  </si>
  <si>
    <t xml:space="preserve">以下の項目が物件番号範囲入力前と同じであること
得意先CD(活性)
納入先CD(活性)
業種区分(活性)
物件種別(活性)
見積件名(活性)
物件番号範囲(From)(活性)
請求日付範囲(From)(活性)
請求日付範囲(To)(活性)
見積番号(非活性)
見積日付(非活性)
種別(非活性)
得意先(非活性)
納入先(非活性)
見積件名(非活性)
見積金額(非活性)
</t>
    <phoneticPr fontId="2"/>
  </si>
  <si>
    <t xml:space="preserve">以下の項目が物件番号範囲削除前と同じであること
得意先CD(活性)
納入先CD(活性)
業種区分(活性)
物件種別(活性)
見積件名(活性)
物件番号範囲(From)(活性)
請求日付範囲(From)(活性)
請求日付範囲(To)(活性)
見積番号(非活性)
見積日付(非活性)
種別(非活性)
得意先(非活性)
納入先(非活性)
見積件名(非活性)
見積金額(非活性)
</t>
    <rPh sb="12" eb="14">
      <t>サクジョ</t>
    </rPh>
    <phoneticPr fontId="2"/>
  </si>
  <si>
    <t>以下の項目に選択した納入先の該当情報が削除されること
物件番号範囲(To)(活性)</t>
    <rPh sb="10" eb="12">
      <t>ノウニュウ</t>
    </rPh>
    <rPh sb="12" eb="13">
      <t>サキ</t>
    </rPh>
    <rPh sb="19" eb="21">
      <t>サクジョ</t>
    </rPh>
    <phoneticPr fontId="2"/>
  </si>
  <si>
    <t>ページ確認</t>
  </si>
  <si>
    <t>単ページ</t>
  </si>
  <si>
    <t>複数ページとならないデータで出力ボタンを押下</t>
  </si>
  <si>
    <t>複数ページ</t>
  </si>
  <si>
    <t>複数ページとなるデータで出力ボタンを押下</t>
  </si>
  <si>
    <t>請求日付範囲</t>
    <rPh sb="4" eb="6">
      <t>ハンイ</t>
    </rPh>
    <phoneticPr fontId="2"/>
  </si>
  <si>
    <t>検索ボタン</t>
    <rPh sb="0" eb="2">
      <t>ケンサク</t>
    </rPh>
    <phoneticPr fontId="2"/>
  </si>
  <si>
    <t>検索ボタンを押下する</t>
    <rPh sb="0" eb="2">
      <t>ケンサク</t>
    </rPh>
    <rPh sb="6" eb="8">
      <t>オウカ</t>
    </rPh>
    <phoneticPr fontId="2"/>
  </si>
  <si>
    <t>[TD見積]の情報が表示されること</t>
    <rPh sb="3" eb="5">
      <t>ミツモリ</t>
    </rPh>
    <rPh sb="7" eb="9">
      <t>ジョウホウ</t>
    </rPh>
    <rPh sb="10" eb="12">
      <t>ヒョウジ</t>
    </rPh>
    <phoneticPr fontId="2"/>
  </si>
  <si>
    <t>得意先CDを入力し、検索ボタンを押下する</t>
    <rPh sb="0" eb="3">
      <t>トクイサキ</t>
    </rPh>
    <rPh sb="6" eb="8">
      <t>ニュウリョク</t>
    </rPh>
    <rPh sb="10" eb="12">
      <t>ケンサク</t>
    </rPh>
    <rPh sb="16" eb="18">
      <t>オウカ</t>
    </rPh>
    <phoneticPr fontId="2"/>
  </si>
  <si>
    <t>納入先CDを入力し、検索ボタンを押下する</t>
    <rPh sb="0" eb="3">
      <t>ノウニュウサキ</t>
    </rPh>
    <rPh sb="6" eb="8">
      <t>ニュウリョク</t>
    </rPh>
    <rPh sb="10" eb="12">
      <t>ケンサク</t>
    </rPh>
    <rPh sb="16" eb="18">
      <t>オウカ</t>
    </rPh>
    <phoneticPr fontId="2"/>
  </si>
  <si>
    <t>業種区分を入力し、検索ボタンを押下する</t>
    <rPh sb="0" eb="4">
      <t>ギョウシュクブン</t>
    </rPh>
    <rPh sb="5" eb="7">
      <t>ニュウリョク</t>
    </rPh>
    <rPh sb="9" eb="11">
      <t>ケンサク</t>
    </rPh>
    <rPh sb="15" eb="17">
      <t>オウカ</t>
    </rPh>
    <phoneticPr fontId="2"/>
  </si>
  <si>
    <t>物件種別を入力し、検索ボタンを押下する</t>
    <rPh sb="0" eb="2">
      <t>ブッケン</t>
    </rPh>
    <rPh sb="2" eb="4">
      <t>シュベツ</t>
    </rPh>
    <rPh sb="5" eb="7">
      <t>ニュウリョク</t>
    </rPh>
    <rPh sb="9" eb="11">
      <t>ケンサク</t>
    </rPh>
    <rPh sb="15" eb="17">
      <t>オウカ</t>
    </rPh>
    <phoneticPr fontId="2"/>
  </si>
  <si>
    <t>見積件名を入力し、検索ボタンを押下する</t>
    <rPh sb="0" eb="2">
      <t>ミツモリ</t>
    </rPh>
    <rPh sb="2" eb="4">
      <t>ケンメイ</t>
    </rPh>
    <rPh sb="5" eb="7">
      <t>ニュウリョク</t>
    </rPh>
    <rPh sb="9" eb="11">
      <t>ケンサク</t>
    </rPh>
    <rPh sb="15" eb="17">
      <t>オウカ</t>
    </rPh>
    <phoneticPr fontId="2"/>
  </si>
  <si>
    <t>[TD見積]の情報のうち、得意先CDと値が一致するデータが表示されること</t>
    <rPh sb="3" eb="5">
      <t>ミツモリ</t>
    </rPh>
    <rPh sb="7" eb="9">
      <t>ジョウホウ</t>
    </rPh>
    <rPh sb="13" eb="16">
      <t>トクイサキ</t>
    </rPh>
    <rPh sb="19" eb="20">
      <t>アタイ</t>
    </rPh>
    <rPh sb="21" eb="23">
      <t>イッチ</t>
    </rPh>
    <rPh sb="29" eb="31">
      <t>ヒョウジ</t>
    </rPh>
    <phoneticPr fontId="2"/>
  </si>
  <si>
    <t>[TD見積]の情報のうち、納入先CDと値が一致するデータが表示されること</t>
    <rPh sb="3" eb="5">
      <t>ミツモリ</t>
    </rPh>
    <rPh sb="7" eb="9">
      <t>ジョウホウ</t>
    </rPh>
    <rPh sb="13" eb="16">
      <t>ノウニュウサキ</t>
    </rPh>
    <rPh sb="19" eb="20">
      <t>アタイ</t>
    </rPh>
    <rPh sb="21" eb="23">
      <t>イッチ</t>
    </rPh>
    <rPh sb="29" eb="31">
      <t>ヒョウジ</t>
    </rPh>
    <phoneticPr fontId="2"/>
  </si>
  <si>
    <t>[TD見積]の情報のうち、業種区分と値が一致するデータが表示されること</t>
    <rPh sb="3" eb="5">
      <t>ミツモリ</t>
    </rPh>
    <rPh sb="7" eb="9">
      <t>ジョウホウ</t>
    </rPh>
    <rPh sb="13" eb="17">
      <t>ギョウシュクブン</t>
    </rPh>
    <rPh sb="18" eb="19">
      <t>アタイ</t>
    </rPh>
    <rPh sb="20" eb="22">
      <t>イッチ</t>
    </rPh>
    <rPh sb="28" eb="30">
      <t>ヒョウジ</t>
    </rPh>
    <phoneticPr fontId="2"/>
  </si>
  <si>
    <t>[TD見積]の情報のうち、物件種別と値が一致するデータが表示されること</t>
    <rPh sb="3" eb="5">
      <t>ミツモリ</t>
    </rPh>
    <rPh sb="7" eb="9">
      <t>ジョウホウ</t>
    </rPh>
    <rPh sb="13" eb="15">
      <t>ブッケン</t>
    </rPh>
    <rPh sb="15" eb="17">
      <t>シュベツ</t>
    </rPh>
    <rPh sb="18" eb="19">
      <t>アタイ</t>
    </rPh>
    <rPh sb="20" eb="22">
      <t>イッチ</t>
    </rPh>
    <rPh sb="28" eb="30">
      <t>ヒョウジ</t>
    </rPh>
    <phoneticPr fontId="2"/>
  </si>
  <si>
    <t>[TD見積]の情報のうち、見積件名と値が一致するデータが表示されること</t>
    <rPh sb="3" eb="5">
      <t>ミツモリ</t>
    </rPh>
    <rPh sb="7" eb="9">
      <t>ジョウホウ</t>
    </rPh>
    <rPh sb="13" eb="15">
      <t>ミツモリ</t>
    </rPh>
    <rPh sb="15" eb="17">
      <t>ケンメイ</t>
    </rPh>
    <rPh sb="18" eb="19">
      <t>アタイ</t>
    </rPh>
    <rPh sb="20" eb="22">
      <t>イッチ</t>
    </rPh>
    <rPh sb="28" eb="30">
      <t>ヒョウジ</t>
    </rPh>
    <phoneticPr fontId="2"/>
  </si>
  <si>
    <t>出力ボタン</t>
    <rPh sb="0" eb="2">
      <t>シュツリョク</t>
    </rPh>
    <phoneticPr fontId="2"/>
  </si>
  <si>
    <t>出力ボタンを押下する</t>
    <rPh sb="0" eb="2">
      <t>シュツリョク</t>
    </rPh>
    <rPh sb="6" eb="8">
      <t>オウカ</t>
    </rPh>
    <phoneticPr fontId="2"/>
  </si>
  <si>
    <t>現行システムと同じデータが出力されること</t>
    <phoneticPr fontId="2"/>
  </si>
  <si>
    <t>Excelで出力されること</t>
    <phoneticPr fontId="2"/>
  </si>
  <si>
    <t>松村</t>
    <rPh sb="0" eb="2">
      <t>マツムラ</t>
    </rPh>
    <phoneticPr fontId="2"/>
  </si>
  <si>
    <t>OK</t>
    <phoneticPr fontId="2"/>
  </si>
  <si>
    <t>NG</t>
  </si>
  <si>
    <t>得意先検索をしたときに同じデータが2つ表示されている</t>
    <rPh sb="0" eb="3">
      <t>トクイサキ</t>
    </rPh>
    <rPh sb="3" eb="5">
      <t>ケンサク</t>
    </rPh>
    <rPh sb="11" eb="12">
      <t>オナ</t>
    </rPh>
    <rPh sb="19" eb="21">
      <t>ヒョウジ</t>
    </rPh>
    <phoneticPr fontId="2"/>
  </si>
  <si>
    <t>科目CDを入力してくださいとでて、データを登録できない</t>
    <rPh sb="0" eb="2">
      <t>カモク</t>
    </rPh>
    <rPh sb="5" eb="7">
      <t>ニュウリョク</t>
    </rPh>
    <rPh sb="21" eb="23">
      <t>トウロク</t>
    </rPh>
    <phoneticPr fontId="2"/>
  </si>
  <si>
    <t>検索ボタンを押下しても物件番号が取得できない</t>
    <rPh sb="0" eb="2">
      <t>ケンサク</t>
    </rPh>
    <rPh sb="6" eb="8">
      <t>オウカ</t>
    </rPh>
    <rPh sb="11" eb="15">
      <t>ブッケンバンゴウ</t>
    </rPh>
    <rPh sb="16" eb="18">
      <t>シュトク</t>
    </rPh>
    <phoneticPr fontId="2"/>
  </si>
  <si>
    <t>検索ボタンを押下しても物件番号が取得できない</t>
    <rPh sb="0" eb="2">
      <t>ケンサク</t>
    </rPh>
    <rPh sb="6" eb="8">
      <t>オウカ</t>
    </rPh>
    <rPh sb="11" eb="13">
      <t>ブッケン</t>
    </rPh>
    <rPh sb="13" eb="15">
      <t>バンゴウ</t>
    </rPh>
    <rPh sb="16" eb="18">
      <t>シュトク</t>
    </rPh>
    <phoneticPr fontId="2"/>
  </si>
  <si>
    <t>OK</t>
  </si>
  <si>
    <t>科目CDを入力してくださいと出て、検索・登録ができない</t>
    <rPh sb="0" eb="2">
      <t>カモク</t>
    </rPh>
    <rPh sb="5" eb="7">
      <t>ニュウリョク</t>
    </rPh>
    <rPh sb="14" eb="15">
      <t>デ</t>
    </rPh>
    <rPh sb="17" eb="19">
      <t>ケンサク</t>
    </rPh>
    <rPh sb="20" eb="22">
      <t>トウロク</t>
    </rPh>
    <phoneticPr fontId="2"/>
  </si>
  <si>
    <t>業種区分を設定するとSQLエラーが出る</t>
    <rPh sb="0" eb="4">
      <t>ギョウシュクブン</t>
    </rPh>
    <rPh sb="5" eb="7">
      <t>セッテイ</t>
    </rPh>
    <rPh sb="17" eb="18">
      <t>デ</t>
    </rPh>
    <phoneticPr fontId="2"/>
  </si>
  <si>
    <t>チェックボックスにチェックを入れて出力ボタンを押下してもエラーが出て、Excelが出力されない
内部サーバーエラーが出て、Excelが出力されない</t>
    <rPh sb="14" eb="15">
      <t>イ</t>
    </rPh>
    <rPh sb="17" eb="19">
      <t>シュツリョク</t>
    </rPh>
    <rPh sb="23" eb="25">
      <t>オウカ</t>
    </rPh>
    <rPh sb="32" eb="33">
      <t>デ</t>
    </rPh>
    <rPh sb="41" eb="43">
      <t>シュツリョク</t>
    </rPh>
    <phoneticPr fontId="2"/>
  </si>
  <si>
    <t>大谷</t>
    <rPh sb="0" eb="2">
      <t>オオタニ</t>
    </rPh>
    <phoneticPr fontId="2"/>
  </si>
  <si>
    <t>大谷</t>
    <rPh sb="0" eb="2">
      <t>オオタニ</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</si>
</sst>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 "/>
    <numFmt numFmtId="177" formatCode="m/d;@"/>
  </numFmts>
  <fonts count="9"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
      <sz val="9"/>
      <name val="Meiryo UI"/>
      <family val="3"/>
      <charset val="128"/>
    </font>
    <font>
      <sz val="9"/>
      <color rgb="FF000000"/>
      <name val="Meiryo UI"/>
      <family val="3"/>
      <charset val="128"/>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s>
  <borders count="4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right style="thick">
        <color auto="1"/>
      </right>
      <top style="thin">
        <color auto="1"/>
      </top>
      <bottom style="thick">
        <color auto="1"/>
      </bottom>
      <diagonal/>
    </border>
    <border>
      <left style="thin">
        <color auto="1"/>
      </left>
      <right/>
      <top style="thin">
        <color auto="1"/>
      </top>
      <bottom style="thick">
        <color auto="1"/>
      </bottom>
      <diagonal/>
    </border>
    <border>
      <left style="thin">
        <color auto="1"/>
      </left>
      <right/>
      <top/>
      <bottom style="thick">
        <color auto="1"/>
      </bottom>
      <diagonal/>
    </border>
    <border>
      <left/>
      <right style="thin">
        <color auto="1"/>
      </right>
      <top/>
      <bottom style="thick">
        <color auto="1"/>
      </bottom>
      <diagonal/>
    </border>
    <border>
      <left style="double">
        <color auto="1"/>
      </left>
      <right/>
      <top style="thick">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right style="double">
        <color auto="1"/>
      </right>
      <top style="thick">
        <color auto="1"/>
      </top>
      <bottom style="thin">
        <color auto="1"/>
      </bottom>
      <diagonal/>
    </border>
    <border>
      <left/>
      <right style="thin">
        <color auto="1"/>
      </right>
      <top style="thin">
        <color auto="1"/>
      </top>
      <bottom style="thick">
        <color auto="1"/>
      </bottom>
      <diagonal/>
    </border>
    <border>
      <left/>
      <right style="thin">
        <color auto="1"/>
      </right>
      <top style="thick">
        <color auto="1"/>
      </top>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style="thick">
        <color auto="1"/>
      </left>
      <right/>
      <top style="thick">
        <color auto="1"/>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s>
  <cellStyleXfs count="2">
    <xf numFmtId="0" fontId="0" fillId="0" borderId="0">
      <alignment vertical="center"/>
    </xf>
    <xf numFmtId="0" fontId="4" fillId="0" borderId="0"/>
  </cellStyleXfs>
  <cellXfs count="233">
    <xf numFmtId="0" fontId="0" fillId="0" borderId="0" xfId="0">
      <alignment vertical="center"/>
    </xf>
    <xf numFmtId="0" fontId="1" fillId="2" borderId="0" xfId="0" applyFont="1" applyFill="1">
      <alignment vertical="center"/>
    </xf>
    <xf numFmtId="0" fontId="3" fillId="2" borderId="5" xfId="0" applyFont="1" applyFill="1" applyBorder="1" applyAlignment="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5" xfId="0" applyFont="1" applyFill="1" applyBorder="1" applyAlignment="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6" fillId="2" borderId="0"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1" xfId="0" applyFont="1" applyFill="1" applyBorder="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10" xfId="0" applyFont="1" applyFill="1" applyBorder="1" applyAlignment="1">
      <alignment vertical="top" wrapText="1"/>
    </xf>
    <xf numFmtId="0" fontId="3" fillId="2" borderId="39" xfId="0" applyFont="1" applyFill="1" applyBorder="1" applyAlignment="1">
      <alignment vertical="top" wrapText="1"/>
    </xf>
    <xf numFmtId="0" fontId="3" fillId="2" borderId="8" xfId="0" applyFont="1" applyFill="1" applyBorder="1" applyAlignment="1">
      <alignment vertical="top" wrapText="1"/>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1" xfId="0" applyFont="1" applyFill="1" applyBorder="1">
      <alignment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8" fillId="0" borderId="2" xfId="0" applyFont="1" applyBorder="1" applyAlignment="1">
      <alignment horizontal="left" vertical="top"/>
    </xf>
    <xf numFmtId="0" fontId="8" fillId="0" borderId="3" xfId="0" applyFont="1" applyBorder="1" applyAlignment="1">
      <alignment horizontal="left" vertical="top"/>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8" fillId="0" borderId="4" xfId="0" applyFont="1" applyBorder="1" applyAlignment="1">
      <alignment horizontal="left" vertical="top"/>
    </xf>
    <xf numFmtId="0" fontId="8" fillId="0" borderId="26" xfId="0" applyFont="1" applyBorder="1" applyAlignment="1">
      <alignment horizontal="left" vertical="top" wrapText="1"/>
    </xf>
    <xf numFmtId="0" fontId="8" fillId="0" borderId="14" xfId="0" applyFont="1" applyBorder="1" applyAlignment="1">
      <alignment horizontal="left" vertical="top" wrapText="1"/>
    </xf>
    <xf numFmtId="0" fontId="8" fillId="0" borderId="27" xfId="0" applyFont="1" applyBorder="1" applyAlignment="1">
      <alignment horizontal="left" vertical="top" wrapText="1"/>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0"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7" xfId="0" applyFont="1" applyFill="1" applyBorder="1" applyAlignment="1">
      <alignment horizontal="center" vertical="center" shrinkToFit="1"/>
    </xf>
    <xf numFmtId="0" fontId="3" fillId="3" borderId="10" xfId="0" applyFont="1" applyFill="1" applyBorder="1" applyAlignment="1">
      <alignment horizontal="center" vertical="center"/>
    </xf>
    <xf numFmtId="0" fontId="5" fillId="4" borderId="1"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5" xfId="0" applyFont="1" applyFill="1" applyBorder="1" applyAlignment="1">
      <alignment horizontal="center" vertical="center" shrinkToFit="1"/>
    </xf>
    <xf numFmtId="14" fontId="3" fillId="2" borderId="5" xfId="0" applyNumberFormat="1"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30" xfId="0" applyFont="1" applyFill="1" applyBorder="1" applyAlignment="1">
      <alignment horizontal="center" vertical="center"/>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5" xfId="0" applyFont="1" applyFill="1" applyBorder="1" applyAlignment="1">
      <alignment vertical="top" wrapText="1"/>
    </xf>
    <xf numFmtId="0" fontId="3" fillId="2" borderId="6" xfId="0" applyFont="1" applyFill="1" applyBorder="1" applyAlignment="1">
      <alignment vertical="top" wrapText="1"/>
    </xf>
    <xf numFmtId="0" fontId="3" fillId="2" borderId="7" xfId="0" applyFont="1" applyFill="1" applyBorder="1" applyAlignment="1">
      <alignmen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37" xfId="0" applyFont="1" applyFill="1" applyBorder="1" applyAlignment="1">
      <alignment horizontal="left" vertical="top"/>
    </xf>
    <xf numFmtId="0" fontId="3" fillId="2" borderId="0" xfId="0" applyFont="1" applyFill="1" applyBorder="1" applyAlignment="1">
      <alignment horizontal="left" vertical="top"/>
    </xf>
    <xf numFmtId="0" fontId="3" fillId="2" borderId="38" xfId="0" applyFont="1" applyFill="1" applyBorder="1" applyAlignment="1">
      <alignment horizontal="left" vertical="top"/>
    </xf>
    <xf numFmtId="0" fontId="7" fillId="2" borderId="5" xfId="0" applyFont="1" applyFill="1" applyBorder="1" applyAlignment="1">
      <alignment horizontal="left" vertical="top" wrapText="1"/>
    </xf>
    <xf numFmtId="0" fontId="7" fillId="2" borderId="6" xfId="0" applyFont="1" applyFill="1" applyBorder="1" applyAlignment="1">
      <alignment horizontal="left" vertical="top" wrapText="1"/>
    </xf>
    <xf numFmtId="0" fontId="7" fillId="2" borderId="7"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5" borderId="36" xfId="0" applyFont="1" applyFill="1" applyBorder="1" applyAlignment="1">
      <alignment horizontal="center" vertical="center"/>
    </xf>
    <xf numFmtId="0" fontId="3" fillId="5" borderId="18" xfId="0" applyFont="1" applyFill="1" applyBorder="1" applyAlignment="1">
      <alignment horizontal="center" vertical="center"/>
    </xf>
    <xf numFmtId="0" fontId="3" fillId="5" borderId="21" xfId="0" applyFont="1" applyFill="1" applyBorder="1" applyAlignment="1">
      <alignment horizontal="center" vertical="center"/>
    </xf>
    <xf numFmtId="0" fontId="3" fillId="5" borderId="29"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0" xfId="0" applyFont="1" applyFill="1" applyBorder="1" applyAlignment="1">
      <alignment horizontal="center" vertical="center"/>
    </xf>
    <xf numFmtId="14" fontId="3" fillId="2" borderId="11" xfId="0" applyNumberFormat="1" applyFont="1" applyFill="1" applyBorder="1" applyAlignment="1">
      <alignment horizontal="center" vertical="center" shrinkToFit="1"/>
    </xf>
    <xf numFmtId="0" fontId="3" fillId="5" borderId="28"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5" borderId="23" xfId="0" applyFont="1" applyFill="1" applyBorder="1" applyAlignment="1">
      <alignment horizontal="center" vertical="center"/>
    </xf>
    <xf numFmtId="0" fontId="3" fillId="5" borderId="3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27" xfId="0" applyFont="1" applyFill="1" applyBorder="1" applyAlignment="1">
      <alignment horizontal="center" vertical="center"/>
    </xf>
    <xf numFmtId="0" fontId="3" fillId="5" borderId="34" xfId="0" applyFont="1" applyFill="1" applyBorder="1" applyAlignment="1">
      <alignment horizontal="center" vertical="center"/>
    </xf>
    <xf numFmtId="0" fontId="3" fillId="5" borderId="17" xfId="0" applyFont="1" applyFill="1" applyBorder="1" applyAlignment="1">
      <alignment horizontal="center" vertical="center"/>
    </xf>
    <xf numFmtId="0" fontId="3" fillId="5" borderId="20"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32"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 xfId="0" applyFont="1" applyFill="1" applyBorder="1" applyAlignment="1">
      <alignment horizontal="left" vertical="top"/>
    </xf>
    <xf numFmtId="0" fontId="3" fillId="2" borderId="3" xfId="0" applyFont="1" applyFill="1" applyBorder="1" applyAlignment="1">
      <alignment horizontal="left" vertical="top"/>
    </xf>
    <xf numFmtId="0" fontId="3" fillId="2" borderId="4" xfId="0" applyFont="1" applyFill="1" applyBorder="1" applyAlignment="1">
      <alignment horizontal="left" vertical="top"/>
    </xf>
    <xf numFmtId="0" fontId="3" fillId="2" borderId="29" xfId="0" applyFont="1" applyFill="1" applyBorder="1" applyAlignment="1">
      <alignment horizontal="left" vertical="top" wrapText="1"/>
    </xf>
    <xf numFmtId="0" fontId="3" fillId="2" borderId="22" xfId="0" applyFont="1" applyFill="1" applyBorder="1" applyAlignment="1">
      <alignment horizontal="left" vertical="top" wrapText="1"/>
    </xf>
    <xf numFmtId="177" fontId="3" fillId="0" borderId="29" xfId="0" applyNumberFormat="1" applyFont="1" applyFill="1" applyBorder="1" applyAlignment="1">
      <alignment horizontal="center" vertical="center"/>
    </xf>
    <xf numFmtId="177" fontId="3" fillId="0" borderId="7" xfId="0" applyNumberFormat="1" applyFont="1" applyFill="1" applyBorder="1" applyAlignment="1">
      <alignment horizontal="center" vertical="center"/>
    </xf>
    <xf numFmtId="0" fontId="3" fillId="0" borderId="5" xfId="0" applyFont="1" applyFill="1" applyBorder="1" applyAlignment="1">
      <alignment horizontal="center" vertical="center"/>
    </xf>
    <xf numFmtId="0" fontId="3" fillId="0" borderId="7" xfId="0" applyFont="1" applyFill="1" applyBorder="1" applyAlignment="1">
      <alignment horizontal="center" vertical="center"/>
    </xf>
    <xf numFmtId="0" fontId="3" fillId="0" borderId="30" xfId="0" applyFont="1" applyFill="1" applyBorder="1" applyAlignment="1">
      <alignment horizontal="center" vertical="center"/>
    </xf>
    <xf numFmtId="0" fontId="7" fillId="2" borderId="37" xfId="0" applyFont="1" applyFill="1" applyBorder="1" applyAlignment="1">
      <alignment horizontal="left" vertical="top" wrapText="1"/>
    </xf>
    <xf numFmtId="0" fontId="7" fillId="2" borderId="0" xfId="0" applyFont="1" applyFill="1" applyBorder="1" applyAlignment="1">
      <alignment horizontal="left" vertical="top" wrapText="1"/>
    </xf>
    <xf numFmtId="0" fontId="7" fillId="2" borderId="38" xfId="0" applyFont="1" applyFill="1" applyBorder="1" applyAlignment="1">
      <alignment horizontal="left" vertical="top" wrapText="1"/>
    </xf>
    <xf numFmtId="0" fontId="3" fillId="2" borderId="2" xfId="0" applyFont="1" applyFill="1" applyBorder="1" applyAlignment="1">
      <alignment vertical="top" wrapText="1"/>
    </xf>
    <xf numFmtId="0" fontId="3" fillId="2" borderId="3" xfId="0" applyFont="1" applyFill="1" applyBorder="1" applyAlignment="1">
      <alignment vertical="top" wrapText="1"/>
    </xf>
    <xf numFmtId="0" fontId="3" fillId="2" borderId="4" xfId="0" applyFont="1" applyFill="1" applyBorder="1" applyAlignment="1">
      <alignment vertical="top" wrapText="1"/>
    </xf>
  </cellXfs>
  <cellStyles count="2">
    <cellStyle name="標準" xfId="0" builtinId="0"/>
    <cellStyle name="標準 2 2" xfId="1"/>
  </cellStyles>
  <dxfs count="118">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9"/>
  <sheetViews>
    <sheetView showGridLines="0" tabSelected="1" view="pageBreakPreview" zoomScaleNormal="100" zoomScaleSheetLayoutView="100" workbookViewId="0"/>
  </sheetViews>
  <sheetFormatPr defaultColWidth="3.59765625" defaultRowHeight="20.100000000000001" customHeight="1" x14ac:dyDescent="0.45"/>
  <cols>
    <col min="1" max="1" width="1.09765625" style="1" customWidth="1"/>
    <col min="2" max="65" width="3.69921875" style="1" customWidth="1"/>
    <col min="66" max="66" width="1.09765625" style="1" customWidth="1"/>
    <col min="67" max="16384" width="3.59765625" style="1"/>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144" t="s">
        <v>0</v>
      </c>
      <c r="C2" s="145"/>
      <c r="D2" s="145"/>
      <c r="E2" s="145"/>
      <c r="F2" s="145"/>
      <c r="G2" s="145"/>
      <c r="H2" s="145" t="s">
        <v>40</v>
      </c>
      <c r="I2" s="145"/>
      <c r="J2" s="145"/>
      <c r="K2" s="145"/>
      <c r="L2" s="145" t="s">
        <v>41</v>
      </c>
      <c r="M2" s="145"/>
      <c r="N2" s="145"/>
      <c r="O2" s="145"/>
      <c r="P2" s="145"/>
      <c r="Q2" s="145"/>
      <c r="R2" s="145" t="s">
        <v>1</v>
      </c>
      <c r="S2" s="145"/>
      <c r="T2" s="145"/>
      <c r="U2" s="145"/>
      <c r="V2" s="145"/>
      <c r="W2" s="145"/>
      <c r="X2" s="146" t="s">
        <v>2</v>
      </c>
      <c r="Y2" s="147"/>
      <c r="Z2" s="147"/>
      <c r="AA2" s="147"/>
      <c r="AB2" s="147"/>
      <c r="AC2" s="147"/>
      <c r="AD2" s="147"/>
      <c r="AE2" s="147"/>
      <c r="AF2" s="147"/>
      <c r="AG2" s="147"/>
      <c r="AH2" s="147"/>
      <c r="AI2" s="147"/>
      <c r="AJ2" s="148"/>
      <c r="AK2" s="146" t="s">
        <v>30</v>
      </c>
      <c r="AL2" s="147"/>
      <c r="AM2" s="147"/>
      <c r="AN2" s="147"/>
      <c r="AO2" s="147"/>
      <c r="AP2" s="147"/>
      <c r="AQ2" s="147"/>
      <c r="AR2" s="147"/>
      <c r="AS2" s="147"/>
      <c r="AT2" s="147"/>
      <c r="AU2" s="147"/>
      <c r="AV2" s="147"/>
      <c r="AW2" s="148"/>
      <c r="AX2" s="145" t="s">
        <v>4</v>
      </c>
      <c r="AY2" s="145"/>
      <c r="AZ2" s="145"/>
      <c r="BA2" s="145"/>
      <c r="BB2" s="145" t="s">
        <v>3</v>
      </c>
      <c r="BC2" s="145"/>
      <c r="BD2" s="145"/>
      <c r="BE2" s="145"/>
      <c r="BF2" s="145" t="s">
        <v>5</v>
      </c>
      <c r="BG2" s="145"/>
      <c r="BH2" s="145"/>
      <c r="BI2" s="145"/>
      <c r="BJ2" s="145" t="s">
        <v>6</v>
      </c>
      <c r="BK2" s="145"/>
      <c r="BL2" s="145"/>
      <c r="BM2" s="159"/>
      <c r="BN2" s="15"/>
    </row>
    <row r="3" spans="1:66" ht="20.100000000000001" customHeight="1" x14ac:dyDescent="0.45">
      <c r="A3" s="9"/>
      <c r="B3" s="149" t="s">
        <v>38</v>
      </c>
      <c r="C3" s="150"/>
      <c r="D3" s="150"/>
      <c r="E3" s="150"/>
      <c r="F3" s="150"/>
      <c r="G3" s="150"/>
      <c r="H3" s="150" t="str">
        <f ca="1">LEFT($X$3,FIND("_",$X$3)-1)</f>
        <v>請求売掛</v>
      </c>
      <c r="I3" s="150"/>
      <c r="J3" s="150"/>
      <c r="K3" s="150"/>
      <c r="L3" s="150" t="s">
        <v>39</v>
      </c>
      <c r="M3" s="150"/>
      <c r="N3" s="150"/>
      <c r="O3" s="150"/>
      <c r="P3" s="150"/>
      <c r="Q3" s="150"/>
      <c r="R3" s="153" t="str">
        <f ca="1">MID($X$3,FIND("_",$X$3,FIND("_",$X$3)+1)+1,LEN($X$3)-FIND("_",$X$3,FIND("_",$X$3)+1))</f>
        <v>結合試験項目</v>
      </c>
      <c r="S3" s="150"/>
      <c r="T3" s="150"/>
      <c r="U3" s="150"/>
      <c r="V3" s="150"/>
      <c r="W3" s="150"/>
      <c r="X3" s="154" t="str">
        <f ca="1">REPLACE(LEFT(CELL("filename",$B$2),FIND(".x",CELL("filename",$B$2))-1),1,FIND("[",CELL("filename",$B$2)),)</f>
        <v>請求売掛_請求原価率表_結合試験項目</v>
      </c>
      <c r="Y3" s="155"/>
      <c r="Z3" s="155"/>
      <c r="AA3" s="155"/>
      <c r="AB3" s="155"/>
      <c r="AC3" s="155"/>
      <c r="AD3" s="155"/>
      <c r="AE3" s="155"/>
      <c r="AF3" s="155"/>
      <c r="AG3" s="155"/>
      <c r="AH3" s="155"/>
      <c r="AI3" s="155"/>
      <c r="AJ3" s="151"/>
      <c r="AK3" s="154" t="str">
        <f ca="1">MID($X$3,FIND("_",$X$3)+1,FIND("_",$X$3,FIND("_",$X$3)+1)-FIND("_",$X$3)-1)</f>
        <v>請求原価率表</v>
      </c>
      <c r="AL3" s="155"/>
      <c r="AM3" s="155"/>
      <c r="AN3" s="155"/>
      <c r="AO3" s="155"/>
      <c r="AP3" s="155"/>
      <c r="AQ3" s="155"/>
      <c r="AR3" s="155"/>
      <c r="AS3" s="155"/>
      <c r="AT3" s="155"/>
      <c r="AU3" s="155"/>
      <c r="AV3" s="155"/>
      <c r="AW3" s="151"/>
      <c r="AX3" s="161">
        <v>45628</v>
      </c>
      <c r="AY3" s="150"/>
      <c r="AZ3" s="150"/>
      <c r="BA3" s="150"/>
      <c r="BB3" s="150" t="s">
        <v>87</v>
      </c>
      <c r="BC3" s="150"/>
      <c r="BD3" s="150"/>
      <c r="BE3" s="150"/>
      <c r="BF3" s="161">
        <v>45628</v>
      </c>
      <c r="BG3" s="150"/>
      <c r="BH3" s="150"/>
      <c r="BI3" s="150"/>
      <c r="BJ3" s="150" t="s">
        <v>87</v>
      </c>
      <c r="BK3" s="150"/>
      <c r="BL3" s="150"/>
      <c r="BM3" s="162"/>
      <c r="BN3" s="15"/>
    </row>
    <row r="4" spans="1:66" ht="20.100000000000001" customHeight="1" thickBot="1" x14ac:dyDescent="0.5">
      <c r="A4" s="9"/>
      <c r="B4" s="151"/>
      <c r="C4" s="152"/>
      <c r="D4" s="152"/>
      <c r="E4" s="152"/>
      <c r="F4" s="152"/>
      <c r="G4" s="152"/>
      <c r="H4" s="152"/>
      <c r="I4" s="152"/>
      <c r="J4" s="152"/>
      <c r="K4" s="152"/>
      <c r="L4" s="152"/>
      <c r="M4" s="152"/>
      <c r="N4" s="152"/>
      <c r="O4" s="152"/>
      <c r="P4" s="152"/>
      <c r="Q4" s="152"/>
      <c r="R4" s="152"/>
      <c r="S4" s="152"/>
      <c r="T4" s="152"/>
      <c r="U4" s="152"/>
      <c r="V4" s="152"/>
      <c r="W4" s="152"/>
      <c r="X4" s="156"/>
      <c r="Y4" s="157"/>
      <c r="Z4" s="157"/>
      <c r="AA4" s="157"/>
      <c r="AB4" s="157"/>
      <c r="AC4" s="157"/>
      <c r="AD4" s="157"/>
      <c r="AE4" s="157"/>
      <c r="AF4" s="157"/>
      <c r="AG4" s="157"/>
      <c r="AH4" s="157"/>
      <c r="AI4" s="157"/>
      <c r="AJ4" s="158"/>
      <c r="AK4" s="156"/>
      <c r="AL4" s="157"/>
      <c r="AM4" s="157"/>
      <c r="AN4" s="157"/>
      <c r="AO4" s="157"/>
      <c r="AP4" s="157"/>
      <c r="AQ4" s="157"/>
      <c r="AR4" s="157"/>
      <c r="AS4" s="157"/>
      <c r="AT4" s="157"/>
      <c r="AU4" s="157"/>
      <c r="AV4" s="157"/>
      <c r="AW4" s="158"/>
      <c r="AX4" s="152"/>
      <c r="AY4" s="152"/>
      <c r="AZ4" s="152"/>
      <c r="BA4" s="152"/>
      <c r="BB4" s="152"/>
      <c r="BC4" s="152"/>
      <c r="BD4" s="152"/>
      <c r="BE4" s="152"/>
      <c r="BF4" s="152"/>
      <c r="BG4" s="152"/>
      <c r="BH4" s="152"/>
      <c r="BI4" s="152"/>
      <c r="BJ4" s="152"/>
      <c r="BK4" s="152"/>
      <c r="BL4" s="152"/>
      <c r="BM4" s="154"/>
      <c r="BN4" s="15"/>
    </row>
    <row r="5" spans="1:66" ht="5.25" customHeight="1" thickTop="1" thickBot="1" x14ac:dyDescent="0.5">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row>
    <row r="6" spans="1:66" ht="20.100000000000001" customHeight="1" thickTop="1" x14ac:dyDescent="0.45">
      <c r="A6" s="9"/>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5"/>
    </row>
    <row r="7" spans="1:66" ht="20.100000000000001" customHeight="1" x14ac:dyDescent="0.45">
      <c r="A7" s="9"/>
      <c r="B7" s="8"/>
      <c r="C7" s="20" t="s">
        <v>19</v>
      </c>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15"/>
    </row>
    <row r="8" spans="1:66" ht="20.100000000000001" customHeight="1" x14ac:dyDescent="0.45">
      <c r="A8" s="9"/>
      <c r="B8" s="8"/>
      <c r="C8" s="160" t="s">
        <v>7</v>
      </c>
      <c r="D8" s="160"/>
      <c r="E8" s="160"/>
      <c r="F8" s="160"/>
      <c r="G8" s="160" t="s">
        <v>8</v>
      </c>
      <c r="H8" s="160"/>
      <c r="I8" s="160"/>
      <c r="J8" s="160"/>
      <c r="K8" s="160" t="s">
        <v>9</v>
      </c>
      <c r="L8" s="160"/>
      <c r="M8" s="160"/>
      <c r="N8" s="160"/>
      <c r="O8" s="160" t="s">
        <v>10</v>
      </c>
      <c r="P8" s="160"/>
      <c r="Q8" s="160"/>
      <c r="R8" s="160"/>
      <c r="S8" s="160"/>
      <c r="T8" s="160"/>
      <c r="U8" s="160"/>
      <c r="V8" s="160"/>
      <c r="W8" s="160"/>
      <c r="X8" s="160"/>
      <c r="Y8" s="160" t="s">
        <v>11</v>
      </c>
      <c r="Z8" s="160"/>
      <c r="AA8" s="160"/>
      <c r="AB8" s="160"/>
      <c r="AC8" s="160"/>
      <c r="AD8" s="160"/>
      <c r="AE8" s="160"/>
      <c r="AF8" s="160"/>
      <c r="AG8" s="160"/>
      <c r="AH8" s="160"/>
      <c r="AI8" s="160"/>
      <c r="AJ8" s="160"/>
      <c r="AK8" s="160"/>
      <c r="AL8" s="160"/>
      <c r="AM8" s="160"/>
      <c r="AN8" s="160"/>
      <c r="AO8" s="160"/>
      <c r="AP8" s="160"/>
      <c r="AQ8" s="160"/>
      <c r="AR8" s="160"/>
      <c r="AS8" s="160"/>
      <c r="AT8" s="160"/>
      <c r="AU8" s="160"/>
      <c r="AV8" s="160"/>
      <c r="AW8" s="160"/>
      <c r="AX8" s="160"/>
      <c r="AY8" s="160"/>
      <c r="AZ8" s="160"/>
      <c r="BA8" s="160"/>
      <c r="BB8" s="160"/>
      <c r="BC8" s="160"/>
      <c r="BD8" s="160"/>
      <c r="BE8" s="160"/>
      <c r="BF8" s="160"/>
      <c r="BG8" s="160"/>
      <c r="BH8" s="160"/>
      <c r="BI8" s="160"/>
      <c r="BJ8" s="160"/>
      <c r="BK8" s="160"/>
      <c r="BL8" s="160"/>
      <c r="BM8" s="8"/>
      <c r="BN8" s="15"/>
    </row>
    <row r="9" spans="1:66" ht="20.100000000000001" customHeight="1" x14ac:dyDescent="0.45">
      <c r="A9" s="9"/>
      <c r="B9" s="8"/>
      <c r="C9" s="163">
        <v>45628</v>
      </c>
      <c r="D9" s="164"/>
      <c r="E9" s="164"/>
      <c r="F9" s="165"/>
      <c r="G9" s="166" t="s">
        <v>20</v>
      </c>
      <c r="H9" s="167"/>
      <c r="I9" s="167"/>
      <c r="J9" s="168"/>
      <c r="K9" s="169"/>
      <c r="L9" s="164"/>
      <c r="M9" s="164"/>
      <c r="N9" s="165"/>
      <c r="O9" s="4" t="s">
        <v>14</v>
      </c>
      <c r="P9" s="5"/>
      <c r="Q9" s="5"/>
      <c r="R9" s="5"/>
      <c r="S9" s="5"/>
      <c r="T9" s="5"/>
      <c r="U9" s="5"/>
      <c r="V9" s="5"/>
      <c r="W9" s="5"/>
      <c r="X9" s="3"/>
      <c r="Y9" s="4" t="s">
        <v>13</v>
      </c>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3"/>
      <c r="BM9" s="8"/>
      <c r="BN9" s="15"/>
    </row>
    <row r="10" spans="1:66" ht="20.100000000000001" customHeight="1" x14ac:dyDescent="0.45">
      <c r="A10" s="9"/>
      <c r="B10" s="8"/>
      <c r="C10" s="163"/>
      <c r="D10" s="164"/>
      <c r="E10" s="164"/>
      <c r="F10" s="165"/>
      <c r="G10" s="166"/>
      <c r="H10" s="167"/>
      <c r="I10" s="167"/>
      <c r="J10" s="168"/>
      <c r="K10" s="169"/>
      <c r="L10" s="164"/>
      <c r="M10" s="164"/>
      <c r="N10" s="165"/>
      <c r="O10" s="4"/>
      <c r="P10" s="5"/>
      <c r="Q10" s="5"/>
      <c r="R10" s="5"/>
      <c r="S10" s="5"/>
      <c r="T10" s="5"/>
      <c r="U10" s="5"/>
      <c r="V10" s="5"/>
      <c r="W10" s="5"/>
      <c r="X10" s="3"/>
      <c r="Y10" s="4"/>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3"/>
      <c r="BM10" s="8"/>
      <c r="BN10" s="15"/>
    </row>
    <row r="11" spans="1:66" ht="20.100000000000001" customHeight="1" x14ac:dyDescent="0.45">
      <c r="A11" s="9"/>
      <c r="B11" s="8"/>
      <c r="C11" s="163"/>
      <c r="D11" s="164"/>
      <c r="E11" s="164"/>
      <c r="F11" s="165"/>
      <c r="G11" s="166"/>
      <c r="H11" s="167"/>
      <c r="I11" s="167"/>
      <c r="J11" s="168"/>
      <c r="K11" s="169"/>
      <c r="L11" s="164"/>
      <c r="M11" s="164"/>
      <c r="N11" s="165"/>
      <c r="O11" s="4"/>
      <c r="P11" s="5"/>
      <c r="Q11" s="5"/>
      <c r="R11" s="5"/>
      <c r="S11" s="5"/>
      <c r="T11" s="5"/>
      <c r="U11" s="5"/>
      <c r="V11" s="5"/>
      <c r="W11" s="5"/>
      <c r="X11" s="3"/>
      <c r="Y11" s="4"/>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3"/>
      <c r="BM11" s="8"/>
      <c r="BN11" s="15"/>
    </row>
    <row r="12" spans="1:66" ht="20.100000000000001" customHeight="1" x14ac:dyDescent="0.45">
      <c r="A12" s="9"/>
      <c r="B12" s="8"/>
      <c r="C12" s="27"/>
      <c r="D12" s="25"/>
      <c r="E12" s="25"/>
      <c r="F12" s="26"/>
      <c r="G12" s="21"/>
      <c r="H12" s="22"/>
      <c r="I12" s="22"/>
      <c r="J12" s="23"/>
      <c r="K12" s="24"/>
      <c r="L12" s="25"/>
      <c r="M12" s="25"/>
      <c r="N12" s="26"/>
      <c r="O12" s="28"/>
      <c r="P12" s="5"/>
      <c r="Q12" s="5"/>
      <c r="R12" s="5"/>
      <c r="S12" s="5"/>
      <c r="T12" s="5"/>
      <c r="U12" s="5"/>
      <c r="V12" s="5"/>
      <c r="W12" s="5"/>
      <c r="X12" s="29"/>
      <c r="Y12" s="28"/>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29"/>
      <c r="BM12" s="8"/>
      <c r="BN12" s="15"/>
    </row>
    <row r="13" spans="1:66" ht="20.100000000000001" customHeight="1" x14ac:dyDescent="0.45">
      <c r="A13" s="9"/>
      <c r="B13" s="8"/>
      <c r="C13" s="27"/>
      <c r="D13" s="25"/>
      <c r="E13" s="25"/>
      <c r="F13" s="26"/>
      <c r="G13" s="21"/>
      <c r="H13" s="22"/>
      <c r="I13" s="22"/>
      <c r="J13" s="23"/>
      <c r="K13" s="24"/>
      <c r="L13" s="25"/>
      <c r="M13" s="25"/>
      <c r="N13" s="26"/>
      <c r="O13" s="28"/>
      <c r="P13" s="5"/>
      <c r="Q13" s="5"/>
      <c r="R13" s="5"/>
      <c r="S13" s="5"/>
      <c r="T13" s="5"/>
      <c r="U13" s="5"/>
      <c r="V13" s="5"/>
      <c r="W13" s="5"/>
      <c r="X13" s="29"/>
      <c r="Y13" s="28"/>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29"/>
      <c r="BM13" s="8"/>
      <c r="BN13" s="15"/>
    </row>
    <row r="14" spans="1:66" ht="20.100000000000001" customHeight="1" x14ac:dyDescent="0.45">
      <c r="A14" s="9"/>
      <c r="B14" s="8"/>
      <c r="C14" s="27"/>
      <c r="D14" s="25"/>
      <c r="E14" s="25"/>
      <c r="F14" s="26"/>
      <c r="G14" s="21"/>
      <c r="H14" s="22"/>
      <c r="I14" s="22"/>
      <c r="J14" s="23"/>
      <c r="K14" s="24"/>
      <c r="L14" s="25"/>
      <c r="M14" s="25"/>
      <c r="N14" s="26"/>
      <c r="O14" s="28"/>
      <c r="P14" s="5"/>
      <c r="Q14" s="5"/>
      <c r="R14" s="5"/>
      <c r="S14" s="5"/>
      <c r="T14" s="5"/>
      <c r="U14" s="5"/>
      <c r="V14" s="5"/>
      <c r="W14" s="5"/>
      <c r="X14" s="29"/>
      <c r="Y14" s="28"/>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29"/>
      <c r="BM14" s="8"/>
      <c r="BN14" s="15"/>
    </row>
    <row r="15" spans="1:66" ht="20.100000000000001" customHeight="1" x14ac:dyDescent="0.45">
      <c r="A15" s="9"/>
      <c r="B15" s="8"/>
      <c r="C15" s="27"/>
      <c r="D15" s="25"/>
      <c r="E15" s="25"/>
      <c r="F15" s="26"/>
      <c r="G15" s="21"/>
      <c r="H15" s="22"/>
      <c r="I15" s="22"/>
      <c r="J15" s="23"/>
      <c r="K15" s="24"/>
      <c r="L15" s="25"/>
      <c r="M15" s="25"/>
      <c r="N15" s="26"/>
      <c r="O15" s="28"/>
      <c r="P15" s="5"/>
      <c r="Q15" s="5"/>
      <c r="R15" s="5"/>
      <c r="S15" s="5"/>
      <c r="T15" s="5"/>
      <c r="U15" s="5"/>
      <c r="V15" s="5"/>
      <c r="W15" s="5"/>
      <c r="X15" s="29"/>
      <c r="Y15" s="28"/>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29"/>
      <c r="BM15" s="8"/>
      <c r="BN15" s="15"/>
    </row>
    <row r="16" spans="1:66" ht="20.100000000000001" customHeight="1" x14ac:dyDescent="0.45">
      <c r="A16" s="9"/>
      <c r="B16" s="8"/>
      <c r="C16" s="27"/>
      <c r="D16" s="25"/>
      <c r="E16" s="25"/>
      <c r="F16" s="26"/>
      <c r="G16" s="21"/>
      <c r="H16" s="22"/>
      <c r="I16" s="22"/>
      <c r="J16" s="23"/>
      <c r="K16" s="24"/>
      <c r="L16" s="25"/>
      <c r="M16" s="25"/>
      <c r="N16" s="26"/>
      <c r="O16" s="28"/>
      <c r="P16" s="5"/>
      <c r="Q16" s="5"/>
      <c r="R16" s="5"/>
      <c r="S16" s="5"/>
      <c r="T16" s="5"/>
      <c r="U16" s="5"/>
      <c r="V16" s="5"/>
      <c r="W16" s="5"/>
      <c r="X16" s="29"/>
      <c r="Y16" s="28"/>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29"/>
      <c r="BM16" s="8"/>
      <c r="BN16" s="15"/>
    </row>
    <row r="17" spans="1:66" ht="20.100000000000001" customHeight="1" x14ac:dyDescent="0.45">
      <c r="A17" s="9"/>
      <c r="B17" s="8"/>
      <c r="C17" s="27"/>
      <c r="D17" s="25"/>
      <c r="E17" s="25"/>
      <c r="F17" s="26"/>
      <c r="G17" s="21"/>
      <c r="H17" s="22"/>
      <c r="I17" s="22"/>
      <c r="J17" s="23"/>
      <c r="K17" s="24"/>
      <c r="L17" s="25"/>
      <c r="M17" s="25"/>
      <c r="N17" s="26"/>
      <c r="O17" s="28"/>
      <c r="P17" s="5"/>
      <c r="Q17" s="5"/>
      <c r="R17" s="5"/>
      <c r="S17" s="5"/>
      <c r="T17" s="5"/>
      <c r="U17" s="5"/>
      <c r="V17" s="5"/>
      <c r="W17" s="5"/>
      <c r="X17" s="29"/>
      <c r="Y17" s="28"/>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29"/>
      <c r="BM17" s="8"/>
      <c r="BN17" s="15"/>
    </row>
    <row r="18" spans="1:66" ht="20.100000000000001" customHeight="1" x14ac:dyDescent="0.45">
      <c r="A18" s="9"/>
      <c r="B18" s="8"/>
      <c r="C18" s="27"/>
      <c r="D18" s="25"/>
      <c r="E18" s="25"/>
      <c r="F18" s="26"/>
      <c r="G18" s="21"/>
      <c r="H18" s="22"/>
      <c r="I18" s="22"/>
      <c r="J18" s="23"/>
      <c r="K18" s="24"/>
      <c r="L18" s="25"/>
      <c r="M18" s="25"/>
      <c r="N18" s="26"/>
      <c r="O18" s="28"/>
      <c r="P18" s="5"/>
      <c r="Q18" s="5"/>
      <c r="R18" s="5"/>
      <c r="S18" s="5"/>
      <c r="T18" s="5"/>
      <c r="U18" s="5"/>
      <c r="V18" s="5"/>
      <c r="W18" s="5"/>
      <c r="X18" s="29"/>
      <c r="Y18" s="28"/>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29"/>
      <c r="BM18" s="8"/>
      <c r="BN18" s="15"/>
    </row>
    <row r="19" spans="1:66" ht="20.100000000000001" customHeight="1" x14ac:dyDescent="0.45">
      <c r="A19" s="9"/>
      <c r="B19" s="8"/>
      <c r="C19" s="27"/>
      <c r="D19" s="25"/>
      <c r="E19" s="25"/>
      <c r="F19" s="26"/>
      <c r="G19" s="21"/>
      <c r="H19" s="22"/>
      <c r="I19" s="22"/>
      <c r="J19" s="23"/>
      <c r="K19" s="24"/>
      <c r="L19" s="25"/>
      <c r="M19" s="25"/>
      <c r="N19" s="26"/>
      <c r="O19" s="28"/>
      <c r="P19" s="5"/>
      <c r="Q19" s="5"/>
      <c r="R19" s="5"/>
      <c r="S19" s="5"/>
      <c r="T19" s="5"/>
      <c r="U19" s="5"/>
      <c r="V19" s="5"/>
      <c r="W19" s="5"/>
      <c r="X19" s="29"/>
      <c r="Y19" s="28"/>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29"/>
      <c r="BM19" s="8"/>
      <c r="BN19" s="15"/>
    </row>
    <row r="20" spans="1:66" ht="20.100000000000001" customHeight="1" x14ac:dyDescent="0.45">
      <c r="A20" s="9"/>
      <c r="B20" s="8"/>
      <c r="C20" s="27"/>
      <c r="D20" s="25"/>
      <c r="E20" s="25"/>
      <c r="F20" s="26"/>
      <c r="G20" s="21"/>
      <c r="H20" s="22"/>
      <c r="I20" s="22"/>
      <c r="J20" s="23"/>
      <c r="K20" s="24"/>
      <c r="L20" s="25"/>
      <c r="M20" s="25"/>
      <c r="N20" s="26"/>
      <c r="O20" s="28"/>
      <c r="P20" s="5"/>
      <c r="Q20" s="5"/>
      <c r="R20" s="5"/>
      <c r="S20" s="5"/>
      <c r="T20" s="5"/>
      <c r="U20" s="5"/>
      <c r="V20" s="5"/>
      <c r="W20" s="5"/>
      <c r="X20" s="29"/>
      <c r="Y20" s="28"/>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29"/>
      <c r="BM20" s="8"/>
      <c r="BN20" s="15"/>
    </row>
    <row r="21" spans="1:66" ht="20.100000000000001" customHeight="1" x14ac:dyDescent="0.45">
      <c r="A21" s="9"/>
      <c r="B21" s="8"/>
      <c r="C21" s="27"/>
      <c r="D21" s="25"/>
      <c r="E21" s="25"/>
      <c r="F21" s="26"/>
      <c r="G21" s="21"/>
      <c r="H21" s="22"/>
      <c r="I21" s="22"/>
      <c r="J21" s="23"/>
      <c r="K21" s="24"/>
      <c r="L21" s="25"/>
      <c r="M21" s="25"/>
      <c r="N21" s="26"/>
      <c r="O21" s="28"/>
      <c r="P21" s="5"/>
      <c r="Q21" s="5"/>
      <c r="R21" s="5"/>
      <c r="S21" s="5"/>
      <c r="T21" s="5"/>
      <c r="U21" s="5"/>
      <c r="V21" s="5"/>
      <c r="W21" s="5"/>
      <c r="X21" s="29"/>
      <c r="Y21" s="28"/>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29"/>
      <c r="BM21" s="8"/>
      <c r="BN21" s="15"/>
    </row>
    <row r="22" spans="1:66" ht="20.100000000000001" customHeight="1" x14ac:dyDescent="0.45">
      <c r="A22" s="9"/>
      <c r="B22" s="8"/>
      <c r="C22" s="27"/>
      <c r="D22" s="25"/>
      <c r="E22" s="25"/>
      <c r="F22" s="26"/>
      <c r="G22" s="21"/>
      <c r="H22" s="22"/>
      <c r="I22" s="22"/>
      <c r="J22" s="23"/>
      <c r="K22" s="24"/>
      <c r="L22" s="25"/>
      <c r="M22" s="25"/>
      <c r="N22" s="26"/>
      <c r="O22" s="28"/>
      <c r="P22" s="5"/>
      <c r="Q22" s="5"/>
      <c r="R22" s="5"/>
      <c r="S22" s="5"/>
      <c r="T22" s="5"/>
      <c r="U22" s="5"/>
      <c r="V22" s="5"/>
      <c r="W22" s="5"/>
      <c r="X22" s="29"/>
      <c r="Y22" s="28"/>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29"/>
      <c r="BM22" s="8"/>
      <c r="BN22" s="15"/>
    </row>
    <row r="23" spans="1:66" ht="20.100000000000001" customHeight="1" x14ac:dyDescent="0.45">
      <c r="A23" s="9"/>
      <c r="B23" s="8"/>
      <c r="C23" s="27"/>
      <c r="D23" s="25"/>
      <c r="E23" s="25"/>
      <c r="F23" s="26"/>
      <c r="G23" s="21"/>
      <c r="H23" s="22"/>
      <c r="I23" s="22"/>
      <c r="J23" s="23"/>
      <c r="K23" s="24"/>
      <c r="L23" s="25"/>
      <c r="M23" s="25"/>
      <c r="N23" s="26"/>
      <c r="O23" s="28"/>
      <c r="P23" s="5"/>
      <c r="Q23" s="5"/>
      <c r="R23" s="5"/>
      <c r="S23" s="5"/>
      <c r="T23" s="5"/>
      <c r="U23" s="5"/>
      <c r="V23" s="5"/>
      <c r="W23" s="5"/>
      <c r="X23" s="29"/>
      <c r="Y23" s="28"/>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29"/>
      <c r="BM23" s="8"/>
      <c r="BN23" s="15"/>
    </row>
    <row r="24" spans="1:66" ht="20.100000000000001" customHeight="1" x14ac:dyDescent="0.45">
      <c r="A24" s="9"/>
      <c r="B24" s="8"/>
      <c r="C24" s="27"/>
      <c r="D24" s="25"/>
      <c r="E24" s="25"/>
      <c r="F24" s="26"/>
      <c r="G24" s="21"/>
      <c r="H24" s="22"/>
      <c r="I24" s="22"/>
      <c r="J24" s="23"/>
      <c r="K24" s="24"/>
      <c r="L24" s="25"/>
      <c r="M24" s="25"/>
      <c r="N24" s="26"/>
      <c r="O24" s="28"/>
      <c r="P24" s="5"/>
      <c r="Q24" s="5"/>
      <c r="R24" s="5"/>
      <c r="S24" s="5"/>
      <c r="T24" s="5"/>
      <c r="U24" s="5"/>
      <c r="V24" s="5"/>
      <c r="W24" s="5"/>
      <c r="X24" s="29"/>
      <c r="Y24" s="28"/>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29"/>
      <c r="BM24" s="8"/>
      <c r="BN24" s="15"/>
    </row>
    <row r="25" spans="1:66" ht="20.100000000000001" customHeight="1" x14ac:dyDescent="0.45">
      <c r="A25" s="9"/>
      <c r="B25" s="8"/>
      <c r="C25" s="27"/>
      <c r="D25" s="25"/>
      <c r="E25" s="25"/>
      <c r="F25" s="26"/>
      <c r="G25" s="21"/>
      <c r="H25" s="22"/>
      <c r="I25" s="22"/>
      <c r="J25" s="23"/>
      <c r="K25" s="24"/>
      <c r="L25" s="25"/>
      <c r="M25" s="25"/>
      <c r="N25" s="26"/>
      <c r="O25" s="28"/>
      <c r="P25" s="5"/>
      <c r="Q25" s="5"/>
      <c r="R25" s="5"/>
      <c r="S25" s="5"/>
      <c r="T25" s="5"/>
      <c r="U25" s="5"/>
      <c r="V25" s="5"/>
      <c r="W25" s="5"/>
      <c r="X25" s="29"/>
      <c r="Y25" s="28"/>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29"/>
      <c r="BM25" s="8"/>
      <c r="BN25" s="15"/>
    </row>
    <row r="26" spans="1:66" ht="20.100000000000001" customHeight="1" x14ac:dyDescent="0.45">
      <c r="A26" s="9"/>
      <c r="B26" s="8"/>
      <c r="C26" s="27"/>
      <c r="D26" s="25"/>
      <c r="E26" s="25"/>
      <c r="F26" s="26"/>
      <c r="G26" s="21"/>
      <c r="H26" s="22"/>
      <c r="I26" s="22"/>
      <c r="J26" s="23"/>
      <c r="K26" s="24"/>
      <c r="L26" s="25"/>
      <c r="M26" s="25"/>
      <c r="N26" s="26"/>
      <c r="O26" s="28"/>
      <c r="P26" s="5"/>
      <c r="Q26" s="5"/>
      <c r="R26" s="5"/>
      <c r="S26" s="5"/>
      <c r="T26" s="5"/>
      <c r="U26" s="5"/>
      <c r="V26" s="5"/>
      <c r="W26" s="5"/>
      <c r="X26" s="29"/>
      <c r="Y26" s="28"/>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29"/>
      <c r="BM26" s="8"/>
      <c r="BN26" s="15"/>
    </row>
    <row r="27" spans="1:66" ht="20.100000000000001" customHeight="1" x14ac:dyDescent="0.45">
      <c r="A27" s="9"/>
      <c r="B27" s="8"/>
      <c r="C27" s="27"/>
      <c r="D27" s="25"/>
      <c r="E27" s="25"/>
      <c r="F27" s="26"/>
      <c r="G27" s="21"/>
      <c r="H27" s="22"/>
      <c r="I27" s="22"/>
      <c r="J27" s="23"/>
      <c r="K27" s="24"/>
      <c r="L27" s="25"/>
      <c r="M27" s="25"/>
      <c r="N27" s="26"/>
      <c r="O27" s="28"/>
      <c r="P27" s="5"/>
      <c r="Q27" s="5"/>
      <c r="R27" s="5"/>
      <c r="S27" s="5"/>
      <c r="T27" s="5"/>
      <c r="U27" s="5"/>
      <c r="V27" s="5"/>
      <c r="W27" s="5"/>
      <c r="X27" s="29"/>
      <c r="Y27" s="28"/>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29"/>
      <c r="BM27" s="8"/>
      <c r="BN27" s="15"/>
    </row>
    <row r="28" spans="1:66" ht="20.100000000000001" customHeight="1" x14ac:dyDescent="0.45">
      <c r="A28" s="9"/>
      <c r="B28" s="8"/>
      <c r="C28" s="27"/>
      <c r="D28" s="25"/>
      <c r="E28" s="25"/>
      <c r="F28" s="26"/>
      <c r="G28" s="21"/>
      <c r="H28" s="22"/>
      <c r="I28" s="22"/>
      <c r="J28" s="23"/>
      <c r="K28" s="24"/>
      <c r="L28" s="25"/>
      <c r="M28" s="25"/>
      <c r="N28" s="26"/>
      <c r="O28" s="28"/>
      <c r="P28" s="5"/>
      <c r="Q28" s="5"/>
      <c r="R28" s="5"/>
      <c r="S28" s="5"/>
      <c r="T28" s="5"/>
      <c r="U28" s="5"/>
      <c r="V28" s="5"/>
      <c r="W28" s="5"/>
      <c r="X28" s="29"/>
      <c r="Y28" s="28"/>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29"/>
      <c r="BM28" s="8"/>
      <c r="BN28" s="15"/>
    </row>
    <row r="29" spans="1:66" ht="20.100000000000001" customHeight="1" x14ac:dyDescent="0.45">
      <c r="A29" s="9"/>
      <c r="B29" s="8"/>
      <c r="C29" s="27"/>
      <c r="D29" s="25"/>
      <c r="E29" s="25"/>
      <c r="F29" s="26"/>
      <c r="G29" s="21"/>
      <c r="H29" s="22"/>
      <c r="I29" s="22"/>
      <c r="J29" s="23"/>
      <c r="K29" s="24"/>
      <c r="L29" s="25"/>
      <c r="M29" s="25"/>
      <c r="N29" s="26"/>
      <c r="O29" s="28"/>
      <c r="P29" s="5"/>
      <c r="Q29" s="5"/>
      <c r="R29" s="5"/>
      <c r="S29" s="5"/>
      <c r="T29" s="5"/>
      <c r="U29" s="5"/>
      <c r="V29" s="5"/>
      <c r="W29" s="5"/>
      <c r="X29" s="29"/>
      <c r="Y29" s="28"/>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29"/>
      <c r="BM29" s="8"/>
      <c r="BN29" s="15"/>
    </row>
    <row r="30" spans="1:66" ht="20.100000000000001" customHeight="1" x14ac:dyDescent="0.45">
      <c r="A30" s="9"/>
      <c r="B30" s="8"/>
      <c r="C30" s="27"/>
      <c r="D30" s="25"/>
      <c r="E30" s="25"/>
      <c r="F30" s="26"/>
      <c r="G30" s="21"/>
      <c r="H30" s="22"/>
      <c r="I30" s="22"/>
      <c r="J30" s="23"/>
      <c r="K30" s="24"/>
      <c r="L30" s="25"/>
      <c r="M30" s="25"/>
      <c r="N30" s="26"/>
      <c r="O30" s="28"/>
      <c r="P30" s="5"/>
      <c r="Q30" s="5"/>
      <c r="R30" s="5"/>
      <c r="S30" s="5"/>
      <c r="T30" s="5"/>
      <c r="U30" s="5"/>
      <c r="V30" s="5"/>
      <c r="W30" s="5"/>
      <c r="X30" s="29"/>
      <c r="Y30" s="28"/>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29"/>
      <c r="BM30" s="8"/>
      <c r="BN30" s="15"/>
    </row>
    <row r="31" spans="1:66" ht="20.100000000000001" customHeight="1" x14ac:dyDescent="0.45">
      <c r="A31" s="9"/>
      <c r="B31" s="8"/>
      <c r="C31" s="27"/>
      <c r="D31" s="25"/>
      <c r="E31" s="25"/>
      <c r="F31" s="26"/>
      <c r="G31" s="21"/>
      <c r="H31" s="22"/>
      <c r="I31" s="22"/>
      <c r="J31" s="23"/>
      <c r="K31" s="24"/>
      <c r="L31" s="25"/>
      <c r="M31" s="25"/>
      <c r="N31" s="26"/>
      <c r="O31" s="28"/>
      <c r="P31" s="5"/>
      <c r="Q31" s="5"/>
      <c r="R31" s="5"/>
      <c r="S31" s="5"/>
      <c r="T31" s="5"/>
      <c r="U31" s="5"/>
      <c r="V31" s="5"/>
      <c r="W31" s="5"/>
      <c r="X31" s="29"/>
      <c r="Y31" s="28"/>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29"/>
      <c r="BM31" s="8"/>
      <c r="BN31" s="15"/>
    </row>
    <row r="32" spans="1:66" ht="20.100000000000001" customHeight="1" x14ac:dyDescent="0.45">
      <c r="A32" s="9"/>
      <c r="B32" s="8"/>
      <c r="C32" s="27"/>
      <c r="D32" s="25"/>
      <c r="E32" s="25"/>
      <c r="F32" s="26"/>
      <c r="G32" s="21"/>
      <c r="H32" s="22"/>
      <c r="I32" s="22"/>
      <c r="J32" s="23"/>
      <c r="K32" s="24"/>
      <c r="L32" s="25"/>
      <c r="M32" s="25"/>
      <c r="N32" s="26"/>
      <c r="O32" s="28"/>
      <c r="P32" s="5"/>
      <c r="Q32" s="5"/>
      <c r="R32" s="5"/>
      <c r="S32" s="5"/>
      <c r="T32" s="5"/>
      <c r="U32" s="5"/>
      <c r="V32" s="5"/>
      <c r="W32" s="5"/>
      <c r="X32" s="29"/>
      <c r="Y32" s="28"/>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29"/>
      <c r="BM32" s="8"/>
      <c r="BN32" s="15"/>
    </row>
    <row r="33" spans="1:66" ht="20.100000000000001" customHeight="1" x14ac:dyDescent="0.45">
      <c r="A33" s="9"/>
      <c r="B33" s="8"/>
      <c r="C33" s="27"/>
      <c r="D33" s="25"/>
      <c r="E33" s="25"/>
      <c r="F33" s="26"/>
      <c r="G33" s="21"/>
      <c r="H33" s="22"/>
      <c r="I33" s="22"/>
      <c r="J33" s="23"/>
      <c r="K33" s="24"/>
      <c r="L33" s="25"/>
      <c r="M33" s="25"/>
      <c r="N33" s="26"/>
      <c r="O33" s="28"/>
      <c r="P33" s="5"/>
      <c r="Q33" s="5"/>
      <c r="R33" s="5"/>
      <c r="S33" s="5"/>
      <c r="T33" s="5"/>
      <c r="U33" s="5"/>
      <c r="V33" s="5"/>
      <c r="W33" s="5"/>
      <c r="X33" s="29"/>
      <c r="Y33" s="28"/>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29"/>
      <c r="BM33" s="8"/>
      <c r="BN33" s="15"/>
    </row>
    <row r="34" spans="1:66" ht="20.100000000000001" customHeight="1" x14ac:dyDescent="0.45">
      <c r="A34" s="9"/>
      <c r="B34" s="8"/>
      <c r="C34" s="27"/>
      <c r="D34" s="25"/>
      <c r="E34" s="25"/>
      <c r="F34" s="26"/>
      <c r="G34" s="21"/>
      <c r="H34" s="22"/>
      <c r="I34" s="22"/>
      <c r="J34" s="23"/>
      <c r="K34" s="24"/>
      <c r="L34" s="25"/>
      <c r="M34" s="25"/>
      <c r="N34" s="26"/>
      <c r="O34" s="28"/>
      <c r="P34" s="5"/>
      <c r="Q34" s="5"/>
      <c r="R34" s="5"/>
      <c r="S34" s="5"/>
      <c r="T34" s="5"/>
      <c r="U34" s="5"/>
      <c r="V34" s="5"/>
      <c r="W34" s="5"/>
      <c r="X34" s="29"/>
      <c r="Y34" s="28"/>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29"/>
      <c r="BM34" s="8"/>
      <c r="BN34" s="15"/>
    </row>
    <row r="35" spans="1:66" ht="20.100000000000001" customHeight="1" x14ac:dyDescent="0.45">
      <c r="A35" s="9"/>
      <c r="B35" s="8"/>
      <c r="C35" s="27"/>
      <c r="D35" s="25"/>
      <c r="E35" s="25"/>
      <c r="F35" s="26"/>
      <c r="G35" s="21"/>
      <c r="H35" s="22"/>
      <c r="I35" s="22"/>
      <c r="J35" s="23"/>
      <c r="K35" s="24"/>
      <c r="L35" s="25"/>
      <c r="M35" s="25"/>
      <c r="N35" s="26"/>
      <c r="O35" s="28"/>
      <c r="P35" s="5"/>
      <c r="Q35" s="5"/>
      <c r="R35" s="5"/>
      <c r="S35" s="5"/>
      <c r="T35" s="5"/>
      <c r="U35" s="5"/>
      <c r="V35" s="5"/>
      <c r="W35" s="5"/>
      <c r="X35" s="29"/>
      <c r="Y35" s="28"/>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29"/>
      <c r="BM35" s="8"/>
      <c r="BN35" s="15"/>
    </row>
    <row r="36" spans="1:66" ht="20.100000000000001" customHeight="1" x14ac:dyDescent="0.45">
      <c r="A36" s="9"/>
      <c r="B36" s="8"/>
      <c r="C36" s="163"/>
      <c r="D36" s="164"/>
      <c r="E36" s="164"/>
      <c r="F36" s="165"/>
      <c r="G36" s="166"/>
      <c r="H36" s="167"/>
      <c r="I36" s="167"/>
      <c r="J36" s="168"/>
      <c r="K36" s="169"/>
      <c r="L36" s="164"/>
      <c r="M36" s="164"/>
      <c r="N36" s="165"/>
      <c r="O36" s="4"/>
      <c r="P36" s="5"/>
      <c r="Q36" s="5"/>
      <c r="R36" s="5"/>
      <c r="S36" s="5"/>
      <c r="T36" s="5"/>
      <c r="U36" s="5"/>
      <c r="V36" s="5"/>
      <c r="W36" s="5"/>
      <c r="X36" s="3"/>
      <c r="Y36" s="4"/>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3"/>
      <c r="BM36" s="8"/>
      <c r="BN36" s="15"/>
    </row>
    <row r="37" spans="1:66" ht="20.100000000000001" customHeight="1" x14ac:dyDescent="0.45">
      <c r="A37" s="9"/>
      <c r="B37" s="8"/>
      <c r="C37" s="163"/>
      <c r="D37" s="164"/>
      <c r="E37" s="164"/>
      <c r="F37" s="165"/>
      <c r="G37" s="166"/>
      <c r="H37" s="167"/>
      <c r="I37" s="167"/>
      <c r="J37" s="168"/>
      <c r="K37" s="169"/>
      <c r="L37" s="164"/>
      <c r="M37" s="164"/>
      <c r="N37" s="165"/>
      <c r="O37" s="4"/>
      <c r="P37" s="5"/>
      <c r="Q37" s="5"/>
      <c r="R37" s="5"/>
      <c r="S37" s="5"/>
      <c r="T37" s="5"/>
      <c r="U37" s="5"/>
      <c r="V37" s="5"/>
      <c r="W37" s="5"/>
      <c r="X37" s="3"/>
      <c r="Y37" s="4"/>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3"/>
      <c r="BM37" s="8"/>
      <c r="BN37" s="15"/>
    </row>
    <row r="38" spans="1:66" ht="20.100000000000001" customHeight="1" x14ac:dyDescent="0.45">
      <c r="A38" s="9"/>
      <c r="B38" s="8"/>
      <c r="C38" s="163"/>
      <c r="D38" s="164"/>
      <c r="E38" s="164"/>
      <c r="F38" s="165"/>
      <c r="G38" s="166"/>
      <c r="H38" s="167"/>
      <c r="I38" s="167"/>
      <c r="J38" s="168"/>
      <c r="K38" s="169"/>
      <c r="L38" s="164"/>
      <c r="M38" s="164"/>
      <c r="N38" s="165"/>
      <c r="O38" s="4"/>
      <c r="P38" s="5"/>
      <c r="Q38" s="5"/>
      <c r="R38" s="5"/>
      <c r="S38" s="5"/>
      <c r="T38" s="5"/>
      <c r="U38" s="5"/>
      <c r="V38" s="5"/>
      <c r="W38" s="5"/>
      <c r="X38" s="3"/>
      <c r="Y38" s="4"/>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3"/>
      <c r="BM38" s="8"/>
      <c r="BN38" s="15"/>
    </row>
    <row r="39" spans="1:66" ht="20.100000000000001" customHeight="1" x14ac:dyDescent="0.45">
      <c r="A39" s="9"/>
      <c r="B39" s="8"/>
      <c r="C39" s="163"/>
      <c r="D39" s="164"/>
      <c r="E39" s="164"/>
      <c r="F39" s="165"/>
      <c r="G39" s="166"/>
      <c r="H39" s="167"/>
      <c r="I39" s="167"/>
      <c r="J39" s="168"/>
      <c r="K39" s="169"/>
      <c r="L39" s="164"/>
      <c r="M39" s="164"/>
      <c r="N39" s="165"/>
      <c r="O39" s="4"/>
      <c r="P39" s="5"/>
      <c r="Q39" s="5"/>
      <c r="R39" s="5"/>
      <c r="S39" s="5"/>
      <c r="T39" s="5"/>
      <c r="U39" s="5"/>
      <c r="V39" s="5"/>
      <c r="W39" s="5"/>
      <c r="X39" s="3"/>
      <c r="Y39" s="4"/>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3"/>
      <c r="BM39" s="8"/>
      <c r="BN39" s="15"/>
    </row>
    <row r="40" spans="1:66" ht="20.100000000000001" customHeight="1" x14ac:dyDescent="0.45">
      <c r="A40" s="9"/>
      <c r="B40" s="8"/>
      <c r="C40" s="163"/>
      <c r="D40" s="164"/>
      <c r="E40" s="164"/>
      <c r="F40" s="165"/>
      <c r="G40" s="166"/>
      <c r="H40" s="167"/>
      <c r="I40" s="167"/>
      <c r="J40" s="168"/>
      <c r="K40" s="169"/>
      <c r="L40" s="164"/>
      <c r="M40" s="164"/>
      <c r="N40" s="165"/>
      <c r="O40" s="4"/>
      <c r="P40" s="5"/>
      <c r="Q40" s="5"/>
      <c r="R40" s="5"/>
      <c r="S40" s="5"/>
      <c r="T40" s="5"/>
      <c r="U40" s="5"/>
      <c r="V40" s="5"/>
      <c r="W40" s="5"/>
      <c r="X40" s="3"/>
      <c r="Y40" s="4"/>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3"/>
      <c r="BM40" s="8"/>
      <c r="BN40" s="15"/>
    </row>
    <row r="41" spans="1:66" ht="20.100000000000001" customHeight="1" x14ac:dyDescent="0.45">
      <c r="A41" s="9"/>
      <c r="B41" s="8"/>
      <c r="C41" s="163"/>
      <c r="D41" s="164"/>
      <c r="E41" s="164"/>
      <c r="F41" s="165"/>
      <c r="G41" s="166"/>
      <c r="H41" s="167"/>
      <c r="I41" s="167"/>
      <c r="J41" s="168"/>
      <c r="K41" s="169"/>
      <c r="L41" s="164"/>
      <c r="M41" s="164"/>
      <c r="N41" s="165"/>
      <c r="O41" s="4"/>
      <c r="P41" s="5"/>
      <c r="Q41" s="5"/>
      <c r="R41" s="5"/>
      <c r="S41" s="5"/>
      <c r="T41" s="5"/>
      <c r="U41" s="5"/>
      <c r="V41" s="5"/>
      <c r="W41" s="5"/>
      <c r="X41" s="3"/>
      <c r="Y41" s="4"/>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3"/>
      <c r="BM41" s="8"/>
      <c r="BN41" s="15"/>
    </row>
    <row r="42" spans="1:66" ht="20.100000000000001" customHeight="1" x14ac:dyDescent="0.45">
      <c r="A42" s="9"/>
      <c r="B42" s="8"/>
      <c r="C42" s="163"/>
      <c r="D42" s="164"/>
      <c r="E42" s="164"/>
      <c r="F42" s="165"/>
      <c r="G42" s="166"/>
      <c r="H42" s="167"/>
      <c r="I42" s="167"/>
      <c r="J42" s="168"/>
      <c r="K42" s="169"/>
      <c r="L42" s="164"/>
      <c r="M42" s="164"/>
      <c r="N42" s="165"/>
      <c r="O42" s="4"/>
      <c r="P42" s="5"/>
      <c r="Q42" s="5"/>
      <c r="R42" s="5"/>
      <c r="S42" s="5"/>
      <c r="T42" s="5"/>
      <c r="U42" s="5"/>
      <c r="V42" s="5"/>
      <c r="W42" s="5"/>
      <c r="X42" s="3"/>
      <c r="Y42" s="4"/>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3"/>
      <c r="BM42" s="8"/>
      <c r="BN42" s="15"/>
    </row>
    <row r="43" spans="1:66" ht="20.100000000000001" customHeight="1" x14ac:dyDescent="0.45">
      <c r="A43" s="9"/>
      <c r="B43" s="8"/>
      <c r="C43" s="163"/>
      <c r="D43" s="164"/>
      <c r="E43" s="164"/>
      <c r="F43" s="165"/>
      <c r="G43" s="166"/>
      <c r="H43" s="167"/>
      <c r="I43" s="167"/>
      <c r="J43" s="168"/>
      <c r="K43" s="169"/>
      <c r="L43" s="164"/>
      <c r="M43" s="164"/>
      <c r="N43" s="165"/>
      <c r="O43" s="4"/>
      <c r="P43" s="5"/>
      <c r="Q43" s="5"/>
      <c r="R43" s="5"/>
      <c r="S43" s="5"/>
      <c r="T43" s="5"/>
      <c r="U43" s="5"/>
      <c r="V43" s="5"/>
      <c r="W43" s="5"/>
      <c r="X43" s="3"/>
      <c r="Y43" s="4"/>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3"/>
      <c r="BM43" s="8"/>
      <c r="BN43" s="15"/>
    </row>
    <row r="44" spans="1:66" ht="20.100000000000001" customHeight="1" x14ac:dyDescent="0.45">
      <c r="A44" s="9"/>
      <c r="B44" s="8"/>
      <c r="C44" s="163"/>
      <c r="D44" s="164"/>
      <c r="E44" s="164"/>
      <c r="F44" s="165"/>
      <c r="G44" s="166"/>
      <c r="H44" s="167"/>
      <c r="I44" s="167"/>
      <c r="J44" s="168"/>
      <c r="K44" s="169"/>
      <c r="L44" s="164"/>
      <c r="M44" s="164"/>
      <c r="N44" s="165"/>
      <c r="O44" s="4"/>
      <c r="P44" s="5"/>
      <c r="Q44" s="5"/>
      <c r="R44" s="5"/>
      <c r="S44" s="5"/>
      <c r="T44" s="5"/>
      <c r="U44" s="5"/>
      <c r="V44" s="5"/>
      <c r="W44" s="5"/>
      <c r="X44" s="3"/>
      <c r="Y44" s="4"/>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3"/>
      <c r="BM44" s="8"/>
      <c r="BN44" s="15"/>
    </row>
    <row r="45" spans="1:66" ht="20.100000000000001" customHeight="1" x14ac:dyDescent="0.45">
      <c r="A45" s="9"/>
      <c r="B45" s="8"/>
      <c r="C45" s="163"/>
      <c r="D45" s="164"/>
      <c r="E45" s="164"/>
      <c r="F45" s="165"/>
      <c r="G45" s="166"/>
      <c r="H45" s="167"/>
      <c r="I45" s="167"/>
      <c r="J45" s="168"/>
      <c r="K45" s="169"/>
      <c r="L45" s="164"/>
      <c r="M45" s="164"/>
      <c r="N45" s="165"/>
      <c r="O45" s="4"/>
      <c r="P45" s="5"/>
      <c r="Q45" s="5"/>
      <c r="R45" s="5"/>
      <c r="S45" s="5"/>
      <c r="T45" s="5"/>
      <c r="U45" s="5"/>
      <c r="V45" s="5"/>
      <c r="W45" s="5"/>
      <c r="X45" s="3"/>
      <c r="Y45" s="4"/>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3"/>
      <c r="BM45" s="8"/>
      <c r="BN45" s="15"/>
    </row>
    <row r="46" spans="1:66" ht="20.100000000000001" customHeight="1" x14ac:dyDescent="0.45">
      <c r="A46" s="9"/>
      <c r="B46" s="8"/>
      <c r="C46" s="163"/>
      <c r="D46" s="164"/>
      <c r="E46" s="164"/>
      <c r="F46" s="165"/>
      <c r="G46" s="166"/>
      <c r="H46" s="167"/>
      <c r="I46" s="167"/>
      <c r="J46" s="168"/>
      <c r="K46" s="169"/>
      <c r="L46" s="164"/>
      <c r="M46" s="164"/>
      <c r="N46" s="165"/>
      <c r="O46" s="4"/>
      <c r="P46" s="5"/>
      <c r="Q46" s="5"/>
      <c r="R46" s="5"/>
      <c r="S46" s="5"/>
      <c r="T46" s="5"/>
      <c r="U46" s="5"/>
      <c r="V46" s="5"/>
      <c r="W46" s="5"/>
      <c r="X46" s="3"/>
      <c r="Y46" s="4"/>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3"/>
      <c r="BM46" s="8"/>
      <c r="BN46" s="15"/>
    </row>
    <row r="47" spans="1:66" ht="20.100000000000001" customHeight="1" x14ac:dyDescent="0.45">
      <c r="A47" s="9"/>
      <c r="B47" s="8"/>
      <c r="C47" s="163"/>
      <c r="D47" s="164"/>
      <c r="E47" s="164"/>
      <c r="F47" s="165"/>
      <c r="G47" s="166"/>
      <c r="H47" s="167"/>
      <c r="I47" s="167"/>
      <c r="J47" s="168"/>
      <c r="K47" s="169"/>
      <c r="L47" s="164"/>
      <c r="M47" s="164"/>
      <c r="N47" s="165"/>
      <c r="O47" s="4"/>
      <c r="P47" s="5"/>
      <c r="Q47" s="5"/>
      <c r="R47" s="5"/>
      <c r="S47" s="5"/>
      <c r="T47" s="5"/>
      <c r="U47" s="5"/>
      <c r="V47" s="5"/>
      <c r="W47" s="5"/>
      <c r="X47" s="3"/>
      <c r="Y47" s="4"/>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3"/>
      <c r="BM47" s="8"/>
      <c r="BN47" s="15"/>
    </row>
    <row r="48" spans="1:66" ht="20.100000000000001" customHeight="1" thickBot="1" x14ac:dyDescent="0.5">
      <c r="A48" s="9"/>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15"/>
    </row>
    <row r="49" spans="2:65" ht="5.25" customHeight="1" thickTop="1" x14ac:dyDescent="0.45">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row>
  </sheetData>
  <mergeCells count="70">
    <mergeCell ref="G38:J38"/>
    <mergeCell ref="K38:N38"/>
    <mergeCell ref="C41:F41"/>
    <mergeCell ref="G41:J41"/>
    <mergeCell ref="K41:N41"/>
    <mergeCell ref="C39:F39"/>
    <mergeCell ref="G39:J39"/>
    <mergeCell ref="K39:N39"/>
    <mergeCell ref="C40:F40"/>
    <mergeCell ref="G40:J40"/>
    <mergeCell ref="K40:N40"/>
    <mergeCell ref="C46:F46"/>
    <mergeCell ref="G46:J46"/>
    <mergeCell ref="K46:N46"/>
    <mergeCell ref="C47:F47"/>
    <mergeCell ref="G47:J47"/>
    <mergeCell ref="K47:N47"/>
    <mergeCell ref="C45:F45"/>
    <mergeCell ref="G45:J45"/>
    <mergeCell ref="K45:N45"/>
    <mergeCell ref="C43:F43"/>
    <mergeCell ref="G43:J43"/>
    <mergeCell ref="K43:N43"/>
    <mergeCell ref="C44:F44"/>
    <mergeCell ref="G44:J44"/>
    <mergeCell ref="K44:N44"/>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9:F9"/>
    <mergeCell ref="G9:J9"/>
    <mergeCell ref="K9:N9"/>
    <mergeCell ref="C8:F8"/>
    <mergeCell ref="G8:J8"/>
    <mergeCell ref="K8:N8"/>
    <mergeCell ref="AX2:BA2"/>
    <mergeCell ref="BB2:BE2"/>
    <mergeCell ref="BF2:BI2"/>
    <mergeCell ref="BJ2:BM2"/>
    <mergeCell ref="O8:X8"/>
    <mergeCell ref="Y8:BL8"/>
    <mergeCell ref="AX3:BA4"/>
    <mergeCell ref="BB3:BE4"/>
    <mergeCell ref="BF3:BI4"/>
    <mergeCell ref="BJ3:BM4"/>
    <mergeCell ref="AK3:AW4"/>
    <mergeCell ref="AK2:AW2"/>
    <mergeCell ref="B3:G4"/>
    <mergeCell ref="H3:K4"/>
    <mergeCell ref="L3:Q4"/>
    <mergeCell ref="R3:W4"/>
    <mergeCell ref="X3:AJ4"/>
    <mergeCell ref="B2:G2"/>
    <mergeCell ref="H2:K2"/>
    <mergeCell ref="L2:Q2"/>
    <mergeCell ref="R2:W2"/>
    <mergeCell ref="X2:AJ2"/>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59"/>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44" t="s">
        <v>0</v>
      </c>
      <c r="C2" s="145"/>
      <c r="D2" s="145"/>
      <c r="E2" s="145"/>
      <c r="F2" s="145"/>
      <c r="G2" s="145"/>
      <c r="H2" s="145" t="s">
        <v>40</v>
      </c>
      <c r="I2" s="145"/>
      <c r="J2" s="145"/>
      <c r="K2" s="145"/>
      <c r="L2" s="145" t="s">
        <v>41</v>
      </c>
      <c r="M2" s="145"/>
      <c r="N2" s="145"/>
      <c r="O2" s="145"/>
      <c r="P2" s="145"/>
      <c r="Q2" s="145"/>
      <c r="R2" s="145" t="s">
        <v>1</v>
      </c>
      <c r="S2" s="145"/>
      <c r="T2" s="145"/>
      <c r="U2" s="145"/>
      <c r="V2" s="145"/>
      <c r="W2" s="145"/>
      <c r="X2" s="146" t="s">
        <v>2</v>
      </c>
      <c r="Y2" s="147"/>
      <c r="Z2" s="147"/>
      <c r="AA2" s="147"/>
      <c r="AB2" s="147"/>
      <c r="AC2" s="147"/>
      <c r="AD2" s="147"/>
      <c r="AE2" s="147"/>
      <c r="AF2" s="147"/>
      <c r="AG2" s="147"/>
      <c r="AH2" s="147"/>
      <c r="AI2" s="147"/>
      <c r="AJ2" s="148"/>
      <c r="AK2" s="146" t="s">
        <v>30</v>
      </c>
      <c r="AL2" s="147"/>
      <c r="AM2" s="147"/>
      <c r="AN2" s="147"/>
      <c r="AO2" s="147"/>
      <c r="AP2" s="147"/>
      <c r="AQ2" s="147"/>
      <c r="AR2" s="147"/>
      <c r="AS2" s="147"/>
      <c r="AT2" s="147"/>
      <c r="AU2" s="147"/>
      <c r="AV2" s="147"/>
      <c r="AW2" s="148"/>
      <c r="AX2" s="145" t="s">
        <v>4</v>
      </c>
      <c r="AY2" s="145"/>
      <c r="AZ2" s="145"/>
      <c r="BA2" s="145"/>
      <c r="BB2" s="145" t="s">
        <v>3</v>
      </c>
      <c r="BC2" s="145"/>
      <c r="BD2" s="145"/>
      <c r="BE2" s="145"/>
      <c r="BF2" s="145" t="s">
        <v>5</v>
      </c>
      <c r="BG2" s="145"/>
      <c r="BH2" s="145"/>
      <c r="BI2" s="145"/>
      <c r="BJ2" s="145" t="s">
        <v>6</v>
      </c>
      <c r="BK2" s="145"/>
      <c r="BL2" s="145"/>
      <c r="BM2" s="159"/>
      <c r="BN2" s="16"/>
    </row>
    <row r="3" spans="1:66" ht="20.100000000000001" customHeight="1" x14ac:dyDescent="0.45">
      <c r="A3" s="10"/>
      <c r="B3" s="149" t="str">
        <f>変更履歴!B3</f>
        <v>受発注システム</v>
      </c>
      <c r="C3" s="150"/>
      <c r="D3" s="150"/>
      <c r="E3" s="150"/>
      <c r="F3" s="150"/>
      <c r="G3" s="150"/>
      <c r="H3" s="150" t="str">
        <f ca="1">変更履歴!H3</f>
        <v>請求売掛</v>
      </c>
      <c r="I3" s="150"/>
      <c r="J3" s="150"/>
      <c r="K3" s="150"/>
      <c r="L3" s="150" t="str">
        <f>変更履歴!L3</f>
        <v>受発注</v>
      </c>
      <c r="M3" s="150"/>
      <c r="N3" s="150"/>
      <c r="O3" s="150"/>
      <c r="P3" s="150"/>
      <c r="Q3" s="150"/>
      <c r="R3" s="150" t="str">
        <f ca="1">変更履歴!R3</f>
        <v>結合試験項目</v>
      </c>
      <c r="S3" s="150"/>
      <c r="T3" s="150"/>
      <c r="U3" s="150"/>
      <c r="V3" s="150"/>
      <c r="W3" s="150"/>
      <c r="X3" s="154" t="str">
        <f ca="1">変更履歴!X3</f>
        <v>請求売掛_請求原価率表_結合試験項目</v>
      </c>
      <c r="Y3" s="155"/>
      <c r="Z3" s="155"/>
      <c r="AA3" s="155"/>
      <c r="AB3" s="155"/>
      <c r="AC3" s="155"/>
      <c r="AD3" s="155"/>
      <c r="AE3" s="155"/>
      <c r="AF3" s="155"/>
      <c r="AG3" s="155"/>
      <c r="AH3" s="155"/>
      <c r="AI3" s="155"/>
      <c r="AJ3" s="151"/>
      <c r="AK3" s="154" t="str">
        <f ca="1">変更履歴!AK3</f>
        <v>請求原価率表</v>
      </c>
      <c r="AL3" s="155"/>
      <c r="AM3" s="155"/>
      <c r="AN3" s="155"/>
      <c r="AO3" s="155"/>
      <c r="AP3" s="155"/>
      <c r="AQ3" s="155"/>
      <c r="AR3" s="155"/>
      <c r="AS3" s="155"/>
      <c r="AT3" s="155"/>
      <c r="AU3" s="155"/>
      <c r="AV3" s="155"/>
      <c r="AW3" s="151"/>
      <c r="AX3" s="161">
        <f>変更履歴!AX3</f>
        <v>45628</v>
      </c>
      <c r="AY3" s="161"/>
      <c r="AZ3" s="161"/>
      <c r="BA3" s="161"/>
      <c r="BB3" s="150" t="str">
        <f>変更履歴!BB3</f>
        <v>児玉</v>
      </c>
      <c r="BC3" s="150"/>
      <c r="BD3" s="150"/>
      <c r="BE3" s="150"/>
      <c r="BF3" s="161">
        <f>変更履歴!BF3</f>
        <v>45628</v>
      </c>
      <c r="BG3" s="161"/>
      <c r="BH3" s="161"/>
      <c r="BI3" s="161"/>
      <c r="BJ3" s="150" t="str">
        <f>変更履歴!BJ3</f>
        <v>児玉</v>
      </c>
      <c r="BK3" s="150"/>
      <c r="BL3" s="150"/>
      <c r="BM3" s="162"/>
      <c r="BN3" s="16"/>
    </row>
    <row r="4" spans="1:66" ht="20.100000000000001" customHeight="1" thickBot="1" x14ac:dyDescent="0.5">
      <c r="A4" s="10"/>
      <c r="B4" s="151"/>
      <c r="C4" s="152"/>
      <c r="D4" s="152"/>
      <c r="E4" s="152"/>
      <c r="F4" s="152"/>
      <c r="G4" s="152"/>
      <c r="H4" s="152"/>
      <c r="I4" s="152"/>
      <c r="J4" s="152"/>
      <c r="K4" s="152"/>
      <c r="L4" s="152"/>
      <c r="M4" s="152"/>
      <c r="N4" s="152"/>
      <c r="O4" s="152"/>
      <c r="P4" s="152"/>
      <c r="Q4" s="152"/>
      <c r="R4" s="152"/>
      <c r="S4" s="152"/>
      <c r="T4" s="152"/>
      <c r="U4" s="152"/>
      <c r="V4" s="152"/>
      <c r="W4" s="152"/>
      <c r="X4" s="156"/>
      <c r="Y4" s="157"/>
      <c r="Z4" s="157"/>
      <c r="AA4" s="157"/>
      <c r="AB4" s="157"/>
      <c r="AC4" s="157"/>
      <c r="AD4" s="157"/>
      <c r="AE4" s="157"/>
      <c r="AF4" s="157"/>
      <c r="AG4" s="157"/>
      <c r="AH4" s="157"/>
      <c r="AI4" s="157"/>
      <c r="AJ4" s="158"/>
      <c r="AK4" s="156"/>
      <c r="AL4" s="157"/>
      <c r="AM4" s="157"/>
      <c r="AN4" s="157"/>
      <c r="AO4" s="157"/>
      <c r="AP4" s="157"/>
      <c r="AQ4" s="157"/>
      <c r="AR4" s="157"/>
      <c r="AS4" s="157"/>
      <c r="AT4" s="157"/>
      <c r="AU4" s="157"/>
      <c r="AV4" s="157"/>
      <c r="AW4" s="158"/>
      <c r="AX4" s="199"/>
      <c r="AY4" s="199"/>
      <c r="AZ4" s="199"/>
      <c r="BA4" s="199"/>
      <c r="BB4" s="152"/>
      <c r="BC4" s="152"/>
      <c r="BD4" s="152"/>
      <c r="BE4" s="152"/>
      <c r="BF4" s="199"/>
      <c r="BG4" s="199"/>
      <c r="BH4" s="199"/>
      <c r="BI4" s="199"/>
      <c r="BJ4" s="152"/>
      <c r="BK4" s="152"/>
      <c r="BL4" s="152"/>
      <c r="BM4" s="154"/>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204" t="s">
        <v>32</v>
      </c>
      <c r="BF7" s="205"/>
      <c r="BG7" s="208" t="s">
        <v>31</v>
      </c>
      <c r="BH7" s="208"/>
      <c r="BI7" s="209" t="s">
        <v>33</v>
      </c>
      <c r="BJ7" s="210"/>
      <c r="BK7" s="209" t="s">
        <v>34</v>
      </c>
      <c r="BL7" s="194"/>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92" t="s">
        <v>35</v>
      </c>
      <c r="AP8" s="193"/>
      <c r="AQ8" s="193"/>
      <c r="AR8" s="193"/>
      <c r="AS8" s="193"/>
      <c r="AT8" s="194"/>
      <c r="AU8" s="192" t="s">
        <v>36</v>
      </c>
      <c r="AV8" s="193"/>
      <c r="AW8" s="193"/>
      <c r="AX8" s="193"/>
      <c r="AY8" s="193"/>
      <c r="AZ8" s="194"/>
      <c r="BE8" s="206"/>
      <c r="BF8" s="207"/>
      <c r="BG8" s="211">
        <f>COUNTA(C10:C56)</f>
        <v>47</v>
      </c>
      <c r="BH8" s="212"/>
      <c r="BI8" s="211">
        <f>COUNTIF(AS10:AT56,"OK")+COUNTIF(AY10:AZ56,"OK")</f>
        <v>47</v>
      </c>
      <c r="BJ8" s="212"/>
      <c r="BK8" s="211">
        <f>BG8-BI8</f>
        <v>0</v>
      </c>
      <c r="BL8" s="213"/>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95" t="s">
        <v>25</v>
      </c>
      <c r="AP9" s="196"/>
      <c r="AQ9" s="197" t="s">
        <v>26</v>
      </c>
      <c r="AR9" s="196"/>
      <c r="AS9" s="197" t="s">
        <v>29</v>
      </c>
      <c r="AT9" s="198"/>
      <c r="AU9" s="195" t="s">
        <v>25</v>
      </c>
      <c r="AV9" s="196"/>
      <c r="AW9" s="197" t="s">
        <v>26</v>
      </c>
      <c r="AX9" s="196"/>
      <c r="AY9" s="197" t="s">
        <v>29</v>
      </c>
      <c r="AZ9" s="198"/>
      <c r="BA9" s="200" t="s">
        <v>27</v>
      </c>
      <c r="BB9" s="193"/>
      <c r="BC9" s="193"/>
      <c r="BD9" s="193"/>
      <c r="BE9" s="193"/>
      <c r="BF9" s="193"/>
      <c r="BG9" s="193"/>
      <c r="BH9" s="193"/>
      <c r="BI9" s="193"/>
      <c r="BJ9" s="193"/>
      <c r="BK9" s="193"/>
      <c r="BL9" s="194"/>
      <c r="BM9" s="16"/>
      <c r="BN9" s="16"/>
    </row>
    <row r="10" spans="1:66" ht="29.4" customHeight="1" x14ac:dyDescent="0.45">
      <c r="A10" s="10"/>
      <c r="B10" s="10"/>
      <c r="C10" s="30">
        <f>ROW()-9</f>
        <v>1</v>
      </c>
      <c r="D10" s="179" t="s">
        <v>42</v>
      </c>
      <c r="E10" s="180"/>
      <c r="F10" s="180"/>
      <c r="G10" s="181"/>
      <c r="H10" s="179" t="s">
        <v>43</v>
      </c>
      <c r="I10" s="180"/>
      <c r="J10" s="180"/>
      <c r="K10" s="181"/>
      <c r="L10" s="176" t="s">
        <v>90</v>
      </c>
      <c r="M10" s="177"/>
      <c r="N10" s="177"/>
      <c r="O10" s="178"/>
      <c r="P10" s="176" t="s">
        <v>66</v>
      </c>
      <c r="Q10" s="177"/>
      <c r="R10" s="177"/>
      <c r="S10" s="177"/>
      <c r="T10" s="177"/>
      <c r="U10" s="177"/>
      <c r="V10" s="177"/>
      <c r="W10" s="178"/>
      <c r="X10" s="176" t="s">
        <v>99</v>
      </c>
      <c r="Y10" s="177"/>
      <c r="Z10" s="177"/>
      <c r="AA10" s="177"/>
      <c r="AB10" s="177"/>
      <c r="AC10" s="177"/>
      <c r="AD10" s="177"/>
      <c r="AE10" s="178"/>
      <c r="AF10" s="176"/>
      <c r="AG10" s="177"/>
      <c r="AH10" s="177"/>
      <c r="AI10" s="177"/>
      <c r="AJ10" s="177"/>
      <c r="AK10" s="177"/>
      <c r="AL10" s="177"/>
      <c r="AM10" s="177"/>
      <c r="AN10" s="191"/>
      <c r="AO10" s="171">
        <v>45681</v>
      </c>
      <c r="AP10" s="172"/>
      <c r="AQ10" s="169" t="s">
        <v>163</v>
      </c>
      <c r="AR10" s="165"/>
      <c r="AS10" s="169" t="s">
        <v>164</v>
      </c>
      <c r="AT10" s="170"/>
      <c r="AU10" s="171"/>
      <c r="AV10" s="172"/>
      <c r="AW10" s="169"/>
      <c r="AX10" s="165"/>
      <c r="AY10" s="169"/>
      <c r="AZ10" s="170"/>
      <c r="BA10" s="201"/>
      <c r="BB10" s="202"/>
      <c r="BC10" s="202"/>
      <c r="BD10" s="202"/>
      <c r="BE10" s="202"/>
      <c r="BF10" s="202"/>
      <c r="BG10" s="202"/>
      <c r="BH10" s="202"/>
      <c r="BI10" s="202"/>
      <c r="BJ10" s="202"/>
      <c r="BK10" s="202"/>
      <c r="BL10" s="203"/>
      <c r="BM10" s="16"/>
      <c r="BN10" s="16"/>
    </row>
    <row r="11" spans="1:66" ht="29.4" customHeight="1" x14ac:dyDescent="0.45">
      <c r="A11" s="10"/>
      <c r="B11" s="10"/>
      <c r="C11" s="122">
        <f t="shared" ref="C11:C56" si="0">ROW()-9</f>
        <v>2</v>
      </c>
      <c r="D11" s="88"/>
      <c r="E11" s="89"/>
      <c r="F11" s="89"/>
      <c r="G11" s="90"/>
      <c r="H11" s="88"/>
      <c r="I11" s="89"/>
      <c r="J11" s="89"/>
      <c r="K11" s="90"/>
      <c r="L11" s="176" t="s">
        <v>91</v>
      </c>
      <c r="M11" s="177"/>
      <c r="N11" s="177"/>
      <c r="O11" s="178"/>
      <c r="P11" s="176" t="s">
        <v>66</v>
      </c>
      <c r="Q11" s="177"/>
      <c r="R11" s="177"/>
      <c r="S11" s="177"/>
      <c r="T11" s="177"/>
      <c r="U11" s="177"/>
      <c r="V11" s="177"/>
      <c r="W11" s="178"/>
      <c r="X11" s="176" t="s">
        <v>99</v>
      </c>
      <c r="Y11" s="177"/>
      <c r="Z11" s="177"/>
      <c r="AA11" s="177"/>
      <c r="AB11" s="177"/>
      <c r="AC11" s="177"/>
      <c r="AD11" s="177"/>
      <c r="AE11" s="178"/>
      <c r="AF11" s="95"/>
      <c r="AG11" s="96"/>
      <c r="AH11" s="96"/>
      <c r="AI11" s="96"/>
      <c r="AJ11" s="96"/>
      <c r="AK11" s="96"/>
      <c r="AL11" s="96"/>
      <c r="AM11" s="96"/>
      <c r="AN11" s="97"/>
      <c r="AO11" s="171">
        <v>45681</v>
      </c>
      <c r="AP11" s="172"/>
      <c r="AQ11" s="169" t="s">
        <v>163</v>
      </c>
      <c r="AR11" s="165"/>
      <c r="AS11" s="169" t="s">
        <v>164</v>
      </c>
      <c r="AT11" s="170"/>
      <c r="AU11" s="98"/>
      <c r="AV11" s="99"/>
      <c r="AW11" s="86"/>
      <c r="AX11" s="87"/>
      <c r="AY11" s="86"/>
      <c r="AZ11" s="91"/>
      <c r="BA11" s="92"/>
      <c r="BB11" s="93"/>
      <c r="BC11" s="93"/>
      <c r="BD11" s="93"/>
      <c r="BE11" s="93"/>
      <c r="BF11" s="93"/>
      <c r="BG11" s="93"/>
      <c r="BH11" s="93"/>
      <c r="BI11" s="93"/>
      <c r="BJ11" s="93"/>
      <c r="BK11" s="93"/>
      <c r="BL11" s="94"/>
      <c r="BM11" s="16"/>
      <c r="BN11" s="16"/>
    </row>
    <row r="12" spans="1:66" ht="29.4" customHeight="1" x14ac:dyDescent="0.45">
      <c r="A12" s="10"/>
      <c r="B12" s="10"/>
      <c r="C12" s="122">
        <f t="shared" si="0"/>
        <v>3</v>
      </c>
      <c r="D12" s="88"/>
      <c r="E12" s="89"/>
      <c r="F12" s="89"/>
      <c r="G12" s="90"/>
      <c r="H12" s="88"/>
      <c r="I12" s="89"/>
      <c r="J12" s="89"/>
      <c r="K12" s="90"/>
      <c r="L12" s="176" t="s">
        <v>92</v>
      </c>
      <c r="M12" s="177"/>
      <c r="N12" s="177"/>
      <c r="O12" s="178"/>
      <c r="P12" s="176" t="s">
        <v>66</v>
      </c>
      <c r="Q12" s="177"/>
      <c r="R12" s="177"/>
      <c r="S12" s="177"/>
      <c r="T12" s="177"/>
      <c r="U12" s="177"/>
      <c r="V12" s="177"/>
      <c r="W12" s="178"/>
      <c r="X12" s="176" t="s">
        <v>99</v>
      </c>
      <c r="Y12" s="177"/>
      <c r="Z12" s="177"/>
      <c r="AA12" s="177"/>
      <c r="AB12" s="177"/>
      <c r="AC12" s="177"/>
      <c r="AD12" s="177"/>
      <c r="AE12" s="178"/>
      <c r="AF12" s="95"/>
      <c r="AG12" s="96"/>
      <c r="AH12" s="96"/>
      <c r="AI12" s="96"/>
      <c r="AJ12" s="96"/>
      <c r="AK12" s="96"/>
      <c r="AL12" s="96"/>
      <c r="AM12" s="96"/>
      <c r="AN12" s="97"/>
      <c r="AO12" s="171">
        <v>45681</v>
      </c>
      <c r="AP12" s="172"/>
      <c r="AQ12" s="169" t="s">
        <v>163</v>
      </c>
      <c r="AR12" s="165"/>
      <c r="AS12" s="169" t="s">
        <v>164</v>
      </c>
      <c r="AT12" s="170"/>
      <c r="AU12" s="98"/>
      <c r="AV12" s="99"/>
      <c r="AW12" s="86"/>
      <c r="AX12" s="87"/>
      <c r="AY12" s="86"/>
      <c r="AZ12" s="91"/>
      <c r="BA12" s="92"/>
      <c r="BB12" s="93"/>
      <c r="BC12" s="93"/>
      <c r="BD12" s="93"/>
      <c r="BE12" s="93"/>
      <c r="BF12" s="93"/>
      <c r="BG12" s="93"/>
      <c r="BH12" s="93"/>
      <c r="BI12" s="93"/>
      <c r="BJ12" s="93"/>
      <c r="BK12" s="93"/>
      <c r="BL12" s="94"/>
      <c r="BM12" s="16"/>
      <c r="BN12" s="16"/>
    </row>
    <row r="13" spans="1:66" ht="29.4" customHeight="1" x14ac:dyDescent="0.45">
      <c r="A13" s="10"/>
      <c r="B13" s="10"/>
      <c r="C13" s="122">
        <f t="shared" si="0"/>
        <v>4</v>
      </c>
      <c r="D13" s="88"/>
      <c r="E13" s="89"/>
      <c r="F13" s="89"/>
      <c r="G13" s="90"/>
      <c r="H13" s="88"/>
      <c r="I13" s="89"/>
      <c r="J13" s="89"/>
      <c r="K13" s="90"/>
      <c r="L13" s="176" t="s">
        <v>94</v>
      </c>
      <c r="M13" s="177"/>
      <c r="N13" s="177"/>
      <c r="O13" s="178"/>
      <c r="P13" s="176" t="s">
        <v>66</v>
      </c>
      <c r="Q13" s="177"/>
      <c r="R13" s="177"/>
      <c r="S13" s="177"/>
      <c r="T13" s="177"/>
      <c r="U13" s="177"/>
      <c r="V13" s="177"/>
      <c r="W13" s="178"/>
      <c r="X13" s="176" t="s">
        <v>99</v>
      </c>
      <c r="Y13" s="177"/>
      <c r="Z13" s="177"/>
      <c r="AA13" s="177"/>
      <c r="AB13" s="177"/>
      <c r="AC13" s="177"/>
      <c r="AD13" s="177"/>
      <c r="AE13" s="178"/>
      <c r="AF13" s="95"/>
      <c r="AG13" s="96"/>
      <c r="AH13" s="96"/>
      <c r="AI13" s="96"/>
      <c r="AJ13" s="96"/>
      <c r="AK13" s="96"/>
      <c r="AL13" s="96"/>
      <c r="AM13" s="96"/>
      <c r="AN13" s="97"/>
      <c r="AO13" s="171">
        <v>45681</v>
      </c>
      <c r="AP13" s="172"/>
      <c r="AQ13" s="169" t="s">
        <v>163</v>
      </c>
      <c r="AR13" s="165"/>
      <c r="AS13" s="169" t="s">
        <v>164</v>
      </c>
      <c r="AT13" s="170"/>
      <c r="AU13" s="98"/>
      <c r="AV13" s="99"/>
      <c r="AW13" s="86"/>
      <c r="AX13" s="87"/>
      <c r="AY13" s="86"/>
      <c r="AZ13" s="91"/>
      <c r="BA13" s="92"/>
      <c r="BB13" s="93"/>
      <c r="BC13" s="93"/>
      <c r="BD13" s="93"/>
      <c r="BE13" s="93"/>
      <c r="BF13" s="93"/>
      <c r="BG13" s="93"/>
      <c r="BH13" s="93"/>
      <c r="BI13" s="93"/>
      <c r="BJ13" s="93"/>
      <c r="BK13" s="93"/>
      <c r="BL13" s="94"/>
      <c r="BM13" s="16"/>
      <c r="BN13" s="16"/>
    </row>
    <row r="14" spans="1:66" ht="29.4" customHeight="1" x14ac:dyDescent="0.45">
      <c r="A14" s="10"/>
      <c r="B14" s="10"/>
      <c r="C14" s="122">
        <f t="shared" si="0"/>
        <v>5</v>
      </c>
      <c r="D14" s="88"/>
      <c r="E14" s="89"/>
      <c r="F14" s="89"/>
      <c r="G14" s="90"/>
      <c r="H14" s="88"/>
      <c r="I14" s="89"/>
      <c r="J14" s="89"/>
      <c r="K14" s="90"/>
      <c r="L14" s="176" t="s">
        <v>93</v>
      </c>
      <c r="M14" s="177"/>
      <c r="N14" s="177"/>
      <c r="O14" s="178"/>
      <c r="P14" s="176" t="s">
        <v>66</v>
      </c>
      <c r="Q14" s="177"/>
      <c r="R14" s="177"/>
      <c r="S14" s="177"/>
      <c r="T14" s="177"/>
      <c r="U14" s="177"/>
      <c r="V14" s="177"/>
      <c r="W14" s="178"/>
      <c r="X14" s="176" t="s">
        <v>99</v>
      </c>
      <c r="Y14" s="177"/>
      <c r="Z14" s="177"/>
      <c r="AA14" s="177"/>
      <c r="AB14" s="177"/>
      <c r="AC14" s="177"/>
      <c r="AD14" s="177"/>
      <c r="AE14" s="178"/>
      <c r="AF14" s="95"/>
      <c r="AG14" s="96"/>
      <c r="AH14" s="96"/>
      <c r="AI14" s="96"/>
      <c r="AJ14" s="96"/>
      <c r="AK14" s="96"/>
      <c r="AL14" s="96"/>
      <c r="AM14" s="96"/>
      <c r="AN14" s="97"/>
      <c r="AO14" s="171">
        <v>45681</v>
      </c>
      <c r="AP14" s="172"/>
      <c r="AQ14" s="169" t="s">
        <v>163</v>
      </c>
      <c r="AR14" s="165"/>
      <c r="AS14" s="169" t="s">
        <v>164</v>
      </c>
      <c r="AT14" s="170"/>
      <c r="AU14" s="98"/>
      <c r="AV14" s="99"/>
      <c r="AW14" s="86"/>
      <c r="AX14" s="87"/>
      <c r="AY14" s="86"/>
      <c r="AZ14" s="91"/>
      <c r="BA14" s="92"/>
      <c r="BB14" s="93"/>
      <c r="BC14" s="93"/>
      <c r="BD14" s="93"/>
      <c r="BE14" s="93"/>
      <c r="BF14" s="93"/>
      <c r="BG14" s="93"/>
      <c r="BH14" s="93"/>
      <c r="BI14" s="93"/>
      <c r="BJ14" s="93"/>
      <c r="BK14" s="93"/>
      <c r="BL14" s="94"/>
      <c r="BM14" s="16"/>
      <c r="BN14" s="16"/>
    </row>
    <row r="15" spans="1:66" ht="29.4" customHeight="1" x14ac:dyDescent="0.45">
      <c r="A15" s="10"/>
      <c r="B15" s="10"/>
      <c r="C15" s="122">
        <f t="shared" si="0"/>
        <v>6</v>
      </c>
      <c r="D15" s="88"/>
      <c r="E15" s="89"/>
      <c r="F15" s="89"/>
      <c r="G15" s="90"/>
      <c r="H15" s="88"/>
      <c r="I15" s="89"/>
      <c r="J15" s="89"/>
      <c r="K15" s="90"/>
      <c r="L15" s="176" t="s">
        <v>95</v>
      </c>
      <c r="M15" s="177"/>
      <c r="N15" s="177"/>
      <c r="O15" s="178"/>
      <c r="P15" s="176" t="s">
        <v>66</v>
      </c>
      <c r="Q15" s="177"/>
      <c r="R15" s="177"/>
      <c r="S15" s="177"/>
      <c r="T15" s="177"/>
      <c r="U15" s="177"/>
      <c r="V15" s="177"/>
      <c r="W15" s="178"/>
      <c r="X15" s="176" t="s">
        <v>99</v>
      </c>
      <c r="Y15" s="177"/>
      <c r="Z15" s="177"/>
      <c r="AA15" s="177"/>
      <c r="AB15" s="177"/>
      <c r="AC15" s="177"/>
      <c r="AD15" s="177"/>
      <c r="AE15" s="178"/>
      <c r="AF15" s="95"/>
      <c r="AG15" s="96"/>
      <c r="AH15" s="96"/>
      <c r="AI15" s="96"/>
      <c r="AJ15" s="96"/>
      <c r="AK15" s="96"/>
      <c r="AL15" s="96"/>
      <c r="AM15" s="96"/>
      <c r="AN15" s="97"/>
      <c r="AO15" s="171">
        <v>45681</v>
      </c>
      <c r="AP15" s="172"/>
      <c r="AQ15" s="169" t="s">
        <v>163</v>
      </c>
      <c r="AR15" s="165"/>
      <c r="AS15" s="169" t="s">
        <v>164</v>
      </c>
      <c r="AT15" s="170"/>
      <c r="AU15" s="98"/>
      <c r="AV15" s="99"/>
      <c r="AW15" s="86"/>
      <c r="AX15" s="87"/>
      <c r="AY15" s="86"/>
      <c r="AZ15" s="91"/>
      <c r="BA15" s="92"/>
      <c r="BB15" s="93"/>
      <c r="BC15" s="93"/>
      <c r="BD15" s="93"/>
      <c r="BE15" s="93"/>
      <c r="BF15" s="93"/>
      <c r="BG15" s="93"/>
      <c r="BH15" s="93"/>
      <c r="BI15" s="93"/>
      <c r="BJ15" s="93"/>
      <c r="BK15" s="93"/>
      <c r="BL15" s="94"/>
      <c r="BM15" s="16"/>
      <c r="BN15" s="16"/>
    </row>
    <row r="16" spans="1:66" ht="29.4" customHeight="1" x14ac:dyDescent="0.45">
      <c r="A16" s="10"/>
      <c r="B16" s="10"/>
      <c r="C16" s="122">
        <f t="shared" si="0"/>
        <v>7</v>
      </c>
      <c r="D16" s="88"/>
      <c r="E16" s="89"/>
      <c r="F16" s="89"/>
      <c r="G16" s="90"/>
      <c r="H16" s="88"/>
      <c r="I16" s="89"/>
      <c r="J16" s="89"/>
      <c r="K16" s="90"/>
      <c r="L16" s="176" t="s">
        <v>96</v>
      </c>
      <c r="M16" s="177"/>
      <c r="N16" s="177"/>
      <c r="O16" s="178"/>
      <c r="P16" s="176" t="s">
        <v>66</v>
      </c>
      <c r="Q16" s="177"/>
      <c r="R16" s="177"/>
      <c r="S16" s="177"/>
      <c r="T16" s="177"/>
      <c r="U16" s="177"/>
      <c r="V16" s="177"/>
      <c r="W16" s="178"/>
      <c r="X16" s="176" t="s">
        <v>99</v>
      </c>
      <c r="Y16" s="177"/>
      <c r="Z16" s="177"/>
      <c r="AA16" s="177"/>
      <c r="AB16" s="177"/>
      <c r="AC16" s="177"/>
      <c r="AD16" s="177"/>
      <c r="AE16" s="178"/>
      <c r="AF16" s="95"/>
      <c r="AG16" s="96"/>
      <c r="AH16" s="96"/>
      <c r="AI16" s="96"/>
      <c r="AJ16" s="96"/>
      <c r="AK16" s="96"/>
      <c r="AL16" s="96"/>
      <c r="AM16" s="96"/>
      <c r="AN16" s="97"/>
      <c r="AO16" s="171">
        <v>45681</v>
      </c>
      <c r="AP16" s="172"/>
      <c r="AQ16" s="169" t="s">
        <v>163</v>
      </c>
      <c r="AR16" s="165"/>
      <c r="AS16" s="169" t="s">
        <v>164</v>
      </c>
      <c r="AT16" s="170"/>
      <c r="AU16" s="98"/>
      <c r="AV16" s="99"/>
      <c r="AW16" s="86"/>
      <c r="AX16" s="87"/>
      <c r="AY16" s="86"/>
      <c r="AZ16" s="91"/>
      <c r="BA16" s="92"/>
      <c r="BB16" s="93"/>
      <c r="BC16" s="93"/>
      <c r="BD16" s="93"/>
      <c r="BE16" s="93"/>
      <c r="BF16" s="93"/>
      <c r="BG16" s="93"/>
      <c r="BH16" s="93"/>
      <c r="BI16" s="93"/>
      <c r="BJ16" s="93"/>
      <c r="BK16" s="93"/>
      <c r="BL16" s="94"/>
      <c r="BM16" s="16"/>
      <c r="BN16" s="16"/>
    </row>
    <row r="17" spans="1:66" ht="27.6" customHeight="1" x14ac:dyDescent="0.45">
      <c r="A17" s="10"/>
      <c r="B17" s="10"/>
      <c r="C17" s="122">
        <f t="shared" si="0"/>
        <v>8</v>
      </c>
      <c r="D17" s="214"/>
      <c r="E17" s="215"/>
      <c r="F17" s="215"/>
      <c r="G17" s="216"/>
      <c r="H17" s="214"/>
      <c r="I17" s="215"/>
      <c r="J17" s="215"/>
      <c r="K17" s="216"/>
      <c r="L17" s="176" t="s">
        <v>98</v>
      </c>
      <c r="M17" s="177"/>
      <c r="N17" s="177"/>
      <c r="O17" s="178"/>
      <c r="P17" s="176" t="s">
        <v>66</v>
      </c>
      <c r="Q17" s="177"/>
      <c r="R17" s="177"/>
      <c r="S17" s="177"/>
      <c r="T17" s="177"/>
      <c r="U17" s="177"/>
      <c r="V17" s="177"/>
      <c r="W17" s="178"/>
      <c r="X17" s="176" t="s">
        <v>89</v>
      </c>
      <c r="Y17" s="177"/>
      <c r="Z17" s="177"/>
      <c r="AA17" s="177"/>
      <c r="AB17" s="177"/>
      <c r="AC17" s="177"/>
      <c r="AD17" s="177"/>
      <c r="AE17" s="178"/>
      <c r="AF17" s="176"/>
      <c r="AG17" s="177"/>
      <c r="AH17" s="177"/>
      <c r="AI17" s="177"/>
      <c r="AJ17" s="177"/>
      <c r="AK17" s="177"/>
      <c r="AL17" s="177"/>
      <c r="AM17" s="177"/>
      <c r="AN17" s="191"/>
      <c r="AO17" s="171">
        <v>45681</v>
      </c>
      <c r="AP17" s="172"/>
      <c r="AQ17" s="169" t="s">
        <v>163</v>
      </c>
      <c r="AR17" s="165"/>
      <c r="AS17" s="169" t="s">
        <v>164</v>
      </c>
      <c r="AT17" s="170"/>
      <c r="AU17" s="171"/>
      <c r="AV17" s="172"/>
      <c r="AW17" s="169"/>
      <c r="AX17" s="165"/>
      <c r="AY17" s="169"/>
      <c r="AZ17" s="170"/>
      <c r="BA17" s="201"/>
      <c r="BB17" s="202"/>
      <c r="BC17" s="202"/>
      <c r="BD17" s="202"/>
      <c r="BE17" s="202"/>
      <c r="BF17" s="202"/>
      <c r="BG17" s="202"/>
      <c r="BH17" s="202"/>
      <c r="BI17" s="202"/>
      <c r="BJ17" s="202"/>
      <c r="BK17" s="202"/>
      <c r="BL17" s="203"/>
      <c r="BM17" s="16"/>
      <c r="BN17" s="16"/>
    </row>
    <row r="18" spans="1:66" ht="27.6" customHeight="1" x14ac:dyDescent="0.45">
      <c r="A18" s="10"/>
      <c r="B18" s="10"/>
      <c r="C18" s="122">
        <f t="shared" si="0"/>
        <v>9</v>
      </c>
      <c r="D18" s="80"/>
      <c r="E18" s="81"/>
      <c r="F18" s="81"/>
      <c r="G18" s="82"/>
      <c r="H18" s="80"/>
      <c r="I18" s="81"/>
      <c r="J18" s="81"/>
      <c r="K18" s="82"/>
      <c r="L18" s="176" t="s">
        <v>97</v>
      </c>
      <c r="M18" s="177"/>
      <c r="N18" s="177"/>
      <c r="O18" s="178"/>
      <c r="P18" s="176" t="s">
        <v>66</v>
      </c>
      <c r="Q18" s="177"/>
      <c r="R18" s="177"/>
      <c r="S18" s="177"/>
      <c r="T18" s="177"/>
      <c r="U18" s="177"/>
      <c r="V18" s="177"/>
      <c r="W18" s="178"/>
      <c r="X18" s="176" t="s">
        <v>89</v>
      </c>
      <c r="Y18" s="177"/>
      <c r="Z18" s="177"/>
      <c r="AA18" s="177"/>
      <c r="AB18" s="177"/>
      <c r="AC18" s="177"/>
      <c r="AD18" s="177"/>
      <c r="AE18" s="178"/>
      <c r="AF18" s="74"/>
      <c r="AG18" s="75"/>
      <c r="AH18" s="75"/>
      <c r="AI18" s="75"/>
      <c r="AJ18" s="75"/>
      <c r="AK18" s="75"/>
      <c r="AL18" s="75"/>
      <c r="AM18" s="75"/>
      <c r="AN18" s="76"/>
      <c r="AO18" s="171">
        <v>45681</v>
      </c>
      <c r="AP18" s="172"/>
      <c r="AQ18" s="169" t="s">
        <v>163</v>
      </c>
      <c r="AR18" s="165"/>
      <c r="AS18" s="169" t="s">
        <v>164</v>
      </c>
      <c r="AT18" s="170"/>
      <c r="AU18" s="77"/>
      <c r="AV18" s="78"/>
      <c r="AW18" s="73"/>
      <c r="AX18" s="72"/>
      <c r="AY18" s="73"/>
      <c r="AZ18" s="79"/>
      <c r="BA18" s="83"/>
      <c r="BB18" s="84"/>
      <c r="BC18" s="84"/>
      <c r="BD18" s="84"/>
      <c r="BE18" s="84"/>
      <c r="BF18" s="84"/>
      <c r="BG18" s="84"/>
      <c r="BH18" s="84"/>
      <c r="BI18" s="84"/>
      <c r="BJ18" s="84"/>
      <c r="BK18" s="84"/>
      <c r="BL18" s="85"/>
      <c r="BM18" s="16"/>
      <c r="BN18" s="16"/>
    </row>
    <row r="19" spans="1:66" ht="27.6" customHeight="1" x14ac:dyDescent="0.45">
      <c r="A19" s="10"/>
      <c r="B19" s="10"/>
      <c r="C19" s="122">
        <f t="shared" si="0"/>
        <v>10</v>
      </c>
      <c r="D19" s="88"/>
      <c r="E19" s="89"/>
      <c r="F19" s="89"/>
      <c r="G19" s="90"/>
      <c r="H19" s="88"/>
      <c r="I19" s="89"/>
      <c r="J19" s="89"/>
      <c r="K19" s="90"/>
      <c r="L19" s="176" t="s">
        <v>101</v>
      </c>
      <c r="M19" s="177"/>
      <c r="N19" s="177"/>
      <c r="O19" s="178"/>
      <c r="P19" s="176" t="s">
        <v>66</v>
      </c>
      <c r="Q19" s="177"/>
      <c r="R19" s="177"/>
      <c r="S19" s="177"/>
      <c r="T19" s="177"/>
      <c r="U19" s="177"/>
      <c r="V19" s="177"/>
      <c r="W19" s="178"/>
      <c r="X19" s="176" t="s">
        <v>100</v>
      </c>
      <c r="Y19" s="177"/>
      <c r="Z19" s="177"/>
      <c r="AA19" s="177"/>
      <c r="AB19" s="177"/>
      <c r="AC19" s="177"/>
      <c r="AD19" s="177"/>
      <c r="AE19" s="178"/>
      <c r="AF19" s="95"/>
      <c r="AG19" s="96"/>
      <c r="AH19" s="96"/>
      <c r="AI19" s="96"/>
      <c r="AJ19" s="96"/>
      <c r="AK19" s="96"/>
      <c r="AL19" s="96"/>
      <c r="AM19" s="96"/>
      <c r="AN19" s="97"/>
      <c r="AO19" s="171">
        <v>45681</v>
      </c>
      <c r="AP19" s="172"/>
      <c r="AQ19" s="169" t="s">
        <v>163</v>
      </c>
      <c r="AR19" s="165"/>
      <c r="AS19" s="169" t="s">
        <v>164</v>
      </c>
      <c r="AT19" s="170"/>
      <c r="AU19" s="98"/>
      <c r="AV19" s="99"/>
      <c r="AW19" s="86"/>
      <c r="AX19" s="87"/>
      <c r="AY19" s="86"/>
      <c r="AZ19" s="91"/>
      <c r="BA19" s="92"/>
      <c r="BB19" s="93"/>
      <c r="BC19" s="93"/>
      <c r="BD19" s="93"/>
      <c r="BE19" s="93"/>
      <c r="BF19" s="93"/>
      <c r="BG19" s="93"/>
      <c r="BH19" s="93"/>
      <c r="BI19" s="93"/>
      <c r="BJ19" s="93"/>
      <c r="BK19" s="93"/>
      <c r="BL19" s="94"/>
      <c r="BM19" s="16"/>
      <c r="BN19" s="16"/>
    </row>
    <row r="20" spans="1:66" ht="27.6" customHeight="1" x14ac:dyDescent="0.45">
      <c r="A20" s="10"/>
      <c r="B20" s="10"/>
      <c r="C20" s="122">
        <f t="shared" si="0"/>
        <v>11</v>
      </c>
      <c r="D20" s="88"/>
      <c r="E20" s="89"/>
      <c r="F20" s="89"/>
      <c r="G20" s="90"/>
      <c r="H20" s="88"/>
      <c r="I20" s="89"/>
      <c r="J20" s="89"/>
      <c r="K20" s="90"/>
      <c r="L20" s="176" t="s">
        <v>102</v>
      </c>
      <c r="M20" s="177"/>
      <c r="N20" s="177"/>
      <c r="O20" s="178"/>
      <c r="P20" s="176" t="s">
        <v>66</v>
      </c>
      <c r="Q20" s="177"/>
      <c r="R20" s="177"/>
      <c r="S20" s="177"/>
      <c r="T20" s="177"/>
      <c r="U20" s="177"/>
      <c r="V20" s="177"/>
      <c r="W20" s="178"/>
      <c r="X20" s="176" t="s">
        <v>100</v>
      </c>
      <c r="Y20" s="177"/>
      <c r="Z20" s="177"/>
      <c r="AA20" s="177"/>
      <c r="AB20" s="177"/>
      <c r="AC20" s="177"/>
      <c r="AD20" s="177"/>
      <c r="AE20" s="178"/>
      <c r="AF20" s="95"/>
      <c r="AG20" s="96"/>
      <c r="AH20" s="96"/>
      <c r="AI20" s="96"/>
      <c r="AJ20" s="96"/>
      <c r="AK20" s="96"/>
      <c r="AL20" s="96"/>
      <c r="AM20" s="96"/>
      <c r="AN20" s="97"/>
      <c r="AO20" s="171">
        <v>45681</v>
      </c>
      <c r="AP20" s="172"/>
      <c r="AQ20" s="169" t="s">
        <v>163</v>
      </c>
      <c r="AR20" s="165"/>
      <c r="AS20" s="169" t="s">
        <v>164</v>
      </c>
      <c r="AT20" s="170"/>
      <c r="AU20" s="98"/>
      <c r="AV20" s="99"/>
      <c r="AW20" s="86"/>
      <c r="AX20" s="87"/>
      <c r="AY20" s="86"/>
      <c r="AZ20" s="91"/>
      <c r="BA20" s="92"/>
      <c r="BB20" s="93"/>
      <c r="BC20" s="93"/>
      <c r="BD20" s="93"/>
      <c r="BE20" s="93"/>
      <c r="BF20" s="93"/>
      <c r="BG20" s="93"/>
      <c r="BH20" s="93"/>
      <c r="BI20" s="93"/>
      <c r="BJ20" s="93"/>
      <c r="BK20" s="93"/>
      <c r="BL20" s="94"/>
      <c r="BM20" s="16"/>
      <c r="BN20" s="16"/>
    </row>
    <row r="21" spans="1:66" ht="27.6" customHeight="1" x14ac:dyDescent="0.45">
      <c r="A21" s="10"/>
      <c r="B21" s="10"/>
      <c r="C21" s="122">
        <f t="shared" si="0"/>
        <v>12</v>
      </c>
      <c r="D21" s="88"/>
      <c r="E21" s="89"/>
      <c r="F21" s="89"/>
      <c r="G21" s="90"/>
      <c r="H21" s="88"/>
      <c r="I21" s="89"/>
      <c r="J21" s="89"/>
      <c r="K21" s="90"/>
      <c r="L21" s="176" t="s">
        <v>103</v>
      </c>
      <c r="M21" s="177"/>
      <c r="N21" s="177"/>
      <c r="O21" s="178"/>
      <c r="P21" s="176" t="s">
        <v>66</v>
      </c>
      <c r="Q21" s="177"/>
      <c r="R21" s="177"/>
      <c r="S21" s="177"/>
      <c r="T21" s="177"/>
      <c r="U21" s="177"/>
      <c r="V21" s="177"/>
      <c r="W21" s="178"/>
      <c r="X21" s="176" t="s">
        <v>100</v>
      </c>
      <c r="Y21" s="177"/>
      <c r="Z21" s="177"/>
      <c r="AA21" s="177"/>
      <c r="AB21" s="177"/>
      <c r="AC21" s="177"/>
      <c r="AD21" s="177"/>
      <c r="AE21" s="178"/>
      <c r="AF21" s="95"/>
      <c r="AG21" s="96"/>
      <c r="AH21" s="96"/>
      <c r="AI21" s="96"/>
      <c r="AJ21" s="96"/>
      <c r="AK21" s="96"/>
      <c r="AL21" s="96"/>
      <c r="AM21" s="96"/>
      <c r="AN21" s="97"/>
      <c r="AO21" s="171">
        <v>45681</v>
      </c>
      <c r="AP21" s="172"/>
      <c r="AQ21" s="169" t="s">
        <v>163</v>
      </c>
      <c r="AR21" s="165"/>
      <c r="AS21" s="169" t="s">
        <v>164</v>
      </c>
      <c r="AT21" s="170"/>
      <c r="AU21" s="98"/>
      <c r="AV21" s="99"/>
      <c r="AW21" s="86"/>
      <c r="AX21" s="87"/>
      <c r="AY21" s="86"/>
      <c r="AZ21" s="91"/>
      <c r="BA21" s="92"/>
      <c r="BB21" s="93"/>
      <c r="BC21" s="93"/>
      <c r="BD21" s="93"/>
      <c r="BE21" s="93"/>
      <c r="BF21" s="93"/>
      <c r="BG21" s="93"/>
      <c r="BH21" s="93"/>
      <c r="BI21" s="93"/>
      <c r="BJ21" s="93"/>
      <c r="BK21" s="93"/>
      <c r="BL21" s="94"/>
      <c r="BM21" s="16"/>
      <c r="BN21" s="16"/>
    </row>
    <row r="22" spans="1:66" ht="27.6" customHeight="1" x14ac:dyDescent="0.45">
      <c r="A22" s="10"/>
      <c r="B22" s="10"/>
      <c r="C22" s="122">
        <f t="shared" si="0"/>
        <v>13</v>
      </c>
      <c r="D22" s="88"/>
      <c r="E22" s="89"/>
      <c r="F22" s="89"/>
      <c r="G22" s="90"/>
      <c r="H22" s="88"/>
      <c r="I22" s="89"/>
      <c r="J22" s="89"/>
      <c r="K22" s="90"/>
      <c r="L22" s="176" t="s">
        <v>104</v>
      </c>
      <c r="M22" s="177"/>
      <c r="N22" s="177"/>
      <c r="O22" s="178"/>
      <c r="P22" s="176" t="s">
        <v>66</v>
      </c>
      <c r="Q22" s="177"/>
      <c r="R22" s="177"/>
      <c r="S22" s="177"/>
      <c r="T22" s="177"/>
      <c r="U22" s="177"/>
      <c r="V22" s="177"/>
      <c r="W22" s="178"/>
      <c r="X22" s="176" t="s">
        <v>100</v>
      </c>
      <c r="Y22" s="177"/>
      <c r="Z22" s="177"/>
      <c r="AA22" s="177"/>
      <c r="AB22" s="177"/>
      <c r="AC22" s="177"/>
      <c r="AD22" s="177"/>
      <c r="AE22" s="178"/>
      <c r="AF22" s="95"/>
      <c r="AG22" s="96"/>
      <c r="AH22" s="96"/>
      <c r="AI22" s="96"/>
      <c r="AJ22" s="96"/>
      <c r="AK22" s="96"/>
      <c r="AL22" s="96"/>
      <c r="AM22" s="96"/>
      <c r="AN22" s="97"/>
      <c r="AO22" s="171">
        <v>45681</v>
      </c>
      <c r="AP22" s="172"/>
      <c r="AQ22" s="169" t="s">
        <v>163</v>
      </c>
      <c r="AR22" s="165"/>
      <c r="AS22" s="169" t="s">
        <v>164</v>
      </c>
      <c r="AT22" s="170"/>
      <c r="AU22" s="98"/>
      <c r="AV22" s="99"/>
      <c r="AW22" s="86"/>
      <c r="AX22" s="87"/>
      <c r="AY22" s="86"/>
      <c r="AZ22" s="91"/>
      <c r="BA22" s="92"/>
      <c r="BB22" s="93"/>
      <c r="BC22" s="93"/>
      <c r="BD22" s="93"/>
      <c r="BE22" s="93"/>
      <c r="BF22" s="93"/>
      <c r="BG22" s="93"/>
      <c r="BH22" s="93"/>
      <c r="BI22" s="93"/>
      <c r="BJ22" s="93"/>
      <c r="BK22" s="93"/>
      <c r="BL22" s="94"/>
      <c r="BM22" s="16"/>
      <c r="BN22" s="16"/>
    </row>
    <row r="23" spans="1:66" ht="27.6" customHeight="1" x14ac:dyDescent="0.45">
      <c r="A23" s="10"/>
      <c r="B23" s="10"/>
      <c r="C23" s="122">
        <f t="shared" si="0"/>
        <v>14</v>
      </c>
      <c r="D23" s="88"/>
      <c r="E23" s="89"/>
      <c r="F23" s="89"/>
      <c r="G23" s="90"/>
      <c r="H23" s="88"/>
      <c r="I23" s="89"/>
      <c r="J23" s="89"/>
      <c r="K23" s="90"/>
      <c r="L23" s="176" t="s">
        <v>105</v>
      </c>
      <c r="M23" s="177"/>
      <c r="N23" s="177"/>
      <c r="O23" s="178"/>
      <c r="P23" s="176" t="s">
        <v>66</v>
      </c>
      <c r="Q23" s="177"/>
      <c r="R23" s="177"/>
      <c r="S23" s="177"/>
      <c r="T23" s="177"/>
      <c r="U23" s="177"/>
      <c r="V23" s="177"/>
      <c r="W23" s="178"/>
      <c r="X23" s="176" t="s">
        <v>100</v>
      </c>
      <c r="Y23" s="177"/>
      <c r="Z23" s="177"/>
      <c r="AA23" s="177"/>
      <c r="AB23" s="177"/>
      <c r="AC23" s="177"/>
      <c r="AD23" s="177"/>
      <c r="AE23" s="178"/>
      <c r="AF23" s="95"/>
      <c r="AG23" s="96"/>
      <c r="AH23" s="96"/>
      <c r="AI23" s="96"/>
      <c r="AJ23" s="96"/>
      <c r="AK23" s="96"/>
      <c r="AL23" s="96"/>
      <c r="AM23" s="96"/>
      <c r="AN23" s="97"/>
      <c r="AO23" s="171">
        <v>45681</v>
      </c>
      <c r="AP23" s="172"/>
      <c r="AQ23" s="169" t="s">
        <v>163</v>
      </c>
      <c r="AR23" s="165"/>
      <c r="AS23" s="169" t="s">
        <v>164</v>
      </c>
      <c r="AT23" s="170"/>
      <c r="AU23" s="98"/>
      <c r="AV23" s="99"/>
      <c r="AW23" s="86"/>
      <c r="AX23" s="87"/>
      <c r="AY23" s="86"/>
      <c r="AZ23" s="91"/>
      <c r="BA23" s="92"/>
      <c r="BB23" s="93"/>
      <c r="BC23" s="93"/>
      <c r="BD23" s="93"/>
      <c r="BE23" s="93"/>
      <c r="BF23" s="93"/>
      <c r="BG23" s="93"/>
      <c r="BH23" s="93"/>
      <c r="BI23" s="93"/>
      <c r="BJ23" s="93"/>
      <c r="BK23" s="93"/>
      <c r="BL23" s="94"/>
      <c r="BM23" s="16"/>
      <c r="BN23" s="16"/>
    </row>
    <row r="24" spans="1:66" ht="27.6" customHeight="1" x14ac:dyDescent="0.45">
      <c r="A24" s="10"/>
      <c r="B24" s="10"/>
      <c r="C24" s="122">
        <f t="shared" si="0"/>
        <v>15</v>
      </c>
      <c r="D24" s="88"/>
      <c r="E24" s="89"/>
      <c r="F24" s="89"/>
      <c r="G24" s="90"/>
      <c r="H24" s="88"/>
      <c r="I24" s="89"/>
      <c r="J24" s="89"/>
      <c r="K24" s="90"/>
      <c r="L24" s="176" t="s">
        <v>93</v>
      </c>
      <c r="M24" s="177"/>
      <c r="N24" s="177"/>
      <c r="O24" s="178"/>
      <c r="P24" s="176" t="s">
        <v>66</v>
      </c>
      <c r="Q24" s="177"/>
      <c r="R24" s="177"/>
      <c r="S24" s="177"/>
      <c r="T24" s="177"/>
      <c r="U24" s="177"/>
      <c r="V24" s="177"/>
      <c r="W24" s="178"/>
      <c r="X24" s="176" t="s">
        <v>100</v>
      </c>
      <c r="Y24" s="177"/>
      <c r="Z24" s="177"/>
      <c r="AA24" s="177"/>
      <c r="AB24" s="177"/>
      <c r="AC24" s="177"/>
      <c r="AD24" s="177"/>
      <c r="AE24" s="178"/>
      <c r="AF24" s="95"/>
      <c r="AG24" s="96"/>
      <c r="AH24" s="96"/>
      <c r="AI24" s="96"/>
      <c r="AJ24" s="96"/>
      <c r="AK24" s="96"/>
      <c r="AL24" s="96"/>
      <c r="AM24" s="96"/>
      <c r="AN24" s="97"/>
      <c r="AO24" s="171">
        <v>45681</v>
      </c>
      <c r="AP24" s="172"/>
      <c r="AQ24" s="169" t="s">
        <v>163</v>
      </c>
      <c r="AR24" s="165"/>
      <c r="AS24" s="169" t="s">
        <v>164</v>
      </c>
      <c r="AT24" s="170"/>
      <c r="AU24" s="98"/>
      <c r="AV24" s="99"/>
      <c r="AW24" s="86"/>
      <c r="AX24" s="87"/>
      <c r="AY24" s="86"/>
      <c r="AZ24" s="91"/>
      <c r="BA24" s="92"/>
      <c r="BB24" s="93"/>
      <c r="BC24" s="93"/>
      <c r="BD24" s="93"/>
      <c r="BE24" s="93"/>
      <c r="BF24" s="93"/>
      <c r="BG24" s="93"/>
      <c r="BH24" s="93"/>
      <c r="BI24" s="93"/>
      <c r="BJ24" s="93"/>
      <c r="BK24" s="93"/>
      <c r="BL24" s="94"/>
      <c r="BM24" s="16"/>
      <c r="BN24" s="16"/>
    </row>
    <row r="25" spans="1:66" ht="27.6" customHeight="1" x14ac:dyDescent="0.45">
      <c r="A25" s="10"/>
      <c r="B25" s="10"/>
      <c r="C25" s="122">
        <f t="shared" si="0"/>
        <v>16</v>
      </c>
      <c r="D25" s="88"/>
      <c r="E25" s="89"/>
      <c r="F25" s="89"/>
      <c r="G25" s="90"/>
      <c r="H25" s="88"/>
      <c r="I25" s="89"/>
      <c r="J25" s="89"/>
      <c r="K25" s="90"/>
      <c r="L25" s="176" t="s">
        <v>106</v>
      </c>
      <c r="M25" s="177"/>
      <c r="N25" s="177"/>
      <c r="O25" s="178"/>
      <c r="P25" s="176" t="s">
        <v>66</v>
      </c>
      <c r="Q25" s="177"/>
      <c r="R25" s="177"/>
      <c r="S25" s="177"/>
      <c r="T25" s="177"/>
      <c r="U25" s="177"/>
      <c r="V25" s="177"/>
      <c r="W25" s="178"/>
      <c r="X25" s="176" t="s">
        <v>100</v>
      </c>
      <c r="Y25" s="177"/>
      <c r="Z25" s="177"/>
      <c r="AA25" s="177"/>
      <c r="AB25" s="177"/>
      <c r="AC25" s="177"/>
      <c r="AD25" s="177"/>
      <c r="AE25" s="178"/>
      <c r="AF25" s="95"/>
      <c r="AG25" s="96"/>
      <c r="AH25" s="96"/>
      <c r="AI25" s="96"/>
      <c r="AJ25" s="96"/>
      <c r="AK25" s="96"/>
      <c r="AL25" s="96"/>
      <c r="AM25" s="96"/>
      <c r="AN25" s="97"/>
      <c r="AO25" s="171">
        <v>45681</v>
      </c>
      <c r="AP25" s="172"/>
      <c r="AQ25" s="169" t="s">
        <v>163</v>
      </c>
      <c r="AR25" s="165"/>
      <c r="AS25" s="169" t="s">
        <v>164</v>
      </c>
      <c r="AT25" s="170"/>
      <c r="AU25" s="98"/>
      <c r="AV25" s="99"/>
      <c r="AW25" s="86"/>
      <c r="AX25" s="87"/>
      <c r="AY25" s="86"/>
      <c r="AZ25" s="91"/>
      <c r="BA25" s="92"/>
      <c r="BB25" s="93"/>
      <c r="BC25" s="93"/>
      <c r="BD25" s="93"/>
      <c r="BE25" s="93"/>
      <c r="BF25" s="93"/>
      <c r="BG25" s="93"/>
      <c r="BH25" s="93"/>
      <c r="BI25" s="93"/>
      <c r="BJ25" s="93"/>
      <c r="BK25" s="93"/>
      <c r="BL25" s="94"/>
      <c r="BM25" s="16"/>
      <c r="BN25" s="16"/>
    </row>
    <row r="26" spans="1:66" ht="24" customHeight="1" x14ac:dyDescent="0.45">
      <c r="A26" s="101"/>
      <c r="B26" s="101"/>
      <c r="C26" s="122">
        <f t="shared" si="0"/>
        <v>17</v>
      </c>
      <c r="D26" s="214"/>
      <c r="E26" s="215"/>
      <c r="F26" s="215"/>
      <c r="G26" s="216"/>
      <c r="H26" s="179" t="s">
        <v>107</v>
      </c>
      <c r="I26" s="180"/>
      <c r="J26" s="180"/>
      <c r="K26" s="181"/>
      <c r="L26" s="217" t="s">
        <v>108</v>
      </c>
      <c r="M26" s="218"/>
      <c r="N26" s="218"/>
      <c r="O26" s="219"/>
      <c r="P26" s="176" t="s">
        <v>109</v>
      </c>
      <c r="Q26" s="177"/>
      <c r="R26" s="177"/>
      <c r="S26" s="177"/>
      <c r="T26" s="177"/>
      <c r="U26" s="177"/>
      <c r="V26" s="177"/>
      <c r="W26" s="178"/>
      <c r="X26" s="176" t="s">
        <v>110</v>
      </c>
      <c r="Y26" s="177"/>
      <c r="Z26" s="177"/>
      <c r="AA26" s="177"/>
      <c r="AB26" s="177"/>
      <c r="AC26" s="177"/>
      <c r="AD26" s="177"/>
      <c r="AE26" s="178"/>
      <c r="AF26" s="176"/>
      <c r="AG26" s="177"/>
      <c r="AH26" s="177"/>
      <c r="AI26" s="177"/>
      <c r="AJ26" s="177"/>
      <c r="AK26" s="177"/>
      <c r="AL26" s="177"/>
      <c r="AM26" s="177"/>
      <c r="AN26" s="191"/>
      <c r="AO26" s="171">
        <v>45681</v>
      </c>
      <c r="AP26" s="172"/>
      <c r="AQ26" s="169" t="s">
        <v>163</v>
      </c>
      <c r="AR26" s="165"/>
      <c r="AS26" s="169" t="s">
        <v>164</v>
      </c>
      <c r="AT26" s="170"/>
      <c r="AU26" s="112"/>
      <c r="AV26" s="113"/>
      <c r="AW26" s="103"/>
      <c r="AX26" s="104"/>
      <c r="AY26" s="103"/>
      <c r="AZ26" s="108"/>
      <c r="BA26" s="109"/>
      <c r="BB26" s="110"/>
      <c r="BC26" s="110"/>
      <c r="BD26" s="110"/>
      <c r="BE26" s="110"/>
      <c r="BF26" s="110"/>
      <c r="BG26" s="110"/>
      <c r="BH26" s="110"/>
      <c r="BI26" s="110"/>
      <c r="BJ26" s="110"/>
      <c r="BK26" s="110"/>
      <c r="BL26" s="111"/>
      <c r="BM26" s="102"/>
      <c r="BN26" s="102"/>
    </row>
    <row r="27" spans="1:66" ht="37.799999999999997" customHeight="1" x14ac:dyDescent="0.45">
      <c r="A27" s="101"/>
      <c r="B27" s="101"/>
      <c r="C27" s="122">
        <f t="shared" si="0"/>
        <v>18</v>
      </c>
      <c r="D27" s="214"/>
      <c r="E27" s="215"/>
      <c r="F27" s="215"/>
      <c r="G27" s="216"/>
      <c r="H27" s="214"/>
      <c r="I27" s="215"/>
      <c r="J27" s="215"/>
      <c r="K27" s="216"/>
      <c r="L27" s="185"/>
      <c r="M27" s="186"/>
      <c r="N27" s="186"/>
      <c r="O27" s="187"/>
      <c r="P27" s="179" t="s">
        <v>111</v>
      </c>
      <c r="Q27" s="180"/>
      <c r="R27" s="180"/>
      <c r="S27" s="180"/>
      <c r="T27" s="180"/>
      <c r="U27" s="180"/>
      <c r="V27" s="180"/>
      <c r="W27" s="181"/>
      <c r="X27" s="176" t="s">
        <v>121</v>
      </c>
      <c r="Y27" s="177"/>
      <c r="Z27" s="177"/>
      <c r="AA27" s="177"/>
      <c r="AB27" s="177"/>
      <c r="AC27" s="177"/>
      <c r="AD27" s="177"/>
      <c r="AE27" s="178"/>
      <c r="AF27" s="176"/>
      <c r="AG27" s="177"/>
      <c r="AH27" s="177"/>
      <c r="AI27" s="177"/>
      <c r="AJ27" s="177"/>
      <c r="AK27" s="177"/>
      <c r="AL27" s="177"/>
      <c r="AM27" s="177"/>
      <c r="AN27" s="191"/>
      <c r="AO27" s="171">
        <v>45681</v>
      </c>
      <c r="AP27" s="172"/>
      <c r="AQ27" s="169" t="s">
        <v>163</v>
      </c>
      <c r="AR27" s="165"/>
      <c r="AS27" s="169" t="s">
        <v>165</v>
      </c>
      <c r="AT27" s="170"/>
      <c r="AU27" s="171">
        <v>45702</v>
      </c>
      <c r="AV27" s="172"/>
      <c r="AW27" s="169" t="s">
        <v>174</v>
      </c>
      <c r="AX27" s="165"/>
      <c r="AY27" s="169" t="s">
        <v>170</v>
      </c>
      <c r="AZ27" s="170"/>
      <c r="BA27" s="220" t="s">
        <v>166</v>
      </c>
      <c r="BB27" s="177"/>
      <c r="BC27" s="177"/>
      <c r="BD27" s="177"/>
      <c r="BE27" s="177"/>
      <c r="BF27" s="177"/>
      <c r="BG27" s="177"/>
      <c r="BH27" s="177"/>
      <c r="BI27" s="177"/>
      <c r="BJ27" s="177"/>
      <c r="BK27" s="177"/>
      <c r="BL27" s="221"/>
      <c r="BM27" s="102"/>
      <c r="BN27" s="102"/>
    </row>
    <row r="28" spans="1:66" ht="207.6" customHeight="1" x14ac:dyDescent="0.45">
      <c r="A28" s="101"/>
      <c r="B28" s="101"/>
      <c r="C28" s="122">
        <f t="shared" si="0"/>
        <v>19</v>
      </c>
      <c r="D28" s="214"/>
      <c r="E28" s="215"/>
      <c r="F28" s="215"/>
      <c r="G28" s="216"/>
      <c r="H28" s="214"/>
      <c r="I28" s="215"/>
      <c r="J28" s="215"/>
      <c r="K28" s="216"/>
      <c r="L28" s="182"/>
      <c r="M28" s="183"/>
      <c r="N28" s="183"/>
      <c r="O28" s="184"/>
      <c r="P28" s="182"/>
      <c r="Q28" s="183"/>
      <c r="R28" s="183"/>
      <c r="S28" s="183"/>
      <c r="T28" s="183"/>
      <c r="U28" s="183"/>
      <c r="V28" s="183"/>
      <c r="W28" s="184"/>
      <c r="X28" s="176" t="s">
        <v>114</v>
      </c>
      <c r="Y28" s="177"/>
      <c r="Z28" s="177"/>
      <c r="AA28" s="177"/>
      <c r="AB28" s="177"/>
      <c r="AC28" s="177"/>
      <c r="AD28" s="177"/>
      <c r="AE28" s="178"/>
      <c r="AF28" s="176"/>
      <c r="AG28" s="177"/>
      <c r="AH28" s="177"/>
      <c r="AI28" s="177"/>
      <c r="AJ28" s="177"/>
      <c r="AK28" s="177"/>
      <c r="AL28" s="177"/>
      <c r="AM28" s="177"/>
      <c r="AN28" s="191"/>
      <c r="AO28" s="171">
        <v>45681</v>
      </c>
      <c r="AP28" s="172"/>
      <c r="AQ28" s="169" t="s">
        <v>163</v>
      </c>
      <c r="AR28" s="165"/>
      <c r="AS28" s="169" t="s">
        <v>164</v>
      </c>
      <c r="AT28" s="170"/>
      <c r="AU28" s="112"/>
      <c r="AV28" s="113"/>
      <c r="AW28" s="103"/>
      <c r="AX28" s="104"/>
      <c r="AY28" s="103"/>
      <c r="AZ28" s="108"/>
      <c r="BA28" s="109"/>
      <c r="BB28" s="110"/>
      <c r="BC28" s="110"/>
      <c r="BD28" s="110"/>
      <c r="BE28" s="110"/>
      <c r="BF28" s="110"/>
      <c r="BG28" s="110"/>
      <c r="BH28" s="110"/>
      <c r="BI28" s="110"/>
      <c r="BJ28" s="110"/>
      <c r="BK28" s="110"/>
      <c r="BL28" s="111"/>
      <c r="BM28" s="102"/>
      <c r="BN28" s="102"/>
    </row>
    <row r="29" spans="1:66" ht="39.6" customHeight="1" x14ac:dyDescent="0.45">
      <c r="A29" s="101"/>
      <c r="B29" s="101"/>
      <c r="C29" s="122">
        <f t="shared" si="0"/>
        <v>20</v>
      </c>
      <c r="D29" s="105"/>
      <c r="E29" s="106"/>
      <c r="F29" s="106"/>
      <c r="G29" s="107"/>
      <c r="H29" s="105"/>
      <c r="I29" s="106"/>
      <c r="J29" s="106"/>
      <c r="K29" s="107"/>
      <c r="L29" s="179" t="s">
        <v>112</v>
      </c>
      <c r="M29" s="180"/>
      <c r="N29" s="180"/>
      <c r="O29" s="181"/>
      <c r="P29" s="179" t="s">
        <v>113</v>
      </c>
      <c r="Q29" s="180" t="s">
        <v>113</v>
      </c>
      <c r="R29" s="180"/>
      <c r="S29" s="180"/>
      <c r="T29" s="180"/>
      <c r="U29" s="180"/>
      <c r="V29" s="180"/>
      <c r="W29" s="181"/>
      <c r="X29" s="176" t="s">
        <v>120</v>
      </c>
      <c r="Y29" s="177"/>
      <c r="Z29" s="177"/>
      <c r="AA29" s="177"/>
      <c r="AB29" s="177"/>
      <c r="AC29" s="177"/>
      <c r="AD29" s="177"/>
      <c r="AE29" s="178"/>
      <c r="AF29" s="114"/>
      <c r="AG29" s="115"/>
      <c r="AH29" s="115"/>
      <c r="AI29" s="115"/>
      <c r="AJ29" s="115"/>
      <c r="AK29" s="115"/>
      <c r="AL29" s="115"/>
      <c r="AM29" s="115"/>
      <c r="AN29" s="116"/>
      <c r="AO29" s="171">
        <v>45681</v>
      </c>
      <c r="AP29" s="172"/>
      <c r="AQ29" s="169" t="s">
        <v>163</v>
      </c>
      <c r="AR29" s="165"/>
      <c r="AS29" s="169" t="s">
        <v>164</v>
      </c>
      <c r="AT29" s="170"/>
      <c r="AU29" s="112"/>
      <c r="AV29" s="113"/>
      <c r="AW29" s="103"/>
      <c r="AX29" s="104"/>
      <c r="AY29" s="103"/>
      <c r="AZ29" s="108"/>
      <c r="BA29" s="109"/>
      <c r="BB29" s="110"/>
      <c r="BC29" s="110"/>
      <c r="BD29" s="110"/>
      <c r="BE29" s="110"/>
      <c r="BF29" s="110"/>
      <c r="BG29" s="110"/>
      <c r="BH29" s="110"/>
      <c r="BI29" s="110"/>
      <c r="BJ29" s="110"/>
      <c r="BK29" s="110"/>
      <c r="BL29" s="111"/>
      <c r="BM29" s="102"/>
      <c r="BN29" s="102"/>
    </row>
    <row r="30" spans="1:66" ht="207" customHeight="1" x14ac:dyDescent="0.45">
      <c r="A30" s="101"/>
      <c r="B30" s="101"/>
      <c r="C30" s="122">
        <f t="shared" si="0"/>
        <v>21</v>
      </c>
      <c r="D30" s="105"/>
      <c r="E30" s="106"/>
      <c r="F30" s="106"/>
      <c r="G30" s="107"/>
      <c r="H30" s="105"/>
      <c r="I30" s="106"/>
      <c r="J30" s="106"/>
      <c r="K30" s="107"/>
      <c r="L30" s="182"/>
      <c r="M30" s="183"/>
      <c r="N30" s="183"/>
      <c r="O30" s="184"/>
      <c r="P30" s="182"/>
      <c r="Q30" s="183"/>
      <c r="R30" s="183"/>
      <c r="S30" s="183"/>
      <c r="T30" s="183"/>
      <c r="U30" s="183"/>
      <c r="V30" s="183"/>
      <c r="W30" s="184"/>
      <c r="X30" s="176" t="s">
        <v>115</v>
      </c>
      <c r="Y30" s="177"/>
      <c r="Z30" s="177"/>
      <c r="AA30" s="177"/>
      <c r="AB30" s="177"/>
      <c r="AC30" s="177"/>
      <c r="AD30" s="177"/>
      <c r="AE30" s="178"/>
      <c r="AF30" s="114"/>
      <c r="AG30" s="115"/>
      <c r="AH30" s="115"/>
      <c r="AI30" s="115"/>
      <c r="AJ30" s="115"/>
      <c r="AK30" s="115"/>
      <c r="AL30" s="115"/>
      <c r="AM30" s="115"/>
      <c r="AN30" s="116"/>
      <c r="AO30" s="171">
        <v>45681</v>
      </c>
      <c r="AP30" s="172"/>
      <c r="AQ30" s="169" t="s">
        <v>163</v>
      </c>
      <c r="AR30" s="165"/>
      <c r="AS30" s="169" t="s">
        <v>164</v>
      </c>
      <c r="AT30" s="170"/>
      <c r="AU30" s="112"/>
      <c r="AV30" s="113"/>
      <c r="AW30" s="103"/>
      <c r="AX30" s="104"/>
      <c r="AY30" s="103"/>
      <c r="AZ30" s="108"/>
      <c r="BA30" s="109"/>
      <c r="BB30" s="110"/>
      <c r="BC30" s="110"/>
      <c r="BD30" s="110"/>
      <c r="BE30" s="110"/>
      <c r="BF30" s="110"/>
      <c r="BG30" s="110"/>
      <c r="BH30" s="110"/>
      <c r="BI30" s="110"/>
      <c r="BJ30" s="110"/>
      <c r="BK30" s="110"/>
      <c r="BL30" s="111"/>
      <c r="BM30" s="102"/>
      <c r="BN30" s="102"/>
    </row>
    <row r="31" spans="1:66" s="100" customFormat="1" ht="24" customHeight="1" x14ac:dyDescent="0.45">
      <c r="A31" s="101"/>
      <c r="B31" s="101"/>
      <c r="C31" s="122">
        <f t="shared" si="0"/>
        <v>22</v>
      </c>
      <c r="D31" s="105"/>
      <c r="E31" s="106"/>
      <c r="F31" s="106"/>
      <c r="G31" s="107"/>
      <c r="H31" s="105"/>
      <c r="I31" s="106"/>
      <c r="J31" s="106"/>
      <c r="K31" s="107"/>
      <c r="L31" s="217" t="s">
        <v>116</v>
      </c>
      <c r="M31" s="218"/>
      <c r="N31" s="218"/>
      <c r="O31" s="219"/>
      <c r="P31" s="176" t="s">
        <v>109</v>
      </c>
      <c r="Q31" s="177"/>
      <c r="R31" s="177"/>
      <c r="S31" s="177"/>
      <c r="T31" s="177"/>
      <c r="U31" s="177"/>
      <c r="V31" s="177"/>
      <c r="W31" s="178"/>
      <c r="X31" s="176" t="s">
        <v>117</v>
      </c>
      <c r="Y31" s="177"/>
      <c r="Z31" s="177"/>
      <c r="AA31" s="177"/>
      <c r="AB31" s="177"/>
      <c r="AC31" s="177"/>
      <c r="AD31" s="177"/>
      <c r="AE31" s="178"/>
      <c r="AF31" s="114"/>
      <c r="AG31" s="115"/>
      <c r="AH31" s="115"/>
      <c r="AI31" s="115"/>
      <c r="AJ31" s="115"/>
      <c r="AK31" s="115"/>
      <c r="AL31" s="115"/>
      <c r="AM31" s="115"/>
      <c r="AN31" s="116"/>
      <c r="AO31" s="171">
        <v>45681</v>
      </c>
      <c r="AP31" s="172"/>
      <c r="AQ31" s="169" t="s">
        <v>163</v>
      </c>
      <c r="AR31" s="165"/>
      <c r="AS31" s="169" t="s">
        <v>164</v>
      </c>
      <c r="AT31" s="170"/>
      <c r="AU31" s="112"/>
      <c r="AV31" s="113"/>
      <c r="AW31" s="103"/>
      <c r="AX31" s="104"/>
      <c r="AY31" s="103"/>
      <c r="AZ31" s="108"/>
      <c r="BA31" s="109"/>
      <c r="BB31" s="110"/>
      <c r="BC31" s="110"/>
      <c r="BD31" s="110"/>
      <c r="BE31" s="110"/>
      <c r="BF31" s="110"/>
      <c r="BG31" s="110"/>
      <c r="BH31" s="110"/>
      <c r="BI31" s="110"/>
      <c r="BJ31" s="110"/>
      <c r="BK31" s="110"/>
      <c r="BL31" s="111"/>
      <c r="BM31" s="102"/>
      <c r="BN31" s="102"/>
    </row>
    <row r="32" spans="1:66" s="100" customFormat="1" ht="41.4" customHeight="1" x14ac:dyDescent="0.45">
      <c r="A32" s="101"/>
      <c r="B32" s="101"/>
      <c r="C32" s="122">
        <f t="shared" si="0"/>
        <v>23</v>
      </c>
      <c r="D32" s="105"/>
      <c r="E32" s="106"/>
      <c r="F32" s="106"/>
      <c r="G32" s="107"/>
      <c r="H32" s="105"/>
      <c r="I32" s="106"/>
      <c r="J32" s="106"/>
      <c r="K32" s="107"/>
      <c r="L32" s="185"/>
      <c r="M32" s="186"/>
      <c r="N32" s="186"/>
      <c r="O32" s="187"/>
      <c r="P32" s="179" t="s">
        <v>118</v>
      </c>
      <c r="Q32" s="180"/>
      <c r="R32" s="180"/>
      <c r="S32" s="180"/>
      <c r="T32" s="180"/>
      <c r="U32" s="180"/>
      <c r="V32" s="180"/>
      <c r="W32" s="181"/>
      <c r="X32" s="176" t="s">
        <v>122</v>
      </c>
      <c r="Y32" s="177"/>
      <c r="Z32" s="177"/>
      <c r="AA32" s="177"/>
      <c r="AB32" s="177"/>
      <c r="AC32" s="177"/>
      <c r="AD32" s="177"/>
      <c r="AE32" s="178"/>
      <c r="AF32" s="114"/>
      <c r="AG32" s="115"/>
      <c r="AH32" s="115"/>
      <c r="AI32" s="115"/>
      <c r="AJ32" s="115"/>
      <c r="AK32" s="115"/>
      <c r="AL32" s="115"/>
      <c r="AM32" s="115"/>
      <c r="AN32" s="116"/>
      <c r="AO32" s="171">
        <v>45681</v>
      </c>
      <c r="AP32" s="172"/>
      <c r="AQ32" s="169" t="s">
        <v>163</v>
      </c>
      <c r="AR32" s="165"/>
      <c r="AS32" s="169" t="s">
        <v>165</v>
      </c>
      <c r="AT32" s="170"/>
      <c r="AU32" s="171">
        <v>45702</v>
      </c>
      <c r="AV32" s="172"/>
      <c r="AW32" s="169" t="s">
        <v>174</v>
      </c>
      <c r="AX32" s="165"/>
      <c r="AY32" s="169" t="s">
        <v>170</v>
      </c>
      <c r="AZ32" s="170"/>
      <c r="BA32" s="220" t="s">
        <v>167</v>
      </c>
      <c r="BB32" s="177"/>
      <c r="BC32" s="177"/>
      <c r="BD32" s="177"/>
      <c r="BE32" s="177"/>
      <c r="BF32" s="177"/>
      <c r="BG32" s="177"/>
      <c r="BH32" s="177"/>
      <c r="BI32" s="177"/>
      <c r="BJ32" s="177"/>
      <c r="BK32" s="177"/>
      <c r="BL32" s="221"/>
      <c r="BM32" s="102"/>
      <c r="BN32" s="102"/>
    </row>
    <row r="33" spans="1:66" s="100" customFormat="1" ht="205.8" customHeight="1" x14ac:dyDescent="0.45">
      <c r="A33" s="101"/>
      <c r="B33" s="101"/>
      <c r="C33" s="122">
        <f t="shared" si="0"/>
        <v>24</v>
      </c>
      <c r="D33" s="105"/>
      <c r="E33" s="106"/>
      <c r="F33" s="106"/>
      <c r="G33" s="107"/>
      <c r="H33" s="105"/>
      <c r="I33" s="106"/>
      <c r="J33" s="106"/>
      <c r="K33" s="107"/>
      <c r="L33" s="182"/>
      <c r="M33" s="183"/>
      <c r="N33" s="183"/>
      <c r="O33" s="184"/>
      <c r="P33" s="182"/>
      <c r="Q33" s="183"/>
      <c r="R33" s="183"/>
      <c r="S33" s="183"/>
      <c r="T33" s="183"/>
      <c r="U33" s="183"/>
      <c r="V33" s="183"/>
      <c r="W33" s="184"/>
      <c r="X33" s="176" t="s">
        <v>124</v>
      </c>
      <c r="Y33" s="177"/>
      <c r="Z33" s="177"/>
      <c r="AA33" s="177"/>
      <c r="AB33" s="177"/>
      <c r="AC33" s="177"/>
      <c r="AD33" s="177"/>
      <c r="AE33" s="178"/>
      <c r="AF33" s="114"/>
      <c r="AG33" s="115"/>
      <c r="AH33" s="115"/>
      <c r="AI33" s="115"/>
      <c r="AJ33" s="115"/>
      <c r="AK33" s="115"/>
      <c r="AL33" s="115"/>
      <c r="AM33" s="115"/>
      <c r="AN33" s="116"/>
      <c r="AO33" s="171">
        <v>45681</v>
      </c>
      <c r="AP33" s="172"/>
      <c r="AQ33" s="169" t="s">
        <v>163</v>
      </c>
      <c r="AR33" s="165"/>
      <c r="AS33" s="169" t="s">
        <v>164</v>
      </c>
      <c r="AT33" s="170"/>
      <c r="AU33" s="112"/>
      <c r="AV33" s="113"/>
      <c r="AW33" s="103"/>
      <c r="AX33" s="104"/>
      <c r="AY33" s="103"/>
      <c r="AZ33" s="108"/>
      <c r="BA33" s="109"/>
      <c r="BB33" s="110"/>
      <c r="BC33" s="110"/>
      <c r="BD33" s="110"/>
      <c r="BE33" s="110"/>
      <c r="BF33" s="110"/>
      <c r="BG33" s="110"/>
      <c r="BH33" s="110"/>
      <c r="BI33" s="110"/>
      <c r="BJ33" s="110"/>
      <c r="BK33" s="110"/>
      <c r="BL33" s="111"/>
      <c r="BM33" s="102"/>
      <c r="BN33" s="102"/>
    </row>
    <row r="34" spans="1:66" s="100" customFormat="1" ht="39" customHeight="1" x14ac:dyDescent="0.45">
      <c r="A34" s="101"/>
      <c r="B34" s="101"/>
      <c r="C34" s="122">
        <f t="shared" si="0"/>
        <v>25</v>
      </c>
      <c r="D34" s="105"/>
      <c r="E34" s="106"/>
      <c r="F34" s="106"/>
      <c r="G34" s="107"/>
      <c r="H34" s="105"/>
      <c r="I34" s="106"/>
      <c r="J34" s="106"/>
      <c r="K34" s="107"/>
      <c r="L34" s="179" t="s">
        <v>119</v>
      </c>
      <c r="M34" s="180"/>
      <c r="N34" s="180"/>
      <c r="O34" s="181"/>
      <c r="P34" s="179" t="s">
        <v>113</v>
      </c>
      <c r="Q34" s="180" t="s">
        <v>113</v>
      </c>
      <c r="R34" s="180"/>
      <c r="S34" s="180"/>
      <c r="T34" s="180"/>
      <c r="U34" s="180"/>
      <c r="V34" s="180"/>
      <c r="W34" s="181"/>
      <c r="X34" s="176" t="s">
        <v>123</v>
      </c>
      <c r="Y34" s="177"/>
      <c r="Z34" s="177"/>
      <c r="AA34" s="177"/>
      <c r="AB34" s="177"/>
      <c r="AC34" s="177"/>
      <c r="AD34" s="177"/>
      <c r="AE34" s="178"/>
      <c r="AF34" s="114"/>
      <c r="AG34" s="115"/>
      <c r="AH34" s="115"/>
      <c r="AI34" s="115"/>
      <c r="AJ34" s="115"/>
      <c r="AK34" s="115"/>
      <c r="AL34" s="115"/>
      <c r="AM34" s="115"/>
      <c r="AN34" s="116"/>
      <c r="AO34" s="171">
        <v>45681</v>
      </c>
      <c r="AP34" s="172"/>
      <c r="AQ34" s="169" t="s">
        <v>163</v>
      </c>
      <c r="AR34" s="165"/>
      <c r="AS34" s="169" t="s">
        <v>164</v>
      </c>
      <c r="AT34" s="170"/>
      <c r="AU34" s="112"/>
      <c r="AV34" s="113"/>
      <c r="AW34" s="103"/>
      <c r="AX34" s="104"/>
      <c r="AY34" s="103"/>
      <c r="AZ34" s="108"/>
      <c r="BA34" s="109"/>
      <c r="BB34" s="110"/>
      <c r="BC34" s="110"/>
      <c r="BD34" s="110"/>
      <c r="BE34" s="110"/>
      <c r="BF34" s="110"/>
      <c r="BG34" s="110"/>
      <c r="BH34" s="110"/>
      <c r="BI34" s="110"/>
      <c r="BJ34" s="110"/>
      <c r="BK34" s="110"/>
      <c r="BL34" s="111"/>
      <c r="BM34" s="102"/>
      <c r="BN34" s="102"/>
    </row>
    <row r="35" spans="1:66" s="100" customFormat="1" ht="208.2" customHeight="1" x14ac:dyDescent="0.45">
      <c r="A35" s="101"/>
      <c r="B35" s="101"/>
      <c r="C35" s="122">
        <f t="shared" si="0"/>
        <v>26</v>
      </c>
      <c r="D35" s="105"/>
      <c r="E35" s="106"/>
      <c r="F35" s="106"/>
      <c r="G35" s="107"/>
      <c r="H35" s="105"/>
      <c r="I35" s="106"/>
      <c r="J35" s="106"/>
      <c r="K35" s="107"/>
      <c r="L35" s="182"/>
      <c r="M35" s="183"/>
      <c r="N35" s="183"/>
      <c r="O35" s="184"/>
      <c r="P35" s="182"/>
      <c r="Q35" s="183"/>
      <c r="R35" s="183"/>
      <c r="S35" s="183"/>
      <c r="T35" s="183"/>
      <c r="U35" s="183"/>
      <c r="V35" s="183"/>
      <c r="W35" s="184"/>
      <c r="X35" s="176" t="s">
        <v>125</v>
      </c>
      <c r="Y35" s="177"/>
      <c r="Z35" s="177"/>
      <c r="AA35" s="177"/>
      <c r="AB35" s="177"/>
      <c r="AC35" s="177"/>
      <c r="AD35" s="177"/>
      <c r="AE35" s="178"/>
      <c r="AF35" s="114"/>
      <c r="AG35" s="115"/>
      <c r="AH35" s="115"/>
      <c r="AI35" s="115"/>
      <c r="AJ35" s="115"/>
      <c r="AK35" s="115"/>
      <c r="AL35" s="115"/>
      <c r="AM35" s="115"/>
      <c r="AN35" s="116"/>
      <c r="AO35" s="171">
        <v>45681</v>
      </c>
      <c r="AP35" s="172"/>
      <c r="AQ35" s="169" t="s">
        <v>163</v>
      </c>
      <c r="AR35" s="165"/>
      <c r="AS35" s="169" t="s">
        <v>164</v>
      </c>
      <c r="AT35" s="170"/>
      <c r="AU35" s="112"/>
      <c r="AV35" s="113"/>
      <c r="AW35" s="103"/>
      <c r="AX35" s="104"/>
      <c r="AY35" s="103"/>
      <c r="AZ35" s="108"/>
      <c r="BA35" s="109"/>
      <c r="BB35" s="110"/>
      <c r="BC35" s="110"/>
      <c r="BD35" s="110"/>
      <c r="BE35" s="110"/>
      <c r="BF35" s="110"/>
      <c r="BG35" s="110"/>
      <c r="BH35" s="110"/>
      <c r="BI35" s="110"/>
      <c r="BJ35" s="110"/>
      <c r="BK35" s="110"/>
      <c r="BL35" s="111"/>
      <c r="BM35" s="102"/>
      <c r="BN35" s="102"/>
    </row>
    <row r="36" spans="1:66" s="100" customFormat="1" ht="31.8" customHeight="1" x14ac:dyDescent="0.45">
      <c r="A36" s="101"/>
      <c r="B36" s="101"/>
      <c r="C36" s="122">
        <f t="shared" si="0"/>
        <v>27</v>
      </c>
      <c r="D36" s="105"/>
      <c r="E36" s="106"/>
      <c r="F36" s="106"/>
      <c r="G36" s="107"/>
      <c r="H36" s="105"/>
      <c r="I36" s="106"/>
      <c r="J36" s="106"/>
      <c r="K36" s="107"/>
      <c r="L36" s="179" t="s">
        <v>127</v>
      </c>
      <c r="M36" s="180"/>
      <c r="N36" s="180"/>
      <c r="O36" s="181"/>
      <c r="P36" s="176" t="s">
        <v>109</v>
      </c>
      <c r="Q36" s="177"/>
      <c r="R36" s="177"/>
      <c r="S36" s="177"/>
      <c r="T36" s="177"/>
      <c r="U36" s="177"/>
      <c r="V36" s="177"/>
      <c r="W36" s="178"/>
      <c r="X36" s="176" t="s">
        <v>131</v>
      </c>
      <c r="Y36" s="177"/>
      <c r="Z36" s="177"/>
      <c r="AA36" s="177"/>
      <c r="AB36" s="177"/>
      <c r="AC36" s="177"/>
      <c r="AD36" s="177"/>
      <c r="AE36" s="178"/>
      <c r="AF36" s="114"/>
      <c r="AG36" s="115"/>
      <c r="AH36" s="115"/>
      <c r="AI36" s="115"/>
      <c r="AJ36" s="115"/>
      <c r="AK36" s="115"/>
      <c r="AL36" s="115"/>
      <c r="AM36" s="115"/>
      <c r="AN36" s="116"/>
      <c r="AO36" s="171">
        <v>45681</v>
      </c>
      <c r="AP36" s="172"/>
      <c r="AQ36" s="169" t="s">
        <v>163</v>
      </c>
      <c r="AR36" s="165"/>
      <c r="AS36" s="169" t="s">
        <v>164</v>
      </c>
      <c r="AT36" s="170"/>
      <c r="AU36" s="112"/>
      <c r="AV36" s="113"/>
      <c r="AW36" s="103"/>
      <c r="AX36" s="104"/>
      <c r="AY36" s="103"/>
      <c r="AZ36" s="108"/>
      <c r="BA36" s="109"/>
      <c r="BB36" s="110"/>
      <c r="BC36" s="110"/>
      <c r="BD36" s="110"/>
      <c r="BE36" s="110"/>
      <c r="BF36" s="110"/>
      <c r="BG36" s="110"/>
      <c r="BH36" s="110"/>
      <c r="BI36" s="110"/>
      <c r="BJ36" s="110"/>
      <c r="BK36" s="110"/>
      <c r="BL36" s="111"/>
      <c r="BM36" s="102"/>
      <c r="BN36" s="102"/>
    </row>
    <row r="37" spans="1:66" s="100" customFormat="1" ht="40.799999999999997" customHeight="1" x14ac:dyDescent="0.45">
      <c r="A37" s="101"/>
      <c r="B37" s="101"/>
      <c r="C37" s="122">
        <f t="shared" si="0"/>
        <v>28</v>
      </c>
      <c r="D37" s="105"/>
      <c r="E37" s="106"/>
      <c r="F37" s="106"/>
      <c r="G37" s="107"/>
      <c r="H37" s="105"/>
      <c r="I37" s="106"/>
      <c r="J37" s="106"/>
      <c r="K37" s="107"/>
      <c r="L37" s="185"/>
      <c r="M37" s="186"/>
      <c r="N37" s="186"/>
      <c r="O37" s="187"/>
      <c r="P37" s="179" t="s">
        <v>130</v>
      </c>
      <c r="Q37" s="180"/>
      <c r="R37" s="180"/>
      <c r="S37" s="180"/>
      <c r="T37" s="180"/>
      <c r="U37" s="180"/>
      <c r="V37" s="180"/>
      <c r="W37" s="181"/>
      <c r="X37" s="176" t="s">
        <v>126</v>
      </c>
      <c r="Y37" s="177"/>
      <c r="Z37" s="177"/>
      <c r="AA37" s="177"/>
      <c r="AB37" s="177"/>
      <c r="AC37" s="177"/>
      <c r="AD37" s="177"/>
      <c r="AE37" s="178"/>
      <c r="AF37" s="114"/>
      <c r="AG37" s="115"/>
      <c r="AH37" s="115"/>
      <c r="AI37" s="115"/>
      <c r="AJ37" s="115"/>
      <c r="AK37" s="115"/>
      <c r="AL37" s="115"/>
      <c r="AM37" s="115"/>
      <c r="AN37" s="116"/>
      <c r="AO37" s="171">
        <v>45681</v>
      </c>
      <c r="AP37" s="172"/>
      <c r="AQ37" s="169" t="s">
        <v>163</v>
      </c>
      <c r="AR37" s="165"/>
      <c r="AS37" s="169" t="s">
        <v>165</v>
      </c>
      <c r="AT37" s="170"/>
      <c r="AU37" s="171">
        <v>45702</v>
      </c>
      <c r="AV37" s="172"/>
      <c r="AW37" s="169" t="s">
        <v>174</v>
      </c>
      <c r="AX37" s="165"/>
      <c r="AY37" s="169" t="s">
        <v>170</v>
      </c>
      <c r="AZ37" s="170"/>
      <c r="BA37" s="220" t="s">
        <v>169</v>
      </c>
      <c r="BB37" s="177"/>
      <c r="BC37" s="177"/>
      <c r="BD37" s="177"/>
      <c r="BE37" s="177"/>
      <c r="BF37" s="177"/>
      <c r="BG37" s="177"/>
      <c r="BH37" s="177"/>
      <c r="BI37" s="177"/>
      <c r="BJ37" s="177"/>
      <c r="BK37" s="177"/>
      <c r="BL37" s="221"/>
      <c r="BM37" s="102"/>
      <c r="BN37" s="102"/>
    </row>
    <row r="38" spans="1:66" s="100" customFormat="1" ht="216" customHeight="1" x14ac:dyDescent="0.45">
      <c r="A38" s="101"/>
      <c r="B38" s="101"/>
      <c r="C38" s="122">
        <f t="shared" si="0"/>
        <v>29</v>
      </c>
      <c r="D38" s="105"/>
      <c r="E38" s="106"/>
      <c r="F38" s="106"/>
      <c r="G38" s="107"/>
      <c r="H38" s="105"/>
      <c r="I38" s="106"/>
      <c r="J38" s="106"/>
      <c r="K38" s="107"/>
      <c r="L38" s="182"/>
      <c r="M38" s="183"/>
      <c r="N38" s="183"/>
      <c r="O38" s="184"/>
      <c r="P38" s="182"/>
      <c r="Q38" s="183"/>
      <c r="R38" s="183"/>
      <c r="S38" s="183"/>
      <c r="T38" s="183"/>
      <c r="U38" s="183"/>
      <c r="V38" s="183"/>
      <c r="W38" s="184"/>
      <c r="X38" s="176" t="s">
        <v>132</v>
      </c>
      <c r="Y38" s="177"/>
      <c r="Z38" s="177"/>
      <c r="AA38" s="177"/>
      <c r="AB38" s="177"/>
      <c r="AC38" s="177"/>
      <c r="AD38" s="177"/>
      <c r="AE38" s="178"/>
      <c r="AF38" s="114"/>
      <c r="AG38" s="115"/>
      <c r="AH38" s="115"/>
      <c r="AI38" s="115"/>
      <c r="AJ38" s="115"/>
      <c r="AK38" s="115"/>
      <c r="AL38" s="115"/>
      <c r="AM38" s="115"/>
      <c r="AN38" s="116"/>
      <c r="AO38" s="171">
        <v>45681</v>
      </c>
      <c r="AP38" s="172"/>
      <c r="AQ38" s="169" t="s">
        <v>163</v>
      </c>
      <c r="AR38" s="165"/>
      <c r="AS38" s="169" t="s">
        <v>164</v>
      </c>
      <c r="AT38" s="170"/>
      <c r="AU38" s="112"/>
      <c r="AV38" s="113"/>
      <c r="AW38" s="103"/>
      <c r="AX38" s="104"/>
      <c r="AY38" s="103"/>
      <c r="AZ38" s="108"/>
      <c r="BA38" s="109"/>
      <c r="BB38" s="110"/>
      <c r="BC38" s="110"/>
      <c r="BD38" s="110"/>
      <c r="BE38" s="110"/>
      <c r="BF38" s="110"/>
      <c r="BG38" s="110"/>
      <c r="BH38" s="110"/>
      <c r="BI38" s="110"/>
      <c r="BJ38" s="110"/>
      <c r="BK38" s="110"/>
      <c r="BL38" s="111"/>
      <c r="BM38" s="102"/>
      <c r="BN38" s="102"/>
    </row>
    <row r="39" spans="1:66" ht="45" customHeight="1" x14ac:dyDescent="0.45">
      <c r="A39" s="10"/>
      <c r="B39" s="10"/>
      <c r="C39" s="122">
        <f t="shared" si="0"/>
        <v>30</v>
      </c>
      <c r="D39" s="88"/>
      <c r="E39" s="89"/>
      <c r="F39" s="89"/>
      <c r="G39" s="90"/>
      <c r="H39" s="88"/>
      <c r="I39" s="89"/>
      <c r="J39" s="89"/>
      <c r="K39" s="90"/>
      <c r="L39" s="179" t="s">
        <v>128</v>
      </c>
      <c r="M39" s="180"/>
      <c r="N39" s="180"/>
      <c r="O39" s="181"/>
      <c r="P39" s="179" t="s">
        <v>113</v>
      </c>
      <c r="Q39" s="180" t="s">
        <v>113</v>
      </c>
      <c r="R39" s="180"/>
      <c r="S39" s="180"/>
      <c r="T39" s="180"/>
      <c r="U39" s="180"/>
      <c r="V39" s="180"/>
      <c r="W39" s="181"/>
      <c r="X39" s="176" t="s">
        <v>129</v>
      </c>
      <c r="Y39" s="177"/>
      <c r="Z39" s="177"/>
      <c r="AA39" s="177"/>
      <c r="AB39" s="177"/>
      <c r="AC39" s="177"/>
      <c r="AD39" s="177"/>
      <c r="AE39" s="178"/>
      <c r="AF39" s="95"/>
      <c r="AG39" s="96"/>
      <c r="AH39" s="96"/>
      <c r="AI39" s="96"/>
      <c r="AJ39" s="96"/>
      <c r="AK39" s="96"/>
      <c r="AL39" s="96"/>
      <c r="AM39" s="96"/>
      <c r="AN39" s="97"/>
      <c r="AO39" s="171">
        <v>45681</v>
      </c>
      <c r="AP39" s="172"/>
      <c r="AQ39" s="169" t="s">
        <v>163</v>
      </c>
      <c r="AR39" s="165"/>
      <c r="AS39" s="169" t="s">
        <v>164</v>
      </c>
      <c r="AT39" s="170"/>
      <c r="AU39" s="98"/>
      <c r="AV39" s="99"/>
      <c r="AW39" s="86"/>
      <c r="AX39" s="87"/>
      <c r="AY39" s="86"/>
      <c r="AZ39" s="91"/>
      <c r="BA39" s="92"/>
      <c r="BB39" s="93"/>
      <c r="BC39" s="93"/>
      <c r="BD39" s="93"/>
      <c r="BE39" s="93"/>
      <c r="BF39" s="93"/>
      <c r="BG39" s="93"/>
      <c r="BH39" s="93"/>
      <c r="BI39" s="93"/>
      <c r="BJ39" s="93"/>
      <c r="BK39" s="93"/>
      <c r="BL39" s="94"/>
      <c r="BM39" s="16"/>
      <c r="BN39" s="16"/>
    </row>
    <row r="40" spans="1:66" ht="218.4" customHeight="1" x14ac:dyDescent="0.45">
      <c r="A40" s="10"/>
      <c r="B40" s="10"/>
      <c r="C40" s="122">
        <f t="shared" si="0"/>
        <v>31</v>
      </c>
      <c r="D40" s="88"/>
      <c r="E40" s="89"/>
      <c r="F40" s="89"/>
      <c r="G40" s="90"/>
      <c r="H40" s="88"/>
      <c r="I40" s="89"/>
      <c r="J40" s="89"/>
      <c r="K40" s="90"/>
      <c r="L40" s="182"/>
      <c r="M40" s="183"/>
      <c r="N40" s="183"/>
      <c r="O40" s="184"/>
      <c r="P40" s="182"/>
      <c r="Q40" s="183"/>
      <c r="R40" s="183"/>
      <c r="S40" s="183"/>
      <c r="T40" s="183"/>
      <c r="U40" s="183"/>
      <c r="V40" s="183"/>
      <c r="W40" s="184"/>
      <c r="X40" s="176" t="s">
        <v>133</v>
      </c>
      <c r="Y40" s="177"/>
      <c r="Z40" s="177"/>
      <c r="AA40" s="177"/>
      <c r="AB40" s="177"/>
      <c r="AC40" s="177"/>
      <c r="AD40" s="177"/>
      <c r="AE40" s="178"/>
      <c r="AF40" s="95"/>
      <c r="AG40" s="96"/>
      <c r="AH40" s="96"/>
      <c r="AI40" s="96"/>
      <c r="AJ40" s="96"/>
      <c r="AK40" s="96"/>
      <c r="AL40" s="96"/>
      <c r="AM40" s="96"/>
      <c r="AN40" s="97"/>
      <c r="AO40" s="171">
        <v>45681</v>
      </c>
      <c r="AP40" s="172"/>
      <c r="AQ40" s="169" t="s">
        <v>163</v>
      </c>
      <c r="AR40" s="165"/>
      <c r="AS40" s="169" t="s">
        <v>164</v>
      </c>
      <c r="AT40" s="170"/>
      <c r="AU40" s="98"/>
      <c r="AV40" s="99"/>
      <c r="AW40" s="86"/>
      <c r="AX40" s="87"/>
      <c r="AY40" s="86"/>
      <c r="AZ40" s="91"/>
      <c r="BA40" s="92"/>
      <c r="BB40" s="93"/>
      <c r="BC40" s="93"/>
      <c r="BD40" s="93"/>
      <c r="BE40" s="93"/>
      <c r="BF40" s="93"/>
      <c r="BG40" s="93"/>
      <c r="BH40" s="93"/>
      <c r="BI40" s="93"/>
      <c r="BJ40" s="93"/>
      <c r="BK40" s="93"/>
      <c r="BL40" s="94"/>
      <c r="BM40" s="16"/>
      <c r="BN40" s="16"/>
    </row>
    <row r="41" spans="1:66" s="100" customFormat="1" ht="31.8" customHeight="1" x14ac:dyDescent="0.45">
      <c r="A41" s="101"/>
      <c r="B41" s="101"/>
      <c r="C41" s="122">
        <f t="shared" si="0"/>
        <v>32</v>
      </c>
      <c r="D41" s="105"/>
      <c r="E41" s="106"/>
      <c r="F41" s="106"/>
      <c r="G41" s="107"/>
      <c r="H41" s="105"/>
      <c r="I41" s="106"/>
      <c r="J41" s="106"/>
      <c r="K41" s="107"/>
      <c r="L41" s="179" t="s">
        <v>134</v>
      </c>
      <c r="M41" s="180"/>
      <c r="N41" s="180"/>
      <c r="O41" s="181"/>
      <c r="P41" s="176" t="s">
        <v>109</v>
      </c>
      <c r="Q41" s="177"/>
      <c r="R41" s="177"/>
      <c r="S41" s="177"/>
      <c r="T41" s="177"/>
      <c r="U41" s="177"/>
      <c r="V41" s="177"/>
      <c r="W41" s="178"/>
      <c r="X41" s="176" t="s">
        <v>131</v>
      </c>
      <c r="Y41" s="177"/>
      <c r="Z41" s="177"/>
      <c r="AA41" s="177"/>
      <c r="AB41" s="177"/>
      <c r="AC41" s="177"/>
      <c r="AD41" s="177"/>
      <c r="AE41" s="178"/>
      <c r="AF41" s="114"/>
      <c r="AG41" s="115"/>
      <c r="AH41" s="115"/>
      <c r="AI41" s="115"/>
      <c r="AJ41" s="115"/>
      <c r="AK41" s="115"/>
      <c r="AL41" s="115"/>
      <c r="AM41" s="115"/>
      <c r="AN41" s="116"/>
      <c r="AO41" s="171">
        <v>45681</v>
      </c>
      <c r="AP41" s="172"/>
      <c r="AQ41" s="169" t="s">
        <v>163</v>
      </c>
      <c r="AR41" s="165"/>
      <c r="AS41" s="169" t="s">
        <v>164</v>
      </c>
      <c r="AT41" s="170"/>
      <c r="AU41" s="112"/>
      <c r="AV41" s="113"/>
      <c r="AW41" s="103"/>
      <c r="AX41" s="104"/>
      <c r="AY41" s="103"/>
      <c r="AZ41" s="108"/>
      <c r="BA41" s="109"/>
      <c r="BB41" s="110"/>
      <c r="BC41" s="110"/>
      <c r="BD41" s="110"/>
      <c r="BE41" s="110"/>
      <c r="BF41" s="110"/>
      <c r="BG41" s="110"/>
      <c r="BH41" s="110"/>
      <c r="BI41" s="110"/>
      <c r="BJ41" s="110"/>
      <c r="BK41" s="110"/>
      <c r="BL41" s="111"/>
      <c r="BM41" s="102"/>
      <c r="BN41" s="102"/>
    </row>
    <row r="42" spans="1:66" s="100" customFormat="1" ht="40.799999999999997" customHeight="1" x14ac:dyDescent="0.45">
      <c r="A42" s="101"/>
      <c r="B42" s="101"/>
      <c r="C42" s="122">
        <f t="shared" si="0"/>
        <v>33</v>
      </c>
      <c r="D42" s="105"/>
      <c r="E42" s="106"/>
      <c r="F42" s="106"/>
      <c r="G42" s="107"/>
      <c r="H42" s="105"/>
      <c r="I42" s="106"/>
      <c r="J42" s="106"/>
      <c r="K42" s="107"/>
      <c r="L42" s="185"/>
      <c r="M42" s="186"/>
      <c r="N42" s="186"/>
      <c r="O42" s="187"/>
      <c r="P42" s="179" t="s">
        <v>130</v>
      </c>
      <c r="Q42" s="180"/>
      <c r="R42" s="180"/>
      <c r="S42" s="180"/>
      <c r="T42" s="180"/>
      <c r="U42" s="180"/>
      <c r="V42" s="180"/>
      <c r="W42" s="181"/>
      <c r="X42" s="176" t="s">
        <v>136</v>
      </c>
      <c r="Y42" s="177"/>
      <c r="Z42" s="177"/>
      <c r="AA42" s="177"/>
      <c r="AB42" s="177"/>
      <c r="AC42" s="177"/>
      <c r="AD42" s="177"/>
      <c r="AE42" s="178"/>
      <c r="AF42" s="114"/>
      <c r="AG42" s="115"/>
      <c r="AH42" s="115"/>
      <c r="AI42" s="115"/>
      <c r="AJ42" s="115"/>
      <c r="AK42" s="115"/>
      <c r="AL42" s="115"/>
      <c r="AM42" s="115"/>
      <c r="AN42" s="116"/>
      <c r="AO42" s="171">
        <v>45681</v>
      </c>
      <c r="AP42" s="172"/>
      <c r="AQ42" s="169" t="s">
        <v>163</v>
      </c>
      <c r="AR42" s="165"/>
      <c r="AS42" s="169" t="s">
        <v>165</v>
      </c>
      <c r="AT42" s="170"/>
      <c r="AU42" s="171">
        <v>45702</v>
      </c>
      <c r="AV42" s="172"/>
      <c r="AW42" s="169" t="s">
        <v>174</v>
      </c>
      <c r="AX42" s="165"/>
      <c r="AY42" s="169" t="s">
        <v>170</v>
      </c>
      <c r="AZ42" s="170"/>
      <c r="BA42" s="220" t="s">
        <v>168</v>
      </c>
      <c r="BB42" s="177"/>
      <c r="BC42" s="177"/>
      <c r="BD42" s="177"/>
      <c r="BE42" s="177"/>
      <c r="BF42" s="177"/>
      <c r="BG42" s="177"/>
      <c r="BH42" s="177"/>
      <c r="BI42" s="177"/>
      <c r="BJ42" s="177"/>
      <c r="BK42" s="177"/>
      <c r="BL42" s="221"/>
      <c r="BM42" s="102"/>
      <c r="BN42" s="102"/>
    </row>
    <row r="43" spans="1:66" s="100" customFormat="1" ht="216" customHeight="1" x14ac:dyDescent="0.45">
      <c r="A43" s="101"/>
      <c r="B43" s="101"/>
      <c r="C43" s="122">
        <f t="shared" si="0"/>
        <v>34</v>
      </c>
      <c r="D43" s="105"/>
      <c r="E43" s="106"/>
      <c r="F43" s="106"/>
      <c r="G43" s="107"/>
      <c r="H43" s="105"/>
      <c r="I43" s="106"/>
      <c r="J43" s="106"/>
      <c r="K43" s="107"/>
      <c r="L43" s="182"/>
      <c r="M43" s="183"/>
      <c r="N43" s="183"/>
      <c r="O43" s="184"/>
      <c r="P43" s="182"/>
      <c r="Q43" s="183"/>
      <c r="R43" s="183"/>
      <c r="S43" s="183"/>
      <c r="T43" s="183"/>
      <c r="U43" s="183"/>
      <c r="V43" s="183"/>
      <c r="W43" s="184"/>
      <c r="X43" s="176" t="s">
        <v>137</v>
      </c>
      <c r="Y43" s="177"/>
      <c r="Z43" s="177"/>
      <c r="AA43" s="177"/>
      <c r="AB43" s="177"/>
      <c r="AC43" s="177"/>
      <c r="AD43" s="177"/>
      <c r="AE43" s="178"/>
      <c r="AF43" s="114"/>
      <c r="AG43" s="115"/>
      <c r="AH43" s="115"/>
      <c r="AI43" s="115"/>
      <c r="AJ43" s="115"/>
      <c r="AK43" s="115"/>
      <c r="AL43" s="115"/>
      <c r="AM43" s="115"/>
      <c r="AN43" s="116"/>
      <c r="AO43" s="171">
        <v>45681</v>
      </c>
      <c r="AP43" s="172"/>
      <c r="AQ43" s="169" t="s">
        <v>163</v>
      </c>
      <c r="AR43" s="165"/>
      <c r="AS43" s="169" t="s">
        <v>164</v>
      </c>
      <c r="AT43" s="170"/>
      <c r="AU43" s="112"/>
      <c r="AV43" s="113"/>
      <c r="AW43" s="103"/>
      <c r="AX43" s="104"/>
      <c r="AY43" s="103"/>
      <c r="AZ43" s="108"/>
      <c r="BA43" s="109"/>
      <c r="BB43" s="110"/>
      <c r="BC43" s="110"/>
      <c r="BD43" s="110"/>
      <c r="BE43" s="110"/>
      <c r="BF43" s="110"/>
      <c r="BG43" s="110"/>
      <c r="BH43" s="110"/>
      <c r="BI43" s="110"/>
      <c r="BJ43" s="110"/>
      <c r="BK43" s="110"/>
      <c r="BL43" s="111"/>
      <c r="BM43" s="102"/>
      <c r="BN43" s="102"/>
    </row>
    <row r="44" spans="1:66" s="100" customFormat="1" ht="45" customHeight="1" x14ac:dyDescent="0.45">
      <c r="A44" s="101"/>
      <c r="B44" s="101"/>
      <c r="C44" s="122">
        <f t="shared" si="0"/>
        <v>35</v>
      </c>
      <c r="D44" s="105"/>
      <c r="E44" s="106"/>
      <c r="F44" s="106"/>
      <c r="G44" s="107"/>
      <c r="H44" s="105"/>
      <c r="I44" s="106"/>
      <c r="J44" s="106"/>
      <c r="K44" s="107"/>
      <c r="L44" s="179" t="s">
        <v>135</v>
      </c>
      <c r="M44" s="180"/>
      <c r="N44" s="180"/>
      <c r="O44" s="181"/>
      <c r="P44" s="179" t="s">
        <v>113</v>
      </c>
      <c r="Q44" s="180" t="s">
        <v>113</v>
      </c>
      <c r="R44" s="180"/>
      <c r="S44" s="180"/>
      <c r="T44" s="180"/>
      <c r="U44" s="180"/>
      <c r="V44" s="180"/>
      <c r="W44" s="181"/>
      <c r="X44" s="176" t="s">
        <v>139</v>
      </c>
      <c r="Y44" s="177"/>
      <c r="Z44" s="177"/>
      <c r="AA44" s="177"/>
      <c r="AB44" s="177"/>
      <c r="AC44" s="177"/>
      <c r="AD44" s="177"/>
      <c r="AE44" s="178"/>
      <c r="AF44" s="114"/>
      <c r="AG44" s="115"/>
      <c r="AH44" s="115"/>
      <c r="AI44" s="115"/>
      <c r="AJ44" s="115"/>
      <c r="AK44" s="115"/>
      <c r="AL44" s="115"/>
      <c r="AM44" s="115"/>
      <c r="AN44" s="116"/>
      <c r="AO44" s="171">
        <v>45681</v>
      </c>
      <c r="AP44" s="172"/>
      <c r="AQ44" s="169" t="s">
        <v>163</v>
      </c>
      <c r="AR44" s="165"/>
      <c r="AS44" s="169" t="s">
        <v>164</v>
      </c>
      <c r="AT44" s="170"/>
      <c r="AU44" s="112"/>
      <c r="AV44" s="113"/>
      <c r="AW44" s="103"/>
      <c r="AX44" s="104"/>
      <c r="AY44" s="103"/>
      <c r="AZ44" s="108"/>
      <c r="BA44" s="109"/>
      <c r="BB44" s="110"/>
      <c r="BC44" s="110"/>
      <c r="BD44" s="110"/>
      <c r="BE44" s="110"/>
      <c r="BF44" s="110"/>
      <c r="BG44" s="110"/>
      <c r="BH44" s="110"/>
      <c r="BI44" s="110"/>
      <c r="BJ44" s="110"/>
      <c r="BK44" s="110"/>
      <c r="BL44" s="111"/>
      <c r="BM44" s="102"/>
      <c r="BN44" s="102"/>
    </row>
    <row r="45" spans="1:66" s="100" customFormat="1" ht="218.4" customHeight="1" x14ac:dyDescent="0.45">
      <c r="A45" s="101"/>
      <c r="B45" s="101"/>
      <c r="C45" s="122">
        <f t="shared" si="0"/>
        <v>36</v>
      </c>
      <c r="D45" s="105"/>
      <c r="E45" s="106"/>
      <c r="F45" s="106"/>
      <c r="G45" s="107"/>
      <c r="H45" s="105"/>
      <c r="I45" s="106"/>
      <c r="J45" s="106"/>
      <c r="K45" s="107"/>
      <c r="L45" s="182"/>
      <c r="M45" s="183"/>
      <c r="N45" s="183"/>
      <c r="O45" s="184"/>
      <c r="P45" s="182"/>
      <c r="Q45" s="183"/>
      <c r="R45" s="183"/>
      <c r="S45" s="183"/>
      <c r="T45" s="183"/>
      <c r="U45" s="183"/>
      <c r="V45" s="183"/>
      <c r="W45" s="184"/>
      <c r="X45" s="176" t="s">
        <v>138</v>
      </c>
      <c r="Y45" s="177"/>
      <c r="Z45" s="177"/>
      <c r="AA45" s="177"/>
      <c r="AB45" s="177"/>
      <c r="AC45" s="177"/>
      <c r="AD45" s="177"/>
      <c r="AE45" s="178"/>
      <c r="AF45" s="114"/>
      <c r="AG45" s="115"/>
      <c r="AH45" s="115"/>
      <c r="AI45" s="115"/>
      <c r="AJ45" s="115"/>
      <c r="AK45" s="115"/>
      <c r="AL45" s="115"/>
      <c r="AM45" s="115"/>
      <c r="AN45" s="116"/>
      <c r="AO45" s="171">
        <v>45681</v>
      </c>
      <c r="AP45" s="172"/>
      <c r="AQ45" s="169" t="s">
        <v>163</v>
      </c>
      <c r="AR45" s="165"/>
      <c r="AS45" s="169" t="s">
        <v>164</v>
      </c>
      <c r="AT45" s="170"/>
      <c r="AU45" s="112"/>
      <c r="AV45" s="113"/>
      <c r="AW45" s="103"/>
      <c r="AX45" s="104"/>
      <c r="AY45" s="103"/>
      <c r="AZ45" s="108"/>
      <c r="BA45" s="109"/>
      <c r="BB45" s="110"/>
      <c r="BC45" s="110"/>
      <c r="BD45" s="110"/>
      <c r="BE45" s="110"/>
      <c r="BF45" s="110"/>
      <c r="BG45" s="110"/>
      <c r="BH45" s="110"/>
      <c r="BI45" s="110"/>
      <c r="BJ45" s="110"/>
      <c r="BK45" s="110"/>
      <c r="BL45" s="111"/>
      <c r="BM45" s="102"/>
      <c r="BN45" s="102"/>
    </row>
    <row r="46" spans="1:66" s="117" customFormat="1" ht="24" customHeight="1" x14ac:dyDescent="0.45">
      <c r="A46" s="118"/>
      <c r="B46" s="118"/>
      <c r="C46" s="122">
        <f t="shared" si="0"/>
        <v>37</v>
      </c>
      <c r="D46" s="132"/>
      <c r="E46" s="133"/>
      <c r="F46" s="133"/>
      <c r="G46" s="134"/>
      <c r="H46" s="132"/>
      <c r="I46" s="133"/>
      <c r="J46" s="133"/>
      <c r="K46" s="134"/>
      <c r="L46" s="179" t="s">
        <v>146</v>
      </c>
      <c r="M46" s="180"/>
      <c r="N46" s="180"/>
      <c r="O46" s="181"/>
      <c r="P46" s="176" t="s">
        <v>147</v>
      </c>
      <c r="Q46" s="177"/>
      <c r="R46" s="177"/>
      <c r="S46" s="177"/>
      <c r="T46" s="177"/>
      <c r="U46" s="177"/>
      <c r="V46" s="177"/>
      <c r="W46" s="178"/>
      <c r="X46" s="176" t="s">
        <v>148</v>
      </c>
      <c r="Y46" s="177"/>
      <c r="Z46" s="177"/>
      <c r="AA46" s="177"/>
      <c r="AB46" s="177"/>
      <c r="AC46" s="177"/>
      <c r="AD46" s="177"/>
      <c r="AE46" s="178"/>
      <c r="AF46" s="126"/>
      <c r="AG46" s="127"/>
      <c r="AH46" s="127"/>
      <c r="AI46" s="127"/>
      <c r="AJ46" s="127"/>
      <c r="AK46" s="127"/>
      <c r="AL46" s="127"/>
      <c r="AM46" s="127"/>
      <c r="AN46" s="128"/>
      <c r="AO46" s="171">
        <v>45681</v>
      </c>
      <c r="AP46" s="172"/>
      <c r="AQ46" s="169" t="s">
        <v>163</v>
      </c>
      <c r="AR46" s="165"/>
      <c r="AS46" s="169" t="s">
        <v>170</v>
      </c>
      <c r="AT46" s="170"/>
      <c r="AU46" s="129"/>
      <c r="AV46" s="130"/>
      <c r="AW46" s="120"/>
      <c r="AX46" s="121"/>
      <c r="AY46" s="120"/>
      <c r="AZ46" s="131"/>
      <c r="BA46" s="220"/>
      <c r="BB46" s="177"/>
      <c r="BC46" s="177"/>
      <c r="BD46" s="177"/>
      <c r="BE46" s="177"/>
      <c r="BF46" s="177"/>
      <c r="BG46" s="177"/>
      <c r="BH46" s="177"/>
      <c r="BI46" s="177"/>
      <c r="BJ46" s="177"/>
      <c r="BK46" s="177"/>
      <c r="BL46" s="221"/>
      <c r="BM46" s="119"/>
      <c r="BN46" s="119"/>
    </row>
    <row r="47" spans="1:66" s="117" customFormat="1" ht="24" customHeight="1" x14ac:dyDescent="0.45">
      <c r="A47" s="118"/>
      <c r="B47" s="118"/>
      <c r="C47" s="122">
        <f t="shared" si="0"/>
        <v>38</v>
      </c>
      <c r="D47" s="132"/>
      <c r="E47" s="133"/>
      <c r="F47" s="133"/>
      <c r="G47" s="134"/>
      <c r="H47" s="132"/>
      <c r="I47" s="133"/>
      <c r="J47" s="133"/>
      <c r="K47" s="134"/>
      <c r="L47" s="132"/>
      <c r="M47" s="133"/>
      <c r="N47" s="133"/>
      <c r="O47" s="134"/>
      <c r="P47" s="176" t="s">
        <v>149</v>
      </c>
      <c r="Q47" s="177"/>
      <c r="R47" s="177"/>
      <c r="S47" s="177"/>
      <c r="T47" s="177"/>
      <c r="U47" s="177"/>
      <c r="V47" s="177"/>
      <c r="W47" s="178"/>
      <c r="X47" s="176" t="s">
        <v>154</v>
      </c>
      <c r="Y47" s="177"/>
      <c r="Z47" s="177"/>
      <c r="AA47" s="177"/>
      <c r="AB47" s="177"/>
      <c r="AC47" s="177"/>
      <c r="AD47" s="177"/>
      <c r="AE47" s="178"/>
      <c r="AF47" s="126"/>
      <c r="AG47" s="127"/>
      <c r="AH47" s="127"/>
      <c r="AI47" s="127"/>
      <c r="AJ47" s="127"/>
      <c r="AK47" s="127"/>
      <c r="AL47" s="127"/>
      <c r="AM47" s="127"/>
      <c r="AN47" s="128"/>
      <c r="AO47" s="171">
        <v>45681</v>
      </c>
      <c r="AP47" s="172"/>
      <c r="AQ47" s="169" t="s">
        <v>163</v>
      </c>
      <c r="AR47" s="165"/>
      <c r="AS47" s="169" t="s">
        <v>170</v>
      </c>
      <c r="AT47" s="170"/>
      <c r="AU47" s="129"/>
      <c r="AV47" s="130"/>
      <c r="AW47" s="120"/>
      <c r="AX47" s="121"/>
      <c r="AY47" s="120"/>
      <c r="AZ47" s="131"/>
      <c r="BA47" s="123"/>
      <c r="BB47" s="124"/>
      <c r="BC47" s="124"/>
      <c r="BD47" s="124"/>
      <c r="BE47" s="124"/>
      <c r="BF47" s="124"/>
      <c r="BG47" s="124"/>
      <c r="BH47" s="124"/>
      <c r="BI47" s="124"/>
      <c r="BJ47" s="124"/>
      <c r="BK47" s="124"/>
      <c r="BL47" s="125"/>
      <c r="BM47" s="119"/>
      <c r="BN47" s="119"/>
    </row>
    <row r="48" spans="1:66" s="117" customFormat="1" ht="24" customHeight="1" x14ac:dyDescent="0.45">
      <c r="A48" s="118"/>
      <c r="B48" s="118"/>
      <c r="C48" s="122">
        <f t="shared" si="0"/>
        <v>39</v>
      </c>
      <c r="D48" s="132"/>
      <c r="E48" s="133"/>
      <c r="F48" s="133"/>
      <c r="G48" s="134"/>
      <c r="H48" s="132"/>
      <c r="I48" s="133"/>
      <c r="J48" s="133"/>
      <c r="K48" s="134"/>
      <c r="L48" s="132"/>
      <c r="M48" s="133"/>
      <c r="N48" s="133"/>
      <c r="O48" s="134"/>
      <c r="P48" s="176" t="s">
        <v>150</v>
      </c>
      <c r="Q48" s="177"/>
      <c r="R48" s="177"/>
      <c r="S48" s="177"/>
      <c r="T48" s="177"/>
      <c r="U48" s="177"/>
      <c r="V48" s="177"/>
      <c r="W48" s="178"/>
      <c r="X48" s="176" t="s">
        <v>155</v>
      </c>
      <c r="Y48" s="177"/>
      <c r="Z48" s="177"/>
      <c r="AA48" s="177"/>
      <c r="AB48" s="177"/>
      <c r="AC48" s="177"/>
      <c r="AD48" s="177"/>
      <c r="AE48" s="178"/>
      <c r="AF48" s="126"/>
      <c r="AG48" s="127"/>
      <c r="AH48" s="127"/>
      <c r="AI48" s="127"/>
      <c r="AJ48" s="127"/>
      <c r="AK48" s="127"/>
      <c r="AL48" s="127"/>
      <c r="AM48" s="127"/>
      <c r="AN48" s="128"/>
      <c r="AO48" s="171">
        <v>45681</v>
      </c>
      <c r="AP48" s="172"/>
      <c r="AQ48" s="169" t="s">
        <v>163</v>
      </c>
      <c r="AR48" s="165"/>
      <c r="AS48" s="169" t="s">
        <v>165</v>
      </c>
      <c r="AT48" s="170"/>
      <c r="AU48" s="171">
        <v>45702</v>
      </c>
      <c r="AV48" s="172"/>
      <c r="AW48" s="169" t="s">
        <v>174</v>
      </c>
      <c r="AX48" s="165"/>
      <c r="AY48" s="169" t="s">
        <v>170</v>
      </c>
      <c r="AZ48" s="170"/>
      <c r="BA48" s="220" t="s">
        <v>171</v>
      </c>
      <c r="BB48" s="177"/>
      <c r="BC48" s="177"/>
      <c r="BD48" s="177"/>
      <c r="BE48" s="177"/>
      <c r="BF48" s="177"/>
      <c r="BG48" s="177"/>
      <c r="BH48" s="177"/>
      <c r="BI48" s="177"/>
      <c r="BJ48" s="177"/>
      <c r="BK48" s="177"/>
      <c r="BL48" s="221"/>
      <c r="BM48" s="119"/>
      <c r="BN48" s="119"/>
    </row>
    <row r="49" spans="1:66" s="117" customFormat="1" ht="24" customHeight="1" x14ac:dyDescent="0.45">
      <c r="A49" s="118"/>
      <c r="B49" s="118"/>
      <c r="C49" s="122">
        <f t="shared" si="0"/>
        <v>40</v>
      </c>
      <c r="D49" s="132"/>
      <c r="E49" s="133"/>
      <c r="F49" s="133"/>
      <c r="G49" s="134"/>
      <c r="H49" s="132"/>
      <c r="I49" s="133"/>
      <c r="J49" s="133"/>
      <c r="K49" s="134"/>
      <c r="L49" s="132"/>
      <c r="M49" s="133"/>
      <c r="N49" s="133"/>
      <c r="O49" s="134"/>
      <c r="P49" s="176" t="s">
        <v>151</v>
      </c>
      <c r="Q49" s="177"/>
      <c r="R49" s="177"/>
      <c r="S49" s="177"/>
      <c r="T49" s="177"/>
      <c r="U49" s="177"/>
      <c r="V49" s="177"/>
      <c r="W49" s="178"/>
      <c r="X49" s="176" t="s">
        <v>156</v>
      </c>
      <c r="Y49" s="177"/>
      <c r="Z49" s="177"/>
      <c r="AA49" s="177"/>
      <c r="AB49" s="177"/>
      <c r="AC49" s="177"/>
      <c r="AD49" s="177"/>
      <c r="AE49" s="178"/>
      <c r="AF49" s="126"/>
      <c r="AG49" s="127"/>
      <c r="AH49" s="127"/>
      <c r="AI49" s="127"/>
      <c r="AJ49" s="127"/>
      <c r="AK49" s="127"/>
      <c r="AL49" s="127"/>
      <c r="AM49" s="127"/>
      <c r="AN49" s="128"/>
      <c r="AO49" s="171">
        <v>45681</v>
      </c>
      <c r="AP49" s="172"/>
      <c r="AQ49" s="169" t="s">
        <v>163</v>
      </c>
      <c r="AR49" s="165"/>
      <c r="AS49" s="169" t="s">
        <v>165</v>
      </c>
      <c r="AT49" s="170"/>
      <c r="AU49" s="171">
        <v>45702</v>
      </c>
      <c r="AV49" s="172"/>
      <c r="AW49" s="169" t="s">
        <v>174</v>
      </c>
      <c r="AX49" s="165"/>
      <c r="AY49" s="169" t="s">
        <v>170</v>
      </c>
      <c r="AZ49" s="170"/>
      <c r="BA49" s="220" t="s">
        <v>172</v>
      </c>
      <c r="BB49" s="177"/>
      <c r="BC49" s="177"/>
      <c r="BD49" s="177"/>
      <c r="BE49" s="177"/>
      <c r="BF49" s="177"/>
      <c r="BG49" s="177"/>
      <c r="BH49" s="177"/>
      <c r="BI49" s="177"/>
      <c r="BJ49" s="177"/>
      <c r="BK49" s="177"/>
      <c r="BL49" s="221"/>
      <c r="BM49" s="119"/>
      <c r="BN49" s="119"/>
    </row>
    <row r="50" spans="1:66" s="117" customFormat="1" ht="24" customHeight="1" x14ac:dyDescent="0.45">
      <c r="A50" s="118"/>
      <c r="B50" s="118"/>
      <c r="C50" s="122">
        <f t="shared" si="0"/>
        <v>41</v>
      </c>
      <c r="D50" s="132"/>
      <c r="E50" s="133"/>
      <c r="F50" s="133"/>
      <c r="G50" s="134"/>
      <c r="H50" s="132"/>
      <c r="I50" s="133"/>
      <c r="J50" s="133"/>
      <c r="K50" s="134"/>
      <c r="L50" s="214"/>
      <c r="M50" s="215"/>
      <c r="N50" s="215"/>
      <c r="O50" s="216"/>
      <c r="P50" s="176" t="s">
        <v>152</v>
      </c>
      <c r="Q50" s="177"/>
      <c r="R50" s="177"/>
      <c r="S50" s="177"/>
      <c r="T50" s="177"/>
      <c r="U50" s="177"/>
      <c r="V50" s="177"/>
      <c r="W50" s="178"/>
      <c r="X50" s="176" t="s">
        <v>157</v>
      </c>
      <c r="Y50" s="177"/>
      <c r="Z50" s="177"/>
      <c r="AA50" s="177"/>
      <c r="AB50" s="177"/>
      <c r="AC50" s="177"/>
      <c r="AD50" s="177"/>
      <c r="AE50" s="178"/>
      <c r="AF50" s="126"/>
      <c r="AG50" s="127"/>
      <c r="AH50" s="127"/>
      <c r="AI50" s="127"/>
      <c r="AJ50" s="127"/>
      <c r="AK50" s="127"/>
      <c r="AL50" s="127"/>
      <c r="AM50" s="127"/>
      <c r="AN50" s="128"/>
      <c r="AO50" s="171">
        <v>45681</v>
      </c>
      <c r="AP50" s="172"/>
      <c r="AQ50" s="169" t="s">
        <v>163</v>
      </c>
      <c r="AR50" s="165"/>
      <c r="AS50" s="169" t="s">
        <v>170</v>
      </c>
      <c r="AT50" s="170"/>
      <c r="AU50" s="129"/>
      <c r="AV50" s="130"/>
      <c r="AW50" s="120"/>
      <c r="AX50" s="121"/>
      <c r="AY50" s="120"/>
      <c r="AZ50" s="131"/>
      <c r="BA50" s="123"/>
      <c r="BB50" s="124"/>
      <c r="BC50" s="124"/>
      <c r="BD50" s="124"/>
      <c r="BE50" s="124"/>
      <c r="BF50" s="124"/>
      <c r="BG50" s="124"/>
      <c r="BH50" s="124"/>
      <c r="BI50" s="124"/>
      <c r="BJ50" s="124"/>
      <c r="BK50" s="124"/>
      <c r="BL50" s="125"/>
      <c r="BM50" s="119"/>
      <c r="BN50" s="119"/>
    </row>
    <row r="51" spans="1:66" s="117" customFormat="1" ht="24" customHeight="1" x14ac:dyDescent="0.45">
      <c r="A51" s="118"/>
      <c r="B51" s="118"/>
      <c r="C51" s="122">
        <f t="shared" si="0"/>
        <v>42</v>
      </c>
      <c r="D51" s="132"/>
      <c r="E51" s="133"/>
      <c r="F51" s="133"/>
      <c r="G51" s="134"/>
      <c r="H51" s="132"/>
      <c r="I51" s="133"/>
      <c r="J51" s="133"/>
      <c r="K51" s="134"/>
      <c r="L51" s="182"/>
      <c r="M51" s="183"/>
      <c r="N51" s="183"/>
      <c r="O51" s="184"/>
      <c r="P51" s="176" t="s">
        <v>153</v>
      </c>
      <c r="Q51" s="177"/>
      <c r="R51" s="177"/>
      <c r="S51" s="177"/>
      <c r="T51" s="177"/>
      <c r="U51" s="177"/>
      <c r="V51" s="177"/>
      <c r="W51" s="178"/>
      <c r="X51" s="176" t="s">
        <v>158</v>
      </c>
      <c r="Y51" s="177"/>
      <c r="Z51" s="177"/>
      <c r="AA51" s="177"/>
      <c r="AB51" s="177"/>
      <c r="AC51" s="177"/>
      <c r="AD51" s="177"/>
      <c r="AE51" s="178"/>
      <c r="AF51" s="126"/>
      <c r="AG51" s="127"/>
      <c r="AH51" s="127"/>
      <c r="AI51" s="127"/>
      <c r="AJ51" s="127"/>
      <c r="AK51" s="127"/>
      <c r="AL51" s="127"/>
      <c r="AM51" s="127"/>
      <c r="AN51" s="128"/>
      <c r="AO51" s="171">
        <v>45681</v>
      </c>
      <c r="AP51" s="172"/>
      <c r="AQ51" s="169" t="s">
        <v>163</v>
      </c>
      <c r="AR51" s="165"/>
      <c r="AS51" s="169" t="s">
        <v>170</v>
      </c>
      <c r="AT51" s="170"/>
      <c r="AU51" s="129"/>
      <c r="AV51" s="130"/>
      <c r="AW51" s="120"/>
      <c r="AX51" s="121"/>
      <c r="AY51" s="120"/>
      <c r="AZ51" s="131"/>
      <c r="BA51" s="220"/>
      <c r="BB51" s="177"/>
      <c r="BC51" s="177"/>
      <c r="BD51" s="177"/>
      <c r="BE51" s="177"/>
      <c r="BF51" s="177"/>
      <c r="BG51" s="177"/>
      <c r="BH51" s="177"/>
      <c r="BI51" s="177"/>
      <c r="BJ51" s="177"/>
      <c r="BK51" s="177"/>
      <c r="BL51" s="221"/>
      <c r="BM51" s="119"/>
      <c r="BN51" s="119"/>
    </row>
    <row r="52" spans="1:66" s="117" customFormat="1" ht="42.6" customHeight="1" x14ac:dyDescent="0.45">
      <c r="A52" s="118"/>
      <c r="B52" s="118"/>
      <c r="C52" s="122">
        <f t="shared" si="0"/>
        <v>43</v>
      </c>
      <c r="D52" s="132"/>
      <c r="E52" s="133"/>
      <c r="F52" s="133"/>
      <c r="G52" s="134"/>
      <c r="H52" s="132"/>
      <c r="I52" s="133"/>
      <c r="J52" s="133"/>
      <c r="K52" s="134"/>
      <c r="L52" s="176" t="s">
        <v>159</v>
      </c>
      <c r="M52" s="177"/>
      <c r="N52" s="177"/>
      <c r="O52" s="178"/>
      <c r="P52" s="176" t="s">
        <v>160</v>
      </c>
      <c r="Q52" s="177"/>
      <c r="R52" s="177"/>
      <c r="S52" s="177"/>
      <c r="T52" s="177"/>
      <c r="U52" s="177"/>
      <c r="V52" s="177"/>
      <c r="W52" s="178"/>
      <c r="X52" s="176" t="s">
        <v>162</v>
      </c>
      <c r="Y52" s="177"/>
      <c r="Z52" s="177"/>
      <c r="AA52" s="177"/>
      <c r="AB52" s="177"/>
      <c r="AC52" s="177"/>
      <c r="AD52" s="177"/>
      <c r="AE52" s="178"/>
      <c r="AF52" s="126"/>
      <c r="AG52" s="127"/>
      <c r="AH52" s="127"/>
      <c r="AI52" s="127"/>
      <c r="AJ52" s="127"/>
      <c r="AK52" s="127"/>
      <c r="AL52" s="127"/>
      <c r="AM52" s="127"/>
      <c r="AN52" s="128"/>
      <c r="AO52" s="171">
        <v>45681</v>
      </c>
      <c r="AP52" s="172"/>
      <c r="AQ52" s="169" t="s">
        <v>163</v>
      </c>
      <c r="AR52" s="165"/>
      <c r="AS52" s="169" t="s">
        <v>165</v>
      </c>
      <c r="AT52" s="170"/>
      <c r="AU52" s="171">
        <v>45702</v>
      </c>
      <c r="AV52" s="172"/>
      <c r="AW52" s="169" t="s">
        <v>174</v>
      </c>
      <c r="AX52" s="165"/>
      <c r="AY52" s="169" t="s">
        <v>170</v>
      </c>
      <c r="AZ52" s="170"/>
      <c r="BA52" s="220" t="s">
        <v>173</v>
      </c>
      <c r="BB52" s="177"/>
      <c r="BC52" s="177"/>
      <c r="BD52" s="177"/>
      <c r="BE52" s="177"/>
      <c r="BF52" s="177"/>
      <c r="BG52" s="177"/>
      <c r="BH52" s="177"/>
      <c r="BI52" s="177"/>
      <c r="BJ52" s="177"/>
      <c r="BK52" s="177"/>
      <c r="BL52" s="221"/>
      <c r="BM52" s="119"/>
      <c r="BN52" s="119"/>
    </row>
    <row r="53" spans="1:66" ht="24" customHeight="1" x14ac:dyDescent="0.45">
      <c r="A53" s="10"/>
      <c r="B53" s="10"/>
      <c r="C53" s="122">
        <f t="shared" si="0"/>
        <v>44</v>
      </c>
      <c r="D53" s="88"/>
      <c r="E53" s="89"/>
      <c r="F53" s="89"/>
      <c r="G53" s="90"/>
      <c r="H53" s="88"/>
      <c r="I53" s="89"/>
      <c r="J53" s="89"/>
      <c r="K53" s="90"/>
      <c r="L53" s="176" t="s">
        <v>48</v>
      </c>
      <c r="M53" s="177"/>
      <c r="N53" s="177"/>
      <c r="O53" s="178"/>
      <c r="P53" s="176" t="s">
        <v>49</v>
      </c>
      <c r="Q53" s="177"/>
      <c r="R53" s="177"/>
      <c r="S53" s="177"/>
      <c r="T53" s="177"/>
      <c r="U53" s="177"/>
      <c r="V53" s="177"/>
      <c r="W53" s="178"/>
      <c r="X53" s="176" t="s">
        <v>50</v>
      </c>
      <c r="Y53" s="177"/>
      <c r="Z53" s="177"/>
      <c r="AA53" s="177"/>
      <c r="AB53" s="177"/>
      <c r="AC53" s="177"/>
      <c r="AD53" s="177"/>
      <c r="AE53" s="178"/>
      <c r="AF53" s="95"/>
      <c r="AG53" s="96"/>
      <c r="AH53" s="96"/>
      <c r="AI53" s="96"/>
      <c r="AJ53" s="96"/>
      <c r="AK53" s="96"/>
      <c r="AL53" s="96"/>
      <c r="AM53" s="96"/>
      <c r="AN53" s="97"/>
      <c r="AO53" s="171">
        <v>45681</v>
      </c>
      <c r="AP53" s="172"/>
      <c r="AQ53" s="169" t="s">
        <v>163</v>
      </c>
      <c r="AR53" s="165"/>
      <c r="AS53" s="169" t="s">
        <v>170</v>
      </c>
      <c r="AT53" s="170"/>
      <c r="AU53" s="98"/>
      <c r="AV53" s="99"/>
      <c r="AW53" s="86"/>
      <c r="AX53" s="87"/>
      <c r="AY53" s="86"/>
      <c r="AZ53" s="91"/>
      <c r="BA53" s="92"/>
      <c r="BB53" s="93"/>
      <c r="BC53" s="93"/>
      <c r="BD53" s="93"/>
      <c r="BE53" s="93"/>
      <c r="BF53" s="93"/>
      <c r="BG53" s="93"/>
      <c r="BH53" s="93"/>
      <c r="BI53" s="93"/>
      <c r="BJ53" s="93"/>
      <c r="BK53" s="93"/>
      <c r="BL53" s="94"/>
      <c r="BM53" s="16"/>
      <c r="BN53" s="16"/>
    </row>
    <row r="54" spans="1:66" ht="28.2" customHeight="1" x14ac:dyDescent="0.45">
      <c r="A54" s="10"/>
      <c r="B54" s="10"/>
      <c r="C54" s="122">
        <f t="shared" si="0"/>
        <v>45</v>
      </c>
      <c r="D54" s="214"/>
      <c r="E54" s="215"/>
      <c r="F54" s="215"/>
      <c r="G54" s="216"/>
      <c r="H54" s="179" t="s">
        <v>55</v>
      </c>
      <c r="I54" s="180"/>
      <c r="J54" s="180"/>
      <c r="K54" s="181"/>
      <c r="L54" s="179" t="s">
        <v>98</v>
      </c>
      <c r="M54" s="180"/>
      <c r="N54" s="180"/>
      <c r="O54" s="181"/>
      <c r="P54" s="188" t="s">
        <v>52</v>
      </c>
      <c r="Q54" s="189"/>
      <c r="R54" s="189"/>
      <c r="S54" s="189"/>
      <c r="T54" s="189"/>
      <c r="U54" s="189"/>
      <c r="V54" s="189"/>
      <c r="W54" s="190"/>
      <c r="X54" s="176" t="s">
        <v>44</v>
      </c>
      <c r="Y54" s="177"/>
      <c r="Z54" s="177"/>
      <c r="AA54" s="177"/>
      <c r="AB54" s="177"/>
      <c r="AC54" s="177"/>
      <c r="AD54" s="177"/>
      <c r="AE54" s="178"/>
      <c r="AF54" s="176"/>
      <c r="AG54" s="177"/>
      <c r="AH54" s="177"/>
      <c r="AI54" s="177"/>
      <c r="AJ54" s="177"/>
      <c r="AK54" s="177"/>
      <c r="AL54" s="177"/>
      <c r="AM54" s="177"/>
      <c r="AN54" s="191"/>
      <c r="AO54" s="171">
        <v>45681</v>
      </c>
      <c r="AP54" s="172"/>
      <c r="AQ54" s="169" t="s">
        <v>163</v>
      </c>
      <c r="AR54" s="165"/>
      <c r="AS54" s="169" t="s">
        <v>170</v>
      </c>
      <c r="AT54" s="170"/>
      <c r="AU54" s="171"/>
      <c r="AV54" s="172"/>
      <c r="AW54" s="169"/>
      <c r="AX54" s="165"/>
      <c r="AY54" s="169"/>
      <c r="AZ54" s="170"/>
      <c r="BA54" s="201"/>
      <c r="BB54" s="202"/>
      <c r="BC54" s="202"/>
      <c r="BD54" s="202"/>
      <c r="BE54" s="202"/>
      <c r="BF54" s="202"/>
      <c r="BG54" s="202"/>
      <c r="BH54" s="202"/>
      <c r="BI54" s="202"/>
      <c r="BJ54" s="202"/>
      <c r="BK54" s="202"/>
      <c r="BL54" s="203"/>
      <c r="BM54" s="16"/>
      <c r="BN54" s="16"/>
    </row>
    <row r="55" spans="1:66" ht="20.100000000000001" customHeight="1" x14ac:dyDescent="0.45">
      <c r="A55" s="10"/>
      <c r="B55" s="10"/>
      <c r="C55" s="122">
        <f t="shared" si="0"/>
        <v>46</v>
      </c>
      <c r="D55" s="214"/>
      <c r="E55" s="215"/>
      <c r="F55" s="215"/>
      <c r="G55" s="216"/>
      <c r="H55" s="214"/>
      <c r="I55" s="215"/>
      <c r="J55" s="215"/>
      <c r="K55" s="216"/>
      <c r="L55" s="176" t="s">
        <v>97</v>
      </c>
      <c r="M55" s="177"/>
      <c r="N55" s="177"/>
      <c r="O55" s="178"/>
      <c r="P55" s="188" t="s">
        <v>53</v>
      </c>
      <c r="Q55" s="189"/>
      <c r="R55" s="189"/>
      <c r="S55" s="189"/>
      <c r="T55" s="189"/>
      <c r="U55" s="189"/>
      <c r="V55" s="189"/>
      <c r="W55" s="190"/>
      <c r="X55" s="176" t="s">
        <v>44</v>
      </c>
      <c r="Y55" s="177"/>
      <c r="Z55" s="177"/>
      <c r="AA55" s="177"/>
      <c r="AB55" s="177"/>
      <c r="AC55" s="177"/>
      <c r="AD55" s="177"/>
      <c r="AE55" s="178"/>
      <c r="AF55" s="176"/>
      <c r="AG55" s="177"/>
      <c r="AH55" s="177"/>
      <c r="AI55" s="177"/>
      <c r="AJ55" s="177"/>
      <c r="AK55" s="177"/>
      <c r="AL55" s="177"/>
      <c r="AM55" s="177"/>
      <c r="AN55" s="191"/>
      <c r="AO55" s="171">
        <v>45681</v>
      </c>
      <c r="AP55" s="172"/>
      <c r="AQ55" s="169" t="s">
        <v>163</v>
      </c>
      <c r="AR55" s="165"/>
      <c r="AS55" s="169" t="s">
        <v>170</v>
      </c>
      <c r="AT55" s="170"/>
      <c r="AU55" s="171"/>
      <c r="AV55" s="172"/>
      <c r="AW55" s="169"/>
      <c r="AX55" s="165"/>
      <c r="AY55" s="169"/>
      <c r="AZ55" s="170"/>
      <c r="BA55" s="201"/>
      <c r="BB55" s="202"/>
      <c r="BC55" s="202"/>
      <c r="BD55" s="202"/>
      <c r="BE55" s="202"/>
      <c r="BF55" s="202"/>
      <c r="BG55" s="202"/>
      <c r="BH55" s="202"/>
      <c r="BI55" s="202"/>
      <c r="BJ55" s="202"/>
      <c r="BK55" s="202"/>
      <c r="BL55" s="203"/>
      <c r="BM55" s="16"/>
      <c r="BN55" s="16"/>
    </row>
    <row r="56" spans="1:66" ht="27.6" customHeight="1" thickBot="1" x14ac:dyDescent="0.5">
      <c r="A56" s="10"/>
      <c r="B56" s="10"/>
      <c r="C56" s="122">
        <f t="shared" si="0"/>
        <v>47</v>
      </c>
      <c r="D56" s="49"/>
      <c r="E56" s="50"/>
      <c r="F56" s="50"/>
      <c r="G56" s="51"/>
      <c r="H56" s="49"/>
      <c r="I56" s="50"/>
      <c r="J56" s="50"/>
      <c r="K56" s="51"/>
      <c r="L56" s="173" t="s">
        <v>145</v>
      </c>
      <c r="M56" s="174"/>
      <c r="N56" s="174"/>
      <c r="O56" s="175"/>
      <c r="P56" s="176" t="s">
        <v>54</v>
      </c>
      <c r="Q56" s="177"/>
      <c r="R56" s="177"/>
      <c r="S56" s="177"/>
      <c r="T56" s="177"/>
      <c r="U56" s="177"/>
      <c r="V56" s="177"/>
      <c r="W56" s="178"/>
      <c r="X56" s="176" t="s">
        <v>44</v>
      </c>
      <c r="Y56" s="177"/>
      <c r="Z56" s="177"/>
      <c r="AA56" s="177"/>
      <c r="AB56" s="177"/>
      <c r="AC56" s="177"/>
      <c r="AD56" s="177"/>
      <c r="AE56" s="178"/>
      <c r="AF56" s="40"/>
      <c r="AG56" s="41"/>
      <c r="AH56" s="41"/>
      <c r="AI56" s="41"/>
      <c r="AJ56" s="41"/>
      <c r="AK56" s="41"/>
      <c r="AL56" s="41"/>
      <c r="AM56" s="41"/>
      <c r="AN56" s="42"/>
      <c r="AO56" s="171">
        <v>45681</v>
      </c>
      <c r="AP56" s="172"/>
      <c r="AQ56" s="169" t="s">
        <v>163</v>
      </c>
      <c r="AR56" s="165"/>
      <c r="AS56" s="169" t="s">
        <v>170</v>
      </c>
      <c r="AT56" s="170"/>
      <c r="AU56" s="43"/>
      <c r="AV56" s="44"/>
      <c r="AW56" s="36"/>
      <c r="AX56" s="35"/>
      <c r="AY56" s="36"/>
      <c r="AZ56" s="45"/>
      <c r="BA56" s="37"/>
      <c r="BB56" s="38"/>
      <c r="BC56" s="38"/>
      <c r="BD56" s="38"/>
      <c r="BE56" s="38"/>
      <c r="BF56" s="38"/>
      <c r="BG56" s="38"/>
      <c r="BH56" s="38"/>
      <c r="BI56" s="38"/>
      <c r="BJ56" s="38"/>
      <c r="BK56" s="38"/>
      <c r="BL56" s="39"/>
      <c r="BM56" s="16"/>
      <c r="BN56" s="16"/>
    </row>
    <row r="57" spans="1:66" ht="20.100000000000001" customHeight="1" thickTop="1" thickBot="1" x14ac:dyDescent="0.5">
      <c r="A57" s="10"/>
      <c r="B57" s="8"/>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8"/>
      <c r="BN57" s="16"/>
    </row>
    <row r="58" spans="1:66" ht="5.0999999999999996" customHeight="1" thickTop="1" x14ac:dyDescent="0.45">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row>
    <row r="59" spans="1:66" ht="20.100000000000001" customHeight="1" x14ac:dyDescent="0.45">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row>
  </sheetData>
  <mergeCells count="382">
    <mergeCell ref="AO53:AP53"/>
    <mergeCell ref="AQ53:AR53"/>
    <mergeCell ref="AS53:AT53"/>
    <mergeCell ref="AO52:AP52"/>
    <mergeCell ref="AQ52:AR52"/>
    <mergeCell ref="AS52:AT52"/>
    <mergeCell ref="BA52:BL52"/>
    <mergeCell ref="AO56:AP56"/>
    <mergeCell ref="AQ56:AR56"/>
    <mergeCell ref="AS56:AT56"/>
    <mergeCell ref="AW55:AX55"/>
    <mergeCell ref="AO54:AP54"/>
    <mergeCell ref="AQ54:AR54"/>
    <mergeCell ref="AS54:AT54"/>
    <mergeCell ref="AU54:AV54"/>
    <mergeCell ref="AW54:AX54"/>
    <mergeCell ref="AU52:AV52"/>
    <mergeCell ref="AW52:AX52"/>
    <mergeCell ref="AY52:AZ52"/>
    <mergeCell ref="AO47:AP47"/>
    <mergeCell ref="AQ47:AR47"/>
    <mergeCell ref="AS47:AT47"/>
    <mergeCell ref="AO48:AP48"/>
    <mergeCell ref="AQ48:AR48"/>
    <mergeCell ref="AS48:AT48"/>
    <mergeCell ref="BA48:BL48"/>
    <mergeCell ref="AO51:AP51"/>
    <mergeCell ref="AQ51:AR51"/>
    <mergeCell ref="AS51:AT51"/>
    <mergeCell ref="AO50:AP50"/>
    <mergeCell ref="AQ50:AR50"/>
    <mergeCell ref="AS50:AT50"/>
    <mergeCell ref="AO49:AP49"/>
    <mergeCell ref="AQ49:AR49"/>
    <mergeCell ref="AS49:AT49"/>
    <mergeCell ref="BA49:BL49"/>
    <mergeCell ref="BA51:BL51"/>
    <mergeCell ref="AU49:AV49"/>
    <mergeCell ref="AW49:AX49"/>
    <mergeCell ref="AY49:AZ49"/>
    <mergeCell ref="BA42:BL42"/>
    <mergeCell ref="AO44:AP44"/>
    <mergeCell ref="AQ44:AR44"/>
    <mergeCell ref="AS44:AT44"/>
    <mergeCell ref="AO45:AP45"/>
    <mergeCell ref="AQ45:AR45"/>
    <mergeCell ref="AS45:AT45"/>
    <mergeCell ref="AO46:AP46"/>
    <mergeCell ref="AQ46:AR46"/>
    <mergeCell ref="AS46:AT46"/>
    <mergeCell ref="BA46:BL46"/>
    <mergeCell ref="AO41:AP41"/>
    <mergeCell ref="AQ41:AR41"/>
    <mergeCell ref="AS41:AT41"/>
    <mergeCell ref="AO42:AP42"/>
    <mergeCell ref="AQ42:AR42"/>
    <mergeCell ref="AS42:AT42"/>
    <mergeCell ref="AO43:AP43"/>
    <mergeCell ref="AQ43:AR43"/>
    <mergeCell ref="AS43:AT43"/>
    <mergeCell ref="AO35:AP35"/>
    <mergeCell ref="AQ35:AR35"/>
    <mergeCell ref="AS35:AT35"/>
    <mergeCell ref="AO36:AP36"/>
    <mergeCell ref="AQ36:AR36"/>
    <mergeCell ref="AS36:AT36"/>
    <mergeCell ref="AO37:AP37"/>
    <mergeCell ref="AQ37:AR37"/>
    <mergeCell ref="AS37:AT37"/>
    <mergeCell ref="BA37:BL37"/>
    <mergeCell ref="AO38:AP38"/>
    <mergeCell ref="AQ38:AR38"/>
    <mergeCell ref="AS38:AT38"/>
    <mergeCell ref="AO39:AP39"/>
    <mergeCell ref="AQ39:AR39"/>
    <mergeCell ref="AS39:AT39"/>
    <mergeCell ref="AO40:AP40"/>
    <mergeCell ref="AQ40:AR40"/>
    <mergeCell ref="AS40:AT40"/>
    <mergeCell ref="AQ33:AR33"/>
    <mergeCell ref="AS33:AT33"/>
    <mergeCell ref="AO34:AP34"/>
    <mergeCell ref="AQ34:AR34"/>
    <mergeCell ref="AS34:AT34"/>
    <mergeCell ref="BA27:BL27"/>
    <mergeCell ref="AO29:AP29"/>
    <mergeCell ref="AQ29:AR29"/>
    <mergeCell ref="AS29:AT29"/>
    <mergeCell ref="AO30:AP30"/>
    <mergeCell ref="AQ30:AR30"/>
    <mergeCell ref="AS30:AT30"/>
    <mergeCell ref="AO31:AP31"/>
    <mergeCell ref="AQ31:AR31"/>
    <mergeCell ref="AS31:AT31"/>
    <mergeCell ref="BA32:BL32"/>
    <mergeCell ref="AO32:AP32"/>
    <mergeCell ref="AQ32:AR32"/>
    <mergeCell ref="AS32:AT32"/>
    <mergeCell ref="AO33:AP33"/>
    <mergeCell ref="AU27:AV27"/>
    <mergeCell ref="AW27:AX27"/>
    <mergeCell ref="AY27:AZ27"/>
    <mergeCell ref="AU32:AV32"/>
    <mergeCell ref="AO26:AP26"/>
    <mergeCell ref="AQ26:AR26"/>
    <mergeCell ref="AS26:AT26"/>
    <mergeCell ref="AO27:AP27"/>
    <mergeCell ref="AQ27:AR27"/>
    <mergeCell ref="AS27:AT27"/>
    <mergeCell ref="AO28:AP28"/>
    <mergeCell ref="AQ28:AR28"/>
    <mergeCell ref="AS28:AT28"/>
    <mergeCell ref="AO23:AP23"/>
    <mergeCell ref="AQ23:AR23"/>
    <mergeCell ref="AS23:AT23"/>
    <mergeCell ref="AO24:AP24"/>
    <mergeCell ref="AQ24:AR24"/>
    <mergeCell ref="AS24:AT24"/>
    <mergeCell ref="AO25:AP25"/>
    <mergeCell ref="AQ25:AR25"/>
    <mergeCell ref="AS25:AT25"/>
    <mergeCell ref="AO20:AP20"/>
    <mergeCell ref="AQ20:AR20"/>
    <mergeCell ref="AS20:AT20"/>
    <mergeCell ref="AO21:AP21"/>
    <mergeCell ref="AQ21:AR21"/>
    <mergeCell ref="AS21:AT21"/>
    <mergeCell ref="AO22:AP22"/>
    <mergeCell ref="AQ22:AR22"/>
    <mergeCell ref="AS22:AT22"/>
    <mergeCell ref="AO16:AP16"/>
    <mergeCell ref="AQ16:AR16"/>
    <mergeCell ref="AS16:AT16"/>
    <mergeCell ref="AO18:AP18"/>
    <mergeCell ref="AQ18:AR18"/>
    <mergeCell ref="AS18:AT18"/>
    <mergeCell ref="AO19:AP19"/>
    <mergeCell ref="AQ19:AR19"/>
    <mergeCell ref="AS19:AT19"/>
    <mergeCell ref="L46:O46"/>
    <mergeCell ref="P46:W46"/>
    <mergeCell ref="X46:AE46"/>
    <mergeCell ref="L50:O50"/>
    <mergeCell ref="P50:W50"/>
    <mergeCell ref="X50:AE50"/>
    <mergeCell ref="L52:O52"/>
    <mergeCell ref="L51:O51"/>
    <mergeCell ref="P51:W51"/>
    <mergeCell ref="X51:AE51"/>
    <mergeCell ref="P47:W47"/>
    <mergeCell ref="P48:W48"/>
    <mergeCell ref="X47:AE47"/>
    <mergeCell ref="X48:AE48"/>
    <mergeCell ref="X49:AE49"/>
    <mergeCell ref="P49:W49"/>
    <mergeCell ref="X42:AE42"/>
    <mergeCell ref="L43:O43"/>
    <mergeCell ref="P43:W43"/>
    <mergeCell ref="X43:AE43"/>
    <mergeCell ref="L44:O44"/>
    <mergeCell ref="P44:W44"/>
    <mergeCell ref="X44:AE44"/>
    <mergeCell ref="L45:O45"/>
    <mergeCell ref="P45:W45"/>
    <mergeCell ref="X45:AE45"/>
    <mergeCell ref="D28:G28"/>
    <mergeCell ref="H28:K28"/>
    <mergeCell ref="L28:O28"/>
    <mergeCell ref="P28:W28"/>
    <mergeCell ref="X28:AE28"/>
    <mergeCell ref="AF28:AN28"/>
    <mergeCell ref="L29:O29"/>
    <mergeCell ref="P29:W29"/>
    <mergeCell ref="X29:AE29"/>
    <mergeCell ref="D26:G26"/>
    <mergeCell ref="H26:K26"/>
    <mergeCell ref="L26:O26"/>
    <mergeCell ref="P26:W26"/>
    <mergeCell ref="X26:AE26"/>
    <mergeCell ref="AF26:AN26"/>
    <mergeCell ref="D27:G27"/>
    <mergeCell ref="H27:K27"/>
    <mergeCell ref="L27:O27"/>
    <mergeCell ref="P27:W27"/>
    <mergeCell ref="X27:AE27"/>
    <mergeCell ref="AF27:AN27"/>
    <mergeCell ref="L25:O25"/>
    <mergeCell ref="P25:W25"/>
    <mergeCell ref="X25:AE25"/>
    <mergeCell ref="L40:O40"/>
    <mergeCell ref="P40:W40"/>
    <mergeCell ref="X40:AE40"/>
    <mergeCell ref="L53:O53"/>
    <mergeCell ref="P53:W53"/>
    <mergeCell ref="X53:AE53"/>
    <mergeCell ref="L31:O31"/>
    <mergeCell ref="P31:W31"/>
    <mergeCell ref="X31:AE31"/>
    <mergeCell ref="L35:O35"/>
    <mergeCell ref="P35:W35"/>
    <mergeCell ref="X35:AE35"/>
    <mergeCell ref="L32:O32"/>
    <mergeCell ref="P32:W32"/>
    <mergeCell ref="X32:AE32"/>
    <mergeCell ref="L33:O33"/>
    <mergeCell ref="P33:W33"/>
    <mergeCell ref="X33:AE33"/>
    <mergeCell ref="L34:O34"/>
    <mergeCell ref="P34:W34"/>
    <mergeCell ref="X34:AE34"/>
    <mergeCell ref="L22:O22"/>
    <mergeCell ref="P22:W22"/>
    <mergeCell ref="X22:AE22"/>
    <mergeCell ref="L23:O23"/>
    <mergeCell ref="P23:W23"/>
    <mergeCell ref="X23:AE23"/>
    <mergeCell ref="L24:O24"/>
    <mergeCell ref="P24:W24"/>
    <mergeCell ref="X24:AE24"/>
    <mergeCell ref="L19:O19"/>
    <mergeCell ref="P19:W19"/>
    <mergeCell ref="X19:AE19"/>
    <mergeCell ref="L20:O20"/>
    <mergeCell ref="P20:W20"/>
    <mergeCell ref="X20:AE20"/>
    <mergeCell ref="L21:O21"/>
    <mergeCell ref="P21:W21"/>
    <mergeCell ref="X21:AE21"/>
    <mergeCell ref="L14:O14"/>
    <mergeCell ref="P14:W14"/>
    <mergeCell ref="X14:AE14"/>
    <mergeCell ref="L15:O15"/>
    <mergeCell ref="P15:W15"/>
    <mergeCell ref="X15:AE15"/>
    <mergeCell ref="L16:O16"/>
    <mergeCell ref="P16:W16"/>
    <mergeCell ref="X16:AE16"/>
    <mergeCell ref="L11:O11"/>
    <mergeCell ref="P11:W11"/>
    <mergeCell ref="X11:AE11"/>
    <mergeCell ref="L12:O12"/>
    <mergeCell ref="P12:W12"/>
    <mergeCell ref="X12:AE12"/>
    <mergeCell ref="L13:O13"/>
    <mergeCell ref="P13:W13"/>
    <mergeCell ref="X13:AE13"/>
    <mergeCell ref="H54:K54"/>
    <mergeCell ref="D10:G10"/>
    <mergeCell ref="D17:G17"/>
    <mergeCell ref="AY55:AZ55"/>
    <mergeCell ref="BA55:BL55"/>
    <mergeCell ref="D55:G55"/>
    <mergeCell ref="H10:K10"/>
    <mergeCell ref="H17:K17"/>
    <mergeCell ref="D54:G54"/>
    <mergeCell ref="H55:K55"/>
    <mergeCell ref="AY17:AZ17"/>
    <mergeCell ref="BA17:BL17"/>
    <mergeCell ref="P10:W10"/>
    <mergeCell ref="X10:AE10"/>
    <mergeCell ref="AF10:AN10"/>
    <mergeCell ref="AO10:AP10"/>
    <mergeCell ref="AQ10:AR10"/>
    <mergeCell ref="AY54:AZ54"/>
    <mergeCell ref="BA54:BL54"/>
    <mergeCell ref="AF55:AN55"/>
    <mergeCell ref="AO55:AP55"/>
    <mergeCell ref="AQ55:AR55"/>
    <mergeCell ref="AS55:AT55"/>
    <mergeCell ref="AU55:AV55"/>
    <mergeCell ref="AS10:AT10"/>
    <mergeCell ref="AU10:AV10"/>
    <mergeCell ref="AW10:AX10"/>
    <mergeCell ref="AO11:AP11"/>
    <mergeCell ref="AQ11:AR11"/>
    <mergeCell ref="AS11:AT11"/>
    <mergeCell ref="AO12:AP12"/>
    <mergeCell ref="AQ12:AR12"/>
    <mergeCell ref="AS12:AT12"/>
    <mergeCell ref="AO13:AP13"/>
    <mergeCell ref="AQ13:AR13"/>
    <mergeCell ref="AS13:AT13"/>
    <mergeCell ref="AO14:AP14"/>
    <mergeCell ref="AQ14:AR14"/>
    <mergeCell ref="AS14:AT14"/>
    <mergeCell ref="AO15:AP15"/>
    <mergeCell ref="AQ15:AR15"/>
    <mergeCell ref="AS15:AT15"/>
    <mergeCell ref="BG7:BH7"/>
    <mergeCell ref="BI7:BJ7"/>
    <mergeCell ref="BK7:BL7"/>
    <mergeCell ref="AX2:BA2"/>
    <mergeCell ref="BB2:BE2"/>
    <mergeCell ref="BF2:BI2"/>
    <mergeCell ref="BJ2:BM2"/>
    <mergeCell ref="AU8:AZ8"/>
    <mergeCell ref="BG8:BH8"/>
    <mergeCell ref="BI8:BJ8"/>
    <mergeCell ref="BK8:BL8"/>
    <mergeCell ref="L17:O17"/>
    <mergeCell ref="B2:G2"/>
    <mergeCell ref="H2:K2"/>
    <mergeCell ref="L2:Q2"/>
    <mergeCell ref="R2:W2"/>
    <mergeCell ref="X2:AJ2"/>
    <mergeCell ref="AK2:AW2"/>
    <mergeCell ref="AX3:BA4"/>
    <mergeCell ref="AY9:AZ9"/>
    <mergeCell ref="BA9:BL9"/>
    <mergeCell ref="BA10:BL10"/>
    <mergeCell ref="P17:W17"/>
    <mergeCell ref="X17:AE17"/>
    <mergeCell ref="AF17:AN17"/>
    <mergeCell ref="AO17:AP17"/>
    <mergeCell ref="AQ17:AR17"/>
    <mergeCell ref="AS17:AT17"/>
    <mergeCell ref="AU17:AV17"/>
    <mergeCell ref="AW17:AX17"/>
    <mergeCell ref="BB3:BE4"/>
    <mergeCell ref="BF3:BI4"/>
    <mergeCell ref="BJ3:BM4"/>
    <mergeCell ref="BE7:BF8"/>
    <mergeCell ref="AY10:AZ10"/>
    <mergeCell ref="B3:G4"/>
    <mergeCell ref="H3:K4"/>
    <mergeCell ref="L3:Q4"/>
    <mergeCell ref="R3:W4"/>
    <mergeCell ref="X3:AJ4"/>
    <mergeCell ref="P54:W54"/>
    <mergeCell ref="X54:AE54"/>
    <mergeCell ref="AF54:AN54"/>
    <mergeCell ref="P55:W55"/>
    <mergeCell ref="X55:AE55"/>
    <mergeCell ref="AK3:AW4"/>
    <mergeCell ref="AO8:AT8"/>
    <mergeCell ref="AO9:AP9"/>
    <mergeCell ref="AQ9:AR9"/>
    <mergeCell ref="AS9:AT9"/>
    <mergeCell ref="AU9:AV9"/>
    <mergeCell ref="L18:O18"/>
    <mergeCell ref="P18:W18"/>
    <mergeCell ref="X18:AE18"/>
    <mergeCell ref="AW9:AX9"/>
    <mergeCell ref="L54:O54"/>
    <mergeCell ref="P52:W52"/>
    <mergeCell ref="L55:O55"/>
    <mergeCell ref="L10:O10"/>
    <mergeCell ref="L56:O56"/>
    <mergeCell ref="X52:AE52"/>
    <mergeCell ref="P56:W56"/>
    <mergeCell ref="X56:AE56"/>
    <mergeCell ref="L39:O39"/>
    <mergeCell ref="P39:W39"/>
    <mergeCell ref="X39:AE39"/>
    <mergeCell ref="L30:O30"/>
    <mergeCell ref="P30:W30"/>
    <mergeCell ref="X30:AE30"/>
    <mergeCell ref="X37:AE37"/>
    <mergeCell ref="P37:W37"/>
    <mergeCell ref="L37:O37"/>
    <mergeCell ref="X36:AE36"/>
    <mergeCell ref="P36:W36"/>
    <mergeCell ref="L36:O36"/>
    <mergeCell ref="L41:O41"/>
    <mergeCell ref="P41:W41"/>
    <mergeCell ref="X41:AE41"/>
    <mergeCell ref="L38:O38"/>
    <mergeCell ref="P38:W38"/>
    <mergeCell ref="X38:AE38"/>
    <mergeCell ref="L42:O42"/>
    <mergeCell ref="P42:W42"/>
    <mergeCell ref="AW32:AX32"/>
    <mergeCell ref="AY32:AZ32"/>
    <mergeCell ref="AU37:AV37"/>
    <mergeCell ref="AW37:AX37"/>
    <mergeCell ref="AY37:AZ37"/>
    <mergeCell ref="AU42:AV42"/>
    <mergeCell ref="AW42:AX42"/>
    <mergeCell ref="AY42:AZ42"/>
    <mergeCell ref="AU48:AV48"/>
    <mergeCell ref="AW48:AX48"/>
    <mergeCell ref="AY48:AZ48"/>
  </mergeCells>
  <phoneticPr fontId="2"/>
  <conditionalFormatting sqref="AS10 AY10:AY26 AY46:AY47 AY28:AY31 AY33:AY36 AY38:AY40 AY50:AY51 AY53:AY56">
    <cfRule type="cellIs" dxfId="117" priority="121" operator="equal">
      <formula>"OK"</formula>
    </cfRule>
    <cfRule type="cellIs" dxfId="116" priority="122" operator="equal">
      <formula>"NG"</formula>
    </cfRule>
  </conditionalFormatting>
  <conditionalFormatting sqref="AY41 AY43:AY45">
    <cfRule type="cellIs" dxfId="115" priority="113" operator="equal">
      <formula>"OK"</formula>
    </cfRule>
    <cfRule type="cellIs" dxfId="114" priority="114" operator="equal">
      <formula>"NG"</formula>
    </cfRule>
  </conditionalFormatting>
  <conditionalFormatting sqref="AS11">
    <cfRule type="cellIs" dxfId="113" priority="111" operator="equal">
      <formula>"OK"</formula>
    </cfRule>
    <cfRule type="cellIs" dxfId="112" priority="112" operator="equal">
      <formula>"NG"</formula>
    </cfRule>
  </conditionalFormatting>
  <conditionalFormatting sqref="AS12">
    <cfRule type="cellIs" dxfId="111" priority="109" operator="equal">
      <formula>"OK"</formula>
    </cfRule>
    <cfRule type="cellIs" dxfId="110" priority="110" operator="equal">
      <formula>"NG"</formula>
    </cfRule>
  </conditionalFormatting>
  <conditionalFormatting sqref="AS13">
    <cfRule type="cellIs" dxfId="109" priority="107" operator="equal">
      <formula>"OK"</formula>
    </cfRule>
    <cfRule type="cellIs" dxfId="108" priority="108" operator="equal">
      <formula>"NG"</formula>
    </cfRule>
  </conditionalFormatting>
  <conditionalFormatting sqref="AS14">
    <cfRule type="cellIs" dxfId="107" priority="105" operator="equal">
      <formula>"OK"</formula>
    </cfRule>
    <cfRule type="cellIs" dxfId="106" priority="106" operator="equal">
      <formula>"NG"</formula>
    </cfRule>
  </conditionalFormatting>
  <conditionalFormatting sqref="AS15">
    <cfRule type="cellIs" dxfId="105" priority="103" operator="equal">
      <formula>"OK"</formula>
    </cfRule>
    <cfRule type="cellIs" dxfId="104" priority="104" operator="equal">
      <formula>"NG"</formula>
    </cfRule>
  </conditionalFormatting>
  <conditionalFormatting sqref="AS16">
    <cfRule type="cellIs" dxfId="103" priority="101" operator="equal">
      <formula>"OK"</formula>
    </cfRule>
    <cfRule type="cellIs" dxfId="102" priority="102" operator="equal">
      <formula>"NG"</formula>
    </cfRule>
  </conditionalFormatting>
  <conditionalFormatting sqref="AS17">
    <cfRule type="cellIs" dxfId="101" priority="97" operator="equal">
      <formula>"OK"</formula>
    </cfRule>
    <cfRule type="cellIs" dxfId="100" priority="98" operator="equal">
      <formula>"NG"</formula>
    </cfRule>
  </conditionalFormatting>
  <conditionalFormatting sqref="AS18">
    <cfRule type="cellIs" dxfId="99" priority="95" operator="equal">
      <formula>"OK"</formula>
    </cfRule>
    <cfRule type="cellIs" dxfId="98" priority="96" operator="equal">
      <formula>"NG"</formula>
    </cfRule>
  </conditionalFormatting>
  <conditionalFormatting sqref="AS19">
    <cfRule type="cellIs" dxfId="97" priority="93" operator="equal">
      <formula>"OK"</formula>
    </cfRule>
    <cfRule type="cellIs" dxfId="96" priority="94" operator="equal">
      <formula>"NG"</formula>
    </cfRule>
  </conditionalFormatting>
  <conditionalFormatting sqref="AS20">
    <cfRule type="cellIs" dxfId="95" priority="91" operator="equal">
      <formula>"OK"</formula>
    </cfRule>
    <cfRule type="cellIs" dxfId="94" priority="92" operator="equal">
      <formula>"NG"</formula>
    </cfRule>
  </conditionalFormatting>
  <conditionalFormatting sqref="AS21">
    <cfRule type="cellIs" dxfId="93" priority="89" operator="equal">
      <formula>"OK"</formula>
    </cfRule>
    <cfRule type="cellIs" dxfId="92" priority="90" operator="equal">
      <formula>"NG"</formula>
    </cfRule>
  </conditionalFormatting>
  <conditionalFormatting sqref="AS22">
    <cfRule type="cellIs" dxfId="91" priority="87" operator="equal">
      <formula>"OK"</formula>
    </cfRule>
    <cfRule type="cellIs" dxfId="90" priority="88" operator="equal">
      <formula>"NG"</formula>
    </cfRule>
  </conditionalFormatting>
  <conditionalFormatting sqref="AS23">
    <cfRule type="cellIs" dxfId="89" priority="85" operator="equal">
      <formula>"OK"</formula>
    </cfRule>
    <cfRule type="cellIs" dxfId="88" priority="86" operator="equal">
      <formula>"NG"</formula>
    </cfRule>
  </conditionalFormatting>
  <conditionalFormatting sqref="AS24">
    <cfRule type="cellIs" dxfId="87" priority="83" operator="equal">
      <formula>"OK"</formula>
    </cfRule>
    <cfRule type="cellIs" dxfId="86" priority="84" operator="equal">
      <formula>"NG"</formula>
    </cfRule>
  </conditionalFormatting>
  <conditionalFormatting sqref="AS25">
    <cfRule type="cellIs" dxfId="85" priority="81" operator="equal">
      <formula>"OK"</formula>
    </cfRule>
    <cfRule type="cellIs" dxfId="84" priority="82" operator="equal">
      <formula>"NG"</formula>
    </cfRule>
  </conditionalFormatting>
  <conditionalFormatting sqref="AS26">
    <cfRule type="cellIs" dxfId="83" priority="79" operator="equal">
      <formula>"OK"</formula>
    </cfRule>
    <cfRule type="cellIs" dxfId="82" priority="80" operator="equal">
      <formula>"NG"</formula>
    </cfRule>
  </conditionalFormatting>
  <conditionalFormatting sqref="AS27">
    <cfRule type="cellIs" dxfId="81" priority="77" operator="equal">
      <formula>"OK"</formula>
    </cfRule>
    <cfRule type="cellIs" dxfId="80" priority="78" operator="equal">
      <formula>"NG"</formula>
    </cfRule>
  </conditionalFormatting>
  <conditionalFormatting sqref="AS28">
    <cfRule type="cellIs" dxfId="79" priority="75" operator="equal">
      <formula>"OK"</formula>
    </cfRule>
    <cfRule type="cellIs" dxfId="78" priority="76" operator="equal">
      <formula>"NG"</formula>
    </cfRule>
  </conditionalFormatting>
  <conditionalFormatting sqref="AS29">
    <cfRule type="cellIs" dxfId="77" priority="73" operator="equal">
      <formula>"OK"</formula>
    </cfRule>
    <cfRule type="cellIs" dxfId="76" priority="74" operator="equal">
      <formula>"NG"</formula>
    </cfRule>
  </conditionalFormatting>
  <conditionalFormatting sqref="AS30">
    <cfRule type="cellIs" dxfId="75" priority="71" operator="equal">
      <formula>"OK"</formula>
    </cfRule>
    <cfRule type="cellIs" dxfId="74" priority="72" operator="equal">
      <formula>"NG"</formula>
    </cfRule>
  </conditionalFormatting>
  <conditionalFormatting sqref="AS31">
    <cfRule type="cellIs" dxfId="73" priority="69" operator="equal">
      <formula>"OK"</formula>
    </cfRule>
    <cfRule type="cellIs" dxfId="72" priority="70" operator="equal">
      <formula>"NG"</formula>
    </cfRule>
  </conditionalFormatting>
  <conditionalFormatting sqref="AS32">
    <cfRule type="cellIs" dxfId="71" priority="67" operator="equal">
      <formula>"OK"</formula>
    </cfRule>
    <cfRule type="cellIs" dxfId="70" priority="68" operator="equal">
      <formula>"NG"</formula>
    </cfRule>
  </conditionalFormatting>
  <conditionalFormatting sqref="AS33">
    <cfRule type="cellIs" dxfId="69" priority="65" operator="equal">
      <formula>"OK"</formula>
    </cfRule>
    <cfRule type="cellIs" dxfId="68" priority="66" operator="equal">
      <formula>"NG"</formula>
    </cfRule>
  </conditionalFormatting>
  <conditionalFormatting sqref="AS34">
    <cfRule type="cellIs" dxfId="67" priority="63" operator="equal">
      <formula>"OK"</formula>
    </cfRule>
    <cfRule type="cellIs" dxfId="66" priority="64" operator="equal">
      <formula>"NG"</formula>
    </cfRule>
  </conditionalFormatting>
  <conditionalFormatting sqref="AS35">
    <cfRule type="cellIs" dxfId="65" priority="61" operator="equal">
      <formula>"OK"</formula>
    </cfRule>
    <cfRule type="cellIs" dxfId="64" priority="62" operator="equal">
      <formula>"NG"</formula>
    </cfRule>
  </conditionalFormatting>
  <conditionalFormatting sqref="AS36">
    <cfRule type="cellIs" dxfId="63" priority="59" operator="equal">
      <formula>"OK"</formula>
    </cfRule>
    <cfRule type="cellIs" dxfId="62" priority="60" operator="equal">
      <formula>"NG"</formula>
    </cfRule>
  </conditionalFormatting>
  <conditionalFormatting sqref="AS37">
    <cfRule type="cellIs" dxfId="61" priority="57" operator="equal">
      <formula>"OK"</formula>
    </cfRule>
    <cfRule type="cellIs" dxfId="60" priority="58" operator="equal">
      <formula>"NG"</formula>
    </cfRule>
  </conditionalFormatting>
  <conditionalFormatting sqref="AS38">
    <cfRule type="cellIs" dxfId="59" priority="55" operator="equal">
      <formula>"OK"</formula>
    </cfRule>
    <cfRule type="cellIs" dxfId="58" priority="56" operator="equal">
      <formula>"NG"</formula>
    </cfRule>
  </conditionalFormatting>
  <conditionalFormatting sqref="AS39">
    <cfRule type="cellIs" dxfId="57" priority="53" operator="equal">
      <formula>"OK"</formula>
    </cfRule>
    <cfRule type="cellIs" dxfId="56" priority="54" operator="equal">
      <formula>"NG"</formula>
    </cfRule>
  </conditionalFormatting>
  <conditionalFormatting sqref="AS40">
    <cfRule type="cellIs" dxfId="55" priority="51" operator="equal">
      <formula>"OK"</formula>
    </cfRule>
    <cfRule type="cellIs" dxfId="54" priority="52" operator="equal">
      <formula>"NG"</formula>
    </cfRule>
  </conditionalFormatting>
  <conditionalFormatting sqref="AS41">
    <cfRule type="cellIs" dxfId="53" priority="49" operator="equal">
      <formula>"OK"</formula>
    </cfRule>
    <cfRule type="cellIs" dxfId="52" priority="50" operator="equal">
      <formula>"NG"</formula>
    </cfRule>
  </conditionalFormatting>
  <conditionalFormatting sqref="AS43">
    <cfRule type="cellIs" dxfId="51" priority="45" operator="equal">
      <formula>"OK"</formula>
    </cfRule>
    <cfRule type="cellIs" dxfId="50" priority="46" operator="equal">
      <formula>"NG"</formula>
    </cfRule>
  </conditionalFormatting>
  <conditionalFormatting sqref="AS44">
    <cfRule type="cellIs" dxfId="49" priority="43" operator="equal">
      <formula>"OK"</formula>
    </cfRule>
    <cfRule type="cellIs" dxfId="48" priority="44" operator="equal">
      <formula>"NG"</formula>
    </cfRule>
  </conditionalFormatting>
  <conditionalFormatting sqref="AS45">
    <cfRule type="cellIs" dxfId="47" priority="41" operator="equal">
      <formula>"OK"</formula>
    </cfRule>
    <cfRule type="cellIs" dxfId="46" priority="42" operator="equal">
      <formula>"NG"</formula>
    </cfRule>
  </conditionalFormatting>
  <conditionalFormatting sqref="AS46">
    <cfRule type="cellIs" dxfId="45" priority="39" operator="equal">
      <formula>"OK"</formula>
    </cfRule>
    <cfRule type="cellIs" dxfId="44" priority="40" operator="equal">
      <formula>"NG"</formula>
    </cfRule>
  </conditionalFormatting>
  <conditionalFormatting sqref="AS42">
    <cfRule type="cellIs" dxfId="43" priority="35" operator="equal">
      <formula>"OK"</formula>
    </cfRule>
    <cfRule type="cellIs" dxfId="42" priority="36" operator="equal">
      <formula>"NG"</formula>
    </cfRule>
  </conditionalFormatting>
  <conditionalFormatting sqref="AS47">
    <cfRule type="cellIs" dxfId="41" priority="33" operator="equal">
      <formula>"OK"</formula>
    </cfRule>
    <cfRule type="cellIs" dxfId="40" priority="34" operator="equal">
      <formula>"NG"</formula>
    </cfRule>
  </conditionalFormatting>
  <conditionalFormatting sqref="AS48">
    <cfRule type="cellIs" dxfId="39" priority="31" operator="equal">
      <formula>"OK"</formula>
    </cfRule>
    <cfRule type="cellIs" dxfId="38" priority="32" operator="equal">
      <formula>"NG"</formula>
    </cfRule>
  </conditionalFormatting>
  <conditionalFormatting sqref="AS51">
    <cfRule type="cellIs" dxfId="37" priority="29" operator="equal">
      <formula>"OK"</formula>
    </cfRule>
    <cfRule type="cellIs" dxfId="36" priority="30" operator="equal">
      <formula>"NG"</formula>
    </cfRule>
  </conditionalFormatting>
  <conditionalFormatting sqref="AS53">
    <cfRule type="cellIs" dxfId="35" priority="27" operator="equal">
      <formula>"OK"</formula>
    </cfRule>
    <cfRule type="cellIs" dxfId="34" priority="28" operator="equal">
      <formula>"NG"</formula>
    </cfRule>
  </conditionalFormatting>
  <conditionalFormatting sqref="AS54">
    <cfRule type="cellIs" dxfId="33" priority="25" operator="equal">
      <formula>"OK"</formula>
    </cfRule>
    <cfRule type="cellIs" dxfId="32" priority="26" operator="equal">
      <formula>"NG"</formula>
    </cfRule>
  </conditionalFormatting>
  <conditionalFormatting sqref="AS55">
    <cfRule type="cellIs" dxfId="31" priority="23" operator="equal">
      <formula>"OK"</formula>
    </cfRule>
    <cfRule type="cellIs" dxfId="30" priority="24" operator="equal">
      <formula>"NG"</formula>
    </cfRule>
  </conditionalFormatting>
  <conditionalFormatting sqref="AS52">
    <cfRule type="cellIs" dxfId="29" priority="21" operator="equal">
      <formula>"OK"</formula>
    </cfRule>
    <cfRule type="cellIs" dxfId="28" priority="22" operator="equal">
      <formula>"NG"</formula>
    </cfRule>
  </conditionalFormatting>
  <conditionalFormatting sqref="AS56">
    <cfRule type="cellIs" dxfId="27" priority="19" operator="equal">
      <formula>"OK"</formula>
    </cfRule>
    <cfRule type="cellIs" dxfId="26" priority="20" operator="equal">
      <formula>"NG"</formula>
    </cfRule>
  </conditionalFormatting>
  <conditionalFormatting sqref="AS50">
    <cfRule type="cellIs" dxfId="25" priority="17" operator="equal">
      <formula>"OK"</formula>
    </cfRule>
    <cfRule type="cellIs" dxfId="24" priority="18" operator="equal">
      <formula>"NG"</formula>
    </cfRule>
  </conditionalFormatting>
  <conditionalFormatting sqref="AS49">
    <cfRule type="cellIs" dxfId="23" priority="15" operator="equal">
      <formula>"OK"</formula>
    </cfRule>
    <cfRule type="cellIs" dxfId="22" priority="16" operator="equal">
      <formula>"NG"</formula>
    </cfRule>
  </conditionalFormatting>
  <conditionalFormatting sqref="AY27">
    <cfRule type="cellIs" dxfId="21" priority="13" operator="equal">
      <formula>"OK"</formula>
    </cfRule>
    <cfRule type="cellIs" dxfId="20" priority="14" operator="equal">
      <formula>"NG"</formula>
    </cfRule>
  </conditionalFormatting>
  <conditionalFormatting sqref="AY32">
    <cfRule type="cellIs" dxfId="19" priority="11" operator="equal">
      <formula>"OK"</formula>
    </cfRule>
    <cfRule type="cellIs" dxfId="18" priority="12" operator="equal">
      <formula>"NG"</formula>
    </cfRule>
  </conditionalFormatting>
  <conditionalFormatting sqref="AY37">
    <cfRule type="cellIs" dxfId="17" priority="9" operator="equal">
      <formula>"OK"</formula>
    </cfRule>
    <cfRule type="cellIs" dxfId="16" priority="10" operator="equal">
      <formula>"NG"</formula>
    </cfRule>
  </conditionalFormatting>
  <conditionalFormatting sqref="AY42">
    <cfRule type="cellIs" dxfId="15" priority="7" operator="equal">
      <formula>"OK"</formula>
    </cfRule>
    <cfRule type="cellIs" dxfId="14" priority="8" operator="equal">
      <formula>"NG"</formula>
    </cfRule>
  </conditionalFormatting>
  <conditionalFormatting sqref="AY48">
    <cfRule type="cellIs" dxfId="13" priority="5" operator="equal">
      <formula>"OK"</formula>
    </cfRule>
    <cfRule type="cellIs" dxfId="12" priority="6" operator="equal">
      <formula>"NG"</formula>
    </cfRule>
  </conditionalFormatting>
  <conditionalFormatting sqref="AY49">
    <cfRule type="cellIs" dxfId="11" priority="3" operator="equal">
      <formula>"OK"</formula>
    </cfRule>
    <cfRule type="cellIs" dxfId="10" priority="4" operator="equal">
      <formula>"NG"</formula>
    </cfRule>
  </conditionalFormatting>
  <conditionalFormatting sqref="AY52">
    <cfRule type="cellIs" dxfId="9" priority="1" operator="equal">
      <formula>"OK"</formula>
    </cfRule>
    <cfRule type="cellIs" dxfId="8" priority="2" operator="equal">
      <formula>"NG"</formula>
    </cfRule>
  </conditionalFormatting>
  <dataValidations count="1">
    <dataValidation type="list" allowBlank="1" showInputMessage="1" showErrorMessage="1" sqref="AS10:AS56 AY10:AY56">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0"/>
  <sheetViews>
    <sheetView showGridLines="0" view="pageBreakPreview" zoomScale="85" zoomScaleNormal="100" zoomScaleSheetLayoutView="85"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44" t="s">
        <v>0</v>
      </c>
      <c r="C2" s="145"/>
      <c r="D2" s="145"/>
      <c r="E2" s="145"/>
      <c r="F2" s="145"/>
      <c r="G2" s="145"/>
      <c r="H2" s="145" t="s">
        <v>40</v>
      </c>
      <c r="I2" s="145"/>
      <c r="J2" s="145"/>
      <c r="K2" s="145"/>
      <c r="L2" s="145" t="s">
        <v>41</v>
      </c>
      <c r="M2" s="145"/>
      <c r="N2" s="145"/>
      <c r="O2" s="145"/>
      <c r="P2" s="145"/>
      <c r="Q2" s="145"/>
      <c r="R2" s="145" t="s">
        <v>1</v>
      </c>
      <c r="S2" s="145"/>
      <c r="T2" s="145"/>
      <c r="U2" s="145"/>
      <c r="V2" s="145"/>
      <c r="W2" s="145"/>
      <c r="X2" s="146" t="s">
        <v>2</v>
      </c>
      <c r="Y2" s="147"/>
      <c r="Z2" s="147"/>
      <c r="AA2" s="147"/>
      <c r="AB2" s="147"/>
      <c r="AC2" s="147"/>
      <c r="AD2" s="147"/>
      <c r="AE2" s="147"/>
      <c r="AF2" s="147"/>
      <c r="AG2" s="147"/>
      <c r="AH2" s="147"/>
      <c r="AI2" s="147"/>
      <c r="AJ2" s="148"/>
      <c r="AK2" s="146" t="s">
        <v>30</v>
      </c>
      <c r="AL2" s="147"/>
      <c r="AM2" s="147"/>
      <c r="AN2" s="147"/>
      <c r="AO2" s="147"/>
      <c r="AP2" s="147"/>
      <c r="AQ2" s="147"/>
      <c r="AR2" s="147"/>
      <c r="AS2" s="147"/>
      <c r="AT2" s="147"/>
      <c r="AU2" s="147"/>
      <c r="AV2" s="147"/>
      <c r="AW2" s="148"/>
      <c r="AX2" s="145" t="s">
        <v>4</v>
      </c>
      <c r="AY2" s="145"/>
      <c r="AZ2" s="145"/>
      <c r="BA2" s="145"/>
      <c r="BB2" s="145" t="s">
        <v>3</v>
      </c>
      <c r="BC2" s="145"/>
      <c r="BD2" s="145"/>
      <c r="BE2" s="145"/>
      <c r="BF2" s="145" t="s">
        <v>5</v>
      </c>
      <c r="BG2" s="145"/>
      <c r="BH2" s="145"/>
      <c r="BI2" s="145"/>
      <c r="BJ2" s="145" t="s">
        <v>6</v>
      </c>
      <c r="BK2" s="145"/>
      <c r="BL2" s="145"/>
      <c r="BM2" s="159"/>
      <c r="BN2" s="16"/>
    </row>
    <row r="3" spans="1:66" ht="20.100000000000001" customHeight="1" x14ac:dyDescent="0.45">
      <c r="A3" s="10"/>
      <c r="B3" s="149" t="str">
        <f>変更履歴!B3</f>
        <v>受発注システム</v>
      </c>
      <c r="C3" s="150"/>
      <c r="D3" s="150"/>
      <c r="E3" s="150"/>
      <c r="F3" s="150"/>
      <c r="G3" s="150"/>
      <c r="H3" s="150" t="str">
        <f ca="1">変更履歴!H3</f>
        <v>請求売掛</v>
      </c>
      <c r="I3" s="150"/>
      <c r="J3" s="150"/>
      <c r="K3" s="150"/>
      <c r="L3" s="150" t="str">
        <f>変更履歴!L3</f>
        <v>受発注</v>
      </c>
      <c r="M3" s="150"/>
      <c r="N3" s="150"/>
      <c r="O3" s="150"/>
      <c r="P3" s="150"/>
      <c r="Q3" s="150"/>
      <c r="R3" s="150" t="str">
        <f ca="1">変更履歴!R3</f>
        <v>結合試験項目</v>
      </c>
      <c r="S3" s="150"/>
      <c r="T3" s="150"/>
      <c r="U3" s="150"/>
      <c r="V3" s="150"/>
      <c r="W3" s="150"/>
      <c r="X3" s="154" t="str">
        <f ca="1">変更履歴!X3</f>
        <v>請求売掛_請求原価率表_結合試験項目</v>
      </c>
      <c r="Y3" s="155"/>
      <c r="Z3" s="155"/>
      <c r="AA3" s="155"/>
      <c r="AB3" s="155"/>
      <c r="AC3" s="155"/>
      <c r="AD3" s="155"/>
      <c r="AE3" s="155"/>
      <c r="AF3" s="155"/>
      <c r="AG3" s="155"/>
      <c r="AH3" s="155"/>
      <c r="AI3" s="155"/>
      <c r="AJ3" s="151"/>
      <c r="AK3" s="154" t="str">
        <f ca="1">変更履歴!AK3</f>
        <v>請求原価率表</v>
      </c>
      <c r="AL3" s="155"/>
      <c r="AM3" s="155"/>
      <c r="AN3" s="155"/>
      <c r="AO3" s="155"/>
      <c r="AP3" s="155"/>
      <c r="AQ3" s="155"/>
      <c r="AR3" s="155"/>
      <c r="AS3" s="155"/>
      <c r="AT3" s="155"/>
      <c r="AU3" s="155"/>
      <c r="AV3" s="155"/>
      <c r="AW3" s="151"/>
      <c r="AX3" s="161">
        <f>変更履歴!AX3</f>
        <v>45628</v>
      </c>
      <c r="AY3" s="161"/>
      <c r="AZ3" s="161"/>
      <c r="BA3" s="161"/>
      <c r="BB3" s="150" t="str">
        <f>変更履歴!BB3</f>
        <v>児玉</v>
      </c>
      <c r="BC3" s="150"/>
      <c r="BD3" s="150"/>
      <c r="BE3" s="150"/>
      <c r="BF3" s="161">
        <f>変更履歴!BF3</f>
        <v>45628</v>
      </c>
      <c r="BG3" s="161"/>
      <c r="BH3" s="161"/>
      <c r="BI3" s="161"/>
      <c r="BJ3" s="150" t="str">
        <f>変更履歴!BJ3</f>
        <v>児玉</v>
      </c>
      <c r="BK3" s="150"/>
      <c r="BL3" s="150"/>
      <c r="BM3" s="162"/>
      <c r="BN3" s="16"/>
    </row>
    <row r="4" spans="1:66" ht="20.100000000000001" customHeight="1" thickBot="1" x14ac:dyDescent="0.5">
      <c r="A4" s="10"/>
      <c r="B4" s="151"/>
      <c r="C4" s="152"/>
      <c r="D4" s="152"/>
      <c r="E4" s="152"/>
      <c r="F4" s="152"/>
      <c r="G4" s="152"/>
      <c r="H4" s="152"/>
      <c r="I4" s="152"/>
      <c r="J4" s="152"/>
      <c r="K4" s="152"/>
      <c r="L4" s="152"/>
      <c r="M4" s="152"/>
      <c r="N4" s="152"/>
      <c r="O4" s="152"/>
      <c r="P4" s="152"/>
      <c r="Q4" s="152"/>
      <c r="R4" s="152"/>
      <c r="S4" s="152"/>
      <c r="T4" s="152"/>
      <c r="U4" s="152"/>
      <c r="V4" s="152"/>
      <c r="W4" s="152"/>
      <c r="X4" s="156"/>
      <c r="Y4" s="157"/>
      <c r="Z4" s="157"/>
      <c r="AA4" s="157"/>
      <c r="AB4" s="157"/>
      <c r="AC4" s="157"/>
      <c r="AD4" s="157"/>
      <c r="AE4" s="157"/>
      <c r="AF4" s="157"/>
      <c r="AG4" s="157"/>
      <c r="AH4" s="157"/>
      <c r="AI4" s="157"/>
      <c r="AJ4" s="158"/>
      <c r="AK4" s="156"/>
      <c r="AL4" s="157"/>
      <c r="AM4" s="157"/>
      <c r="AN4" s="157"/>
      <c r="AO4" s="157"/>
      <c r="AP4" s="157"/>
      <c r="AQ4" s="157"/>
      <c r="AR4" s="157"/>
      <c r="AS4" s="157"/>
      <c r="AT4" s="157"/>
      <c r="AU4" s="157"/>
      <c r="AV4" s="157"/>
      <c r="AW4" s="158"/>
      <c r="AX4" s="199"/>
      <c r="AY4" s="199"/>
      <c r="AZ4" s="199"/>
      <c r="BA4" s="199"/>
      <c r="BB4" s="152"/>
      <c r="BC4" s="152"/>
      <c r="BD4" s="152"/>
      <c r="BE4" s="152"/>
      <c r="BF4" s="199"/>
      <c r="BG4" s="199"/>
      <c r="BH4" s="199"/>
      <c r="BI4" s="199"/>
      <c r="BJ4" s="152"/>
      <c r="BK4" s="152"/>
      <c r="BL4" s="152"/>
      <c r="BM4" s="154"/>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204" t="s">
        <v>32</v>
      </c>
      <c r="BF7" s="205"/>
      <c r="BG7" s="208" t="s">
        <v>31</v>
      </c>
      <c r="BH7" s="208"/>
      <c r="BI7" s="209" t="s">
        <v>33</v>
      </c>
      <c r="BJ7" s="210"/>
      <c r="BK7" s="209" t="s">
        <v>34</v>
      </c>
      <c r="BL7" s="194"/>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92" t="s">
        <v>35</v>
      </c>
      <c r="AP8" s="193"/>
      <c r="AQ8" s="193"/>
      <c r="AR8" s="193"/>
      <c r="AS8" s="193"/>
      <c r="AT8" s="194"/>
      <c r="AU8" s="192" t="s">
        <v>36</v>
      </c>
      <c r="AV8" s="193"/>
      <c r="AW8" s="193"/>
      <c r="AX8" s="193"/>
      <c r="AY8" s="193"/>
      <c r="AZ8" s="194"/>
      <c r="BE8" s="206"/>
      <c r="BF8" s="207"/>
      <c r="BG8" s="211">
        <f>COUNTA(C10:C35)</f>
        <v>26</v>
      </c>
      <c r="BH8" s="212"/>
      <c r="BI8" s="211">
        <f>COUNTIF(AS10:AT35,"OK")+COUNTIF(AY10:AZ35,"OK")</f>
        <v>26</v>
      </c>
      <c r="BJ8" s="212"/>
      <c r="BK8" s="211">
        <f>BG8-BI8</f>
        <v>0</v>
      </c>
      <c r="BL8" s="213"/>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95" t="s">
        <v>25</v>
      </c>
      <c r="AP9" s="196"/>
      <c r="AQ9" s="197" t="s">
        <v>26</v>
      </c>
      <c r="AR9" s="196"/>
      <c r="AS9" s="197" t="s">
        <v>29</v>
      </c>
      <c r="AT9" s="198"/>
      <c r="AU9" s="195" t="s">
        <v>25</v>
      </c>
      <c r="AV9" s="196"/>
      <c r="AW9" s="197" t="s">
        <v>26</v>
      </c>
      <c r="AX9" s="196"/>
      <c r="AY9" s="197" t="s">
        <v>29</v>
      </c>
      <c r="AZ9" s="198"/>
      <c r="BA9" s="200" t="s">
        <v>27</v>
      </c>
      <c r="BB9" s="193"/>
      <c r="BC9" s="193"/>
      <c r="BD9" s="193"/>
      <c r="BE9" s="193"/>
      <c r="BF9" s="193"/>
      <c r="BG9" s="193"/>
      <c r="BH9" s="193"/>
      <c r="BI9" s="193"/>
      <c r="BJ9" s="193"/>
      <c r="BK9" s="193"/>
      <c r="BL9" s="194"/>
      <c r="BM9" s="16"/>
      <c r="BN9" s="16"/>
    </row>
    <row r="10" spans="1:66" ht="25.2" customHeight="1" x14ac:dyDescent="0.45">
      <c r="A10" s="10"/>
      <c r="B10" s="10"/>
      <c r="C10" s="30">
        <f t="shared" ref="C10:C35" si="0">ROW()-9</f>
        <v>1</v>
      </c>
      <c r="D10" s="227" t="s">
        <v>88</v>
      </c>
      <c r="E10" s="228"/>
      <c r="F10" s="228"/>
      <c r="G10" s="229"/>
      <c r="H10" s="214" t="s">
        <v>61</v>
      </c>
      <c r="I10" s="215"/>
      <c r="J10" s="215"/>
      <c r="K10" s="216"/>
      <c r="L10" s="230" t="s">
        <v>62</v>
      </c>
      <c r="M10" s="231"/>
      <c r="N10" s="231"/>
      <c r="O10" s="232"/>
      <c r="P10" s="176" t="s">
        <v>56</v>
      </c>
      <c r="Q10" s="177"/>
      <c r="R10" s="177"/>
      <c r="S10" s="177"/>
      <c r="T10" s="177"/>
      <c r="U10" s="177"/>
      <c r="V10" s="177"/>
      <c r="W10" s="178"/>
      <c r="X10" s="176" t="s">
        <v>161</v>
      </c>
      <c r="Y10" s="177"/>
      <c r="Z10" s="177"/>
      <c r="AA10" s="177"/>
      <c r="AB10" s="177"/>
      <c r="AC10" s="177"/>
      <c r="AD10" s="177"/>
      <c r="AE10" s="178"/>
      <c r="AF10" s="176"/>
      <c r="AG10" s="177"/>
      <c r="AH10" s="177"/>
      <c r="AI10" s="177"/>
      <c r="AJ10" s="177"/>
      <c r="AK10" s="177"/>
      <c r="AL10" s="177"/>
      <c r="AM10" s="177"/>
      <c r="AN10" s="191"/>
      <c r="AO10" s="222">
        <v>45702</v>
      </c>
      <c r="AP10" s="223"/>
      <c r="AQ10" s="224" t="s">
        <v>175</v>
      </c>
      <c r="AR10" s="225"/>
      <c r="AS10" s="224" t="s">
        <v>170</v>
      </c>
      <c r="AT10" s="226"/>
      <c r="AU10" s="171"/>
      <c r="AV10" s="172"/>
      <c r="AW10" s="169"/>
      <c r="AX10" s="165"/>
      <c r="AY10" s="169"/>
      <c r="AZ10" s="170"/>
      <c r="BA10" s="201"/>
      <c r="BB10" s="202"/>
      <c r="BC10" s="202"/>
      <c r="BD10" s="202"/>
      <c r="BE10" s="202"/>
      <c r="BF10" s="202"/>
      <c r="BG10" s="202"/>
      <c r="BH10" s="202"/>
      <c r="BI10" s="202"/>
      <c r="BJ10" s="202"/>
      <c r="BK10" s="202"/>
      <c r="BL10" s="203"/>
      <c r="BM10" s="16"/>
      <c r="BN10" s="16"/>
    </row>
    <row r="11" spans="1:66" ht="20.100000000000001" customHeight="1" x14ac:dyDescent="0.45">
      <c r="A11" s="10"/>
      <c r="B11" s="10"/>
      <c r="C11" s="30">
        <f t="shared" si="0"/>
        <v>2</v>
      </c>
      <c r="D11" s="214"/>
      <c r="E11" s="215"/>
      <c r="F11" s="215"/>
      <c r="G11" s="216"/>
      <c r="H11" s="179" t="s">
        <v>46</v>
      </c>
      <c r="I11" s="180"/>
      <c r="J11" s="180"/>
      <c r="K11" s="181"/>
      <c r="L11" s="230" t="s">
        <v>57</v>
      </c>
      <c r="M11" s="231"/>
      <c r="N11" s="231"/>
      <c r="O11" s="232"/>
      <c r="P11" s="179" t="s">
        <v>58</v>
      </c>
      <c r="Q11" s="180"/>
      <c r="R11" s="180"/>
      <c r="S11" s="180"/>
      <c r="T11" s="180"/>
      <c r="U11" s="180"/>
      <c r="V11" s="180"/>
      <c r="W11" s="181"/>
      <c r="X11" s="176" t="s">
        <v>59</v>
      </c>
      <c r="Y11" s="177"/>
      <c r="Z11" s="177"/>
      <c r="AA11" s="177"/>
      <c r="AB11" s="177"/>
      <c r="AC11" s="177"/>
      <c r="AD11" s="177"/>
      <c r="AE11" s="178"/>
      <c r="AF11" s="176"/>
      <c r="AG11" s="177"/>
      <c r="AH11" s="177"/>
      <c r="AI11" s="177"/>
      <c r="AJ11" s="177"/>
      <c r="AK11" s="177"/>
      <c r="AL11" s="177"/>
      <c r="AM11" s="177"/>
      <c r="AN11" s="191"/>
      <c r="AO11" s="222">
        <v>45702</v>
      </c>
      <c r="AP11" s="223"/>
      <c r="AQ11" s="224" t="s">
        <v>175</v>
      </c>
      <c r="AR11" s="225"/>
      <c r="AS11" s="224" t="s">
        <v>170</v>
      </c>
      <c r="AT11" s="226"/>
      <c r="AU11" s="171"/>
      <c r="AV11" s="172"/>
      <c r="AW11" s="169"/>
      <c r="AX11" s="165"/>
      <c r="AY11" s="169"/>
      <c r="AZ11" s="170"/>
      <c r="BA11" s="201"/>
      <c r="BB11" s="202"/>
      <c r="BC11" s="202"/>
      <c r="BD11" s="202"/>
      <c r="BE11" s="202"/>
      <c r="BF11" s="202"/>
      <c r="BG11" s="202"/>
      <c r="BH11" s="202"/>
      <c r="BI11" s="202"/>
      <c r="BJ11" s="202"/>
      <c r="BK11" s="202"/>
      <c r="BL11" s="203"/>
      <c r="BM11" s="16"/>
      <c r="BN11" s="16"/>
    </row>
    <row r="12" spans="1:66" ht="20.100000000000001" customHeight="1" x14ac:dyDescent="0.45">
      <c r="A12" s="10"/>
      <c r="B12" s="10"/>
      <c r="C12" s="30">
        <f t="shared" si="0"/>
        <v>3</v>
      </c>
      <c r="D12" s="58"/>
      <c r="E12" s="59"/>
      <c r="F12" s="59"/>
      <c r="G12" s="60"/>
      <c r="H12" s="182"/>
      <c r="I12" s="183"/>
      <c r="J12" s="183"/>
      <c r="K12" s="184"/>
      <c r="L12" s="69"/>
      <c r="M12" s="70"/>
      <c r="N12" s="70"/>
      <c r="O12" s="71"/>
      <c r="P12" s="66"/>
      <c r="Q12" s="67"/>
      <c r="R12" s="67"/>
      <c r="S12" s="67"/>
      <c r="T12" s="67"/>
      <c r="U12" s="67"/>
      <c r="V12" s="67"/>
      <c r="W12" s="68"/>
      <c r="X12" s="176" t="s">
        <v>60</v>
      </c>
      <c r="Y12" s="177"/>
      <c r="Z12" s="177"/>
      <c r="AA12" s="177"/>
      <c r="AB12" s="177"/>
      <c r="AC12" s="177"/>
      <c r="AD12" s="177"/>
      <c r="AE12" s="178"/>
      <c r="AF12" s="61"/>
      <c r="AG12" s="62"/>
      <c r="AH12" s="62"/>
      <c r="AI12" s="62"/>
      <c r="AJ12" s="62"/>
      <c r="AK12" s="62"/>
      <c r="AL12" s="62"/>
      <c r="AM12" s="62"/>
      <c r="AN12" s="63"/>
      <c r="AO12" s="222">
        <v>45702</v>
      </c>
      <c r="AP12" s="223"/>
      <c r="AQ12" s="224" t="s">
        <v>175</v>
      </c>
      <c r="AR12" s="225"/>
      <c r="AS12" s="224" t="s">
        <v>170</v>
      </c>
      <c r="AT12" s="226"/>
      <c r="AU12" s="64"/>
      <c r="AV12" s="65"/>
      <c r="AW12" s="53"/>
      <c r="AX12" s="52"/>
      <c r="AY12" s="53"/>
      <c r="AZ12" s="54"/>
      <c r="BA12" s="55"/>
      <c r="BB12" s="56"/>
      <c r="BC12" s="56"/>
      <c r="BD12" s="56"/>
      <c r="BE12" s="56"/>
      <c r="BF12" s="56"/>
      <c r="BG12" s="56"/>
      <c r="BH12" s="56"/>
      <c r="BI12" s="56"/>
      <c r="BJ12" s="56"/>
      <c r="BK12" s="56"/>
      <c r="BL12" s="57"/>
      <c r="BM12" s="16"/>
      <c r="BN12" s="16"/>
    </row>
    <row r="13" spans="1:66" ht="31.2" customHeight="1" x14ac:dyDescent="0.45">
      <c r="A13" s="10"/>
      <c r="B13" s="10"/>
      <c r="C13" s="30">
        <f t="shared" si="0"/>
        <v>4</v>
      </c>
      <c r="D13" s="214"/>
      <c r="E13" s="215"/>
      <c r="F13" s="215"/>
      <c r="G13" s="216"/>
      <c r="H13" s="179" t="s">
        <v>51</v>
      </c>
      <c r="I13" s="180"/>
      <c r="J13" s="180"/>
      <c r="K13" s="181"/>
      <c r="L13" s="176" t="s">
        <v>47</v>
      </c>
      <c r="M13" s="177"/>
      <c r="N13" s="177"/>
      <c r="O13" s="178"/>
      <c r="P13" s="176" t="s">
        <v>58</v>
      </c>
      <c r="Q13" s="177"/>
      <c r="R13" s="177"/>
      <c r="S13" s="177"/>
      <c r="T13" s="177"/>
      <c r="U13" s="177"/>
      <c r="V13" s="177"/>
      <c r="W13" s="178"/>
      <c r="X13" s="176" t="s">
        <v>45</v>
      </c>
      <c r="Y13" s="177"/>
      <c r="Z13" s="177"/>
      <c r="AA13" s="177"/>
      <c r="AB13" s="177"/>
      <c r="AC13" s="177"/>
      <c r="AD13" s="177"/>
      <c r="AE13" s="178"/>
      <c r="AF13" s="176" t="s">
        <v>86</v>
      </c>
      <c r="AG13" s="177"/>
      <c r="AH13" s="177"/>
      <c r="AI13" s="177"/>
      <c r="AJ13" s="177"/>
      <c r="AK13" s="177"/>
      <c r="AL13" s="177"/>
      <c r="AM13" s="177"/>
      <c r="AN13" s="191"/>
      <c r="AO13" s="222">
        <v>45702</v>
      </c>
      <c r="AP13" s="223"/>
      <c r="AQ13" s="224" t="s">
        <v>175</v>
      </c>
      <c r="AR13" s="225"/>
      <c r="AS13" s="224" t="s">
        <v>170</v>
      </c>
      <c r="AT13" s="226"/>
      <c r="AU13" s="171"/>
      <c r="AV13" s="172"/>
      <c r="AW13" s="169"/>
      <c r="AX13" s="165"/>
      <c r="AY13" s="169"/>
      <c r="AZ13" s="170"/>
      <c r="BA13" s="201"/>
      <c r="BB13" s="202"/>
      <c r="BC13" s="202"/>
      <c r="BD13" s="202"/>
      <c r="BE13" s="202"/>
      <c r="BF13" s="202"/>
      <c r="BG13" s="202"/>
      <c r="BH13" s="202"/>
      <c r="BI13" s="202"/>
      <c r="BJ13" s="202"/>
      <c r="BK13" s="202"/>
      <c r="BL13" s="203"/>
      <c r="BM13" s="16"/>
      <c r="BN13" s="16"/>
    </row>
    <row r="14" spans="1:66" ht="20.100000000000001" customHeight="1" x14ac:dyDescent="0.45">
      <c r="A14" s="10"/>
      <c r="B14" s="10"/>
      <c r="C14" s="30">
        <f t="shared" si="0"/>
        <v>5</v>
      </c>
      <c r="D14" s="214"/>
      <c r="E14" s="215"/>
      <c r="F14" s="215"/>
      <c r="G14" s="216"/>
      <c r="H14" s="214"/>
      <c r="I14" s="215"/>
      <c r="J14" s="215"/>
      <c r="K14" s="216"/>
      <c r="L14" s="176" t="s">
        <v>63</v>
      </c>
      <c r="M14" s="177"/>
      <c r="N14" s="177"/>
      <c r="O14" s="178"/>
      <c r="P14" s="176" t="s">
        <v>58</v>
      </c>
      <c r="Q14" s="177"/>
      <c r="R14" s="177"/>
      <c r="S14" s="177"/>
      <c r="T14" s="177"/>
      <c r="U14" s="177"/>
      <c r="V14" s="177"/>
      <c r="W14" s="178"/>
      <c r="X14" s="176" t="s">
        <v>45</v>
      </c>
      <c r="Y14" s="177"/>
      <c r="Z14" s="177"/>
      <c r="AA14" s="177"/>
      <c r="AB14" s="177"/>
      <c r="AC14" s="177"/>
      <c r="AD14" s="177"/>
      <c r="AE14" s="178"/>
      <c r="AF14" s="176"/>
      <c r="AG14" s="177"/>
      <c r="AH14" s="177"/>
      <c r="AI14" s="177"/>
      <c r="AJ14" s="177"/>
      <c r="AK14" s="177"/>
      <c r="AL14" s="177"/>
      <c r="AM14" s="177"/>
      <c r="AN14" s="191"/>
      <c r="AO14" s="222">
        <v>45702</v>
      </c>
      <c r="AP14" s="223"/>
      <c r="AQ14" s="224" t="s">
        <v>175</v>
      </c>
      <c r="AR14" s="225"/>
      <c r="AS14" s="224" t="s">
        <v>170</v>
      </c>
      <c r="AT14" s="226"/>
      <c r="AU14" s="171"/>
      <c r="AV14" s="172"/>
      <c r="AW14" s="169"/>
      <c r="AX14" s="165"/>
      <c r="AY14" s="169"/>
      <c r="AZ14" s="170"/>
      <c r="BA14" s="201"/>
      <c r="BB14" s="202"/>
      <c r="BC14" s="202"/>
      <c r="BD14" s="202"/>
      <c r="BE14" s="202"/>
      <c r="BF14" s="202"/>
      <c r="BG14" s="202"/>
      <c r="BH14" s="202"/>
      <c r="BI14" s="202"/>
      <c r="BJ14" s="202"/>
      <c r="BK14" s="202"/>
      <c r="BL14" s="203"/>
      <c r="BM14" s="16"/>
      <c r="BN14" s="16"/>
    </row>
    <row r="15" spans="1:66" ht="20.100000000000001" customHeight="1" x14ac:dyDescent="0.45">
      <c r="A15" s="10"/>
      <c r="B15" s="10"/>
      <c r="C15" s="30">
        <f t="shared" si="0"/>
        <v>6</v>
      </c>
      <c r="D15" s="214"/>
      <c r="E15" s="215"/>
      <c r="F15" s="215"/>
      <c r="G15" s="216"/>
      <c r="H15" s="214"/>
      <c r="I15" s="215"/>
      <c r="J15" s="215"/>
      <c r="K15" s="216"/>
      <c r="L15" s="176" t="s">
        <v>64</v>
      </c>
      <c r="M15" s="177"/>
      <c r="N15" s="177"/>
      <c r="O15" s="178"/>
      <c r="P15" s="176" t="s">
        <v>58</v>
      </c>
      <c r="Q15" s="177"/>
      <c r="R15" s="177"/>
      <c r="S15" s="177"/>
      <c r="T15" s="177"/>
      <c r="U15" s="177"/>
      <c r="V15" s="177"/>
      <c r="W15" s="178"/>
      <c r="X15" s="176" t="s">
        <v>45</v>
      </c>
      <c r="Y15" s="177"/>
      <c r="Z15" s="177"/>
      <c r="AA15" s="177"/>
      <c r="AB15" s="177"/>
      <c r="AC15" s="177"/>
      <c r="AD15" s="177"/>
      <c r="AE15" s="178"/>
      <c r="AF15" s="176"/>
      <c r="AG15" s="177"/>
      <c r="AH15" s="177"/>
      <c r="AI15" s="177"/>
      <c r="AJ15" s="177"/>
      <c r="AK15" s="177"/>
      <c r="AL15" s="177"/>
      <c r="AM15" s="177"/>
      <c r="AN15" s="191"/>
      <c r="AO15" s="222">
        <v>45702</v>
      </c>
      <c r="AP15" s="223"/>
      <c r="AQ15" s="224" t="s">
        <v>175</v>
      </c>
      <c r="AR15" s="225"/>
      <c r="AS15" s="224" t="s">
        <v>170</v>
      </c>
      <c r="AT15" s="226"/>
      <c r="AU15" s="171"/>
      <c r="AV15" s="172"/>
      <c r="AW15" s="169"/>
      <c r="AX15" s="165"/>
      <c r="AY15" s="169"/>
      <c r="AZ15" s="170"/>
      <c r="BA15" s="201"/>
      <c r="BB15" s="202"/>
      <c r="BC15" s="202"/>
      <c r="BD15" s="202"/>
      <c r="BE15" s="202"/>
      <c r="BF15" s="202"/>
      <c r="BG15" s="202"/>
      <c r="BH15" s="202"/>
      <c r="BI15" s="202"/>
      <c r="BJ15" s="202"/>
      <c r="BK15" s="202"/>
      <c r="BL15" s="203"/>
      <c r="BM15" s="16"/>
      <c r="BN15" s="16"/>
    </row>
    <row r="16" spans="1:66" ht="20.100000000000001" customHeight="1" x14ac:dyDescent="0.45">
      <c r="A16" s="10"/>
      <c r="B16" s="10"/>
      <c r="C16" s="30">
        <f t="shared" si="0"/>
        <v>7</v>
      </c>
      <c r="D16" s="214"/>
      <c r="E16" s="215"/>
      <c r="F16" s="215"/>
      <c r="G16" s="216"/>
      <c r="H16" s="214"/>
      <c r="I16" s="215"/>
      <c r="J16" s="215"/>
      <c r="K16" s="216"/>
      <c r="L16" s="176" t="s">
        <v>67</v>
      </c>
      <c r="M16" s="177"/>
      <c r="N16" s="177"/>
      <c r="O16" s="178"/>
      <c r="P16" s="176" t="s">
        <v>58</v>
      </c>
      <c r="Q16" s="177"/>
      <c r="R16" s="177"/>
      <c r="S16" s="177"/>
      <c r="T16" s="177"/>
      <c r="U16" s="177"/>
      <c r="V16" s="177"/>
      <c r="W16" s="178"/>
      <c r="X16" s="176" t="s">
        <v>45</v>
      </c>
      <c r="Y16" s="177"/>
      <c r="Z16" s="177"/>
      <c r="AA16" s="177"/>
      <c r="AB16" s="177"/>
      <c r="AC16" s="177"/>
      <c r="AD16" s="177"/>
      <c r="AE16" s="178"/>
      <c r="AF16" s="176"/>
      <c r="AG16" s="177"/>
      <c r="AH16" s="177"/>
      <c r="AI16" s="177"/>
      <c r="AJ16" s="177"/>
      <c r="AK16" s="177"/>
      <c r="AL16" s="177"/>
      <c r="AM16" s="177"/>
      <c r="AN16" s="191"/>
      <c r="AO16" s="222">
        <v>45702</v>
      </c>
      <c r="AP16" s="223"/>
      <c r="AQ16" s="224" t="s">
        <v>175</v>
      </c>
      <c r="AR16" s="225"/>
      <c r="AS16" s="224" t="s">
        <v>170</v>
      </c>
      <c r="AT16" s="226"/>
      <c r="AU16" s="171"/>
      <c r="AV16" s="172"/>
      <c r="AW16" s="169"/>
      <c r="AX16" s="165"/>
      <c r="AY16" s="169"/>
      <c r="AZ16" s="170"/>
      <c r="BA16" s="201"/>
      <c r="BB16" s="202"/>
      <c r="BC16" s="202"/>
      <c r="BD16" s="202"/>
      <c r="BE16" s="202"/>
      <c r="BF16" s="202"/>
      <c r="BG16" s="202"/>
      <c r="BH16" s="202"/>
      <c r="BI16" s="202"/>
      <c r="BJ16" s="202"/>
      <c r="BK16" s="202"/>
      <c r="BL16" s="203"/>
      <c r="BM16" s="16"/>
      <c r="BN16" s="16"/>
    </row>
    <row r="17" spans="1:66" ht="20.100000000000001" customHeight="1" x14ac:dyDescent="0.45">
      <c r="A17" s="10"/>
      <c r="B17" s="10"/>
      <c r="C17" s="30">
        <f t="shared" si="0"/>
        <v>8</v>
      </c>
      <c r="D17" s="214"/>
      <c r="E17" s="215"/>
      <c r="F17" s="215"/>
      <c r="G17" s="216"/>
      <c r="H17" s="214"/>
      <c r="I17" s="215"/>
      <c r="J17" s="215"/>
      <c r="K17" s="216"/>
      <c r="L17" s="176" t="s">
        <v>68</v>
      </c>
      <c r="M17" s="177"/>
      <c r="N17" s="177"/>
      <c r="O17" s="178"/>
      <c r="P17" s="176" t="s">
        <v>58</v>
      </c>
      <c r="Q17" s="177"/>
      <c r="R17" s="177"/>
      <c r="S17" s="177"/>
      <c r="T17" s="177"/>
      <c r="U17" s="177"/>
      <c r="V17" s="177"/>
      <c r="W17" s="178"/>
      <c r="X17" s="176" t="s">
        <v>45</v>
      </c>
      <c r="Y17" s="177"/>
      <c r="Z17" s="177"/>
      <c r="AA17" s="177"/>
      <c r="AB17" s="177"/>
      <c r="AC17" s="177"/>
      <c r="AD17" s="177"/>
      <c r="AE17" s="178"/>
      <c r="AF17" s="176"/>
      <c r="AG17" s="177"/>
      <c r="AH17" s="177"/>
      <c r="AI17" s="177"/>
      <c r="AJ17" s="177"/>
      <c r="AK17" s="177"/>
      <c r="AL17" s="177"/>
      <c r="AM17" s="177"/>
      <c r="AN17" s="191"/>
      <c r="AO17" s="222">
        <v>45702</v>
      </c>
      <c r="AP17" s="223"/>
      <c r="AQ17" s="224" t="s">
        <v>175</v>
      </c>
      <c r="AR17" s="225"/>
      <c r="AS17" s="224" t="s">
        <v>170</v>
      </c>
      <c r="AT17" s="226"/>
      <c r="AU17" s="171"/>
      <c r="AV17" s="172"/>
      <c r="AW17" s="169"/>
      <c r="AX17" s="165"/>
      <c r="AY17" s="169"/>
      <c r="AZ17" s="170"/>
      <c r="BA17" s="201"/>
      <c r="BB17" s="202"/>
      <c r="BC17" s="202"/>
      <c r="BD17" s="202"/>
      <c r="BE17" s="202"/>
      <c r="BF17" s="202"/>
      <c r="BG17" s="202"/>
      <c r="BH17" s="202"/>
      <c r="BI17" s="202"/>
      <c r="BJ17" s="202"/>
      <c r="BK17" s="202"/>
      <c r="BL17" s="203"/>
      <c r="BM17" s="16"/>
      <c r="BN17" s="16"/>
    </row>
    <row r="18" spans="1:66" ht="20.100000000000001" customHeight="1" x14ac:dyDescent="0.45">
      <c r="A18" s="10"/>
      <c r="B18" s="10"/>
      <c r="C18" s="30">
        <f t="shared" si="0"/>
        <v>9</v>
      </c>
      <c r="D18" s="46"/>
      <c r="E18" s="47"/>
      <c r="F18" s="47"/>
      <c r="G18" s="48"/>
      <c r="H18" s="214"/>
      <c r="I18" s="215"/>
      <c r="J18" s="215"/>
      <c r="K18" s="216"/>
      <c r="L18" s="176" t="s">
        <v>69</v>
      </c>
      <c r="M18" s="177"/>
      <c r="N18" s="177"/>
      <c r="O18" s="178"/>
      <c r="P18" s="176" t="s">
        <v>58</v>
      </c>
      <c r="Q18" s="177"/>
      <c r="R18" s="177"/>
      <c r="S18" s="177"/>
      <c r="T18" s="177"/>
      <c r="U18" s="177"/>
      <c r="V18" s="177"/>
      <c r="W18" s="178"/>
      <c r="X18" s="176" t="s">
        <v>45</v>
      </c>
      <c r="Y18" s="177"/>
      <c r="Z18" s="177"/>
      <c r="AA18" s="177"/>
      <c r="AB18" s="177"/>
      <c r="AC18" s="177"/>
      <c r="AD18" s="177"/>
      <c r="AE18" s="178"/>
      <c r="AF18" s="40"/>
      <c r="AG18" s="41"/>
      <c r="AH18" s="41"/>
      <c r="AI18" s="41"/>
      <c r="AJ18" s="41"/>
      <c r="AK18" s="41"/>
      <c r="AL18" s="41"/>
      <c r="AM18" s="41"/>
      <c r="AN18" s="42"/>
      <c r="AO18" s="222">
        <v>45702</v>
      </c>
      <c r="AP18" s="223"/>
      <c r="AQ18" s="224" t="s">
        <v>175</v>
      </c>
      <c r="AR18" s="225"/>
      <c r="AS18" s="224" t="s">
        <v>170</v>
      </c>
      <c r="AT18" s="226"/>
      <c r="AU18" s="43"/>
      <c r="AV18" s="44"/>
      <c r="AW18" s="36"/>
      <c r="AX18" s="35"/>
      <c r="AY18" s="36"/>
      <c r="AZ18" s="45"/>
      <c r="BA18" s="37"/>
      <c r="BB18" s="38"/>
      <c r="BC18" s="38"/>
      <c r="BD18" s="38"/>
      <c r="BE18" s="38"/>
      <c r="BF18" s="38"/>
      <c r="BG18" s="38"/>
      <c r="BH18" s="38"/>
      <c r="BI18" s="38"/>
      <c r="BJ18" s="38"/>
      <c r="BK18" s="38"/>
      <c r="BL18" s="39"/>
      <c r="BM18" s="16"/>
      <c r="BN18" s="16"/>
    </row>
    <row r="19" spans="1:66" ht="20.100000000000001" customHeight="1" x14ac:dyDescent="0.45">
      <c r="A19" s="10"/>
      <c r="B19" s="10"/>
      <c r="C19" s="30">
        <f t="shared" si="0"/>
        <v>10</v>
      </c>
      <c r="D19" s="46"/>
      <c r="E19" s="47"/>
      <c r="F19" s="47"/>
      <c r="G19" s="48"/>
      <c r="H19" s="214"/>
      <c r="I19" s="215"/>
      <c r="J19" s="215"/>
      <c r="K19" s="216"/>
      <c r="L19" s="176" t="s">
        <v>70</v>
      </c>
      <c r="M19" s="177"/>
      <c r="N19" s="177"/>
      <c r="O19" s="178"/>
      <c r="P19" s="176" t="s">
        <v>58</v>
      </c>
      <c r="Q19" s="177"/>
      <c r="R19" s="177"/>
      <c r="S19" s="177"/>
      <c r="T19" s="177"/>
      <c r="U19" s="177"/>
      <c r="V19" s="177"/>
      <c r="W19" s="178"/>
      <c r="X19" s="176" t="s">
        <v>45</v>
      </c>
      <c r="Y19" s="177"/>
      <c r="Z19" s="177"/>
      <c r="AA19" s="177"/>
      <c r="AB19" s="177"/>
      <c r="AC19" s="177"/>
      <c r="AD19" s="177"/>
      <c r="AE19" s="178"/>
      <c r="AF19" s="40"/>
      <c r="AG19" s="41"/>
      <c r="AH19" s="41"/>
      <c r="AI19" s="41"/>
      <c r="AJ19" s="41"/>
      <c r="AK19" s="41"/>
      <c r="AL19" s="41"/>
      <c r="AM19" s="41"/>
      <c r="AN19" s="42"/>
      <c r="AO19" s="222">
        <v>45702</v>
      </c>
      <c r="AP19" s="223"/>
      <c r="AQ19" s="224" t="s">
        <v>175</v>
      </c>
      <c r="AR19" s="225"/>
      <c r="AS19" s="224" t="s">
        <v>170</v>
      </c>
      <c r="AT19" s="226"/>
      <c r="AU19" s="43"/>
      <c r="AV19" s="44"/>
      <c r="AW19" s="36"/>
      <c r="AX19" s="35"/>
      <c r="AY19" s="36"/>
      <c r="AZ19" s="45"/>
      <c r="BA19" s="37"/>
      <c r="BB19" s="38"/>
      <c r="BC19" s="38"/>
      <c r="BD19" s="38"/>
      <c r="BE19" s="38"/>
      <c r="BF19" s="38"/>
      <c r="BG19" s="38"/>
      <c r="BH19" s="38"/>
      <c r="BI19" s="38"/>
      <c r="BJ19" s="38"/>
      <c r="BK19" s="38"/>
      <c r="BL19" s="39"/>
      <c r="BM19" s="16"/>
      <c r="BN19" s="16"/>
    </row>
    <row r="20" spans="1:66" ht="20.100000000000001" customHeight="1" x14ac:dyDescent="0.45">
      <c r="A20" s="10"/>
      <c r="B20" s="10"/>
      <c r="C20" s="30">
        <f t="shared" si="0"/>
        <v>11</v>
      </c>
      <c r="D20" s="46"/>
      <c r="E20" s="47"/>
      <c r="F20" s="47"/>
      <c r="G20" s="48"/>
      <c r="H20" s="214"/>
      <c r="I20" s="215"/>
      <c r="J20" s="215"/>
      <c r="K20" s="216"/>
      <c r="L20" s="176" t="s">
        <v>71</v>
      </c>
      <c r="M20" s="177"/>
      <c r="N20" s="177"/>
      <c r="O20" s="178"/>
      <c r="P20" s="176" t="s">
        <v>58</v>
      </c>
      <c r="Q20" s="177"/>
      <c r="R20" s="177"/>
      <c r="S20" s="177"/>
      <c r="T20" s="177"/>
      <c r="U20" s="177"/>
      <c r="V20" s="177"/>
      <c r="W20" s="178"/>
      <c r="X20" s="176" t="s">
        <v>45</v>
      </c>
      <c r="Y20" s="177"/>
      <c r="Z20" s="177"/>
      <c r="AA20" s="177"/>
      <c r="AB20" s="177"/>
      <c r="AC20" s="177"/>
      <c r="AD20" s="177"/>
      <c r="AE20" s="178"/>
      <c r="AF20" s="40"/>
      <c r="AG20" s="41"/>
      <c r="AH20" s="41"/>
      <c r="AI20" s="41"/>
      <c r="AJ20" s="41"/>
      <c r="AK20" s="41"/>
      <c r="AL20" s="41"/>
      <c r="AM20" s="41"/>
      <c r="AN20" s="42"/>
      <c r="AO20" s="222">
        <v>45702</v>
      </c>
      <c r="AP20" s="223"/>
      <c r="AQ20" s="224" t="s">
        <v>175</v>
      </c>
      <c r="AR20" s="225"/>
      <c r="AS20" s="224" t="s">
        <v>170</v>
      </c>
      <c r="AT20" s="226"/>
      <c r="AU20" s="43"/>
      <c r="AV20" s="44"/>
      <c r="AW20" s="36"/>
      <c r="AX20" s="35"/>
      <c r="AY20" s="36"/>
      <c r="AZ20" s="45"/>
      <c r="BA20" s="37"/>
      <c r="BB20" s="38"/>
      <c r="BC20" s="38"/>
      <c r="BD20" s="38"/>
      <c r="BE20" s="38"/>
      <c r="BF20" s="38"/>
      <c r="BG20" s="38"/>
      <c r="BH20" s="38"/>
      <c r="BI20" s="38"/>
      <c r="BJ20" s="38"/>
      <c r="BK20" s="38"/>
      <c r="BL20" s="39"/>
      <c r="BM20" s="16"/>
      <c r="BN20" s="16"/>
    </row>
    <row r="21" spans="1:66" ht="26.4" customHeight="1" x14ac:dyDescent="0.45">
      <c r="A21" s="10"/>
      <c r="B21" s="10"/>
      <c r="C21" s="30">
        <f t="shared" si="0"/>
        <v>12</v>
      </c>
      <c r="D21" s="46"/>
      <c r="E21" s="47"/>
      <c r="F21" s="47"/>
      <c r="G21" s="48"/>
      <c r="H21" s="214"/>
      <c r="I21" s="215"/>
      <c r="J21" s="215"/>
      <c r="K21" s="216"/>
      <c r="L21" s="176" t="s">
        <v>72</v>
      </c>
      <c r="M21" s="177"/>
      <c r="N21" s="177"/>
      <c r="O21" s="178"/>
      <c r="P21" s="176" t="s">
        <v>58</v>
      </c>
      <c r="Q21" s="177"/>
      <c r="R21" s="177"/>
      <c r="S21" s="177"/>
      <c r="T21" s="177"/>
      <c r="U21" s="177"/>
      <c r="V21" s="177"/>
      <c r="W21" s="178"/>
      <c r="X21" s="176" t="s">
        <v>45</v>
      </c>
      <c r="Y21" s="177"/>
      <c r="Z21" s="177"/>
      <c r="AA21" s="177"/>
      <c r="AB21" s="177"/>
      <c r="AC21" s="177"/>
      <c r="AD21" s="177"/>
      <c r="AE21" s="178"/>
      <c r="AF21" s="40"/>
      <c r="AG21" s="41"/>
      <c r="AH21" s="41"/>
      <c r="AI21" s="41"/>
      <c r="AJ21" s="41"/>
      <c r="AK21" s="41"/>
      <c r="AL21" s="41"/>
      <c r="AM21" s="41"/>
      <c r="AN21" s="42"/>
      <c r="AO21" s="222">
        <v>45702</v>
      </c>
      <c r="AP21" s="223"/>
      <c r="AQ21" s="224" t="s">
        <v>175</v>
      </c>
      <c r="AR21" s="225"/>
      <c r="AS21" s="224" t="s">
        <v>170</v>
      </c>
      <c r="AT21" s="226"/>
      <c r="AU21" s="43"/>
      <c r="AV21" s="44"/>
      <c r="AW21" s="36"/>
      <c r="AX21" s="35"/>
      <c r="AY21" s="36"/>
      <c r="AZ21" s="45"/>
      <c r="BA21" s="37"/>
      <c r="BB21" s="38"/>
      <c r="BC21" s="38"/>
      <c r="BD21" s="38"/>
      <c r="BE21" s="38"/>
      <c r="BF21" s="38"/>
      <c r="BG21" s="38"/>
      <c r="BH21" s="38"/>
      <c r="BI21" s="38"/>
      <c r="BJ21" s="38"/>
      <c r="BK21" s="38"/>
      <c r="BL21" s="39"/>
      <c r="BM21" s="16"/>
      <c r="BN21" s="16"/>
    </row>
    <row r="22" spans="1:66" ht="26.4" customHeight="1" x14ac:dyDescent="0.45">
      <c r="A22" s="10"/>
      <c r="B22" s="10"/>
      <c r="C22" s="30">
        <f t="shared" si="0"/>
        <v>13</v>
      </c>
      <c r="D22" s="46"/>
      <c r="E22" s="47"/>
      <c r="F22" s="47"/>
      <c r="G22" s="48"/>
      <c r="H22" s="214"/>
      <c r="I22" s="215"/>
      <c r="J22" s="215"/>
      <c r="K22" s="216"/>
      <c r="L22" s="176" t="s">
        <v>73</v>
      </c>
      <c r="M22" s="177"/>
      <c r="N22" s="177"/>
      <c r="O22" s="178"/>
      <c r="P22" s="176" t="s">
        <v>58</v>
      </c>
      <c r="Q22" s="177"/>
      <c r="R22" s="177"/>
      <c r="S22" s="177"/>
      <c r="T22" s="177"/>
      <c r="U22" s="177"/>
      <c r="V22" s="177"/>
      <c r="W22" s="178"/>
      <c r="X22" s="176" t="s">
        <v>45</v>
      </c>
      <c r="Y22" s="177"/>
      <c r="Z22" s="177"/>
      <c r="AA22" s="177"/>
      <c r="AB22" s="177"/>
      <c r="AC22" s="177"/>
      <c r="AD22" s="177"/>
      <c r="AE22" s="178"/>
      <c r="AF22" s="40"/>
      <c r="AG22" s="41"/>
      <c r="AH22" s="41"/>
      <c r="AI22" s="41"/>
      <c r="AJ22" s="41"/>
      <c r="AK22" s="41"/>
      <c r="AL22" s="41"/>
      <c r="AM22" s="41"/>
      <c r="AN22" s="42"/>
      <c r="AO22" s="222">
        <v>45702</v>
      </c>
      <c r="AP22" s="223"/>
      <c r="AQ22" s="224" t="s">
        <v>175</v>
      </c>
      <c r="AR22" s="225"/>
      <c r="AS22" s="224" t="s">
        <v>170</v>
      </c>
      <c r="AT22" s="226"/>
      <c r="AU22" s="43"/>
      <c r="AV22" s="44"/>
      <c r="AW22" s="36"/>
      <c r="AX22" s="35"/>
      <c r="AY22" s="36"/>
      <c r="AZ22" s="45"/>
      <c r="BA22" s="37"/>
      <c r="BB22" s="38"/>
      <c r="BC22" s="38"/>
      <c r="BD22" s="38"/>
      <c r="BE22" s="38"/>
      <c r="BF22" s="38"/>
      <c r="BG22" s="38"/>
      <c r="BH22" s="38"/>
      <c r="BI22" s="38"/>
      <c r="BJ22" s="38"/>
      <c r="BK22" s="38"/>
      <c r="BL22" s="39"/>
      <c r="BM22" s="16"/>
      <c r="BN22" s="16"/>
    </row>
    <row r="23" spans="1:66" ht="26.4" customHeight="1" x14ac:dyDescent="0.45">
      <c r="A23" s="10"/>
      <c r="B23" s="10"/>
      <c r="C23" s="30">
        <f t="shared" si="0"/>
        <v>14</v>
      </c>
      <c r="D23" s="46"/>
      <c r="E23" s="47"/>
      <c r="F23" s="47"/>
      <c r="G23" s="48"/>
      <c r="H23" s="214"/>
      <c r="I23" s="215"/>
      <c r="J23" s="215"/>
      <c r="K23" s="216"/>
      <c r="L23" s="176" t="s">
        <v>74</v>
      </c>
      <c r="M23" s="177"/>
      <c r="N23" s="177"/>
      <c r="O23" s="178"/>
      <c r="P23" s="176" t="s">
        <v>58</v>
      </c>
      <c r="Q23" s="177"/>
      <c r="R23" s="177"/>
      <c r="S23" s="177"/>
      <c r="T23" s="177"/>
      <c r="U23" s="177"/>
      <c r="V23" s="177"/>
      <c r="W23" s="178"/>
      <c r="X23" s="176" t="s">
        <v>45</v>
      </c>
      <c r="Y23" s="177"/>
      <c r="Z23" s="177"/>
      <c r="AA23" s="177"/>
      <c r="AB23" s="177"/>
      <c r="AC23" s="177"/>
      <c r="AD23" s="177"/>
      <c r="AE23" s="178"/>
      <c r="AF23" s="40"/>
      <c r="AG23" s="41"/>
      <c r="AH23" s="41"/>
      <c r="AI23" s="41"/>
      <c r="AJ23" s="41"/>
      <c r="AK23" s="41"/>
      <c r="AL23" s="41"/>
      <c r="AM23" s="41"/>
      <c r="AN23" s="42"/>
      <c r="AO23" s="222">
        <v>45702</v>
      </c>
      <c r="AP23" s="223"/>
      <c r="AQ23" s="224" t="s">
        <v>175</v>
      </c>
      <c r="AR23" s="225"/>
      <c r="AS23" s="224" t="s">
        <v>170</v>
      </c>
      <c r="AT23" s="226"/>
      <c r="AU23" s="43"/>
      <c r="AV23" s="44"/>
      <c r="AW23" s="36"/>
      <c r="AX23" s="35"/>
      <c r="AY23" s="36"/>
      <c r="AZ23" s="45"/>
      <c r="BA23" s="37"/>
      <c r="BB23" s="38"/>
      <c r="BC23" s="38"/>
      <c r="BD23" s="38"/>
      <c r="BE23" s="38"/>
      <c r="BF23" s="38"/>
      <c r="BG23" s="38"/>
      <c r="BH23" s="38"/>
      <c r="BI23" s="38"/>
      <c r="BJ23" s="38"/>
      <c r="BK23" s="38"/>
      <c r="BL23" s="39"/>
      <c r="BM23" s="16"/>
      <c r="BN23" s="16"/>
    </row>
    <row r="24" spans="1:66" ht="26.4" customHeight="1" x14ac:dyDescent="0.45">
      <c r="A24" s="10"/>
      <c r="B24" s="10"/>
      <c r="C24" s="30">
        <f t="shared" si="0"/>
        <v>15</v>
      </c>
      <c r="D24" s="46"/>
      <c r="E24" s="47"/>
      <c r="F24" s="47"/>
      <c r="G24" s="48"/>
      <c r="H24" s="214"/>
      <c r="I24" s="215"/>
      <c r="J24" s="215"/>
      <c r="K24" s="216"/>
      <c r="L24" s="176" t="s">
        <v>75</v>
      </c>
      <c r="M24" s="177"/>
      <c r="N24" s="177"/>
      <c r="O24" s="178"/>
      <c r="P24" s="176" t="s">
        <v>58</v>
      </c>
      <c r="Q24" s="177"/>
      <c r="R24" s="177"/>
      <c r="S24" s="177"/>
      <c r="T24" s="177"/>
      <c r="U24" s="177"/>
      <c r="V24" s="177"/>
      <c r="W24" s="178"/>
      <c r="X24" s="176" t="s">
        <v>45</v>
      </c>
      <c r="Y24" s="177"/>
      <c r="Z24" s="177"/>
      <c r="AA24" s="177"/>
      <c r="AB24" s="177"/>
      <c r="AC24" s="177"/>
      <c r="AD24" s="177"/>
      <c r="AE24" s="178"/>
      <c r="AF24" s="40"/>
      <c r="AG24" s="41"/>
      <c r="AH24" s="41"/>
      <c r="AI24" s="41"/>
      <c r="AJ24" s="41"/>
      <c r="AK24" s="41"/>
      <c r="AL24" s="41"/>
      <c r="AM24" s="41"/>
      <c r="AN24" s="42"/>
      <c r="AO24" s="222">
        <v>45702</v>
      </c>
      <c r="AP24" s="223"/>
      <c r="AQ24" s="224" t="s">
        <v>175</v>
      </c>
      <c r="AR24" s="225"/>
      <c r="AS24" s="224" t="s">
        <v>170</v>
      </c>
      <c r="AT24" s="226"/>
      <c r="AU24" s="43"/>
      <c r="AV24" s="44"/>
      <c r="AW24" s="36"/>
      <c r="AX24" s="35"/>
      <c r="AY24" s="36"/>
      <c r="AZ24" s="45"/>
      <c r="BA24" s="37"/>
      <c r="BB24" s="38"/>
      <c r="BC24" s="38"/>
      <c r="BD24" s="38"/>
      <c r="BE24" s="38"/>
      <c r="BF24" s="38"/>
      <c r="BG24" s="38"/>
      <c r="BH24" s="38"/>
      <c r="BI24" s="38"/>
      <c r="BJ24" s="38"/>
      <c r="BK24" s="38"/>
      <c r="BL24" s="39"/>
      <c r="BM24" s="16"/>
      <c r="BN24" s="16"/>
    </row>
    <row r="25" spans="1:66" ht="20.100000000000001" customHeight="1" x14ac:dyDescent="0.45">
      <c r="A25" s="10"/>
      <c r="B25" s="10"/>
      <c r="C25" s="30">
        <f t="shared" si="0"/>
        <v>16</v>
      </c>
      <c r="D25" s="46"/>
      <c r="E25" s="47"/>
      <c r="F25" s="47"/>
      <c r="G25" s="48"/>
      <c r="H25" s="214"/>
      <c r="I25" s="215"/>
      <c r="J25" s="215"/>
      <c r="K25" s="216"/>
      <c r="L25" s="176" t="s">
        <v>76</v>
      </c>
      <c r="M25" s="177"/>
      <c r="N25" s="177"/>
      <c r="O25" s="178"/>
      <c r="P25" s="176" t="s">
        <v>58</v>
      </c>
      <c r="Q25" s="177"/>
      <c r="R25" s="177"/>
      <c r="S25" s="177"/>
      <c r="T25" s="177"/>
      <c r="U25" s="177"/>
      <c r="V25" s="177"/>
      <c r="W25" s="178"/>
      <c r="X25" s="176" t="s">
        <v>45</v>
      </c>
      <c r="Y25" s="177"/>
      <c r="Z25" s="177"/>
      <c r="AA25" s="177"/>
      <c r="AB25" s="177"/>
      <c r="AC25" s="177"/>
      <c r="AD25" s="177"/>
      <c r="AE25" s="178"/>
      <c r="AF25" s="40"/>
      <c r="AG25" s="41"/>
      <c r="AH25" s="41"/>
      <c r="AI25" s="41"/>
      <c r="AJ25" s="41"/>
      <c r="AK25" s="41"/>
      <c r="AL25" s="41"/>
      <c r="AM25" s="41"/>
      <c r="AN25" s="42"/>
      <c r="AO25" s="222">
        <v>45702</v>
      </c>
      <c r="AP25" s="223"/>
      <c r="AQ25" s="224" t="s">
        <v>175</v>
      </c>
      <c r="AR25" s="225"/>
      <c r="AS25" s="224" t="s">
        <v>170</v>
      </c>
      <c r="AT25" s="226"/>
      <c r="AU25" s="43"/>
      <c r="AV25" s="44"/>
      <c r="AW25" s="36"/>
      <c r="AX25" s="35"/>
      <c r="AY25" s="36"/>
      <c r="AZ25" s="45"/>
      <c r="BA25" s="37"/>
      <c r="BB25" s="38"/>
      <c r="BC25" s="38"/>
      <c r="BD25" s="38"/>
      <c r="BE25" s="38"/>
      <c r="BF25" s="38"/>
      <c r="BG25" s="38"/>
      <c r="BH25" s="38"/>
      <c r="BI25" s="38"/>
      <c r="BJ25" s="38"/>
      <c r="BK25" s="38"/>
      <c r="BL25" s="39"/>
      <c r="BM25" s="16"/>
      <c r="BN25" s="16"/>
    </row>
    <row r="26" spans="1:66" ht="20.100000000000001" customHeight="1" x14ac:dyDescent="0.45">
      <c r="A26" s="10"/>
      <c r="B26" s="10"/>
      <c r="C26" s="30">
        <f t="shared" si="0"/>
        <v>17</v>
      </c>
      <c r="D26" s="46"/>
      <c r="E26" s="47"/>
      <c r="F26" s="47"/>
      <c r="G26" s="48"/>
      <c r="H26" s="214"/>
      <c r="I26" s="215"/>
      <c r="J26" s="215"/>
      <c r="K26" s="216"/>
      <c r="L26" s="176" t="s">
        <v>77</v>
      </c>
      <c r="M26" s="177"/>
      <c r="N26" s="177"/>
      <c r="O26" s="178"/>
      <c r="P26" s="176" t="s">
        <v>58</v>
      </c>
      <c r="Q26" s="177"/>
      <c r="R26" s="177"/>
      <c r="S26" s="177"/>
      <c r="T26" s="177"/>
      <c r="U26" s="177"/>
      <c r="V26" s="177"/>
      <c r="W26" s="178"/>
      <c r="X26" s="176" t="s">
        <v>45</v>
      </c>
      <c r="Y26" s="177"/>
      <c r="Z26" s="177"/>
      <c r="AA26" s="177"/>
      <c r="AB26" s="177"/>
      <c r="AC26" s="177"/>
      <c r="AD26" s="177"/>
      <c r="AE26" s="178"/>
      <c r="AF26" s="40"/>
      <c r="AG26" s="41"/>
      <c r="AH26" s="41"/>
      <c r="AI26" s="41"/>
      <c r="AJ26" s="41"/>
      <c r="AK26" s="41"/>
      <c r="AL26" s="41"/>
      <c r="AM26" s="41"/>
      <c r="AN26" s="42"/>
      <c r="AO26" s="222">
        <v>45702</v>
      </c>
      <c r="AP26" s="223"/>
      <c r="AQ26" s="224" t="s">
        <v>175</v>
      </c>
      <c r="AR26" s="225"/>
      <c r="AS26" s="224" t="s">
        <v>170</v>
      </c>
      <c r="AT26" s="226"/>
      <c r="AU26" s="43"/>
      <c r="AV26" s="44"/>
      <c r="AW26" s="36"/>
      <c r="AX26" s="35"/>
      <c r="AY26" s="36"/>
      <c r="AZ26" s="45"/>
      <c r="BA26" s="37"/>
      <c r="BB26" s="38"/>
      <c r="BC26" s="38"/>
      <c r="BD26" s="38"/>
      <c r="BE26" s="38"/>
      <c r="BF26" s="38"/>
      <c r="BG26" s="38"/>
      <c r="BH26" s="38"/>
      <c r="BI26" s="38"/>
      <c r="BJ26" s="38"/>
      <c r="BK26" s="38"/>
      <c r="BL26" s="39"/>
      <c r="BM26" s="16"/>
      <c r="BN26" s="16"/>
    </row>
    <row r="27" spans="1:66" ht="20.100000000000001" customHeight="1" x14ac:dyDescent="0.45">
      <c r="A27" s="10"/>
      <c r="B27" s="10"/>
      <c r="C27" s="30">
        <f t="shared" si="0"/>
        <v>18</v>
      </c>
      <c r="D27" s="46"/>
      <c r="E27" s="47"/>
      <c r="F27" s="47"/>
      <c r="G27" s="48"/>
      <c r="H27" s="214"/>
      <c r="I27" s="215"/>
      <c r="J27" s="215"/>
      <c r="K27" s="216"/>
      <c r="L27" s="176" t="s">
        <v>65</v>
      </c>
      <c r="M27" s="177"/>
      <c r="N27" s="177"/>
      <c r="O27" s="178"/>
      <c r="P27" s="176" t="s">
        <v>58</v>
      </c>
      <c r="Q27" s="177"/>
      <c r="R27" s="177"/>
      <c r="S27" s="177"/>
      <c r="T27" s="177"/>
      <c r="U27" s="177"/>
      <c r="V27" s="177"/>
      <c r="W27" s="178"/>
      <c r="X27" s="176" t="s">
        <v>45</v>
      </c>
      <c r="Y27" s="177"/>
      <c r="Z27" s="177"/>
      <c r="AA27" s="177"/>
      <c r="AB27" s="177"/>
      <c r="AC27" s="177"/>
      <c r="AD27" s="177"/>
      <c r="AE27" s="178"/>
      <c r="AF27" s="40"/>
      <c r="AG27" s="41"/>
      <c r="AH27" s="41"/>
      <c r="AI27" s="41"/>
      <c r="AJ27" s="41"/>
      <c r="AK27" s="41"/>
      <c r="AL27" s="41"/>
      <c r="AM27" s="41"/>
      <c r="AN27" s="42"/>
      <c r="AO27" s="222">
        <v>45702</v>
      </c>
      <c r="AP27" s="223"/>
      <c r="AQ27" s="224" t="s">
        <v>175</v>
      </c>
      <c r="AR27" s="225"/>
      <c r="AS27" s="224" t="s">
        <v>170</v>
      </c>
      <c r="AT27" s="226"/>
      <c r="AU27" s="43"/>
      <c r="AV27" s="44"/>
      <c r="AW27" s="36"/>
      <c r="AX27" s="35"/>
      <c r="AY27" s="36"/>
      <c r="AZ27" s="45"/>
      <c r="BA27" s="37"/>
      <c r="BB27" s="38"/>
      <c r="BC27" s="38"/>
      <c r="BD27" s="38"/>
      <c r="BE27" s="38"/>
      <c r="BF27" s="38"/>
      <c r="BG27" s="38"/>
      <c r="BH27" s="38"/>
      <c r="BI27" s="38"/>
      <c r="BJ27" s="38"/>
      <c r="BK27" s="38"/>
      <c r="BL27" s="39"/>
      <c r="BM27" s="16"/>
      <c r="BN27" s="16"/>
    </row>
    <row r="28" spans="1:66" ht="20.100000000000001" customHeight="1" x14ac:dyDescent="0.45">
      <c r="A28" s="10"/>
      <c r="B28" s="10"/>
      <c r="C28" s="30">
        <f t="shared" si="0"/>
        <v>19</v>
      </c>
      <c r="D28" s="214"/>
      <c r="E28" s="215"/>
      <c r="F28" s="215"/>
      <c r="G28" s="216"/>
      <c r="H28" s="214"/>
      <c r="I28" s="215"/>
      <c r="J28" s="215"/>
      <c r="K28" s="216"/>
      <c r="L28" s="176" t="s">
        <v>78</v>
      </c>
      <c r="M28" s="177"/>
      <c r="N28" s="177"/>
      <c r="O28" s="178"/>
      <c r="P28" s="176" t="s">
        <v>58</v>
      </c>
      <c r="Q28" s="177"/>
      <c r="R28" s="177"/>
      <c r="S28" s="177"/>
      <c r="T28" s="177"/>
      <c r="U28" s="177"/>
      <c r="V28" s="177"/>
      <c r="W28" s="178"/>
      <c r="X28" s="176" t="s">
        <v>45</v>
      </c>
      <c r="Y28" s="177"/>
      <c r="Z28" s="177"/>
      <c r="AA28" s="177"/>
      <c r="AB28" s="177"/>
      <c r="AC28" s="177"/>
      <c r="AD28" s="177"/>
      <c r="AE28" s="178"/>
      <c r="AF28" s="176"/>
      <c r="AG28" s="177"/>
      <c r="AH28" s="177"/>
      <c r="AI28" s="177"/>
      <c r="AJ28" s="177"/>
      <c r="AK28" s="177"/>
      <c r="AL28" s="177"/>
      <c r="AM28" s="177"/>
      <c r="AN28" s="191"/>
      <c r="AO28" s="222">
        <v>45702</v>
      </c>
      <c r="AP28" s="223"/>
      <c r="AQ28" s="224" t="s">
        <v>175</v>
      </c>
      <c r="AR28" s="225"/>
      <c r="AS28" s="224" t="s">
        <v>170</v>
      </c>
      <c r="AT28" s="226"/>
      <c r="AU28" s="171"/>
      <c r="AV28" s="172"/>
      <c r="AW28" s="169"/>
      <c r="AX28" s="165"/>
      <c r="AY28" s="169"/>
      <c r="AZ28" s="170"/>
      <c r="BA28" s="201"/>
      <c r="BB28" s="202"/>
      <c r="BC28" s="202"/>
      <c r="BD28" s="202"/>
      <c r="BE28" s="202"/>
      <c r="BF28" s="202"/>
      <c r="BG28" s="202"/>
      <c r="BH28" s="202"/>
      <c r="BI28" s="202"/>
      <c r="BJ28" s="202"/>
      <c r="BK28" s="202"/>
      <c r="BL28" s="203"/>
      <c r="BM28" s="16"/>
      <c r="BN28" s="16"/>
    </row>
    <row r="29" spans="1:66" ht="27.6" customHeight="1" x14ac:dyDescent="0.45">
      <c r="A29" s="10"/>
      <c r="B29" s="10"/>
      <c r="C29" s="30">
        <f t="shared" si="0"/>
        <v>20</v>
      </c>
      <c r="D29" s="214"/>
      <c r="E29" s="215"/>
      <c r="F29" s="215"/>
      <c r="G29" s="216"/>
      <c r="H29" s="214"/>
      <c r="I29" s="215"/>
      <c r="J29" s="215"/>
      <c r="K29" s="216"/>
      <c r="L29" s="176" t="s">
        <v>79</v>
      </c>
      <c r="M29" s="177"/>
      <c r="N29" s="177"/>
      <c r="O29" s="178"/>
      <c r="P29" s="176" t="s">
        <v>58</v>
      </c>
      <c r="Q29" s="177"/>
      <c r="R29" s="177"/>
      <c r="S29" s="177"/>
      <c r="T29" s="177"/>
      <c r="U29" s="177"/>
      <c r="V29" s="177"/>
      <c r="W29" s="178"/>
      <c r="X29" s="176" t="s">
        <v>45</v>
      </c>
      <c r="Y29" s="177"/>
      <c r="Z29" s="177"/>
      <c r="AA29" s="177"/>
      <c r="AB29" s="177"/>
      <c r="AC29" s="177"/>
      <c r="AD29" s="177"/>
      <c r="AE29" s="178"/>
      <c r="AF29" s="176"/>
      <c r="AG29" s="177"/>
      <c r="AH29" s="177"/>
      <c r="AI29" s="177"/>
      <c r="AJ29" s="177"/>
      <c r="AK29" s="177"/>
      <c r="AL29" s="177"/>
      <c r="AM29" s="177"/>
      <c r="AN29" s="191"/>
      <c r="AO29" s="222">
        <v>45702</v>
      </c>
      <c r="AP29" s="223"/>
      <c r="AQ29" s="224" t="s">
        <v>175</v>
      </c>
      <c r="AR29" s="225"/>
      <c r="AS29" s="224" t="s">
        <v>170</v>
      </c>
      <c r="AT29" s="226"/>
      <c r="AU29" s="171"/>
      <c r="AV29" s="172"/>
      <c r="AW29" s="169"/>
      <c r="AX29" s="165"/>
      <c r="AY29" s="169"/>
      <c r="AZ29" s="170"/>
      <c r="BA29" s="201"/>
      <c r="BB29" s="202"/>
      <c r="BC29" s="202"/>
      <c r="BD29" s="202"/>
      <c r="BE29" s="202"/>
      <c r="BF29" s="202"/>
      <c r="BG29" s="202"/>
      <c r="BH29" s="202"/>
      <c r="BI29" s="202"/>
      <c r="BJ29" s="202"/>
      <c r="BK29" s="202"/>
      <c r="BL29" s="203"/>
      <c r="BM29" s="16"/>
      <c r="BN29" s="16"/>
    </row>
    <row r="30" spans="1:66" ht="27.6" customHeight="1" x14ac:dyDescent="0.45">
      <c r="A30" s="10"/>
      <c r="B30" s="10"/>
      <c r="C30" s="30">
        <f t="shared" si="0"/>
        <v>21</v>
      </c>
      <c r="D30" s="214"/>
      <c r="E30" s="215"/>
      <c r="F30" s="215"/>
      <c r="G30" s="216"/>
      <c r="H30" s="214"/>
      <c r="I30" s="215"/>
      <c r="J30" s="215"/>
      <c r="K30" s="216"/>
      <c r="L30" s="176" t="s">
        <v>80</v>
      </c>
      <c r="M30" s="177"/>
      <c r="N30" s="177"/>
      <c r="O30" s="178"/>
      <c r="P30" s="176" t="s">
        <v>58</v>
      </c>
      <c r="Q30" s="177"/>
      <c r="R30" s="177"/>
      <c r="S30" s="177"/>
      <c r="T30" s="177"/>
      <c r="U30" s="177"/>
      <c r="V30" s="177"/>
      <c r="W30" s="178"/>
      <c r="X30" s="176" t="s">
        <v>45</v>
      </c>
      <c r="Y30" s="177"/>
      <c r="Z30" s="177"/>
      <c r="AA30" s="177"/>
      <c r="AB30" s="177"/>
      <c r="AC30" s="177"/>
      <c r="AD30" s="177"/>
      <c r="AE30" s="178"/>
      <c r="AF30" s="176"/>
      <c r="AG30" s="177"/>
      <c r="AH30" s="177"/>
      <c r="AI30" s="177"/>
      <c r="AJ30" s="177"/>
      <c r="AK30" s="177"/>
      <c r="AL30" s="177"/>
      <c r="AM30" s="177"/>
      <c r="AN30" s="191"/>
      <c r="AO30" s="222">
        <v>45702</v>
      </c>
      <c r="AP30" s="223"/>
      <c r="AQ30" s="224" t="s">
        <v>175</v>
      </c>
      <c r="AR30" s="225"/>
      <c r="AS30" s="224" t="s">
        <v>170</v>
      </c>
      <c r="AT30" s="226"/>
      <c r="AU30" s="171"/>
      <c r="AV30" s="172"/>
      <c r="AW30" s="169"/>
      <c r="AX30" s="165"/>
      <c r="AY30" s="169"/>
      <c r="AZ30" s="170"/>
      <c r="BA30" s="201"/>
      <c r="BB30" s="202"/>
      <c r="BC30" s="202"/>
      <c r="BD30" s="202"/>
      <c r="BE30" s="202"/>
      <c r="BF30" s="202"/>
      <c r="BG30" s="202"/>
      <c r="BH30" s="202"/>
      <c r="BI30" s="202"/>
      <c r="BJ30" s="202"/>
      <c r="BK30" s="202"/>
      <c r="BL30" s="203"/>
      <c r="BM30" s="16"/>
      <c r="BN30" s="16"/>
    </row>
    <row r="31" spans="1:66" ht="20.100000000000001" customHeight="1" x14ac:dyDescent="0.45">
      <c r="A31" s="10"/>
      <c r="B31" s="10"/>
      <c r="C31" s="30">
        <f t="shared" si="0"/>
        <v>22</v>
      </c>
      <c r="D31" s="214"/>
      <c r="E31" s="215"/>
      <c r="F31" s="215"/>
      <c r="G31" s="216"/>
      <c r="H31" s="214"/>
      <c r="I31" s="215"/>
      <c r="J31" s="215"/>
      <c r="K31" s="216"/>
      <c r="L31" s="176" t="s">
        <v>81</v>
      </c>
      <c r="M31" s="177"/>
      <c r="N31" s="177"/>
      <c r="O31" s="178"/>
      <c r="P31" s="176" t="s">
        <v>58</v>
      </c>
      <c r="Q31" s="177"/>
      <c r="R31" s="177"/>
      <c r="S31" s="177"/>
      <c r="T31" s="177"/>
      <c r="U31" s="177"/>
      <c r="V31" s="177"/>
      <c r="W31" s="178"/>
      <c r="X31" s="176" t="s">
        <v>45</v>
      </c>
      <c r="Y31" s="177"/>
      <c r="Z31" s="177"/>
      <c r="AA31" s="177"/>
      <c r="AB31" s="177"/>
      <c r="AC31" s="177"/>
      <c r="AD31" s="177"/>
      <c r="AE31" s="178"/>
      <c r="AF31" s="176"/>
      <c r="AG31" s="177"/>
      <c r="AH31" s="177"/>
      <c r="AI31" s="177"/>
      <c r="AJ31" s="177"/>
      <c r="AK31" s="177"/>
      <c r="AL31" s="177"/>
      <c r="AM31" s="177"/>
      <c r="AN31" s="191"/>
      <c r="AO31" s="222">
        <v>45702</v>
      </c>
      <c r="AP31" s="223"/>
      <c r="AQ31" s="224" t="s">
        <v>175</v>
      </c>
      <c r="AR31" s="225"/>
      <c r="AS31" s="224" t="s">
        <v>170</v>
      </c>
      <c r="AT31" s="226"/>
      <c r="AU31" s="171"/>
      <c r="AV31" s="172"/>
      <c r="AW31" s="169"/>
      <c r="AX31" s="165"/>
      <c r="AY31" s="169"/>
      <c r="AZ31" s="170"/>
      <c r="BA31" s="201"/>
      <c r="BB31" s="202"/>
      <c r="BC31" s="202"/>
      <c r="BD31" s="202"/>
      <c r="BE31" s="202"/>
      <c r="BF31" s="202"/>
      <c r="BG31" s="202"/>
      <c r="BH31" s="202"/>
      <c r="BI31" s="202"/>
      <c r="BJ31" s="202"/>
      <c r="BK31" s="202"/>
      <c r="BL31" s="203"/>
      <c r="BM31" s="16"/>
      <c r="BN31" s="16"/>
    </row>
    <row r="32" spans="1:66" ht="20.100000000000001" customHeight="1" x14ac:dyDescent="0.45">
      <c r="A32" s="10"/>
      <c r="B32" s="10"/>
      <c r="C32" s="30">
        <f t="shared" si="0"/>
        <v>23</v>
      </c>
      <c r="D32" s="80"/>
      <c r="E32" s="81"/>
      <c r="F32" s="81"/>
      <c r="G32" s="82"/>
      <c r="H32" s="214"/>
      <c r="I32" s="215"/>
      <c r="J32" s="215"/>
      <c r="K32" s="216"/>
      <c r="L32" s="176" t="s">
        <v>82</v>
      </c>
      <c r="M32" s="177"/>
      <c r="N32" s="177"/>
      <c r="O32" s="178"/>
      <c r="P32" s="176" t="s">
        <v>58</v>
      </c>
      <c r="Q32" s="177"/>
      <c r="R32" s="177"/>
      <c r="S32" s="177"/>
      <c r="T32" s="177"/>
      <c r="U32" s="177"/>
      <c r="V32" s="177"/>
      <c r="W32" s="178"/>
      <c r="X32" s="176" t="s">
        <v>45</v>
      </c>
      <c r="Y32" s="177"/>
      <c r="Z32" s="177"/>
      <c r="AA32" s="177"/>
      <c r="AB32" s="177"/>
      <c r="AC32" s="177"/>
      <c r="AD32" s="177"/>
      <c r="AE32" s="178"/>
      <c r="AF32" s="74"/>
      <c r="AG32" s="75"/>
      <c r="AH32" s="75"/>
      <c r="AI32" s="75"/>
      <c r="AJ32" s="75"/>
      <c r="AK32" s="75"/>
      <c r="AL32" s="75"/>
      <c r="AM32" s="75"/>
      <c r="AN32" s="76"/>
      <c r="AO32" s="222">
        <v>45702</v>
      </c>
      <c r="AP32" s="223"/>
      <c r="AQ32" s="224" t="s">
        <v>175</v>
      </c>
      <c r="AR32" s="225"/>
      <c r="AS32" s="224" t="s">
        <v>170</v>
      </c>
      <c r="AT32" s="226"/>
      <c r="AU32" s="77"/>
      <c r="AV32" s="78"/>
      <c r="AW32" s="73"/>
      <c r="AX32" s="72"/>
      <c r="AY32" s="73"/>
      <c r="AZ32" s="79"/>
      <c r="BA32" s="83"/>
      <c r="BB32" s="84"/>
      <c r="BC32" s="84"/>
      <c r="BD32" s="84"/>
      <c r="BE32" s="84"/>
      <c r="BF32" s="84"/>
      <c r="BG32" s="84"/>
      <c r="BH32" s="84"/>
      <c r="BI32" s="84"/>
      <c r="BJ32" s="84"/>
      <c r="BK32" s="84"/>
      <c r="BL32" s="85"/>
      <c r="BM32" s="16"/>
      <c r="BN32" s="16"/>
    </row>
    <row r="33" spans="1:66" ht="20.100000000000001" customHeight="1" x14ac:dyDescent="0.45">
      <c r="A33" s="10"/>
      <c r="B33" s="10"/>
      <c r="C33" s="30">
        <f t="shared" si="0"/>
        <v>24</v>
      </c>
      <c r="D33" s="80"/>
      <c r="E33" s="81"/>
      <c r="F33" s="81"/>
      <c r="G33" s="82"/>
      <c r="H33" s="214"/>
      <c r="I33" s="215"/>
      <c r="J33" s="215"/>
      <c r="K33" s="216"/>
      <c r="L33" s="176" t="s">
        <v>83</v>
      </c>
      <c r="M33" s="177"/>
      <c r="N33" s="177"/>
      <c r="O33" s="178"/>
      <c r="P33" s="176" t="s">
        <v>58</v>
      </c>
      <c r="Q33" s="177"/>
      <c r="R33" s="177"/>
      <c r="S33" s="177"/>
      <c r="T33" s="177"/>
      <c r="U33" s="177"/>
      <c r="V33" s="177"/>
      <c r="W33" s="178"/>
      <c r="X33" s="176" t="s">
        <v>45</v>
      </c>
      <c r="Y33" s="177"/>
      <c r="Z33" s="177"/>
      <c r="AA33" s="177"/>
      <c r="AB33" s="177"/>
      <c r="AC33" s="177"/>
      <c r="AD33" s="177"/>
      <c r="AE33" s="178"/>
      <c r="AF33" s="74"/>
      <c r="AG33" s="75"/>
      <c r="AH33" s="75"/>
      <c r="AI33" s="75"/>
      <c r="AJ33" s="75"/>
      <c r="AK33" s="75"/>
      <c r="AL33" s="75"/>
      <c r="AM33" s="75"/>
      <c r="AN33" s="76"/>
      <c r="AO33" s="222">
        <v>45702</v>
      </c>
      <c r="AP33" s="223"/>
      <c r="AQ33" s="224" t="s">
        <v>175</v>
      </c>
      <c r="AR33" s="225"/>
      <c r="AS33" s="224" t="s">
        <v>170</v>
      </c>
      <c r="AT33" s="226"/>
      <c r="AU33" s="77"/>
      <c r="AV33" s="78"/>
      <c r="AW33" s="73"/>
      <c r="AX33" s="72"/>
      <c r="AY33" s="73"/>
      <c r="AZ33" s="79"/>
      <c r="BA33" s="83"/>
      <c r="BB33" s="84"/>
      <c r="BC33" s="84"/>
      <c r="BD33" s="84"/>
      <c r="BE33" s="84"/>
      <c r="BF33" s="84"/>
      <c r="BG33" s="84"/>
      <c r="BH33" s="84"/>
      <c r="BI33" s="84"/>
      <c r="BJ33" s="84"/>
      <c r="BK33" s="84"/>
      <c r="BL33" s="85"/>
      <c r="BM33" s="16"/>
      <c r="BN33" s="16"/>
    </row>
    <row r="34" spans="1:66" ht="20.100000000000001" customHeight="1" x14ac:dyDescent="0.45">
      <c r="A34" s="10"/>
      <c r="B34" s="10"/>
      <c r="C34" s="30">
        <f t="shared" si="0"/>
        <v>25</v>
      </c>
      <c r="D34" s="80"/>
      <c r="E34" s="81"/>
      <c r="F34" s="81"/>
      <c r="G34" s="82"/>
      <c r="H34" s="214"/>
      <c r="I34" s="215"/>
      <c r="J34" s="215"/>
      <c r="K34" s="216"/>
      <c r="L34" s="176" t="s">
        <v>84</v>
      </c>
      <c r="M34" s="177"/>
      <c r="N34" s="177"/>
      <c r="O34" s="178"/>
      <c r="P34" s="176" t="s">
        <v>58</v>
      </c>
      <c r="Q34" s="177"/>
      <c r="R34" s="177"/>
      <c r="S34" s="177"/>
      <c r="T34" s="177"/>
      <c r="U34" s="177"/>
      <c r="V34" s="177"/>
      <c r="W34" s="178"/>
      <c r="X34" s="176" t="s">
        <v>45</v>
      </c>
      <c r="Y34" s="177"/>
      <c r="Z34" s="177"/>
      <c r="AA34" s="177"/>
      <c r="AB34" s="177"/>
      <c r="AC34" s="177"/>
      <c r="AD34" s="177"/>
      <c r="AE34" s="178"/>
      <c r="AF34" s="74"/>
      <c r="AG34" s="75"/>
      <c r="AH34" s="75"/>
      <c r="AI34" s="75"/>
      <c r="AJ34" s="75"/>
      <c r="AK34" s="75"/>
      <c r="AL34" s="75"/>
      <c r="AM34" s="75"/>
      <c r="AN34" s="76"/>
      <c r="AO34" s="222">
        <v>45702</v>
      </c>
      <c r="AP34" s="223"/>
      <c r="AQ34" s="224" t="s">
        <v>175</v>
      </c>
      <c r="AR34" s="225"/>
      <c r="AS34" s="224" t="s">
        <v>170</v>
      </c>
      <c r="AT34" s="226"/>
      <c r="AU34" s="77"/>
      <c r="AV34" s="78"/>
      <c r="AW34" s="73"/>
      <c r="AX34" s="72"/>
      <c r="AY34" s="73"/>
      <c r="AZ34" s="79"/>
      <c r="BA34" s="83"/>
      <c r="BB34" s="84"/>
      <c r="BC34" s="84"/>
      <c r="BD34" s="84"/>
      <c r="BE34" s="84"/>
      <c r="BF34" s="84"/>
      <c r="BG34" s="84"/>
      <c r="BH34" s="84"/>
      <c r="BI34" s="84"/>
      <c r="BJ34" s="84"/>
      <c r="BK34" s="84"/>
      <c r="BL34" s="85"/>
      <c r="BM34" s="16"/>
      <c r="BN34" s="16"/>
    </row>
    <row r="35" spans="1:66" ht="20.100000000000001" customHeight="1" x14ac:dyDescent="0.45">
      <c r="A35" s="10"/>
      <c r="B35" s="10"/>
      <c r="C35" s="30">
        <f t="shared" si="0"/>
        <v>26</v>
      </c>
      <c r="D35" s="137"/>
      <c r="E35" s="138"/>
      <c r="F35" s="138"/>
      <c r="G35" s="139"/>
      <c r="H35" s="182"/>
      <c r="I35" s="183"/>
      <c r="J35" s="183"/>
      <c r="K35" s="184"/>
      <c r="L35" s="176" t="s">
        <v>85</v>
      </c>
      <c r="M35" s="177"/>
      <c r="N35" s="177"/>
      <c r="O35" s="178"/>
      <c r="P35" s="176" t="s">
        <v>58</v>
      </c>
      <c r="Q35" s="177"/>
      <c r="R35" s="177"/>
      <c r="S35" s="177"/>
      <c r="T35" s="177"/>
      <c r="U35" s="177"/>
      <c r="V35" s="177"/>
      <c r="W35" s="178"/>
      <c r="X35" s="176" t="s">
        <v>45</v>
      </c>
      <c r="Y35" s="177"/>
      <c r="Z35" s="177"/>
      <c r="AA35" s="177"/>
      <c r="AB35" s="177"/>
      <c r="AC35" s="177"/>
      <c r="AD35" s="177"/>
      <c r="AE35" s="178"/>
      <c r="AF35" s="74"/>
      <c r="AG35" s="75"/>
      <c r="AH35" s="75"/>
      <c r="AI35" s="75"/>
      <c r="AJ35" s="75"/>
      <c r="AK35" s="75"/>
      <c r="AL35" s="75"/>
      <c r="AM35" s="75"/>
      <c r="AN35" s="76"/>
      <c r="AO35" s="222">
        <v>45702</v>
      </c>
      <c r="AP35" s="223"/>
      <c r="AQ35" s="224" t="s">
        <v>175</v>
      </c>
      <c r="AR35" s="225"/>
      <c r="AS35" s="224" t="s">
        <v>170</v>
      </c>
      <c r="AT35" s="226"/>
      <c r="AU35" s="77"/>
      <c r="AV35" s="78"/>
      <c r="AW35" s="73"/>
      <c r="AX35" s="72"/>
      <c r="AY35" s="73"/>
      <c r="AZ35" s="79"/>
      <c r="BA35" s="83"/>
      <c r="BB35" s="84"/>
      <c r="BC35" s="84"/>
      <c r="BD35" s="84"/>
      <c r="BE35" s="84"/>
      <c r="BF35" s="84"/>
      <c r="BG35" s="84"/>
      <c r="BH35" s="84"/>
      <c r="BI35" s="84"/>
      <c r="BJ35" s="84"/>
      <c r="BK35" s="84"/>
      <c r="BL35" s="85"/>
      <c r="BM35" s="16"/>
      <c r="BN35" s="16"/>
    </row>
    <row r="36" spans="1:66" s="117" customFormat="1" ht="20.100000000000001" customHeight="1" x14ac:dyDescent="0.45">
      <c r="A36" s="118"/>
      <c r="B36" s="118"/>
      <c r="C36" s="122">
        <v>34</v>
      </c>
      <c r="D36" s="137"/>
      <c r="E36" s="138"/>
      <c r="F36" s="138"/>
      <c r="G36" s="139"/>
      <c r="H36" s="135" t="s">
        <v>140</v>
      </c>
      <c r="I36" s="136"/>
      <c r="J36" s="136"/>
      <c r="K36" s="140"/>
      <c r="L36" s="176" t="s">
        <v>141</v>
      </c>
      <c r="M36" s="177"/>
      <c r="N36" s="177"/>
      <c r="O36" s="178"/>
      <c r="P36" s="176" t="s">
        <v>142</v>
      </c>
      <c r="Q36" s="177"/>
      <c r="R36" s="177"/>
      <c r="S36" s="177"/>
      <c r="T36" s="177"/>
      <c r="U36" s="177"/>
      <c r="V36" s="177"/>
      <c r="W36" s="178"/>
      <c r="X36" s="176" t="s">
        <v>45</v>
      </c>
      <c r="Y36" s="177"/>
      <c r="Z36" s="177"/>
      <c r="AA36" s="177"/>
      <c r="AB36" s="177"/>
      <c r="AC36" s="177"/>
      <c r="AD36" s="177"/>
      <c r="AE36" s="178"/>
      <c r="AF36" s="126"/>
      <c r="AG36" s="127"/>
      <c r="AH36" s="127"/>
      <c r="AI36" s="127"/>
      <c r="AJ36" s="127"/>
      <c r="AK36" s="127"/>
      <c r="AL36" s="127"/>
      <c r="AM36" s="127"/>
      <c r="AN36" s="128"/>
      <c r="AO36" s="222">
        <v>45702</v>
      </c>
      <c r="AP36" s="223"/>
      <c r="AQ36" s="224" t="s">
        <v>175</v>
      </c>
      <c r="AR36" s="225"/>
      <c r="AS36" s="224" t="s">
        <v>170</v>
      </c>
      <c r="AT36" s="226"/>
      <c r="AU36" s="129"/>
      <c r="AV36" s="130"/>
      <c r="AW36" s="120"/>
      <c r="AX36" s="121"/>
      <c r="AY36" s="120"/>
      <c r="AZ36" s="131"/>
      <c r="BA36" s="123"/>
      <c r="BB36" s="124"/>
      <c r="BC36" s="124"/>
      <c r="BD36" s="124"/>
      <c r="BE36" s="124"/>
      <c r="BF36" s="124"/>
      <c r="BG36" s="124"/>
      <c r="BH36" s="124"/>
      <c r="BI36" s="124"/>
      <c r="BJ36" s="124"/>
      <c r="BK36" s="124"/>
      <c r="BL36" s="125"/>
      <c r="BM36" s="119"/>
      <c r="BN36" s="119"/>
    </row>
    <row r="37" spans="1:66" s="117" customFormat="1" ht="20.100000000000001" customHeight="1" thickBot="1" x14ac:dyDescent="0.5">
      <c r="A37" s="118"/>
      <c r="B37" s="118"/>
      <c r="C37" s="122">
        <v>35</v>
      </c>
      <c r="D37" s="132"/>
      <c r="E37" s="133"/>
      <c r="F37" s="133"/>
      <c r="G37" s="134"/>
      <c r="H37" s="141"/>
      <c r="I37" s="142"/>
      <c r="J37" s="142"/>
      <c r="K37" s="143"/>
      <c r="L37" s="176" t="s">
        <v>143</v>
      </c>
      <c r="M37" s="177"/>
      <c r="N37" s="177"/>
      <c r="O37" s="178"/>
      <c r="P37" s="176" t="s">
        <v>144</v>
      </c>
      <c r="Q37" s="177"/>
      <c r="R37" s="177"/>
      <c r="S37" s="177"/>
      <c r="T37" s="177"/>
      <c r="U37" s="177"/>
      <c r="V37" s="177"/>
      <c r="W37" s="178"/>
      <c r="X37" s="176" t="s">
        <v>45</v>
      </c>
      <c r="Y37" s="177"/>
      <c r="Z37" s="177"/>
      <c r="AA37" s="177"/>
      <c r="AB37" s="177"/>
      <c r="AC37" s="177"/>
      <c r="AD37" s="177"/>
      <c r="AE37" s="178"/>
      <c r="AF37" s="126"/>
      <c r="AG37" s="127"/>
      <c r="AH37" s="127"/>
      <c r="AI37" s="127"/>
      <c r="AJ37" s="127"/>
      <c r="AK37" s="127"/>
      <c r="AL37" s="127"/>
      <c r="AM37" s="127"/>
      <c r="AN37" s="128"/>
      <c r="AO37" s="222">
        <v>45702</v>
      </c>
      <c r="AP37" s="223"/>
      <c r="AQ37" s="224" t="s">
        <v>175</v>
      </c>
      <c r="AR37" s="225"/>
      <c r="AS37" s="224" t="s">
        <v>170</v>
      </c>
      <c r="AT37" s="226"/>
      <c r="AU37" s="129"/>
      <c r="AV37" s="130"/>
      <c r="AW37" s="120"/>
      <c r="AX37" s="121"/>
      <c r="AY37" s="120"/>
      <c r="AZ37" s="131"/>
      <c r="BA37" s="123"/>
      <c r="BB37" s="124"/>
      <c r="BC37" s="124"/>
      <c r="BD37" s="124"/>
      <c r="BE37" s="124"/>
      <c r="BF37" s="124"/>
      <c r="BG37" s="124"/>
      <c r="BH37" s="124"/>
      <c r="BI37" s="124"/>
      <c r="BJ37" s="124"/>
      <c r="BK37" s="124"/>
      <c r="BL37" s="125"/>
      <c r="BM37" s="119"/>
      <c r="BN37" s="119"/>
    </row>
    <row r="38" spans="1:66" ht="20.100000000000001" customHeight="1" thickTop="1" thickBot="1" x14ac:dyDescent="0.5">
      <c r="A38" s="10"/>
      <c r="B38" s="8"/>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8"/>
      <c r="BN38" s="16"/>
    </row>
    <row r="39" spans="1:66" ht="5.0999999999999996" customHeight="1" thickTop="1" x14ac:dyDescent="0.4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row>
    <row r="40" spans="1:66" ht="20.100000000000001" customHeight="1" x14ac:dyDescent="0.45">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row>
  </sheetData>
  <mergeCells count="272">
    <mergeCell ref="L36:O36"/>
    <mergeCell ref="P36:W36"/>
    <mergeCell ref="X36:AE36"/>
    <mergeCell ref="L37:O37"/>
    <mergeCell ref="P37:W37"/>
    <mergeCell ref="X37:AE37"/>
    <mergeCell ref="B3:G4"/>
    <mergeCell ref="H3:K4"/>
    <mergeCell ref="L3:Q4"/>
    <mergeCell ref="R3:W4"/>
    <mergeCell ref="X3:AJ4"/>
    <mergeCell ref="AF10:AN10"/>
    <mergeCell ref="D11:G11"/>
    <mergeCell ref="H11:K11"/>
    <mergeCell ref="L11:O11"/>
    <mergeCell ref="P11:W11"/>
    <mergeCell ref="X11:AE11"/>
    <mergeCell ref="D13:G13"/>
    <mergeCell ref="L13:O13"/>
    <mergeCell ref="P13:W13"/>
    <mergeCell ref="X13:AE13"/>
    <mergeCell ref="D14:G14"/>
    <mergeCell ref="L14:O14"/>
    <mergeCell ref="P14:W14"/>
    <mergeCell ref="AK3:AW4"/>
    <mergeCell ref="B2:G2"/>
    <mergeCell ref="H2:K2"/>
    <mergeCell ref="L2:Q2"/>
    <mergeCell ref="R2:W2"/>
    <mergeCell ref="X2:AJ2"/>
    <mergeCell ref="AK2:AW2"/>
    <mergeCell ref="AX3:BA4"/>
    <mergeCell ref="BB3:BE4"/>
    <mergeCell ref="BF3:BI4"/>
    <mergeCell ref="BJ3:BM4"/>
    <mergeCell ref="BE7:BF8"/>
    <mergeCell ref="BG7:BH7"/>
    <mergeCell ref="BI7:BJ7"/>
    <mergeCell ref="BK7:BL7"/>
    <mergeCell ref="AX2:BA2"/>
    <mergeCell ref="BB2:BE2"/>
    <mergeCell ref="BF2:BI2"/>
    <mergeCell ref="BJ2:BM2"/>
    <mergeCell ref="AO8:AT8"/>
    <mergeCell ref="AU8:AZ8"/>
    <mergeCell ref="BG8:BH8"/>
    <mergeCell ref="BI8:BJ8"/>
    <mergeCell ref="BK8:BL8"/>
    <mergeCell ref="AO9:AP9"/>
    <mergeCell ref="AQ9:AR9"/>
    <mergeCell ref="AS9:AT9"/>
    <mergeCell ref="AU9:AV9"/>
    <mergeCell ref="AW9:AX9"/>
    <mergeCell ref="AY9:AZ9"/>
    <mergeCell ref="BA9:BL9"/>
    <mergeCell ref="AO10:AP10"/>
    <mergeCell ref="AQ10:AR10"/>
    <mergeCell ref="D10:G10"/>
    <mergeCell ref="H10:K10"/>
    <mergeCell ref="P10:W10"/>
    <mergeCell ref="X10:AE10"/>
    <mergeCell ref="AY10:AZ10"/>
    <mergeCell ref="BA10:BL10"/>
    <mergeCell ref="AS10:AT10"/>
    <mergeCell ref="AU10:AV10"/>
    <mergeCell ref="AW10:AX10"/>
    <mergeCell ref="L10:O10"/>
    <mergeCell ref="AY11:AZ11"/>
    <mergeCell ref="BA11:BL11"/>
    <mergeCell ref="AS11:AT11"/>
    <mergeCell ref="AU11:AV11"/>
    <mergeCell ref="AW11:AX11"/>
    <mergeCell ref="AF11:AN11"/>
    <mergeCell ref="AO11:AP11"/>
    <mergeCell ref="AQ11:AR11"/>
    <mergeCell ref="BA14:BL14"/>
    <mergeCell ref="AS14:AT14"/>
    <mergeCell ref="AU14:AV14"/>
    <mergeCell ref="AW14:AX14"/>
    <mergeCell ref="AF13:AN13"/>
    <mergeCell ref="AO13:AP13"/>
    <mergeCell ref="AQ13:AR13"/>
    <mergeCell ref="AF14:AN14"/>
    <mergeCell ref="AO14:AP14"/>
    <mergeCell ref="AQ14:AR14"/>
    <mergeCell ref="AS13:AT13"/>
    <mergeCell ref="AU13:AV13"/>
    <mergeCell ref="AW13:AX13"/>
    <mergeCell ref="AY13:AZ13"/>
    <mergeCell ref="BA13:BL13"/>
    <mergeCell ref="BA15:BL15"/>
    <mergeCell ref="D16:G16"/>
    <mergeCell ref="L16:O16"/>
    <mergeCell ref="P16:W16"/>
    <mergeCell ref="X16:AE16"/>
    <mergeCell ref="AY16:AZ16"/>
    <mergeCell ref="BA16:BL16"/>
    <mergeCell ref="AS16:AT16"/>
    <mergeCell ref="AU16:AV16"/>
    <mergeCell ref="AW16:AX16"/>
    <mergeCell ref="D15:G15"/>
    <mergeCell ref="L15:O15"/>
    <mergeCell ref="P15:W15"/>
    <mergeCell ref="X15:AE15"/>
    <mergeCell ref="AF15:AN15"/>
    <mergeCell ref="AO15:AP15"/>
    <mergeCell ref="AQ15:AR15"/>
    <mergeCell ref="D28:G28"/>
    <mergeCell ref="L28:O28"/>
    <mergeCell ref="P28:W28"/>
    <mergeCell ref="X28:AE28"/>
    <mergeCell ref="AF28:AN28"/>
    <mergeCell ref="AO28:AP28"/>
    <mergeCell ref="AQ28:AR28"/>
    <mergeCell ref="BA17:BL17"/>
    <mergeCell ref="L22:O22"/>
    <mergeCell ref="L23:O23"/>
    <mergeCell ref="L24:O24"/>
    <mergeCell ref="L25:O25"/>
    <mergeCell ref="L26:O26"/>
    <mergeCell ref="L27:O27"/>
    <mergeCell ref="P24:W24"/>
    <mergeCell ref="P25:W25"/>
    <mergeCell ref="P26:W26"/>
    <mergeCell ref="P27:W27"/>
    <mergeCell ref="X24:AE24"/>
    <mergeCell ref="X25:AE25"/>
    <mergeCell ref="X26:AE26"/>
    <mergeCell ref="X27:AE27"/>
    <mergeCell ref="D17:G17"/>
    <mergeCell ref="L17:O17"/>
    <mergeCell ref="D30:G30"/>
    <mergeCell ref="L30:O30"/>
    <mergeCell ref="P30:W30"/>
    <mergeCell ref="X30:AE30"/>
    <mergeCell ref="AF30:AN30"/>
    <mergeCell ref="AO30:AP30"/>
    <mergeCell ref="AQ30:AR30"/>
    <mergeCell ref="AF29:AN29"/>
    <mergeCell ref="AO29:AP29"/>
    <mergeCell ref="AQ29:AR29"/>
    <mergeCell ref="D29:G29"/>
    <mergeCell ref="L29:O29"/>
    <mergeCell ref="P29:W29"/>
    <mergeCell ref="X29:AE29"/>
    <mergeCell ref="D31:G31"/>
    <mergeCell ref="L31:O31"/>
    <mergeCell ref="P31:W31"/>
    <mergeCell ref="X31:AE31"/>
    <mergeCell ref="L32:O32"/>
    <mergeCell ref="L33:O33"/>
    <mergeCell ref="L34:O34"/>
    <mergeCell ref="L35:O35"/>
    <mergeCell ref="P32:W32"/>
    <mergeCell ref="X32:AE32"/>
    <mergeCell ref="P33:W33"/>
    <mergeCell ref="X33:AE33"/>
    <mergeCell ref="P34:W34"/>
    <mergeCell ref="X34:AE34"/>
    <mergeCell ref="P35:W35"/>
    <mergeCell ref="X35:AE35"/>
    <mergeCell ref="BA29:BL29"/>
    <mergeCell ref="AS29:AT29"/>
    <mergeCell ref="AU29:AV29"/>
    <mergeCell ref="AW29:AX29"/>
    <mergeCell ref="AS28:AT28"/>
    <mergeCell ref="AU28:AV28"/>
    <mergeCell ref="AY28:AZ28"/>
    <mergeCell ref="AF31:AN31"/>
    <mergeCell ref="AO31:AP31"/>
    <mergeCell ref="AQ31:AR31"/>
    <mergeCell ref="BA28:BL28"/>
    <mergeCell ref="BA31:BL31"/>
    <mergeCell ref="AS31:AT31"/>
    <mergeCell ref="AU31:AV31"/>
    <mergeCell ref="AW31:AX31"/>
    <mergeCell ref="AS30:AT30"/>
    <mergeCell ref="AU30:AV30"/>
    <mergeCell ref="AW30:AX30"/>
    <mergeCell ref="AY30:AZ30"/>
    <mergeCell ref="BA30:BL30"/>
    <mergeCell ref="AW28:AX28"/>
    <mergeCell ref="AY31:AZ31"/>
    <mergeCell ref="AY29:AZ29"/>
    <mergeCell ref="X22:AE22"/>
    <mergeCell ref="L18:O18"/>
    <mergeCell ref="L19:O19"/>
    <mergeCell ref="L20:O20"/>
    <mergeCell ref="L21:O21"/>
    <mergeCell ref="P17:W17"/>
    <mergeCell ref="X17:AE17"/>
    <mergeCell ref="H13:K35"/>
    <mergeCell ref="AF17:AN17"/>
    <mergeCell ref="AF16:AN16"/>
    <mergeCell ref="X23:AE23"/>
    <mergeCell ref="P18:W18"/>
    <mergeCell ref="P19:W19"/>
    <mergeCell ref="P20:W20"/>
    <mergeCell ref="P21:W21"/>
    <mergeCell ref="P22:W22"/>
    <mergeCell ref="P23:W23"/>
    <mergeCell ref="X18:AE18"/>
    <mergeCell ref="X19:AE19"/>
    <mergeCell ref="X20:AE20"/>
    <mergeCell ref="X21:AE21"/>
    <mergeCell ref="X14:AE14"/>
    <mergeCell ref="AW17:AX17"/>
    <mergeCell ref="AY17:AZ17"/>
    <mergeCell ref="AS15:AT15"/>
    <mergeCell ref="AU15:AV15"/>
    <mergeCell ref="AW15:AX15"/>
    <mergeCell ref="AY15:AZ15"/>
    <mergeCell ref="AY14:AZ14"/>
    <mergeCell ref="H12:K12"/>
    <mergeCell ref="X12:AE12"/>
    <mergeCell ref="AO17:AP17"/>
    <mergeCell ref="AQ17:AR17"/>
    <mergeCell ref="AO16:AP16"/>
    <mergeCell ref="AQ16:AR16"/>
    <mergeCell ref="AS17:AT17"/>
    <mergeCell ref="AU17:AV17"/>
    <mergeCell ref="AO12:AP12"/>
    <mergeCell ref="AQ12:AR12"/>
    <mergeCell ref="AS12:AT12"/>
    <mergeCell ref="AO18:AP18"/>
    <mergeCell ref="AQ18:AR18"/>
    <mergeCell ref="AS18:AT18"/>
    <mergeCell ref="AO19:AP19"/>
    <mergeCell ref="AQ19:AR19"/>
    <mergeCell ref="AS19:AT19"/>
    <mergeCell ref="AO20:AP20"/>
    <mergeCell ref="AQ20:AR20"/>
    <mergeCell ref="AS20:AT20"/>
    <mergeCell ref="AO21:AP21"/>
    <mergeCell ref="AQ21:AR21"/>
    <mergeCell ref="AS21:AT21"/>
    <mergeCell ref="AO22:AP22"/>
    <mergeCell ref="AQ22:AR22"/>
    <mergeCell ref="AS22:AT22"/>
    <mergeCell ref="AO23:AP23"/>
    <mergeCell ref="AQ23:AR23"/>
    <mergeCell ref="AS23:AT23"/>
    <mergeCell ref="AO24:AP24"/>
    <mergeCell ref="AQ24:AR24"/>
    <mergeCell ref="AS24:AT24"/>
    <mergeCell ref="AO25:AP25"/>
    <mergeCell ref="AQ25:AR25"/>
    <mergeCell ref="AS25:AT25"/>
    <mergeCell ref="AO26:AP26"/>
    <mergeCell ref="AQ26:AR26"/>
    <mergeCell ref="AS26:AT26"/>
    <mergeCell ref="AO27:AP27"/>
    <mergeCell ref="AQ27:AR27"/>
    <mergeCell ref="AS27:AT27"/>
    <mergeCell ref="AO32:AP32"/>
    <mergeCell ref="AQ32:AR32"/>
    <mergeCell ref="AS32:AT32"/>
    <mergeCell ref="AO33:AP33"/>
    <mergeCell ref="AQ33:AR33"/>
    <mergeCell ref="AS33:AT33"/>
    <mergeCell ref="AO37:AP37"/>
    <mergeCell ref="AQ37:AR37"/>
    <mergeCell ref="AS37:AT37"/>
    <mergeCell ref="AO34:AP34"/>
    <mergeCell ref="AQ34:AR34"/>
    <mergeCell ref="AS34:AT34"/>
    <mergeCell ref="AO35:AP35"/>
    <mergeCell ref="AQ35:AR35"/>
    <mergeCell ref="AS35:AT35"/>
    <mergeCell ref="AO36:AP36"/>
    <mergeCell ref="AQ36:AR36"/>
    <mergeCell ref="AS36:AT36"/>
  </mergeCells>
  <phoneticPr fontId="2"/>
  <conditionalFormatting sqref="AS10 AY10:AY35">
    <cfRule type="cellIs" dxfId="7" priority="15" operator="equal">
      <formula>"OK"</formula>
    </cfRule>
    <cfRule type="cellIs" dxfId="6" priority="16" operator="equal">
      <formula>"NG"</formula>
    </cfRule>
  </conditionalFormatting>
  <conditionalFormatting sqref="AY36">
    <cfRule type="cellIs" dxfId="5" priority="7" operator="equal">
      <formula>"OK"</formula>
    </cfRule>
    <cfRule type="cellIs" dxfId="4" priority="8" operator="equal">
      <formula>"NG"</formula>
    </cfRule>
  </conditionalFormatting>
  <conditionalFormatting sqref="AY37">
    <cfRule type="cellIs" dxfId="3" priority="5" operator="equal">
      <formula>"OK"</formula>
    </cfRule>
    <cfRule type="cellIs" dxfId="2" priority="6" operator="equal">
      <formula>"NG"</formula>
    </cfRule>
  </conditionalFormatting>
  <conditionalFormatting sqref="AS11:AS37">
    <cfRule type="cellIs" dxfId="1" priority="1" operator="equal">
      <formula>"OK"</formula>
    </cfRule>
    <cfRule type="cellIs" dxfId="0" priority="2" operator="equal">
      <formula>"NG"</formula>
    </cfRule>
  </conditionalFormatting>
  <dataValidations count="1">
    <dataValidation type="list" allowBlank="1" showInputMessage="1" showErrorMessage="1" sqref="AY10:AY37 AS10:AS37">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G27" sqref="G27"/>
    </sheetView>
  </sheetViews>
  <sheetFormatPr defaultRowHeight="18" x14ac:dyDescent="0.45"/>
  <sheetData>
    <row r="1" spans="1:1" x14ac:dyDescent="0.45">
      <c r="A1" s="2" t="s">
        <v>15</v>
      </c>
    </row>
    <row r="2" spans="1:1" x14ac:dyDescent="0.45">
      <c r="A2" s="6" t="s">
        <v>16</v>
      </c>
    </row>
    <row r="3" spans="1:1" x14ac:dyDescent="0.45">
      <c r="A3" s="6" t="s">
        <v>17</v>
      </c>
    </row>
    <row r="4" spans="1:1" x14ac:dyDescent="0.45">
      <c r="A4" s="6" t="s">
        <v>18</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6</vt:i4>
      </vt:variant>
    </vt:vector>
  </HeadingPairs>
  <TitlesOfParts>
    <vt:vector size="10" baseType="lpstr">
      <vt:lpstr>変更履歴</vt:lpstr>
      <vt:lpstr>画面</vt:lpstr>
      <vt:lpstr>帳票</vt:lpstr>
      <vt:lpstr>参照</vt:lpstr>
      <vt:lpstr>画面!Print_Area</vt:lpstr>
      <vt:lpstr>帳票!Print_Area</vt:lpstr>
      <vt:lpstr>変更履歴!Print_Area</vt:lpstr>
      <vt:lpstr>画面!Print_Titles</vt:lpstr>
      <vt:lpstr>帳票!Print_Titles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Mototaka Hitomi</cp:lastModifiedBy>
  <cp:lastPrinted>2021-08-19T04:42:28Z</cp:lastPrinted>
  <dcterms:created xsi:type="dcterms:W3CDTF">2021-04-12T04:47:05Z</dcterms:created>
  <dcterms:modified xsi:type="dcterms:W3CDTF">2025-02-27T03:26:39Z</dcterms:modified>
</cp:coreProperties>
</file>