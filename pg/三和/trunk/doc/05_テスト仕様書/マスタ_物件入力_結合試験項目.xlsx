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svn\三和商研\doc\05_テスト仕様書\"/>
    </mc:Choice>
  </mc:AlternateContent>
  <bookViews>
    <workbookView xWindow="0" yWindow="0" windowWidth="28800" windowHeight="13620" tabRatio="655"/>
  </bookViews>
  <sheets>
    <sheet name="変更履歴" sheetId="1" r:id="rId1"/>
    <sheet name="一覧画面" sheetId="19" r:id="rId2"/>
    <sheet name="新規更新共通" sheetId="22" r:id="rId3"/>
    <sheet name="新規登録画面" sheetId="20" r:id="rId4"/>
    <sheet name="更新画面" sheetId="21" r:id="rId5"/>
    <sheet name="参照" sheetId="12" state="hidden" r:id="rId6"/>
  </sheets>
  <definedNames>
    <definedName name="_xlnm.Print_Area" localSheetId="1">一覧画面!$A$1:$BN$59</definedName>
    <definedName name="_xlnm.Print_Area" localSheetId="4">更新画面!$A$1:$BN$92</definedName>
    <definedName name="_xlnm.Print_Area" localSheetId="2">新規更新共通!$A$1:$BN$69</definedName>
    <definedName name="_xlnm.Print_Area" localSheetId="3">新規登録画面!$A$1:$BN$91</definedName>
    <definedName name="_xlnm.Print_Area" localSheetId="0">変更履歴!$A$1:$BN$49</definedName>
    <definedName name="_xlnm.Print_Titles" localSheetId="1">一覧画面!$1:$5</definedName>
    <definedName name="_xlnm.Print_Titles" localSheetId="4">更新画面!$1:$5</definedName>
    <definedName name="_xlnm.Print_Titles" localSheetId="2">新規更新共通!$1:$5</definedName>
    <definedName name="_xlnm.Print_Titles" localSheetId="3">新規登録画面!$1:$5</definedName>
    <definedName name="_xlnm.Print_Titles" localSheetId="0">変更履歴!$1:$5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0" i="19" l="1"/>
  <c r="C51" i="19"/>
  <c r="C52" i="19"/>
  <c r="C53" i="19"/>
  <c r="C54" i="19"/>
  <c r="C57" i="19" l="1"/>
  <c r="C56" i="19"/>
  <c r="C55" i="19"/>
  <c r="C13" i="22" l="1"/>
  <c r="C14" i="22"/>
  <c r="C18" i="22"/>
  <c r="C19" i="22"/>
  <c r="C41" i="22"/>
  <c r="C40" i="22"/>
  <c r="C39" i="22"/>
  <c r="C38" i="22"/>
  <c r="C37" i="22"/>
  <c r="C61" i="22" l="1"/>
  <c r="C60" i="22"/>
  <c r="C59" i="22"/>
  <c r="C58" i="22"/>
  <c r="C57" i="22"/>
  <c r="C56" i="22"/>
  <c r="C55" i="22"/>
  <c r="C54" i="22"/>
  <c r="C53" i="22"/>
  <c r="C52" i="22"/>
  <c r="C51" i="22"/>
  <c r="C50" i="22"/>
  <c r="C49" i="22"/>
  <c r="C48" i="22"/>
  <c r="C47" i="22"/>
  <c r="C66" i="22"/>
  <c r="C67" i="22"/>
  <c r="C44" i="19"/>
  <c r="C45" i="19"/>
  <c r="C46" i="19"/>
  <c r="C47" i="19"/>
  <c r="C48" i="19"/>
  <c r="C22" i="22"/>
  <c r="C23" i="22"/>
  <c r="C24" i="22"/>
  <c r="C25" i="22"/>
  <c r="C26" i="22"/>
  <c r="C27" i="22"/>
  <c r="C28" i="22"/>
  <c r="C29" i="22"/>
  <c r="C30" i="22"/>
  <c r="C31" i="22"/>
  <c r="C53" i="21"/>
  <c r="C54" i="21"/>
  <c r="C55" i="21"/>
  <c r="C56" i="21"/>
  <c r="C57" i="21"/>
  <c r="C58" i="21"/>
  <c r="C42" i="21"/>
  <c r="C43" i="21"/>
  <c r="C44" i="21"/>
  <c r="C45" i="21"/>
  <c r="C46" i="21"/>
  <c r="C51" i="20"/>
  <c r="C52" i="20"/>
  <c r="C53" i="20"/>
  <c r="C54" i="20"/>
  <c r="C55" i="20"/>
  <c r="C56" i="20"/>
  <c r="C44" i="20"/>
  <c r="C45" i="20"/>
  <c r="C46" i="20"/>
  <c r="C47" i="20"/>
  <c r="C48" i="20"/>
  <c r="C49" i="20"/>
  <c r="C15" i="19" l="1"/>
  <c r="L3" i="20" l="1"/>
  <c r="L3" i="22"/>
  <c r="L3" i="19"/>
  <c r="C43" i="19"/>
  <c r="C42" i="19"/>
  <c r="C41" i="19"/>
  <c r="C40" i="19"/>
  <c r="C49" i="19"/>
  <c r="C65" i="22"/>
  <c r="C43" i="22" l="1"/>
  <c r="C44" i="22"/>
  <c r="C45" i="22"/>
  <c r="C46" i="22"/>
  <c r="C33" i="22"/>
  <c r="C34" i="22"/>
  <c r="C35" i="22"/>
  <c r="C36" i="22"/>
  <c r="C10" i="22"/>
  <c r="C11" i="22"/>
  <c r="C12" i="22"/>
  <c r="C15" i="22"/>
  <c r="C16" i="22"/>
  <c r="C17" i="22"/>
  <c r="C20" i="22"/>
  <c r="C21" i="22"/>
  <c r="C64" i="22"/>
  <c r="C63" i="22"/>
  <c r="C62" i="22"/>
  <c r="C42" i="22"/>
  <c r="C32" i="22"/>
  <c r="BI8" i="22"/>
  <c r="BJ3" i="22"/>
  <c r="BF3" i="22"/>
  <c r="BB3" i="22"/>
  <c r="AX3" i="22"/>
  <c r="B3" i="22"/>
  <c r="BG8" i="22" l="1"/>
  <c r="BK8" i="22" s="1"/>
  <c r="C11" i="19" l="1"/>
  <c r="C12" i="19"/>
  <c r="C13" i="19"/>
  <c r="C14" i="19"/>
  <c r="C16" i="19"/>
  <c r="C17" i="19"/>
  <c r="C18" i="19"/>
  <c r="C19" i="19"/>
  <c r="C20" i="19"/>
  <c r="C21" i="19"/>
  <c r="C22" i="19"/>
  <c r="C23" i="19"/>
  <c r="C24" i="19"/>
  <c r="C25" i="19"/>
  <c r="C26" i="19"/>
  <c r="C27" i="19"/>
  <c r="C28" i="19"/>
  <c r="C29" i="19"/>
  <c r="C30" i="19"/>
  <c r="C31" i="19"/>
  <c r="C32" i="19"/>
  <c r="C33" i="19"/>
  <c r="C34" i="19"/>
  <c r="C35" i="19"/>
  <c r="C36" i="19"/>
  <c r="C37" i="19"/>
  <c r="C38" i="19"/>
  <c r="C39" i="19"/>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50"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L3" i="21"/>
  <c r="C90" i="21" l="1"/>
  <c r="C89" i="21"/>
  <c r="C88" i="21"/>
  <c r="C87" i="21"/>
  <c r="C86" i="21"/>
  <c r="C85" i="21"/>
  <c r="C84" i="21"/>
  <c r="C83" i="21"/>
  <c r="C82" i="21"/>
  <c r="C81" i="21"/>
  <c r="C80" i="21"/>
  <c r="C79" i="21"/>
  <c r="C78" i="21"/>
  <c r="C77" i="21"/>
  <c r="C76" i="21"/>
  <c r="C75" i="21"/>
  <c r="C74" i="21"/>
  <c r="C73" i="21"/>
  <c r="C72" i="21"/>
  <c r="C71" i="21"/>
  <c r="C70" i="21"/>
  <c r="C69" i="21"/>
  <c r="C68" i="21"/>
  <c r="C67" i="21"/>
  <c r="C66" i="21"/>
  <c r="C65" i="21"/>
  <c r="C64" i="21"/>
  <c r="C63" i="21"/>
  <c r="C62" i="21"/>
  <c r="C61" i="21"/>
  <c r="C60" i="21"/>
  <c r="C59" i="21"/>
  <c r="C52" i="21"/>
  <c r="C51" i="21"/>
  <c r="C50" i="21"/>
  <c r="C49" i="21"/>
  <c r="C48" i="21"/>
  <c r="C47" i="21"/>
  <c r="C41" i="21"/>
  <c r="C40" i="21"/>
  <c r="C39" i="21"/>
  <c r="C38" i="21"/>
  <c r="C37" i="21"/>
  <c r="C36" i="21"/>
  <c r="C35" i="21"/>
  <c r="C34" i="21"/>
  <c r="C33" i="21"/>
  <c r="C32" i="21"/>
  <c r="C31" i="21"/>
  <c r="C30" i="21"/>
  <c r="C29" i="21"/>
  <c r="C28" i="21"/>
  <c r="C27" i="21"/>
  <c r="C26" i="21"/>
  <c r="C25" i="21"/>
  <c r="C24" i="21"/>
  <c r="C23" i="21"/>
  <c r="C22" i="21"/>
  <c r="C21" i="21"/>
  <c r="C20" i="21"/>
  <c r="C19" i="21"/>
  <c r="C18" i="21"/>
  <c r="C17" i="21"/>
  <c r="C16" i="21"/>
  <c r="C15" i="21"/>
  <c r="C14" i="21"/>
  <c r="C13" i="21"/>
  <c r="C12" i="21"/>
  <c r="C11" i="21"/>
  <c r="C10" i="21"/>
  <c r="BI8" i="21"/>
  <c r="BJ3" i="21"/>
  <c r="BF3" i="21"/>
  <c r="BB3" i="21"/>
  <c r="AX3" i="21"/>
  <c r="B3" i="21"/>
  <c r="BG8" i="21" l="1"/>
  <c r="BK8" i="21" s="1"/>
  <c r="C10" i="20"/>
  <c r="BI8" i="20"/>
  <c r="BJ3" i="20"/>
  <c r="BF3" i="20"/>
  <c r="BB3" i="20"/>
  <c r="AX3" i="20"/>
  <c r="B3" i="20"/>
  <c r="BG8" i="20" l="1"/>
  <c r="BK8" i="20" s="1"/>
  <c r="C10" i="19" l="1"/>
  <c r="BI8" i="19"/>
  <c r="BJ3" i="19"/>
  <c r="BF3" i="19"/>
  <c r="BB3" i="19"/>
  <c r="AX3" i="19"/>
  <c r="B3" i="19"/>
  <c r="X3" i="1" l="1"/>
  <c r="X3" i="22" s="1"/>
  <c r="X3" i="20" l="1"/>
  <c r="X3" i="21"/>
  <c r="BG8" i="19"/>
  <c r="BK8" i="19" s="1"/>
  <c r="X3" i="19"/>
  <c r="H3" i="1"/>
  <c r="H3" i="22" s="1"/>
  <c r="R3" i="1"/>
  <c r="R3" i="22" s="1"/>
  <c r="AK3" i="1"/>
  <c r="AK3" i="22" s="1"/>
  <c r="R3" i="20" l="1"/>
  <c r="R3" i="21"/>
  <c r="AK3" i="20"/>
  <c r="AK3" i="21"/>
  <c r="H3" i="20"/>
  <c r="H3" i="21"/>
  <c r="AK3" i="19"/>
  <c r="R3" i="19"/>
  <c r="H3" i="19"/>
</calcChain>
</file>

<file path=xl/sharedStrings.xml><?xml version="1.0" encoding="utf-8"?>
<sst xmlns="http://schemas.openxmlformats.org/spreadsheetml/2006/main" count="1463" uniqueCount="199">
  <si>
    <t>システム名</t>
    <rPh sb="4" eb="5">
      <t>メイ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</si>
  <si>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</si>
  <si>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</si>
  <si>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</si>
  <si>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</si>
  <si>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</si>
  <si>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</si>
  <si>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</si>
  <si>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</si>
  <si>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</si>
  <si>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</si>
  <si>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</si>
  <si>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No.</t>
    <phoneticPr fontId="2"/>
  </si>
  <si>
    <t>新規作成</t>
    <rPh sb="0" eb="2">
      <t>シンキ</t>
    </rPh>
    <rPh sb="2" eb="4">
      <t>サクセイ</t>
    </rPh>
    <phoneticPr fontId="2"/>
  </si>
  <si>
    <t>-</t>
    <phoneticPr fontId="2"/>
  </si>
  <si>
    <t>ラベル</t>
  </si>
  <si>
    <t>インプット</t>
  </si>
  <si>
    <t>ボタン</t>
  </si>
  <si>
    <t>ラジオ</t>
    <phoneticPr fontId="2"/>
  </si>
  <si>
    <t>変更履歴</t>
    <rPh sb="0" eb="4">
      <t>ヘンコウリレキ</t>
    </rPh>
    <phoneticPr fontId="2"/>
  </si>
  <si>
    <t>1.0.0</t>
    <phoneticPr fontId="2"/>
  </si>
  <si>
    <t>大項目</t>
    <rPh sb="0" eb="3">
      <t>ダイコウモク</t>
    </rPh>
    <phoneticPr fontId="2"/>
  </si>
  <si>
    <t>中項目</t>
    <rPh sb="0" eb="1">
      <t>チュウ</t>
    </rPh>
    <rPh sb="1" eb="3">
      <t>コウモク</t>
    </rPh>
    <phoneticPr fontId="2"/>
  </si>
  <si>
    <t>小項目</t>
    <rPh sb="0" eb="1">
      <t>ショウ</t>
    </rPh>
    <rPh sb="1" eb="3">
      <t>コウモク</t>
    </rPh>
    <phoneticPr fontId="2"/>
  </si>
  <si>
    <t>確認観点</t>
    <rPh sb="0" eb="2">
      <t>カクニン</t>
    </rPh>
    <rPh sb="2" eb="4">
      <t>カンテン</t>
    </rPh>
    <phoneticPr fontId="2"/>
  </si>
  <si>
    <t>確認日</t>
    <rPh sb="0" eb="2">
      <t>カクニン</t>
    </rPh>
    <rPh sb="2" eb="3">
      <t>ビ</t>
    </rPh>
    <phoneticPr fontId="2"/>
  </si>
  <si>
    <t>確認者</t>
    <rPh sb="0" eb="3">
      <t>カクニンシャ</t>
    </rPh>
    <phoneticPr fontId="2"/>
  </si>
  <si>
    <t>試験結果備考</t>
    <rPh sb="0" eb="2">
      <t>シケン</t>
    </rPh>
    <rPh sb="2" eb="4">
      <t>ケッカ</t>
    </rPh>
    <rPh sb="4" eb="6">
      <t>ビコウ</t>
    </rPh>
    <phoneticPr fontId="2"/>
  </si>
  <si>
    <t>補足事項(テスト項目補足、テストデータ等)</t>
    <rPh sb="0" eb="2">
      <t>ホソク</t>
    </rPh>
    <rPh sb="2" eb="4">
      <t>ジコウ</t>
    </rPh>
    <phoneticPr fontId="2"/>
  </si>
  <si>
    <t>結果</t>
    <rPh sb="0" eb="2">
      <t>ケッカ</t>
    </rPh>
    <phoneticPr fontId="2"/>
  </si>
  <si>
    <t>試験対象</t>
    <rPh sb="0" eb="2">
      <t>シケン</t>
    </rPh>
    <rPh sb="2" eb="4">
      <t>タイショウ</t>
    </rPh>
    <phoneticPr fontId="2"/>
  </si>
  <si>
    <t>合計</t>
    <rPh sb="0" eb="2">
      <t>ゴウケイ</t>
    </rPh>
    <phoneticPr fontId="2"/>
  </si>
  <si>
    <t>件数</t>
    <rPh sb="0" eb="2">
      <t>ケンスウ</t>
    </rPh>
    <phoneticPr fontId="2"/>
  </si>
  <si>
    <t>終了</t>
    <rPh sb="0" eb="2">
      <t>シュウリョウ</t>
    </rPh>
    <phoneticPr fontId="2"/>
  </si>
  <si>
    <t>残</t>
    <rPh sb="0" eb="1">
      <t>ザン</t>
    </rPh>
    <phoneticPr fontId="2"/>
  </si>
  <si>
    <t>１回目</t>
    <rPh sb="1" eb="3">
      <t>カイメ</t>
    </rPh>
    <phoneticPr fontId="2"/>
  </si>
  <si>
    <t>2回目</t>
    <rPh sb="1" eb="3">
      <t>カイメ</t>
    </rPh>
    <phoneticPr fontId="2"/>
  </si>
  <si>
    <t>確認手順</t>
    <rPh sb="0" eb="2">
      <t>カクニン</t>
    </rPh>
    <rPh sb="2" eb="4">
      <t>テジュン</t>
    </rPh>
    <phoneticPr fontId="2"/>
  </si>
  <si>
    <t>受発注システム</t>
    <rPh sb="0" eb="3">
      <t>ジュハッチュウ</t>
    </rPh>
    <phoneticPr fontId="2"/>
  </si>
  <si>
    <t>受発注</t>
    <rPh sb="0" eb="3">
      <t>ジュハッチュウ</t>
    </rPh>
    <phoneticPr fontId="2"/>
  </si>
  <si>
    <t>業務分類</t>
    <phoneticPr fontId="2"/>
  </si>
  <si>
    <t>システム分類</t>
    <rPh sb="4" eb="6">
      <t>ブンルイ</t>
    </rPh>
    <phoneticPr fontId="2"/>
  </si>
  <si>
    <t>初期表示</t>
    <rPh sb="0" eb="2">
      <t>ショキ</t>
    </rPh>
    <rPh sb="2" eb="4">
      <t>ヒョウジ</t>
    </rPh>
    <phoneticPr fontId="2"/>
  </si>
  <si>
    <t>榎本</t>
    <rPh sb="0" eb="2">
      <t>エノモト</t>
    </rPh>
    <phoneticPr fontId="2"/>
  </si>
  <si>
    <t>住所1</t>
    <rPh sb="0" eb="2">
      <t>ジュウショ</t>
    </rPh>
    <phoneticPr fontId="2"/>
  </si>
  <si>
    <t>住所2</t>
    <rPh sb="0" eb="2">
      <t>ジュウショ</t>
    </rPh>
    <phoneticPr fontId="2"/>
  </si>
  <si>
    <t>担当者CD</t>
    <rPh sb="0" eb="3">
      <t>タントウシャ</t>
    </rPh>
    <phoneticPr fontId="2"/>
  </si>
  <si>
    <t>担当者名</t>
    <rPh sb="0" eb="3">
      <t>タントウシャ</t>
    </rPh>
    <rPh sb="3" eb="4">
      <t>メイ</t>
    </rPh>
    <phoneticPr fontId="2"/>
  </si>
  <si>
    <t>一覧画面</t>
    <rPh sb="0" eb="2">
      <t>イチラン</t>
    </rPh>
    <rPh sb="2" eb="4">
      <t>ガメン</t>
    </rPh>
    <phoneticPr fontId="2"/>
  </si>
  <si>
    <t>入力欄が活性、かつ空欄であること。</t>
    <rPh sb="9" eb="11">
      <t>クウラン</t>
    </rPh>
    <phoneticPr fontId="2"/>
  </si>
  <si>
    <t>新規登録</t>
    <rPh sb="0" eb="2">
      <t>シンキ</t>
    </rPh>
    <rPh sb="2" eb="4">
      <t>トウロク</t>
    </rPh>
    <phoneticPr fontId="2"/>
  </si>
  <si>
    <t>値を入力して作成ボタンを押下する</t>
    <rPh sb="0" eb="1">
      <t>アタイ</t>
    </rPh>
    <rPh sb="2" eb="4">
      <t>ニュウリョク</t>
    </rPh>
    <rPh sb="6" eb="8">
      <t>サクセイ</t>
    </rPh>
    <rPh sb="12" eb="14">
      <t>オウカ</t>
    </rPh>
    <phoneticPr fontId="2"/>
  </si>
  <si>
    <t>入力欄が非活性、かつ空欄であること。</t>
    <rPh sb="4" eb="5">
      <t>ヒ</t>
    </rPh>
    <rPh sb="10" eb="12">
      <t>クウラン</t>
    </rPh>
    <phoneticPr fontId="2"/>
  </si>
  <si>
    <t>エラー確認</t>
    <rPh sb="3" eb="5">
      <t>カクニン</t>
    </rPh>
    <phoneticPr fontId="2"/>
  </si>
  <si>
    <t>未入力で作成ボタンを押下する。</t>
    <rPh sb="0" eb="3">
      <t>ミニュウリョク</t>
    </rPh>
    <rPh sb="4" eb="6">
      <t>サクセイ</t>
    </rPh>
    <rPh sb="10" eb="12">
      <t>オウカ</t>
    </rPh>
    <phoneticPr fontId="2"/>
  </si>
  <si>
    <t>エラーメッセージが出力され、作成できないこと</t>
    <rPh sb="9" eb="11">
      <t>シュツリョク</t>
    </rPh>
    <rPh sb="14" eb="16">
      <t>サクセイ</t>
    </rPh>
    <phoneticPr fontId="2"/>
  </si>
  <si>
    <t>値を入力して更新ボタンを押下する</t>
    <rPh sb="0" eb="1">
      <t>アタイ</t>
    </rPh>
    <rPh sb="2" eb="4">
      <t>ニュウリョク</t>
    </rPh>
    <rPh sb="6" eb="8">
      <t>コウシン</t>
    </rPh>
    <rPh sb="12" eb="14">
      <t>オウカ</t>
    </rPh>
    <phoneticPr fontId="2"/>
  </si>
  <si>
    <t>更新</t>
    <rPh sb="0" eb="2">
      <t>コウシン</t>
    </rPh>
    <phoneticPr fontId="2"/>
  </si>
  <si>
    <t>削除ボタン</t>
    <rPh sb="0" eb="2">
      <t>サクジョ</t>
    </rPh>
    <phoneticPr fontId="2"/>
  </si>
  <si>
    <t>削除ボタンを押下する</t>
    <rPh sb="0" eb="2">
      <t>サクジョ</t>
    </rPh>
    <rPh sb="6" eb="8">
      <t>オウカ</t>
    </rPh>
    <phoneticPr fontId="2"/>
  </si>
  <si>
    <t>削除</t>
    <rPh sb="0" eb="2">
      <t>サクジョ</t>
    </rPh>
    <phoneticPr fontId="2"/>
  </si>
  <si>
    <t>新規登録画面</t>
    <rPh sb="0" eb="2">
      <t>シンキ</t>
    </rPh>
    <rPh sb="2" eb="4">
      <t>トウロク</t>
    </rPh>
    <rPh sb="4" eb="6">
      <t>ガメン</t>
    </rPh>
    <phoneticPr fontId="2"/>
  </si>
  <si>
    <t>入力制御確認</t>
    <rPh sb="0" eb="2">
      <t>ニュウリョク</t>
    </rPh>
    <rPh sb="2" eb="4">
      <t>セイギョ</t>
    </rPh>
    <rPh sb="4" eb="6">
      <t>カクニン</t>
    </rPh>
    <phoneticPr fontId="2"/>
  </si>
  <si>
    <t>値を入力する</t>
    <rPh sb="0" eb="1">
      <t>アタイ</t>
    </rPh>
    <rPh sb="2" eb="4">
      <t>ニュウリョク</t>
    </rPh>
    <phoneticPr fontId="2"/>
  </si>
  <si>
    <t>日付形式でのみ入力できること</t>
    <rPh sb="0" eb="2">
      <t>ヒヅケ</t>
    </rPh>
    <rPh sb="2" eb="4">
      <t>ケイシキ</t>
    </rPh>
    <rPh sb="7" eb="9">
      <t>ニュウリョク</t>
    </rPh>
    <phoneticPr fontId="2"/>
  </si>
  <si>
    <t>入力欄が活性、かつ空欄で必須項目であること。</t>
    <rPh sb="9" eb="11">
      <t>クウラン</t>
    </rPh>
    <phoneticPr fontId="2"/>
  </si>
  <si>
    <t>担当者CD項目を押下する</t>
    <rPh sb="5" eb="7">
      <t>コウモク</t>
    </rPh>
    <rPh sb="8" eb="10">
      <t>オウカ</t>
    </rPh>
    <phoneticPr fontId="2"/>
  </si>
  <si>
    <t>担当者CD検索画面で担当者CDを検索し、担当者CDを選択する。</t>
    <rPh sb="5" eb="7">
      <t>ケンサク</t>
    </rPh>
    <rPh sb="7" eb="9">
      <t>ガメン</t>
    </rPh>
    <rPh sb="16" eb="18">
      <t>ケンサク</t>
    </rPh>
    <rPh sb="26" eb="28">
      <t>センタク</t>
    </rPh>
    <phoneticPr fontId="2"/>
  </si>
  <si>
    <t>担当者CD項目を削除する</t>
    <rPh sb="5" eb="7">
      <t>コウモク</t>
    </rPh>
    <rPh sb="8" eb="10">
      <t>サクジョ</t>
    </rPh>
    <phoneticPr fontId="2"/>
  </si>
  <si>
    <t>担当者CD検索のダイアログが立ち上がること。</t>
    <rPh sb="5" eb="7">
      <t>ケンサク</t>
    </rPh>
    <rPh sb="14" eb="15">
      <t>タ</t>
    </rPh>
    <rPh sb="16" eb="17">
      <t>ア</t>
    </rPh>
    <phoneticPr fontId="2"/>
  </si>
  <si>
    <t>更新画面</t>
    <phoneticPr fontId="2"/>
  </si>
  <si>
    <t>検索条件</t>
    <rPh sb="0" eb="2">
      <t>ケンサク</t>
    </rPh>
    <rPh sb="2" eb="4">
      <t>ジョウケン</t>
    </rPh>
    <phoneticPr fontId="2"/>
  </si>
  <si>
    <t>検索項目に入力する</t>
    <rPh sb="0" eb="2">
      <t>ケンサク</t>
    </rPh>
    <rPh sb="2" eb="4">
      <t>コウモク</t>
    </rPh>
    <rPh sb="5" eb="7">
      <t>ニュウリョク</t>
    </rPh>
    <phoneticPr fontId="2"/>
  </si>
  <si>
    <t>レコードに入力された値のフィルタが適応されること</t>
    <rPh sb="5" eb="7">
      <t>ニュウリョク</t>
    </rPh>
    <rPh sb="10" eb="11">
      <t>アタイ</t>
    </rPh>
    <rPh sb="17" eb="19">
      <t>テキオウ</t>
    </rPh>
    <phoneticPr fontId="2"/>
  </si>
  <si>
    <t>英数字または記号のみで15字まで入力できること</t>
    <rPh sb="6" eb="8">
      <t>キゴウ</t>
    </rPh>
    <phoneticPr fontId="2"/>
  </si>
  <si>
    <t>英数字または記号のみで8字まで入力できること</t>
    <rPh sb="6" eb="8">
      <t>キゴウ</t>
    </rPh>
    <phoneticPr fontId="2"/>
  </si>
  <si>
    <t>動作確認</t>
    <rPh sb="0" eb="2">
      <t>ドウサ</t>
    </rPh>
    <rPh sb="2" eb="4">
      <t>カクニン</t>
    </rPh>
    <phoneticPr fontId="2"/>
  </si>
  <si>
    <t>物件番号</t>
    <rPh sb="0" eb="2">
      <t>ブッケン</t>
    </rPh>
    <rPh sb="2" eb="4">
      <t>バンゴウ</t>
    </rPh>
    <phoneticPr fontId="2"/>
  </si>
  <si>
    <t>物件登録日付</t>
    <rPh sb="0" eb="2">
      <t>ブッケン</t>
    </rPh>
    <rPh sb="2" eb="4">
      <t>トウロク</t>
    </rPh>
    <rPh sb="4" eb="6">
      <t>ヒヅケ</t>
    </rPh>
    <phoneticPr fontId="2"/>
  </si>
  <si>
    <t>物件名</t>
    <rPh sb="0" eb="2">
      <t>ブッケン</t>
    </rPh>
    <rPh sb="2" eb="3">
      <t>メイ</t>
    </rPh>
    <phoneticPr fontId="2"/>
  </si>
  <si>
    <t>物件略称</t>
    <rPh sb="0" eb="2">
      <t>ブッケン</t>
    </rPh>
    <rPh sb="2" eb="4">
      <t>リャクショウ</t>
    </rPh>
    <phoneticPr fontId="2"/>
  </si>
  <si>
    <t>得意先CD</t>
    <rPh sb="0" eb="3">
      <t>トクイサキ</t>
    </rPh>
    <phoneticPr fontId="2"/>
  </si>
  <si>
    <t>得意先名1</t>
    <rPh sb="0" eb="3">
      <t>トクイサキ</t>
    </rPh>
    <rPh sb="3" eb="4">
      <t>メイ</t>
    </rPh>
    <phoneticPr fontId="2"/>
  </si>
  <si>
    <t>得意先名2</t>
    <rPh sb="0" eb="3">
      <t>トクイサキ</t>
    </rPh>
    <rPh sb="3" eb="4">
      <t>メイ</t>
    </rPh>
    <phoneticPr fontId="2"/>
  </si>
  <si>
    <t>得TEL</t>
    <rPh sb="0" eb="1">
      <t>トク</t>
    </rPh>
    <phoneticPr fontId="2"/>
  </si>
  <si>
    <t>得FAX</t>
    <rPh sb="0" eb="1">
      <t>トク</t>
    </rPh>
    <phoneticPr fontId="2"/>
  </si>
  <si>
    <t>得意先担当者</t>
    <rPh sb="0" eb="3">
      <t>トクイサキ</t>
    </rPh>
    <rPh sb="3" eb="5">
      <t>タントウ</t>
    </rPh>
    <rPh sb="5" eb="6">
      <t>シャ</t>
    </rPh>
    <phoneticPr fontId="2"/>
  </si>
  <si>
    <t>集計CD</t>
    <rPh sb="0" eb="2">
      <t>シュウケイ</t>
    </rPh>
    <phoneticPr fontId="2"/>
  </si>
  <si>
    <t>集計</t>
    <rPh sb="0" eb="2">
      <t>シュウケイ</t>
    </rPh>
    <phoneticPr fontId="2"/>
  </si>
  <si>
    <t>納入得意先CD</t>
    <rPh sb="0" eb="2">
      <t>ノウニュウ</t>
    </rPh>
    <rPh sb="2" eb="5">
      <t>トクイサキ</t>
    </rPh>
    <phoneticPr fontId="2"/>
  </si>
  <si>
    <t>納入先CD</t>
    <rPh sb="0" eb="2">
      <t>ノウニュウ</t>
    </rPh>
    <phoneticPr fontId="2"/>
  </si>
  <si>
    <t>郵便番号</t>
    <rPh sb="0" eb="4">
      <t>ユウビンバンゴウ</t>
    </rPh>
    <phoneticPr fontId="2"/>
  </si>
  <si>
    <t>納TEL</t>
    <rPh sb="0" eb="1">
      <t>オサメ</t>
    </rPh>
    <phoneticPr fontId="2"/>
  </si>
  <si>
    <t>納FAX</t>
    <rPh sb="0" eb="1">
      <t>オサメ</t>
    </rPh>
    <phoneticPr fontId="2"/>
  </si>
  <si>
    <t>納入先担当者</t>
    <rPh sb="0" eb="3">
      <t>ノウニュウサキ</t>
    </rPh>
    <rPh sb="3" eb="6">
      <t>タントウシャ</t>
    </rPh>
    <phoneticPr fontId="2"/>
  </si>
  <si>
    <t>部署CD</t>
    <rPh sb="0" eb="2">
      <t>ブショ</t>
    </rPh>
    <phoneticPr fontId="2"/>
  </si>
  <si>
    <t>部署名</t>
    <rPh sb="0" eb="2">
      <t>ブショ</t>
    </rPh>
    <rPh sb="2" eb="3">
      <t>メイ</t>
    </rPh>
    <phoneticPr fontId="2"/>
  </si>
  <si>
    <t>工事担当CD</t>
    <rPh sb="0" eb="4">
      <t>コウジタントウ</t>
    </rPh>
    <phoneticPr fontId="2"/>
  </si>
  <si>
    <t>工事担当者名</t>
    <rPh sb="0" eb="2">
      <t>コウジ</t>
    </rPh>
    <rPh sb="2" eb="6">
      <t>タントウシャメイ</t>
    </rPh>
    <phoneticPr fontId="2"/>
  </si>
  <si>
    <t>予定納期S</t>
    <rPh sb="0" eb="2">
      <t>ヨテイ</t>
    </rPh>
    <rPh sb="2" eb="4">
      <t>ノウキ</t>
    </rPh>
    <phoneticPr fontId="2"/>
  </si>
  <si>
    <t>予定納期E</t>
    <rPh sb="0" eb="2">
      <t>ヨテイ</t>
    </rPh>
    <rPh sb="2" eb="4">
      <t>ノウキ</t>
    </rPh>
    <phoneticPr fontId="2"/>
  </si>
  <si>
    <t>予定オープン日</t>
    <rPh sb="0" eb="2">
      <t>ヨテイ</t>
    </rPh>
    <rPh sb="6" eb="7">
      <t>ビ</t>
    </rPh>
    <phoneticPr fontId="2"/>
  </si>
  <si>
    <t>物件種別</t>
    <rPh sb="0" eb="4">
      <t>ブッケンシュベツ</t>
    </rPh>
    <phoneticPr fontId="2"/>
  </si>
  <si>
    <t>予定受付日付</t>
    <rPh sb="0" eb="2">
      <t>ヨテイ</t>
    </rPh>
    <rPh sb="2" eb="4">
      <t>ウケツケ</t>
    </rPh>
    <rPh sb="4" eb="6">
      <t>ヒヅケ</t>
    </rPh>
    <phoneticPr fontId="2"/>
  </si>
  <si>
    <t>予定完工日付</t>
    <rPh sb="0" eb="2">
      <t>ヨテイ</t>
    </rPh>
    <rPh sb="2" eb="4">
      <t>カンコウ</t>
    </rPh>
    <rPh sb="4" eb="6">
      <t>ヒヅケ</t>
    </rPh>
    <phoneticPr fontId="2"/>
  </si>
  <si>
    <t>予定請求予定日付</t>
    <rPh sb="0" eb="6">
      <t>ヨテイセイキュウヨテイ</t>
    </rPh>
    <rPh sb="6" eb="8">
      <t>ヒヅケ</t>
    </rPh>
    <phoneticPr fontId="2"/>
  </si>
  <si>
    <t>売上合計</t>
    <rPh sb="2" eb="4">
      <t>ゴウケイ</t>
    </rPh>
    <phoneticPr fontId="2"/>
  </si>
  <si>
    <t>出精値引き</t>
    <rPh sb="0" eb="1">
      <t>デ</t>
    </rPh>
    <rPh sb="1" eb="2">
      <t>セイ</t>
    </rPh>
    <rPh sb="2" eb="4">
      <t>ネビ</t>
    </rPh>
    <phoneticPr fontId="2"/>
  </si>
  <si>
    <t>原価合計</t>
    <rPh sb="0" eb="2">
      <t>ゲンカ</t>
    </rPh>
    <rPh sb="2" eb="4">
      <t>ゴウケイ</t>
    </rPh>
    <phoneticPr fontId="2"/>
  </si>
  <si>
    <t>原価率</t>
    <rPh sb="0" eb="3">
      <t>ゲンカリツ</t>
    </rPh>
    <phoneticPr fontId="2"/>
  </si>
  <si>
    <t>メニューより物件入力を起動する</t>
    <rPh sb="11" eb="13">
      <t>キドウ</t>
    </rPh>
    <phoneticPr fontId="2"/>
  </si>
  <si>
    <t>物件入力より新規作成画面を起動する</t>
    <rPh sb="6" eb="8">
      <t>シンキ</t>
    </rPh>
    <rPh sb="8" eb="10">
      <t>サクセイ</t>
    </rPh>
    <rPh sb="10" eb="12">
      <t>ガメン</t>
    </rPh>
    <rPh sb="13" eb="15">
      <t>キドウ</t>
    </rPh>
    <phoneticPr fontId="2"/>
  </si>
  <si>
    <t>物件入力より対象のレコードを押下する</t>
    <rPh sb="6" eb="8">
      <t>タイショウ</t>
    </rPh>
    <rPh sb="14" eb="16">
      <t>オウカ</t>
    </rPh>
    <phoneticPr fontId="2"/>
  </si>
  <si>
    <t>TD物件情報テーブルの項目と同じ値が表示されていること。</t>
    <rPh sb="11" eb="13">
      <t>コウモク</t>
    </rPh>
    <rPh sb="14" eb="15">
      <t>オナ</t>
    </rPh>
    <rPh sb="16" eb="17">
      <t>アタイ</t>
    </rPh>
    <rPh sb="18" eb="20">
      <t>ヒョウジ</t>
    </rPh>
    <phoneticPr fontId="2"/>
  </si>
  <si>
    <t>入力した値がTD物件情報テーブルの項目に反映されること</t>
    <rPh sb="0" eb="2">
      <t>ニュウリョク</t>
    </rPh>
    <rPh sb="4" eb="5">
      <t>アタイ</t>
    </rPh>
    <rPh sb="20" eb="22">
      <t>ハンエイ</t>
    </rPh>
    <phoneticPr fontId="2"/>
  </si>
  <si>
    <t>TD物件情報テーブルの対象レコードが削除されること。</t>
    <rPh sb="11" eb="13">
      <t>タイショウ</t>
    </rPh>
    <rPh sb="18" eb="20">
      <t>サクジョ</t>
    </rPh>
    <phoneticPr fontId="2"/>
  </si>
  <si>
    <t>入力欄が活性、かつ当月の日付が入力されて必須項目であること。</t>
    <rPh sb="9" eb="11">
      <t>トウゲツ</t>
    </rPh>
    <rPh sb="12" eb="14">
      <t>ヒヅケ</t>
    </rPh>
    <rPh sb="15" eb="17">
      <t>ニュウリョク</t>
    </rPh>
    <rPh sb="20" eb="24">
      <t>ヒッスコウモク</t>
    </rPh>
    <phoneticPr fontId="2"/>
  </si>
  <si>
    <t>60字まで入力できること</t>
    <phoneticPr fontId="2"/>
  </si>
  <si>
    <t>24字まで入力できること</t>
    <phoneticPr fontId="2"/>
  </si>
  <si>
    <t>28字まで入力できること</t>
    <rPh sb="2" eb="3">
      <t>ジ</t>
    </rPh>
    <rPh sb="5" eb="7">
      <t>ニュウリョク</t>
    </rPh>
    <phoneticPr fontId="2"/>
  </si>
  <si>
    <t>40字まで入力できること</t>
    <rPh sb="2" eb="3">
      <t>ジ</t>
    </rPh>
    <rPh sb="5" eb="7">
      <t>ニュウリョク</t>
    </rPh>
    <phoneticPr fontId="2"/>
  </si>
  <si>
    <t>32字まで入力できること</t>
    <rPh sb="2" eb="3">
      <t>ジ</t>
    </rPh>
    <rPh sb="5" eb="7">
      <t>ニュウリョク</t>
    </rPh>
    <phoneticPr fontId="2"/>
  </si>
  <si>
    <t>得意先CD</t>
    <rPh sb="0" eb="3">
      <t>トクイサキ</t>
    </rPh>
    <phoneticPr fontId="2"/>
  </si>
  <si>
    <t>物件登録日付</t>
    <rPh sb="0" eb="6">
      <t>ブッケントウロクヒヅケ</t>
    </rPh>
    <phoneticPr fontId="2"/>
  </si>
  <si>
    <t xml:space="preserve">担当者CD
</t>
    <phoneticPr fontId="2"/>
  </si>
  <si>
    <t xml:space="preserve">工事担当CD
</t>
    <phoneticPr fontId="2"/>
  </si>
  <si>
    <t>予定納期S</t>
    <phoneticPr fontId="2"/>
  </si>
  <si>
    <t>担当者CD</t>
  </si>
  <si>
    <t>得意先CD</t>
    <phoneticPr fontId="2"/>
  </si>
  <si>
    <t>得意先CD項目を押下する</t>
    <rPh sb="5" eb="7">
      <t>コウモク</t>
    </rPh>
    <rPh sb="8" eb="10">
      <t>オウカ</t>
    </rPh>
    <phoneticPr fontId="2"/>
  </si>
  <si>
    <t>得意先CD検索のダイアログが立ち上がること。</t>
    <rPh sb="5" eb="7">
      <t>ケンサク</t>
    </rPh>
    <rPh sb="14" eb="15">
      <t>タ</t>
    </rPh>
    <rPh sb="16" eb="17">
      <t>ア</t>
    </rPh>
    <phoneticPr fontId="2"/>
  </si>
  <si>
    <t>得意先CD検索画面で得意先CDを検索し、得意先CDを選択する。</t>
    <rPh sb="5" eb="7">
      <t>ケンサク</t>
    </rPh>
    <rPh sb="7" eb="9">
      <t>ガメン</t>
    </rPh>
    <rPh sb="16" eb="18">
      <t>ケンサク</t>
    </rPh>
    <rPh sb="26" eb="28">
      <t>センタク</t>
    </rPh>
    <phoneticPr fontId="2"/>
  </si>
  <si>
    <t>得意先CD項目を削除する</t>
    <rPh sb="5" eb="7">
      <t>コウモク</t>
    </rPh>
    <rPh sb="8" eb="10">
      <t>サクジョ</t>
    </rPh>
    <phoneticPr fontId="2"/>
  </si>
  <si>
    <t>納入先CD</t>
  </si>
  <si>
    <t>納入先CD項目を押下する</t>
    <rPh sb="5" eb="7">
      <t>コウモク</t>
    </rPh>
    <rPh sb="8" eb="10">
      <t>オウカ</t>
    </rPh>
    <phoneticPr fontId="2"/>
  </si>
  <si>
    <t>納入先CD検索のダイアログが立ち上がること。</t>
    <rPh sb="5" eb="7">
      <t>ケンサク</t>
    </rPh>
    <rPh sb="14" eb="15">
      <t>タ</t>
    </rPh>
    <rPh sb="16" eb="17">
      <t>ア</t>
    </rPh>
    <phoneticPr fontId="2"/>
  </si>
  <si>
    <t>納入先CD検索画面で納入先CDを検索し、納入先CDを選択する。</t>
    <rPh sb="5" eb="7">
      <t>ケンサク</t>
    </rPh>
    <rPh sb="7" eb="9">
      <t>ガメン</t>
    </rPh>
    <rPh sb="16" eb="18">
      <t>ケンサク</t>
    </rPh>
    <rPh sb="26" eb="28">
      <t>センタク</t>
    </rPh>
    <phoneticPr fontId="2"/>
  </si>
  <si>
    <t>納入先CD項目を削除する</t>
    <rPh sb="5" eb="7">
      <t>コウモク</t>
    </rPh>
    <rPh sb="8" eb="10">
      <t>サクジョ</t>
    </rPh>
    <phoneticPr fontId="2"/>
  </si>
  <si>
    <t xml:space="preserve">以下の項目に選択した納入先CDの該当情報が表示されること
納入先CD   
納入先1   
納入先2   
郵便番号   
住所1   
住所2   
納TEL   
納FAX   
</t>
    <phoneticPr fontId="2"/>
  </si>
  <si>
    <t xml:space="preserve">以下の項目に選択した納入先CDの該当情報が削除されること
納入先CD   
納入先1   
納入先2   
郵便番号   
住所1   
住所2   
納TEL   
納FAX   
</t>
    <phoneticPr fontId="2"/>
  </si>
  <si>
    <t xml:space="preserve">以下の項目に選択した担当者CDの該当情報が表示されること
担当者CD   
担当者名   
部署CD   
部署名   
</t>
    <phoneticPr fontId="2"/>
  </si>
  <si>
    <t xml:space="preserve">以下の項目に選択した担当者CDの該当情報が削除されること
担当者CD   
担当者名   
部署CD   
部署名   
</t>
    <phoneticPr fontId="2"/>
  </si>
  <si>
    <t>部署CD</t>
  </si>
  <si>
    <t>部署CD項目を押下する</t>
    <rPh sb="4" eb="6">
      <t>コウモク</t>
    </rPh>
    <rPh sb="7" eb="9">
      <t>オウカ</t>
    </rPh>
    <phoneticPr fontId="2"/>
  </si>
  <si>
    <t>部署CD検索のダイアログが立ち上がること。</t>
    <rPh sb="4" eb="6">
      <t>ケンサク</t>
    </rPh>
    <rPh sb="13" eb="14">
      <t>タ</t>
    </rPh>
    <rPh sb="15" eb="16">
      <t>ア</t>
    </rPh>
    <phoneticPr fontId="2"/>
  </si>
  <si>
    <t>部署CD検索画面で部署CDを検索し、部署CDを選択する。</t>
    <rPh sb="4" eb="6">
      <t>ケンサク</t>
    </rPh>
    <rPh sb="6" eb="8">
      <t>ガメン</t>
    </rPh>
    <rPh sb="14" eb="16">
      <t>ケンサク</t>
    </rPh>
    <rPh sb="23" eb="25">
      <t>センタク</t>
    </rPh>
    <phoneticPr fontId="2"/>
  </si>
  <si>
    <t>部署CD項目を削除する</t>
    <rPh sb="4" eb="6">
      <t>コウモク</t>
    </rPh>
    <rPh sb="7" eb="9">
      <t>サクジョ</t>
    </rPh>
    <phoneticPr fontId="2"/>
  </si>
  <si>
    <t xml:space="preserve">以下の項目に選択した部署CDの該当情報が表示されること
部署CD   
部署名   
</t>
    <phoneticPr fontId="2"/>
  </si>
  <si>
    <t xml:space="preserve">以下の項目に選択した部署CDの該当情報が削除されること
部署CD   
部署名   
</t>
    <phoneticPr fontId="2"/>
  </si>
  <si>
    <t>工事担当CD</t>
  </si>
  <si>
    <t>工事担当CD項目を押下する</t>
    <rPh sb="6" eb="8">
      <t>コウモク</t>
    </rPh>
    <rPh sb="9" eb="11">
      <t>オウカ</t>
    </rPh>
    <phoneticPr fontId="2"/>
  </si>
  <si>
    <t>工事担当CD検索のダイアログが立ち上がること。</t>
    <rPh sb="6" eb="8">
      <t>ケンサク</t>
    </rPh>
    <rPh sb="15" eb="16">
      <t>タ</t>
    </rPh>
    <rPh sb="17" eb="18">
      <t>ア</t>
    </rPh>
    <phoneticPr fontId="2"/>
  </si>
  <si>
    <t>工事担当CD検索画面で工事担当CDを検索し、工事担当CDを選択する。</t>
    <rPh sb="6" eb="8">
      <t>ケンサク</t>
    </rPh>
    <rPh sb="8" eb="10">
      <t>ガメン</t>
    </rPh>
    <rPh sb="18" eb="20">
      <t>ケンサク</t>
    </rPh>
    <rPh sb="29" eb="31">
      <t>センタク</t>
    </rPh>
    <phoneticPr fontId="2"/>
  </si>
  <si>
    <t>工事担当CD項目を削除する</t>
    <rPh sb="6" eb="8">
      <t>コウモク</t>
    </rPh>
    <rPh sb="9" eb="11">
      <t>サクジョ</t>
    </rPh>
    <phoneticPr fontId="2"/>
  </si>
  <si>
    <t xml:space="preserve">以下の項目に選択した工事担当CDの該当情報が表示されること
工事担当CD   
工事担当者名   
</t>
    <phoneticPr fontId="2"/>
  </si>
  <si>
    <t xml:space="preserve">以下の項目に選択した工事担当CDの該当情報が削除されること
工事担当CD   
工事担当者名   
</t>
    <phoneticPr fontId="2"/>
  </si>
  <si>
    <t>児玉</t>
    <rPh sb="0" eb="2">
      <t>コダマ</t>
    </rPh>
    <phoneticPr fontId="2"/>
  </si>
  <si>
    <t>OK</t>
    <phoneticPr fontId="2"/>
  </si>
  <si>
    <t xml:space="preserve">以下の項目に選択した得意先CDの該当情報が表示されること
得意先CD   
得意先名1   
得意先名2   
得TEL   
得FAX   
集計CD   
集計  </t>
    <phoneticPr fontId="2"/>
  </si>
  <si>
    <t xml:space="preserve">以下の項目に選択した得意先CDの該当情報が削除されること
得意先CD   
得意先名1   
得意先名2   
得TEL   
得FAX   
集計CD   
集計   </t>
    <phoneticPr fontId="2"/>
  </si>
  <si>
    <t>集計CD</t>
  </si>
  <si>
    <t>集計CD項目を押下する</t>
    <rPh sb="4" eb="6">
      <t>コウモク</t>
    </rPh>
    <rPh sb="7" eb="9">
      <t>オウカ</t>
    </rPh>
    <phoneticPr fontId="2"/>
  </si>
  <si>
    <t>集計CD検索のダイアログが立ち上がること。</t>
    <rPh sb="4" eb="6">
      <t>ケンサク</t>
    </rPh>
    <rPh sb="13" eb="14">
      <t>タ</t>
    </rPh>
    <rPh sb="15" eb="16">
      <t>ア</t>
    </rPh>
    <phoneticPr fontId="2"/>
  </si>
  <si>
    <t>集計CD検索画面で集計CDを検索し、集計CDを選択する。</t>
    <rPh sb="4" eb="6">
      <t>ケンサク</t>
    </rPh>
    <rPh sb="6" eb="8">
      <t>ガメン</t>
    </rPh>
    <rPh sb="14" eb="16">
      <t>ケンサク</t>
    </rPh>
    <rPh sb="23" eb="25">
      <t>センタク</t>
    </rPh>
    <phoneticPr fontId="2"/>
  </si>
  <si>
    <t>集計CD項目を削除する</t>
    <rPh sb="4" eb="6">
      <t>コウモク</t>
    </rPh>
    <rPh sb="7" eb="9">
      <t>サクジョ</t>
    </rPh>
    <phoneticPr fontId="2"/>
  </si>
  <si>
    <t xml:space="preserve">以下の項目に選択した集計CDの該当情報が表示されること
集計CD   
集計   </t>
    <phoneticPr fontId="2"/>
  </si>
  <si>
    <t xml:space="preserve">以下の項目に選択した集計CDの該当情報が削除されること
集計CD   
集計   </t>
    <phoneticPr fontId="2"/>
  </si>
  <si>
    <t>入力欄が非活性、かつ0が入力されていること。</t>
    <rPh sb="4" eb="5">
      <t>ヒ</t>
    </rPh>
    <rPh sb="12" eb="14">
      <t>ニュウリョク</t>
    </rPh>
    <phoneticPr fontId="2"/>
  </si>
  <si>
    <t>一括削除</t>
    <rPh sb="0" eb="4">
      <t>イッカツサクジョ</t>
    </rPh>
    <phoneticPr fontId="2"/>
  </si>
  <si>
    <t>一括削除ボタンを押下する</t>
    <rPh sb="0" eb="2">
      <t>イッカツ</t>
    </rPh>
    <rPh sb="2" eb="4">
      <t>サクジョ</t>
    </rPh>
    <rPh sb="8" eb="10">
      <t>オウカ</t>
    </rPh>
    <phoneticPr fontId="2"/>
  </si>
  <si>
    <t>インポート</t>
    <phoneticPr fontId="2"/>
  </si>
  <si>
    <t>インポートボタン</t>
    <phoneticPr fontId="2"/>
  </si>
  <si>
    <t>インポートボタンを押下する</t>
    <rPh sb="9" eb="11">
      <t>オウカ</t>
    </rPh>
    <phoneticPr fontId="2"/>
  </si>
  <si>
    <t>CSVに入力された値がインポートされること</t>
    <rPh sb="4" eb="6">
      <t>ニュウリョク</t>
    </rPh>
    <rPh sb="9" eb="10">
      <t>アタイ</t>
    </rPh>
    <phoneticPr fontId="2"/>
  </si>
  <si>
    <t>エクスポート</t>
    <phoneticPr fontId="2"/>
  </si>
  <si>
    <t>エクスポートボタン</t>
    <phoneticPr fontId="2"/>
  </si>
  <si>
    <t>エクスポートボタンを押下する</t>
    <rPh sb="10" eb="12">
      <t>オウカ</t>
    </rPh>
    <phoneticPr fontId="2"/>
  </si>
  <si>
    <t>レコードに入力された値がエクスポートされること</t>
    <rPh sb="5" eb="7">
      <t>ニュウリョク</t>
    </rPh>
    <rPh sb="10" eb="11">
      <t>アタイ</t>
    </rPh>
    <phoneticPr fontId="2"/>
  </si>
  <si>
    <t>児玉</t>
    <rPh sb="0" eb="2">
      <t>コダマ</t>
    </rPh>
    <phoneticPr fontId="2"/>
  </si>
  <si>
    <t>OK</t>
    <phoneticPr fontId="2"/>
  </si>
  <si>
    <t>納入先名1</t>
    <phoneticPr fontId="2"/>
  </si>
  <si>
    <t>納入先名2</t>
    <phoneticPr fontId="2"/>
  </si>
  <si>
    <t>予定業種区分</t>
    <phoneticPr fontId="2"/>
  </si>
  <si>
    <t xml:space="preserve">以下の項目が得意先CD選択前と同じであること
物件番号   
物件登録日付   
物件名   
物件略称   
得意先担当者    
納入得意先CD   
納入先CD   
納入先1   
納入先2   
郵便番号   
住所1   
住所2   
納TEL   
納FAX   
納入先担当者   
担当者CD   
担当者名   
部署CD   
部署名   
工事担当CD   
工事担当者名   
予定納期S   
予定納期E   
予定オープン日   
予定業種区分   
物件種別   
予定受付日付   
予定完工日付   
予定請求予定日付   
売上合計   
出精値引き   
原価合計   
原価率   </t>
  </si>
  <si>
    <t xml:space="preserve">以下の項目が得意先CD削除前と同じであること
物件番号   
物件登録日付   
物件名   
物件略称   
得意先担当者   
納入得意先CD   
納入先CD   
納入先1   
納入先2   
郵便番号   
住所1   
住所2   
納TEL   
納FAX   
納入先担当者   
担当者CD   
担当者名   
部署CD   
部署名   
工事担当CD   
工事担当者名   
予定納期S   
予定納期E   
予定オープン日   
予定業種区分   
物件種別   
予定受付日付   
予定完工日付   
予定請求予定日付   
売上合計   
出精値引き   
原価合計   
原価率   </t>
  </si>
  <si>
    <t xml:space="preserve">以下の項目が集計CD選択前と同じであること
物件番号   
物件登録日付   
物件名   
物件略称   
得意先CD   
得意先名1   
得意先名2   
得TEL   
得FAX   
得意先担当者   
納入得意先CD   
納入先CD   
納入先1   
納入先2   
郵便番号   
住所1   
住所2   
納TEL   
納FAX   
納入先担当者   
担当者CD   
担当者名   
部署CD   
部署名   
工事担当CD   
工事担当者名   
予定納期S   
予定納期E   
予定オープン日   
予定業種区分   
物件種別   
予定受付日付   
予定完工日付   
予定請求予定日付   
売上合計   
出精値引き   
原価合計   
原価率   </t>
  </si>
  <si>
    <t xml:space="preserve">以下の項目が集計CD削除前と同じであること
物件番号   
物件登録日付   
物件名   
物件略称   
得意先CD   
得意先名1   
得意先名2   
得TEL   
得FAX   
得意先担当者   
納入得意先CD   
納入先CD   
納入先1   
納入先2   
郵便番号   
住所1   
住所2   
納TEL   
納FAX   
納入先担当者   
担当者CD   
担当者名   
部署CD   
部署名   
工事担当CD   
工事担当者名   
予定納期S   
予定納期E   
予定オープン日   
予定業種区分   
物件種別   
予定受付日付   
予定完工日付   
予定請求予定日付   
売上合計   
出精値引き   
原価合計   
原価率   </t>
  </si>
  <si>
    <t xml:space="preserve">以下の項目が納入先CD選択前と同じであること
物件番号   
物件登録日付   
物件名   
物件略称   
得意先CD   
得意先名1   
得意先名2   
得TEL   
得FAX   
得意先担当者   
集計CD   
集計   
納入得意先CD   
納入先担当者   
担当者CD   
担当者名   
部署CD   
部署名   
工事担当CD   
工事担当者名   
予定納期S   
予定納期E   
予定オープン日   
予定業種区分   
物件種別   
予定受付日付   
予定完工日付   
予定請求予定日付   
売上合計   
出精値引き   
原価合計   
原価率   </t>
  </si>
  <si>
    <t xml:space="preserve">以下の項目が納入先CD削除前と同じであること
物件番号   
物件登録日付   
物件名   
物件略称   
得意先CD   
得意先名1   
得意先名2   
得TEL   
得FAX   
得意先担当者   
集計CD   
集計   
納入得意先CD   
納入先担当者   
担当者CD   
担当者名   
部署CD   
部署名   
工事担当CD   
工事担当者名   
予定納期S   
予定納期E   
予定オープン日   
予定業種区分   
物件種別   
予定受付日付   
予定完工日付   
予定請求予定日付   
売上合計   
出精値引き   
原価合計   
原価率   </t>
  </si>
  <si>
    <t xml:space="preserve">以下の項目が担当者CD選択前と同じであること
物件番号   
物件登録日付   
物件名   
物件略称   
得意先CD   
得意先名1   
得意先名2   
得TEL   
得FAX   
得意先担当者   
集計CD   
集計   
納入得意先CD   
納入先CD   
納入先1   
納入先2   
郵便番号   
住所1   
住所2   
納TEL   
納FAX   
納入先担当者   
工事担当CD   
工事担当者名   
予定納期S   
予定納期E   
予定オープン日   
予定業種区分   
物件種別   
予定受付日付   
予定完工日付   
予定請求予定日付   
売上合計   
出精値引き   
原価合計   
原価率   </t>
  </si>
  <si>
    <t xml:space="preserve">以下の項目が担当者CD削除前と同じであること
物件番号   
物件登録日付   
物件名   
物件略称   
得意先CD   
得意先名1   
得意先名2   
得TEL   
得FAX   
得意先担当者   
集計CD   
集計   
納入得意先CD   
納入先CD   
納入先1   
納入先2   
郵便番号   
住所1   
住所2   
納TEL   
納FAX   
納入先担当者   
工事担当CD   
工事担当者名   
予定納期S   
予定納期E   
予定オープン日   
予定業種区分   
物件種別   
予定受付日付   
予定完工日付   
予定請求予定日付   
売上合計   
出精値引き   
原価合計   
原価率   </t>
  </si>
  <si>
    <t xml:space="preserve">以下の項目が部署CD選択前と同じであること
物件番号   
物件登録日付   
物件名   
物件略称   
得意先CD   
得意先名1   
得意先名2   
得TEL   
得FAX   
得意先担当者   
集計CD   
集計   
納入得意先CD   
納入先CD   
納入先1   
納入先2   
郵便番号   
住所1   
住所2   
納TEL   
納FAX   
納入先担当者   
担当者CD   
担当者名   
工事担当CD   
工事担当者名   
予定納期S   
予定納期E   
予定オープン日   
予定業種区分   
物件種別   
予定受付日付   
予定完工日付   
予定請求予定日付   
売上合計   
出精値引き   
原価合計   
原価率   </t>
  </si>
  <si>
    <t xml:space="preserve">以下の項目が部署CD削除前と同じであること
物件番号   
物件登録日付   
物件名   
物件略称   
得意先CD   
得意先名1   
得意先名2   
得TEL   
得FAX   
得意先担当者   
集計CD   
集計   
納入得意先CD   
納入先CD   
納入先1   
納入先2   
郵便番号   
住所1   
住所2   
納TEL   
納FAX   
納入先担当者   
担当者CD   
担当者名   
工事担当CD   
工事担当者名   
予定納期S   
予定納期E   
予定オープン日   
予定業種区分   
物件種別   
予定受付日付   
予定完工日付   
予定請求予定日付   
売上合計   
出精値引き   
原価合計   
原価率   </t>
  </si>
  <si>
    <t xml:space="preserve">以下の項目が工事担当CD選択前と同じであること
物件番号   
物件登録日付   
物件名   
物件略称   
得意先CD   
得意先名1   
得意先名2   
得TEL   
得FAX   
得意先担当者   
集計CD   
集計   
納入得意先CD   
納入先CD   
納入先1   
納入先2   
郵便番号   
住所1   
住所2   
納TEL   
納FAX   
納入先担当者   
担当者CD   
担当者名   
部署CD   
部署名   
予定納期S   
予定納期E   
予定オープン日   
予定業種区分   
物件種別   
予定受付日付   
予定完工日付   
予定請求予定日付   
売上合計   
出精値引き   
原価合計   
原価率   </t>
  </si>
  <si>
    <t xml:space="preserve">以下の項目が工事担当CD削除前と同じであること
物件番号   
物件登録日付   
物件名   
物件略称   
得意先CD   
得意先名1   
得意先名2   
得TEL   
得FAX   
得意先担当者   
集計CD   
集計   
納入得意先CD   
納入先CD   
納入先1   
納入先2   
郵便番号   
住所1   
住所2   
納TEL   
納FAX   
納入先担当者   
担当者CD   
担当者名   
部署CD   
部署名   
予定納期S   
予定納期E   
予定オープン日   
予定業種区分   
物件種別   
予定受付日付   
予定完工日付   
予定請求予定日付   
売上合計   
出精値引き   
原価合計   
原価率   </t>
  </si>
  <si>
    <t>納入先CD</t>
    <rPh sb="0" eb="3">
      <t>ノウニュウサキ</t>
    </rPh>
    <phoneticPr fontId="2"/>
  </si>
  <si>
    <t>物件番号</t>
    <rPh sb="0" eb="4">
      <t>ブッケンバンゴウ</t>
    </rPh>
    <phoneticPr fontId="2"/>
  </si>
  <si>
    <t>物件名</t>
    <rPh sb="0" eb="3">
      <t>ブッケンメイ</t>
    </rPh>
    <phoneticPr fontId="2"/>
  </si>
  <si>
    <t>大谷</t>
    <rPh sb="0" eb="2">
      <t>オオタニ</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</si>
</sst>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 "/>
    <numFmt numFmtId="177" formatCode="m/d;@"/>
  </numFmts>
  <fonts count="8"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
      <sz val="9"/>
      <name val="Meiryo UI"/>
      <family val="3"/>
      <charset val="128"/>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right style="thick">
        <color auto="1"/>
      </right>
      <top style="thin">
        <color auto="1"/>
      </top>
      <bottom style="thick">
        <color auto="1"/>
      </bottom>
      <diagonal/>
    </border>
    <border>
      <left style="thin">
        <color auto="1"/>
      </left>
      <right/>
      <top style="thin">
        <color auto="1"/>
      </top>
      <bottom style="thick">
        <color auto="1"/>
      </bottom>
      <diagonal/>
    </border>
    <border>
      <left style="thin">
        <color auto="1"/>
      </left>
      <right/>
      <top/>
      <bottom style="thick">
        <color auto="1"/>
      </bottom>
      <diagonal/>
    </border>
    <border>
      <left/>
      <right style="thin">
        <color auto="1"/>
      </right>
      <top/>
      <bottom style="thick">
        <color auto="1"/>
      </bottom>
      <diagonal/>
    </border>
    <border>
      <left style="double">
        <color auto="1"/>
      </left>
      <right/>
      <top style="thick">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right style="double">
        <color auto="1"/>
      </right>
      <top style="thick">
        <color auto="1"/>
      </top>
      <bottom style="thin">
        <color auto="1"/>
      </bottom>
      <diagonal/>
    </border>
    <border>
      <left/>
      <right style="thin">
        <color auto="1"/>
      </right>
      <top style="thin">
        <color auto="1"/>
      </top>
      <bottom style="thick">
        <color auto="1"/>
      </bottom>
      <diagonal/>
    </border>
    <border>
      <left/>
      <right style="thin">
        <color auto="1"/>
      </right>
      <top style="thick">
        <color auto="1"/>
      </top>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style="thick">
        <color auto="1"/>
      </left>
      <right/>
      <top style="thick">
        <color auto="1"/>
      </top>
      <bottom style="thin">
        <color auto="1"/>
      </bottom>
      <diagonal/>
    </border>
    <border>
      <left style="thin">
        <color auto="1"/>
      </left>
      <right/>
      <top/>
      <bottom/>
      <diagonal/>
    </border>
    <border>
      <left/>
      <right style="thin">
        <color auto="1"/>
      </right>
      <top/>
      <bottom/>
      <diagonal/>
    </border>
    <border>
      <left/>
      <right/>
      <top style="double">
        <color indexed="64"/>
      </top>
      <bottom style="thick">
        <color auto="1"/>
      </bottom>
      <diagonal/>
    </border>
    <border>
      <left/>
      <right/>
      <top style="double">
        <color theme="1"/>
      </top>
      <bottom style="thick">
        <color auto="1"/>
      </bottom>
      <diagonal/>
    </border>
    <border>
      <left/>
      <right style="thin">
        <color theme="1"/>
      </right>
      <top/>
      <bottom/>
      <diagonal/>
    </border>
    <border>
      <left/>
      <right/>
      <top/>
      <bottom style="thin">
        <color indexed="64"/>
      </bottom>
      <diagonal/>
    </border>
    <border>
      <left/>
      <right/>
      <top style="thin">
        <color theme="1"/>
      </top>
      <bottom style="thin">
        <color theme="1"/>
      </bottom>
      <diagonal/>
    </border>
    <border>
      <left/>
      <right style="thin">
        <color theme="1"/>
      </right>
      <top style="thin">
        <color theme="1"/>
      </top>
      <bottom style="thin">
        <color theme="1"/>
      </bottom>
      <diagonal/>
    </border>
    <border>
      <left/>
      <right/>
      <top style="thin">
        <color theme="1"/>
      </top>
      <bottom/>
      <diagonal/>
    </border>
    <border>
      <left/>
      <right style="thin">
        <color theme="1"/>
      </right>
      <top style="thin">
        <color theme="1"/>
      </top>
      <bottom/>
      <diagonal/>
    </border>
    <border>
      <left/>
      <right style="thin">
        <color indexed="64"/>
      </right>
      <top style="thin">
        <color auto="1"/>
      </top>
      <bottom style="thin">
        <color theme="1"/>
      </bottom>
      <diagonal/>
    </border>
    <border>
      <left/>
      <right style="thin">
        <color theme="1"/>
      </right>
      <top style="thin">
        <color auto="1"/>
      </top>
      <bottom/>
      <diagonal/>
    </border>
    <border>
      <left style="thick">
        <color auto="1"/>
      </left>
      <right style="thin">
        <color auto="1"/>
      </right>
      <top style="thin">
        <color auto="1"/>
      </top>
      <bottom style="thin">
        <color auto="1"/>
      </bottom>
      <diagonal/>
    </border>
    <border>
      <left style="thin">
        <color auto="1"/>
      </left>
      <right/>
      <top style="thin">
        <color theme="1"/>
      </top>
      <bottom style="thin">
        <color theme="1"/>
      </bottom>
      <diagonal/>
    </border>
    <border>
      <left/>
      <right style="thin">
        <color theme="1"/>
      </right>
      <top style="thin">
        <color auto="1"/>
      </top>
      <bottom style="thin">
        <color auto="1"/>
      </bottom>
      <diagonal/>
    </border>
    <border>
      <left style="thick">
        <color auto="1"/>
      </left>
      <right style="thin">
        <color auto="1"/>
      </right>
      <top style="thin">
        <color auto="1"/>
      </top>
      <bottom style="thick">
        <color auto="1"/>
      </bottom>
      <diagonal/>
    </border>
  </borders>
  <cellStyleXfs count="2">
    <xf numFmtId="0" fontId="0" fillId="0" borderId="0">
      <alignment vertical="center"/>
    </xf>
    <xf numFmtId="0" fontId="4" fillId="0" borderId="0"/>
  </cellStyleXfs>
  <cellXfs count="294">
    <xf numFmtId="0" fontId="0" fillId="0" borderId="0" xfId="0">
      <alignment vertical="center"/>
    </xf>
    <xf numFmtId="0" fontId="1" fillId="2" borderId="0" xfId="0" applyFont="1" applyFill="1">
      <alignment vertical="center"/>
    </xf>
    <xf numFmtId="0" fontId="3" fillId="2" borderId="5" xfId="0" applyFont="1" applyFill="1" applyBorder="1" applyAlignment="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5" xfId="0" applyFont="1" applyFill="1" applyBorder="1" applyAlignment="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5" xfId="0" applyFont="1" applyFill="1" applyBorder="1" applyAlignment="1">
      <alignment horizontal="left" vertical="top"/>
    </xf>
    <xf numFmtId="0" fontId="3" fillId="2" borderId="39" xfId="0" applyFont="1" applyFill="1" applyBorder="1">
      <alignment vertical="center"/>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0" xfId="0" applyFont="1" applyFill="1">
      <alignment vertical="center"/>
    </xf>
    <xf numFmtId="0" fontId="3" fillId="2" borderId="12" xfId="0" applyFont="1" applyFill="1" applyBorder="1">
      <alignment vertical="center"/>
    </xf>
    <xf numFmtId="0" fontId="3" fillId="2" borderId="15"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40" xfId="0" applyFont="1" applyFill="1" applyBorder="1">
      <alignment vertical="center"/>
    </xf>
    <xf numFmtId="0" fontId="3" fillId="2" borderId="1"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6"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41" xfId="0" applyFont="1" applyFill="1" applyBorder="1" applyAlignment="1">
      <alignment horizontal="left" vertical="top" wrapText="1"/>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7" xfId="0" applyFont="1" applyFill="1" applyBorder="1" applyAlignment="1">
      <alignment horizontal="left" vertical="top"/>
    </xf>
    <xf numFmtId="0" fontId="3" fillId="2" borderId="0" xfId="0" applyFont="1" applyFill="1" applyBorder="1" applyAlignment="1">
      <alignment horizontal="left" vertical="top"/>
    </xf>
    <xf numFmtId="0" fontId="3" fillId="2" borderId="10" xfId="0" applyFont="1" applyFill="1" applyBorder="1" applyAlignment="1">
      <alignment horizontal="left" vertical="top" wrapText="1"/>
    </xf>
    <xf numFmtId="0" fontId="3" fillId="2" borderId="42"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2" xfId="0" applyFont="1" applyFill="1" applyBorder="1" applyAlignment="1">
      <alignment horizontal="left" vertical="top"/>
    </xf>
    <xf numFmtId="0" fontId="3" fillId="2" borderId="10" xfId="0" applyFont="1" applyFill="1" applyBorder="1" applyAlignment="1">
      <alignment horizontal="left" vertical="top"/>
    </xf>
    <xf numFmtId="0" fontId="3" fillId="2" borderId="37" xfId="0" applyFont="1" applyFill="1" applyBorder="1" applyAlignment="1">
      <alignment horizontal="left" vertical="top"/>
    </xf>
    <xf numFmtId="0" fontId="3" fillId="2" borderId="47" xfId="0" applyFont="1" applyFill="1" applyBorder="1" applyAlignment="1">
      <alignment horizontal="left" vertical="top" wrapText="1"/>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41" xfId="0" applyFont="1" applyFill="1" applyBorder="1" applyAlignment="1">
      <alignment horizontal="left" vertical="top" wrapText="1"/>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0" xfId="0" applyFont="1" applyFill="1" applyBorder="1" applyAlignment="1">
      <alignment horizontal="left" vertical="top" wrapText="1"/>
    </xf>
    <xf numFmtId="0" fontId="3" fillId="2" borderId="37" xfId="0" applyFont="1" applyFill="1" applyBorder="1">
      <alignment vertical="center"/>
    </xf>
    <xf numFmtId="0" fontId="3" fillId="2" borderId="38" xfId="0" applyFont="1" applyFill="1" applyBorder="1">
      <alignment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4" xfId="0" applyFont="1" applyFill="1" applyBorder="1" applyAlignment="1">
      <alignment horizontal="left" vertical="top" wrapText="1"/>
    </xf>
    <xf numFmtId="0" fontId="3" fillId="2" borderId="2" xfId="0" applyFont="1" applyFill="1" applyBorder="1" applyAlignment="1">
      <alignment horizontal="left" vertical="top"/>
    </xf>
    <xf numFmtId="0" fontId="3" fillId="2" borderId="5" xfId="0" applyFont="1" applyFill="1" applyBorder="1" applyAlignment="1">
      <alignment horizontal="left" vertical="top"/>
    </xf>
    <xf numFmtId="0" fontId="3" fillId="2" borderId="7" xfId="0" applyFont="1" applyFill="1" applyBorder="1" applyAlignment="1">
      <alignment horizontal="left" vertical="top"/>
    </xf>
    <xf numFmtId="0" fontId="3" fillId="2" borderId="0" xfId="0" applyFont="1" applyFill="1" applyBorder="1" applyAlignment="1">
      <alignment horizontal="left" vertical="top"/>
    </xf>
    <xf numFmtId="0" fontId="3" fillId="2" borderId="0" xfId="0" applyFont="1" applyFill="1" applyBorder="1" applyAlignment="1">
      <alignment horizontal="left" vertical="top" wrapText="1"/>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2" xfId="0" applyFont="1" applyFill="1" applyBorder="1" applyAlignment="1">
      <alignment horizontal="left" vertical="top"/>
    </xf>
    <xf numFmtId="0" fontId="3" fillId="2" borderId="6" xfId="0" applyFont="1" applyFill="1" applyBorder="1" applyAlignment="1">
      <alignment vertical="top"/>
    </xf>
    <xf numFmtId="0" fontId="3" fillId="2" borderId="7" xfId="0" applyFont="1" applyFill="1" applyBorder="1" applyAlignment="1">
      <alignment vertical="top"/>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5" xfId="0" applyFont="1" applyFill="1" applyBorder="1" applyAlignment="1">
      <alignment horizontal="left" vertical="top"/>
    </xf>
    <xf numFmtId="0" fontId="3" fillId="2" borderId="7" xfId="0" applyFont="1" applyFill="1" applyBorder="1" applyAlignment="1">
      <alignment horizontal="left" vertical="top"/>
    </xf>
    <xf numFmtId="0" fontId="3" fillId="2" borderId="0" xfId="0" applyFont="1" applyFill="1" applyBorder="1" applyAlignment="1">
      <alignment horizontal="left" vertical="top"/>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5" xfId="0" applyFont="1" applyFill="1" applyBorder="1" applyAlignment="1">
      <alignment horizontal="left" vertical="top"/>
    </xf>
    <xf numFmtId="0" fontId="3" fillId="2" borderId="6" xfId="0" applyFont="1" applyFill="1" applyBorder="1" applyAlignment="1">
      <alignment horizontal="left" vertical="top"/>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49" xfId="0" applyFont="1" applyFill="1" applyBorder="1">
      <alignment vertical="center"/>
    </xf>
    <xf numFmtId="0" fontId="3" fillId="2" borderId="50" xfId="0" applyFont="1" applyFill="1" applyBorder="1" applyAlignment="1">
      <alignment vertical="top"/>
    </xf>
    <xf numFmtId="0" fontId="3" fillId="2" borderId="51" xfId="0" applyFont="1" applyFill="1" applyBorder="1" applyAlignment="1">
      <alignment vertical="top"/>
    </xf>
    <xf numFmtId="0" fontId="3" fillId="2" borderId="52" xfId="0" applyFont="1" applyFill="1" applyBorder="1">
      <alignment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0"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7" xfId="0" applyFont="1" applyFill="1" applyBorder="1" applyAlignment="1">
      <alignment horizontal="center" vertical="center" shrinkToFit="1"/>
    </xf>
    <xf numFmtId="0" fontId="3" fillId="3" borderId="10" xfId="0" applyFont="1" applyFill="1" applyBorder="1" applyAlignment="1">
      <alignment horizontal="center" vertical="center"/>
    </xf>
    <xf numFmtId="0" fontId="5" fillId="4" borderId="1"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5" xfId="0" applyFont="1" applyFill="1" applyBorder="1" applyAlignment="1">
      <alignment horizontal="center" vertical="center" shrinkToFit="1"/>
    </xf>
    <xf numFmtId="14" fontId="3" fillId="2" borderId="5"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5"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5" xfId="0" applyFont="1" applyFill="1" applyBorder="1" applyAlignment="1">
      <alignment horizontal="left" vertical="top"/>
    </xf>
    <xf numFmtId="0" fontId="3" fillId="2" borderId="6" xfId="0" applyFont="1" applyFill="1" applyBorder="1" applyAlignment="1">
      <alignment horizontal="left" vertical="top"/>
    </xf>
    <xf numFmtId="0" fontId="3" fillId="2" borderId="7" xfId="0" applyFont="1" applyFill="1" applyBorder="1" applyAlignment="1">
      <alignment horizontal="left" vertical="top"/>
    </xf>
    <xf numFmtId="0" fontId="3" fillId="5" borderId="5"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29" xfId="0" applyFont="1" applyFill="1" applyBorder="1" applyAlignment="1">
      <alignment horizontal="center" vertical="center"/>
    </xf>
    <xf numFmtId="0" fontId="3" fillId="5" borderId="28"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21" xfId="0" applyFont="1" applyFill="1" applyBorder="1" applyAlignment="1">
      <alignment horizontal="center" vertical="center"/>
    </xf>
    <xf numFmtId="14" fontId="3" fillId="2" borderId="11" xfId="0" applyNumberFormat="1" applyFont="1" applyFill="1" applyBorder="1" applyAlignment="1">
      <alignment horizontal="center" vertical="center" shrinkToFit="1"/>
    </xf>
    <xf numFmtId="0" fontId="3" fillId="5" borderId="17" xfId="0" applyFont="1" applyFill="1" applyBorder="1" applyAlignment="1">
      <alignment horizontal="center" vertical="center"/>
    </xf>
    <xf numFmtId="0" fontId="3" fillId="5" borderId="20"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24" xfId="0" applyFont="1" applyFill="1" applyBorder="1" applyAlignment="1">
      <alignment horizontal="center" vertical="center"/>
    </xf>
    <xf numFmtId="0" fontId="3" fillId="5" borderId="36" xfId="0" applyFont="1" applyFill="1" applyBorder="1" applyAlignment="1">
      <alignment horizontal="center" vertical="center"/>
    </xf>
    <xf numFmtId="0" fontId="3" fillId="2" borderId="32" xfId="0" applyFont="1" applyFill="1" applyBorder="1" applyAlignment="1">
      <alignment horizontal="center" vertical="center"/>
    </xf>
    <xf numFmtId="0" fontId="3" fillId="5" borderId="23" xfId="0" applyFont="1" applyFill="1" applyBorder="1" applyAlignment="1">
      <alignment horizontal="center" vertical="center"/>
    </xf>
    <xf numFmtId="0" fontId="3" fillId="5" borderId="3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27" xfId="0" applyFont="1" applyFill="1" applyBorder="1" applyAlignment="1">
      <alignment horizontal="center" vertical="center"/>
    </xf>
    <xf numFmtId="0" fontId="3" fillId="5" borderId="34" xfId="0" applyFont="1" applyFill="1" applyBorder="1" applyAlignment="1">
      <alignment horizontal="center" vertical="center"/>
    </xf>
    <xf numFmtId="0" fontId="3" fillId="2" borderId="29"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0" fontId="3" fillId="2" borderId="48" xfId="0" applyFont="1" applyFill="1" applyBorder="1" applyAlignment="1">
      <alignment horizontal="left" vertical="top" wrapText="1"/>
    </xf>
    <xf numFmtId="0" fontId="7" fillId="2" borderId="5" xfId="0" applyFont="1" applyFill="1" applyBorder="1" applyAlignment="1">
      <alignment horizontal="left" vertical="top" wrapText="1"/>
    </xf>
    <xf numFmtId="0" fontId="7" fillId="2" borderId="6" xfId="0" applyFont="1" applyFill="1" applyBorder="1" applyAlignment="1">
      <alignment horizontal="left" vertical="top" wrapText="1"/>
    </xf>
    <xf numFmtId="0" fontId="7" fillId="2" borderId="7" xfId="0" applyFont="1" applyFill="1" applyBorder="1" applyAlignment="1">
      <alignment horizontal="left" vertical="top" wrapText="1"/>
    </xf>
    <xf numFmtId="0" fontId="3" fillId="2" borderId="2" xfId="0" applyFont="1" applyFill="1" applyBorder="1" applyAlignment="1">
      <alignment horizontal="left" vertical="top"/>
    </xf>
    <xf numFmtId="0" fontId="3" fillId="2" borderId="3" xfId="0" applyFont="1" applyFill="1" applyBorder="1" applyAlignment="1">
      <alignment horizontal="left" vertical="top"/>
    </xf>
    <xf numFmtId="0" fontId="3" fillId="2" borderId="4" xfId="0" applyFont="1" applyFill="1" applyBorder="1" applyAlignment="1">
      <alignment horizontal="left" vertical="top"/>
    </xf>
    <xf numFmtId="0" fontId="3" fillId="2" borderId="37" xfId="0" applyFont="1" applyFill="1" applyBorder="1" applyAlignment="1">
      <alignment horizontal="left" vertical="top"/>
    </xf>
    <xf numFmtId="0" fontId="3" fillId="2" borderId="0" xfId="0" applyFont="1" applyFill="1" applyBorder="1" applyAlignment="1">
      <alignment horizontal="left" vertical="top"/>
    </xf>
    <xf numFmtId="0" fontId="3" fillId="2" borderId="38" xfId="0" applyFont="1" applyFill="1" applyBorder="1" applyAlignment="1">
      <alignment horizontal="left" vertical="top"/>
    </xf>
    <xf numFmtId="0" fontId="3" fillId="2" borderId="10" xfId="0" applyFont="1" applyFill="1" applyBorder="1" applyAlignment="1">
      <alignment horizontal="left" vertical="top"/>
    </xf>
    <xf numFmtId="0" fontId="3" fillId="2" borderId="42" xfId="0" applyFont="1" applyFill="1" applyBorder="1" applyAlignment="1">
      <alignment horizontal="left" vertical="top"/>
    </xf>
    <xf numFmtId="0" fontId="3" fillId="2" borderId="8" xfId="0" applyFont="1" applyFill="1" applyBorder="1" applyAlignment="1">
      <alignment horizontal="left" vertical="top"/>
    </xf>
    <xf numFmtId="0" fontId="3" fillId="2" borderId="2" xfId="0" applyFont="1" applyFill="1" applyBorder="1" applyAlignment="1">
      <alignment vertical="top" wrapText="1"/>
    </xf>
    <xf numFmtId="0" fontId="3" fillId="2" borderId="3" xfId="0" applyFont="1" applyFill="1" applyBorder="1" applyAlignment="1">
      <alignment vertical="top" wrapText="1"/>
    </xf>
    <xf numFmtId="0" fontId="3" fillId="2" borderId="4" xfId="0" applyFont="1" applyFill="1" applyBorder="1" applyAlignment="1">
      <alignment vertical="top" wrapText="1"/>
    </xf>
    <xf numFmtId="0" fontId="3" fillId="2" borderId="10" xfId="0" applyFont="1" applyFill="1" applyBorder="1" applyAlignment="1">
      <alignment vertical="top" wrapText="1"/>
    </xf>
    <xf numFmtId="0" fontId="3" fillId="2" borderId="42" xfId="0" applyFont="1" applyFill="1" applyBorder="1" applyAlignment="1">
      <alignment vertical="top" wrapText="1"/>
    </xf>
    <xf numFmtId="0" fontId="3" fillId="2" borderId="8" xfId="0" applyFont="1" applyFill="1" applyBorder="1" applyAlignment="1">
      <alignment vertical="top" wrapText="1"/>
    </xf>
    <xf numFmtId="0" fontId="3" fillId="2" borderId="43" xfId="0" applyFont="1" applyFill="1" applyBorder="1" applyAlignment="1">
      <alignment horizontal="left" vertical="top" wrapText="1"/>
    </xf>
    <xf numFmtId="0" fontId="3" fillId="2" borderId="44" xfId="0" applyFont="1" applyFill="1" applyBorder="1" applyAlignment="1">
      <alignment horizontal="left" vertical="top" wrapText="1"/>
    </xf>
    <xf numFmtId="0" fontId="3" fillId="2" borderId="45" xfId="0" applyFont="1" applyFill="1" applyBorder="1" applyAlignment="1">
      <alignment horizontal="left" vertical="top" wrapText="1"/>
    </xf>
    <xf numFmtId="0" fontId="3" fillId="2" borderId="46" xfId="0" applyFont="1" applyFill="1" applyBorder="1" applyAlignment="1">
      <alignment horizontal="left" vertical="top" wrapText="1"/>
    </xf>
  </cellXfs>
  <cellStyles count="2">
    <cellStyle name="標準" xfId="0" builtinId="0"/>
    <cellStyle name="標準 2 2" xfId="1"/>
  </cellStyles>
  <dxfs count="326">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9"/>
  <sheetViews>
    <sheetView showGridLines="0" tabSelected="1"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211" t="s">
        <v>0</v>
      </c>
      <c r="C2" s="212"/>
      <c r="D2" s="212"/>
      <c r="E2" s="212"/>
      <c r="F2" s="212"/>
      <c r="G2" s="212"/>
      <c r="H2" s="212" t="s">
        <v>40</v>
      </c>
      <c r="I2" s="212"/>
      <c r="J2" s="212"/>
      <c r="K2" s="212"/>
      <c r="L2" s="212" t="s">
        <v>41</v>
      </c>
      <c r="M2" s="212"/>
      <c r="N2" s="212"/>
      <c r="O2" s="212"/>
      <c r="P2" s="212"/>
      <c r="Q2" s="212"/>
      <c r="R2" s="212" t="s">
        <v>1</v>
      </c>
      <c r="S2" s="212"/>
      <c r="T2" s="212"/>
      <c r="U2" s="212"/>
      <c r="V2" s="212"/>
      <c r="W2" s="212"/>
      <c r="X2" s="213" t="s">
        <v>2</v>
      </c>
      <c r="Y2" s="214"/>
      <c r="Z2" s="214"/>
      <c r="AA2" s="214"/>
      <c r="AB2" s="214"/>
      <c r="AC2" s="214"/>
      <c r="AD2" s="214"/>
      <c r="AE2" s="214"/>
      <c r="AF2" s="214"/>
      <c r="AG2" s="214"/>
      <c r="AH2" s="214"/>
      <c r="AI2" s="214"/>
      <c r="AJ2" s="215"/>
      <c r="AK2" s="213" t="s">
        <v>30</v>
      </c>
      <c r="AL2" s="214"/>
      <c r="AM2" s="214"/>
      <c r="AN2" s="214"/>
      <c r="AO2" s="214"/>
      <c r="AP2" s="214"/>
      <c r="AQ2" s="214"/>
      <c r="AR2" s="214"/>
      <c r="AS2" s="214"/>
      <c r="AT2" s="214"/>
      <c r="AU2" s="214"/>
      <c r="AV2" s="214"/>
      <c r="AW2" s="215"/>
      <c r="AX2" s="212" t="s">
        <v>4</v>
      </c>
      <c r="AY2" s="212"/>
      <c r="AZ2" s="212"/>
      <c r="BA2" s="212"/>
      <c r="BB2" s="212" t="s">
        <v>3</v>
      </c>
      <c r="BC2" s="212"/>
      <c r="BD2" s="212"/>
      <c r="BE2" s="212"/>
      <c r="BF2" s="212" t="s">
        <v>5</v>
      </c>
      <c r="BG2" s="212"/>
      <c r="BH2" s="212"/>
      <c r="BI2" s="212"/>
      <c r="BJ2" s="212" t="s">
        <v>6</v>
      </c>
      <c r="BK2" s="212"/>
      <c r="BL2" s="212"/>
      <c r="BM2" s="226"/>
      <c r="BN2" s="15"/>
    </row>
    <row r="3" spans="1:66" ht="20.100000000000001" customHeight="1" x14ac:dyDescent="0.45">
      <c r="A3" s="9"/>
      <c r="B3" s="216" t="s">
        <v>38</v>
      </c>
      <c r="C3" s="217"/>
      <c r="D3" s="217"/>
      <c r="E3" s="217"/>
      <c r="F3" s="217"/>
      <c r="G3" s="217"/>
      <c r="H3" s="217" t="str">
        <f ca="1">LEFT($X$3,FIND("_",$X$3)-1)</f>
        <v>マスタ</v>
      </c>
      <c r="I3" s="217"/>
      <c r="J3" s="217"/>
      <c r="K3" s="217"/>
      <c r="L3" s="217" t="s">
        <v>39</v>
      </c>
      <c r="M3" s="217"/>
      <c r="N3" s="217"/>
      <c r="O3" s="217"/>
      <c r="P3" s="217"/>
      <c r="Q3" s="217"/>
      <c r="R3" s="220" t="str">
        <f ca="1">MID($X$3,FIND("_",$X$3,FIND("_",$X$3)+1)+1,LEN($X$3)-FIND("_",$X$3,FIND("_",$X$3)+1))</f>
        <v>結合試験項目</v>
      </c>
      <c r="S3" s="217"/>
      <c r="T3" s="217"/>
      <c r="U3" s="217"/>
      <c r="V3" s="217"/>
      <c r="W3" s="217"/>
      <c r="X3" s="221" t="str">
        <f ca="1">REPLACE(LEFT(CELL("filename",$B$2),FIND(".x",CELL("filename",$B$2))-1),1,FIND("[",CELL("filename",$B$2)),)</f>
        <v>マスタ_物件入力_結合試験項目</v>
      </c>
      <c r="Y3" s="222"/>
      <c r="Z3" s="222"/>
      <c r="AA3" s="222"/>
      <c r="AB3" s="222"/>
      <c r="AC3" s="222"/>
      <c r="AD3" s="222"/>
      <c r="AE3" s="222"/>
      <c r="AF3" s="222"/>
      <c r="AG3" s="222"/>
      <c r="AH3" s="222"/>
      <c r="AI3" s="222"/>
      <c r="AJ3" s="218"/>
      <c r="AK3" s="221" t="str">
        <f ca="1">MID($X$3,FIND("_",$X$3)+1,FIND("_",$X$3,FIND("_",$X$3)+1)-FIND("_",$X$3)-1)</f>
        <v>物件入力</v>
      </c>
      <c r="AL3" s="222"/>
      <c r="AM3" s="222"/>
      <c r="AN3" s="222"/>
      <c r="AO3" s="222"/>
      <c r="AP3" s="222"/>
      <c r="AQ3" s="222"/>
      <c r="AR3" s="222"/>
      <c r="AS3" s="222"/>
      <c r="AT3" s="222"/>
      <c r="AU3" s="222"/>
      <c r="AV3" s="222"/>
      <c r="AW3" s="218"/>
      <c r="AX3" s="228">
        <v>45636</v>
      </c>
      <c r="AY3" s="217"/>
      <c r="AZ3" s="217"/>
      <c r="BA3" s="217"/>
      <c r="BB3" s="217" t="s">
        <v>43</v>
      </c>
      <c r="BC3" s="217"/>
      <c r="BD3" s="217"/>
      <c r="BE3" s="217"/>
      <c r="BF3" s="228">
        <v>45636</v>
      </c>
      <c r="BG3" s="217"/>
      <c r="BH3" s="217"/>
      <c r="BI3" s="217"/>
      <c r="BJ3" s="217" t="s">
        <v>43</v>
      </c>
      <c r="BK3" s="217"/>
      <c r="BL3" s="217"/>
      <c r="BM3" s="229"/>
      <c r="BN3" s="15"/>
    </row>
    <row r="4" spans="1:66" ht="20.100000000000001" customHeight="1" thickBot="1" x14ac:dyDescent="0.5">
      <c r="A4" s="9"/>
      <c r="B4" s="218"/>
      <c r="C4" s="219"/>
      <c r="D4" s="219"/>
      <c r="E4" s="219"/>
      <c r="F4" s="219"/>
      <c r="G4" s="219"/>
      <c r="H4" s="219"/>
      <c r="I4" s="219"/>
      <c r="J4" s="219"/>
      <c r="K4" s="219"/>
      <c r="L4" s="219"/>
      <c r="M4" s="219"/>
      <c r="N4" s="219"/>
      <c r="O4" s="219"/>
      <c r="P4" s="219"/>
      <c r="Q4" s="219"/>
      <c r="R4" s="219"/>
      <c r="S4" s="219"/>
      <c r="T4" s="219"/>
      <c r="U4" s="219"/>
      <c r="V4" s="219"/>
      <c r="W4" s="219"/>
      <c r="X4" s="223"/>
      <c r="Y4" s="224"/>
      <c r="Z4" s="224"/>
      <c r="AA4" s="224"/>
      <c r="AB4" s="224"/>
      <c r="AC4" s="224"/>
      <c r="AD4" s="224"/>
      <c r="AE4" s="224"/>
      <c r="AF4" s="224"/>
      <c r="AG4" s="224"/>
      <c r="AH4" s="224"/>
      <c r="AI4" s="224"/>
      <c r="AJ4" s="225"/>
      <c r="AK4" s="223"/>
      <c r="AL4" s="224"/>
      <c r="AM4" s="224"/>
      <c r="AN4" s="224"/>
      <c r="AO4" s="224"/>
      <c r="AP4" s="224"/>
      <c r="AQ4" s="224"/>
      <c r="AR4" s="224"/>
      <c r="AS4" s="224"/>
      <c r="AT4" s="224"/>
      <c r="AU4" s="224"/>
      <c r="AV4" s="224"/>
      <c r="AW4" s="225"/>
      <c r="AX4" s="219"/>
      <c r="AY4" s="219"/>
      <c r="AZ4" s="219"/>
      <c r="BA4" s="219"/>
      <c r="BB4" s="219"/>
      <c r="BC4" s="219"/>
      <c r="BD4" s="219"/>
      <c r="BE4" s="219"/>
      <c r="BF4" s="219"/>
      <c r="BG4" s="219"/>
      <c r="BH4" s="219"/>
      <c r="BI4" s="219"/>
      <c r="BJ4" s="219"/>
      <c r="BK4" s="219"/>
      <c r="BL4" s="219"/>
      <c r="BM4" s="221"/>
      <c r="BN4" s="15"/>
    </row>
    <row r="5" spans="1:66" ht="5.25" customHeight="1" thickTop="1" thickBot="1" x14ac:dyDescent="0.5">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row>
    <row r="6" spans="1:66" ht="20.100000000000001" customHeight="1" thickTop="1" x14ac:dyDescent="0.45">
      <c r="A6" s="9"/>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5"/>
    </row>
    <row r="7" spans="1:66" ht="20.100000000000001" customHeight="1" x14ac:dyDescent="0.45">
      <c r="A7" s="9"/>
      <c r="B7" s="8"/>
      <c r="C7" s="20" t="s">
        <v>19</v>
      </c>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15"/>
    </row>
    <row r="8" spans="1:66" ht="20.100000000000001" customHeight="1" x14ac:dyDescent="0.45">
      <c r="A8" s="9"/>
      <c r="B8" s="8"/>
      <c r="C8" s="227" t="s">
        <v>7</v>
      </c>
      <c r="D8" s="227"/>
      <c r="E8" s="227"/>
      <c r="F8" s="227"/>
      <c r="G8" s="227" t="s">
        <v>8</v>
      </c>
      <c r="H8" s="227"/>
      <c r="I8" s="227"/>
      <c r="J8" s="227"/>
      <c r="K8" s="227" t="s">
        <v>9</v>
      </c>
      <c r="L8" s="227"/>
      <c r="M8" s="227"/>
      <c r="N8" s="227"/>
      <c r="O8" s="227" t="s">
        <v>10</v>
      </c>
      <c r="P8" s="227"/>
      <c r="Q8" s="227"/>
      <c r="R8" s="227"/>
      <c r="S8" s="227"/>
      <c r="T8" s="227"/>
      <c r="U8" s="227"/>
      <c r="V8" s="227"/>
      <c r="W8" s="227"/>
      <c r="X8" s="227"/>
      <c r="Y8" s="227" t="s">
        <v>11</v>
      </c>
      <c r="Z8" s="227"/>
      <c r="AA8" s="227"/>
      <c r="AB8" s="227"/>
      <c r="AC8" s="227"/>
      <c r="AD8" s="227"/>
      <c r="AE8" s="227"/>
      <c r="AF8" s="227"/>
      <c r="AG8" s="227"/>
      <c r="AH8" s="227"/>
      <c r="AI8" s="227"/>
      <c r="AJ8" s="227"/>
      <c r="AK8" s="227"/>
      <c r="AL8" s="227"/>
      <c r="AM8" s="227"/>
      <c r="AN8" s="227"/>
      <c r="AO8" s="227"/>
      <c r="AP8" s="227"/>
      <c r="AQ8" s="227"/>
      <c r="AR8" s="227"/>
      <c r="AS8" s="227"/>
      <c r="AT8" s="227"/>
      <c r="AU8" s="227"/>
      <c r="AV8" s="227"/>
      <c r="AW8" s="227"/>
      <c r="AX8" s="227"/>
      <c r="AY8" s="227"/>
      <c r="AZ8" s="227"/>
      <c r="BA8" s="227"/>
      <c r="BB8" s="227"/>
      <c r="BC8" s="227"/>
      <c r="BD8" s="227"/>
      <c r="BE8" s="227"/>
      <c r="BF8" s="227"/>
      <c r="BG8" s="227"/>
      <c r="BH8" s="227"/>
      <c r="BI8" s="227"/>
      <c r="BJ8" s="227"/>
      <c r="BK8" s="227"/>
      <c r="BL8" s="227"/>
      <c r="BM8" s="8"/>
      <c r="BN8" s="15"/>
    </row>
    <row r="9" spans="1:66" ht="20.100000000000001" customHeight="1" x14ac:dyDescent="0.45">
      <c r="A9" s="9"/>
      <c r="B9" s="8"/>
      <c r="C9" s="230">
        <v>45636</v>
      </c>
      <c r="D9" s="231"/>
      <c r="E9" s="231"/>
      <c r="F9" s="232"/>
      <c r="G9" s="233" t="s">
        <v>20</v>
      </c>
      <c r="H9" s="234"/>
      <c r="I9" s="234"/>
      <c r="J9" s="235"/>
      <c r="K9" s="236"/>
      <c r="L9" s="231"/>
      <c r="M9" s="231"/>
      <c r="N9" s="232"/>
      <c r="O9" s="4" t="s">
        <v>14</v>
      </c>
      <c r="P9" s="5"/>
      <c r="Q9" s="5"/>
      <c r="R9" s="5"/>
      <c r="S9" s="5"/>
      <c r="T9" s="5"/>
      <c r="U9" s="5"/>
      <c r="V9" s="5"/>
      <c r="W9" s="5"/>
      <c r="X9" s="3"/>
      <c r="Y9" s="4" t="s">
        <v>13</v>
      </c>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3"/>
      <c r="BM9" s="8"/>
      <c r="BN9" s="15"/>
    </row>
    <row r="10" spans="1:66" ht="20.100000000000001" customHeight="1" x14ac:dyDescent="0.45">
      <c r="A10" s="9"/>
      <c r="B10" s="8"/>
      <c r="C10" s="230"/>
      <c r="D10" s="231"/>
      <c r="E10" s="231"/>
      <c r="F10" s="232"/>
      <c r="G10" s="233"/>
      <c r="H10" s="234"/>
      <c r="I10" s="234"/>
      <c r="J10" s="235"/>
      <c r="K10" s="236"/>
      <c r="L10" s="231"/>
      <c r="M10" s="231"/>
      <c r="N10" s="232"/>
      <c r="O10" s="4"/>
      <c r="P10" s="5"/>
      <c r="Q10" s="5"/>
      <c r="R10" s="5"/>
      <c r="S10" s="5"/>
      <c r="T10" s="5"/>
      <c r="U10" s="5"/>
      <c r="V10" s="5"/>
      <c r="W10" s="5"/>
      <c r="X10" s="3"/>
      <c r="Y10" s="4"/>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3"/>
      <c r="BM10" s="8"/>
      <c r="BN10" s="15"/>
    </row>
    <row r="11" spans="1:66" ht="20.100000000000001" customHeight="1" x14ac:dyDescent="0.45">
      <c r="A11" s="9"/>
      <c r="B11" s="8"/>
      <c r="C11" s="230"/>
      <c r="D11" s="231"/>
      <c r="E11" s="231"/>
      <c r="F11" s="232"/>
      <c r="G11" s="233"/>
      <c r="H11" s="234"/>
      <c r="I11" s="234"/>
      <c r="J11" s="235"/>
      <c r="K11" s="236"/>
      <c r="L11" s="231"/>
      <c r="M11" s="231"/>
      <c r="N11" s="232"/>
      <c r="O11" s="4"/>
      <c r="P11" s="5"/>
      <c r="Q11" s="5"/>
      <c r="R11" s="5"/>
      <c r="S11" s="5"/>
      <c r="T11" s="5"/>
      <c r="U11" s="5"/>
      <c r="V11" s="5"/>
      <c r="W11" s="5"/>
      <c r="X11" s="3"/>
      <c r="Y11" s="4"/>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3"/>
      <c r="BM11" s="8"/>
      <c r="BN11" s="15"/>
    </row>
    <row r="12" spans="1:66" ht="20.100000000000001" customHeight="1" x14ac:dyDescent="0.45">
      <c r="A12" s="9"/>
      <c r="B12" s="8"/>
      <c r="C12" s="27"/>
      <c r="D12" s="25"/>
      <c r="E12" s="25"/>
      <c r="F12" s="26"/>
      <c r="G12" s="21"/>
      <c r="H12" s="22"/>
      <c r="I12" s="22"/>
      <c r="J12" s="23"/>
      <c r="K12" s="24"/>
      <c r="L12" s="25"/>
      <c r="M12" s="25"/>
      <c r="N12" s="26"/>
      <c r="O12" s="28"/>
      <c r="P12" s="5"/>
      <c r="Q12" s="5"/>
      <c r="R12" s="5"/>
      <c r="S12" s="5"/>
      <c r="T12" s="5"/>
      <c r="U12" s="5"/>
      <c r="V12" s="5"/>
      <c r="W12" s="5"/>
      <c r="X12" s="29"/>
      <c r="Y12" s="28"/>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29"/>
      <c r="BM12" s="8"/>
      <c r="BN12" s="15"/>
    </row>
    <row r="13" spans="1:66" ht="20.100000000000001" customHeight="1" x14ac:dyDescent="0.45">
      <c r="A13" s="9"/>
      <c r="B13" s="8"/>
      <c r="C13" s="27"/>
      <c r="D13" s="25"/>
      <c r="E13" s="25"/>
      <c r="F13" s="26"/>
      <c r="G13" s="21"/>
      <c r="H13" s="22"/>
      <c r="I13" s="22"/>
      <c r="J13" s="23"/>
      <c r="K13" s="24"/>
      <c r="L13" s="25"/>
      <c r="M13" s="25"/>
      <c r="N13" s="26"/>
      <c r="O13" s="28"/>
      <c r="P13" s="5"/>
      <c r="Q13" s="5"/>
      <c r="R13" s="5"/>
      <c r="S13" s="5"/>
      <c r="T13" s="5"/>
      <c r="U13" s="5"/>
      <c r="V13" s="5"/>
      <c r="W13" s="5"/>
      <c r="X13" s="29"/>
      <c r="Y13" s="28"/>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29"/>
      <c r="BM13" s="8"/>
      <c r="BN13" s="15"/>
    </row>
    <row r="14" spans="1:66" ht="20.100000000000001" customHeight="1" x14ac:dyDescent="0.45">
      <c r="A14" s="9"/>
      <c r="B14" s="8"/>
      <c r="C14" s="27"/>
      <c r="D14" s="25"/>
      <c r="E14" s="25"/>
      <c r="F14" s="26"/>
      <c r="G14" s="21"/>
      <c r="H14" s="22"/>
      <c r="I14" s="22"/>
      <c r="J14" s="23"/>
      <c r="K14" s="24"/>
      <c r="L14" s="25"/>
      <c r="M14" s="25"/>
      <c r="N14" s="26"/>
      <c r="O14" s="28"/>
      <c r="P14" s="5"/>
      <c r="Q14" s="5"/>
      <c r="R14" s="5"/>
      <c r="S14" s="5"/>
      <c r="T14" s="5"/>
      <c r="U14" s="5"/>
      <c r="V14" s="5"/>
      <c r="W14" s="5"/>
      <c r="X14" s="29"/>
      <c r="Y14" s="28"/>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29"/>
      <c r="BM14" s="8"/>
      <c r="BN14" s="15"/>
    </row>
    <row r="15" spans="1:66" ht="20.100000000000001" customHeight="1" x14ac:dyDescent="0.45">
      <c r="A15" s="9"/>
      <c r="B15" s="8"/>
      <c r="C15" s="27"/>
      <c r="D15" s="25"/>
      <c r="E15" s="25"/>
      <c r="F15" s="26"/>
      <c r="G15" s="21"/>
      <c r="H15" s="22"/>
      <c r="I15" s="22"/>
      <c r="J15" s="23"/>
      <c r="K15" s="24"/>
      <c r="L15" s="25"/>
      <c r="M15" s="25"/>
      <c r="N15" s="26"/>
      <c r="O15" s="28"/>
      <c r="P15" s="5"/>
      <c r="Q15" s="5"/>
      <c r="R15" s="5"/>
      <c r="S15" s="5"/>
      <c r="T15" s="5"/>
      <c r="U15" s="5"/>
      <c r="V15" s="5"/>
      <c r="W15" s="5"/>
      <c r="X15" s="29"/>
      <c r="Y15" s="28"/>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29"/>
      <c r="BM15" s="8"/>
      <c r="BN15" s="15"/>
    </row>
    <row r="16" spans="1:66" ht="20.100000000000001" customHeight="1" x14ac:dyDescent="0.45">
      <c r="A16" s="9"/>
      <c r="B16" s="8"/>
      <c r="C16" s="27"/>
      <c r="D16" s="25"/>
      <c r="E16" s="25"/>
      <c r="F16" s="26"/>
      <c r="G16" s="21"/>
      <c r="H16" s="22"/>
      <c r="I16" s="22"/>
      <c r="J16" s="23"/>
      <c r="K16" s="24"/>
      <c r="L16" s="25"/>
      <c r="M16" s="25"/>
      <c r="N16" s="26"/>
      <c r="O16" s="28"/>
      <c r="P16" s="5"/>
      <c r="Q16" s="5"/>
      <c r="R16" s="5"/>
      <c r="S16" s="5"/>
      <c r="T16" s="5"/>
      <c r="U16" s="5"/>
      <c r="V16" s="5"/>
      <c r="W16" s="5"/>
      <c r="X16" s="29"/>
      <c r="Y16" s="28"/>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29"/>
      <c r="BM16" s="8"/>
      <c r="BN16" s="15"/>
    </row>
    <row r="17" spans="1:66" ht="20.100000000000001" customHeight="1" x14ac:dyDescent="0.45">
      <c r="A17" s="9"/>
      <c r="B17" s="8"/>
      <c r="C17" s="27"/>
      <c r="D17" s="25"/>
      <c r="E17" s="25"/>
      <c r="F17" s="26"/>
      <c r="G17" s="21"/>
      <c r="H17" s="22"/>
      <c r="I17" s="22"/>
      <c r="J17" s="23"/>
      <c r="K17" s="24"/>
      <c r="L17" s="25"/>
      <c r="M17" s="25"/>
      <c r="N17" s="26"/>
      <c r="O17" s="28"/>
      <c r="P17" s="5"/>
      <c r="Q17" s="5"/>
      <c r="R17" s="5"/>
      <c r="S17" s="5"/>
      <c r="T17" s="5"/>
      <c r="U17" s="5"/>
      <c r="V17" s="5"/>
      <c r="W17" s="5"/>
      <c r="X17" s="29"/>
      <c r="Y17" s="28"/>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29"/>
      <c r="BM17" s="8"/>
      <c r="BN17" s="15"/>
    </row>
    <row r="18" spans="1:66" ht="20.100000000000001" customHeight="1" x14ac:dyDescent="0.45">
      <c r="A18" s="9"/>
      <c r="B18" s="8"/>
      <c r="C18" s="27"/>
      <c r="D18" s="25"/>
      <c r="E18" s="25"/>
      <c r="F18" s="26"/>
      <c r="G18" s="21"/>
      <c r="H18" s="22"/>
      <c r="I18" s="22"/>
      <c r="J18" s="23"/>
      <c r="K18" s="24"/>
      <c r="L18" s="25"/>
      <c r="M18" s="25"/>
      <c r="N18" s="26"/>
      <c r="O18" s="28"/>
      <c r="P18" s="5"/>
      <c r="Q18" s="5"/>
      <c r="R18" s="5"/>
      <c r="S18" s="5"/>
      <c r="T18" s="5"/>
      <c r="U18" s="5"/>
      <c r="V18" s="5"/>
      <c r="W18" s="5"/>
      <c r="X18" s="29"/>
      <c r="Y18" s="28"/>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29"/>
      <c r="BM18" s="8"/>
      <c r="BN18" s="15"/>
    </row>
    <row r="19" spans="1:66" ht="20.100000000000001" customHeight="1" x14ac:dyDescent="0.45">
      <c r="A19" s="9"/>
      <c r="B19" s="8"/>
      <c r="C19" s="27"/>
      <c r="D19" s="25"/>
      <c r="E19" s="25"/>
      <c r="F19" s="26"/>
      <c r="G19" s="21"/>
      <c r="H19" s="22"/>
      <c r="I19" s="22"/>
      <c r="J19" s="23"/>
      <c r="K19" s="24"/>
      <c r="L19" s="25"/>
      <c r="M19" s="25"/>
      <c r="N19" s="26"/>
      <c r="O19" s="28"/>
      <c r="P19" s="5"/>
      <c r="Q19" s="5"/>
      <c r="R19" s="5"/>
      <c r="S19" s="5"/>
      <c r="T19" s="5"/>
      <c r="U19" s="5"/>
      <c r="V19" s="5"/>
      <c r="W19" s="5"/>
      <c r="X19" s="29"/>
      <c r="Y19" s="28"/>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29"/>
      <c r="BM19" s="8"/>
      <c r="BN19" s="15"/>
    </row>
    <row r="20" spans="1:66" ht="20.100000000000001" customHeight="1" x14ac:dyDescent="0.45">
      <c r="A20" s="9"/>
      <c r="B20" s="8"/>
      <c r="C20" s="27"/>
      <c r="D20" s="25"/>
      <c r="E20" s="25"/>
      <c r="F20" s="26"/>
      <c r="G20" s="21"/>
      <c r="H20" s="22"/>
      <c r="I20" s="22"/>
      <c r="J20" s="23"/>
      <c r="K20" s="24"/>
      <c r="L20" s="25"/>
      <c r="M20" s="25"/>
      <c r="N20" s="26"/>
      <c r="O20" s="28"/>
      <c r="P20" s="5"/>
      <c r="Q20" s="5"/>
      <c r="R20" s="5"/>
      <c r="S20" s="5"/>
      <c r="T20" s="5"/>
      <c r="U20" s="5"/>
      <c r="V20" s="5"/>
      <c r="W20" s="5"/>
      <c r="X20" s="29"/>
      <c r="Y20" s="28"/>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29"/>
      <c r="BM20" s="8"/>
      <c r="BN20" s="15"/>
    </row>
    <row r="21" spans="1:66" ht="20.100000000000001" customHeight="1" x14ac:dyDescent="0.45">
      <c r="A21" s="9"/>
      <c r="B21" s="8"/>
      <c r="C21" s="27"/>
      <c r="D21" s="25"/>
      <c r="E21" s="25"/>
      <c r="F21" s="26"/>
      <c r="G21" s="21"/>
      <c r="H21" s="22"/>
      <c r="I21" s="22"/>
      <c r="J21" s="23"/>
      <c r="K21" s="24"/>
      <c r="L21" s="25"/>
      <c r="M21" s="25"/>
      <c r="N21" s="26"/>
      <c r="O21" s="28"/>
      <c r="P21" s="5"/>
      <c r="Q21" s="5"/>
      <c r="R21" s="5"/>
      <c r="S21" s="5"/>
      <c r="T21" s="5"/>
      <c r="U21" s="5"/>
      <c r="V21" s="5"/>
      <c r="W21" s="5"/>
      <c r="X21" s="29"/>
      <c r="Y21" s="28"/>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29"/>
      <c r="BM21" s="8"/>
      <c r="BN21" s="15"/>
    </row>
    <row r="22" spans="1:66" ht="20.100000000000001" customHeight="1" x14ac:dyDescent="0.45">
      <c r="A22" s="9"/>
      <c r="B22" s="8"/>
      <c r="C22" s="27"/>
      <c r="D22" s="25"/>
      <c r="E22" s="25"/>
      <c r="F22" s="26"/>
      <c r="G22" s="21"/>
      <c r="H22" s="22"/>
      <c r="I22" s="22"/>
      <c r="J22" s="23"/>
      <c r="K22" s="24"/>
      <c r="L22" s="25"/>
      <c r="M22" s="25"/>
      <c r="N22" s="26"/>
      <c r="O22" s="28"/>
      <c r="P22" s="5"/>
      <c r="Q22" s="5"/>
      <c r="R22" s="5"/>
      <c r="S22" s="5"/>
      <c r="T22" s="5"/>
      <c r="U22" s="5"/>
      <c r="V22" s="5"/>
      <c r="W22" s="5"/>
      <c r="X22" s="29"/>
      <c r="Y22" s="28"/>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29"/>
      <c r="BM22" s="8"/>
      <c r="BN22" s="15"/>
    </row>
    <row r="23" spans="1:66" ht="20.100000000000001" customHeight="1" x14ac:dyDescent="0.45">
      <c r="A23" s="9"/>
      <c r="B23" s="8"/>
      <c r="C23" s="27"/>
      <c r="D23" s="25"/>
      <c r="E23" s="25"/>
      <c r="F23" s="26"/>
      <c r="G23" s="21"/>
      <c r="H23" s="22"/>
      <c r="I23" s="22"/>
      <c r="J23" s="23"/>
      <c r="K23" s="24"/>
      <c r="L23" s="25"/>
      <c r="M23" s="25"/>
      <c r="N23" s="26"/>
      <c r="O23" s="28"/>
      <c r="P23" s="5"/>
      <c r="Q23" s="5"/>
      <c r="R23" s="5"/>
      <c r="S23" s="5"/>
      <c r="T23" s="5"/>
      <c r="U23" s="5"/>
      <c r="V23" s="5"/>
      <c r="W23" s="5"/>
      <c r="X23" s="29"/>
      <c r="Y23" s="28"/>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29"/>
      <c r="BM23" s="8"/>
      <c r="BN23" s="15"/>
    </row>
    <row r="24" spans="1:66" ht="20.100000000000001" customHeight="1" x14ac:dyDescent="0.45">
      <c r="A24" s="9"/>
      <c r="B24" s="8"/>
      <c r="C24" s="27"/>
      <c r="D24" s="25"/>
      <c r="E24" s="25"/>
      <c r="F24" s="26"/>
      <c r="G24" s="21"/>
      <c r="H24" s="22"/>
      <c r="I24" s="22"/>
      <c r="J24" s="23"/>
      <c r="K24" s="24"/>
      <c r="L24" s="25"/>
      <c r="M24" s="25"/>
      <c r="N24" s="26"/>
      <c r="O24" s="28"/>
      <c r="P24" s="5"/>
      <c r="Q24" s="5"/>
      <c r="R24" s="5"/>
      <c r="S24" s="5"/>
      <c r="T24" s="5"/>
      <c r="U24" s="5"/>
      <c r="V24" s="5"/>
      <c r="W24" s="5"/>
      <c r="X24" s="29"/>
      <c r="Y24" s="28"/>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29"/>
      <c r="BM24" s="8"/>
      <c r="BN24" s="15"/>
    </row>
    <row r="25" spans="1:66" ht="20.100000000000001" customHeight="1" x14ac:dyDescent="0.45">
      <c r="A25" s="9"/>
      <c r="B25" s="8"/>
      <c r="C25" s="27"/>
      <c r="D25" s="25"/>
      <c r="E25" s="25"/>
      <c r="F25" s="26"/>
      <c r="G25" s="21"/>
      <c r="H25" s="22"/>
      <c r="I25" s="22"/>
      <c r="J25" s="23"/>
      <c r="K25" s="24"/>
      <c r="L25" s="25"/>
      <c r="M25" s="25"/>
      <c r="N25" s="26"/>
      <c r="O25" s="28"/>
      <c r="P25" s="5"/>
      <c r="Q25" s="5"/>
      <c r="R25" s="5"/>
      <c r="S25" s="5"/>
      <c r="T25" s="5"/>
      <c r="U25" s="5"/>
      <c r="V25" s="5"/>
      <c r="W25" s="5"/>
      <c r="X25" s="29"/>
      <c r="Y25" s="28"/>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29"/>
      <c r="BM25" s="8"/>
      <c r="BN25" s="15"/>
    </row>
    <row r="26" spans="1:66" ht="20.100000000000001" customHeight="1" x14ac:dyDescent="0.45">
      <c r="A26" s="9"/>
      <c r="B26" s="8"/>
      <c r="C26" s="27"/>
      <c r="D26" s="25"/>
      <c r="E26" s="25"/>
      <c r="F26" s="26"/>
      <c r="G26" s="21"/>
      <c r="H26" s="22"/>
      <c r="I26" s="22"/>
      <c r="J26" s="23"/>
      <c r="K26" s="24"/>
      <c r="L26" s="25"/>
      <c r="M26" s="25"/>
      <c r="N26" s="26"/>
      <c r="O26" s="28"/>
      <c r="P26" s="5"/>
      <c r="Q26" s="5"/>
      <c r="R26" s="5"/>
      <c r="S26" s="5"/>
      <c r="T26" s="5"/>
      <c r="U26" s="5"/>
      <c r="V26" s="5"/>
      <c r="W26" s="5"/>
      <c r="X26" s="29"/>
      <c r="Y26" s="28"/>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29"/>
      <c r="BM26" s="8"/>
      <c r="BN26" s="15"/>
    </row>
    <row r="27" spans="1:66" ht="20.100000000000001" customHeight="1" x14ac:dyDescent="0.45">
      <c r="A27" s="9"/>
      <c r="B27" s="8"/>
      <c r="C27" s="27"/>
      <c r="D27" s="25"/>
      <c r="E27" s="25"/>
      <c r="F27" s="26"/>
      <c r="G27" s="21"/>
      <c r="H27" s="22"/>
      <c r="I27" s="22"/>
      <c r="J27" s="23"/>
      <c r="K27" s="24"/>
      <c r="L27" s="25"/>
      <c r="M27" s="25"/>
      <c r="N27" s="26"/>
      <c r="O27" s="28"/>
      <c r="P27" s="5"/>
      <c r="Q27" s="5"/>
      <c r="R27" s="5"/>
      <c r="S27" s="5"/>
      <c r="T27" s="5"/>
      <c r="U27" s="5"/>
      <c r="V27" s="5"/>
      <c r="W27" s="5"/>
      <c r="X27" s="29"/>
      <c r="Y27" s="28"/>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29"/>
      <c r="BM27" s="8"/>
      <c r="BN27" s="15"/>
    </row>
    <row r="28" spans="1:66" ht="20.100000000000001" customHeight="1" x14ac:dyDescent="0.45">
      <c r="A28" s="9"/>
      <c r="B28" s="8"/>
      <c r="C28" s="27"/>
      <c r="D28" s="25"/>
      <c r="E28" s="25"/>
      <c r="F28" s="26"/>
      <c r="G28" s="21"/>
      <c r="H28" s="22"/>
      <c r="I28" s="22"/>
      <c r="J28" s="23"/>
      <c r="K28" s="24"/>
      <c r="L28" s="25"/>
      <c r="M28" s="25"/>
      <c r="N28" s="26"/>
      <c r="O28" s="28"/>
      <c r="P28" s="5"/>
      <c r="Q28" s="5"/>
      <c r="R28" s="5"/>
      <c r="S28" s="5"/>
      <c r="T28" s="5"/>
      <c r="U28" s="5"/>
      <c r="V28" s="5"/>
      <c r="W28" s="5"/>
      <c r="X28" s="29"/>
      <c r="Y28" s="28"/>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29"/>
      <c r="BM28" s="8"/>
      <c r="BN28" s="15"/>
    </row>
    <row r="29" spans="1:66" ht="20.100000000000001" customHeight="1" x14ac:dyDescent="0.45">
      <c r="A29" s="9"/>
      <c r="B29" s="8"/>
      <c r="C29" s="27"/>
      <c r="D29" s="25"/>
      <c r="E29" s="25"/>
      <c r="F29" s="26"/>
      <c r="G29" s="21"/>
      <c r="H29" s="22"/>
      <c r="I29" s="22"/>
      <c r="J29" s="23"/>
      <c r="K29" s="24"/>
      <c r="L29" s="25"/>
      <c r="M29" s="25"/>
      <c r="N29" s="26"/>
      <c r="O29" s="28"/>
      <c r="P29" s="5"/>
      <c r="Q29" s="5"/>
      <c r="R29" s="5"/>
      <c r="S29" s="5"/>
      <c r="T29" s="5"/>
      <c r="U29" s="5"/>
      <c r="V29" s="5"/>
      <c r="W29" s="5"/>
      <c r="X29" s="29"/>
      <c r="Y29" s="28"/>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29"/>
      <c r="BM29" s="8"/>
      <c r="BN29" s="15"/>
    </row>
    <row r="30" spans="1:66" ht="20.100000000000001" customHeight="1" x14ac:dyDescent="0.45">
      <c r="A30" s="9"/>
      <c r="B30" s="8"/>
      <c r="C30" s="27"/>
      <c r="D30" s="25"/>
      <c r="E30" s="25"/>
      <c r="F30" s="26"/>
      <c r="G30" s="21"/>
      <c r="H30" s="22"/>
      <c r="I30" s="22"/>
      <c r="J30" s="23"/>
      <c r="K30" s="24"/>
      <c r="L30" s="25"/>
      <c r="M30" s="25"/>
      <c r="N30" s="26"/>
      <c r="O30" s="28"/>
      <c r="P30" s="5"/>
      <c r="Q30" s="5"/>
      <c r="R30" s="5"/>
      <c r="S30" s="5"/>
      <c r="T30" s="5"/>
      <c r="U30" s="5"/>
      <c r="V30" s="5"/>
      <c r="W30" s="5"/>
      <c r="X30" s="29"/>
      <c r="Y30" s="28"/>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29"/>
      <c r="BM30" s="8"/>
      <c r="BN30" s="15"/>
    </row>
    <row r="31" spans="1:66" ht="20.100000000000001" customHeight="1" x14ac:dyDescent="0.45">
      <c r="A31" s="9"/>
      <c r="B31" s="8"/>
      <c r="C31" s="27"/>
      <c r="D31" s="25"/>
      <c r="E31" s="25"/>
      <c r="F31" s="26"/>
      <c r="G31" s="21"/>
      <c r="H31" s="22"/>
      <c r="I31" s="22"/>
      <c r="J31" s="23"/>
      <c r="K31" s="24"/>
      <c r="L31" s="25"/>
      <c r="M31" s="25"/>
      <c r="N31" s="26"/>
      <c r="O31" s="28"/>
      <c r="P31" s="5"/>
      <c r="Q31" s="5"/>
      <c r="R31" s="5"/>
      <c r="S31" s="5"/>
      <c r="T31" s="5"/>
      <c r="U31" s="5"/>
      <c r="V31" s="5"/>
      <c r="W31" s="5"/>
      <c r="X31" s="29"/>
      <c r="Y31" s="28"/>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29"/>
      <c r="BM31" s="8"/>
      <c r="BN31" s="15"/>
    </row>
    <row r="32" spans="1:66" ht="20.100000000000001" customHeight="1" x14ac:dyDescent="0.45">
      <c r="A32" s="9"/>
      <c r="B32" s="8"/>
      <c r="C32" s="27"/>
      <c r="D32" s="25"/>
      <c r="E32" s="25"/>
      <c r="F32" s="26"/>
      <c r="G32" s="21"/>
      <c r="H32" s="22"/>
      <c r="I32" s="22"/>
      <c r="J32" s="23"/>
      <c r="K32" s="24"/>
      <c r="L32" s="25"/>
      <c r="M32" s="25"/>
      <c r="N32" s="26"/>
      <c r="O32" s="28"/>
      <c r="P32" s="5"/>
      <c r="Q32" s="5"/>
      <c r="R32" s="5"/>
      <c r="S32" s="5"/>
      <c r="T32" s="5"/>
      <c r="U32" s="5"/>
      <c r="V32" s="5"/>
      <c r="W32" s="5"/>
      <c r="X32" s="29"/>
      <c r="Y32" s="28"/>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29"/>
      <c r="BM32" s="8"/>
      <c r="BN32" s="15"/>
    </row>
    <row r="33" spans="1:66" ht="20.100000000000001" customHeight="1" x14ac:dyDescent="0.45">
      <c r="A33" s="9"/>
      <c r="B33" s="8"/>
      <c r="C33" s="27"/>
      <c r="D33" s="25"/>
      <c r="E33" s="25"/>
      <c r="F33" s="26"/>
      <c r="G33" s="21"/>
      <c r="H33" s="22"/>
      <c r="I33" s="22"/>
      <c r="J33" s="23"/>
      <c r="K33" s="24"/>
      <c r="L33" s="25"/>
      <c r="M33" s="25"/>
      <c r="N33" s="26"/>
      <c r="O33" s="28"/>
      <c r="P33" s="5"/>
      <c r="Q33" s="5"/>
      <c r="R33" s="5"/>
      <c r="S33" s="5"/>
      <c r="T33" s="5"/>
      <c r="U33" s="5"/>
      <c r="V33" s="5"/>
      <c r="W33" s="5"/>
      <c r="X33" s="29"/>
      <c r="Y33" s="28"/>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29"/>
      <c r="BM33" s="8"/>
      <c r="BN33" s="15"/>
    </row>
    <row r="34" spans="1:66" ht="20.100000000000001" customHeight="1" x14ac:dyDescent="0.45">
      <c r="A34" s="9"/>
      <c r="B34" s="8"/>
      <c r="C34" s="27"/>
      <c r="D34" s="25"/>
      <c r="E34" s="25"/>
      <c r="F34" s="26"/>
      <c r="G34" s="21"/>
      <c r="H34" s="22"/>
      <c r="I34" s="22"/>
      <c r="J34" s="23"/>
      <c r="K34" s="24"/>
      <c r="L34" s="25"/>
      <c r="M34" s="25"/>
      <c r="N34" s="26"/>
      <c r="O34" s="28"/>
      <c r="P34" s="5"/>
      <c r="Q34" s="5"/>
      <c r="R34" s="5"/>
      <c r="S34" s="5"/>
      <c r="T34" s="5"/>
      <c r="U34" s="5"/>
      <c r="V34" s="5"/>
      <c r="W34" s="5"/>
      <c r="X34" s="29"/>
      <c r="Y34" s="28"/>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29"/>
      <c r="BM34" s="8"/>
      <c r="BN34" s="15"/>
    </row>
    <row r="35" spans="1:66" ht="20.100000000000001" customHeight="1" x14ac:dyDescent="0.45">
      <c r="A35" s="9"/>
      <c r="B35" s="8"/>
      <c r="C35" s="27"/>
      <c r="D35" s="25"/>
      <c r="E35" s="25"/>
      <c r="F35" s="26"/>
      <c r="G35" s="21"/>
      <c r="H35" s="22"/>
      <c r="I35" s="22"/>
      <c r="J35" s="23"/>
      <c r="K35" s="24"/>
      <c r="L35" s="25"/>
      <c r="M35" s="25"/>
      <c r="N35" s="26"/>
      <c r="O35" s="28"/>
      <c r="P35" s="5"/>
      <c r="Q35" s="5"/>
      <c r="R35" s="5"/>
      <c r="S35" s="5"/>
      <c r="T35" s="5"/>
      <c r="U35" s="5"/>
      <c r="V35" s="5"/>
      <c r="W35" s="5"/>
      <c r="X35" s="29"/>
      <c r="Y35" s="28"/>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29"/>
      <c r="BM35" s="8"/>
      <c r="BN35" s="15"/>
    </row>
    <row r="36" spans="1:66" ht="20.100000000000001" customHeight="1" x14ac:dyDescent="0.45">
      <c r="A36" s="9"/>
      <c r="B36" s="8"/>
      <c r="C36" s="230"/>
      <c r="D36" s="231"/>
      <c r="E36" s="231"/>
      <c r="F36" s="232"/>
      <c r="G36" s="233"/>
      <c r="H36" s="234"/>
      <c r="I36" s="234"/>
      <c r="J36" s="235"/>
      <c r="K36" s="236"/>
      <c r="L36" s="231"/>
      <c r="M36" s="231"/>
      <c r="N36" s="232"/>
      <c r="O36" s="4"/>
      <c r="P36" s="5"/>
      <c r="Q36" s="5"/>
      <c r="R36" s="5"/>
      <c r="S36" s="5"/>
      <c r="T36" s="5"/>
      <c r="U36" s="5"/>
      <c r="V36" s="5"/>
      <c r="W36" s="5"/>
      <c r="X36" s="3"/>
      <c r="Y36" s="4"/>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3"/>
      <c r="BM36" s="8"/>
      <c r="BN36" s="15"/>
    </row>
    <row r="37" spans="1:66" ht="20.100000000000001" customHeight="1" x14ac:dyDescent="0.45">
      <c r="A37" s="9"/>
      <c r="B37" s="8"/>
      <c r="C37" s="230"/>
      <c r="D37" s="231"/>
      <c r="E37" s="231"/>
      <c r="F37" s="232"/>
      <c r="G37" s="233"/>
      <c r="H37" s="234"/>
      <c r="I37" s="234"/>
      <c r="J37" s="235"/>
      <c r="K37" s="236"/>
      <c r="L37" s="231"/>
      <c r="M37" s="231"/>
      <c r="N37" s="232"/>
      <c r="O37" s="4"/>
      <c r="P37" s="5"/>
      <c r="Q37" s="5"/>
      <c r="R37" s="5"/>
      <c r="S37" s="5"/>
      <c r="T37" s="5"/>
      <c r="U37" s="5"/>
      <c r="V37" s="5"/>
      <c r="W37" s="5"/>
      <c r="X37" s="3"/>
      <c r="Y37" s="4"/>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3"/>
      <c r="BM37" s="8"/>
      <c r="BN37" s="15"/>
    </row>
    <row r="38" spans="1:66" ht="20.100000000000001" customHeight="1" x14ac:dyDescent="0.45">
      <c r="A38" s="9"/>
      <c r="B38" s="8"/>
      <c r="C38" s="230"/>
      <c r="D38" s="231"/>
      <c r="E38" s="231"/>
      <c r="F38" s="232"/>
      <c r="G38" s="233"/>
      <c r="H38" s="234"/>
      <c r="I38" s="234"/>
      <c r="J38" s="235"/>
      <c r="K38" s="236"/>
      <c r="L38" s="231"/>
      <c r="M38" s="231"/>
      <c r="N38" s="232"/>
      <c r="O38" s="4"/>
      <c r="P38" s="5"/>
      <c r="Q38" s="5"/>
      <c r="R38" s="5"/>
      <c r="S38" s="5"/>
      <c r="T38" s="5"/>
      <c r="U38" s="5"/>
      <c r="V38" s="5"/>
      <c r="W38" s="5"/>
      <c r="X38" s="3"/>
      <c r="Y38" s="4"/>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3"/>
      <c r="BM38" s="8"/>
      <c r="BN38" s="15"/>
    </row>
    <row r="39" spans="1:66" ht="20.100000000000001" customHeight="1" x14ac:dyDescent="0.45">
      <c r="A39" s="9"/>
      <c r="B39" s="8"/>
      <c r="C39" s="230"/>
      <c r="D39" s="231"/>
      <c r="E39" s="231"/>
      <c r="F39" s="232"/>
      <c r="G39" s="233"/>
      <c r="H39" s="234"/>
      <c r="I39" s="234"/>
      <c r="J39" s="235"/>
      <c r="K39" s="236"/>
      <c r="L39" s="231"/>
      <c r="M39" s="231"/>
      <c r="N39" s="232"/>
      <c r="O39" s="4"/>
      <c r="P39" s="5"/>
      <c r="Q39" s="5"/>
      <c r="R39" s="5"/>
      <c r="S39" s="5"/>
      <c r="T39" s="5"/>
      <c r="U39" s="5"/>
      <c r="V39" s="5"/>
      <c r="W39" s="5"/>
      <c r="X39" s="3"/>
      <c r="Y39" s="4"/>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3"/>
      <c r="BM39" s="8"/>
      <c r="BN39" s="15"/>
    </row>
    <row r="40" spans="1:66" ht="20.100000000000001" customHeight="1" x14ac:dyDescent="0.45">
      <c r="A40" s="9"/>
      <c r="B40" s="8"/>
      <c r="C40" s="230"/>
      <c r="D40" s="231"/>
      <c r="E40" s="231"/>
      <c r="F40" s="232"/>
      <c r="G40" s="233"/>
      <c r="H40" s="234"/>
      <c r="I40" s="234"/>
      <c r="J40" s="235"/>
      <c r="K40" s="236"/>
      <c r="L40" s="231"/>
      <c r="M40" s="231"/>
      <c r="N40" s="232"/>
      <c r="O40" s="4"/>
      <c r="P40" s="5"/>
      <c r="Q40" s="5"/>
      <c r="R40" s="5"/>
      <c r="S40" s="5"/>
      <c r="T40" s="5"/>
      <c r="U40" s="5"/>
      <c r="V40" s="5"/>
      <c r="W40" s="5"/>
      <c r="X40" s="3"/>
      <c r="Y40" s="4"/>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3"/>
      <c r="BM40" s="8"/>
      <c r="BN40" s="15"/>
    </row>
    <row r="41" spans="1:66" ht="20.100000000000001" customHeight="1" x14ac:dyDescent="0.45">
      <c r="A41" s="9"/>
      <c r="B41" s="8"/>
      <c r="C41" s="230"/>
      <c r="D41" s="231"/>
      <c r="E41" s="231"/>
      <c r="F41" s="232"/>
      <c r="G41" s="233"/>
      <c r="H41" s="234"/>
      <c r="I41" s="234"/>
      <c r="J41" s="235"/>
      <c r="K41" s="236"/>
      <c r="L41" s="231"/>
      <c r="M41" s="231"/>
      <c r="N41" s="232"/>
      <c r="O41" s="4"/>
      <c r="P41" s="5"/>
      <c r="Q41" s="5"/>
      <c r="R41" s="5"/>
      <c r="S41" s="5"/>
      <c r="T41" s="5"/>
      <c r="U41" s="5"/>
      <c r="V41" s="5"/>
      <c r="W41" s="5"/>
      <c r="X41" s="3"/>
      <c r="Y41" s="4"/>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3"/>
      <c r="BM41" s="8"/>
      <c r="BN41" s="15"/>
    </row>
    <row r="42" spans="1:66" ht="20.100000000000001" customHeight="1" x14ac:dyDescent="0.45">
      <c r="A42" s="9"/>
      <c r="B42" s="8"/>
      <c r="C42" s="230"/>
      <c r="D42" s="231"/>
      <c r="E42" s="231"/>
      <c r="F42" s="232"/>
      <c r="G42" s="233"/>
      <c r="H42" s="234"/>
      <c r="I42" s="234"/>
      <c r="J42" s="235"/>
      <c r="K42" s="236"/>
      <c r="L42" s="231"/>
      <c r="M42" s="231"/>
      <c r="N42" s="232"/>
      <c r="O42" s="4"/>
      <c r="P42" s="5"/>
      <c r="Q42" s="5"/>
      <c r="R42" s="5"/>
      <c r="S42" s="5"/>
      <c r="T42" s="5"/>
      <c r="U42" s="5"/>
      <c r="V42" s="5"/>
      <c r="W42" s="5"/>
      <c r="X42" s="3"/>
      <c r="Y42" s="4"/>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3"/>
      <c r="BM42" s="8"/>
      <c r="BN42" s="15"/>
    </row>
    <row r="43" spans="1:66" ht="20.100000000000001" customHeight="1" x14ac:dyDescent="0.45">
      <c r="A43" s="9"/>
      <c r="B43" s="8"/>
      <c r="C43" s="230"/>
      <c r="D43" s="231"/>
      <c r="E43" s="231"/>
      <c r="F43" s="232"/>
      <c r="G43" s="233"/>
      <c r="H43" s="234"/>
      <c r="I43" s="234"/>
      <c r="J43" s="235"/>
      <c r="K43" s="236"/>
      <c r="L43" s="231"/>
      <c r="M43" s="231"/>
      <c r="N43" s="232"/>
      <c r="O43" s="4"/>
      <c r="P43" s="5"/>
      <c r="Q43" s="5"/>
      <c r="R43" s="5"/>
      <c r="S43" s="5"/>
      <c r="T43" s="5"/>
      <c r="U43" s="5"/>
      <c r="V43" s="5"/>
      <c r="W43" s="5"/>
      <c r="X43" s="3"/>
      <c r="Y43" s="4"/>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3"/>
      <c r="BM43" s="8"/>
      <c r="BN43" s="15"/>
    </row>
    <row r="44" spans="1:66" ht="20.100000000000001" customHeight="1" x14ac:dyDescent="0.45">
      <c r="A44" s="9"/>
      <c r="B44" s="8"/>
      <c r="C44" s="230"/>
      <c r="D44" s="231"/>
      <c r="E44" s="231"/>
      <c r="F44" s="232"/>
      <c r="G44" s="233"/>
      <c r="H44" s="234"/>
      <c r="I44" s="234"/>
      <c r="J44" s="235"/>
      <c r="K44" s="236"/>
      <c r="L44" s="231"/>
      <c r="M44" s="231"/>
      <c r="N44" s="232"/>
      <c r="O44" s="4"/>
      <c r="P44" s="5"/>
      <c r="Q44" s="5"/>
      <c r="R44" s="5"/>
      <c r="S44" s="5"/>
      <c r="T44" s="5"/>
      <c r="U44" s="5"/>
      <c r="V44" s="5"/>
      <c r="W44" s="5"/>
      <c r="X44" s="3"/>
      <c r="Y44" s="4"/>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3"/>
      <c r="BM44" s="8"/>
      <c r="BN44" s="15"/>
    </row>
    <row r="45" spans="1:66" ht="20.100000000000001" customHeight="1" x14ac:dyDescent="0.45">
      <c r="A45" s="9"/>
      <c r="B45" s="8"/>
      <c r="C45" s="230"/>
      <c r="D45" s="231"/>
      <c r="E45" s="231"/>
      <c r="F45" s="232"/>
      <c r="G45" s="233"/>
      <c r="H45" s="234"/>
      <c r="I45" s="234"/>
      <c r="J45" s="235"/>
      <c r="K45" s="236"/>
      <c r="L45" s="231"/>
      <c r="M45" s="231"/>
      <c r="N45" s="232"/>
      <c r="O45" s="4"/>
      <c r="P45" s="5"/>
      <c r="Q45" s="5"/>
      <c r="R45" s="5"/>
      <c r="S45" s="5"/>
      <c r="T45" s="5"/>
      <c r="U45" s="5"/>
      <c r="V45" s="5"/>
      <c r="W45" s="5"/>
      <c r="X45" s="3"/>
      <c r="Y45" s="4"/>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3"/>
      <c r="BM45" s="8"/>
      <c r="BN45" s="15"/>
    </row>
    <row r="46" spans="1:66" ht="20.100000000000001" customHeight="1" x14ac:dyDescent="0.45">
      <c r="A46" s="9"/>
      <c r="B46" s="8"/>
      <c r="C46" s="230"/>
      <c r="D46" s="231"/>
      <c r="E46" s="231"/>
      <c r="F46" s="232"/>
      <c r="G46" s="233"/>
      <c r="H46" s="234"/>
      <c r="I46" s="234"/>
      <c r="J46" s="235"/>
      <c r="K46" s="236"/>
      <c r="L46" s="231"/>
      <c r="M46" s="231"/>
      <c r="N46" s="232"/>
      <c r="O46" s="4"/>
      <c r="P46" s="5"/>
      <c r="Q46" s="5"/>
      <c r="R46" s="5"/>
      <c r="S46" s="5"/>
      <c r="T46" s="5"/>
      <c r="U46" s="5"/>
      <c r="V46" s="5"/>
      <c r="W46" s="5"/>
      <c r="X46" s="3"/>
      <c r="Y46" s="4"/>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3"/>
      <c r="BM46" s="8"/>
      <c r="BN46" s="15"/>
    </row>
    <row r="47" spans="1:66" ht="20.100000000000001" customHeight="1" x14ac:dyDescent="0.45">
      <c r="A47" s="9"/>
      <c r="B47" s="8"/>
      <c r="C47" s="230"/>
      <c r="D47" s="231"/>
      <c r="E47" s="231"/>
      <c r="F47" s="232"/>
      <c r="G47" s="233"/>
      <c r="H47" s="234"/>
      <c r="I47" s="234"/>
      <c r="J47" s="235"/>
      <c r="K47" s="236"/>
      <c r="L47" s="231"/>
      <c r="M47" s="231"/>
      <c r="N47" s="232"/>
      <c r="O47" s="4"/>
      <c r="P47" s="5"/>
      <c r="Q47" s="5"/>
      <c r="R47" s="5"/>
      <c r="S47" s="5"/>
      <c r="T47" s="5"/>
      <c r="U47" s="5"/>
      <c r="V47" s="5"/>
      <c r="W47" s="5"/>
      <c r="X47" s="3"/>
      <c r="Y47" s="4"/>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3"/>
      <c r="BM47" s="8"/>
      <c r="BN47" s="15"/>
    </row>
    <row r="48" spans="1:66" ht="20.100000000000001" customHeight="1" thickBot="1" x14ac:dyDescent="0.5">
      <c r="A48" s="9"/>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15"/>
    </row>
    <row r="49" spans="2:65" ht="5.25" customHeight="1" thickTop="1" x14ac:dyDescent="0.4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row>
  </sheetData>
  <mergeCells count="70">
    <mergeCell ref="G38:J38"/>
    <mergeCell ref="K38:N38"/>
    <mergeCell ref="C41:F41"/>
    <mergeCell ref="G41:J41"/>
    <mergeCell ref="K41:N41"/>
    <mergeCell ref="C39:F39"/>
    <mergeCell ref="G39:J39"/>
    <mergeCell ref="K39:N39"/>
    <mergeCell ref="C40:F40"/>
    <mergeCell ref="G40:J40"/>
    <mergeCell ref="K40:N40"/>
    <mergeCell ref="C46:F46"/>
    <mergeCell ref="G46:J46"/>
    <mergeCell ref="K46:N46"/>
    <mergeCell ref="C47:F47"/>
    <mergeCell ref="G47:J47"/>
    <mergeCell ref="K47:N47"/>
    <mergeCell ref="C45:F45"/>
    <mergeCell ref="G45:J45"/>
    <mergeCell ref="K45:N45"/>
    <mergeCell ref="C43:F43"/>
    <mergeCell ref="G43:J43"/>
    <mergeCell ref="K43:N43"/>
    <mergeCell ref="C44:F44"/>
    <mergeCell ref="G44:J44"/>
    <mergeCell ref="K44:N44"/>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9:F9"/>
    <mergeCell ref="G9:J9"/>
    <mergeCell ref="K9:N9"/>
    <mergeCell ref="C8:F8"/>
    <mergeCell ref="G8:J8"/>
    <mergeCell ref="K8:N8"/>
    <mergeCell ref="AX2:BA2"/>
    <mergeCell ref="BB2:BE2"/>
    <mergeCell ref="BF2:BI2"/>
    <mergeCell ref="BJ2:BM2"/>
    <mergeCell ref="O8:X8"/>
    <mergeCell ref="Y8:BL8"/>
    <mergeCell ref="AX3:BA4"/>
    <mergeCell ref="BB3:BE4"/>
    <mergeCell ref="BF3:BI4"/>
    <mergeCell ref="BJ3:BM4"/>
    <mergeCell ref="AK3:AW4"/>
    <mergeCell ref="AK2:AW2"/>
    <mergeCell ref="B3:G4"/>
    <mergeCell ref="H3:K4"/>
    <mergeCell ref="L3:Q4"/>
    <mergeCell ref="R3:W4"/>
    <mergeCell ref="X3:AJ4"/>
    <mergeCell ref="B2:G2"/>
    <mergeCell ref="H2:K2"/>
    <mergeCell ref="L2:Q2"/>
    <mergeCell ref="R2:W2"/>
    <mergeCell ref="X2:AJ2"/>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60"/>
  <sheetViews>
    <sheetView showGridLines="0" view="pageBreakPreview" zoomScaleNormal="100" zoomScaleSheetLayoutView="100" workbookViewId="0">
      <pane ySplit="9" topLeftCell="A46"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211" t="s">
        <v>0</v>
      </c>
      <c r="C2" s="212"/>
      <c r="D2" s="212"/>
      <c r="E2" s="212"/>
      <c r="F2" s="212"/>
      <c r="G2" s="212"/>
      <c r="H2" s="212" t="s">
        <v>40</v>
      </c>
      <c r="I2" s="212"/>
      <c r="J2" s="212"/>
      <c r="K2" s="212"/>
      <c r="L2" s="212" t="s">
        <v>41</v>
      </c>
      <c r="M2" s="212"/>
      <c r="N2" s="212"/>
      <c r="O2" s="212"/>
      <c r="P2" s="212"/>
      <c r="Q2" s="212"/>
      <c r="R2" s="212" t="s">
        <v>1</v>
      </c>
      <c r="S2" s="212"/>
      <c r="T2" s="212"/>
      <c r="U2" s="212"/>
      <c r="V2" s="212"/>
      <c r="W2" s="212"/>
      <c r="X2" s="213" t="s">
        <v>2</v>
      </c>
      <c r="Y2" s="214"/>
      <c r="Z2" s="214"/>
      <c r="AA2" s="214"/>
      <c r="AB2" s="214"/>
      <c r="AC2" s="214"/>
      <c r="AD2" s="214"/>
      <c r="AE2" s="214"/>
      <c r="AF2" s="214"/>
      <c r="AG2" s="214"/>
      <c r="AH2" s="214"/>
      <c r="AI2" s="214"/>
      <c r="AJ2" s="215"/>
      <c r="AK2" s="213" t="s">
        <v>30</v>
      </c>
      <c r="AL2" s="214"/>
      <c r="AM2" s="214"/>
      <c r="AN2" s="214"/>
      <c r="AO2" s="214"/>
      <c r="AP2" s="214"/>
      <c r="AQ2" s="214"/>
      <c r="AR2" s="214"/>
      <c r="AS2" s="214"/>
      <c r="AT2" s="214"/>
      <c r="AU2" s="214"/>
      <c r="AV2" s="214"/>
      <c r="AW2" s="215"/>
      <c r="AX2" s="212" t="s">
        <v>4</v>
      </c>
      <c r="AY2" s="212"/>
      <c r="AZ2" s="212"/>
      <c r="BA2" s="212"/>
      <c r="BB2" s="212" t="s">
        <v>3</v>
      </c>
      <c r="BC2" s="212"/>
      <c r="BD2" s="212"/>
      <c r="BE2" s="212"/>
      <c r="BF2" s="212" t="s">
        <v>5</v>
      </c>
      <c r="BG2" s="212"/>
      <c r="BH2" s="212"/>
      <c r="BI2" s="212"/>
      <c r="BJ2" s="212" t="s">
        <v>6</v>
      </c>
      <c r="BK2" s="212"/>
      <c r="BL2" s="212"/>
      <c r="BM2" s="226"/>
      <c r="BN2" s="16"/>
    </row>
    <row r="3" spans="1:66" ht="20.100000000000001" customHeight="1" x14ac:dyDescent="0.45">
      <c r="A3" s="10"/>
      <c r="B3" s="216" t="str">
        <f>変更履歴!B3</f>
        <v>受発注システム</v>
      </c>
      <c r="C3" s="217"/>
      <c r="D3" s="217"/>
      <c r="E3" s="217"/>
      <c r="F3" s="217"/>
      <c r="G3" s="217"/>
      <c r="H3" s="217" t="str">
        <f ca="1">変更履歴!H3</f>
        <v>マスタ</v>
      </c>
      <c r="I3" s="217"/>
      <c r="J3" s="217"/>
      <c r="K3" s="217"/>
      <c r="L3" s="217" t="str">
        <f>変更履歴!L3</f>
        <v>受発注</v>
      </c>
      <c r="M3" s="217"/>
      <c r="N3" s="217"/>
      <c r="O3" s="217"/>
      <c r="P3" s="217"/>
      <c r="Q3" s="217"/>
      <c r="R3" s="217" t="str">
        <f ca="1">変更履歴!R3</f>
        <v>結合試験項目</v>
      </c>
      <c r="S3" s="217"/>
      <c r="T3" s="217"/>
      <c r="U3" s="217"/>
      <c r="V3" s="217"/>
      <c r="W3" s="217"/>
      <c r="X3" s="221" t="str">
        <f ca="1">変更履歴!X3</f>
        <v>マスタ_物件入力_結合試験項目</v>
      </c>
      <c r="Y3" s="222"/>
      <c r="Z3" s="222"/>
      <c r="AA3" s="222"/>
      <c r="AB3" s="222"/>
      <c r="AC3" s="222"/>
      <c r="AD3" s="222"/>
      <c r="AE3" s="222"/>
      <c r="AF3" s="222"/>
      <c r="AG3" s="222"/>
      <c r="AH3" s="222"/>
      <c r="AI3" s="222"/>
      <c r="AJ3" s="218"/>
      <c r="AK3" s="221" t="str">
        <f ca="1">変更履歴!AK3</f>
        <v>物件入力</v>
      </c>
      <c r="AL3" s="222"/>
      <c r="AM3" s="222"/>
      <c r="AN3" s="222"/>
      <c r="AO3" s="222"/>
      <c r="AP3" s="222"/>
      <c r="AQ3" s="222"/>
      <c r="AR3" s="222"/>
      <c r="AS3" s="222"/>
      <c r="AT3" s="222"/>
      <c r="AU3" s="222"/>
      <c r="AV3" s="222"/>
      <c r="AW3" s="218"/>
      <c r="AX3" s="228">
        <f>変更履歴!AX3</f>
        <v>45636</v>
      </c>
      <c r="AY3" s="228"/>
      <c r="AZ3" s="228"/>
      <c r="BA3" s="228"/>
      <c r="BB3" s="217" t="str">
        <f>変更履歴!BB3</f>
        <v>榎本</v>
      </c>
      <c r="BC3" s="217"/>
      <c r="BD3" s="217"/>
      <c r="BE3" s="217"/>
      <c r="BF3" s="228">
        <f>変更履歴!BF3</f>
        <v>45636</v>
      </c>
      <c r="BG3" s="228"/>
      <c r="BH3" s="228"/>
      <c r="BI3" s="228"/>
      <c r="BJ3" s="217" t="str">
        <f>変更履歴!BJ3</f>
        <v>榎本</v>
      </c>
      <c r="BK3" s="217"/>
      <c r="BL3" s="217"/>
      <c r="BM3" s="229"/>
      <c r="BN3" s="16"/>
    </row>
    <row r="4" spans="1:66" ht="20.100000000000001" customHeight="1" thickBot="1" x14ac:dyDescent="0.5">
      <c r="A4" s="10"/>
      <c r="B4" s="218"/>
      <c r="C4" s="219"/>
      <c r="D4" s="219"/>
      <c r="E4" s="219"/>
      <c r="F4" s="219"/>
      <c r="G4" s="219"/>
      <c r="H4" s="219"/>
      <c r="I4" s="219"/>
      <c r="J4" s="219"/>
      <c r="K4" s="219"/>
      <c r="L4" s="219"/>
      <c r="M4" s="219"/>
      <c r="N4" s="219"/>
      <c r="O4" s="219"/>
      <c r="P4" s="219"/>
      <c r="Q4" s="219"/>
      <c r="R4" s="219"/>
      <c r="S4" s="219"/>
      <c r="T4" s="219"/>
      <c r="U4" s="219"/>
      <c r="V4" s="219"/>
      <c r="W4" s="219"/>
      <c r="X4" s="223"/>
      <c r="Y4" s="224"/>
      <c r="Z4" s="224"/>
      <c r="AA4" s="224"/>
      <c r="AB4" s="224"/>
      <c r="AC4" s="224"/>
      <c r="AD4" s="224"/>
      <c r="AE4" s="224"/>
      <c r="AF4" s="224"/>
      <c r="AG4" s="224"/>
      <c r="AH4" s="224"/>
      <c r="AI4" s="224"/>
      <c r="AJ4" s="225"/>
      <c r="AK4" s="223"/>
      <c r="AL4" s="224"/>
      <c r="AM4" s="224"/>
      <c r="AN4" s="224"/>
      <c r="AO4" s="224"/>
      <c r="AP4" s="224"/>
      <c r="AQ4" s="224"/>
      <c r="AR4" s="224"/>
      <c r="AS4" s="224"/>
      <c r="AT4" s="224"/>
      <c r="AU4" s="224"/>
      <c r="AV4" s="224"/>
      <c r="AW4" s="225"/>
      <c r="AX4" s="256"/>
      <c r="AY4" s="256"/>
      <c r="AZ4" s="256"/>
      <c r="BA4" s="256"/>
      <c r="BB4" s="219"/>
      <c r="BC4" s="219"/>
      <c r="BD4" s="219"/>
      <c r="BE4" s="219"/>
      <c r="BF4" s="256"/>
      <c r="BG4" s="256"/>
      <c r="BH4" s="256"/>
      <c r="BI4" s="256"/>
      <c r="BJ4" s="219"/>
      <c r="BK4" s="219"/>
      <c r="BL4" s="219"/>
      <c r="BM4" s="221"/>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263" t="s">
        <v>32</v>
      </c>
      <c r="BF7" s="264"/>
      <c r="BG7" s="267" t="s">
        <v>31</v>
      </c>
      <c r="BH7" s="267"/>
      <c r="BI7" s="257" t="s">
        <v>33</v>
      </c>
      <c r="BJ7" s="258"/>
      <c r="BK7" s="257" t="s">
        <v>34</v>
      </c>
      <c r="BL7" s="255"/>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261" t="s">
        <v>35</v>
      </c>
      <c r="AP8" s="254"/>
      <c r="AQ8" s="254"/>
      <c r="AR8" s="254"/>
      <c r="AS8" s="254"/>
      <c r="AT8" s="255"/>
      <c r="AU8" s="261" t="s">
        <v>36</v>
      </c>
      <c r="AV8" s="254"/>
      <c r="AW8" s="254"/>
      <c r="AX8" s="254"/>
      <c r="AY8" s="254"/>
      <c r="AZ8" s="255"/>
      <c r="BE8" s="265"/>
      <c r="BF8" s="266"/>
      <c r="BG8" s="259">
        <f>COUNTA(C10:C39)</f>
        <v>30</v>
      </c>
      <c r="BH8" s="262"/>
      <c r="BI8" s="259">
        <f>COUNTIF(AS10:AT39,"OK")+COUNTIF(AY10:AZ39,"OK")</f>
        <v>30</v>
      </c>
      <c r="BJ8" s="262"/>
      <c r="BK8" s="259">
        <f>BG8-BI8</f>
        <v>0</v>
      </c>
      <c r="BL8" s="260"/>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252" t="s">
        <v>25</v>
      </c>
      <c r="AP9" s="250"/>
      <c r="AQ9" s="249" t="s">
        <v>26</v>
      </c>
      <c r="AR9" s="250"/>
      <c r="AS9" s="249" t="s">
        <v>29</v>
      </c>
      <c r="AT9" s="251"/>
      <c r="AU9" s="252" t="s">
        <v>25</v>
      </c>
      <c r="AV9" s="250"/>
      <c r="AW9" s="249" t="s">
        <v>26</v>
      </c>
      <c r="AX9" s="250"/>
      <c r="AY9" s="249" t="s">
        <v>29</v>
      </c>
      <c r="AZ9" s="251"/>
      <c r="BA9" s="253" t="s">
        <v>27</v>
      </c>
      <c r="BB9" s="254"/>
      <c r="BC9" s="254"/>
      <c r="BD9" s="254"/>
      <c r="BE9" s="254"/>
      <c r="BF9" s="254"/>
      <c r="BG9" s="254"/>
      <c r="BH9" s="254"/>
      <c r="BI9" s="254"/>
      <c r="BJ9" s="254"/>
      <c r="BK9" s="254"/>
      <c r="BL9" s="255"/>
      <c r="BM9" s="16"/>
      <c r="BN9" s="16"/>
    </row>
    <row r="10" spans="1:66" ht="24" customHeight="1" x14ac:dyDescent="0.45">
      <c r="A10" s="10"/>
      <c r="B10" s="10"/>
      <c r="C10" s="30">
        <f>ROW()-9</f>
        <v>1</v>
      </c>
      <c r="D10" s="243" t="s">
        <v>48</v>
      </c>
      <c r="E10" s="244"/>
      <c r="F10" s="244"/>
      <c r="G10" s="245"/>
      <c r="H10" s="243" t="s">
        <v>42</v>
      </c>
      <c r="I10" s="244"/>
      <c r="J10" s="244"/>
      <c r="K10" s="245"/>
      <c r="L10" s="246" t="s">
        <v>77</v>
      </c>
      <c r="M10" s="247"/>
      <c r="N10" s="247"/>
      <c r="O10" s="248"/>
      <c r="P10" s="239" t="s">
        <v>110</v>
      </c>
      <c r="Q10" s="237"/>
      <c r="R10" s="237"/>
      <c r="S10" s="237"/>
      <c r="T10" s="237"/>
      <c r="U10" s="237"/>
      <c r="V10" s="237"/>
      <c r="W10" s="238"/>
      <c r="X10" s="239" t="s">
        <v>113</v>
      </c>
      <c r="Y10" s="237"/>
      <c r="Z10" s="237"/>
      <c r="AA10" s="237"/>
      <c r="AB10" s="237"/>
      <c r="AC10" s="237"/>
      <c r="AD10" s="237"/>
      <c r="AE10" s="238"/>
      <c r="AF10" s="239"/>
      <c r="AG10" s="237"/>
      <c r="AH10" s="237"/>
      <c r="AI10" s="237"/>
      <c r="AJ10" s="237"/>
      <c r="AK10" s="237"/>
      <c r="AL10" s="237"/>
      <c r="AM10" s="237"/>
      <c r="AN10" s="270"/>
      <c r="AO10" s="240">
        <v>45702</v>
      </c>
      <c r="AP10" s="241"/>
      <c r="AQ10" s="236" t="s">
        <v>178</v>
      </c>
      <c r="AR10" s="232"/>
      <c r="AS10" s="236" t="s">
        <v>179</v>
      </c>
      <c r="AT10" s="242"/>
      <c r="AU10" s="240"/>
      <c r="AV10" s="241"/>
      <c r="AW10" s="236"/>
      <c r="AX10" s="232"/>
      <c r="AY10" s="236"/>
      <c r="AZ10" s="242"/>
      <c r="BA10" s="268"/>
      <c r="BB10" s="247"/>
      <c r="BC10" s="247"/>
      <c r="BD10" s="247"/>
      <c r="BE10" s="247"/>
      <c r="BF10" s="247"/>
      <c r="BG10" s="247"/>
      <c r="BH10" s="247"/>
      <c r="BI10" s="247"/>
      <c r="BJ10" s="247"/>
      <c r="BK10" s="247"/>
      <c r="BL10" s="269"/>
      <c r="BM10" s="16"/>
      <c r="BN10" s="16"/>
    </row>
    <row r="11" spans="1:66" s="37" customFormat="1" ht="24" customHeight="1" x14ac:dyDescent="0.45">
      <c r="A11" s="38"/>
      <c r="B11" s="38"/>
      <c r="C11" s="72">
        <f t="shared" ref="C11:C57" si="0">ROW()-9</f>
        <v>2</v>
      </c>
      <c r="D11" s="51"/>
      <c r="E11" s="52"/>
      <c r="F11" s="52"/>
      <c r="G11" s="53"/>
      <c r="H11" s="51"/>
      <c r="I11" s="52"/>
      <c r="J11" s="52"/>
      <c r="K11" s="53"/>
      <c r="L11" s="162" t="s">
        <v>78</v>
      </c>
      <c r="M11" s="155"/>
      <c r="N11" s="155"/>
      <c r="O11" s="163"/>
      <c r="P11" s="239" t="s">
        <v>110</v>
      </c>
      <c r="Q11" s="237"/>
      <c r="R11" s="237"/>
      <c r="S11" s="237"/>
      <c r="T11" s="237"/>
      <c r="U11" s="237"/>
      <c r="V11" s="237"/>
      <c r="W11" s="238"/>
      <c r="X11" s="239" t="s">
        <v>113</v>
      </c>
      <c r="Y11" s="237"/>
      <c r="Z11" s="237"/>
      <c r="AA11" s="237"/>
      <c r="AB11" s="237"/>
      <c r="AC11" s="237"/>
      <c r="AD11" s="237"/>
      <c r="AE11" s="238"/>
      <c r="AF11" s="35"/>
      <c r="AG11" s="43"/>
      <c r="AH11" s="43"/>
      <c r="AI11" s="43"/>
      <c r="AJ11" s="43"/>
      <c r="AK11" s="43"/>
      <c r="AL11" s="43"/>
      <c r="AM11" s="43"/>
      <c r="AN11" s="47"/>
      <c r="AO11" s="240">
        <v>45702</v>
      </c>
      <c r="AP11" s="241"/>
      <c r="AQ11" s="236" t="s">
        <v>178</v>
      </c>
      <c r="AR11" s="232"/>
      <c r="AS11" s="236" t="s">
        <v>179</v>
      </c>
      <c r="AT11" s="242"/>
      <c r="AU11" s="48"/>
      <c r="AV11" s="49"/>
      <c r="AW11" s="40"/>
      <c r="AX11" s="41"/>
      <c r="AY11" s="40"/>
      <c r="AZ11" s="50"/>
      <c r="BA11" s="44"/>
      <c r="BB11" s="45"/>
      <c r="BC11" s="45"/>
      <c r="BD11" s="45"/>
      <c r="BE11" s="45"/>
      <c r="BF11" s="45"/>
      <c r="BG11" s="45"/>
      <c r="BH11" s="45"/>
      <c r="BI11" s="45"/>
      <c r="BJ11" s="45"/>
      <c r="BK11" s="45"/>
      <c r="BL11" s="46"/>
      <c r="BM11" s="39"/>
      <c r="BN11" s="39"/>
    </row>
    <row r="12" spans="1:66" s="37" customFormat="1" ht="24" customHeight="1" x14ac:dyDescent="0.45">
      <c r="A12" s="38"/>
      <c r="B12" s="38"/>
      <c r="C12" s="72">
        <f t="shared" si="0"/>
        <v>3</v>
      </c>
      <c r="D12" s="51"/>
      <c r="E12" s="52"/>
      <c r="F12" s="52"/>
      <c r="G12" s="53"/>
      <c r="H12" s="51"/>
      <c r="I12" s="52"/>
      <c r="J12" s="52"/>
      <c r="K12" s="53"/>
      <c r="L12" s="162" t="s">
        <v>79</v>
      </c>
      <c r="M12" s="155"/>
      <c r="N12" s="155"/>
      <c r="O12" s="163"/>
      <c r="P12" s="239" t="s">
        <v>110</v>
      </c>
      <c r="Q12" s="237"/>
      <c r="R12" s="237"/>
      <c r="S12" s="237"/>
      <c r="T12" s="237"/>
      <c r="U12" s="237"/>
      <c r="V12" s="237"/>
      <c r="W12" s="238"/>
      <c r="X12" s="239" t="s">
        <v>113</v>
      </c>
      <c r="Y12" s="237"/>
      <c r="Z12" s="237"/>
      <c r="AA12" s="237"/>
      <c r="AB12" s="237"/>
      <c r="AC12" s="237"/>
      <c r="AD12" s="237"/>
      <c r="AE12" s="238"/>
      <c r="AF12" s="42"/>
      <c r="AG12" s="43"/>
      <c r="AH12" s="43"/>
      <c r="AI12" s="43"/>
      <c r="AJ12" s="43"/>
      <c r="AK12" s="43"/>
      <c r="AL12" s="43"/>
      <c r="AM12" s="43"/>
      <c r="AN12" s="47"/>
      <c r="AO12" s="240">
        <v>45702</v>
      </c>
      <c r="AP12" s="241"/>
      <c r="AQ12" s="236" t="s">
        <v>178</v>
      </c>
      <c r="AR12" s="232"/>
      <c r="AS12" s="236" t="s">
        <v>179</v>
      </c>
      <c r="AT12" s="242"/>
      <c r="AU12" s="48"/>
      <c r="AV12" s="49"/>
      <c r="AW12" s="40"/>
      <c r="AX12" s="41"/>
      <c r="AY12" s="40"/>
      <c r="AZ12" s="50"/>
      <c r="BA12" s="44"/>
      <c r="BB12" s="45"/>
      <c r="BC12" s="45"/>
      <c r="BD12" s="45"/>
      <c r="BE12" s="45"/>
      <c r="BF12" s="45"/>
      <c r="BG12" s="45"/>
      <c r="BH12" s="45"/>
      <c r="BI12" s="45"/>
      <c r="BJ12" s="45"/>
      <c r="BK12" s="45"/>
      <c r="BL12" s="46"/>
      <c r="BM12" s="39"/>
      <c r="BN12" s="39"/>
    </row>
    <row r="13" spans="1:66" s="37" customFormat="1" ht="24" customHeight="1" x14ac:dyDescent="0.45">
      <c r="A13" s="38"/>
      <c r="B13" s="38"/>
      <c r="C13" s="72">
        <f t="shared" si="0"/>
        <v>4</v>
      </c>
      <c r="D13" s="51"/>
      <c r="E13" s="52"/>
      <c r="F13" s="52"/>
      <c r="G13" s="53"/>
      <c r="H13" s="51"/>
      <c r="I13" s="52"/>
      <c r="J13" s="52"/>
      <c r="K13" s="53"/>
      <c r="L13" s="162" t="s">
        <v>80</v>
      </c>
      <c r="M13" s="155"/>
      <c r="N13" s="155"/>
      <c r="O13" s="163"/>
      <c r="P13" s="239" t="s">
        <v>110</v>
      </c>
      <c r="Q13" s="237"/>
      <c r="R13" s="237"/>
      <c r="S13" s="237"/>
      <c r="T13" s="237"/>
      <c r="U13" s="237"/>
      <c r="V13" s="237"/>
      <c r="W13" s="238"/>
      <c r="X13" s="239" t="s">
        <v>113</v>
      </c>
      <c r="Y13" s="237"/>
      <c r="Z13" s="237"/>
      <c r="AA13" s="237"/>
      <c r="AB13" s="237"/>
      <c r="AC13" s="237"/>
      <c r="AD13" s="237"/>
      <c r="AE13" s="238"/>
      <c r="AF13" s="42"/>
      <c r="AG13" s="43"/>
      <c r="AH13" s="43"/>
      <c r="AI13" s="43"/>
      <c r="AJ13" s="43"/>
      <c r="AK13" s="43"/>
      <c r="AL13" s="43"/>
      <c r="AM13" s="43"/>
      <c r="AN13" s="47"/>
      <c r="AO13" s="240">
        <v>45702</v>
      </c>
      <c r="AP13" s="241"/>
      <c r="AQ13" s="236" t="s">
        <v>178</v>
      </c>
      <c r="AR13" s="232"/>
      <c r="AS13" s="236" t="s">
        <v>179</v>
      </c>
      <c r="AT13" s="242"/>
      <c r="AU13" s="48"/>
      <c r="AV13" s="49"/>
      <c r="AW13" s="40"/>
      <c r="AX13" s="41"/>
      <c r="AY13" s="40"/>
      <c r="AZ13" s="50"/>
      <c r="BA13" s="44"/>
      <c r="BB13" s="45"/>
      <c r="BC13" s="45"/>
      <c r="BD13" s="45"/>
      <c r="BE13" s="45"/>
      <c r="BF13" s="45"/>
      <c r="BG13" s="45"/>
      <c r="BH13" s="45"/>
      <c r="BI13" s="45"/>
      <c r="BJ13" s="45"/>
      <c r="BK13" s="45"/>
      <c r="BL13" s="46"/>
      <c r="BM13" s="39"/>
      <c r="BN13" s="39"/>
    </row>
    <row r="14" spans="1:66" s="54" customFormat="1" ht="24" customHeight="1" x14ac:dyDescent="0.45">
      <c r="A14" s="55"/>
      <c r="B14" s="55"/>
      <c r="C14" s="72">
        <f t="shared" si="0"/>
        <v>5</v>
      </c>
      <c r="D14" s="59"/>
      <c r="E14" s="60"/>
      <c r="F14" s="60"/>
      <c r="G14" s="61"/>
      <c r="H14" s="59"/>
      <c r="I14" s="60"/>
      <c r="J14" s="60"/>
      <c r="K14" s="61"/>
      <c r="L14" s="162" t="s">
        <v>81</v>
      </c>
      <c r="M14" s="155"/>
      <c r="N14" s="155"/>
      <c r="O14" s="163"/>
      <c r="P14" s="239" t="s">
        <v>110</v>
      </c>
      <c r="Q14" s="237"/>
      <c r="R14" s="237"/>
      <c r="S14" s="237"/>
      <c r="T14" s="237"/>
      <c r="U14" s="237"/>
      <c r="V14" s="237"/>
      <c r="W14" s="238"/>
      <c r="X14" s="239" t="s">
        <v>113</v>
      </c>
      <c r="Y14" s="237"/>
      <c r="Z14" s="237"/>
      <c r="AA14" s="237"/>
      <c r="AB14" s="237"/>
      <c r="AC14" s="237"/>
      <c r="AD14" s="237"/>
      <c r="AE14" s="238"/>
      <c r="AF14" s="62"/>
      <c r="AG14" s="63"/>
      <c r="AH14" s="63"/>
      <c r="AI14" s="63"/>
      <c r="AJ14" s="63"/>
      <c r="AK14" s="63"/>
      <c r="AL14" s="63"/>
      <c r="AM14" s="63"/>
      <c r="AN14" s="68"/>
      <c r="AO14" s="240">
        <v>45702</v>
      </c>
      <c r="AP14" s="241"/>
      <c r="AQ14" s="236" t="s">
        <v>178</v>
      </c>
      <c r="AR14" s="232"/>
      <c r="AS14" s="236" t="s">
        <v>179</v>
      </c>
      <c r="AT14" s="242"/>
      <c r="AU14" s="69"/>
      <c r="AV14" s="70"/>
      <c r="AW14" s="57"/>
      <c r="AX14" s="58"/>
      <c r="AY14" s="57"/>
      <c r="AZ14" s="64"/>
      <c r="BA14" s="65"/>
      <c r="BB14" s="66"/>
      <c r="BC14" s="66"/>
      <c r="BD14" s="66"/>
      <c r="BE14" s="66"/>
      <c r="BF14" s="66"/>
      <c r="BG14" s="66"/>
      <c r="BH14" s="66"/>
      <c r="BI14" s="66"/>
      <c r="BJ14" s="66"/>
      <c r="BK14" s="66"/>
      <c r="BL14" s="67"/>
      <c r="BM14" s="56"/>
      <c r="BN14" s="56"/>
    </row>
    <row r="15" spans="1:66" s="54" customFormat="1" ht="24" customHeight="1" x14ac:dyDescent="0.45">
      <c r="A15" s="55"/>
      <c r="B15" s="55"/>
      <c r="C15" s="72">
        <f t="shared" si="0"/>
        <v>6</v>
      </c>
      <c r="D15" s="59"/>
      <c r="E15" s="144"/>
      <c r="F15" s="144"/>
      <c r="G15" s="61"/>
      <c r="H15" s="59"/>
      <c r="I15" s="144"/>
      <c r="J15" s="144"/>
      <c r="K15" s="61"/>
      <c r="L15" s="162" t="s">
        <v>82</v>
      </c>
      <c r="M15" s="155"/>
      <c r="N15" s="155"/>
      <c r="O15" s="163"/>
      <c r="P15" s="239" t="s">
        <v>110</v>
      </c>
      <c r="Q15" s="237"/>
      <c r="R15" s="237"/>
      <c r="S15" s="237"/>
      <c r="T15" s="237"/>
      <c r="U15" s="237"/>
      <c r="V15" s="237"/>
      <c r="W15" s="238"/>
      <c r="X15" s="239" t="s">
        <v>113</v>
      </c>
      <c r="Y15" s="237"/>
      <c r="Z15" s="237"/>
      <c r="AA15" s="237"/>
      <c r="AB15" s="237"/>
      <c r="AC15" s="237"/>
      <c r="AD15" s="237"/>
      <c r="AE15" s="238"/>
      <c r="AF15" s="135"/>
      <c r="AG15" s="136"/>
      <c r="AH15" s="136"/>
      <c r="AI15" s="136"/>
      <c r="AJ15" s="136"/>
      <c r="AK15" s="136"/>
      <c r="AL15" s="136"/>
      <c r="AM15" s="136"/>
      <c r="AN15" s="140"/>
      <c r="AO15" s="240">
        <v>45702</v>
      </c>
      <c r="AP15" s="241"/>
      <c r="AQ15" s="236" t="s">
        <v>178</v>
      </c>
      <c r="AR15" s="232"/>
      <c r="AS15" s="236" t="s">
        <v>179</v>
      </c>
      <c r="AT15" s="242"/>
      <c r="AU15" s="141"/>
      <c r="AV15" s="142"/>
      <c r="AW15" s="134"/>
      <c r="AX15" s="133"/>
      <c r="AY15" s="134"/>
      <c r="AZ15" s="143"/>
      <c r="BA15" s="137"/>
      <c r="BB15" s="138"/>
      <c r="BC15" s="138"/>
      <c r="BD15" s="138"/>
      <c r="BE15" s="138"/>
      <c r="BF15" s="138"/>
      <c r="BG15" s="138"/>
      <c r="BH15" s="138"/>
      <c r="BI15" s="138"/>
      <c r="BJ15" s="138"/>
      <c r="BK15" s="138"/>
      <c r="BL15" s="139"/>
      <c r="BM15" s="56"/>
      <c r="BN15" s="56"/>
    </row>
    <row r="16" spans="1:66" s="54" customFormat="1" ht="24" customHeight="1" x14ac:dyDescent="0.45">
      <c r="A16" s="55"/>
      <c r="B16" s="55"/>
      <c r="C16" s="72">
        <f t="shared" si="0"/>
        <v>7</v>
      </c>
      <c r="D16" s="59"/>
      <c r="E16" s="60"/>
      <c r="F16" s="60"/>
      <c r="G16" s="95"/>
      <c r="H16" s="60"/>
      <c r="I16" s="60"/>
      <c r="J16" s="60"/>
      <c r="K16" s="95"/>
      <c r="L16" s="162" t="s">
        <v>83</v>
      </c>
      <c r="M16" s="155"/>
      <c r="N16" s="155"/>
      <c r="O16" s="163"/>
      <c r="P16" s="239" t="s">
        <v>110</v>
      </c>
      <c r="Q16" s="237"/>
      <c r="R16" s="237"/>
      <c r="S16" s="237"/>
      <c r="T16" s="237"/>
      <c r="U16" s="237"/>
      <c r="V16" s="237"/>
      <c r="W16" s="238"/>
      <c r="X16" s="239" t="s">
        <v>113</v>
      </c>
      <c r="Y16" s="237"/>
      <c r="Z16" s="237"/>
      <c r="AA16" s="237"/>
      <c r="AB16" s="237"/>
      <c r="AC16" s="237"/>
      <c r="AD16" s="237"/>
      <c r="AE16" s="238"/>
      <c r="AF16" s="76"/>
      <c r="AG16" s="75"/>
      <c r="AH16" s="75"/>
      <c r="AI16" s="75"/>
      <c r="AJ16" s="75"/>
      <c r="AK16" s="75"/>
      <c r="AL16" s="75"/>
      <c r="AM16" s="75"/>
      <c r="AN16" s="80"/>
      <c r="AO16" s="240">
        <v>45702</v>
      </c>
      <c r="AP16" s="241"/>
      <c r="AQ16" s="236" t="s">
        <v>178</v>
      </c>
      <c r="AR16" s="232"/>
      <c r="AS16" s="236" t="s">
        <v>179</v>
      </c>
      <c r="AT16" s="242"/>
      <c r="AU16" s="81"/>
      <c r="AV16" s="82"/>
      <c r="AW16" s="73"/>
      <c r="AX16" s="74"/>
      <c r="AY16" s="73"/>
      <c r="AZ16" s="83"/>
      <c r="BA16" s="77"/>
      <c r="BB16" s="78"/>
      <c r="BC16" s="78"/>
      <c r="BD16" s="78"/>
      <c r="BE16" s="78"/>
      <c r="BF16" s="78"/>
      <c r="BG16" s="78"/>
      <c r="BH16" s="78"/>
      <c r="BI16" s="78"/>
      <c r="BJ16" s="78"/>
      <c r="BK16" s="78"/>
      <c r="BL16" s="79"/>
      <c r="BM16" s="56"/>
      <c r="BN16" s="56"/>
    </row>
    <row r="17" spans="1:66" s="54" customFormat="1" ht="24" customHeight="1" x14ac:dyDescent="0.45">
      <c r="A17" s="55"/>
      <c r="B17" s="55"/>
      <c r="C17" s="72">
        <f t="shared" si="0"/>
        <v>8</v>
      </c>
      <c r="D17" s="59"/>
      <c r="E17" s="60"/>
      <c r="F17" s="60"/>
      <c r="G17" s="61"/>
      <c r="H17" s="60"/>
      <c r="I17" s="60"/>
      <c r="J17" s="60"/>
      <c r="K17" s="60"/>
      <c r="L17" s="162" t="s">
        <v>84</v>
      </c>
      <c r="M17" s="155"/>
      <c r="N17" s="155"/>
      <c r="O17" s="163"/>
      <c r="P17" s="239" t="s">
        <v>110</v>
      </c>
      <c r="Q17" s="237"/>
      <c r="R17" s="237"/>
      <c r="S17" s="237"/>
      <c r="T17" s="237"/>
      <c r="U17" s="237"/>
      <c r="V17" s="237"/>
      <c r="W17" s="238"/>
      <c r="X17" s="239" t="s">
        <v>113</v>
      </c>
      <c r="Y17" s="237"/>
      <c r="Z17" s="237"/>
      <c r="AA17" s="237"/>
      <c r="AB17" s="237"/>
      <c r="AC17" s="237"/>
      <c r="AD17" s="237"/>
      <c r="AE17" s="238"/>
      <c r="AF17" s="76"/>
      <c r="AG17" s="75"/>
      <c r="AH17" s="75"/>
      <c r="AI17" s="75"/>
      <c r="AJ17" s="75"/>
      <c r="AK17" s="75"/>
      <c r="AL17" s="75"/>
      <c r="AM17" s="75"/>
      <c r="AN17" s="80"/>
      <c r="AO17" s="240">
        <v>45702</v>
      </c>
      <c r="AP17" s="241"/>
      <c r="AQ17" s="236" t="s">
        <v>178</v>
      </c>
      <c r="AR17" s="232"/>
      <c r="AS17" s="236" t="s">
        <v>179</v>
      </c>
      <c r="AT17" s="242"/>
      <c r="AU17" s="81"/>
      <c r="AV17" s="82"/>
      <c r="AW17" s="73"/>
      <c r="AX17" s="74"/>
      <c r="AY17" s="73"/>
      <c r="AZ17" s="83"/>
      <c r="BA17" s="77"/>
      <c r="BB17" s="78"/>
      <c r="BC17" s="78"/>
      <c r="BD17" s="78"/>
      <c r="BE17" s="78"/>
      <c r="BF17" s="78"/>
      <c r="BG17" s="78"/>
      <c r="BH17" s="78"/>
      <c r="BI17" s="78"/>
      <c r="BJ17" s="78"/>
      <c r="BK17" s="78"/>
      <c r="BL17" s="79"/>
      <c r="BM17" s="56"/>
      <c r="BN17" s="56"/>
    </row>
    <row r="18" spans="1:66" s="54" customFormat="1" ht="24" customHeight="1" x14ac:dyDescent="0.45">
      <c r="A18" s="55"/>
      <c r="B18" s="55"/>
      <c r="C18" s="72">
        <f t="shared" si="0"/>
        <v>9</v>
      </c>
      <c r="D18" s="59"/>
      <c r="E18" s="60"/>
      <c r="F18" s="60"/>
      <c r="G18" s="61"/>
      <c r="H18" s="60"/>
      <c r="I18" s="60"/>
      <c r="J18" s="60"/>
      <c r="K18" s="60"/>
      <c r="L18" s="162" t="s">
        <v>85</v>
      </c>
      <c r="M18" s="155"/>
      <c r="N18" s="155"/>
      <c r="O18" s="163"/>
      <c r="P18" s="239" t="s">
        <v>110</v>
      </c>
      <c r="Q18" s="237"/>
      <c r="R18" s="237"/>
      <c r="S18" s="237"/>
      <c r="T18" s="237"/>
      <c r="U18" s="237"/>
      <c r="V18" s="237"/>
      <c r="W18" s="238"/>
      <c r="X18" s="239" t="s">
        <v>113</v>
      </c>
      <c r="Y18" s="237"/>
      <c r="Z18" s="237"/>
      <c r="AA18" s="237"/>
      <c r="AB18" s="237"/>
      <c r="AC18" s="237"/>
      <c r="AD18" s="237"/>
      <c r="AE18" s="238"/>
      <c r="AF18" s="76"/>
      <c r="AG18" s="75"/>
      <c r="AH18" s="75"/>
      <c r="AI18" s="75"/>
      <c r="AJ18" s="75"/>
      <c r="AK18" s="75"/>
      <c r="AL18" s="75"/>
      <c r="AM18" s="75"/>
      <c r="AN18" s="80"/>
      <c r="AO18" s="240">
        <v>45702</v>
      </c>
      <c r="AP18" s="241"/>
      <c r="AQ18" s="236" t="s">
        <v>178</v>
      </c>
      <c r="AR18" s="232"/>
      <c r="AS18" s="236" t="s">
        <v>179</v>
      </c>
      <c r="AT18" s="242"/>
      <c r="AU18" s="81"/>
      <c r="AV18" s="82"/>
      <c r="AW18" s="73"/>
      <c r="AX18" s="74"/>
      <c r="AY18" s="73"/>
      <c r="AZ18" s="83"/>
      <c r="BA18" s="77"/>
      <c r="BB18" s="78"/>
      <c r="BC18" s="78"/>
      <c r="BD18" s="78"/>
      <c r="BE18" s="78"/>
      <c r="BF18" s="78"/>
      <c r="BG18" s="78"/>
      <c r="BH18" s="78"/>
      <c r="BI18" s="78"/>
      <c r="BJ18" s="78"/>
      <c r="BK18" s="78"/>
      <c r="BL18" s="79"/>
      <c r="BM18" s="56"/>
      <c r="BN18" s="56"/>
    </row>
    <row r="19" spans="1:66" s="54" customFormat="1" ht="24" customHeight="1" x14ac:dyDescent="0.45">
      <c r="A19" s="55"/>
      <c r="B19" s="55"/>
      <c r="C19" s="72">
        <f t="shared" si="0"/>
        <v>10</v>
      </c>
      <c r="D19" s="59"/>
      <c r="E19" s="60"/>
      <c r="F19" s="60"/>
      <c r="G19" s="61"/>
      <c r="H19" s="60"/>
      <c r="I19" s="60"/>
      <c r="J19" s="60"/>
      <c r="K19" s="60"/>
      <c r="L19" s="162" t="s">
        <v>86</v>
      </c>
      <c r="M19" s="155"/>
      <c r="N19" s="155"/>
      <c r="O19" s="163"/>
      <c r="P19" s="239" t="s">
        <v>110</v>
      </c>
      <c r="Q19" s="237"/>
      <c r="R19" s="237"/>
      <c r="S19" s="237"/>
      <c r="T19" s="237"/>
      <c r="U19" s="237"/>
      <c r="V19" s="237"/>
      <c r="W19" s="238"/>
      <c r="X19" s="239" t="s">
        <v>113</v>
      </c>
      <c r="Y19" s="237"/>
      <c r="Z19" s="237"/>
      <c r="AA19" s="237"/>
      <c r="AB19" s="237"/>
      <c r="AC19" s="237"/>
      <c r="AD19" s="237"/>
      <c r="AE19" s="238"/>
      <c r="AF19" s="76"/>
      <c r="AG19" s="75"/>
      <c r="AH19" s="75"/>
      <c r="AI19" s="75"/>
      <c r="AJ19" s="75"/>
      <c r="AK19" s="75"/>
      <c r="AL19" s="75"/>
      <c r="AM19" s="75"/>
      <c r="AN19" s="80"/>
      <c r="AO19" s="240">
        <v>45702</v>
      </c>
      <c r="AP19" s="241"/>
      <c r="AQ19" s="236" t="s">
        <v>178</v>
      </c>
      <c r="AR19" s="232"/>
      <c r="AS19" s="236" t="s">
        <v>179</v>
      </c>
      <c r="AT19" s="242"/>
      <c r="AU19" s="81"/>
      <c r="AV19" s="82"/>
      <c r="AW19" s="73"/>
      <c r="AX19" s="74"/>
      <c r="AY19" s="73"/>
      <c r="AZ19" s="83"/>
      <c r="BA19" s="77"/>
      <c r="BB19" s="78"/>
      <c r="BC19" s="78"/>
      <c r="BD19" s="78"/>
      <c r="BE19" s="78"/>
      <c r="BF19" s="78"/>
      <c r="BG19" s="78"/>
      <c r="BH19" s="78"/>
      <c r="BI19" s="78"/>
      <c r="BJ19" s="78"/>
      <c r="BK19" s="78"/>
      <c r="BL19" s="79"/>
      <c r="BM19" s="56"/>
      <c r="BN19" s="56"/>
    </row>
    <row r="20" spans="1:66" s="54" customFormat="1" ht="24" customHeight="1" x14ac:dyDescent="0.45">
      <c r="A20" s="55"/>
      <c r="B20" s="55"/>
      <c r="C20" s="72">
        <f t="shared" si="0"/>
        <v>11</v>
      </c>
      <c r="D20" s="59"/>
      <c r="E20" s="60"/>
      <c r="F20" s="60"/>
      <c r="G20" s="61"/>
      <c r="H20" s="60"/>
      <c r="I20" s="60"/>
      <c r="J20" s="60"/>
      <c r="K20" s="60"/>
      <c r="L20" s="162" t="s">
        <v>87</v>
      </c>
      <c r="M20" s="155"/>
      <c r="N20" s="155"/>
      <c r="O20" s="163"/>
      <c r="P20" s="239" t="s">
        <v>110</v>
      </c>
      <c r="Q20" s="237"/>
      <c r="R20" s="237"/>
      <c r="S20" s="237"/>
      <c r="T20" s="237"/>
      <c r="U20" s="237"/>
      <c r="V20" s="237"/>
      <c r="W20" s="238"/>
      <c r="X20" s="239" t="s">
        <v>113</v>
      </c>
      <c r="Y20" s="237"/>
      <c r="Z20" s="237"/>
      <c r="AA20" s="237"/>
      <c r="AB20" s="237"/>
      <c r="AC20" s="237"/>
      <c r="AD20" s="237"/>
      <c r="AE20" s="238"/>
      <c r="AF20" s="76"/>
      <c r="AG20" s="75"/>
      <c r="AH20" s="75"/>
      <c r="AI20" s="75"/>
      <c r="AJ20" s="75"/>
      <c r="AK20" s="75"/>
      <c r="AL20" s="75"/>
      <c r="AM20" s="75"/>
      <c r="AN20" s="80"/>
      <c r="AO20" s="240">
        <v>45702</v>
      </c>
      <c r="AP20" s="241"/>
      <c r="AQ20" s="236" t="s">
        <v>178</v>
      </c>
      <c r="AR20" s="232"/>
      <c r="AS20" s="236" t="s">
        <v>179</v>
      </c>
      <c r="AT20" s="242"/>
      <c r="AU20" s="81"/>
      <c r="AV20" s="82"/>
      <c r="AW20" s="73"/>
      <c r="AX20" s="74"/>
      <c r="AY20" s="73"/>
      <c r="AZ20" s="83"/>
      <c r="BA20" s="77"/>
      <c r="BB20" s="78"/>
      <c r="BC20" s="78"/>
      <c r="BD20" s="78"/>
      <c r="BE20" s="78"/>
      <c r="BF20" s="78"/>
      <c r="BG20" s="78"/>
      <c r="BH20" s="78"/>
      <c r="BI20" s="78"/>
      <c r="BJ20" s="78"/>
      <c r="BK20" s="78"/>
      <c r="BL20" s="79"/>
      <c r="BM20" s="56"/>
      <c r="BN20" s="56"/>
    </row>
    <row r="21" spans="1:66" s="54" customFormat="1" ht="24" customHeight="1" x14ac:dyDescent="0.45">
      <c r="A21" s="55"/>
      <c r="B21" s="55"/>
      <c r="C21" s="72">
        <f t="shared" si="0"/>
        <v>12</v>
      </c>
      <c r="D21" s="59"/>
      <c r="E21" s="60"/>
      <c r="F21" s="60"/>
      <c r="G21" s="61"/>
      <c r="H21" s="60"/>
      <c r="I21" s="60"/>
      <c r="J21" s="60"/>
      <c r="K21" s="60"/>
      <c r="L21" s="162" t="s">
        <v>88</v>
      </c>
      <c r="M21" s="155"/>
      <c r="N21" s="155"/>
      <c r="O21" s="163"/>
      <c r="P21" s="239" t="s">
        <v>110</v>
      </c>
      <c r="Q21" s="237"/>
      <c r="R21" s="237"/>
      <c r="S21" s="237"/>
      <c r="T21" s="237"/>
      <c r="U21" s="237"/>
      <c r="V21" s="237"/>
      <c r="W21" s="238"/>
      <c r="X21" s="239" t="s">
        <v>113</v>
      </c>
      <c r="Y21" s="237"/>
      <c r="Z21" s="237"/>
      <c r="AA21" s="237"/>
      <c r="AB21" s="237"/>
      <c r="AC21" s="237"/>
      <c r="AD21" s="237"/>
      <c r="AE21" s="238"/>
      <c r="AF21" s="76"/>
      <c r="AG21" s="75"/>
      <c r="AH21" s="75"/>
      <c r="AI21" s="75"/>
      <c r="AJ21" s="75"/>
      <c r="AK21" s="75"/>
      <c r="AL21" s="75"/>
      <c r="AM21" s="75"/>
      <c r="AN21" s="80"/>
      <c r="AO21" s="240">
        <v>45702</v>
      </c>
      <c r="AP21" s="241"/>
      <c r="AQ21" s="236" t="s">
        <v>178</v>
      </c>
      <c r="AR21" s="232"/>
      <c r="AS21" s="236" t="s">
        <v>179</v>
      </c>
      <c r="AT21" s="242"/>
      <c r="AU21" s="81"/>
      <c r="AV21" s="82"/>
      <c r="AW21" s="73"/>
      <c r="AX21" s="74"/>
      <c r="AY21" s="73"/>
      <c r="AZ21" s="83"/>
      <c r="BA21" s="77"/>
      <c r="BB21" s="78"/>
      <c r="BC21" s="78"/>
      <c r="BD21" s="78"/>
      <c r="BE21" s="78"/>
      <c r="BF21" s="78"/>
      <c r="BG21" s="78"/>
      <c r="BH21" s="78"/>
      <c r="BI21" s="78"/>
      <c r="BJ21" s="78"/>
      <c r="BK21" s="78"/>
      <c r="BL21" s="79"/>
      <c r="BM21" s="56"/>
      <c r="BN21" s="56"/>
    </row>
    <row r="22" spans="1:66" s="54" customFormat="1" ht="24" customHeight="1" x14ac:dyDescent="0.45">
      <c r="A22" s="55"/>
      <c r="B22" s="55"/>
      <c r="C22" s="72">
        <f t="shared" si="0"/>
        <v>13</v>
      </c>
      <c r="D22" s="59"/>
      <c r="E22" s="60"/>
      <c r="F22" s="60"/>
      <c r="G22" s="61"/>
      <c r="H22" s="60"/>
      <c r="I22" s="60"/>
      <c r="J22" s="60"/>
      <c r="K22" s="60"/>
      <c r="L22" s="162" t="s">
        <v>89</v>
      </c>
      <c r="M22" s="155"/>
      <c r="N22" s="155"/>
      <c r="O22" s="163"/>
      <c r="P22" s="239" t="s">
        <v>110</v>
      </c>
      <c r="Q22" s="237"/>
      <c r="R22" s="237"/>
      <c r="S22" s="237"/>
      <c r="T22" s="237"/>
      <c r="U22" s="237"/>
      <c r="V22" s="237"/>
      <c r="W22" s="238"/>
      <c r="X22" s="239" t="s">
        <v>113</v>
      </c>
      <c r="Y22" s="237"/>
      <c r="Z22" s="237"/>
      <c r="AA22" s="237"/>
      <c r="AB22" s="237"/>
      <c r="AC22" s="237"/>
      <c r="AD22" s="237"/>
      <c r="AE22" s="238"/>
      <c r="AF22" s="76"/>
      <c r="AG22" s="75"/>
      <c r="AH22" s="75"/>
      <c r="AI22" s="75"/>
      <c r="AJ22" s="75"/>
      <c r="AK22" s="75"/>
      <c r="AL22" s="75"/>
      <c r="AM22" s="75"/>
      <c r="AN22" s="80"/>
      <c r="AO22" s="240">
        <v>45702</v>
      </c>
      <c r="AP22" s="241"/>
      <c r="AQ22" s="236" t="s">
        <v>178</v>
      </c>
      <c r="AR22" s="232"/>
      <c r="AS22" s="236" t="s">
        <v>179</v>
      </c>
      <c r="AT22" s="242"/>
      <c r="AU22" s="81"/>
      <c r="AV22" s="82"/>
      <c r="AW22" s="73"/>
      <c r="AX22" s="74"/>
      <c r="AY22" s="73"/>
      <c r="AZ22" s="83"/>
      <c r="BA22" s="77"/>
      <c r="BB22" s="78"/>
      <c r="BC22" s="78"/>
      <c r="BD22" s="78"/>
      <c r="BE22" s="78"/>
      <c r="BF22" s="78"/>
      <c r="BG22" s="78"/>
      <c r="BH22" s="78"/>
      <c r="BI22" s="78"/>
      <c r="BJ22" s="78"/>
      <c r="BK22" s="78"/>
      <c r="BL22" s="79"/>
      <c r="BM22" s="56"/>
      <c r="BN22" s="56"/>
    </row>
    <row r="23" spans="1:66" s="54" customFormat="1" ht="24" customHeight="1" x14ac:dyDescent="0.45">
      <c r="A23" s="55"/>
      <c r="B23" s="55"/>
      <c r="C23" s="72">
        <f t="shared" si="0"/>
        <v>14</v>
      </c>
      <c r="D23" s="59"/>
      <c r="E23" s="60"/>
      <c r="F23" s="60"/>
      <c r="G23" s="61"/>
      <c r="H23" s="60"/>
      <c r="I23" s="60"/>
      <c r="J23" s="60"/>
      <c r="K23" s="60"/>
      <c r="L23" s="162" t="s">
        <v>90</v>
      </c>
      <c r="M23" s="155"/>
      <c r="N23" s="155"/>
      <c r="O23" s="163"/>
      <c r="P23" s="239" t="s">
        <v>110</v>
      </c>
      <c r="Q23" s="237"/>
      <c r="R23" s="237"/>
      <c r="S23" s="237"/>
      <c r="T23" s="237"/>
      <c r="U23" s="237"/>
      <c r="V23" s="237"/>
      <c r="W23" s="238"/>
      <c r="X23" s="239" t="s">
        <v>113</v>
      </c>
      <c r="Y23" s="237"/>
      <c r="Z23" s="237"/>
      <c r="AA23" s="237"/>
      <c r="AB23" s="237"/>
      <c r="AC23" s="237"/>
      <c r="AD23" s="237"/>
      <c r="AE23" s="238"/>
      <c r="AF23" s="76"/>
      <c r="AG23" s="75"/>
      <c r="AH23" s="75"/>
      <c r="AI23" s="75"/>
      <c r="AJ23" s="75"/>
      <c r="AK23" s="75"/>
      <c r="AL23" s="75"/>
      <c r="AM23" s="75"/>
      <c r="AN23" s="80"/>
      <c r="AO23" s="240">
        <v>45702</v>
      </c>
      <c r="AP23" s="241"/>
      <c r="AQ23" s="236" t="s">
        <v>178</v>
      </c>
      <c r="AR23" s="232"/>
      <c r="AS23" s="236" t="s">
        <v>179</v>
      </c>
      <c r="AT23" s="242"/>
      <c r="AU23" s="81"/>
      <c r="AV23" s="82"/>
      <c r="AW23" s="73"/>
      <c r="AX23" s="74"/>
      <c r="AY23" s="73"/>
      <c r="AZ23" s="83"/>
      <c r="BA23" s="77"/>
      <c r="BB23" s="78"/>
      <c r="BC23" s="78"/>
      <c r="BD23" s="78"/>
      <c r="BE23" s="78"/>
      <c r="BF23" s="78"/>
      <c r="BG23" s="78"/>
      <c r="BH23" s="78"/>
      <c r="BI23" s="78"/>
      <c r="BJ23" s="78"/>
      <c r="BK23" s="78"/>
      <c r="BL23" s="79"/>
      <c r="BM23" s="56"/>
      <c r="BN23" s="56"/>
    </row>
    <row r="24" spans="1:66" s="54" customFormat="1" ht="24" customHeight="1" x14ac:dyDescent="0.45">
      <c r="A24" s="55"/>
      <c r="B24" s="55"/>
      <c r="C24" s="72">
        <f t="shared" si="0"/>
        <v>15</v>
      </c>
      <c r="D24" s="59"/>
      <c r="E24" s="60"/>
      <c r="F24" s="60"/>
      <c r="G24" s="61"/>
      <c r="H24" s="60"/>
      <c r="I24" s="60"/>
      <c r="J24" s="60"/>
      <c r="K24" s="60"/>
      <c r="L24" s="162" t="s">
        <v>180</v>
      </c>
      <c r="M24" s="155"/>
      <c r="N24" s="155"/>
      <c r="O24" s="163"/>
      <c r="P24" s="239" t="s">
        <v>110</v>
      </c>
      <c r="Q24" s="237"/>
      <c r="R24" s="237"/>
      <c r="S24" s="237"/>
      <c r="T24" s="237"/>
      <c r="U24" s="237"/>
      <c r="V24" s="237"/>
      <c r="W24" s="238"/>
      <c r="X24" s="239" t="s">
        <v>113</v>
      </c>
      <c r="Y24" s="237"/>
      <c r="Z24" s="237"/>
      <c r="AA24" s="237"/>
      <c r="AB24" s="237"/>
      <c r="AC24" s="237"/>
      <c r="AD24" s="237"/>
      <c r="AE24" s="238"/>
      <c r="AF24" s="76"/>
      <c r="AG24" s="75"/>
      <c r="AH24" s="75"/>
      <c r="AI24" s="75"/>
      <c r="AJ24" s="75"/>
      <c r="AK24" s="75"/>
      <c r="AL24" s="75"/>
      <c r="AM24" s="75"/>
      <c r="AN24" s="80"/>
      <c r="AO24" s="240">
        <v>45702</v>
      </c>
      <c r="AP24" s="241"/>
      <c r="AQ24" s="236" t="s">
        <v>178</v>
      </c>
      <c r="AR24" s="232"/>
      <c r="AS24" s="236" t="s">
        <v>179</v>
      </c>
      <c r="AT24" s="242"/>
      <c r="AU24" s="81"/>
      <c r="AV24" s="82"/>
      <c r="AW24" s="73"/>
      <c r="AX24" s="74"/>
      <c r="AY24" s="73"/>
      <c r="AZ24" s="83"/>
      <c r="BA24" s="77"/>
      <c r="BB24" s="78"/>
      <c r="BC24" s="78"/>
      <c r="BD24" s="78"/>
      <c r="BE24" s="78"/>
      <c r="BF24" s="78"/>
      <c r="BG24" s="78"/>
      <c r="BH24" s="78"/>
      <c r="BI24" s="78"/>
      <c r="BJ24" s="78"/>
      <c r="BK24" s="78"/>
      <c r="BL24" s="79"/>
      <c r="BM24" s="56"/>
      <c r="BN24" s="56"/>
    </row>
    <row r="25" spans="1:66" s="54" customFormat="1" ht="24" customHeight="1" x14ac:dyDescent="0.45">
      <c r="A25" s="55"/>
      <c r="B25" s="55"/>
      <c r="C25" s="72">
        <f t="shared" si="0"/>
        <v>16</v>
      </c>
      <c r="D25" s="59"/>
      <c r="E25" s="60"/>
      <c r="F25" s="60"/>
      <c r="G25" s="61"/>
      <c r="H25" s="60"/>
      <c r="I25" s="60"/>
      <c r="J25" s="60"/>
      <c r="K25" s="60"/>
      <c r="L25" s="162" t="s">
        <v>181</v>
      </c>
      <c r="M25" s="155"/>
      <c r="N25" s="155"/>
      <c r="O25" s="163"/>
      <c r="P25" s="239" t="s">
        <v>110</v>
      </c>
      <c r="Q25" s="237"/>
      <c r="R25" s="237"/>
      <c r="S25" s="237"/>
      <c r="T25" s="237"/>
      <c r="U25" s="237"/>
      <c r="V25" s="237"/>
      <c r="W25" s="238"/>
      <c r="X25" s="239" t="s">
        <v>113</v>
      </c>
      <c r="Y25" s="237"/>
      <c r="Z25" s="237"/>
      <c r="AA25" s="237"/>
      <c r="AB25" s="237"/>
      <c r="AC25" s="237"/>
      <c r="AD25" s="237"/>
      <c r="AE25" s="238"/>
      <c r="AF25" s="76"/>
      <c r="AG25" s="75"/>
      <c r="AH25" s="75"/>
      <c r="AI25" s="75"/>
      <c r="AJ25" s="75"/>
      <c r="AK25" s="75"/>
      <c r="AL25" s="75"/>
      <c r="AM25" s="75"/>
      <c r="AN25" s="80"/>
      <c r="AO25" s="240">
        <v>45702</v>
      </c>
      <c r="AP25" s="241"/>
      <c r="AQ25" s="236" t="s">
        <v>178</v>
      </c>
      <c r="AR25" s="232"/>
      <c r="AS25" s="236" t="s">
        <v>179</v>
      </c>
      <c r="AT25" s="242"/>
      <c r="AU25" s="81"/>
      <c r="AV25" s="82"/>
      <c r="AW25" s="73"/>
      <c r="AX25" s="74"/>
      <c r="AY25" s="73"/>
      <c r="AZ25" s="83"/>
      <c r="BA25" s="77"/>
      <c r="BB25" s="78"/>
      <c r="BC25" s="78"/>
      <c r="BD25" s="78"/>
      <c r="BE25" s="78"/>
      <c r="BF25" s="78"/>
      <c r="BG25" s="78"/>
      <c r="BH25" s="78"/>
      <c r="BI25" s="78"/>
      <c r="BJ25" s="78"/>
      <c r="BK25" s="78"/>
      <c r="BL25" s="79"/>
      <c r="BM25" s="56"/>
      <c r="BN25" s="56"/>
    </row>
    <row r="26" spans="1:66" s="54" customFormat="1" ht="24" customHeight="1" x14ac:dyDescent="0.45">
      <c r="A26" s="55"/>
      <c r="B26" s="55"/>
      <c r="C26" s="72">
        <f t="shared" si="0"/>
        <v>17</v>
      </c>
      <c r="D26" s="59"/>
      <c r="E26" s="60"/>
      <c r="F26" s="60"/>
      <c r="G26" s="61"/>
      <c r="H26" s="60"/>
      <c r="I26" s="60"/>
      <c r="J26" s="60"/>
      <c r="K26" s="60"/>
      <c r="L26" s="162" t="s">
        <v>91</v>
      </c>
      <c r="M26" s="155"/>
      <c r="N26" s="155"/>
      <c r="O26" s="163"/>
      <c r="P26" s="239" t="s">
        <v>110</v>
      </c>
      <c r="Q26" s="237"/>
      <c r="R26" s="237"/>
      <c r="S26" s="237"/>
      <c r="T26" s="237"/>
      <c r="U26" s="237"/>
      <c r="V26" s="237"/>
      <c r="W26" s="238"/>
      <c r="X26" s="239" t="s">
        <v>113</v>
      </c>
      <c r="Y26" s="237"/>
      <c r="Z26" s="237"/>
      <c r="AA26" s="237"/>
      <c r="AB26" s="237"/>
      <c r="AC26" s="237"/>
      <c r="AD26" s="237"/>
      <c r="AE26" s="238"/>
      <c r="AF26" s="76"/>
      <c r="AG26" s="75"/>
      <c r="AH26" s="75"/>
      <c r="AI26" s="75"/>
      <c r="AJ26" s="75"/>
      <c r="AK26" s="75"/>
      <c r="AL26" s="75"/>
      <c r="AM26" s="75"/>
      <c r="AN26" s="80"/>
      <c r="AO26" s="240">
        <v>45702</v>
      </c>
      <c r="AP26" s="241"/>
      <c r="AQ26" s="236" t="s">
        <v>178</v>
      </c>
      <c r="AR26" s="232"/>
      <c r="AS26" s="236" t="s">
        <v>179</v>
      </c>
      <c r="AT26" s="242"/>
      <c r="AU26" s="81"/>
      <c r="AV26" s="82"/>
      <c r="AW26" s="73"/>
      <c r="AX26" s="74"/>
      <c r="AY26" s="73"/>
      <c r="AZ26" s="83"/>
      <c r="BA26" s="77"/>
      <c r="BB26" s="78"/>
      <c r="BC26" s="78"/>
      <c r="BD26" s="78"/>
      <c r="BE26" s="78"/>
      <c r="BF26" s="78"/>
      <c r="BG26" s="78"/>
      <c r="BH26" s="78"/>
      <c r="BI26" s="78"/>
      <c r="BJ26" s="78"/>
      <c r="BK26" s="78"/>
      <c r="BL26" s="79"/>
      <c r="BM26" s="56"/>
      <c r="BN26" s="56"/>
    </row>
    <row r="27" spans="1:66" s="54" customFormat="1" ht="24" customHeight="1" x14ac:dyDescent="0.45">
      <c r="A27" s="55"/>
      <c r="B27" s="55"/>
      <c r="C27" s="72">
        <f t="shared" si="0"/>
        <v>18</v>
      </c>
      <c r="D27" s="59"/>
      <c r="E27" s="60"/>
      <c r="F27" s="60"/>
      <c r="G27" s="61"/>
      <c r="H27" s="60"/>
      <c r="I27" s="60"/>
      <c r="J27" s="60"/>
      <c r="K27" s="60"/>
      <c r="L27" s="162" t="s">
        <v>44</v>
      </c>
      <c r="M27" s="155"/>
      <c r="N27" s="155"/>
      <c r="O27" s="163"/>
      <c r="P27" s="239" t="s">
        <v>110</v>
      </c>
      <c r="Q27" s="237"/>
      <c r="R27" s="237"/>
      <c r="S27" s="237"/>
      <c r="T27" s="237"/>
      <c r="U27" s="237"/>
      <c r="V27" s="237"/>
      <c r="W27" s="238"/>
      <c r="X27" s="239" t="s">
        <v>113</v>
      </c>
      <c r="Y27" s="237"/>
      <c r="Z27" s="237"/>
      <c r="AA27" s="237"/>
      <c r="AB27" s="237"/>
      <c r="AC27" s="237"/>
      <c r="AD27" s="237"/>
      <c r="AE27" s="238"/>
      <c r="AF27" s="76"/>
      <c r="AG27" s="75"/>
      <c r="AH27" s="75"/>
      <c r="AI27" s="75"/>
      <c r="AJ27" s="75"/>
      <c r="AK27" s="75"/>
      <c r="AL27" s="75"/>
      <c r="AM27" s="75"/>
      <c r="AN27" s="80"/>
      <c r="AO27" s="240">
        <v>45702</v>
      </c>
      <c r="AP27" s="241"/>
      <c r="AQ27" s="236" t="s">
        <v>178</v>
      </c>
      <c r="AR27" s="232"/>
      <c r="AS27" s="236" t="s">
        <v>179</v>
      </c>
      <c r="AT27" s="242"/>
      <c r="AU27" s="81"/>
      <c r="AV27" s="82"/>
      <c r="AW27" s="73"/>
      <c r="AX27" s="74"/>
      <c r="AY27" s="73"/>
      <c r="AZ27" s="83"/>
      <c r="BA27" s="77"/>
      <c r="BB27" s="78"/>
      <c r="BC27" s="78"/>
      <c r="BD27" s="78"/>
      <c r="BE27" s="78"/>
      <c r="BF27" s="78"/>
      <c r="BG27" s="78"/>
      <c r="BH27" s="78"/>
      <c r="BI27" s="78"/>
      <c r="BJ27" s="78"/>
      <c r="BK27" s="78"/>
      <c r="BL27" s="79"/>
      <c r="BM27" s="56"/>
      <c r="BN27" s="56"/>
    </row>
    <row r="28" spans="1:66" s="54" customFormat="1" ht="24" customHeight="1" x14ac:dyDescent="0.45">
      <c r="A28" s="55"/>
      <c r="B28" s="55"/>
      <c r="C28" s="72">
        <f t="shared" si="0"/>
        <v>19</v>
      </c>
      <c r="D28" s="59"/>
      <c r="E28" s="60"/>
      <c r="F28" s="60"/>
      <c r="G28" s="61"/>
      <c r="H28" s="60"/>
      <c r="I28" s="60"/>
      <c r="J28" s="60"/>
      <c r="K28" s="60"/>
      <c r="L28" s="162" t="s">
        <v>45</v>
      </c>
      <c r="M28" s="155"/>
      <c r="N28" s="155"/>
      <c r="O28" s="163"/>
      <c r="P28" s="239" t="s">
        <v>110</v>
      </c>
      <c r="Q28" s="237"/>
      <c r="R28" s="237"/>
      <c r="S28" s="237"/>
      <c r="T28" s="237"/>
      <c r="U28" s="237"/>
      <c r="V28" s="237"/>
      <c r="W28" s="238"/>
      <c r="X28" s="239" t="s">
        <v>113</v>
      </c>
      <c r="Y28" s="237"/>
      <c r="Z28" s="237"/>
      <c r="AA28" s="237"/>
      <c r="AB28" s="237"/>
      <c r="AC28" s="237"/>
      <c r="AD28" s="237"/>
      <c r="AE28" s="238"/>
      <c r="AF28" s="76"/>
      <c r="AG28" s="75"/>
      <c r="AH28" s="75"/>
      <c r="AI28" s="75"/>
      <c r="AJ28" s="75"/>
      <c r="AK28" s="75"/>
      <c r="AL28" s="75"/>
      <c r="AM28" s="75"/>
      <c r="AN28" s="80"/>
      <c r="AO28" s="240">
        <v>45702</v>
      </c>
      <c r="AP28" s="241"/>
      <c r="AQ28" s="236" t="s">
        <v>178</v>
      </c>
      <c r="AR28" s="232"/>
      <c r="AS28" s="236" t="s">
        <v>179</v>
      </c>
      <c r="AT28" s="242"/>
      <c r="AU28" s="81"/>
      <c r="AV28" s="82"/>
      <c r="AW28" s="73"/>
      <c r="AX28" s="74"/>
      <c r="AY28" s="73"/>
      <c r="AZ28" s="83"/>
      <c r="BA28" s="77"/>
      <c r="BB28" s="78"/>
      <c r="BC28" s="78"/>
      <c r="BD28" s="78"/>
      <c r="BE28" s="78"/>
      <c r="BF28" s="78"/>
      <c r="BG28" s="78"/>
      <c r="BH28" s="78"/>
      <c r="BI28" s="78"/>
      <c r="BJ28" s="78"/>
      <c r="BK28" s="78"/>
      <c r="BL28" s="79"/>
      <c r="BM28" s="56"/>
      <c r="BN28" s="56"/>
    </row>
    <row r="29" spans="1:66" s="54" customFormat="1" ht="24" customHeight="1" x14ac:dyDescent="0.45">
      <c r="A29" s="55"/>
      <c r="B29" s="55"/>
      <c r="C29" s="72">
        <f t="shared" si="0"/>
        <v>20</v>
      </c>
      <c r="D29" s="59"/>
      <c r="E29" s="60"/>
      <c r="F29" s="60"/>
      <c r="G29" s="61"/>
      <c r="H29" s="60"/>
      <c r="I29" s="60"/>
      <c r="J29" s="60"/>
      <c r="K29" s="60"/>
      <c r="L29" s="162" t="s">
        <v>92</v>
      </c>
      <c r="M29" s="155"/>
      <c r="N29" s="155"/>
      <c r="O29" s="163"/>
      <c r="P29" s="239" t="s">
        <v>110</v>
      </c>
      <c r="Q29" s="237"/>
      <c r="R29" s="237"/>
      <c r="S29" s="237"/>
      <c r="T29" s="237"/>
      <c r="U29" s="237"/>
      <c r="V29" s="237"/>
      <c r="W29" s="238"/>
      <c r="X29" s="239" t="s">
        <v>113</v>
      </c>
      <c r="Y29" s="237"/>
      <c r="Z29" s="237"/>
      <c r="AA29" s="237"/>
      <c r="AB29" s="237"/>
      <c r="AC29" s="237"/>
      <c r="AD29" s="237"/>
      <c r="AE29" s="238"/>
      <c r="AF29" s="76"/>
      <c r="AG29" s="75"/>
      <c r="AH29" s="75"/>
      <c r="AI29" s="75"/>
      <c r="AJ29" s="75"/>
      <c r="AK29" s="75"/>
      <c r="AL29" s="75"/>
      <c r="AM29" s="75"/>
      <c r="AN29" s="80"/>
      <c r="AO29" s="240">
        <v>45702</v>
      </c>
      <c r="AP29" s="241"/>
      <c r="AQ29" s="236" t="s">
        <v>178</v>
      </c>
      <c r="AR29" s="232"/>
      <c r="AS29" s="236" t="s">
        <v>179</v>
      </c>
      <c r="AT29" s="242"/>
      <c r="AU29" s="81"/>
      <c r="AV29" s="82"/>
      <c r="AW29" s="73"/>
      <c r="AX29" s="74"/>
      <c r="AY29" s="73"/>
      <c r="AZ29" s="83"/>
      <c r="BA29" s="77"/>
      <c r="BB29" s="78"/>
      <c r="BC29" s="78"/>
      <c r="BD29" s="78"/>
      <c r="BE29" s="78"/>
      <c r="BF29" s="78"/>
      <c r="BG29" s="78"/>
      <c r="BH29" s="78"/>
      <c r="BI29" s="78"/>
      <c r="BJ29" s="78"/>
      <c r="BK29" s="78"/>
      <c r="BL29" s="79"/>
      <c r="BM29" s="56"/>
      <c r="BN29" s="56"/>
    </row>
    <row r="30" spans="1:66" s="54" customFormat="1" ht="24" customHeight="1" x14ac:dyDescent="0.45">
      <c r="A30" s="55"/>
      <c r="B30" s="55"/>
      <c r="C30" s="72">
        <f t="shared" si="0"/>
        <v>21</v>
      </c>
      <c r="D30" s="59"/>
      <c r="E30" s="60"/>
      <c r="F30" s="60"/>
      <c r="G30" s="61"/>
      <c r="H30" s="60"/>
      <c r="I30" s="60"/>
      <c r="J30" s="60"/>
      <c r="K30" s="60"/>
      <c r="L30" s="162" t="s">
        <v>93</v>
      </c>
      <c r="M30" s="155"/>
      <c r="N30" s="155"/>
      <c r="O30" s="163"/>
      <c r="P30" s="239" t="s">
        <v>110</v>
      </c>
      <c r="Q30" s="237"/>
      <c r="R30" s="237"/>
      <c r="S30" s="237"/>
      <c r="T30" s="237"/>
      <c r="U30" s="237"/>
      <c r="V30" s="237"/>
      <c r="W30" s="238"/>
      <c r="X30" s="239" t="s">
        <v>113</v>
      </c>
      <c r="Y30" s="237"/>
      <c r="Z30" s="237"/>
      <c r="AA30" s="237"/>
      <c r="AB30" s="237"/>
      <c r="AC30" s="237"/>
      <c r="AD30" s="237"/>
      <c r="AE30" s="238"/>
      <c r="AF30" s="76"/>
      <c r="AG30" s="75"/>
      <c r="AH30" s="75"/>
      <c r="AI30" s="75"/>
      <c r="AJ30" s="75"/>
      <c r="AK30" s="75"/>
      <c r="AL30" s="75"/>
      <c r="AM30" s="75"/>
      <c r="AN30" s="80"/>
      <c r="AO30" s="240">
        <v>45702</v>
      </c>
      <c r="AP30" s="241"/>
      <c r="AQ30" s="236" t="s">
        <v>178</v>
      </c>
      <c r="AR30" s="232"/>
      <c r="AS30" s="236" t="s">
        <v>179</v>
      </c>
      <c r="AT30" s="242"/>
      <c r="AU30" s="81"/>
      <c r="AV30" s="82"/>
      <c r="AW30" s="73"/>
      <c r="AX30" s="74"/>
      <c r="AY30" s="73"/>
      <c r="AZ30" s="83"/>
      <c r="BA30" s="77"/>
      <c r="BB30" s="78"/>
      <c r="BC30" s="78"/>
      <c r="BD30" s="78"/>
      <c r="BE30" s="78"/>
      <c r="BF30" s="78"/>
      <c r="BG30" s="78"/>
      <c r="BH30" s="78"/>
      <c r="BI30" s="78"/>
      <c r="BJ30" s="78"/>
      <c r="BK30" s="78"/>
      <c r="BL30" s="79"/>
      <c r="BM30" s="56"/>
      <c r="BN30" s="56"/>
    </row>
    <row r="31" spans="1:66" s="54" customFormat="1" ht="24" customHeight="1" x14ac:dyDescent="0.45">
      <c r="A31" s="55"/>
      <c r="B31" s="55"/>
      <c r="C31" s="72">
        <f t="shared" si="0"/>
        <v>22</v>
      </c>
      <c r="D31" s="59"/>
      <c r="E31" s="60"/>
      <c r="F31" s="60"/>
      <c r="G31" s="61"/>
      <c r="H31" s="60"/>
      <c r="I31" s="60"/>
      <c r="J31" s="60"/>
      <c r="K31" s="60"/>
      <c r="L31" s="162" t="s">
        <v>94</v>
      </c>
      <c r="M31" s="155"/>
      <c r="N31" s="155"/>
      <c r="O31" s="163"/>
      <c r="P31" s="239" t="s">
        <v>110</v>
      </c>
      <c r="Q31" s="237"/>
      <c r="R31" s="237"/>
      <c r="S31" s="237"/>
      <c r="T31" s="237"/>
      <c r="U31" s="237"/>
      <c r="V31" s="237"/>
      <c r="W31" s="238"/>
      <c r="X31" s="239" t="s">
        <v>113</v>
      </c>
      <c r="Y31" s="237"/>
      <c r="Z31" s="237"/>
      <c r="AA31" s="237"/>
      <c r="AB31" s="237"/>
      <c r="AC31" s="237"/>
      <c r="AD31" s="237"/>
      <c r="AE31" s="238"/>
      <c r="AF31" s="76"/>
      <c r="AG31" s="75"/>
      <c r="AH31" s="75"/>
      <c r="AI31" s="75"/>
      <c r="AJ31" s="75"/>
      <c r="AK31" s="75"/>
      <c r="AL31" s="75"/>
      <c r="AM31" s="75"/>
      <c r="AN31" s="80"/>
      <c r="AO31" s="240">
        <v>45702</v>
      </c>
      <c r="AP31" s="241"/>
      <c r="AQ31" s="236" t="s">
        <v>178</v>
      </c>
      <c r="AR31" s="232"/>
      <c r="AS31" s="236" t="s">
        <v>179</v>
      </c>
      <c r="AT31" s="242"/>
      <c r="AU31" s="81"/>
      <c r="AV31" s="82"/>
      <c r="AW31" s="73"/>
      <c r="AX31" s="74"/>
      <c r="AY31" s="73"/>
      <c r="AZ31" s="83"/>
      <c r="BA31" s="77"/>
      <c r="BB31" s="78"/>
      <c r="BC31" s="78"/>
      <c r="BD31" s="78"/>
      <c r="BE31" s="78"/>
      <c r="BF31" s="78"/>
      <c r="BG31" s="78"/>
      <c r="BH31" s="78"/>
      <c r="BI31" s="78"/>
      <c r="BJ31" s="78"/>
      <c r="BK31" s="78"/>
      <c r="BL31" s="79"/>
      <c r="BM31" s="56"/>
      <c r="BN31" s="56"/>
    </row>
    <row r="32" spans="1:66" s="54" customFormat="1" ht="24" customHeight="1" x14ac:dyDescent="0.45">
      <c r="A32" s="55"/>
      <c r="B32" s="55"/>
      <c r="C32" s="72">
        <f t="shared" si="0"/>
        <v>23</v>
      </c>
      <c r="D32" s="59"/>
      <c r="E32" s="60"/>
      <c r="F32" s="60"/>
      <c r="G32" s="61"/>
      <c r="H32" s="60"/>
      <c r="I32" s="60"/>
      <c r="J32" s="60"/>
      <c r="K32" s="60"/>
      <c r="L32" s="28" t="s">
        <v>46</v>
      </c>
      <c r="M32" s="155"/>
      <c r="N32" s="155"/>
      <c r="O32" s="163"/>
      <c r="P32" s="239" t="s">
        <v>110</v>
      </c>
      <c r="Q32" s="237"/>
      <c r="R32" s="237"/>
      <c r="S32" s="237"/>
      <c r="T32" s="237"/>
      <c r="U32" s="237"/>
      <c r="V32" s="237"/>
      <c r="W32" s="238"/>
      <c r="X32" s="239" t="s">
        <v>113</v>
      </c>
      <c r="Y32" s="237"/>
      <c r="Z32" s="237"/>
      <c r="AA32" s="237"/>
      <c r="AB32" s="237"/>
      <c r="AC32" s="237"/>
      <c r="AD32" s="237"/>
      <c r="AE32" s="238"/>
      <c r="AF32" s="76"/>
      <c r="AG32" s="75"/>
      <c r="AH32" s="75"/>
      <c r="AI32" s="75"/>
      <c r="AJ32" s="75"/>
      <c r="AK32" s="75"/>
      <c r="AL32" s="75"/>
      <c r="AM32" s="75"/>
      <c r="AN32" s="80"/>
      <c r="AO32" s="240">
        <v>45702</v>
      </c>
      <c r="AP32" s="241"/>
      <c r="AQ32" s="236" t="s">
        <v>178</v>
      </c>
      <c r="AR32" s="232"/>
      <c r="AS32" s="236" t="s">
        <v>179</v>
      </c>
      <c r="AT32" s="242"/>
      <c r="AU32" s="81"/>
      <c r="AV32" s="82"/>
      <c r="AW32" s="73"/>
      <c r="AX32" s="74"/>
      <c r="AY32" s="73"/>
      <c r="AZ32" s="83"/>
      <c r="BA32" s="77"/>
      <c r="BB32" s="78"/>
      <c r="BC32" s="78"/>
      <c r="BD32" s="78"/>
      <c r="BE32" s="78"/>
      <c r="BF32" s="78"/>
      <c r="BG32" s="78"/>
      <c r="BH32" s="78"/>
      <c r="BI32" s="78"/>
      <c r="BJ32" s="78"/>
      <c r="BK32" s="78"/>
      <c r="BL32" s="79"/>
      <c r="BM32" s="56"/>
      <c r="BN32" s="56"/>
    </row>
    <row r="33" spans="1:66" s="54" customFormat="1" ht="24" customHeight="1" x14ac:dyDescent="0.45">
      <c r="A33" s="55"/>
      <c r="B33" s="55"/>
      <c r="C33" s="72">
        <f t="shared" si="0"/>
        <v>24</v>
      </c>
      <c r="D33" s="59"/>
      <c r="E33" s="60"/>
      <c r="F33" s="60"/>
      <c r="G33" s="61"/>
      <c r="H33" s="60"/>
      <c r="I33" s="60"/>
      <c r="J33" s="60"/>
      <c r="K33" s="60"/>
      <c r="L33" s="28" t="s">
        <v>47</v>
      </c>
      <c r="M33" s="155"/>
      <c r="N33" s="155"/>
      <c r="O33" s="163"/>
      <c r="P33" s="239" t="s">
        <v>110</v>
      </c>
      <c r="Q33" s="237"/>
      <c r="R33" s="237"/>
      <c r="S33" s="237"/>
      <c r="T33" s="237"/>
      <c r="U33" s="237"/>
      <c r="V33" s="237"/>
      <c r="W33" s="238"/>
      <c r="X33" s="239" t="s">
        <v>113</v>
      </c>
      <c r="Y33" s="237"/>
      <c r="Z33" s="237"/>
      <c r="AA33" s="237"/>
      <c r="AB33" s="237"/>
      <c r="AC33" s="237"/>
      <c r="AD33" s="237"/>
      <c r="AE33" s="238"/>
      <c r="AF33" s="76"/>
      <c r="AG33" s="75"/>
      <c r="AH33" s="75"/>
      <c r="AI33" s="75"/>
      <c r="AJ33" s="75"/>
      <c r="AK33" s="75"/>
      <c r="AL33" s="75"/>
      <c r="AM33" s="75"/>
      <c r="AN33" s="80"/>
      <c r="AO33" s="240">
        <v>45702</v>
      </c>
      <c r="AP33" s="241"/>
      <c r="AQ33" s="236" t="s">
        <v>178</v>
      </c>
      <c r="AR33" s="232"/>
      <c r="AS33" s="236" t="s">
        <v>179</v>
      </c>
      <c r="AT33" s="242"/>
      <c r="AU33" s="81"/>
      <c r="AV33" s="82"/>
      <c r="AW33" s="73"/>
      <c r="AX33" s="74"/>
      <c r="AY33" s="73"/>
      <c r="AZ33" s="83"/>
      <c r="BA33" s="77"/>
      <c r="BB33" s="78"/>
      <c r="BC33" s="78"/>
      <c r="BD33" s="78"/>
      <c r="BE33" s="78"/>
      <c r="BF33" s="78"/>
      <c r="BG33" s="78"/>
      <c r="BH33" s="78"/>
      <c r="BI33" s="78"/>
      <c r="BJ33" s="78"/>
      <c r="BK33" s="78"/>
      <c r="BL33" s="79"/>
      <c r="BM33" s="56"/>
      <c r="BN33" s="56"/>
    </row>
    <row r="34" spans="1:66" s="54" customFormat="1" ht="24" customHeight="1" x14ac:dyDescent="0.45">
      <c r="A34" s="55"/>
      <c r="B34" s="55"/>
      <c r="C34" s="72">
        <f t="shared" si="0"/>
        <v>25</v>
      </c>
      <c r="D34" s="59"/>
      <c r="E34" s="60"/>
      <c r="F34" s="60"/>
      <c r="G34" s="61"/>
      <c r="H34" s="60"/>
      <c r="I34" s="60"/>
      <c r="J34" s="60"/>
      <c r="K34" s="60"/>
      <c r="L34" s="162" t="s">
        <v>95</v>
      </c>
      <c r="M34" s="155"/>
      <c r="N34" s="155"/>
      <c r="O34" s="163"/>
      <c r="P34" s="239" t="s">
        <v>110</v>
      </c>
      <c r="Q34" s="237"/>
      <c r="R34" s="237"/>
      <c r="S34" s="237"/>
      <c r="T34" s="237"/>
      <c r="U34" s="237"/>
      <c r="V34" s="237"/>
      <c r="W34" s="238"/>
      <c r="X34" s="239" t="s">
        <v>113</v>
      </c>
      <c r="Y34" s="237"/>
      <c r="Z34" s="237"/>
      <c r="AA34" s="237"/>
      <c r="AB34" s="237"/>
      <c r="AC34" s="237"/>
      <c r="AD34" s="237"/>
      <c r="AE34" s="238"/>
      <c r="AF34" s="76"/>
      <c r="AG34" s="75"/>
      <c r="AH34" s="75"/>
      <c r="AI34" s="75"/>
      <c r="AJ34" s="75"/>
      <c r="AK34" s="75"/>
      <c r="AL34" s="75"/>
      <c r="AM34" s="75"/>
      <c r="AN34" s="80"/>
      <c r="AO34" s="240">
        <v>45702</v>
      </c>
      <c r="AP34" s="241"/>
      <c r="AQ34" s="236" t="s">
        <v>178</v>
      </c>
      <c r="AR34" s="232"/>
      <c r="AS34" s="236" t="s">
        <v>179</v>
      </c>
      <c r="AT34" s="242"/>
      <c r="AU34" s="81"/>
      <c r="AV34" s="82"/>
      <c r="AW34" s="73"/>
      <c r="AX34" s="74"/>
      <c r="AY34" s="73"/>
      <c r="AZ34" s="83"/>
      <c r="BA34" s="77"/>
      <c r="BB34" s="78"/>
      <c r="BC34" s="78"/>
      <c r="BD34" s="78"/>
      <c r="BE34" s="78"/>
      <c r="BF34" s="78"/>
      <c r="BG34" s="78"/>
      <c r="BH34" s="78"/>
      <c r="BI34" s="78"/>
      <c r="BJ34" s="78"/>
      <c r="BK34" s="78"/>
      <c r="BL34" s="79"/>
      <c r="BM34" s="56"/>
      <c r="BN34" s="56"/>
    </row>
    <row r="35" spans="1:66" s="54" customFormat="1" ht="24" customHeight="1" x14ac:dyDescent="0.45">
      <c r="A35" s="55"/>
      <c r="B35" s="55"/>
      <c r="C35" s="72">
        <f t="shared" si="0"/>
        <v>26</v>
      </c>
      <c r="D35" s="59"/>
      <c r="E35" s="60"/>
      <c r="F35" s="60"/>
      <c r="G35" s="61"/>
      <c r="H35" s="60"/>
      <c r="I35" s="60"/>
      <c r="J35" s="60"/>
      <c r="K35" s="60"/>
      <c r="L35" s="162" t="s">
        <v>96</v>
      </c>
      <c r="M35" s="155"/>
      <c r="N35" s="155"/>
      <c r="O35" s="163"/>
      <c r="P35" s="239" t="s">
        <v>110</v>
      </c>
      <c r="Q35" s="237"/>
      <c r="R35" s="237"/>
      <c r="S35" s="237"/>
      <c r="T35" s="237"/>
      <c r="U35" s="237"/>
      <c r="V35" s="237"/>
      <c r="W35" s="238"/>
      <c r="X35" s="239" t="s">
        <v>113</v>
      </c>
      <c r="Y35" s="237"/>
      <c r="Z35" s="237"/>
      <c r="AA35" s="237"/>
      <c r="AB35" s="237"/>
      <c r="AC35" s="237"/>
      <c r="AD35" s="237"/>
      <c r="AE35" s="238"/>
      <c r="AF35" s="76"/>
      <c r="AG35" s="75"/>
      <c r="AH35" s="75"/>
      <c r="AI35" s="75"/>
      <c r="AJ35" s="75"/>
      <c r="AK35" s="75"/>
      <c r="AL35" s="75"/>
      <c r="AM35" s="75"/>
      <c r="AN35" s="80"/>
      <c r="AO35" s="240">
        <v>45702</v>
      </c>
      <c r="AP35" s="241"/>
      <c r="AQ35" s="236" t="s">
        <v>178</v>
      </c>
      <c r="AR35" s="232"/>
      <c r="AS35" s="236" t="s">
        <v>179</v>
      </c>
      <c r="AT35" s="242"/>
      <c r="AU35" s="81"/>
      <c r="AV35" s="82"/>
      <c r="AW35" s="73"/>
      <c r="AX35" s="74"/>
      <c r="AY35" s="73"/>
      <c r="AZ35" s="83"/>
      <c r="BA35" s="77"/>
      <c r="BB35" s="78"/>
      <c r="BC35" s="78"/>
      <c r="BD35" s="78"/>
      <c r="BE35" s="78"/>
      <c r="BF35" s="78"/>
      <c r="BG35" s="78"/>
      <c r="BH35" s="78"/>
      <c r="BI35" s="78"/>
      <c r="BJ35" s="78"/>
      <c r="BK35" s="78"/>
      <c r="BL35" s="79"/>
      <c r="BM35" s="56"/>
      <c r="BN35" s="56"/>
    </row>
    <row r="36" spans="1:66" s="54" customFormat="1" ht="24" customHeight="1" x14ac:dyDescent="0.45">
      <c r="A36" s="55"/>
      <c r="B36" s="55"/>
      <c r="C36" s="72">
        <f t="shared" si="0"/>
        <v>27</v>
      </c>
      <c r="D36" s="59"/>
      <c r="E36" s="60"/>
      <c r="F36" s="60"/>
      <c r="G36" s="61"/>
      <c r="H36" s="60"/>
      <c r="I36" s="60"/>
      <c r="J36" s="60"/>
      <c r="K36" s="60"/>
      <c r="L36" s="162" t="s">
        <v>97</v>
      </c>
      <c r="M36" s="155"/>
      <c r="N36" s="155"/>
      <c r="O36" s="163"/>
      <c r="P36" s="239" t="s">
        <v>110</v>
      </c>
      <c r="Q36" s="237"/>
      <c r="R36" s="237"/>
      <c r="S36" s="237"/>
      <c r="T36" s="237"/>
      <c r="U36" s="237"/>
      <c r="V36" s="237"/>
      <c r="W36" s="238"/>
      <c r="X36" s="239" t="s">
        <v>113</v>
      </c>
      <c r="Y36" s="237"/>
      <c r="Z36" s="237"/>
      <c r="AA36" s="237"/>
      <c r="AB36" s="237"/>
      <c r="AC36" s="237"/>
      <c r="AD36" s="237"/>
      <c r="AE36" s="238"/>
      <c r="AF36" s="76"/>
      <c r="AG36" s="75"/>
      <c r="AH36" s="75"/>
      <c r="AI36" s="75"/>
      <c r="AJ36" s="75"/>
      <c r="AK36" s="75"/>
      <c r="AL36" s="75"/>
      <c r="AM36" s="75"/>
      <c r="AN36" s="80"/>
      <c r="AO36" s="240">
        <v>45702</v>
      </c>
      <c r="AP36" s="241"/>
      <c r="AQ36" s="236" t="s">
        <v>178</v>
      </c>
      <c r="AR36" s="232"/>
      <c r="AS36" s="236" t="s">
        <v>179</v>
      </c>
      <c r="AT36" s="242"/>
      <c r="AU36" s="81"/>
      <c r="AV36" s="82"/>
      <c r="AW36" s="73"/>
      <c r="AX36" s="74"/>
      <c r="AY36" s="73"/>
      <c r="AZ36" s="83"/>
      <c r="BA36" s="77"/>
      <c r="BB36" s="78"/>
      <c r="BC36" s="78"/>
      <c r="BD36" s="78"/>
      <c r="BE36" s="78"/>
      <c r="BF36" s="78"/>
      <c r="BG36" s="78"/>
      <c r="BH36" s="78"/>
      <c r="BI36" s="78"/>
      <c r="BJ36" s="78"/>
      <c r="BK36" s="78"/>
      <c r="BL36" s="79"/>
      <c r="BM36" s="56"/>
      <c r="BN36" s="56"/>
    </row>
    <row r="37" spans="1:66" s="54" customFormat="1" ht="24" customHeight="1" x14ac:dyDescent="0.45">
      <c r="A37" s="55"/>
      <c r="B37" s="55"/>
      <c r="C37" s="72">
        <f t="shared" si="0"/>
        <v>28</v>
      </c>
      <c r="D37" s="59"/>
      <c r="E37" s="60"/>
      <c r="F37" s="60"/>
      <c r="G37" s="61"/>
      <c r="H37" s="60"/>
      <c r="I37" s="60"/>
      <c r="J37" s="60"/>
      <c r="K37" s="60"/>
      <c r="L37" s="162" t="s">
        <v>98</v>
      </c>
      <c r="M37" s="155"/>
      <c r="N37" s="155"/>
      <c r="O37" s="163"/>
      <c r="P37" s="239" t="s">
        <v>110</v>
      </c>
      <c r="Q37" s="237"/>
      <c r="R37" s="237"/>
      <c r="S37" s="237"/>
      <c r="T37" s="237"/>
      <c r="U37" s="237"/>
      <c r="V37" s="237"/>
      <c r="W37" s="238"/>
      <c r="X37" s="239" t="s">
        <v>113</v>
      </c>
      <c r="Y37" s="237"/>
      <c r="Z37" s="237"/>
      <c r="AA37" s="237"/>
      <c r="AB37" s="237"/>
      <c r="AC37" s="237"/>
      <c r="AD37" s="237"/>
      <c r="AE37" s="238"/>
      <c r="AF37" s="76"/>
      <c r="AG37" s="75"/>
      <c r="AH37" s="75"/>
      <c r="AI37" s="75"/>
      <c r="AJ37" s="75"/>
      <c r="AK37" s="75"/>
      <c r="AL37" s="75"/>
      <c r="AM37" s="75"/>
      <c r="AN37" s="80"/>
      <c r="AO37" s="240">
        <v>45702</v>
      </c>
      <c r="AP37" s="241"/>
      <c r="AQ37" s="236" t="s">
        <v>178</v>
      </c>
      <c r="AR37" s="232"/>
      <c r="AS37" s="236" t="s">
        <v>179</v>
      </c>
      <c r="AT37" s="242"/>
      <c r="AU37" s="81"/>
      <c r="AV37" s="82"/>
      <c r="AW37" s="73"/>
      <c r="AX37" s="74"/>
      <c r="AY37" s="73"/>
      <c r="AZ37" s="83"/>
      <c r="BA37" s="77"/>
      <c r="BB37" s="78"/>
      <c r="BC37" s="78"/>
      <c r="BD37" s="78"/>
      <c r="BE37" s="78"/>
      <c r="BF37" s="78"/>
      <c r="BG37" s="78"/>
      <c r="BH37" s="78"/>
      <c r="BI37" s="78"/>
      <c r="BJ37" s="78"/>
      <c r="BK37" s="78"/>
      <c r="BL37" s="79"/>
      <c r="BM37" s="56"/>
      <c r="BN37" s="56"/>
    </row>
    <row r="38" spans="1:66" s="54" customFormat="1" ht="24" customHeight="1" x14ac:dyDescent="0.45">
      <c r="A38" s="55"/>
      <c r="B38" s="55"/>
      <c r="C38" s="72">
        <f t="shared" si="0"/>
        <v>29</v>
      </c>
      <c r="D38" s="59"/>
      <c r="E38" s="60"/>
      <c r="F38" s="60"/>
      <c r="G38" s="61"/>
      <c r="H38" s="60"/>
      <c r="I38" s="60"/>
      <c r="J38" s="60"/>
      <c r="K38" s="60"/>
      <c r="L38" s="162" t="s">
        <v>99</v>
      </c>
      <c r="M38" s="155"/>
      <c r="N38" s="155"/>
      <c r="O38" s="163"/>
      <c r="P38" s="239" t="s">
        <v>110</v>
      </c>
      <c r="Q38" s="237"/>
      <c r="R38" s="237"/>
      <c r="S38" s="237"/>
      <c r="T38" s="237"/>
      <c r="U38" s="237"/>
      <c r="V38" s="237"/>
      <c r="W38" s="238"/>
      <c r="X38" s="239" t="s">
        <v>113</v>
      </c>
      <c r="Y38" s="237"/>
      <c r="Z38" s="237"/>
      <c r="AA38" s="237"/>
      <c r="AB38" s="237"/>
      <c r="AC38" s="237"/>
      <c r="AD38" s="237"/>
      <c r="AE38" s="238"/>
      <c r="AF38" s="76"/>
      <c r="AG38" s="75"/>
      <c r="AH38" s="75"/>
      <c r="AI38" s="75"/>
      <c r="AJ38" s="75"/>
      <c r="AK38" s="75"/>
      <c r="AL38" s="75"/>
      <c r="AM38" s="75"/>
      <c r="AN38" s="80"/>
      <c r="AO38" s="240">
        <v>45702</v>
      </c>
      <c r="AP38" s="241"/>
      <c r="AQ38" s="236" t="s">
        <v>178</v>
      </c>
      <c r="AR38" s="232"/>
      <c r="AS38" s="236" t="s">
        <v>179</v>
      </c>
      <c r="AT38" s="242"/>
      <c r="AU38" s="81"/>
      <c r="AV38" s="82"/>
      <c r="AW38" s="73"/>
      <c r="AX38" s="74"/>
      <c r="AY38" s="73"/>
      <c r="AZ38" s="83"/>
      <c r="BA38" s="77"/>
      <c r="BB38" s="78"/>
      <c r="BC38" s="78"/>
      <c r="BD38" s="78"/>
      <c r="BE38" s="78"/>
      <c r="BF38" s="78"/>
      <c r="BG38" s="78"/>
      <c r="BH38" s="78"/>
      <c r="BI38" s="78"/>
      <c r="BJ38" s="78"/>
      <c r="BK38" s="78"/>
      <c r="BL38" s="79"/>
      <c r="BM38" s="56"/>
      <c r="BN38" s="56"/>
    </row>
    <row r="39" spans="1:66" s="54" customFormat="1" ht="24" customHeight="1" x14ac:dyDescent="0.45">
      <c r="A39" s="55"/>
      <c r="B39" s="55"/>
      <c r="C39" s="72">
        <f t="shared" si="0"/>
        <v>30</v>
      </c>
      <c r="D39" s="59"/>
      <c r="E39" s="60"/>
      <c r="F39" s="60"/>
      <c r="G39" s="61"/>
      <c r="H39" s="60"/>
      <c r="I39" s="60"/>
      <c r="J39" s="60"/>
      <c r="K39" s="60"/>
      <c r="L39" s="162" t="s">
        <v>100</v>
      </c>
      <c r="M39" s="180"/>
      <c r="N39" s="180"/>
      <c r="O39" s="181"/>
      <c r="P39" s="239" t="s">
        <v>110</v>
      </c>
      <c r="Q39" s="237"/>
      <c r="R39" s="237"/>
      <c r="S39" s="237"/>
      <c r="T39" s="237"/>
      <c r="U39" s="237"/>
      <c r="V39" s="237"/>
      <c r="W39" s="238"/>
      <c r="X39" s="239" t="s">
        <v>113</v>
      </c>
      <c r="Y39" s="237"/>
      <c r="Z39" s="237"/>
      <c r="AA39" s="237"/>
      <c r="AB39" s="237"/>
      <c r="AC39" s="237"/>
      <c r="AD39" s="237"/>
      <c r="AE39" s="238"/>
      <c r="AF39" s="76"/>
      <c r="AG39" s="75"/>
      <c r="AH39" s="75"/>
      <c r="AI39" s="75"/>
      <c r="AJ39" s="75"/>
      <c r="AK39" s="75"/>
      <c r="AL39" s="75"/>
      <c r="AM39" s="75"/>
      <c r="AN39" s="80"/>
      <c r="AO39" s="240">
        <v>45702</v>
      </c>
      <c r="AP39" s="241"/>
      <c r="AQ39" s="236" t="s">
        <v>178</v>
      </c>
      <c r="AR39" s="232"/>
      <c r="AS39" s="236" t="s">
        <v>179</v>
      </c>
      <c r="AT39" s="242"/>
      <c r="AU39" s="81"/>
      <c r="AV39" s="82"/>
      <c r="AW39" s="73"/>
      <c r="AX39" s="74"/>
      <c r="AY39" s="73"/>
      <c r="AZ39" s="83"/>
      <c r="BA39" s="77"/>
      <c r="BB39" s="78"/>
      <c r="BC39" s="78"/>
      <c r="BD39" s="78"/>
      <c r="BE39" s="78"/>
      <c r="BF39" s="78"/>
      <c r="BG39" s="78"/>
      <c r="BH39" s="78"/>
      <c r="BI39" s="78"/>
      <c r="BJ39" s="78"/>
      <c r="BK39" s="78"/>
      <c r="BL39" s="79"/>
      <c r="BM39" s="56"/>
      <c r="BN39" s="56"/>
    </row>
    <row r="40" spans="1:66" s="54" customFormat="1" ht="24" customHeight="1" x14ac:dyDescent="0.45">
      <c r="A40" s="55"/>
      <c r="B40" s="55"/>
      <c r="C40" s="72">
        <f t="shared" si="0"/>
        <v>31</v>
      </c>
      <c r="D40" s="59"/>
      <c r="E40" s="131"/>
      <c r="F40" s="131"/>
      <c r="G40" s="61"/>
      <c r="H40" s="131"/>
      <c r="I40" s="131"/>
      <c r="J40" s="131"/>
      <c r="K40" s="131"/>
      <c r="L40" s="192" t="s">
        <v>101</v>
      </c>
      <c r="M40" s="180"/>
      <c r="N40" s="180"/>
      <c r="O40" s="181"/>
      <c r="P40" s="239" t="s">
        <v>110</v>
      </c>
      <c r="Q40" s="237"/>
      <c r="R40" s="237"/>
      <c r="S40" s="237"/>
      <c r="T40" s="237"/>
      <c r="U40" s="237"/>
      <c r="V40" s="237"/>
      <c r="W40" s="238"/>
      <c r="X40" s="239" t="s">
        <v>113</v>
      </c>
      <c r="Y40" s="237"/>
      <c r="Z40" s="237"/>
      <c r="AA40" s="237"/>
      <c r="AB40" s="237"/>
      <c r="AC40" s="237"/>
      <c r="AD40" s="237"/>
      <c r="AE40" s="238"/>
      <c r="AF40" s="239"/>
      <c r="AG40" s="237"/>
      <c r="AH40" s="237"/>
      <c r="AI40" s="237"/>
      <c r="AJ40" s="237"/>
      <c r="AK40" s="237"/>
      <c r="AL40" s="237"/>
      <c r="AM40" s="237"/>
      <c r="AN40" s="270"/>
      <c r="AO40" s="240">
        <v>45702</v>
      </c>
      <c r="AP40" s="241"/>
      <c r="AQ40" s="236" t="s">
        <v>178</v>
      </c>
      <c r="AR40" s="232"/>
      <c r="AS40" s="236" t="s">
        <v>179</v>
      </c>
      <c r="AT40" s="242"/>
      <c r="AU40" s="127"/>
      <c r="AV40" s="128"/>
      <c r="AW40" s="117"/>
      <c r="AX40" s="118"/>
      <c r="AY40" s="117"/>
      <c r="AZ40" s="122"/>
      <c r="BA40" s="123"/>
      <c r="BB40" s="124"/>
      <c r="BC40" s="124"/>
      <c r="BD40" s="124"/>
      <c r="BE40" s="124"/>
      <c r="BF40" s="124"/>
      <c r="BG40" s="124"/>
      <c r="BH40" s="124"/>
      <c r="BI40" s="124"/>
      <c r="BJ40" s="124"/>
      <c r="BK40" s="124"/>
      <c r="BL40" s="125"/>
      <c r="BM40" s="56"/>
      <c r="BN40" s="56"/>
    </row>
    <row r="41" spans="1:66" s="54" customFormat="1" ht="24" customHeight="1" x14ac:dyDescent="0.45">
      <c r="A41" s="55"/>
      <c r="B41" s="55"/>
      <c r="C41" s="72">
        <f t="shared" si="0"/>
        <v>32</v>
      </c>
      <c r="D41" s="59"/>
      <c r="E41" s="131"/>
      <c r="F41" s="131"/>
      <c r="G41" s="61"/>
      <c r="H41" s="131"/>
      <c r="I41" s="131"/>
      <c r="J41" s="131"/>
      <c r="K41" s="131"/>
      <c r="L41" s="192" t="s">
        <v>182</v>
      </c>
      <c r="M41" s="180"/>
      <c r="N41" s="180"/>
      <c r="O41" s="181"/>
      <c r="P41" s="239" t="s">
        <v>110</v>
      </c>
      <c r="Q41" s="237"/>
      <c r="R41" s="237"/>
      <c r="S41" s="237"/>
      <c r="T41" s="237"/>
      <c r="U41" s="237"/>
      <c r="V41" s="237"/>
      <c r="W41" s="238"/>
      <c r="X41" s="239" t="s">
        <v>113</v>
      </c>
      <c r="Y41" s="237"/>
      <c r="Z41" s="237"/>
      <c r="AA41" s="237"/>
      <c r="AB41" s="237"/>
      <c r="AC41" s="237"/>
      <c r="AD41" s="237"/>
      <c r="AE41" s="238"/>
      <c r="AF41" s="239"/>
      <c r="AG41" s="237"/>
      <c r="AH41" s="237"/>
      <c r="AI41" s="237"/>
      <c r="AJ41" s="237"/>
      <c r="AK41" s="237"/>
      <c r="AL41" s="237"/>
      <c r="AM41" s="237"/>
      <c r="AN41" s="270"/>
      <c r="AO41" s="240">
        <v>45702</v>
      </c>
      <c r="AP41" s="241"/>
      <c r="AQ41" s="236" t="s">
        <v>178</v>
      </c>
      <c r="AR41" s="232"/>
      <c r="AS41" s="236" t="s">
        <v>179</v>
      </c>
      <c r="AT41" s="242"/>
      <c r="AU41" s="127"/>
      <c r="AV41" s="128"/>
      <c r="AW41" s="117"/>
      <c r="AX41" s="118"/>
      <c r="AY41" s="117"/>
      <c r="AZ41" s="122"/>
      <c r="BA41" s="123"/>
      <c r="BB41" s="124"/>
      <c r="BC41" s="124"/>
      <c r="BD41" s="124"/>
      <c r="BE41" s="124"/>
      <c r="BF41" s="124"/>
      <c r="BG41" s="124"/>
      <c r="BH41" s="124"/>
      <c r="BI41" s="124"/>
      <c r="BJ41" s="124"/>
      <c r="BK41" s="124"/>
      <c r="BL41" s="125"/>
      <c r="BM41" s="56"/>
      <c r="BN41" s="56"/>
    </row>
    <row r="42" spans="1:66" s="54" customFormat="1" ht="24" customHeight="1" x14ac:dyDescent="0.45">
      <c r="A42" s="55"/>
      <c r="B42" s="55"/>
      <c r="C42" s="72">
        <f t="shared" si="0"/>
        <v>33</v>
      </c>
      <c r="D42" s="59"/>
      <c r="E42" s="131"/>
      <c r="F42" s="131"/>
      <c r="G42" s="61"/>
      <c r="H42" s="131"/>
      <c r="I42" s="131"/>
      <c r="J42" s="131"/>
      <c r="K42" s="131"/>
      <c r="L42" s="192" t="s">
        <v>103</v>
      </c>
      <c r="M42" s="180"/>
      <c r="N42" s="180"/>
      <c r="O42" s="181"/>
      <c r="P42" s="239" t="s">
        <v>110</v>
      </c>
      <c r="Q42" s="237"/>
      <c r="R42" s="237"/>
      <c r="S42" s="237"/>
      <c r="T42" s="237"/>
      <c r="U42" s="237"/>
      <c r="V42" s="237"/>
      <c r="W42" s="238"/>
      <c r="X42" s="239" t="s">
        <v>113</v>
      </c>
      <c r="Y42" s="237"/>
      <c r="Z42" s="237"/>
      <c r="AA42" s="237"/>
      <c r="AB42" s="237"/>
      <c r="AC42" s="237"/>
      <c r="AD42" s="237"/>
      <c r="AE42" s="238"/>
      <c r="AF42" s="239"/>
      <c r="AG42" s="237"/>
      <c r="AH42" s="237"/>
      <c r="AI42" s="237"/>
      <c r="AJ42" s="237"/>
      <c r="AK42" s="237"/>
      <c r="AL42" s="237"/>
      <c r="AM42" s="237"/>
      <c r="AN42" s="270"/>
      <c r="AO42" s="240">
        <v>45702</v>
      </c>
      <c r="AP42" s="241"/>
      <c r="AQ42" s="236" t="s">
        <v>178</v>
      </c>
      <c r="AR42" s="232"/>
      <c r="AS42" s="236" t="s">
        <v>179</v>
      </c>
      <c r="AT42" s="242"/>
      <c r="AU42" s="127"/>
      <c r="AV42" s="128"/>
      <c r="AW42" s="117"/>
      <c r="AX42" s="118"/>
      <c r="AY42" s="117"/>
      <c r="AZ42" s="122"/>
      <c r="BA42" s="123"/>
      <c r="BB42" s="124"/>
      <c r="BC42" s="124"/>
      <c r="BD42" s="124"/>
      <c r="BE42" s="124"/>
      <c r="BF42" s="124"/>
      <c r="BG42" s="124"/>
      <c r="BH42" s="124"/>
      <c r="BI42" s="124"/>
      <c r="BJ42" s="124"/>
      <c r="BK42" s="124"/>
      <c r="BL42" s="125"/>
      <c r="BM42" s="56"/>
      <c r="BN42" s="56"/>
    </row>
    <row r="43" spans="1:66" s="54" customFormat="1" ht="24" customHeight="1" x14ac:dyDescent="0.45">
      <c r="A43" s="55"/>
      <c r="B43" s="55"/>
      <c r="C43" s="72">
        <f t="shared" si="0"/>
        <v>34</v>
      </c>
      <c r="D43" s="59"/>
      <c r="E43" s="131"/>
      <c r="F43" s="131"/>
      <c r="G43" s="61"/>
      <c r="H43" s="131"/>
      <c r="I43" s="131"/>
      <c r="J43" s="131"/>
      <c r="K43" s="131"/>
      <c r="L43" s="162" t="s">
        <v>104</v>
      </c>
      <c r="M43" s="180"/>
      <c r="N43" s="180"/>
      <c r="O43" s="181"/>
      <c r="P43" s="239" t="s">
        <v>110</v>
      </c>
      <c r="Q43" s="237"/>
      <c r="R43" s="237"/>
      <c r="S43" s="237"/>
      <c r="T43" s="237"/>
      <c r="U43" s="237"/>
      <c r="V43" s="237"/>
      <c r="W43" s="238"/>
      <c r="X43" s="239" t="s">
        <v>113</v>
      </c>
      <c r="Y43" s="237"/>
      <c r="Z43" s="237"/>
      <c r="AA43" s="237"/>
      <c r="AB43" s="237"/>
      <c r="AC43" s="237"/>
      <c r="AD43" s="237"/>
      <c r="AE43" s="238"/>
      <c r="AF43" s="239"/>
      <c r="AG43" s="237"/>
      <c r="AH43" s="237"/>
      <c r="AI43" s="237"/>
      <c r="AJ43" s="237"/>
      <c r="AK43" s="237"/>
      <c r="AL43" s="237"/>
      <c r="AM43" s="237"/>
      <c r="AN43" s="270"/>
      <c r="AO43" s="240">
        <v>45702</v>
      </c>
      <c r="AP43" s="241"/>
      <c r="AQ43" s="236" t="s">
        <v>178</v>
      </c>
      <c r="AR43" s="232"/>
      <c r="AS43" s="236" t="s">
        <v>179</v>
      </c>
      <c r="AT43" s="242"/>
      <c r="AU43" s="127"/>
      <c r="AV43" s="128"/>
      <c r="AW43" s="117"/>
      <c r="AX43" s="118"/>
      <c r="AY43" s="117"/>
      <c r="AZ43" s="122"/>
      <c r="BA43" s="123"/>
      <c r="BB43" s="124"/>
      <c r="BC43" s="124"/>
      <c r="BD43" s="124"/>
      <c r="BE43" s="124"/>
      <c r="BF43" s="124"/>
      <c r="BG43" s="124"/>
      <c r="BH43" s="124"/>
      <c r="BI43" s="124"/>
      <c r="BJ43" s="124"/>
      <c r="BK43" s="124"/>
      <c r="BL43" s="125"/>
      <c r="BM43" s="56"/>
      <c r="BN43" s="56"/>
    </row>
    <row r="44" spans="1:66" s="54" customFormat="1" ht="24" customHeight="1" x14ac:dyDescent="0.45">
      <c r="A44" s="55"/>
      <c r="B44" s="55"/>
      <c r="C44" s="72">
        <f t="shared" si="0"/>
        <v>35</v>
      </c>
      <c r="D44" s="59"/>
      <c r="E44" s="165"/>
      <c r="F44" s="165"/>
      <c r="G44" s="61"/>
      <c r="H44" s="165"/>
      <c r="I44" s="165"/>
      <c r="J44" s="165"/>
      <c r="K44" s="165"/>
      <c r="L44" s="162" t="s">
        <v>105</v>
      </c>
      <c r="M44" s="180"/>
      <c r="N44" s="180"/>
      <c r="O44" s="181"/>
      <c r="P44" s="239" t="s">
        <v>110</v>
      </c>
      <c r="Q44" s="237"/>
      <c r="R44" s="237"/>
      <c r="S44" s="237"/>
      <c r="T44" s="237"/>
      <c r="U44" s="237"/>
      <c r="V44" s="237"/>
      <c r="W44" s="238"/>
      <c r="X44" s="239" t="s">
        <v>113</v>
      </c>
      <c r="Y44" s="237"/>
      <c r="Z44" s="237"/>
      <c r="AA44" s="237"/>
      <c r="AB44" s="237"/>
      <c r="AC44" s="237"/>
      <c r="AD44" s="237"/>
      <c r="AE44" s="238"/>
      <c r="AF44" s="149"/>
      <c r="AG44" s="150"/>
      <c r="AH44" s="150"/>
      <c r="AI44" s="150"/>
      <c r="AJ44" s="150"/>
      <c r="AK44" s="150"/>
      <c r="AL44" s="150"/>
      <c r="AM44" s="150"/>
      <c r="AN44" s="152"/>
      <c r="AO44" s="240">
        <v>45702</v>
      </c>
      <c r="AP44" s="241"/>
      <c r="AQ44" s="236" t="s">
        <v>178</v>
      </c>
      <c r="AR44" s="232"/>
      <c r="AS44" s="236" t="s">
        <v>179</v>
      </c>
      <c r="AT44" s="242"/>
      <c r="AU44" s="157"/>
      <c r="AV44" s="158"/>
      <c r="AW44" s="147"/>
      <c r="AX44" s="148"/>
      <c r="AY44" s="147"/>
      <c r="AZ44" s="159"/>
      <c r="BA44" s="154"/>
      <c r="BB44" s="155"/>
      <c r="BC44" s="155"/>
      <c r="BD44" s="155"/>
      <c r="BE44" s="155"/>
      <c r="BF44" s="155"/>
      <c r="BG44" s="155"/>
      <c r="BH44" s="155"/>
      <c r="BI44" s="155"/>
      <c r="BJ44" s="155"/>
      <c r="BK44" s="155"/>
      <c r="BL44" s="156"/>
      <c r="BM44" s="56"/>
      <c r="BN44" s="56"/>
    </row>
    <row r="45" spans="1:66" s="54" customFormat="1" ht="24" customHeight="1" x14ac:dyDescent="0.45">
      <c r="A45" s="55"/>
      <c r="B45" s="55"/>
      <c r="C45" s="72">
        <f t="shared" si="0"/>
        <v>36</v>
      </c>
      <c r="D45" s="59"/>
      <c r="E45" s="165"/>
      <c r="F45" s="165"/>
      <c r="G45" s="61"/>
      <c r="H45" s="165"/>
      <c r="I45" s="165"/>
      <c r="J45" s="165"/>
      <c r="K45" s="165"/>
      <c r="L45" s="162" t="s">
        <v>106</v>
      </c>
      <c r="M45" s="180"/>
      <c r="N45" s="180"/>
      <c r="O45" s="181"/>
      <c r="P45" s="239" t="s">
        <v>110</v>
      </c>
      <c r="Q45" s="237"/>
      <c r="R45" s="237"/>
      <c r="S45" s="237"/>
      <c r="T45" s="237"/>
      <c r="U45" s="237"/>
      <c r="V45" s="237"/>
      <c r="W45" s="238"/>
      <c r="X45" s="239" t="s">
        <v>113</v>
      </c>
      <c r="Y45" s="237"/>
      <c r="Z45" s="237"/>
      <c r="AA45" s="237"/>
      <c r="AB45" s="237"/>
      <c r="AC45" s="237"/>
      <c r="AD45" s="237"/>
      <c r="AE45" s="238"/>
      <c r="AF45" s="149"/>
      <c r="AG45" s="150"/>
      <c r="AH45" s="150"/>
      <c r="AI45" s="150"/>
      <c r="AJ45" s="150"/>
      <c r="AK45" s="150"/>
      <c r="AL45" s="150"/>
      <c r="AM45" s="150"/>
      <c r="AN45" s="152"/>
      <c r="AO45" s="240">
        <v>45702</v>
      </c>
      <c r="AP45" s="241"/>
      <c r="AQ45" s="236" t="s">
        <v>178</v>
      </c>
      <c r="AR45" s="232"/>
      <c r="AS45" s="236" t="s">
        <v>179</v>
      </c>
      <c r="AT45" s="242"/>
      <c r="AU45" s="157"/>
      <c r="AV45" s="158"/>
      <c r="AW45" s="147"/>
      <c r="AX45" s="148"/>
      <c r="AY45" s="147"/>
      <c r="AZ45" s="159"/>
      <c r="BA45" s="154"/>
      <c r="BB45" s="155"/>
      <c r="BC45" s="155"/>
      <c r="BD45" s="155"/>
      <c r="BE45" s="155"/>
      <c r="BF45" s="155"/>
      <c r="BG45" s="155"/>
      <c r="BH45" s="155"/>
      <c r="BI45" s="155"/>
      <c r="BJ45" s="155"/>
      <c r="BK45" s="155"/>
      <c r="BL45" s="156"/>
      <c r="BM45" s="56"/>
      <c r="BN45" s="56"/>
    </row>
    <row r="46" spans="1:66" s="54" customFormat="1" ht="24" customHeight="1" x14ac:dyDescent="0.45">
      <c r="A46" s="55"/>
      <c r="B46" s="55"/>
      <c r="C46" s="72">
        <f t="shared" si="0"/>
        <v>37</v>
      </c>
      <c r="D46" s="59"/>
      <c r="E46" s="165"/>
      <c r="F46" s="165"/>
      <c r="G46" s="61"/>
      <c r="H46" s="165"/>
      <c r="I46" s="165"/>
      <c r="J46" s="165"/>
      <c r="K46" s="165"/>
      <c r="L46" s="162" t="s">
        <v>107</v>
      </c>
      <c r="M46" s="180"/>
      <c r="N46" s="180"/>
      <c r="O46" s="181"/>
      <c r="P46" s="239" t="s">
        <v>110</v>
      </c>
      <c r="Q46" s="237"/>
      <c r="R46" s="237"/>
      <c r="S46" s="237"/>
      <c r="T46" s="237"/>
      <c r="U46" s="237"/>
      <c r="V46" s="237"/>
      <c r="W46" s="238"/>
      <c r="X46" s="239" t="s">
        <v>113</v>
      </c>
      <c r="Y46" s="237"/>
      <c r="Z46" s="237"/>
      <c r="AA46" s="237"/>
      <c r="AB46" s="237"/>
      <c r="AC46" s="237"/>
      <c r="AD46" s="237"/>
      <c r="AE46" s="238"/>
      <c r="AF46" s="149"/>
      <c r="AG46" s="150"/>
      <c r="AH46" s="150"/>
      <c r="AI46" s="150"/>
      <c r="AJ46" s="150"/>
      <c r="AK46" s="150"/>
      <c r="AL46" s="150"/>
      <c r="AM46" s="150"/>
      <c r="AN46" s="152"/>
      <c r="AO46" s="240">
        <v>45702</v>
      </c>
      <c r="AP46" s="241"/>
      <c r="AQ46" s="236" t="s">
        <v>178</v>
      </c>
      <c r="AR46" s="232"/>
      <c r="AS46" s="236" t="s">
        <v>179</v>
      </c>
      <c r="AT46" s="242"/>
      <c r="AU46" s="157"/>
      <c r="AV46" s="158"/>
      <c r="AW46" s="147"/>
      <c r="AX46" s="148"/>
      <c r="AY46" s="147"/>
      <c r="AZ46" s="159"/>
      <c r="BA46" s="154"/>
      <c r="BB46" s="155"/>
      <c r="BC46" s="155"/>
      <c r="BD46" s="155"/>
      <c r="BE46" s="155"/>
      <c r="BF46" s="155"/>
      <c r="BG46" s="155"/>
      <c r="BH46" s="155"/>
      <c r="BI46" s="155"/>
      <c r="BJ46" s="155"/>
      <c r="BK46" s="155"/>
      <c r="BL46" s="156"/>
      <c r="BM46" s="56"/>
      <c r="BN46" s="56"/>
    </row>
    <row r="47" spans="1:66" s="54" customFormat="1" ht="24" customHeight="1" x14ac:dyDescent="0.45">
      <c r="A47" s="55"/>
      <c r="B47" s="55"/>
      <c r="C47" s="72">
        <f t="shared" si="0"/>
        <v>38</v>
      </c>
      <c r="D47" s="59"/>
      <c r="E47" s="165"/>
      <c r="F47" s="165"/>
      <c r="G47" s="61"/>
      <c r="H47" s="165"/>
      <c r="I47" s="165"/>
      <c r="J47" s="165"/>
      <c r="K47" s="165"/>
      <c r="L47" s="162" t="s">
        <v>108</v>
      </c>
      <c r="M47" s="180"/>
      <c r="N47" s="180"/>
      <c r="O47" s="181"/>
      <c r="P47" s="239" t="s">
        <v>110</v>
      </c>
      <c r="Q47" s="237"/>
      <c r="R47" s="237"/>
      <c r="S47" s="237"/>
      <c r="T47" s="237"/>
      <c r="U47" s="237"/>
      <c r="V47" s="237"/>
      <c r="W47" s="238"/>
      <c r="X47" s="239" t="s">
        <v>113</v>
      </c>
      <c r="Y47" s="237"/>
      <c r="Z47" s="237"/>
      <c r="AA47" s="237"/>
      <c r="AB47" s="237"/>
      <c r="AC47" s="237"/>
      <c r="AD47" s="237"/>
      <c r="AE47" s="238"/>
      <c r="AF47" s="149"/>
      <c r="AG47" s="150"/>
      <c r="AH47" s="150"/>
      <c r="AI47" s="150"/>
      <c r="AJ47" s="150"/>
      <c r="AK47" s="150"/>
      <c r="AL47" s="150"/>
      <c r="AM47" s="150"/>
      <c r="AN47" s="152"/>
      <c r="AO47" s="240">
        <v>45702</v>
      </c>
      <c r="AP47" s="241"/>
      <c r="AQ47" s="236" t="s">
        <v>178</v>
      </c>
      <c r="AR47" s="232"/>
      <c r="AS47" s="236" t="s">
        <v>179</v>
      </c>
      <c r="AT47" s="242"/>
      <c r="AU47" s="157"/>
      <c r="AV47" s="158"/>
      <c r="AW47" s="147"/>
      <c r="AX47" s="148"/>
      <c r="AY47" s="147"/>
      <c r="AZ47" s="159"/>
      <c r="BA47" s="154"/>
      <c r="BB47" s="155"/>
      <c r="BC47" s="155"/>
      <c r="BD47" s="155"/>
      <c r="BE47" s="155"/>
      <c r="BF47" s="155"/>
      <c r="BG47" s="155"/>
      <c r="BH47" s="155"/>
      <c r="BI47" s="155"/>
      <c r="BJ47" s="155"/>
      <c r="BK47" s="155"/>
      <c r="BL47" s="156"/>
      <c r="BM47" s="56"/>
      <c r="BN47" s="56"/>
    </row>
    <row r="48" spans="1:66" s="54" customFormat="1" ht="24" customHeight="1" x14ac:dyDescent="0.45">
      <c r="A48" s="55"/>
      <c r="B48" s="55"/>
      <c r="C48" s="72">
        <f t="shared" si="0"/>
        <v>39</v>
      </c>
      <c r="D48" s="59"/>
      <c r="E48" s="131"/>
      <c r="F48" s="131"/>
      <c r="G48" s="61"/>
      <c r="H48" s="110"/>
      <c r="I48" s="111"/>
      <c r="J48" s="111"/>
      <c r="K48" s="112"/>
      <c r="L48" s="162" t="s">
        <v>109</v>
      </c>
      <c r="M48" s="180"/>
      <c r="N48" s="180"/>
      <c r="O48" s="181"/>
      <c r="P48" s="239" t="s">
        <v>110</v>
      </c>
      <c r="Q48" s="237"/>
      <c r="R48" s="237"/>
      <c r="S48" s="237"/>
      <c r="T48" s="237"/>
      <c r="U48" s="237"/>
      <c r="V48" s="237"/>
      <c r="W48" s="238"/>
      <c r="X48" s="239" t="s">
        <v>113</v>
      </c>
      <c r="Y48" s="237"/>
      <c r="Z48" s="237"/>
      <c r="AA48" s="237"/>
      <c r="AB48" s="237"/>
      <c r="AC48" s="237"/>
      <c r="AD48" s="237"/>
      <c r="AE48" s="238"/>
      <c r="AF48" s="239"/>
      <c r="AG48" s="237"/>
      <c r="AH48" s="237"/>
      <c r="AI48" s="237"/>
      <c r="AJ48" s="237"/>
      <c r="AK48" s="237"/>
      <c r="AL48" s="237"/>
      <c r="AM48" s="237"/>
      <c r="AN48" s="270"/>
      <c r="AO48" s="240">
        <v>45702</v>
      </c>
      <c r="AP48" s="241"/>
      <c r="AQ48" s="236" t="s">
        <v>178</v>
      </c>
      <c r="AR48" s="232"/>
      <c r="AS48" s="236" t="s">
        <v>179</v>
      </c>
      <c r="AT48" s="242"/>
      <c r="AU48" s="127"/>
      <c r="AV48" s="128"/>
      <c r="AW48" s="117"/>
      <c r="AX48" s="118"/>
      <c r="AY48" s="117"/>
      <c r="AZ48" s="122"/>
      <c r="BA48" s="123"/>
      <c r="BB48" s="124"/>
      <c r="BC48" s="124"/>
      <c r="BD48" s="124"/>
      <c r="BE48" s="124"/>
      <c r="BF48" s="124"/>
      <c r="BG48" s="124"/>
      <c r="BH48" s="124"/>
      <c r="BI48" s="124"/>
      <c r="BJ48" s="124"/>
      <c r="BK48" s="124"/>
      <c r="BL48" s="125"/>
      <c r="BM48" s="56"/>
      <c r="BN48" s="56"/>
    </row>
    <row r="49" spans="1:66" s="54" customFormat="1" ht="24" customHeight="1" x14ac:dyDescent="0.45">
      <c r="A49" s="55"/>
      <c r="B49" s="55"/>
      <c r="C49" s="72">
        <f t="shared" si="0"/>
        <v>40</v>
      </c>
      <c r="D49" s="59"/>
      <c r="E49" s="131"/>
      <c r="F49" s="131"/>
      <c r="G49" s="61"/>
      <c r="H49" s="243" t="s">
        <v>71</v>
      </c>
      <c r="I49" s="244"/>
      <c r="J49" s="244"/>
      <c r="K49" s="271"/>
      <c r="L49" s="239" t="s">
        <v>123</v>
      </c>
      <c r="M49" s="237"/>
      <c r="N49" s="237"/>
      <c r="O49" s="238"/>
      <c r="P49" s="237" t="s">
        <v>72</v>
      </c>
      <c r="Q49" s="237"/>
      <c r="R49" s="237"/>
      <c r="S49" s="237"/>
      <c r="T49" s="237"/>
      <c r="U49" s="237"/>
      <c r="V49" s="237"/>
      <c r="W49" s="238"/>
      <c r="X49" s="239" t="s">
        <v>73</v>
      </c>
      <c r="Y49" s="237"/>
      <c r="Z49" s="237"/>
      <c r="AA49" s="237"/>
      <c r="AB49" s="237"/>
      <c r="AC49" s="237"/>
      <c r="AD49" s="237"/>
      <c r="AE49" s="238"/>
      <c r="AF49" s="124"/>
      <c r="AG49" s="120"/>
      <c r="AH49" s="120"/>
      <c r="AI49" s="120"/>
      <c r="AJ49" s="120"/>
      <c r="AK49" s="120"/>
      <c r="AL49" s="120"/>
      <c r="AM49" s="120"/>
      <c r="AN49" s="126"/>
      <c r="AO49" s="240">
        <v>45702</v>
      </c>
      <c r="AP49" s="241"/>
      <c r="AQ49" s="236" t="s">
        <v>178</v>
      </c>
      <c r="AR49" s="232"/>
      <c r="AS49" s="236" t="s">
        <v>179</v>
      </c>
      <c r="AT49" s="242"/>
      <c r="AU49" s="127"/>
      <c r="AV49" s="128"/>
      <c r="AW49" s="117"/>
      <c r="AX49" s="118"/>
      <c r="AY49" s="117"/>
      <c r="AZ49" s="122"/>
      <c r="BA49" s="123"/>
      <c r="BB49" s="124"/>
      <c r="BC49" s="124"/>
      <c r="BD49" s="124"/>
      <c r="BE49" s="124"/>
      <c r="BF49" s="124"/>
      <c r="BG49" s="124"/>
      <c r="BH49" s="124"/>
      <c r="BI49" s="124"/>
      <c r="BJ49" s="124"/>
      <c r="BK49" s="124"/>
      <c r="BL49" s="125"/>
      <c r="BM49" s="56"/>
      <c r="BN49" s="56"/>
    </row>
    <row r="50" spans="1:66" s="54" customFormat="1" ht="24" customHeight="1" x14ac:dyDescent="0.45">
      <c r="A50" s="55"/>
      <c r="B50" s="55"/>
      <c r="C50" s="72">
        <f t="shared" si="0"/>
        <v>41</v>
      </c>
      <c r="D50" s="59"/>
      <c r="E50" s="131"/>
      <c r="F50" s="131"/>
      <c r="G50" s="61"/>
      <c r="H50" s="59"/>
      <c r="I50" s="131"/>
      <c r="J50" s="131"/>
      <c r="K50" s="132"/>
      <c r="L50" s="239" t="s">
        <v>122</v>
      </c>
      <c r="M50" s="237"/>
      <c r="N50" s="237"/>
      <c r="O50" s="238"/>
      <c r="P50" s="237" t="s">
        <v>72</v>
      </c>
      <c r="Q50" s="237"/>
      <c r="R50" s="237"/>
      <c r="S50" s="237"/>
      <c r="T50" s="237"/>
      <c r="U50" s="237"/>
      <c r="V50" s="237"/>
      <c r="W50" s="238"/>
      <c r="X50" s="239" t="s">
        <v>73</v>
      </c>
      <c r="Y50" s="237"/>
      <c r="Z50" s="237"/>
      <c r="AA50" s="237"/>
      <c r="AB50" s="237"/>
      <c r="AC50" s="237"/>
      <c r="AD50" s="237"/>
      <c r="AE50" s="238"/>
      <c r="AF50" s="124"/>
      <c r="AG50" s="120"/>
      <c r="AH50" s="120"/>
      <c r="AI50" s="120"/>
      <c r="AJ50" s="120"/>
      <c r="AK50" s="120"/>
      <c r="AL50" s="120"/>
      <c r="AM50" s="120"/>
      <c r="AN50" s="126"/>
      <c r="AO50" s="240">
        <v>45702</v>
      </c>
      <c r="AP50" s="241"/>
      <c r="AQ50" s="236" t="s">
        <v>178</v>
      </c>
      <c r="AR50" s="232"/>
      <c r="AS50" s="236" t="s">
        <v>179</v>
      </c>
      <c r="AT50" s="242"/>
      <c r="AU50" s="127"/>
      <c r="AV50" s="128"/>
      <c r="AW50" s="117"/>
      <c r="AX50" s="118"/>
      <c r="AY50" s="117"/>
      <c r="AZ50" s="122"/>
      <c r="BA50" s="123"/>
      <c r="BB50" s="124"/>
      <c r="BC50" s="124"/>
      <c r="BD50" s="124"/>
      <c r="BE50" s="124"/>
      <c r="BF50" s="124"/>
      <c r="BG50" s="124"/>
      <c r="BH50" s="124"/>
      <c r="BI50" s="124"/>
      <c r="BJ50" s="124"/>
      <c r="BK50" s="124"/>
      <c r="BL50" s="125"/>
      <c r="BM50" s="56"/>
      <c r="BN50" s="56"/>
    </row>
    <row r="51" spans="1:66" s="54" customFormat="1" ht="24" customHeight="1" x14ac:dyDescent="0.45">
      <c r="A51" s="55"/>
      <c r="B51" s="55"/>
      <c r="C51" s="72">
        <f t="shared" si="0"/>
        <v>42</v>
      </c>
      <c r="D51" s="59"/>
      <c r="E51" s="131"/>
      <c r="F51" s="131"/>
      <c r="G51" s="61"/>
      <c r="H51" s="59"/>
      <c r="I51" s="131"/>
      <c r="J51" s="131"/>
      <c r="K51" s="132"/>
      <c r="L51" s="35" t="s">
        <v>195</v>
      </c>
      <c r="M51" s="120"/>
      <c r="N51" s="120"/>
      <c r="O51" s="121"/>
      <c r="P51" s="237" t="s">
        <v>72</v>
      </c>
      <c r="Q51" s="237"/>
      <c r="R51" s="237"/>
      <c r="S51" s="237"/>
      <c r="T51" s="237"/>
      <c r="U51" s="237"/>
      <c r="V51" s="237"/>
      <c r="W51" s="238"/>
      <c r="X51" s="239" t="s">
        <v>73</v>
      </c>
      <c r="Y51" s="237"/>
      <c r="Z51" s="237"/>
      <c r="AA51" s="237"/>
      <c r="AB51" s="237"/>
      <c r="AC51" s="237"/>
      <c r="AD51" s="237"/>
      <c r="AE51" s="238"/>
      <c r="AF51" s="124"/>
      <c r="AG51" s="120"/>
      <c r="AH51" s="120"/>
      <c r="AI51" s="120"/>
      <c r="AJ51" s="120"/>
      <c r="AK51" s="120"/>
      <c r="AL51" s="120"/>
      <c r="AM51" s="120"/>
      <c r="AN51" s="126"/>
      <c r="AO51" s="240">
        <v>45702</v>
      </c>
      <c r="AP51" s="241"/>
      <c r="AQ51" s="236" t="s">
        <v>178</v>
      </c>
      <c r="AR51" s="232"/>
      <c r="AS51" s="236" t="s">
        <v>179</v>
      </c>
      <c r="AT51" s="242"/>
      <c r="AU51" s="127"/>
      <c r="AV51" s="128"/>
      <c r="AW51" s="117"/>
      <c r="AX51" s="118"/>
      <c r="AY51" s="117"/>
      <c r="AZ51" s="122"/>
      <c r="BA51" s="123"/>
      <c r="BB51" s="124"/>
      <c r="BC51" s="124"/>
      <c r="BD51" s="124"/>
      <c r="BE51" s="124"/>
      <c r="BF51" s="124"/>
      <c r="BG51" s="124"/>
      <c r="BH51" s="124"/>
      <c r="BI51" s="124"/>
      <c r="BJ51" s="124"/>
      <c r="BK51" s="124"/>
      <c r="BL51" s="125"/>
      <c r="BM51" s="56"/>
      <c r="BN51" s="56"/>
    </row>
    <row r="52" spans="1:66" s="54" customFormat="1" ht="24" customHeight="1" x14ac:dyDescent="0.45">
      <c r="A52" s="55"/>
      <c r="B52" s="55"/>
      <c r="C52" s="72">
        <f t="shared" si="0"/>
        <v>43</v>
      </c>
      <c r="D52" s="59"/>
      <c r="E52" s="165"/>
      <c r="F52" s="165"/>
      <c r="G52" s="61"/>
      <c r="H52" s="59"/>
      <c r="I52" s="165"/>
      <c r="J52" s="165"/>
      <c r="K52" s="132"/>
      <c r="L52" s="197" t="s">
        <v>46</v>
      </c>
      <c r="M52" s="199"/>
      <c r="N52" s="199"/>
      <c r="O52" s="200"/>
      <c r="P52" s="237" t="s">
        <v>72</v>
      </c>
      <c r="Q52" s="237"/>
      <c r="R52" s="237"/>
      <c r="S52" s="237"/>
      <c r="T52" s="237"/>
      <c r="U52" s="237"/>
      <c r="V52" s="237"/>
      <c r="W52" s="238"/>
      <c r="X52" s="239" t="s">
        <v>73</v>
      </c>
      <c r="Y52" s="237"/>
      <c r="Z52" s="237"/>
      <c r="AA52" s="237"/>
      <c r="AB52" s="237"/>
      <c r="AC52" s="237"/>
      <c r="AD52" s="237"/>
      <c r="AE52" s="238"/>
      <c r="AF52" s="198"/>
      <c r="AG52" s="199"/>
      <c r="AH52" s="199"/>
      <c r="AI52" s="199"/>
      <c r="AJ52" s="199"/>
      <c r="AK52" s="199"/>
      <c r="AL52" s="199"/>
      <c r="AM52" s="199"/>
      <c r="AN52" s="204"/>
      <c r="AO52" s="240">
        <v>45702</v>
      </c>
      <c r="AP52" s="241"/>
      <c r="AQ52" s="236" t="s">
        <v>156</v>
      </c>
      <c r="AR52" s="232"/>
      <c r="AS52" s="236" t="s">
        <v>157</v>
      </c>
      <c r="AT52" s="242"/>
      <c r="AU52" s="205"/>
      <c r="AV52" s="206"/>
      <c r="AW52" s="196"/>
      <c r="AX52" s="195"/>
      <c r="AY52" s="196"/>
      <c r="AZ52" s="201"/>
      <c r="BA52" s="202"/>
      <c r="BB52" s="198"/>
      <c r="BC52" s="198"/>
      <c r="BD52" s="198"/>
      <c r="BE52" s="198"/>
      <c r="BF52" s="198"/>
      <c r="BG52" s="198"/>
      <c r="BH52" s="198"/>
      <c r="BI52" s="198"/>
      <c r="BJ52" s="198"/>
      <c r="BK52" s="198"/>
      <c r="BL52" s="203"/>
      <c r="BM52" s="8"/>
      <c r="BN52" s="56"/>
    </row>
    <row r="53" spans="1:66" s="54" customFormat="1" ht="24" customHeight="1" x14ac:dyDescent="0.45">
      <c r="A53" s="55"/>
      <c r="B53" s="55"/>
      <c r="C53" s="72">
        <f t="shared" si="0"/>
        <v>44</v>
      </c>
      <c r="D53" s="59"/>
      <c r="E53" s="165"/>
      <c r="F53" s="165"/>
      <c r="G53" s="61"/>
      <c r="H53" s="59"/>
      <c r="I53" s="165"/>
      <c r="J53" s="165"/>
      <c r="K53" s="132"/>
      <c r="L53" s="197" t="s">
        <v>196</v>
      </c>
      <c r="M53" s="199"/>
      <c r="N53" s="199"/>
      <c r="O53" s="200"/>
      <c r="P53" s="237" t="s">
        <v>72</v>
      </c>
      <c r="Q53" s="237"/>
      <c r="R53" s="237"/>
      <c r="S53" s="237"/>
      <c r="T53" s="237"/>
      <c r="U53" s="237"/>
      <c r="V53" s="237"/>
      <c r="W53" s="238"/>
      <c r="X53" s="239" t="s">
        <v>73</v>
      </c>
      <c r="Y53" s="237"/>
      <c r="Z53" s="237"/>
      <c r="AA53" s="237"/>
      <c r="AB53" s="237"/>
      <c r="AC53" s="237"/>
      <c r="AD53" s="237"/>
      <c r="AE53" s="238"/>
      <c r="AF53" s="198"/>
      <c r="AG53" s="199"/>
      <c r="AH53" s="199"/>
      <c r="AI53" s="199"/>
      <c r="AJ53" s="199"/>
      <c r="AK53" s="199"/>
      <c r="AL53" s="199"/>
      <c r="AM53" s="199"/>
      <c r="AN53" s="204"/>
      <c r="AO53" s="240">
        <v>45702</v>
      </c>
      <c r="AP53" s="241"/>
      <c r="AQ53" s="236" t="s">
        <v>156</v>
      </c>
      <c r="AR53" s="232"/>
      <c r="AS53" s="236" t="s">
        <v>157</v>
      </c>
      <c r="AT53" s="242"/>
      <c r="AU53" s="205"/>
      <c r="AV53" s="206"/>
      <c r="AW53" s="196"/>
      <c r="AX53" s="195"/>
      <c r="AY53" s="196"/>
      <c r="AZ53" s="201"/>
      <c r="BA53" s="202"/>
      <c r="BB53" s="198"/>
      <c r="BC53" s="198"/>
      <c r="BD53" s="198"/>
      <c r="BE53" s="198"/>
      <c r="BF53" s="198"/>
      <c r="BG53" s="198"/>
      <c r="BH53" s="198"/>
      <c r="BI53" s="198"/>
      <c r="BJ53" s="198"/>
      <c r="BK53" s="198"/>
      <c r="BL53" s="203"/>
      <c r="BM53" s="8"/>
      <c r="BN53" s="56"/>
    </row>
    <row r="54" spans="1:66" s="54" customFormat="1" ht="24" customHeight="1" x14ac:dyDescent="0.45">
      <c r="A54" s="55"/>
      <c r="B54" s="55"/>
      <c r="C54" s="72">
        <f t="shared" si="0"/>
        <v>45</v>
      </c>
      <c r="D54" s="59"/>
      <c r="E54" s="165"/>
      <c r="F54" s="165"/>
      <c r="G54" s="61"/>
      <c r="H54" s="59"/>
      <c r="I54" s="165"/>
      <c r="J54" s="165"/>
      <c r="K54" s="132"/>
      <c r="L54" s="197" t="s">
        <v>197</v>
      </c>
      <c r="M54" s="199"/>
      <c r="N54" s="199"/>
      <c r="O54" s="200"/>
      <c r="P54" s="237" t="s">
        <v>72</v>
      </c>
      <c r="Q54" s="237"/>
      <c r="R54" s="237"/>
      <c r="S54" s="237"/>
      <c r="T54" s="237"/>
      <c r="U54" s="237"/>
      <c r="V54" s="237"/>
      <c r="W54" s="238"/>
      <c r="X54" s="239" t="s">
        <v>73</v>
      </c>
      <c r="Y54" s="237"/>
      <c r="Z54" s="237"/>
      <c r="AA54" s="237"/>
      <c r="AB54" s="237"/>
      <c r="AC54" s="237"/>
      <c r="AD54" s="237"/>
      <c r="AE54" s="238"/>
      <c r="AF54" s="198"/>
      <c r="AG54" s="199"/>
      <c r="AH54" s="199"/>
      <c r="AI54" s="199"/>
      <c r="AJ54" s="199"/>
      <c r="AK54" s="199"/>
      <c r="AL54" s="199"/>
      <c r="AM54" s="199"/>
      <c r="AN54" s="204"/>
      <c r="AO54" s="240">
        <v>45702</v>
      </c>
      <c r="AP54" s="241"/>
      <c r="AQ54" s="236" t="s">
        <v>156</v>
      </c>
      <c r="AR54" s="232"/>
      <c r="AS54" s="236" t="s">
        <v>157</v>
      </c>
      <c r="AT54" s="242"/>
      <c r="AU54" s="205"/>
      <c r="AV54" s="206"/>
      <c r="AW54" s="196"/>
      <c r="AX54" s="195"/>
      <c r="AY54" s="196"/>
      <c r="AZ54" s="201"/>
      <c r="BA54" s="202"/>
      <c r="BB54" s="198"/>
      <c r="BC54" s="198"/>
      <c r="BD54" s="198"/>
      <c r="BE54" s="198"/>
      <c r="BF54" s="198"/>
      <c r="BG54" s="198"/>
      <c r="BH54" s="198"/>
      <c r="BI54" s="198"/>
      <c r="BJ54" s="198"/>
      <c r="BK54" s="198"/>
      <c r="BL54" s="203"/>
      <c r="BM54" s="8"/>
      <c r="BN54" s="56"/>
    </row>
    <row r="55" spans="1:66" s="54" customFormat="1" ht="24" customHeight="1" x14ac:dyDescent="0.45">
      <c r="A55" s="55"/>
      <c r="B55" s="8"/>
      <c r="C55" s="207">
        <f t="shared" si="0"/>
        <v>46</v>
      </c>
      <c r="D55" s="59"/>
      <c r="E55" s="165"/>
      <c r="F55" s="165"/>
      <c r="G55" s="61"/>
      <c r="H55" s="243" t="s">
        <v>168</v>
      </c>
      <c r="I55" s="244"/>
      <c r="J55" s="244"/>
      <c r="K55" s="245"/>
      <c r="L55" s="194" t="s">
        <v>58</v>
      </c>
      <c r="M55" s="187"/>
      <c r="N55" s="187"/>
      <c r="O55" s="193"/>
      <c r="P55" s="237" t="s">
        <v>169</v>
      </c>
      <c r="Q55" s="237"/>
      <c r="R55" s="237"/>
      <c r="S55" s="237"/>
      <c r="T55" s="237"/>
      <c r="U55" s="237"/>
      <c r="V55" s="237"/>
      <c r="W55" s="238"/>
      <c r="X55" s="272" t="s">
        <v>115</v>
      </c>
      <c r="Y55" s="273"/>
      <c r="Z55" s="273"/>
      <c r="AA55" s="273"/>
      <c r="AB55" s="273"/>
      <c r="AC55" s="273"/>
      <c r="AD55" s="273"/>
      <c r="AE55" s="274"/>
      <c r="AF55" s="187"/>
      <c r="AG55" s="184"/>
      <c r="AH55" s="184"/>
      <c r="AI55" s="184"/>
      <c r="AJ55" s="184"/>
      <c r="AK55" s="184"/>
      <c r="AL55" s="184"/>
      <c r="AM55" s="184"/>
      <c r="AN55" s="185"/>
      <c r="AO55" s="240">
        <v>45715</v>
      </c>
      <c r="AP55" s="241"/>
      <c r="AQ55" s="236" t="s">
        <v>198</v>
      </c>
      <c r="AR55" s="232"/>
      <c r="AS55" s="236" t="s">
        <v>157</v>
      </c>
      <c r="AT55" s="242"/>
      <c r="AU55" s="189"/>
      <c r="AV55" s="190"/>
      <c r="AW55" s="182"/>
      <c r="AX55" s="183"/>
      <c r="AY55" s="182"/>
      <c r="AZ55" s="191"/>
      <c r="BA55" s="186"/>
      <c r="BB55" s="187"/>
      <c r="BC55" s="187"/>
      <c r="BD55" s="187"/>
      <c r="BE55" s="187"/>
      <c r="BF55" s="187"/>
      <c r="BG55" s="187"/>
      <c r="BH55" s="187"/>
      <c r="BI55" s="187"/>
      <c r="BJ55" s="187"/>
      <c r="BK55" s="187"/>
      <c r="BL55" s="188"/>
      <c r="BM55" s="8"/>
      <c r="BN55" s="56"/>
    </row>
    <row r="56" spans="1:66" s="54" customFormat="1" ht="24" customHeight="1" x14ac:dyDescent="0.45">
      <c r="A56" s="55"/>
      <c r="B56" s="8"/>
      <c r="C56" s="207">
        <f t="shared" si="0"/>
        <v>47</v>
      </c>
      <c r="D56" s="59"/>
      <c r="E56" s="165"/>
      <c r="F56" s="165"/>
      <c r="G56" s="61"/>
      <c r="H56" s="243" t="s">
        <v>170</v>
      </c>
      <c r="I56" s="244"/>
      <c r="J56" s="244"/>
      <c r="K56" s="245"/>
      <c r="L56" s="208" t="s">
        <v>171</v>
      </c>
      <c r="M56" s="180"/>
      <c r="N56" s="180"/>
      <c r="O56" s="209"/>
      <c r="P56" s="237" t="s">
        <v>172</v>
      </c>
      <c r="Q56" s="237"/>
      <c r="R56" s="237"/>
      <c r="S56" s="237"/>
      <c r="T56" s="237"/>
      <c r="U56" s="237"/>
      <c r="V56" s="237"/>
      <c r="W56" s="238"/>
      <c r="X56" s="239" t="s">
        <v>173</v>
      </c>
      <c r="Y56" s="237"/>
      <c r="Z56" s="237"/>
      <c r="AA56" s="237"/>
      <c r="AB56" s="237"/>
      <c r="AC56" s="237"/>
      <c r="AD56" s="237"/>
      <c r="AE56" s="238"/>
      <c r="AF56" s="187"/>
      <c r="AG56" s="184"/>
      <c r="AH56" s="184"/>
      <c r="AI56" s="184"/>
      <c r="AJ56" s="184"/>
      <c r="AK56" s="184"/>
      <c r="AL56" s="184"/>
      <c r="AM56" s="184"/>
      <c r="AN56" s="185"/>
      <c r="AO56" s="240">
        <v>45715</v>
      </c>
      <c r="AP56" s="241"/>
      <c r="AQ56" s="236" t="s">
        <v>198</v>
      </c>
      <c r="AR56" s="232"/>
      <c r="AS56" s="236" t="s">
        <v>157</v>
      </c>
      <c r="AT56" s="242"/>
      <c r="AU56" s="189"/>
      <c r="AV56" s="190"/>
      <c r="AW56" s="182"/>
      <c r="AX56" s="183"/>
      <c r="AY56" s="182"/>
      <c r="AZ56" s="191"/>
      <c r="BA56" s="186"/>
      <c r="BB56" s="187"/>
      <c r="BC56" s="187"/>
      <c r="BD56" s="187"/>
      <c r="BE56" s="187"/>
      <c r="BF56" s="187"/>
      <c r="BG56" s="187"/>
      <c r="BH56" s="187"/>
      <c r="BI56" s="187"/>
      <c r="BJ56" s="187"/>
      <c r="BK56" s="187"/>
      <c r="BL56" s="188"/>
      <c r="BM56" s="8"/>
      <c r="BN56" s="56"/>
    </row>
    <row r="57" spans="1:66" s="54" customFormat="1" ht="24" customHeight="1" thickBot="1" x14ac:dyDescent="0.5">
      <c r="A57" s="55"/>
      <c r="B57" s="8"/>
      <c r="C57" s="210">
        <f t="shared" si="0"/>
        <v>48</v>
      </c>
      <c r="D57" s="59"/>
      <c r="E57" s="165"/>
      <c r="F57" s="165"/>
      <c r="G57" s="61"/>
      <c r="H57" s="243" t="s">
        <v>174</v>
      </c>
      <c r="I57" s="244"/>
      <c r="J57" s="244"/>
      <c r="K57" s="245"/>
      <c r="L57" s="208" t="s">
        <v>175</v>
      </c>
      <c r="M57" s="180"/>
      <c r="N57" s="180"/>
      <c r="O57" s="209"/>
      <c r="P57" s="237" t="s">
        <v>176</v>
      </c>
      <c r="Q57" s="237"/>
      <c r="R57" s="237"/>
      <c r="S57" s="237"/>
      <c r="T57" s="237"/>
      <c r="U57" s="237"/>
      <c r="V57" s="237"/>
      <c r="W57" s="238"/>
      <c r="X57" s="239" t="s">
        <v>177</v>
      </c>
      <c r="Y57" s="237"/>
      <c r="Z57" s="237"/>
      <c r="AA57" s="237"/>
      <c r="AB57" s="237"/>
      <c r="AC57" s="237"/>
      <c r="AD57" s="237"/>
      <c r="AE57" s="238"/>
      <c r="AF57" s="187"/>
      <c r="AG57" s="184"/>
      <c r="AH57" s="184"/>
      <c r="AI57" s="184"/>
      <c r="AJ57" s="184"/>
      <c r="AK57" s="184"/>
      <c r="AL57" s="184"/>
      <c r="AM57" s="184"/>
      <c r="AN57" s="185"/>
      <c r="AO57" s="240">
        <v>45702</v>
      </c>
      <c r="AP57" s="241"/>
      <c r="AQ57" s="236" t="s">
        <v>178</v>
      </c>
      <c r="AR57" s="232"/>
      <c r="AS57" s="236" t="s">
        <v>179</v>
      </c>
      <c r="AT57" s="242"/>
      <c r="AU57" s="189"/>
      <c r="AV57" s="190"/>
      <c r="AW57" s="182"/>
      <c r="AX57" s="183"/>
      <c r="AY57" s="182"/>
      <c r="AZ57" s="191"/>
      <c r="BA57" s="186"/>
      <c r="BB57" s="187"/>
      <c r="BC57" s="187"/>
      <c r="BD57" s="187"/>
      <c r="BE57" s="187"/>
      <c r="BF57" s="187"/>
      <c r="BG57" s="187"/>
      <c r="BH57" s="187"/>
      <c r="BI57" s="187"/>
      <c r="BJ57" s="187"/>
      <c r="BK57" s="187"/>
      <c r="BL57" s="188"/>
      <c r="BM57" s="8"/>
      <c r="BN57" s="56"/>
    </row>
    <row r="58" spans="1:66" ht="20.100000000000001" customHeight="1" thickTop="1" thickBot="1" x14ac:dyDescent="0.5">
      <c r="A58" s="10"/>
      <c r="B58" s="8"/>
      <c r="C58" s="12"/>
      <c r="D58" s="12"/>
      <c r="E58" s="12"/>
      <c r="F58" s="12"/>
      <c r="G58" s="12"/>
      <c r="H58" s="12"/>
      <c r="I58" s="12"/>
      <c r="J58" s="12"/>
      <c r="K58" s="12"/>
      <c r="L58" s="12"/>
      <c r="M58" s="12"/>
      <c r="N58" s="12"/>
      <c r="O58" s="12"/>
      <c r="P58" s="36"/>
      <c r="Q58" s="36"/>
      <c r="R58" s="36"/>
      <c r="S58" s="36"/>
      <c r="T58" s="36"/>
      <c r="U58" s="71"/>
      <c r="V58" s="71"/>
      <c r="W58" s="71"/>
      <c r="X58" s="36"/>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8"/>
      <c r="BN58" s="16"/>
    </row>
    <row r="59" spans="1:66" ht="5.0999999999999996" customHeight="1" thickTop="1" x14ac:dyDescent="0.45">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row>
    <row r="60" spans="1:66" ht="20.100000000000001" customHeight="1" x14ac:dyDescent="0.45">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row>
  </sheetData>
  <mergeCells count="295">
    <mergeCell ref="AO57:AP57"/>
    <mergeCell ref="AQ57:AR57"/>
    <mergeCell ref="AS57:AT57"/>
    <mergeCell ref="AO49:AP49"/>
    <mergeCell ref="AQ49:AR49"/>
    <mergeCell ref="AS49:AT49"/>
    <mergeCell ref="AO50:AP50"/>
    <mergeCell ref="AQ50:AR50"/>
    <mergeCell ref="AS50:AT50"/>
    <mergeCell ref="AO51:AP51"/>
    <mergeCell ref="AQ51:AR51"/>
    <mergeCell ref="AS51:AT51"/>
    <mergeCell ref="AO55:AP55"/>
    <mergeCell ref="AQ55:AR55"/>
    <mergeCell ref="AS55:AT55"/>
    <mergeCell ref="AO56:AP56"/>
    <mergeCell ref="AQ56:AR56"/>
    <mergeCell ref="AS56:AT56"/>
    <mergeCell ref="AO47:AP47"/>
    <mergeCell ref="AQ47:AR47"/>
    <mergeCell ref="AS47:AT47"/>
    <mergeCell ref="AO48:AP48"/>
    <mergeCell ref="AQ48:AR48"/>
    <mergeCell ref="AS48:AT48"/>
    <mergeCell ref="AO44:AP44"/>
    <mergeCell ref="AQ44:AR44"/>
    <mergeCell ref="AS44:AT44"/>
    <mergeCell ref="AO45:AP45"/>
    <mergeCell ref="AQ45:AR45"/>
    <mergeCell ref="AS45:AT45"/>
    <mergeCell ref="AO46:AP46"/>
    <mergeCell ref="AQ46:AR46"/>
    <mergeCell ref="AS46:AT46"/>
    <mergeCell ref="AO41:AP41"/>
    <mergeCell ref="AQ41:AR41"/>
    <mergeCell ref="AS41:AT41"/>
    <mergeCell ref="AO42:AP42"/>
    <mergeCell ref="AQ42:AR42"/>
    <mergeCell ref="AS42:AT42"/>
    <mergeCell ref="AO43:AP43"/>
    <mergeCell ref="AQ43:AR43"/>
    <mergeCell ref="AS43:AT43"/>
    <mergeCell ref="AO38:AP38"/>
    <mergeCell ref="AQ38:AR38"/>
    <mergeCell ref="AS38:AT38"/>
    <mergeCell ref="AO39:AP39"/>
    <mergeCell ref="AQ39:AR39"/>
    <mergeCell ref="AS39:AT39"/>
    <mergeCell ref="AO40:AP40"/>
    <mergeCell ref="AQ40:AR40"/>
    <mergeCell ref="AS40:AT40"/>
    <mergeCell ref="AO35:AP35"/>
    <mergeCell ref="AQ35:AR35"/>
    <mergeCell ref="AS35:AT35"/>
    <mergeCell ref="AO36:AP36"/>
    <mergeCell ref="AQ36:AR36"/>
    <mergeCell ref="AS36:AT36"/>
    <mergeCell ref="AO37:AP37"/>
    <mergeCell ref="AQ37:AR37"/>
    <mergeCell ref="AS37:AT37"/>
    <mergeCell ref="AO32:AP32"/>
    <mergeCell ref="AQ32:AR32"/>
    <mergeCell ref="AS32:AT32"/>
    <mergeCell ref="AO33:AP33"/>
    <mergeCell ref="AQ33:AR33"/>
    <mergeCell ref="AS33:AT33"/>
    <mergeCell ref="AO34:AP34"/>
    <mergeCell ref="AQ34:AR34"/>
    <mergeCell ref="AS34:AT34"/>
    <mergeCell ref="AO29:AP29"/>
    <mergeCell ref="AQ29:AR29"/>
    <mergeCell ref="AS29:AT29"/>
    <mergeCell ref="AO30:AP30"/>
    <mergeCell ref="AQ30:AR30"/>
    <mergeCell ref="AS30:AT30"/>
    <mergeCell ref="AO31:AP31"/>
    <mergeCell ref="AQ31:AR31"/>
    <mergeCell ref="AS31:AT31"/>
    <mergeCell ref="AO26:AP26"/>
    <mergeCell ref="AQ26:AR26"/>
    <mergeCell ref="AS26:AT26"/>
    <mergeCell ref="AO27:AP27"/>
    <mergeCell ref="AQ27:AR27"/>
    <mergeCell ref="AS27:AT27"/>
    <mergeCell ref="AO28:AP28"/>
    <mergeCell ref="AQ28:AR28"/>
    <mergeCell ref="AS28:AT28"/>
    <mergeCell ref="AO23:AP23"/>
    <mergeCell ref="AQ23:AR23"/>
    <mergeCell ref="AS23:AT23"/>
    <mergeCell ref="AO24:AP24"/>
    <mergeCell ref="AQ24:AR24"/>
    <mergeCell ref="AS24:AT24"/>
    <mergeCell ref="AO25:AP25"/>
    <mergeCell ref="AQ25:AR25"/>
    <mergeCell ref="AS25:AT25"/>
    <mergeCell ref="AO20:AP20"/>
    <mergeCell ref="AQ20:AR20"/>
    <mergeCell ref="AS20:AT20"/>
    <mergeCell ref="AO21:AP21"/>
    <mergeCell ref="AQ21:AR21"/>
    <mergeCell ref="AS21:AT21"/>
    <mergeCell ref="AO22:AP22"/>
    <mergeCell ref="AQ22:AR22"/>
    <mergeCell ref="AS22:AT22"/>
    <mergeCell ref="AO17:AP17"/>
    <mergeCell ref="AQ17:AR17"/>
    <mergeCell ref="AS17:AT17"/>
    <mergeCell ref="AO18:AP18"/>
    <mergeCell ref="AQ18:AR18"/>
    <mergeCell ref="AS18:AT18"/>
    <mergeCell ref="AO19:AP19"/>
    <mergeCell ref="AQ19:AR19"/>
    <mergeCell ref="AS19:AT19"/>
    <mergeCell ref="AO14:AP14"/>
    <mergeCell ref="AQ14:AR14"/>
    <mergeCell ref="AS14:AT14"/>
    <mergeCell ref="AO15:AP15"/>
    <mergeCell ref="AQ15:AR15"/>
    <mergeCell ref="AS15:AT15"/>
    <mergeCell ref="AO16:AP16"/>
    <mergeCell ref="AQ16:AR16"/>
    <mergeCell ref="AS16:AT16"/>
    <mergeCell ref="AO11:AP11"/>
    <mergeCell ref="AQ11:AR11"/>
    <mergeCell ref="AS11:AT11"/>
    <mergeCell ref="AO12:AP12"/>
    <mergeCell ref="AQ12:AR12"/>
    <mergeCell ref="AS12:AT12"/>
    <mergeCell ref="AO13:AP13"/>
    <mergeCell ref="AQ13:AR13"/>
    <mergeCell ref="AS13:AT13"/>
    <mergeCell ref="H55:K55"/>
    <mergeCell ref="P55:W55"/>
    <mergeCell ref="X55:AE55"/>
    <mergeCell ref="H56:K56"/>
    <mergeCell ref="P56:W56"/>
    <mergeCell ref="X56:AE56"/>
    <mergeCell ref="H57:K57"/>
    <mergeCell ref="P57:W57"/>
    <mergeCell ref="X57:AE57"/>
    <mergeCell ref="P40:W40"/>
    <mergeCell ref="X40:AE40"/>
    <mergeCell ref="AF40:AN40"/>
    <mergeCell ref="P41:W41"/>
    <mergeCell ref="X41:AE41"/>
    <mergeCell ref="AF41:AN41"/>
    <mergeCell ref="L50:O50"/>
    <mergeCell ref="P42:W42"/>
    <mergeCell ref="X42:AE42"/>
    <mergeCell ref="AF42:AN42"/>
    <mergeCell ref="P43:W43"/>
    <mergeCell ref="X43:AE43"/>
    <mergeCell ref="AF43:AN43"/>
    <mergeCell ref="P48:W48"/>
    <mergeCell ref="X48:AE48"/>
    <mergeCell ref="AF48:AN48"/>
    <mergeCell ref="P44:W44"/>
    <mergeCell ref="X44:AE44"/>
    <mergeCell ref="P45:W45"/>
    <mergeCell ref="X45:AE45"/>
    <mergeCell ref="P46:W46"/>
    <mergeCell ref="X46:AE46"/>
    <mergeCell ref="P47:W47"/>
    <mergeCell ref="X47:AE47"/>
    <mergeCell ref="H49:K49"/>
    <mergeCell ref="L49:O49"/>
    <mergeCell ref="P49:W49"/>
    <mergeCell ref="X49:AE49"/>
    <mergeCell ref="P50:W50"/>
    <mergeCell ref="X50:AE50"/>
    <mergeCell ref="P51:W51"/>
    <mergeCell ref="X51:AE51"/>
    <mergeCell ref="X24:AE24"/>
    <mergeCell ref="X25:AE25"/>
    <mergeCell ref="X26:AE26"/>
    <mergeCell ref="P38:W38"/>
    <mergeCell ref="P39:W39"/>
    <mergeCell ref="X36:AE36"/>
    <mergeCell ref="X37:AE37"/>
    <mergeCell ref="X38:AE38"/>
    <mergeCell ref="X39:AE39"/>
    <mergeCell ref="X31:AE31"/>
    <mergeCell ref="X32:AE32"/>
    <mergeCell ref="X33:AE33"/>
    <mergeCell ref="X34:AE34"/>
    <mergeCell ref="X35:AE35"/>
    <mergeCell ref="X27:AE27"/>
    <mergeCell ref="X28:AE28"/>
    <mergeCell ref="P34:W34"/>
    <mergeCell ref="P35:W35"/>
    <mergeCell ref="P36:W36"/>
    <mergeCell ref="P37:W37"/>
    <mergeCell ref="P28:W28"/>
    <mergeCell ref="P29:W29"/>
    <mergeCell ref="P30:W30"/>
    <mergeCell ref="P31:W31"/>
    <mergeCell ref="P32:W32"/>
    <mergeCell ref="P25:W25"/>
    <mergeCell ref="P26:W26"/>
    <mergeCell ref="P27:W27"/>
    <mergeCell ref="P22:W22"/>
    <mergeCell ref="P23:W23"/>
    <mergeCell ref="X29:AE29"/>
    <mergeCell ref="X30:AE30"/>
    <mergeCell ref="P33:W33"/>
    <mergeCell ref="X22:AE22"/>
    <mergeCell ref="X23:AE23"/>
    <mergeCell ref="X17:AE17"/>
    <mergeCell ref="X18:AE18"/>
    <mergeCell ref="X19:AE19"/>
    <mergeCell ref="X20:AE20"/>
    <mergeCell ref="X21:AE21"/>
    <mergeCell ref="P16:W16"/>
    <mergeCell ref="P17:W17"/>
    <mergeCell ref="P18:W18"/>
    <mergeCell ref="P24:W24"/>
    <mergeCell ref="BE7:BF8"/>
    <mergeCell ref="BG7:BH7"/>
    <mergeCell ref="P19:W19"/>
    <mergeCell ref="P20:W20"/>
    <mergeCell ref="P21:W21"/>
    <mergeCell ref="BA10:BL10"/>
    <mergeCell ref="AF10:AN10"/>
    <mergeCell ref="AO10:AP10"/>
    <mergeCell ref="AQ10:AR10"/>
    <mergeCell ref="AS10:AT10"/>
    <mergeCell ref="AU10:AV10"/>
    <mergeCell ref="AW10:AX10"/>
    <mergeCell ref="P15:W15"/>
    <mergeCell ref="X15:AE15"/>
    <mergeCell ref="X12:AE12"/>
    <mergeCell ref="X13:AE13"/>
    <mergeCell ref="X14:AE14"/>
    <mergeCell ref="P12:W12"/>
    <mergeCell ref="P13:W13"/>
    <mergeCell ref="P14:W14"/>
    <mergeCell ref="X11:AE11"/>
    <mergeCell ref="P11:W11"/>
    <mergeCell ref="AO9:AP9"/>
    <mergeCell ref="X16:AE16"/>
    <mergeCell ref="AQ9:AR9"/>
    <mergeCell ref="AS9:AT9"/>
    <mergeCell ref="AU9:AV9"/>
    <mergeCell ref="AW9:AX9"/>
    <mergeCell ref="AY9:AZ9"/>
    <mergeCell ref="BA9:BL9"/>
    <mergeCell ref="AY10:AZ10"/>
    <mergeCell ref="AK2:AW2"/>
    <mergeCell ref="AK3:AW4"/>
    <mergeCell ref="BB3:BE4"/>
    <mergeCell ref="BF3:BI4"/>
    <mergeCell ref="BJ3:BM4"/>
    <mergeCell ref="AX2:BA2"/>
    <mergeCell ref="BB2:BE2"/>
    <mergeCell ref="BF2:BI2"/>
    <mergeCell ref="BJ2:BM2"/>
    <mergeCell ref="AX3:BA4"/>
    <mergeCell ref="BI7:BJ7"/>
    <mergeCell ref="BK7:BL7"/>
    <mergeCell ref="BK8:BL8"/>
    <mergeCell ref="AO8:AT8"/>
    <mergeCell ref="AU8:AZ8"/>
    <mergeCell ref="BG8:BH8"/>
    <mergeCell ref="BI8:BJ8"/>
    <mergeCell ref="B2:G2"/>
    <mergeCell ref="H2:K2"/>
    <mergeCell ref="L2:Q2"/>
    <mergeCell ref="R2:W2"/>
    <mergeCell ref="X2:AJ2"/>
    <mergeCell ref="B3:G4"/>
    <mergeCell ref="H3:K4"/>
    <mergeCell ref="L3:Q4"/>
    <mergeCell ref="D10:G10"/>
    <mergeCell ref="L10:O10"/>
    <mergeCell ref="H10:K10"/>
    <mergeCell ref="P10:W10"/>
    <mergeCell ref="X10:AE10"/>
    <mergeCell ref="R3:W4"/>
    <mergeCell ref="X3:AJ4"/>
    <mergeCell ref="P54:W54"/>
    <mergeCell ref="X54:AE54"/>
    <mergeCell ref="AO54:AP54"/>
    <mergeCell ref="AQ54:AR54"/>
    <mergeCell ref="AS54:AT54"/>
    <mergeCell ref="P52:W52"/>
    <mergeCell ref="X52:AE52"/>
    <mergeCell ref="AO52:AP52"/>
    <mergeCell ref="AQ52:AR52"/>
    <mergeCell ref="AS52:AT52"/>
    <mergeCell ref="P53:W53"/>
    <mergeCell ref="X53:AE53"/>
    <mergeCell ref="AO53:AP53"/>
    <mergeCell ref="AQ53:AR53"/>
    <mergeCell ref="AS53:AT53"/>
  </mergeCells>
  <phoneticPr fontId="2"/>
  <conditionalFormatting sqref="AS10 AY10:AY14 AY16:AY48">
    <cfRule type="cellIs" dxfId="325" priority="115" operator="equal">
      <formula>"OK"</formula>
    </cfRule>
    <cfRule type="cellIs" dxfId="324" priority="116" operator="equal">
      <formula>"NG"</formula>
    </cfRule>
  </conditionalFormatting>
  <conditionalFormatting sqref="AY49:AY51">
    <cfRule type="cellIs" dxfId="323" priority="109" operator="equal">
      <formula>"OK"</formula>
    </cfRule>
    <cfRule type="cellIs" dxfId="322" priority="110" operator="equal">
      <formula>"NG"</formula>
    </cfRule>
  </conditionalFormatting>
  <conditionalFormatting sqref="AY15">
    <cfRule type="cellIs" dxfId="321" priority="105" operator="equal">
      <formula>"OK"</formula>
    </cfRule>
    <cfRule type="cellIs" dxfId="320" priority="106" operator="equal">
      <formula>"NG"</formula>
    </cfRule>
  </conditionalFormatting>
  <conditionalFormatting sqref="AY55:AY57">
    <cfRule type="cellIs" dxfId="319" priority="103" operator="equal">
      <formula>"OK"</formula>
    </cfRule>
    <cfRule type="cellIs" dxfId="318" priority="104" operator="equal">
      <formula>"NG"</formula>
    </cfRule>
  </conditionalFormatting>
  <conditionalFormatting sqref="AS11">
    <cfRule type="cellIs" dxfId="317" priority="101" operator="equal">
      <formula>"OK"</formula>
    </cfRule>
    <cfRule type="cellIs" dxfId="316" priority="102" operator="equal">
      <formula>"NG"</formula>
    </cfRule>
  </conditionalFormatting>
  <conditionalFormatting sqref="AS12">
    <cfRule type="cellIs" dxfId="315" priority="99" operator="equal">
      <formula>"OK"</formula>
    </cfRule>
    <cfRule type="cellIs" dxfId="314" priority="100" operator="equal">
      <formula>"NG"</formula>
    </cfRule>
  </conditionalFormatting>
  <conditionalFormatting sqref="AS13">
    <cfRule type="cellIs" dxfId="313" priority="97" operator="equal">
      <formula>"OK"</formula>
    </cfRule>
    <cfRule type="cellIs" dxfId="312" priority="98" operator="equal">
      <formula>"NG"</formula>
    </cfRule>
  </conditionalFormatting>
  <conditionalFormatting sqref="AS14">
    <cfRule type="cellIs" dxfId="311" priority="95" operator="equal">
      <formula>"OK"</formula>
    </cfRule>
    <cfRule type="cellIs" dxfId="310" priority="96" operator="equal">
      <formula>"NG"</formula>
    </cfRule>
  </conditionalFormatting>
  <conditionalFormatting sqref="AS15">
    <cfRule type="cellIs" dxfId="309" priority="93" operator="equal">
      <formula>"OK"</formula>
    </cfRule>
    <cfRule type="cellIs" dxfId="308" priority="94" operator="equal">
      <formula>"NG"</formula>
    </cfRule>
  </conditionalFormatting>
  <conditionalFormatting sqref="AS16">
    <cfRule type="cellIs" dxfId="307" priority="91" operator="equal">
      <formula>"OK"</formula>
    </cfRule>
    <cfRule type="cellIs" dxfId="306" priority="92" operator="equal">
      <formula>"NG"</formula>
    </cfRule>
  </conditionalFormatting>
  <conditionalFormatting sqref="AS17">
    <cfRule type="cellIs" dxfId="305" priority="89" operator="equal">
      <formula>"OK"</formula>
    </cfRule>
    <cfRule type="cellIs" dxfId="304" priority="90" operator="equal">
      <formula>"NG"</formula>
    </cfRule>
  </conditionalFormatting>
  <conditionalFormatting sqref="AS18">
    <cfRule type="cellIs" dxfId="303" priority="87" operator="equal">
      <formula>"OK"</formula>
    </cfRule>
    <cfRule type="cellIs" dxfId="302" priority="88" operator="equal">
      <formula>"NG"</formula>
    </cfRule>
  </conditionalFormatting>
  <conditionalFormatting sqref="AS19">
    <cfRule type="cellIs" dxfId="301" priority="85" operator="equal">
      <formula>"OK"</formula>
    </cfRule>
    <cfRule type="cellIs" dxfId="300" priority="86" operator="equal">
      <formula>"NG"</formula>
    </cfRule>
  </conditionalFormatting>
  <conditionalFormatting sqref="AS20">
    <cfRule type="cellIs" dxfId="299" priority="83" operator="equal">
      <formula>"OK"</formula>
    </cfRule>
    <cfRule type="cellIs" dxfId="298" priority="84" operator="equal">
      <formula>"NG"</formula>
    </cfRule>
  </conditionalFormatting>
  <conditionalFormatting sqref="AS21">
    <cfRule type="cellIs" dxfId="297" priority="81" operator="equal">
      <formula>"OK"</formula>
    </cfRule>
    <cfRule type="cellIs" dxfId="296" priority="82" operator="equal">
      <formula>"NG"</formula>
    </cfRule>
  </conditionalFormatting>
  <conditionalFormatting sqref="AS22">
    <cfRule type="cellIs" dxfId="295" priority="79" operator="equal">
      <formula>"OK"</formula>
    </cfRule>
    <cfRule type="cellIs" dxfId="294" priority="80" operator="equal">
      <formula>"NG"</formula>
    </cfRule>
  </conditionalFormatting>
  <conditionalFormatting sqref="AS23">
    <cfRule type="cellIs" dxfId="293" priority="77" operator="equal">
      <formula>"OK"</formula>
    </cfRule>
    <cfRule type="cellIs" dxfId="292" priority="78" operator="equal">
      <formula>"NG"</formula>
    </cfRule>
  </conditionalFormatting>
  <conditionalFormatting sqref="AS24">
    <cfRule type="cellIs" dxfId="291" priority="75" operator="equal">
      <formula>"OK"</formula>
    </cfRule>
    <cfRule type="cellIs" dxfId="290" priority="76" operator="equal">
      <formula>"NG"</formula>
    </cfRule>
  </conditionalFormatting>
  <conditionalFormatting sqref="AS25">
    <cfRule type="cellIs" dxfId="289" priority="73" operator="equal">
      <formula>"OK"</formula>
    </cfRule>
    <cfRule type="cellIs" dxfId="288" priority="74" operator="equal">
      <formula>"NG"</formula>
    </cfRule>
  </conditionalFormatting>
  <conditionalFormatting sqref="AS26">
    <cfRule type="cellIs" dxfId="287" priority="71" operator="equal">
      <formula>"OK"</formula>
    </cfRule>
    <cfRule type="cellIs" dxfId="286" priority="72" operator="equal">
      <formula>"NG"</formula>
    </cfRule>
  </conditionalFormatting>
  <conditionalFormatting sqref="AS27">
    <cfRule type="cellIs" dxfId="285" priority="69" operator="equal">
      <formula>"OK"</formula>
    </cfRule>
    <cfRule type="cellIs" dxfId="284" priority="70" operator="equal">
      <formula>"NG"</formula>
    </cfRule>
  </conditionalFormatting>
  <conditionalFormatting sqref="AS28">
    <cfRule type="cellIs" dxfId="283" priority="67" operator="equal">
      <formula>"OK"</formula>
    </cfRule>
    <cfRule type="cellIs" dxfId="282" priority="68" operator="equal">
      <formula>"NG"</formula>
    </cfRule>
  </conditionalFormatting>
  <conditionalFormatting sqref="AS29">
    <cfRule type="cellIs" dxfId="281" priority="65" operator="equal">
      <formula>"OK"</formula>
    </cfRule>
    <cfRule type="cellIs" dxfId="280" priority="66" operator="equal">
      <formula>"NG"</formula>
    </cfRule>
  </conditionalFormatting>
  <conditionalFormatting sqref="AS30">
    <cfRule type="cellIs" dxfId="279" priority="63" operator="equal">
      <formula>"OK"</formula>
    </cfRule>
    <cfRule type="cellIs" dxfId="278" priority="64" operator="equal">
      <formula>"NG"</formula>
    </cfRule>
  </conditionalFormatting>
  <conditionalFormatting sqref="AS31">
    <cfRule type="cellIs" dxfId="277" priority="61" operator="equal">
      <formula>"OK"</formula>
    </cfRule>
    <cfRule type="cellIs" dxfId="276" priority="62" operator="equal">
      <formula>"NG"</formula>
    </cfRule>
  </conditionalFormatting>
  <conditionalFormatting sqref="AS32">
    <cfRule type="cellIs" dxfId="275" priority="59" operator="equal">
      <formula>"OK"</formula>
    </cfRule>
    <cfRule type="cellIs" dxfId="274" priority="60" operator="equal">
      <formula>"NG"</formula>
    </cfRule>
  </conditionalFormatting>
  <conditionalFormatting sqref="AS33">
    <cfRule type="cellIs" dxfId="273" priority="57" operator="equal">
      <formula>"OK"</formula>
    </cfRule>
    <cfRule type="cellIs" dxfId="272" priority="58" operator="equal">
      <formula>"NG"</formula>
    </cfRule>
  </conditionalFormatting>
  <conditionalFormatting sqref="AS34">
    <cfRule type="cellIs" dxfId="271" priority="55" operator="equal">
      <formula>"OK"</formula>
    </cfRule>
    <cfRule type="cellIs" dxfId="270" priority="56" operator="equal">
      <formula>"NG"</formula>
    </cfRule>
  </conditionalFormatting>
  <conditionalFormatting sqref="AS35">
    <cfRule type="cellIs" dxfId="269" priority="53" operator="equal">
      <formula>"OK"</formula>
    </cfRule>
    <cfRule type="cellIs" dxfId="268" priority="54" operator="equal">
      <formula>"NG"</formula>
    </cfRule>
  </conditionalFormatting>
  <conditionalFormatting sqref="AS36">
    <cfRule type="cellIs" dxfId="267" priority="51" operator="equal">
      <formula>"OK"</formula>
    </cfRule>
    <cfRule type="cellIs" dxfId="266" priority="52" operator="equal">
      <formula>"NG"</formula>
    </cfRule>
  </conditionalFormatting>
  <conditionalFormatting sqref="AS37">
    <cfRule type="cellIs" dxfId="265" priority="49" operator="equal">
      <formula>"OK"</formula>
    </cfRule>
    <cfRule type="cellIs" dxfId="264" priority="50" operator="equal">
      <formula>"NG"</formula>
    </cfRule>
  </conditionalFormatting>
  <conditionalFormatting sqref="AS38">
    <cfRule type="cellIs" dxfId="263" priority="47" operator="equal">
      <formula>"OK"</formula>
    </cfRule>
    <cfRule type="cellIs" dxfId="262" priority="48" operator="equal">
      <formula>"NG"</formula>
    </cfRule>
  </conditionalFormatting>
  <conditionalFormatting sqref="AS39">
    <cfRule type="cellIs" dxfId="261" priority="45" operator="equal">
      <formula>"OK"</formula>
    </cfRule>
    <cfRule type="cellIs" dxfId="260" priority="46" operator="equal">
      <formula>"NG"</formula>
    </cfRule>
  </conditionalFormatting>
  <conditionalFormatting sqref="AS40">
    <cfRule type="cellIs" dxfId="259" priority="43" operator="equal">
      <formula>"OK"</formula>
    </cfRule>
    <cfRule type="cellIs" dxfId="258" priority="44" operator="equal">
      <formula>"NG"</formula>
    </cfRule>
  </conditionalFormatting>
  <conditionalFormatting sqref="AS41">
    <cfRule type="cellIs" dxfId="257" priority="41" operator="equal">
      <formula>"OK"</formula>
    </cfRule>
    <cfRule type="cellIs" dxfId="256" priority="42" operator="equal">
      <formula>"NG"</formula>
    </cfRule>
  </conditionalFormatting>
  <conditionalFormatting sqref="AS42">
    <cfRule type="cellIs" dxfId="255" priority="39" operator="equal">
      <formula>"OK"</formula>
    </cfRule>
    <cfRule type="cellIs" dxfId="254" priority="40" operator="equal">
      <formula>"NG"</formula>
    </cfRule>
  </conditionalFormatting>
  <conditionalFormatting sqref="AS43">
    <cfRule type="cellIs" dxfId="253" priority="37" operator="equal">
      <formula>"OK"</formula>
    </cfRule>
    <cfRule type="cellIs" dxfId="252" priority="38" operator="equal">
      <formula>"NG"</formula>
    </cfRule>
  </conditionalFormatting>
  <conditionalFormatting sqref="AS44">
    <cfRule type="cellIs" dxfId="251" priority="35" operator="equal">
      <formula>"OK"</formula>
    </cfRule>
    <cfRule type="cellIs" dxfId="250" priority="36" operator="equal">
      <formula>"NG"</formula>
    </cfRule>
  </conditionalFormatting>
  <conditionalFormatting sqref="AS45">
    <cfRule type="cellIs" dxfId="249" priority="33" operator="equal">
      <formula>"OK"</formula>
    </cfRule>
    <cfRule type="cellIs" dxfId="248" priority="34" operator="equal">
      <formula>"NG"</formula>
    </cfRule>
  </conditionalFormatting>
  <conditionalFormatting sqref="AS46">
    <cfRule type="cellIs" dxfId="247" priority="31" operator="equal">
      <formula>"OK"</formula>
    </cfRule>
    <cfRule type="cellIs" dxfId="246" priority="32" operator="equal">
      <formula>"NG"</formula>
    </cfRule>
  </conditionalFormatting>
  <conditionalFormatting sqref="AS47">
    <cfRule type="cellIs" dxfId="245" priority="29" operator="equal">
      <formula>"OK"</formula>
    </cfRule>
    <cfRule type="cellIs" dxfId="244" priority="30" operator="equal">
      <formula>"NG"</formula>
    </cfRule>
  </conditionalFormatting>
  <conditionalFormatting sqref="AS48">
    <cfRule type="cellIs" dxfId="243" priority="27" operator="equal">
      <formula>"OK"</formula>
    </cfRule>
    <cfRule type="cellIs" dxfId="242" priority="28" operator="equal">
      <formula>"NG"</formula>
    </cfRule>
  </conditionalFormatting>
  <conditionalFormatting sqref="AS49">
    <cfRule type="cellIs" dxfId="241" priority="23" operator="equal">
      <formula>"OK"</formula>
    </cfRule>
    <cfRule type="cellIs" dxfId="240" priority="24" operator="equal">
      <formula>"NG"</formula>
    </cfRule>
  </conditionalFormatting>
  <conditionalFormatting sqref="AS50">
    <cfRule type="cellIs" dxfId="239" priority="21" operator="equal">
      <formula>"OK"</formula>
    </cfRule>
    <cfRule type="cellIs" dxfId="238" priority="22" operator="equal">
      <formula>"NG"</formula>
    </cfRule>
  </conditionalFormatting>
  <conditionalFormatting sqref="AS57">
    <cfRule type="cellIs" dxfId="237" priority="17" operator="equal">
      <formula>"OK"</formula>
    </cfRule>
    <cfRule type="cellIs" dxfId="236" priority="18" operator="equal">
      <formula>"NG"</formula>
    </cfRule>
  </conditionalFormatting>
  <conditionalFormatting sqref="AS51">
    <cfRule type="cellIs" dxfId="235" priority="15" operator="equal">
      <formula>"OK"</formula>
    </cfRule>
    <cfRule type="cellIs" dxfId="234" priority="16" operator="equal">
      <formula>"NG"</formula>
    </cfRule>
  </conditionalFormatting>
  <conditionalFormatting sqref="AY52">
    <cfRule type="cellIs" dxfId="233" priority="13" operator="equal">
      <formula>"OK"</formula>
    </cfRule>
    <cfRule type="cellIs" dxfId="232" priority="14" operator="equal">
      <formula>"NG"</formula>
    </cfRule>
  </conditionalFormatting>
  <conditionalFormatting sqref="AS52">
    <cfRule type="cellIs" dxfId="231" priority="11" operator="equal">
      <formula>"OK"</formula>
    </cfRule>
    <cfRule type="cellIs" dxfId="230" priority="12" operator="equal">
      <formula>"NG"</formula>
    </cfRule>
  </conditionalFormatting>
  <conditionalFormatting sqref="AY53">
    <cfRule type="cellIs" dxfId="229" priority="9" operator="equal">
      <formula>"OK"</formula>
    </cfRule>
    <cfRule type="cellIs" dxfId="228" priority="10" operator="equal">
      <formula>"NG"</formula>
    </cfRule>
  </conditionalFormatting>
  <conditionalFormatting sqref="AS53">
    <cfRule type="cellIs" dxfId="227" priority="7" operator="equal">
      <formula>"OK"</formula>
    </cfRule>
    <cfRule type="cellIs" dxfId="226" priority="8" operator="equal">
      <formula>"NG"</formula>
    </cfRule>
  </conditionalFormatting>
  <conditionalFormatting sqref="AY54">
    <cfRule type="cellIs" dxfId="225" priority="5" operator="equal">
      <formula>"OK"</formula>
    </cfRule>
    <cfRule type="cellIs" dxfId="224" priority="6" operator="equal">
      <formula>"NG"</formula>
    </cfRule>
  </conditionalFormatting>
  <conditionalFormatting sqref="AS54">
    <cfRule type="cellIs" dxfId="223" priority="3" operator="equal">
      <formula>"OK"</formula>
    </cfRule>
    <cfRule type="cellIs" dxfId="222" priority="4" operator="equal">
      <formula>"NG"</formula>
    </cfRule>
  </conditionalFormatting>
  <conditionalFormatting sqref="AS55:AS56">
    <cfRule type="cellIs" dxfId="13" priority="1" operator="equal">
      <formula>"OK"</formula>
    </cfRule>
    <cfRule type="cellIs" dxfId="12" priority="2" operator="equal">
      <formula>"NG"</formula>
    </cfRule>
  </conditionalFormatting>
  <dataValidations count="1">
    <dataValidation type="list" allowBlank="1" showInputMessage="1" showErrorMessage="1" sqref="AY10:AY57 AS10:AS57">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70"/>
  <sheetViews>
    <sheetView showGridLines="0" view="pageBreakPreview" zoomScale="60" zoomScaleNormal="100" workbookViewId="0">
      <pane ySplit="9" topLeftCell="A52" activePane="bottomLeft" state="frozen"/>
      <selection pane="bottomLeft"/>
    </sheetView>
  </sheetViews>
  <sheetFormatPr defaultColWidth="3.59765625" defaultRowHeight="20.100000000000001" customHeight="1" x14ac:dyDescent="0.45"/>
  <cols>
    <col min="1" max="1" width="1.09765625" style="54" customWidth="1"/>
    <col min="2" max="65" width="3.69921875" style="54" customWidth="1"/>
    <col min="66" max="66" width="1.09765625" style="54" customWidth="1"/>
    <col min="67" max="16384" width="3.59765625" style="54"/>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55"/>
      <c r="B2" s="211" t="s">
        <v>0</v>
      </c>
      <c r="C2" s="212"/>
      <c r="D2" s="212"/>
      <c r="E2" s="212"/>
      <c r="F2" s="212"/>
      <c r="G2" s="212"/>
      <c r="H2" s="212" t="s">
        <v>40</v>
      </c>
      <c r="I2" s="212"/>
      <c r="J2" s="212"/>
      <c r="K2" s="212"/>
      <c r="L2" s="212" t="s">
        <v>41</v>
      </c>
      <c r="M2" s="212"/>
      <c r="N2" s="212"/>
      <c r="O2" s="212"/>
      <c r="P2" s="212"/>
      <c r="Q2" s="212"/>
      <c r="R2" s="212" t="s">
        <v>1</v>
      </c>
      <c r="S2" s="212"/>
      <c r="T2" s="212"/>
      <c r="U2" s="212"/>
      <c r="V2" s="212"/>
      <c r="W2" s="212"/>
      <c r="X2" s="213" t="s">
        <v>2</v>
      </c>
      <c r="Y2" s="214"/>
      <c r="Z2" s="214"/>
      <c r="AA2" s="214"/>
      <c r="AB2" s="214"/>
      <c r="AC2" s="214"/>
      <c r="AD2" s="214"/>
      <c r="AE2" s="214"/>
      <c r="AF2" s="214"/>
      <c r="AG2" s="214"/>
      <c r="AH2" s="214"/>
      <c r="AI2" s="214"/>
      <c r="AJ2" s="215"/>
      <c r="AK2" s="213" t="s">
        <v>30</v>
      </c>
      <c r="AL2" s="214"/>
      <c r="AM2" s="214"/>
      <c r="AN2" s="214"/>
      <c r="AO2" s="214"/>
      <c r="AP2" s="214"/>
      <c r="AQ2" s="214"/>
      <c r="AR2" s="214"/>
      <c r="AS2" s="214"/>
      <c r="AT2" s="214"/>
      <c r="AU2" s="214"/>
      <c r="AV2" s="214"/>
      <c r="AW2" s="215"/>
      <c r="AX2" s="212" t="s">
        <v>4</v>
      </c>
      <c r="AY2" s="212"/>
      <c r="AZ2" s="212"/>
      <c r="BA2" s="212"/>
      <c r="BB2" s="212" t="s">
        <v>3</v>
      </c>
      <c r="BC2" s="212"/>
      <c r="BD2" s="212"/>
      <c r="BE2" s="212"/>
      <c r="BF2" s="212" t="s">
        <v>5</v>
      </c>
      <c r="BG2" s="212"/>
      <c r="BH2" s="212"/>
      <c r="BI2" s="212"/>
      <c r="BJ2" s="212" t="s">
        <v>6</v>
      </c>
      <c r="BK2" s="212"/>
      <c r="BL2" s="212"/>
      <c r="BM2" s="226"/>
      <c r="BN2" s="56"/>
    </row>
    <row r="3" spans="1:66" ht="20.100000000000001" customHeight="1" x14ac:dyDescent="0.45">
      <c r="A3" s="55"/>
      <c r="B3" s="216" t="str">
        <f>変更履歴!B3</f>
        <v>受発注システム</v>
      </c>
      <c r="C3" s="217"/>
      <c r="D3" s="217"/>
      <c r="E3" s="217"/>
      <c r="F3" s="217"/>
      <c r="G3" s="217"/>
      <c r="H3" s="217" t="str">
        <f ca="1">変更履歴!H3</f>
        <v>マスタ</v>
      </c>
      <c r="I3" s="217"/>
      <c r="J3" s="217"/>
      <c r="K3" s="217"/>
      <c r="L3" s="217" t="str">
        <f>変更履歴!L3</f>
        <v>受発注</v>
      </c>
      <c r="M3" s="217"/>
      <c r="N3" s="217"/>
      <c r="O3" s="217"/>
      <c r="P3" s="217"/>
      <c r="Q3" s="217"/>
      <c r="R3" s="217" t="str">
        <f ca="1">変更履歴!R3</f>
        <v>結合試験項目</v>
      </c>
      <c r="S3" s="217"/>
      <c r="T3" s="217"/>
      <c r="U3" s="217"/>
      <c r="V3" s="217"/>
      <c r="W3" s="217"/>
      <c r="X3" s="221" t="str">
        <f ca="1">変更履歴!X3</f>
        <v>マスタ_物件入力_結合試験項目</v>
      </c>
      <c r="Y3" s="222"/>
      <c r="Z3" s="222"/>
      <c r="AA3" s="222"/>
      <c r="AB3" s="222"/>
      <c r="AC3" s="222"/>
      <c r="AD3" s="222"/>
      <c r="AE3" s="222"/>
      <c r="AF3" s="222"/>
      <c r="AG3" s="222"/>
      <c r="AH3" s="222"/>
      <c r="AI3" s="222"/>
      <c r="AJ3" s="218"/>
      <c r="AK3" s="221" t="str">
        <f ca="1">変更履歴!AK3</f>
        <v>物件入力</v>
      </c>
      <c r="AL3" s="222"/>
      <c r="AM3" s="222"/>
      <c r="AN3" s="222"/>
      <c r="AO3" s="222"/>
      <c r="AP3" s="222"/>
      <c r="AQ3" s="222"/>
      <c r="AR3" s="222"/>
      <c r="AS3" s="222"/>
      <c r="AT3" s="222"/>
      <c r="AU3" s="222"/>
      <c r="AV3" s="222"/>
      <c r="AW3" s="218"/>
      <c r="AX3" s="228">
        <f>変更履歴!AX3</f>
        <v>45636</v>
      </c>
      <c r="AY3" s="228"/>
      <c r="AZ3" s="228"/>
      <c r="BA3" s="228"/>
      <c r="BB3" s="217" t="str">
        <f>変更履歴!BB3</f>
        <v>榎本</v>
      </c>
      <c r="BC3" s="217"/>
      <c r="BD3" s="217"/>
      <c r="BE3" s="217"/>
      <c r="BF3" s="228">
        <f>変更履歴!BF3</f>
        <v>45636</v>
      </c>
      <c r="BG3" s="228"/>
      <c r="BH3" s="228"/>
      <c r="BI3" s="228"/>
      <c r="BJ3" s="217" t="str">
        <f>変更履歴!BJ3</f>
        <v>榎本</v>
      </c>
      <c r="BK3" s="217"/>
      <c r="BL3" s="217"/>
      <c r="BM3" s="229"/>
      <c r="BN3" s="56"/>
    </row>
    <row r="4" spans="1:66" ht="20.100000000000001" customHeight="1" thickBot="1" x14ac:dyDescent="0.5">
      <c r="A4" s="55"/>
      <c r="B4" s="218"/>
      <c r="C4" s="219"/>
      <c r="D4" s="219"/>
      <c r="E4" s="219"/>
      <c r="F4" s="219"/>
      <c r="G4" s="219"/>
      <c r="H4" s="219"/>
      <c r="I4" s="219"/>
      <c r="J4" s="219"/>
      <c r="K4" s="219"/>
      <c r="L4" s="219"/>
      <c r="M4" s="219"/>
      <c r="N4" s="219"/>
      <c r="O4" s="219"/>
      <c r="P4" s="219"/>
      <c r="Q4" s="219"/>
      <c r="R4" s="219"/>
      <c r="S4" s="219"/>
      <c r="T4" s="219"/>
      <c r="U4" s="219"/>
      <c r="V4" s="219"/>
      <c r="W4" s="219"/>
      <c r="X4" s="223"/>
      <c r="Y4" s="224"/>
      <c r="Z4" s="224"/>
      <c r="AA4" s="224"/>
      <c r="AB4" s="224"/>
      <c r="AC4" s="224"/>
      <c r="AD4" s="224"/>
      <c r="AE4" s="224"/>
      <c r="AF4" s="224"/>
      <c r="AG4" s="224"/>
      <c r="AH4" s="224"/>
      <c r="AI4" s="224"/>
      <c r="AJ4" s="225"/>
      <c r="AK4" s="223"/>
      <c r="AL4" s="224"/>
      <c r="AM4" s="224"/>
      <c r="AN4" s="224"/>
      <c r="AO4" s="224"/>
      <c r="AP4" s="224"/>
      <c r="AQ4" s="224"/>
      <c r="AR4" s="224"/>
      <c r="AS4" s="224"/>
      <c r="AT4" s="224"/>
      <c r="AU4" s="224"/>
      <c r="AV4" s="224"/>
      <c r="AW4" s="225"/>
      <c r="AX4" s="256"/>
      <c r="AY4" s="256"/>
      <c r="AZ4" s="256"/>
      <c r="BA4" s="256"/>
      <c r="BB4" s="219"/>
      <c r="BC4" s="219"/>
      <c r="BD4" s="219"/>
      <c r="BE4" s="219"/>
      <c r="BF4" s="256"/>
      <c r="BG4" s="256"/>
      <c r="BH4" s="256"/>
      <c r="BI4" s="256"/>
      <c r="BJ4" s="219"/>
      <c r="BK4" s="219"/>
      <c r="BL4" s="219"/>
      <c r="BM4" s="221"/>
      <c r="BN4" s="5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55"/>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56"/>
    </row>
    <row r="7" spans="1:66" ht="13.8" thickTop="1" thickBot="1" x14ac:dyDescent="0.5">
      <c r="A7" s="55"/>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263" t="s">
        <v>32</v>
      </c>
      <c r="BF7" s="264"/>
      <c r="BG7" s="267" t="s">
        <v>31</v>
      </c>
      <c r="BH7" s="267"/>
      <c r="BI7" s="257" t="s">
        <v>33</v>
      </c>
      <c r="BJ7" s="258"/>
      <c r="BK7" s="257" t="s">
        <v>34</v>
      </c>
      <c r="BL7" s="255"/>
      <c r="BM7" s="8"/>
      <c r="BN7" s="56"/>
    </row>
    <row r="8" spans="1:66" ht="13.8" thickTop="1" thickBot="1" x14ac:dyDescent="0.5">
      <c r="A8" s="55"/>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261" t="s">
        <v>35</v>
      </c>
      <c r="AP8" s="254"/>
      <c r="AQ8" s="254"/>
      <c r="AR8" s="254"/>
      <c r="AS8" s="254"/>
      <c r="AT8" s="255"/>
      <c r="AU8" s="261" t="s">
        <v>36</v>
      </c>
      <c r="AV8" s="254"/>
      <c r="AW8" s="254"/>
      <c r="AX8" s="254"/>
      <c r="AY8" s="254"/>
      <c r="AZ8" s="255"/>
      <c r="BE8" s="265"/>
      <c r="BF8" s="266"/>
      <c r="BG8" s="259">
        <f>COUNTA(C10:C67)</f>
        <v>58</v>
      </c>
      <c r="BH8" s="262"/>
      <c r="BI8" s="259">
        <f>COUNTIF(AS10:AT67,"OK")+COUNTIF(AY10:AZ67,"OK")</f>
        <v>58</v>
      </c>
      <c r="BJ8" s="262"/>
      <c r="BK8" s="259">
        <f>BG8-BI8</f>
        <v>0</v>
      </c>
      <c r="BL8" s="260"/>
      <c r="BM8" s="8"/>
      <c r="BN8" s="56"/>
    </row>
    <row r="9" spans="1:66" ht="20.100000000000001" customHeight="1" thickTop="1" x14ac:dyDescent="0.45">
      <c r="A9" s="55"/>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252" t="s">
        <v>25</v>
      </c>
      <c r="AP9" s="250"/>
      <c r="AQ9" s="249" t="s">
        <v>26</v>
      </c>
      <c r="AR9" s="250"/>
      <c r="AS9" s="249" t="s">
        <v>29</v>
      </c>
      <c r="AT9" s="251"/>
      <c r="AU9" s="252" t="s">
        <v>25</v>
      </c>
      <c r="AV9" s="250"/>
      <c r="AW9" s="249" t="s">
        <v>26</v>
      </c>
      <c r="AX9" s="250"/>
      <c r="AY9" s="249" t="s">
        <v>29</v>
      </c>
      <c r="AZ9" s="251"/>
      <c r="BA9" s="253" t="s">
        <v>27</v>
      </c>
      <c r="BB9" s="254"/>
      <c r="BC9" s="254"/>
      <c r="BD9" s="254"/>
      <c r="BE9" s="254"/>
      <c r="BF9" s="254"/>
      <c r="BG9" s="254"/>
      <c r="BH9" s="254"/>
      <c r="BI9" s="254"/>
      <c r="BJ9" s="254"/>
      <c r="BK9" s="254"/>
      <c r="BL9" s="255"/>
      <c r="BM9" s="56"/>
      <c r="BN9" s="56"/>
    </row>
    <row r="10" spans="1:66" ht="24" customHeight="1" x14ac:dyDescent="0.45">
      <c r="A10" s="55"/>
      <c r="B10" s="55"/>
      <c r="C10" s="72">
        <f t="shared" ref="C10:C31" si="0">ROW()-9</f>
        <v>1</v>
      </c>
      <c r="D10" s="243" t="s">
        <v>61</v>
      </c>
      <c r="E10" s="244"/>
      <c r="F10" s="244"/>
      <c r="G10" s="245"/>
      <c r="H10" s="243" t="s">
        <v>62</v>
      </c>
      <c r="I10" s="244"/>
      <c r="J10" s="244"/>
      <c r="K10" s="245"/>
      <c r="L10" s="162" t="s">
        <v>78</v>
      </c>
      <c r="M10" s="155"/>
      <c r="N10" s="155"/>
      <c r="O10" s="163"/>
      <c r="P10" s="239" t="s">
        <v>63</v>
      </c>
      <c r="Q10" s="237"/>
      <c r="R10" s="237"/>
      <c r="S10" s="237"/>
      <c r="T10" s="237"/>
      <c r="U10" s="237"/>
      <c r="V10" s="237"/>
      <c r="W10" s="238"/>
      <c r="X10" s="239" t="s">
        <v>64</v>
      </c>
      <c r="Y10" s="237"/>
      <c r="Z10" s="237"/>
      <c r="AA10" s="237"/>
      <c r="AB10" s="237"/>
      <c r="AC10" s="237"/>
      <c r="AD10" s="237"/>
      <c r="AE10" s="238"/>
      <c r="AF10" s="119"/>
      <c r="AG10" s="120"/>
      <c r="AH10" s="120"/>
      <c r="AI10" s="120"/>
      <c r="AJ10" s="120"/>
      <c r="AK10" s="120"/>
      <c r="AL10" s="120"/>
      <c r="AM10" s="120"/>
      <c r="AN10" s="126"/>
      <c r="AO10" s="240">
        <v>45684</v>
      </c>
      <c r="AP10" s="241"/>
      <c r="AQ10" s="236" t="s">
        <v>156</v>
      </c>
      <c r="AR10" s="232"/>
      <c r="AS10" s="236" t="s">
        <v>157</v>
      </c>
      <c r="AT10" s="242"/>
      <c r="AU10" s="127"/>
      <c r="AV10" s="128"/>
      <c r="AW10" s="117"/>
      <c r="AX10" s="118"/>
      <c r="AY10" s="117"/>
      <c r="AZ10" s="122"/>
      <c r="BA10" s="123"/>
      <c r="BB10" s="124"/>
      <c r="BC10" s="124"/>
      <c r="BD10" s="124"/>
      <c r="BE10" s="124"/>
      <c r="BF10" s="124"/>
      <c r="BG10" s="124"/>
      <c r="BH10" s="124"/>
      <c r="BI10" s="124"/>
      <c r="BJ10" s="124"/>
      <c r="BK10" s="124"/>
      <c r="BL10" s="125"/>
      <c r="BM10" s="56"/>
      <c r="BN10" s="56"/>
    </row>
    <row r="11" spans="1:66" ht="24" customHeight="1" x14ac:dyDescent="0.45">
      <c r="A11" s="55"/>
      <c r="B11" s="55"/>
      <c r="C11" s="72">
        <f t="shared" si="0"/>
        <v>2</v>
      </c>
      <c r="D11" s="59"/>
      <c r="E11" s="131"/>
      <c r="F11" s="131"/>
      <c r="G11" s="61"/>
      <c r="H11" s="131"/>
      <c r="I11" s="131"/>
      <c r="J11" s="131"/>
      <c r="K11" s="131"/>
      <c r="L11" s="162" t="s">
        <v>79</v>
      </c>
      <c r="M11" s="155"/>
      <c r="N11" s="155"/>
      <c r="O11" s="163"/>
      <c r="P11" s="239" t="s">
        <v>63</v>
      </c>
      <c r="Q11" s="237"/>
      <c r="R11" s="237"/>
      <c r="S11" s="237"/>
      <c r="T11" s="237"/>
      <c r="U11" s="237"/>
      <c r="V11" s="237"/>
      <c r="W11" s="238"/>
      <c r="X11" s="239" t="s">
        <v>117</v>
      </c>
      <c r="Y11" s="237"/>
      <c r="Z11" s="237"/>
      <c r="AA11" s="237"/>
      <c r="AB11" s="237"/>
      <c r="AC11" s="237"/>
      <c r="AD11" s="237"/>
      <c r="AE11" s="238"/>
      <c r="AF11" s="119"/>
      <c r="AG11" s="120"/>
      <c r="AH11" s="120"/>
      <c r="AI11" s="120"/>
      <c r="AJ11" s="120"/>
      <c r="AK11" s="120"/>
      <c r="AL11" s="120"/>
      <c r="AM11" s="120"/>
      <c r="AN11" s="126"/>
      <c r="AO11" s="240">
        <v>45684</v>
      </c>
      <c r="AP11" s="241"/>
      <c r="AQ11" s="236" t="s">
        <v>156</v>
      </c>
      <c r="AR11" s="232"/>
      <c r="AS11" s="236" t="s">
        <v>157</v>
      </c>
      <c r="AT11" s="242"/>
      <c r="AU11" s="127"/>
      <c r="AV11" s="128"/>
      <c r="AW11" s="117"/>
      <c r="AX11" s="118"/>
      <c r="AY11" s="117"/>
      <c r="AZ11" s="122"/>
      <c r="BA11" s="123"/>
      <c r="BB11" s="124"/>
      <c r="BC11" s="124"/>
      <c r="BD11" s="124"/>
      <c r="BE11" s="124"/>
      <c r="BF11" s="124"/>
      <c r="BG11" s="124"/>
      <c r="BH11" s="124"/>
      <c r="BI11" s="124"/>
      <c r="BJ11" s="124"/>
      <c r="BK11" s="124"/>
      <c r="BL11" s="125"/>
      <c r="BM11" s="56"/>
      <c r="BN11" s="56"/>
    </row>
    <row r="12" spans="1:66" ht="24" customHeight="1" x14ac:dyDescent="0.45">
      <c r="A12" s="55"/>
      <c r="B12" s="55"/>
      <c r="C12" s="72">
        <f t="shared" si="0"/>
        <v>3</v>
      </c>
      <c r="D12" s="59"/>
      <c r="E12" s="131"/>
      <c r="F12" s="131"/>
      <c r="G12" s="61"/>
      <c r="H12" s="131"/>
      <c r="I12" s="131"/>
      <c r="J12" s="131"/>
      <c r="K12" s="131"/>
      <c r="L12" s="162" t="s">
        <v>80</v>
      </c>
      <c r="M12" s="155"/>
      <c r="N12" s="155"/>
      <c r="O12" s="163"/>
      <c r="P12" s="239" t="s">
        <v>63</v>
      </c>
      <c r="Q12" s="237"/>
      <c r="R12" s="237"/>
      <c r="S12" s="237"/>
      <c r="T12" s="237"/>
      <c r="U12" s="237"/>
      <c r="V12" s="237"/>
      <c r="W12" s="238"/>
      <c r="X12" s="239" t="s">
        <v>118</v>
      </c>
      <c r="Y12" s="237"/>
      <c r="Z12" s="237"/>
      <c r="AA12" s="237"/>
      <c r="AB12" s="237"/>
      <c r="AC12" s="237"/>
      <c r="AD12" s="237"/>
      <c r="AE12" s="238"/>
      <c r="AF12" s="119"/>
      <c r="AG12" s="120"/>
      <c r="AH12" s="120"/>
      <c r="AI12" s="120"/>
      <c r="AJ12" s="120"/>
      <c r="AK12" s="120"/>
      <c r="AL12" s="120"/>
      <c r="AM12" s="120"/>
      <c r="AN12" s="126"/>
      <c r="AO12" s="240">
        <v>45684</v>
      </c>
      <c r="AP12" s="241"/>
      <c r="AQ12" s="236" t="s">
        <v>156</v>
      </c>
      <c r="AR12" s="232"/>
      <c r="AS12" s="236" t="s">
        <v>157</v>
      </c>
      <c r="AT12" s="242"/>
      <c r="AU12" s="127"/>
      <c r="AV12" s="128"/>
      <c r="AW12" s="117"/>
      <c r="AX12" s="118"/>
      <c r="AY12" s="117"/>
      <c r="AZ12" s="122"/>
      <c r="BA12" s="123"/>
      <c r="BB12" s="124"/>
      <c r="BC12" s="124"/>
      <c r="BD12" s="124"/>
      <c r="BE12" s="124"/>
      <c r="BF12" s="124"/>
      <c r="BG12" s="124"/>
      <c r="BH12" s="124"/>
      <c r="BI12" s="124"/>
      <c r="BJ12" s="124"/>
      <c r="BK12" s="124"/>
      <c r="BL12" s="125"/>
      <c r="BM12" s="56"/>
      <c r="BN12" s="56"/>
    </row>
    <row r="13" spans="1:66" ht="24" customHeight="1" x14ac:dyDescent="0.45">
      <c r="A13" s="55"/>
      <c r="B13" s="55"/>
      <c r="C13" s="72">
        <f t="shared" si="0"/>
        <v>4</v>
      </c>
      <c r="D13" s="59"/>
      <c r="E13" s="144"/>
      <c r="F13" s="144"/>
      <c r="G13" s="61"/>
      <c r="H13" s="144"/>
      <c r="I13" s="144"/>
      <c r="J13" s="144"/>
      <c r="K13" s="144"/>
      <c r="L13" s="162" t="s">
        <v>82</v>
      </c>
      <c r="M13" s="155"/>
      <c r="N13" s="155"/>
      <c r="O13" s="163"/>
      <c r="P13" s="239" t="s">
        <v>63</v>
      </c>
      <c r="Q13" s="237"/>
      <c r="R13" s="237"/>
      <c r="S13" s="237"/>
      <c r="T13" s="237"/>
      <c r="U13" s="237"/>
      <c r="V13" s="237"/>
      <c r="W13" s="238"/>
      <c r="X13" s="239" t="s">
        <v>119</v>
      </c>
      <c r="Y13" s="237"/>
      <c r="Z13" s="237"/>
      <c r="AA13" s="237"/>
      <c r="AB13" s="237"/>
      <c r="AC13" s="237"/>
      <c r="AD13" s="237"/>
      <c r="AE13" s="238"/>
      <c r="AF13" s="135"/>
      <c r="AG13" s="136"/>
      <c r="AH13" s="136"/>
      <c r="AI13" s="136"/>
      <c r="AJ13" s="136"/>
      <c r="AK13" s="136"/>
      <c r="AL13" s="136"/>
      <c r="AM13" s="136"/>
      <c r="AN13" s="140"/>
      <c r="AO13" s="240">
        <v>45684</v>
      </c>
      <c r="AP13" s="241"/>
      <c r="AQ13" s="236" t="s">
        <v>156</v>
      </c>
      <c r="AR13" s="232"/>
      <c r="AS13" s="236" t="s">
        <v>157</v>
      </c>
      <c r="AT13" s="242"/>
      <c r="AU13" s="141"/>
      <c r="AV13" s="142"/>
      <c r="AW13" s="134"/>
      <c r="AX13" s="133"/>
      <c r="AY13" s="134"/>
      <c r="AZ13" s="143"/>
      <c r="BA13" s="137"/>
      <c r="BB13" s="138"/>
      <c r="BC13" s="138"/>
      <c r="BD13" s="138"/>
      <c r="BE13" s="138"/>
      <c r="BF13" s="138"/>
      <c r="BG13" s="138"/>
      <c r="BH13" s="138"/>
      <c r="BI13" s="138"/>
      <c r="BJ13" s="138"/>
      <c r="BK13" s="138"/>
      <c r="BL13" s="139"/>
      <c r="BM13" s="56"/>
      <c r="BN13" s="56"/>
    </row>
    <row r="14" spans="1:66" ht="24" customHeight="1" x14ac:dyDescent="0.45">
      <c r="A14" s="55"/>
      <c r="B14" s="55"/>
      <c r="C14" s="72">
        <f t="shared" si="0"/>
        <v>5</v>
      </c>
      <c r="D14" s="59"/>
      <c r="E14" s="131"/>
      <c r="F14" s="131"/>
      <c r="G14" s="61"/>
      <c r="H14" s="131"/>
      <c r="I14" s="131"/>
      <c r="J14" s="131"/>
      <c r="K14" s="131"/>
      <c r="L14" s="162" t="s">
        <v>83</v>
      </c>
      <c r="M14" s="155"/>
      <c r="N14" s="155"/>
      <c r="O14" s="163"/>
      <c r="P14" s="239" t="s">
        <v>63</v>
      </c>
      <c r="Q14" s="237"/>
      <c r="R14" s="237"/>
      <c r="S14" s="237"/>
      <c r="T14" s="237"/>
      <c r="U14" s="237"/>
      <c r="V14" s="237"/>
      <c r="W14" s="238"/>
      <c r="X14" s="239" t="s">
        <v>119</v>
      </c>
      <c r="Y14" s="237"/>
      <c r="Z14" s="237"/>
      <c r="AA14" s="237"/>
      <c r="AB14" s="237"/>
      <c r="AC14" s="237"/>
      <c r="AD14" s="237"/>
      <c r="AE14" s="238"/>
      <c r="AF14" s="119"/>
      <c r="AG14" s="120"/>
      <c r="AH14" s="120"/>
      <c r="AI14" s="120"/>
      <c r="AJ14" s="120"/>
      <c r="AK14" s="120"/>
      <c r="AL14" s="120"/>
      <c r="AM14" s="120"/>
      <c r="AN14" s="126"/>
      <c r="AO14" s="240">
        <v>45684</v>
      </c>
      <c r="AP14" s="241"/>
      <c r="AQ14" s="236" t="s">
        <v>156</v>
      </c>
      <c r="AR14" s="232"/>
      <c r="AS14" s="236" t="s">
        <v>157</v>
      </c>
      <c r="AT14" s="242"/>
      <c r="AU14" s="127"/>
      <c r="AV14" s="128"/>
      <c r="AW14" s="117"/>
      <c r="AX14" s="118"/>
      <c r="AY14" s="117"/>
      <c r="AZ14" s="122"/>
      <c r="BA14" s="123"/>
      <c r="BB14" s="124"/>
      <c r="BC14" s="124"/>
      <c r="BD14" s="124"/>
      <c r="BE14" s="124"/>
      <c r="BF14" s="124"/>
      <c r="BG14" s="124"/>
      <c r="BH14" s="124"/>
      <c r="BI14" s="124"/>
      <c r="BJ14" s="124"/>
      <c r="BK14" s="124"/>
      <c r="BL14" s="125"/>
      <c r="BM14" s="56"/>
      <c r="BN14" s="56"/>
    </row>
    <row r="15" spans="1:66" ht="24" customHeight="1" x14ac:dyDescent="0.45">
      <c r="A15" s="55"/>
      <c r="B15" s="55"/>
      <c r="C15" s="72">
        <f t="shared" si="0"/>
        <v>6</v>
      </c>
      <c r="D15" s="59"/>
      <c r="E15" s="131"/>
      <c r="F15" s="131"/>
      <c r="G15" s="61"/>
      <c r="H15" s="131"/>
      <c r="I15" s="131"/>
      <c r="J15" s="131"/>
      <c r="K15" s="131"/>
      <c r="L15" s="162" t="s">
        <v>84</v>
      </c>
      <c r="M15" s="155"/>
      <c r="N15" s="155"/>
      <c r="O15" s="163"/>
      <c r="P15" s="239" t="s">
        <v>63</v>
      </c>
      <c r="Q15" s="237"/>
      <c r="R15" s="237"/>
      <c r="S15" s="237"/>
      <c r="T15" s="237"/>
      <c r="U15" s="237"/>
      <c r="V15" s="237"/>
      <c r="W15" s="238"/>
      <c r="X15" s="239" t="s">
        <v>74</v>
      </c>
      <c r="Y15" s="237"/>
      <c r="Z15" s="237"/>
      <c r="AA15" s="237"/>
      <c r="AB15" s="237"/>
      <c r="AC15" s="237"/>
      <c r="AD15" s="237"/>
      <c r="AE15" s="238"/>
      <c r="AF15" s="119"/>
      <c r="AG15" s="120"/>
      <c r="AH15" s="120"/>
      <c r="AI15" s="120"/>
      <c r="AJ15" s="120"/>
      <c r="AK15" s="120"/>
      <c r="AL15" s="120"/>
      <c r="AM15" s="120"/>
      <c r="AN15" s="126"/>
      <c r="AO15" s="240">
        <v>45684</v>
      </c>
      <c r="AP15" s="241"/>
      <c r="AQ15" s="236" t="s">
        <v>156</v>
      </c>
      <c r="AR15" s="232"/>
      <c r="AS15" s="236" t="s">
        <v>157</v>
      </c>
      <c r="AT15" s="242"/>
      <c r="AU15" s="127"/>
      <c r="AV15" s="128"/>
      <c r="AW15" s="117"/>
      <c r="AX15" s="118"/>
      <c r="AY15" s="117"/>
      <c r="AZ15" s="122"/>
      <c r="BA15" s="123"/>
      <c r="BB15" s="124"/>
      <c r="BC15" s="124"/>
      <c r="BD15" s="124"/>
      <c r="BE15" s="124"/>
      <c r="BF15" s="124"/>
      <c r="BG15" s="124"/>
      <c r="BH15" s="124"/>
      <c r="BI15" s="124"/>
      <c r="BJ15" s="124"/>
      <c r="BK15" s="124"/>
      <c r="BL15" s="125"/>
      <c r="BM15" s="56"/>
      <c r="BN15" s="56"/>
    </row>
    <row r="16" spans="1:66" ht="24" customHeight="1" x14ac:dyDescent="0.45">
      <c r="A16" s="55"/>
      <c r="B16" s="55"/>
      <c r="C16" s="72">
        <f t="shared" si="0"/>
        <v>7</v>
      </c>
      <c r="D16" s="59"/>
      <c r="E16" s="131"/>
      <c r="F16" s="131"/>
      <c r="G16" s="61"/>
      <c r="H16" s="131"/>
      <c r="I16" s="131"/>
      <c r="J16" s="131"/>
      <c r="K16" s="131"/>
      <c r="L16" s="162" t="s">
        <v>85</v>
      </c>
      <c r="M16" s="155"/>
      <c r="N16" s="155"/>
      <c r="O16" s="163"/>
      <c r="P16" s="239" t="s">
        <v>63</v>
      </c>
      <c r="Q16" s="237"/>
      <c r="R16" s="237"/>
      <c r="S16" s="237"/>
      <c r="T16" s="237"/>
      <c r="U16" s="237"/>
      <c r="V16" s="237"/>
      <c r="W16" s="238"/>
      <c r="X16" s="239" t="s">
        <v>74</v>
      </c>
      <c r="Y16" s="237"/>
      <c r="Z16" s="237"/>
      <c r="AA16" s="237"/>
      <c r="AB16" s="237"/>
      <c r="AC16" s="237"/>
      <c r="AD16" s="237"/>
      <c r="AE16" s="238"/>
      <c r="AF16" s="119"/>
      <c r="AG16" s="120"/>
      <c r="AH16" s="120"/>
      <c r="AI16" s="120"/>
      <c r="AJ16" s="120"/>
      <c r="AK16" s="120"/>
      <c r="AL16" s="120"/>
      <c r="AM16" s="120"/>
      <c r="AN16" s="126"/>
      <c r="AO16" s="240">
        <v>45684</v>
      </c>
      <c r="AP16" s="241"/>
      <c r="AQ16" s="236" t="s">
        <v>156</v>
      </c>
      <c r="AR16" s="232"/>
      <c r="AS16" s="236" t="s">
        <v>157</v>
      </c>
      <c r="AT16" s="242"/>
      <c r="AU16" s="127"/>
      <c r="AV16" s="128"/>
      <c r="AW16" s="117"/>
      <c r="AX16" s="118"/>
      <c r="AY16" s="117"/>
      <c r="AZ16" s="122"/>
      <c r="BA16" s="123"/>
      <c r="BB16" s="124"/>
      <c r="BC16" s="124"/>
      <c r="BD16" s="124"/>
      <c r="BE16" s="124"/>
      <c r="BF16" s="124"/>
      <c r="BG16" s="124"/>
      <c r="BH16" s="124"/>
      <c r="BI16" s="124"/>
      <c r="BJ16" s="124"/>
      <c r="BK16" s="124"/>
      <c r="BL16" s="125"/>
      <c r="BM16" s="56"/>
      <c r="BN16" s="56"/>
    </row>
    <row r="17" spans="1:66" ht="24" customHeight="1" x14ac:dyDescent="0.45">
      <c r="A17" s="55"/>
      <c r="B17" s="55"/>
      <c r="C17" s="72">
        <f t="shared" si="0"/>
        <v>8</v>
      </c>
      <c r="D17" s="59"/>
      <c r="E17" s="131"/>
      <c r="F17" s="131"/>
      <c r="G17" s="61"/>
      <c r="H17" s="131"/>
      <c r="I17" s="131"/>
      <c r="J17" s="131"/>
      <c r="K17" s="131"/>
      <c r="L17" s="162" t="s">
        <v>86</v>
      </c>
      <c r="M17" s="155"/>
      <c r="N17" s="155"/>
      <c r="O17" s="163"/>
      <c r="P17" s="239" t="s">
        <v>63</v>
      </c>
      <c r="Q17" s="237"/>
      <c r="R17" s="237"/>
      <c r="S17" s="237"/>
      <c r="T17" s="237"/>
      <c r="U17" s="237"/>
      <c r="V17" s="237"/>
      <c r="W17" s="238"/>
      <c r="X17" s="239" t="s">
        <v>120</v>
      </c>
      <c r="Y17" s="237"/>
      <c r="Z17" s="237"/>
      <c r="AA17" s="237"/>
      <c r="AB17" s="237"/>
      <c r="AC17" s="237"/>
      <c r="AD17" s="237"/>
      <c r="AE17" s="238"/>
      <c r="AF17" s="119"/>
      <c r="AG17" s="120"/>
      <c r="AH17" s="120"/>
      <c r="AI17" s="120"/>
      <c r="AJ17" s="120"/>
      <c r="AK17" s="120"/>
      <c r="AL17" s="120"/>
      <c r="AM17" s="120"/>
      <c r="AN17" s="126"/>
      <c r="AO17" s="240">
        <v>45684</v>
      </c>
      <c r="AP17" s="241"/>
      <c r="AQ17" s="236" t="s">
        <v>156</v>
      </c>
      <c r="AR17" s="232"/>
      <c r="AS17" s="236" t="s">
        <v>157</v>
      </c>
      <c r="AT17" s="242"/>
      <c r="AU17" s="127"/>
      <c r="AV17" s="128"/>
      <c r="AW17" s="117"/>
      <c r="AX17" s="118"/>
      <c r="AY17" s="117"/>
      <c r="AZ17" s="122"/>
      <c r="BA17" s="123"/>
      <c r="BB17" s="124"/>
      <c r="BC17" s="124"/>
      <c r="BD17" s="124"/>
      <c r="BE17" s="124"/>
      <c r="BF17" s="124"/>
      <c r="BG17" s="124"/>
      <c r="BH17" s="124"/>
      <c r="BI17" s="124"/>
      <c r="BJ17" s="124"/>
      <c r="BK17" s="124"/>
      <c r="BL17" s="125"/>
      <c r="BM17" s="56"/>
      <c r="BN17" s="56"/>
    </row>
    <row r="18" spans="1:66" ht="24" customHeight="1" x14ac:dyDescent="0.45">
      <c r="A18" s="55"/>
      <c r="B18" s="55"/>
      <c r="C18" s="72">
        <f t="shared" si="0"/>
        <v>9</v>
      </c>
      <c r="D18" s="59"/>
      <c r="E18" s="131"/>
      <c r="F18" s="131"/>
      <c r="G18" s="61"/>
      <c r="H18" s="109"/>
      <c r="I18" s="131"/>
      <c r="J18" s="131"/>
      <c r="K18" s="131"/>
      <c r="L18" s="162" t="s">
        <v>180</v>
      </c>
      <c r="M18" s="155"/>
      <c r="N18" s="155"/>
      <c r="O18" s="163"/>
      <c r="P18" s="239" t="s">
        <v>111</v>
      </c>
      <c r="Q18" s="237"/>
      <c r="R18" s="237"/>
      <c r="S18" s="237"/>
      <c r="T18" s="237"/>
      <c r="U18" s="237"/>
      <c r="V18" s="237"/>
      <c r="W18" s="238"/>
      <c r="X18" s="239" t="s">
        <v>119</v>
      </c>
      <c r="Y18" s="237"/>
      <c r="Z18" s="237"/>
      <c r="AA18" s="237"/>
      <c r="AB18" s="237"/>
      <c r="AC18" s="237"/>
      <c r="AD18" s="237"/>
      <c r="AE18" s="238"/>
      <c r="AF18" s="119"/>
      <c r="AG18" s="120"/>
      <c r="AH18" s="120"/>
      <c r="AI18" s="120"/>
      <c r="AJ18" s="120"/>
      <c r="AK18" s="120"/>
      <c r="AL18" s="120"/>
      <c r="AM18" s="120"/>
      <c r="AN18" s="126"/>
      <c r="AO18" s="240">
        <v>45684</v>
      </c>
      <c r="AP18" s="241"/>
      <c r="AQ18" s="236" t="s">
        <v>156</v>
      </c>
      <c r="AR18" s="232"/>
      <c r="AS18" s="236" t="s">
        <v>157</v>
      </c>
      <c r="AT18" s="242"/>
      <c r="AU18" s="127"/>
      <c r="AV18" s="128"/>
      <c r="AW18" s="117"/>
      <c r="AX18" s="118"/>
      <c r="AY18" s="117"/>
      <c r="AZ18" s="122"/>
      <c r="BA18" s="123"/>
      <c r="BB18" s="124"/>
      <c r="BC18" s="124"/>
      <c r="BD18" s="124"/>
      <c r="BE18" s="124"/>
      <c r="BF18" s="124"/>
      <c r="BG18" s="124"/>
      <c r="BH18" s="124"/>
      <c r="BI18" s="124"/>
      <c r="BJ18" s="124"/>
      <c r="BK18" s="124"/>
      <c r="BL18" s="125"/>
      <c r="BM18" s="56"/>
      <c r="BN18" s="56"/>
    </row>
    <row r="19" spans="1:66" ht="24" customHeight="1" x14ac:dyDescent="0.45">
      <c r="A19" s="55"/>
      <c r="B19" s="55"/>
      <c r="C19" s="72">
        <f t="shared" si="0"/>
        <v>10</v>
      </c>
      <c r="D19" s="59"/>
      <c r="E19" s="131"/>
      <c r="F19" s="131"/>
      <c r="G19" s="61"/>
      <c r="H19" s="109"/>
      <c r="I19" s="131"/>
      <c r="J19" s="131"/>
      <c r="K19" s="131"/>
      <c r="L19" s="162" t="s">
        <v>181</v>
      </c>
      <c r="M19" s="155"/>
      <c r="N19" s="155"/>
      <c r="O19" s="163"/>
      <c r="P19" s="239" t="s">
        <v>111</v>
      </c>
      <c r="Q19" s="237"/>
      <c r="R19" s="237"/>
      <c r="S19" s="237"/>
      <c r="T19" s="237"/>
      <c r="U19" s="237"/>
      <c r="V19" s="237"/>
      <c r="W19" s="238"/>
      <c r="X19" s="239" t="s">
        <v>119</v>
      </c>
      <c r="Y19" s="237"/>
      <c r="Z19" s="237"/>
      <c r="AA19" s="237"/>
      <c r="AB19" s="237"/>
      <c r="AC19" s="237"/>
      <c r="AD19" s="237"/>
      <c r="AE19" s="238"/>
      <c r="AF19" s="119"/>
      <c r="AG19" s="120"/>
      <c r="AH19" s="120"/>
      <c r="AI19" s="120"/>
      <c r="AJ19" s="120"/>
      <c r="AK19" s="120"/>
      <c r="AL19" s="120"/>
      <c r="AM19" s="120"/>
      <c r="AN19" s="126"/>
      <c r="AO19" s="240">
        <v>45684</v>
      </c>
      <c r="AP19" s="241"/>
      <c r="AQ19" s="236" t="s">
        <v>156</v>
      </c>
      <c r="AR19" s="232"/>
      <c r="AS19" s="236" t="s">
        <v>157</v>
      </c>
      <c r="AT19" s="242"/>
      <c r="AU19" s="127"/>
      <c r="AV19" s="128"/>
      <c r="AW19" s="117"/>
      <c r="AX19" s="118"/>
      <c r="AY19" s="117"/>
      <c r="AZ19" s="122"/>
      <c r="BA19" s="123"/>
      <c r="BB19" s="124"/>
      <c r="BC19" s="124"/>
      <c r="BD19" s="124"/>
      <c r="BE19" s="124"/>
      <c r="BF19" s="124"/>
      <c r="BG19" s="124"/>
      <c r="BH19" s="124"/>
      <c r="BI19" s="124"/>
      <c r="BJ19" s="124"/>
      <c r="BK19" s="124"/>
      <c r="BL19" s="125"/>
      <c r="BM19" s="56"/>
      <c r="BN19" s="56"/>
    </row>
    <row r="20" spans="1:66" ht="24" customHeight="1" x14ac:dyDescent="0.45">
      <c r="A20" s="55"/>
      <c r="B20" s="55"/>
      <c r="C20" s="72">
        <f t="shared" si="0"/>
        <v>11</v>
      </c>
      <c r="D20" s="59"/>
      <c r="E20" s="131"/>
      <c r="F20" s="131"/>
      <c r="G20" s="132"/>
      <c r="H20" s="59"/>
      <c r="I20" s="131"/>
      <c r="J20" s="131"/>
      <c r="K20" s="61"/>
      <c r="L20" s="162" t="s">
        <v>91</v>
      </c>
      <c r="M20" s="155"/>
      <c r="N20" s="155"/>
      <c r="O20" s="163"/>
      <c r="P20" s="239" t="s">
        <v>111</v>
      </c>
      <c r="Q20" s="237"/>
      <c r="R20" s="237"/>
      <c r="S20" s="237"/>
      <c r="T20" s="237"/>
      <c r="U20" s="237"/>
      <c r="V20" s="237"/>
      <c r="W20" s="238"/>
      <c r="X20" s="239" t="s">
        <v>75</v>
      </c>
      <c r="Y20" s="237"/>
      <c r="Z20" s="237"/>
      <c r="AA20" s="237"/>
      <c r="AB20" s="237"/>
      <c r="AC20" s="237"/>
      <c r="AD20" s="237"/>
      <c r="AE20" s="238"/>
      <c r="AF20" s="119"/>
      <c r="AG20" s="120"/>
      <c r="AH20" s="120"/>
      <c r="AI20" s="120"/>
      <c r="AJ20" s="120"/>
      <c r="AK20" s="120"/>
      <c r="AL20" s="120"/>
      <c r="AM20" s="120"/>
      <c r="AN20" s="126"/>
      <c r="AO20" s="240">
        <v>45684</v>
      </c>
      <c r="AP20" s="241"/>
      <c r="AQ20" s="236" t="s">
        <v>156</v>
      </c>
      <c r="AR20" s="232"/>
      <c r="AS20" s="236" t="s">
        <v>157</v>
      </c>
      <c r="AT20" s="242"/>
      <c r="AU20" s="127"/>
      <c r="AV20" s="128"/>
      <c r="AW20" s="117"/>
      <c r="AX20" s="118"/>
      <c r="AY20" s="117"/>
      <c r="AZ20" s="122"/>
      <c r="BA20" s="123"/>
      <c r="BB20" s="124"/>
      <c r="BC20" s="124"/>
      <c r="BD20" s="124"/>
      <c r="BE20" s="124"/>
      <c r="BF20" s="124"/>
      <c r="BG20" s="124"/>
      <c r="BH20" s="124"/>
      <c r="BI20" s="124"/>
      <c r="BJ20" s="124"/>
      <c r="BK20" s="124"/>
      <c r="BL20" s="125"/>
      <c r="BM20" s="56"/>
      <c r="BN20" s="56"/>
    </row>
    <row r="21" spans="1:66" ht="24" customHeight="1" x14ac:dyDescent="0.45">
      <c r="A21" s="55"/>
      <c r="B21" s="55"/>
      <c r="C21" s="72">
        <f t="shared" si="0"/>
        <v>12</v>
      </c>
      <c r="D21" s="59"/>
      <c r="E21" s="131"/>
      <c r="F21" s="131"/>
      <c r="G21" s="61"/>
      <c r="H21" s="145"/>
      <c r="I21" s="8"/>
      <c r="J21" s="8"/>
      <c r="K21" s="146"/>
      <c r="L21" s="162" t="s">
        <v>44</v>
      </c>
      <c r="M21" s="155"/>
      <c r="N21" s="155"/>
      <c r="O21" s="163"/>
      <c r="P21" s="239" t="s">
        <v>111</v>
      </c>
      <c r="Q21" s="237"/>
      <c r="R21" s="237"/>
      <c r="S21" s="237"/>
      <c r="T21" s="237"/>
      <c r="U21" s="237"/>
      <c r="V21" s="237"/>
      <c r="W21" s="238"/>
      <c r="X21" s="239" t="s">
        <v>121</v>
      </c>
      <c r="Y21" s="237"/>
      <c r="Z21" s="237"/>
      <c r="AA21" s="237"/>
      <c r="AB21" s="237"/>
      <c r="AC21" s="237"/>
      <c r="AD21" s="237"/>
      <c r="AE21" s="238"/>
      <c r="AF21" s="119"/>
      <c r="AG21" s="120"/>
      <c r="AH21" s="120"/>
      <c r="AI21" s="120"/>
      <c r="AJ21" s="120"/>
      <c r="AK21" s="120"/>
      <c r="AL21" s="120"/>
      <c r="AM21" s="120"/>
      <c r="AN21" s="126"/>
      <c r="AO21" s="240">
        <v>45684</v>
      </c>
      <c r="AP21" s="241"/>
      <c r="AQ21" s="236" t="s">
        <v>156</v>
      </c>
      <c r="AR21" s="232"/>
      <c r="AS21" s="236" t="s">
        <v>157</v>
      </c>
      <c r="AT21" s="242"/>
      <c r="AU21" s="127"/>
      <c r="AV21" s="128"/>
      <c r="AW21" s="117"/>
      <c r="AX21" s="118"/>
      <c r="AY21" s="117"/>
      <c r="AZ21" s="122"/>
      <c r="BA21" s="123"/>
      <c r="BB21" s="124"/>
      <c r="BC21" s="124"/>
      <c r="BD21" s="124"/>
      <c r="BE21" s="124"/>
      <c r="BF21" s="124"/>
      <c r="BG21" s="124"/>
      <c r="BH21" s="124"/>
      <c r="BI21" s="124"/>
      <c r="BJ21" s="124"/>
      <c r="BK21" s="124"/>
      <c r="BL21" s="125"/>
      <c r="BM21" s="56"/>
      <c r="BN21" s="56"/>
    </row>
    <row r="22" spans="1:66" ht="24" customHeight="1" x14ac:dyDescent="0.45">
      <c r="A22" s="55"/>
      <c r="B22" s="55"/>
      <c r="C22" s="72">
        <f t="shared" si="0"/>
        <v>13</v>
      </c>
      <c r="D22" s="59"/>
      <c r="E22" s="165"/>
      <c r="F22" s="165"/>
      <c r="G22" s="61"/>
      <c r="H22" s="8"/>
      <c r="I22" s="8"/>
      <c r="J22" s="8"/>
      <c r="K22" s="8"/>
      <c r="L22" s="162" t="s">
        <v>45</v>
      </c>
      <c r="M22" s="155"/>
      <c r="N22" s="155"/>
      <c r="O22" s="163"/>
      <c r="P22" s="239" t="s">
        <v>111</v>
      </c>
      <c r="Q22" s="237"/>
      <c r="R22" s="237"/>
      <c r="S22" s="237"/>
      <c r="T22" s="237"/>
      <c r="U22" s="237"/>
      <c r="V22" s="237"/>
      <c r="W22" s="238"/>
      <c r="X22" s="239" t="s">
        <v>121</v>
      </c>
      <c r="Y22" s="237"/>
      <c r="Z22" s="237"/>
      <c r="AA22" s="237"/>
      <c r="AB22" s="237"/>
      <c r="AC22" s="237"/>
      <c r="AD22" s="237"/>
      <c r="AE22" s="238"/>
      <c r="AF22" s="149"/>
      <c r="AG22" s="150"/>
      <c r="AH22" s="150"/>
      <c r="AI22" s="150"/>
      <c r="AJ22" s="150"/>
      <c r="AK22" s="150"/>
      <c r="AL22" s="150"/>
      <c r="AM22" s="150"/>
      <c r="AN22" s="152"/>
      <c r="AO22" s="240">
        <v>45684</v>
      </c>
      <c r="AP22" s="241"/>
      <c r="AQ22" s="236" t="s">
        <v>156</v>
      </c>
      <c r="AR22" s="232"/>
      <c r="AS22" s="236" t="s">
        <v>157</v>
      </c>
      <c r="AT22" s="242"/>
      <c r="AU22" s="157"/>
      <c r="AV22" s="158"/>
      <c r="AW22" s="147"/>
      <c r="AX22" s="148"/>
      <c r="AY22" s="147"/>
      <c r="AZ22" s="159"/>
      <c r="BA22" s="154"/>
      <c r="BB22" s="155"/>
      <c r="BC22" s="155"/>
      <c r="BD22" s="155"/>
      <c r="BE22" s="155"/>
      <c r="BF22" s="155"/>
      <c r="BG22" s="155"/>
      <c r="BH22" s="155"/>
      <c r="BI22" s="155"/>
      <c r="BJ22" s="155"/>
      <c r="BK22" s="155"/>
      <c r="BL22" s="156"/>
      <c r="BM22" s="56"/>
      <c r="BN22" s="56"/>
    </row>
    <row r="23" spans="1:66" ht="24" customHeight="1" x14ac:dyDescent="0.45">
      <c r="A23" s="55"/>
      <c r="B23" s="55"/>
      <c r="C23" s="72">
        <f t="shared" si="0"/>
        <v>14</v>
      </c>
      <c r="D23" s="59"/>
      <c r="E23" s="165"/>
      <c r="F23" s="165"/>
      <c r="G23" s="61"/>
      <c r="H23" s="8"/>
      <c r="I23" s="8"/>
      <c r="J23" s="8"/>
      <c r="K23" s="8"/>
      <c r="L23" s="162" t="s">
        <v>92</v>
      </c>
      <c r="M23" s="155"/>
      <c r="N23" s="155"/>
      <c r="O23" s="163"/>
      <c r="P23" s="239" t="s">
        <v>111</v>
      </c>
      <c r="Q23" s="237"/>
      <c r="R23" s="237"/>
      <c r="S23" s="237"/>
      <c r="T23" s="237"/>
      <c r="U23" s="237"/>
      <c r="V23" s="237"/>
      <c r="W23" s="238"/>
      <c r="X23" s="239" t="s">
        <v>74</v>
      </c>
      <c r="Y23" s="237"/>
      <c r="Z23" s="237"/>
      <c r="AA23" s="237"/>
      <c r="AB23" s="237"/>
      <c r="AC23" s="237"/>
      <c r="AD23" s="237"/>
      <c r="AE23" s="238"/>
      <c r="AF23" s="149"/>
      <c r="AG23" s="150"/>
      <c r="AH23" s="150"/>
      <c r="AI23" s="150"/>
      <c r="AJ23" s="150"/>
      <c r="AK23" s="150"/>
      <c r="AL23" s="150"/>
      <c r="AM23" s="150"/>
      <c r="AN23" s="152"/>
      <c r="AO23" s="240">
        <v>45684</v>
      </c>
      <c r="AP23" s="241"/>
      <c r="AQ23" s="236" t="s">
        <v>156</v>
      </c>
      <c r="AR23" s="232"/>
      <c r="AS23" s="236" t="s">
        <v>157</v>
      </c>
      <c r="AT23" s="242"/>
      <c r="AU23" s="157"/>
      <c r="AV23" s="158"/>
      <c r="AW23" s="147"/>
      <c r="AX23" s="148"/>
      <c r="AY23" s="147"/>
      <c r="AZ23" s="159"/>
      <c r="BA23" s="154"/>
      <c r="BB23" s="155"/>
      <c r="BC23" s="155"/>
      <c r="BD23" s="155"/>
      <c r="BE23" s="155"/>
      <c r="BF23" s="155"/>
      <c r="BG23" s="155"/>
      <c r="BH23" s="155"/>
      <c r="BI23" s="155"/>
      <c r="BJ23" s="155"/>
      <c r="BK23" s="155"/>
      <c r="BL23" s="156"/>
      <c r="BM23" s="56"/>
      <c r="BN23" s="56"/>
    </row>
    <row r="24" spans="1:66" ht="24" customHeight="1" x14ac:dyDescent="0.45">
      <c r="A24" s="55"/>
      <c r="B24" s="55"/>
      <c r="C24" s="72">
        <f t="shared" si="0"/>
        <v>15</v>
      </c>
      <c r="D24" s="59"/>
      <c r="E24" s="165"/>
      <c r="F24" s="165"/>
      <c r="G24" s="61"/>
      <c r="H24" s="8"/>
      <c r="I24" s="8"/>
      <c r="J24" s="8"/>
      <c r="K24" s="8"/>
      <c r="L24" s="162" t="s">
        <v>93</v>
      </c>
      <c r="M24" s="155"/>
      <c r="N24" s="155"/>
      <c r="O24" s="163"/>
      <c r="P24" s="239" t="s">
        <v>111</v>
      </c>
      <c r="Q24" s="237"/>
      <c r="R24" s="237"/>
      <c r="S24" s="237"/>
      <c r="T24" s="237"/>
      <c r="U24" s="237"/>
      <c r="V24" s="237"/>
      <c r="W24" s="238"/>
      <c r="X24" s="239" t="s">
        <v>74</v>
      </c>
      <c r="Y24" s="237"/>
      <c r="Z24" s="237"/>
      <c r="AA24" s="237"/>
      <c r="AB24" s="237"/>
      <c r="AC24" s="237"/>
      <c r="AD24" s="237"/>
      <c r="AE24" s="238"/>
      <c r="AF24" s="149"/>
      <c r="AG24" s="150"/>
      <c r="AH24" s="150"/>
      <c r="AI24" s="150"/>
      <c r="AJ24" s="150"/>
      <c r="AK24" s="150"/>
      <c r="AL24" s="150"/>
      <c r="AM24" s="150"/>
      <c r="AN24" s="152"/>
      <c r="AO24" s="240">
        <v>45684</v>
      </c>
      <c r="AP24" s="241"/>
      <c r="AQ24" s="236" t="s">
        <v>156</v>
      </c>
      <c r="AR24" s="232"/>
      <c r="AS24" s="236" t="s">
        <v>157</v>
      </c>
      <c r="AT24" s="242"/>
      <c r="AU24" s="157"/>
      <c r="AV24" s="158"/>
      <c r="AW24" s="147"/>
      <c r="AX24" s="148"/>
      <c r="AY24" s="147"/>
      <c r="AZ24" s="159"/>
      <c r="BA24" s="154"/>
      <c r="BB24" s="155"/>
      <c r="BC24" s="155"/>
      <c r="BD24" s="155"/>
      <c r="BE24" s="155"/>
      <c r="BF24" s="155"/>
      <c r="BG24" s="155"/>
      <c r="BH24" s="155"/>
      <c r="BI24" s="155"/>
      <c r="BJ24" s="155"/>
      <c r="BK24" s="155"/>
      <c r="BL24" s="156"/>
      <c r="BM24" s="56"/>
      <c r="BN24" s="56"/>
    </row>
    <row r="25" spans="1:66" ht="24" customHeight="1" x14ac:dyDescent="0.45">
      <c r="A25" s="55"/>
      <c r="B25" s="55"/>
      <c r="C25" s="72">
        <f t="shared" si="0"/>
        <v>16</v>
      </c>
      <c r="D25" s="59"/>
      <c r="E25" s="165"/>
      <c r="F25" s="165"/>
      <c r="G25" s="61"/>
      <c r="H25" s="8"/>
      <c r="I25" s="8"/>
      <c r="J25" s="8"/>
      <c r="K25" s="8"/>
      <c r="L25" s="162" t="s">
        <v>94</v>
      </c>
      <c r="M25" s="155"/>
      <c r="N25" s="155"/>
      <c r="O25" s="163"/>
      <c r="P25" s="239" t="s">
        <v>111</v>
      </c>
      <c r="Q25" s="237"/>
      <c r="R25" s="237"/>
      <c r="S25" s="237"/>
      <c r="T25" s="237"/>
      <c r="U25" s="237"/>
      <c r="V25" s="237"/>
      <c r="W25" s="238"/>
      <c r="X25" s="239" t="s">
        <v>120</v>
      </c>
      <c r="Y25" s="237"/>
      <c r="Z25" s="237"/>
      <c r="AA25" s="237"/>
      <c r="AB25" s="237"/>
      <c r="AC25" s="237"/>
      <c r="AD25" s="237"/>
      <c r="AE25" s="238"/>
      <c r="AF25" s="149"/>
      <c r="AG25" s="150"/>
      <c r="AH25" s="150"/>
      <c r="AI25" s="150"/>
      <c r="AJ25" s="150"/>
      <c r="AK25" s="150"/>
      <c r="AL25" s="150"/>
      <c r="AM25" s="150"/>
      <c r="AN25" s="152"/>
      <c r="AO25" s="240">
        <v>45684</v>
      </c>
      <c r="AP25" s="241"/>
      <c r="AQ25" s="236" t="s">
        <v>156</v>
      </c>
      <c r="AR25" s="232"/>
      <c r="AS25" s="236" t="s">
        <v>157</v>
      </c>
      <c r="AT25" s="242"/>
      <c r="AU25" s="157"/>
      <c r="AV25" s="158"/>
      <c r="AW25" s="147"/>
      <c r="AX25" s="148"/>
      <c r="AY25" s="147"/>
      <c r="AZ25" s="159"/>
      <c r="BA25" s="154"/>
      <c r="BB25" s="155"/>
      <c r="BC25" s="155"/>
      <c r="BD25" s="155"/>
      <c r="BE25" s="155"/>
      <c r="BF25" s="155"/>
      <c r="BG25" s="155"/>
      <c r="BH25" s="155"/>
      <c r="BI25" s="155"/>
      <c r="BJ25" s="155"/>
      <c r="BK25" s="155"/>
      <c r="BL25" s="156"/>
      <c r="BM25" s="56"/>
      <c r="BN25" s="56"/>
    </row>
    <row r="26" spans="1:66" ht="24" customHeight="1" x14ac:dyDescent="0.45">
      <c r="A26" s="55"/>
      <c r="B26" s="55"/>
      <c r="C26" s="72">
        <f t="shared" si="0"/>
        <v>17</v>
      </c>
      <c r="D26" s="59"/>
      <c r="E26" s="165"/>
      <c r="F26" s="165"/>
      <c r="G26" s="61"/>
      <c r="H26" s="8"/>
      <c r="I26" s="8"/>
      <c r="J26" s="8"/>
      <c r="K26" s="8"/>
      <c r="L26" s="162" t="s">
        <v>99</v>
      </c>
      <c r="M26" s="155"/>
      <c r="N26" s="155"/>
      <c r="O26" s="163"/>
      <c r="P26" s="239" t="s">
        <v>111</v>
      </c>
      <c r="Q26" s="237"/>
      <c r="R26" s="237"/>
      <c r="S26" s="237"/>
      <c r="T26" s="237"/>
      <c r="U26" s="237"/>
      <c r="V26" s="237"/>
      <c r="W26" s="238"/>
      <c r="X26" s="239" t="s">
        <v>64</v>
      </c>
      <c r="Y26" s="237"/>
      <c r="Z26" s="237"/>
      <c r="AA26" s="237"/>
      <c r="AB26" s="237"/>
      <c r="AC26" s="237"/>
      <c r="AD26" s="237"/>
      <c r="AE26" s="238"/>
      <c r="AF26" s="149"/>
      <c r="AG26" s="150"/>
      <c r="AH26" s="150"/>
      <c r="AI26" s="150"/>
      <c r="AJ26" s="150"/>
      <c r="AK26" s="150"/>
      <c r="AL26" s="150"/>
      <c r="AM26" s="150"/>
      <c r="AN26" s="152"/>
      <c r="AO26" s="240">
        <v>45684</v>
      </c>
      <c r="AP26" s="241"/>
      <c r="AQ26" s="236" t="s">
        <v>156</v>
      </c>
      <c r="AR26" s="232"/>
      <c r="AS26" s="236" t="s">
        <v>157</v>
      </c>
      <c r="AT26" s="242"/>
      <c r="AU26" s="157"/>
      <c r="AV26" s="158"/>
      <c r="AW26" s="147"/>
      <c r="AX26" s="148"/>
      <c r="AY26" s="147"/>
      <c r="AZ26" s="159"/>
      <c r="BA26" s="154"/>
      <c r="BB26" s="155"/>
      <c r="BC26" s="155"/>
      <c r="BD26" s="155"/>
      <c r="BE26" s="155"/>
      <c r="BF26" s="155"/>
      <c r="BG26" s="155"/>
      <c r="BH26" s="155"/>
      <c r="BI26" s="155"/>
      <c r="BJ26" s="155"/>
      <c r="BK26" s="155"/>
      <c r="BL26" s="156"/>
      <c r="BM26" s="56"/>
      <c r="BN26" s="56"/>
    </row>
    <row r="27" spans="1:66" ht="24" customHeight="1" x14ac:dyDescent="0.45">
      <c r="A27" s="55"/>
      <c r="B27" s="55"/>
      <c r="C27" s="72">
        <f t="shared" si="0"/>
        <v>18</v>
      </c>
      <c r="D27" s="59"/>
      <c r="E27" s="165"/>
      <c r="F27" s="165"/>
      <c r="G27" s="61"/>
      <c r="H27" s="8"/>
      <c r="I27" s="8"/>
      <c r="J27" s="8"/>
      <c r="K27" s="8"/>
      <c r="L27" s="162" t="s">
        <v>100</v>
      </c>
      <c r="M27" s="180"/>
      <c r="N27" s="180"/>
      <c r="O27" s="181"/>
      <c r="P27" s="239" t="s">
        <v>111</v>
      </c>
      <c r="Q27" s="237"/>
      <c r="R27" s="237"/>
      <c r="S27" s="237"/>
      <c r="T27" s="237"/>
      <c r="U27" s="237"/>
      <c r="V27" s="237"/>
      <c r="W27" s="238"/>
      <c r="X27" s="239" t="s">
        <v>64</v>
      </c>
      <c r="Y27" s="237"/>
      <c r="Z27" s="237"/>
      <c r="AA27" s="237"/>
      <c r="AB27" s="237"/>
      <c r="AC27" s="237"/>
      <c r="AD27" s="237"/>
      <c r="AE27" s="238"/>
      <c r="AF27" s="149"/>
      <c r="AG27" s="150"/>
      <c r="AH27" s="150"/>
      <c r="AI27" s="150"/>
      <c r="AJ27" s="150"/>
      <c r="AK27" s="150"/>
      <c r="AL27" s="150"/>
      <c r="AM27" s="150"/>
      <c r="AN27" s="152"/>
      <c r="AO27" s="240">
        <v>45684</v>
      </c>
      <c r="AP27" s="241"/>
      <c r="AQ27" s="236" t="s">
        <v>156</v>
      </c>
      <c r="AR27" s="232"/>
      <c r="AS27" s="236" t="s">
        <v>157</v>
      </c>
      <c r="AT27" s="242"/>
      <c r="AU27" s="157"/>
      <c r="AV27" s="158"/>
      <c r="AW27" s="147"/>
      <c r="AX27" s="148"/>
      <c r="AY27" s="147"/>
      <c r="AZ27" s="159"/>
      <c r="BA27" s="154"/>
      <c r="BB27" s="155"/>
      <c r="BC27" s="155"/>
      <c r="BD27" s="155"/>
      <c r="BE27" s="155"/>
      <c r="BF27" s="155"/>
      <c r="BG27" s="155"/>
      <c r="BH27" s="155"/>
      <c r="BI27" s="155"/>
      <c r="BJ27" s="155"/>
      <c r="BK27" s="155"/>
      <c r="BL27" s="156"/>
      <c r="BM27" s="56"/>
      <c r="BN27" s="56"/>
    </row>
    <row r="28" spans="1:66" ht="24" customHeight="1" x14ac:dyDescent="0.45">
      <c r="A28" s="55"/>
      <c r="B28" s="55"/>
      <c r="C28" s="72">
        <f t="shared" si="0"/>
        <v>19</v>
      </c>
      <c r="D28" s="59"/>
      <c r="E28" s="165"/>
      <c r="F28" s="165"/>
      <c r="G28" s="61"/>
      <c r="H28" s="8"/>
      <c r="I28" s="8"/>
      <c r="J28" s="8"/>
      <c r="K28" s="8"/>
      <c r="L28" s="162" t="s">
        <v>101</v>
      </c>
      <c r="M28" s="180"/>
      <c r="N28" s="180"/>
      <c r="O28" s="181"/>
      <c r="P28" s="239" t="s">
        <v>111</v>
      </c>
      <c r="Q28" s="237"/>
      <c r="R28" s="237"/>
      <c r="S28" s="237"/>
      <c r="T28" s="237"/>
      <c r="U28" s="237"/>
      <c r="V28" s="237"/>
      <c r="W28" s="238"/>
      <c r="X28" s="239" t="s">
        <v>64</v>
      </c>
      <c r="Y28" s="237"/>
      <c r="Z28" s="237"/>
      <c r="AA28" s="237"/>
      <c r="AB28" s="237"/>
      <c r="AC28" s="237"/>
      <c r="AD28" s="237"/>
      <c r="AE28" s="238"/>
      <c r="AF28" s="149"/>
      <c r="AG28" s="150"/>
      <c r="AH28" s="150"/>
      <c r="AI28" s="150"/>
      <c r="AJ28" s="150"/>
      <c r="AK28" s="150"/>
      <c r="AL28" s="150"/>
      <c r="AM28" s="150"/>
      <c r="AN28" s="152"/>
      <c r="AO28" s="240">
        <v>45684</v>
      </c>
      <c r="AP28" s="241"/>
      <c r="AQ28" s="236" t="s">
        <v>156</v>
      </c>
      <c r="AR28" s="232"/>
      <c r="AS28" s="236" t="s">
        <v>157</v>
      </c>
      <c r="AT28" s="242"/>
      <c r="AU28" s="157"/>
      <c r="AV28" s="158"/>
      <c r="AW28" s="147"/>
      <c r="AX28" s="148"/>
      <c r="AY28" s="147"/>
      <c r="AZ28" s="159"/>
      <c r="BA28" s="154"/>
      <c r="BB28" s="155"/>
      <c r="BC28" s="155"/>
      <c r="BD28" s="155"/>
      <c r="BE28" s="155"/>
      <c r="BF28" s="155"/>
      <c r="BG28" s="155"/>
      <c r="BH28" s="155"/>
      <c r="BI28" s="155"/>
      <c r="BJ28" s="155"/>
      <c r="BK28" s="155"/>
      <c r="BL28" s="156"/>
      <c r="BM28" s="56"/>
      <c r="BN28" s="56"/>
    </row>
    <row r="29" spans="1:66" ht="24" customHeight="1" x14ac:dyDescent="0.45">
      <c r="A29" s="55"/>
      <c r="B29" s="55"/>
      <c r="C29" s="72">
        <f t="shared" si="0"/>
        <v>20</v>
      </c>
      <c r="D29" s="59"/>
      <c r="E29" s="131"/>
      <c r="F29" s="131"/>
      <c r="G29" s="61"/>
      <c r="H29" s="131"/>
      <c r="I29" s="131"/>
      <c r="J29" s="131"/>
      <c r="K29" s="131"/>
      <c r="L29" s="162" t="s">
        <v>103</v>
      </c>
      <c r="M29" s="180"/>
      <c r="N29" s="180"/>
      <c r="O29" s="181"/>
      <c r="P29" s="239" t="s">
        <v>111</v>
      </c>
      <c r="Q29" s="237"/>
      <c r="R29" s="237"/>
      <c r="S29" s="237"/>
      <c r="T29" s="237"/>
      <c r="U29" s="237"/>
      <c r="V29" s="237"/>
      <c r="W29" s="238"/>
      <c r="X29" s="239" t="s">
        <v>64</v>
      </c>
      <c r="Y29" s="237"/>
      <c r="Z29" s="237"/>
      <c r="AA29" s="237"/>
      <c r="AB29" s="237"/>
      <c r="AC29" s="237"/>
      <c r="AD29" s="237"/>
      <c r="AE29" s="238"/>
      <c r="AF29" s="119"/>
      <c r="AG29" s="120"/>
      <c r="AH29" s="120"/>
      <c r="AI29" s="120"/>
      <c r="AJ29" s="120"/>
      <c r="AK29" s="120"/>
      <c r="AL29" s="120"/>
      <c r="AM29" s="120"/>
      <c r="AN29" s="126"/>
      <c r="AO29" s="240">
        <v>45684</v>
      </c>
      <c r="AP29" s="241"/>
      <c r="AQ29" s="236" t="s">
        <v>156</v>
      </c>
      <c r="AR29" s="232"/>
      <c r="AS29" s="236" t="s">
        <v>157</v>
      </c>
      <c r="AT29" s="242"/>
      <c r="AU29" s="127"/>
      <c r="AV29" s="128"/>
      <c r="AW29" s="117"/>
      <c r="AX29" s="118"/>
      <c r="AY29" s="117"/>
      <c r="AZ29" s="122"/>
      <c r="BA29" s="123"/>
      <c r="BB29" s="124"/>
      <c r="BC29" s="124"/>
      <c r="BD29" s="124"/>
      <c r="BE29" s="124"/>
      <c r="BF29" s="124"/>
      <c r="BG29" s="124"/>
      <c r="BH29" s="124"/>
      <c r="BI29" s="124"/>
      <c r="BJ29" s="124"/>
      <c r="BK29" s="124"/>
      <c r="BL29" s="125"/>
      <c r="BM29" s="56"/>
      <c r="BN29" s="56"/>
    </row>
    <row r="30" spans="1:66" ht="24" customHeight="1" x14ac:dyDescent="0.45">
      <c r="A30" s="55"/>
      <c r="B30" s="55"/>
      <c r="C30" s="72">
        <f t="shared" si="0"/>
        <v>21</v>
      </c>
      <c r="D30" s="59"/>
      <c r="E30" s="131"/>
      <c r="F30" s="131"/>
      <c r="G30" s="61"/>
      <c r="H30" s="131"/>
      <c r="I30" s="131"/>
      <c r="J30" s="131"/>
      <c r="K30" s="131"/>
      <c r="L30" s="162" t="s">
        <v>104</v>
      </c>
      <c r="M30" s="180"/>
      <c r="N30" s="180"/>
      <c r="O30" s="181"/>
      <c r="P30" s="239" t="s">
        <v>111</v>
      </c>
      <c r="Q30" s="237"/>
      <c r="R30" s="237"/>
      <c r="S30" s="237"/>
      <c r="T30" s="237"/>
      <c r="U30" s="237"/>
      <c r="V30" s="237"/>
      <c r="W30" s="238"/>
      <c r="X30" s="239" t="s">
        <v>64</v>
      </c>
      <c r="Y30" s="237"/>
      <c r="Z30" s="237"/>
      <c r="AA30" s="237"/>
      <c r="AB30" s="237"/>
      <c r="AC30" s="237"/>
      <c r="AD30" s="237"/>
      <c r="AE30" s="238"/>
      <c r="AF30" s="119"/>
      <c r="AG30" s="120"/>
      <c r="AH30" s="120"/>
      <c r="AI30" s="120"/>
      <c r="AJ30" s="120"/>
      <c r="AK30" s="120"/>
      <c r="AL30" s="120"/>
      <c r="AM30" s="120"/>
      <c r="AN30" s="126"/>
      <c r="AO30" s="240">
        <v>45684</v>
      </c>
      <c r="AP30" s="241"/>
      <c r="AQ30" s="236" t="s">
        <v>156</v>
      </c>
      <c r="AR30" s="232"/>
      <c r="AS30" s="236" t="s">
        <v>157</v>
      </c>
      <c r="AT30" s="242"/>
      <c r="AU30" s="127"/>
      <c r="AV30" s="128"/>
      <c r="AW30" s="117"/>
      <c r="AX30" s="118"/>
      <c r="AY30" s="117"/>
      <c r="AZ30" s="122"/>
      <c r="BA30" s="123"/>
      <c r="BB30" s="124"/>
      <c r="BC30" s="124"/>
      <c r="BD30" s="124"/>
      <c r="BE30" s="124"/>
      <c r="BF30" s="124"/>
      <c r="BG30" s="124"/>
      <c r="BH30" s="124"/>
      <c r="BI30" s="124"/>
      <c r="BJ30" s="124"/>
      <c r="BK30" s="124"/>
      <c r="BL30" s="125"/>
      <c r="BM30" s="56"/>
      <c r="BN30" s="56"/>
    </row>
    <row r="31" spans="1:66" ht="24" customHeight="1" x14ac:dyDescent="0.45">
      <c r="A31" s="55"/>
      <c r="B31" s="55"/>
      <c r="C31" s="72">
        <f t="shared" si="0"/>
        <v>22</v>
      </c>
      <c r="D31" s="59"/>
      <c r="E31" s="131"/>
      <c r="F31" s="131"/>
      <c r="G31" s="61"/>
      <c r="H31" s="131"/>
      <c r="I31" s="131"/>
      <c r="J31" s="131"/>
      <c r="K31" s="131"/>
      <c r="L31" s="162" t="s">
        <v>105</v>
      </c>
      <c r="M31" s="180"/>
      <c r="N31" s="180"/>
      <c r="O31" s="181"/>
      <c r="P31" s="239" t="s">
        <v>111</v>
      </c>
      <c r="Q31" s="237"/>
      <c r="R31" s="237"/>
      <c r="S31" s="237"/>
      <c r="T31" s="237"/>
      <c r="U31" s="237"/>
      <c r="V31" s="237"/>
      <c r="W31" s="238"/>
      <c r="X31" s="239" t="s">
        <v>64</v>
      </c>
      <c r="Y31" s="237"/>
      <c r="Z31" s="237"/>
      <c r="AA31" s="237"/>
      <c r="AB31" s="237"/>
      <c r="AC31" s="237"/>
      <c r="AD31" s="237"/>
      <c r="AE31" s="238"/>
      <c r="AF31" s="119"/>
      <c r="AG31" s="120"/>
      <c r="AH31" s="120"/>
      <c r="AI31" s="120"/>
      <c r="AJ31" s="120"/>
      <c r="AK31" s="120"/>
      <c r="AL31" s="120"/>
      <c r="AM31" s="120"/>
      <c r="AN31" s="126"/>
      <c r="AO31" s="240">
        <v>45684</v>
      </c>
      <c r="AP31" s="241"/>
      <c r="AQ31" s="236" t="s">
        <v>156</v>
      </c>
      <c r="AR31" s="232"/>
      <c r="AS31" s="236" t="s">
        <v>157</v>
      </c>
      <c r="AT31" s="242"/>
      <c r="AU31" s="127"/>
      <c r="AV31" s="128"/>
      <c r="AW31" s="117"/>
      <c r="AX31" s="118"/>
      <c r="AY31" s="117"/>
      <c r="AZ31" s="122"/>
      <c r="BA31" s="123"/>
      <c r="BB31" s="124"/>
      <c r="BC31" s="124"/>
      <c r="BD31" s="124"/>
      <c r="BE31" s="124"/>
      <c r="BF31" s="124"/>
      <c r="BG31" s="124"/>
      <c r="BH31" s="124"/>
      <c r="BI31" s="124"/>
      <c r="BJ31" s="124"/>
      <c r="BK31" s="124"/>
      <c r="BL31" s="125"/>
      <c r="BM31" s="56"/>
      <c r="BN31" s="56"/>
    </row>
    <row r="32" spans="1:66" ht="24" customHeight="1" x14ac:dyDescent="0.45">
      <c r="A32" s="55"/>
      <c r="B32" s="55"/>
      <c r="C32" s="72">
        <f t="shared" ref="C32:C61" si="1">ROW()-9</f>
        <v>23</v>
      </c>
      <c r="D32" s="59"/>
      <c r="E32" s="131"/>
      <c r="F32" s="131"/>
      <c r="G32" s="61"/>
      <c r="H32" s="243" t="s">
        <v>76</v>
      </c>
      <c r="I32" s="244"/>
      <c r="J32" s="244"/>
      <c r="K32" s="245"/>
      <c r="L32" s="275" t="s">
        <v>128</v>
      </c>
      <c r="M32" s="276"/>
      <c r="N32" s="276"/>
      <c r="O32" s="277"/>
      <c r="P32" s="113" t="s">
        <v>129</v>
      </c>
      <c r="Q32" s="129"/>
      <c r="R32" s="129"/>
      <c r="S32" s="129"/>
      <c r="T32" s="129"/>
      <c r="U32" s="129"/>
      <c r="V32" s="129"/>
      <c r="W32" s="130"/>
      <c r="X32" s="237" t="s">
        <v>130</v>
      </c>
      <c r="Y32" s="237"/>
      <c r="Z32" s="237"/>
      <c r="AA32" s="237"/>
      <c r="AB32" s="237"/>
      <c r="AC32" s="237"/>
      <c r="AD32" s="237"/>
      <c r="AE32" s="238"/>
      <c r="AF32" s="119"/>
      <c r="AG32" s="120"/>
      <c r="AH32" s="120"/>
      <c r="AI32" s="120"/>
      <c r="AJ32" s="120"/>
      <c r="AK32" s="120"/>
      <c r="AL32" s="120"/>
      <c r="AM32" s="120"/>
      <c r="AN32" s="126"/>
      <c r="AO32" s="240">
        <v>45684</v>
      </c>
      <c r="AP32" s="241"/>
      <c r="AQ32" s="236" t="s">
        <v>156</v>
      </c>
      <c r="AR32" s="232"/>
      <c r="AS32" s="236" t="s">
        <v>157</v>
      </c>
      <c r="AT32" s="242"/>
      <c r="AU32" s="127"/>
      <c r="AV32" s="128"/>
      <c r="AW32" s="117"/>
      <c r="AX32" s="118"/>
      <c r="AY32" s="117"/>
      <c r="AZ32" s="122"/>
      <c r="BA32" s="123"/>
      <c r="BB32" s="124"/>
      <c r="BC32" s="124"/>
      <c r="BD32" s="124"/>
      <c r="BE32" s="124"/>
      <c r="BF32" s="124"/>
      <c r="BG32" s="124"/>
      <c r="BH32" s="124"/>
      <c r="BI32" s="124"/>
      <c r="BJ32" s="124"/>
      <c r="BK32" s="124"/>
      <c r="BL32" s="125"/>
      <c r="BM32" s="56"/>
      <c r="BN32" s="56"/>
    </row>
    <row r="33" spans="1:66" ht="100.2" customHeight="1" x14ac:dyDescent="0.45">
      <c r="A33" s="55"/>
      <c r="B33" s="55"/>
      <c r="C33" s="72">
        <f t="shared" si="1"/>
        <v>24</v>
      </c>
      <c r="D33" s="59"/>
      <c r="E33" s="131"/>
      <c r="F33" s="131"/>
      <c r="G33" s="61"/>
      <c r="H33" s="131"/>
      <c r="I33" s="131"/>
      <c r="J33" s="131"/>
      <c r="K33" s="131"/>
      <c r="L33" s="278"/>
      <c r="M33" s="279"/>
      <c r="N33" s="279"/>
      <c r="O33" s="280"/>
      <c r="P33" s="284" t="s">
        <v>131</v>
      </c>
      <c r="Q33" s="285"/>
      <c r="R33" s="285"/>
      <c r="S33" s="285"/>
      <c r="T33" s="285"/>
      <c r="U33" s="285"/>
      <c r="V33" s="285"/>
      <c r="W33" s="286"/>
      <c r="X33" s="237" t="s">
        <v>158</v>
      </c>
      <c r="Y33" s="237"/>
      <c r="Z33" s="237"/>
      <c r="AA33" s="237"/>
      <c r="AB33" s="237"/>
      <c r="AC33" s="237"/>
      <c r="AD33" s="237"/>
      <c r="AE33" s="238"/>
      <c r="AF33" s="119"/>
      <c r="AG33" s="120"/>
      <c r="AH33" s="120"/>
      <c r="AI33" s="120"/>
      <c r="AJ33" s="120"/>
      <c r="AK33" s="120"/>
      <c r="AL33" s="120"/>
      <c r="AM33" s="120"/>
      <c r="AN33" s="126"/>
      <c r="AO33" s="240">
        <v>45684</v>
      </c>
      <c r="AP33" s="241"/>
      <c r="AQ33" s="236" t="s">
        <v>156</v>
      </c>
      <c r="AR33" s="232"/>
      <c r="AS33" s="236" t="s">
        <v>157</v>
      </c>
      <c r="AT33" s="242"/>
      <c r="AU33" s="127"/>
      <c r="AV33" s="128"/>
      <c r="AW33" s="117"/>
      <c r="AX33" s="118"/>
      <c r="AY33" s="117"/>
      <c r="AZ33" s="122"/>
      <c r="BA33" s="123"/>
      <c r="BB33" s="124"/>
      <c r="BC33" s="124"/>
      <c r="BD33" s="124"/>
      <c r="BE33" s="124"/>
      <c r="BF33" s="124"/>
      <c r="BG33" s="124"/>
      <c r="BH33" s="124"/>
      <c r="BI33" s="124"/>
      <c r="BJ33" s="124"/>
      <c r="BK33" s="124"/>
      <c r="BL33" s="125"/>
      <c r="BM33" s="56"/>
      <c r="BN33" s="56"/>
    </row>
    <row r="34" spans="1:66" ht="128.4" customHeight="1" x14ac:dyDescent="0.45">
      <c r="A34" s="55"/>
      <c r="B34" s="55"/>
      <c r="C34" s="72">
        <f t="shared" si="1"/>
        <v>25</v>
      </c>
      <c r="D34" s="59"/>
      <c r="E34" s="131"/>
      <c r="F34" s="131"/>
      <c r="G34" s="61"/>
      <c r="H34" s="131"/>
      <c r="I34" s="131"/>
      <c r="J34" s="131"/>
      <c r="K34" s="131"/>
      <c r="L34" s="278"/>
      <c r="M34" s="279"/>
      <c r="N34" s="279"/>
      <c r="O34" s="280"/>
      <c r="P34" s="287"/>
      <c r="Q34" s="288"/>
      <c r="R34" s="288"/>
      <c r="S34" s="288"/>
      <c r="T34" s="288"/>
      <c r="U34" s="288"/>
      <c r="V34" s="288"/>
      <c r="W34" s="289"/>
      <c r="X34" s="237" t="s">
        <v>183</v>
      </c>
      <c r="Y34" s="237"/>
      <c r="Z34" s="237"/>
      <c r="AA34" s="237"/>
      <c r="AB34" s="237"/>
      <c r="AC34" s="237"/>
      <c r="AD34" s="237"/>
      <c r="AE34" s="238"/>
      <c r="AF34" s="119"/>
      <c r="AG34" s="120"/>
      <c r="AH34" s="120"/>
      <c r="AI34" s="120"/>
      <c r="AJ34" s="120"/>
      <c r="AK34" s="120"/>
      <c r="AL34" s="120"/>
      <c r="AM34" s="120"/>
      <c r="AN34" s="126"/>
      <c r="AO34" s="240">
        <v>45684</v>
      </c>
      <c r="AP34" s="241"/>
      <c r="AQ34" s="236" t="s">
        <v>156</v>
      </c>
      <c r="AR34" s="232"/>
      <c r="AS34" s="236" t="s">
        <v>157</v>
      </c>
      <c r="AT34" s="242"/>
      <c r="AU34" s="127"/>
      <c r="AV34" s="128"/>
      <c r="AW34" s="117"/>
      <c r="AX34" s="118"/>
      <c r="AY34" s="117"/>
      <c r="AZ34" s="122"/>
      <c r="BA34" s="123"/>
      <c r="BB34" s="124"/>
      <c r="BC34" s="124"/>
      <c r="BD34" s="124"/>
      <c r="BE34" s="124"/>
      <c r="BF34" s="124"/>
      <c r="BG34" s="124"/>
      <c r="BH34" s="124"/>
      <c r="BI34" s="124"/>
      <c r="BJ34" s="124"/>
      <c r="BK34" s="124"/>
      <c r="BL34" s="125"/>
      <c r="BM34" s="56"/>
      <c r="BN34" s="56"/>
    </row>
    <row r="35" spans="1:66" ht="92.4" customHeight="1" x14ac:dyDescent="0.45">
      <c r="A35" s="55"/>
      <c r="B35" s="55"/>
      <c r="C35" s="72">
        <f t="shared" si="1"/>
        <v>26</v>
      </c>
      <c r="D35" s="59"/>
      <c r="E35" s="131"/>
      <c r="F35" s="131"/>
      <c r="G35" s="61"/>
      <c r="H35" s="131"/>
      <c r="I35" s="131"/>
      <c r="J35" s="131"/>
      <c r="K35" s="131"/>
      <c r="L35" s="278"/>
      <c r="M35" s="279"/>
      <c r="N35" s="279"/>
      <c r="O35" s="280"/>
      <c r="P35" s="275" t="s">
        <v>132</v>
      </c>
      <c r="Q35" s="276"/>
      <c r="R35" s="276"/>
      <c r="S35" s="276"/>
      <c r="T35" s="276"/>
      <c r="U35" s="276"/>
      <c r="V35" s="276"/>
      <c r="W35" s="277"/>
      <c r="X35" s="237" t="s">
        <v>159</v>
      </c>
      <c r="Y35" s="237"/>
      <c r="Z35" s="237"/>
      <c r="AA35" s="237"/>
      <c r="AB35" s="237"/>
      <c r="AC35" s="237"/>
      <c r="AD35" s="237"/>
      <c r="AE35" s="238"/>
      <c r="AF35" s="119"/>
      <c r="AG35" s="120"/>
      <c r="AH35" s="120"/>
      <c r="AI35" s="120"/>
      <c r="AJ35" s="120"/>
      <c r="AK35" s="120"/>
      <c r="AL35" s="120"/>
      <c r="AM35" s="120"/>
      <c r="AN35" s="126"/>
      <c r="AO35" s="240">
        <v>45684</v>
      </c>
      <c r="AP35" s="241"/>
      <c r="AQ35" s="236" t="s">
        <v>156</v>
      </c>
      <c r="AR35" s="232"/>
      <c r="AS35" s="236" t="s">
        <v>157</v>
      </c>
      <c r="AT35" s="242"/>
      <c r="AU35" s="127"/>
      <c r="AV35" s="128"/>
      <c r="AW35" s="117"/>
      <c r="AX35" s="118"/>
      <c r="AY35" s="117"/>
      <c r="AZ35" s="122"/>
      <c r="BA35" s="123"/>
      <c r="BB35" s="124"/>
      <c r="BC35" s="124"/>
      <c r="BD35" s="124"/>
      <c r="BE35" s="124"/>
      <c r="BF35" s="124"/>
      <c r="BG35" s="124"/>
      <c r="BH35" s="124"/>
      <c r="BI35" s="124"/>
      <c r="BJ35" s="124"/>
      <c r="BK35" s="124"/>
      <c r="BL35" s="125"/>
      <c r="BM35" s="56"/>
      <c r="BN35" s="56"/>
    </row>
    <row r="36" spans="1:66" ht="127.8" customHeight="1" x14ac:dyDescent="0.45">
      <c r="A36" s="55"/>
      <c r="B36" s="55"/>
      <c r="C36" s="72">
        <f t="shared" si="1"/>
        <v>27</v>
      </c>
      <c r="D36" s="59"/>
      <c r="E36" s="131"/>
      <c r="F36" s="131"/>
      <c r="G36" s="61"/>
      <c r="H36" s="131"/>
      <c r="I36" s="131"/>
      <c r="J36" s="131"/>
      <c r="K36" s="131"/>
      <c r="L36" s="281"/>
      <c r="M36" s="282"/>
      <c r="N36" s="282"/>
      <c r="O36" s="283"/>
      <c r="P36" s="281"/>
      <c r="Q36" s="282"/>
      <c r="R36" s="282"/>
      <c r="S36" s="282"/>
      <c r="T36" s="282"/>
      <c r="U36" s="282"/>
      <c r="V36" s="282"/>
      <c r="W36" s="283"/>
      <c r="X36" s="237" t="s">
        <v>184</v>
      </c>
      <c r="Y36" s="237"/>
      <c r="Z36" s="237"/>
      <c r="AA36" s="237"/>
      <c r="AB36" s="237"/>
      <c r="AC36" s="237"/>
      <c r="AD36" s="237"/>
      <c r="AE36" s="238"/>
      <c r="AF36" s="119"/>
      <c r="AG36" s="120"/>
      <c r="AH36" s="120"/>
      <c r="AI36" s="120"/>
      <c r="AJ36" s="120"/>
      <c r="AK36" s="120"/>
      <c r="AL36" s="120"/>
      <c r="AM36" s="120"/>
      <c r="AN36" s="126"/>
      <c r="AO36" s="240">
        <v>45684</v>
      </c>
      <c r="AP36" s="241"/>
      <c r="AQ36" s="236" t="s">
        <v>156</v>
      </c>
      <c r="AR36" s="232"/>
      <c r="AS36" s="236" t="s">
        <v>157</v>
      </c>
      <c r="AT36" s="242"/>
      <c r="AU36" s="127"/>
      <c r="AV36" s="128"/>
      <c r="AW36" s="117"/>
      <c r="AX36" s="118"/>
      <c r="AY36" s="117"/>
      <c r="AZ36" s="122"/>
      <c r="BA36" s="123"/>
      <c r="BB36" s="124"/>
      <c r="BC36" s="124"/>
      <c r="BD36" s="124"/>
      <c r="BE36" s="124"/>
      <c r="BF36" s="124"/>
      <c r="BG36" s="124"/>
      <c r="BH36" s="124"/>
      <c r="BI36" s="124"/>
      <c r="BJ36" s="124"/>
      <c r="BK36" s="124"/>
      <c r="BL36" s="125"/>
      <c r="BM36" s="56"/>
      <c r="BN36" s="56"/>
    </row>
    <row r="37" spans="1:66" ht="24" customHeight="1" x14ac:dyDescent="0.45">
      <c r="A37" s="55"/>
      <c r="B37" s="55"/>
      <c r="C37" s="72">
        <f t="shared" si="1"/>
        <v>28</v>
      </c>
      <c r="D37" s="59"/>
      <c r="E37" s="165"/>
      <c r="F37" s="165"/>
      <c r="G37" s="61"/>
      <c r="H37" s="59"/>
      <c r="I37" s="165"/>
      <c r="J37" s="165"/>
      <c r="K37" s="61"/>
      <c r="L37" s="275" t="s">
        <v>160</v>
      </c>
      <c r="M37" s="276"/>
      <c r="N37" s="276"/>
      <c r="O37" s="277"/>
      <c r="P37" s="179" t="s">
        <v>161</v>
      </c>
      <c r="Q37" s="168"/>
      <c r="R37" s="168"/>
      <c r="S37" s="168"/>
      <c r="T37" s="168"/>
      <c r="U37" s="168"/>
      <c r="V37" s="168"/>
      <c r="W37" s="169"/>
      <c r="X37" s="237" t="s">
        <v>162</v>
      </c>
      <c r="Y37" s="237"/>
      <c r="Z37" s="237"/>
      <c r="AA37" s="237"/>
      <c r="AB37" s="237"/>
      <c r="AC37" s="237"/>
      <c r="AD37" s="237"/>
      <c r="AE37" s="238"/>
      <c r="AF37" s="170"/>
      <c r="AG37" s="171"/>
      <c r="AH37" s="171"/>
      <c r="AI37" s="171"/>
      <c r="AJ37" s="171"/>
      <c r="AK37" s="171"/>
      <c r="AL37" s="171"/>
      <c r="AM37" s="171"/>
      <c r="AN37" s="176"/>
      <c r="AO37" s="240">
        <v>45684</v>
      </c>
      <c r="AP37" s="241"/>
      <c r="AQ37" s="236" t="s">
        <v>156</v>
      </c>
      <c r="AR37" s="232"/>
      <c r="AS37" s="236" t="s">
        <v>157</v>
      </c>
      <c r="AT37" s="242"/>
      <c r="AU37" s="177"/>
      <c r="AV37" s="178"/>
      <c r="AW37" s="167"/>
      <c r="AX37" s="166"/>
      <c r="AY37" s="167"/>
      <c r="AZ37" s="172"/>
      <c r="BA37" s="173"/>
      <c r="BB37" s="174"/>
      <c r="BC37" s="174"/>
      <c r="BD37" s="174"/>
      <c r="BE37" s="174"/>
      <c r="BF37" s="174"/>
      <c r="BG37" s="174"/>
      <c r="BH37" s="174"/>
      <c r="BI37" s="174"/>
      <c r="BJ37" s="174"/>
      <c r="BK37" s="174"/>
      <c r="BL37" s="175"/>
      <c r="BM37" s="56"/>
      <c r="BN37" s="56"/>
    </row>
    <row r="38" spans="1:66" ht="57" customHeight="1" x14ac:dyDescent="0.45">
      <c r="A38" s="55"/>
      <c r="B38" s="55"/>
      <c r="C38" s="72">
        <f t="shared" si="1"/>
        <v>29</v>
      </c>
      <c r="D38" s="59"/>
      <c r="E38" s="165"/>
      <c r="F38" s="165"/>
      <c r="G38" s="61"/>
      <c r="H38" s="59"/>
      <c r="I38" s="165"/>
      <c r="J38" s="165"/>
      <c r="K38" s="61"/>
      <c r="L38" s="278"/>
      <c r="M38" s="279"/>
      <c r="N38" s="279"/>
      <c r="O38" s="280"/>
      <c r="P38" s="284" t="s">
        <v>163</v>
      </c>
      <c r="Q38" s="285"/>
      <c r="R38" s="285"/>
      <c r="S38" s="285"/>
      <c r="T38" s="285"/>
      <c r="U38" s="285"/>
      <c r="V38" s="285"/>
      <c r="W38" s="286"/>
      <c r="X38" s="237" t="s">
        <v>165</v>
      </c>
      <c r="Y38" s="237"/>
      <c r="Z38" s="237"/>
      <c r="AA38" s="237"/>
      <c r="AB38" s="237"/>
      <c r="AC38" s="237"/>
      <c r="AD38" s="237"/>
      <c r="AE38" s="238"/>
      <c r="AF38" s="170"/>
      <c r="AG38" s="171"/>
      <c r="AH38" s="171"/>
      <c r="AI38" s="171"/>
      <c r="AJ38" s="171"/>
      <c r="AK38" s="171"/>
      <c r="AL38" s="171"/>
      <c r="AM38" s="171"/>
      <c r="AN38" s="176"/>
      <c r="AO38" s="240">
        <v>45684</v>
      </c>
      <c r="AP38" s="241"/>
      <c r="AQ38" s="236" t="s">
        <v>156</v>
      </c>
      <c r="AR38" s="232"/>
      <c r="AS38" s="236" t="s">
        <v>157</v>
      </c>
      <c r="AT38" s="242"/>
      <c r="AU38" s="177"/>
      <c r="AV38" s="178"/>
      <c r="AW38" s="167"/>
      <c r="AX38" s="166"/>
      <c r="AY38" s="167"/>
      <c r="AZ38" s="172"/>
      <c r="BA38" s="173"/>
      <c r="BB38" s="174"/>
      <c r="BC38" s="174"/>
      <c r="BD38" s="174"/>
      <c r="BE38" s="174"/>
      <c r="BF38" s="174"/>
      <c r="BG38" s="174"/>
      <c r="BH38" s="174"/>
      <c r="BI38" s="174"/>
      <c r="BJ38" s="174"/>
      <c r="BK38" s="174"/>
      <c r="BL38" s="175"/>
      <c r="BM38" s="56"/>
      <c r="BN38" s="56"/>
    </row>
    <row r="39" spans="1:66" ht="146.4" customHeight="1" x14ac:dyDescent="0.45">
      <c r="A39" s="55"/>
      <c r="B39" s="55"/>
      <c r="C39" s="72">
        <f t="shared" si="1"/>
        <v>30</v>
      </c>
      <c r="D39" s="59"/>
      <c r="E39" s="165"/>
      <c r="F39" s="165"/>
      <c r="G39" s="61"/>
      <c r="H39" s="165"/>
      <c r="I39" s="165"/>
      <c r="J39" s="165"/>
      <c r="K39" s="165"/>
      <c r="L39" s="278"/>
      <c r="M39" s="279"/>
      <c r="N39" s="279"/>
      <c r="O39" s="280"/>
      <c r="P39" s="287"/>
      <c r="Q39" s="288"/>
      <c r="R39" s="288"/>
      <c r="S39" s="288"/>
      <c r="T39" s="288"/>
      <c r="U39" s="288"/>
      <c r="V39" s="288"/>
      <c r="W39" s="289"/>
      <c r="X39" s="237" t="s">
        <v>185</v>
      </c>
      <c r="Y39" s="237"/>
      <c r="Z39" s="237"/>
      <c r="AA39" s="237"/>
      <c r="AB39" s="237"/>
      <c r="AC39" s="237"/>
      <c r="AD39" s="237"/>
      <c r="AE39" s="238"/>
      <c r="AF39" s="170"/>
      <c r="AG39" s="171"/>
      <c r="AH39" s="171"/>
      <c r="AI39" s="171"/>
      <c r="AJ39" s="171"/>
      <c r="AK39" s="171"/>
      <c r="AL39" s="171"/>
      <c r="AM39" s="171"/>
      <c r="AN39" s="176"/>
      <c r="AO39" s="240">
        <v>45684</v>
      </c>
      <c r="AP39" s="241"/>
      <c r="AQ39" s="236" t="s">
        <v>156</v>
      </c>
      <c r="AR39" s="232"/>
      <c r="AS39" s="236" t="s">
        <v>157</v>
      </c>
      <c r="AT39" s="242"/>
      <c r="AU39" s="177"/>
      <c r="AV39" s="178"/>
      <c r="AW39" s="167"/>
      <c r="AX39" s="166"/>
      <c r="AY39" s="167"/>
      <c r="AZ39" s="172"/>
      <c r="BA39" s="173"/>
      <c r="BB39" s="174"/>
      <c r="BC39" s="174"/>
      <c r="BD39" s="174"/>
      <c r="BE39" s="174"/>
      <c r="BF39" s="174"/>
      <c r="BG39" s="174"/>
      <c r="BH39" s="174"/>
      <c r="BI39" s="174"/>
      <c r="BJ39" s="174"/>
      <c r="BK39" s="174"/>
      <c r="BL39" s="175"/>
      <c r="BM39" s="56"/>
      <c r="BN39" s="56"/>
    </row>
    <row r="40" spans="1:66" ht="58.2" customHeight="1" x14ac:dyDescent="0.45">
      <c r="A40" s="55"/>
      <c r="B40" s="55"/>
      <c r="C40" s="72">
        <f t="shared" si="1"/>
        <v>31</v>
      </c>
      <c r="D40" s="59"/>
      <c r="E40" s="165"/>
      <c r="F40" s="165"/>
      <c r="G40" s="61"/>
      <c r="H40" s="165"/>
      <c r="I40" s="165"/>
      <c r="J40" s="165"/>
      <c r="K40" s="165"/>
      <c r="L40" s="278"/>
      <c r="M40" s="279"/>
      <c r="N40" s="279"/>
      <c r="O40" s="280"/>
      <c r="P40" s="275" t="s">
        <v>164</v>
      </c>
      <c r="Q40" s="276"/>
      <c r="R40" s="276"/>
      <c r="S40" s="276"/>
      <c r="T40" s="276"/>
      <c r="U40" s="276"/>
      <c r="V40" s="276"/>
      <c r="W40" s="277"/>
      <c r="X40" s="237" t="s">
        <v>166</v>
      </c>
      <c r="Y40" s="237"/>
      <c r="Z40" s="237"/>
      <c r="AA40" s="237"/>
      <c r="AB40" s="237"/>
      <c r="AC40" s="237"/>
      <c r="AD40" s="237"/>
      <c r="AE40" s="238"/>
      <c r="AF40" s="170"/>
      <c r="AG40" s="171"/>
      <c r="AH40" s="171"/>
      <c r="AI40" s="171"/>
      <c r="AJ40" s="171"/>
      <c r="AK40" s="171"/>
      <c r="AL40" s="171"/>
      <c r="AM40" s="171"/>
      <c r="AN40" s="176"/>
      <c r="AO40" s="240">
        <v>45684</v>
      </c>
      <c r="AP40" s="241"/>
      <c r="AQ40" s="236" t="s">
        <v>156</v>
      </c>
      <c r="AR40" s="232"/>
      <c r="AS40" s="236" t="s">
        <v>157</v>
      </c>
      <c r="AT40" s="242"/>
      <c r="AU40" s="177"/>
      <c r="AV40" s="178"/>
      <c r="AW40" s="167"/>
      <c r="AX40" s="166"/>
      <c r="AY40" s="167"/>
      <c r="AZ40" s="172"/>
      <c r="BA40" s="173"/>
      <c r="BB40" s="174"/>
      <c r="BC40" s="174"/>
      <c r="BD40" s="174"/>
      <c r="BE40" s="174"/>
      <c r="BF40" s="174"/>
      <c r="BG40" s="174"/>
      <c r="BH40" s="174"/>
      <c r="BI40" s="174"/>
      <c r="BJ40" s="174"/>
      <c r="BK40" s="174"/>
      <c r="BL40" s="175"/>
      <c r="BM40" s="56"/>
      <c r="BN40" s="56"/>
    </row>
    <row r="41" spans="1:66" ht="142.19999999999999" customHeight="1" x14ac:dyDescent="0.45">
      <c r="A41" s="55"/>
      <c r="B41" s="55"/>
      <c r="C41" s="72">
        <f t="shared" si="1"/>
        <v>32</v>
      </c>
      <c r="D41" s="59"/>
      <c r="E41" s="165"/>
      <c r="F41" s="165"/>
      <c r="G41" s="61"/>
      <c r="H41" s="110"/>
      <c r="I41" s="111"/>
      <c r="J41" s="111"/>
      <c r="K41" s="112"/>
      <c r="L41" s="281"/>
      <c r="M41" s="282"/>
      <c r="N41" s="282"/>
      <c r="O41" s="283"/>
      <c r="P41" s="281"/>
      <c r="Q41" s="282"/>
      <c r="R41" s="282"/>
      <c r="S41" s="282"/>
      <c r="T41" s="282"/>
      <c r="U41" s="282"/>
      <c r="V41" s="282"/>
      <c r="W41" s="283"/>
      <c r="X41" s="237" t="s">
        <v>186</v>
      </c>
      <c r="Y41" s="237"/>
      <c r="Z41" s="237"/>
      <c r="AA41" s="237"/>
      <c r="AB41" s="237"/>
      <c r="AC41" s="237"/>
      <c r="AD41" s="237"/>
      <c r="AE41" s="238"/>
      <c r="AF41" s="170"/>
      <c r="AG41" s="171"/>
      <c r="AH41" s="171"/>
      <c r="AI41" s="171"/>
      <c r="AJ41" s="171"/>
      <c r="AK41" s="171"/>
      <c r="AL41" s="171"/>
      <c r="AM41" s="171"/>
      <c r="AN41" s="176"/>
      <c r="AO41" s="240">
        <v>45684</v>
      </c>
      <c r="AP41" s="241"/>
      <c r="AQ41" s="236" t="s">
        <v>156</v>
      </c>
      <c r="AR41" s="232"/>
      <c r="AS41" s="236" t="s">
        <v>157</v>
      </c>
      <c r="AT41" s="242"/>
      <c r="AU41" s="177"/>
      <c r="AV41" s="178"/>
      <c r="AW41" s="167"/>
      <c r="AX41" s="166"/>
      <c r="AY41" s="167"/>
      <c r="AZ41" s="172"/>
      <c r="BA41" s="173"/>
      <c r="BB41" s="174"/>
      <c r="BC41" s="174"/>
      <c r="BD41" s="174"/>
      <c r="BE41" s="174"/>
      <c r="BF41" s="174"/>
      <c r="BG41" s="174"/>
      <c r="BH41" s="174"/>
      <c r="BI41" s="174"/>
      <c r="BJ41" s="174"/>
      <c r="BK41" s="174"/>
      <c r="BL41" s="175"/>
      <c r="BM41" s="56"/>
      <c r="BN41" s="56"/>
    </row>
    <row r="42" spans="1:66" ht="24" customHeight="1" x14ac:dyDescent="0.45">
      <c r="A42" s="55"/>
      <c r="B42" s="55"/>
      <c r="C42" s="72">
        <f t="shared" si="1"/>
        <v>33</v>
      </c>
      <c r="D42" s="59"/>
      <c r="E42" s="131"/>
      <c r="F42" s="131"/>
      <c r="G42" s="61"/>
      <c r="H42" s="59"/>
      <c r="I42" s="131"/>
      <c r="J42" s="131"/>
      <c r="K42" s="61"/>
      <c r="L42" s="275" t="s">
        <v>133</v>
      </c>
      <c r="M42" s="276"/>
      <c r="N42" s="276"/>
      <c r="O42" s="277"/>
      <c r="P42" s="113" t="s">
        <v>134</v>
      </c>
      <c r="Q42" s="129"/>
      <c r="R42" s="129"/>
      <c r="S42" s="129"/>
      <c r="T42" s="129"/>
      <c r="U42" s="129"/>
      <c r="V42" s="129"/>
      <c r="W42" s="130"/>
      <c r="X42" s="237" t="s">
        <v>135</v>
      </c>
      <c r="Y42" s="237"/>
      <c r="Z42" s="237"/>
      <c r="AA42" s="237"/>
      <c r="AB42" s="237"/>
      <c r="AC42" s="237"/>
      <c r="AD42" s="237"/>
      <c r="AE42" s="238"/>
      <c r="AF42" s="119"/>
      <c r="AG42" s="120"/>
      <c r="AH42" s="120"/>
      <c r="AI42" s="120"/>
      <c r="AJ42" s="120"/>
      <c r="AK42" s="120"/>
      <c r="AL42" s="120"/>
      <c r="AM42" s="120"/>
      <c r="AN42" s="126"/>
      <c r="AO42" s="240">
        <v>45684</v>
      </c>
      <c r="AP42" s="241"/>
      <c r="AQ42" s="236" t="s">
        <v>156</v>
      </c>
      <c r="AR42" s="232"/>
      <c r="AS42" s="236" t="s">
        <v>157</v>
      </c>
      <c r="AT42" s="242"/>
      <c r="AU42" s="127"/>
      <c r="AV42" s="128"/>
      <c r="AW42" s="117"/>
      <c r="AX42" s="118"/>
      <c r="AY42" s="117"/>
      <c r="AZ42" s="122"/>
      <c r="BA42" s="123"/>
      <c r="BB42" s="124"/>
      <c r="BC42" s="124"/>
      <c r="BD42" s="124"/>
      <c r="BE42" s="124"/>
      <c r="BF42" s="124"/>
      <c r="BG42" s="124"/>
      <c r="BH42" s="124"/>
      <c r="BI42" s="124"/>
      <c r="BJ42" s="124"/>
      <c r="BK42" s="124"/>
      <c r="BL42" s="125"/>
      <c r="BM42" s="56"/>
      <c r="BN42" s="56"/>
    </row>
    <row r="43" spans="1:66" ht="133.80000000000001" customHeight="1" x14ac:dyDescent="0.45">
      <c r="A43" s="55"/>
      <c r="B43" s="55"/>
      <c r="C43" s="72">
        <f t="shared" si="1"/>
        <v>34</v>
      </c>
      <c r="D43" s="59"/>
      <c r="E43" s="131"/>
      <c r="F43" s="131"/>
      <c r="G43" s="61"/>
      <c r="H43" s="59"/>
      <c r="I43" s="131"/>
      <c r="J43" s="131"/>
      <c r="K43" s="61"/>
      <c r="L43" s="278"/>
      <c r="M43" s="279"/>
      <c r="N43" s="279"/>
      <c r="O43" s="280"/>
      <c r="P43" s="284" t="s">
        <v>136</v>
      </c>
      <c r="Q43" s="285"/>
      <c r="R43" s="285"/>
      <c r="S43" s="285"/>
      <c r="T43" s="285"/>
      <c r="U43" s="285"/>
      <c r="V43" s="285"/>
      <c r="W43" s="286"/>
      <c r="X43" s="237" t="s">
        <v>138</v>
      </c>
      <c r="Y43" s="237"/>
      <c r="Z43" s="237"/>
      <c r="AA43" s="237"/>
      <c r="AB43" s="237"/>
      <c r="AC43" s="237"/>
      <c r="AD43" s="237"/>
      <c r="AE43" s="238"/>
      <c r="AF43" s="119"/>
      <c r="AG43" s="120"/>
      <c r="AH43" s="120"/>
      <c r="AI43" s="120"/>
      <c r="AJ43" s="120"/>
      <c r="AK43" s="120"/>
      <c r="AL43" s="120"/>
      <c r="AM43" s="120"/>
      <c r="AN43" s="126"/>
      <c r="AO43" s="240">
        <v>45684</v>
      </c>
      <c r="AP43" s="241"/>
      <c r="AQ43" s="236" t="s">
        <v>156</v>
      </c>
      <c r="AR43" s="232"/>
      <c r="AS43" s="236" t="s">
        <v>157</v>
      </c>
      <c r="AT43" s="242"/>
      <c r="AU43" s="127"/>
      <c r="AV43" s="128"/>
      <c r="AW43" s="117"/>
      <c r="AX43" s="118"/>
      <c r="AY43" s="117"/>
      <c r="AZ43" s="122"/>
      <c r="BA43" s="123"/>
      <c r="BB43" s="124"/>
      <c r="BC43" s="124"/>
      <c r="BD43" s="124"/>
      <c r="BE43" s="124"/>
      <c r="BF43" s="124"/>
      <c r="BG43" s="124"/>
      <c r="BH43" s="124"/>
      <c r="BI43" s="124"/>
      <c r="BJ43" s="124"/>
      <c r="BK43" s="124"/>
      <c r="BL43" s="125"/>
      <c r="BM43" s="56"/>
      <c r="BN43" s="56"/>
    </row>
    <row r="44" spans="1:66" ht="146.4" customHeight="1" x14ac:dyDescent="0.45">
      <c r="A44" s="55"/>
      <c r="B44" s="55"/>
      <c r="C44" s="72">
        <f t="shared" si="1"/>
        <v>35</v>
      </c>
      <c r="D44" s="59"/>
      <c r="E44" s="131"/>
      <c r="F44" s="131"/>
      <c r="G44" s="61"/>
      <c r="H44" s="131"/>
      <c r="I44" s="131"/>
      <c r="J44" s="131"/>
      <c r="K44" s="131"/>
      <c r="L44" s="278"/>
      <c r="M44" s="279"/>
      <c r="N44" s="279"/>
      <c r="O44" s="280"/>
      <c r="P44" s="287"/>
      <c r="Q44" s="288"/>
      <c r="R44" s="288"/>
      <c r="S44" s="288"/>
      <c r="T44" s="288"/>
      <c r="U44" s="288"/>
      <c r="V44" s="288"/>
      <c r="W44" s="289"/>
      <c r="X44" s="237" t="s">
        <v>187</v>
      </c>
      <c r="Y44" s="237"/>
      <c r="Z44" s="237"/>
      <c r="AA44" s="237"/>
      <c r="AB44" s="237"/>
      <c r="AC44" s="237"/>
      <c r="AD44" s="237"/>
      <c r="AE44" s="238"/>
      <c r="AF44" s="119"/>
      <c r="AG44" s="120"/>
      <c r="AH44" s="120"/>
      <c r="AI44" s="120"/>
      <c r="AJ44" s="120"/>
      <c r="AK44" s="120"/>
      <c r="AL44" s="120"/>
      <c r="AM44" s="120"/>
      <c r="AN44" s="126"/>
      <c r="AO44" s="240">
        <v>45684</v>
      </c>
      <c r="AP44" s="241"/>
      <c r="AQ44" s="236" t="s">
        <v>156</v>
      </c>
      <c r="AR44" s="232"/>
      <c r="AS44" s="236" t="s">
        <v>157</v>
      </c>
      <c r="AT44" s="242"/>
      <c r="AU44" s="127"/>
      <c r="AV44" s="128"/>
      <c r="AW44" s="117"/>
      <c r="AX44" s="118"/>
      <c r="AY44" s="117"/>
      <c r="AZ44" s="122"/>
      <c r="BA44" s="123"/>
      <c r="BB44" s="124"/>
      <c r="BC44" s="124"/>
      <c r="BD44" s="124"/>
      <c r="BE44" s="124"/>
      <c r="BF44" s="124"/>
      <c r="BG44" s="124"/>
      <c r="BH44" s="124"/>
      <c r="BI44" s="124"/>
      <c r="BJ44" s="124"/>
      <c r="BK44" s="124"/>
      <c r="BL44" s="125"/>
      <c r="BM44" s="56"/>
      <c r="BN44" s="56"/>
    </row>
    <row r="45" spans="1:66" ht="136.19999999999999" customHeight="1" x14ac:dyDescent="0.45">
      <c r="A45" s="55"/>
      <c r="B45" s="55"/>
      <c r="C45" s="72">
        <f t="shared" si="1"/>
        <v>36</v>
      </c>
      <c r="D45" s="59"/>
      <c r="E45" s="131"/>
      <c r="F45" s="131"/>
      <c r="G45" s="61"/>
      <c r="H45" s="131"/>
      <c r="I45" s="131"/>
      <c r="J45" s="131"/>
      <c r="K45" s="131"/>
      <c r="L45" s="278"/>
      <c r="M45" s="279"/>
      <c r="N45" s="279"/>
      <c r="O45" s="280"/>
      <c r="P45" s="275" t="s">
        <v>137</v>
      </c>
      <c r="Q45" s="276"/>
      <c r="R45" s="276"/>
      <c r="S45" s="276"/>
      <c r="T45" s="276"/>
      <c r="U45" s="276"/>
      <c r="V45" s="276"/>
      <c r="W45" s="277"/>
      <c r="X45" s="237" t="s">
        <v>139</v>
      </c>
      <c r="Y45" s="237"/>
      <c r="Z45" s="237"/>
      <c r="AA45" s="237"/>
      <c r="AB45" s="237"/>
      <c r="AC45" s="237"/>
      <c r="AD45" s="237"/>
      <c r="AE45" s="238"/>
      <c r="AF45" s="119"/>
      <c r="AG45" s="120"/>
      <c r="AH45" s="120"/>
      <c r="AI45" s="120"/>
      <c r="AJ45" s="120"/>
      <c r="AK45" s="120"/>
      <c r="AL45" s="120"/>
      <c r="AM45" s="120"/>
      <c r="AN45" s="126"/>
      <c r="AO45" s="240">
        <v>45684</v>
      </c>
      <c r="AP45" s="241"/>
      <c r="AQ45" s="236" t="s">
        <v>156</v>
      </c>
      <c r="AR45" s="232"/>
      <c r="AS45" s="236" t="s">
        <v>157</v>
      </c>
      <c r="AT45" s="242"/>
      <c r="AU45" s="127"/>
      <c r="AV45" s="128"/>
      <c r="AW45" s="117"/>
      <c r="AX45" s="118"/>
      <c r="AY45" s="117"/>
      <c r="AZ45" s="122"/>
      <c r="BA45" s="123"/>
      <c r="BB45" s="124"/>
      <c r="BC45" s="124"/>
      <c r="BD45" s="124"/>
      <c r="BE45" s="124"/>
      <c r="BF45" s="124"/>
      <c r="BG45" s="124"/>
      <c r="BH45" s="124"/>
      <c r="BI45" s="124"/>
      <c r="BJ45" s="124"/>
      <c r="BK45" s="124"/>
      <c r="BL45" s="125"/>
      <c r="BM45" s="56"/>
      <c r="BN45" s="56"/>
    </row>
    <row r="46" spans="1:66" ht="142.19999999999999" customHeight="1" x14ac:dyDescent="0.45">
      <c r="A46" s="55"/>
      <c r="B46" s="55"/>
      <c r="C46" s="72">
        <f t="shared" si="1"/>
        <v>37</v>
      </c>
      <c r="D46" s="59"/>
      <c r="E46" s="131"/>
      <c r="F46" s="131"/>
      <c r="G46" s="61"/>
      <c r="H46" s="110"/>
      <c r="I46" s="111"/>
      <c r="J46" s="111"/>
      <c r="K46" s="112"/>
      <c r="L46" s="281"/>
      <c r="M46" s="282"/>
      <c r="N46" s="282"/>
      <c r="O46" s="283"/>
      <c r="P46" s="281"/>
      <c r="Q46" s="282"/>
      <c r="R46" s="282"/>
      <c r="S46" s="282"/>
      <c r="T46" s="282"/>
      <c r="U46" s="282"/>
      <c r="V46" s="282"/>
      <c r="W46" s="283"/>
      <c r="X46" s="237" t="s">
        <v>188</v>
      </c>
      <c r="Y46" s="237"/>
      <c r="Z46" s="237"/>
      <c r="AA46" s="237"/>
      <c r="AB46" s="237"/>
      <c r="AC46" s="237"/>
      <c r="AD46" s="237"/>
      <c r="AE46" s="238"/>
      <c r="AF46" s="119"/>
      <c r="AG46" s="120"/>
      <c r="AH46" s="120"/>
      <c r="AI46" s="120"/>
      <c r="AJ46" s="120"/>
      <c r="AK46" s="120"/>
      <c r="AL46" s="120"/>
      <c r="AM46" s="120"/>
      <c r="AN46" s="126"/>
      <c r="AO46" s="240">
        <v>45684</v>
      </c>
      <c r="AP46" s="241"/>
      <c r="AQ46" s="236" t="s">
        <v>156</v>
      </c>
      <c r="AR46" s="232"/>
      <c r="AS46" s="236" t="s">
        <v>157</v>
      </c>
      <c r="AT46" s="242"/>
      <c r="AU46" s="127"/>
      <c r="AV46" s="128"/>
      <c r="AW46" s="117"/>
      <c r="AX46" s="118"/>
      <c r="AY46" s="117"/>
      <c r="AZ46" s="122"/>
      <c r="BA46" s="123"/>
      <c r="BB46" s="124"/>
      <c r="BC46" s="124"/>
      <c r="BD46" s="124"/>
      <c r="BE46" s="124"/>
      <c r="BF46" s="124"/>
      <c r="BG46" s="124"/>
      <c r="BH46" s="124"/>
      <c r="BI46" s="124"/>
      <c r="BJ46" s="124"/>
      <c r="BK46" s="124"/>
      <c r="BL46" s="125"/>
      <c r="BM46" s="56"/>
      <c r="BN46" s="56"/>
    </row>
    <row r="47" spans="1:66" ht="24" customHeight="1" x14ac:dyDescent="0.45">
      <c r="A47" s="55"/>
      <c r="B47" s="55"/>
      <c r="C47" s="72">
        <f t="shared" si="1"/>
        <v>38</v>
      </c>
      <c r="D47" s="59"/>
      <c r="E47" s="165"/>
      <c r="F47" s="165"/>
      <c r="G47" s="61"/>
      <c r="H47" s="59"/>
      <c r="I47" s="165"/>
      <c r="J47" s="165"/>
      <c r="K47" s="61"/>
      <c r="L47" s="275" t="s">
        <v>127</v>
      </c>
      <c r="M47" s="276"/>
      <c r="N47" s="276"/>
      <c r="O47" s="277"/>
      <c r="P47" s="161" t="s">
        <v>66</v>
      </c>
      <c r="Q47" s="153"/>
      <c r="R47" s="153"/>
      <c r="S47" s="153"/>
      <c r="T47" s="153"/>
      <c r="U47" s="153"/>
      <c r="V47" s="153"/>
      <c r="W47" s="160"/>
      <c r="X47" s="237" t="s">
        <v>69</v>
      </c>
      <c r="Y47" s="237"/>
      <c r="Z47" s="237"/>
      <c r="AA47" s="237"/>
      <c r="AB47" s="237"/>
      <c r="AC47" s="237"/>
      <c r="AD47" s="237"/>
      <c r="AE47" s="238"/>
      <c r="AF47" s="149"/>
      <c r="AG47" s="150"/>
      <c r="AH47" s="150"/>
      <c r="AI47" s="150"/>
      <c r="AJ47" s="150"/>
      <c r="AK47" s="150"/>
      <c r="AL47" s="150"/>
      <c r="AM47" s="150"/>
      <c r="AN47" s="152"/>
      <c r="AO47" s="240">
        <v>45684</v>
      </c>
      <c r="AP47" s="241"/>
      <c r="AQ47" s="236" t="s">
        <v>156</v>
      </c>
      <c r="AR47" s="232"/>
      <c r="AS47" s="236" t="s">
        <v>157</v>
      </c>
      <c r="AT47" s="242"/>
      <c r="AU47" s="157"/>
      <c r="AV47" s="158"/>
      <c r="AW47" s="147"/>
      <c r="AX47" s="148"/>
      <c r="AY47" s="147"/>
      <c r="AZ47" s="159"/>
      <c r="BA47" s="154"/>
      <c r="BB47" s="155"/>
      <c r="BC47" s="155"/>
      <c r="BD47" s="155"/>
      <c r="BE47" s="155"/>
      <c r="BF47" s="155"/>
      <c r="BG47" s="155"/>
      <c r="BH47" s="155"/>
      <c r="BI47" s="155"/>
      <c r="BJ47" s="155"/>
      <c r="BK47" s="155"/>
      <c r="BL47" s="156"/>
      <c r="BM47" s="56"/>
      <c r="BN47" s="56"/>
    </row>
    <row r="48" spans="1:66" ht="81.599999999999994" customHeight="1" x14ac:dyDescent="0.45">
      <c r="A48" s="55"/>
      <c r="B48" s="55"/>
      <c r="C48" s="72">
        <f t="shared" si="1"/>
        <v>39</v>
      </c>
      <c r="D48" s="59"/>
      <c r="E48" s="165"/>
      <c r="F48" s="165"/>
      <c r="G48" s="61"/>
      <c r="H48" s="59"/>
      <c r="I48" s="165"/>
      <c r="J48" s="165"/>
      <c r="K48" s="61"/>
      <c r="L48" s="278"/>
      <c r="M48" s="279"/>
      <c r="N48" s="279"/>
      <c r="O48" s="280"/>
      <c r="P48" s="284" t="s">
        <v>67</v>
      </c>
      <c r="Q48" s="285"/>
      <c r="R48" s="285"/>
      <c r="S48" s="285"/>
      <c r="T48" s="285"/>
      <c r="U48" s="285"/>
      <c r="V48" s="285"/>
      <c r="W48" s="286"/>
      <c r="X48" s="237" t="s">
        <v>140</v>
      </c>
      <c r="Y48" s="237"/>
      <c r="Z48" s="237"/>
      <c r="AA48" s="237"/>
      <c r="AB48" s="237"/>
      <c r="AC48" s="237"/>
      <c r="AD48" s="237"/>
      <c r="AE48" s="238"/>
      <c r="AF48" s="149"/>
      <c r="AG48" s="150"/>
      <c r="AH48" s="150"/>
      <c r="AI48" s="150"/>
      <c r="AJ48" s="150"/>
      <c r="AK48" s="150"/>
      <c r="AL48" s="150"/>
      <c r="AM48" s="150"/>
      <c r="AN48" s="152"/>
      <c r="AO48" s="240">
        <v>45684</v>
      </c>
      <c r="AP48" s="241"/>
      <c r="AQ48" s="236" t="s">
        <v>156</v>
      </c>
      <c r="AR48" s="232"/>
      <c r="AS48" s="236" t="s">
        <v>157</v>
      </c>
      <c r="AT48" s="242"/>
      <c r="AU48" s="157"/>
      <c r="AV48" s="158"/>
      <c r="AW48" s="147"/>
      <c r="AX48" s="148"/>
      <c r="AY48" s="147"/>
      <c r="AZ48" s="159"/>
      <c r="BA48" s="154"/>
      <c r="BB48" s="155"/>
      <c r="BC48" s="155"/>
      <c r="BD48" s="155"/>
      <c r="BE48" s="155"/>
      <c r="BF48" s="155"/>
      <c r="BG48" s="155"/>
      <c r="BH48" s="155"/>
      <c r="BI48" s="155"/>
      <c r="BJ48" s="155"/>
      <c r="BK48" s="155"/>
      <c r="BL48" s="156"/>
      <c r="BM48" s="56"/>
      <c r="BN48" s="56"/>
    </row>
    <row r="49" spans="1:66" ht="140.4" customHeight="1" x14ac:dyDescent="0.45">
      <c r="A49" s="55"/>
      <c r="B49" s="55"/>
      <c r="C49" s="72">
        <f t="shared" si="1"/>
        <v>40</v>
      </c>
      <c r="D49" s="59"/>
      <c r="E49" s="165"/>
      <c r="F49" s="165"/>
      <c r="G49" s="61"/>
      <c r="H49" s="165"/>
      <c r="I49" s="165"/>
      <c r="J49" s="165"/>
      <c r="K49" s="165"/>
      <c r="L49" s="278"/>
      <c r="M49" s="279"/>
      <c r="N49" s="279"/>
      <c r="O49" s="280"/>
      <c r="P49" s="287"/>
      <c r="Q49" s="288"/>
      <c r="R49" s="288"/>
      <c r="S49" s="288"/>
      <c r="T49" s="288"/>
      <c r="U49" s="288"/>
      <c r="V49" s="288"/>
      <c r="W49" s="289"/>
      <c r="X49" s="237" t="s">
        <v>189</v>
      </c>
      <c r="Y49" s="237"/>
      <c r="Z49" s="237"/>
      <c r="AA49" s="237"/>
      <c r="AB49" s="237"/>
      <c r="AC49" s="237"/>
      <c r="AD49" s="237"/>
      <c r="AE49" s="238"/>
      <c r="AF49" s="149"/>
      <c r="AG49" s="150"/>
      <c r="AH49" s="150"/>
      <c r="AI49" s="150"/>
      <c r="AJ49" s="150"/>
      <c r="AK49" s="150"/>
      <c r="AL49" s="150"/>
      <c r="AM49" s="150"/>
      <c r="AN49" s="152"/>
      <c r="AO49" s="240">
        <v>45684</v>
      </c>
      <c r="AP49" s="241"/>
      <c r="AQ49" s="236" t="s">
        <v>156</v>
      </c>
      <c r="AR49" s="232"/>
      <c r="AS49" s="236" t="s">
        <v>157</v>
      </c>
      <c r="AT49" s="242"/>
      <c r="AU49" s="157"/>
      <c r="AV49" s="158"/>
      <c r="AW49" s="147"/>
      <c r="AX49" s="148"/>
      <c r="AY49" s="147"/>
      <c r="AZ49" s="159"/>
      <c r="BA49" s="154"/>
      <c r="BB49" s="155"/>
      <c r="BC49" s="155"/>
      <c r="BD49" s="155"/>
      <c r="BE49" s="155"/>
      <c r="BF49" s="155"/>
      <c r="BG49" s="155"/>
      <c r="BH49" s="155"/>
      <c r="BI49" s="155"/>
      <c r="BJ49" s="155"/>
      <c r="BK49" s="155"/>
      <c r="BL49" s="156"/>
      <c r="BM49" s="56"/>
      <c r="BN49" s="56"/>
    </row>
    <row r="50" spans="1:66" ht="83.4" customHeight="1" x14ac:dyDescent="0.45">
      <c r="A50" s="55"/>
      <c r="B50" s="55"/>
      <c r="C50" s="72">
        <f t="shared" si="1"/>
        <v>41</v>
      </c>
      <c r="D50" s="59"/>
      <c r="E50" s="165"/>
      <c r="F50" s="165"/>
      <c r="G50" s="61"/>
      <c r="H50" s="165"/>
      <c r="I50" s="165"/>
      <c r="J50" s="165"/>
      <c r="K50" s="165"/>
      <c r="L50" s="278"/>
      <c r="M50" s="279"/>
      <c r="N50" s="279"/>
      <c r="O50" s="280"/>
      <c r="P50" s="275" t="s">
        <v>68</v>
      </c>
      <c r="Q50" s="276"/>
      <c r="R50" s="276"/>
      <c r="S50" s="276"/>
      <c r="T50" s="276"/>
      <c r="U50" s="276"/>
      <c r="V50" s="276"/>
      <c r="W50" s="277"/>
      <c r="X50" s="237" t="s">
        <v>141</v>
      </c>
      <c r="Y50" s="237"/>
      <c r="Z50" s="237"/>
      <c r="AA50" s="237"/>
      <c r="AB50" s="237"/>
      <c r="AC50" s="237"/>
      <c r="AD50" s="237"/>
      <c r="AE50" s="238"/>
      <c r="AF50" s="149"/>
      <c r="AG50" s="150"/>
      <c r="AH50" s="150"/>
      <c r="AI50" s="150"/>
      <c r="AJ50" s="150"/>
      <c r="AK50" s="150"/>
      <c r="AL50" s="150"/>
      <c r="AM50" s="150"/>
      <c r="AN50" s="152"/>
      <c r="AO50" s="240">
        <v>45684</v>
      </c>
      <c r="AP50" s="241"/>
      <c r="AQ50" s="236" t="s">
        <v>156</v>
      </c>
      <c r="AR50" s="232"/>
      <c r="AS50" s="236" t="s">
        <v>157</v>
      </c>
      <c r="AT50" s="242"/>
      <c r="AU50" s="157"/>
      <c r="AV50" s="158"/>
      <c r="AW50" s="147"/>
      <c r="AX50" s="148"/>
      <c r="AY50" s="147"/>
      <c r="AZ50" s="159"/>
      <c r="BA50" s="154"/>
      <c r="BB50" s="155"/>
      <c r="BC50" s="155"/>
      <c r="BD50" s="155"/>
      <c r="BE50" s="155"/>
      <c r="BF50" s="155"/>
      <c r="BG50" s="155"/>
      <c r="BH50" s="155"/>
      <c r="BI50" s="155"/>
      <c r="BJ50" s="155"/>
      <c r="BK50" s="155"/>
      <c r="BL50" s="156"/>
      <c r="BM50" s="56"/>
      <c r="BN50" s="56"/>
    </row>
    <row r="51" spans="1:66" ht="138" customHeight="1" x14ac:dyDescent="0.45">
      <c r="A51" s="55"/>
      <c r="B51" s="55"/>
      <c r="C51" s="72">
        <f t="shared" si="1"/>
        <v>42</v>
      </c>
      <c r="D51" s="59"/>
      <c r="E51" s="165"/>
      <c r="F51" s="165"/>
      <c r="G51" s="61"/>
      <c r="H51" s="110"/>
      <c r="I51" s="111"/>
      <c r="J51" s="111"/>
      <c r="K51" s="112"/>
      <c r="L51" s="281"/>
      <c r="M51" s="282"/>
      <c r="N51" s="282"/>
      <c r="O51" s="283"/>
      <c r="P51" s="281"/>
      <c r="Q51" s="282"/>
      <c r="R51" s="282"/>
      <c r="S51" s="282"/>
      <c r="T51" s="282"/>
      <c r="U51" s="282"/>
      <c r="V51" s="282"/>
      <c r="W51" s="283"/>
      <c r="X51" s="237" t="s">
        <v>190</v>
      </c>
      <c r="Y51" s="237"/>
      <c r="Z51" s="237"/>
      <c r="AA51" s="237"/>
      <c r="AB51" s="237"/>
      <c r="AC51" s="237"/>
      <c r="AD51" s="237"/>
      <c r="AE51" s="238"/>
      <c r="AF51" s="149"/>
      <c r="AG51" s="150"/>
      <c r="AH51" s="150"/>
      <c r="AI51" s="150"/>
      <c r="AJ51" s="150"/>
      <c r="AK51" s="150"/>
      <c r="AL51" s="150"/>
      <c r="AM51" s="150"/>
      <c r="AN51" s="152"/>
      <c r="AO51" s="240">
        <v>45684</v>
      </c>
      <c r="AP51" s="241"/>
      <c r="AQ51" s="236" t="s">
        <v>156</v>
      </c>
      <c r="AR51" s="232"/>
      <c r="AS51" s="236" t="s">
        <v>157</v>
      </c>
      <c r="AT51" s="242"/>
      <c r="AU51" s="157"/>
      <c r="AV51" s="158"/>
      <c r="AW51" s="147"/>
      <c r="AX51" s="148"/>
      <c r="AY51" s="147"/>
      <c r="AZ51" s="159"/>
      <c r="BA51" s="154"/>
      <c r="BB51" s="155"/>
      <c r="BC51" s="155"/>
      <c r="BD51" s="155"/>
      <c r="BE51" s="155"/>
      <c r="BF51" s="155"/>
      <c r="BG51" s="155"/>
      <c r="BH51" s="155"/>
      <c r="BI51" s="155"/>
      <c r="BJ51" s="155"/>
      <c r="BK51" s="155"/>
      <c r="BL51" s="156"/>
      <c r="BM51" s="56"/>
      <c r="BN51" s="56"/>
    </row>
    <row r="52" spans="1:66" ht="24" customHeight="1" x14ac:dyDescent="0.45">
      <c r="A52" s="55"/>
      <c r="B52" s="55"/>
      <c r="C52" s="72">
        <f t="shared" si="1"/>
        <v>43</v>
      </c>
      <c r="D52" s="59"/>
      <c r="E52" s="165"/>
      <c r="F52" s="165"/>
      <c r="G52" s="61"/>
      <c r="H52" s="59"/>
      <c r="I52" s="165"/>
      <c r="J52" s="165"/>
      <c r="K52" s="61"/>
      <c r="L52" s="275" t="s">
        <v>142</v>
      </c>
      <c r="M52" s="276"/>
      <c r="N52" s="276"/>
      <c r="O52" s="277"/>
      <c r="P52" s="161" t="s">
        <v>143</v>
      </c>
      <c r="Q52" s="153"/>
      <c r="R52" s="153"/>
      <c r="S52" s="153"/>
      <c r="T52" s="153"/>
      <c r="U52" s="153"/>
      <c r="V52" s="153"/>
      <c r="W52" s="160"/>
      <c r="X52" s="237" t="s">
        <v>144</v>
      </c>
      <c r="Y52" s="237"/>
      <c r="Z52" s="237"/>
      <c r="AA52" s="237"/>
      <c r="AB52" s="237"/>
      <c r="AC52" s="237"/>
      <c r="AD52" s="237"/>
      <c r="AE52" s="238"/>
      <c r="AF52" s="149"/>
      <c r="AG52" s="150"/>
      <c r="AH52" s="150"/>
      <c r="AI52" s="150"/>
      <c r="AJ52" s="150"/>
      <c r="AK52" s="150"/>
      <c r="AL52" s="150"/>
      <c r="AM52" s="150"/>
      <c r="AN52" s="152"/>
      <c r="AO52" s="240">
        <v>45684</v>
      </c>
      <c r="AP52" s="241"/>
      <c r="AQ52" s="236" t="s">
        <v>156</v>
      </c>
      <c r="AR52" s="232"/>
      <c r="AS52" s="236" t="s">
        <v>157</v>
      </c>
      <c r="AT52" s="242"/>
      <c r="AU52" s="157"/>
      <c r="AV52" s="158"/>
      <c r="AW52" s="147"/>
      <c r="AX52" s="148"/>
      <c r="AY52" s="147"/>
      <c r="AZ52" s="159"/>
      <c r="BA52" s="154"/>
      <c r="BB52" s="155"/>
      <c r="BC52" s="155"/>
      <c r="BD52" s="155"/>
      <c r="BE52" s="155"/>
      <c r="BF52" s="155"/>
      <c r="BG52" s="155"/>
      <c r="BH52" s="155"/>
      <c r="BI52" s="155"/>
      <c r="BJ52" s="155"/>
      <c r="BK52" s="155"/>
      <c r="BL52" s="156"/>
      <c r="BM52" s="56"/>
      <c r="BN52" s="56"/>
    </row>
    <row r="53" spans="1:66" ht="57.6" customHeight="1" x14ac:dyDescent="0.45">
      <c r="A53" s="55"/>
      <c r="B53" s="55"/>
      <c r="C53" s="72">
        <f t="shared" si="1"/>
        <v>44</v>
      </c>
      <c r="D53" s="59"/>
      <c r="E53" s="165"/>
      <c r="F53" s="165"/>
      <c r="G53" s="61"/>
      <c r="H53" s="59"/>
      <c r="I53" s="165"/>
      <c r="J53" s="165"/>
      <c r="K53" s="61"/>
      <c r="L53" s="278"/>
      <c r="M53" s="279"/>
      <c r="N53" s="279"/>
      <c r="O53" s="280"/>
      <c r="P53" s="284" t="s">
        <v>145</v>
      </c>
      <c r="Q53" s="285"/>
      <c r="R53" s="285"/>
      <c r="S53" s="285"/>
      <c r="T53" s="285"/>
      <c r="U53" s="285"/>
      <c r="V53" s="285"/>
      <c r="W53" s="286"/>
      <c r="X53" s="237" t="s">
        <v>147</v>
      </c>
      <c r="Y53" s="237"/>
      <c r="Z53" s="237"/>
      <c r="AA53" s="237"/>
      <c r="AB53" s="237"/>
      <c r="AC53" s="237"/>
      <c r="AD53" s="237"/>
      <c r="AE53" s="238"/>
      <c r="AF53" s="149"/>
      <c r="AG53" s="150"/>
      <c r="AH53" s="150"/>
      <c r="AI53" s="150"/>
      <c r="AJ53" s="150"/>
      <c r="AK53" s="150"/>
      <c r="AL53" s="150"/>
      <c r="AM53" s="150"/>
      <c r="AN53" s="152"/>
      <c r="AO53" s="240">
        <v>45684</v>
      </c>
      <c r="AP53" s="241"/>
      <c r="AQ53" s="236" t="s">
        <v>156</v>
      </c>
      <c r="AR53" s="232"/>
      <c r="AS53" s="236" t="s">
        <v>157</v>
      </c>
      <c r="AT53" s="242"/>
      <c r="AU53" s="157"/>
      <c r="AV53" s="158"/>
      <c r="AW53" s="147"/>
      <c r="AX53" s="148"/>
      <c r="AY53" s="147"/>
      <c r="AZ53" s="159"/>
      <c r="BA53" s="154"/>
      <c r="BB53" s="155"/>
      <c r="BC53" s="155"/>
      <c r="BD53" s="155"/>
      <c r="BE53" s="155"/>
      <c r="BF53" s="155"/>
      <c r="BG53" s="155"/>
      <c r="BH53" s="155"/>
      <c r="BI53" s="155"/>
      <c r="BJ53" s="155"/>
      <c r="BK53" s="155"/>
      <c r="BL53" s="156"/>
      <c r="BM53" s="56"/>
      <c r="BN53" s="56"/>
    </row>
    <row r="54" spans="1:66" ht="140.4" customHeight="1" x14ac:dyDescent="0.45">
      <c r="A54" s="55"/>
      <c r="B54" s="55"/>
      <c r="C54" s="72">
        <f t="shared" si="1"/>
        <v>45</v>
      </c>
      <c r="D54" s="59"/>
      <c r="E54" s="165"/>
      <c r="F54" s="165"/>
      <c r="G54" s="61"/>
      <c r="H54" s="165"/>
      <c r="I54" s="165"/>
      <c r="J54" s="165"/>
      <c r="K54" s="165"/>
      <c r="L54" s="278"/>
      <c r="M54" s="279"/>
      <c r="N54" s="279"/>
      <c r="O54" s="280"/>
      <c r="P54" s="287"/>
      <c r="Q54" s="288"/>
      <c r="R54" s="288"/>
      <c r="S54" s="288"/>
      <c r="T54" s="288"/>
      <c r="U54" s="288"/>
      <c r="V54" s="288"/>
      <c r="W54" s="289"/>
      <c r="X54" s="237" t="s">
        <v>191</v>
      </c>
      <c r="Y54" s="237"/>
      <c r="Z54" s="237"/>
      <c r="AA54" s="237"/>
      <c r="AB54" s="237"/>
      <c r="AC54" s="237"/>
      <c r="AD54" s="237"/>
      <c r="AE54" s="238"/>
      <c r="AF54" s="149"/>
      <c r="AG54" s="150"/>
      <c r="AH54" s="150"/>
      <c r="AI54" s="150"/>
      <c r="AJ54" s="150"/>
      <c r="AK54" s="150"/>
      <c r="AL54" s="150"/>
      <c r="AM54" s="150"/>
      <c r="AN54" s="152"/>
      <c r="AO54" s="240">
        <v>45684</v>
      </c>
      <c r="AP54" s="241"/>
      <c r="AQ54" s="236" t="s">
        <v>156</v>
      </c>
      <c r="AR54" s="232"/>
      <c r="AS54" s="236" t="s">
        <v>157</v>
      </c>
      <c r="AT54" s="242"/>
      <c r="AU54" s="157"/>
      <c r="AV54" s="158"/>
      <c r="AW54" s="147"/>
      <c r="AX54" s="148"/>
      <c r="AY54" s="147"/>
      <c r="AZ54" s="159"/>
      <c r="BA54" s="154"/>
      <c r="BB54" s="155"/>
      <c r="BC54" s="155"/>
      <c r="BD54" s="155"/>
      <c r="BE54" s="155"/>
      <c r="BF54" s="155"/>
      <c r="BG54" s="155"/>
      <c r="BH54" s="155"/>
      <c r="BI54" s="155"/>
      <c r="BJ54" s="155"/>
      <c r="BK54" s="155"/>
      <c r="BL54" s="156"/>
      <c r="BM54" s="56"/>
      <c r="BN54" s="56"/>
    </row>
    <row r="55" spans="1:66" ht="55.2" customHeight="1" x14ac:dyDescent="0.45">
      <c r="A55" s="55"/>
      <c r="B55" s="55"/>
      <c r="C55" s="72">
        <f t="shared" si="1"/>
        <v>46</v>
      </c>
      <c r="D55" s="59"/>
      <c r="E55" s="165"/>
      <c r="F55" s="165"/>
      <c r="G55" s="61"/>
      <c r="H55" s="165"/>
      <c r="I55" s="165"/>
      <c r="J55" s="165"/>
      <c r="K55" s="165"/>
      <c r="L55" s="278"/>
      <c r="M55" s="279"/>
      <c r="N55" s="279"/>
      <c r="O55" s="280"/>
      <c r="P55" s="275" t="s">
        <v>146</v>
      </c>
      <c r="Q55" s="276"/>
      <c r="R55" s="276"/>
      <c r="S55" s="276"/>
      <c r="T55" s="276"/>
      <c r="U55" s="276"/>
      <c r="V55" s="276"/>
      <c r="W55" s="277"/>
      <c r="X55" s="237" t="s">
        <v>148</v>
      </c>
      <c r="Y55" s="237"/>
      <c r="Z55" s="237"/>
      <c r="AA55" s="237"/>
      <c r="AB55" s="237"/>
      <c r="AC55" s="237"/>
      <c r="AD55" s="237"/>
      <c r="AE55" s="238"/>
      <c r="AF55" s="149"/>
      <c r="AG55" s="150"/>
      <c r="AH55" s="150"/>
      <c r="AI55" s="150"/>
      <c r="AJ55" s="150"/>
      <c r="AK55" s="150"/>
      <c r="AL55" s="150"/>
      <c r="AM55" s="150"/>
      <c r="AN55" s="152"/>
      <c r="AO55" s="240">
        <v>45684</v>
      </c>
      <c r="AP55" s="241"/>
      <c r="AQ55" s="236" t="s">
        <v>156</v>
      </c>
      <c r="AR55" s="232"/>
      <c r="AS55" s="236" t="s">
        <v>157</v>
      </c>
      <c r="AT55" s="242"/>
      <c r="AU55" s="157"/>
      <c r="AV55" s="158"/>
      <c r="AW55" s="147"/>
      <c r="AX55" s="148"/>
      <c r="AY55" s="147"/>
      <c r="AZ55" s="159"/>
      <c r="BA55" s="154"/>
      <c r="BB55" s="155"/>
      <c r="BC55" s="155"/>
      <c r="BD55" s="155"/>
      <c r="BE55" s="155"/>
      <c r="BF55" s="155"/>
      <c r="BG55" s="155"/>
      <c r="BH55" s="155"/>
      <c r="BI55" s="155"/>
      <c r="BJ55" s="155"/>
      <c r="BK55" s="155"/>
      <c r="BL55" s="156"/>
      <c r="BM55" s="56"/>
      <c r="BN55" s="56"/>
    </row>
    <row r="56" spans="1:66" ht="138" customHeight="1" x14ac:dyDescent="0.45">
      <c r="A56" s="55"/>
      <c r="B56" s="55"/>
      <c r="C56" s="72">
        <f t="shared" si="1"/>
        <v>47</v>
      </c>
      <c r="D56" s="59"/>
      <c r="E56" s="165"/>
      <c r="F56" s="165"/>
      <c r="G56" s="61"/>
      <c r="H56" s="110"/>
      <c r="I56" s="111"/>
      <c r="J56" s="111"/>
      <c r="K56" s="112"/>
      <c r="L56" s="281"/>
      <c r="M56" s="282"/>
      <c r="N56" s="282"/>
      <c r="O56" s="283"/>
      <c r="P56" s="281"/>
      <c r="Q56" s="282"/>
      <c r="R56" s="282"/>
      <c r="S56" s="282"/>
      <c r="T56" s="282"/>
      <c r="U56" s="282"/>
      <c r="V56" s="282"/>
      <c r="W56" s="283"/>
      <c r="X56" s="237" t="s">
        <v>192</v>
      </c>
      <c r="Y56" s="237"/>
      <c r="Z56" s="237"/>
      <c r="AA56" s="237"/>
      <c r="AB56" s="237"/>
      <c r="AC56" s="237"/>
      <c r="AD56" s="237"/>
      <c r="AE56" s="238"/>
      <c r="AF56" s="149"/>
      <c r="AG56" s="150"/>
      <c r="AH56" s="150"/>
      <c r="AI56" s="150"/>
      <c r="AJ56" s="150"/>
      <c r="AK56" s="150"/>
      <c r="AL56" s="150"/>
      <c r="AM56" s="150"/>
      <c r="AN56" s="152"/>
      <c r="AO56" s="240">
        <v>45684</v>
      </c>
      <c r="AP56" s="241"/>
      <c r="AQ56" s="236" t="s">
        <v>156</v>
      </c>
      <c r="AR56" s="232"/>
      <c r="AS56" s="236" t="s">
        <v>157</v>
      </c>
      <c r="AT56" s="242"/>
      <c r="AU56" s="157"/>
      <c r="AV56" s="158"/>
      <c r="AW56" s="147"/>
      <c r="AX56" s="148"/>
      <c r="AY56" s="147"/>
      <c r="AZ56" s="159"/>
      <c r="BA56" s="154"/>
      <c r="BB56" s="155"/>
      <c r="BC56" s="155"/>
      <c r="BD56" s="155"/>
      <c r="BE56" s="155"/>
      <c r="BF56" s="155"/>
      <c r="BG56" s="155"/>
      <c r="BH56" s="155"/>
      <c r="BI56" s="155"/>
      <c r="BJ56" s="155"/>
      <c r="BK56" s="155"/>
      <c r="BL56" s="156"/>
      <c r="BM56" s="56"/>
      <c r="BN56" s="56"/>
    </row>
    <row r="57" spans="1:66" ht="24" customHeight="1" x14ac:dyDescent="0.45">
      <c r="A57" s="55"/>
      <c r="B57" s="55"/>
      <c r="C57" s="72">
        <f t="shared" si="1"/>
        <v>48</v>
      </c>
      <c r="D57" s="59"/>
      <c r="E57" s="165"/>
      <c r="F57" s="165"/>
      <c r="G57" s="61"/>
      <c r="H57" s="59"/>
      <c r="I57" s="165"/>
      <c r="J57" s="165"/>
      <c r="K57" s="61"/>
      <c r="L57" s="275" t="s">
        <v>149</v>
      </c>
      <c r="M57" s="276"/>
      <c r="N57" s="276"/>
      <c r="O57" s="277"/>
      <c r="P57" s="161" t="s">
        <v>150</v>
      </c>
      <c r="Q57" s="153"/>
      <c r="R57" s="153"/>
      <c r="S57" s="153"/>
      <c r="T57" s="153"/>
      <c r="U57" s="153"/>
      <c r="V57" s="153"/>
      <c r="W57" s="160"/>
      <c r="X57" s="237" t="s">
        <v>151</v>
      </c>
      <c r="Y57" s="237"/>
      <c r="Z57" s="237"/>
      <c r="AA57" s="237"/>
      <c r="AB57" s="237"/>
      <c r="AC57" s="237"/>
      <c r="AD57" s="237"/>
      <c r="AE57" s="238"/>
      <c r="AF57" s="149"/>
      <c r="AG57" s="150"/>
      <c r="AH57" s="150"/>
      <c r="AI57" s="150"/>
      <c r="AJ57" s="150"/>
      <c r="AK57" s="150"/>
      <c r="AL57" s="150"/>
      <c r="AM57" s="150"/>
      <c r="AN57" s="152"/>
      <c r="AO57" s="240">
        <v>45684</v>
      </c>
      <c r="AP57" s="241"/>
      <c r="AQ57" s="236" t="s">
        <v>156</v>
      </c>
      <c r="AR57" s="232"/>
      <c r="AS57" s="236" t="s">
        <v>157</v>
      </c>
      <c r="AT57" s="242"/>
      <c r="AU57" s="157"/>
      <c r="AV57" s="158"/>
      <c r="AW57" s="147"/>
      <c r="AX57" s="148"/>
      <c r="AY57" s="147"/>
      <c r="AZ57" s="159"/>
      <c r="BA57" s="154"/>
      <c r="BB57" s="155"/>
      <c r="BC57" s="155"/>
      <c r="BD57" s="155"/>
      <c r="BE57" s="155"/>
      <c r="BF57" s="155"/>
      <c r="BG57" s="155"/>
      <c r="BH57" s="155"/>
      <c r="BI57" s="155"/>
      <c r="BJ57" s="155"/>
      <c r="BK57" s="155"/>
      <c r="BL57" s="156"/>
      <c r="BM57" s="56"/>
      <c r="BN57" s="56"/>
    </row>
    <row r="58" spans="1:66" ht="57.6" customHeight="1" x14ac:dyDescent="0.45">
      <c r="A58" s="55"/>
      <c r="B58" s="55"/>
      <c r="C58" s="72">
        <f t="shared" si="1"/>
        <v>49</v>
      </c>
      <c r="D58" s="59"/>
      <c r="E58" s="165"/>
      <c r="F58" s="165"/>
      <c r="G58" s="61"/>
      <c r="H58" s="59"/>
      <c r="I58" s="165"/>
      <c r="J58" s="165"/>
      <c r="K58" s="61"/>
      <c r="L58" s="278"/>
      <c r="M58" s="279"/>
      <c r="N58" s="279"/>
      <c r="O58" s="280"/>
      <c r="P58" s="284" t="s">
        <v>152</v>
      </c>
      <c r="Q58" s="285"/>
      <c r="R58" s="285"/>
      <c r="S58" s="285"/>
      <c r="T58" s="285"/>
      <c r="U58" s="285"/>
      <c r="V58" s="285"/>
      <c r="W58" s="286"/>
      <c r="X58" s="237" t="s">
        <v>154</v>
      </c>
      <c r="Y58" s="237"/>
      <c r="Z58" s="237"/>
      <c r="AA58" s="237"/>
      <c r="AB58" s="237"/>
      <c r="AC58" s="237"/>
      <c r="AD58" s="237"/>
      <c r="AE58" s="238"/>
      <c r="AF58" s="149"/>
      <c r="AG58" s="150"/>
      <c r="AH58" s="150"/>
      <c r="AI58" s="150"/>
      <c r="AJ58" s="150"/>
      <c r="AK58" s="150"/>
      <c r="AL58" s="150"/>
      <c r="AM58" s="150"/>
      <c r="AN58" s="152"/>
      <c r="AO58" s="240">
        <v>45684</v>
      </c>
      <c r="AP58" s="241"/>
      <c r="AQ58" s="236" t="s">
        <v>156</v>
      </c>
      <c r="AR58" s="232"/>
      <c r="AS58" s="236" t="s">
        <v>157</v>
      </c>
      <c r="AT58" s="242"/>
      <c r="AU58" s="157"/>
      <c r="AV58" s="158"/>
      <c r="AW58" s="147"/>
      <c r="AX58" s="148"/>
      <c r="AY58" s="147"/>
      <c r="AZ58" s="159"/>
      <c r="BA58" s="154"/>
      <c r="BB58" s="155"/>
      <c r="BC58" s="155"/>
      <c r="BD58" s="155"/>
      <c r="BE58" s="155"/>
      <c r="BF58" s="155"/>
      <c r="BG58" s="155"/>
      <c r="BH58" s="155"/>
      <c r="BI58" s="155"/>
      <c r="BJ58" s="155"/>
      <c r="BK58" s="155"/>
      <c r="BL58" s="156"/>
      <c r="BM58" s="56"/>
      <c r="BN58" s="56"/>
    </row>
    <row r="59" spans="1:66" ht="140.4" customHeight="1" x14ac:dyDescent="0.45">
      <c r="A59" s="55"/>
      <c r="B59" s="55"/>
      <c r="C59" s="72">
        <f t="shared" si="1"/>
        <v>50</v>
      </c>
      <c r="D59" s="59"/>
      <c r="E59" s="165"/>
      <c r="F59" s="165"/>
      <c r="G59" s="61"/>
      <c r="H59" s="165"/>
      <c r="I59" s="165"/>
      <c r="J59" s="165"/>
      <c r="K59" s="165"/>
      <c r="L59" s="278"/>
      <c r="M59" s="279"/>
      <c r="N59" s="279"/>
      <c r="O59" s="280"/>
      <c r="P59" s="287"/>
      <c r="Q59" s="288"/>
      <c r="R59" s="288"/>
      <c r="S59" s="288"/>
      <c r="T59" s="288"/>
      <c r="U59" s="288"/>
      <c r="V59" s="288"/>
      <c r="W59" s="289"/>
      <c r="X59" s="237" t="s">
        <v>193</v>
      </c>
      <c r="Y59" s="237"/>
      <c r="Z59" s="237"/>
      <c r="AA59" s="237"/>
      <c r="AB59" s="237"/>
      <c r="AC59" s="237"/>
      <c r="AD59" s="237"/>
      <c r="AE59" s="238"/>
      <c r="AF59" s="149"/>
      <c r="AG59" s="150"/>
      <c r="AH59" s="150"/>
      <c r="AI59" s="150"/>
      <c r="AJ59" s="150"/>
      <c r="AK59" s="150"/>
      <c r="AL59" s="150"/>
      <c r="AM59" s="150"/>
      <c r="AN59" s="152"/>
      <c r="AO59" s="240">
        <v>45684</v>
      </c>
      <c r="AP59" s="241"/>
      <c r="AQ59" s="236" t="s">
        <v>156</v>
      </c>
      <c r="AR59" s="232"/>
      <c r="AS59" s="236" t="s">
        <v>157</v>
      </c>
      <c r="AT59" s="242"/>
      <c r="AU59" s="157"/>
      <c r="AV59" s="158"/>
      <c r="AW59" s="147"/>
      <c r="AX59" s="148"/>
      <c r="AY59" s="147"/>
      <c r="AZ59" s="159"/>
      <c r="BA59" s="154"/>
      <c r="BB59" s="155"/>
      <c r="BC59" s="155"/>
      <c r="BD59" s="155"/>
      <c r="BE59" s="155"/>
      <c r="BF59" s="155"/>
      <c r="BG59" s="155"/>
      <c r="BH59" s="155"/>
      <c r="BI59" s="155"/>
      <c r="BJ59" s="155"/>
      <c r="BK59" s="155"/>
      <c r="BL59" s="156"/>
      <c r="BM59" s="56"/>
      <c r="BN59" s="56"/>
    </row>
    <row r="60" spans="1:66" ht="55.2" customHeight="1" x14ac:dyDescent="0.45">
      <c r="A60" s="55"/>
      <c r="B60" s="55"/>
      <c r="C60" s="72">
        <f t="shared" si="1"/>
        <v>51</v>
      </c>
      <c r="D60" s="59"/>
      <c r="E60" s="165"/>
      <c r="F60" s="165"/>
      <c r="G60" s="61"/>
      <c r="H60" s="165"/>
      <c r="I60" s="165"/>
      <c r="J60" s="165"/>
      <c r="K60" s="165"/>
      <c r="L60" s="278"/>
      <c r="M60" s="279"/>
      <c r="N60" s="279"/>
      <c r="O60" s="280"/>
      <c r="P60" s="275" t="s">
        <v>153</v>
      </c>
      <c r="Q60" s="276"/>
      <c r="R60" s="276"/>
      <c r="S60" s="276"/>
      <c r="T60" s="276"/>
      <c r="U60" s="276"/>
      <c r="V60" s="276"/>
      <c r="W60" s="277"/>
      <c r="X60" s="237" t="s">
        <v>155</v>
      </c>
      <c r="Y60" s="237"/>
      <c r="Z60" s="237"/>
      <c r="AA60" s="237"/>
      <c r="AB60" s="237"/>
      <c r="AC60" s="237"/>
      <c r="AD60" s="237"/>
      <c r="AE60" s="238"/>
      <c r="AF60" s="149"/>
      <c r="AG60" s="150"/>
      <c r="AH60" s="150"/>
      <c r="AI60" s="150"/>
      <c r="AJ60" s="150"/>
      <c r="AK60" s="150"/>
      <c r="AL60" s="150"/>
      <c r="AM60" s="150"/>
      <c r="AN60" s="152"/>
      <c r="AO60" s="240">
        <v>45684</v>
      </c>
      <c r="AP60" s="241"/>
      <c r="AQ60" s="236" t="s">
        <v>156</v>
      </c>
      <c r="AR60" s="232"/>
      <c r="AS60" s="236" t="s">
        <v>157</v>
      </c>
      <c r="AT60" s="242"/>
      <c r="AU60" s="157"/>
      <c r="AV60" s="158"/>
      <c r="AW60" s="147"/>
      <c r="AX60" s="148"/>
      <c r="AY60" s="147"/>
      <c r="AZ60" s="159"/>
      <c r="BA60" s="154"/>
      <c r="BB60" s="155"/>
      <c r="BC60" s="155"/>
      <c r="BD60" s="155"/>
      <c r="BE60" s="155"/>
      <c r="BF60" s="155"/>
      <c r="BG60" s="155"/>
      <c r="BH60" s="155"/>
      <c r="BI60" s="155"/>
      <c r="BJ60" s="155"/>
      <c r="BK60" s="155"/>
      <c r="BL60" s="156"/>
      <c r="BM60" s="56"/>
      <c r="BN60" s="56"/>
    </row>
    <row r="61" spans="1:66" ht="138" customHeight="1" x14ac:dyDescent="0.45">
      <c r="A61" s="55"/>
      <c r="B61" s="55"/>
      <c r="C61" s="72">
        <f t="shared" si="1"/>
        <v>52</v>
      </c>
      <c r="D61" s="59"/>
      <c r="E61" s="165"/>
      <c r="F61" s="165"/>
      <c r="G61" s="61"/>
      <c r="H61" s="110"/>
      <c r="I61" s="111"/>
      <c r="J61" s="111"/>
      <c r="K61" s="112"/>
      <c r="L61" s="281"/>
      <c r="M61" s="282"/>
      <c r="N61" s="282"/>
      <c r="O61" s="283"/>
      <c r="P61" s="281"/>
      <c r="Q61" s="282"/>
      <c r="R61" s="282"/>
      <c r="S61" s="282"/>
      <c r="T61" s="282"/>
      <c r="U61" s="282"/>
      <c r="V61" s="282"/>
      <c r="W61" s="283"/>
      <c r="X61" s="237" t="s">
        <v>194</v>
      </c>
      <c r="Y61" s="237"/>
      <c r="Z61" s="237"/>
      <c r="AA61" s="237"/>
      <c r="AB61" s="237"/>
      <c r="AC61" s="237"/>
      <c r="AD61" s="237"/>
      <c r="AE61" s="238"/>
      <c r="AF61" s="149"/>
      <c r="AG61" s="150"/>
      <c r="AH61" s="150"/>
      <c r="AI61" s="150"/>
      <c r="AJ61" s="150"/>
      <c r="AK61" s="150"/>
      <c r="AL61" s="150"/>
      <c r="AM61" s="150"/>
      <c r="AN61" s="152"/>
      <c r="AO61" s="240">
        <v>45684</v>
      </c>
      <c r="AP61" s="241"/>
      <c r="AQ61" s="236" t="s">
        <v>156</v>
      </c>
      <c r="AR61" s="232"/>
      <c r="AS61" s="236" t="s">
        <v>157</v>
      </c>
      <c r="AT61" s="242"/>
      <c r="AU61" s="157"/>
      <c r="AV61" s="158"/>
      <c r="AW61" s="147"/>
      <c r="AX61" s="148"/>
      <c r="AY61" s="147"/>
      <c r="AZ61" s="159"/>
      <c r="BA61" s="154"/>
      <c r="BB61" s="155"/>
      <c r="BC61" s="155"/>
      <c r="BD61" s="155"/>
      <c r="BE61" s="155"/>
      <c r="BF61" s="155"/>
      <c r="BG61" s="155"/>
      <c r="BH61" s="155"/>
      <c r="BI61" s="155"/>
      <c r="BJ61" s="155"/>
      <c r="BK61" s="155"/>
      <c r="BL61" s="156"/>
      <c r="BM61" s="56"/>
      <c r="BN61" s="56"/>
    </row>
    <row r="62" spans="1:66" ht="19.8" customHeight="1" x14ac:dyDescent="0.45">
      <c r="A62" s="55"/>
      <c r="B62" s="55"/>
      <c r="C62" s="72">
        <f t="shared" ref="C62:C67" si="2">ROW()-9</f>
        <v>53</v>
      </c>
      <c r="D62" s="59"/>
      <c r="E62" s="131"/>
      <c r="F62" s="131"/>
      <c r="G62" s="61"/>
      <c r="H62" s="109" t="s">
        <v>53</v>
      </c>
      <c r="I62" s="131"/>
      <c r="J62" s="131"/>
      <c r="K62" s="131"/>
      <c r="L62" s="239" t="s">
        <v>78</v>
      </c>
      <c r="M62" s="237"/>
      <c r="N62" s="237"/>
      <c r="O62" s="238"/>
      <c r="P62" s="290" t="s">
        <v>54</v>
      </c>
      <c r="Q62" s="290"/>
      <c r="R62" s="290"/>
      <c r="S62" s="290"/>
      <c r="T62" s="290"/>
      <c r="U62" s="290"/>
      <c r="V62" s="290"/>
      <c r="W62" s="291"/>
      <c r="X62" s="237" t="s">
        <v>55</v>
      </c>
      <c r="Y62" s="237"/>
      <c r="Z62" s="237"/>
      <c r="AA62" s="237"/>
      <c r="AB62" s="237"/>
      <c r="AC62" s="237"/>
      <c r="AD62" s="237"/>
      <c r="AE62" s="238"/>
      <c r="AF62" s="119"/>
      <c r="AG62" s="120"/>
      <c r="AH62" s="120"/>
      <c r="AI62" s="120"/>
      <c r="AJ62" s="120"/>
      <c r="AK62" s="120"/>
      <c r="AL62" s="120"/>
      <c r="AM62" s="120"/>
      <c r="AN62" s="126"/>
      <c r="AO62" s="240">
        <v>45684</v>
      </c>
      <c r="AP62" s="241"/>
      <c r="AQ62" s="236" t="s">
        <v>156</v>
      </c>
      <c r="AR62" s="232"/>
      <c r="AS62" s="236" t="s">
        <v>157</v>
      </c>
      <c r="AT62" s="242"/>
      <c r="AU62" s="127"/>
      <c r="AV62" s="128"/>
      <c r="AW62" s="117"/>
      <c r="AX62" s="118"/>
      <c r="AY62" s="117"/>
      <c r="AZ62" s="122"/>
      <c r="BA62" s="123"/>
      <c r="BB62" s="124"/>
      <c r="BC62" s="124"/>
      <c r="BD62" s="124"/>
      <c r="BE62" s="124"/>
      <c r="BF62" s="124"/>
      <c r="BG62" s="124"/>
      <c r="BH62" s="124"/>
      <c r="BI62" s="124"/>
      <c r="BJ62" s="124"/>
      <c r="BK62" s="124"/>
      <c r="BL62" s="125"/>
      <c r="BM62" s="56"/>
      <c r="BN62" s="56"/>
    </row>
    <row r="63" spans="1:66" ht="24" customHeight="1" x14ac:dyDescent="0.45">
      <c r="A63" s="55"/>
      <c r="B63" s="55"/>
      <c r="C63" s="72">
        <f t="shared" si="2"/>
        <v>54</v>
      </c>
      <c r="D63" s="59"/>
      <c r="E63" s="131"/>
      <c r="F63" s="131"/>
      <c r="G63" s="61"/>
      <c r="H63" s="131"/>
      <c r="I63" s="131"/>
      <c r="J63" s="131"/>
      <c r="K63" s="131"/>
      <c r="L63" s="246" t="s">
        <v>81</v>
      </c>
      <c r="M63" s="247"/>
      <c r="N63" s="247"/>
      <c r="O63" s="248"/>
      <c r="P63" s="292" t="s">
        <v>54</v>
      </c>
      <c r="Q63" s="292"/>
      <c r="R63" s="292"/>
      <c r="S63" s="292"/>
      <c r="T63" s="292"/>
      <c r="U63" s="292"/>
      <c r="V63" s="292"/>
      <c r="W63" s="293"/>
      <c r="X63" s="237" t="s">
        <v>55</v>
      </c>
      <c r="Y63" s="237"/>
      <c r="Z63" s="237"/>
      <c r="AA63" s="237"/>
      <c r="AB63" s="237"/>
      <c r="AC63" s="237"/>
      <c r="AD63" s="237"/>
      <c r="AE63" s="238"/>
      <c r="AF63" s="119"/>
      <c r="AG63" s="120"/>
      <c r="AH63" s="120"/>
      <c r="AI63" s="120"/>
      <c r="AJ63" s="120"/>
      <c r="AK63" s="120"/>
      <c r="AL63" s="120"/>
      <c r="AM63" s="120"/>
      <c r="AN63" s="126"/>
      <c r="AO63" s="240">
        <v>45684</v>
      </c>
      <c r="AP63" s="241"/>
      <c r="AQ63" s="236" t="s">
        <v>156</v>
      </c>
      <c r="AR63" s="232"/>
      <c r="AS63" s="236" t="s">
        <v>157</v>
      </c>
      <c r="AT63" s="242"/>
      <c r="AU63" s="127"/>
      <c r="AV63" s="128"/>
      <c r="AW63" s="117"/>
      <c r="AX63" s="118"/>
      <c r="AY63" s="117"/>
      <c r="AZ63" s="122"/>
      <c r="BA63" s="123"/>
      <c r="BB63" s="124"/>
      <c r="BC63" s="124"/>
      <c r="BD63" s="124"/>
      <c r="BE63" s="124"/>
      <c r="BF63" s="124"/>
      <c r="BG63" s="124"/>
      <c r="BH63" s="124"/>
      <c r="BI63" s="124"/>
      <c r="BJ63" s="124"/>
      <c r="BK63" s="124"/>
      <c r="BL63" s="125"/>
      <c r="BM63" s="56"/>
      <c r="BN63" s="56"/>
    </row>
    <row r="64" spans="1:66" ht="24" customHeight="1" x14ac:dyDescent="0.45">
      <c r="A64" s="55"/>
      <c r="B64" s="55"/>
      <c r="C64" s="72">
        <f t="shared" si="2"/>
        <v>55</v>
      </c>
      <c r="D64" s="59"/>
      <c r="E64" s="131"/>
      <c r="F64" s="131"/>
      <c r="G64" s="61"/>
      <c r="H64" s="131"/>
      <c r="I64" s="131"/>
      <c r="J64" s="131"/>
      <c r="K64" s="131"/>
      <c r="L64" s="246" t="s">
        <v>89</v>
      </c>
      <c r="M64" s="247"/>
      <c r="N64" s="247"/>
      <c r="O64" s="248"/>
      <c r="P64" s="237" t="s">
        <v>54</v>
      </c>
      <c r="Q64" s="237"/>
      <c r="R64" s="237"/>
      <c r="S64" s="237"/>
      <c r="T64" s="237"/>
      <c r="U64" s="237"/>
      <c r="V64" s="237"/>
      <c r="W64" s="238"/>
      <c r="X64" s="237" t="s">
        <v>55</v>
      </c>
      <c r="Y64" s="237"/>
      <c r="Z64" s="237"/>
      <c r="AA64" s="237"/>
      <c r="AB64" s="237"/>
      <c r="AC64" s="237"/>
      <c r="AD64" s="237"/>
      <c r="AE64" s="238"/>
      <c r="AF64" s="119"/>
      <c r="AG64" s="120"/>
      <c r="AH64" s="120"/>
      <c r="AI64" s="120"/>
      <c r="AJ64" s="120"/>
      <c r="AK64" s="120"/>
      <c r="AL64" s="120"/>
      <c r="AM64" s="120"/>
      <c r="AN64" s="126"/>
      <c r="AO64" s="240">
        <v>45684</v>
      </c>
      <c r="AP64" s="241"/>
      <c r="AQ64" s="236" t="s">
        <v>156</v>
      </c>
      <c r="AR64" s="232"/>
      <c r="AS64" s="236" t="s">
        <v>157</v>
      </c>
      <c r="AT64" s="242"/>
      <c r="AU64" s="127"/>
      <c r="AV64" s="128"/>
      <c r="AW64" s="117"/>
      <c r="AX64" s="118"/>
      <c r="AY64" s="117"/>
      <c r="AZ64" s="122"/>
      <c r="BA64" s="123"/>
      <c r="BB64" s="124"/>
      <c r="BC64" s="124"/>
      <c r="BD64" s="124"/>
      <c r="BE64" s="124"/>
      <c r="BF64" s="124"/>
      <c r="BG64" s="124"/>
      <c r="BH64" s="124"/>
      <c r="BI64" s="124"/>
      <c r="BJ64" s="124"/>
      <c r="BK64" s="124"/>
      <c r="BL64" s="125"/>
      <c r="BM64" s="56"/>
      <c r="BN64" s="56"/>
    </row>
    <row r="65" spans="1:66" ht="24" customHeight="1" x14ac:dyDescent="0.45">
      <c r="A65" s="55"/>
      <c r="B65" s="55"/>
      <c r="C65" s="72">
        <f t="shared" si="2"/>
        <v>56</v>
      </c>
      <c r="D65" s="59"/>
      <c r="E65" s="131"/>
      <c r="F65" s="131"/>
      <c r="G65" s="61"/>
      <c r="H65" s="131"/>
      <c r="I65" s="131"/>
      <c r="J65" s="131"/>
      <c r="K65" s="131"/>
      <c r="L65" s="239" t="s">
        <v>124</v>
      </c>
      <c r="M65" s="237"/>
      <c r="N65" s="237"/>
      <c r="O65" s="238"/>
      <c r="P65" s="237" t="s">
        <v>54</v>
      </c>
      <c r="Q65" s="237"/>
      <c r="R65" s="237"/>
      <c r="S65" s="237"/>
      <c r="T65" s="237"/>
      <c r="U65" s="237"/>
      <c r="V65" s="237"/>
      <c r="W65" s="238"/>
      <c r="X65" s="237" t="s">
        <v>55</v>
      </c>
      <c r="Y65" s="237"/>
      <c r="Z65" s="237"/>
      <c r="AA65" s="237"/>
      <c r="AB65" s="237"/>
      <c r="AC65" s="237"/>
      <c r="AD65" s="237"/>
      <c r="AE65" s="238"/>
      <c r="AF65" s="119"/>
      <c r="AG65" s="120"/>
      <c r="AH65" s="120"/>
      <c r="AI65" s="120"/>
      <c r="AJ65" s="120"/>
      <c r="AK65" s="120"/>
      <c r="AL65" s="120"/>
      <c r="AM65" s="120"/>
      <c r="AN65" s="126"/>
      <c r="AO65" s="240">
        <v>45684</v>
      </c>
      <c r="AP65" s="241"/>
      <c r="AQ65" s="236" t="s">
        <v>156</v>
      </c>
      <c r="AR65" s="232"/>
      <c r="AS65" s="236" t="s">
        <v>157</v>
      </c>
      <c r="AT65" s="242"/>
      <c r="AU65" s="127"/>
      <c r="AV65" s="128"/>
      <c r="AW65" s="117"/>
      <c r="AX65" s="118"/>
      <c r="AY65" s="117"/>
      <c r="AZ65" s="122"/>
      <c r="BA65" s="123"/>
      <c r="BB65" s="124"/>
      <c r="BC65" s="124"/>
      <c r="BD65" s="124"/>
      <c r="BE65" s="124"/>
      <c r="BF65" s="124"/>
      <c r="BG65" s="124"/>
      <c r="BH65" s="124"/>
      <c r="BI65" s="124"/>
      <c r="BJ65" s="124"/>
      <c r="BK65" s="124"/>
      <c r="BL65" s="125"/>
      <c r="BM65" s="56"/>
      <c r="BN65" s="56"/>
    </row>
    <row r="66" spans="1:66" ht="24" customHeight="1" x14ac:dyDescent="0.45">
      <c r="A66" s="55"/>
      <c r="B66" s="55"/>
      <c r="C66" s="72">
        <f t="shared" si="2"/>
        <v>57</v>
      </c>
      <c r="D66" s="59"/>
      <c r="E66" s="165"/>
      <c r="F66" s="165"/>
      <c r="G66" s="61"/>
      <c r="H66" s="165"/>
      <c r="I66" s="165"/>
      <c r="J66" s="165"/>
      <c r="K66" s="165"/>
      <c r="L66" s="239" t="s">
        <v>125</v>
      </c>
      <c r="M66" s="237"/>
      <c r="N66" s="237"/>
      <c r="O66" s="238"/>
      <c r="P66" s="237" t="s">
        <v>54</v>
      </c>
      <c r="Q66" s="237"/>
      <c r="R66" s="237"/>
      <c r="S66" s="237"/>
      <c r="T66" s="237"/>
      <c r="U66" s="237"/>
      <c r="V66" s="237"/>
      <c r="W66" s="238"/>
      <c r="X66" s="237" t="s">
        <v>55</v>
      </c>
      <c r="Y66" s="237"/>
      <c r="Z66" s="237"/>
      <c r="AA66" s="237"/>
      <c r="AB66" s="237"/>
      <c r="AC66" s="237"/>
      <c r="AD66" s="237"/>
      <c r="AE66" s="238"/>
      <c r="AF66" s="149"/>
      <c r="AG66" s="150"/>
      <c r="AH66" s="150"/>
      <c r="AI66" s="150"/>
      <c r="AJ66" s="150"/>
      <c r="AK66" s="150"/>
      <c r="AL66" s="150"/>
      <c r="AM66" s="150"/>
      <c r="AN66" s="152"/>
      <c r="AO66" s="240">
        <v>45684</v>
      </c>
      <c r="AP66" s="241"/>
      <c r="AQ66" s="236" t="s">
        <v>156</v>
      </c>
      <c r="AR66" s="232"/>
      <c r="AS66" s="236" t="s">
        <v>157</v>
      </c>
      <c r="AT66" s="242"/>
      <c r="AU66" s="157"/>
      <c r="AV66" s="158"/>
      <c r="AW66" s="147"/>
      <c r="AX66" s="148"/>
      <c r="AY66" s="147"/>
      <c r="AZ66" s="159"/>
      <c r="BA66" s="154"/>
      <c r="BB66" s="155"/>
      <c r="BC66" s="155"/>
      <c r="BD66" s="155"/>
      <c r="BE66" s="155"/>
      <c r="BF66" s="155"/>
      <c r="BG66" s="155"/>
      <c r="BH66" s="155"/>
      <c r="BI66" s="155"/>
      <c r="BJ66" s="155"/>
      <c r="BK66" s="155"/>
      <c r="BL66" s="156"/>
      <c r="BM66" s="56"/>
      <c r="BN66" s="56"/>
    </row>
    <row r="67" spans="1:66" ht="24" customHeight="1" thickBot="1" x14ac:dyDescent="0.5">
      <c r="A67" s="55"/>
      <c r="B67" s="55"/>
      <c r="C67" s="72">
        <f t="shared" si="2"/>
        <v>58</v>
      </c>
      <c r="D67" s="59"/>
      <c r="E67" s="165"/>
      <c r="F67" s="165"/>
      <c r="G67" s="61"/>
      <c r="H67" s="165"/>
      <c r="I67" s="165"/>
      <c r="J67" s="165"/>
      <c r="K67" s="165"/>
      <c r="L67" s="239" t="s">
        <v>126</v>
      </c>
      <c r="M67" s="237"/>
      <c r="N67" s="237"/>
      <c r="O67" s="238"/>
      <c r="P67" s="237" t="s">
        <v>54</v>
      </c>
      <c r="Q67" s="237"/>
      <c r="R67" s="237"/>
      <c r="S67" s="237"/>
      <c r="T67" s="237"/>
      <c r="U67" s="237"/>
      <c r="V67" s="237"/>
      <c r="W67" s="238"/>
      <c r="X67" s="237" t="s">
        <v>55</v>
      </c>
      <c r="Y67" s="237"/>
      <c r="Z67" s="237"/>
      <c r="AA67" s="237"/>
      <c r="AB67" s="237"/>
      <c r="AC67" s="237"/>
      <c r="AD67" s="237"/>
      <c r="AE67" s="238"/>
      <c r="AF67" s="149"/>
      <c r="AG67" s="150"/>
      <c r="AH67" s="150"/>
      <c r="AI67" s="150"/>
      <c r="AJ67" s="150"/>
      <c r="AK67" s="150"/>
      <c r="AL67" s="150"/>
      <c r="AM67" s="150"/>
      <c r="AN67" s="152"/>
      <c r="AO67" s="240">
        <v>45684</v>
      </c>
      <c r="AP67" s="241"/>
      <c r="AQ67" s="236" t="s">
        <v>156</v>
      </c>
      <c r="AR67" s="232"/>
      <c r="AS67" s="236" t="s">
        <v>157</v>
      </c>
      <c r="AT67" s="242"/>
      <c r="AU67" s="157"/>
      <c r="AV67" s="158"/>
      <c r="AW67" s="147"/>
      <c r="AX67" s="148"/>
      <c r="AY67" s="147"/>
      <c r="AZ67" s="159"/>
      <c r="BA67" s="154"/>
      <c r="BB67" s="155"/>
      <c r="BC67" s="155"/>
      <c r="BD67" s="155"/>
      <c r="BE67" s="155"/>
      <c r="BF67" s="155"/>
      <c r="BG67" s="155"/>
      <c r="BH67" s="155"/>
      <c r="BI67" s="155"/>
      <c r="BJ67" s="155"/>
      <c r="BK67" s="155"/>
      <c r="BL67" s="156"/>
      <c r="BM67" s="56"/>
      <c r="BN67" s="56"/>
    </row>
    <row r="68" spans="1:66" ht="20.100000000000001" customHeight="1" thickTop="1" thickBot="1" x14ac:dyDescent="0.5">
      <c r="A68" s="55"/>
      <c r="B68" s="8"/>
      <c r="C68" s="12"/>
      <c r="D68" s="12"/>
      <c r="E68" s="12"/>
      <c r="F68" s="12"/>
      <c r="G68" s="12"/>
      <c r="H68" s="12"/>
      <c r="I68" s="12"/>
      <c r="J68" s="12"/>
      <c r="K68" s="12"/>
      <c r="L68" s="12"/>
      <c r="M68" s="12"/>
      <c r="N68" s="12"/>
      <c r="O68" s="12"/>
      <c r="P68" s="18"/>
      <c r="Q68" s="18"/>
      <c r="R68" s="18"/>
      <c r="S68" s="18"/>
      <c r="T68" s="18"/>
      <c r="U68" s="18"/>
      <c r="V68" s="18"/>
      <c r="W68" s="18"/>
      <c r="X68" s="18"/>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8"/>
      <c r="BN68" s="56"/>
    </row>
    <row r="69" spans="1:66" ht="5.0999999999999996" customHeight="1" thickTop="1" x14ac:dyDescent="0.45">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row>
    <row r="70" spans="1:66" ht="20.100000000000001" customHeight="1" x14ac:dyDescent="0.45">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row>
  </sheetData>
  <mergeCells count="323">
    <mergeCell ref="P58:W59"/>
    <mergeCell ref="X58:AE58"/>
    <mergeCell ref="X59:AE59"/>
    <mergeCell ref="P60:W61"/>
    <mergeCell ref="X60:AE60"/>
    <mergeCell ref="X61:AE61"/>
    <mergeCell ref="L47:O51"/>
    <mergeCell ref="X47:AE47"/>
    <mergeCell ref="P48:W49"/>
    <mergeCell ref="X48:AE48"/>
    <mergeCell ref="X49:AE49"/>
    <mergeCell ref="P50:W51"/>
    <mergeCell ref="L52:O56"/>
    <mergeCell ref="P53:W54"/>
    <mergeCell ref="X54:AE54"/>
    <mergeCell ref="P55:W56"/>
    <mergeCell ref="X55:AE55"/>
    <mergeCell ref="X56:AE56"/>
    <mergeCell ref="D10:G10"/>
    <mergeCell ref="H10:K10"/>
    <mergeCell ref="X22:AE22"/>
    <mergeCell ref="X23:AE23"/>
    <mergeCell ref="X24:AE24"/>
    <mergeCell ref="X25:AE25"/>
    <mergeCell ref="X26:AE26"/>
    <mergeCell ref="X27:AE27"/>
    <mergeCell ref="X28:AE28"/>
    <mergeCell ref="P10:W10"/>
    <mergeCell ref="P11:W11"/>
    <mergeCell ref="P12:W12"/>
    <mergeCell ref="P14:W14"/>
    <mergeCell ref="P15:W15"/>
    <mergeCell ref="P16:W16"/>
    <mergeCell ref="P17:W17"/>
    <mergeCell ref="X14:AE14"/>
    <mergeCell ref="X15:AE15"/>
    <mergeCell ref="X16:AE16"/>
    <mergeCell ref="X17:AE17"/>
    <mergeCell ref="X10:AE10"/>
    <mergeCell ref="X11:AE11"/>
    <mergeCell ref="X12:AE12"/>
    <mergeCell ref="P63:W63"/>
    <mergeCell ref="L42:O46"/>
    <mergeCell ref="L32:O36"/>
    <mergeCell ref="X21:AE21"/>
    <mergeCell ref="X20:AE20"/>
    <mergeCell ref="X53:AE53"/>
    <mergeCell ref="X52:AE52"/>
    <mergeCell ref="X51:AE51"/>
    <mergeCell ref="P31:W31"/>
    <mergeCell ref="X31:AE31"/>
    <mergeCell ref="P33:W34"/>
    <mergeCell ref="P35:W36"/>
    <mergeCell ref="X63:AE63"/>
    <mergeCell ref="X34:AE34"/>
    <mergeCell ref="X35:AE35"/>
    <mergeCell ref="X36:AE36"/>
    <mergeCell ref="X32:AE32"/>
    <mergeCell ref="X33:AE33"/>
    <mergeCell ref="P29:W29"/>
    <mergeCell ref="X29:AE29"/>
    <mergeCell ref="X30:AE30"/>
    <mergeCell ref="P28:W28"/>
    <mergeCell ref="L57:O61"/>
    <mergeCell ref="X57:AE57"/>
    <mergeCell ref="L66:O66"/>
    <mergeCell ref="L67:O67"/>
    <mergeCell ref="P66:W66"/>
    <mergeCell ref="P67:W67"/>
    <mergeCell ref="X66:AE66"/>
    <mergeCell ref="X67:AE67"/>
    <mergeCell ref="X45:AE45"/>
    <mergeCell ref="X46:AE46"/>
    <mergeCell ref="X42:AE42"/>
    <mergeCell ref="X43:AE43"/>
    <mergeCell ref="X44:AE44"/>
    <mergeCell ref="X50:AE50"/>
    <mergeCell ref="P64:W64"/>
    <mergeCell ref="X64:AE64"/>
    <mergeCell ref="L62:O62"/>
    <mergeCell ref="P62:W62"/>
    <mergeCell ref="X62:AE62"/>
    <mergeCell ref="L64:O64"/>
    <mergeCell ref="L65:O65"/>
    <mergeCell ref="X65:AE65"/>
    <mergeCell ref="P65:W65"/>
    <mergeCell ref="P43:W44"/>
    <mergeCell ref="P45:W46"/>
    <mergeCell ref="L63:O63"/>
    <mergeCell ref="P30:W30"/>
    <mergeCell ref="P20:W20"/>
    <mergeCell ref="P21:W21"/>
    <mergeCell ref="P22:W22"/>
    <mergeCell ref="P23:W23"/>
    <mergeCell ref="P24:W24"/>
    <mergeCell ref="P25:W25"/>
    <mergeCell ref="P26:W26"/>
    <mergeCell ref="P27:W27"/>
    <mergeCell ref="AY9:AZ9"/>
    <mergeCell ref="BA9:BL9"/>
    <mergeCell ref="BJ3:BM4"/>
    <mergeCell ref="BE7:BF8"/>
    <mergeCell ref="BG7:BH7"/>
    <mergeCell ref="BI7:BJ7"/>
    <mergeCell ref="BK7:BL7"/>
    <mergeCell ref="AX2:BA2"/>
    <mergeCell ref="BB2:BE2"/>
    <mergeCell ref="BF2:BI2"/>
    <mergeCell ref="BJ2:BM2"/>
    <mergeCell ref="AU8:AZ8"/>
    <mergeCell ref="BG8:BH8"/>
    <mergeCell ref="BI8:BJ8"/>
    <mergeCell ref="BK8:BL8"/>
    <mergeCell ref="B2:G2"/>
    <mergeCell ref="H2:K2"/>
    <mergeCell ref="L2:Q2"/>
    <mergeCell ref="R2:W2"/>
    <mergeCell ref="X2:AJ2"/>
    <mergeCell ref="AK2:AW2"/>
    <mergeCell ref="AX3:BA4"/>
    <mergeCell ref="BB3:BE4"/>
    <mergeCell ref="BF3:BI4"/>
    <mergeCell ref="H32:K32"/>
    <mergeCell ref="P13:W13"/>
    <mergeCell ref="X13:AE13"/>
    <mergeCell ref="B3:G4"/>
    <mergeCell ref="H3:K4"/>
    <mergeCell ref="L3:Q4"/>
    <mergeCell ref="R3:W4"/>
    <mergeCell ref="X3:AJ4"/>
    <mergeCell ref="AK3:AW4"/>
    <mergeCell ref="AO9:AP9"/>
    <mergeCell ref="AQ9:AR9"/>
    <mergeCell ref="AS9:AT9"/>
    <mergeCell ref="AU9:AV9"/>
    <mergeCell ref="AW9:AX9"/>
    <mergeCell ref="AO8:AT8"/>
    <mergeCell ref="AO10:AP10"/>
    <mergeCell ref="AQ10:AR10"/>
    <mergeCell ref="AS10:AT10"/>
    <mergeCell ref="AO11:AP11"/>
    <mergeCell ref="AQ11:AR11"/>
    <mergeCell ref="AS11:AT11"/>
    <mergeCell ref="AO12:AP12"/>
    <mergeCell ref="AQ12:AR12"/>
    <mergeCell ref="AS12:AT12"/>
    <mergeCell ref="AO16:AP16"/>
    <mergeCell ref="AQ16:AR16"/>
    <mergeCell ref="AS16:AT16"/>
    <mergeCell ref="AO17:AP17"/>
    <mergeCell ref="AQ17:AR17"/>
    <mergeCell ref="AS17:AT17"/>
    <mergeCell ref="AO13:AP13"/>
    <mergeCell ref="AQ13:AR13"/>
    <mergeCell ref="AS13:AT13"/>
    <mergeCell ref="AO14:AP14"/>
    <mergeCell ref="AQ14:AR14"/>
    <mergeCell ref="AS14:AT14"/>
    <mergeCell ref="AO15:AP15"/>
    <mergeCell ref="AQ15:AR15"/>
    <mergeCell ref="AS15:AT15"/>
    <mergeCell ref="AO19:AP19"/>
    <mergeCell ref="AQ19:AR19"/>
    <mergeCell ref="AS19:AT19"/>
    <mergeCell ref="AO20:AP20"/>
    <mergeCell ref="AQ20:AR20"/>
    <mergeCell ref="AS20:AT20"/>
    <mergeCell ref="AO21:AP21"/>
    <mergeCell ref="AQ21:AR21"/>
    <mergeCell ref="AS21:AT21"/>
    <mergeCell ref="AO22:AP22"/>
    <mergeCell ref="AQ22:AR22"/>
    <mergeCell ref="AS22:AT22"/>
    <mergeCell ref="AO23:AP23"/>
    <mergeCell ref="AQ23:AR23"/>
    <mergeCell ref="AS23:AT23"/>
    <mergeCell ref="AO24:AP24"/>
    <mergeCell ref="AQ24:AR24"/>
    <mergeCell ref="AS24:AT24"/>
    <mergeCell ref="AO25:AP25"/>
    <mergeCell ref="AQ25:AR25"/>
    <mergeCell ref="AS25:AT25"/>
    <mergeCell ref="AO26:AP26"/>
    <mergeCell ref="AQ26:AR26"/>
    <mergeCell ref="AS26:AT26"/>
    <mergeCell ref="AO27:AP27"/>
    <mergeCell ref="AQ27:AR27"/>
    <mergeCell ref="AS27:AT27"/>
    <mergeCell ref="AO28:AP28"/>
    <mergeCell ref="AQ28:AR28"/>
    <mergeCell ref="AS28:AT28"/>
    <mergeCell ref="AO29:AP29"/>
    <mergeCell ref="AQ29:AR29"/>
    <mergeCell ref="AS29:AT29"/>
    <mergeCell ref="AO30:AP30"/>
    <mergeCell ref="AQ30:AR30"/>
    <mergeCell ref="AS30:AT30"/>
    <mergeCell ref="AQ34:AR34"/>
    <mergeCell ref="AS34:AT34"/>
    <mergeCell ref="AO35:AP35"/>
    <mergeCell ref="AQ35:AR35"/>
    <mergeCell ref="AS35:AT35"/>
    <mergeCell ref="AO36:AP36"/>
    <mergeCell ref="AQ36:AR36"/>
    <mergeCell ref="AS36:AT36"/>
    <mergeCell ref="AO31:AP31"/>
    <mergeCell ref="AQ31:AR31"/>
    <mergeCell ref="AS31:AT31"/>
    <mergeCell ref="AO32:AP32"/>
    <mergeCell ref="AQ32:AR32"/>
    <mergeCell ref="AS32:AT32"/>
    <mergeCell ref="AO33:AP33"/>
    <mergeCell ref="AQ33:AR33"/>
    <mergeCell ref="AS33:AT33"/>
    <mergeCell ref="L37:O41"/>
    <mergeCell ref="X37:AE37"/>
    <mergeCell ref="P38:W39"/>
    <mergeCell ref="X38:AE38"/>
    <mergeCell ref="X39:AE39"/>
    <mergeCell ref="P40:W41"/>
    <mergeCell ref="X40:AE40"/>
    <mergeCell ref="X41:AE41"/>
    <mergeCell ref="AO34:AP34"/>
    <mergeCell ref="AO37:AP37"/>
    <mergeCell ref="AO41:AP41"/>
    <mergeCell ref="AQ37:AR37"/>
    <mergeCell ref="AS37:AT37"/>
    <mergeCell ref="AO38:AP38"/>
    <mergeCell ref="AQ38:AR38"/>
    <mergeCell ref="AS38:AT38"/>
    <mergeCell ref="AO39:AP39"/>
    <mergeCell ref="AQ39:AR39"/>
    <mergeCell ref="AS39:AT39"/>
    <mergeCell ref="AO40:AP40"/>
    <mergeCell ref="AQ40:AR40"/>
    <mergeCell ref="AS40:AT40"/>
    <mergeCell ref="AQ41:AR41"/>
    <mergeCell ref="AS41:AT41"/>
    <mergeCell ref="AO42:AP42"/>
    <mergeCell ref="AQ42:AR42"/>
    <mergeCell ref="AS42:AT42"/>
    <mergeCell ref="AO43:AP43"/>
    <mergeCell ref="AQ43:AR43"/>
    <mergeCell ref="AS43:AT43"/>
    <mergeCell ref="AO44:AP44"/>
    <mergeCell ref="AQ44:AR44"/>
    <mergeCell ref="AS44:AT44"/>
    <mergeCell ref="AO45:AP45"/>
    <mergeCell ref="AQ45:AR45"/>
    <mergeCell ref="AS45:AT45"/>
    <mergeCell ref="AO46:AP46"/>
    <mergeCell ref="AQ46:AR46"/>
    <mergeCell ref="AS46:AT46"/>
    <mergeCell ref="AO47:AP47"/>
    <mergeCell ref="AQ47:AR47"/>
    <mergeCell ref="AS47:AT47"/>
    <mergeCell ref="AO48:AP48"/>
    <mergeCell ref="AQ48:AR48"/>
    <mergeCell ref="AS48:AT48"/>
    <mergeCell ref="AO49:AP49"/>
    <mergeCell ref="AQ49:AR49"/>
    <mergeCell ref="AS49:AT49"/>
    <mergeCell ref="AO50:AP50"/>
    <mergeCell ref="AQ50:AR50"/>
    <mergeCell ref="AS50:AT50"/>
    <mergeCell ref="AO51:AP51"/>
    <mergeCell ref="AQ51:AR51"/>
    <mergeCell ref="AS51:AT51"/>
    <mergeCell ref="AO52:AP52"/>
    <mergeCell ref="AQ52:AR52"/>
    <mergeCell ref="AS52:AT52"/>
    <mergeCell ref="AO53:AP53"/>
    <mergeCell ref="AQ53:AR53"/>
    <mergeCell ref="AS53:AT53"/>
    <mergeCell ref="AO54:AP54"/>
    <mergeCell ref="AQ54:AR54"/>
    <mergeCell ref="AS54:AT54"/>
    <mergeCell ref="AO55:AP55"/>
    <mergeCell ref="AQ55:AR55"/>
    <mergeCell ref="AS55:AT55"/>
    <mergeCell ref="AO56:AP56"/>
    <mergeCell ref="AQ56:AR56"/>
    <mergeCell ref="AS56:AT56"/>
    <mergeCell ref="AO57:AP57"/>
    <mergeCell ref="AQ57:AR57"/>
    <mergeCell ref="AS57:AT57"/>
    <mergeCell ref="AS62:AT62"/>
    <mergeCell ref="AO63:AP63"/>
    <mergeCell ref="AQ63:AR63"/>
    <mergeCell ref="AS63:AT63"/>
    <mergeCell ref="AO58:AP58"/>
    <mergeCell ref="AQ58:AR58"/>
    <mergeCell ref="AS58:AT58"/>
    <mergeCell ref="AO59:AP59"/>
    <mergeCell ref="AQ59:AR59"/>
    <mergeCell ref="AS59:AT59"/>
    <mergeCell ref="AO60:AP60"/>
    <mergeCell ref="AQ60:AR60"/>
    <mergeCell ref="AS60:AT60"/>
    <mergeCell ref="AO67:AP67"/>
    <mergeCell ref="AQ67:AR67"/>
    <mergeCell ref="AS67:AT67"/>
    <mergeCell ref="X19:AE19"/>
    <mergeCell ref="P19:W19"/>
    <mergeCell ref="AS18:AT18"/>
    <mergeCell ref="AQ18:AR18"/>
    <mergeCell ref="AO18:AP18"/>
    <mergeCell ref="X18:AE18"/>
    <mergeCell ref="P18:W18"/>
    <mergeCell ref="AO64:AP64"/>
    <mergeCell ref="AQ64:AR64"/>
    <mergeCell ref="AS64:AT64"/>
    <mergeCell ref="AO65:AP65"/>
    <mergeCell ref="AQ65:AR65"/>
    <mergeCell ref="AS65:AT65"/>
    <mergeCell ref="AO66:AP66"/>
    <mergeCell ref="AQ66:AR66"/>
    <mergeCell ref="AS66:AT66"/>
    <mergeCell ref="AO61:AP61"/>
    <mergeCell ref="AQ61:AR61"/>
    <mergeCell ref="AS61:AT61"/>
    <mergeCell ref="AO62:AP62"/>
    <mergeCell ref="AQ62:AR62"/>
  </mergeCells>
  <phoneticPr fontId="2"/>
  <conditionalFormatting sqref="AS10 AY10:AY36 AY62:AY67 AY42:AY46">
    <cfRule type="cellIs" dxfId="221" priority="125" operator="equal">
      <formula>"OK"</formula>
    </cfRule>
    <cfRule type="cellIs" dxfId="220" priority="126" operator="equal">
      <formula>"NG"</formula>
    </cfRule>
  </conditionalFormatting>
  <conditionalFormatting sqref="AY47:AY51">
    <cfRule type="cellIs" dxfId="219" priority="123" operator="equal">
      <formula>"OK"</formula>
    </cfRule>
    <cfRule type="cellIs" dxfId="218" priority="124" operator="equal">
      <formula>"NG"</formula>
    </cfRule>
  </conditionalFormatting>
  <conditionalFormatting sqref="AY52:AY56">
    <cfRule type="cellIs" dxfId="217" priority="121" operator="equal">
      <formula>"OK"</formula>
    </cfRule>
    <cfRule type="cellIs" dxfId="216" priority="122" operator="equal">
      <formula>"NG"</formula>
    </cfRule>
  </conditionalFormatting>
  <conditionalFormatting sqref="AY57:AY61">
    <cfRule type="cellIs" dxfId="215" priority="119" operator="equal">
      <formula>"OK"</formula>
    </cfRule>
    <cfRule type="cellIs" dxfId="214" priority="120" operator="equal">
      <formula>"NG"</formula>
    </cfRule>
  </conditionalFormatting>
  <conditionalFormatting sqref="AS11">
    <cfRule type="cellIs" dxfId="213" priority="117" operator="equal">
      <formula>"OK"</formula>
    </cfRule>
    <cfRule type="cellIs" dxfId="212" priority="118" operator="equal">
      <formula>"NG"</formula>
    </cfRule>
  </conditionalFormatting>
  <conditionalFormatting sqref="AS12">
    <cfRule type="cellIs" dxfId="211" priority="115" operator="equal">
      <formula>"OK"</formula>
    </cfRule>
    <cfRule type="cellIs" dxfId="210" priority="116" operator="equal">
      <formula>"NG"</formula>
    </cfRule>
  </conditionalFormatting>
  <conditionalFormatting sqref="AS13">
    <cfRule type="cellIs" dxfId="209" priority="113" operator="equal">
      <formula>"OK"</formula>
    </cfRule>
    <cfRule type="cellIs" dxfId="208" priority="114" operator="equal">
      <formula>"NG"</formula>
    </cfRule>
  </conditionalFormatting>
  <conditionalFormatting sqref="AS14">
    <cfRule type="cellIs" dxfId="207" priority="111" operator="equal">
      <formula>"OK"</formula>
    </cfRule>
    <cfRule type="cellIs" dxfId="206" priority="112" operator="equal">
      <formula>"NG"</formula>
    </cfRule>
  </conditionalFormatting>
  <conditionalFormatting sqref="AS15">
    <cfRule type="cellIs" dxfId="205" priority="109" operator="equal">
      <formula>"OK"</formula>
    </cfRule>
    <cfRule type="cellIs" dxfId="204" priority="110" operator="equal">
      <formula>"NG"</formula>
    </cfRule>
  </conditionalFormatting>
  <conditionalFormatting sqref="AS16">
    <cfRule type="cellIs" dxfId="203" priority="107" operator="equal">
      <formula>"OK"</formula>
    </cfRule>
    <cfRule type="cellIs" dxfId="202" priority="108" operator="equal">
      <formula>"NG"</formula>
    </cfRule>
  </conditionalFormatting>
  <conditionalFormatting sqref="AS17">
    <cfRule type="cellIs" dxfId="201" priority="105" operator="equal">
      <formula>"OK"</formula>
    </cfRule>
    <cfRule type="cellIs" dxfId="200" priority="106" operator="equal">
      <formula>"NG"</formula>
    </cfRule>
  </conditionalFormatting>
  <conditionalFormatting sqref="AS18">
    <cfRule type="cellIs" dxfId="199" priority="103" operator="equal">
      <formula>"OK"</formula>
    </cfRule>
    <cfRule type="cellIs" dxfId="198" priority="104" operator="equal">
      <formula>"NG"</formula>
    </cfRule>
  </conditionalFormatting>
  <conditionalFormatting sqref="AS19">
    <cfRule type="cellIs" dxfId="197" priority="101" operator="equal">
      <formula>"OK"</formula>
    </cfRule>
    <cfRule type="cellIs" dxfId="196" priority="102" operator="equal">
      <formula>"NG"</formula>
    </cfRule>
  </conditionalFormatting>
  <conditionalFormatting sqref="AS20">
    <cfRule type="cellIs" dxfId="195" priority="99" operator="equal">
      <formula>"OK"</formula>
    </cfRule>
    <cfRule type="cellIs" dxfId="194" priority="100" operator="equal">
      <formula>"NG"</formula>
    </cfRule>
  </conditionalFormatting>
  <conditionalFormatting sqref="AS21">
    <cfRule type="cellIs" dxfId="193" priority="97" operator="equal">
      <formula>"OK"</formula>
    </cfRule>
    <cfRule type="cellIs" dxfId="192" priority="98" operator="equal">
      <formula>"NG"</formula>
    </cfRule>
  </conditionalFormatting>
  <conditionalFormatting sqref="AS22">
    <cfRule type="cellIs" dxfId="191" priority="95" operator="equal">
      <formula>"OK"</formula>
    </cfRule>
    <cfRule type="cellIs" dxfId="190" priority="96" operator="equal">
      <formula>"NG"</formula>
    </cfRule>
  </conditionalFormatting>
  <conditionalFormatting sqref="AS23">
    <cfRule type="cellIs" dxfId="189" priority="93" operator="equal">
      <formula>"OK"</formula>
    </cfRule>
    <cfRule type="cellIs" dxfId="188" priority="94" operator="equal">
      <formula>"NG"</formula>
    </cfRule>
  </conditionalFormatting>
  <conditionalFormatting sqref="AS24">
    <cfRule type="cellIs" dxfId="187" priority="91" operator="equal">
      <formula>"OK"</formula>
    </cfRule>
    <cfRule type="cellIs" dxfId="186" priority="92" operator="equal">
      <formula>"NG"</formula>
    </cfRule>
  </conditionalFormatting>
  <conditionalFormatting sqref="AS25">
    <cfRule type="cellIs" dxfId="185" priority="89" operator="equal">
      <formula>"OK"</formula>
    </cfRule>
    <cfRule type="cellIs" dxfId="184" priority="90" operator="equal">
      <formula>"NG"</formula>
    </cfRule>
  </conditionalFormatting>
  <conditionalFormatting sqref="AS26">
    <cfRule type="cellIs" dxfId="183" priority="87" operator="equal">
      <formula>"OK"</formula>
    </cfRule>
    <cfRule type="cellIs" dxfId="182" priority="88" operator="equal">
      <formula>"NG"</formula>
    </cfRule>
  </conditionalFormatting>
  <conditionalFormatting sqref="AS27">
    <cfRule type="cellIs" dxfId="181" priority="85" operator="equal">
      <formula>"OK"</formula>
    </cfRule>
    <cfRule type="cellIs" dxfId="180" priority="86" operator="equal">
      <formula>"NG"</formula>
    </cfRule>
  </conditionalFormatting>
  <conditionalFormatting sqref="AS28">
    <cfRule type="cellIs" dxfId="179" priority="83" operator="equal">
      <formula>"OK"</formula>
    </cfRule>
    <cfRule type="cellIs" dxfId="178" priority="84" operator="equal">
      <formula>"NG"</formula>
    </cfRule>
  </conditionalFormatting>
  <conditionalFormatting sqref="AS29">
    <cfRule type="cellIs" dxfId="177" priority="81" operator="equal">
      <formula>"OK"</formula>
    </cfRule>
    <cfRule type="cellIs" dxfId="176" priority="82" operator="equal">
      <formula>"NG"</formula>
    </cfRule>
  </conditionalFormatting>
  <conditionalFormatting sqref="AS30">
    <cfRule type="cellIs" dxfId="175" priority="79" operator="equal">
      <formula>"OK"</formula>
    </cfRule>
    <cfRule type="cellIs" dxfId="174" priority="80" operator="equal">
      <formula>"NG"</formula>
    </cfRule>
  </conditionalFormatting>
  <conditionalFormatting sqref="AS31">
    <cfRule type="cellIs" dxfId="173" priority="77" operator="equal">
      <formula>"OK"</formula>
    </cfRule>
    <cfRule type="cellIs" dxfId="172" priority="78" operator="equal">
      <formula>"NG"</formula>
    </cfRule>
  </conditionalFormatting>
  <conditionalFormatting sqref="AS32">
    <cfRule type="cellIs" dxfId="171" priority="75" operator="equal">
      <formula>"OK"</formula>
    </cfRule>
    <cfRule type="cellIs" dxfId="170" priority="76" operator="equal">
      <formula>"NG"</formula>
    </cfRule>
  </conditionalFormatting>
  <conditionalFormatting sqref="AS33">
    <cfRule type="cellIs" dxfId="169" priority="73" operator="equal">
      <formula>"OK"</formula>
    </cfRule>
    <cfRule type="cellIs" dxfId="168" priority="74" operator="equal">
      <formula>"NG"</formula>
    </cfRule>
  </conditionalFormatting>
  <conditionalFormatting sqref="AS34">
    <cfRule type="cellIs" dxfId="167" priority="71" operator="equal">
      <formula>"OK"</formula>
    </cfRule>
    <cfRule type="cellIs" dxfId="166" priority="72" operator="equal">
      <formula>"NG"</formula>
    </cfRule>
  </conditionalFormatting>
  <conditionalFormatting sqref="AS35">
    <cfRule type="cellIs" dxfId="165" priority="69" operator="equal">
      <formula>"OK"</formula>
    </cfRule>
    <cfRule type="cellIs" dxfId="164" priority="70" operator="equal">
      <formula>"NG"</formula>
    </cfRule>
  </conditionalFormatting>
  <conditionalFormatting sqref="AS36">
    <cfRule type="cellIs" dxfId="163" priority="67" operator="equal">
      <formula>"OK"</formula>
    </cfRule>
    <cfRule type="cellIs" dxfId="162" priority="68" operator="equal">
      <formula>"NG"</formula>
    </cfRule>
  </conditionalFormatting>
  <conditionalFormatting sqref="AY37:AY41">
    <cfRule type="cellIs" dxfId="161" priority="65" operator="equal">
      <formula>"OK"</formula>
    </cfRule>
    <cfRule type="cellIs" dxfId="160" priority="66" operator="equal">
      <formula>"NG"</formula>
    </cfRule>
  </conditionalFormatting>
  <conditionalFormatting sqref="AS37">
    <cfRule type="cellIs" dxfId="159" priority="61" operator="equal">
      <formula>"OK"</formula>
    </cfRule>
    <cfRule type="cellIs" dxfId="158" priority="62" operator="equal">
      <formula>"NG"</formula>
    </cfRule>
  </conditionalFormatting>
  <conditionalFormatting sqref="AS38">
    <cfRule type="cellIs" dxfId="157" priority="59" operator="equal">
      <formula>"OK"</formula>
    </cfRule>
    <cfRule type="cellIs" dxfId="156" priority="60" operator="equal">
      <formula>"NG"</formula>
    </cfRule>
  </conditionalFormatting>
  <conditionalFormatting sqref="AS39">
    <cfRule type="cellIs" dxfId="155" priority="57" operator="equal">
      <formula>"OK"</formula>
    </cfRule>
    <cfRule type="cellIs" dxfId="154" priority="58" operator="equal">
      <formula>"NG"</formula>
    </cfRule>
  </conditionalFormatting>
  <conditionalFormatting sqref="AS40">
    <cfRule type="cellIs" dxfId="153" priority="55" operator="equal">
      <formula>"OK"</formula>
    </cfRule>
    <cfRule type="cellIs" dxfId="152" priority="56" operator="equal">
      <formula>"NG"</formula>
    </cfRule>
  </conditionalFormatting>
  <conditionalFormatting sqref="AS41">
    <cfRule type="cellIs" dxfId="151" priority="53" operator="equal">
      <formula>"OK"</formula>
    </cfRule>
    <cfRule type="cellIs" dxfId="150" priority="54" operator="equal">
      <formula>"NG"</formula>
    </cfRule>
  </conditionalFormatting>
  <conditionalFormatting sqref="AS42">
    <cfRule type="cellIs" dxfId="149" priority="51" operator="equal">
      <formula>"OK"</formula>
    </cfRule>
    <cfRule type="cellIs" dxfId="148" priority="52" operator="equal">
      <formula>"NG"</formula>
    </cfRule>
  </conditionalFormatting>
  <conditionalFormatting sqref="AS43">
    <cfRule type="cellIs" dxfId="147" priority="49" operator="equal">
      <formula>"OK"</formula>
    </cfRule>
    <cfRule type="cellIs" dxfId="146" priority="50" operator="equal">
      <formula>"NG"</formula>
    </cfRule>
  </conditionalFormatting>
  <conditionalFormatting sqref="AS44">
    <cfRule type="cellIs" dxfId="145" priority="47" operator="equal">
      <formula>"OK"</formula>
    </cfRule>
    <cfRule type="cellIs" dxfId="144" priority="48" operator="equal">
      <formula>"NG"</formula>
    </cfRule>
  </conditionalFormatting>
  <conditionalFormatting sqref="AS45">
    <cfRule type="cellIs" dxfId="143" priority="45" operator="equal">
      <formula>"OK"</formula>
    </cfRule>
    <cfRule type="cellIs" dxfId="142" priority="46" operator="equal">
      <formula>"NG"</formula>
    </cfRule>
  </conditionalFormatting>
  <conditionalFormatting sqref="AS46">
    <cfRule type="cellIs" dxfId="141" priority="43" operator="equal">
      <formula>"OK"</formula>
    </cfRule>
    <cfRule type="cellIs" dxfId="140" priority="44" operator="equal">
      <formula>"NG"</formula>
    </cfRule>
  </conditionalFormatting>
  <conditionalFormatting sqref="AS47">
    <cfRule type="cellIs" dxfId="139" priority="41" operator="equal">
      <formula>"OK"</formula>
    </cfRule>
    <cfRule type="cellIs" dxfId="138" priority="42" operator="equal">
      <formula>"NG"</formula>
    </cfRule>
  </conditionalFormatting>
  <conditionalFormatting sqref="AS48">
    <cfRule type="cellIs" dxfId="137" priority="39" operator="equal">
      <formula>"OK"</formula>
    </cfRule>
    <cfRule type="cellIs" dxfId="136" priority="40" operator="equal">
      <formula>"NG"</formula>
    </cfRule>
  </conditionalFormatting>
  <conditionalFormatting sqref="AS49">
    <cfRule type="cellIs" dxfId="135" priority="37" operator="equal">
      <formula>"OK"</formula>
    </cfRule>
    <cfRule type="cellIs" dxfId="134" priority="38" operator="equal">
      <formula>"NG"</formula>
    </cfRule>
  </conditionalFormatting>
  <conditionalFormatting sqref="AS50">
    <cfRule type="cellIs" dxfId="133" priority="35" operator="equal">
      <formula>"OK"</formula>
    </cfRule>
    <cfRule type="cellIs" dxfId="132" priority="36" operator="equal">
      <formula>"NG"</formula>
    </cfRule>
  </conditionalFormatting>
  <conditionalFormatting sqref="AS51">
    <cfRule type="cellIs" dxfId="131" priority="33" operator="equal">
      <formula>"OK"</formula>
    </cfRule>
    <cfRule type="cellIs" dxfId="130" priority="34" operator="equal">
      <formula>"NG"</formula>
    </cfRule>
  </conditionalFormatting>
  <conditionalFormatting sqref="AS52">
    <cfRule type="cellIs" dxfId="129" priority="31" operator="equal">
      <formula>"OK"</formula>
    </cfRule>
    <cfRule type="cellIs" dxfId="128" priority="32" operator="equal">
      <formula>"NG"</formula>
    </cfRule>
  </conditionalFormatting>
  <conditionalFormatting sqref="AS53">
    <cfRule type="cellIs" dxfId="127" priority="29" operator="equal">
      <formula>"OK"</formula>
    </cfRule>
    <cfRule type="cellIs" dxfId="126" priority="30" operator="equal">
      <formula>"NG"</formula>
    </cfRule>
  </conditionalFormatting>
  <conditionalFormatting sqref="AS54">
    <cfRule type="cellIs" dxfId="125" priority="27" operator="equal">
      <formula>"OK"</formula>
    </cfRule>
    <cfRule type="cellIs" dxfId="124" priority="28" operator="equal">
      <formula>"NG"</formula>
    </cfRule>
  </conditionalFormatting>
  <conditionalFormatting sqref="AS55">
    <cfRule type="cellIs" dxfId="123" priority="25" operator="equal">
      <formula>"OK"</formula>
    </cfRule>
    <cfRule type="cellIs" dxfId="122" priority="26" operator="equal">
      <formula>"NG"</formula>
    </cfRule>
  </conditionalFormatting>
  <conditionalFormatting sqref="AS56">
    <cfRule type="cellIs" dxfId="121" priority="23" operator="equal">
      <formula>"OK"</formula>
    </cfRule>
    <cfRule type="cellIs" dxfId="120" priority="24" operator="equal">
      <formula>"NG"</formula>
    </cfRule>
  </conditionalFormatting>
  <conditionalFormatting sqref="AS57">
    <cfRule type="cellIs" dxfId="119" priority="21" operator="equal">
      <formula>"OK"</formula>
    </cfRule>
    <cfRule type="cellIs" dxfId="118" priority="22" operator="equal">
      <formula>"NG"</formula>
    </cfRule>
  </conditionalFormatting>
  <conditionalFormatting sqref="AS58">
    <cfRule type="cellIs" dxfId="117" priority="19" operator="equal">
      <formula>"OK"</formula>
    </cfRule>
    <cfRule type="cellIs" dxfId="116" priority="20" operator="equal">
      <formula>"NG"</formula>
    </cfRule>
  </conditionalFormatting>
  <conditionalFormatting sqref="AS59">
    <cfRule type="cellIs" dxfId="115" priority="17" operator="equal">
      <formula>"OK"</formula>
    </cfRule>
    <cfRule type="cellIs" dxfId="114" priority="18" operator="equal">
      <formula>"NG"</formula>
    </cfRule>
  </conditionalFormatting>
  <conditionalFormatting sqref="AS60">
    <cfRule type="cellIs" dxfId="113" priority="15" operator="equal">
      <formula>"OK"</formula>
    </cfRule>
    <cfRule type="cellIs" dxfId="112" priority="16" operator="equal">
      <formula>"NG"</formula>
    </cfRule>
  </conditionalFormatting>
  <conditionalFormatting sqref="AS61">
    <cfRule type="cellIs" dxfId="111" priority="13" operator="equal">
      <formula>"OK"</formula>
    </cfRule>
    <cfRule type="cellIs" dxfId="110" priority="14" operator="equal">
      <formula>"NG"</formula>
    </cfRule>
  </conditionalFormatting>
  <conditionalFormatting sqref="AS62">
    <cfRule type="cellIs" dxfId="109" priority="11" operator="equal">
      <formula>"OK"</formula>
    </cfRule>
    <cfRule type="cellIs" dxfId="108" priority="12" operator="equal">
      <formula>"NG"</formula>
    </cfRule>
  </conditionalFormatting>
  <conditionalFormatting sqref="AS63">
    <cfRule type="cellIs" dxfId="107" priority="9" operator="equal">
      <formula>"OK"</formula>
    </cfRule>
    <cfRule type="cellIs" dxfId="106" priority="10" operator="equal">
      <formula>"NG"</formula>
    </cfRule>
  </conditionalFormatting>
  <conditionalFormatting sqref="AS64">
    <cfRule type="cellIs" dxfId="105" priority="7" operator="equal">
      <formula>"OK"</formula>
    </cfRule>
    <cfRule type="cellIs" dxfId="104" priority="8" operator="equal">
      <formula>"NG"</formula>
    </cfRule>
  </conditionalFormatting>
  <conditionalFormatting sqref="AS65">
    <cfRule type="cellIs" dxfId="103" priority="5" operator="equal">
      <formula>"OK"</formula>
    </cfRule>
    <cfRule type="cellIs" dxfId="102" priority="6" operator="equal">
      <formula>"NG"</formula>
    </cfRule>
  </conditionalFormatting>
  <conditionalFormatting sqref="AS66">
    <cfRule type="cellIs" dxfId="101" priority="3" operator="equal">
      <formula>"OK"</formula>
    </cfRule>
    <cfRule type="cellIs" dxfId="100" priority="4" operator="equal">
      <formula>"NG"</formula>
    </cfRule>
  </conditionalFormatting>
  <conditionalFormatting sqref="AS67">
    <cfRule type="cellIs" dxfId="99" priority="1" operator="equal">
      <formula>"OK"</formula>
    </cfRule>
    <cfRule type="cellIs" dxfId="98" priority="2" operator="equal">
      <formula>"NG"</formula>
    </cfRule>
  </conditionalFormatting>
  <dataValidations count="1">
    <dataValidation type="list" allowBlank="1" showInputMessage="1" showErrorMessage="1" sqref="AY10:AY67 AS10:AS67">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92"/>
  <sheetViews>
    <sheetView showGridLines="0" view="pageBreakPreview" zoomScaleNormal="100" zoomScaleSheetLayoutView="100" workbookViewId="0">
      <pane ySplit="9" topLeftCell="A46" activePane="bottomLeft" state="frozen"/>
      <selection pane="bottomLeft"/>
    </sheetView>
  </sheetViews>
  <sheetFormatPr defaultColWidth="3.59765625" defaultRowHeight="20.100000000000001" customHeight="1" x14ac:dyDescent="0.45"/>
  <cols>
    <col min="1" max="1" width="1.09765625" style="54" customWidth="1"/>
    <col min="2" max="65" width="3.69921875" style="54" customWidth="1"/>
    <col min="66" max="66" width="1.09765625" style="54" customWidth="1"/>
    <col min="67" max="16384" width="3.59765625" style="54"/>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55"/>
      <c r="B2" s="211" t="s">
        <v>0</v>
      </c>
      <c r="C2" s="212"/>
      <c r="D2" s="212"/>
      <c r="E2" s="212"/>
      <c r="F2" s="212"/>
      <c r="G2" s="212"/>
      <c r="H2" s="212" t="s">
        <v>40</v>
      </c>
      <c r="I2" s="212"/>
      <c r="J2" s="212"/>
      <c r="K2" s="212"/>
      <c r="L2" s="212" t="s">
        <v>41</v>
      </c>
      <c r="M2" s="212"/>
      <c r="N2" s="212"/>
      <c r="O2" s="212"/>
      <c r="P2" s="212"/>
      <c r="Q2" s="212"/>
      <c r="R2" s="212" t="s">
        <v>1</v>
      </c>
      <c r="S2" s="212"/>
      <c r="T2" s="212"/>
      <c r="U2" s="212"/>
      <c r="V2" s="212"/>
      <c r="W2" s="212"/>
      <c r="X2" s="213" t="s">
        <v>2</v>
      </c>
      <c r="Y2" s="214"/>
      <c r="Z2" s="214"/>
      <c r="AA2" s="214"/>
      <c r="AB2" s="214"/>
      <c r="AC2" s="214"/>
      <c r="AD2" s="214"/>
      <c r="AE2" s="214"/>
      <c r="AF2" s="214"/>
      <c r="AG2" s="214"/>
      <c r="AH2" s="214"/>
      <c r="AI2" s="214"/>
      <c r="AJ2" s="215"/>
      <c r="AK2" s="213" t="s">
        <v>30</v>
      </c>
      <c r="AL2" s="214"/>
      <c r="AM2" s="214"/>
      <c r="AN2" s="214"/>
      <c r="AO2" s="214"/>
      <c r="AP2" s="214"/>
      <c r="AQ2" s="214"/>
      <c r="AR2" s="214"/>
      <c r="AS2" s="214"/>
      <c r="AT2" s="214"/>
      <c r="AU2" s="214"/>
      <c r="AV2" s="214"/>
      <c r="AW2" s="215"/>
      <c r="AX2" s="212" t="s">
        <v>4</v>
      </c>
      <c r="AY2" s="212"/>
      <c r="AZ2" s="212"/>
      <c r="BA2" s="212"/>
      <c r="BB2" s="212" t="s">
        <v>3</v>
      </c>
      <c r="BC2" s="212"/>
      <c r="BD2" s="212"/>
      <c r="BE2" s="212"/>
      <c r="BF2" s="212" t="s">
        <v>5</v>
      </c>
      <c r="BG2" s="212"/>
      <c r="BH2" s="212"/>
      <c r="BI2" s="212"/>
      <c r="BJ2" s="212" t="s">
        <v>6</v>
      </c>
      <c r="BK2" s="212"/>
      <c r="BL2" s="212"/>
      <c r="BM2" s="226"/>
      <c r="BN2" s="56"/>
    </row>
    <row r="3" spans="1:66" ht="20.100000000000001" customHeight="1" x14ac:dyDescent="0.45">
      <c r="A3" s="55"/>
      <c r="B3" s="216" t="str">
        <f>変更履歴!B3</f>
        <v>受発注システム</v>
      </c>
      <c r="C3" s="217"/>
      <c r="D3" s="217"/>
      <c r="E3" s="217"/>
      <c r="F3" s="217"/>
      <c r="G3" s="217"/>
      <c r="H3" s="217" t="str">
        <f ca="1">変更履歴!H3</f>
        <v>マスタ</v>
      </c>
      <c r="I3" s="217"/>
      <c r="J3" s="217"/>
      <c r="K3" s="217"/>
      <c r="L3" s="217" t="str">
        <f>変更履歴!L3</f>
        <v>受発注</v>
      </c>
      <c r="M3" s="217"/>
      <c r="N3" s="217"/>
      <c r="O3" s="217"/>
      <c r="P3" s="217"/>
      <c r="Q3" s="217"/>
      <c r="R3" s="217" t="str">
        <f ca="1">変更履歴!R3</f>
        <v>結合試験項目</v>
      </c>
      <c r="S3" s="217"/>
      <c r="T3" s="217"/>
      <c r="U3" s="217"/>
      <c r="V3" s="217"/>
      <c r="W3" s="217"/>
      <c r="X3" s="221" t="str">
        <f ca="1">変更履歴!X3</f>
        <v>マスタ_物件入力_結合試験項目</v>
      </c>
      <c r="Y3" s="222"/>
      <c r="Z3" s="222"/>
      <c r="AA3" s="222"/>
      <c r="AB3" s="222"/>
      <c r="AC3" s="222"/>
      <c r="AD3" s="222"/>
      <c r="AE3" s="222"/>
      <c r="AF3" s="222"/>
      <c r="AG3" s="222"/>
      <c r="AH3" s="222"/>
      <c r="AI3" s="222"/>
      <c r="AJ3" s="218"/>
      <c r="AK3" s="221" t="str">
        <f ca="1">変更履歴!AK3</f>
        <v>物件入力</v>
      </c>
      <c r="AL3" s="222"/>
      <c r="AM3" s="222"/>
      <c r="AN3" s="222"/>
      <c r="AO3" s="222"/>
      <c r="AP3" s="222"/>
      <c r="AQ3" s="222"/>
      <c r="AR3" s="222"/>
      <c r="AS3" s="222"/>
      <c r="AT3" s="222"/>
      <c r="AU3" s="222"/>
      <c r="AV3" s="222"/>
      <c r="AW3" s="218"/>
      <c r="AX3" s="228">
        <f>変更履歴!AX3</f>
        <v>45636</v>
      </c>
      <c r="AY3" s="228"/>
      <c r="AZ3" s="228"/>
      <c r="BA3" s="228"/>
      <c r="BB3" s="217" t="str">
        <f>変更履歴!BB3</f>
        <v>榎本</v>
      </c>
      <c r="BC3" s="217"/>
      <c r="BD3" s="217"/>
      <c r="BE3" s="217"/>
      <c r="BF3" s="228">
        <f>変更履歴!BF3</f>
        <v>45636</v>
      </c>
      <c r="BG3" s="228"/>
      <c r="BH3" s="228"/>
      <c r="BI3" s="228"/>
      <c r="BJ3" s="217" t="str">
        <f>変更履歴!BJ3</f>
        <v>榎本</v>
      </c>
      <c r="BK3" s="217"/>
      <c r="BL3" s="217"/>
      <c r="BM3" s="229"/>
      <c r="BN3" s="56"/>
    </row>
    <row r="4" spans="1:66" ht="20.100000000000001" customHeight="1" thickBot="1" x14ac:dyDescent="0.5">
      <c r="A4" s="55"/>
      <c r="B4" s="218"/>
      <c r="C4" s="219"/>
      <c r="D4" s="219"/>
      <c r="E4" s="219"/>
      <c r="F4" s="219"/>
      <c r="G4" s="219"/>
      <c r="H4" s="219"/>
      <c r="I4" s="219"/>
      <c r="J4" s="219"/>
      <c r="K4" s="219"/>
      <c r="L4" s="219"/>
      <c r="M4" s="219"/>
      <c r="N4" s="219"/>
      <c r="O4" s="219"/>
      <c r="P4" s="219"/>
      <c r="Q4" s="219"/>
      <c r="R4" s="219"/>
      <c r="S4" s="219"/>
      <c r="T4" s="219"/>
      <c r="U4" s="219"/>
      <c r="V4" s="219"/>
      <c r="W4" s="219"/>
      <c r="X4" s="223"/>
      <c r="Y4" s="224"/>
      <c r="Z4" s="224"/>
      <c r="AA4" s="224"/>
      <c r="AB4" s="224"/>
      <c r="AC4" s="224"/>
      <c r="AD4" s="224"/>
      <c r="AE4" s="224"/>
      <c r="AF4" s="224"/>
      <c r="AG4" s="224"/>
      <c r="AH4" s="224"/>
      <c r="AI4" s="224"/>
      <c r="AJ4" s="225"/>
      <c r="AK4" s="223"/>
      <c r="AL4" s="224"/>
      <c r="AM4" s="224"/>
      <c r="AN4" s="224"/>
      <c r="AO4" s="224"/>
      <c r="AP4" s="224"/>
      <c r="AQ4" s="224"/>
      <c r="AR4" s="224"/>
      <c r="AS4" s="224"/>
      <c r="AT4" s="224"/>
      <c r="AU4" s="224"/>
      <c r="AV4" s="224"/>
      <c r="AW4" s="225"/>
      <c r="AX4" s="256"/>
      <c r="AY4" s="256"/>
      <c r="AZ4" s="256"/>
      <c r="BA4" s="256"/>
      <c r="BB4" s="219"/>
      <c r="BC4" s="219"/>
      <c r="BD4" s="219"/>
      <c r="BE4" s="219"/>
      <c r="BF4" s="256"/>
      <c r="BG4" s="256"/>
      <c r="BH4" s="256"/>
      <c r="BI4" s="256"/>
      <c r="BJ4" s="219"/>
      <c r="BK4" s="219"/>
      <c r="BL4" s="219"/>
      <c r="BM4" s="221"/>
      <c r="BN4" s="5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55"/>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56"/>
    </row>
    <row r="7" spans="1:66" ht="13.8" thickTop="1" thickBot="1" x14ac:dyDescent="0.5">
      <c r="A7" s="55"/>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263" t="s">
        <v>32</v>
      </c>
      <c r="BF7" s="264"/>
      <c r="BG7" s="267" t="s">
        <v>31</v>
      </c>
      <c r="BH7" s="267"/>
      <c r="BI7" s="257" t="s">
        <v>33</v>
      </c>
      <c r="BJ7" s="258"/>
      <c r="BK7" s="257" t="s">
        <v>34</v>
      </c>
      <c r="BL7" s="255"/>
      <c r="BM7" s="8"/>
      <c r="BN7" s="56"/>
    </row>
    <row r="8" spans="1:66" ht="13.8" thickTop="1" thickBot="1" x14ac:dyDescent="0.5">
      <c r="A8" s="55"/>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261" t="s">
        <v>35</v>
      </c>
      <c r="AP8" s="254"/>
      <c r="AQ8" s="254"/>
      <c r="AR8" s="254"/>
      <c r="AS8" s="254"/>
      <c r="AT8" s="255"/>
      <c r="AU8" s="261" t="s">
        <v>36</v>
      </c>
      <c r="AV8" s="254"/>
      <c r="AW8" s="254"/>
      <c r="AX8" s="254"/>
      <c r="AY8" s="254"/>
      <c r="AZ8" s="255"/>
      <c r="BE8" s="265"/>
      <c r="BF8" s="266"/>
      <c r="BG8" s="259">
        <f>COUNTA(C10:C89)</f>
        <v>80</v>
      </c>
      <c r="BH8" s="262"/>
      <c r="BI8" s="259">
        <f>COUNTIF(AS10:AT89,"OK")+COUNTIF(AY10:AZ89,"OK")</f>
        <v>80</v>
      </c>
      <c r="BJ8" s="262"/>
      <c r="BK8" s="259">
        <f>BG8-BI8</f>
        <v>0</v>
      </c>
      <c r="BL8" s="260"/>
      <c r="BM8" s="8"/>
      <c r="BN8" s="56"/>
    </row>
    <row r="9" spans="1:66" ht="20.100000000000001" customHeight="1" thickTop="1" x14ac:dyDescent="0.45">
      <c r="A9" s="55"/>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252" t="s">
        <v>25</v>
      </c>
      <c r="AP9" s="250"/>
      <c r="AQ9" s="249" t="s">
        <v>26</v>
      </c>
      <c r="AR9" s="250"/>
      <c r="AS9" s="249" t="s">
        <v>29</v>
      </c>
      <c r="AT9" s="251"/>
      <c r="AU9" s="252" t="s">
        <v>25</v>
      </c>
      <c r="AV9" s="250"/>
      <c r="AW9" s="249" t="s">
        <v>26</v>
      </c>
      <c r="AX9" s="250"/>
      <c r="AY9" s="249" t="s">
        <v>29</v>
      </c>
      <c r="AZ9" s="251"/>
      <c r="BA9" s="253" t="s">
        <v>27</v>
      </c>
      <c r="BB9" s="254"/>
      <c r="BC9" s="254"/>
      <c r="BD9" s="254"/>
      <c r="BE9" s="254"/>
      <c r="BF9" s="254"/>
      <c r="BG9" s="254"/>
      <c r="BH9" s="254"/>
      <c r="BI9" s="254"/>
      <c r="BJ9" s="254"/>
      <c r="BK9" s="254"/>
      <c r="BL9" s="255"/>
      <c r="BM9" s="56"/>
      <c r="BN9" s="56"/>
    </row>
    <row r="10" spans="1:66" ht="24" customHeight="1" x14ac:dyDescent="0.45">
      <c r="A10" s="55"/>
      <c r="B10" s="55"/>
      <c r="C10" s="72">
        <f>ROW()-9</f>
        <v>1</v>
      </c>
      <c r="D10" s="243" t="s">
        <v>61</v>
      </c>
      <c r="E10" s="244"/>
      <c r="F10" s="244"/>
      <c r="G10" s="245"/>
      <c r="H10" s="243" t="s">
        <v>42</v>
      </c>
      <c r="I10" s="244"/>
      <c r="J10" s="244"/>
      <c r="K10" s="245"/>
      <c r="L10" s="246" t="s">
        <v>77</v>
      </c>
      <c r="M10" s="247"/>
      <c r="N10" s="247"/>
      <c r="O10" s="248"/>
      <c r="P10" s="239" t="s">
        <v>111</v>
      </c>
      <c r="Q10" s="237"/>
      <c r="R10" s="237"/>
      <c r="S10" s="237"/>
      <c r="T10" s="237"/>
      <c r="U10" s="237"/>
      <c r="V10" s="237"/>
      <c r="W10" s="238"/>
      <c r="X10" s="239" t="s">
        <v>52</v>
      </c>
      <c r="Y10" s="237"/>
      <c r="Z10" s="237"/>
      <c r="AA10" s="237"/>
      <c r="AB10" s="237"/>
      <c r="AC10" s="237"/>
      <c r="AD10" s="237"/>
      <c r="AE10" s="238"/>
      <c r="AF10" s="239"/>
      <c r="AG10" s="237"/>
      <c r="AH10" s="237"/>
      <c r="AI10" s="237"/>
      <c r="AJ10" s="237"/>
      <c r="AK10" s="237"/>
      <c r="AL10" s="237"/>
      <c r="AM10" s="237"/>
      <c r="AN10" s="270"/>
      <c r="AO10" s="240">
        <v>45684</v>
      </c>
      <c r="AP10" s="241"/>
      <c r="AQ10" s="236" t="s">
        <v>156</v>
      </c>
      <c r="AR10" s="232"/>
      <c r="AS10" s="236" t="s">
        <v>157</v>
      </c>
      <c r="AT10" s="242"/>
      <c r="AU10" s="240"/>
      <c r="AV10" s="241"/>
      <c r="AW10" s="236"/>
      <c r="AX10" s="232"/>
      <c r="AY10" s="236"/>
      <c r="AZ10" s="242"/>
      <c r="BA10" s="268"/>
      <c r="BB10" s="247"/>
      <c r="BC10" s="247"/>
      <c r="BD10" s="247"/>
      <c r="BE10" s="247"/>
      <c r="BF10" s="247"/>
      <c r="BG10" s="247"/>
      <c r="BH10" s="247"/>
      <c r="BI10" s="247"/>
      <c r="BJ10" s="247"/>
      <c r="BK10" s="247"/>
      <c r="BL10" s="269"/>
      <c r="BM10" s="56"/>
      <c r="BN10" s="56"/>
    </row>
    <row r="11" spans="1:66" ht="24" customHeight="1" x14ac:dyDescent="0.45">
      <c r="A11" s="55"/>
      <c r="B11" s="55"/>
      <c r="C11" s="72">
        <f t="shared" ref="C11:C76" si="0">ROW()-9</f>
        <v>2</v>
      </c>
      <c r="D11" s="59"/>
      <c r="E11" s="60"/>
      <c r="F11" s="60"/>
      <c r="G11" s="61"/>
      <c r="H11" s="59"/>
      <c r="I11" s="60"/>
      <c r="J11" s="60"/>
      <c r="K11" s="61"/>
      <c r="L11" s="162" t="s">
        <v>78</v>
      </c>
      <c r="M11" s="155"/>
      <c r="N11" s="155"/>
      <c r="O11" s="163"/>
      <c r="P11" s="239" t="s">
        <v>111</v>
      </c>
      <c r="Q11" s="237"/>
      <c r="R11" s="237"/>
      <c r="S11" s="237"/>
      <c r="T11" s="237"/>
      <c r="U11" s="237"/>
      <c r="V11" s="237"/>
      <c r="W11" s="238"/>
      <c r="X11" s="239" t="s">
        <v>116</v>
      </c>
      <c r="Y11" s="237"/>
      <c r="Z11" s="237"/>
      <c r="AA11" s="237"/>
      <c r="AB11" s="237"/>
      <c r="AC11" s="237"/>
      <c r="AD11" s="237"/>
      <c r="AE11" s="238"/>
      <c r="AF11" s="35"/>
      <c r="AG11" s="87"/>
      <c r="AH11" s="87"/>
      <c r="AI11" s="87"/>
      <c r="AJ11" s="87"/>
      <c r="AK11" s="87"/>
      <c r="AL11" s="87"/>
      <c r="AM11" s="87"/>
      <c r="AN11" s="91"/>
      <c r="AO11" s="240">
        <v>45684</v>
      </c>
      <c r="AP11" s="241"/>
      <c r="AQ11" s="236" t="s">
        <v>156</v>
      </c>
      <c r="AR11" s="232"/>
      <c r="AS11" s="236" t="s">
        <v>157</v>
      </c>
      <c r="AT11" s="242"/>
      <c r="AU11" s="92"/>
      <c r="AV11" s="93"/>
      <c r="AW11" s="85"/>
      <c r="AX11" s="84"/>
      <c r="AY11" s="85"/>
      <c r="AZ11" s="94"/>
      <c r="BA11" s="88"/>
      <c r="BB11" s="89"/>
      <c r="BC11" s="89"/>
      <c r="BD11" s="89"/>
      <c r="BE11" s="89"/>
      <c r="BF11" s="89"/>
      <c r="BG11" s="89"/>
      <c r="BH11" s="89"/>
      <c r="BI11" s="89"/>
      <c r="BJ11" s="89"/>
      <c r="BK11" s="89"/>
      <c r="BL11" s="90"/>
      <c r="BM11" s="56"/>
      <c r="BN11" s="56"/>
    </row>
    <row r="12" spans="1:66" ht="24" customHeight="1" x14ac:dyDescent="0.45">
      <c r="A12" s="55"/>
      <c r="B12" s="55"/>
      <c r="C12" s="72">
        <f t="shared" si="0"/>
        <v>3</v>
      </c>
      <c r="D12" s="59"/>
      <c r="E12" s="60"/>
      <c r="F12" s="60"/>
      <c r="G12" s="61"/>
      <c r="H12" s="59"/>
      <c r="I12" s="60"/>
      <c r="J12" s="60"/>
      <c r="K12" s="61"/>
      <c r="L12" s="162" t="s">
        <v>79</v>
      </c>
      <c r="M12" s="155"/>
      <c r="N12" s="155"/>
      <c r="O12" s="163"/>
      <c r="P12" s="239" t="s">
        <v>111</v>
      </c>
      <c r="Q12" s="237"/>
      <c r="R12" s="237"/>
      <c r="S12" s="237"/>
      <c r="T12" s="237"/>
      <c r="U12" s="237"/>
      <c r="V12" s="237"/>
      <c r="W12" s="238"/>
      <c r="X12" s="239" t="s">
        <v>49</v>
      </c>
      <c r="Y12" s="237"/>
      <c r="Z12" s="237"/>
      <c r="AA12" s="237"/>
      <c r="AB12" s="237"/>
      <c r="AC12" s="237"/>
      <c r="AD12" s="237"/>
      <c r="AE12" s="238"/>
      <c r="AF12" s="86"/>
      <c r="AG12" s="87"/>
      <c r="AH12" s="87"/>
      <c r="AI12" s="87"/>
      <c r="AJ12" s="87"/>
      <c r="AK12" s="87"/>
      <c r="AL12" s="87"/>
      <c r="AM12" s="87"/>
      <c r="AN12" s="91"/>
      <c r="AO12" s="240">
        <v>45684</v>
      </c>
      <c r="AP12" s="241"/>
      <c r="AQ12" s="236" t="s">
        <v>156</v>
      </c>
      <c r="AR12" s="232"/>
      <c r="AS12" s="236" t="s">
        <v>157</v>
      </c>
      <c r="AT12" s="242"/>
      <c r="AU12" s="92"/>
      <c r="AV12" s="93"/>
      <c r="AW12" s="85"/>
      <c r="AX12" s="84"/>
      <c r="AY12" s="85"/>
      <c r="AZ12" s="94"/>
      <c r="BA12" s="88"/>
      <c r="BB12" s="89"/>
      <c r="BC12" s="89"/>
      <c r="BD12" s="89"/>
      <c r="BE12" s="89"/>
      <c r="BF12" s="89"/>
      <c r="BG12" s="89"/>
      <c r="BH12" s="89"/>
      <c r="BI12" s="89"/>
      <c r="BJ12" s="89"/>
      <c r="BK12" s="89"/>
      <c r="BL12" s="90"/>
      <c r="BM12" s="56"/>
      <c r="BN12" s="56"/>
    </row>
    <row r="13" spans="1:66" ht="24" customHeight="1" x14ac:dyDescent="0.45">
      <c r="A13" s="55"/>
      <c r="B13" s="55"/>
      <c r="C13" s="72">
        <f t="shared" si="0"/>
        <v>4</v>
      </c>
      <c r="D13" s="59"/>
      <c r="E13" s="60"/>
      <c r="F13" s="60"/>
      <c r="G13" s="61"/>
      <c r="H13" s="59"/>
      <c r="I13" s="60"/>
      <c r="J13" s="60"/>
      <c r="K13" s="61"/>
      <c r="L13" s="162" t="s">
        <v>80</v>
      </c>
      <c r="M13" s="155"/>
      <c r="N13" s="155"/>
      <c r="O13" s="163"/>
      <c r="P13" s="239" t="s">
        <v>111</v>
      </c>
      <c r="Q13" s="237"/>
      <c r="R13" s="237"/>
      <c r="S13" s="237"/>
      <c r="T13" s="237"/>
      <c r="U13" s="237"/>
      <c r="V13" s="237"/>
      <c r="W13" s="238"/>
      <c r="X13" s="239" t="s">
        <v>49</v>
      </c>
      <c r="Y13" s="237"/>
      <c r="Z13" s="237"/>
      <c r="AA13" s="237"/>
      <c r="AB13" s="237"/>
      <c r="AC13" s="237"/>
      <c r="AD13" s="237"/>
      <c r="AE13" s="238"/>
      <c r="AF13" s="86"/>
      <c r="AG13" s="87"/>
      <c r="AH13" s="87"/>
      <c r="AI13" s="87"/>
      <c r="AJ13" s="87"/>
      <c r="AK13" s="87"/>
      <c r="AL13" s="87"/>
      <c r="AM13" s="87"/>
      <c r="AN13" s="91"/>
      <c r="AO13" s="240">
        <v>45684</v>
      </c>
      <c r="AP13" s="241"/>
      <c r="AQ13" s="236" t="s">
        <v>156</v>
      </c>
      <c r="AR13" s="232"/>
      <c r="AS13" s="236" t="s">
        <v>157</v>
      </c>
      <c r="AT13" s="242"/>
      <c r="AU13" s="92"/>
      <c r="AV13" s="93"/>
      <c r="AW13" s="85"/>
      <c r="AX13" s="84"/>
      <c r="AY13" s="85"/>
      <c r="AZ13" s="94"/>
      <c r="BA13" s="88"/>
      <c r="BB13" s="89"/>
      <c r="BC13" s="89"/>
      <c r="BD13" s="89"/>
      <c r="BE13" s="89"/>
      <c r="BF13" s="89"/>
      <c r="BG13" s="89"/>
      <c r="BH13" s="89"/>
      <c r="BI13" s="89"/>
      <c r="BJ13" s="89"/>
      <c r="BK13" s="89"/>
      <c r="BL13" s="90"/>
      <c r="BM13" s="56"/>
      <c r="BN13" s="56"/>
    </row>
    <row r="14" spans="1:66" ht="24" customHeight="1" x14ac:dyDescent="0.45">
      <c r="A14" s="55"/>
      <c r="B14" s="55"/>
      <c r="C14" s="72">
        <f t="shared" si="0"/>
        <v>5</v>
      </c>
      <c r="D14" s="59"/>
      <c r="E14" s="60"/>
      <c r="F14" s="60"/>
      <c r="G14" s="61"/>
      <c r="H14" s="59"/>
      <c r="I14" s="60"/>
      <c r="J14" s="60"/>
      <c r="K14" s="61"/>
      <c r="L14" s="162" t="s">
        <v>81</v>
      </c>
      <c r="M14" s="155"/>
      <c r="N14" s="155"/>
      <c r="O14" s="163"/>
      <c r="P14" s="239" t="s">
        <v>111</v>
      </c>
      <c r="Q14" s="237"/>
      <c r="R14" s="237"/>
      <c r="S14" s="237"/>
      <c r="T14" s="237"/>
      <c r="U14" s="237"/>
      <c r="V14" s="237"/>
      <c r="W14" s="238"/>
      <c r="X14" s="239" t="s">
        <v>65</v>
      </c>
      <c r="Y14" s="237"/>
      <c r="Z14" s="237"/>
      <c r="AA14" s="237"/>
      <c r="AB14" s="237"/>
      <c r="AC14" s="237"/>
      <c r="AD14" s="237"/>
      <c r="AE14" s="238"/>
      <c r="AF14" s="86"/>
      <c r="AG14" s="87"/>
      <c r="AH14" s="87"/>
      <c r="AI14" s="87"/>
      <c r="AJ14" s="87"/>
      <c r="AK14" s="87"/>
      <c r="AL14" s="87"/>
      <c r="AM14" s="87"/>
      <c r="AN14" s="91"/>
      <c r="AO14" s="240">
        <v>45684</v>
      </c>
      <c r="AP14" s="241"/>
      <c r="AQ14" s="236" t="s">
        <v>156</v>
      </c>
      <c r="AR14" s="232"/>
      <c r="AS14" s="236" t="s">
        <v>157</v>
      </c>
      <c r="AT14" s="242"/>
      <c r="AU14" s="92"/>
      <c r="AV14" s="93"/>
      <c r="AW14" s="85"/>
      <c r="AX14" s="84"/>
      <c r="AY14" s="85"/>
      <c r="AZ14" s="94"/>
      <c r="BA14" s="88"/>
      <c r="BB14" s="89"/>
      <c r="BC14" s="89"/>
      <c r="BD14" s="89"/>
      <c r="BE14" s="89"/>
      <c r="BF14" s="89"/>
      <c r="BG14" s="89"/>
      <c r="BH14" s="89"/>
      <c r="BI14" s="89"/>
      <c r="BJ14" s="89"/>
      <c r="BK14" s="89"/>
      <c r="BL14" s="90"/>
      <c r="BM14" s="56"/>
      <c r="BN14" s="56"/>
    </row>
    <row r="15" spans="1:66" ht="24" customHeight="1" x14ac:dyDescent="0.45">
      <c r="A15" s="55"/>
      <c r="B15" s="55"/>
      <c r="C15" s="72">
        <f t="shared" si="0"/>
        <v>6</v>
      </c>
      <c r="D15" s="59"/>
      <c r="E15" s="60"/>
      <c r="F15" s="60"/>
      <c r="G15" s="95"/>
      <c r="H15" s="60"/>
      <c r="I15" s="60"/>
      <c r="J15" s="60"/>
      <c r="K15" s="95"/>
      <c r="L15" s="162" t="s">
        <v>82</v>
      </c>
      <c r="M15" s="155"/>
      <c r="N15" s="155"/>
      <c r="O15" s="163"/>
      <c r="P15" s="239" t="s">
        <v>111</v>
      </c>
      <c r="Q15" s="237"/>
      <c r="R15" s="237"/>
      <c r="S15" s="237"/>
      <c r="T15" s="237"/>
      <c r="U15" s="237"/>
      <c r="V15" s="237"/>
      <c r="W15" s="238"/>
      <c r="X15" s="239" t="s">
        <v>49</v>
      </c>
      <c r="Y15" s="237"/>
      <c r="Z15" s="237"/>
      <c r="AA15" s="237"/>
      <c r="AB15" s="237"/>
      <c r="AC15" s="237"/>
      <c r="AD15" s="237"/>
      <c r="AE15" s="238"/>
      <c r="AF15" s="86"/>
      <c r="AG15" s="87"/>
      <c r="AH15" s="87"/>
      <c r="AI15" s="87"/>
      <c r="AJ15" s="87"/>
      <c r="AK15" s="87"/>
      <c r="AL15" s="87"/>
      <c r="AM15" s="87"/>
      <c r="AN15" s="91"/>
      <c r="AO15" s="240">
        <v>45684</v>
      </c>
      <c r="AP15" s="241"/>
      <c r="AQ15" s="236" t="s">
        <v>156</v>
      </c>
      <c r="AR15" s="232"/>
      <c r="AS15" s="236" t="s">
        <v>157</v>
      </c>
      <c r="AT15" s="242"/>
      <c r="AU15" s="92"/>
      <c r="AV15" s="93"/>
      <c r="AW15" s="85"/>
      <c r="AX15" s="84"/>
      <c r="AY15" s="85"/>
      <c r="AZ15" s="94"/>
      <c r="BA15" s="88"/>
      <c r="BB15" s="89"/>
      <c r="BC15" s="89"/>
      <c r="BD15" s="89"/>
      <c r="BE15" s="89"/>
      <c r="BF15" s="89"/>
      <c r="BG15" s="89"/>
      <c r="BH15" s="89"/>
      <c r="BI15" s="89"/>
      <c r="BJ15" s="89"/>
      <c r="BK15" s="89"/>
      <c r="BL15" s="90"/>
      <c r="BM15" s="56"/>
      <c r="BN15" s="56"/>
    </row>
    <row r="16" spans="1:66" ht="24" customHeight="1" x14ac:dyDescent="0.45">
      <c r="A16" s="55"/>
      <c r="B16" s="55"/>
      <c r="C16" s="72">
        <f t="shared" si="0"/>
        <v>7</v>
      </c>
      <c r="D16" s="59"/>
      <c r="E16" s="60"/>
      <c r="F16" s="60"/>
      <c r="G16" s="61"/>
      <c r="H16" s="60"/>
      <c r="I16" s="60"/>
      <c r="J16" s="60"/>
      <c r="K16" s="60"/>
      <c r="L16" s="162" t="s">
        <v>83</v>
      </c>
      <c r="M16" s="155"/>
      <c r="N16" s="155"/>
      <c r="O16" s="163"/>
      <c r="P16" s="239" t="s">
        <v>111</v>
      </c>
      <c r="Q16" s="237"/>
      <c r="R16" s="237"/>
      <c r="S16" s="237"/>
      <c r="T16" s="237"/>
      <c r="U16" s="237"/>
      <c r="V16" s="237"/>
      <c r="W16" s="238"/>
      <c r="X16" s="239" t="s">
        <v>49</v>
      </c>
      <c r="Y16" s="237"/>
      <c r="Z16" s="237"/>
      <c r="AA16" s="237"/>
      <c r="AB16" s="237"/>
      <c r="AC16" s="237"/>
      <c r="AD16" s="237"/>
      <c r="AE16" s="238"/>
      <c r="AF16" s="239"/>
      <c r="AG16" s="237"/>
      <c r="AH16" s="237"/>
      <c r="AI16" s="237"/>
      <c r="AJ16" s="237"/>
      <c r="AK16" s="237"/>
      <c r="AL16" s="237"/>
      <c r="AM16" s="237"/>
      <c r="AN16" s="270"/>
      <c r="AO16" s="240">
        <v>45684</v>
      </c>
      <c r="AP16" s="241"/>
      <c r="AQ16" s="236" t="s">
        <v>156</v>
      </c>
      <c r="AR16" s="232"/>
      <c r="AS16" s="236" t="s">
        <v>157</v>
      </c>
      <c r="AT16" s="242"/>
      <c r="AU16" s="92"/>
      <c r="AV16" s="93"/>
      <c r="AW16" s="85"/>
      <c r="AX16" s="84"/>
      <c r="AY16" s="85"/>
      <c r="AZ16" s="94"/>
      <c r="BA16" s="88"/>
      <c r="BB16" s="89"/>
      <c r="BC16" s="89"/>
      <c r="BD16" s="89"/>
      <c r="BE16" s="89"/>
      <c r="BF16" s="89"/>
      <c r="BG16" s="89"/>
      <c r="BH16" s="89"/>
      <c r="BI16" s="89"/>
      <c r="BJ16" s="89"/>
      <c r="BK16" s="89"/>
      <c r="BL16" s="90"/>
      <c r="BM16" s="56"/>
      <c r="BN16" s="56"/>
    </row>
    <row r="17" spans="1:66" ht="24" customHeight="1" x14ac:dyDescent="0.45">
      <c r="A17" s="55"/>
      <c r="B17" s="55"/>
      <c r="C17" s="72">
        <f t="shared" si="0"/>
        <v>8</v>
      </c>
      <c r="D17" s="59"/>
      <c r="E17" s="60"/>
      <c r="F17" s="60"/>
      <c r="G17" s="61"/>
      <c r="H17" s="60"/>
      <c r="I17" s="60"/>
      <c r="J17" s="60"/>
      <c r="K17" s="60"/>
      <c r="L17" s="162" t="s">
        <v>84</v>
      </c>
      <c r="M17" s="155"/>
      <c r="N17" s="155"/>
      <c r="O17" s="163"/>
      <c r="P17" s="239" t="s">
        <v>111</v>
      </c>
      <c r="Q17" s="237"/>
      <c r="R17" s="237"/>
      <c r="S17" s="237"/>
      <c r="T17" s="237"/>
      <c r="U17" s="237"/>
      <c r="V17" s="237"/>
      <c r="W17" s="238"/>
      <c r="X17" s="239" t="s">
        <v>49</v>
      </c>
      <c r="Y17" s="237"/>
      <c r="Z17" s="237"/>
      <c r="AA17" s="237"/>
      <c r="AB17" s="237"/>
      <c r="AC17" s="237"/>
      <c r="AD17" s="237"/>
      <c r="AE17" s="238"/>
      <c r="AF17" s="239"/>
      <c r="AG17" s="237"/>
      <c r="AH17" s="237"/>
      <c r="AI17" s="237"/>
      <c r="AJ17" s="237"/>
      <c r="AK17" s="237"/>
      <c r="AL17" s="237"/>
      <c r="AM17" s="237"/>
      <c r="AN17" s="270"/>
      <c r="AO17" s="240">
        <v>45684</v>
      </c>
      <c r="AP17" s="241"/>
      <c r="AQ17" s="236" t="s">
        <v>156</v>
      </c>
      <c r="AR17" s="232"/>
      <c r="AS17" s="236" t="s">
        <v>157</v>
      </c>
      <c r="AT17" s="242"/>
      <c r="AU17" s="92"/>
      <c r="AV17" s="93"/>
      <c r="AW17" s="85"/>
      <c r="AX17" s="84"/>
      <c r="AY17" s="85"/>
      <c r="AZ17" s="94"/>
      <c r="BA17" s="88"/>
      <c r="BB17" s="89"/>
      <c r="BC17" s="89"/>
      <c r="BD17" s="89"/>
      <c r="BE17" s="89"/>
      <c r="BF17" s="89"/>
      <c r="BG17" s="89"/>
      <c r="BH17" s="89"/>
      <c r="BI17" s="89"/>
      <c r="BJ17" s="89"/>
      <c r="BK17" s="89"/>
      <c r="BL17" s="90"/>
      <c r="BM17" s="56"/>
      <c r="BN17" s="56"/>
    </row>
    <row r="18" spans="1:66" ht="24" customHeight="1" x14ac:dyDescent="0.45">
      <c r="A18" s="55"/>
      <c r="B18" s="55"/>
      <c r="C18" s="72">
        <f t="shared" si="0"/>
        <v>9</v>
      </c>
      <c r="D18" s="59"/>
      <c r="E18" s="60"/>
      <c r="F18" s="60"/>
      <c r="G18" s="61"/>
      <c r="H18" s="60"/>
      <c r="I18" s="60"/>
      <c r="J18" s="60"/>
      <c r="K18" s="60"/>
      <c r="L18" s="162" t="s">
        <v>85</v>
      </c>
      <c r="M18" s="155"/>
      <c r="N18" s="155"/>
      <c r="O18" s="163"/>
      <c r="P18" s="239" t="s">
        <v>111</v>
      </c>
      <c r="Q18" s="237"/>
      <c r="R18" s="237"/>
      <c r="S18" s="237"/>
      <c r="T18" s="237"/>
      <c r="U18" s="237"/>
      <c r="V18" s="237"/>
      <c r="W18" s="238"/>
      <c r="X18" s="239" t="s">
        <v>49</v>
      </c>
      <c r="Y18" s="237"/>
      <c r="Z18" s="237"/>
      <c r="AA18" s="237"/>
      <c r="AB18" s="237"/>
      <c r="AC18" s="237"/>
      <c r="AD18" s="237"/>
      <c r="AE18" s="238"/>
      <c r="AF18" s="239"/>
      <c r="AG18" s="237"/>
      <c r="AH18" s="237"/>
      <c r="AI18" s="237"/>
      <c r="AJ18" s="237"/>
      <c r="AK18" s="237"/>
      <c r="AL18" s="237"/>
      <c r="AM18" s="237"/>
      <c r="AN18" s="270"/>
      <c r="AO18" s="240">
        <v>45684</v>
      </c>
      <c r="AP18" s="241"/>
      <c r="AQ18" s="236" t="s">
        <v>156</v>
      </c>
      <c r="AR18" s="232"/>
      <c r="AS18" s="236" t="s">
        <v>157</v>
      </c>
      <c r="AT18" s="242"/>
      <c r="AU18" s="92"/>
      <c r="AV18" s="93"/>
      <c r="AW18" s="85"/>
      <c r="AX18" s="84"/>
      <c r="AY18" s="85"/>
      <c r="AZ18" s="94"/>
      <c r="BA18" s="88"/>
      <c r="BB18" s="89"/>
      <c r="BC18" s="89"/>
      <c r="BD18" s="89"/>
      <c r="BE18" s="89"/>
      <c r="BF18" s="89"/>
      <c r="BG18" s="89"/>
      <c r="BH18" s="89"/>
      <c r="BI18" s="89"/>
      <c r="BJ18" s="89"/>
      <c r="BK18" s="89"/>
      <c r="BL18" s="90"/>
      <c r="BM18" s="56"/>
      <c r="BN18" s="56"/>
    </row>
    <row r="19" spans="1:66" ht="24" customHeight="1" x14ac:dyDescent="0.45">
      <c r="A19" s="55"/>
      <c r="B19" s="55"/>
      <c r="C19" s="72">
        <f t="shared" si="0"/>
        <v>10</v>
      </c>
      <c r="D19" s="59"/>
      <c r="E19" s="60"/>
      <c r="F19" s="60"/>
      <c r="G19" s="61"/>
      <c r="H19" s="60"/>
      <c r="I19" s="60"/>
      <c r="J19" s="60"/>
      <c r="K19" s="60"/>
      <c r="L19" s="162" t="s">
        <v>86</v>
      </c>
      <c r="M19" s="155"/>
      <c r="N19" s="155"/>
      <c r="O19" s="163"/>
      <c r="P19" s="239" t="s">
        <v>111</v>
      </c>
      <c r="Q19" s="237"/>
      <c r="R19" s="237"/>
      <c r="S19" s="237"/>
      <c r="T19" s="237"/>
      <c r="U19" s="237"/>
      <c r="V19" s="237"/>
      <c r="W19" s="238"/>
      <c r="X19" s="239" t="s">
        <v>49</v>
      </c>
      <c r="Y19" s="237"/>
      <c r="Z19" s="237"/>
      <c r="AA19" s="237"/>
      <c r="AB19" s="237"/>
      <c r="AC19" s="237"/>
      <c r="AD19" s="237"/>
      <c r="AE19" s="238"/>
      <c r="AF19" s="239"/>
      <c r="AG19" s="237"/>
      <c r="AH19" s="237"/>
      <c r="AI19" s="237"/>
      <c r="AJ19" s="237"/>
      <c r="AK19" s="237"/>
      <c r="AL19" s="237"/>
      <c r="AM19" s="237"/>
      <c r="AN19" s="270"/>
      <c r="AO19" s="240">
        <v>45684</v>
      </c>
      <c r="AP19" s="241"/>
      <c r="AQ19" s="236" t="s">
        <v>156</v>
      </c>
      <c r="AR19" s="232"/>
      <c r="AS19" s="236" t="s">
        <v>157</v>
      </c>
      <c r="AT19" s="242"/>
      <c r="AU19" s="92"/>
      <c r="AV19" s="93"/>
      <c r="AW19" s="85"/>
      <c r="AX19" s="84"/>
      <c r="AY19" s="85"/>
      <c r="AZ19" s="94"/>
      <c r="BA19" s="88"/>
      <c r="BB19" s="89"/>
      <c r="BC19" s="89"/>
      <c r="BD19" s="89"/>
      <c r="BE19" s="89"/>
      <c r="BF19" s="89"/>
      <c r="BG19" s="89"/>
      <c r="BH19" s="89"/>
      <c r="BI19" s="89"/>
      <c r="BJ19" s="89"/>
      <c r="BK19" s="89"/>
      <c r="BL19" s="90"/>
      <c r="BM19" s="56"/>
      <c r="BN19" s="56"/>
    </row>
    <row r="20" spans="1:66" ht="24" customHeight="1" x14ac:dyDescent="0.45">
      <c r="A20" s="55"/>
      <c r="B20" s="55"/>
      <c r="C20" s="72">
        <f t="shared" si="0"/>
        <v>11</v>
      </c>
      <c r="D20" s="59"/>
      <c r="E20" s="60"/>
      <c r="F20" s="60"/>
      <c r="G20" s="61"/>
      <c r="H20" s="60"/>
      <c r="I20" s="60"/>
      <c r="J20" s="60"/>
      <c r="K20" s="60"/>
      <c r="L20" s="162" t="s">
        <v>87</v>
      </c>
      <c r="M20" s="155"/>
      <c r="N20" s="155"/>
      <c r="O20" s="163"/>
      <c r="P20" s="239" t="s">
        <v>111</v>
      </c>
      <c r="Q20" s="237"/>
      <c r="R20" s="237"/>
      <c r="S20" s="237"/>
      <c r="T20" s="237"/>
      <c r="U20" s="237"/>
      <c r="V20" s="237"/>
      <c r="W20" s="238"/>
      <c r="X20" s="239" t="s">
        <v>49</v>
      </c>
      <c r="Y20" s="237"/>
      <c r="Z20" s="237"/>
      <c r="AA20" s="237"/>
      <c r="AB20" s="237"/>
      <c r="AC20" s="237"/>
      <c r="AD20" s="237"/>
      <c r="AE20" s="238"/>
      <c r="AF20" s="239"/>
      <c r="AG20" s="237"/>
      <c r="AH20" s="237"/>
      <c r="AI20" s="237"/>
      <c r="AJ20" s="237"/>
      <c r="AK20" s="237"/>
      <c r="AL20" s="237"/>
      <c r="AM20" s="237"/>
      <c r="AN20" s="270"/>
      <c r="AO20" s="240">
        <v>45684</v>
      </c>
      <c r="AP20" s="241"/>
      <c r="AQ20" s="236" t="s">
        <v>156</v>
      </c>
      <c r="AR20" s="232"/>
      <c r="AS20" s="236" t="s">
        <v>157</v>
      </c>
      <c r="AT20" s="242"/>
      <c r="AU20" s="92"/>
      <c r="AV20" s="93"/>
      <c r="AW20" s="85"/>
      <c r="AX20" s="84"/>
      <c r="AY20" s="85"/>
      <c r="AZ20" s="94"/>
      <c r="BA20" s="88"/>
      <c r="BB20" s="89"/>
      <c r="BC20" s="89"/>
      <c r="BD20" s="89"/>
      <c r="BE20" s="89"/>
      <c r="BF20" s="89"/>
      <c r="BG20" s="89"/>
      <c r="BH20" s="89"/>
      <c r="BI20" s="89"/>
      <c r="BJ20" s="89"/>
      <c r="BK20" s="89"/>
      <c r="BL20" s="90"/>
      <c r="BM20" s="56"/>
      <c r="BN20" s="56"/>
    </row>
    <row r="21" spans="1:66" ht="24" customHeight="1" x14ac:dyDescent="0.45">
      <c r="A21" s="55"/>
      <c r="B21" s="55"/>
      <c r="C21" s="72">
        <f t="shared" si="0"/>
        <v>12</v>
      </c>
      <c r="D21" s="59"/>
      <c r="E21" s="60"/>
      <c r="F21" s="60"/>
      <c r="G21" s="61"/>
      <c r="H21" s="60"/>
      <c r="I21" s="60"/>
      <c r="J21" s="60"/>
      <c r="K21" s="60"/>
      <c r="L21" s="162" t="s">
        <v>88</v>
      </c>
      <c r="M21" s="155"/>
      <c r="N21" s="155"/>
      <c r="O21" s="163"/>
      <c r="P21" s="239" t="s">
        <v>111</v>
      </c>
      <c r="Q21" s="237"/>
      <c r="R21" s="237"/>
      <c r="S21" s="237"/>
      <c r="T21" s="237"/>
      <c r="U21" s="237"/>
      <c r="V21" s="237"/>
      <c r="W21" s="238"/>
      <c r="X21" s="239" t="s">
        <v>52</v>
      </c>
      <c r="Y21" s="237"/>
      <c r="Z21" s="237"/>
      <c r="AA21" s="237"/>
      <c r="AB21" s="237"/>
      <c r="AC21" s="237"/>
      <c r="AD21" s="237"/>
      <c r="AE21" s="238"/>
      <c r="AF21" s="239"/>
      <c r="AG21" s="237"/>
      <c r="AH21" s="237"/>
      <c r="AI21" s="237"/>
      <c r="AJ21" s="237"/>
      <c r="AK21" s="237"/>
      <c r="AL21" s="237"/>
      <c r="AM21" s="237"/>
      <c r="AN21" s="270"/>
      <c r="AO21" s="240">
        <v>45684</v>
      </c>
      <c r="AP21" s="241"/>
      <c r="AQ21" s="236" t="s">
        <v>156</v>
      </c>
      <c r="AR21" s="232"/>
      <c r="AS21" s="236" t="s">
        <v>157</v>
      </c>
      <c r="AT21" s="242"/>
      <c r="AU21" s="92"/>
      <c r="AV21" s="93"/>
      <c r="AW21" s="85"/>
      <c r="AX21" s="84"/>
      <c r="AY21" s="85"/>
      <c r="AZ21" s="94"/>
      <c r="BA21" s="88"/>
      <c r="BB21" s="89"/>
      <c r="BC21" s="89"/>
      <c r="BD21" s="89"/>
      <c r="BE21" s="89"/>
      <c r="BF21" s="89"/>
      <c r="BG21" s="89"/>
      <c r="BH21" s="89"/>
      <c r="BI21" s="89"/>
      <c r="BJ21" s="89"/>
      <c r="BK21" s="89"/>
      <c r="BL21" s="90"/>
      <c r="BM21" s="56"/>
      <c r="BN21" s="56"/>
    </row>
    <row r="22" spans="1:66" ht="24" customHeight="1" x14ac:dyDescent="0.45">
      <c r="A22" s="55"/>
      <c r="B22" s="55"/>
      <c r="C22" s="72">
        <f t="shared" si="0"/>
        <v>13</v>
      </c>
      <c r="D22" s="59"/>
      <c r="E22" s="60"/>
      <c r="F22" s="60"/>
      <c r="G22" s="61"/>
      <c r="H22" s="60"/>
      <c r="I22" s="60"/>
      <c r="J22" s="60"/>
      <c r="K22" s="60"/>
      <c r="L22" s="162" t="s">
        <v>89</v>
      </c>
      <c r="M22" s="155"/>
      <c r="N22" s="155"/>
      <c r="O22" s="163"/>
      <c r="P22" s="239" t="s">
        <v>111</v>
      </c>
      <c r="Q22" s="237"/>
      <c r="R22" s="237"/>
      <c r="S22" s="237"/>
      <c r="T22" s="237"/>
      <c r="U22" s="237"/>
      <c r="V22" s="237"/>
      <c r="W22" s="238"/>
      <c r="X22" s="239" t="s">
        <v>65</v>
      </c>
      <c r="Y22" s="237"/>
      <c r="Z22" s="237"/>
      <c r="AA22" s="237"/>
      <c r="AB22" s="237"/>
      <c r="AC22" s="237"/>
      <c r="AD22" s="237"/>
      <c r="AE22" s="238"/>
      <c r="AF22" s="239"/>
      <c r="AG22" s="237"/>
      <c r="AH22" s="237"/>
      <c r="AI22" s="237"/>
      <c r="AJ22" s="237"/>
      <c r="AK22" s="237"/>
      <c r="AL22" s="237"/>
      <c r="AM22" s="237"/>
      <c r="AN22" s="270"/>
      <c r="AO22" s="240">
        <v>45684</v>
      </c>
      <c r="AP22" s="241"/>
      <c r="AQ22" s="236" t="s">
        <v>156</v>
      </c>
      <c r="AR22" s="232"/>
      <c r="AS22" s="236" t="s">
        <v>157</v>
      </c>
      <c r="AT22" s="242"/>
      <c r="AU22" s="92"/>
      <c r="AV22" s="93"/>
      <c r="AW22" s="85"/>
      <c r="AX22" s="84"/>
      <c r="AY22" s="85"/>
      <c r="AZ22" s="94"/>
      <c r="BA22" s="88"/>
      <c r="BB22" s="89"/>
      <c r="BC22" s="89"/>
      <c r="BD22" s="89"/>
      <c r="BE22" s="89"/>
      <c r="BF22" s="89"/>
      <c r="BG22" s="89"/>
      <c r="BH22" s="89"/>
      <c r="BI22" s="89"/>
      <c r="BJ22" s="89"/>
      <c r="BK22" s="89"/>
      <c r="BL22" s="90"/>
      <c r="BM22" s="56"/>
      <c r="BN22" s="56"/>
    </row>
    <row r="23" spans="1:66" ht="24" customHeight="1" x14ac:dyDescent="0.45">
      <c r="A23" s="55"/>
      <c r="B23" s="55"/>
      <c r="C23" s="72">
        <f t="shared" si="0"/>
        <v>14</v>
      </c>
      <c r="D23" s="59"/>
      <c r="E23" s="60"/>
      <c r="F23" s="60"/>
      <c r="G23" s="61"/>
      <c r="H23" s="60"/>
      <c r="I23" s="60"/>
      <c r="J23" s="60"/>
      <c r="K23" s="60"/>
      <c r="L23" s="162" t="s">
        <v>90</v>
      </c>
      <c r="M23" s="155"/>
      <c r="N23" s="155"/>
      <c r="O23" s="163"/>
      <c r="P23" s="239" t="s">
        <v>111</v>
      </c>
      <c r="Q23" s="237"/>
      <c r="R23" s="237"/>
      <c r="S23" s="237"/>
      <c r="T23" s="237"/>
      <c r="U23" s="237"/>
      <c r="V23" s="237"/>
      <c r="W23" s="238"/>
      <c r="X23" s="239" t="s">
        <v>49</v>
      </c>
      <c r="Y23" s="237"/>
      <c r="Z23" s="237"/>
      <c r="AA23" s="237"/>
      <c r="AB23" s="237"/>
      <c r="AC23" s="237"/>
      <c r="AD23" s="237"/>
      <c r="AE23" s="238"/>
      <c r="AF23" s="239"/>
      <c r="AG23" s="237"/>
      <c r="AH23" s="237"/>
      <c r="AI23" s="237"/>
      <c r="AJ23" s="237"/>
      <c r="AK23" s="237"/>
      <c r="AL23" s="237"/>
      <c r="AM23" s="237"/>
      <c r="AN23" s="270"/>
      <c r="AO23" s="240">
        <v>45684</v>
      </c>
      <c r="AP23" s="241"/>
      <c r="AQ23" s="236" t="s">
        <v>156</v>
      </c>
      <c r="AR23" s="232"/>
      <c r="AS23" s="236" t="s">
        <v>157</v>
      </c>
      <c r="AT23" s="242"/>
      <c r="AU23" s="92"/>
      <c r="AV23" s="93"/>
      <c r="AW23" s="85"/>
      <c r="AX23" s="84"/>
      <c r="AY23" s="85"/>
      <c r="AZ23" s="94"/>
      <c r="BA23" s="88"/>
      <c r="BB23" s="89"/>
      <c r="BC23" s="89"/>
      <c r="BD23" s="89"/>
      <c r="BE23" s="89"/>
      <c r="BF23" s="89"/>
      <c r="BG23" s="89"/>
      <c r="BH23" s="89"/>
      <c r="BI23" s="89"/>
      <c r="BJ23" s="89"/>
      <c r="BK23" s="89"/>
      <c r="BL23" s="90"/>
      <c r="BM23" s="56"/>
      <c r="BN23" s="56"/>
    </row>
    <row r="24" spans="1:66" ht="24" customHeight="1" x14ac:dyDescent="0.45">
      <c r="A24" s="55"/>
      <c r="B24" s="55"/>
      <c r="C24" s="72">
        <f t="shared" si="0"/>
        <v>15</v>
      </c>
      <c r="D24" s="59"/>
      <c r="E24" s="60"/>
      <c r="F24" s="60"/>
      <c r="G24" s="61"/>
      <c r="H24" s="60"/>
      <c r="I24" s="60"/>
      <c r="J24" s="60"/>
      <c r="K24" s="60"/>
      <c r="L24" s="162" t="s">
        <v>180</v>
      </c>
      <c r="M24" s="155"/>
      <c r="N24" s="155"/>
      <c r="O24" s="163"/>
      <c r="P24" s="239" t="s">
        <v>111</v>
      </c>
      <c r="Q24" s="237"/>
      <c r="R24" s="237"/>
      <c r="S24" s="237"/>
      <c r="T24" s="237"/>
      <c r="U24" s="237"/>
      <c r="V24" s="237"/>
      <c r="W24" s="238"/>
      <c r="X24" s="239" t="s">
        <v>49</v>
      </c>
      <c r="Y24" s="237"/>
      <c r="Z24" s="237"/>
      <c r="AA24" s="237"/>
      <c r="AB24" s="237"/>
      <c r="AC24" s="237"/>
      <c r="AD24" s="237"/>
      <c r="AE24" s="238"/>
      <c r="AF24" s="239"/>
      <c r="AG24" s="237"/>
      <c r="AH24" s="237"/>
      <c r="AI24" s="237"/>
      <c r="AJ24" s="237"/>
      <c r="AK24" s="237"/>
      <c r="AL24" s="237"/>
      <c r="AM24" s="237"/>
      <c r="AN24" s="270"/>
      <c r="AO24" s="240">
        <v>45684</v>
      </c>
      <c r="AP24" s="241"/>
      <c r="AQ24" s="236" t="s">
        <v>156</v>
      </c>
      <c r="AR24" s="232"/>
      <c r="AS24" s="236" t="s">
        <v>157</v>
      </c>
      <c r="AT24" s="242"/>
      <c r="AU24" s="92"/>
      <c r="AV24" s="93"/>
      <c r="AW24" s="85"/>
      <c r="AX24" s="84"/>
      <c r="AY24" s="85"/>
      <c r="AZ24" s="94"/>
      <c r="BA24" s="88"/>
      <c r="BB24" s="89"/>
      <c r="BC24" s="89"/>
      <c r="BD24" s="89"/>
      <c r="BE24" s="89"/>
      <c r="BF24" s="89"/>
      <c r="BG24" s="89"/>
      <c r="BH24" s="89"/>
      <c r="BI24" s="89"/>
      <c r="BJ24" s="89"/>
      <c r="BK24" s="89"/>
      <c r="BL24" s="90"/>
      <c r="BM24" s="56"/>
      <c r="BN24" s="56"/>
    </row>
    <row r="25" spans="1:66" ht="24" customHeight="1" x14ac:dyDescent="0.45">
      <c r="A25" s="55"/>
      <c r="B25" s="55"/>
      <c r="C25" s="72">
        <f t="shared" si="0"/>
        <v>16</v>
      </c>
      <c r="D25" s="59"/>
      <c r="E25" s="60"/>
      <c r="F25" s="60"/>
      <c r="G25" s="61"/>
      <c r="H25" s="60"/>
      <c r="I25" s="60"/>
      <c r="J25" s="60"/>
      <c r="K25" s="60"/>
      <c r="L25" s="162" t="s">
        <v>181</v>
      </c>
      <c r="M25" s="155"/>
      <c r="N25" s="155"/>
      <c r="O25" s="163"/>
      <c r="P25" s="239" t="s">
        <v>111</v>
      </c>
      <c r="Q25" s="237"/>
      <c r="R25" s="237"/>
      <c r="S25" s="237"/>
      <c r="T25" s="237"/>
      <c r="U25" s="237"/>
      <c r="V25" s="237"/>
      <c r="W25" s="238"/>
      <c r="X25" s="239" t="s">
        <v>49</v>
      </c>
      <c r="Y25" s="237"/>
      <c r="Z25" s="237"/>
      <c r="AA25" s="237"/>
      <c r="AB25" s="237"/>
      <c r="AC25" s="237"/>
      <c r="AD25" s="237"/>
      <c r="AE25" s="238"/>
      <c r="AF25" s="239"/>
      <c r="AG25" s="237"/>
      <c r="AH25" s="237"/>
      <c r="AI25" s="237"/>
      <c r="AJ25" s="237"/>
      <c r="AK25" s="237"/>
      <c r="AL25" s="237"/>
      <c r="AM25" s="237"/>
      <c r="AN25" s="270"/>
      <c r="AO25" s="240">
        <v>45684</v>
      </c>
      <c r="AP25" s="241"/>
      <c r="AQ25" s="236" t="s">
        <v>156</v>
      </c>
      <c r="AR25" s="232"/>
      <c r="AS25" s="236" t="s">
        <v>157</v>
      </c>
      <c r="AT25" s="242"/>
      <c r="AU25" s="92"/>
      <c r="AV25" s="93"/>
      <c r="AW25" s="85"/>
      <c r="AX25" s="84"/>
      <c r="AY25" s="85"/>
      <c r="AZ25" s="94"/>
      <c r="BA25" s="88"/>
      <c r="BB25" s="89"/>
      <c r="BC25" s="89"/>
      <c r="BD25" s="89"/>
      <c r="BE25" s="89"/>
      <c r="BF25" s="89"/>
      <c r="BG25" s="89"/>
      <c r="BH25" s="89"/>
      <c r="BI25" s="89"/>
      <c r="BJ25" s="89"/>
      <c r="BK25" s="89"/>
      <c r="BL25" s="90"/>
      <c r="BM25" s="56"/>
      <c r="BN25" s="56"/>
    </row>
    <row r="26" spans="1:66" ht="24" customHeight="1" x14ac:dyDescent="0.45">
      <c r="A26" s="55"/>
      <c r="B26" s="55"/>
      <c r="C26" s="72">
        <f t="shared" si="0"/>
        <v>17</v>
      </c>
      <c r="D26" s="59"/>
      <c r="E26" s="60"/>
      <c r="F26" s="60"/>
      <c r="G26" s="61"/>
      <c r="H26" s="60"/>
      <c r="I26" s="60"/>
      <c r="J26" s="60"/>
      <c r="K26" s="60"/>
      <c r="L26" s="162" t="s">
        <v>91</v>
      </c>
      <c r="M26" s="155"/>
      <c r="N26" s="155"/>
      <c r="O26" s="163"/>
      <c r="P26" s="239" t="s">
        <v>111</v>
      </c>
      <c r="Q26" s="237"/>
      <c r="R26" s="237"/>
      <c r="S26" s="237"/>
      <c r="T26" s="237"/>
      <c r="U26" s="237"/>
      <c r="V26" s="237"/>
      <c r="W26" s="238"/>
      <c r="X26" s="239" t="s">
        <v>49</v>
      </c>
      <c r="Y26" s="237"/>
      <c r="Z26" s="237"/>
      <c r="AA26" s="237"/>
      <c r="AB26" s="237"/>
      <c r="AC26" s="237"/>
      <c r="AD26" s="237"/>
      <c r="AE26" s="238"/>
      <c r="AF26" s="239"/>
      <c r="AG26" s="237"/>
      <c r="AH26" s="237"/>
      <c r="AI26" s="237"/>
      <c r="AJ26" s="237"/>
      <c r="AK26" s="237"/>
      <c r="AL26" s="237"/>
      <c r="AM26" s="237"/>
      <c r="AN26" s="270"/>
      <c r="AO26" s="240">
        <v>45684</v>
      </c>
      <c r="AP26" s="241"/>
      <c r="AQ26" s="236" t="s">
        <v>156</v>
      </c>
      <c r="AR26" s="232"/>
      <c r="AS26" s="236" t="s">
        <v>157</v>
      </c>
      <c r="AT26" s="242"/>
      <c r="AU26" s="92"/>
      <c r="AV26" s="93"/>
      <c r="AW26" s="85"/>
      <c r="AX26" s="84"/>
      <c r="AY26" s="85"/>
      <c r="AZ26" s="94"/>
      <c r="BA26" s="88"/>
      <c r="BB26" s="89"/>
      <c r="BC26" s="89"/>
      <c r="BD26" s="89"/>
      <c r="BE26" s="89"/>
      <c r="BF26" s="89"/>
      <c r="BG26" s="89"/>
      <c r="BH26" s="89"/>
      <c r="BI26" s="89"/>
      <c r="BJ26" s="89"/>
      <c r="BK26" s="89"/>
      <c r="BL26" s="90"/>
      <c r="BM26" s="56"/>
      <c r="BN26" s="56"/>
    </row>
    <row r="27" spans="1:66" ht="24" customHeight="1" x14ac:dyDescent="0.45">
      <c r="A27" s="55"/>
      <c r="B27" s="55"/>
      <c r="C27" s="72">
        <f t="shared" si="0"/>
        <v>18</v>
      </c>
      <c r="D27" s="59"/>
      <c r="E27" s="60"/>
      <c r="F27" s="60"/>
      <c r="G27" s="61"/>
      <c r="H27" s="60"/>
      <c r="I27" s="60"/>
      <c r="J27" s="60"/>
      <c r="K27" s="60"/>
      <c r="L27" s="162" t="s">
        <v>44</v>
      </c>
      <c r="M27" s="155"/>
      <c r="N27" s="155"/>
      <c r="O27" s="163"/>
      <c r="P27" s="239" t="s">
        <v>111</v>
      </c>
      <c r="Q27" s="237"/>
      <c r="R27" s="237"/>
      <c r="S27" s="237"/>
      <c r="T27" s="237"/>
      <c r="U27" s="237"/>
      <c r="V27" s="237"/>
      <c r="W27" s="238"/>
      <c r="X27" s="239" t="s">
        <v>49</v>
      </c>
      <c r="Y27" s="237"/>
      <c r="Z27" s="237"/>
      <c r="AA27" s="237"/>
      <c r="AB27" s="237"/>
      <c r="AC27" s="237"/>
      <c r="AD27" s="237"/>
      <c r="AE27" s="238"/>
      <c r="AF27" s="239"/>
      <c r="AG27" s="237"/>
      <c r="AH27" s="237"/>
      <c r="AI27" s="237"/>
      <c r="AJ27" s="237"/>
      <c r="AK27" s="237"/>
      <c r="AL27" s="237"/>
      <c r="AM27" s="237"/>
      <c r="AN27" s="270"/>
      <c r="AO27" s="240">
        <v>45684</v>
      </c>
      <c r="AP27" s="241"/>
      <c r="AQ27" s="236" t="s">
        <v>156</v>
      </c>
      <c r="AR27" s="232"/>
      <c r="AS27" s="236" t="s">
        <v>157</v>
      </c>
      <c r="AT27" s="242"/>
      <c r="AU27" s="92"/>
      <c r="AV27" s="93"/>
      <c r="AW27" s="85"/>
      <c r="AX27" s="84"/>
      <c r="AY27" s="85"/>
      <c r="AZ27" s="94"/>
      <c r="BA27" s="88"/>
      <c r="BB27" s="89"/>
      <c r="BC27" s="89"/>
      <c r="BD27" s="89"/>
      <c r="BE27" s="89"/>
      <c r="BF27" s="89"/>
      <c r="BG27" s="89"/>
      <c r="BH27" s="89"/>
      <c r="BI27" s="89"/>
      <c r="BJ27" s="89"/>
      <c r="BK27" s="89"/>
      <c r="BL27" s="90"/>
      <c r="BM27" s="56"/>
      <c r="BN27" s="56"/>
    </row>
    <row r="28" spans="1:66" ht="24" customHeight="1" x14ac:dyDescent="0.45">
      <c r="A28" s="55"/>
      <c r="B28" s="55"/>
      <c r="C28" s="72">
        <f t="shared" si="0"/>
        <v>19</v>
      </c>
      <c r="D28" s="59"/>
      <c r="E28" s="60"/>
      <c r="F28" s="60"/>
      <c r="G28" s="61"/>
      <c r="H28" s="60"/>
      <c r="I28" s="60"/>
      <c r="J28" s="60"/>
      <c r="K28" s="60"/>
      <c r="L28" s="162" t="s">
        <v>45</v>
      </c>
      <c r="M28" s="155"/>
      <c r="N28" s="155"/>
      <c r="O28" s="163"/>
      <c r="P28" s="239" t="s">
        <v>111</v>
      </c>
      <c r="Q28" s="237"/>
      <c r="R28" s="237"/>
      <c r="S28" s="237"/>
      <c r="T28" s="237"/>
      <c r="U28" s="237"/>
      <c r="V28" s="237"/>
      <c r="W28" s="238"/>
      <c r="X28" s="239" t="s">
        <v>49</v>
      </c>
      <c r="Y28" s="237"/>
      <c r="Z28" s="237"/>
      <c r="AA28" s="237"/>
      <c r="AB28" s="237"/>
      <c r="AC28" s="237"/>
      <c r="AD28" s="237"/>
      <c r="AE28" s="238"/>
      <c r="AF28" s="239"/>
      <c r="AG28" s="237"/>
      <c r="AH28" s="237"/>
      <c r="AI28" s="237"/>
      <c r="AJ28" s="237"/>
      <c r="AK28" s="237"/>
      <c r="AL28" s="237"/>
      <c r="AM28" s="237"/>
      <c r="AN28" s="270"/>
      <c r="AO28" s="240">
        <v>45684</v>
      </c>
      <c r="AP28" s="241"/>
      <c r="AQ28" s="236" t="s">
        <v>156</v>
      </c>
      <c r="AR28" s="232"/>
      <c r="AS28" s="236" t="s">
        <v>157</v>
      </c>
      <c r="AT28" s="242"/>
      <c r="AU28" s="92"/>
      <c r="AV28" s="93"/>
      <c r="AW28" s="85"/>
      <c r="AX28" s="84"/>
      <c r="AY28" s="85"/>
      <c r="AZ28" s="94"/>
      <c r="BA28" s="88"/>
      <c r="BB28" s="89"/>
      <c r="BC28" s="89"/>
      <c r="BD28" s="89"/>
      <c r="BE28" s="89"/>
      <c r="BF28" s="89"/>
      <c r="BG28" s="89"/>
      <c r="BH28" s="89"/>
      <c r="BI28" s="89"/>
      <c r="BJ28" s="89"/>
      <c r="BK28" s="89"/>
      <c r="BL28" s="90"/>
      <c r="BM28" s="56"/>
      <c r="BN28" s="56"/>
    </row>
    <row r="29" spans="1:66" ht="24" customHeight="1" x14ac:dyDescent="0.45">
      <c r="A29" s="55"/>
      <c r="B29" s="55"/>
      <c r="C29" s="72">
        <f t="shared" si="0"/>
        <v>20</v>
      </c>
      <c r="D29" s="59"/>
      <c r="E29" s="60"/>
      <c r="F29" s="60"/>
      <c r="G29" s="61"/>
      <c r="H29" s="60"/>
      <c r="I29" s="60"/>
      <c r="J29" s="60"/>
      <c r="K29" s="60"/>
      <c r="L29" s="162" t="s">
        <v>92</v>
      </c>
      <c r="M29" s="155"/>
      <c r="N29" s="155"/>
      <c r="O29" s="163"/>
      <c r="P29" s="239" t="s">
        <v>111</v>
      </c>
      <c r="Q29" s="237"/>
      <c r="R29" s="237"/>
      <c r="S29" s="237"/>
      <c r="T29" s="237"/>
      <c r="U29" s="237"/>
      <c r="V29" s="237"/>
      <c r="W29" s="238"/>
      <c r="X29" s="239" t="s">
        <v>49</v>
      </c>
      <c r="Y29" s="237"/>
      <c r="Z29" s="237"/>
      <c r="AA29" s="237"/>
      <c r="AB29" s="237"/>
      <c r="AC29" s="237"/>
      <c r="AD29" s="237"/>
      <c r="AE29" s="238"/>
      <c r="AF29" s="239"/>
      <c r="AG29" s="237"/>
      <c r="AH29" s="237"/>
      <c r="AI29" s="237"/>
      <c r="AJ29" s="237"/>
      <c r="AK29" s="237"/>
      <c r="AL29" s="237"/>
      <c r="AM29" s="237"/>
      <c r="AN29" s="270"/>
      <c r="AO29" s="240">
        <v>45684</v>
      </c>
      <c r="AP29" s="241"/>
      <c r="AQ29" s="236" t="s">
        <v>156</v>
      </c>
      <c r="AR29" s="232"/>
      <c r="AS29" s="236" t="s">
        <v>157</v>
      </c>
      <c r="AT29" s="242"/>
      <c r="AU29" s="92"/>
      <c r="AV29" s="93"/>
      <c r="AW29" s="85"/>
      <c r="AX29" s="84"/>
      <c r="AY29" s="85"/>
      <c r="AZ29" s="94"/>
      <c r="BA29" s="88"/>
      <c r="BB29" s="89"/>
      <c r="BC29" s="89"/>
      <c r="BD29" s="89"/>
      <c r="BE29" s="89"/>
      <c r="BF29" s="89"/>
      <c r="BG29" s="89"/>
      <c r="BH29" s="89"/>
      <c r="BI29" s="89"/>
      <c r="BJ29" s="89"/>
      <c r="BK29" s="89"/>
      <c r="BL29" s="90"/>
      <c r="BM29" s="56"/>
      <c r="BN29" s="56"/>
    </row>
    <row r="30" spans="1:66" ht="24" customHeight="1" x14ac:dyDescent="0.45">
      <c r="A30" s="55"/>
      <c r="B30" s="55"/>
      <c r="C30" s="72">
        <f t="shared" si="0"/>
        <v>21</v>
      </c>
      <c r="D30" s="59"/>
      <c r="E30" s="60"/>
      <c r="F30" s="60"/>
      <c r="G30" s="61"/>
      <c r="H30" s="60"/>
      <c r="I30" s="60"/>
      <c r="J30" s="60"/>
      <c r="K30" s="60"/>
      <c r="L30" s="162" t="s">
        <v>93</v>
      </c>
      <c r="M30" s="155"/>
      <c r="N30" s="155"/>
      <c r="O30" s="163"/>
      <c r="P30" s="239" t="s">
        <v>111</v>
      </c>
      <c r="Q30" s="237"/>
      <c r="R30" s="237"/>
      <c r="S30" s="237"/>
      <c r="T30" s="237"/>
      <c r="U30" s="237"/>
      <c r="V30" s="237"/>
      <c r="W30" s="238"/>
      <c r="X30" s="239" t="s">
        <v>49</v>
      </c>
      <c r="Y30" s="237"/>
      <c r="Z30" s="237"/>
      <c r="AA30" s="237"/>
      <c r="AB30" s="237"/>
      <c r="AC30" s="237"/>
      <c r="AD30" s="237"/>
      <c r="AE30" s="238"/>
      <c r="AF30" s="239"/>
      <c r="AG30" s="237"/>
      <c r="AH30" s="237"/>
      <c r="AI30" s="237"/>
      <c r="AJ30" s="237"/>
      <c r="AK30" s="237"/>
      <c r="AL30" s="237"/>
      <c r="AM30" s="237"/>
      <c r="AN30" s="270"/>
      <c r="AO30" s="240">
        <v>45684</v>
      </c>
      <c r="AP30" s="241"/>
      <c r="AQ30" s="236" t="s">
        <v>156</v>
      </c>
      <c r="AR30" s="232"/>
      <c r="AS30" s="236" t="s">
        <v>157</v>
      </c>
      <c r="AT30" s="242"/>
      <c r="AU30" s="92"/>
      <c r="AV30" s="93"/>
      <c r="AW30" s="85"/>
      <c r="AX30" s="84"/>
      <c r="AY30" s="85"/>
      <c r="AZ30" s="94"/>
      <c r="BA30" s="88"/>
      <c r="BB30" s="89"/>
      <c r="BC30" s="89"/>
      <c r="BD30" s="89"/>
      <c r="BE30" s="89"/>
      <c r="BF30" s="89"/>
      <c r="BG30" s="89"/>
      <c r="BH30" s="89"/>
      <c r="BI30" s="89"/>
      <c r="BJ30" s="89"/>
      <c r="BK30" s="89"/>
      <c r="BL30" s="90"/>
      <c r="BM30" s="56"/>
      <c r="BN30" s="56"/>
    </row>
    <row r="31" spans="1:66" ht="24" customHeight="1" x14ac:dyDescent="0.45">
      <c r="A31" s="55"/>
      <c r="B31" s="55"/>
      <c r="C31" s="72">
        <f t="shared" si="0"/>
        <v>22</v>
      </c>
      <c r="D31" s="59"/>
      <c r="E31" s="60"/>
      <c r="F31" s="60"/>
      <c r="G31" s="61"/>
      <c r="H31" s="60"/>
      <c r="I31" s="60"/>
      <c r="J31" s="60"/>
      <c r="K31" s="60"/>
      <c r="L31" s="162" t="s">
        <v>94</v>
      </c>
      <c r="M31" s="155"/>
      <c r="N31" s="155"/>
      <c r="O31" s="163"/>
      <c r="P31" s="239" t="s">
        <v>111</v>
      </c>
      <c r="Q31" s="237"/>
      <c r="R31" s="237"/>
      <c r="S31" s="237"/>
      <c r="T31" s="237"/>
      <c r="U31" s="237"/>
      <c r="V31" s="237"/>
      <c r="W31" s="238"/>
      <c r="X31" s="239" t="s">
        <v>49</v>
      </c>
      <c r="Y31" s="237"/>
      <c r="Z31" s="237"/>
      <c r="AA31" s="237"/>
      <c r="AB31" s="237"/>
      <c r="AC31" s="237"/>
      <c r="AD31" s="237"/>
      <c r="AE31" s="238"/>
      <c r="AF31" s="239"/>
      <c r="AG31" s="237"/>
      <c r="AH31" s="237"/>
      <c r="AI31" s="237"/>
      <c r="AJ31" s="237"/>
      <c r="AK31" s="237"/>
      <c r="AL31" s="237"/>
      <c r="AM31" s="237"/>
      <c r="AN31" s="270"/>
      <c r="AO31" s="240">
        <v>45684</v>
      </c>
      <c r="AP31" s="241"/>
      <c r="AQ31" s="236" t="s">
        <v>156</v>
      </c>
      <c r="AR31" s="232"/>
      <c r="AS31" s="236" t="s">
        <v>157</v>
      </c>
      <c r="AT31" s="242"/>
      <c r="AU31" s="92"/>
      <c r="AV31" s="93"/>
      <c r="AW31" s="85"/>
      <c r="AX31" s="84"/>
      <c r="AY31" s="85"/>
      <c r="AZ31" s="94"/>
      <c r="BA31" s="88"/>
      <c r="BB31" s="89"/>
      <c r="BC31" s="89"/>
      <c r="BD31" s="89"/>
      <c r="BE31" s="89"/>
      <c r="BF31" s="89"/>
      <c r="BG31" s="89"/>
      <c r="BH31" s="89"/>
      <c r="BI31" s="89"/>
      <c r="BJ31" s="89"/>
      <c r="BK31" s="89"/>
      <c r="BL31" s="90"/>
      <c r="BM31" s="56"/>
      <c r="BN31" s="56"/>
    </row>
    <row r="32" spans="1:66" ht="24" customHeight="1" x14ac:dyDescent="0.45">
      <c r="A32" s="55"/>
      <c r="B32" s="55"/>
      <c r="C32" s="72">
        <f t="shared" si="0"/>
        <v>23</v>
      </c>
      <c r="D32" s="59"/>
      <c r="E32" s="60"/>
      <c r="F32" s="60"/>
      <c r="G32" s="61"/>
      <c r="H32" s="60"/>
      <c r="I32" s="60"/>
      <c r="J32" s="60"/>
      <c r="K32" s="60"/>
      <c r="L32" s="28" t="s">
        <v>46</v>
      </c>
      <c r="M32" s="155"/>
      <c r="N32" s="155"/>
      <c r="O32" s="163"/>
      <c r="P32" s="239" t="s">
        <v>111</v>
      </c>
      <c r="Q32" s="237"/>
      <c r="R32" s="237"/>
      <c r="S32" s="237"/>
      <c r="T32" s="237"/>
      <c r="U32" s="237"/>
      <c r="V32" s="237"/>
      <c r="W32" s="238"/>
      <c r="X32" s="239" t="s">
        <v>65</v>
      </c>
      <c r="Y32" s="237"/>
      <c r="Z32" s="237"/>
      <c r="AA32" s="237"/>
      <c r="AB32" s="237"/>
      <c r="AC32" s="237"/>
      <c r="AD32" s="237"/>
      <c r="AE32" s="238"/>
      <c r="AF32" s="239"/>
      <c r="AG32" s="237"/>
      <c r="AH32" s="237"/>
      <c r="AI32" s="237"/>
      <c r="AJ32" s="237"/>
      <c r="AK32" s="237"/>
      <c r="AL32" s="237"/>
      <c r="AM32" s="237"/>
      <c r="AN32" s="270"/>
      <c r="AO32" s="240">
        <v>45684</v>
      </c>
      <c r="AP32" s="241"/>
      <c r="AQ32" s="236" t="s">
        <v>156</v>
      </c>
      <c r="AR32" s="232"/>
      <c r="AS32" s="236" t="s">
        <v>157</v>
      </c>
      <c r="AT32" s="242"/>
      <c r="AU32" s="92"/>
      <c r="AV32" s="93"/>
      <c r="AW32" s="85"/>
      <c r="AX32" s="84"/>
      <c r="AY32" s="85"/>
      <c r="AZ32" s="94"/>
      <c r="BA32" s="88"/>
      <c r="BB32" s="89"/>
      <c r="BC32" s="89"/>
      <c r="BD32" s="89"/>
      <c r="BE32" s="89"/>
      <c r="BF32" s="89"/>
      <c r="BG32" s="89"/>
      <c r="BH32" s="89"/>
      <c r="BI32" s="89"/>
      <c r="BJ32" s="89"/>
      <c r="BK32" s="89"/>
      <c r="BL32" s="90"/>
      <c r="BM32" s="56"/>
      <c r="BN32" s="56"/>
    </row>
    <row r="33" spans="1:66" ht="24" customHeight="1" x14ac:dyDescent="0.45">
      <c r="A33" s="55"/>
      <c r="B33" s="55"/>
      <c r="C33" s="72">
        <f t="shared" si="0"/>
        <v>24</v>
      </c>
      <c r="D33" s="59"/>
      <c r="E33" s="60"/>
      <c r="F33" s="60"/>
      <c r="G33" s="61"/>
      <c r="H33" s="60"/>
      <c r="I33" s="60"/>
      <c r="J33" s="60"/>
      <c r="K33" s="60"/>
      <c r="L33" s="28" t="s">
        <v>47</v>
      </c>
      <c r="M33" s="155"/>
      <c r="N33" s="155"/>
      <c r="O33" s="163"/>
      <c r="P33" s="239" t="s">
        <v>111</v>
      </c>
      <c r="Q33" s="237"/>
      <c r="R33" s="237"/>
      <c r="S33" s="237"/>
      <c r="T33" s="237"/>
      <c r="U33" s="237"/>
      <c r="V33" s="237"/>
      <c r="W33" s="238"/>
      <c r="X33" s="239" t="s">
        <v>52</v>
      </c>
      <c r="Y33" s="237"/>
      <c r="Z33" s="237"/>
      <c r="AA33" s="237"/>
      <c r="AB33" s="237"/>
      <c r="AC33" s="237"/>
      <c r="AD33" s="237"/>
      <c r="AE33" s="238"/>
      <c r="AF33" s="239"/>
      <c r="AG33" s="237"/>
      <c r="AH33" s="237"/>
      <c r="AI33" s="237"/>
      <c r="AJ33" s="237"/>
      <c r="AK33" s="237"/>
      <c r="AL33" s="237"/>
      <c r="AM33" s="237"/>
      <c r="AN33" s="270"/>
      <c r="AO33" s="240">
        <v>45684</v>
      </c>
      <c r="AP33" s="241"/>
      <c r="AQ33" s="236" t="s">
        <v>156</v>
      </c>
      <c r="AR33" s="232"/>
      <c r="AS33" s="236" t="s">
        <v>157</v>
      </c>
      <c r="AT33" s="242"/>
      <c r="AU33" s="92"/>
      <c r="AV33" s="93"/>
      <c r="AW33" s="85"/>
      <c r="AX33" s="84"/>
      <c r="AY33" s="85"/>
      <c r="AZ33" s="94"/>
      <c r="BA33" s="88"/>
      <c r="BB33" s="89"/>
      <c r="BC33" s="89"/>
      <c r="BD33" s="89"/>
      <c r="BE33" s="89"/>
      <c r="BF33" s="89"/>
      <c r="BG33" s="89"/>
      <c r="BH33" s="89"/>
      <c r="BI33" s="89"/>
      <c r="BJ33" s="89"/>
      <c r="BK33" s="89"/>
      <c r="BL33" s="90"/>
      <c r="BM33" s="56"/>
      <c r="BN33" s="56"/>
    </row>
    <row r="34" spans="1:66" ht="24" customHeight="1" x14ac:dyDescent="0.45">
      <c r="A34" s="55"/>
      <c r="B34" s="55"/>
      <c r="C34" s="72">
        <f t="shared" si="0"/>
        <v>25</v>
      </c>
      <c r="D34" s="59"/>
      <c r="E34" s="60"/>
      <c r="F34" s="60"/>
      <c r="G34" s="61"/>
      <c r="H34" s="60"/>
      <c r="I34" s="60"/>
      <c r="J34" s="60"/>
      <c r="K34" s="60"/>
      <c r="L34" s="162" t="s">
        <v>95</v>
      </c>
      <c r="M34" s="155"/>
      <c r="N34" s="155"/>
      <c r="O34" s="163"/>
      <c r="P34" s="239" t="s">
        <v>111</v>
      </c>
      <c r="Q34" s="237"/>
      <c r="R34" s="237"/>
      <c r="S34" s="237"/>
      <c r="T34" s="237"/>
      <c r="U34" s="237"/>
      <c r="V34" s="237"/>
      <c r="W34" s="238"/>
      <c r="X34" s="239" t="s">
        <v>49</v>
      </c>
      <c r="Y34" s="237"/>
      <c r="Z34" s="237"/>
      <c r="AA34" s="237"/>
      <c r="AB34" s="237"/>
      <c r="AC34" s="237"/>
      <c r="AD34" s="237"/>
      <c r="AE34" s="238"/>
      <c r="AF34" s="239"/>
      <c r="AG34" s="237"/>
      <c r="AH34" s="237"/>
      <c r="AI34" s="237"/>
      <c r="AJ34" s="237"/>
      <c r="AK34" s="237"/>
      <c r="AL34" s="237"/>
      <c r="AM34" s="237"/>
      <c r="AN34" s="270"/>
      <c r="AO34" s="240">
        <v>45684</v>
      </c>
      <c r="AP34" s="241"/>
      <c r="AQ34" s="236" t="s">
        <v>156</v>
      </c>
      <c r="AR34" s="232"/>
      <c r="AS34" s="236" t="s">
        <v>157</v>
      </c>
      <c r="AT34" s="242"/>
      <c r="AU34" s="92"/>
      <c r="AV34" s="93"/>
      <c r="AW34" s="85"/>
      <c r="AX34" s="84"/>
      <c r="AY34" s="85"/>
      <c r="AZ34" s="94"/>
      <c r="BA34" s="88"/>
      <c r="BB34" s="89"/>
      <c r="BC34" s="89"/>
      <c r="BD34" s="89"/>
      <c r="BE34" s="89"/>
      <c r="BF34" s="89"/>
      <c r="BG34" s="89"/>
      <c r="BH34" s="89"/>
      <c r="BI34" s="89"/>
      <c r="BJ34" s="89"/>
      <c r="BK34" s="89"/>
      <c r="BL34" s="90"/>
      <c r="BM34" s="56"/>
      <c r="BN34" s="56"/>
    </row>
    <row r="35" spans="1:66" ht="24" customHeight="1" x14ac:dyDescent="0.45">
      <c r="A35" s="55"/>
      <c r="B35" s="55"/>
      <c r="C35" s="72">
        <f t="shared" si="0"/>
        <v>26</v>
      </c>
      <c r="D35" s="59"/>
      <c r="E35" s="60"/>
      <c r="F35" s="60"/>
      <c r="G35" s="61"/>
      <c r="H35" s="60"/>
      <c r="I35" s="60"/>
      <c r="J35" s="60"/>
      <c r="K35" s="60"/>
      <c r="L35" s="162" t="s">
        <v>96</v>
      </c>
      <c r="M35" s="155"/>
      <c r="N35" s="155"/>
      <c r="O35" s="163"/>
      <c r="P35" s="239" t="s">
        <v>111</v>
      </c>
      <c r="Q35" s="237"/>
      <c r="R35" s="237"/>
      <c r="S35" s="237"/>
      <c r="T35" s="237"/>
      <c r="U35" s="237"/>
      <c r="V35" s="237"/>
      <c r="W35" s="238"/>
      <c r="X35" s="239" t="s">
        <v>52</v>
      </c>
      <c r="Y35" s="237"/>
      <c r="Z35" s="237"/>
      <c r="AA35" s="237"/>
      <c r="AB35" s="237"/>
      <c r="AC35" s="237"/>
      <c r="AD35" s="237"/>
      <c r="AE35" s="238"/>
      <c r="AF35" s="239"/>
      <c r="AG35" s="237"/>
      <c r="AH35" s="237"/>
      <c r="AI35" s="237"/>
      <c r="AJ35" s="237"/>
      <c r="AK35" s="237"/>
      <c r="AL35" s="237"/>
      <c r="AM35" s="237"/>
      <c r="AN35" s="270"/>
      <c r="AO35" s="240">
        <v>45684</v>
      </c>
      <c r="AP35" s="241"/>
      <c r="AQ35" s="236" t="s">
        <v>156</v>
      </c>
      <c r="AR35" s="232"/>
      <c r="AS35" s="236" t="s">
        <v>157</v>
      </c>
      <c r="AT35" s="242"/>
      <c r="AU35" s="92"/>
      <c r="AV35" s="93"/>
      <c r="AW35" s="85"/>
      <c r="AX35" s="84"/>
      <c r="AY35" s="85"/>
      <c r="AZ35" s="94"/>
      <c r="BA35" s="88"/>
      <c r="BB35" s="89"/>
      <c r="BC35" s="89"/>
      <c r="BD35" s="89"/>
      <c r="BE35" s="89"/>
      <c r="BF35" s="89"/>
      <c r="BG35" s="89"/>
      <c r="BH35" s="89"/>
      <c r="BI35" s="89"/>
      <c r="BJ35" s="89"/>
      <c r="BK35" s="89"/>
      <c r="BL35" s="90"/>
      <c r="BM35" s="56"/>
      <c r="BN35" s="56"/>
    </row>
    <row r="36" spans="1:66" ht="24" customHeight="1" x14ac:dyDescent="0.45">
      <c r="A36" s="55"/>
      <c r="B36" s="55"/>
      <c r="C36" s="72">
        <f t="shared" si="0"/>
        <v>27</v>
      </c>
      <c r="D36" s="59"/>
      <c r="E36" s="60"/>
      <c r="F36" s="60"/>
      <c r="G36" s="61"/>
      <c r="H36" s="60"/>
      <c r="I36" s="60"/>
      <c r="J36" s="60"/>
      <c r="K36" s="60"/>
      <c r="L36" s="162" t="s">
        <v>97</v>
      </c>
      <c r="M36" s="155"/>
      <c r="N36" s="155"/>
      <c r="O36" s="163"/>
      <c r="P36" s="239" t="s">
        <v>111</v>
      </c>
      <c r="Q36" s="237"/>
      <c r="R36" s="237"/>
      <c r="S36" s="237"/>
      <c r="T36" s="237"/>
      <c r="U36" s="237"/>
      <c r="V36" s="237"/>
      <c r="W36" s="238"/>
      <c r="X36" s="239" t="s">
        <v>65</v>
      </c>
      <c r="Y36" s="237"/>
      <c r="Z36" s="237"/>
      <c r="AA36" s="237"/>
      <c r="AB36" s="237"/>
      <c r="AC36" s="237"/>
      <c r="AD36" s="237"/>
      <c r="AE36" s="238"/>
      <c r="AF36" s="239"/>
      <c r="AG36" s="237"/>
      <c r="AH36" s="237"/>
      <c r="AI36" s="237"/>
      <c r="AJ36" s="237"/>
      <c r="AK36" s="237"/>
      <c r="AL36" s="237"/>
      <c r="AM36" s="237"/>
      <c r="AN36" s="270"/>
      <c r="AO36" s="240">
        <v>45684</v>
      </c>
      <c r="AP36" s="241"/>
      <c r="AQ36" s="236" t="s">
        <v>156</v>
      </c>
      <c r="AR36" s="232"/>
      <c r="AS36" s="236" t="s">
        <v>157</v>
      </c>
      <c r="AT36" s="242"/>
      <c r="AU36" s="92"/>
      <c r="AV36" s="93"/>
      <c r="AW36" s="85"/>
      <c r="AX36" s="84"/>
      <c r="AY36" s="85"/>
      <c r="AZ36" s="94"/>
      <c r="BA36" s="88"/>
      <c r="BB36" s="89"/>
      <c r="BC36" s="89"/>
      <c r="BD36" s="89"/>
      <c r="BE36" s="89"/>
      <c r="BF36" s="89"/>
      <c r="BG36" s="89"/>
      <c r="BH36" s="89"/>
      <c r="BI36" s="89"/>
      <c r="BJ36" s="89"/>
      <c r="BK36" s="89"/>
      <c r="BL36" s="90"/>
      <c r="BM36" s="56"/>
      <c r="BN36" s="56"/>
    </row>
    <row r="37" spans="1:66" ht="24" customHeight="1" x14ac:dyDescent="0.45">
      <c r="A37" s="55"/>
      <c r="B37" s="55"/>
      <c r="C37" s="72">
        <f t="shared" si="0"/>
        <v>28</v>
      </c>
      <c r="D37" s="59"/>
      <c r="E37" s="60"/>
      <c r="F37" s="60"/>
      <c r="G37" s="61"/>
      <c r="H37" s="60"/>
      <c r="I37" s="60"/>
      <c r="J37" s="60"/>
      <c r="K37" s="60"/>
      <c r="L37" s="162" t="s">
        <v>98</v>
      </c>
      <c r="M37" s="155"/>
      <c r="N37" s="155"/>
      <c r="O37" s="163"/>
      <c r="P37" s="239" t="s">
        <v>111</v>
      </c>
      <c r="Q37" s="237"/>
      <c r="R37" s="237"/>
      <c r="S37" s="237"/>
      <c r="T37" s="237"/>
      <c r="U37" s="237"/>
      <c r="V37" s="237"/>
      <c r="W37" s="238"/>
      <c r="X37" s="239" t="s">
        <v>52</v>
      </c>
      <c r="Y37" s="237"/>
      <c r="Z37" s="237"/>
      <c r="AA37" s="237"/>
      <c r="AB37" s="237"/>
      <c r="AC37" s="237"/>
      <c r="AD37" s="237"/>
      <c r="AE37" s="238"/>
      <c r="AF37" s="239"/>
      <c r="AG37" s="237"/>
      <c r="AH37" s="237"/>
      <c r="AI37" s="237"/>
      <c r="AJ37" s="237"/>
      <c r="AK37" s="237"/>
      <c r="AL37" s="237"/>
      <c r="AM37" s="237"/>
      <c r="AN37" s="270"/>
      <c r="AO37" s="240">
        <v>45684</v>
      </c>
      <c r="AP37" s="241"/>
      <c r="AQ37" s="236" t="s">
        <v>156</v>
      </c>
      <c r="AR37" s="232"/>
      <c r="AS37" s="236" t="s">
        <v>157</v>
      </c>
      <c r="AT37" s="242"/>
      <c r="AU37" s="92"/>
      <c r="AV37" s="93"/>
      <c r="AW37" s="85"/>
      <c r="AX37" s="84"/>
      <c r="AY37" s="85"/>
      <c r="AZ37" s="94"/>
      <c r="BA37" s="88"/>
      <c r="BB37" s="89"/>
      <c r="BC37" s="89"/>
      <c r="BD37" s="89"/>
      <c r="BE37" s="89"/>
      <c r="BF37" s="89"/>
      <c r="BG37" s="89"/>
      <c r="BH37" s="89"/>
      <c r="BI37" s="89"/>
      <c r="BJ37" s="89"/>
      <c r="BK37" s="89"/>
      <c r="BL37" s="90"/>
      <c r="BM37" s="56"/>
      <c r="BN37" s="56"/>
    </row>
    <row r="38" spans="1:66" ht="24" customHeight="1" x14ac:dyDescent="0.45">
      <c r="A38" s="55"/>
      <c r="B38" s="55"/>
      <c r="C38" s="72">
        <f t="shared" si="0"/>
        <v>29</v>
      </c>
      <c r="D38" s="59"/>
      <c r="E38" s="60"/>
      <c r="F38" s="60"/>
      <c r="G38" s="61"/>
      <c r="H38" s="60"/>
      <c r="I38" s="60"/>
      <c r="J38" s="60"/>
      <c r="K38" s="60"/>
      <c r="L38" s="162" t="s">
        <v>99</v>
      </c>
      <c r="M38" s="155"/>
      <c r="N38" s="155"/>
      <c r="O38" s="163"/>
      <c r="P38" s="239" t="s">
        <v>111</v>
      </c>
      <c r="Q38" s="237"/>
      <c r="R38" s="237"/>
      <c r="S38" s="237"/>
      <c r="T38" s="237"/>
      <c r="U38" s="237"/>
      <c r="V38" s="237"/>
      <c r="W38" s="238"/>
      <c r="X38" s="239" t="s">
        <v>65</v>
      </c>
      <c r="Y38" s="237"/>
      <c r="Z38" s="237"/>
      <c r="AA38" s="237"/>
      <c r="AB38" s="237"/>
      <c r="AC38" s="237"/>
      <c r="AD38" s="237"/>
      <c r="AE38" s="238"/>
      <c r="AF38" s="239"/>
      <c r="AG38" s="237"/>
      <c r="AH38" s="237"/>
      <c r="AI38" s="237"/>
      <c r="AJ38" s="237"/>
      <c r="AK38" s="237"/>
      <c r="AL38" s="237"/>
      <c r="AM38" s="237"/>
      <c r="AN38" s="270"/>
      <c r="AO38" s="240">
        <v>45684</v>
      </c>
      <c r="AP38" s="241"/>
      <c r="AQ38" s="236" t="s">
        <v>156</v>
      </c>
      <c r="AR38" s="232"/>
      <c r="AS38" s="236" t="s">
        <v>157</v>
      </c>
      <c r="AT38" s="242"/>
      <c r="AU38" s="92"/>
      <c r="AV38" s="93"/>
      <c r="AW38" s="85"/>
      <c r="AX38" s="84"/>
      <c r="AY38" s="85"/>
      <c r="AZ38" s="94"/>
      <c r="BA38" s="88"/>
      <c r="BB38" s="89"/>
      <c r="BC38" s="89"/>
      <c r="BD38" s="89"/>
      <c r="BE38" s="89"/>
      <c r="BF38" s="89"/>
      <c r="BG38" s="89"/>
      <c r="BH38" s="89"/>
      <c r="BI38" s="89"/>
      <c r="BJ38" s="89"/>
      <c r="BK38" s="89"/>
      <c r="BL38" s="90"/>
      <c r="BM38" s="56"/>
      <c r="BN38" s="56"/>
    </row>
    <row r="39" spans="1:66" ht="24" customHeight="1" x14ac:dyDescent="0.45">
      <c r="A39" s="55"/>
      <c r="B39" s="55"/>
      <c r="C39" s="72">
        <f t="shared" si="0"/>
        <v>30</v>
      </c>
      <c r="D39" s="59"/>
      <c r="E39" s="60"/>
      <c r="F39" s="60"/>
      <c r="G39" s="61"/>
      <c r="H39" s="60"/>
      <c r="I39" s="60"/>
      <c r="J39" s="60"/>
      <c r="K39" s="60"/>
      <c r="L39" s="162" t="s">
        <v>100</v>
      </c>
      <c r="M39" s="180"/>
      <c r="N39" s="180"/>
      <c r="O39" s="181"/>
      <c r="P39" s="239" t="s">
        <v>111</v>
      </c>
      <c r="Q39" s="237"/>
      <c r="R39" s="237"/>
      <c r="S39" s="237"/>
      <c r="T39" s="237"/>
      <c r="U39" s="237"/>
      <c r="V39" s="237"/>
      <c r="W39" s="238"/>
      <c r="X39" s="239" t="s">
        <v>49</v>
      </c>
      <c r="Y39" s="237"/>
      <c r="Z39" s="237"/>
      <c r="AA39" s="237"/>
      <c r="AB39" s="237"/>
      <c r="AC39" s="237"/>
      <c r="AD39" s="237"/>
      <c r="AE39" s="238"/>
      <c r="AF39" s="239"/>
      <c r="AG39" s="237"/>
      <c r="AH39" s="237"/>
      <c r="AI39" s="237"/>
      <c r="AJ39" s="237"/>
      <c r="AK39" s="237"/>
      <c r="AL39" s="237"/>
      <c r="AM39" s="237"/>
      <c r="AN39" s="270"/>
      <c r="AO39" s="240">
        <v>45684</v>
      </c>
      <c r="AP39" s="241"/>
      <c r="AQ39" s="236" t="s">
        <v>156</v>
      </c>
      <c r="AR39" s="232"/>
      <c r="AS39" s="236" t="s">
        <v>157</v>
      </c>
      <c r="AT39" s="242"/>
      <c r="AU39" s="92"/>
      <c r="AV39" s="93"/>
      <c r="AW39" s="85"/>
      <c r="AX39" s="84"/>
      <c r="AY39" s="85"/>
      <c r="AZ39" s="94"/>
      <c r="BA39" s="88"/>
      <c r="BB39" s="89"/>
      <c r="BC39" s="89"/>
      <c r="BD39" s="89"/>
      <c r="BE39" s="89"/>
      <c r="BF39" s="89"/>
      <c r="BG39" s="89"/>
      <c r="BH39" s="89"/>
      <c r="BI39" s="89"/>
      <c r="BJ39" s="89"/>
      <c r="BK39" s="89"/>
      <c r="BL39" s="90"/>
      <c r="BM39" s="56"/>
      <c r="BN39" s="56"/>
    </row>
    <row r="40" spans="1:66" ht="24" customHeight="1" x14ac:dyDescent="0.45">
      <c r="A40" s="55"/>
      <c r="B40" s="55"/>
      <c r="C40" s="72">
        <f t="shared" si="0"/>
        <v>31</v>
      </c>
      <c r="D40" s="59"/>
      <c r="E40" s="60"/>
      <c r="F40" s="60"/>
      <c r="G40" s="61"/>
      <c r="H40" s="60"/>
      <c r="I40" s="60"/>
      <c r="J40" s="60"/>
      <c r="K40" s="60"/>
      <c r="L40" s="162" t="s">
        <v>101</v>
      </c>
      <c r="M40" s="180"/>
      <c r="N40" s="180"/>
      <c r="O40" s="181"/>
      <c r="P40" s="239" t="s">
        <v>111</v>
      </c>
      <c r="Q40" s="237"/>
      <c r="R40" s="237"/>
      <c r="S40" s="237"/>
      <c r="T40" s="237"/>
      <c r="U40" s="237"/>
      <c r="V40" s="237"/>
      <c r="W40" s="238"/>
      <c r="X40" s="239" t="s">
        <v>49</v>
      </c>
      <c r="Y40" s="237"/>
      <c r="Z40" s="237"/>
      <c r="AA40" s="237"/>
      <c r="AB40" s="237"/>
      <c r="AC40" s="237"/>
      <c r="AD40" s="237"/>
      <c r="AE40" s="238"/>
      <c r="AF40" s="239"/>
      <c r="AG40" s="237"/>
      <c r="AH40" s="237"/>
      <c r="AI40" s="237"/>
      <c r="AJ40" s="237"/>
      <c r="AK40" s="237"/>
      <c r="AL40" s="237"/>
      <c r="AM40" s="237"/>
      <c r="AN40" s="270"/>
      <c r="AO40" s="240">
        <v>45684</v>
      </c>
      <c r="AP40" s="241"/>
      <c r="AQ40" s="236" t="s">
        <v>156</v>
      </c>
      <c r="AR40" s="232"/>
      <c r="AS40" s="236" t="s">
        <v>157</v>
      </c>
      <c r="AT40" s="242"/>
      <c r="AU40" s="92"/>
      <c r="AV40" s="93"/>
      <c r="AW40" s="85"/>
      <c r="AX40" s="84"/>
      <c r="AY40" s="85"/>
      <c r="AZ40" s="94"/>
      <c r="BA40" s="88"/>
      <c r="BB40" s="89"/>
      <c r="BC40" s="89"/>
      <c r="BD40" s="89"/>
      <c r="BE40" s="89"/>
      <c r="BF40" s="89"/>
      <c r="BG40" s="89"/>
      <c r="BH40" s="89"/>
      <c r="BI40" s="89"/>
      <c r="BJ40" s="89"/>
      <c r="BK40" s="89"/>
      <c r="BL40" s="90"/>
      <c r="BM40" s="56"/>
      <c r="BN40" s="56"/>
    </row>
    <row r="41" spans="1:66" ht="24" customHeight="1" x14ac:dyDescent="0.45">
      <c r="A41" s="55"/>
      <c r="B41" s="55"/>
      <c r="C41" s="72">
        <f t="shared" si="0"/>
        <v>32</v>
      </c>
      <c r="D41" s="59"/>
      <c r="E41" s="60"/>
      <c r="F41" s="60"/>
      <c r="G41" s="61"/>
      <c r="H41" s="60"/>
      <c r="I41" s="60"/>
      <c r="J41" s="60"/>
      <c r="K41" s="60"/>
      <c r="L41" s="162" t="s">
        <v>182</v>
      </c>
      <c r="M41" s="180"/>
      <c r="N41" s="180"/>
      <c r="O41" s="181"/>
      <c r="P41" s="239" t="s">
        <v>111</v>
      </c>
      <c r="Q41" s="237"/>
      <c r="R41" s="237"/>
      <c r="S41" s="237"/>
      <c r="T41" s="237"/>
      <c r="U41" s="237"/>
      <c r="V41" s="237"/>
      <c r="W41" s="238"/>
      <c r="X41" s="239" t="s">
        <v>49</v>
      </c>
      <c r="Y41" s="237"/>
      <c r="Z41" s="237"/>
      <c r="AA41" s="237"/>
      <c r="AB41" s="237"/>
      <c r="AC41" s="237"/>
      <c r="AD41" s="237"/>
      <c r="AE41" s="238"/>
      <c r="AF41" s="239"/>
      <c r="AG41" s="237"/>
      <c r="AH41" s="237"/>
      <c r="AI41" s="237"/>
      <c r="AJ41" s="237"/>
      <c r="AK41" s="237"/>
      <c r="AL41" s="237"/>
      <c r="AM41" s="237"/>
      <c r="AN41" s="270"/>
      <c r="AO41" s="240">
        <v>45684</v>
      </c>
      <c r="AP41" s="241"/>
      <c r="AQ41" s="236" t="s">
        <v>156</v>
      </c>
      <c r="AR41" s="232"/>
      <c r="AS41" s="236" t="s">
        <v>157</v>
      </c>
      <c r="AT41" s="242"/>
      <c r="AU41" s="92"/>
      <c r="AV41" s="93"/>
      <c r="AW41" s="85"/>
      <c r="AX41" s="84"/>
      <c r="AY41" s="85"/>
      <c r="AZ41" s="94"/>
      <c r="BA41" s="88"/>
      <c r="BB41" s="89"/>
      <c r="BC41" s="89"/>
      <c r="BD41" s="89"/>
      <c r="BE41" s="89"/>
      <c r="BF41" s="89"/>
      <c r="BG41" s="89"/>
      <c r="BH41" s="89"/>
      <c r="BI41" s="89"/>
      <c r="BJ41" s="89"/>
      <c r="BK41" s="89"/>
      <c r="BL41" s="90"/>
      <c r="BM41" s="56"/>
      <c r="BN41" s="56"/>
    </row>
    <row r="42" spans="1:66" ht="24" customHeight="1" x14ac:dyDescent="0.45">
      <c r="A42" s="55"/>
      <c r="B42" s="55"/>
      <c r="C42" s="72">
        <f t="shared" si="0"/>
        <v>33</v>
      </c>
      <c r="D42" s="59"/>
      <c r="E42" s="60"/>
      <c r="F42" s="60"/>
      <c r="G42" s="61"/>
      <c r="H42" s="60"/>
      <c r="I42" s="60"/>
      <c r="J42" s="60"/>
      <c r="K42" s="60"/>
      <c r="L42" s="162" t="s">
        <v>102</v>
      </c>
      <c r="M42" s="180"/>
      <c r="N42" s="180"/>
      <c r="O42" s="181"/>
      <c r="P42" s="239" t="s">
        <v>111</v>
      </c>
      <c r="Q42" s="237"/>
      <c r="R42" s="237"/>
      <c r="S42" s="237"/>
      <c r="T42" s="237"/>
      <c r="U42" s="237"/>
      <c r="V42" s="237"/>
      <c r="W42" s="238"/>
      <c r="X42" s="239" t="s">
        <v>49</v>
      </c>
      <c r="Y42" s="237"/>
      <c r="Z42" s="237"/>
      <c r="AA42" s="237"/>
      <c r="AB42" s="237"/>
      <c r="AC42" s="237"/>
      <c r="AD42" s="237"/>
      <c r="AE42" s="238"/>
      <c r="AF42" s="239"/>
      <c r="AG42" s="237"/>
      <c r="AH42" s="237"/>
      <c r="AI42" s="237"/>
      <c r="AJ42" s="237"/>
      <c r="AK42" s="237"/>
      <c r="AL42" s="237"/>
      <c r="AM42" s="237"/>
      <c r="AN42" s="270"/>
      <c r="AO42" s="240">
        <v>45684</v>
      </c>
      <c r="AP42" s="241"/>
      <c r="AQ42" s="236" t="s">
        <v>156</v>
      </c>
      <c r="AR42" s="232"/>
      <c r="AS42" s="236" t="s">
        <v>157</v>
      </c>
      <c r="AT42" s="242"/>
      <c r="AU42" s="92"/>
      <c r="AV42" s="93"/>
      <c r="AW42" s="85"/>
      <c r="AX42" s="84"/>
      <c r="AY42" s="85"/>
      <c r="AZ42" s="94"/>
      <c r="BA42" s="88"/>
      <c r="BB42" s="89"/>
      <c r="BC42" s="89"/>
      <c r="BD42" s="89"/>
      <c r="BE42" s="89"/>
      <c r="BF42" s="89"/>
      <c r="BG42" s="89"/>
      <c r="BH42" s="89"/>
      <c r="BI42" s="89"/>
      <c r="BJ42" s="89"/>
      <c r="BK42" s="89"/>
      <c r="BL42" s="90"/>
      <c r="BM42" s="56"/>
      <c r="BN42" s="56"/>
    </row>
    <row r="43" spans="1:66" ht="24" customHeight="1" x14ac:dyDescent="0.45">
      <c r="A43" s="55"/>
      <c r="B43" s="55"/>
      <c r="C43" s="72">
        <f t="shared" si="0"/>
        <v>34</v>
      </c>
      <c r="D43" s="59"/>
      <c r="E43" s="60"/>
      <c r="F43" s="60"/>
      <c r="G43" s="61"/>
      <c r="H43" s="60"/>
      <c r="I43" s="60"/>
      <c r="J43" s="60"/>
      <c r="K43" s="60"/>
      <c r="L43" s="162" t="s">
        <v>103</v>
      </c>
      <c r="M43" s="180"/>
      <c r="N43" s="180"/>
      <c r="O43" s="181"/>
      <c r="P43" s="239" t="s">
        <v>111</v>
      </c>
      <c r="Q43" s="237"/>
      <c r="R43" s="237"/>
      <c r="S43" s="237"/>
      <c r="T43" s="237"/>
      <c r="U43" s="237"/>
      <c r="V43" s="237"/>
      <c r="W43" s="238"/>
      <c r="X43" s="239" t="s">
        <v>49</v>
      </c>
      <c r="Y43" s="237"/>
      <c r="Z43" s="237"/>
      <c r="AA43" s="237"/>
      <c r="AB43" s="237"/>
      <c r="AC43" s="237"/>
      <c r="AD43" s="237"/>
      <c r="AE43" s="238"/>
      <c r="AF43" s="239"/>
      <c r="AG43" s="237"/>
      <c r="AH43" s="237"/>
      <c r="AI43" s="237"/>
      <c r="AJ43" s="237"/>
      <c r="AK43" s="237"/>
      <c r="AL43" s="237"/>
      <c r="AM43" s="237"/>
      <c r="AN43" s="270"/>
      <c r="AO43" s="240">
        <v>45684</v>
      </c>
      <c r="AP43" s="241"/>
      <c r="AQ43" s="236" t="s">
        <v>156</v>
      </c>
      <c r="AR43" s="232"/>
      <c r="AS43" s="236" t="s">
        <v>157</v>
      </c>
      <c r="AT43" s="242"/>
      <c r="AU43" s="105"/>
      <c r="AV43" s="106"/>
      <c r="AW43" s="96"/>
      <c r="AX43" s="97"/>
      <c r="AY43" s="96"/>
      <c r="AZ43" s="107"/>
      <c r="BA43" s="101"/>
      <c r="BB43" s="102"/>
      <c r="BC43" s="102"/>
      <c r="BD43" s="102"/>
      <c r="BE43" s="102"/>
      <c r="BF43" s="102"/>
      <c r="BG43" s="102"/>
      <c r="BH43" s="102"/>
      <c r="BI43" s="102"/>
      <c r="BJ43" s="102"/>
      <c r="BK43" s="102"/>
      <c r="BL43" s="103"/>
      <c r="BM43" s="56"/>
      <c r="BN43" s="56"/>
    </row>
    <row r="44" spans="1:66" ht="24" customHeight="1" x14ac:dyDescent="0.45">
      <c r="A44" s="55"/>
      <c r="B44" s="55"/>
      <c r="C44" s="72">
        <f t="shared" si="0"/>
        <v>35</v>
      </c>
      <c r="D44" s="59"/>
      <c r="E44" s="165"/>
      <c r="F44" s="165"/>
      <c r="G44" s="61"/>
      <c r="H44" s="165"/>
      <c r="I44" s="165"/>
      <c r="J44" s="165"/>
      <c r="K44" s="165"/>
      <c r="L44" s="162" t="s">
        <v>104</v>
      </c>
      <c r="M44" s="180"/>
      <c r="N44" s="180"/>
      <c r="O44" s="181"/>
      <c r="P44" s="239" t="s">
        <v>111</v>
      </c>
      <c r="Q44" s="237"/>
      <c r="R44" s="237"/>
      <c r="S44" s="237"/>
      <c r="T44" s="237"/>
      <c r="U44" s="237"/>
      <c r="V44" s="237"/>
      <c r="W44" s="238"/>
      <c r="X44" s="239" t="s">
        <v>49</v>
      </c>
      <c r="Y44" s="237"/>
      <c r="Z44" s="237"/>
      <c r="AA44" s="237"/>
      <c r="AB44" s="237"/>
      <c r="AC44" s="237"/>
      <c r="AD44" s="237"/>
      <c r="AE44" s="238"/>
      <c r="AF44" s="149"/>
      <c r="AG44" s="150"/>
      <c r="AH44" s="150"/>
      <c r="AI44" s="150"/>
      <c r="AJ44" s="150"/>
      <c r="AK44" s="150"/>
      <c r="AL44" s="150"/>
      <c r="AM44" s="150"/>
      <c r="AN44" s="152"/>
      <c r="AO44" s="240">
        <v>45684</v>
      </c>
      <c r="AP44" s="241"/>
      <c r="AQ44" s="236" t="s">
        <v>156</v>
      </c>
      <c r="AR44" s="232"/>
      <c r="AS44" s="236" t="s">
        <v>157</v>
      </c>
      <c r="AT44" s="242"/>
      <c r="AU44" s="157"/>
      <c r="AV44" s="158"/>
      <c r="AW44" s="147"/>
      <c r="AX44" s="148"/>
      <c r="AY44" s="147"/>
      <c r="AZ44" s="159"/>
      <c r="BA44" s="154"/>
      <c r="BB44" s="155"/>
      <c r="BC44" s="155"/>
      <c r="BD44" s="155"/>
      <c r="BE44" s="155"/>
      <c r="BF44" s="155"/>
      <c r="BG44" s="155"/>
      <c r="BH44" s="155"/>
      <c r="BI44" s="155"/>
      <c r="BJ44" s="155"/>
      <c r="BK44" s="155"/>
      <c r="BL44" s="156"/>
      <c r="BM44" s="56"/>
      <c r="BN44" s="56"/>
    </row>
    <row r="45" spans="1:66" ht="24" customHeight="1" x14ac:dyDescent="0.45">
      <c r="A45" s="55"/>
      <c r="B45" s="55"/>
      <c r="C45" s="72">
        <f t="shared" si="0"/>
        <v>36</v>
      </c>
      <c r="D45" s="59"/>
      <c r="E45" s="165"/>
      <c r="F45" s="165"/>
      <c r="G45" s="61"/>
      <c r="H45" s="165"/>
      <c r="I45" s="165"/>
      <c r="J45" s="165"/>
      <c r="K45" s="165"/>
      <c r="L45" s="162" t="s">
        <v>105</v>
      </c>
      <c r="M45" s="180"/>
      <c r="N45" s="180"/>
      <c r="O45" s="181"/>
      <c r="P45" s="239" t="s">
        <v>111</v>
      </c>
      <c r="Q45" s="237"/>
      <c r="R45" s="237"/>
      <c r="S45" s="237"/>
      <c r="T45" s="237"/>
      <c r="U45" s="237"/>
      <c r="V45" s="237"/>
      <c r="W45" s="238"/>
      <c r="X45" s="239" t="s">
        <v>49</v>
      </c>
      <c r="Y45" s="237"/>
      <c r="Z45" s="237"/>
      <c r="AA45" s="237"/>
      <c r="AB45" s="237"/>
      <c r="AC45" s="237"/>
      <c r="AD45" s="237"/>
      <c r="AE45" s="238"/>
      <c r="AF45" s="149"/>
      <c r="AG45" s="150"/>
      <c r="AH45" s="150"/>
      <c r="AI45" s="150"/>
      <c r="AJ45" s="150"/>
      <c r="AK45" s="150"/>
      <c r="AL45" s="150"/>
      <c r="AM45" s="150"/>
      <c r="AN45" s="152"/>
      <c r="AO45" s="240">
        <v>45684</v>
      </c>
      <c r="AP45" s="241"/>
      <c r="AQ45" s="236" t="s">
        <v>156</v>
      </c>
      <c r="AR45" s="232"/>
      <c r="AS45" s="236" t="s">
        <v>157</v>
      </c>
      <c r="AT45" s="242"/>
      <c r="AU45" s="157"/>
      <c r="AV45" s="158"/>
      <c r="AW45" s="147"/>
      <c r="AX45" s="148"/>
      <c r="AY45" s="147"/>
      <c r="AZ45" s="159"/>
      <c r="BA45" s="154"/>
      <c r="BB45" s="155"/>
      <c r="BC45" s="155"/>
      <c r="BD45" s="155"/>
      <c r="BE45" s="155"/>
      <c r="BF45" s="155"/>
      <c r="BG45" s="155"/>
      <c r="BH45" s="155"/>
      <c r="BI45" s="155"/>
      <c r="BJ45" s="155"/>
      <c r="BK45" s="155"/>
      <c r="BL45" s="156"/>
      <c r="BM45" s="56"/>
      <c r="BN45" s="56"/>
    </row>
    <row r="46" spans="1:66" ht="24" customHeight="1" x14ac:dyDescent="0.45">
      <c r="A46" s="55"/>
      <c r="B46" s="55"/>
      <c r="C46" s="72">
        <f t="shared" si="0"/>
        <v>37</v>
      </c>
      <c r="D46" s="59"/>
      <c r="E46" s="165"/>
      <c r="F46" s="165"/>
      <c r="G46" s="61"/>
      <c r="H46" s="165"/>
      <c r="I46" s="165"/>
      <c r="J46" s="165"/>
      <c r="K46" s="165"/>
      <c r="L46" s="162" t="s">
        <v>106</v>
      </c>
      <c r="M46" s="180"/>
      <c r="N46" s="180"/>
      <c r="O46" s="181"/>
      <c r="P46" s="239" t="s">
        <v>111</v>
      </c>
      <c r="Q46" s="237"/>
      <c r="R46" s="237"/>
      <c r="S46" s="237"/>
      <c r="T46" s="237"/>
      <c r="U46" s="237"/>
      <c r="V46" s="237"/>
      <c r="W46" s="238"/>
      <c r="X46" s="239" t="s">
        <v>167</v>
      </c>
      <c r="Y46" s="237"/>
      <c r="Z46" s="237"/>
      <c r="AA46" s="237"/>
      <c r="AB46" s="237"/>
      <c r="AC46" s="237"/>
      <c r="AD46" s="237"/>
      <c r="AE46" s="238"/>
      <c r="AF46" s="149"/>
      <c r="AG46" s="150"/>
      <c r="AH46" s="150"/>
      <c r="AI46" s="150"/>
      <c r="AJ46" s="150"/>
      <c r="AK46" s="150"/>
      <c r="AL46" s="150"/>
      <c r="AM46" s="150"/>
      <c r="AN46" s="152"/>
      <c r="AO46" s="240">
        <v>45684</v>
      </c>
      <c r="AP46" s="241"/>
      <c r="AQ46" s="236" t="s">
        <v>156</v>
      </c>
      <c r="AR46" s="232"/>
      <c r="AS46" s="236" t="s">
        <v>157</v>
      </c>
      <c r="AT46" s="242"/>
      <c r="AU46" s="157"/>
      <c r="AV46" s="158"/>
      <c r="AW46" s="147"/>
      <c r="AX46" s="148"/>
      <c r="AY46" s="147"/>
      <c r="AZ46" s="159"/>
      <c r="BA46" s="154"/>
      <c r="BB46" s="155"/>
      <c r="BC46" s="155"/>
      <c r="BD46" s="155"/>
      <c r="BE46" s="155"/>
      <c r="BF46" s="155"/>
      <c r="BG46" s="155"/>
      <c r="BH46" s="155"/>
      <c r="BI46" s="155"/>
      <c r="BJ46" s="155"/>
      <c r="BK46" s="155"/>
      <c r="BL46" s="156"/>
      <c r="BM46" s="56"/>
      <c r="BN46" s="56"/>
    </row>
    <row r="47" spans="1:66" ht="24" customHeight="1" x14ac:dyDescent="0.45">
      <c r="A47" s="55"/>
      <c r="B47" s="55"/>
      <c r="C47" s="72">
        <f t="shared" si="0"/>
        <v>38</v>
      </c>
      <c r="D47" s="59"/>
      <c r="E47" s="165"/>
      <c r="F47" s="165"/>
      <c r="G47" s="61"/>
      <c r="H47" s="165"/>
      <c r="I47" s="165"/>
      <c r="J47" s="165"/>
      <c r="K47" s="165"/>
      <c r="L47" s="162" t="s">
        <v>107</v>
      </c>
      <c r="M47" s="180"/>
      <c r="N47" s="180"/>
      <c r="O47" s="181"/>
      <c r="P47" s="239" t="s">
        <v>111</v>
      </c>
      <c r="Q47" s="237"/>
      <c r="R47" s="237"/>
      <c r="S47" s="237"/>
      <c r="T47" s="237"/>
      <c r="U47" s="237"/>
      <c r="V47" s="237"/>
      <c r="W47" s="238"/>
      <c r="X47" s="239" t="s">
        <v>167</v>
      </c>
      <c r="Y47" s="237"/>
      <c r="Z47" s="237"/>
      <c r="AA47" s="237"/>
      <c r="AB47" s="237"/>
      <c r="AC47" s="237"/>
      <c r="AD47" s="237"/>
      <c r="AE47" s="238"/>
      <c r="AF47" s="149"/>
      <c r="AG47" s="150"/>
      <c r="AH47" s="150"/>
      <c r="AI47" s="150"/>
      <c r="AJ47" s="150"/>
      <c r="AK47" s="150"/>
      <c r="AL47" s="150"/>
      <c r="AM47" s="150"/>
      <c r="AN47" s="152"/>
      <c r="AO47" s="240">
        <v>45684</v>
      </c>
      <c r="AP47" s="241"/>
      <c r="AQ47" s="236" t="s">
        <v>156</v>
      </c>
      <c r="AR47" s="232"/>
      <c r="AS47" s="236" t="s">
        <v>157</v>
      </c>
      <c r="AT47" s="242"/>
      <c r="AU47" s="157"/>
      <c r="AV47" s="158"/>
      <c r="AW47" s="147"/>
      <c r="AX47" s="148"/>
      <c r="AY47" s="147"/>
      <c r="AZ47" s="159"/>
      <c r="BA47" s="154"/>
      <c r="BB47" s="155"/>
      <c r="BC47" s="155"/>
      <c r="BD47" s="155"/>
      <c r="BE47" s="155"/>
      <c r="BF47" s="155"/>
      <c r="BG47" s="155"/>
      <c r="BH47" s="155"/>
      <c r="BI47" s="155"/>
      <c r="BJ47" s="155"/>
      <c r="BK47" s="155"/>
      <c r="BL47" s="156"/>
      <c r="BM47" s="56"/>
      <c r="BN47" s="56"/>
    </row>
    <row r="48" spans="1:66" ht="24" customHeight="1" x14ac:dyDescent="0.45">
      <c r="A48" s="55"/>
      <c r="B48" s="55"/>
      <c r="C48" s="72">
        <f t="shared" si="0"/>
        <v>39</v>
      </c>
      <c r="D48" s="59"/>
      <c r="E48" s="165"/>
      <c r="F48" s="165"/>
      <c r="G48" s="61"/>
      <c r="H48" s="165"/>
      <c r="I48" s="165"/>
      <c r="J48" s="165"/>
      <c r="K48" s="165"/>
      <c r="L48" s="162" t="s">
        <v>108</v>
      </c>
      <c r="M48" s="180"/>
      <c r="N48" s="180"/>
      <c r="O48" s="181"/>
      <c r="P48" s="239" t="s">
        <v>111</v>
      </c>
      <c r="Q48" s="237"/>
      <c r="R48" s="237"/>
      <c r="S48" s="237"/>
      <c r="T48" s="237"/>
      <c r="U48" s="237"/>
      <c r="V48" s="237"/>
      <c r="W48" s="238"/>
      <c r="X48" s="239" t="s">
        <v>167</v>
      </c>
      <c r="Y48" s="237"/>
      <c r="Z48" s="237"/>
      <c r="AA48" s="237"/>
      <c r="AB48" s="237"/>
      <c r="AC48" s="237"/>
      <c r="AD48" s="237"/>
      <c r="AE48" s="238"/>
      <c r="AF48" s="149"/>
      <c r="AG48" s="150"/>
      <c r="AH48" s="150"/>
      <c r="AI48" s="150"/>
      <c r="AJ48" s="150"/>
      <c r="AK48" s="150"/>
      <c r="AL48" s="150"/>
      <c r="AM48" s="150"/>
      <c r="AN48" s="152"/>
      <c r="AO48" s="240">
        <v>45684</v>
      </c>
      <c r="AP48" s="241"/>
      <c r="AQ48" s="236" t="s">
        <v>156</v>
      </c>
      <c r="AR48" s="232"/>
      <c r="AS48" s="236" t="s">
        <v>157</v>
      </c>
      <c r="AT48" s="242"/>
      <c r="AU48" s="157"/>
      <c r="AV48" s="158"/>
      <c r="AW48" s="147"/>
      <c r="AX48" s="148"/>
      <c r="AY48" s="147"/>
      <c r="AZ48" s="159"/>
      <c r="BA48" s="154"/>
      <c r="BB48" s="155"/>
      <c r="BC48" s="155"/>
      <c r="BD48" s="155"/>
      <c r="BE48" s="155"/>
      <c r="BF48" s="155"/>
      <c r="BG48" s="155"/>
      <c r="BH48" s="155"/>
      <c r="BI48" s="155"/>
      <c r="BJ48" s="155"/>
      <c r="BK48" s="155"/>
      <c r="BL48" s="156"/>
      <c r="BM48" s="56"/>
      <c r="BN48" s="56"/>
    </row>
    <row r="49" spans="1:66" ht="24" customHeight="1" x14ac:dyDescent="0.45">
      <c r="A49" s="55"/>
      <c r="B49" s="55"/>
      <c r="C49" s="72">
        <f t="shared" si="0"/>
        <v>40</v>
      </c>
      <c r="D49" s="59"/>
      <c r="E49" s="60"/>
      <c r="F49" s="60"/>
      <c r="G49" s="61"/>
      <c r="H49" s="110"/>
      <c r="I49" s="111"/>
      <c r="J49" s="111"/>
      <c r="K49" s="112"/>
      <c r="L49" s="162" t="s">
        <v>109</v>
      </c>
      <c r="M49" s="180"/>
      <c r="N49" s="180"/>
      <c r="O49" s="181"/>
      <c r="P49" s="239" t="s">
        <v>111</v>
      </c>
      <c r="Q49" s="237"/>
      <c r="R49" s="237"/>
      <c r="S49" s="237"/>
      <c r="T49" s="237"/>
      <c r="U49" s="237"/>
      <c r="V49" s="237"/>
      <c r="W49" s="238"/>
      <c r="X49" s="239" t="s">
        <v>167</v>
      </c>
      <c r="Y49" s="237"/>
      <c r="Z49" s="237"/>
      <c r="AA49" s="237"/>
      <c r="AB49" s="237"/>
      <c r="AC49" s="237"/>
      <c r="AD49" s="237"/>
      <c r="AE49" s="238"/>
      <c r="AF49" s="239"/>
      <c r="AG49" s="237"/>
      <c r="AH49" s="237"/>
      <c r="AI49" s="237"/>
      <c r="AJ49" s="237"/>
      <c r="AK49" s="237"/>
      <c r="AL49" s="237"/>
      <c r="AM49" s="237"/>
      <c r="AN49" s="270"/>
      <c r="AO49" s="240">
        <v>45684</v>
      </c>
      <c r="AP49" s="241"/>
      <c r="AQ49" s="236" t="s">
        <v>156</v>
      </c>
      <c r="AR49" s="232"/>
      <c r="AS49" s="236" t="s">
        <v>157</v>
      </c>
      <c r="AT49" s="242"/>
      <c r="AU49" s="92"/>
      <c r="AV49" s="93"/>
      <c r="AW49" s="85"/>
      <c r="AX49" s="84"/>
      <c r="AY49" s="85"/>
      <c r="AZ49" s="94"/>
      <c r="BA49" s="88"/>
      <c r="BB49" s="89"/>
      <c r="BC49" s="89"/>
      <c r="BD49" s="89"/>
      <c r="BE49" s="89"/>
      <c r="BF49" s="89"/>
      <c r="BG49" s="89"/>
      <c r="BH49" s="89"/>
      <c r="BI49" s="89"/>
      <c r="BJ49" s="89"/>
      <c r="BK49" s="89"/>
      <c r="BL49" s="90"/>
      <c r="BM49" s="56"/>
      <c r="BN49" s="56"/>
    </row>
    <row r="50" spans="1:66" ht="24" customHeight="1" x14ac:dyDescent="0.45">
      <c r="A50" s="55"/>
      <c r="B50" s="55"/>
      <c r="C50" s="72">
        <f t="shared" si="0"/>
        <v>41</v>
      </c>
      <c r="D50" s="59"/>
      <c r="E50" s="60"/>
      <c r="F50" s="60"/>
      <c r="G50" s="61"/>
      <c r="H50" s="109" t="s">
        <v>50</v>
      </c>
      <c r="I50" s="60"/>
      <c r="J50" s="60"/>
      <c r="K50" s="60"/>
      <c r="L50" s="246" t="s">
        <v>77</v>
      </c>
      <c r="M50" s="247"/>
      <c r="N50" s="247"/>
      <c r="O50" s="248"/>
      <c r="P50" s="35" t="s">
        <v>51</v>
      </c>
      <c r="Q50" s="99"/>
      <c r="R50" s="99"/>
      <c r="S50" s="99"/>
      <c r="T50" s="99"/>
      <c r="U50" s="99"/>
      <c r="V50" s="99"/>
      <c r="W50" s="100"/>
      <c r="X50" s="239" t="s">
        <v>114</v>
      </c>
      <c r="Y50" s="237"/>
      <c r="Z50" s="237"/>
      <c r="AA50" s="237"/>
      <c r="AB50" s="237"/>
      <c r="AC50" s="237"/>
      <c r="AD50" s="237"/>
      <c r="AE50" s="238"/>
      <c r="AF50" s="239"/>
      <c r="AG50" s="237"/>
      <c r="AH50" s="237"/>
      <c r="AI50" s="237"/>
      <c r="AJ50" s="237"/>
      <c r="AK50" s="237"/>
      <c r="AL50" s="237"/>
      <c r="AM50" s="237"/>
      <c r="AN50" s="270"/>
      <c r="AO50" s="240">
        <v>45715</v>
      </c>
      <c r="AP50" s="241"/>
      <c r="AQ50" s="236" t="s">
        <v>198</v>
      </c>
      <c r="AR50" s="232"/>
      <c r="AS50" s="236" t="s">
        <v>157</v>
      </c>
      <c r="AT50" s="242"/>
      <c r="AU50" s="105"/>
      <c r="AV50" s="106"/>
      <c r="AW50" s="96"/>
      <c r="AX50" s="97"/>
      <c r="AY50" s="96"/>
      <c r="AZ50" s="107"/>
      <c r="BA50" s="101"/>
      <c r="BB50" s="102"/>
      <c r="BC50" s="102"/>
      <c r="BD50" s="102"/>
      <c r="BE50" s="102"/>
      <c r="BF50" s="102"/>
      <c r="BG50" s="102"/>
      <c r="BH50" s="102"/>
      <c r="BI50" s="102"/>
      <c r="BJ50" s="102"/>
      <c r="BK50" s="102"/>
      <c r="BL50" s="103"/>
      <c r="BM50" s="56"/>
      <c r="BN50" s="56"/>
    </row>
    <row r="51" spans="1:66" ht="24" customHeight="1" x14ac:dyDescent="0.45">
      <c r="A51" s="55"/>
      <c r="B51" s="55"/>
      <c r="C51" s="72">
        <f t="shared" si="0"/>
        <v>42</v>
      </c>
      <c r="D51" s="59"/>
      <c r="E51" s="165"/>
      <c r="F51" s="165"/>
      <c r="G51" s="61"/>
      <c r="H51" s="164"/>
      <c r="I51" s="165"/>
      <c r="J51" s="165"/>
      <c r="K51" s="165"/>
      <c r="L51" s="162" t="s">
        <v>78</v>
      </c>
      <c r="M51" s="155"/>
      <c r="N51" s="155"/>
      <c r="O51" s="163"/>
      <c r="P51" s="162" t="s">
        <v>51</v>
      </c>
      <c r="Q51" s="150"/>
      <c r="R51" s="150"/>
      <c r="S51" s="150"/>
      <c r="T51" s="150"/>
      <c r="U51" s="150"/>
      <c r="V51" s="150"/>
      <c r="W51" s="151"/>
      <c r="X51" s="239" t="s">
        <v>114</v>
      </c>
      <c r="Y51" s="237"/>
      <c r="Z51" s="237"/>
      <c r="AA51" s="237"/>
      <c r="AB51" s="237"/>
      <c r="AC51" s="237"/>
      <c r="AD51" s="237"/>
      <c r="AE51" s="238"/>
      <c r="AF51" s="149"/>
      <c r="AG51" s="150"/>
      <c r="AH51" s="150"/>
      <c r="AI51" s="150"/>
      <c r="AJ51" s="150"/>
      <c r="AK51" s="150"/>
      <c r="AL51" s="150"/>
      <c r="AM51" s="150"/>
      <c r="AN51" s="152"/>
      <c r="AO51" s="240">
        <v>45715</v>
      </c>
      <c r="AP51" s="241"/>
      <c r="AQ51" s="236" t="s">
        <v>198</v>
      </c>
      <c r="AR51" s="232"/>
      <c r="AS51" s="236" t="s">
        <v>157</v>
      </c>
      <c r="AT51" s="242"/>
      <c r="AU51" s="157"/>
      <c r="AV51" s="158"/>
      <c r="AW51" s="147"/>
      <c r="AX51" s="148"/>
      <c r="AY51" s="147"/>
      <c r="AZ51" s="159"/>
      <c r="BA51" s="154"/>
      <c r="BB51" s="155"/>
      <c r="BC51" s="155"/>
      <c r="BD51" s="155"/>
      <c r="BE51" s="155"/>
      <c r="BF51" s="155"/>
      <c r="BG51" s="155"/>
      <c r="BH51" s="155"/>
      <c r="BI51" s="155"/>
      <c r="BJ51" s="155"/>
      <c r="BK51" s="155"/>
      <c r="BL51" s="156"/>
      <c r="BM51" s="56"/>
      <c r="BN51" s="56"/>
    </row>
    <row r="52" spans="1:66" ht="24" customHeight="1" x14ac:dyDescent="0.45">
      <c r="A52" s="55"/>
      <c r="B52" s="55"/>
      <c r="C52" s="72">
        <f t="shared" si="0"/>
        <v>43</v>
      </c>
      <c r="D52" s="59"/>
      <c r="E52" s="165"/>
      <c r="F52" s="165"/>
      <c r="G52" s="61"/>
      <c r="H52" s="164"/>
      <c r="I52" s="165"/>
      <c r="J52" s="165"/>
      <c r="K52" s="165"/>
      <c r="L52" s="162" t="s">
        <v>79</v>
      </c>
      <c r="M52" s="155"/>
      <c r="N52" s="155"/>
      <c r="O52" s="163"/>
      <c r="P52" s="162" t="s">
        <v>51</v>
      </c>
      <c r="Q52" s="150"/>
      <c r="R52" s="150"/>
      <c r="S52" s="150"/>
      <c r="T52" s="150"/>
      <c r="U52" s="150"/>
      <c r="V52" s="150"/>
      <c r="W52" s="151"/>
      <c r="X52" s="239" t="s">
        <v>114</v>
      </c>
      <c r="Y52" s="237"/>
      <c r="Z52" s="237"/>
      <c r="AA52" s="237"/>
      <c r="AB52" s="237"/>
      <c r="AC52" s="237"/>
      <c r="AD52" s="237"/>
      <c r="AE52" s="238"/>
      <c r="AF52" s="149"/>
      <c r="AG52" s="150"/>
      <c r="AH52" s="150"/>
      <c r="AI52" s="150"/>
      <c r="AJ52" s="150"/>
      <c r="AK52" s="150"/>
      <c r="AL52" s="150"/>
      <c r="AM52" s="150"/>
      <c r="AN52" s="152"/>
      <c r="AO52" s="240">
        <v>45715</v>
      </c>
      <c r="AP52" s="241"/>
      <c r="AQ52" s="236" t="s">
        <v>198</v>
      </c>
      <c r="AR52" s="232"/>
      <c r="AS52" s="236" t="s">
        <v>157</v>
      </c>
      <c r="AT52" s="242"/>
      <c r="AU52" s="157"/>
      <c r="AV52" s="158"/>
      <c r="AW52" s="147"/>
      <c r="AX52" s="148"/>
      <c r="AY52" s="147"/>
      <c r="AZ52" s="159"/>
      <c r="BA52" s="154"/>
      <c r="BB52" s="155"/>
      <c r="BC52" s="155"/>
      <c r="BD52" s="155"/>
      <c r="BE52" s="155"/>
      <c r="BF52" s="155"/>
      <c r="BG52" s="155"/>
      <c r="BH52" s="155"/>
      <c r="BI52" s="155"/>
      <c r="BJ52" s="155"/>
      <c r="BK52" s="155"/>
      <c r="BL52" s="156"/>
      <c r="BM52" s="56"/>
      <c r="BN52" s="56"/>
    </row>
    <row r="53" spans="1:66" ht="24" customHeight="1" x14ac:dyDescent="0.45">
      <c r="A53" s="55"/>
      <c r="B53" s="55"/>
      <c r="C53" s="72">
        <f t="shared" si="0"/>
        <v>44</v>
      </c>
      <c r="D53" s="59"/>
      <c r="E53" s="165"/>
      <c r="F53" s="165"/>
      <c r="G53" s="61"/>
      <c r="H53" s="164"/>
      <c r="I53" s="165"/>
      <c r="J53" s="165"/>
      <c r="K53" s="165"/>
      <c r="L53" s="162" t="s">
        <v>80</v>
      </c>
      <c r="M53" s="155"/>
      <c r="N53" s="155"/>
      <c r="O53" s="163"/>
      <c r="P53" s="162" t="s">
        <v>51</v>
      </c>
      <c r="Q53" s="150"/>
      <c r="R53" s="150"/>
      <c r="S53" s="150"/>
      <c r="T53" s="150"/>
      <c r="U53" s="150"/>
      <c r="V53" s="150"/>
      <c r="W53" s="151"/>
      <c r="X53" s="239" t="s">
        <v>114</v>
      </c>
      <c r="Y53" s="237"/>
      <c r="Z53" s="237"/>
      <c r="AA53" s="237"/>
      <c r="AB53" s="237"/>
      <c r="AC53" s="237"/>
      <c r="AD53" s="237"/>
      <c r="AE53" s="238"/>
      <c r="AF53" s="149"/>
      <c r="AG53" s="150"/>
      <c r="AH53" s="150"/>
      <c r="AI53" s="150"/>
      <c r="AJ53" s="150"/>
      <c r="AK53" s="150"/>
      <c r="AL53" s="150"/>
      <c r="AM53" s="150"/>
      <c r="AN53" s="152"/>
      <c r="AO53" s="240">
        <v>45715</v>
      </c>
      <c r="AP53" s="241"/>
      <c r="AQ53" s="236" t="s">
        <v>198</v>
      </c>
      <c r="AR53" s="232"/>
      <c r="AS53" s="236" t="s">
        <v>157</v>
      </c>
      <c r="AT53" s="242"/>
      <c r="AU53" s="157"/>
      <c r="AV53" s="158"/>
      <c r="AW53" s="147"/>
      <c r="AX53" s="148"/>
      <c r="AY53" s="147"/>
      <c r="AZ53" s="159"/>
      <c r="BA53" s="154"/>
      <c r="BB53" s="155"/>
      <c r="BC53" s="155"/>
      <c r="BD53" s="155"/>
      <c r="BE53" s="155"/>
      <c r="BF53" s="155"/>
      <c r="BG53" s="155"/>
      <c r="BH53" s="155"/>
      <c r="BI53" s="155"/>
      <c r="BJ53" s="155"/>
      <c r="BK53" s="155"/>
      <c r="BL53" s="156"/>
      <c r="BM53" s="56"/>
      <c r="BN53" s="56"/>
    </row>
    <row r="54" spans="1:66" ht="24" customHeight="1" x14ac:dyDescent="0.45">
      <c r="A54" s="55"/>
      <c r="B54" s="55"/>
      <c r="C54" s="72">
        <f t="shared" si="0"/>
        <v>45</v>
      </c>
      <c r="D54" s="59"/>
      <c r="E54" s="165"/>
      <c r="F54" s="165"/>
      <c r="G54" s="61"/>
      <c r="H54" s="164"/>
      <c r="I54" s="165"/>
      <c r="J54" s="165"/>
      <c r="K54" s="165"/>
      <c r="L54" s="162" t="s">
        <v>81</v>
      </c>
      <c r="M54" s="155"/>
      <c r="N54" s="155"/>
      <c r="O54" s="163"/>
      <c r="P54" s="162" t="s">
        <v>51</v>
      </c>
      <c r="Q54" s="150"/>
      <c r="R54" s="150"/>
      <c r="S54" s="150"/>
      <c r="T54" s="150"/>
      <c r="U54" s="150"/>
      <c r="V54" s="150"/>
      <c r="W54" s="151"/>
      <c r="X54" s="239" t="s">
        <v>114</v>
      </c>
      <c r="Y54" s="237"/>
      <c r="Z54" s="237"/>
      <c r="AA54" s="237"/>
      <c r="AB54" s="237"/>
      <c r="AC54" s="237"/>
      <c r="AD54" s="237"/>
      <c r="AE54" s="238"/>
      <c r="AF54" s="149"/>
      <c r="AG54" s="150"/>
      <c r="AH54" s="150"/>
      <c r="AI54" s="150"/>
      <c r="AJ54" s="150"/>
      <c r="AK54" s="150"/>
      <c r="AL54" s="150"/>
      <c r="AM54" s="150"/>
      <c r="AN54" s="152"/>
      <c r="AO54" s="240">
        <v>45715</v>
      </c>
      <c r="AP54" s="241"/>
      <c r="AQ54" s="236" t="s">
        <v>198</v>
      </c>
      <c r="AR54" s="232"/>
      <c r="AS54" s="236" t="s">
        <v>157</v>
      </c>
      <c r="AT54" s="242"/>
      <c r="AU54" s="157"/>
      <c r="AV54" s="158"/>
      <c r="AW54" s="147"/>
      <c r="AX54" s="148"/>
      <c r="AY54" s="147"/>
      <c r="AZ54" s="159"/>
      <c r="BA54" s="154"/>
      <c r="BB54" s="155"/>
      <c r="BC54" s="155"/>
      <c r="BD54" s="155"/>
      <c r="BE54" s="155"/>
      <c r="BF54" s="155"/>
      <c r="BG54" s="155"/>
      <c r="BH54" s="155"/>
      <c r="BI54" s="155"/>
      <c r="BJ54" s="155"/>
      <c r="BK54" s="155"/>
      <c r="BL54" s="156"/>
      <c r="BM54" s="56"/>
      <c r="BN54" s="56"/>
    </row>
    <row r="55" spans="1:66" ht="24" customHeight="1" x14ac:dyDescent="0.45">
      <c r="A55" s="55"/>
      <c r="B55" s="55"/>
      <c r="C55" s="72">
        <f t="shared" si="0"/>
        <v>46</v>
      </c>
      <c r="D55" s="59"/>
      <c r="E55" s="165"/>
      <c r="F55" s="165"/>
      <c r="G55" s="61"/>
      <c r="H55" s="164"/>
      <c r="I55" s="165"/>
      <c r="J55" s="165"/>
      <c r="K55" s="165"/>
      <c r="L55" s="162" t="s">
        <v>82</v>
      </c>
      <c r="M55" s="155"/>
      <c r="N55" s="155"/>
      <c r="O55" s="163"/>
      <c r="P55" s="162" t="s">
        <v>51</v>
      </c>
      <c r="Q55" s="150"/>
      <c r="R55" s="150"/>
      <c r="S55" s="150"/>
      <c r="T55" s="150"/>
      <c r="U55" s="150"/>
      <c r="V55" s="150"/>
      <c r="W55" s="151"/>
      <c r="X55" s="239" t="s">
        <v>114</v>
      </c>
      <c r="Y55" s="237"/>
      <c r="Z55" s="237"/>
      <c r="AA55" s="237"/>
      <c r="AB55" s="237"/>
      <c r="AC55" s="237"/>
      <c r="AD55" s="237"/>
      <c r="AE55" s="238"/>
      <c r="AF55" s="149"/>
      <c r="AG55" s="150"/>
      <c r="AH55" s="150"/>
      <c r="AI55" s="150"/>
      <c r="AJ55" s="150"/>
      <c r="AK55" s="150"/>
      <c r="AL55" s="150"/>
      <c r="AM55" s="150"/>
      <c r="AN55" s="152"/>
      <c r="AO55" s="240">
        <v>45715</v>
      </c>
      <c r="AP55" s="241"/>
      <c r="AQ55" s="236" t="s">
        <v>198</v>
      </c>
      <c r="AR55" s="232"/>
      <c r="AS55" s="236" t="s">
        <v>157</v>
      </c>
      <c r="AT55" s="242"/>
      <c r="AU55" s="157"/>
      <c r="AV55" s="158"/>
      <c r="AW55" s="147"/>
      <c r="AX55" s="148"/>
      <c r="AY55" s="147"/>
      <c r="AZ55" s="159"/>
      <c r="BA55" s="154"/>
      <c r="BB55" s="155"/>
      <c r="BC55" s="155"/>
      <c r="BD55" s="155"/>
      <c r="BE55" s="155"/>
      <c r="BF55" s="155"/>
      <c r="BG55" s="155"/>
      <c r="BH55" s="155"/>
      <c r="BI55" s="155"/>
      <c r="BJ55" s="155"/>
      <c r="BK55" s="155"/>
      <c r="BL55" s="156"/>
      <c r="BM55" s="56"/>
      <c r="BN55" s="56"/>
    </row>
    <row r="56" spans="1:66" ht="24" customHeight="1" x14ac:dyDescent="0.45">
      <c r="A56" s="55"/>
      <c r="B56" s="55"/>
      <c r="C56" s="72">
        <f t="shared" si="0"/>
        <v>47</v>
      </c>
      <c r="D56" s="59"/>
      <c r="E56" s="60"/>
      <c r="F56" s="60"/>
      <c r="G56" s="61"/>
      <c r="H56" s="60"/>
      <c r="I56" s="60"/>
      <c r="J56" s="60"/>
      <c r="K56" s="60"/>
      <c r="L56" s="162" t="s">
        <v>83</v>
      </c>
      <c r="M56" s="155"/>
      <c r="N56" s="155"/>
      <c r="O56" s="163"/>
      <c r="P56" s="162" t="s">
        <v>51</v>
      </c>
      <c r="Q56" s="150"/>
      <c r="R56" s="150"/>
      <c r="S56" s="150"/>
      <c r="T56" s="150"/>
      <c r="U56" s="150"/>
      <c r="V56" s="150"/>
      <c r="W56" s="151"/>
      <c r="X56" s="239" t="s">
        <v>114</v>
      </c>
      <c r="Y56" s="237"/>
      <c r="Z56" s="237"/>
      <c r="AA56" s="237"/>
      <c r="AB56" s="237"/>
      <c r="AC56" s="237"/>
      <c r="AD56" s="237"/>
      <c r="AE56" s="238"/>
      <c r="AF56" s="239"/>
      <c r="AG56" s="237"/>
      <c r="AH56" s="237"/>
      <c r="AI56" s="237"/>
      <c r="AJ56" s="237"/>
      <c r="AK56" s="237"/>
      <c r="AL56" s="237"/>
      <c r="AM56" s="237"/>
      <c r="AN56" s="270"/>
      <c r="AO56" s="240">
        <v>45715</v>
      </c>
      <c r="AP56" s="241"/>
      <c r="AQ56" s="236" t="s">
        <v>198</v>
      </c>
      <c r="AR56" s="232"/>
      <c r="AS56" s="236" t="s">
        <v>157</v>
      </c>
      <c r="AT56" s="242"/>
      <c r="AU56" s="105"/>
      <c r="AV56" s="106"/>
      <c r="AW56" s="96"/>
      <c r="AX56" s="97"/>
      <c r="AY56" s="96"/>
      <c r="AZ56" s="107"/>
      <c r="BA56" s="101"/>
      <c r="BB56" s="102"/>
      <c r="BC56" s="102"/>
      <c r="BD56" s="102"/>
      <c r="BE56" s="102"/>
      <c r="BF56" s="102"/>
      <c r="BG56" s="102"/>
      <c r="BH56" s="102"/>
      <c r="BI56" s="102"/>
      <c r="BJ56" s="102"/>
      <c r="BK56" s="102"/>
      <c r="BL56" s="103"/>
      <c r="BM56" s="56"/>
      <c r="BN56" s="56"/>
    </row>
    <row r="57" spans="1:66" ht="24" customHeight="1" x14ac:dyDescent="0.45">
      <c r="A57" s="55"/>
      <c r="B57" s="55"/>
      <c r="C57" s="72">
        <f t="shared" si="0"/>
        <v>48</v>
      </c>
      <c r="D57" s="59"/>
      <c r="E57" s="60"/>
      <c r="F57" s="60"/>
      <c r="G57" s="61"/>
      <c r="H57" s="60"/>
      <c r="I57" s="60"/>
      <c r="J57" s="60"/>
      <c r="K57" s="60"/>
      <c r="L57" s="162" t="s">
        <v>84</v>
      </c>
      <c r="M57" s="155"/>
      <c r="N57" s="155"/>
      <c r="O57" s="163"/>
      <c r="P57" s="35" t="s">
        <v>51</v>
      </c>
      <c r="Q57" s="99"/>
      <c r="R57" s="99"/>
      <c r="S57" s="99"/>
      <c r="T57" s="99"/>
      <c r="U57" s="99"/>
      <c r="V57" s="99"/>
      <c r="W57" s="100"/>
      <c r="X57" s="239" t="s">
        <v>114</v>
      </c>
      <c r="Y57" s="237"/>
      <c r="Z57" s="237"/>
      <c r="AA57" s="237"/>
      <c r="AB57" s="237"/>
      <c r="AC57" s="237"/>
      <c r="AD57" s="237"/>
      <c r="AE57" s="238"/>
      <c r="AF57" s="239"/>
      <c r="AG57" s="237"/>
      <c r="AH57" s="237"/>
      <c r="AI57" s="237"/>
      <c r="AJ57" s="237"/>
      <c r="AK57" s="237"/>
      <c r="AL57" s="237"/>
      <c r="AM57" s="237"/>
      <c r="AN57" s="270"/>
      <c r="AO57" s="240">
        <v>45715</v>
      </c>
      <c r="AP57" s="241"/>
      <c r="AQ57" s="236" t="s">
        <v>198</v>
      </c>
      <c r="AR57" s="232"/>
      <c r="AS57" s="236" t="s">
        <v>157</v>
      </c>
      <c r="AT57" s="242"/>
      <c r="AU57" s="105"/>
      <c r="AV57" s="106"/>
      <c r="AW57" s="96"/>
      <c r="AX57" s="97"/>
      <c r="AY57" s="96"/>
      <c r="AZ57" s="107"/>
      <c r="BA57" s="101"/>
      <c r="BB57" s="102"/>
      <c r="BC57" s="102"/>
      <c r="BD57" s="102"/>
      <c r="BE57" s="102"/>
      <c r="BF57" s="102"/>
      <c r="BG57" s="102"/>
      <c r="BH57" s="102"/>
      <c r="BI57" s="102"/>
      <c r="BJ57" s="102"/>
      <c r="BK57" s="102"/>
      <c r="BL57" s="103"/>
      <c r="BM57" s="56"/>
      <c r="BN57" s="56"/>
    </row>
    <row r="58" spans="1:66" ht="24" customHeight="1" x14ac:dyDescent="0.45">
      <c r="A58" s="55"/>
      <c r="B58" s="55"/>
      <c r="C58" s="72">
        <f t="shared" si="0"/>
        <v>49</v>
      </c>
      <c r="D58" s="59"/>
      <c r="E58" s="60"/>
      <c r="F58" s="60"/>
      <c r="G58" s="61"/>
      <c r="H58" s="60"/>
      <c r="I58" s="60"/>
      <c r="J58" s="60"/>
      <c r="K58" s="60"/>
      <c r="L58" s="162" t="s">
        <v>85</v>
      </c>
      <c r="M58" s="155"/>
      <c r="N58" s="155"/>
      <c r="O58" s="163"/>
      <c r="P58" s="115" t="s">
        <v>51</v>
      </c>
      <c r="Q58" s="60"/>
      <c r="R58" s="60"/>
      <c r="S58" s="60"/>
      <c r="T58" s="60"/>
      <c r="U58" s="60"/>
      <c r="V58" s="60"/>
      <c r="W58" s="60"/>
      <c r="X58" s="239" t="s">
        <v>114</v>
      </c>
      <c r="Y58" s="237"/>
      <c r="Z58" s="237"/>
      <c r="AA58" s="237"/>
      <c r="AB58" s="237"/>
      <c r="AC58" s="237"/>
      <c r="AD58" s="237"/>
      <c r="AE58" s="238"/>
      <c r="AF58" s="239"/>
      <c r="AG58" s="237"/>
      <c r="AH58" s="237"/>
      <c r="AI58" s="237"/>
      <c r="AJ58" s="237"/>
      <c r="AK58" s="237"/>
      <c r="AL58" s="237"/>
      <c r="AM58" s="237"/>
      <c r="AN58" s="270"/>
      <c r="AO58" s="240">
        <v>45715</v>
      </c>
      <c r="AP58" s="241"/>
      <c r="AQ58" s="236" t="s">
        <v>198</v>
      </c>
      <c r="AR58" s="232"/>
      <c r="AS58" s="236" t="s">
        <v>157</v>
      </c>
      <c r="AT58" s="242"/>
      <c r="AU58" s="105"/>
      <c r="AV58" s="106"/>
      <c r="AW58" s="96"/>
      <c r="AX58" s="97"/>
      <c r="AY58" s="96"/>
      <c r="AZ58" s="107"/>
      <c r="BA58" s="101"/>
      <c r="BB58" s="102"/>
      <c r="BC58" s="102"/>
      <c r="BD58" s="102"/>
      <c r="BE58" s="102"/>
      <c r="BF58" s="102"/>
      <c r="BG58" s="102"/>
      <c r="BH58" s="102"/>
      <c r="BI58" s="102"/>
      <c r="BJ58" s="102"/>
      <c r="BK58" s="102"/>
      <c r="BL58" s="103"/>
      <c r="BM58" s="56"/>
      <c r="BN58" s="56"/>
    </row>
    <row r="59" spans="1:66" ht="24" customHeight="1" x14ac:dyDescent="0.45">
      <c r="A59" s="55"/>
      <c r="B59" s="55"/>
      <c r="C59" s="72">
        <f t="shared" si="0"/>
        <v>50</v>
      </c>
      <c r="D59" s="59"/>
      <c r="E59" s="60"/>
      <c r="F59" s="60"/>
      <c r="G59" s="61"/>
      <c r="H59" s="60"/>
      <c r="I59" s="60"/>
      <c r="J59" s="60"/>
      <c r="K59" s="60"/>
      <c r="L59" s="162" t="s">
        <v>86</v>
      </c>
      <c r="M59" s="155"/>
      <c r="N59" s="155"/>
      <c r="O59" s="163"/>
      <c r="P59" s="35" t="s">
        <v>51</v>
      </c>
      <c r="Q59" s="99"/>
      <c r="R59" s="99"/>
      <c r="S59" s="99"/>
      <c r="T59" s="99"/>
      <c r="U59" s="99"/>
      <c r="V59" s="99"/>
      <c r="W59" s="100"/>
      <c r="X59" s="239" t="s">
        <v>114</v>
      </c>
      <c r="Y59" s="237"/>
      <c r="Z59" s="237"/>
      <c r="AA59" s="237"/>
      <c r="AB59" s="237"/>
      <c r="AC59" s="237"/>
      <c r="AD59" s="237"/>
      <c r="AE59" s="238"/>
      <c r="AF59" s="239"/>
      <c r="AG59" s="237"/>
      <c r="AH59" s="237"/>
      <c r="AI59" s="237"/>
      <c r="AJ59" s="237"/>
      <c r="AK59" s="237"/>
      <c r="AL59" s="237"/>
      <c r="AM59" s="237"/>
      <c r="AN59" s="270"/>
      <c r="AO59" s="240">
        <v>45715</v>
      </c>
      <c r="AP59" s="241"/>
      <c r="AQ59" s="236" t="s">
        <v>198</v>
      </c>
      <c r="AR59" s="232"/>
      <c r="AS59" s="236" t="s">
        <v>157</v>
      </c>
      <c r="AT59" s="242"/>
      <c r="AU59" s="105"/>
      <c r="AV59" s="106"/>
      <c r="AW59" s="96"/>
      <c r="AX59" s="97"/>
      <c r="AY59" s="96"/>
      <c r="AZ59" s="107"/>
      <c r="BA59" s="101"/>
      <c r="BB59" s="102"/>
      <c r="BC59" s="102"/>
      <c r="BD59" s="102"/>
      <c r="BE59" s="102"/>
      <c r="BF59" s="102"/>
      <c r="BG59" s="102"/>
      <c r="BH59" s="102"/>
      <c r="BI59" s="102"/>
      <c r="BJ59" s="102"/>
      <c r="BK59" s="102"/>
      <c r="BL59" s="103"/>
      <c r="BM59" s="56"/>
      <c r="BN59" s="56"/>
    </row>
    <row r="60" spans="1:66" ht="24" customHeight="1" x14ac:dyDescent="0.45">
      <c r="A60" s="55"/>
      <c r="B60" s="55"/>
      <c r="C60" s="72">
        <f t="shared" si="0"/>
        <v>51</v>
      </c>
      <c r="D60" s="59"/>
      <c r="E60" s="60"/>
      <c r="F60" s="60"/>
      <c r="G60" s="61"/>
      <c r="H60" s="60"/>
      <c r="I60" s="60"/>
      <c r="J60" s="60"/>
      <c r="K60" s="60"/>
      <c r="L60" s="162" t="s">
        <v>87</v>
      </c>
      <c r="M60" s="155"/>
      <c r="N60" s="155"/>
      <c r="O60" s="163"/>
      <c r="P60" s="35" t="s">
        <v>51</v>
      </c>
      <c r="Q60" s="99"/>
      <c r="R60" s="99"/>
      <c r="S60" s="99"/>
      <c r="T60" s="99"/>
      <c r="U60" s="99"/>
      <c r="V60" s="99"/>
      <c r="W60" s="100"/>
      <c r="X60" s="239" t="s">
        <v>114</v>
      </c>
      <c r="Y60" s="237"/>
      <c r="Z60" s="237"/>
      <c r="AA60" s="237"/>
      <c r="AB60" s="237"/>
      <c r="AC60" s="237"/>
      <c r="AD60" s="237"/>
      <c r="AE60" s="238"/>
      <c r="AF60" s="98"/>
      <c r="AG60" s="99"/>
      <c r="AH60" s="99"/>
      <c r="AI60" s="99"/>
      <c r="AJ60" s="99"/>
      <c r="AK60" s="99"/>
      <c r="AL60" s="99"/>
      <c r="AM60" s="99"/>
      <c r="AN60" s="104"/>
      <c r="AO60" s="240">
        <v>45715</v>
      </c>
      <c r="AP60" s="241"/>
      <c r="AQ60" s="236" t="s">
        <v>198</v>
      </c>
      <c r="AR60" s="232"/>
      <c r="AS60" s="236" t="s">
        <v>157</v>
      </c>
      <c r="AT60" s="242"/>
      <c r="AU60" s="105"/>
      <c r="AV60" s="106"/>
      <c r="AW60" s="96"/>
      <c r="AX60" s="97"/>
      <c r="AY60" s="96"/>
      <c r="AZ60" s="107"/>
      <c r="BA60" s="101"/>
      <c r="BB60" s="102"/>
      <c r="BC60" s="102"/>
      <c r="BD60" s="102"/>
      <c r="BE60" s="102"/>
      <c r="BF60" s="102"/>
      <c r="BG60" s="102"/>
      <c r="BH60" s="102"/>
      <c r="BI60" s="102"/>
      <c r="BJ60" s="102"/>
      <c r="BK60" s="102"/>
      <c r="BL60" s="103"/>
      <c r="BM60" s="56"/>
      <c r="BN60" s="56"/>
    </row>
    <row r="61" spans="1:66" ht="24" customHeight="1" x14ac:dyDescent="0.45">
      <c r="A61" s="55"/>
      <c r="B61" s="55"/>
      <c r="C61" s="72">
        <f t="shared" si="0"/>
        <v>52</v>
      </c>
      <c r="D61" s="59"/>
      <c r="E61" s="60"/>
      <c r="F61" s="60"/>
      <c r="G61" s="61"/>
      <c r="H61" s="60"/>
      <c r="I61" s="60"/>
      <c r="J61" s="60"/>
      <c r="K61" s="60"/>
      <c r="L61" s="162" t="s">
        <v>88</v>
      </c>
      <c r="M61" s="155"/>
      <c r="N61" s="155"/>
      <c r="O61" s="163"/>
      <c r="P61" s="114" t="s">
        <v>51</v>
      </c>
      <c r="Q61" s="99"/>
      <c r="R61" s="99"/>
      <c r="S61" s="99"/>
      <c r="T61" s="99"/>
      <c r="U61" s="99"/>
      <c r="V61" s="99"/>
      <c r="W61" s="100"/>
      <c r="X61" s="239" t="s">
        <v>114</v>
      </c>
      <c r="Y61" s="237"/>
      <c r="Z61" s="237"/>
      <c r="AA61" s="237"/>
      <c r="AB61" s="237"/>
      <c r="AC61" s="237"/>
      <c r="AD61" s="237"/>
      <c r="AE61" s="238"/>
      <c r="AF61" s="98"/>
      <c r="AG61" s="99"/>
      <c r="AH61" s="99"/>
      <c r="AI61" s="99"/>
      <c r="AJ61" s="99"/>
      <c r="AK61" s="99"/>
      <c r="AL61" s="99"/>
      <c r="AM61" s="99"/>
      <c r="AN61" s="104"/>
      <c r="AO61" s="240">
        <v>45715</v>
      </c>
      <c r="AP61" s="241"/>
      <c r="AQ61" s="236" t="s">
        <v>198</v>
      </c>
      <c r="AR61" s="232"/>
      <c r="AS61" s="236" t="s">
        <v>157</v>
      </c>
      <c r="AT61" s="242"/>
      <c r="AU61" s="105"/>
      <c r="AV61" s="106"/>
      <c r="AW61" s="96"/>
      <c r="AX61" s="97"/>
      <c r="AY61" s="96"/>
      <c r="AZ61" s="107"/>
      <c r="BA61" s="101"/>
      <c r="BB61" s="102"/>
      <c r="BC61" s="102"/>
      <c r="BD61" s="102"/>
      <c r="BE61" s="102"/>
      <c r="BF61" s="102"/>
      <c r="BG61" s="102"/>
      <c r="BH61" s="102"/>
      <c r="BI61" s="102"/>
      <c r="BJ61" s="102"/>
      <c r="BK61" s="102"/>
      <c r="BL61" s="103"/>
      <c r="BM61" s="56"/>
      <c r="BN61" s="56"/>
    </row>
    <row r="62" spans="1:66" ht="24" customHeight="1" x14ac:dyDescent="0.45">
      <c r="A62" s="55"/>
      <c r="B62" s="55"/>
      <c r="C62" s="72">
        <f t="shared" si="0"/>
        <v>53</v>
      </c>
      <c r="D62" s="59"/>
      <c r="E62" s="60"/>
      <c r="F62" s="60"/>
      <c r="G62" s="61"/>
      <c r="H62" s="60"/>
      <c r="I62" s="60"/>
      <c r="J62" s="60"/>
      <c r="K62" s="60"/>
      <c r="L62" s="162" t="s">
        <v>89</v>
      </c>
      <c r="M62" s="155"/>
      <c r="N62" s="155"/>
      <c r="O62" s="163"/>
      <c r="P62" s="35" t="s">
        <v>51</v>
      </c>
      <c r="Q62" s="99"/>
      <c r="R62" s="99"/>
      <c r="S62" s="99"/>
      <c r="T62" s="99"/>
      <c r="U62" s="99"/>
      <c r="V62" s="99"/>
      <c r="W62" s="100"/>
      <c r="X62" s="239" t="s">
        <v>114</v>
      </c>
      <c r="Y62" s="237"/>
      <c r="Z62" s="237"/>
      <c r="AA62" s="237"/>
      <c r="AB62" s="237"/>
      <c r="AC62" s="237"/>
      <c r="AD62" s="237"/>
      <c r="AE62" s="238"/>
      <c r="AF62" s="98"/>
      <c r="AG62" s="99"/>
      <c r="AH62" s="99"/>
      <c r="AI62" s="99"/>
      <c r="AJ62" s="99"/>
      <c r="AK62" s="99"/>
      <c r="AL62" s="99"/>
      <c r="AM62" s="99"/>
      <c r="AN62" s="104"/>
      <c r="AO62" s="240">
        <v>45715</v>
      </c>
      <c r="AP62" s="241"/>
      <c r="AQ62" s="236" t="s">
        <v>198</v>
      </c>
      <c r="AR62" s="232"/>
      <c r="AS62" s="236" t="s">
        <v>157</v>
      </c>
      <c r="AT62" s="242"/>
      <c r="AU62" s="105"/>
      <c r="AV62" s="106"/>
      <c r="AW62" s="96"/>
      <c r="AX62" s="97"/>
      <c r="AY62" s="96"/>
      <c r="AZ62" s="107"/>
      <c r="BA62" s="101"/>
      <c r="BB62" s="102"/>
      <c r="BC62" s="102"/>
      <c r="BD62" s="102"/>
      <c r="BE62" s="102"/>
      <c r="BF62" s="102"/>
      <c r="BG62" s="102"/>
      <c r="BH62" s="102"/>
      <c r="BI62" s="102"/>
      <c r="BJ62" s="102"/>
      <c r="BK62" s="102"/>
      <c r="BL62" s="103"/>
      <c r="BM62" s="56"/>
      <c r="BN62" s="56"/>
    </row>
    <row r="63" spans="1:66" ht="24" customHeight="1" x14ac:dyDescent="0.45">
      <c r="A63" s="55"/>
      <c r="B63" s="55"/>
      <c r="C63" s="72">
        <f t="shared" si="0"/>
        <v>54</v>
      </c>
      <c r="D63" s="59"/>
      <c r="E63" s="60"/>
      <c r="F63" s="60"/>
      <c r="G63" s="61"/>
      <c r="H63" s="60"/>
      <c r="I63" s="60"/>
      <c r="J63" s="60"/>
      <c r="K63" s="60"/>
      <c r="L63" s="162" t="s">
        <v>90</v>
      </c>
      <c r="M63" s="155"/>
      <c r="N63" s="155"/>
      <c r="O63" s="163"/>
      <c r="P63" s="35" t="s">
        <v>51</v>
      </c>
      <c r="Q63" s="60"/>
      <c r="R63" s="60"/>
      <c r="S63" s="60"/>
      <c r="T63" s="60"/>
      <c r="U63" s="60"/>
      <c r="V63" s="60"/>
      <c r="W63" s="60"/>
      <c r="X63" s="239" t="s">
        <v>114</v>
      </c>
      <c r="Y63" s="237"/>
      <c r="Z63" s="237"/>
      <c r="AA63" s="237"/>
      <c r="AB63" s="237"/>
      <c r="AC63" s="237"/>
      <c r="AD63" s="237"/>
      <c r="AE63" s="238"/>
      <c r="AF63" s="98"/>
      <c r="AG63" s="99"/>
      <c r="AH63" s="99"/>
      <c r="AI63" s="99"/>
      <c r="AJ63" s="99"/>
      <c r="AK63" s="99"/>
      <c r="AL63" s="99"/>
      <c r="AM63" s="99"/>
      <c r="AN63" s="104"/>
      <c r="AO63" s="240">
        <v>45715</v>
      </c>
      <c r="AP63" s="241"/>
      <c r="AQ63" s="236" t="s">
        <v>198</v>
      </c>
      <c r="AR63" s="232"/>
      <c r="AS63" s="236" t="s">
        <v>157</v>
      </c>
      <c r="AT63" s="242"/>
      <c r="AU63" s="105"/>
      <c r="AV63" s="106"/>
      <c r="AW63" s="96"/>
      <c r="AX63" s="97"/>
      <c r="AY63" s="96"/>
      <c r="AZ63" s="107"/>
      <c r="BA63" s="101"/>
      <c r="BB63" s="102"/>
      <c r="BC63" s="102"/>
      <c r="BD63" s="102"/>
      <c r="BE63" s="102"/>
      <c r="BF63" s="102"/>
      <c r="BG63" s="102"/>
      <c r="BH63" s="102"/>
      <c r="BI63" s="102"/>
      <c r="BJ63" s="102"/>
      <c r="BK63" s="102"/>
      <c r="BL63" s="103"/>
      <c r="BM63" s="56"/>
      <c r="BN63" s="56"/>
    </row>
    <row r="64" spans="1:66" ht="24" customHeight="1" x14ac:dyDescent="0.45">
      <c r="A64" s="55"/>
      <c r="B64" s="55"/>
      <c r="C64" s="72">
        <f t="shared" si="0"/>
        <v>55</v>
      </c>
      <c r="D64" s="59"/>
      <c r="E64" s="60"/>
      <c r="F64" s="60"/>
      <c r="G64" s="61"/>
      <c r="H64" s="60"/>
      <c r="I64" s="60"/>
      <c r="J64" s="60"/>
      <c r="K64" s="60"/>
      <c r="L64" s="162" t="s">
        <v>180</v>
      </c>
      <c r="M64" s="155"/>
      <c r="N64" s="155"/>
      <c r="O64" s="163"/>
      <c r="P64" s="35" t="s">
        <v>51</v>
      </c>
      <c r="Q64" s="98"/>
      <c r="R64" s="99"/>
      <c r="S64" s="99"/>
      <c r="T64" s="99"/>
      <c r="U64" s="99"/>
      <c r="V64" s="99"/>
      <c r="W64" s="100"/>
      <c r="X64" s="239" t="s">
        <v>114</v>
      </c>
      <c r="Y64" s="237"/>
      <c r="Z64" s="237"/>
      <c r="AA64" s="237"/>
      <c r="AB64" s="237"/>
      <c r="AC64" s="237"/>
      <c r="AD64" s="237"/>
      <c r="AE64" s="238"/>
      <c r="AF64" s="98"/>
      <c r="AG64" s="99"/>
      <c r="AH64" s="99"/>
      <c r="AI64" s="99"/>
      <c r="AJ64" s="99"/>
      <c r="AK64" s="99"/>
      <c r="AL64" s="99"/>
      <c r="AM64" s="99"/>
      <c r="AN64" s="104"/>
      <c r="AO64" s="240">
        <v>45715</v>
      </c>
      <c r="AP64" s="241"/>
      <c r="AQ64" s="236" t="s">
        <v>198</v>
      </c>
      <c r="AR64" s="232"/>
      <c r="AS64" s="236" t="s">
        <v>157</v>
      </c>
      <c r="AT64" s="242"/>
      <c r="AU64" s="105"/>
      <c r="AV64" s="106"/>
      <c r="AW64" s="96"/>
      <c r="AX64" s="97"/>
      <c r="AY64" s="96"/>
      <c r="AZ64" s="107"/>
      <c r="BA64" s="101"/>
      <c r="BB64" s="102"/>
      <c r="BC64" s="102"/>
      <c r="BD64" s="102"/>
      <c r="BE64" s="102"/>
      <c r="BF64" s="102"/>
      <c r="BG64" s="102"/>
      <c r="BH64" s="102"/>
      <c r="BI64" s="102"/>
      <c r="BJ64" s="102"/>
      <c r="BK64" s="102"/>
      <c r="BL64" s="103"/>
      <c r="BM64" s="56"/>
      <c r="BN64" s="56"/>
    </row>
    <row r="65" spans="1:66" ht="24" customHeight="1" x14ac:dyDescent="0.45">
      <c r="A65" s="55"/>
      <c r="B65" s="55"/>
      <c r="C65" s="72">
        <f t="shared" si="0"/>
        <v>56</v>
      </c>
      <c r="D65" s="59"/>
      <c r="E65" s="60"/>
      <c r="F65" s="60"/>
      <c r="G65" s="61"/>
      <c r="H65" s="60"/>
      <c r="I65" s="60"/>
      <c r="J65" s="60"/>
      <c r="K65" s="60"/>
      <c r="L65" s="162" t="s">
        <v>181</v>
      </c>
      <c r="M65" s="155"/>
      <c r="N65" s="155"/>
      <c r="O65" s="163"/>
      <c r="P65" s="35" t="s">
        <v>51</v>
      </c>
      <c r="Q65" s="99"/>
      <c r="R65" s="99"/>
      <c r="S65" s="99"/>
      <c r="T65" s="99"/>
      <c r="U65" s="99"/>
      <c r="V65" s="99"/>
      <c r="W65" s="100"/>
      <c r="X65" s="239" t="s">
        <v>114</v>
      </c>
      <c r="Y65" s="237"/>
      <c r="Z65" s="237"/>
      <c r="AA65" s="237"/>
      <c r="AB65" s="237"/>
      <c r="AC65" s="237"/>
      <c r="AD65" s="237"/>
      <c r="AE65" s="238"/>
      <c r="AF65" s="98"/>
      <c r="AG65" s="99"/>
      <c r="AH65" s="99"/>
      <c r="AI65" s="99"/>
      <c r="AJ65" s="99"/>
      <c r="AK65" s="99"/>
      <c r="AL65" s="99"/>
      <c r="AM65" s="99"/>
      <c r="AN65" s="104"/>
      <c r="AO65" s="240">
        <v>45715</v>
      </c>
      <c r="AP65" s="241"/>
      <c r="AQ65" s="236" t="s">
        <v>198</v>
      </c>
      <c r="AR65" s="232"/>
      <c r="AS65" s="236" t="s">
        <v>157</v>
      </c>
      <c r="AT65" s="242"/>
      <c r="AU65" s="105"/>
      <c r="AV65" s="106"/>
      <c r="AW65" s="96"/>
      <c r="AX65" s="97"/>
      <c r="AY65" s="96"/>
      <c r="AZ65" s="107"/>
      <c r="BA65" s="101"/>
      <c r="BB65" s="102"/>
      <c r="BC65" s="102"/>
      <c r="BD65" s="102"/>
      <c r="BE65" s="102"/>
      <c r="BF65" s="102"/>
      <c r="BG65" s="102"/>
      <c r="BH65" s="102"/>
      <c r="BI65" s="102"/>
      <c r="BJ65" s="102"/>
      <c r="BK65" s="102"/>
      <c r="BL65" s="103"/>
      <c r="BM65" s="56"/>
      <c r="BN65" s="56"/>
    </row>
    <row r="66" spans="1:66" ht="24" customHeight="1" x14ac:dyDescent="0.45">
      <c r="A66" s="55"/>
      <c r="B66" s="55"/>
      <c r="C66" s="72">
        <f t="shared" si="0"/>
        <v>57</v>
      </c>
      <c r="D66" s="59"/>
      <c r="E66" s="60"/>
      <c r="F66" s="60"/>
      <c r="G66" s="61"/>
      <c r="H66" s="60"/>
      <c r="I66" s="60"/>
      <c r="J66" s="60"/>
      <c r="K66" s="60"/>
      <c r="L66" s="162" t="s">
        <v>91</v>
      </c>
      <c r="M66" s="155"/>
      <c r="N66" s="155"/>
      <c r="O66" s="163"/>
      <c r="P66" s="35" t="s">
        <v>51</v>
      </c>
      <c r="Q66" s="60"/>
      <c r="R66" s="60"/>
      <c r="S66" s="60"/>
      <c r="T66" s="60"/>
      <c r="U66" s="60"/>
      <c r="V66" s="60"/>
      <c r="W66" s="60"/>
      <c r="X66" s="239" t="s">
        <v>114</v>
      </c>
      <c r="Y66" s="237"/>
      <c r="Z66" s="237"/>
      <c r="AA66" s="237"/>
      <c r="AB66" s="237"/>
      <c r="AC66" s="237"/>
      <c r="AD66" s="237"/>
      <c r="AE66" s="238"/>
      <c r="AF66" s="98"/>
      <c r="AG66" s="99"/>
      <c r="AH66" s="99"/>
      <c r="AI66" s="99"/>
      <c r="AJ66" s="99"/>
      <c r="AK66" s="99"/>
      <c r="AL66" s="99"/>
      <c r="AM66" s="99"/>
      <c r="AN66" s="104"/>
      <c r="AO66" s="240">
        <v>45715</v>
      </c>
      <c r="AP66" s="241"/>
      <c r="AQ66" s="236" t="s">
        <v>198</v>
      </c>
      <c r="AR66" s="232"/>
      <c r="AS66" s="236" t="s">
        <v>157</v>
      </c>
      <c r="AT66" s="242"/>
      <c r="AU66" s="105"/>
      <c r="AV66" s="106"/>
      <c r="AW66" s="96"/>
      <c r="AX66" s="97"/>
      <c r="AY66" s="96"/>
      <c r="AZ66" s="107"/>
      <c r="BA66" s="101"/>
      <c r="BB66" s="102"/>
      <c r="BC66" s="102"/>
      <c r="BD66" s="102"/>
      <c r="BE66" s="102"/>
      <c r="BF66" s="102"/>
      <c r="BG66" s="102"/>
      <c r="BH66" s="102"/>
      <c r="BI66" s="102"/>
      <c r="BJ66" s="102"/>
      <c r="BK66" s="102"/>
      <c r="BL66" s="103"/>
      <c r="BM66" s="56"/>
      <c r="BN66" s="56"/>
    </row>
    <row r="67" spans="1:66" ht="24" customHeight="1" x14ac:dyDescent="0.45">
      <c r="A67" s="55"/>
      <c r="B67" s="55"/>
      <c r="C67" s="72">
        <f t="shared" si="0"/>
        <v>58</v>
      </c>
      <c r="D67" s="59"/>
      <c r="E67" s="60"/>
      <c r="F67" s="60"/>
      <c r="G67" s="61"/>
      <c r="H67" s="60"/>
      <c r="I67" s="60"/>
      <c r="J67" s="60"/>
      <c r="K67" s="60"/>
      <c r="L67" s="162" t="s">
        <v>44</v>
      </c>
      <c r="M67" s="155"/>
      <c r="N67" s="155"/>
      <c r="O67" s="163"/>
      <c r="P67" s="35" t="s">
        <v>51</v>
      </c>
      <c r="Q67" s="98"/>
      <c r="R67" s="99"/>
      <c r="S67" s="99"/>
      <c r="T67" s="99"/>
      <c r="U67" s="99"/>
      <c r="V67" s="99"/>
      <c r="W67" s="100"/>
      <c r="X67" s="239" t="s">
        <v>114</v>
      </c>
      <c r="Y67" s="237"/>
      <c r="Z67" s="237"/>
      <c r="AA67" s="237"/>
      <c r="AB67" s="237"/>
      <c r="AC67" s="237"/>
      <c r="AD67" s="237"/>
      <c r="AE67" s="238"/>
      <c r="AF67" s="98"/>
      <c r="AG67" s="99"/>
      <c r="AH67" s="99"/>
      <c r="AI67" s="99"/>
      <c r="AJ67" s="99"/>
      <c r="AK67" s="99"/>
      <c r="AL67" s="99"/>
      <c r="AM67" s="99"/>
      <c r="AN67" s="104"/>
      <c r="AO67" s="240">
        <v>45715</v>
      </c>
      <c r="AP67" s="241"/>
      <c r="AQ67" s="236" t="s">
        <v>198</v>
      </c>
      <c r="AR67" s="232"/>
      <c r="AS67" s="236" t="s">
        <v>157</v>
      </c>
      <c r="AT67" s="242"/>
      <c r="AU67" s="105"/>
      <c r="AV67" s="106"/>
      <c r="AW67" s="96"/>
      <c r="AX67" s="97"/>
      <c r="AY67" s="96"/>
      <c r="AZ67" s="107"/>
      <c r="BA67" s="101"/>
      <c r="BB67" s="102"/>
      <c r="BC67" s="102"/>
      <c r="BD67" s="102"/>
      <c r="BE67" s="102"/>
      <c r="BF67" s="102"/>
      <c r="BG67" s="102"/>
      <c r="BH67" s="102"/>
      <c r="BI67" s="102"/>
      <c r="BJ67" s="102"/>
      <c r="BK67" s="102"/>
      <c r="BL67" s="103"/>
      <c r="BM67" s="56"/>
      <c r="BN67" s="56"/>
    </row>
    <row r="68" spans="1:66" ht="24" customHeight="1" x14ac:dyDescent="0.45">
      <c r="A68" s="55"/>
      <c r="B68" s="55"/>
      <c r="C68" s="72">
        <f t="shared" si="0"/>
        <v>59</v>
      </c>
      <c r="D68" s="59"/>
      <c r="E68" s="60"/>
      <c r="F68" s="60"/>
      <c r="G68" s="61"/>
      <c r="H68" s="60"/>
      <c r="I68" s="60"/>
      <c r="J68" s="60"/>
      <c r="K68" s="60"/>
      <c r="L68" s="162" t="s">
        <v>45</v>
      </c>
      <c r="M68" s="155"/>
      <c r="N68" s="155"/>
      <c r="O68" s="163"/>
      <c r="P68" s="35" t="s">
        <v>51</v>
      </c>
      <c r="Q68" s="99"/>
      <c r="R68" s="99"/>
      <c r="S68" s="99"/>
      <c r="T68" s="99"/>
      <c r="U68" s="99"/>
      <c r="V68" s="99"/>
      <c r="W68" s="100"/>
      <c r="X68" s="239" t="s">
        <v>114</v>
      </c>
      <c r="Y68" s="237"/>
      <c r="Z68" s="237"/>
      <c r="AA68" s="237"/>
      <c r="AB68" s="237"/>
      <c r="AC68" s="237"/>
      <c r="AD68" s="237"/>
      <c r="AE68" s="238"/>
      <c r="AF68" s="98"/>
      <c r="AG68" s="99"/>
      <c r="AH68" s="99"/>
      <c r="AI68" s="99"/>
      <c r="AJ68" s="99"/>
      <c r="AK68" s="99"/>
      <c r="AL68" s="99"/>
      <c r="AM68" s="99"/>
      <c r="AN68" s="104"/>
      <c r="AO68" s="240">
        <v>45715</v>
      </c>
      <c r="AP68" s="241"/>
      <c r="AQ68" s="236" t="s">
        <v>198</v>
      </c>
      <c r="AR68" s="232"/>
      <c r="AS68" s="236" t="s">
        <v>157</v>
      </c>
      <c r="AT68" s="242"/>
      <c r="AU68" s="105"/>
      <c r="AV68" s="106"/>
      <c r="AW68" s="96"/>
      <c r="AX68" s="97"/>
      <c r="AY68" s="96"/>
      <c r="AZ68" s="107"/>
      <c r="BA68" s="101"/>
      <c r="BB68" s="102"/>
      <c r="BC68" s="102"/>
      <c r="BD68" s="102"/>
      <c r="BE68" s="102"/>
      <c r="BF68" s="102"/>
      <c r="BG68" s="102"/>
      <c r="BH68" s="102"/>
      <c r="BI68" s="102"/>
      <c r="BJ68" s="102"/>
      <c r="BK68" s="102"/>
      <c r="BL68" s="103"/>
      <c r="BM68" s="56"/>
      <c r="BN68" s="56"/>
    </row>
    <row r="69" spans="1:66" ht="24" customHeight="1" x14ac:dyDescent="0.45">
      <c r="A69" s="55"/>
      <c r="B69" s="55"/>
      <c r="C69" s="72">
        <f t="shared" si="0"/>
        <v>60</v>
      </c>
      <c r="D69" s="59"/>
      <c r="E69" s="60"/>
      <c r="F69" s="60"/>
      <c r="G69" s="61"/>
      <c r="H69" s="60"/>
      <c r="I69" s="60"/>
      <c r="J69" s="60"/>
      <c r="K69" s="60"/>
      <c r="L69" s="162" t="s">
        <v>92</v>
      </c>
      <c r="M69" s="155"/>
      <c r="N69" s="155"/>
      <c r="O69" s="163"/>
      <c r="P69" s="114" t="s">
        <v>51</v>
      </c>
      <c r="Q69" s="99"/>
      <c r="R69" s="99"/>
      <c r="S69" s="99"/>
      <c r="T69" s="99"/>
      <c r="U69" s="99"/>
      <c r="V69" s="99"/>
      <c r="W69" s="100"/>
      <c r="X69" s="239" t="s">
        <v>114</v>
      </c>
      <c r="Y69" s="237"/>
      <c r="Z69" s="237"/>
      <c r="AA69" s="237"/>
      <c r="AB69" s="237"/>
      <c r="AC69" s="237"/>
      <c r="AD69" s="237"/>
      <c r="AE69" s="238"/>
      <c r="AF69" s="98"/>
      <c r="AG69" s="99"/>
      <c r="AH69" s="99"/>
      <c r="AI69" s="99"/>
      <c r="AJ69" s="99"/>
      <c r="AK69" s="99"/>
      <c r="AL69" s="99"/>
      <c r="AM69" s="99"/>
      <c r="AN69" s="104"/>
      <c r="AO69" s="240">
        <v>45715</v>
      </c>
      <c r="AP69" s="241"/>
      <c r="AQ69" s="236" t="s">
        <v>198</v>
      </c>
      <c r="AR69" s="232"/>
      <c r="AS69" s="236" t="s">
        <v>157</v>
      </c>
      <c r="AT69" s="242"/>
      <c r="AU69" s="105"/>
      <c r="AV69" s="106"/>
      <c r="AW69" s="96"/>
      <c r="AX69" s="97"/>
      <c r="AY69" s="96"/>
      <c r="AZ69" s="107"/>
      <c r="BA69" s="101"/>
      <c r="BB69" s="102"/>
      <c r="BC69" s="102"/>
      <c r="BD69" s="102"/>
      <c r="BE69" s="102"/>
      <c r="BF69" s="102"/>
      <c r="BG69" s="102"/>
      <c r="BH69" s="102"/>
      <c r="BI69" s="102"/>
      <c r="BJ69" s="102"/>
      <c r="BK69" s="102"/>
      <c r="BL69" s="103"/>
      <c r="BM69" s="56"/>
      <c r="BN69" s="56"/>
    </row>
    <row r="70" spans="1:66" ht="24" customHeight="1" x14ac:dyDescent="0.45">
      <c r="A70" s="55"/>
      <c r="B70" s="55"/>
      <c r="C70" s="72">
        <f t="shared" si="0"/>
        <v>61</v>
      </c>
      <c r="D70" s="59"/>
      <c r="E70" s="60"/>
      <c r="F70" s="60"/>
      <c r="G70" s="61"/>
      <c r="H70" s="60"/>
      <c r="I70" s="60"/>
      <c r="J70" s="60"/>
      <c r="K70" s="60"/>
      <c r="L70" s="162" t="s">
        <v>93</v>
      </c>
      <c r="M70" s="155"/>
      <c r="N70" s="155"/>
      <c r="O70" s="163"/>
      <c r="P70" s="114" t="s">
        <v>51</v>
      </c>
      <c r="Q70" s="99"/>
      <c r="R70" s="99"/>
      <c r="S70" s="99"/>
      <c r="T70" s="99"/>
      <c r="U70" s="99"/>
      <c r="V70" s="99"/>
      <c r="W70" s="100"/>
      <c r="X70" s="239" t="s">
        <v>114</v>
      </c>
      <c r="Y70" s="237"/>
      <c r="Z70" s="237"/>
      <c r="AA70" s="237"/>
      <c r="AB70" s="237"/>
      <c r="AC70" s="237"/>
      <c r="AD70" s="237"/>
      <c r="AE70" s="238"/>
      <c r="AF70" s="98"/>
      <c r="AG70" s="99"/>
      <c r="AH70" s="99"/>
      <c r="AI70" s="99"/>
      <c r="AJ70" s="99"/>
      <c r="AK70" s="99"/>
      <c r="AL70" s="99"/>
      <c r="AM70" s="99"/>
      <c r="AN70" s="104"/>
      <c r="AO70" s="240">
        <v>45715</v>
      </c>
      <c r="AP70" s="241"/>
      <c r="AQ70" s="236" t="s">
        <v>198</v>
      </c>
      <c r="AR70" s="232"/>
      <c r="AS70" s="236" t="s">
        <v>157</v>
      </c>
      <c r="AT70" s="242"/>
      <c r="AU70" s="105"/>
      <c r="AV70" s="106"/>
      <c r="AW70" s="96"/>
      <c r="AX70" s="97"/>
      <c r="AY70" s="96"/>
      <c r="AZ70" s="107"/>
      <c r="BA70" s="101"/>
      <c r="BB70" s="102"/>
      <c r="BC70" s="102"/>
      <c r="BD70" s="102"/>
      <c r="BE70" s="102"/>
      <c r="BF70" s="102"/>
      <c r="BG70" s="102"/>
      <c r="BH70" s="102"/>
      <c r="BI70" s="102"/>
      <c r="BJ70" s="102"/>
      <c r="BK70" s="102"/>
      <c r="BL70" s="103"/>
      <c r="BM70" s="56"/>
      <c r="BN70" s="56"/>
    </row>
    <row r="71" spans="1:66" ht="24" customHeight="1" x14ac:dyDescent="0.45">
      <c r="A71" s="55"/>
      <c r="B71" s="55"/>
      <c r="C71" s="72">
        <f t="shared" si="0"/>
        <v>62</v>
      </c>
      <c r="D71" s="59"/>
      <c r="E71" s="60"/>
      <c r="F71" s="60"/>
      <c r="G71" s="61"/>
      <c r="H71" s="60"/>
      <c r="I71" s="60"/>
      <c r="J71" s="60"/>
      <c r="K71" s="60"/>
      <c r="L71" s="162" t="s">
        <v>94</v>
      </c>
      <c r="M71" s="155"/>
      <c r="N71" s="155"/>
      <c r="O71" s="163"/>
      <c r="P71" s="114" t="s">
        <v>51</v>
      </c>
      <c r="Q71" s="99"/>
      <c r="R71" s="99"/>
      <c r="S71" s="99"/>
      <c r="T71" s="99"/>
      <c r="U71" s="99"/>
      <c r="V71" s="99"/>
      <c r="W71" s="100"/>
      <c r="X71" s="239" t="s">
        <v>114</v>
      </c>
      <c r="Y71" s="237"/>
      <c r="Z71" s="237"/>
      <c r="AA71" s="237"/>
      <c r="AB71" s="237"/>
      <c r="AC71" s="237"/>
      <c r="AD71" s="237"/>
      <c r="AE71" s="238"/>
      <c r="AF71" s="98"/>
      <c r="AG71" s="99"/>
      <c r="AH71" s="99"/>
      <c r="AI71" s="99"/>
      <c r="AJ71" s="99"/>
      <c r="AK71" s="99"/>
      <c r="AL71" s="99"/>
      <c r="AM71" s="99"/>
      <c r="AN71" s="104"/>
      <c r="AO71" s="240">
        <v>45715</v>
      </c>
      <c r="AP71" s="241"/>
      <c r="AQ71" s="236" t="s">
        <v>198</v>
      </c>
      <c r="AR71" s="232"/>
      <c r="AS71" s="236" t="s">
        <v>157</v>
      </c>
      <c r="AT71" s="242"/>
      <c r="AU71" s="105"/>
      <c r="AV71" s="106"/>
      <c r="AW71" s="96"/>
      <c r="AX71" s="97"/>
      <c r="AY71" s="96"/>
      <c r="AZ71" s="107"/>
      <c r="BA71" s="101"/>
      <c r="BB71" s="102"/>
      <c r="BC71" s="102"/>
      <c r="BD71" s="102"/>
      <c r="BE71" s="102"/>
      <c r="BF71" s="102"/>
      <c r="BG71" s="102"/>
      <c r="BH71" s="102"/>
      <c r="BI71" s="102"/>
      <c r="BJ71" s="102"/>
      <c r="BK71" s="102"/>
      <c r="BL71" s="103"/>
      <c r="BM71" s="56"/>
      <c r="BN71" s="56"/>
    </row>
    <row r="72" spans="1:66" ht="24" customHeight="1" x14ac:dyDescent="0.45">
      <c r="A72" s="55"/>
      <c r="B72" s="55"/>
      <c r="C72" s="72">
        <f t="shared" si="0"/>
        <v>63</v>
      </c>
      <c r="D72" s="59"/>
      <c r="E72" s="60"/>
      <c r="F72" s="60"/>
      <c r="G72" s="61"/>
      <c r="H72" s="60"/>
      <c r="I72" s="60"/>
      <c r="J72" s="60"/>
      <c r="K72" s="60"/>
      <c r="L72" s="28" t="s">
        <v>46</v>
      </c>
      <c r="M72" s="155"/>
      <c r="N72" s="155"/>
      <c r="O72" s="163"/>
      <c r="P72" s="114" t="s">
        <v>51</v>
      </c>
      <c r="Q72" s="99"/>
      <c r="R72" s="99"/>
      <c r="S72" s="99"/>
      <c r="T72" s="99"/>
      <c r="U72" s="99"/>
      <c r="V72" s="99"/>
      <c r="W72" s="100"/>
      <c r="X72" s="239" t="s">
        <v>114</v>
      </c>
      <c r="Y72" s="237"/>
      <c r="Z72" s="237"/>
      <c r="AA72" s="237"/>
      <c r="AB72" s="237"/>
      <c r="AC72" s="237"/>
      <c r="AD72" s="237"/>
      <c r="AE72" s="238"/>
      <c r="AF72" s="98"/>
      <c r="AG72" s="99"/>
      <c r="AH72" s="99"/>
      <c r="AI72" s="99"/>
      <c r="AJ72" s="99"/>
      <c r="AK72" s="99"/>
      <c r="AL72" s="99"/>
      <c r="AM72" s="99"/>
      <c r="AN72" s="104"/>
      <c r="AO72" s="240">
        <v>45715</v>
      </c>
      <c r="AP72" s="241"/>
      <c r="AQ72" s="236" t="s">
        <v>198</v>
      </c>
      <c r="AR72" s="232"/>
      <c r="AS72" s="236" t="s">
        <v>157</v>
      </c>
      <c r="AT72" s="242"/>
      <c r="AU72" s="105"/>
      <c r="AV72" s="106"/>
      <c r="AW72" s="96"/>
      <c r="AX72" s="97"/>
      <c r="AY72" s="96"/>
      <c r="AZ72" s="107"/>
      <c r="BA72" s="101"/>
      <c r="BB72" s="102"/>
      <c r="BC72" s="102"/>
      <c r="BD72" s="102"/>
      <c r="BE72" s="102"/>
      <c r="BF72" s="102"/>
      <c r="BG72" s="102"/>
      <c r="BH72" s="102"/>
      <c r="BI72" s="102"/>
      <c r="BJ72" s="102"/>
      <c r="BK72" s="102"/>
      <c r="BL72" s="103"/>
      <c r="BM72" s="56"/>
      <c r="BN72" s="56"/>
    </row>
    <row r="73" spans="1:66" ht="24" customHeight="1" x14ac:dyDescent="0.45">
      <c r="A73" s="55"/>
      <c r="B73" s="55"/>
      <c r="C73" s="72">
        <f t="shared" si="0"/>
        <v>64</v>
      </c>
      <c r="D73" s="59"/>
      <c r="E73" s="60"/>
      <c r="F73" s="60"/>
      <c r="G73" s="61"/>
      <c r="H73" s="60"/>
      <c r="I73" s="60"/>
      <c r="J73" s="60"/>
      <c r="K73" s="60"/>
      <c r="L73" s="28" t="s">
        <v>47</v>
      </c>
      <c r="M73" s="155"/>
      <c r="N73" s="155"/>
      <c r="O73" s="163"/>
      <c r="P73" s="114" t="s">
        <v>51</v>
      </c>
      <c r="Q73" s="99"/>
      <c r="R73" s="99"/>
      <c r="S73" s="99"/>
      <c r="T73" s="99"/>
      <c r="U73" s="99"/>
      <c r="V73" s="99"/>
      <c r="W73" s="100"/>
      <c r="X73" s="239" t="s">
        <v>114</v>
      </c>
      <c r="Y73" s="237"/>
      <c r="Z73" s="237"/>
      <c r="AA73" s="237"/>
      <c r="AB73" s="237"/>
      <c r="AC73" s="237"/>
      <c r="AD73" s="237"/>
      <c r="AE73" s="238"/>
      <c r="AF73" s="98"/>
      <c r="AG73" s="99"/>
      <c r="AH73" s="99"/>
      <c r="AI73" s="99"/>
      <c r="AJ73" s="99"/>
      <c r="AK73" s="99"/>
      <c r="AL73" s="99"/>
      <c r="AM73" s="99"/>
      <c r="AN73" s="104"/>
      <c r="AO73" s="240">
        <v>45715</v>
      </c>
      <c r="AP73" s="241"/>
      <c r="AQ73" s="236" t="s">
        <v>198</v>
      </c>
      <c r="AR73" s="232"/>
      <c r="AS73" s="236" t="s">
        <v>157</v>
      </c>
      <c r="AT73" s="242"/>
      <c r="AU73" s="105"/>
      <c r="AV73" s="106"/>
      <c r="AW73" s="96"/>
      <c r="AX73" s="97"/>
      <c r="AY73" s="96"/>
      <c r="AZ73" s="107"/>
      <c r="BA73" s="101"/>
      <c r="BB73" s="102"/>
      <c r="BC73" s="102"/>
      <c r="BD73" s="102"/>
      <c r="BE73" s="102"/>
      <c r="BF73" s="102"/>
      <c r="BG73" s="102"/>
      <c r="BH73" s="102"/>
      <c r="BI73" s="102"/>
      <c r="BJ73" s="102"/>
      <c r="BK73" s="102"/>
      <c r="BL73" s="103"/>
      <c r="BM73" s="56"/>
      <c r="BN73" s="56"/>
    </row>
    <row r="74" spans="1:66" ht="24" customHeight="1" x14ac:dyDescent="0.45">
      <c r="A74" s="55"/>
      <c r="B74" s="55"/>
      <c r="C74" s="72">
        <f t="shared" si="0"/>
        <v>65</v>
      </c>
      <c r="D74" s="59"/>
      <c r="E74" s="60"/>
      <c r="F74" s="60"/>
      <c r="G74" s="61"/>
      <c r="H74" s="60"/>
      <c r="I74" s="60"/>
      <c r="J74" s="60"/>
      <c r="K74" s="60"/>
      <c r="L74" s="162" t="s">
        <v>95</v>
      </c>
      <c r="M74" s="155"/>
      <c r="N74" s="155"/>
      <c r="O74" s="163"/>
      <c r="P74" s="114" t="s">
        <v>51</v>
      </c>
      <c r="Q74" s="99"/>
      <c r="R74" s="99"/>
      <c r="S74" s="99"/>
      <c r="T74" s="99"/>
      <c r="U74" s="99"/>
      <c r="V74" s="99"/>
      <c r="W74" s="100"/>
      <c r="X74" s="239" t="s">
        <v>114</v>
      </c>
      <c r="Y74" s="237"/>
      <c r="Z74" s="237"/>
      <c r="AA74" s="237"/>
      <c r="AB74" s="237"/>
      <c r="AC74" s="237"/>
      <c r="AD74" s="237"/>
      <c r="AE74" s="238"/>
      <c r="AF74" s="98"/>
      <c r="AG74" s="99"/>
      <c r="AH74" s="99"/>
      <c r="AI74" s="99"/>
      <c r="AJ74" s="99"/>
      <c r="AK74" s="99"/>
      <c r="AL74" s="99"/>
      <c r="AM74" s="99"/>
      <c r="AN74" s="104"/>
      <c r="AO74" s="240">
        <v>45715</v>
      </c>
      <c r="AP74" s="241"/>
      <c r="AQ74" s="236" t="s">
        <v>198</v>
      </c>
      <c r="AR74" s="232"/>
      <c r="AS74" s="236" t="s">
        <v>157</v>
      </c>
      <c r="AT74" s="242"/>
      <c r="AU74" s="105"/>
      <c r="AV74" s="106"/>
      <c r="AW74" s="96"/>
      <c r="AX74" s="97"/>
      <c r="AY74" s="96"/>
      <c r="AZ74" s="107"/>
      <c r="BA74" s="101"/>
      <c r="BB74" s="102"/>
      <c r="BC74" s="102"/>
      <c r="BD74" s="102"/>
      <c r="BE74" s="102"/>
      <c r="BF74" s="102"/>
      <c r="BG74" s="102"/>
      <c r="BH74" s="102"/>
      <c r="BI74" s="102"/>
      <c r="BJ74" s="102"/>
      <c r="BK74" s="102"/>
      <c r="BL74" s="103"/>
      <c r="BM74" s="56"/>
      <c r="BN74" s="56"/>
    </row>
    <row r="75" spans="1:66" ht="24" customHeight="1" x14ac:dyDescent="0.45">
      <c r="A75" s="55"/>
      <c r="B75" s="55"/>
      <c r="C75" s="72">
        <f t="shared" si="0"/>
        <v>66</v>
      </c>
      <c r="D75" s="59"/>
      <c r="E75" s="60"/>
      <c r="F75" s="60"/>
      <c r="G75" s="61"/>
      <c r="H75" s="60"/>
      <c r="I75" s="60"/>
      <c r="J75" s="60"/>
      <c r="K75" s="60"/>
      <c r="L75" s="162" t="s">
        <v>96</v>
      </c>
      <c r="M75" s="155"/>
      <c r="N75" s="155"/>
      <c r="O75" s="163"/>
      <c r="P75" s="114" t="s">
        <v>51</v>
      </c>
      <c r="Q75" s="99"/>
      <c r="R75" s="99"/>
      <c r="S75" s="99"/>
      <c r="T75" s="99"/>
      <c r="U75" s="99"/>
      <c r="V75" s="99"/>
      <c r="W75" s="100"/>
      <c r="X75" s="239" t="s">
        <v>114</v>
      </c>
      <c r="Y75" s="237"/>
      <c r="Z75" s="237"/>
      <c r="AA75" s="237"/>
      <c r="AB75" s="237"/>
      <c r="AC75" s="237"/>
      <c r="AD75" s="237"/>
      <c r="AE75" s="238"/>
      <c r="AF75" s="98"/>
      <c r="AG75" s="99"/>
      <c r="AH75" s="99"/>
      <c r="AI75" s="99"/>
      <c r="AJ75" s="99"/>
      <c r="AK75" s="99"/>
      <c r="AL75" s="99"/>
      <c r="AM75" s="99"/>
      <c r="AN75" s="104"/>
      <c r="AO75" s="240">
        <v>45715</v>
      </c>
      <c r="AP75" s="241"/>
      <c r="AQ75" s="236" t="s">
        <v>198</v>
      </c>
      <c r="AR75" s="232"/>
      <c r="AS75" s="236" t="s">
        <v>157</v>
      </c>
      <c r="AT75" s="242"/>
      <c r="AU75" s="105"/>
      <c r="AV75" s="106"/>
      <c r="AW75" s="96"/>
      <c r="AX75" s="97"/>
      <c r="AY75" s="96"/>
      <c r="AZ75" s="107"/>
      <c r="BA75" s="101"/>
      <c r="BB75" s="102"/>
      <c r="BC75" s="102"/>
      <c r="BD75" s="102"/>
      <c r="BE75" s="102"/>
      <c r="BF75" s="102"/>
      <c r="BG75" s="102"/>
      <c r="BH75" s="102"/>
      <c r="BI75" s="102"/>
      <c r="BJ75" s="102"/>
      <c r="BK75" s="102"/>
      <c r="BL75" s="103"/>
      <c r="BM75" s="56"/>
      <c r="BN75" s="56"/>
    </row>
    <row r="76" spans="1:66" ht="24" customHeight="1" x14ac:dyDescent="0.45">
      <c r="A76" s="55"/>
      <c r="B76" s="55"/>
      <c r="C76" s="72">
        <f t="shared" si="0"/>
        <v>67</v>
      </c>
      <c r="D76" s="59"/>
      <c r="E76" s="60"/>
      <c r="F76" s="60"/>
      <c r="G76" s="61"/>
      <c r="H76" s="60"/>
      <c r="I76" s="60"/>
      <c r="J76" s="60"/>
      <c r="K76" s="60"/>
      <c r="L76" s="162" t="s">
        <v>97</v>
      </c>
      <c r="M76" s="155"/>
      <c r="N76" s="155"/>
      <c r="O76" s="163"/>
      <c r="P76" s="114" t="s">
        <v>51</v>
      </c>
      <c r="Q76" s="99"/>
      <c r="R76" s="99"/>
      <c r="S76" s="99"/>
      <c r="T76" s="99"/>
      <c r="U76" s="99"/>
      <c r="V76" s="99"/>
      <c r="W76" s="100"/>
      <c r="X76" s="239" t="s">
        <v>114</v>
      </c>
      <c r="Y76" s="237"/>
      <c r="Z76" s="237"/>
      <c r="AA76" s="237"/>
      <c r="AB76" s="237"/>
      <c r="AC76" s="237"/>
      <c r="AD76" s="237"/>
      <c r="AE76" s="238"/>
      <c r="AF76" s="98"/>
      <c r="AG76" s="99"/>
      <c r="AH76" s="99"/>
      <c r="AI76" s="99"/>
      <c r="AJ76" s="99"/>
      <c r="AK76" s="99"/>
      <c r="AL76" s="99"/>
      <c r="AM76" s="99"/>
      <c r="AN76" s="104"/>
      <c r="AO76" s="240">
        <v>45715</v>
      </c>
      <c r="AP76" s="241"/>
      <c r="AQ76" s="236" t="s">
        <v>198</v>
      </c>
      <c r="AR76" s="232"/>
      <c r="AS76" s="236" t="s">
        <v>157</v>
      </c>
      <c r="AT76" s="242"/>
      <c r="AU76" s="105"/>
      <c r="AV76" s="106"/>
      <c r="AW76" s="96"/>
      <c r="AX76" s="97"/>
      <c r="AY76" s="96"/>
      <c r="AZ76" s="107"/>
      <c r="BA76" s="101"/>
      <c r="BB76" s="102"/>
      <c r="BC76" s="102"/>
      <c r="BD76" s="102"/>
      <c r="BE76" s="102"/>
      <c r="BF76" s="102"/>
      <c r="BG76" s="102"/>
      <c r="BH76" s="102"/>
      <c r="BI76" s="102"/>
      <c r="BJ76" s="102"/>
      <c r="BK76" s="102"/>
      <c r="BL76" s="103"/>
      <c r="BM76" s="56"/>
      <c r="BN76" s="56"/>
    </row>
    <row r="77" spans="1:66" ht="24" customHeight="1" x14ac:dyDescent="0.45">
      <c r="A77" s="55"/>
      <c r="B77" s="55"/>
      <c r="C77" s="72">
        <f t="shared" ref="C77:C89" si="1">ROW()-9</f>
        <v>68</v>
      </c>
      <c r="D77" s="59"/>
      <c r="E77" s="60"/>
      <c r="F77" s="60"/>
      <c r="G77" s="61"/>
      <c r="H77" s="60"/>
      <c r="I77" s="60"/>
      <c r="J77" s="60"/>
      <c r="K77" s="60"/>
      <c r="L77" s="162" t="s">
        <v>98</v>
      </c>
      <c r="M77" s="155"/>
      <c r="N77" s="155"/>
      <c r="O77" s="163"/>
      <c r="P77" s="114" t="s">
        <v>51</v>
      </c>
      <c r="Q77" s="99"/>
      <c r="R77" s="99"/>
      <c r="S77" s="99"/>
      <c r="T77" s="99"/>
      <c r="U77" s="99"/>
      <c r="V77" s="99"/>
      <c r="W77" s="100"/>
      <c r="X77" s="239" t="s">
        <v>114</v>
      </c>
      <c r="Y77" s="237"/>
      <c r="Z77" s="237"/>
      <c r="AA77" s="237"/>
      <c r="AB77" s="237"/>
      <c r="AC77" s="237"/>
      <c r="AD77" s="237"/>
      <c r="AE77" s="238"/>
      <c r="AF77" s="98"/>
      <c r="AG77" s="99"/>
      <c r="AH77" s="99"/>
      <c r="AI77" s="99"/>
      <c r="AJ77" s="99"/>
      <c r="AK77" s="99"/>
      <c r="AL77" s="99"/>
      <c r="AM77" s="99"/>
      <c r="AN77" s="104"/>
      <c r="AO77" s="240">
        <v>45715</v>
      </c>
      <c r="AP77" s="241"/>
      <c r="AQ77" s="236" t="s">
        <v>198</v>
      </c>
      <c r="AR77" s="232"/>
      <c r="AS77" s="236" t="s">
        <v>157</v>
      </c>
      <c r="AT77" s="242"/>
      <c r="AU77" s="105"/>
      <c r="AV77" s="106"/>
      <c r="AW77" s="96"/>
      <c r="AX77" s="97"/>
      <c r="AY77" s="96"/>
      <c r="AZ77" s="107"/>
      <c r="BA77" s="101"/>
      <c r="BB77" s="102"/>
      <c r="BC77" s="102"/>
      <c r="BD77" s="102"/>
      <c r="BE77" s="102"/>
      <c r="BF77" s="102"/>
      <c r="BG77" s="102"/>
      <c r="BH77" s="102"/>
      <c r="BI77" s="102"/>
      <c r="BJ77" s="102"/>
      <c r="BK77" s="102"/>
      <c r="BL77" s="103"/>
      <c r="BM77" s="56"/>
      <c r="BN77" s="56"/>
    </row>
    <row r="78" spans="1:66" ht="24" customHeight="1" x14ac:dyDescent="0.45">
      <c r="A78" s="55"/>
      <c r="B78" s="55"/>
      <c r="C78" s="72">
        <f t="shared" si="1"/>
        <v>69</v>
      </c>
      <c r="D78" s="59"/>
      <c r="E78" s="60"/>
      <c r="F78" s="60"/>
      <c r="G78" s="61"/>
      <c r="H78" s="60"/>
      <c r="I78" s="60"/>
      <c r="J78" s="60"/>
      <c r="K78" s="60"/>
      <c r="L78" s="162" t="s">
        <v>99</v>
      </c>
      <c r="M78" s="155"/>
      <c r="N78" s="155"/>
      <c r="O78" s="163"/>
      <c r="P78" s="114" t="s">
        <v>51</v>
      </c>
      <c r="Q78" s="99"/>
      <c r="R78" s="99"/>
      <c r="S78" s="99"/>
      <c r="T78" s="99"/>
      <c r="U78" s="99"/>
      <c r="V78" s="99"/>
      <c r="W78" s="100"/>
      <c r="X78" s="239" t="s">
        <v>114</v>
      </c>
      <c r="Y78" s="237"/>
      <c r="Z78" s="237"/>
      <c r="AA78" s="237"/>
      <c r="AB78" s="237"/>
      <c r="AC78" s="237"/>
      <c r="AD78" s="237"/>
      <c r="AE78" s="238"/>
      <c r="AF78" s="98"/>
      <c r="AG78" s="99"/>
      <c r="AH78" s="99"/>
      <c r="AI78" s="99"/>
      <c r="AJ78" s="99"/>
      <c r="AK78" s="99"/>
      <c r="AL78" s="99"/>
      <c r="AM78" s="99"/>
      <c r="AN78" s="104"/>
      <c r="AO78" s="240">
        <v>45715</v>
      </c>
      <c r="AP78" s="241"/>
      <c r="AQ78" s="236" t="s">
        <v>198</v>
      </c>
      <c r="AR78" s="232"/>
      <c r="AS78" s="236" t="s">
        <v>157</v>
      </c>
      <c r="AT78" s="242"/>
      <c r="AU78" s="105"/>
      <c r="AV78" s="106"/>
      <c r="AW78" s="96"/>
      <c r="AX78" s="97"/>
      <c r="AY78" s="96"/>
      <c r="AZ78" s="107"/>
      <c r="BA78" s="101"/>
      <c r="BB78" s="102"/>
      <c r="BC78" s="102"/>
      <c r="BD78" s="102"/>
      <c r="BE78" s="102"/>
      <c r="BF78" s="102"/>
      <c r="BG78" s="102"/>
      <c r="BH78" s="102"/>
      <c r="BI78" s="102"/>
      <c r="BJ78" s="102"/>
      <c r="BK78" s="102"/>
      <c r="BL78" s="103"/>
      <c r="BM78" s="56"/>
      <c r="BN78" s="56"/>
    </row>
    <row r="79" spans="1:66" ht="24" customHeight="1" x14ac:dyDescent="0.45">
      <c r="A79" s="55"/>
      <c r="B79" s="55"/>
      <c r="C79" s="72">
        <f t="shared" si="1"/>
        <v>70</v>
      </c>
      <c r="D79" s="59"/>
      <c r="E79" s="60"/>
      <c r="F79" s="60"/>
      <c r="G79" s="61"/>
      <c r="H79" s="60"/>
      <c r="I79" s="60"/>
      <c r="J79" s="60"/>
      <c r="K79" s="60"/>
      <c r="L79" s="162" t="s">
        <v>100</v>
      </c>
      <c r="M79" s="180"/>
      <c r="N79" s="180"/>
      <c r="O79" s="181"/>
      <c r="P79" s="114" t="s">
        <v>51</v>
      </c>
      <c r="Q79" s="99"/>
      <c r="R79" s="99"/>
      <c r="S79" s="99"/>
      <c r="T79" s="99"/>
      <c r="U79" s="99"/>
      <c r="V79" s="99"/>
      <c r="W79" s="100"/>
      <c r="X79" s="239" t="s">
        <v>114</v>
      </c>
      <c r="Y79" s="237"/>
      <c r="Z79" s="237"/>
      <c r="AA79" s="237"/>
      <c r="AB79" s="237"/>
      <c r="AC79" s="237"/>
      <c r="AD79" s="237"/>
      <c r="AE79" s="238"/>
      <c r="AF79" s="98"/>
      <c r="AG79" s="99"/>
      <c r="AH79" s="99"/>
      <c r="AI79" s="99"/>
      <c r="AJ79" s="99"/>
      <c r="AK79" s="99"/>
      <c r="AL79" s="99"/>
      <c r="AM79" s="99"/>
      <c r="AN79" s="104"/>
      <c r="AO79" s="240">
        <v>45715</v>
      </c>
      <c r="AP79" s="241"/>
      <c r="AQ79" s="236" t="s">
        <v>198</v>
      </c>
      <c r="AR79" s="232"/>
      <c r="AS79" s="236" t="s">
        <v>157</v>
      </c>
      <c r="AT79" s="242"/>
      <c r="AU79" s="105"/>
      <c r="AV79" s="106"/>
      <c r="AW79" s="96"/>
      <c r="AX79" s="97"/>
      <c r="AY79" s="96"/>
      <c r="AZ79" s="107"/>
      <c r="BA79" s="101"/>
      <c r="BB79" s="102"/>
      <c r="BC79" s="102"/>
      <c r="BD79" s="102"/>
      <c r="BE79" s="102"/>
      <c r="BF79" s="102"/>
      <c r="BG79" s="102"/>
      <c r="BH79" s="102"/>
      <c r="BI79" s="102"/>
      <c r="BJ79" s="102"/>
      <c r="BK79" s="102"/>
      <c r="BL79" s="103"/>
      <c r="BM79" s="56"/>
      <c r="BN79" s="56"/>
    </row>
    <row r="80" spans="1:66" ht="24" customHeight="1" x14ac:dyDescent="0.45">
      <c r="A80" s="55"/>
      <c r="B80" s="55"/>
      <c r="C80" s="72">
        <f t="shared" si="1"/>
        <v>71</v>
      </c>
      <c r="D80" s="59"/>
      <c r="E80" s="60"/>
      <c r="F80" s="60"/>
      <c r="G80" s="61"/>
      <c r="H80" s="60"/>
      <c r="I80" s="60"/>
      <c r="J80" s="60"/>
      <c r="K80" s="60"/>
      <c r="L80" s="162" t="s">
        <v>101</v>
      </c>
      <c r="M80" s="180"/>
      <c r="N80" s="180"/>
      <c r="O80" s="181"/>
      <c r="P80" s="114" t="s">
        <v>51</v>
      </c>
      <c r="Q80" s="99"/>
      <c r="R80" s="99"/>
      <c r="S80" s="99"/>
      <c r="T80" s="99"/>
      <c r="U80" s="99"/>
      <c r="V80" s="99"/>
      <c r="W80" s="100"/>
      <c r="X80" s="239" t="s">
        <v>114</v>
      </c>
      <c r="Y80" s="237"/>
      <c r="Z80" s="237"/>
      <c r="AA80" s="237"/>
      <c r="AB80" s="237"/>
      <c r="AC80" s="237"/>
      <c r="AD80" s="237"/>
      <c r="AE80" s="238"/>
      <c r="AF80" s="98"/>
      <c r="AG80" s="99"/>
      <c r="AH80" s="99"/>
      <c r="AI80" s="99"/>
      <c r="AJ80" s="99"/>
      <c r="AK80" s="99"/>
      <c r="AL80" s="99"/>
      <c r="AM80" s="99"/>
      <c r="AN80" s="104"/>
      <c r="AO80" s="240">
        <v>45715</v>
      </c>
      <c r="AP80" s="241"/>
      <c r="AQ80" s="236" t="s">
        <v>198</v>
      </c>
      <c r="AR80" s="232"/>
      <c r="AS80" s="236" t="s">
        <v>157</v>
      </c>
      <c r="AT80" s="242"/>
      <c r="AU80" s="105"/>
      <c r="AV80" s="106"/>
      <c r="AW80" s="96"/>
      <c r="AX80" s="97"/>
      <c r="AY80" s="96"/>
      <c r="AZ80" s="107"/>
      <c r="BA80" s="101"/>
      <c r="BB80" s="102"/>
      <c r="BC80" s="102"/>
      <c r="BD80" s="102"/>
      <c r="BE80" s="102"/>
      <c r="BF80" s="102"/>
      <c r="BG80" s="102"/>
      <c r="BH80" s="102"/>
      <c r="BI80" s="102"/>
      <c r="BJ80" s="102"/>
      <c r="BK80" s="102"/>
      <c r="BL80" s="103"/>
      <c r="BM80" s="56"/>
      <c r="BN80" s="56"/>
    </row>
    <row r="81" spans="1:66" ht="24" customHeight="1" x14ac:dyDescent="0.45">
      <c r="A81" s="55"/>
      <c r="B81" s="55"/>
      <c r="C81" s="72">
        <f t="shared" si="1"/>
        <v>72</v>
      </c>
      <c r="D81" s="59"/>
      <c r="E81" s="60"/>
      <c r="F81" s="60"/>
      <c r="G81" s="61"/>
      <c r="H81" s="60"/>
      <c r="I81" s="60"/>
      <c r="J81" s="60"/>
      <c r="K81" s="60"/>
      <c r="L81" s="162" t="s">
        <v>182</v>
      </c>
      <c r="M81" s="180"/>
      <c r="N81" s="180"/>
      <c r="O81" s="181"/>
      <c r="P81" s="114" t="s">
        <v>51</v>
      </c>
      <c r="Q81" s="99"/>
      <c r="R81" s="99"/>
      <c r="S81" s="99"/>
      <c r="T81" s="99"/>
      <c r="U81" s="99"/>
      <c r="V81" s="99"/>
      <c r="W81" s="100"/>
      <c r="X81" s="239" t="s">
        <v>114</v>
      </c>
      <c r="Y81" s="237"/>
      <c r="Z81" s="237"/>
      <c r="AA81" s="237"/>
      <c r="AB81" s="237"/>
      <c r="AC81" s="237"/>
      <c r="AD81" s="237"/>
      <c r="AE81" s="238"/>
      <c r="AF81" s="98"/>
      <c r="AG81" s="99"/>
      <c r="AH81" s="99"/>
      <c r="AI81" s="99"/>
      <c r="AJ81" s="99"/>
      <c r="AK81" s="99"/>
      <c r="AL81" s="99"/>
      <c r="AM81" s="99"/>
      <c r="AN81" s="104"/>
      <c r="AO81" s="240">
        <v>45715</v>
      </c>
      <c r="AP81" s="241"/>
      <c r="AQ81" s="236" t="s">
        <v>198</v>
      </c>
      <c r="AR81" s="232"/>
      <c r="AS81" s="236" t="s">
        <v>157</v>
      </c>
      <c r="AT81" s="242"/>
      <c r="AU81" s="105"/>
      <c r="AV81" s="106"/>
      <c r="AW81" s="96"/>
      <c r="AX81" s="97"/>
      <c r="AY81" s="96"/>
      <c r="AZ81" s="107"/>
      <c r="BA81" s="101"/>
      <c r="BB81" s="102"/>
      <c r="BC81" s="102"/>
      <c r="BD81" s="102"/>
      <c r="BE81" s="102"/>
      <c r="BF81" s="102"/>
      <c r="BG81" s="102"/>
      <c r="BH81" s="102"/>
      <c r="BI81" s="102"/>
      <c r="BJ81" s="102"/>
      <c r="BK81" s="102"/>
      <c r="BL81" s="103"/>
      <c r="BM81" s="56"/>
      <c r="BN81" s="56"/>
    </row>
    <row r="82" spans="1:66" ht="24" customHeight="1" x14ac:dyDescent="0.45">
      <c r="A82" s="55"/>
      <c r="B82" s="55"/>
      <c r="C82" s="72">
        <f t="shared" si="1"/>
        <v>73</v>
      </c>
      <c r="D82" s="59"/>
      <c r="E82" s="60"/>
      <c r="F82" s="60"/>
      <c r="G82" s="61"/>
      <c r="H82" s="60"/>
      <c r="I82" s="60"/>
      <c r="J82" s="60"/>
      <c r="K82" s="60"/>
      <c r="L82" s="162" t="s">
        <v>102</v>
      </c>
      <c r="M82" s="180"/>
      <c r="N82" s="180"/>
      <c r="O82" s="181"/>
      <c r="P82" s="114" t="s">
        <v>51</v>
      </c>
      <c r="Q82" s="99"/>
      <c r="R82" s="99"/>
      <c r="S82" s="99"/>
      <c r="T82" s="99"/>
      <c r="U82" s="99"/>
      <c r="V82" s="99"/>
      <c r="W82" s="100"/>
      <c r="X82" s="239" t="s">
        <v>114</v>
      </c>
      <c r="Y82" s="237"/>
      <c r="Z82" s="237"/>
      <c r="AA82" s="237"/>
      <c r="AB82" s="237"/>
      <c r="AC82" s="237"/>
      <c r="AD82" s="237"/>
      <c r="AE82" s="238"/>
      <c r="AF82" s="98"/>
      <c r="AG82" s="99"/>
      <c r="AH82" s="99"/>
      <c r="AI82" s="99"/>
      <c r="AJ82" s="99"/>
      <c r="AK82" s="99"/>
      <c r="AL82" s="99"/>
      <c r="AM82" s="99"/>
      <c r="AN82" s="104"/>
      <c r="AO82" s="240">
        <v>45715</v>
      </c>
      <c r="AP82" s="241"/>
      <c r="AQ82" s="236" t="s">
        <v>198</v>
      </c>
      <c r="AR82" s="232"/>
      <c r="AS82" s="236" t="s">
        <v>157</v>
      </c>
      <c r="AT82" s="242"/>
      <c r="AU82" s="105"/>
      <c r="AV82" s="106"/>
      <c r="AW82" s="96"/>
      <c r="AX82" s="97"/>
      <c r="AY82" s="96"/>
      <c r="AZ82" s="107"/>
      <c r="BA82" s="101"/>
      <c r="BB82" s="102"/>
      <c r="BC82" s="102"/>
      <c r="BD82" s="102"/>
      <c r="BE82" s="102"/>
      <c r="BF82" s="102"/>
      <c r="BG82" s="102"/>
      <c r="BH82" s="102"/>
      <c r="BI82" s="102"/>
      <c r="BJ82" s="102"/>
      <c r="BK82" s="102"/>
      <c r="BL82" s="103"/>
      <c r="BM82" s="56"/>
      <c r="BN82" s="56"/>
    </row>
    <row r="83" spans="1:66" ht="24" customHeight="1" x14ac:dyDescent="0.45">
      <c r="A83" s="55"/>
      <c r="B83" s="55"/>
      <c r="C83" s="72">
        <f t="shared" si="1"/>
        <v>74</v>
      </c>
      <c r="D83" s="59"/>
      <c r="E83" s="60"/>
      <c r="F83" s="60"/>
      <c r="G83" s="61"/>
      <c r="H83" s="60"/>
      <c r="I83" s="60"/>
      <c r="J83" s="60"/>
      <c r="K83" s="60"/>
      <c r="L83" s="162" t="s">
        <v>103</v>
      </c>
      <c r="M83" s="180"/>
      <c r="N83" s="180"/>
      <c r="O83" s="181"/>
      <c r="P83" s="114" t="s">
        <v>51</v>
      </c>
      <c r="Q83" s="99"/>
      <c r="R83" s="99"/>
      <c r="S83" s="99"/>
      <c r="T83" s="99"/>
      <c r="U83" s="99"/>
      <c r="V83" s="99"/>
      <c r="W83" s="100"/>
      <c r="X83" s="239" t="s">
        <v>114</v>
      </c>
      <c r="Y83" s="237"/>
      <c r="Z83" s="237"/>
      <c r="AA83" s="237"/>
      <c r="AB83" s="237"/>
      <c r="AC83" s="237"/>
      <c r="AD83" s="237"/>
      <c r="AE83" s="238"/>
      <c r="AF83" s="98"/>
      <c r="AG83" s="99"/>
      <c r="AH83" s="99"/>
      <c r="AI83" s="99"/>
      <c r="AJ83" s="99"/>
      <c r="AK83" s="99"/>
      <c r="AL83" s="99"/>
      <c r="AM83" s="99"/>
      <c r="AN83" s="104"/>
      <c r="AO83" s="240">
        <v>45715</v>
      </c>
      <c r="AP83" s="241"/>
      <c r="AQ83" s="236" t="s">
        <v>198</v>
      </c>
      <c r="AR83" s="232"/>
      <c r="AS83" s="236" t="s">
        <v>157</v>
      </c>
      <c r="AT83" s="242"/>
      <c r="AU83" s="105"/>
      <c r="AV83" s="106"/>
      <c r="AW83" s="96"/>
      <c r="AX83" s="97"/>
      <c r="AY83" s="96"/>
      <c r="AZ83" s="107"/>
      <c r="BA83" s="101"/>
      <c r="BB83" s="102"/>
      <c r="BC83" s="102"/>
      <c r="BD83" s="102"/>
      <c r="BE83" s="102"/>
      <c r="BF83" s="102"/>
      <c r="BG83" s="102"/>
      <c r="BH83" s="102"/>
      <c r="BI83" s="102"/>
      <c r="BJ83" s="102"/>
      <c r="BK83" s="102"/>
      <c r="BL83" s="103"/>
      <c r="BM83" s="56"/>
      <c r="BN83" s="56"/>
    </row>
    <row r="84" spans="1:66" ht="24" customHeight="1" x14ac:dyDescent="0.45">
      <c r="A84" s="55"/>
      <c r="B84" s="55"/>
      <c r="C84" s="72">
        <f t="shared" si="1"/>
        <v>75</v>
      </c>
      <c r="D84" s="59"/>
      <c r="E84" s="60"/>
      <c r="F84" s="60"/>
      <c r="G84" s="61"/>
      <c r="H84" s="60"/>
      <c r="I84" s="60"/>
      <c r="J84" s="60"/>
      <c r="K84" s="60"/>
      <c r="L84" s="162" t="s">
        <v>104</v>
      </c>
      <c r="M84" s="180"/>
      <c r="N84" s="180"/>
      <c r="O84" s="181"/>
      <c r="P84" s="114" t="s">
        <v>51</v>
      </c>
      <c r="Q84" s="99"/>
      <c r="R84" s="99"/>
      <c r="S84" s="99"/>
      <c r="T84" s="99"/>
      <c r="U84" s="99"/>
      <c r="V84" s="99"/>
      <c r="W84" s="100"/>
      <c r="X84" s="239" t="s">
        <v>114</v>
      </c>
      <c r="Y84" s="237"/>
      <c r="Z84" s="237"/>
      <c r="AA84" s="237"/>
      <c r="AB84" s="237"/>
      <c r="AC84" s="237"/>
      <c r="AD84" s="237"/>
      <c r="AE84" s="238"/>
      <c r="AF84" s="98"/>
      <c r="AG84" s="99"/>
      <c r="AH84" s="99"/>
      <c r="AI84" s="99"/>
      <c r="AJ84" s="99"/>
      <c r="AK84" s="99"/>
      <c r="AL84" s="99"/>
      <c r="AM84" s="99"/>
      <c r="AN84" s="104"/>
      <c r="AO84" s="240">
        <v>45715</v>
      </c>
      <c r="AP84" s="241"/>
      <c r="AQ84" s="236" t="s">
        <v>198</v>
      </c>
      <c r="AR84" s="232"/>
      <c r="AS84" s="236" t="s">
        <v>157</v>
      </c>
      <c r="AT84" s="242"/>
      <c r="AU84" s="105"/>
      <c r="AV84" s="106"/>
      <c r="AW84" s="96"/>
      <c r="AX84" s="97"/>
      <c r="AY84" s="96"/>
      <c r="AZ84" s="107"/>
      <c r="BA84" s="101"/>
      <c r="BB84" s="102"/>
      <c r="BC84" s="102"/>
      <c r="BD84" s="102"/>
      <c r="BE84" s="102"/>
      <c r="BF84" s="102"/>
      <c r="BG84" s="102"/>
      <c r="BH84" s="102"/>
      <c r="BI84" s="102"/>
      <c r="BJ84" s="102"/>
      <c r="BK84" s="102"/>
      <c r="BL84" s="103"/>
      <c r="BM84" s="56"/>
      <c r="BN84" s="56"/>
    </row>
    <row r="85" spans="1:66" ht="24" customHeight="1" x14ac:dyDescent="0.45">
      <c r="A85" s="55"/>
      <c r="B85" s="55"/>
      <c r="C85" s="72">
        <f t="shared" si="1"/>
        <v>76</v>
      </c>
      <c r="D85" s="59"/>
      <c r="E85" s="60"/>
      <c r="F85" s="60"/>
      <c r="G85" s="61"/>
      <c r="H85" s="60"/>
      <c r="I85" s="60"/>
      <c r="J85" s="60"/>
      <c r="K85" s="60"/>
      <c r="L85" s="162" t="s">
        <v>105</v>
      </c>
      <c r="M85" s="180"/>
      <c r="N85" s="180"/>
      <c r="O85" s="181"/>
      <c r="P85" s="114" t="s">
        <v>51</v>
      </c>
      <c r="Q85" s="99"/>
      <c r="R85" s="99"/>
      <c r="S85" s="99"/>
      <c r="T85" s="99"/>
      <c r="U85" s="99"/>
      <c r="V85" s="99"/>
      <c r="W85" s="100"/>
      <c r="X85" s="239" t="s">
        <v>114</v>
      </c>
      <c r="Y85" s="237"/>
      <c r="Z85" s="237"/>
      <c r="AA85" s="237"/>
      <c r="AB85" s="237"/>
      <c r="AC85" s="237"/>
      <c r="AD85" s="237"/>
      <c r="AE85" s="238"/>
      <c r="AF85" s="98"/>
      <c r="AG85" s="99"/>
      <c r="AH85" s="99"/>
      <c r="AI85" s="99"/>
      <c r="AJ85" s="99"/>
      <c r="AK85" s="99"/>
      <c r="AL85" s="99"/>
      <c r="AM85" s="99"/>
      <c r="AN85" s="104"/>
      <c r="AO85" s="240">
        <v>45715</v>
      </c>
      <c r="AP85" s="241"/>
      <c r="AQ85" s="236" t="s">
        <v>198</v>
      </c>
      <c r="AR85" s="232"/>
      <c r="AS85" s="236" t="s">
        <v>157</v>
      </c>
      <c r="AT85" s="242"/>
      <c r="AU85" s="105"/>
      <c r="AV85" s="106"/>
      <c r="AW85" s="96"/>
      <c r="AX85" s="97"/>
      <c r="AY85" s="96"/>
      <c r="AZ85" s="107"/>
      <c r="BA85" s="101"/>
      <c r="BB85" s="102"/>
      <c r="BC85" s="102"/>
      <c r="BD85" s="102"/>
      <c r="BE85" s="102"/>
      <c r="BF85" s="102"/>
      <c r="BG85" s="102"/>
      <c r="BH85" s="102"/>
      <c r="BI85" s="102"/>
      <c r="BJ85" s="102"/>
      <c r="BK85" s="102"/>
      <c r="BL85" s="103"/>
      <c r="BM85" s="56"/>
      <c r="BN85" s="56"/>
    </row>
    <row r="86" spans="1:66" ht="24" customHeight="1" x14ac:dyDescent="0.45">
      <c r="A86" s="55"/>
      <c r="B86" s="55"/>
      <c r="C86" s="72">
        <f t="shared" si="1"/>
        <v>77</v>
      </c>
      <c r="D86" s="59"/>
      <c r="E86" s="60"/>
      <c r="F86" s="60"/>
      <c r="G86" s="61"/>
      <c r="H86" s="60"/>
      <c r="I86" s="60"/>
      <c r="J86" s="60"/>
      <c r="K86" s="60"/>
      <c r="L86" s="162" t="s">
        <v>106</v>
      </c>
      <c r="M86" s="180"/>
      <c r="N86" s="180"/>
      <c r="O86" s="181"/>
      <c r="P86" s="114" t="s">
        <v>51</v>
      </c>
      <c r="Q86" s="99"/>
      <c r="R86" s="99"/>
      <c r="S86" s="99"/>
      <c r="T86" s="99"/>
      <c r="U86" s="99"/>
      <c r="V86" s="99"/>
      <c r="W86" s="100"/>
      <c r="X86" s="239" t="s">
        <v>114</v>
      </c>
      <c r="Y86" s="237"/>
      <c r="Z86" s="237"/>
      <c r="AA86" s="237"/>
      <c r="AB86" s="237"/>
      <c r="AC86" s="237"/>
      <c r="AD86" s="237"/>
      <c r="AE86" s="238"/>
      <c r="AF86" s="98"/>
      <c r="AG86" s="99"/>
      <c r="AH86" s="99"/>
      <c r="AI86" s="99"/>
      <c r="AJ86" s="99"/>
      <c r="AK86" s="99"/>
      <c r="AL86" s="99"/>
      <c r="AM86" s="99"/>
      <c r="AN86" s="104"/>
      <c r="AO86" s="240">
        <v>45715</v>
      </c>
      <c r="AP86" s="241"/>
      <c r="AQ86" s="236" t="s">
        <v>198</v>
      </c>
      <c r="AR86" s="232"/>
      <c r="AS86" s="236" t="s">
        <v>157</v>
      </c>
      <c r="AT86" s="242"/>
      <c r="AU86" s="105"/>
      <c r="AV86" s="106"/>
      <c r="AW86" s="96"/>
      <c r="AX86" s="97"/>
      <c r="AY86" s="96"/>
      <c r="AZ86" s="107"/>
      <c r="BA86" s="101"/>
      <c r="BB86" s="102"/>
      <c r="BC86" s="102"/>
      <c r="BD86" s="102"/>
      <c r="BE86" s="102"/>
      <c r="BF86" s="102"/>
      <c r="BG86" s="102"/>
      <c r="BH86" s="102"/>
      <c r="BI86" s="102"/>
      <c r="BJ86" s="102"/>
      <c r="BK86" s="102"/>
      <c r="BL86" s="103"/>
      <c r="BM86" s="56"/>
      <c r="BN86" s="56"/>
    </row>
    <row r="87" spans="1:66" ht="24" customHeight="1" x14ac:dyDescent="0.45">
      <c r="A87" s="55"/>
      <c r="B87" s="55"/>
      <c r="C87" s="72">
        <f t="shared" si="1"/>
        <v>78</v>
      </c>
      <c r="D87" s="59"/>
      <c r="E87" s="60"/>
      <c r="F87" s="60"/>
      <c r="G87" s="61"/>
      <c r="H87" s="60"/>
      <c r="I87" s="60"/>
      <c r="J87" s="60"/>
      <c r="K87" s="60"/>
      <c r="L87" s="162" t="s">
        <v>107</v>
      </c>
      <c r="M87" s="180"/>
      <c r="N87" s="180"/>
      <c r="O87" s="181"/>
      <c r="P87" s="114" t="s">
        <v>51</v>
      </c>
      <c r="Q87" s="99"/>
      <c r="R87" s="99"/>
      <c r="S87" s="99"/>
      <c r="T87" s="99"/>
      <c r="U87" s="99"/>
      <c r="V87" s="99"/>
      <c r="W87" s="100"/>
      <c r="X87" s="239" t="s">
        <v>114</v>
      </c>
      <c r="Y87" s="237"/>
      <c r="Z87" s="237"/>
      <c r="AA87" s="237"/>
      <c r="AB87" s="237"/>
      <c r="AC87" s="237"/>
      <c r="AD87" s="237"/>
      <c r="AE87" s="238"/>
      <c r="AF87" s="98"/>
      <c r="AG87" s="99"/>
      <c r="AH87" s="99"/>
      <c r="AI87" s="99"/>
      <c r="AJ87" s="99"/>
      <c r="AK87" s="99"/>
      <c r="AL87" s="99"/>
      <c r="AM87" s="99"/>
      <c r="AN87" s="104"/>
      <c r="AO87" s="240">
        <v>45715</v>
      </c>
      <c r="AP87" s="241"/>
      <c r="AQ87" s="236" t="s">
        <v>198</v>
      </c>
      <c r="AR87" s="232"/>
      <c r="AS87" s="236" t="s">
        <v>157</v>
      </c>
      <c r="AT87" s="242"/>
      <c r="AU87" s="105"/>
      <c r="AV87" s="106"/>
      <c r="AW87" s="96"/>
      <c r="AX87" s="97"/>
      <c r="AY87" s="96"/>
      <c r="AZ87" s="107"/>
      <c r="BA87" s="101"/>
      <c r="BB87" s="102"/>
      <c r="BC87" s="102"/>
      <c r="BD87" s="102"/>
      <c r="BE87" s="102"/>
      <c r="BF87" s="102"/>
      <c r="BG87" s="102"/>
      <c r="BH87" s="102"/>
      <c r="BI87" s="102"/>
      <c r="BJ87" s="102"/>
      <c r="BK87" s="102"/>
      <c r="BL87" s="103"/>
      <c r="BM87" s="56"/>
      <c r="BN87" s="56"/>
    </row>
    <row r="88" spans="1:66" ht="24" customHeight="1" x14ac:dyDescent="0.45">
      <c r="A88" s="55"/>
      <c r="B88" s="55"/>
      <c r="C88" s="72">
        <f t="shared" si="1"/>
        <v>79</v>
      </c>
      <c r="D88" s="59"/>
      <c r="E88" s="60"/>
      <c r="F88" s="60"/>
      <c r="G88" s="61"/>
      <c r="H88" s="60"/>
      <c r="I88" s="60"/>
      <c r="J88" s="60"/>
      <c r="K88" s="60"/>
      <c r="L88" s="162" t="s">
        <v>108</v>
      </c>
      <c r="M88" s="180"/>
      <c r="N88" s="180"/>
      <c r="O88" s="181"/>
      <c r="P88" s="114" t="s">
        <v>51</v>
      </c>
      <c r="Q88" s="99"/>
      <c r="R88" s="99"/>
      <c r="S88" s="99"/>
      <c r="T88" s="99"/>
      <c r="U88" s="99"/>
      <c r="V88" s="99"/>
      <c r="W88" s="100"/>
      <c r="X88" s="239" t="s">
        <v>114</v>
      </c>
      <c r="Y88" s="237"/>
      <c r="Z88" s="237"/>
      <c r="AA88" s="237"/>
      <c r="AB88" s="237"/>
      <c r="AC88" s="237"/>
      <c r="AD88" s="237"/>
      <c r="AE88" s="238"/>
      <c r="AF88" s="98"/>
      <c r="AG88" s="99"/>
      <c r="AH88" s="99"/>
      <c r="AI88" s="99"/>
      <c r="AJ88" s="99"/>
      <c r="AK88" s="99"/>
      <c r="AL88" s="99"/>
      <c r="AM88" s="99"/>
      <c r="AN88" s="104"/>
      <c r="AO88" s="240">
        <v>45715</v>
      </c>
      <c r="AP88" s="241"/>
      <c r="AQ88" s="236" t="s">
        <v>198</v>
      </c>
      <c r="AR88" s="232"/>
      <c r="AS88" s="236" t="s">
        <v>157</v>
      </c>
      <c r="AT88" s="242"/>
      <c r="AU88" s="105"/>
      <c r="AV88" s="106"/>
      <c r="AW88" s="96"/>
      <c r="AX88" s="97"/>
      <c r="AY88" s="96"/>
      <c r="AZ88" s="107"/>
      <c r="BA88" s="101"/>
      <c r="BB88" s="102"/>
      <c r="BC88" s="102"/>
      <c r="BD88" s="102"/>
      <c r="BE88" s="102"/>
      <c r="BF88" s="102"/>
      <c r="BG88" s="102"/>
      <c r="BH88" s="102"/>
      <c r="BI88" s="102"/>
      <c r="BJ88" s="102"/>
      <c r="BK88" s="102"/>
      <c r="BL88" s="103"/>
      <c r="BM88" s="56"/>
      <c r="BN88" s="56"/>
    </row>
    <row r="89" spans="1:66" ht="24" customHeight="1" thickBot="1" x14ac:dyDescent="0.5">
      <c r="A89" s="55"/>
      <c r="B89" s="55"/>
      <c r="C89" s="72">
        <f t="shared" si="1"/>
        <v>80</v>
      </c>
      <c r="D89" s="59"/>
      <c r="E89" s="60"/>
      <c r="F89" s="60"/>
      <c r="G89" s="61"/>
      <c r="H89" s="110"/>
      <c r="I89" s="111"/>
      <c r="J89" s="111"/>
      <c r="K89" s="112"/>
      <c r="L89" s="162" t="s">
        <v>109</v>
      </c>
      <c r="M89" s="180"/>
      <c r="N89" s="180"/>
      <c r="O89" s="181"/>
      <c r="P89" s="114" t="s">
        <v>51</v>
      </c>
      <c r="Q89" s="99"/>
      <c r="R89" s="99"/>
      <c r="S89" s="99"/>
      <c r="T89" s="99"/>
      <c r="U89" s="99"/>
      <c r="V89" s="99"/>
      <c r="W89" s="100"/>
      <c r="X89" s="239" t="s">
        <v>114</v>
      </c>
      <c r="Y89" s="237"/>
      <c r="Z89" s="237"/>
      <c r="AA89" s="237"/>
      <c r="AB89" s="237"/>
      <c r="AC89" s="237"/>
      <c r="AD89" s="237"/>
      <c r="AE89" s="238"/>
      <c r="AF89" s="98"/>
      <c r="AG89" s="99"/>
      <c r="AH89" s="99"/>
      <c r="AI89" s="99"/>
      <c r="AJ89" s="99"/>
      <c r="AK89" s="99"/>
      <c r="AL89" s="99"/>
      <c r="AM89" s="99"/>
      <c r="AN89" s="104"/>
      <c r="AO89" s="240">
        <v>45715</v>
      </c>
      <c r="AP89" s="241"/>
      <c r="AQ89" s="236" t="s">
        <v>198</v>
      </c>
      <c r="AR89" s="232"/>
      <c r="AS89" s="236" t="s">
        <v>157</v>
      </c>
      <c r="AT89" s="242"/>
      <c r="AU89" s="105"/>
      <c r="AV89" s="106"/>
      <c r="AW89" s="96"/>
      <c r="AX89" s="97"/>
      <c r="AY89" s="96"/>
      <c r="AZ89" s="107"/>
      <c r="BA89" s="101"/>
      <c r="BB89" s="102"/>
      <c r="BC89" s="102"/>
      <c r="BD89" s="102"/>
      <c r="BE89" s="102"/>
      <c r="BF89" s="102"/>
      <c r="BG89" s="102"/>
      <c r="BH89" s="102"/>
      <c r="BI89" s="102"/>
      <c r="BJ89" s="102"/>
      <c r="BK89" s="102"/>
      <c r="BL89" s="103"/>
      <c r="BM89" s="56"/>
      <c r="BN89" s="56"/>
    </row>
    <row r="90" spans="1:66" ht="20.100000000000001" customHeight="1" thickTop="1" thickBot="1" x14ac:dyDescent="0.5">
      <c r="A90" s="55"/>
      <c r="B90" s="8"/>
      <c r="C90" s="12"/>
      <c r="D90" s="12"/>
      <c r="E90" s="12"/>
      <c r="F90" s="12"/>
      <c r="G90" s="12"/>
      <c r="H90" s="12"/>
      <c r="I90" s="12"/>
      <c r="J90" s="12"/>
      <c r="K90" s="12"/>
      <c r="L90" s="12"/>
      <c r="M90" s="12"/>
      <c r="N90" s="12"/>
      <c r="O90" s="12"/>
      <c r="P90" s="18"/>
      <c r="Q90" s="18"/>
      <c r="R90" s="18"/>
      <c r="S90" s="18"/>
      <c r="T90" s="18"/>
      <c r="U90" s="18"/>
      <c r="V90" s="18"/>
      <c r="W90" s="18"/>
      <c r="X90" s="18"/>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8"/>
      <c r="BN90" s="56"/>
    </row>
    <row r="91" spans="1:66" ht="5.0999999999999996" customHeight="1" thickTop="1" x14ac:dyDescent="0.45">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row>
    <row r="92" spans="1:66" ht="20.100000000000001" customHeight="1" x14ac:dyDescent="0.45">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row>
  </sheetData>
  <mergeCells count="439">
    <mergeCell ref="AO88:AP88"/>
    <mergeCell ref="AQ88:AR88"/>
    <mergeCell ref="AS88:AT88"/>
    <mergeCell ref="AO89:AP89"/>
    <mergeCell ref="AQ89:AR89"/>
    <mergeCell ref="AS89:AT89"/>
    <mergeCell ref="AO85:AP85"/>
    <mergeCell ref="AQ85:AR85"/>
    <mergeCell ref="AS85:AT85"/>
    <mergeCell ref="AO86:AP86"/>
    <mergeCell ref="AQ86:AR86"/>
    <mergeCell ref="AS86:AT86"/>
    <mergeCell ref="AO87:AP87"/>
    <mergeCell ref="AQ87:AR87"/>
    <mergeCell ref="AS87:AT87"/>
    <mergeCell ref="AO82:AP82"/>
    <mergeCell ref="AQ82:AR82"/>
    <mergeCell ref="AS82:AT82"/>
    <mergeCell ref="AO83:AP83"/>
    <mergeCell ref="AQ83:AR83"/>
    <mergeCell ref="AS83:AT83"/>
    <mergeCell ref="AO84:AP84"/>
    <mergeCell ref="AQ84:AR84"/>
    <mergeCell ref="AS84:AT84"/>
    <mergeCell ref="AO79:AP79"/>
    <mergeCell ref="AQ79:AR79"/>
    <mergeCell ref="AS79:AT79"/>
    <mergeCell ref="AO80:AP80"/>
    <mergeCell ref="AQ80:AR80"/>
    <mergeCell ref="AS80:AT80"/>
    <mergeCell ref="AO81:AP81"/>
    <mergeCell ref="AQ81:AR81"/>
    <mergeCell ref="AS81:AT81"/>
    <mergeCell ref="AO76:AP76"/>
    <mergeCell ref="AQ76:AR76"/>
    <mergeCell ref="AS76:AT76"/>
    <mergeCell ref="AO77:AP77"/>
    <mergeCell ref="AQ77:AR77"/>
    <mergeCell ref="AS77:AT77"/>
    <mergeCell ref="AO78:AP78"/>
    <mergeCell ref="AQ78:AR78"/>
    <mergeCell ref="AS78:AT78"/>
    <mergeCell ref="AO73:AP73"/>
    <mergeCell ref="AQ73:AR73"/>
    <mergeCell ref="AS73:AT73"/>
    <mergeCell ref="AO74:AP74"/>
    <mergeCell ref="AQ74:AR74"/>
    <mergeCell ref="AS74:AT74"/>
    <mergeCell ref="AO75:AP75"/>
    <mergeCell ref="AQ75:AR75"/>
    <mergeCell ref="AS75:AT75"/>
    <mergeCell ref="AO70:AP70"/>
    <mergeCell ref="AQ70:AR70"/>
    <mergeCell ref="AS70:AT70"/>
    <mergeCell ref="AO71:AP71"/>
    <mergeCell ref="AQ71:AR71"/>
    <mergeCell ref="AS71:AT71"/>
    <mergeCell ref="AO72:AP72"/>
    <mergeCell ref="AQ72:AR72"/>
    <mergeCell ref="AS72:AT72"/>
    <mergeCell ref="AO67:AP67"/>
    <mergeCell ref="AQ67:AR67"/>
    <mergeCell ref="AS67:AT67"/>
    <mergeCell ref="AO68:AP68"/>
    <mergeCell ref="AQ68:AR68"/>
    <mergeCell ref="AS68:AT68"/>
    <mergeCell ref="AO69:AP69"/>
    <mergeCell ref="AQ69:AR69"/>
    <mergeCell ref="AS69:AT69"/>
    <mergeCell ref="AO64:AP64"/>
    <mergeCell ref="AQ64:AR64"/>
    <mergeCell ref="AS64:AT64"/>
    <mergeCell ref="AO65:AP65"/>
    <mergeCell ref="AQ65:AR65"/>
    <mergeCell ref="AS65:AT65"/>
    <mergeCell ref="AO66:AP66"/>
    <mergeCell ref="AQ66:AR66"/>
    <mergeCell ref="AS66:AT66"/>
    <mergeCell ref="AO61:AP61"/>
    <mergeCell ref="AQ61:AR61"/>
    <mergeCell ref="AS61:AT61"/>
    <mergeCell ref="AO62:AP62"/>
    <mergeCell ref="AQ62:AR62"/>
    <mergeCell ref="AS62:AT62"/>
    <mergeCell ref="AO63:AP63"/>
    <mergeCell ref="AQ63:AR63"/>
    <mergeCell ref="AS63:AT63"/>
    <mergeCell ref="AO58:AP58"/>
    <mergeCell ref="AQ58:AR58"/>
    <mergeCell ref="AS58:AT58"/>
    <mergeCell ref="AO59:AP59"/>
    <mergeCell ref="AQ59:AR59"/>
    <mergeCell ref="AS59:AT59"/>
    <mergeCell ref="AO60:AP60"/>
    <mergeCell ref="AQ60:AR60"/>
    <mergeCell ref="AS60:AT60"/>
    <mergeCell ref="AO55:AP55"/>
    <mergeCell ref="AQ55:AR55"/>
    <mergeCell ref="AS55:AT55"/>
    <mergeCell ref="AO56:AP56"/>
    <mergeCell ref="AQ56:AR56"/>
    <mergeCell ref="AS56:AT56"/>
    <mergeCell ref="AO57:AP57"/>
    <mergeCell ref="AQ57:AR57"/>
    <mergeCell ref="AS57:AT57"/>
    <mergeCell ref="AO52:AP52"/>
    <mergeCell ref="AQ52:AR52"/>
    <mergeCell ref="AS52:AT52"/>
    <mergeCell ref="AO53:AP53"/>
    <mergeCell ref="AQ53:AR53"/>
    <mergeCell ref="AS53:AT53"/>
    <mergeCell ref="AO54:AP54"/>
    <mergeCell ref="AQ54:AR54"/>
    <mergeCell ref="AS54:AT54"/>
    <mergeCell ref="AO50:AP50"/>
    <mergeCell ref="AQ50:AR50"/>
    <mergeCell ref="AS50:AT50"/>
    <mergeCell ref="AO51:AP51"/>
    <mergeCell ref="AQ51:AR51"/>
    <mergeCell ref="AS51:AT51"/>
    <mergeCell ref="X55:AE55"/>
    <mergeCell ref="X44:AE44"/>
    <mergeCell ref="X45:AE45"/>
    <mergeCell ref="X46:AE46"/>
    <mergeCell ref="X47:AE47"/>
    <mergeCell ref="X48:AE48"/>
    <mergeCell ref="AF59:AN59"/>
    <mergeCell ref="AF36:AN36"/>
    <mergeCell ref="AF37:AN37"/>
    <mergeCell ref="AF38:AN38"/>
    <mergeCell ref="AF39:AN39"/>
    <mergeCell ref="AF40:AN40"/>
    <mergeCell ref="AF41:AN41"/>
    <mergeCell ref="AF42:AN42"/>
    <mergeCell ref="AF43:AN43"/>
    <mergeCell ref="AF49:AN49"/>
    <mergeCell ref="X40:AE40"/>
    <mergeCell ref="AF31:AN31"/>
    <mergeCell ref="AF32:AN32"/>
    <mergeCell ref="AF33:AN33"/>
    <mergeCell ref="AF34:AN34"/>
    <mergeCell ref="AF35:AN35"/>
    <mergeCell ref="AF50:AN50"/>
    <mergeCell ref="AF56:AN56"/>
    <mergeCell ref="AF57:AN57"/>
    <mergeCell ref="AF58:AN58"/>
    <mergeCell ref="X85:AE85"/>
    <mergeCell ref="X86:AE86"/>
    <mergeCell ref="X87:AE87"/>
    <mergeCell ref="X88:AE88"/>
    <mergeCell ref="X89:AE89"/>
    <mergeCell ref="X68:AE68"/>
    <mergeCell ref="X69:AE69"/>
    <mergeCell ref="X70:AE70"/>
    <mergeCell ref="X71:AE71"/>
    <mergeCell ref="X72:AE72"/>
    <mergeCell ref="X73:AE73"/>
    <mergeCell ref="X74:AE74"/>
    <mergeCell ref="X75:AE75"/>
    <mergeCell ref="X76:AE76"/>
    <mergeCell ref="X77:AE77"/>
    <mergeCell ref="X78:AE78"/>
    <mergeCell ref="X79:AE79"/>
    <mergeCell ref="X80:AE80"/>
    <mergeCell ref="X81:AE81"/>
    <mergeCell ref="X82:AE82"/>
    <mergeCell ref="X83:AE83"/>
    <mergeCell ref="X84:AE84"/>
    <mergeCell ref="X67:AE67"/>
    <mergeCell ref="L50:O50"/>
    <mergeCell ref="P43:W43"/>
    <mergeCell ref="X50:AE50"/>
    <mergeCell ref="X56:AE56"/>
    <mergeCell ref="X57:AE57"/>
    <mergeCell ref="X58:AE58"/>
    <mergeCell ref="X59:AE59"/>
    <mergeCell ref="X60:AE60"/>
    <mergeCell ref="X61:AE61"/>
    <mergeCell ref="P49:W49"/>
    <mergeCell ref="X49:AE49"/>
    <mergeCell ref="X43:AE43"/>
    <mergeCell ref="X62:AE62"/>
    <mergeCell ref="X63:AE63"/>
    <mergeCell ref="P44:W44"/>
    <mergeCell ref="P45:W45"/>
    <mergeCell ref="P46:W46"/>
    <mergeCell ref="P47:W47"/>
    <mergeCell ref="P48:W48"/>
    <mergeCell ref="X51:AE51"/>
    <mergeCell ref="X52:AE52"/>
    <mergeCell ref="X53:AE53"/>
    <mergeCell ref="X54:AE54"/>
    <mergeCell ref="B2:G2"/>
    <mergeCell ref="H2:K2"/>
    <mergeCell ref="L2:Q2"/>
    <mergeCell ref="R2:W2"/>
    <mergeCell ref="X2:AJ2"/>
    <mergeCell ref="AK2:AW2"/>
    <mergeCell ref="X64:AE64"/>
    <mergeCell ref="X65:AE65"/>
    <mergeCell ref="X66:AE66"/>
    <mergeCell ref="AF16:AN16"/>
    <mergeCell ref="AF17:AN17"/>
    <mergeCell ref="AF18:AN18"/>
    <mergeCell ref="AF19:AN19"/>
    <mergeCell ref="AF20:AN20"/>
    <mergeCell ref="AF21:AN21"/>
    <mergeCell ref="AF22:AN22"/>
    <mergeCell ref="AF23:AN23"/>
    <mergeCell ref="AF24:AN24"/>
    <mergeCell ref="AF25:AN25"/>
    <mergeCell ref="AF26:AN26"/>
    <mergeCell ref="AF27:AN27"/>
    <mergeCell ref="AF28:AN28"/>
    <mergeCell ref="AF29:AN29"/>
    <mergeCell ref="AF30:AN30"/>
    <mergeCell ref="AX2:BA2"/>
    <mergeCell ref="BB2:BE2"/>
    <mergeCell ref="BF2:BI2"/>
    <mergeCell ref="BJ2:BM2"/>
    <mergeCell ref="AU8:AZ8"/>
    <mergeCell ref="BG8:BH8"/>
    <mergeCell ref="BI8:BJ8"/>
    <mergeCell ref="BK8:BL8"/>
    <mergeCell ref="AK3:AW4"/>
    <mergeCell ref="AX3:BA4"/>
    <mergeCell ref="B3:G4"/>
    <mergeCell ref="H3:K4"/>
    <mergeCell ref="L3:Q4"/>
    <mergeCell ref="R3:W4"/>
    <mergeCell ref="X3:AJ4"/>
    <mergeCell ref="AO8:AT8"/>
    <mergeCell ref="AS10:AT10"/>
    <mergeCell ref="AU10:AV10"/>
    <mergeCell ref="AW10:AX10"/>
    <mergeCell ref="AO9:AP9"/>
    <mergeCell ref="AQ9:AR9"/>
    <mergeCell ref="AS9:AT9"/>
    <mergeCell ref="AU9:AV9"/>
    <mergeCell ref="AW9:AX9"/>
    <mergeCell ref="D10:G10"/>
    <mergeCell ref="H10:K10"/>
    <mergeCell ref="L10:O10"/>
    <mergeCell ref="P10:W10"/>
    <mergeCell ref="X10:AE10"/>
    <mergeCell ref="AF10:AN10"/>
    <mergeCell ref="AO10:AP10"/>
    <mergeCell ref="AQ10:AR10"/>
    <mergeCell ref="BA10:BL10"/>
    <mergeCell ref="BB3:BE4"/>
    <mergeCell ref="BF3:BI4"/>
    <mergeCell ref="BJ3:BM4"/>
    <mergeCell ref="BE7:BF8"/>
    <mergeCell ref="BG7:BH7"/>
    <mergeCell ref="BI7:BJ7"/>
    <mergeCell ref="BK7:BL7"/>
    <mergeCell ref="BA9:BL9"/>
    <mergeCell ref="P12:W12"/>
    <mergeCell ref="X12:AE12"/>
    <mergeCell ref="P13:W13"/>
    <mergeCell ref="X13:AE13"/>
    <mergeCell ref="P14:W14"/>
    <mergeCell ref="X14:AE14"/>
    <mergeCell ref="P11:W11"/>
    <mergeCell ref="X11:AE11"/>
    <mergeCell ref="AY9:AZ9"/>
    <mergeCell ref="AY10:AZ10"/>
    <mergeCell ref="AO11:AP11"/>
    <mergeCell ref="AQ11:AR11"/>
    <mergeCell ref="AS11:AT11"/>
    <mergeCell ref="AO12:AP12"/>
    <mergeCell ref="AQ12:AR12"/>
    <mergeCell ref="AS12:AT12"/>
    <mergeCell ref="AO13:AP13"/>
    <mergeCell ref="AQ13:AR13"/>
    <mergeCell ref="AS13:AT13"/>
    <mergeCell ref="AO14:AP14"/>
    <mergeCell ref="AQ14:AR14"/>
    <mergeCell ref="AS14:AT14"/>
    <mergeCell ref="P18:W18"/>
    <mergeCell ref="X18:AE18"/>
    <mergeCell ref="P19:W19"/>
    <mergeCell ref="X19:AE19"/>
    <mergeCell ref="P20:W20"/>
    <mergeCell ref="X20:AE20"/>
    <mergeCell ref="P15:W15"/>
    <mergeCell ref="X15:AE15"/>
    <mergeCell ref="P16:W16"/>
    <mergeCell ref="X16:AE16"/>
    <mergeCell ref="P17:W17"/>
    <mergeCell ref="X17:AE17"/>
    <mergeCell ref="P23:W23"/>
    <mergeCell ref="X23:AE23"/>
    <mergeCell ref="P24:W24"/>
    <mergeCell ref="X24:AE24"/>
    <mergeCell ref="P25:W25"/>
    <mergeCell ref="X25:AE25"/>
    <mergeCell ref="P21:W21"/>
    <mergeCell ref="X21:AE21"/>
    <mergeCell ref="P22:W22"/>
    <mergeCell ref="X22:AE22"/>
    <mergeCell ref="P29:W29"/>
    <mergeCell ref="X29:AE29"/>
    <mergeCell ref="P30:W30"/>
    <mergeCell ref="X30:AE30"/>
    <mergeCell ref="P31:W31"/>
    <mergeCell ref="X31:AE31"/>
    <mergeCell ref="P26:W26"/>
    <mergeCell ref="X26:AE26"/>
    <mergeCell ref="P27:W27"/>
    <mergeCell ref="X27:AE27"/>
    <mergeCell ref="P28:W28"/>
    <mergeCell ref="X28:AE28"/>
    <mergeCell ref="P35:W35"/>
    <mergeCell ref="X35:AE35"/>
    <mergeCell ref="P36:W36"/>
    <mergeCell ref="X36:AE36"/>
    <mergeCell ref="P37:W37"/>
    <mergeCell ref="X37:AE37"/>
    <mergeCell ref="P32:W32"/>
    <mergeCell ref="X32:AE32"/>
    <mergeCell ref="P33:W33"/>
    <mergeCell ref="X33:AE33"/>
    <mergeCell ref="P34:W34"/>
    <mergeCell ref="X34:AE34"/>
    <mergeCell ref="P40:W40"/>
    <mergeCell ref="X39:AE39"/>
    <mergeCell ref="P39:W39"/>
    <mergeCell ref="P41:W41"/>
    <mergeCell ref="X41:AE41"/>
    <mergeCell ref="P42:W42"/>
    <mergeCell ref="X42:AE42"/>
    <mergeCell ref="P38:W38"/>
    <mergeCell ref="X38:AE38"/>
    <mergeCell ref="AO15:AP15"/>
    <mergeCell ref="AQ15:AR15"/>
    <mergeCell ref="AS15:AT15"/>
    <mergeCell ref="AO16:AP16"/>
    <mergeCell ref="AQ16:AR16"/>
    <mergeCell ref="AS16:AT16"/>
    <mergeCell ref="AO17:AP17"/>
    <mergeCell ref="AQ17:AR17"/>
    <mergeCell ref="AS17:AT17"/>
    <mergeCell ref="AO18:AP18"/>
    <mergeCell ref="AQ18:AR18"/>
    <mergeCell ref="AS18:AT18"/>
    <mergeCell ref="AO19:AP19"/>
    <mergeCell ref="AQ19:AR19"/>
    <mergeCell ref="AS19:AT19"/>
    <mergeCell ref="AO20:AP20"/>
    <mergeCell ref="AQ20:AR20"/>
    <mergeCell ref="AS20:AT20"/>
    <mergeCell ref="AO21:AP21"/>
    <mergeCell ref="AQ21:AR21"/>
    <mergeCell ref="AS21:AT21"/>
    <mergeCell ref="AO22:AP22"/>
    <mergeCell ref="AQ22:AR22"/>
    <mergeCell ref="AS22:AT22"/>
    <mergeCell ref="AO23:AP23"/>
    <mergeCell ref="AQ23:AR23"/>
    <mergeCell ref="AS23:AT23"/>
    <mergeCell ref="AO24:AP24"/>
    <mergeCell ref="AQ24:AR24"/>
    <mergeCell ref="AS24:AT24"/>
    <mergeCell ref="AO25:AP25"/>
    <mergeCell ref="AQ25:AR25"/>
    <mergeCell ref="AS25:AT25"/>
    <mergeCell ref="AO26:AP26"/>
    <mergeCell ref="AQ26:AR26"/>
    <mergeCell ref="AS26:AT26"/>
    <mergeCell ref="AO27:AP27"/>
    <mergeCell ref="AQ27:AR27"/>
    <mergeCell ref="AS27:AT27"/>
    <mergeCell ref="AO28:AP28"/>
    <mergeCell ref="AQ28:AR28"/>
    <mergeCell ref="AS28:AT28"/>
    <mergeCell ref="AO29:AP29"/>
    <mergeCell ref="AQ29:AR29"/>
    <mergeCell ref="AS29:AT29"/>
    <mergeCell ref="AO30:AP30"/>
    <mergeCell ref="AQ30:AR30"/>
    <mergeCell ref="AS30:AT30"/>
    <mergeCell ref="AO31:AP31"/>
    <mergeCell ref="AQ31:AR31"/>
    <mergeCell ref="AS31:AT31"/>
    <mergeCell ref="AO32:AP32"/>
    <mergeCell ref="AQ32:AR32"/>
    <mergeCell ref="AS32:AT32"/>
    <mergeCell ref="AO33:AP33"/>
    <mergeCell ref="AQ33:AR33"/>
    <mergeCell ref="AS33:AT33"/>
    <mergeCell ref="AO34:AP34"/>
    <mergeCell ref="AQ34:AR34"/>
    <mergeCell ref="AS34:AT34"/>
    <mergeCell ref="AO35:AP35"/>
    <mergeCell ref="AQ35:AR35"/>
    <mergeCell ref="AS35:AT35"/>
    <mergeCell ref="AO36:AP36"/>
    <mergeCell ref="AQ36:AR36"/>
    <mergeCell ref="AS36:AT36"/>
    <mergeCell ref="AO37:AP37"/>
    <mergeCell ref="AQ37:AR37"/>
    <mergeCell ref="AS37:AT37"/>
    <mergeCell ref="AO38:AP38"/>
    <mergeCell ref="AQ38:AR38"/>
    <mergeCell ref="AS38:AT38"/>
    <mergeCell ref="AO39:AP39"/>
    <mergeCell ref="AQ39:AR39"/>
    <mergeCell ref="AS39:AT39"/>
    <mergeCell ref="AO40:AP40"/>
    <mergeCell ref="AQ40:AR40"/>
    <mergeCell ref="AS40:AT40"/>
    <mergeCell ref="AO41:AP41"/>
    <mergeCell ref="AQ41:AR41"/>
    <mergeCell ref="AS41:AT41"/>
    <mergeCell ref="AO42:AP42"/>
    <mergeCell ref="AQ42:AR42"/>
    <mergeCell ref="AS42:AT42"/>
    <mergeCell ref="AO43:AP43"/>
    <mergeCell ref="AQ43:AR43"/>
    <mergeCell ref="AS43:AT43"/>
    <mergeCell ref="AO44:AP44"/>
    <mergeCell ref="AQ44:AR44"/>
    <mergeCell ref="AS44:AT44"/>
    <mergeCell ref="AO48:AP48"/>
    <mergeCell ref="AQ48:AR48"/>
    <mergeCell ref="AS48:AT48"/>
    <mergeCell ref="AO49:AP49"/>
    <mergeCell ref="AQ49:AR49"/>
    <mergeCell ref="AS49:AT49"/>
    <mergeCell ref="AO45:AP45"/>
    <mergeCell ref="AQ45:AR45"/>
    <mergeCell ref="AS45:AT45"/>
    <mergeCell ref="AO46:AP46"/>
    <mergeCell ref="AQ46:AR46"/>
    <mergeCell ref="AS46:AT46"/>
    <mergeCell ref="AO47:AP47"/>
    <mergeCell ref="AQ47:AR47"/>
    <mergeCell ref="AS47:AT47"/>
  </mergeCells>
  <phoneticPr fontId="2"/>
  <conditionalFormatting sqref="AY10:AY89">
    <cfRule type="cellIs" dxfId="97" priority="85" operator="equal">
      <formula>"OK"</formula>
    </cfRule>
    <cfRule type="cellIs" dxfId="96" priority="86" operator="equal">
      <formula>"NG"</formula>
    </cfRule>
  </conditionalFormatting>
  <conditionalFormatting sqref="AS10">
    <cfRule type="cellIs" dxfId="95" priority="83" operator="equal">
      <formula>"OK"</formula>
    </cfRule>
    <cfRule type="cellIs" dxfId="94" priority="84" operator="equal">
      <formula>"NG"</formula>
    </cfRule>
  </conditionalFormatting>
  <conditionalFormatting sqref="AS11">
    <cfRule type="cellIs" dxfId="93" priority="81" operator="equal">
      <formula>"OK"</formula>
    </cfRule>
    <cfRule type="cellIs" dxfId="92" priority="82" operator="equal">
      <formula>"NG"</formula>
    </cfRule>
  </conditionalFormatting>
  <conditionalFormatting sqref="AS12">
    <cfRule type="cellIs" dxfId="91" priority="79" operator="equal">
      <formula>"OK"</formula>
    </cfRule>
    <cfRule type="cellIs" dxfId="90" priority="80" operator="equal">
      <formula>"NG"</formula>
    </cfRule>
  </conditionalFormatting>
  <conditionalFormatting sqref="AS13">
    <cfRule type="cellIs" dxfId="89" priority="77" operator="equal">
      <formula>"OK"</formula>
    </cfRule>
    <cfRule type="cellIs" dxfId="88" priority="78" operator="equal">
      <formula>"NG"</formula>
    </cfRule>
  </conditionalFormatting>
  <conditionalFormatting sqref="AS14">
    <cfRule type="cellIs" dxfId="87" priority="75" operator="equal">
      <formula>"OK"</formula>
    </cfRule>
    <cfRule type="cellIs" dxfId="86" priority="76" operator="equal">
      <formula>"NG"</formula>
    </cfRule>
  </conditionalFormatting>
  <conditionalFormatting sqref="AS15">
    <cfRule type="cellIs" dxfId="85" priority="73" operator="equal">
      <formula>"OK"</formula>
    </cfRule>
    <cfRule type="cellIs" dxfId="84" priority="74" operator="equal">
      <formula>"NG"</formula>
    </cfRule>
  </conditionalFormatting>
  <conditionalFormatting sqref="AS16">
    <cfRule type="cellIs" dxfId="83" priority="71" operator="equal">
      <formula>"OK"</formula>
    </cfRule>
    <cfRule type="cellIs" dxfId="82" priority="72" operator="equal">
      <formula>"NG"</formula>
    </cfRule>
  </conditionalFormatting>
  <conditionalFormatting sqref="AS17">
    <cfRule type="cellIs" dxfId="81" priority="69" operator="equal">
      <formula>"OK"</formula>
    </cfRule>
    <cfRule type="cellIs" dxfId="80" priority="70" operator="equal">
      <formula>"NG"</formula>
    </cfRule>
  </conditionalFormatting>
  <conditionalFormatting sqref="AS18">
    <cfRule type="cellIs" dxfId="79" priority="67" operator="equal">
      <formula>"OK"</formula>
    </cfRule>
    <cfRule type="cellIs" dxfId="78" priority="68" operator="equal">
      <formula>"NG"</formula>
    </cfRule>
  </conditionalFormatting>
  <conditionalFormatting sqref="AS19">
    <cfRule type="cellIs" dxfId="77" priority="65" operator="equal">
      <formula>"OK"</formula>
    </cfRule>
    <cfRule type="cellIs" dxfId="76" priority="66" operator="equal">
      <formula>"NG"</formula>
    </cfRule>
  </conditionalFormatting>
  <conditionalFormatting sqref="AS20">
    <cfRule type="cellIs" dxfId="75" priority="63" operator="equal">
      <formula>"OK"</formula>
    </cfRule>
    <cfRule type="cellIs" dxfId="74" priority="64" operator="equal">
      <formula>"NG"</formula>
    </cfRule>
  </conditionalFormatting>
  <conditionalFormatting sqref="AS21">
    <cfRule type="cellIs" dxfId="73" priority="61" operator="equal">
      <formula>"OK"</formula>
    </cfRule>
    <cfRule type="cellIs" dxfId="72" priority="62" operator="equal">
      <formula>"NG"</formula>
    </cfRule>
  </conditionalFormatting>
  <conditionalFormatting sqref="AS22">
    <cfRule type="cellIs" dxfId="71" priority="59" operator="equal">
      <formula>"OK"</formula>
    </cfRule>
    <cfRule type="cellIs" dxfId="70" priority="60" operator="equal">
      <formula>"NG"</formula>
    </cfRule>
  </conditionalFormatting>
  <conditionalFormatting sqref="AS23">
    <cfRule type="cellIs" dxfId="69" priority="57" operator="equal">
      <formula>"OK"</formula>
    </cfRule>
    <cfRule type="cellIs" dxfId="68" priority="58" operator="equal">
      <formula>"NG"</formula>
    </cfRule>
  </conditionalFormatting>
  <conditionalFormatting sqref="AS24">
    <cfRule type="cellIs" dxfId="67" priority="55" operator="equal">
      <formula>"OK"</formula>
    </cfRule>
    <cfRule type="cellIs" dxfId="66" priority="56" operator="equal">
      <formula>"NG"</formula>
    </cfRule>
  </conditionalFormatting>
  <conditionalFormatting sqref="AS25">
    <cfRule type="cellIs" dxfId="65" priority="53" operator="equal">
      <formula>"OK"</formula>
    </cfRule>
    <cfRule type="cellIs" dxfId="64" priority="54" operator="equal">
      <formula>"NG"</formula>
    </cfRule>
  </conditionalFormatting>
  <conditionalFormatting sqref="AS26">
    <cfRule type="cellIs" dxfId="63" priority="51" operator="equal">
      <formula>"OK"</formula>
    </cfRule>
    <cfRule type="cellIs" dxfId="62" priority="52" operator="equal">
      <formula>"NG"</formula>
    </cfRule>
  </conditionalFormatting>
  <conditionalFormatting sqref="AS27">
    <cfRule type="cellIs" dxfId="61" priority="49" operator="equal">
      <formula>"OK"</formula>
    </cfRule>
    <cfRule type="cellIs" dxfId="60" priority="50" operator="equal">
      <formula>"NG"</formula>
    </cfRule>
  </conditionalFormatting>
  <conditionalFormatting sqref="AS28">
    <cfRule type="cellIs" dxfId="59" priority="47" operator="equal">
      <formula>"OK"</formula>
    </cfRule>
    <cfRule type="cellIs" dxfId="58" priority="48" operator="equal">
      <formula>"NG"</formula>
    </cfRule>
  </conditionalFormatting>
  <conditionalFormatting sqref="AS29">
    <cfRule type="cellIs" dxfId="57" priority="45" operator="equal">
      <formula>"OK"</formula>
    </cfRule>
    <cfRule type="cellIs" dxfId="56" priority="46" operator="equal">
      <formula>"NG"</formula>
    </cfRule>
  </conditionalFormatting>
  <conditionalFormatting sqref="AS30">
    <cfRule type="cellIs" dxfId="55" priority="43" operator="equal">
      <formula>"OK"</formula>
    </cfRule>
    <cfRule type="cellIs" dxfId="54" priority="44" operator="equal">
      <formula>"NG"</formula>
    </cfRule>
  </conditionalFormatting>
  <conditionalFormatting sqref="AS31">
    <cfRule type="cellIs" dxfId="53" priority="41" operator="equal">
      <formula>"OK"</formula>
    </cfRule>
    <cfRule type="cellIs" dxfId="52" priority="42" operator="equal">
      <formula>"NG"</formula>
    </cfRule>
  </conditionalFormatting>
  <conditionalFormatting sqref="AS32">
    <cfRule type="cellIs" dxfId="51" priority="39" operator="equal">
      <formula>"OK"</formula>
    </cfRule>
    <cfRule type="cellIs" dxfId="50" priority="40" operator="equal">
      <formula>"NG"</formula>
    </cfRule>
  </conditionalFormatting>
  <conditionalFormatting sqref="AS33">
    <cfRule type="cellIs" dxfId="49" priority="37" operator="equal">
      <formula>"OK"</formula>
    </cfRule>
    <cfRule type="cellIs" dxfId="48" priority="38" operator="equal">
      <formula>"NG"</formula>
    </cfRule>
  </conditionalFormatting>
  <conditionalFormatting sqref="AS34">
    <cfRule type="cellIs" dxfId="47" priority="35" operator="equal">
      <formula>"OK"</formula>
    </cfRule>
    <cfRule type="cellIs" dxfId="46" priority="36" operator="equal">
      <formula>"NG"</formula>
    </cfRule>
  </conditionalFormatting>
  <conditionalFormatting sqref="AS35">
    <cfRule type="cellIs" dxfId="45" priority="33" operator="equal">
      <formula>"OK"</formula>
    </cfRule>
    <cfRule type="cellIs" dxfId="44" priority="34" operator="equal">
      <formula>"NG"</formula>
    </cfRule>
  </conditionalFormatting>
  <conditionalFormatting sqref="AS36">
    <cfRule type="cellIs" dxfId="43" priority="31" operator="equal">
      <formula>"OK"</formula>
    </cfRule>
    <cfRule type="cellIs" dxfId="42" priority="32" operator="equal">
      <formula>"NG"</formula>
    </cfRule>
  </conditionalFormatting>
  <conditionalFormatting sqref="AS37">
    <cfRule type="cellIs" dxfId="41" priority="29" operator="equal">
      <formula>"OK"</formula>
    </cfRule>
    <cfRule type="cellIs" dxfId="40" priority="30" operator="equal">
      <formula>"NG"</formula>
    </cfRule>
  </conditionalFormatting>
  <conditionalFormatting sqref="AS38">
    <cfRule type="cellIs" dxfId="39" priority="27" operator="equal">
      <formula>"OK"</formula>
    </cfRule>
    <cfRule type="cellIs" dxfId="38" priority="28" operator="equal">
      <formula>"NG"</formula>
    </cfRule>
  </conditionalFormatting>
  <conditionalFormatting sqref="AS39">
    <cfRule type="cellIs" dxfId="37" priority="25" operator="equal">
      <formula>"OK"</formula>
    </cfRule>
    <cfRule type="cellIs" dxfId="36" priority="26" operator="equal">
      <formula>"NG"</formula>
    </cfRule>
  </conditionalFormatting>
  <conditionalFormatting sqref="AS40">
    <cfRule type="cellIs" dxfId="35" priority="23" operator="equal">
      <formula>"OK"</formula>
    </cfRule>
    <cfRule type="cellIs" dxfId="34" priority="24" operator="equal">
      <formula>"NG"</formula>
    </cfRule>
  </conditionalFormatting>
  <conditionalFormatting sqref="AS41">
    <cfRule type="cellIs" dxfId="33" priority="21" operator="equal">
      <formula>"OK"</formula>
    </cfRule>
    <cfRule type="cellIs" dxfId="32" priority="22" operator="equal">
      <formula>"NG"</formula>
    </cfRule>
  </conditionalFormatting>
  <conditionalFormatting sqref="AS42">
    <cfRule type="cellIs" dxfId="31" priority="19" operator="equal">
      <formula>"OK"</formula>
    </cfRule>
    <cfRule type="cellIs" dxfId="30" priority="20" operator="equal">
      <formula>"NG"</formula>
    </cfRule>
  </conditionalFormatting>
  <conditionalFormatting sqref="AS43">
    <cfRule type="cellIs" dxfId="29" priority="17" operator="equal">
      <formula>"OK"</formula>
    </cfRule>
    <cfRule type="cellIs" dxfId="28" priority="18" operator="equal">
      <formula>"NG"</formula>
    </cfRule>
  </conditionalFormatting>
  <conditionalFormatting sqref="AS44">
    <cfRule type="cellIs" dxfId="27" priority="15" operator="equal">
      <formula>"OK"</formula>
    </cfRule>
    <cfRule type="cellIs" dxfId="26" priority="16" operator="equal">
      <formula>"NG"</formula>
    </cfRule>
  </conditionalFormatting>
  <conditionalFormatting sqref="AS45">
    <cfRule type="cellIs" dxfId="25" priority="13" operator="equal">
      <formula>"OK"</formula>
    </cfRule>
    <cfRule type="cellIs" dxfId="24" priority="14" operator="equal">
      <formula>"NG"</formula>
    </cfRule>
  </conditionalFormatting>
  <conditionalFormatting sqref="AS46">
    <cfRule type="cellIs" dxfId="23" priority="11" operator="equal">
      <formula>"OK"</formula>
    </cfRule>
    <cfRule type="cellIs" dxfId="22" priority="12" operator="equal">
      <formula>"NG"</formula>
    </cfRule>
  </conditionalFormatting>
  <conditionalFormatting sqref="AS47">
    <cfRule type="cellIs" dxfId="21" priority="9" operator="equal">
      <formula>"OK"</formula>
    </cfRule>
    <cfRule type="cellIs" dxfId="20" priority="10" operator="equal">
      <formula>"NG"</formula>
    </cfRule>
  </conditionalFormatting>
  <conditionalFormatting sqref="AS48">
    <cfRule type="cellIs" dxfId="19" priority="7" operator="equal">
      <formula>"OK"</formula>
    </cfRule>
    <cfRule type="cellIs" dxfId="18" priority="8" operator="equal">
      <formula>"NG"</formula>
    </cfRule>
  </conditionalFormatting>
  <conditionalFormatting sqref="AS49">
    <cfRule type="cellIs" dxfId="17" priority="5" operator="equal">
      <formula>"OK"</formula>
    </cfRule>
    <cfRule type="cellIs" dxfId="16" priority="6" operator="equal">
      <formula>"NG"</formula>
    </cfRule>
  </conditionalFormatting>
  <conditionalFormatting sqref="AS50">
    <cfRule type="cellIs" dxfId="9" priority="3" operator="equal">
      <formula>"OK"</formula>
    </cfRule>
    <cfRule type="cellIs" dxfId="8" priority="4" operator="equal">
      <formula>"NG"</formula>
    </cfRule>
  </conditionalFormatting>
  <conditionalFormatting sqref="AS51:AS89">
    <cfRule type="cellIs" dxfId="7" priority="1" operator="equal">
      <formula>"OK"</formula>
    </cfRule>
    <cfRule type="cellIs" dxfId="6" priority="2" operator="equal">
      <formula>"NG"</formula>
    </cfRule>
  </conditionalFormatting>
  <dataValidations count="1">
    <dataValidation type="list" allowBlank="1" showInputMessage="1" showErrorMessage="1" sqref="AY10:AY89 AS10:AS89">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93"/>
  <sheetViews>
    <sheetView showGridLines="0" view="pageBreakPreview" zoomScaleNormal="100" zoomScaleSheetLayoutView="100" workbookViewId="0">
      <pane ySplit="9" topLeftCell="A79" activePane="bottomLeft" state="frozen"/>
      <selection pane="bottomLeft"/>
    </sheetView>
  </sheetViews>
  <sheetFormatPr defaultColWidth="3.59765625" defaultRowHeight="20.100000000000001" customHeight="1" x14ac:dyDescent="0.45"/>
  <cols>
    <col min="1" max="1" width="1.09765625" style="54" customWidth="1"/>
    <col min="2" max="65" width="3.69921875" style="54" customWidth="1"/>
    <col min="66" max="66" width="1.09765625" style="54" customWidth="1"/>
    <col min="67" max="16384" width="3.59765625" style="54"/>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55"/>
      <c r="B2" s="211" t="s">
        <v>0</v>
      </c>
      <c r="C2" s="212"/>
      <c r="D2" s="212"/>
      <c r="E2" s="212"/>
      <c r="F2" s="212"/>
      <c r="G2" s="212"/>
      <c r="H2" s="212" t="s">
        <v>40</v>
      </c>
      <c r="I2" s="212"/>
      <c r="J2" s="212"/>
      <c r="K2" s="212"/>
      <c r="L2" s="212" t="s">
        <v>41</v>
      </c>
      <c r="M2" s="212"/>
      <c r="N2" s="212"/>
      <c r="O2" s="212"/>
      <c r="P2" s="212"/>
      <c r="Q2" s="212"/>
      <c r="R2" s="212" t="s">
        <v>1</v>
      </c>
      <c r="S2" s="212"/>
      <c r="T2" s="212"/>
      <c r="U2" s="212"/>
      <c r="V2" s="212"/>
      <c r="W2" s="212"/>
      <c r="X2" s="213" t="s">
        <v>2</v>
      </c>
      <c r="Y2" s="214"/>
      <c r="Z2" s="214"/>
      <c r="AA2" s="214"/>
      <c r="AB2" s="214"/>
      <c r="AC2" s="214"/>
      <c r="AD2" s="214"/>
      <c r="AE2" s="214"/>
      <c r="AF2" s="214"/>
      <c r="AG2" s="214"/>
      <c r="AH2" s="214"/>
      <c r="AI2" s="214"/>
      <c r="AJ2" s="215"/>
      <c r="AK2" s="213" t="s">
        <v>30</v>
      </c>
      <c r="AL2" s="214"/>
      <c r="AM2" s="214"/>
      <c r="AN2" s="214"/>
      <c r="AO2" s="214"/>
      <c r="AP2" s="214"/>
      <c r="AQ2" s="214"/>
      <c r="AR2" s="214"/>
      <c r="AS2" s="214"/>
      <c r="AT2" s="214"/>
      <c r="AU2" s="214"/>
      <c r="AV2" s="214"/>
      <c r="AW2" s="215"/>
      <c r="AX2" s="212" t="s">
        <v>4</v>
      </c>
      <c r="AY2" s="212"/>
      <c r="AZ2" s="212"/>
      <c r="BA2" s="212"/>
      <c r="BB2" s="212" t="s">
        <v>3</v>
      </c>
      <c r="BC2" s="212"/>
      <c r="BD2" s="212"/>
      <c r="BE2" s="212"/>
      <c r="BF2" s="212" t="s">
        <v>5</v>
      </c>
      <c r="BG2" s="212"/>
      <c r="BH2" s="212"/>
      <c r="BI2" s="212"/>
      <c r="BJ2" s="212" t="s">
        <v>6</v>
      </c>
      <c r="BK2" s="212"/>
      <c r="BL2" s="212"/>
      <c r="BM2" s="226"/>
      <c r="BN2" s="56"/>
    </row>
    <row r="3" spans="1:66" ht="20.100000000000001" customHeight="1" x14ac:dyDescent="0.45">
      <c r="A3" s="55"/>
      <c r="B3" s="216" t="str">
        <f>変更履歴!B3</f>
        <v>受発注システム</v>
      </c>
      <c r="C3" s="217"/>
      <c r="D3" s="217"/>
      <c r="E3" s="217"/>
      <c r="F3" s="217"/>
      <c r="G3" s="217"/>
      <c r="H3" s="217" t="str">
        <f ca="1">変更履歴!H3</f>
        <v>マスタ</v>
      </c>
      <c r="I3" s="217"/>
      <c r="J3" s="217"/>
      <c r="K3" s="217"/>
      <c r="L3" s="217" t="str">
        <f>変更履歴!L3</f>
        <v>受発注</v>
      </c>
      <c r="M3" s="217"/>
      <c r="N3" s="217"/>
      <c r="O3" s="217"/>
      <c r="P3" s="217"/>
      <c r="Q3" s="217"/>
      <c r="R3" s="217" t="str">
        <f ca="1">変更履歴!R3</f>
        <v>結合試験項目</v>
      </c>
      <c r="S3" s="217"/>
      <c r="T3" s="217"/>
      <c r="U3" s="217"/>
      <c r="V3" s="217"/>
      <c r="W3" s="217"/>
      <c r="X3" s="221" t="str">
        <f ca="1">変更履歴!X3</f>
        <v>マスタ_物件入力_結合試験項目</v>
      </c>
      <c r="Y3" s="222"/>
      <c r="Z3" s="222"/>
      <c r="AA3" s="222"/>
      <c r="AB3" s="222"/>
      <c r="AC3" s="222"/>
      <c r="AD3" s="222"/>
      <c r="AE3" s="222"/>
      <c r="AF3" s="222"/>
      <c r="AG3" s="222"/>
      <c r="AH3" s="222"/>
      <c r="AI3" s="222"/>
      <c r="AJ3" s="218"/>
      <c r="AK3" s="221" t="str">
        <f ca="1">変更履歴!AK3</f>
        <v>物件入力</v>
      </c>
      <c r="AL3" s="222"/>
      <c r="AM3" s="222"/>
      <c r="AN3" s="222"/>
      <c r="AO3" s="222"/>
      <c r="AP3" s="222"/>
      <c r="AQ3" s="222"/>
      <c r="AR3" s="222"/>
      <c r="AS3" s="222"/>
      <c r="AT3" s="222"/>
      <c r="AU3" s="222"/>
      <c r="AV3" s="222"/>
      <c r="AW3" s="218"/>
      <c r="AX3" s="228">
        <f>変更履歴!AX3</f>
        <v>45636</v>
      </c>
      <c r="AY3" s="228"/>
      <c r="AZ3" s="228"/>
      <c r="BA3" s="228"/>
      <c r="BB3" s="217" t="str">
        <f>変更履歴!BB3</f>
        <v>榎本</v>
      </c>
      <c r="BC3" s="217"/>
      <c r="BD3" s="217"/>
      <c r="BE3" s="217"/>
      <c r="BF3" s="228">
        <f>変更履歴!BF3</f>
        <v>45636</v>
      </c>
      <c r="BG3" s="228"/>
      <c r="BH3" s="228"/>
      <c r="BI3" s="228"/>
      <c r="BJ3" s="217" t="str">
        <f>変更履歴!BJ3</f>
        <v>榎本</v>
      </c>
      <c r="BK3" s="217"/>
      <c r="BL3" s="217"/>
      <c r="BM3" s="229"/>
      <c r="BN3" s="56"/>
    </row>
    <row r="4" spans="1:66" ht="20.100000000000001" customHeight="1" thickBot="1" x14ac:dyDescent="0.5">
      <c r="A4" s="55"/>
      <c r="B4" s="218"/>
      <c r="C4" s="219"/>
      <c r="D4" s="219"/>
      <c r="E4" s="219"/>
      <c r="F4" s="219"/>
      <c r="G4" s="219"/>
      <c r="H4" s="219"/>
      <c r="I4" s="219"/>
      <c r="J4" s="219"/>
      <c r="K4" s="219"/>
      <c r="L4" s="219"/>
      <c r="M4" s="219"/>
      <c r="N4" s="219"/>
      <c r="O4" s="219"/>
      <c r="P4" s="219"/>
      <c r="Q4" s="219"/>
      <c r="R4" s="219"/>
      <c r="S4" s="219"/>
      <c r="T4" s="219"/>
      <c r="U4" s="219"/>
      <c r="V4" s="219"/>
      <c r="W4" s="219"/>
      <c r="X4" s="223"/>
      <c r="Y4" s="224"/>
      <c r="Z4" s="224"/>
      <c r="AA4" s="224"/>
      <c r="AB4" s="224"/>
      <c r="AC4" s="224"/>
      <c r="AD4" s="224"/>
      <c r="AE4" s="224"/>
      <c r="AF4" s="224"/>
      <c r="AG4" s="224"/>
      <c r="AH4" s="224"/>
      <c r="AI4" s="224"/>
      <c r="AJ4" s="225"/>
      <c r="AK4" s="223"/>
      <c r="AL4" s="224"/>
      <c r="AM4" s="224"/>
      <c r="AN4" s="224"/>
      <c r="AO4" s="224"/>
      <c r="AP4" s="224"/>
      <c r="AQ4" s="224"/>
      <c r="AR4" s="224"/>
      <c r="AS4" s="224"/>
      <c r="AT4" s="224"/>
      <c r="AU4" s="224"/>
      <c r="AV4" s="224"/>
      <c r="AW4" s="225"/>
      <c r="AX4" s="256"/>
      <c r="AY4" s="256"/>
      <c r="AZ4" s="256"/>
      <c r="BA4" s="256"/>
      <c r="BB4" s="219"/>
      <c r="BC4" s="219"/>
      <c r="BD4" s="219"/>
      <c r="BE4" s="219"/>
      <c r="BF4" s="256"/>
      <c r="BG4" s="256"/>
      <c r="BH4" s="256"/>
      <c r="BI4" s="256"/>
      <c r="BJ4" s="219"/>
      <c r="BK4" s="219"/>
      <c r="BL4" s="219"/>
      <c r="BM4" s="221"/>
      <c r="BN4" s="5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55"/>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56"/>
    </row>
    <row r="7" spans="1:66" ht="13.8" thickTop="1" thickBot="1" x14ac:dyDescent="0.5">
      <c r="A7" s="55"/>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263" t="s">
        <v>32</v>
      </c>
      <c r="BF7" s="264"/>
      <c r="BG7" s="267" t="s">
        <v>31</v>
      </c>
      <c r="BH7" s="267"/>
      <c r="BI7" s="257" t="s">
        <v>33</v>
      </c>
      <c r="BJ7" s="258"/>
      <c r="BK7" s="257" t="s">
        <v>34</v>
      </c>
      <c r="BL7" s="255"/>
      <c r="BM7" s="8"/>
      <c r="BN7" s="56"/>
    </row>
    <row r="8" spans="1:66" ht="13.8" thickTop="1" thickBot="1" x14ac:dyDescent="0.5">
      <c r="A8" s="55"/>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261" t="s">
        <v>35</v>
      </c>
      <c r="AP8" s="254"/>
      <c r="AQ8" s="254"/>
      <c r="AR8" s="254"/>
      <c r="AS8" s="254"/>
      <c r="AT8" s="255"/>
      <c r="AU8" s="261" t="s">
        <v>36</v>
      </c>
      <c r="AV8" s="254"/>
      <c r="AW8" s="254"/>
      <c r="AX8" s="254"/>
      <c r="AY8" s="254"/>
      <c r="AZ8" s="255"/>
      <c r="BE8" s="265"/>
      <c r="BF8" s="266"/>
      <c r="BG8" s="259">
        <f>COUNTA(C10:C90)</f>
        <v>81</v>
      </c>
      <c r="BH8" s="262"/>
      <c r="BI8" s="259">
        <f>COUNTIF(AS10:AT90,"OK")+COUNTIF(AY10:AZ90,"OK")</f>
        <v>81</v>
      </c>
      <c r="BJ8" s="262"/>
      <c r="BK8" s="259">
        <f>BG8-BI8</f>
        <v>0</v>
      </c>
      <c r="BL8" s="260"/>
      <c r="BM8" s="8"/>
      <c r="BN8" s="56"/>
    </row>
    <row r="9" spans="1:66" ht="20.100000000000001" customHeight="1" thickTop="1" x14ac:dyDescent="0.45">
      <c r="A9" s="55"/>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252" t="s">
        <v>25</v>
      </c>
      <c r="AP9" s="250"/>
      <c r="AQ9" s="249" t="s">
        <v>26</v>
      </c>
      <c r="AR9" s="250"/>
      <c r="AS9" s="249" t="s">
        <v>29</v>
      </c>
      <c r="AT9" s="251"/>
      <c r="AU9" s="252" t="s">
        <v>25</v>
      </c>
      <c r="AV9" s="250"/>
      <c r="AW9" s="249" t="s">
        <v>26</v>
      </c>
      <c r="AX9" s="250"/>
      <c r="AY9" s="249" t="s">
        <v>29</v>
      </c>
      <c r="AZ9" s="251"/>
      <c r="BA9" s="253" t="s">
        <v>27</v>
      </c>
      <c r="BB9" s="254"/>
      <c r="BC9" s="254"/>
      <c r="BD9" s="254"/>
      <c r="BE9" s="254"/>
      <c r="BF9" s="254"/>
      <c r="BG9" s="254"/>
      <c r="BH9" s="254"/>
      <c r="BI9" s="254"/>
      <c r="BJ9" s="254"/>
      <c r="BK9" s="254"/>
      <c r="BL9" s="255"/>
      <c r="BM9" s="56"/>
      <c r="BN9" s="56"/>
    </row>
    <row r="10" spans="1:66" ht="24" customHeight="1" x14ac:dyDescent="0.45">
      <c r="A10" s="55"/>
      <c r="B10" s="55"/>
      <c r="C10" s="72">
        <f>ROW()-9</f>
        <v>1</v>
      </c>
      <c r="D10" s="243" t="s">
        <v>70</v>
      </c>
      <c r="E10" s="244"/>
      <c r="F10" s="244"/>
      <c r="G10" s="245"/>
      <c r="H10" s="243" t="s">
        <v>42</v>
      </c>
      <c r="I10" s="244"/>
      <c r="J10" s="244"/>
      <c r="K10" s="245"/>
      <c r="L10" s="246" t="s">
        <v>77</v>
      </c>
      <c r="M10" s="247"/>
      <c r="N10" s="247"/>
      <c r="O10" s="248"/>
      <c r="P10" s="239" t="s">
        <v>112</v>
      </c>
      <c r="Q10" s="237"/>
      <c r="R10" s="237"/>
      <c r="S10" s="237"/>
      <c r="T10" s="237"/>
      <c r="U10" s="237"/>
      <c r="V10" s="237"/>
      <c r="W10" s="238"/>
      <c r="X10" s="239" t="s">
        <v>113</v>
      </c>
      <c r="Y10" s="237"/>
      <c r="Z10" s="237"/>
      <c r="AA10" s="237"/>
      <c r="AB10" s="237"/>
      <c r="AC10" s="237"/>
      <c r="AD10" s="237"/>
      <c r="AE10" s="238"/>
      <c r="AF10" s="239"/>
      <c r="AG10" s="237"/>
      <c r="AH10" s="237"/>
      <c r="AI10" s="237"/>
      <c r="AJ10" s="237"/>
      <c r="AK10" s="237"/>
      <c r="AL10" s="237"/>
      <c r="AM10" s="237"/>
      <c r="AN10" s="270"/>
      <c r="AO10" s="240">
        <v>45684</v>
      </c>
      <c r="AP10" s="241"/>
      <c r="AQ10" s="236" t="s">
        <v>156</v>
      </c>
      <c r="AR10" s="232"/>
      <c r="AS10" s="236" t="s">
        <v>157</v>
      </c>
      <c r="AT10" s="242"/>
      <c r="AU10" s="240"/>
      <c r="AV10" s="241"/>
      <c r="AW10" s="236"/>
      <c r="AX10" s="232"/>
      <c r="AY10" s="236"/>
      <c r="AZ10" s="242"/>
      <c r="BA10" s="268"/>
      <c r="BB10" s="247"/>
      <c r="BC10" s="247"/>
      <c r="BD10" s="247"/>
      <c r="BE10" s="247"/>
      <c r="BF10" s="247"/>
      <c r="BG10" s="247"/>
      <c r="BH10" s="247"/>
      <c r="BI10" s="247"/>
      <c r="BJ10" s="247"/>
      <c r="BK10" s="247"/>
      <c r="BL10" s="269"/>
      <c r="BM10" s="56"/>
      <c r="BN10" s="56"/>
    </row>
    <row r="11" spans="1:66" ht="24" customHeight="1" x14ac:dyDescent="0.45">
      <c r="A11" s="55"/>
      <c r="B11" s="55"/>
      <c r="C11" s="72">
        <f t="shared" ref="C11:C90" si="0">ROW()-9</f>
        <v>2</v>
      </c>
      <c r="D11" s="59"/>
      <c r="E11" s="60"/>
      <c r="F11" s="60"/>
      <c r="G11" s="61"/>
      <c r="H11" s="59"/>
      <c r="I11" s="60"/>
      <c r="J11" s="60"/>
      <c r="K11" s="61"/>
      <c r="L11" s="162" t="s">
        <v>78</v>
      </c>
      <c r="M11" s="155"/>
      <c r="N11" s="155"/>
      <c r="O11" s="163"/>
      <c r="P11" s="239" t="s">
        <v>112</v>
      </c>
      <c r="Q11" s="237"/>
      <c r="R11" s="237"/>
      <c r="S11" s="237"/>
      <c r="T11" s="237"/>
      <c r="U11" s="237"/>
      <c r="V11" s="237"/>
      <c r="W11" s="238"/>
      <c r="X11" s="239" t="s">
        <v>113</v>
      </c>
      <c r="Y11" s="237"/>
      <c r="Z11" s="237"/>
      <c r="AA11" s="237"/>
      <c r="AB11" s="237"/>
      <c r="AC11" s="237"/>
      <c r="AD11" s="237"/>
      <c r="AE11" s="238"/>
      <c r="AF11" s="35"/>
      <c r="AG11" s="99"/>
      <c r="AH11" s="99"/>
      <c r="AI11" s="99"/>
      <c r="AJ11" s="99"/>
      <c r="AK11" s="99"/>
      <c r="AL11" s="99"/>
      <c r="AM11" s="99"/>
      <c r="AN11" s="104"/>
      <c r="AO11" s="240">
        <v>45684</v>
      </c>
      <c r="AP11" s="241"/>
      <c r="AQ11" s="236" t="s">
        <v>156</v>
      </c>
      <c r="AR11" s="232"/>
      <c r="AS11" s="236" t="s">
        <v>157</v>
      </c>
      <c r="AT11" s="242"/>
      <c r="AU11" s="105"/>
      <c r="AV11" s="106"/>
      <c r="AW11" s="96"/>
      <c r="AX11" s="97"/>
      <c r="AY11" s="96"/>
      <c r="AZ11" s="107"/>
      <c r="BA11" s="101"/>
      <c r="BB11" s="102"/>
      <c r="BC11" s="102"/>
      <c r="BD11" s="102"/>
      <c r="BE11" s="102"/>
      <c r="BF11" s="102"/>
      <c r="BG11" s="102"/>
      <c r="BH11" s="102"/>
      <c r="BI11" s="102"/>
      <c r="BJ11" s="102"/>
      <c r="BK11" s="102"/>
      <c r="BL11" s="103"/>
      <c r="BM11" s="56"/>
      <c r="BN11" s="56"/>
    </row>
    <row r="12" spans="1:66" ht="24" customHeight="1" x14ac:dyDescent="0.45">
      <c r="A12" s="55"/>
      <c r="B12" s="55"/>
      <c r="C12" s="72">
        <f t="shared" si="0"/>
        <v>3</v>
      </c>
      <c r="D12" s="59"/>
      <c r="E12" s="60"/>
      <c r="F12" s="60"/>
      <c r="G12" s="61"/>
      <c r="H12" s="59"/>
      <c r="I12" s="60"/>
      <c r="J12" s="60"/>
      <c r="K12" s="61"/>
      <c r="L12" s="162" t="s">
        <v>79</v>
      </c>
      <c r="M12" s="155"/>
      <c r="N12" s="155"/>
      <c r="O12" s="163"/>
      <c r="P12" s="239" t="s">
        <v>112</v>
      </c>
      <c r="Q12" s="237"/>
      <c r="R12" s="237"/>
      <c r="S12" s="237"/>
      <c r="T12" s="237"/>
      <c r="U12" s="237"/>
      <c r="V12" s="237"/>
      <c r="W12" s="238"/>
      <c r="X12" s="239" t="s">
        <v>113</v>
      </c>
      <c r="Y12" s="237"/>
      <c r="Z12" s="237"/>
      <c r="AA12" s="237"/>
      <c r="AB12" s="237"/>
      <c r="AC12" s="237"/>
      <c r="AD12" s="237"/>
      <c r="AE12" s="238"/>
      <c r="AF12" s="98"/>
      <c r="AG12" s="99"/>
      <c r="AH12" s="99"/>
      <c r="AI12" s="99"/>
      <c r="AJ12" s="99"/>
      <c r="AK12" s="99"/>
      <c r="AL12" s="99"/>
      <c r="AM12" s="99"/>
      <c r="AN12" s="104"/>
      <c r="AO12" s="240">
        <v>45684</v>
      </c>
      <c r="AP12" s="241"/>
      <c r="AQ12" s="236" t="s">
        <v>156</v>
      </c>
      <c r="AR12" s="232"/>
      <c r="AS12" s="236" t="s">
        <v>157</v>
      </c>
      <c r="AT12" s="242"/>
      <c r="AU12" s="105"/>
      <c r="AV12" s="106"/>
      <c r="AW12" s="96"/>
      <c r="AX12" s="97"/>
      <c r="AY12" s="96"/>
      <c r="AZ12" s="107"/>
      <c r="BA12" s="101"/>
      <c r="BB12" s="102"/>
      <c r="BC12" s="102"/>
      <c r="BD12" s="102"/>
      <c r="BE12" s="102"/>
      <c r="BF12" s="102"/>
      <c r="BG12" s="102"/>
      <c r="BH12" s="102"/>
      <c r="BI12" s="102"/>
      <c r="BJ12" s="102"/>
      <c r="BK12" s="102"/>
      <c r="BL12" s="103"/>
      <c r="BM12" s="56"/>
      <c r="BN12" s="56"/>
    </row>
    <row r="13" spans="1:66" ht="24" customHeight="1" x14ac:dyDescent="0.45">
      <c r="A13" s="55"/>
      <c r="B13" s="55"/>
      <c r="C13" s="72">
        <f t="shared" si="0"/>
        <v>4</v>
      </c>
      <c r="D13" s="59"/>
      <c r="E13" s="60"/>
      <c r="F13" s="60"/>
      <c r="G13" s="61"/>
      <c r="H13" s="59"/>
      <c r="I13" s="60"/>
      <c r="J13" s="60"/>
      <c r="K13" s="61"/>
      <c r="L13" s="162" t="s">
        <v>80</v>
      </c>
      <c r="M13" s="155"/>
      <c r="N13" s="155"/>
      <c r="O13" s="163"/>
      <c r="P13" s="239" t="s">
        <v>112</v>
      </c>
      <c r="Q13" s="237"/>
      <c r="R13" s="237"/>
      <c r="S13" s="237"/>
      <c r="T13" s="237"/>
      <c r="U13" s="237"/>
      <c r="V13" s="237"/>
      <c r="W13" s="238"/>
      <c r="X13" s="239" t="s">
        <v>113</v>
      </c>
      <c r="Y13" s="237"/>
      <c r="Z13" s="237"/>
      <c r="AA13" s="237"/>
      <c r="AB13" s="237"/>
      <c r="AC13" s="237"/>
      <c r="AD13" s="237"/>
      <c r="AE13" s="238"/>
      <c r="AF13" s="98"/>
      <c r="AG13" s="99"/>
      <c r="AH13" s="99"/>
      <c r="AI13" s="99"/>
      <c r="AJ13" s="99"/>
      <c r="AK13" s="99"/>
      <c r="AL13" s="99"/>
      <c r="AM13" s="99"/>
      <c r="AN13" s="104"/>
      <c r="AO13" s="240">
        <v>45684</v>
      </c>
      <c r="AP13" s="241"/>
      <c r="AQ13" s="236" t="s">
        <v>156</v>
      </c>
      <c r="AR13" s="232"/>
      <c r="AS13" s="236" t="s">
        <v>157</v>
      </c>
      <c r="AT13" s="242"/>
      <c r="AU13" s="105"/>
      <c r="AV13" s="106"/>
      <c r="AW13" s="96"/>
      <c r="AX13" s="97"/>
      <c r="AY13" s="96"/>
      <c r="AZ13" s="107"/>
      <c r="BA13" s="101"/>
      <c r="BB13" s="102"/>
      <c r="BC13" s="102"/>
      <c r="BD13" s="102"/>
      <c r="BE13" s="102"/>
      <c r="BF13" s="102"/>
      <c r="BG13" s="102"/>
      <c r="BH13" s="102"/>
      <c r="BI13" s="102"/>
      <c r="BJ13" s="102"/>
      <c r="BK13" s="102"/>
      <c r="BL13" s="103"/>
      <c r="BM13" s="56"/>
      <c r="BN13" s="56"/>
    </row>
    <row r="14" spans="1:66" ht="24" customHeight="1" x14ac:dyDescent="0.45">
      <c r="A14" s="55"/>
      <c r="B14" s="55"/>
      <c r="C14" s="72">
        <f>ROW()-9</f>
        <v>5</v>
      </c>
      <c r="D14" s="59"/>
      <c r="E14" s="60"/>
      <c r="F14" s="60"/>
      <c r="G14" s="61"/>
      <c r="H14" s="59"/>
      <c r="I14" s="60"/>
      <c r="J14" s="60"/>
      <c r="K14" s="61"/>
      <c r="L14" s="162" t="s">
        <v>81</v>
      </c>
      <c r="M14" s="155"/>
      <c r="N14" s="155"/>
      <c r="O14" s="163"/>
      <c r="P14" s="239" t="s">
        <v>112</v>
      </c>
      <c r="Q14" s="237"/>
      <c r="R14" s="237"/>
      <c r="S14" s="237"/>
      <c r="T14" s="237"/>
      <c r="U14" s="237"/>
      <c r="V14" s="237"/>
      <c r="W14" s="238"/>
      <c r="X14" s="239" t="s">
        <v>113</v>
      </c>
      <c r="Y14" s="237"/>
      <c r="Z14" s="237"/>
      <c r="AA14" s="237"/>
      <c r="AB14" s="237"/>
      <c r="AC14" s="237"/>
      <c r="AD14" s="237"/>
      <c r="AE14" s="238"/>
      <c r="AF14" s="98"/>
      <c r="AG14" s="99"/>
      <c r="AH14" s="99"/>
      <c r="AI14" s="99"/>
      <c r="AJ14" s="99"/>
      <c r="AK14" s="99"/>
      <c r="AL14" s="99"/>
      <c r="AM14" s="99"/>
      <c r="AN14" s="104"/>
      <c r="AO14" s="240">
        <v>45684</v>
      </c>
      <c r="AP14" s="241"/>
      <c r="AQ14" s="236" t="s">
        <v>156</v>
      </c>
      <c r="AR14" s="232"/>
      <c r="AS14" s="236" t="s">
        <v>157</v>
      </c>
      <c r="AT14" s="242"/>
      <c r="AU14" s="105"/>
      <c r="AV14" s="106"/>
      <c r="AW14" s="96"/>
      <c r="AX14" s="97"/>
      <c r="AY14" s="96"/>
      <c r="AZ14" s="107"/>
      <c r="BA14" s="101"/>
      <c r="BB14" s="102"/>
      <c r="BC14" s="102"/>
      <c r="BD14" s="102"/>
      <c r="BE14" s="102"/>
      <c r="BF14" s="102"/>
      <c r="BG14" s="102"/>
      <c r="BH14" s="102"/>
      <c r="BI14" s="102"/>
      <c r="BJ14" s="102"/>
      <c r="BK14" s="102"/>
      <c r="BL14" s="103"/>
      <c r="BM14" s="56"/>
      <c r="BN14" s="56"/>
    </row>
    <row r="15" spans="1:66" ht="24" customHeight="1" x14ac:dyDescent="0.45">
      <c r="A15" s="55"/>
      <c r="B15" s="55"/>
      <c r="C15" s="72">
        <f t="shared" si="0"/>
        <v>6</v>
      </c>
      <c r="D15" s="59"/>
      <c r="E15" s="60"/>
      <c r="F15" s="60"/>
      <c r="G15" s="95"/>
      <c r="H15" s="60"/>
      <c r="I15" s="60"/>
      <c r="J15" s="60"/>
      <c r="K15" s="95"/>
      <c r="L15" s="162" t="s">
        <v>82</v>
      </c>
      <c r="M15" s="155"/>
      <c r="N15" s="155"/>
      <c r="O15" s="163"/>
      <c r="P15" s="239" t="s">
        <v>112</v>
      </c>
      <c r="Q15" s="237"/>
      <c r="R15" s="237"/>
      <c r="S15" s="237"/>
      <c r="T15" s="237"/>
      <c r="U15" s="237"/>
      <c r="V15" s="237"/>
      <c r="W15" s="238"/>
      <c r="X15" s="239" t="s">
        <v>113</v>
      </c>
      <c r="Y15" s="237"/>
      <c r="Z15" s="237"/>
      <c r="AA15" s="237"/>
      <c r="AB15" s="237"/>
      <c r="AC15" s="237"/>
      <c r="AD15" s="237"/>
      <c r="AE15" s="238"/>
      <c r="AF15" s="98"/>
      <c r="AG15" s="99"/>
      <c r="AH15" s="99"/>
      <c r="AI15" s="99"/>
      <c r="AJ15" s="99"/>
      <c r="AK15" s="99"/>
      <c r="AL15" s="99"/>
      <c r="AM15" s="99"/>
      <c r="AN15" s="104"/>
      <c r="AO15" s="240">
        <v>45684</v>
      </c>
      <c r="AP15" s="241"/>
      <c r="AQ15" s="236" t="s">
        <v>156</v>
      </c>
      <c r="AR15" s="232"/>
      <c r="AS15" s="236" t="s">
        <v>157</v>
      </c>
      <c r="AT15" s="242"/>
      <c r="AU15" s="105"/>
      <c r="AV15" s="106"/>
      <c r="AW15" s="96"/>
      <c r="AX15" s="97"/>
      <c r="AY15" s="96"/>
      <c r="AZ15" s="107"/>
      <c r="BA15" s="101"/>
      <c r="BB15" s="102"/>
      <c r="BC15" s="102"/>
      <c r="BD15" s="102"/>
      <c r="BE15" s="102"/>
      <c r="BF15" s="102"/>
      <c r="BG15" s="102"/>
      <c r="BH15" s="102"/>
      <c r="BI15" s="102"/>
      <c r="BJ15" s="102"/>
      <c r="BK15" s="102"/>
      <c r="BL15" s="103"/>
      <c r="BM15" s="56"/>
      <c r="BN15" s="56"/>
    </row>
    <row r="16" spans="1:66" ht="24" customHeight="1" x14ac:dyDescent="0.45">
      <c r="A16" s="55"/>
      <c r="B16" s="55"/>
      <c r="C16" s="72">
        <f t="shared" si="0"/>
        <v>7</v>
      </c>
      <c r="D16" s="59"/>
      <c r="E16" s="60"/>
      <c r="F16" s="60"/>
      <c r="G16" s="61"/>
      <c r="H16" s="60"/>
      <c r="I16" s="60"/>
      <c r="J16" s="60"/>
      <c r="K16" s="60"/>
      <c r="L16" s="162" t="s">
        <v>83</v>
      </c>
      <c r="M16" s="155"/>
      <c r="N16" s="155"/>
      <c r="O16" s="163"/>
      <c r="P16" s="239" t="s">
        <v>112</v>
      </c>
      <c r="Q16" s="237"/>
      <c r="R16" s="237"/>
      <c r="S16" s="237"/>
      <c r="T16" s="237"/>
      <c r="U16" s="237"/>
      <c r="V16" s="237"/>
      <c r="W16" s="238"/>
      <c r="X16" s="239" t="s">
        <v>113</v>
      </c>
      <c r="Y16" s="237"/>
      <c r="Z16" s="237"/>
      <c r="AA16" s="237"/>
      <c r="AB16" s="237"/>
      <c r="AC16" s="237"/>
      <c r="AD16" s="237"/>
      <c r="AE16" s="238"/>
      <c r="AF16" s="98"/>
      <c r="AG16" s="99"/>
      <c r="AH16" s="99"/>
      <c r="AI16" s="99"/>
      <c r="AJ16" s="99"/>
      <c r="AK16" s="99"/>
      <c r="AL16" s="99"/>
      <c r="AM16" s="99"/>
      <c r="AN16" s="104"/>
      <c r="AO16" s="240">
        <v>45684</v>
      </c>
      <c r="AP16" s="241"/>
      <c r="AQ16" s="236" t="s">
        <v>156</v>
      </c>
      <c r="AR16" s="232"/>
      <c r="AS16" s="236" t="s">
        <v>157</v>
      </c>
      <c r="AT16" s="242"/>
      <c r="AU16" s="105"/>
      <c r="AV16" s="106"/>
      <c r="AW16" s="96"/>
      <c r="AX16" s="97"/>
      <c r="AY16" s="96"/>
      <c r="AZ16" s="107"/>
      <c r="BA16" s="101"/>
      <c r="BB16" s="102"/>
      <c r="BC16" s="102"/>
      <c r="BD16" s="102"/>
      <c r="BE16" s="102"/>
      <c r="BF16" s="102"/>
      <c r="BG16" s="102"/>
      <c r="BH16" s="102"/>
      <c r="BI16" s="102"/>
      <c r="BJ16" s="102"/>
      <c r="BK16" s="102"/>
      <c r="BL16" s="103"/>
      <c r="BM16" s="56"/>
      <c r="BN16" s="56"/>
    </row>
    <row r="17" spans="1:66" ht="24" customHeight="1" x14ac:dyDescent="0.45">
      <c r="A17" s="55"/>
      <c r="B17" s="55"/>
      <c r="C17" s="72">
        <f t="shared" si="0"/>
        <v>8</v>
      </c>
      <c r="D17" s="59"/>
      <c r="E17" s="60"/>
      <c r="F17" s="60"/>
      <c r="G17" s="61"/>
      <c r="H17" s="60"/>
      <c r="I17" s="60"/>
      <c r="J17" s="60"/>
      <c r="K17" s="60"/>
      <c r="L17" s="162" t="s">
        <v>84</v>
      </c>
      <c r="M17" s="155"/>
      <c r="N17" s="155"/>
      <c r="O17" s="163"/>
      <c r="P17" s="239" t="s">
        <v>112</v>
      </c>
      <c r="Q17" s="237"/>
      <c r="R17" s="237"/>
      <c r="S17" s="237"/>
      <c r="T17" s="237"/>
      <c r="U17" s="237"/>
      <c r="V17" s="237"/>
      <c r="W17" s="238"/>
      <c r="X17" s="239" t="s">
        <v>113</v>
      </c>
      <c r="Y17" s="237"/>
      <c r="Z17" s="237"/>
      <c r="AA17" s="237"/>
      <c r="AB17" s="237"/>
      <c r="AC17" s="237"/>
      <c r="AD17" s="237"/>
      <c r="AE17" s="238"/>
      <c r="AF17" s="98"/>
      <c r="AG17" s="99"/>
      <c r="AH17" s="99"/>
      <c r="AI17" s="99"/>
      <c r="AJ17" s="99"/>
      <c r="AK17" s="99"/>
      <c r="AL17" s="99"/>
      <c r="AM17" s="99"/>
      <c r="AN17" s="104"/>
      <c r="AO17" s="240">
        <v>45684</v>
      </c>
      <c r="AP17" s="241"/>
      <c r="AQ17" s="236" t="s">
        <v>156</v>
      </c>
      <c r="AR17" s="232"/>
      <c r="AS17" s="236" t="s">
        <v>157</v>
      </c>
      <c r="AT17" s="242"/>
      <c r="AU17" s="105"/>
      <c r="AV17" s="106"/>
      <c r="AW17" s="96"/>
      <c r="AX17" s="97"/>
      <c r="AY17" s="96"/>
      <c r="AZ17" s="107"/>
      <c r="BA17" s="101"/>
      <c r="BB17" s="102"/>
      <c r="BC17" s="102"/>
      <c r="BD17" s="102"/>
      <c r="BE17" s="102"/>
      <c r="BF17" s="102"/>
      <c r="BG17" s="102"/>
      <c r="BH17" s="102"/>
      <c r="BI17" s="102"/>
      <c r="BJ17" s="102"/>
      <c r="BK17" s="102"/>
      <c r="BL17" s="103"/>
      <c r="BM17" s="56"/>
      <c r="BN17" s="56"/>
    </row>
    <row r="18" spans="1:66" ht="24" customHeight="1" x14ac:dyDescent="0.45">
      <c r="A18" s="55"/>
      <c r="B18" s="55"/>
      <c r="C18" s="72">
        <f t="shared" si="0"/>
        <v>9</v>
      </c>
      <c r="D18" s="59"/>
      <c r="E18" s="60"/>
      <c r="F18" s="60"/>
      <c r="G18" s="61"/>
      <c r="H18" s="60"/>
      <c r="I18" s="60"/>
      <c r="J18" s="60"/>
      <c r="K18" s="60"/>
      <c r="L18" s="162" t="s">
        <v>85</v>
      </c>
      <c r="M18" s="155"/>
      <c r="N18" s="155"/>
      <c r="O18" s="163"/>
      <c r="P18" s="239" t="s">
        <v>112</v>
      </c>
      <c r="Q18" s="237"/>
      <c r="R18" s="237"/>
      <c r="S18" s="237"/>
      <c r="T18" s="237"/>
      <c r="U18" s="237"/>
      <c r="V18" s="237"/>
      <c r="W18" s="238"/>
      <c r="X18" s="239" t="s">
        <v>113</v>
      </c>
      <c r="Y18" s="237"/>
      <c r="Z18" s="237"/>
      <c r="AA18" s="237"/>
      <c r="AB18" s="237"/>
      <c r="AC18" s="237"/>
      <c r="AD18" s="237"/>
      <c r="AE18" s="238"/>
      <c r="AF18" s="98"/>
      <c r="AG18" s="99"/>
      <c r="AH18" s="99"/>
      <c r="AI18" s="99"/>
      <c r="AJ18" s="99"/>
      <c r="AK18" s="99"/>
      <c r="AL18" s="99"/>
      <c r="AM18" s="99"/>
      <c r="AN18" s="104"/>
      <c r="AO18" s="240">
        <v>45684</v>
      </c>
      <c r="AP18" s="241"/>
      <c r="AQ18" s="236" t="s">
        <v>156</v>
      </c>
      <c r="AR18" s="232"/>
      <c r="AS18" s="236" t="s">
        <v>157</v>
      </c>
      <c r="AT18" s="242"/>
      <c r="AU18" s="105"/>
      <c r="AV18" s="106"/>
      <c r="AW18" s="96"/>
      <c r="AX18" s="97"/>
      <c r="AY18" s="96"/>
      <c r="AZ18" s="107"/>
      <c r="BA18" s="101"/>
      <c r="BB18" s="102"/>
      <c r="BC18" s="102"/>
      <c r="BD18" s="102"/>
      <c r="BE18" s="102"/>
      <c r="BF18" s="102"/>
      <c r="BG18" s="102"/>
      <c r="BH18" s="102"/>
      <c r="BI18" s="102"/>
      <c r="BJ18" s="102"/>
      <c r="BK18" s="102"/>
      <c r="BL18" s="103"/>
      <c r="BM18" s="56"/>
      <c r="BN18" s="56"/>
    </row>
    <row r="19" spans="1:66" ht="24" customHeight="1" x14ac:dyDescent="0.45">
      <c r="A19" s="55"/>
      <c r="B19" s="55"/>
      <c r="C19" s="72">
        <f t="shared" si="0"/>
        <v>10</v>
      </c>
      <c r="D19" s="59"/>
      <c r="E19" s="60"/>
      <c r="F19" s="60"/>
      <c r="G19" s="61"/>
      <c r="H19" s="60"/>
      <c r="I19" s="60"/>
      <c r="J19" s="60"/>
      <c r="K19" s="60"/>
      <c r="L19" s="162" t="s">
        <v>86</v>
      </c>
      <c r="M19" s="155"/>
      <c r="N19" s="155"/>
      <c r="O19" s="163"/>
      <c r="P19" s="239" t="s">
        <v>112</v>
      </c>
      <c r="Q19" s="237"/>
      <c r="R19" s="237"/>
      <c r="S19" s="237"/>
      <c r="T19" s="237"/>
      <c r="U19" s="237"/>
      <c r="V19" s="237"/>
      <c r="W19" s="238"/>
      <c r="X19" s="239" t="s">
        <v>113</v>
      </c>
      <c r="Y19" s="237"/>
      <c r="Z19" s="237"/>
      <c r="AA19" s="237"/>
      <c r="AB19" s="237"/>
      <c r="AC19" s="237"/>
      <c r="AD19" s="237"/>
      <c r="AE19" s="238"/>
      <c r="AF19" s="98"/>
      <c r="AG19" s="99"/>
      <c r="AH19" s="99"/>
      <c r="AI19" s="99"/>
      <c r="AJ19" s="99"/>
      <c r="AK19" s="99"/>
      <c r="AL19" s="99"/>
      <c r="AM19" s="99"/>
      <c r="AN19" s="104"/>
      <c r="AO19" s="240">
        <v>45684</v>
      </c>
      <c r="AP19" s="241"/>
      <c r="AQ19" s="236" t="s">
        <v>156</v>
      </c>
      <c r="AR19" s="232"/>
      <c r="AS19" s="236" t="s">
        <v>157</v>
      </c>
      <c r="AT19" s="242"/>
      <c r="AU19" s="105"/>
      <c r="AV19" s="106"/>
      <c r="AW19" s="96"/>
      <c r="AX19" s="97"/>
      <c r="AY19" s="96"/>
      <c r="AZ19" s="107"/>
      <c r="BA19" s="101"/>
      <c r="BB19" s="102"/>
      <c r="BC19" s="102"/>
      <c r="BD19" s="102"/>
      <c r="BE19" s="102"/>
      <c r="BF19" s="102"/>
      <c r="BG19" s="102"/>
      <c r="BH19" s="102"/>
      <c r="BI19" s="102"/>
      <c r="BJ19" s="102"/>
      <c r="BK19" s="102"/>
      <c r="BL19" s="103"/>
      <c r="BM19" s="56"/>
      <c r="BN19" s="56"/>
    </row>
    <row r="20" spans="1:66" ht="24" customHeight="1" x14ac:dyDescent="0.45">
      <c r="A20" s="55"/>
      <c r="B20" s="55"/>
      <c r="C20" s="72">
        <f t="shared" si="0"/>
        <v>11</v>
      </c>
      <c r="D20" s="59"/>
      <c r="E20" s="60"/>
      <c r="F20" s="60"/>
      <c r="G20" s="61"/>
      <c r="H20" s="60"/>
      <c r="I20" s="60"/>
      <c r="J20" s="60"/>
      <c r="K20" s="60"/>
      <c r="L20" s="162" t="s">
        <v>87</v>
      </c>
      <c r="M20" s="155"/>
      <c r="N20" s="155"/>
      <c r="O20" s="163"/>
      <c r="P20" s="239" t="s">
        <v>112</v>
      </c>
      <c r="Q20" s="237"/>
      <c r="R20" s="237"/>
      <c r="S20" s="237"/>
      <c r="T20" s="237"/>
      <c r="U20" s="237"/>
      <c r="V20" s="237"/>
      <c r="W20" s="238"/>
      <c r="X20" s="239" t="s">
        <v>113</v>
      </c>
      <c r="Y20" s="237"/>
      <c r="Z20" s="237"/>
      <c r="AA20" s="237"/>
      <c r="AB20" s="237"/>
      <c r="AC20" s="237"/>
      <c r="AD20" s="237"/>
      <c r="AE20" s="238"/>
      <c r="AF20" s="98"/>
      <c r="AG20" s="99"/>
      <c r="AH20" s="99"/>
      <c r="AI20" s="99"/>
      <c r="AJ20" s="99"/>
      <c r="AK20" s="99"/>
      <c r="AL20" s="99"/>
      <c r="AM20" s="99"/>
      <c r="AN20" s="104"/>
      <c r="AO20" s="240">
        <v>45684</v>
      </c>
      <c r="AP20" s="241"/>
      <c r="AQ20" s="236" t="s">
        <v>156</v>
      </c>
      <c r="AR20" s="232"/>
      <c r="AS20" s="236" t="s">
        <v>157</v>
      </c>
      <c r="AT20" s="242"/>
      <c r="AU20" s="105"/>
      <c r="AV20" s="106"/>
      <c r="AW20" s="96"/>
      <c r="AX20" s="97"/>
      <c r="AY20" s="96"/>
      <c r="AZ20" s="107"/>
      <c r="BA20" s="101"/>
      <c r="BB20" s="102"/>
      <c r="BC20" s="102"/>
      <c r="BD20" s="102"/>
      <c r="BE20" s="102"/>
      <c r="BF20" s="102"/>
      <c r="BG20" s="102"/>
      <c r="BH20" s="102"/>
      <c r="BI20" s="102"/>
      <c r="BJ20" s="102"/>
      <c r="BK20" s="102"/>
      <c r="BL20" s="103"/>
      <c r="BM20" s="56"/>
      <c r="BN20" s="56"/>
    </row>
    <row r="21" spans="1:66" ht="24" customHeight="1" x14ac:dyDescent="0.45">
      <c r="A21" s="55"/>
      <c r="B21" s="55"/>
      <c r="C21" s="72">
        <f t="shared" si="0"/>
        <v>12</v>
      </c>
      <c r="D21" s="59"/>
      <c r="E21" s="60"/>
      <c r="F21" s="60"/>
      <c r="G21" s="61"/>
      <c r="H21" s="60"/>
      <c r="I21" s="60"/>
      <c r="J21" s="60"/>
      <c r="K21" s="60"/>
      <c r="L21" s="162" t="s">
        <v>88</v>
      </c>
      <c r="M21" s="155"/>
      <c r="N21" s="155"/>
      <c r="O21" s="163"/>
      <c r="P21" s="239" t="s">
        <v>112</v>
      </c>
      <c r="Q21" s="237"/>
      <c r="R21" s="237"/>
      <c r="S21" s="237"/>
      <c r="T21" s="237"/>
      <c r="U21" s="237"/>
      <c r="V21" s="237"/>
      <c r="W21" s="238"/>
      <c r="X21" s="239" t="s">
        <v>113</v>
      </c>
      <c r="Y21" s="237"/>
      <c r="Z21" s="237"/>
      <c r="AA21" s="237"/>
      <c r="AB21" s="237"/>
      <c r="AC21" s="237"/>
      <c r="AD21" s="237"/>
      <c r="AE21" s="238"/>
      <c r="AF21" s="98"/>
      <c r="AG21" s="99"/>
      <c r="AH21" s="99"/>
      <c r="AI21" s="99"/>
      <c r="AJ21" s="99"/>
      <c r="AK21" s="99"/>
      <c r="AL21" s="99"/>
      <c r="AM21" s="99"/>
      <c r="AN21" s="104"/>
      <c r="AO21" s="240">
        <v>45684</v>
      </c>
      <c r="AP21" s="241"/>
      <c r="AQ21" s="236" t="s">
        <v>156</v>
      </c>
      <c r="AR21" s="232"/>
      <c r="AS21" s="236" t="s">
        <v>157</v>
      </c>
      <c r="AT21" s="242"/>
      <c r="AU21" s="105"/>
      <c r="AV21" s="106"/>
      <c r="AW21" s="96"/>
      <c r="AX21" s="97"/>
      <c r="AY21" s="96"/>
      <c r="AZ21" s="107"/>
      <c r="BA21" s="101"/>
      <c r="BB21" s="102"/>
      <c r="BC21" s="102"/>
      <c r="BD21" s="102"/>
      <c r="BE21" s="102"/>
      <c r="BF21" s="102"/>
      <c r="BG21" s="102"/>
      <c r="BH21" s="102"/>
      <c r="BI21" s="102"/>
      <c r="BJ21" s="102"/>
      <c r="BK21" s="102"/>
      <c r="BL21" s="103"/>
      <c r="BM21" s="56"/>
      <c r="BN21" s="56"/>
    </row>
    <row r="22" spans="1:66" ht="24" customHeight="1" x14ac:dyDescent="0.45">
      <c r="A22" s="55"/>
      <c r="B22" s="55"/>
      <c r="C22" s="72">
        <f t="shared" si="0"/>
        <v>13</v>
      </c>
      <c r="D22" s="59"/>
      <c r="E22" s="60"/>
      <c r="F22" s="60"/>
      <c r="G22" s="61"/>
      <c r="H22" s="60"/>
      <c r="I22" s="60"/>
      <c r="J22" s="60"/>
      <c r="K22" s="60"/>
      <c r="L22" s="162" t="s">
        <v>89</v>
      </c>
      <c r="M22" s="155"/>
      <c r="N22" s="155"/>
      <c r="O22" s="163"/>
      <c r="P22" s="239" t="s">
        <v>112</v>
      </c>
      <c r="Q22" s="237"/>
      <c r="R22" s="237"/>
      <c r="S22" s="237"/>
      <c r="T22" s="237"/>
      <c r="U22" s="237"/>
      <c r="V22" s="237"/>
      <c r="W22" s="238"/>
      <c r="X22" s="239" t="s">
        <v>113</v>
      </c>
      <c r="Y22" s="237"/>
      <c r="Z22" s="237"/>
      <c r="AA22" s="237"/>
      <c r="AB22" s="237"/>
      <c r="AC22" s="237"/>
      <c r="AD22" s="237"/>
      <c r="AE22" s="238"/>
      <c r="AF22" s="98"/>
      <c r="AG22" s="99"/>
      <c r="AH22" s="99"/>
      <c r="AI22" s="99"/>
      <c r="AJ22" s="99"/>
      <c r="AK22" s="99"/>
      <c r="AL22" s="99"/>
      <c r="AM22" s="99"/>
      <c r="AN22" s="104"/>
      <c r="AO22" s="240">
        <v>45684</v>
      </c>
      <c r="AP22" s="241"/>
      <c r="AQ22" s="236" t="s">
        <v>156</v>
      </c>
      <c r="AR22" s="232"/>
      <c r="AS22" s="236" t="s">
        <v>157</v>
      </c>
      <c r="AT22" s="242"/>
      <c r="AU22" s="105"/>
      <c r="AV22" s="106"/>
      <c r="AW22" s="96"/>
      <c r="AX22" s="97"/>
      <c r="AY22" s="96"/>
      <c r="AZ22" s="107"/>
      <c r="BA22" s="101"/>
      <c r="BB22" s="102"/>
      <c r="BC22" s="102"/>
      <c r="BD22" s="102"/>
      <c r="BE22" s="102"/>
      <c r="BF22" s="102"/>
      <c r="BG22" s="102"/>
      <c r="BH22" s="102"/>
      <c r="BI22" s="102"/>
      <c r="BJ22" s="102"/>
      <c r="BK22" s="102"/>
      <c r="BL22" s="103"/>
      <c r="BM22" s="56"/>
      <c r="BN22" s="56"/>
    </row>
    <row r="23" spans="1:66" ht="24" customHeight="1" x14ac:dyDescent="0.45">
      <c r="A23" s="55"/>
      <c r="B23" s="55"/>
      <c r="C23" s="72">
        <f t="shared" si="0"/>
        <v>14</v>
      </c>
      <c r="D23" s="59"/>
      <c r="E23" s="60"/>
      <c r="F23" s="60"/>
      <c r="G23" s="61"/>
      <c r="H23" s="60"/>
      <c r="I23" s="60"/>
      <c r="J23" s="60"/>
      <c r="K23" s="60"/>
      <c r="L23" s="162" t="s">
        <v>90</v>
      </c>
      <c r="M23" s="155"/>
      <c r="N23" s="155"/>
      <c r="O23" s="163"/>
      <c r="P23" s="239" t="s">
        <v>112</v>
      </c>
      <c r="Q23" s="237"/>
      <c r="R23" s="237"/>
      <c r="S23" s="237"/>
      <c r="T23" s="237"/>
      <c r="U23" s="237"/>
      <c r="V23" s="237"/>
      <c r="W23" s="238"/>
      <c r="X23" s="239" t="s">
        <v>113</v>
      </c>
      <c r="Y23" s="237"/>
      <c r="Z23" s="237"/>
      <c r="AA23" s="237"/>
      <c r="AB23" s="237"/>
      <c r="AC23" s="237"/>
      <c r="AD23" s="237"/>
      <c r="AE23" s="238"/>
      <c r="AF23" s="98"/>
      <c r="AG23" s="99"/>
      <c r="AH23" s="99"/>
      <c r="AI23" s="99"/>
      <c r="AJ23" s="99"/>
      <c r="AK23" s="99"/>
      <c r="AL23" s="99"/>
      <c r="AM23" s="99"/>
      <c r="AN23" s="104"/>
      <c r="AO23" s="240">
        <v>45684</v>
      </c>
      <c r="AP23" s="241"/>
      <c r="AQ23" s="236" t="s">
        <v>156</v>
      </c>
      <c r="AR23" s="232"/>
      <c r="AS23" s="236" t="s">
        <v>157</v>
      </c>
      <c r="AT23" s="242"/>
      <c r="AU23" s="105"/>
      <c r="AV23" s="106"/>
      <c r="AW23" s="96"/>
      <c r="AX23" s="97"/>
      <c r="AY23" s="96"/>
      <c r="AZ23" s="107"/>
      <c r="BA23" s="101"/>
      <c r="BB23" s="102"/>
      <c r="BC23" s="102"/>
      <c r="BD23" s="102"/>
      <c r="BE23" s="102"/>
      <c r="BF23" s="102"/>
      <c r="BG23" s="102"/>
      <c r="BH23" s="102"/>
      <c r="BI23" s="102"/>
      <c r="BJ23" s="102"/>
      <c r="BK23" s="102"/>
      <c r="BL23" s="103"/>
      <c r="BM23" s="56"/>
      <c r="BN23" s="56"/>
    </row>
    <row r="24" spans="1:66" ht="24" customHeight="1" x14ac:dyDescent="0.45">
      <c r="A24" s="55"/>
      <c r="B24" s="55"/>
      <c r="C24" s="72">
        <f t="shared" si="0"/>
        <v>15</v>
      </c>
      <c r="D24" s="59"/>
      <c r="E24" s="60"/>
      <c r="F24" s="60"/>
      <c r="G24" s="61"/>
      <c r="H24" s="60"/>
      <c r="I24" s="60"/>
      <c r="J24" s="60"/>
      <c r="K24" s="60"/>
      <c r="L24" s="162" t="s">
        <v>180</v>
      </c>
      <c r="M24" s="155"/>
      <c r="N24" s="155"/>
      <c r="O24" s="163"/>
      <c r="P24" s="239" t="s">
        <v>112</v>
      </c>
      <c r="Q24" s="237"/>
      <c r="R24" s="237"/>
      <c r="S24" s="237"/>
      <c r="T24" s="237"/>
      <c r="U24" s="237"/>
      <c r="V24" s="237"/>
      <c r="W24" s="238"/>
      <c r="X24" s="239" t="s">
        <v>113</v>
      </c>
      <c r="Y24" s="237"/>
      <c r="Z24" s="237"/>
      <c r="AA24" s="237"/>
      <c r="AB24" s="237"/>
      <c r="AC24" s="237"/>
      <c r="AD24" s="237"/>
      <c r="AE24" s="238"/>
      <c r="AF24" s="98"/>
      <c r="AG24" s="99"/>
      <c r="AH24" s="99"/>
      <c r="AI24" s="99"/>
      <c r="AJ24" s="99"/>
      <c r="AK24" s="99"/>
      <c r="AL24" s="99"/>
      <c r="AM24" s="99"/>
      <c r="AN24" s="104"/>
      <c r="AO24" s="240">
        <v>45684</v>
      </c>
      <c r="AP24" s="241"/>
      <c r="AQ24" s="236" t="s">
        <v>156</v>
      </c>
      <c r="AR24" s="232"/>
      <c r="AS24" s="236" t="s">
        <v>157</v>
      </c>
      <c r="AT24" s="242"/>
      <c r="AU24" s="105"/>
      <c r="AV24" s="106"/>
      <c r="AW24" s="96"/>
      <c r="AX24" s="97"/>
      <c r="AY24" s="96"/>
      <c r="AZ24" s="107"/>
      <c r="BA24" s="101"/>
      <c r="BB24" s="102"/>
      <c r="BC24" s="102"/>
      <c r="BD24" s="102"/>
      <c r="BE24" s="102"/>
      <c r="BF24" s="102"/>
      <c r="BG24" s="102"/>
      <c r="BH24" s="102"/>
      <c r="BI24" s="102"/>
      <c r="BJ24" s="102"/>
      <c r="BK24" s="102"/>
      <c r="BL24" s="103"/>
      <c r="BM24" s="56"/>
      <c r="BN24" s="56"/>
    </row>
    <row r="25" spans="1:66" ht="24" customHeight="1" x14ac:dyDescent="0.45">
      <c r="A25" s="55"/>
      <c r="B25" s="55"/>
      <c r="C25" s="72">
        <f t="shared" si="0"/>
        <v>16</v>
      </c>
      <c r="D25" s="59"/>
      <c r="E25" s="60"/>
      <c r="F25" s="60"/>
      <c r="G25" s="61"/>
      <c r="H25" s="60"/>
      <c r="I25" s="60"/>
      <c r="J25" s="60"/>
      <c r="K25" s="60"/>
      <c r="L25" s="162" t="s">
        <v>181</v>
      </c>
      <c r="M25" s="155"/>
      <c r="N25" s="155"/>
      <c r="O25" s="163"/>
      <c r="P25" s="239" t="s">
        <v>112</v>
      </c>
      <c r="Q25" s="237"/>
      <c r="R25" s="237"/>
      <c r="S25" s="237"/>
      <c r="T25" s="237"/>
      <c r="U25" s="237"/>
      <c r="V25" s="237"/>
      <c r="W25" s="238"/>
      <c r="X25" s="239" t="s">
        <v>113</v>
      </c>
      <c r="Y25" s="237"/>
      <c r="Z25" s="237"/>
      <c r="AA25" s="237"/>
      <c r="AB25" s="237"/>
      <c r="AC25" s="237"/>
      <c r="AD25" s="237"/>
      <c r="AE25" s="238"/>
      <c r="AF25" s="98"/>
      <c r="AG25" s="99"/>
      <c r="AH25" s="99"/>
      <c r="AI25" s="99"/>
      <c r="AJ25" s="99"/>
      <c r="AK25" s="99"/>
      <c r="AL25" s="99"/>
      <c r="AM25" s="99"/>
      <c r="AN25" s="104"/>
      <c r="AO25" s="240">
        <v>45684</v>
      </c>
      <c r="AP25" s="241"/>
      <c r="AQ25" s="236" t="s">
        <v>156</v>
      </c>
      <c r="AR25" s="232"/>
      <c r="AS25" s="236" t="s">
        <v>157</v>
      </c>
      <c r="AT25" s="242"/>
      <c r="AU25" s="105"/>
      <c r="AV25" s="106"/>
      <c r="AW25" s="96"/>
      <c r="AX25" s="97"/>
      <c r="AY25" s="96"/>
      <c r="AZ25" s="107"/>
      <c r="BA25" s="101"/>
      <c r="BB25" s="102"/>
      <c r="BC25" s="102"/>
      <c r="BD25" s="102"/>
      <c r="BE25" s="102"/>
      <c r="BF25" s="102"/>
      <c r="BG25" s="102"/>
      <c r="BH25" s="102"/>
      <c r="BI25" s="102"/>
      <c r="BJ25" s="102"/>
      <c r="BK25" s="102"/>
      <c r="BL25" s="103"/>
      <c r="BM25" s="56"/>
      <c r="BN25" s="56"/>
    </row>
    <row r="26" spans="1:66" ht="24" customHeight="1" x14ac:dyDescent="0.45">
      <c r="A26" s="55"/>
      <c r="B26" s="55"/>
      <c r="C26" s="72">
        <f t="shared" si="0"/>
        <v>17</v>
      </c>
      <c r="D26" s="59"/>
      <c r="E26" s="60"/>
      <c r="F26" s="60"/>
      <c r="G26" s="61"/>
      <c r="H26" s="60"/>
      <c r="I26" s="60"/>
      <c r="J26" s="60"/>
      <c r="K26" s="60"/>
      <c r="L26" s="162" t="s">
        <v>91</v>
      </c>
      <c r="M26" s="155"/>
      <c r="N26" s="155"/>
      <c r="O26" s="163"/>
      <c r="P26" s="239" t="s">
        <v>112</v>
      </c>
      <c r="Q26" s="237"/>
      <c r="R26" s="237"/>
      <c r="S26" s="237"/>
      <c r="T26" s="237"/>
      <c r="U26" s="237"/>
      <c r="V26" s="237"/>
      <c r="W26" s="238"/>
      <c r="X26" s="239" t="s">
        <v>113</v>
      </c>
      <c r="Y26" s="237"/>
      <c r="Z26" s="237"/>
      <c r="AA26" s="237"/>
      <c r="AB26" s="237"/>
      <c r="AC26" s="237"/>
      <c r="AD26" s="237"/>
      <c r="AE26" s="238"/>
      <c r="AF26" s="98"/>
      <c r="AG26" s="99"/>
      <c r="AH26" s="99"/>
      <c r="AI26" s="99"/>
      <c r="AJ26" s="99"/>
      <c r="AK26" s="99"/>
      <c r="AL26" s="99"/>
      <c r="AM26" s="99"/>
      <c r="AN26" s="104"/>
      <c r="AO26" s="240">
        <v>45684</v>
      </c>
      <c r="AP26" s="241"/>
      <c r="AQ26" s="236" t="s">
        <v>156</v>
      </c>
      <c r="AR26" s="232"/>
      <c r="AS26" s="236" t="s">
        <v>157</v>
      </c>
      <c r="AT26" s="242"/>
      <c r="AU26" s="105"/>
      <c r="AV26" s="106"/>
      <c r="AW26" s="96"/>
      <c r="AX26" s="97"/>
      <c r="AY26" s="96"/>
      <c r="AZ26" s="107"/>
      <c r="BA26" s="101"/>
      <c r="BB26" s="102"/>
      <c r="BC26" s="102"/>
      <c r="BD26" s="102"/>
      <c r="BE26" s="102"/>
      <c r="BF26" s="102"/>
      <c r="BG26" s="102"/>
      <c r="BH26" s="102"/>
      <c r="BI26" s="102"/>
      <c r="BJ26" s="102"/>
      <c r="BK26" s="102"/>
      <c r="BL26" s="103"/>
      <c r="BM26" s="56"/>
      <c r="BN26" s="56"/>
    </row>
    <row r="27" spans="1:66" ht="24" customHeight="1" x14ac:dyDescent="0.45">
      <c r="A27" s="55"/>
      <c r="B27" s="55"/>
      <c r="C27" s="72">
        <f t="shared" si="0"/>
        <v>18</v>
      </c>
      <c r="D27" s="59"/>
      <c r="E27" s="60"/>
      <c r="F27" s="60"/>
      <c r="G27" s="61"/>
      <c r="H27" s="60"/>
      <c r="I27" s="60"/>
      <c r="J27" s="60"/>
      <c r="K27" s="60"/>
      <c r="L27" s="162" t="s">
        <v>44</v>
      </c>
      <c r="M27" s="155"/>
      <c r="N27" s="155"/>
      <c r="O27" s="163"/>
      <c r="P27" s="239" t="s">
        <v>112</v>
      </c>
      <c r="Q27" s="237"/>
      <c r="R27" s="237"/>
      <c r="S27" s="237"/>
      <c r="T27" s="237"/>
      <c r="U27" s="237"/>
      <c r="V27" s="237"/>
      <c r="W27" s="238"/>
      <c r="X27" s="239" t="s">
        <v>113</v>
      </c>
      <c r="Y27" s="237"/>
      <c r="Z27" s="237"/>
      <c r="AA27" s="237"/>
      <c r="AB27" s="237"/>
      <c r="AC27" s="237"/>
      <c r="AD27" s="237"/>
      <c r="AE27" s="238"/>
      <c r="AF27" s="98"/>
      <c r="AG27" s="99"/>
      <c r="AH27" s="99"/>
      <c r="AI27" s="99"/>
      <c r="AJ27" s="99"/>
      <c r="AK27" s="99"/>
      <c r="AL27" s="99"/>
      <c r="AM27" s="99"/>
      <c r="AN27" s="104"/>
      <c r="AO27" s="240">
        <v>45684</v>
      </c>
      <c r="AP27" s="241"/>
      <c r="AQ27" s="236" t="s">
        <v>156</v>
      </c>
      <c r="AR27" s="232"/>
      <c r="AS27" s="236" t="s">
        <v>157</v>
      </c>
      <c r="AT27" s="242"/>
      <c r="AU27" s="105"/>
      <c r="AV27" s="106"/>
      <c r="AW27" s="96"/>
      <c r="AX27" s="97"/>
      <c r="AY27" s="96"/>
      <c r="AZ27" s="107"/>
      <c r="BA27" s="101"/>
      <c r="BB27" s="102"/>
      <c r="BC27" s="102"/>
      <c r="BD27" s="102"/>
      <c r="BE27" s="102"/>
      <c r="BF27" s="102"/>
      <c r="BG27" s="102"/>
      <c r="BH27" s="102"/>
      <c r="BI27" s="102"/>
      <c r="BJ27" s="102"/>
      <c r="BK27" s="102"/>
      <c r="BL27" s="103"/>
      <c r="BM27" s="56"/>
      <c r="BN27" s="56"/>
    </row>
    <row r="28" spans="1:66" ht="24" customHeight="1" x14ac:dyDescent="0.45">
      <c r="A28" s="55"/>
      <c r="B28" s="55"/>
      <c r="C28" s="72">
        <f t="shared" si="0"/>
        <v>19</v>
      </c>
      <c r="D28" s="59"/>
      <c r="E28" s="60"/>
      <c r="F28" s="60"/>
      <c r="G28" s="61"/>
      <c r="H28" s="60"/>
      <c r="I28" s="60"/>
      <c r="J28" s="60"/>
      <c r="K28" s="60"/>
      <c r="L28" s="162" t="s">
        <v>45</v>
      </c>
      <c r="M28" s="155"/>
      <c r="N28" s="155"/>
      <c r="O28" s="163"/>
      <c r="P28" s="239" t="s">
        <v>112</v>
      </c>
      <c r="Q28" s="237"/>
      <c r="R28" s="237"/>
      <c r="S28" s="237"/>
      <c r="T28" s="237"/>
      <c r="U28" s="237"/>
      <c r="V28" s="237"/>
      <c r="W28" s="238"/>
      <c r="X28" s="239" t="s">
        <v>113</v>
      </c>
      <c r="Y28" s="237"/>
      <c r="Z28" s="237"/>
      <c r="AA28" s="237"/>
      <c r="AB28" s="237"/>
      <c r="AC28" s="237"/>
      <c r="AD28" s="237"/>
      <c r="AE28" s="238"/>
      <c r="AF28" s="98"/>
      <c r="AG28" s="99"/>
      <c r="AH28" s="99"/>
      <c r="AI28" s="99"/>
      <c r="AJ28" s="99"/>
      <c r="AK28" s="99"/>
      <c r="AL28" s="99"/>
      <c r="AM28" s="99"/>
      <c r="AN28" s="104"/>
      <c r="AO28" s="240">
        <v>45684</v>
      </c>
      <c r="AP28" s="241"/>
      <c r="AQ28" s="236" t="s">
        <v>156</v>
      </c>
      <c r="AR28" s="232"/>
      <c r="AS28" s="236" t="s">
        <v>157</v>
      </c>
      <c r="AT28" s="242"/>
      <c r="AU28" s="105"/>
      <c r="AV28" s="106"/>
      <c r="AW28" s="96"/>
      <c r="AX28" s="97"/>
      <c r="AY28" s="96"/>
      <c r="AZ28" s="107"/>
      <c r="BA28" s="101"/>
      <c r="BB28" s="102"/>
      <c r="BC28" s="102"/>
      <c r="BD28" s="102"/>
      <c r="BE28" s="102"/>
      <c r="BF28" s="102"/>
      <c r="BG28" s="102"/>
      <c r="BH28" s="102"/>
      <c r="BI28" s="102"/>
      <c r="BJ28" s="102"/>
      <c r="BK28" s="102"/>
      <c r="BL28" s="103"/>
      <c r="BM28" s="56"/>
      <c r="BN28" s="56"/>
    </row>
    <row r="29" spans="1:66" ht="24" customHeight="1" x14ac:dyDescent="0.45">
      <c r="A29" s="55"/>
      <c r="B29" s="55"/>
      <c r="C29" s="72">
        <f t="shared" si="0"/>
        <v>20</v>
      </c>
      <c r="D29" s="59"/>
      <c r="E29" s="60"/>
      <c r="F29" s="60"/>
      <c r="G29" s="61"/>
      <c r="H29" s="60"/>
      <c r="I29" s="60"/>
      <c r="J29" s="60"/>
      <c r="K29" s="60"/>
      <c r="L29" s="162" t="s">
        <v>92</v>
      </c>
      <c r="M29" s="155"/>
      <c r="N29" s="155"/>
      <c r="O29" s="163"/>
      <c r="P29" s="239" t="s">
        <v>112</v>
      </c>
      <c r="Q29" s="237"/>
      <c r="R29" s="237"/>
      <c r="S29" s="237"/>
      <c r="T29" s="237"/>
      <c r="U29" s="237"/>
      <c r="V29" s="237"/>
      <c r="W29" s="238"/>
      <c r="X29" s="239" t="s">
        <v>113</v>
      </c>
      <c r="Y29" s="237"/>
      <c r="Z29" s="237"/>
      <c r="AA29" s="237"/>
      <c r="AB29" s="237"/>
      <c r="AC29" s="237"/>
      <c r="AD29" s="237"/>
      <c r="AE29" s="238"/>
      <c r="AF29" s="98"/>
      <c r="AG29" s="99"/>
      <c r="AH29" s="99"/>
      <c r="AI29" s="99"/>
      <c r="AJ29" s="99"/>
      <c r="AK29" s="99"/>
      <c r="AL29" s="99"/>
      <c r="AM29" s="99"/>
      <c r="AN29" s="104"/>
      <c r="AO29" s="240">
        <v>45684</v>
      </c>
      <c r="AP29" s="241"/>
      <c r="AQ29" s="236" t="s">
        <v>156</v>
      </c>
      <c r="AR29" s="232"/>
      <c r="AS29" s="236" t="s">
        <v>157</v>
      </c>
      <c r="AT29" s="242"/>
      <c r="AU29" s="105"/>
      <c r="AV29" s="106"/>
      <c r="AW29" s="96"/>
      <c r="AX29" s="97"/>
      <c r="AY29" s="96"/>
      <c r="AZ29" s="107"/>
      <c r="BA29" s="101"/>
      <c r="BB29" s="102"/>
      <c r="BC29" s="102"/>
      <c r="BD29" s="102"/>
      <c r="BE29" s="102"/>
      <c r="BF29" s="102"/>
      <c r="BG29" s="102"/>
      <c r="BH29" s="102"/>
      <c r="BI29" s="102"/>
      <c r="BJ29" s="102"/>
      <c r="BK29" s="102"/>
      <c r="BL29" s="103"/>
      <c r="BM29" s="56"/>
      <c r="BN29" s="56"/>
    </row>
    <row r="30" spans="1:66" ht="24" customHeight="1" x14ac:dyDescent="0.45">
      <c r="A30" s="55"/>
      <c r="B30" s="55"/>
      <c r="C30" s="72">
        <f t="shared" si="0"/>
        <v>21</v>
      </c>
      <c r="D30" s="59"/>
      <c r="E30" s="60"/>
      <c r="F30" s="60"/>
      <c r="G30" s="61"/>
      <c r="H30" s="60"/>
      <c r="I30" s="60"/>
      <c r="J30" s="60"/>
      <c r="K30" s="60"/>
      <c r="L30" s="162" t="s">
        <v>93</v>
      </c>
      <c r="M30" s="155"/>
      <c r="N30" s="155"/>
      <c r="O30" s="163"/>
      <c r="P30" s="239" t="s">
        <v>112</v>
      </c>
      <c r="Q30" s="237"/>
      <c r="R30" s="237"/>
      <c r="S30" s="237"/>
      <c r="T30" s="237"/>
      <c r="U30" s="237"/>
      <c r="V30" s="237"/>
      <c r="W30" s="238"/>
      <c r="X30" s="239" t="s">
        <v>113</v>
      </c>
      <c r="Y30" s="237"/>
      <c r="Z30" s="237"/>
      <c r="AA30" s="237"/>
      <c r="AB30" s="237"/>
      <c r="AC30" s="237"/>
      <c r="AD30" s="237"/>
      <c r="AE30" s="238"/>
      <c r="AF30" s="98"/>
      <c r="AG30" s="99"/>
      <c r="AH30" s="99"/>
      <c r="AI30" s="99"/>
      <c r="AJ30" s="99"/>
      <c r="AK30" s="99"/>
      <c r="AL30" s="99"/>
      <c r="AM30" s="99"/>
      <c r="AN30" s="104"/>
      <c r="AO30" s="240">
        <v>45684</v>
      </c>
      <c r="AP30" s="241"/>
      <c r="AQ30" s="236" t="s">
        <v>156</v>
      </c>
      <c r="AR30" s="232"/>
      <c r="AS30" s="236" t="s">
        <v>157</v>
      </c>
      <c r="AT30" s="242"/>
      <c r="AU30" s="105"/>
      <c r="AV30" s="106"/>
      <c r="AW30" s="96"/>
      <c r="AX30" s="97"/>
      <c r="AY30" s="96"/>
      <c r="AZ30" s="107"/>
      <c r="BA30" s="101"/>
      <c r="BB30" s="102"/>
      <c r="BC30" s="102"/>
      <c r="BD30" s="102"/>
      <c r="BE30" s="102"/>
      <c r="BF30" s="102"/>
      <c r="BG30" s="102"/>
      <c r="BH30" s="102"/>
      <c r="BI30" s="102"/>
      <c r="BJ30" s="102"/>
      <c r="BK30" s="102"/>
      <c r="BL30" s="103"/>
      <c r="BM30" s="56"/>
      <c r="BN30" s="56"/>
    </row>
    <row r="31" spans="1:66" ht="24" customHeight="1" x14ac:dyDescent="0.45">
      <c r="A31" s="55"/>
      <c r="B31" s="55"/>
      <c r="C31" s="72">
        <f t="shared" si="0"/>
        <v>22</v>
      </c>
      <c r="D31" s="59"/>
      <c r="E31" s="60"/>
      <c r="F31" s="60"/>
      <c r="G31" s="61"/>
      <c r="H31" s="60"/>
      <c r="I31" s="60"/>
      <c r="J31" s="60"/>
      <c r="K31" s="60"/>
      <c r="L31" s="162" t="s">
        <v>94</v>
      </c>
      <c r="M31" s="155"/>
      <c r="N31" s="155"/>
      <c r="O31" s="163"/>
      <c r="P31" s="239" t="s">
        <v>112</v>
      </c>
      <c r="Q31" s="237"/>
      <c r="R31" s="237"/>
      <c r="S31" s="237"/>
      <c r="T31" s="237"/>
      <c r="U31" s="237"/>
      <c r="V31" s="237"/>
      <c r="W31" s="238"/>
      <c r="X31" s="239" t="s">
        <v>113</v>
      </c>
      <c r="Y31" s="237"/>
      <c r="Z31" s="237"/>
      <c r="AA31" s="237"/>
      <c r="AB31" s="237"/>
      <c r="AC31" s="237"/>
      <c r="AD31" s="237"/>
      <c r="AE31" s="238"/>
      <c r="AF31" s="98"/>
      <c r="AG31" s="99"/>
      <c r="AH31" s="99"/>
      <c r="AI31" s="99"/>
      <c r="AJ31" s="99"/>
      <c r="AK31" s="99"/>
      <c r="AL31" s="99"/>
      <c r="AM31" s="99"/>
      <c r="AN31" s="104"/>
      <c r="AO31" s="240">
        <v>45684</v>
      </c>
      <c r="AP31" s="241"/>
      <c r="AQ31" s="236" t="s">
        <v>156</v>
      </c>
      <c r="AR31" s="232"/>
      <c r="AS31" s="236" t="s">
        <v>157</v>
      </c>
      <c r="AT31" s="242"/>
      <c r="AU31" s="105"/>
      <c r="AV31" s="106"/>
      <c r="AW31" s="96"/>
      <c r="AX31" s="97"/>
      <c r="AY31" s="96"/>
      <c r="AZ31" s="107"/>
      <c r="BA31" s="101"/>
      <c r="BB31" s="102"/>
      <c r="BC31" s="102"/>
      <c r="BD31" s="102"/>
      <c r="BE31" s="102"/>
      <c r="BF31" s="102"/>
      <c r="BG31" s="102"/>
      <c r="BH31" s="102"/>
      <c r="BI31" s="102"/>
      <c r="BJ31" s="102"/>
      <c r="BK31" s="102"/>
      <c r="BL31" s="103"/>
      <c r="BM31" s="56"/>
      <c r="BN31" s="56"/>
    </row>
    <row r="32" spans="1:66" ht="24" customHeight="1" x14ac:dyDescent="0.45">
      <c r="A32" s="55"/>
      <c r="B32" s="55"/>
      <c r="C32" s="72">
        <f t="shared" si="0"/>
        <v>23</v>
      </c>
      <c r="D32" s="59"/>
      <c r="E32" s="60"/>
      <c r="F32" s="60"/>
      <c r="G32" s="61"/>
      <c r="H32" s="60"/>
      <c r="I32" s="60"/>
      <c r="J32" s="60"/>
      <c r="K32" s="60"/>
      <c r="L32" s="28" t="s">
        <v>46</v>
      </c>
      <c r="M32" s="155"/>
      <c r="N32" s="155"/>
      <c r="O32" s="163"/>
      <c r="P32" s="239" t="s">
        <v>112</v>
      </c>
      <c r="Q32" s="237"/>
      <c r="R32" s="237"/>
      <c r="S32" s="237"/>
      <c r="T32" s="237"/>
      <c r="U32" s="237"/>
      <c r="V32" s="237"/>
      <c r="W32" s="238"/>
      <c r="X32" s="239" t="s">
        <v>113</v>
      </c>
      <c r="Y32" s="237"/>
      <c r="Z32" s="237"/>
      <c r="AA32" s="237"/>
      <c r="AB32" s="237"/>
      <c r="AC32" s="237"/>
      <c r="AD32" s="237"/>
      <c r="AE32" s="238"/>
      <c r="AF32" s="98"/>
      <c r="AG32" s="99"/>
      <c r="AH32" s="99"/>
      <c r="AI32" s="99"/>
      <c r="AJ32" s="99"/>
      <c r="AK32" s="99"/>
      <c r="AL32" s="99"/>
      <c r="AM32" s="99"/>
      <c r="AN32" s="104"/>
      <c r="AO32" s="240">
        <v>45684</v>
      </c>
      <c r="AP32" s="241"/>
      <c r="AQ32" s="236" t="s">
        <v>156</v>
      </c>
      <c r="AR32" s="232"/>
      <c r="AS32" s="236" t="s">
        <v>157</v>
      </c>
      <c r="AT32" s="242"/>
      <c r="AU32" s="105"/>
      <c r="AV32" s="106"/>
      <c r="AW32" s="96"/>
      <c r="AX32" s="97"/>
      <c r="AY32" s="96"/>
      <c r="AZ32" s="107"/>
      <c r="BA32" s="101"/>
      <c r="BB32" s="102"/>
      <c r="BC32" s="102"/>
      <c r="BD32" s="102"/>
      <c r="BE32" s="102"/>
      <c r="BF32" s="102"/>
      <c r="BG32" s="102"/>
      <c r="BH32" s="102"/>
      <c r="BI32" s="102"/>
      <c r="BJ32" s="102"/>
      <c r="BK32" s="102"/>
      <c r="BL32" s="103"/>
      <c r="BM32" s="56"/>
      <c r="BN32" s="56"/>
    </row>
    <row r="33" spans="1:66" ht="24" customHeight="1" x14ac:dyDescent="0.45">
      <c r="A33" s="55"/>
      <c r="B33" s="55"/>
      <c r="C33" s="72">
        <f t="shared" si="0"/>
        <v>24</v>
      </c>
      <c r="D33" s="59"/>
      <c r="E33" s="60"/>
      <c r="F33" s="60"/>
      <c r="G33" s="61"/>
      <c r="H33" s="60"/>
      <c r="I33" s="60"/>
      <c r="J33" s="60"/>
      <c r="K33" s="60"/>
      <c r="L33" s="28" t="s">
        <v>47</v>
      </c>
      <c r="M33" s="155"/>
      <c r="N33" s="155"/>
      <c r="O33" s="163"/>
      <c r="P33" s="239" t="s">
        <v>112</v>
      </c>
      <c r="Q33" s="237"/>
      <c r="R33" s="237"/>
      <c r="S33" s="237"/>
      <c r="T33" s="237"/>
      <c r="U33" s="237"/>
      <c r="V33" s="237"/>
      <c r="W33" s="238"/>
      <c r="X33" s="239" t="s">
        <v>113</v>
      </c>
      <c r="Y33" s="237"/>
      <c r="Z33" s="237"/>
      <c r="AA33" s="237"/>
      <c r="AB33" s="237"/>
      <c r="AC33" s="237"/>
      <c r="AD33" s="237"/>
      <c r="AE33" s="238"/>
      <c r="AF33" s="98"/>
      <c r="AG33" s="99"/>
      <c r="AH33" s="99"/>
      <c r="AI33" s="99"/>
      <c r="AJ33" s="99"/>
      <c r="AK33" s="99"/>
      <c r="AL33" s="99"/>
      <c r="AM33" s="99"/>
      <c r="AN33" s="104"/>
      <c r="AO33" s="240">
        <v>45684</v>
      </c>
      <c r="AP33" s="241"/>
      <c r="AQ33" s="236" t="s">
        <v>156</v>
      </c>
      <c r="AR33" s="232"/>
      <c r="AS33" s="236" t="s">
        <v>157</v>
      </c>
      <c r="AT33" s="242"/>
      <c r="AU33" s="105"/>
      <c r="AV33" s="106"/>
      <c r="AW33" s="96"/>
      <c r="AX33" s="97"/>
      <c r="AY33" s="96"/>
      <c r="AZ33" s="107"/>
      <c r="BA33" s="101"/>
      <c r="BB33" s="102"/>
      <c r="BC33" s="102"/>
      <c r="BD33" s="102"/>
      <c r="BE33" s="102"/>
      <c r="BF33" s="102"/>
      <c r="BG33" s="102"/>
      <c r="BH33" s="102"/>
      <c r="BI33" s="102"/>
      <c r="BJ33" s="102"/>
      <c r="BK33" s="102"/>
      <c r="BL33" s="103"/>
      <c r="BM33" s="56"/>
      <c r="BN33" s="56"/>
    </row>
    <row r="34" spans="1:66" ht="24" customHeight="1" x14ac:dyDescent="0.45">
      <c r="A34" s="55"/>
      <c r="B34" s="55"/>
      <c r="C34" s="72">
        <f t="shared" si="0"/>
        <v>25</v>
      </c>
      <c r="D34" s="59"/>
      <c r="E34" s="60"/>
      <c r="F34" s="60"/>
      <c r="G34" s="61"/>
      <c r="H34" s="60"/>
      <c r="I34" s="60"/>
      <c r="J34" s="60"/>
      <c r="K34" s="60"/>
      <c r="L34" s="162" t="s">
        <v>95</v>
      </c>
      <c r="M34" s="155"/>
      <c r="N34" s="155"/>
      <c r="O34" s="163"/>
      <c r="P34" s="239" t="s">
        <v>112</v>
      </c>
      <c r="Q34" s="237"/>
      <c r="R34" s="237"/>
      <c r="S34" s="237"/>
      <c r="T34" s="237"/>
      <c r="U34" s="237"/>
      <c r="V34" s="237"/>
      <c r="W34" s="238"/>
      <c r="X34" s="239" t="s">
        <v>113</v>
      </c>
      <c r="Y34" s="237"/>
      <c r="Z34" s="237"/>
      <c r="AA34" s="237"/>
      <c r="AB34" s="237"/>
      <c r="AC34" s="237"/>
      <c r="AD34" s="237"/>
      <c r="AE34" s="238"/>
      <c r="AF34" s="98"/>
      <c r="AG34" s="99"/>
      <c r="AH34" s="99"/>
      <c r="AI34" s="99"/>
      <c r="AJ34" s="99"/>
      <c r="AK34" s="99"/>
      <c r="AL34" s="99"/>
      <c r="AM34" s="99"/>
      <c r="AN34" s="104"/>
      <c r="AO34" s="240">
        <v>45684</v>
      </c>
      <c r="AP34" s="241"/>
      <c r="AQ34" s="236" t="s">
        <v>156</v>
      </c>
      <c r="AR34" s="232"/>
      <c r="AS34" s="236" t="s">
        <v>157</v>
      </c>
      <c r="AT34" s="242"/>
      <c r="AU34" s="105"/>
      <c r="AV34" s="106"/>
      <c r="AW34" s="96"/>
      <c r="AX34" s="97"/>
      <c r="AY34" s="96"/>
      <c r="AZ34" s="107"/>
      <c r="BA34" s="101"/>
      <c r="BB34" s="102"/>
      <c r="BC34" s="102"/>
      <c r="BD34" s="102"/>
      <c r="BE34" s="102"/>
      <c r="BF34" s="102"/>
      <c r="BG34" s="102"/>
      <c r="BH34" s="102"/>
      <c r="BI34" s="102"/>
      <c r="BJ34" s="102"/>
      <c r="BK34" s="102"/>
      <c r="BL34" s="103"/>
      <c r="BM34" s="56"/>
      <c r="BN34" s="56"/>
    </row>
    <row r="35" spans="1:66" ht="24" customHeight="1" x14ac:dyDescent="0.45">
      <c r="A35" s="55"/>
      <c r="B35" s="55"/>
      <c r="C35" s="72">
        <f t="shared" si="0"/>
        <v>26</v>
      </c>
      <c r="D35" s="59"/>
      <c r="E35" s="60"/>
      <c r="F35" s="60"/>
      <c r="G35" s="61"/>
      <c r="H35" s="60"/>
      <c r="I35" s="60"/>
      <c r="J35" s="60"/>
      <c r="K35" s="60"/>
      <c r="L35" s="162" t="s">
        <v>96</v>
      </c>
      <c r="M35" s="155"/>
      <c r="N35" s="155"/>
      <c r="O35" s="163"/>
      <c r="P35" s="239" t="s">
        <v>112</v>
      </c>
      <c r="Q35" s="237"/>
      <c r="R35" s="237"/>
      <c r="S35" s="237"/>
      <c r="T35" s="237"/>
      <c r="U35" s="237"/>
      <c r="V35" s="237"/>
      <c r="W35" s="238"/>
      <c r="X35" s="239" t="s">
        <v>113</v>
      </c>
      <c r="Y35" s="237"/>
      <c r="Z35" s="237"/>
      <c r="AA35" s="237"/>
      <c r="AB35" s="237"/>
      <c r="AC35" s="237"/>
      <c r="AD35" s="237"/>
      <c r="AE35" s="238"/>
      <c r="AF35" s="98"/>
      <c r="AG35" s="99"/>
      <c r="AH35" s="99"/>
      <c r="AI35" s="99"/>
      <c r="AJ35" s="99"/>
      <c r="AK35" s="99"/>
      <c r="AL35" s="99"/>
      <c r="AM35" s="99"/>
      <c r="AN35" s="104"/>
      <c r="AO35" s="240">
        <v>45684</v>
      </c>
      <c r="AP35" s="241"/>
      <c r="AQ35" s="236" t="s">
        <v>156</v>
      </c>
      <c r="AR35" s="232"/>
      <c r="AS35" s="236" t="s">
        <v>157</v>
      </c>
      <c r="AT35" s="242"/>
      <c r="AU35" s="105"/>
      <c r="AV35" s="106"/>
      <c r="AW35" s="96"/>
      <c r="AX35" s="97"/>
      <c r="AY35" s="96"/>
      <c r="AZ35" s="107"/>
      <c r="BA35" s="101"/>
      <c r="BB35" s="102"/>
      <c r="BC35" s="102"/>
      <c r="BD35" s="102"/>
      <c r="BE35" s="102"/>
      <c r="BF35" s="102"/>
      <c r="BG35" s="102"/>
      <c r="BH35" s="102"/>
      <c r="BI35" s="102"/>
      <c r="BJ35" s="102"/>
      <c r="BK35" s="102"/>
      <c r="BL35" s="103"/>
      <c r="BM35" s="56"/>
      <c r="BN35" s="56"/>
    </row>
    <row r="36" spans="1:66" ht="24" customHeight="1" x14ac:dyDescent="0.45">
      <c r="A36" s="55"/>
      <c r="B36" s="55"/>
      <c r="C36" s="72">
        <f t="shared" si="0"/>
        <v>27</v>
      </c>
      <c r="D36" s="59"/>
      <c r="E36" s="60"/>
      <c r="F36" s="60"/>
      <c r="G36" s="61"/>
      <c r="H36" s="60"/>
      <c r="I36" s="60"/>
      <c r="J36" s="60"/>
      <c r="K36" s="60"/>
      <c r="L36" s="162" t="s">
        <v>97</v>
      </c>
      <c r="M36" s="155"/>
      <c r="N36" s="155"/>
      <c r="O36" s="163"/>
      <c r="P36" s="239" t="s">
        <v>112</v>
      </c>
      <c r="Q36" s="237"/>
      <c r="R36" s="237"/>
      <c r="S36" s="237"/>
      <c r="T36" s="237"/>
      <c r="U36" s="237"/>
      <c r="V36" s="237"/>
      <c r="W36" s="238"/>
      <c r="X36" s="239" t="s">
        <v>113</v>
      </c>
      <c r="Y36" s="237"/>
      <c r="Z36" s="237"/>
      <c r="AA36" s="237"/>
      <c r="AB36" s="237"/>
      <c r="AC36" s="237"/>
      <c r="AD36" s="237"/>
      <c r="AE36" s="238"/>
      <c r="AF36" s="98"/>
      <c r="AG36" s="99"/>
      <c r="AH36" s="99"/>
      <c r="AI36" s="99"/>
      <c r="AJ36" s="99"/>
      <c r="AK36" s="99"/>
      <c r="AL36" s="99"/>
      <c r="AM36" s="99"/>
      <c r="AN36" s="104"/>
      <c r="AO36" s="240">
        <v>45684</v>
      </c>
      <c r="AP36" s="241"/>
      <c r="AQ36" s="236" t="s">
        <v>156</v>
      </c>
      <c r="AR36" s="232"/>
      <c r="AS36" s="236" t="s">
        <v>157</v>
      </c>
      <c r="AT36" s="242"/>
      <c r="AU36" s="105"/>
      <c r="AV36" s="106"/>
      <c r="AW36" s="96"/>
      <c r="AX36" s="97"/>
      <c r="AY36" s="96"/>
      <c r="AZ36" s="107"/>
      <c r="BA36" s="101"/>
      <c r="BB36" s="102"/>
      <c r="BC36" s="102"/>
      <c r="BD36" s="102"/>
      <c r="BE36" s="102"/>
      <c r="BF36" s="102"/>
      <c r="BG36" s="102"/>
      <c r="BH36" s="102"/>
      <c r="BI36" s="102"/>
      <c r="BJ36" s="102"/>
      <c r="BK36" s="102"/>
      <c r="BL36" s="103"/>
      <c r="BM36" s="56"/>
      <c r="BN36" s="56"/>
    </row>
    <row r="37" spans="1:66" ht="24" customHeight="1" x14ac:dyDescent="0.45">
      <c r="A37" s="55"/>
      <c r="B37" s="55"/>
      <c r="C37" s="72">
        <f t="shared" si="0"/>
        <v>28</v>
      </c>
      <c r="D37" s="59"/>
      <c r="E37" s="60"/>
      <c r="F37" s="60"/>
      <c r="G37" s="61"/>
      <c r="H37" s="60"/>
      <c r="I37" s="60"/>
      <c r="J37" s="60"/>
      <c r="K37" s="60"/>
      <c r="L37" s="162" t="s">
        <v>98</v>
      </c>
      <c r="M37" s="155"/>
      <c r="N37" s="155"/>
      <c r="O37" s="163"/>
      <c r="P37" s="239" t="s">
        <v>112</v>
      </c>
      <c r="Q37" s="237"/>
      <c r="R37" s="237"/>
      <c r="S37" s="237"/>
      <c r="T37" s="237"/>
      <c r="U37" s="237"/>
      <c r="V37" s="237"/>
      <c r="W37" s="238"/>
      <c r="X37" s="239" t="s">
        <v>113</v>
      </c>
      <c r="Y37" s="237"/>
      <c r="Z37" s="237"/>
      <c r="AA37" s="237"/>
      <c r="AB37" s="237"/>
      <c r="AC37" s="237"/>
      <c r="AD37" s="237"/>
      <c r="AE37" s="238"/>
      <c r="AF37" s="98"/>
      <c r="AG37" s="99"/>
      <c r="AH37" s="99"/>
      <c r="AI37" s="99"/>
      <c r="AJ37" s="99"/>
      <c r="AK37" s="99"/>
      <c r="AL37" s="99"/>
      <c r="AM37" s="99"/>
      <c r="AN37" s="104"/>
      <c r="AO37" s="240">
        <v>45684</v>
      </c>
      <c r="AP37" s="241"/>
      <c r="AQ37" s="236" t="s">
        <v>156</v>
      </c>
      <c r="AR37" s="232"/>
      <c r="AS37" s="236" t="s">
        <v>157</v>
      </c>
      <c r="AT37" s="242"/>
      <c r="AU37" s="105"/>
      <c r="AV37" s="106"/>
      <c r="AW37" s="96"/>
      <c r="AX37" s="97"/>
      <c r="AY37" s="96"/>
      <c r="AZ37" s="107"/>
      <c r="BA37" s="101"/>
      <c r="BB37" s="102"/>
      <c r="BC37" s="102"/>
      <c r="BD37" s="102"/>
      <c r="BE37" s="102"/>
      <c r="BF37" s="102"/>
      <c r="BG37" s="102"/>
      <c r="BH37" s="102"/>
      <c r="BI37" s="102"/>
      <c r="BJ37" s="102"/>
      <c r="BK37" s="102"/>
      <c r="BL37" s="103"/>
      <c r="BM37" s="56"/>
      <c r="BN37" s="56"/>
    </row>
    <row r="38" spans="1:66" ht="24" customHeight="1" x14ac:dyDescent="0.45">
      <c r="A38" s="55"/>
      <c r="B38" s="55"/>
      <c r="C38" s="72">
        <f t="shared" si="0"/>
        <v>29</v>
      </c>
      <c r="D38" s="59"/>
      <c r="E38" s="60"/>
      <c r="F38" s="60"/>
      <c r="G38" s="61"/>
      <c r="H38" s="60"/>
      <c r="I38" s="60"/>
      <c r="J38" s="60"/>
      <c r="K38" s="60"/>
      <c r="L38" s="162" t="s">
        <v>99</v>
      </c>
      <c r="M38" s="155"/>
      <c r="N38" s="155"/>
      <c r="O38" s="163"/>
      <c r="P38" s="239" t="s">
        <v>112</v>
      </c>
      <c r="Q38" s="237"/>
      <c r="R38" s="237"/>
      <c r="S38" s="237"/>
      <c r="T38" s="237"/>
      <c r="U38" s="237"/>
      <c r="V38" s="237"/>
      <c r="W38" s="238"/>
      <c r="X38" s="239" t="s">
        <v>113</v>
      </c>
      <c r="Y38" s="237"/>
      <c r="Z38" s="237"/>
      <c r="AA38" s="237"/>
      <c r="AB38" s="237"/>
      <c r="AC38" s="237"/>
      <c r="AD38" s="237"/>
      <c r="AE38" s="238"/>
      <c r="AF38" s="98"/>
      <c r="AG38" s="99"/>
      <c r="AH38" s="99"/>
      <c r="AI38" s="99"/>
      <c r="AJ38" s="99"/>
      <c r="AK38" s="99"/>
      <c r="AL38" s="99"/>
      <c r="AM38" s="99"/>
      <c r="AN38" s="104"/>
      <c r="AO38" s="240">
        <v>45684</v>
      </c>
      <c r="AP38" s="241"/>
      <c r="AQ38" s="236" t="s">
        <v>156</v>
      </c>
      <c r="AR38" s="232"/>
      <c r="AS38" s="236" t="s">
        <v>157</v>
      </c>
      <c r="AT38" s="242"/>
      <c r="AU38" s="105"/>
      <c r="AV38" s="106"/>
      <c r="AW38" s="96"/>
      <c r="AX38" s="97"/>
      <c r="AY38" s="96"/>
      <c r="AZ38" s="107"/>
      <c r="BA38" s="101"/>
      <c r="BB38" s="102"/>
      <c r="BC38" s="102"/>
      <c r="BD38" s="102"/>
      <c r="BE38" s="102"/>
      <c r="BF38" s="102"/>
      <c r="BG38" s="102"/>
      <c r="BH38" s="102"/>
      <c r="BI38" s="102"/>
      <c r="BJ38" s="102"/>
      <c r="BK38" s="102"/>
      <c r="BL38" s="103"/>
      <c r="BM38" s="56"/>
      <c r="BN38" s="56"/>
    </row>
    <row r="39" spans="1:66" ht="24" customHeight="1" x14ac:dyDescent="0.45">
      <c r="A39" s="55"/>
      <c r="B39" s="55"/>
      <c r="C39" s="72">
        <f t="shared" si="0"/>
        <v>30</v>
      </c>
      <c r="D39" s="59"/>
      <c r="E39" s="60"/>
      <c r="F39" s="60"/>
      <c r="G39" s="61"/>
      <c r="H39" s="60"/>
      <c r="I39" s="60"/>
      <c r="J39" s="60"/>
      <c r="K39" s="60"/>
      <c r="L39" s="162" t="s">
        <v>100</v>
      </c>
      <c r="M39" s="180"/>
      <c r="N39" s="180"/>
      <c r="O39" s="181"/>
      <c r="P39" s="239" t="s">
        <v>112</v>
      </c>
      <c r="Q39" s="237"/>
      <c r="R39" s="237"/>
      <c r="S39" s="237"/>
      <c r="T39" s="237"/>
      <c r="U39" s="237"/>
      <c r="V39" s="237"/>
      <c r="W39" s="238"/>
      <c r="X39" s="239" t="s">
        <v>113</v>
      </c>
      <c r="Y39" s="237"/>
      <c r="Z39" s="237"/>
      <c r="AA39" s="237"/>
      <c r="AB39" s="237"/>
      <c r="AC39" s="237"/>
      <c r="AD39" s="237"/>
      <c r="AE39" s="238"/>
      <c r="AF39" s="98"/>
      <c r="AG39" s="99"/>
      <c r="AH39" s="99"/>
      <c r="AI39" s="99"/>
      <c r="AJ39" s="99"/>
      <c r="AK39" s="99"/>
      <c r="AL39" s="99"/>
      <c r="AM39" s="99"/>
      <c r="AN39" s="104"/>
      <c r="AO39" s="240">
        <v>45684</v>
      </c>
      <c r="AP39" s="241"/>
      <c r="AQ39" s="236" t="s">
        <v>156</v>
      </c>
      <c r="AR39" s="232"/>
      <c r="AS39" s="236" t="s">
        <v>157</v>
      </c>
      <c r="AT39" s="242"/>
      <c r="AU39" s="105"/>
      <c r="AV39" s="106"/>
      <c r="AW39" s="96"/>
      <c r="AX39" s="97"/>
      <c r="AY39" s="96"/>
      <c r="AZ39" s="107"/>
      <c r="BA39" s="101"/>
      <c r="BB39" s="102"/>
      <c r="BC39" s="102"/>
      <c r="BD39" s="102"/>
      <c r="BE39" s="102"/>
      <c r="BF39" s="102"/>
      <c r="BG39" s="102"/>
      <c r="BH39" s="102"/>
      <c r="BI39" s="102"/>
      <c r="BJ39" s="102"/>
      <c r="BK39" s="102"/>
      <c r="BL39" s="103"/>
      <c r="BM39" s="56"/>
      <c r="BN39" s="56"/>
    </row>
    <row r="40" spans="1:66" ht="24" customHeight="1" x14ac:dyDescent="0.45">
      <c r="A40" s="55"/>
      <c r="B40" s="55"/>
      <c r="C40" s="72">
        <f t="shared" si="0"/>
        <v>31</v>
      </c>
      <c r="D40" s="59"/>
      <c r="E40" s="60"/>
      <c r="F40" s="60"/>
      <c r="G40" s="61"/>
      <c r="H40" s="60"/>
      <c r="I40" s="60"/>
      <c r="J40" s="60"/>
      <c r="K40" s="60"/>
      <c r="L40" s="162" t="s">
        <v>101</v>
      </c>
      <c r="M40" s="180"/>
      <c r="N40" s="180"/>
      <c r="O40" s="181"/>
      <c r="P40" s="239" t="s">
        <v>112</v>
      </c>
      <c r="Q40" s="237"/>
      <c r="R40" s="237"/>
      <c r="S40" s="237"/>
      <c r="T40" s="237"/>
      <c r="U40" s="237"/>
      <c r="V40" s="237"/>
      <c r="W40" s="238"/>
      <c r="X40" s="239" t="s">
        <v>113</v>
      </c>
      <c r="Y40" s="237"/>
      <c r="Z40" s="237"/>
      <c r="AA40" s="237"/>
      <c r="AB40" s="237"/>
      <c r="AC40" s="237"/>
      <c r="AD40" s="237"/>
      <c r="AE40" s="238"/>
      <c r="AF40" s="98"/>
      <c r="AG40" s="99"/>
      <c r="AH40" s="99"/>
      <c r="AI40" s="99"/>
      <c r="AJ40" s="99"/>
      <c r="AK40" s="99"/>
      <c r="AL40" s="99"/>
      <c r="AM40" s="99"/>
      <c r="AN40" s="104"/>
      <c r="AO40" s="240">
        <v>45684</v>
      </c>
      <c r="AP40" s="241"/>
      <c r="AQ40" s="236" t="s">
        <v>156</v>
      </c>
      <c r="AR40" s="232"/>
      <c r="AS40" s="236" t="s">
        <v>157</v>
      </c>
      <c r="AT40" s="242"/>
      <c r="AU40" s="105"/>
      <c r="AV40" s="106"/>
      <c r="AW40" s="96"/>
      <c r="AX40" s="97"/>
      <c r="AY40" s="96"/>
      <c r="AZ40" s="107"/>
      <c r="BA40" s="101"/>
      <c r="BB40" s="102"/>
      <c r="BC40" s="102"/>
      <c r="BD40" s="102"/>
      <c r="BE40" s="102"/>
      <c r="BF40" s="102"/>
      <c r="BG40" s="102"/>
      <c r="BH40" s="102"/>
      <c r="BI40" s="102"/>
      <c r="BJ40" s="102"/>
      <c r="BK40" s="102"/>
      <c r="BL40" s="103"/>
      <c r="BM40" s="56"/>
      <c r="BN40" s="56"/>
    </row>
    <row r="41" spans="1:66" ht="24" customHeight="1" x14ac:dyDescent="0.45">
      <c r="A41" s="55"/>
      <c r="B41" s="55"/>
      <c r="C41" s="72">
        <f t="shared" si="0"/>
        <v>32</v>
      </c>
      <c r="D41" s="59"/>
      <c r="E41" s="60"/>
      <c r="F41" s="60"/>
      <c r="G41" s="61"/>
      <c r="H41" s="60"/>
      <c r="I41" s="60"/>
      <c r="J41" s="60"/>
      <c r="K41" s="60"/>
      <c r="L41" s="162" t="s">
        <v>182</v>
      </c>
      <c r="M41" s="180"/>
      <c r="N41" s="180"/>
      <c r="O41" s="181"/>
      <c r="P41" s="239" t="s">
        <v>112</v>
      </c>
      <c r="Q41" s="237"/>
      <c r="R41" s="237"/>
      <c r="S41" s="237"/>
      <c r="T41" s="237"/>
      <c r="U41" s="237"/>
      <c r="V41" s="237"/>
      <c r="W41" s="238"/>
      <c r="X41" s="239" t="s">
        <v>113</v>
      </c>
      <c r="Y41" s="237"/>
      <c r="Z41" s="237"/>
      <c r="AA41" s="237"/>
      <c r="AB41" s="237"/>
      <c r="AC41" s="237"/>
      <c r="AD41" s="237"/>
      <c r="AE41" s="238"/>
      <c r="AF41" s="98"/>
      <c r="AG41" s="99"/>
      <c r="AH41" s="99"/>
      <c r="AI41" s="99"/>
      <c r="AJ41" s="99"/>
      <c r="AK41" s="99"/>
      <c r="AL41" s="99"/>
      <c r="AM41" s="99"/>
      <c r="AN41" s="104"/>
      <c r="AO41" s="240">
        <v>45684</v>
      </c>
      <c r="AP41" s="241"/>
      <c r="AQ41" s="236" t="s">
        <v>156</v>
      </c>
      <c r="AR41" s="232"/>
      <c r="AS41" s="236" t="s">
        <v>157</v>
      </c>
      <c r="AT41" s="242"/>
      <c r="AU41" s="105"/>
      <c r="AV41" s="106"/>
      <c r="AW41" s="96"/>
      <c r="AX41" s="97"/>
      <c r="AY41" s="96"/>
      <c r="AZ41" s="107"/>
      <c r="BA41" s="101"/>
      <c r="BB41" s="102"/>
      <c r="BC41" s="102"/>
      <c r="BD41" s="102"/>
      <c r="BE41" s="102"/>
      <c r="BF41" s="102"/>
      <c r="BG41" s="102"/>
      <c r="BH41" s="102"/>
      <c r="BI41" s="102"/>
      <c r="BJ41" s="102"/>
      <c r="BK41" s="102"/>
      <c r="BL41" s="103"/>
      <c r="BM41" s="56"/>
      <c r="BN41" s="56"/>
    </row>
    <row r="42" spans="1:66" ht="24" customHeight="1" x14ac:dyDescent="0.45">
      <c r="A42" s="55"/>
      <c r="B42" s="55"/>
      <c r="C42" s="72">
        <f t="shared" si="0"/>
        <v>33</v>
      </c>
      <c r="D42" s="59"/>
      <c r="E42" s="165"/>
      <c r="F42" s="165"/>
      <c r="G42" s="61"/>
      <c r="H42" s="165"/>
      <c r="I42" s="165"/>
      <c r="J42" s="165"/>
      <c r="K42" s="165"/>
      <c r="L42" s="162" t="s">
        <v>102</v>
      </c>
      <c r="M42" s="180"/>
      <c r="N42" s="180"/>
      <c r="O42" s="181"/>
      <c r="P42" s="239" t="s">
        <v>112</v>
      </c>
      <c r="Q42" s="237"/>
      <c r="R42" s="237"/>
      <c r="S42" s="237"/>
      <c r="T42" s="237"/>
      <c r="U42" s="237"/>
      <c r="V42" s="237"/>
      <c r="W42" s="238"/>
      <c r="X42" s="239" t="s">
        <v>113</v>
      </c>
      <c r="Y42" s="237"/>
      <c r="Z42" s="237"/>
      <c r="AA42" s="237"/>
      <c r="AB42" s="237"/>
      <c r="AC42" s="237"/>
      <c r="AD42" s="237"/>
      <c r="AE42" s="238"/>
      <c r="AF42" s="149"/>
      <c r="AG42" s="150"/>
      <c r="AH42" s="150"/>
      <c r="AI42" s="150"/>
      <c r="AJ42" s="150"/>
      <c r="AK42" s="150"/>
      <c r="AL42" s="150"/>
      <c r="AM42" s="150"/>
      <c r="AN42" s="152"/>
      <c r="AO42" s="240">
        <v>45684</v>
      </c>
      <c r="AP42" s="241"/>
      <c r="AQ42" s="236" t="s">
        <v>156</v>
      </c>
      <c r="AR42" s="232"/>
      <c r="AS42" s="236" t="s">
        <v>157</v>
      </c>
      <c r="AT42" s="242"/>
      <c r="AU42" s="157"/>
      <c r="AV42" s="158"/>
      <c r="AW42" s="147"/>
      <c r="AX42" s="148"/>
      <c r="AY42" s="147"/>
      <c r="AZ42" s="159"/>
      <c r="BA42" s="154"/>
      <c r="BB42" s="155"/>
      <c r="BC42" s="155"/>
      <c r="BD42" s="155"/>
      <c r="BE42" s="155"/>
      <c r="BF42" s="155"/>
      <c r="BG42" s="155"/>
      <c r="BH42" s="155"/>
      <c r="BI42" s="155"/>
      <c r="BJ42" s="155"/>
      <c r="BK42" s="155"/>
      <c r="BL42" s="156"/>
      <c r="BM42" s="56"/>
      <c r="BN42" s="56"/>
    </row>
    <row r="43" spans="1:66" ht="24" customHeight="1" x14ac:dyDescent="0.45">
      <c r="A43" s="55"/>
      <c r="B43" s="55"/>
      <c r="C43" s="72">
        <f t="shared" si="0"/>
        <v>34</v>
      </c>
      <c r="D43" s="59"/>
      <c r="E43" s="165"/>
      <c r="F43" s="165"/>
      <c r="G43" s="61"/>
      <c r="H43" s="165"/>
      <c r="I43" s="165"/>
      <c r="J43" s="165"/>
      <c r="K43" s="165"/>
      <c r="L43" s="162" t="s">
        <v>103</v>
      </c>
      <c r="M43" s="180"/>
      <c r="N43" s="180"/>
      <c r="O43" s="181"/>
      <c r="P43" s="239" t="s">
        <v>112</v>
      </c>
      <c r="Q43" s="237"/>
      <c r="R43" s="237"/>
      <c r="S43" s="237"/>
      <c r="T43" s="237"/>
      <c r="U43" s="237"/>
      <c r="V43" s="237"/>
      <c r="W43" s="238"/>
      <c r="X43" s="239" t="s">
        <v>113</v>
      </c>
      <c r="Y43" s="237"/>
      <c r="Z43" s="237"/>
      <c r="AA43" s="237"/>
      <c r="AB43" s="237"/>
      <c r="AC43" s="237"/>
      <c r="AD43" s="237"/>
      <c r="AE43" s="238"/>
      <c r="AF43" s="149"/>
      <c r="AG43" s="150"/>
      <c r="AH43" s="150"/>
      <c r="AI43" s="150"/>
      <c r="AJ43" s="150"/>
      <c r="AK43" s="150"/>
      <c r="AL43" s="150"/>
      <c r="AM43" s="150"/>
      <c r="AN43" s="152"/>
      <c r="AO43" s="240">
        <v>45684</v>
      </c>
      <c r="AP43" s="241"/>
      <c r="AQ43" s="236" t="s">
        <v>156</v>
      </c>
      <c r="AR43" s="232"/>
      <c r="AS43" s="236" t="s">
        <v>157</v>
      </c>
      <c r="AT43" s="242"/>
      <c r="AU43" s="157"/>
      <c r="AV43" s="158"/>
      <c r="AW43" s="147"/>
      <c r="AX43" s="148"/>
      <c r="AY43" s="147"/>
      <c r="AZ43" s="159"/>
      <c r="BA43" s="154"/>
      <c r="BB43" s="155"/>
      <c r="BC43" s="155"/>
      <c r="BD43" s="155"/>
      <c r="BE43" s="155"/>
      <c r="BF43" s="155"/>
      <c r="BG43" s="155"/>
      <c r="BH43" s="155"/>
      <c r="BI43" s="155"/>
      <c r="BJ43" s="155"/>
      <c r="BK43" s="155"/>
      <c r="BL43" s="156"/>
      <c r="BM43" s="56"/>
      <c r="BN43" s="56"/>
    </row>
    <row r="44" spans="1:66" ht="24" customHeight="1" x14ac:dyDescent="0.45">
      <c r="A44" s="55"/>
      <c r="B44" s="55"/>
      <c r="C44" s="72">
        <f t="shared" si="0"/>
        <v>35</v>
      </c>
      <c r="D44" s="59"/>
      <c r="E44" s="165"/>
      <c r="F44" s="165"/>
      <c r="G44" s="61"/>
      <c r="H44" s="165"/>
      <c r="I44" s="165"/>
      <c r="J44" s="165"/>
      <c r="K44" s="165"/>
      <c r="L44" s="162" t="s">
        <v>104</v>
      </c>
      <c r="M44" s="180"/>
      <c r="N44" s="180"/>
      <c r="O44" s="181"/>
      <c r="P44" s="239" t="s">
        <v>112</v>
      </c>
      <c r="Q44" s="237"/>
      <c r="R44" s="237"/>
      <c r="S44" s="237"/>
      <c r="T44" s="237"/>
      <c r="U44" s="237"/>
      <c r="V44" s="237"/>
      <c r="W44" s="238"/>
      <c r="X44" s="239" t="s">
        <v>113</v>
      </c>
      <c r="Y44" s="237"/>
      <c r="Z44" s="237"/>
      <c r="AA44" s="237"/>
      <c r="AB44" s="237"/>
      <c r="AC44" s="237"/>
      <c r="AD44" s="237"/>
      <c r="AE44" s="238"/>
      <c r="AF44" s="149"/>
      <c r="AG44" s="150"/>
      <c r="AH44" s="150"/>
      <c r="AI44" s="150"/>
      <c r="AJ44" s="150"/>
      <c r="AK44" s="150"/>
      <c r="AL44" s="150"/>
      <c r="AM44" s="150"/>
      <c r="AN44" s="152"/>
      <c r="AO44" s="240">
        <v>45684</v>
      </c>
      <c r="AP44" s="241"/>
      <c r="AQ44" s="236" t="s">
        <v>156</v>
      </c>
      <c r="AR44" s="232"/>
      <c r="AS44" s="236" t="s">
        <v>157</v>
      </c>
      <c r="AT44" s="242"/>
      <c r="AU44" s="157"/>
      <c r="AV44" s="158"/>
      <c r="AW44" s="147"/>
      <c r="AX44" s="148"/>
      <c r="AY44" s="147"/>
      <c r="AZ44" s="159"/>
      <c r="BA44" s="154"/>
      <c r="BB44" s="155"/>
      <c r="BC44" s="155"/>
      <c r="BD44" s="155"/>
      <c r="BE44" s="155"/>
      <c r="BF44" s="155"/>
      <c r="BG44" s="155"/>
      <c r="BH44" s="155"/>
      <c r="BI44" s="155"/>
      <c r="BJ44" s="155"/>
      <c r="BK44" s="155"/>
      <c r="BL44" s="156"/>
      <c r="BM44" s="56"/>
      <c r="BN44" s="56"/>
    </row>
    <row r="45" spans="1:66" ht="24" customHeight="1" x14ac:dyDescent="0.45">
      <c r="A45" s="55"/>
      <c r="B45" s="55"/>
      <c r="C45" s="72">
        <f t="shared" si="0"/>
        <v>36</v>
      </c>
      <c r="D45" s="59"/>
      <c r="E45" s="165"/>
      <c r="F45" s="165"/>
      <c r="G45" s="61"/>
      <c r="H45" s="165"/>
      <c r="I45" s="165"/>
      <c r="J45" s="165"/>
      <c r="K45" s="165"/>
      <c r="L45" s="162" t="s">
        <v>105</v>
      </c>
      <c r="M45" s="180"/>
      <c r="N45" s="180"/>
      <c r="O45" s="181"/>
      <c r="P45" s="239" t="s">
        <v>112</v>
      </c>
      <c r="Q45" s="237"/>
      <c r="R45" s="237"/>
      <c r="S45" s="237"/>
      <c r="T45" s="237"/>
      <c r="U45" s="237"/>
      <c r="V45" s="237"/>
      <c r="W45" s="238"/>
      <c r="X45" s="239" t="s">
        <v>113</v>
      </c>
      <c r="Y45" s="237"/>
      <c r="Z45" s="237"/>
      <c r="AA45" s="237"/>
      <c r="AB45" s="237"/>
      <c r="AC45" s="237"/>
      <c r="AD45" s="237"/>
      <c r="AE45" s="238"/>
      <c r="AF45" s="149"/>
      <c r="AG45" s="150"/>
      <c r="AH45" s="150"/>
      <c r="AI45" s="150"/>
      <c r="AJ45" s="150"/>
      <c r="AK45" s="150"/>
      <c r="AL45" s="150"/>
      <c r="AM45" s="150"/>
      <c r="AN45" s="152"/>
      <c r="AO45" s="240">
        <v>45684</v>
      </c>
      <c r="AP45" s="241"/>
      <c r="AQ45" s="236" t="s">
        <v>156</v>
      </c>
      <c r="AR45" s="232"/>
      <c r="AS45" s="236" t="s">
        <v>157</v>
      </c>
      <c r="AT45" s="242"/>
      <c r="AU45" s="157"/>
      <c r="AV45" s="158"/>
      <c r="AW45" s="147"/>
      <c r="AX45" s="148"/>
      <c r="AY45" s="147"/>
      <c r="AZ45" s="159"/>
      <c r="BA45" s="154"/>
      <c r="BB45" s="155"/>
      <c r="BC45" s="155"/>
      <c r="BD45" s="155"/>
      <c r="BE45" s="155"/>
      <c r="BF45" s="155"/>
      <c r="BG45" s="155"/>
      <c r="BH45" s="155"/>
      <c r="BI45" s="155"/>
      <c r="BJ45" s="155"/>
      <c r="BK45" s="155"/>
      <c r="BL45" s="156"/>
      <c r="BM45" s="56"/>
      <c r="BN45" s="56"/>
    </row>
    <row r="46" spans="1:66" ht="24" customHeight="1" x14ac:dyDescent="0.45">
      <c r="A46" s="55"/>
      <c r="B46" s="55"/>
      <c r="C46" s="72">
        <f t="shared" si="0"/>
        <v>37</v>
      </c>
      <c r="D46" s="59"/>
      <c r="E46" s="165"/>
      <c r="F46" s="165"/>
      <c r="G46" s="61"/>
      <c r="H46" s="165"/>
      <c r="I46" s="165"/>
      <c r="J46" s="165"/>
      <c r="K46" s="165"/>
      <c r="L46" s="162" t="s">
        <v>106</v>
      </c>
      <c r="M46" s="180"/>
      <c r="N46" s="180"/>
      <c r="O46" s="181"/>
      <c r="P46" s="239" t="s">
        <v>112</v>
      </c>
      <c r="Q46" s="237"/>
      <c r="R46" s="237"/>
      <c r="S46" s="237"/>
      <c r="T46" s="237"/>
      <c r="U46" s="237"/>
      <c r="V46" s="237"/>
      <c r="W46" s="238"/>
      <c r="X46" s="239" t="s">
        <v>113</v>
      </c>
      <c r="Y46" s="237"/>
      <c r="Z46" s="237"/>
      <c r="AA46" s="237"/>
      <c r="AB46" s="237"/>
      <c r="AC46" s="237"/>
      <c r="AD46" s="237"/>
      <c r="AE46" s="238"/>
      <c r="AF46" s="149"/>
      <c r="AG46" s="150"/>
      <c r="AH46" s="150"/>
      <c r="AI46" s="150"/>
      <c r="AJ46" s="150"/>
      <c r="AK46" s="150"/>
      <c r="AL46" s="150"/>
      <c r="AM46" s="150"/>
      <c r="AN46" s="152"/>
      <c r="AO46" s="240">
        <v>45684</v>
      </c>
      <c r="AP46" s="241"/>
      <c r="AQ46" s="236" t="s">
        <v>156</v>
      </c>
      <c r="AR46" s="232"/>
      <c r="AS46" s="236" t="s">
        <v>157</v>
      </c>
      <c r="AT46" s="242"/>
      <c r="AU46" s="157"/>
      <c r="AV46" s="158"/>
      <c r="AW46" s="147"/>
      <c r="AX46" s="148"/>
      <c r="AY46" s="147"/>
      <c r="AZ46" s="159"/>
      <c r="BA46" s="154"/>
      <c r="BB46" s="155"/>
      <c r="BC46" s="155"/>
      <c r="BD46" s="155"/>
      <c r="BE46" s="155"/>
      <c r="BF46" s="155"/>
      <c r="BG46" s="155"/>
      <c r="BH46" s="155"/>
      <c r="BI46" s="155"/>
      <c r="BJ46" s="155"/>
      <c r="BK46" s="155"/>
      <c r="BL46" s="156"/>
      <c r="BM46" s="56"/>
      <c r="BN46" s="56"/>
    </row>
    <row r="47" spans="1:66" ht="24" customHeight="1" x14ac:dyDescent="0.45">
      <c r="A47" s="55"/>
      <c r="B47" s="55"/>
      <c r="C47" s="72">
        <f t="shared" si="0"/>
        <v>38</v>
      </c>
      <c r="D47" s="59"/>
      <c r="E47" s="60"/>
      <c r="F47" s="60"/>
      <c r="G47" s="61"/>
      <c r="H47" s="60"/>
      <c r="I47" s="60"/>
      <c r="J47" s="60"/>
      <c r="K47" s="60"/>
      <c r="L47" s="162" t="s">
        <v>107</v>
      </c>
      <c r="M47" s="180"/>
      <c r="N47" s="180"/>
      <c r="O47" s="181"/>
      <c r="P47" s="239" t="s">
        <v>112</v>
      </c>
      <c r="Q47" s="237"/>
      <c r="R47" s="237"/>
      <c r="S47" s="237"/>
      <c r="T47" s="237"/>
      <c r="U47" s="237"/>
      <c r="V47" s="237"/>
      <c r="W47" s="238"/>
      <c r="X47" s="239" t="s">
        <v>113</v>
      </c>
      <c r="Y47" s="237"/>
      <c r="Z47" s="237"/>
      <c r="AA47" s="237"/>
      <c r="AB47" s="237"/>
      <c r="AC47" s="237"/>
      <c r="AD47" s="237"/>
      <c r="AE47" s="238"/>
      <c r="AF47" s="98"/>
      <c r="AG47" s="99"/>
      <c r="AH47" s="99"/>
      <c r="AI47" s="99"/>
      <c r="AJ47" s="99"/>
      <c r="AK47" s="99"/>
      <c r="AL47" s="99"/>
      <c r="AM47" s="99"/>
      <c r="AN47" s="104"/>
      <c r="AO47" s="240">
        <v>45684</v>
      </c>
      <c r="AP47" s="241"/>
      <c r="AQ47" s="236" t="s">
        <v>156</v>
      </c>
      <c r="AR47" s="232"/>
      <c r="AS47" s="236" t="s">
        <v>157</v>
      </c>
      <c r="AT47" s="242"/>
      <c r="AU47" s="105"/>
      <c r="AV47" s="106"/>
      <c r="AW47" s="96"/>
      <c r="AX47" s="97"/>
      <c r="AY47" s="96"/>
      <c r="AZ47" s="107"/>
      <c r="BA47" s="101"/>
      <c r="BB47" s="102"/>
      <c r="BC47" s="102"/>
      <c r="BD47" s="102"/>
      <c r="BE47" s="102"/>
      <c r="BF47" s="102"/>
      <c r="BG47" s="102"/>
      <c r="BH47" s="102"/>
      <c r="BI47" s="102"/>
      <c r="BJ47" s="102"/>
      <c r="BK47" s="102"/>
      <c r="BL47" s="103"/>
      <c r="BM47" s="56"/>
      <c r="BN47" s="56"/>
    </row>
    <row r="48" spans="1:66" ht="24" customHeight="1" x14ac:dyDescent="0.45">
      <c r="A48" s="55"/>
      <c r="B48" s="55"/>
      <c r="C48" s="72">
        <f t="shared" si="0"/>
        <v>39</v>
      </c>
      <c r="D48" s="59"/>
      <c r="E48" s="60"/>
      <c r="F48" s="60"/>
      <c r="G48" s="61"/>
      <c r="H48" s="60"/>
      <c r="I48" s="60"/>
      <c r="J48" s="60"/>
      <c r="K48" s="60"/>
      <c r="L48" s="162" t="s">
        <v>108</v>
      </c>
      <c r="M48" s="180"/>
      <c r="N48" s="180"/>
      <c r="O48" s="181"/>
      <c r="P48" s="239" t="s">
        <v>112</v>
      </c>
      <c r="Q48" s="237"/>
      <c r="R48" s="237"/>
      <c r="S48" s="237"/>
      <c r="T48" s="237"/>
      <c r="U48" s="237"/>
      <c r="V48" s="237"/>
      <c r="W48" s="238"/>
      <c r="X48" s="239" t="s">
        <v>113</v>
      </c>
      <c r="Y48" s="237"/>
      <c r="Z48" s="237"/>
      <c r="AA48" s="237"/>
      <c r="AB48" s="237"/>
      <c r="AC48" s="237"/>
      <c r="AD48" s="237"/>
      <c r="AE48" s="238"/>
      <c r="AF48" s="98"/>
      <c r="AG48" s="99"/>
      <c r="AH48" s="99"/>
      <c r="AI48" s="99"/>
      <c r="AJ48" s="99"/>
      <c r="AK48" s="99"/>
      <c r="AL48" s="99"/>
      <c r="AM48" s="99"/>
      <c r="AN48" s="104"/>
      <c r="AO48" s="240">
        <v>45684</v>
      </c>
      <c r="AP48" s="241"/>
      <c r="AQ48" s="236" t="s">
        <v>156</v>
      </c>
      <c r="AR48" s="232"/>
      <c r="AS48" s="236" t="s">
        <v>157</v>
      </c>
      <c r="AT48" s="242"/>
      <c r="AU48" s="105"/>
      <c r="AV48" s="106"/>
      <c r="AW48" s="96"/>
      <c r="AX48" s="97"/>
      <c r="AY48" s="96"/>
      <c r="AZ48" s="107"/>
      <c r="BA48" s="101"/>
      <c r="BB48" s="102"/>
      <c r="BC48" s="102"/>
      <c r="BD48" s="102"/>
      <c r="BE48" s="102"/>
      <c r="BF48" s="102"/>
      <c r="BG48" s="102"/>
      <c r="BH48" s="102"/>
      <c r="BI48" s="102"/>
      <c r="BJ48" s="102"/>
      <c r="BK48" s="102"/>
      <c r="BL48" s="103"/>
      <c r="BM48" s="56"/>
      <c r="BN48" s="56"/>
    </row>
    <row r="49" spans="1:66" ht="24" customHeight="1" x14ac:dyDescent="0.45">
      <c r="A49" s="55"/>
      <c r="B49" s="55"/>
      <c r="C49" s="72">
        <f t="shared" si="0"/>
        <v>40</v>
      </c>
      <c r="D49" s="59"/>
      <c r="E49" s="60"/>
      <c r="F49" s="60"/>
      <c r="G49" s="61"/>
      <c r="H49" s="110"/>
      <c r="I49" s="111"/>
      <c r="J49" s="111"/>
      <c r="K49" s="112"/>
      <c r="L49" s="162" t="s">
        <v>109</v>
      </c>
      <c r="M49" s="180"/>
      <c r="N49" s="180"/>
      <c r="O49" s="181"/>
      <c r="P49" s="239" t="s">
        <v>112</v>
      </c>
      <c r="Q49" s="237"/>
      <c r="R49" s="237"/>
      <c r="S49" s="237"/>
      <c r="T49" s="237"/>
      <c r="U49" s="237"/>
      <c r="V49" s="237"/>
      <c r="W49" s="238"/>
      <c r="X49" s="239" t="s">
        <v>113</v>
      </c>
      <c r="Y49" s="237"/>
      <c r="Z49" s="237"/>
      <c r="AA49" s="237"/>
      <c r="AB49" s="237"/>
      <c r="AC49" s="237"/>
      <c r="AD49" s="237"/>
      <c r="AE49" s="238"/>
      <c r="AF49" s="98"/>
      <c r="AG49" s="99"/>
      <c r="AH49" s="99"/>
      <c r="AI49" s="99"/>
      <c r="AJ49" s="99"/>
      <c r="AK49" s="99"/>
      <c r="AL49" s="99"/>
      <c r="AM49" s="99"/>
      <c r="AN49" s="104"/>
      <c r="AO49" s="240">
        <v>45684</v>
      </c>
      <c r="AP49" s="241"/>
      <c r="AQ49" s="236" t="s">
        <v>156</v>
      </c>
      <c r="AR49" s="232"/>
      <c r="AS49" s="236" t="s">
        <v>157</v>
      </c>
      <c r="AT49" s="242"/>
      <c r="AU49" s="105"/>
      <c r="AV49" s="106"/>
      <c r="AW49" s="96"/>
      <c r="AX49" s="97"/>
      <c r="AY49" s="96"/>
      <c r="AZ49" s="107"/>
      <c r="BA49" s="101"/>
      <c r="BB49" s="102"/>
      <c r="BC49" s="102"/>
      <c r="BD49" s="102"/>
      <c r="BE49" s="102"/>
      <c r="BF49" s="102"/>
      <c r="BG49" s="102"/>
      <c r="BH49" s="102"/>
      <c r="BI49" s="102"/>
      <c r="BJ49" s="102"/>
      <c r="BK49" s="102"/>
      <c r="BL49" s="103"/>
      <c r="BM49" s="56"/>
      <c r="BN49" s="56"/>
    </row>
    <row r="50" spans="1:66" ht="24" customHeight="1" x14ac:dyDescent="0.45">
      <c r="A50" s="55"/>
      <c r="B50" s="55"/>
      <c r="C50" s="72">
        <f t="shared" si="0"/>
        <v>41</v>
      </c>
      <c r="D50" s="59"/>
      <c r="E50" s="60"/>
      <c r="F50" s="60"/>
      <c r="G50" s="61"/>
      <c r="H50" s="109" t="s">
        <v>57</v>
      </c>
      <c r="I50" s="60"/>
      <c r="J50" s="60"/>
      <c r="K50" s="60"/>
      <c r="L50" s="246" t="s">
        <v>77</v>
      </c>
      <c r="M50" s="247"/>
      <c r="N50" s="247"/>
      <c r="O50" s="248"/>
      <c r="P50" s="35" t="s">
        <v>56</v>
      </c>
      <c r="Q50" s="99"/>
      <c r="R50" s="99"/>
      <c r="S50" s="99"/>
      <c r="T50" s="99"/>
      <c r="U50" s="99"/>
      <c r="V50" s="99"/>
      <c r="W50" s="100"/>
      <c r="X50" s="239" t="s">
        <v>114</v>
      </c>
      <c r="Y50" s="237"/>
      <c r="Z50" s="237"/>
      <c r="AA50" s="237"/>
      <c r="AB50" s="237"/>
      <c r="AC50" s="237"/>
      <c r="AD50" s="237"/>
      <c r="AE50" s="238"/>
      <c r="AF50" s="98"/>
      <c r="AG50" s="99"/>
      <c r="AH50" s="99"/>
      <c r="AI50" s="99"/>
      <c r="AJ50" s="99"/>
      <c r="AK50" s="99"/>
      <c r="AL50" s="99"/>
      <c r="AM50" s="99"/>
      <c r="AN50" s="104"/>
      <c r="AO50" s="240">
        <v>45715</v>
      </c>
      <c r="AP50" s="241"/>
      <c r="AQ50" s="236" t="s">
        <v>198</v>
      </c>
      <c r="AR50" s="232"/>
      <c r="AS50" s="236" t="s">
        <v>157</v>
      </c>
      <c r="AT50" s="242"/>
      <c r="AU50" s="105"/>
      <c r="AV50" s="106"/>
      <c r="AW50" s="96"/>
      <c r="AX50" s="97"/>
      <c r="AY50" s="96"/>
      <c r="AZ50" s="107"/>
      <c r="BA50" s="101"/>
      <c r="BB50" s="102"/>
      <c r="BC50" s="102"/>
      <c r="BD50" s="102"/>
      <c r="BE50" s="102"/>
      <c r="BF50" s="102"/>
      <c r="BG50" s="102"/>
      <c r="BH50" s="102"/>
      <c r="BI50" s="102"/>
      <c r="BJ50" s="102"/>
      <c r="BK50" s="102"/>
      <c r="BL50" s="103"/>
      <c r="BM50" s="56"/>
      <c r="BN50" s="56"/>
    </row>
    <row r="51" spans="1:66" ht="24" customHeight="1" x14ac:dyDescent="0.45">
      <c r="A51" s="55"/>
      <c r="B51" s="55"/>
      <c r="C51" s="72">
        <f t="shared" si="0"/>
        <v>42</v>
      </c>
      <c r="D51" s="59"/>
      <c r="E51" s="60"/>
      <c r="F51" s="60"/>
      <c r="G51" s="61"/>
      <c r="H51" s="60"/>
      <c r="I51" s="60"/>
      <c r="J51" s="60"/>
      <c r="K51" s="60"/>
      <c r="L51" s="162" t="s">
        <v>78</v>
      </c>
      <c r="M51" s="155"/>
      <c r="N51" s="155"/>
      <c r="O51" s="163"/>
      <c r="P51" s="35" t="s">
        <v>56</v>
      </c>
      <c r="Q51" s="99"/>
      <c r="R51" s="99"/>
      <c r="S51" s="99"/>
      <c r="T51" s="99"/>
      <c r="U51" s="99"/>
      <c r="V51" s="99"/>
      <c r="W51" s="100"/>
      <c r="X51" s="239" t="s">
        <v>114</v>
      </c>
      <c r="Y51" s="237"/>
      <c r="Z51" s="237"/>
      <c r="AA51" s="237"/>
      <c r="AB51" s="237"/>
      <c r="AC51" s="237"/>
      <c r="AD51" s="237"/>
      <c r="AE51" s="238"/>
      <c r="AF51" s="98"/>
      <c r="AG51" s="99"/>
      <c r="AH51" s="99"/>
      <c r="AI51" s="99"/>
      <c r="AJ51" s="99"/>
      <c r="AK51" s="99"/>
      <c r="AL51" s="99"/>
      <c r="AM51" s="99"/>
      <c r="AN51" s="104"/>
      <c r="AO51" s="240">
        <v>45715</v>
      </c>
      <c r="AP51" s="241"/>
      <c r="AQ51" s="236" t="s">
        <v>198</v>
      </c>
      <c r="AR51" s="232"/>
      <c r="AS51" s="236" t="s">
        <v>157</v>
      </c>
      <c r="AT51" s="242"/>
      <c r="AU51" s="105"/>
      <c r="AV51" s="106"/>
      <c r="AW51" s="96"/>
      <c r="AX51" s="97"/>
      <c r="AY51" s="96"/>
      <c r="AZ51" s="107"/>
      <c r="BA51" s="101"/>
      <c r="BB51" s="102"/>
      <c r="BC51" s="102"/>
      <c r="BD51" s="102"/>
      <c r="BE51" s="102"/>
      <c r="BF51" s="102"/>
      <c r="BG51" s="102"/>
      <c r="BH51" s="102"/>
      <c r="BI51" s="102"/>
      <c r="BJ51" s="102"/>
      <c r="BK51" s="102"/>
      <c r="BL51" s="103"/>
      <c r="BM51" s="56"/>
      <c r="BN51" s="56"/>
    </row>
    <row r="52" spans="1:66" ht="24" customHeight="1" x14ac:dyDescent="0.45">
      <c r="A52" s="55"/>
      <c r="B52" s="55"/>
      <c r="C52" s="72">
        <f t="shared" si="0"/>
        <v>43</v>
      </c>
      <c r="D52" s="59"/>
      <c r="E52" s="60"/>
      <c r="F52" s="60"/>
      <c r="G52" s="61"/>
      <c r="H52" s="60"/>
      <c r="I52" s="60"/>
      <c r="J52" s="60"/>
      <c r="K52" s="60"/>
      <c r="L52" s="162" t="s">
        <v>79</v>
      </c>
      <c r="M52" s="155"/>
      <c r="N52" s="155"/>
      <c r="O52" s="163"/>
      <c r="P52" s="35" t="s">
        <v>56</v>
      </c>
      <c r="Q52" s="99"/>
      <c r="R52" s="99"/>
      <c r="S52" s="99"/>
      <c r="T52" s="99"/>
      <c r="U52" s="99"/>
      <c r="V52" s="99"/>
      <c r="W52" s="100"/>
      <c r="X52" s="239" t="s">
        <v>114</v>
      </c>
      <c r="Y52" s="237"/>
      <c r="Z52" s="237"/>
      <c r="AA52" s="237"/>
      <c r="AB52" s="237"/>
      <c r="AC52" s="237"/>
      <c r="AD52" s="237"/>
      <c r="AE52" s="238"/>
      <c r="AF52" s="98"/>
      <c r="AG52" s="99"/>
      <c r="AH52" s="99"/>
      <c r="AI52" s="99"/>
      <c r="AJ52" s="99"/>
      <c r="AK52" s="99"/>
      <c r="AL52" s="99"/>
      <c r="AM52" s="99"/>
      <c r="AN52" s="104"/>
      <c r="AO52" s="240">
        <v>45715</v>
      </c>
      <c r="AP52" s="241"/>
      <c r="AQ52" s="236" t="s">
        <v>198</v>
      </c>
      <c r="AR52" s="232"/>
      <c r="AS52" s="236" t="s">
        <v>157</v>
      </c>
      <c r="AT52" s="242"/>
      <c r="AU52" s="105"/>
      <c r="AV52" s="106"/>
      <c r="AW52" s="96"/>
      <c r="AX52" s="97"/>
      <c r="AY52" s="96"/>
      <c r="AZ52" s="107"/>
      <c r="BA52" s="101"/>
      <c r="BB52" s="102"/>
      <c r="BC52" s="102"/>
      <c r="BD52" s="102"/>
      <c r="BE52" s="102"/>
      <c r="BF52" s="102"/>
      <c r="BG52" s="102"/>
      <c r="BH52" s="102"/>
      <c r="BI52" s="102"/>
      <c r="BJ52" s="102"/>
      <c r="BK52" s="102"/>
      <c r="BL52" s="103"/>
      <c r="BM52" s="56"/>
      <c r="BN52" s="56"/>
    </row>
    <row r="53" spans="1:66" ht="24" customHeight="1" x14ac:dyDescent="0.45">
      <c r="A53" s="55"/>
      <c r="B53" s="55"/>
      <c r="C53" s="72">
        <f t="shared" si="0"/>
        <v>44</v>
      </c>
      <c r="D53" s="59"/>
      <c r="E53" s="165"/>
      <c r="F53" s="165"/>
      <c r="G53" s="61"/>
      <c r="H53" s="165"/>
      <c r="I53" s="165"/>
      <c r="J53" s="165"/>
      <c r="K53" s="165"/>
      <c r="L53" s="162" t="s">
        <v>80</v>
      </c>
      <c r="M53" s="155"/>
      <c r="N53" s="155"/>
      <c r="O53" s="163"/>
      <c r="P53" s="162" t="s">
        <v>56</v>
      </c>
      <c r="Q53" s="150"/>
      <c r="R53" s="150"/>
      <c r="S53" s="150"/>
      <c r="T53" s="150"/>
      <c r="U53" s="150"/>
      <c r="V53" s="150"/>
      <c r="W53" s="151"/>
      <c r="X53" s="239" t="s">
        <v>114</v>
      </c>
      <c r="Y53" s="237"/>
      <c r="Z53" s="237"/>
      <c r="AA53" s="237"/>
      <c r="AB53" s="237"/>
      <c r="AC53" s="237"/>
      <c r="AD53" s="237"/>
      <c r="AE53" s="238"/>
      <c r="AF53" s="149"/>
      <c r="AG53" s="150"/>
      <c r="AH53" s="150"/>
      <c r="AI53" s="150"/>
      <c r="AJ53" s="150"/>
      <c r="AK53" s="150"/>
      <c r="AL53" s="150"/>
      <c r="AM53" s="150"/>
      <c r="AN53" s="152"/>
      <c r="AO53" s="240">
        <v>45715</v>
      </c>
      <c r="AP53" s="241"/>
      <c r="AQ53" s="236" t="s">
        <v>198</v>
      </c>
      <c r="AR53" s="232"/>
      <c r="AS53" s="236" t="s">
        <v>157</v>
      </c>
      <c r="AT53" s="242"/>
      <c r="AU53" s="157"/>
      <c r="AV53" s="158"/>
      <c r="AW53" s="147"/>
      <c r="AX53" s="148"/>
      <c r="AY53" s="147"/>
      <c r="AZ53" s="159"/>
      <c r="BA53" s="154"/>
      <c r="BB53" s="155"/>
      <c r="BC53" s="155"/>
      <c r="BD53" s="155"/>
      <c r="BE53" s="155"/>
      <c r="BF53" s="155"/>
      <c r="BG53" s="155"/>
      <c r="BH53" s="155"/>
      <c r="BI53" s="155"/>
      <c r="BJ53" s="155"/>
      <c r="BK53" s="155"/>
      <c r="BL53" s="156"/>
      <c r="BM53" s="56"/>
      <c r="BN53" s="56"/>
    </row>
    <row r="54" spans="1:66" ht="24" customHeight="1" x14ac:dyDescent="0.45">
      <c r="A54" s="55"/>
      <c r="B54" s="55"/>
      <c r="C54" s="72">
        <f t="shared" si="0"/>
        <v>45</v>
      </c>
      <c r="D54" s="59"/>
      <c r="E54" s="165"/>
      <c r="F54" s="165"/>
      <c r="G54" s="61"/>
      <c r="H54" s="165"/>
      <c r="I54" s="165"/>
      <c r="J54" s="165"/>
      <c r="K54" s="165"/>
      <c r="L54" s="162" t="s">
        <v>81</v>
      </c>
      <c r="M54" s="155"/>
      <c r="N54" s="155"/>
      <c r="O54" s="163"/>
      <c r="P54" s="162" t="s">
        <v>56</v>
      </c>
      <c r="Q54" s="150"/>
      <c r="R54" s="150"/>
      <c r="S54" s="150"/>
      <c r="T54" s="150"/>
      <c r="U54" s="150"/>
      <c r="V54" s="150"/>
      <c r="W54" s="151"/>
      <c r="X54" s="239" t="s">
        <v>114</v>
      </c>
      <c r="Y54" s="237"/>
      <c r="Z54" s="237"/>
      <c r="AA54" s="237"/>
      <c r="AB54" s="237"/>
      <c r="AC54" s="237"/>
      <c r="AD54" s="237"/>
      <c r="AE54" s="238"/>
      <c r="AF54" s="149"/>
      <c r="AG54" s="150"/>
      <c r="AH54" s="150"/>
      <c r="AI54" s="150"/>
      <c r="AJ54" s="150"/>
      <c r="AK54" s="150"/>
      <c r="AL54" s="150"/>
      <c r="AM54" s="150"/>
      <c r="AN54" s="152"/>
      <c r="AO54" s="240">
        <v>45715</v>
      </c>
      <c r="AP54" s="241"/>
      <c r="AQ54" s="236" t="s">
        <v>198</v>
      </c>
      <c r="AR54" s="232"/>
      <c r="AS54" s="236" t="s">
        <v>157</v>
      </c>
      <c r="AT54" s="242"/>
      <c r="AU54" s="157"/>
      <c r="AV54" s="158"/>
      <c r="AW54" s="147"/>
      <c r="AX54" s="148"/>
      <c r="AY54" s="147"/>
      <c r="AZ54" s="159"/>
      <c r="BA54" s="154"/>
      <c r="BB54" s="155"/>
      <c r="BC54" s="155"/>
      <c r="BD54" s="155"/>
      <c r="BE54" s="155"/>
      <c r="BF54" s="155"/>
      <c r="BG54" s="155"/>
      <c r="BH54" s="155"/>
      <c r="BI54" s="155"/>
      <c r="BJ54" s="155"/>
      <c r="BK54" s="155"/>
      <c r="BL54" s="156"/>
      <c r="BM54" s="56"/>
      <c r="BN54" s="56"/>
    </row>
    <row r="55" spans="1:66" ht="24" customHeight="1" x14ac:dyDescent="0.45">
      <c r="A55" s="55"/>
      <c r="B55" s="55"/>
      <c r="C55" s="72">
        <f t="shared" si="0"/>
        <v>46</v>
      </c>
      <c r="D55" s="59"/>
      <c r="E55" s="165"/>
      <c r="F55" s="165"/>
      <c r="G55" s="61"/>
      <c r="H55" s="165"/>
      <c r="I55" s="165"/>
      <c r="J55" s="165"/>
      <c r="K55" s="165"/>
      <c r="L55" s="162" t="s">
        <v>82</v>
      </c>
      <c r="M55" s="155"/>
      <c r="N55" s="155"/>
      <c r="O55" s="163"/>
      <c r="P55" s="162" t="s">
        <v>56</v>
      </c>
      <c r="Q55" s="150"/>
      <c r="R55" s="150"/>
      <c r="S55" s="150"/>
      <c r="T55" s="150"/>
      <c r="U55" s="150"/>
      <c r="V55" s="150"/>
      <c r="W55" s="151"/>
      <c r="X55" s="239" t="s">
        <v>114</v>
      </c>
      <c r="Y55" s="237"/>
      <c r="Z55" s="237"/>
      <c r="AA55" s="237"/>
      <c r="AB55" s="237"/>
      <c r="AC55" s="237"/>
      <c r="AD55" s="237"/>
      <c r="AE55" s="238"/>
      <c r="AF55" s="149"/>
      <c r="AG55" s="150"/>
      <c r="AH55" s="150"/>
      <c r="AI55" s="150"/>
      <c r="AJ55" s="150"/>
      <c r="AK55" s="150"/>
      <c r="AL55" s="150"/>
      <c r="AM55" s="150"/>
      <c r="AN55" s="152"/>
      <c r="AO55" s="240">
        <v>45715</v>
      </c>
      <c r="AP55" s="241"/>
      <c r="AQ55" s="236" t="s">
        <v>198</v>
      </c>
      <c r="AR55" s="232"/>
      <c r="AS55" s="236" t="s">
        <v>157</v>
      </c>
      <c r="AT55" s="242"/>
      <c r="AU55" s="157"/>
      <c r="AV55" s="158"/>
      <c r="AW55" s="147"/>
      <c r="AX55" s="148"/>
      <c r="AY55" s="147"/>
      <c r="AZ55" s="159"/>
      <c r="BA55" s="154"/>
      <c r="BB55" s="155"/>
      <c r="BC55" s="155"/>
      <c r="BD55" s="155"/>
      <c r="BE55" s="155"/>
      <c r="BF55" s="155"/>
      <c r="BG55" s="155"/>
      <c r="BH55" s="155"/>
      <c r="BI55" s="155"/>
      <c r="BJ55" s="155"/>
      <c r="BK55" s="155"/>
      <c r="BL55" s="156"/>
      <c r="BM55" s="56"/>
      <c r="BN55" s="56"/>
    </row>
    <row r="56" spans="1:66" ht="24" customHeight="1" x14ac:dyDescent="0.45">
      <c r="A56" s="55"/>
      <c r="B56" s="55"/>
      <c r="C56" s="72">
        <f t="shared" si="0"/>
        <v>47</v>
      </c>
      <c r="D56" s="59"/>
      <c r="E56" s="165"/>
      <c r="F56" s="165"/>
      <c r="G56" s="61"/>
      <c r="H56" s="165"/>
      <c r="I56" s="165"/>
      <c r="J56" s="165"/>
      <c r="K56" s="165"/>
      <c r="L56" s="162" t="s">
        <v>83</v>
      </c>
      <c r="M56" s="155"/>
      <c r="N56" s="155"/>
      <c r="O56" s="163"/>
      <c r="P56" s="162" t="s">
        <v>56</v>
      </c>
      <c r="Q56" s="150"/>
      <c r="R56" s="150"/>
      <c r="S56" s="150"/>
      <c r="T56" s="150"/>
      <c r="U56" s="150"/>
      <c r="V56" s="150"/>
      <c r="W56" s="151"/>
      <c r="X56" s="239" t="s">
        <v>114</v>
      </c>
      <c r="Y56" s="237"/>
      <c r="Z56" s="237"/>
      <c r="AA56" s="237"/>
      <c r="AB56" s="237"/>
      <c r="AC56" s="237"/>
      <c r="AD56" s="237"/>
      <c r="AE56" s="238"/>
      <c r="AF56" s="149"/>
      <c r="AG56" s="150"/>
      <c r="AH56" s="150"/>
      <c r="AI56" s="150"/>
      <c r="AJ56" s="150"/>
      <c r="AK56" s="150"/>
      <c r="AL56" s="150"/>
      <c r="AM56" s="150"/>
      <c r="AN56" s="152"/>
      <c r="AO56" s="240">
        <v>45715</v>
      </c>
      <c r="AP56" s="241"/>
      <c r="AQ56" s="236" t="s">
        <v>198</v>
      </c>
      <c r="AR56" s="232"/>
      <c r="AS56" s="236" t="s">
        <v>157</v>
      </c>
      <c r="AT56" s="242"/>
      <c r="AU56" s="157"/>
      <c r="AV56" s="158"/>
      <c r="AW56" s="147"/>
      <c r="AX56" s="148"/>
      <c r="AY56" s="147"/>
      <c r="AZ56" s="159"/>
      <c r="BA56" s="154"/>
      <c r="BB56" s="155"/>
      <c r="BC56" s="155"/>
      <c r="BD56" s="155"/>
      <c r="BE56" s="155"/>
      <c r="BF56" s="155"/>
      <c r="BG56" s="155"/>
      <c r="BH56" s="155"/>
      <c r="BI56" s="155"/>
      <c r="BJ56" s="155"/>
      <c r="BK56" s="155"/>
      <c r="BL56" s="156"/>
      <c r="BM56" s="56"/>
      <c r="BN56" s="56"/>
    </row>
    <row r="57" spans="1:66" ht="24" customHeight="1" x14ac:dyDescent="0.45">
      <c r="A57" s="55"/>
      <c r="B57" s="55"/>
      <c r="C57" s="72">
        <f t="shared" si="0"/>
        <v>48</v>
      </c>
      <c r="D57" s="59"/>
      <c r="E57" s="165"/>
      <c r="F57" s="165"/>
      <c r="G57" s="61"/>
      <c r="H57" s="165"/>
      <c r="I57" s="165"/>
      <c r="J57" s="165"/>
      <c r="K57" s="165"/>
      <c r="L57" s="162" t="s">
        <v>84</v>
      </c>
      <c r="M57" s="155"/>
      <c r="N57" s="155"/>
      <c r="O57" s="163"/>
      <c r="P57" s="162" t="s">
        <v>56</v>
      </c>
      <c r="Q57" s="150"/>
      <c r="R57" s="150"/>
      <c r="S57" s="150"/>
      <c r="T57" s="150"/>
      <c r="U57" s="150"/>
      <c r="V57" s="150"/>
      <c r="W57" s="151"/>
      <c r="X57" s="239" t="s">
        <v>114</v>
      </c>
      <c r="Y57" s="237"/>
      <c r="Z57" s="237"/>
      <c r="AA57" s="237"/>
      <c r="AB57" s="237"/>
      <c r="AC57" s="237"/>
      <c r="AD57" s="237"/>
      <c r="AE57" s="238"/>
      <c r="AF57" s="149"/>
      <c r="AG57" s="150"/>
      <c r="AH57" s="150"/>
      <c r="AI57" s="150"/>
      <c r="AJ57" s="150"/>
      <c r="AK57" s="150"/>
      <c r="AL57" s="150"/>
      <c r="AM57" s="150"/>
      <c r="AN57" s="152"/>
      <c r="AO57" s="240">
        <v>45715</v>
      </c>
      <c r="AP57" s="241"/>
      <c r="AQ57" s="236" t="s">
        <v>198</v>
      </c>
      <c r="AR57" s="232"/>
      <c r="AS57" s="236" t="s">
        <v>157</v>
      </c>
      <c r="AT57" s="242"/>
      <c r="AU57" s="157"/>
      <c r="AV57" s="158"/>
      <c r="AW57" s="147"/>
      <c r="AX57" s="148"/>
      <c r="AY57" s="147"/>
      <c r="AZ57" s="159"/>
      <c r="BA57" s="154"/>
      <c r="BB57" s="155"/>
      <c r="BC57" s="155"/>
      <c r="BD57" s="155"/>
      <c r="BE57" s="155"/>
      <c r="BF57" s="155"/>
      <c r="BG57" s="155"/>
      <c r="BH57" s="155"/>
      <c r="BI57" s="155"/>
      <c r="BJ57" s="155"/>
      <c r="BK57" s="155"/>
      <c r="BL57" s="156"/>
      <c r="BM57" s="56"/>
      <c r="BN57" s="56"/>
    </row>
    <row r="58" spans="1:66" ht="24" customHeight="1" x14ac:dyDescent="0.45">
      <c r="A58" s="55"/>
      <c r="B58" s="55"/>
      <c r="C58" s="72">
        <f t="shared" si="0"/>
        <v>49</v>
      </c>
      <c r="D58" s="59"/>
      <c r="E58" s="60"/>
      <c r="F58" s="60"/>
      <c r="G58" s="61"/>
      <c r="H58" s="60"/>
      <c r="I58" s="60"/>
      <c r="J58" s="60"/>
      <c r="K58" s="60"/>
      <c r="L58" s="162" t="s">
        <v>85</v>
      </c>
      <c r="M58" s="155"/>
      <c r="N58" s="155"/>
      <c r="O58" s="163"/>
      <c r="P58" s="35" t="s">
        <v>56</v>
      </c>
      <c r="Q58" s="99"/>
      <c r="R58" s="99"/>
      <c r="S58" s="99"/>
      <c r="T58" s="99"/>
      <c r="U58" s="99"/>
      <c r="V58" s="99"/>
      <c r="W58" s="100"/>
      <c r="X58" s="239" t="s">
        <v>114</v>
      </c>
      <c r="Y58" s="237"/>
      <c r="Z58" s="237"/>
      <c r="AA58" s="237"/>
      <c r="AB58" s="237"/>
      <c r="AC58" s="237"/>
      <c r="AD58" s="237"/>
      <c r="AE58" s="238"/>
      <c r="AF58" s="98"/>
      <c r="AG58" s="99"/>
      <c r="AH58" s="99"/>
      <c r="AI58" s="99"/>
      <c r="AJ58" s="99"/>
      <c r="AK58" s="99"/>
      <c r="AL58" s="99"/>
      <c r="AM58" s="99"/>
      <c r="AN58" s="104"/>
      <c r="AO58" s="240">
        <v>45715</v>
      </c>
      <c r="AP58" s="241"/>
      <c r="AQ58" s="236" t="s">
        <v>198</v>
      </c>
      <c r="AR58" s="232"/>
      <c r="AS58" s="236" t="s">
        <v>157</v>
      </c>
      <c r="AT58" s="242"/>
      <c r="AU58" s="105"/>
      <c r="AV58" s="106"/>
      <c r="AW58" s="96"/>
      <c r="AX58" s="97"/>
      <c r="AY58" s="96"/>
      <c r="AZ58" s="107"/>
      <c r="BA58" s="101"/>
      <c r="BB58" s="102"/>
      <c r="BC58" s="102"/>
      <c r="BD58" s="102"/>
      <c r="BE58" s="102"/>
      <c r="BF58" s="102"/>
      <c r="BG58" s="102"/>
      <c r="BH58" s="102"/>
      <c r="BI58" s="102"/>
      <c r="BJ58" s="102"/>
      <c r="BK58" s="102"/>
      <c r="BL58" s="103"/>
      <c r="BM58" s="56"/>
      <c r="BN58" s="56"/>
    </row>
    <row r="59" spans="1:66" ht="24" customHeight="1" x14ac:dyDescent="0.45">
      <c r="A59" s="55"/>
      <c r="B59" s="55"/>
      <c r="C59" s="72">
        <f t="shared" si="0"/>
        <v>50</v>
      </c>
      <c r="D59" s="59"/>
      <c r="E59" s="60"/>
      <c r="F59" s="60"/>
      <c r="G59" s="61"/>
      <c r="H59" s="60"/>
      <c r="I59" s="60"/>
      <c r="J59" s="60"/>
      <c r="K59" s="60"/>
      <c r="L59" s="162" t="s">
        <v>86</v>
      </c>
      <c r="M59" s="155"/>
      <c r="N59" s="155"/>
      <c r="O59" s="163"/>
      <c r="P59" s="35" t="s">
        <v>56</v>
      </c>
      <c r="Q59" s="99"/>
      <c r="R59" s="99"/>
      <c r="S59" s="99"/>
      <c r="T59" s="99"/>
      <c r="U59" s="99"/>
      <c r="V59" s="99"/>
      <c r="W59" s="100"/>
      <c r="X59" s="239" t="s">
        <v>114</v>
      </c>
      <c r="Y59" s="237"/>
      <c r="Z59" s="237"/>
      <c r="AA59" s="237"/>
      <c r="AB59" s="237"/>
      <c r="AC59" s="237"/>
      <c r="AD59" s="237"/>
      <c r="AE59" s="238"/>
      <c r="AF59" s="98"/>
      <c r="AG59" s="99"/>
      <c r="AH59" s="99"/>
      <c r="AI59" s="99"/>
      <c r="AJ59" s="99"/>
      <c r="AK59" s="99"/>
      <c r="AL59" s="99"/>
      <c r="AM59" s="99"/>
      <c r="AN59" s="104"/>
      <c r="AO59" s="240">
        <v>45715</v>
      </c>
      <c r="AP59" s="241"/>
      <c r="AQ59" s="236" t="s">
        <v>198</v>
      </c>
      <c r="AR59" s="232"/>
      <c r="AS59" s="236" t="s">
        <v>157</v>
      </c>
      <c r="AT59" s="242"/>
      <c r="AU59" s="105"/>
      <c r="AV59" s="106"/>
      <c r="AW59" s="96"/>
      <c r="AX59" s="97"/>
      <c r="AY59" s="96"/>
      <c r="AZ59" s="107"/>
      <c r="BA59" s="101"/>
      <c r="BB59" s="102"/>
      <c r="BC59" s="102"/>
      <c r="BD59" s="102"/>
      <c r="BE59" s="102"/>
      <c r="BF59" s="102"/>
      <c r="BG59" s="102"/>
      <c r="BH59" s="102"/>
      <c r="BI59" s="102"/>
      <c r="BJ59" s="102"/>
      <c r="BK59" s="102"/>
      <c r="BL59" s="103"/>
      <c r="BM59" s="56"/>
      <c r="BN59" s="56"/>
    </row>
    <row r="60" spans="1:66" ht="24" customHeight="1" x14ac:dyDescent="0.45">
      <c r="A60" s="55"/>
      <c r="B60" s="55"/>
      <c r="C60" s="72">
        <f t="shared" si="0"/>
        <v>51</v>
      </c>
      <c r="D60" s="59"/>
      <c r="E60" s="60"/>
      <c r="F60" s="60"/>
      <c r="G60" s="61"/>
      <c r="H60" s="60"/>
      <c r="I60" s="60"/>
      <c r="J60" s="60"/>
      <c r="K60" s="60"/>
      <c r="L60" s="162" t="s">
        <v>87</v>
      </c>
      <c r="M60" s="155"/>
      <c r="N60" s="155"/>
      <c r="O60" s="163"/>
      <c r="P60" s="35" t="s">
        <v>56</v>
      </c>
      <c r="Q60" s="99"/>
      <c r="R60" s="99"/>
      <c r="S60" s="99"/>
      <c r="T60" s="99"/>
      <c r="U60" s="99"/>
      <c r="V60" s="99"/>
      <c r="W60" s="100"/>
      <c r="X60" s="239" t="s">
        <v>114</v>
      </c>
      <c r="Y60" s="237"/>
      <c r="Z60" s="237"/>
      <c r="AA60" s="237"/>
      <c r="AB60" s="237"/>
      <c r="AC60" s="237"/>
      <c r="AD60" s="237"/>
      <c r="AE60" s="238"/>
      <c r="AF60" s="98"/>
      <c r="AG60" s="99"/>
      <c r="AH60" s="99"/>
      <c r="AI60" s="99"/>
      <c r="AJ60" s="99"/>
      <c r="AK60" s="99"/>
      <c r="AL60" s="99"/>
      <c r="AM60" s="99"/>
      <c r="AN60" s="104"/>
      <c r="AO60" s="240">
        <v>45715</v>
      </c>
      <c r="AP60" s="241"/>
      <c r="AQ60" s="236" t="s">
        <v>198</v>
      </c>
      <c r="AR60" s="232"/>
      <c r="AS60" s="236" t="s">
        <v>157</v>
      </c>
      <c r="AT60" s="242"/>
      <c r="AU60" s="105"/>
      <c r="AV60" s="106"/>
      <c r="AW60" s="96"/>
      <c r="AX60" s="97"/>
      <c r="AY60" s="96"/>
      <c r="AZ60" s="107"/>
      <c r="BA60" s="101"/>
      <c r="BB60" s="102"/>
      <c r="BC60" s="102"/>
      <c r="BD60" s="102"/>
      <c r="BE60" s="102"/>
      <c r="BF60" s="102"/>
      <c r="BG60" s="102"/>
      <c r="BH60" s="102"/>
      <c r="BI60" s="102"/>
      <c r="BJ60" s="102"/>
      <c r="BK60" s="102"/>
      <c r="BL60" s="103"/>
      <c r="BM60" s="56"/>
      <c r="BN60" s="56"/>
    </row>
    <row r="61" spans="1:66" ht="24" customHeight="1" x14ac:dyDescent="0.45">
      <c r="A61" s="55"/>
      <c r="B61" s="55"/>
      <c r="C61" s="72">
        <f t="shared" si="0"/>
        <v>52</v>
      </c>
      <c r="D61" s="59"/>
      <c r="E61" s="60"/>
      <c r="F61" s="60"/>
      <c r="G61" s="61"/>
      <c r="H61" s="60"/>
      <c r="I61" s="60"/>
      <c r="J61" s="60"/>
      <c r="K61" s="60"/>
      <c r="L61" s="162" t="s">
        <v>88</v>
      </c>
      <c r="M61" s="155"/>
      <c r="N61" s="155"/>
      <c r="O61" s="163"/>
      <c r="P61" s="35" t="s">
        <v>56</v>
      </c>
      <c r="Q61" s="99"/>
      <c r="R61" s="99"/>
      <c r="S61" s="99"/>
      <c r="T61" s="99"/>
      <c r="U61" s="99"/>
      <c r="V61" s="99"/>
      <c r="W61" s="100"/>
      <c r="X61" s="239" t="s">
        <v>114</v>
      </c>
      <c r="Y61" s="237"/>
      <c r="Z61" s="237"/>
      <c r="AA61" s="237"/>
      <c r="AB61" s="237"/>
      <c r="AC61" s="237"/>
      <c r="AD61" s="237"/>
      <c r="AE61" s="238"/>
      <c r="AF61" s="98"/>
      <c r="AG61" s="99"/>
      <c r="AH61" s="99"/>
      <c r="AI61" s="99"/>
      <c r="AJ61" s="99"/>
      <c r="AK61" s="99"/>
      <c r="AL61" s="99"/>
      <c r="AM61" s="99"/>
      <c r="AN61" s="104"/>
      <c r="AO61" s="240">
        <v>45715</v>
      </c>
      <c r="AP61" s="241"/>
      <c r="AQ61" s="236" t="s">
        <v>198</v>
      </c>
      <c r="AR61" s="232"/>
      <c r="AS61" s="236" t="s">
        <v>157</v>
      </c>
      <c r="AT61" s="242"/>
      <c r="AU61" s="105"/>
      <c r="AV61" s="106"/>
      <c r="AW61" s="96"/>
      <c r="AX61" s="97"/>
      <c r="AY61" s="96"/>
      <c r="AZ61" s="107"/>
      <c r="BA61" s="101"/>
      <c r="BB61" s="102"/>
      <c r="BC61" s="102"/>
      <c r="BD61" s="102"/>
      <c r="BE61" s="102"/>
      <c r="BF61" s="102"/>
      <c r="BG61" s="102"/>
      <c r="BH61" s="102"/>
      <c r="BI61" s="102"/>
      <c r="BJ61" s="102"/>
      <c r="BK61" s="102"/>
      <c r="BL61" s="103"/>
      <c r="BM61" s="56"/>
      <c r="BN61" s="56"/>
    </row>
    <row r="62" spans="1:66" ht="24" customHeight="1" x14ac:dyDescent="0.45">
      <c r="A62" s="55"/>
      <c r="B62" s="55"/>
      <c r="C62" s="72">
        <f t="shared" si="0"/>
        <v>53</v>
      </c>
      <c r="D62" s="59"/>
      <c r="E62" s="60"/>
      <c r="F62" s="60"/>
      <c r="G62" s="61"/>
      <c r="H62" s="60"/>
      <c r="I62" s="60"/>
      <c r="J62" s="60"/>
      <c r="K62" s="60"/>
      <c r="L62" s="162" t="s">
        <v>89</v>
      </c>
      <c r="M62" s="155"/>
      <c r="N62" s="155"/>
      <c r="O62" s="163"/>
      <c r="P62" s="35" t="s">
        <v>56</v>
      </c>
      <c r="Q62" s="99"/>
      <c r="R62" s="99"/>
      <c r="S62" s="99"/>
      <c r="T62" s="99"/>
      <c r="U62" s="99"/>
      <c r="V62" s="99"/>
      <c r="W62" s="100"/>
      <c r="X62" s="239" t="s">
        <v>114</v>
      </c>
      <c r="Y62" s="237"/>
      <c r="Z62" s="237"/>
      <c r="AA62" s="237"/>
      <c r="AB62" s="237"/>
      <c r="AC62" s="237"/>
      <c r="AD62" s="237"/>
      <c r="AE62" s="238"/>
      <c r="AF62" s="98"/>
      <c r="AG62" s="99"/>
      <c r="AH62" s="99"/>
      <c r="AI62" s="99"/>
      <c r="AJ62" s="99"/>
      <c r="AK62" s="99"/>
      <c r="AL62" s="99"/>
      <c r="AM62" s="99"/>
      <c r="AN62" s="104"/>
      <c r="AO62" s="240">
        <v>45715</v>
      </c>
      <c r="AP62" s="241"/>
      <c r="AQ62" s="236" t="s">
        <v>198</v>
      </c>
      <c r="AR62" s="232"/>
      <c r="AS62" s="236" t="s">
        <v>157</v>
      </c>
      <c r="AT62" s="242"/>
      <c r="AU62" s="105"/>
      <c r="AV62" s="106"/>
      <c r="AW62" s="96"/>
      <c r="AX62" s="97"/>
      <c r="AY62" s="96"/>
      <c r="AZ62" s="107"/>
      <c r="BA62" s="101"/>
      <c r="BB62" s="102"/>
      <c r="BC62" s="102"/>
      <c r="BD62" s="102"/>
      <c r="BE62" s="102"/>
      <c r="BF62" s="102"/>
      <c r="BG62" s="102"/>
      <c r="BH62" s="102"/>
      <c r="BI62" s="102"/>
      <c r="BJ62" s="102"/>
      <c r="BK62" s="102"/>
      <c r="BL62" s="103"/>
      <c r="BM62" s="56"/>
      <c r="BN62" s="56"/>
    </row>
    <row r="63" spans="1:66" ht="24" customHeight="1" x14ac:dyDescent="0.45">
      <c r="A63" s="55"/>
      <c r="B63" s="55"/>
      <c r="C63" s="72">
        <f t="shared" si="0"/>
        <v>54</v>
      </c>
      <c r="D63" s="59"/>
      <c r="E63" s="60"/>
      <c r="F63" s="60"/>
      <c r="G63" s="61"/>
      <c r="H63" s="60"/>
      <c r="I63" s="60"/>
      <c r="J63" s="60"/>
      <c r="K63" s="60"/>
      <c r="L63" s="162" t="s">
        <v>90</v>
      </c>
      <c r="M63" s="155"/>
      <c r="N63" s="155"/>
      <c r="O63" s="163"/>
      <c r="P63" s="35" t="s">
        <v>56</v>
      </c>
      <c r="Q63" s="99"/>
      <c r="R63" s="99"/>
      <c r="S63" s="99"/>
      <c r="T63" s="99"/>
      <c r="U63" s="99"/>
      <c r="V63" s="99"/>
      <c r="W63" s="100"/>
      <c r="X63" s="239" t="s">
        <v>114</v>
      </c>
      <c r="Y63" s="237"/>
      <c r="Z63" s="237"/>
      <c r="AA63" s="237"/>
      <c r="AB63" s="237"/>
      <c r="AC63" s="237"/>
      <c r="AD63" s="237"/>
      <c r="AE63" s="238"/>
      <c r="AF63" s="98"/>
      <c r="AG63" s="99"/>
      <c r="AH63" s="99"/>
      <c r="AI63" s="99"/>
      <c r="AJ63" s="99"/>
      <c r="AK63" s="99"/>
      <c r="AL63" s="99"/>
      <c r="AM63" s="99"/>
      <c r="AN63" s="104"/>
      <c r="AO63" s="240">
        <v>45715</v>
      </c>
      <c r="AP63" s="241"/>
      <c r="AQ63" s="236" t="s">
        <v>198</v>
      </c>
      <c r="AR63" s="232"/>
      <c r="AS63" s="236" t="s">
        <v>157</v>
      </c>
      <c r="AT63" s="242"/>
      <c r="AU63" s="105"/>
      <c r="AV63" s="106"/>
      <c r="AW63" s="96"/>
      <c r="AX63" s="97"/>
      <c r="AY63" s="96"/>
      <c r="AZ63" s="107"/>
      <c r="BA63" s="101"/>
      <c r="BB63" s="102"/>
      <c r="BC63" s="102"/>
      <c r="BD63" s="102"/>
      <c r="BE63" s="102"/>
      <c r="BF63" s="102"/>
      <c r="BG63" s="102"/>
      <c r="BH63" s="102"/>
      <c r="BI63" s="102"/>
      <c r="BJ63" s="102"/>
      <c r="BK63" s="102"/>
      <c r="BL63" s="103"/>
      <c r="BM63" s="56"/>
      <c r="BN63" s="56"/>
    </row>
    <row r="64" spans="1:66" ht="24" customHeight="1" x14ac:dyDescent="0.45">
      <c r="A64" s="55"/>
      <c r="B64" s="55"/>
      <c r="C64" s="72">
        <f t="shared" si="0"/>
        <v>55</v>
      </c>
      <c r="D64" s="59"/>
      <c r="E64" s="60"/>
      <c r="F64" s="60"/>
      <c r="G64" s="61"/>
      <c r="H64" s="60"/>
      <c r="I64" s="60"/>
      <c r="J64" s="60"/>
      <c r="K64" s="60"/>
      <c r="L64" s="162" t="s">
        <v>180</v>
      </c>
      <c r="M64" s="155"/>
      <c r="N64" s="155"/>
      <c r="O64" s="163"/>
      <c r="P64" s="35" t="s">
        <v>56</v>
      </c>
      <c r="Q64" s="99"/>
      <c r="R64" s="99"/>
      <c r="S64" s="99"/>
      <c r="T64" s="99"/>
      <c r="U64" s="99"/>
      <c r="V64" s="99"/>
      <c r="W64" s="100"/>
      <c r="X64" s="239" t="s">
        <v>114</v>
      </c>
      <c r="Y64" s="237"/>
      <c r="Z64" s="237"/>
      <c r="AA64" s="237"/>
      <c r="AB64" s="237"/>
      <c r="AC64" s="237"/>
      <c r="AD64" s="237"/>
      <c r="AE64" s="238"/>
      <c r="AF64" s="98"/>
      <c r="AG64" s="99"/>
      <c r="AH64" s="99"/>
      <c r="AI64" s="99"/>
      <c r="AJ64" s="99"/>
      <c r="AK64" s="99"/>
      <c r="AL64" s="99"/>
      <c r="AM64" s="99"/>
      <c r="AN64" s="104"/>
      <c r="AO64" s="240">
        <v>45715</v>
      </c>
      <c r="AP64" s="241"/>
      <c r="AQ64" s="236" t="s">
        <v>198</v>
      </c>
      <c r="AR64" s="232"/>
      <c r="AS64" s="236" t="s">
        <v>157</v>
      </c>
      <c r="AT64" s="242"/>
      <c r="AU64" s="105"/>
      <c r="AV64" s="106"/>
      <c r="AW64" s="96"/>
      <c r="AX64" s="97"/>
      <c r="AY64" s="96"/>
      <c r="AZ64" s="107"/>
      <c r="BA64" s="101"/>
      <c r="BB64" s="102"/>
      <c r="BC64" s="102"/>
      <c r="BD64" s="102"/>
      <c r="BE64" s="102"/>
      <c r="BF64" s="102"/>
      <c r="BG64" s="102"/>
      <c r="BH64" s="102"/>
      <c r="BI64" s="102"/>
      <c r="BJ64" s="102"/>
      <c r="BK64" s="102"/>
      <c r="BL64" s="103"/>
      <c r="BM64" s="56"/>
      <c r="BN64" s="56"/>
    </row>
    <row r="65" spans="1:66" ht="24" customHeight="1" x14ac:dyDescent="0.45">
      <c r="A65" s="55"/>
      <c r="B65" s="55"/>
      <c r="C65" s="72">
        <f t="shared" si="0"/>
        <v>56</v>
      </c>
      <c r="D65" s="59"/>
      <c r="E65" s="60"/>
      <c r="F65" s="60"/>
      <c r="G65" s="61"/>
      <c r="H65" s="60"/>
      <c r="I65" s="60"/>
      <c r="J65" s="60"/>
      <c r="K65" s="60"/>
      <c r="L65" s="162" t="s">
        <v>181</v>
      </c>
      <c r="M65" s="155"/>
      <c r="N65" s="155"/>
      <c r="O65" s="163"/>
      <c r="P65" s="35" t="s">
        <v>56</v>
      </c>
      <c r="Q65" s="99"/>
      <c r="R65" s="99"/>
      <c r="S65" s="99"/>
      <c r="T65" s="99"/>
      <c r="U65" s="99"/>
      <c r="V65" s="99"/>
      <c r="W65" s="100"/>
      <c r="X65" s="239" t="s">
        <v>114</v>
      </c>
      <c r="Y65" s="237"/>
      <c r="Z65" s="237"/>
      <c r="AA65" s="237"/>
      <c r="AB65" s="237"/>
      <c r="AC65" s="237"/>
      <c r="AD65" s="237"/>
      <c r="AE65" s="238"/>
      <c r="AF65" s="98"/>
      <c r="AG65" s="99"/>
      <c r="AH65" s="99"/>
      <c r="AI65" s="99"/>
      <c r="AJ65" s="99"/>
      <c r="AK65" s="99"/>
      <c r="AL65" s="99"/>
      <c r="AM65" s="99"/>
      <c r="AN65" s="104"/>
      <c r="AO65" s="240">
        <v>45715</v>
      </c>
      <c r="AP65" s="241"/>
      <c r="AQ65" s="236" t="s">
        <v>198</v>
      </c>
      <c r="AR65" s="232"/>
      <c r="AS65" s="236" t="s">
        <v>157</v>
      </c>
      <c r="AT65" s="242"/>
      <c r="AU65" s="105"/>
      <c r="AV65" s="106"/>
      <c r="AW65" s="96"/>
      <c r="AX65" s="97"/>
      <c r="AY65" s="96"/>
      <c r="AZ65" s="107"/>
      <c r="BA65" s="101"/>
      <c r="BB65" s="102"/>
      <c r="BC65" s="102"/>
      <c r="BD65" s="102"/>
      <c r="BE65" s="102"/>
      <c r="BF65" s="102"/>
      <c r="BG65" s="102"/>
      <c r="BH65" s="102"/>
      <c r="BI65" s="102"/>
      <c r="BJ65" s="102"/>
      <c r="BK65" s="102"/>
      <c r="BL65" s="103"/>
      <c r="BM65" s="56"/>
      <c r="BN65" s="56"/>
    </row>
    <row r="66" spans="1:66" ht="24" customHeight="1" x14ac:dyDescent="0.45">
      <c r="A66" s="55"/>
      <c r="B66" s="55"/>
      <c r="C66" s="72">
        <f t="shared" si="0"/>
        <v>57</v>
      </c>
      <c r="D66" s="59"/>
      <c r="E66" s="60"/>
      <c r="F66" s="60"/>
      <c r="G66" s="61"/>
      <c r="H66" s="60"/>
      <c r="I66" s="60"/>
      <c r="J66" s="60"/>
      <c r="K66" s="60"/>
      <c r="L66" s="162" t="s">
        <v>91</v>
      </c>
      <c r="M66" s="155"/>
      <c r="N66" s="155"/>
      <c r="O66" s="163"/>
      <c r="P66" s="35" t="s">
        <v>56</v>
      </c>
      <c r="Q66" s="99"/>
      <c r="R66" s="99"/>
      <c r="S66" s="99"/>
      <c r="T66" s="99"/>
      <c r="U66" s="99"/>
      <c r="V66" s="99"/>
      <c r="W66" s="100"/>
      <c r="X66" s="239" t="s">
        <v>114</v>
      </c>
      <c r="Y66" s="237"/>
      <c r="Z66" s="237"/>
      <c r="AA66" s="237"/>
      <c r="AB66" s="237"/>
      <c r="AC66" s="237"/>
      <c r="AD66" s="237"/>
      <c r="AE66" s="238"/>
      <c r="AF66" s="98"/>
      <c r="AG66" s="99"/>
      <c r="AH66" s="99"/>
      <c r="AI66" s="99"/>
      <c r="AJ66" s="99"/>
      <c r="AK66" s="99"/>
      <c r="AL66" s="99"/>
      <c r="AM66" s="99"/>
      <c r="AN66" s="104"/>
      <c r="AO66" s="240">
        <v>45715</v>
      </c>
      <c r="AP66" s="241"/>
      <c r="AQ66" s="236" t="s">
        <v>198</v>
      </c>
      <c r="AR66" s="232"/>
      <c r="AS66" s="236" t="s">
        <v>157</v>
      </c>
      <c r="AT66" s="242"/>
      <c r="AU66" s="105"/>
      <c r="AV66" s="106"/>
      <c r="AW66" s="96"/>
      <c r="AX66" s="97"/>
      <c r="AY66" s="96"/>
      <c r="AZ66" s="107"/>
      <c r="BA66" s="101"/>
      <c r="BB66" s="102"/>
      <c r="BC66" s="102"/>
      <c r="BD66" s="102"/>
      <c r="BE66" s="102"/>
      <c r="BF66" s="102"/>
      <c r="BG66" s="102"/>
      <c r="BH66" s="102"/>
      <c r="BI66" s="102"/>
      <c r="BJ66" s="102"/>
      <c r="BK66" s="102"/>
      <c r="BL66" s="103"/>
      <c r="BM66" s="56"/>
      <c r="BN66" s="56"/>
    </row>
    <row r="67" spans="1:66" ht="24" customHeight="1" x14ac:dyDescent="0.45">
      <c r="A67" s="55"/>
      <c r="B67" s="55"/>
      <c r="C67" s="72">
        <f t="shared" si="0"/>
        <v>58</v>
      </c>
      <c r="D67" s="59"/>
      <c r="E67" s="60"/>
      <c r="F67" s="60"/>
      <c r="G67" s="61"/>
      <c r="H67" s="60"/>
      <c r="I67" s="60"/>
      <c r="J67" s="60"/>
      <c r="K67" s="60"/>
      <c r="L67" s="162" t="s">
        <v>44</v>
      </c>
      <c r="M67" s="155"/>
      <c r="N67" s="155"/>
      <c r="O67" s="163"/>
      <c r="P67" s="35" t="s">
        <v>56</v>
      </c>
      <c r="Q67" s="99"/>
      <c r="R67" s="99"/>
      <c r="S67" s="99"/>
      <c r="T67" s="99"/>
      <c r="U67" s="99"/>
      <c r="V67" s="99"/>
      <c r="W67" s="100"/>
      <c r="X67" s="239" t="s">
        <v>114</v>
      </c>
      <c r="Y67" s="237"/>
      <c r="Z67" s="237"/>
      <c r="AA67" s="237"/>
      <c r="AB67" s="237"/>
      <c r="AC67" s="237"/>
      <c r="AD67" s="237"/>
      <c r="AE67" s="238"/>
      <c r="AF67" s="98"/>
      <c r="AG67" s="99"/>
      <c r="AH67" s="99"/>
      <c r="AI67" s="99"/>
      <c r="AJ67" s="99"/>
      <c r="AK67" s="99"/>
      <c r="AL67" s="99"/>
      <c r="AM67" s="99"/>
      <c r="AN67" s="104"/>
      <c r="AO67" s="240">
        <v>45715</v>
      </c>
      <c r="AP67" s="241"/>
      <c r="AQ67" s="236" t="s">
        <v>198</v>
      </c>
      <c r="AR67" s="232"/>
      <c r="AS67" s="236" t="s">
        <v>157</v>
      </c>
      <c r="AT67" s="242"/>
      <c r="AU67" s="105"/>
      <c r="AV67" s="106"/>
      <c r="AW67" s="96"/>
      <c r="AX67" s="97"/>
      <c r="AY67" s="96"/>
      <c r="AZ67" s="107"/>
      <c r="BA67" s="101"/>
      <c r="BB67" s="102"/>
      <c r="BC67" s="102"/>
      <c r="BD67" s="102"/>
      <c r="BE67" s="102"/>
      <c r="BF67" s="102"/>
      <c r="BG67" s="102"/>
      <c r="BH67" s="102"/>
      <c r="BI67" s="102"/>
      <c r="BJ67" s="102"/>
      <c r="BK67" s="102"/>
      <c r="BL67" s="103"/>
      <c r="BM67" s="56"/>
      <c r="BN67" s="56"/>
    </row>
    <row r="68" spans="1:66" ht="24" customHeight="1" x14ac:dyDescent="0.45">
      <c r="A68" s="55"/>
      <c r="B68" s="55"/>
      <c r="C68" s="72">
        <f t="shared" si="0"/>
        <v>59</v>
      </c>
      <c r="D68" s="59"/>
      <c r="E68" s="60"/>
      <c r="F68" s="60"/>
      <c r="G68" s="61"/>
      <c r="H68" s="60"/>
      <c r="I68" s="60"/>
      <c r="J68" s="60"/>
      <c r="K68" s="60"/>
      <c r="L68" s="162" t="s">
        <v>45</v>
      </c>
      <c r="M68" s="155"/>
      <c r="N68" s="155"/>
      <c r="O68" s="163"/>
      <c r="P68" s="35" t="s">
        <v>56</v>
      </c>
      <c r="Q68" s="99"/>
      <c r="R68" s="99"/>
      <c r="S68" s="99"/>
      <c r="T68" s="99"/>
      <c r="U68" s="99"/>
      <c r="V68" s="99"/>
      <c r="W68" s="100"/>
      <c r="X68" s="239" t="s">
        <v>114</v>
      </c>
      <c r="Y68" s="237"/>
      <c r="Z68" s="237"/>
      <c r="AA68" s="237"/>
      <c r="AB68" s="237"/>
      <c r="AC68" s="237"/>
      <c r="AD68" s="237"/>
      <c r="AE68" s="238"/>
      <c r="AF68" s="98"/>
      <c r="AG68" s="99"/>
      <c r="AH68" s="99"/>
      <c r="AI68" s="99"/>
      <c r="AJ68" s="99"/>
      <c r="AK68" s="99"/>
      <c r="AL68" s="99"/>
      <c r="AM68" s="99"/>
      <c r="AN68" s="104"/>
      <c r="AO68" s="240">
        <v>45715</v>
      </c>
      <c r="AP68" s="241"/>
      <c r="AQ68" s="236" t="s">
        <v>198</v>
      </c>
      <c r="AR68" s="232"/>
      <c r="AS68" s="236" t="s">
        <v>157</v>
      </c>
      <c r="AT68" s="242"/>
      <c r="AU68" s="105"/>
      <c r="AV68" s="106"/>
      <c r="AW68" s="96"/>
      <c r="AX68" s="97"/>
      <c r="AY68" s="96"/>
      <c r="AZ68" s="107"/>
      <c r="BA68" s="101"/>
      <c r="BB68" s="102"/>
      <c r="BC68" s="102"/>
      <c r="BD68" s="102"/>
      <c r="BE68" s="102"/>
      <c r="BF68" s="102"/>
      <c r="BG68" s="102"/>
      <c r="BH68" s="102"/>
      <c r="BI68" s="102"/>
      <c r="BJ68" s="102"/>
      <c r="BK68" s="102"/>
      <c r="BL68" s="103"/>
      <c r="BM68" s="56"/>
      <c r="BN68" s="56"/>
    </row>
    <row r="69" spans="1:66" ht="24" customHeight="1" x14ac:dyDescent="0.45">
      <c r="A69" s="55"/>
      <c r="B69" s="55"/>
      <c r="C69" s="72">
        <f t="shared" si="0"/>
        <v>60</v>
      </c>
      <c r="D69" s="59"/>
      <c r="E69" s="60"/>
      <c r="F69" s="60"/>
      <c r="G69" s="61"/>
      <c r="H69" s="60"/>
      <c r="I69" s="60"/>
      <c r="J69" s="60"/>
      <c r="K69" s="60"/>
      <c r="L69" s="162" t="s">
        <v>92</v>
      </c>
      <c r="M69" s="155"/>
      <c r="N69" s="155"/>
      <c r="O69" s="163"/>
      <c r="P69" s="35" t="s">
        <v>56</v>
      </c>
      <c r="Q69" s="99"/>
      <c r="R69" s="99"/>
      <c r="S69" s="99"/>
      <c r="T69" s="99"/>
      <c r="U69" s="99"/>
      <c r="V69" s="99"/>
      <c r="W69" s="100"/>
      <c r="X69" s="239" t="s">
        <v>114</v>
      </c>
      <c r="Y69" s="237"/>
      <c r="Z69" s="237"/>
      <c r="AA69" s="237"/>
      <c r="AB69" s="237"/>
      <c r="AC69" s="237"/>
      <c r="AD69" s="237"/>
      <c r="AE69" s="238"/>
      <c r="AF69" s="98"/>
      <c r="AG69" s="99"/>
      <c r="AH69" s="99"/>
      <c r="AI69" s="99"/>
      <c r="AJ69" s="99"/>
      <c r="AK69" s="99"/>
      <c r="AL69" s="99"/>
      <c r="AM69" s="99"/>
      <c r="AN69" s="104"/>
      <c r="AO69" s="240">
        <v>45715</v>
      </c>
      <c r="AP69" s="241"/>
      <c r="AQ69" s="236" t="s">
        <v>198</v>
      </c>
      <c r="AR69" s="232"/>
      <c r="AS69" s="236" t="s">
        <v>157</v>
      </c>
      <c r="AT69" s="242"/>
      <c r="AU69" s="105"/>
      <c r="AV69" s="106"/>
      <c r="AW69" s="96"/>
      <c r="AX69" s="97"/>
      <c r="AY69" s="96"/>
      <c r="AZ69" s="107"/>
      <c r="BA69" s="101"/>
      <c r="BB69" s="102"/>
      <c r="BC69" s="102"/>
      <c r="BD69" s="102"/>
      <c r="BE69" s="102"/>
      <c r="BF69" s="102"/>
      <c r="BG69" s="102"/>
      <c r="BH69" s="102"/>
      <c r="BI69" s="102"/>
      <c r="BJ69" s="102"/>
      <c r="BK69" s="102"/>
      <c r="BL69" s="103"/>
      <c r="BM69" s="56"/>
      <c r="BN69" s="56"/>
    </row>
    <row r="70" spans="1:66" ht="24" customHeight="1" x14ac:dyDescent="0.45">
      <c r="A70" s="55"/>
      <c r="B70" s="55"/>
      <c r="C70" s="72">
        <f t="shared" si="0"/>
        <v>61</v>
      </c>
      <c r="D70" s="59"/>
      <c r="E70" s="60"/>
      <c r="F70" s="60"/>
      <c r="G70" s="61"/>
      <c r="H70" s="60"/>
      <c r="I70" s="60"/>
      <c r="J70" s="60"/>
      <c r="K70" s="60"/>
      <c r="L70" s="162" t="s">
        <v>93</v>
      </c>
      <c r="M70" s="155"/>
      <c r="N70" s="155"/>
      <c r="O70" s="163"/>
      <c r="P70" s="35" t="s">
        <v>56</v>
      </c>
      <c r="Q70" s="99"/>
      <c r="R70" s="99"/>
      <c r="S70" s="99"/>
      <c r="T70" s="99"/>
      <c r="U70" s="99"/>
      <c r="V70" s="99"/>
      <c r="W70" s="100"/>
      <c r="X70" s="239" t="s">
        <v>114</v>
      </c>
      <c r="Y70" s="237"/>
      <c r="Z70" s="237"/>
      <c r="AA70" s="237"/>
      <c r="AB70" s="237"/>
      <c r="AC70" s="237"/>
      <c r="AD70" s="237"/>
      <c r="AE70" s="238"/>
      <c r="AF70" s="98"/>
      <c r="AG70" s="99"/>
      <c r="AH70" s="99"/>
      <c r="AI70" s="99"/>
      <c r="AJ70" s="99"/>
      <c r="AK70" s="99"/>
      <c r="AL70" s="99"/>
      <c r="AM70" s="99"/>
      <c r="AN70" s="104"/>
      <c r="AO70" s="240">
        <v>45715</v>
      </c>
      <c r="AP70" s="241"/>
      <c r="AQ70" s="236" t="s">
        <v>198</v>
      </c>
      <c r="AR70" s="232"/>
      <c r="AS70" s="236" t="s">
        <v>157</v>
      </c>
      <c r="AT70" s="242"/>
      <c r="AU70" s="105"/>
      <c r="AV70" s="106"/>
      <c r="AW70" s="96"/>
      <c r="AX70" s="97"/>
      <c r="AY70" s="96"/>
      <c r="AZ70" s="107"/>
      <c r="BA70" s="101"/>
      <c r="BB70" s="102"/>
      <c r="BC70" s="102"/>
      <c r="BD70" s="102"/>
      <c r="BE70" s="102"/>
      <c r="BF70" s="102"/>
      <c r="BG70" s="102"/>
      <c r="BH70" s="102"/>
      <c r="BI70" s="102"/>
      <c r="BJ70" s="102"/>
      <c r="BK70" s="102"/>
      <c r="BL70" s="103"/>
      <c r="BM70" s="56"/>
      <c r="BN70" s="56"/>
    </row>
    <row r="71" spans="1:66" ht="24" customHeight="1" x14ac:dyDescent="0.45">
      <c r="A71" s="55"/>
      <c r="B71" s="55"/>
      <c r="C71" s="72">
        <f t="shared" si="0"/>
        <v>62</v>
      </c>
      <c r="D71" s="59"/>
      <c r="E71" s="60"/>
      <c r="F71" s="60"/>
      <c r="G71" s="61"/>
      <c r="H71" s="60"/>
      <c r="I71" s="60"/>
      <c r="J71" s="60"/>
      <c r="K71" s="60"/>
      <c r="L71" s="162" t="s">
        <v>94</v>
      </c>
      <c r="M71" s="155"/>
      <c r="N71" s="155"/>
      <c r="O71" s="163"/>
      <c r="P71" s="35" t="s">
        <v>56</v>
      </c>
      <c r="Q71" s="99"/>
      <c r="R71" s="99"/>
      <c r="S71" s="99"/>
      <c r="T71" s="99"/>
      <c r="U71" s="99"/>
      <c r="V71" s="99"/>
      <c r="W71" s="100"/>
      <c r="X71" s="239" t="s">
        <v>114</v>
      </c>
      <c r="Y71" s="237"/>
      <c r="Z71" s="237"/>
      <c r="AA71" s="237"/>
      <c r="AB71" s="237"/>
      <c r="AC71" s="237"/>
      <c r="AD71" s="237"/>
      <c r="AE71" s="238"/>
      <c r="AF71" s="98"/>
      <c r="AG71" s="99"/>
      <c r="AH71" s="99"/>
      <c r="AI71" s="99"/>
      <c r="AJ71" s="99"/>
      <c r="AK71" s="99"/>
      <c r="AL71" s="99"/>
      <c r="AM71" s="99"/>
      <c r="AN71" s="104"/>
      <c r="AO71" s="240">
        <v>45715</v>
      </c>
      <c r="AP71" s="241"/>
      <c r="AQ71" s="236" t="s">
        <v>198</v>
      </c>
      <c r="AR71" s="232"/>
      <c r="AS71" s="236" t="s">
        <v>157</v>
      </c>
      <c r="AT71" s="242"/>
      <c r="AU71" s="105"/>
      <c r="AV71" s="106"/>
      <c r="AW71" s="96"/>
      <c r="AX71" s="97"/>
      <c r="AY71" s="96"/>
      <c r="AZ71" s="107"/>
      <c r="BA71" s="101"/>
      <c r="BB71" s="102"/>
      <c r="BC71" s="102"/>
      <c r="BD71" s="102"/>
      <c r="BE71" s="102"/>
      <c r="BF71" s="102"/>
      <c r="BG71" s="102"/>
      <c r="BH71" s="102"/>
      <c r="BI71" s="102"/>
      <c r="BJ71" s="102"/>
      <c r="BK71" s="102"/>
      <c r="BL71" s="103"/>
      <c r="BM71" s="56"/>
      <c r="BN71" s="56"/>
    </row>
    <row r="72" spans="1:66" ht="24" customHeight="1" x14ac:dyDescent="0.45">
      <c r="A72" s="55"/>
      <c r="B72" s="55"/>
      <c r="C72" s="72">
        <f t="shared" si="0"/>
        <v>63</v>
      </c>
      <c r="D72" s="59"/>
      <c r="E72" s="60"/>
      <c r="F72" s="60"/>
      <c r="G72" s="61"/>
      <c r="H72" s="60"/>
      <c r="I72" s="60"/>
      <c r="J72" s="60"/>
      <c r="K72" s="60"/>
      <c r="L72" s="28" t="s">
        <v>46</v>
      </c>
      <c r="M72" s="155"/>
      <c r="N72" s="155"/>
      <c r="O72" s="163"/>
      <c r="P72" s="35" t="s">
        <v>56</v>
      </c>
      <c r="Q72" s="99"/>
      <c r="R72" s="99"/>
      <c r="S72" s="99"/>
      <c r="T72" s="99"/>
      <c r="U72" s="99"/>
      <c r="V72" s="99"/>
      <c r="W72" s="100"/>
      <c r="X72" s="239" t="s">
        <v>114</v>
      </c>
      <c r="Y72" s="237"/>
      <c r="Z72" s="237"/>
      <c r="AA72" s="237"/>
      <c r="AB72" s="237"/>
      <c r="AC72" s="237"/>
      <c r="AD72" s="237"/>
      <c r="AE72" s="238"/>
      <c r="AF72" s="98"/>
      <c r="AG72" s="99"/>
      <c r="AH72" s="99"/>
      <c r="AI72" s="99"/>
      <c r="AJ72" s="99"/>
      <c r="AK72" s="99"/>
      <c r="AL72" s="99"/>
      <c r="AM72" s="99"/>
      <c r="AN72" s="104"/>
      <c r="AO72" s="240">
        <v>45715</v>
      </c>
      <c r="AP72" s="241"/>
      <c r="AQ72" s="236" t="s">
        <v>198</v>
      </c>
      <c r="AR72" s="232"/>
      <c r="AS72" s="236" t="s">
        <v>157</v>
      </c>
      <c r="AT72" s="242"/>
      <c r="AU72" s="105"/>
      <c r="AV72" s="106"/>
      <c r="AW72" s="96"/>
      <c r="AX72" s="97"/>
      <c r="AY72" s="96"/>
      <c r="AZ72" s="107"/>
      <c r="BA72" s="101"/>
      <c r="BB72" s="102"/>
      <c r="BC72" s="102"/>
      <c r="BD72" s="102"/>
      <c r="BE72" s="102"/>
      <c r="BF72" s="102"/>
      <c r="BG72" s="102"/>
      <c r="BH72" s="102"/>
      <c r="BI72" s="102"/>
      <c r="BJ72" s="102"/>
      <c r="BK72" s="102"/>
      <c r="BL72" s="103"/>
      <c r="BM72" s="56"/>
      <c r="BN72" s="56"/>
    </row>
    <row r="73" spans="1:66" ht="24" customHeight="1" x14ac:dyDescent="0.45">
      <c r="A73" s="55"/>
      <c r="B73" s="55"/>
      <c r="C73" s="72">
        <f t="shared" si="0"/>
        <v>64</v>
      </c>
      <c r="D73" s="59"/>
      <c r="E73" s="60"/>
      <c r="F73" s="60"/>
      <c r="G73" s="61"/>
      <c r="H73" s="60"/>
      <c r="I73" s="60"/>
      <c r="J73" s="60"/>
      <c r="K73" s="60"/>
      <c r="L73" s="28" t="s">
        <v>47</v>
      </c>
      <c r="M73" s="155"/>
      <c r="N73" s="155"/>
      <c r="O73" s="163"/>
      <c r="P73" s="35" t="s">
        <v>56</v>
      </c>
      <c r="Q73" s="99"/>
      <c r="R73" s="99"/>
      <c r="S73" s="99"/>
      <c r="T73" s="99"/>
      <c r="U73" s="99"/>
      <c r="V73" s="99"/>
      <c r="W73" s="100"/>
      <c r="X73" s="239" t="s">
        <v>114</v>
      </c>
      <c r="Y73" s="237"/>
      <c r="Z73" s="237"/>
      <c r="AA73" s="237"/>
      <c r="AB73" s="237"/>
      <c r="AC73" s="237"/>
      <c r="AD73" s="237"/>
      <c r="AE73" s="238"/>
      <c r="AF73" s="98"/>
      <c r="AG73" s="99"/>
      <c r="AH73" s="99"/>
      <c r="AI73" s="99"/>
      <c r="AJ73" s="99"/>
      <c r="AK73" s="99"/>
      <c r="AL73" s="99"/>
      <c r="AM73" s="99"/>
      <c r="AN73" s="104"/>
      <c r="AO73" s="240">
        <v>45715</v>
      </c>
      <c r="AP73" s="241"/>
      <c r="AQ73" s="236" t="s">
        <v>198</v>
      </c>
      <c r="AR73" s="232"/>
      <c r="AS73" s="236" t="s">
        <v>157</v>
      </c>
      <c r="AT73" s="242"/>
      <c r="AU73" s="105"/>
      <c r="AV73" s="106"/>
      <c r="AW73" s="96"/>
      <c r="AX73" s="97"/>
      <c r="AY73" s="96"/>
      <c r="AZ73" s="107"/>
      <c r="BA73" s="101"/>
      <c r="BB73" s="102"/>
      <c r="BC73" s="102"/>
      <c r="BD73" s="102"/>
      <c r="BE73" s="102"/>
      <c r="BF73" s="102"/>
      <c r="BG73" s="102"/>
      <c r="BH73" s="102"/>
      <c r="BI73" s="102"/>
      <c r="BJ73" s="102"/>
      <c r="BK73" s="102"/>
      <c r="BL73" s="103"/>
      <c r="BM73" s="56"/>
      <c r="BN73" s="56"/>
    </row>
    <row r="74" spans="1:66" ht="24" customHeight="1" x14ac:dyDescent="0.45">
      <c r="A74" s="55"/>
      <c r="B74" s="55"/>
      <c r="C74" s="72">
        <f t="shared" si="0"/>
        <v>65</v>
      </c>
      <c r="D74" s="59"/>
      <c r="E74" s="60"/>
      <c r="F74" s="60"/>
      <c r="G74" s="61"/>
      <c r="H74" s="60"/>
      <c r="I74" s="60"/>
      <c r="J74" s="60"/>
      <c r="K74" s="60"/>
      <c r="L74" s="162" t="s">
        <v>95</v>
      </c>
      <c r="M74" s="155"/>
      <c r="N74" s="155"/>
      <c r="O74" s="163"/>
      <c r="P74" s="35" t="s">
        <v>56</v>
      </c>
      <c r="Q74" s="99"/>
      <c r="R74" s="99"/>
      <c r="S74" s="99"/>
      <c r="T74" s="99"/>
      <c r="U74" s="99"/>
      <c r="V74" s="99"/>
      <c r="W74" s="100"/>
      <c r="X74" s="239" t="s">
        <v>114</v>
      </c>
      <c r="Y74" s="237"/>
      <c r="Z74" s="237"/>
      <c r="AA74" s="237"/>
      <c r="AB74" s="237"/>
      <c r="AC74" s="237"/>
      <c r="AD74" s="237"/>
      <c r="AE74" s="238"/>
      <c r="AF74" s="98"/>
      <c r="AG74" s="99"/>
      <c r="AH74" s="99"/>
      <c r="AI74" s="99"/>
      <c r="AJ74" s="99"/>
      <c r="AK74" s="99"/>
      <c r="AL74" s="99"/>
      <c r="AM74" s="99"/>
      <c r="AN74" s="104"/>
      <c r="AO74" s="240">
        <v>45715</v>
      </c>
      <c r="AP74" s="241"/>
      <c r="AQ74" s="236" t="s">
        <v>198</v>
      </c>
      <c r="AR74" s="232"/>
      <c r="AS74" s="236" t="s">
        <v>157</v>
      </c>
      <c r="AT74" s="242"/>
      <c r="AU74" s="105"/>
      <c r="AV74" s="106"/>
      <c r="AW74" s="96"/>
      <c r="AX74" s="97"/>
      <c r="AY74" s="96"/>
      <c r="AZ74" s="107"/>
      <c r="BA74" s="101"/>
      <c r="BB74" s="102"/>
      <c r="BC74" s="102"/>
      <c r="BD74" s="102"/>
      <c r="BE74" s="102"/>
      <c r="BF74" s="102"/>
      <c r="BG74" s="102"/>
      <c r="BH74" s="102"/>
      <c r="BI74" s="102"/>
      <c r="BJ74" s="102"/>
      <c r="BK74" s="102"/>
      <c r="BL74" s="103"/>
      <c r="BM74" s="56"/>
      <c r="BN74" s="56"/>
    </row>
    <row r="75" spans="1:66" ht="24" customHeight="1" x14ac:dyDescent="0.45">
      <c r="A75" s="55"/>
      <c r="B75" s="55"/>
      <c r="C75" s="72">
        <f t="shared" si="0"/>
        <v>66</v>
      </c>
      <c r="D75" s="59"/>
      <c r="E75" s="60"/>
      <c r="F75" s="60"/>
      <c r="G75" s="61"/>
      <c r="H75" s="60"/>
      <c r="I75" s="60"/>
      <c r="J75" s="60"/>
      <c r="K75" s="60"/>
      <c r="L75" s="162" t="s">
        <v>96</v>
      </c>
      <c r="M75" s="155"/>
      <c r="N75" s="155"/>
      <c r="O75" s="163"/>
      <c r="P75" s="35" t="s">
        <v>56</v>
      </c>
      <c r="Q75" s="99"/>
      <c r="R75" s="99"/>
      <c r="S75" s="99"/>
      <c r="T75" s="99"/>
      <c r="U75" s="99"/>
      <c r="V75" s="99"/>
      <c r="W75" s="100"/>
      <c r="X75" s="239" t="s">
        <v>114</v>
      </c>
      <c r="Y75" s="237"/>
      <c r="Z75" s="237"/>
      <c r="AA75" s="237"/>
      <c r="AB75" s="237"/>
      <c r="AC75" s="237"/>
      <c r="AD75" s="237"/>
      <c r="AE75" s="238"/>
      <c r="AF75" s="98"/>
      <c r="AG75" s="99"/>
      <c r="AH75" s="99"/>
      <c r="AI75" s="99"/>
      <c r="AJ75" s="99"/>
      <c r="AK75" s="99"/>
      <c r="AL75" s="99"/>
      <c r="AM75" s="99"/>
      <c r="AN75" s="104"/>
      <c r="AO75" s="240">
        <v>45715</v>
      </c>
      <c r="AP75" s="241"/>
      <c r="AQ75" s="236" t="s">
        <v>198</v>
      </c>
      <c r="AR75" s="232"/>
      <c r="AS75" s="236" t="s">
        <v>157</v>
      </c>
      <c r="AT75" s="242"/>
      <c r="AU75" s="105"/>
      <c r="AV75" s="106"/>
      <c r="AW75" s="96"/>
      <c r="AX75" s="97"/>
      <c r="AY75" s="96"/>
      <c r="AZ75" s="107"/>
      <c r="BA75" s="101"/>
      <c r="BB75" s="102"/>
      <c r="BC75" s="102"/>
      <c r="BD75" s="102"/>
      <c r="BE75" s="102"/>
      <c r="BF75" s="102"/>
      <c r="BG75" s="102"/>
      <c r="BH75" s="102"/>
      <c r="BI75" s="102"/>
      <c r="BJ75" s="102"/>
      <c r="BK75" s="102"/>
      <c r="BL75" s="103"/>
      <c r="BM75" s="56"/>
      <c r="BN75" s="56"/>
    </row>
    <row r="76" spans="1:66" ht="24" customHeight="1" x14ac:dyDescent="0.45">
      <c r="A76" s="55"/>
      <c r="B76" s="55"/>
      <c r="C76" s="72">
        <f t="shared" si="0"/>
        <v>67</v>
      </c>
      <c r="D76" s="59"/>
      <c r="E76" s="60"/>
      <c r="F76" s="60"/>
      <c r="G76" s="61"/>
      <c r="H76" s="60"/>
      <c r="I76" s="60"/>
      <c r="J76" s="60"/>
      <c r="K76" s="60"/>
      <c r="L76" s="162" t="s">
        <v>97</v>
      </c>
      <c r="M76" s="155"/>
      <c r="N76" s="155"/>
      <c r="O76" s="163"/>
      <c r="P76" s="35" t="s">
        <v>56</v>
      </c>
      <c r="Q76" s="99"/>
      <c r="R76" s="99"/>
      <c r="S76" s="99"/>
      <c r="T76" s="99"/>
      <c r="U76" s="99"/>
      <c r="V76" s="99"/>
      <c r="W76" s="100"/>
      <c r="X76" s="239" t="s">
        <v>114</v>
      </c>
      <c r="Y76" s="237"/>
      <c r="Z76" s="237"/>
      <c r="AA76" s="237"/>
      <c r="AB76" s="237"/>
      <c r="AC76" s="237"/>
      <c r="AD76" s="237"/>
      <c r="AE76" s="238"/>
      <c r="AF76" s="98"/>
      <c r="AG76" s="99"/>
      <c r="AH76" s="99"/>
      <c r="AI76" s="99"/>
      <c r="AJ76" s="99"/>
      <c r="AK76" s="99"/>
      <c r="AL76" s="99"/>
      <c r="AM76" s="99"/>
      <c r="AN76" s="104"/>
      <c r="AO76" s="240">
        <v>45715</v>
      </c>
      <c r="AP76" s="241"/>
      <c r="AQ76" s="236" t="s">
        <v>198</v>
      </c>
      <c r="AR76" s="232"/>
      <c r="AS76" s="236" t="s">
        <v>157</v>
      </c>
      <c r="AT76" s="242"/>
      <c r="AU76" s="105"/>
      <c r="AV76" s="106"/>
      <c r="AW76" s="96"/>
      <c r="AX76" s="97"/>
      <c r="AY76" s="96"/>
      <c r="AZ76" s="107"/>
      <c r="BA76" s="101"/>
      <c r="BB76" s="102"/>
      <c r="BC76" s="102"/>
      <c r="BD76" s="102"/>
      <c r="BE76" s="102"/>
      <c r="BF76" s="102"/>
      <c r="BG76" s="102"/>
      <c r="BH76" s="102"/>
      <c r="BI76" s="102"/>
      <c r="BJ76" s="102"/>
      <c r="BK76" s="102"/>
      <c r="BL76" s="103"/>
      <c r="BM76" s="56"/>
      <c r="BN76" s="56"/>
    </row>
    <row r="77" spans="1:66" ht="24" customHeight="1" x14ac:dyDescent="0.45">
      <c r="A77" s="55"/>
      <c r="B77" s="55"/>
      <c r="C77" s="72">
        <f t="shared" si="0"/>
        <v>68</v>
      </c>
      <c r="D77" s="59"/>
      <c r="E77" s="60"/>
      <c r="F77" s="60"/>
      <c r="G77" s="61"/>
      <c r="H77" s="60"/>
      <c r="I77" s="60"/>
      <c r="J77" s="60"/>
      <c r="K77" s="60"/>
      <c r="L77" s="162" t="s">
        <v>98</v>
      </c>
      <c r="M77" s="155"/>
      <c r="N77" s="155"/>
      <c r="O77" s="163"/>
      <c r="P77" s="35" t="s">
        <v>56</v>
      </c>
      <c r="Q77" s="99"/>
      <c r="R77" s="99"/>
      <c r="S77" s="99"/>
      <c r="T77" s="99"/>
      <c r="U77" s="99"/>
      <c r="V77" s="99"/>
      <c r="W77" s="100"/>
      <c r="X77" s="239" t="s">
        <v>114</v>
      </c>
      <c r="Y77" s="237"/>
      <c r="Z77" s="237"/>
      <c r="AA77" s="237"/>
      <c r="AB77" s="237"/>
      <c r="AC77" s="237"/>
      <c r="AD77" s="237"/>
      <c r="AE77" s="238"/>
      <c r="AF77" s="98"/>
      <c r="AG77" s="99"/>
      <c r="AH77" s="99"/>
      <c r="AI77" s="99"/>
      <c r="AJ77" s="99"/>
      <c r="AK77" s="99"/>
      <c r="AL77" s="99"/>
      <c r="AM77" s="99"/>
      <c r="AN77" s="104"/>
      <c r="AO77" s="240">
        <v>45715</v>
      </c>
      <c r="AP77" s="241"/>
      <c r="AQ77" s="236" t="s">
        <v>198</v>
      </c>
      <c r="AR77" s="232"/>
      <c r="AS77" s="236" t="s">
        <v>157</v>
      </c>
      <c r="AT77" s="242"/>
      <c r="AU77" s="105"/>
      <c r="AV77" s="106"/>
      <c r="AW77" s="96"/>
      <c r="AX77" s="97"/>
      <c r="AY77" s="96"/>
      <c r="AZ77" s="107"/>
      <c r="BA77" s="101"/>
      <c r="BB77" s="102"/>
      <c r="BC77" s="102"/>
      <c r="BD77" s="102"/>
      <c r="BE77" s="102"/>
      <c r="BF77" s="102"/>
      <c r="BG77" s="102"/>
      <c r="BH77" s="102"/>
      <c r="BI77" s="102"/>
      <c r="BJ77" s="102"/>
      <c r="BK77" s="102"/>
      <c r="BL77" s="103"/>
      <c r="BM77" s="56"/>
      <c r="BN77" s="56"/>
    </row>
    <row r="78" spans="1:66" ht="24" customHeight="1" x14ac:dyDescent="0.45">
      <c r="A78" s="55"/>
      <c r="B78" s="55"/>
      <c r="C78" s="72">
        <f t="shared" si="0"/>
        <v>69</v>
      </c>
      <c r="D78" s="59"/>
      <c r="E78" s="60"/>
      <c r="F78" s="60"/>
      <c r="G78" s="61"/>
      <c r="H78" s="60"/>
      <c r="I78" s="60"/>
      <c r="J78" s="60"/>
      <c r="K78" s="60"/>
      <c r="L78" s="162" t="s">
        <v>99</v>
      </c>
      <c r="M78" s="155"/>
      <c r="N78" s="155"/>
      <c r="O78" s="163"/>
      <c r="P78" s="35" t="s">
        <v>56</v>
      </c>
      <c r="Q78" s="99"/>
      <c r="R78" s="99"/>
      <c r="S78" s="99"/>
      <c r="T78" s="99"/>
      <c r="U78" s="99"/>
      <c r="V78" s="99"/>
      <c r="W78" s="100"/>
      <c r="X78" s="239" t="s">
        <v>114</v>
      </c>
      <c r="Y78" s="237"/>
      <c r="Z78" s="237"/>
      <c r="AA78" s="237"/>
      <c r="AB78" s="237"/>
      <c r="AC78" s="237"/>
      <c r="AD78" s="237"/>
      <c r="AE78" s="238"/>
      <c r="AF78" s="98"/>
      <c r="AG78" s="99"/>
      <c r="AH78" s="99"/>
      <c r="AI78" s="99"/>
      <c r="AJ78" s="99"/>
      <c r="AK78" s="99"/>
      <c r="AL78" s="99"/>
      <c r="AM78" s="99"/>
      <c r="AN78" s="104"/>
      <c r="AO78" s="240">
        <v>45715</v>
      </c>
      <c r="AP78" s="241"/>
      <c r="AQ78" s="236" t="s">
        <v>198</v>
      </c>
      <c r="AR78" s="232"/>
      <c r="AS78" s="236" t="s">
        <v>157</v>
      </c>
      <c r="AT78" s="242"/>
      <c r="AU78" s="105"/>
      <c r="AV78" s="106"/>
      <c r="AW78" s="96"/>
      <c r="AX78" s="97"/>
      <c r="AY78" s="96"/>
      <c r="AZ78" s="107"/>
      <c r="BA78" s="101"/>
      <c r="BB78" s="102"/>
      <c r="BC78" s="102"/>
      <c r="BD78" s="102"/>
      <c r="BE78" s="102"/>
      <c r="BF78" s="102"/>
      <c r="BG78" s="102"/>
      <c r="BH78" s="102"/>
      <c r="BI78" s="102"/>
      <c r="BJ78" s="102"/>
      <c r="BK78" s="102"/>
      <c r="BL78" s="103"/>
      <c r="BM78" s="56"/>
      <c r="BN78" s="56"/>
    </row>
    <row r="79" spans="1:66" ht="24" customHeight="1" x14ac:dyDescent="0.45">
      <c r="A79" s="55"/>
      <c r="B79" s="55"/>
      <c r="C79" s="72">
        <f t="shared" si="0"/>
        <v>70</v>
      </c>
      <c r="D79" s="59"/>
      <c r="E79" s="60"/>
      <c r="F79" s="60"/>
      <c r="G79" s="61"/>
      <c r="H79" s="60"/>
      <c r="I79" s="60"/>
      <c r="J79" s="60"/>
      <c r="K79" s="60"/>
      <c r="L79" s="162" t="s">
        <v>100</v>
      </c>
      <c r="M79" s="180"/>
      <c r="N79" s="180"/>
      <c r="O79" s="181"/>
      <c r="P79" s="35" t="s">
        <v>56</v>
      </c>
      <c r="Q79" s="99"/>
      <c r="R79" s="99"/>
      <c r="S79" s="99"/>
      <c r="T79" s="99"/>
      <c r="U79" s="99"/>
      <c r="V79" s="99"/>
      <c r="W79" s="100"/>
      <c r="X79" s="239" t="s">
        <v>114</v>
      </c>
      <c r="Y79" s="237"/>
      <c r="Z79" s="237"/>
      <c r="AA79" s="237"/>
      <c r="AB79" s="237"/>
      <c r="AC79" s="237"/>
      <c r="AD79" s="237"/>
      <c r="AE79" s="238"/>
      <c r="AF79" s="98"/>
      <c r="AG79" s="99"/>
      <c r="AH79" s="99"/>
      <c r="AI79" s="99"/>
      <c r="AJ79" s="99"/>
      <c r="AK79" s="99"/>
      <c r="AL79" s="99"/>
      <c r="AM79" s="99"/>
      <c r="AN79" s="104"/>
      <c r="AO79" s="240">
        <v>45715</v>
      </c>
      <c r="AP79" s="241"/>
      <c r="AQ79" s="236" t="s">
        <v>198</v>
      </c>
      <c r="AR79" s="232"/>
      <c r="AS79" s="236" t="s">
        <v>157</v>
      </c>
      <c r="AT79" s="242"/>
      <c r="AU79" s="105"/>
      <c r="AV79" s="106"/>
      <c r="AW79" s="96"/>
      <c r="AX79" s="97"/>
      <c r="AY79" s="96"/>
      <c r="AZ79" s="107"/>
      <c r="BA79" s="101"/>
      <c r="BB79" s="102"/>
      <c r="BC79" s="102"/>
      <c r="BD79" s="102"/>
      <c r="BE79" s="102"/>
      <c r="BF79" s="102"/>
      <c r="BG79" s="102"/>
      <c r="BH79" s="102"/>
      <c r="BI79" s="102"/>
      <c r="BJ79" s="102"/>
      <c r="BK79" s="102"/>
      <c r="BL79" s="103"/>
      <c r="BM79" s="56"/>
      <c r="BN79" s="56"/>
    </row>
    <row r="80" spans="1:66" ht="24" customHeight="1" x14ac:dyDescent="0.45">
      <c r="A80" s="55"/>
      <c r="B80" s="55"/>
      <c r="C80" s="72">
        <f t="shared" si="0"/>
        <v>71</v>
      </c>
      <c r="D80" s="59"/>
      <c r="E80" s="60"/>
      <c r="F80" s="60"/>
      <c r="G80" s="61"/>
      <c r="H80" s="60"/>
      <c r="I80" s="60"/>
      <c r="J80" s="60"/>
      <c r="K80" s="60"/>
      <c r="L80" s="155" t="s">
        <v>101</v>
      </c>
      <c r="M80" s="180"/>
      <c r="N80" s="180"/>
      <c r="O80" s="181"/>
      <c r="P80" s="35" t="s">
        <v>56</v>
      </c>
      <c r="Q80" s="99"/>
      <c r="R80" s="99"/>
      <c r="S80" s="99"/>
      <c r="T80" s="99"/>
      <c r="U80" s="99"/>
      <c r="V80" s="99"/>
      <c r="W80" s="100"/>
      <c r="X80" s="239" t="s">
        <v>114</v>
      </c>
      <c r="Y80" s="237"/>
      <c r="Z80" s="237"/>
      <c r="AA80" s="237"/>
      <c r="AB80" s="237"/>
      <c r="AC80" s="237"/>
      <c r="AD80" s="237"/>
      <c r="AE80" s="238"/>
      <c r="AF80" s="98"/>
      <c r="AG80" s="99"/>
      <c r="AH80" s="99"/>
      <c r="AI80" s="99"/>
      <c r="AJ80" s="99"/>
      <c r="AK80" s="99"/>
      <c r="AL80" s="99"/>
      <c r="AM80" s="99"/>
      <c r="AN80" s="104"/>
      <c r="AO80" s="240">
        <v>45715</v>
      </c>
      <c r="AP80" s="241"/>
      <c r="AQ80" s="236" t="s">
        <v>198</v>
      </c>
      <c r="AR80" s="232"/>
      <c r="AS80" s="236" t="s">
        <v>157</v>
      </c>
      <c r="AT80" s="242"/>
      <c r="AU80" s="105"/>
      <c r="AV80" s="106"/>
      <c r="AW80" s="96"/>
      <c r="AX80" s="97"/>
      <c r="AY80" s="96"/>
      <c r="AZ80" s="107"/>
      <c r="BA80" s="101"/>
      <c r="BB80" s="102"/>
      <c r="BC80" s="102"/>
      <c r="BD80" s="102"/>
      <c r="BE80" s="102"/>
      <c r="BF80" s="102"/>
      <c r="BG80" s="102"/>
      <c r="BH80" s="102"/>
      <c r="BI80" s="102"/>
      <c r="BJ80" s="102"/>
      <c r="BK80" s="102"/>
      <c r="BL80" s="103"/>
      <c r="BM80" s="56"/>
      <c r="BN80" s="56"/>
    </row>
    <row r="81" spans="1:66" ht="24" customHeight="1" x14ac:dyDescent="0.45">
      <c r="A81" s="55"/>
      <c r="B81" s="55"/>
      <c r="C81" s="72">
        <f t="shared" si="0"/>
        <v>72</v>
      </c>
      <c r="D81" s="59"/>
      <c r="E81" s="60"/>
      <c r="F81" s="60"/>
      <c r="G81" s="61"/>
      <c r="H81" s="60"/>
      <c r="I81" s="60"/>
      <c r="J81" s="60"/>
      <c r="K81" s="60"/>
      <c r="L81" s="155" t="s">
        <v>182</v>
      </c>
      <c r="M81" s="180"/>
      <c r="N81" s="180"/>
      <c r="O81" s="181"/>
      <c r="P81" s="35" t="s">
        <v>56</v>
      </c>
      <c r="Q81" s="99"/>
      <c r="R81" s="99"/>
      <c r="S81" s="99"/>
      <c r="T81" s="99"/>
      <c r="U81" s="99"/>
      <c r="V81" s="99"/>
      <c r="W81" s="100"/>
      <c r="X81" s="239" t="s">
        <v>114</v>
      </c>
      <c r="Y81" s="237"/>
      <c r="Z81" s="237"/>
      <c r="AA81" s="237"/>
      <c r="AB81" s="237"/>
      <c r="AC81" s="237"/>
      <c r="AD81" s="237"/>
      <c r="AE81" s="238"/>
      <c r="AF81" s="98"/>
      <c r="AG81" s="99"/>
      <c r="AH81" s="99"/>
      <c r="AI81" s="99"/>
      <c r="AJ81" s="99"/>
      <c r="AK81" s="99"/>
      <c r="AL81" s="99"/>
      <c r="AM81" s="99"/>
      <c r="AN81" s="104"/>
      <c r="AO81" s="240">
        <v>45715</v>
      </c>
      <c r="AP81" s="241"/>
      <c r="AQ81" s="236" t="s">
        <v>198</v>
      </c>
      <c r="AR81" s="232"/>
      <c r="AS81" s="236" t="s">
        <v>157</v>
      </c>
      <c r="AT81" s="242"/>
      <c r="AU81" s="105"/>
      <c r="AV81" s="106"/>
      <c r="AW81" s="96"/>
      <c r="AX81" s="97"/>
      <c r="AY81" s="96"/>
      <c r="AZ81" s="107"/>
      <c r="BA81" s="101"/>
      <c r="BB81" s="102"/>
      <c r="BC81" s="102"/>
      <c r="BD81" s="102"/>
      <c r="BE81" s="102"/>
      <c r="BF81" s="102"/>
      <c r="BG81" s="102"/>
      <c r="BH81" s="102"/>
      <c r="BI81" s="102"/>
      <c r="BJ81" s="102"/>
      <c r="BK81" s="102"/>
      <c r="BL81" s="103"/>
      <c r="BM81" s="56"/>
      <c r="BN81" s="56"/>
    </row>
    <row r="82" spans="1:66" ht="24" customHeight="1" x14ac:dyDescent="0.45">
      <c r="A82" s="55"/>
      <c r="B82" s="55"/>
      <c r="C82" s="72">
        <f t="shared" si="0"/>
        <v>73</v>
      </c>
      <c r="D82" s="59"/>
      <c r="E82" s="60"/>
      <c r="F82" s="60"/>
      <c r="G82" s="61"/>
      <c r="H82" s="60"/>
      <c r="I82" s="60"/>
      <c r="J82" s="60"/>
      <c r="K82" s="60"/>
      <c r="L82" s="155" t="s">
        <v>102</v>
      </c>
      <c r="M82" s="180"/>
      <c r="N82" s="180"/>
      <c r="O82" s="181"/>
      <c r="P82" s="35" t="s">
        <v>56</v>
      </c>
      <c r="Q82" s="99"/>
      <c r="R82" s="99"/>
      <c r="S82" s="99"/>
      <c r="T82" s="99"/>
      <c r="U82" s="99"/>
      <c r="V82" s="99"/>
      <c r="W82" s="100"/>
      <c r="X82" s="239" t="s">
        <v>114</v>
      </c>
      <c r="Y82" s="237"/>
      <c r="Z82" s="237"/>
      <c r="AA82" s="237"/>
      <c r="AB82" s="237"/>
      <c r="AC82" s="237"/>
      <c r="AD82" s="237"/>
      <c r="AE82" s="238"/>
      <c r="AF82" s="98"/>
      <c r="AG82" s="99"/>
      <c r="AH82" s="99"/>
      <c r="AI82" s="99"/>
      <c r="AJ82" s="99"/>
      <c r="AK82" s="99"/>
      <c r="AL82" s="99"/>
      <c r="AM82" s="99"/>
      <c r="AN82" s="104"/>
      <c r="AO82" s="240">
        <v>45715</v>
      </c>
      <c r="AP82" s="241"/>
      <c r="AQ82" s="236" t="s">
        <v>198</v>
      </c>
      <c r="AR82" s="232"/>
      <c r="AS82" s="236" t="s">
        <v>157</v>
      </c>
      <c r="AT82" s="242"/>
      <c r="AU82" s="105"/>
      <c r="AV82" s="106"/>
      <c r="AW82" s="96"/>
      <c r="AX82" s="97"/>
      <c r="AY82" s="96"/>
      <c r="AZ82" s="107"/>
      <c r="BA82" s="101"/>
      <c r="BB82" s="102"/>
      <c r="BC82" s="102"/>
      <c r="BD82" s="102"/>
      <c r="BE82" s="102"/>
      <c r="BF82" s="102"/>
      <c r="BG82" s="102"/>
      <c r="BH82" s="102"/>
      <c r="BI82" s="102"/>
      <c r="BJ82" s="102"/>
      <c r="BK82" s="102"/>
      <c r="BL82" s="103"/>
      <c r="BM82" s="56"/>
      <c r="BN82" s="56"/>
    </row>
    <row r="83" spans="1:66" ht="24" customHeight="1" x14ac:dyDescent="0.45">
      <c r="A83" s="55"/>
      <c r="B83" s="55"/>
      <c r="C83" s="72">
        <f t="shared" si="0"/>
        <v>74</v>
      </c>
      <c r="D83" s="59"/>
      <c r="E83" s="60"/>
      <c r="F83" s="60"/>
      <c r="G83" s="61"/>
      <c r="H83" s="60"/>
      <c r="I83" s="60"/>
      <c r="J83" s="60"/>
      <c r="K83" s="60"/>
      <c r="L83" s="162" t="s">
        <v>103</v>
      </c>
      <c r="M83" s="180"/>
      <c r="N83" s="180"/>
      <c r="O83" s="181"/>
      <c r="P83" s="35" t="s">
        <v>56</v>
      </c>
      <c r="Q83" s="99"/>
      <c r="R83" s="99"/>
      <c r="S83" s="99"/>
      <c r="T83" s="99"/>
      <c r="U83" s="99"/>
      <c r="V83" s="99"/>
      <c r="W83" s="100"/>
      <c r="X83" s="239" t="s">
        <v>114</v>
      </c>
      <c r="Y83" s="237"/>
      <c r="Z83" s="237"/>
      <c r="AA83" s="237"/>
      <c r="AB83" s="237"/>
      <c r="AC83" s="237"/>
      <c r="AD83" s="237"/>
      <c r="AE83" s="238"/>
      <c r="AF83" s="98"/>
      <c r="AG83" s="99"/>
      <c r="AH83" s="99"/>
      <c r="AI83" s="99"/>
      <c r="AJ83" s="99"/>
      <c r="AK83" s="99"/>
      <c r="AL83" s="99"/>
      <c r="AM83" s="99"/>
      <c r="AN83" s="104"/>
      <c r="AO83" s="240">
        <v>45715</v>
      </c>
      <c r="AP83" s="241"/>
      <c r="AQ83" s="236" t="s">
        <v>198</v>
      </c>
      <c r="AR83" s="232"/>
      <c r="AS83" s="236" t="s">
        <v>157</v>
      </c>
      <c r="AT83" s="242"/>
      <c r="AU83" s="105"/>
      <c r="AV83" s="106"/>
      <c r="AW83" s="96"/>
      <c r="AX83" s="97"/>
      <c r="AY83" s="96"/>
      <c r="AZ83" s="107"/>
      <c r="BA83" s="101"/>
      <c r="BB83" s="102"/>
      <c r="BC83" s="102"/>
      <c r="BD83" s="102"/>
      <c r="BE83" s="102"/>
      <c r="BF83" s="102"/>
      <c r="BG83" s="102"/>
      <c r="BH83" s="102"/>
      <c r="BI83" s="102"/>
      <c r="BJ83" s="102"/>
      <c r="BK83" s="102"/>
      <c r="BL83" s="103"/>
      <c r="BM83" s="56"/>
      <c r="BN83" s="56"/>
    </row>
    <row r="84" spans="1:66" ht="24" customHeight="1" x14ac:dyDescent="0.45">
      <c r="A84" s="55"/>
      <c r="B84" s="55"/>
      <c r="C84" s="72">
        <f t="shared" si="0"/>
        <v>75</v>
      </c>
      <c r="D84" s="59"/>
      <c r="E84" s="60"/>
      <c r="F84" s="60"/>
      <c r="G84" s="61"/>
      <c r="H84" s="60"/>
      <c r="I84" s="60"/>
      <c r="J84" s="60"/>
      <c r="K84" s="60"/>
      <c r="L84" s="162" t="s">
        <v>104</v>
      </c>
      <c r="M84" s="180"/>
      <c r="N84" s="180"/>
      <c r="O84" s="181"/>
      <c r="P84" s="35" t="s">
        <v>56</v>
      </c>
      <c r="Q84" s="99"/>
      <c r="R84" s="99"/>
      <c r="S84" s="99"/>
      <c r="T84" s="99"/>
      <c r="U84" s="99"/>
      <c r="V84" s="99"/>
      <c r="W84" s="100"/>
      <c r="X84" s="239" t="s">
        <v>114</v>
      </c>
      <c r="Y84" s="237"/>
      <c r="Z84" s="237"/>
      <c r="AA84" s="237"/>
      <c r="AB84" s="237"/>
      <c r="AC84" s="237"/>
      <c r="AD84" s="237"/>
      <c r="AE84" s="238"/>
      <c r="AF84" s="98"/>
      <c r="AG84" s="99"/>
      <c r="AH84" s="99"/>
      <c r="AI84" s="99"/>
      <c r="AJ84" s="99"/>
      <c r="AK84" s="99"/>
      <c r="AL84" s="99"/>
      <c r="AM84" s="99"/>
      <c r="AN84" s="104"/>
      <c r="AO84" s="240">
        <v>45715</v>
      </c>
      <c r="AP84" s="241"/>
      <c r="AQ84" s="236" t="s">
        <v>198</v>
      </c>
      <c r="AR84" s="232"/>
      <c r="AS84" s="236" t="s">
        <v>157</v>
      </c>
      <c r="AT84" s="242"/>
      <c r="AU84" s="105"/>
      <c r="AV84" s="106"/>
      <c r="AW84" s="96"/>
      <c r="AX84" s="97"/>
      <c r="AY84" s="96"/>
      <c r="AZ84" s="107"/>
      <c r="BA84" s="101"/>
      <c r="BB84" s="102"/>
      <c r="BC84" s="102"/>
      <c r="BD84" s="102"/>
      <c r="BE84" s="102"/>
      <c r="BF84" s="102"/>
      <c r="BG84" s="102"/>
      <c r="BH84" s="102"/>
      <c r="BI84" s="102"/>
      <c r="BJ84" s="102"/>
      <c r="BK84" s="102"/>
      <c r="BL84" s="103"/>
      <c r="BM84" s="56"/>
      <c r="BN84" s="56"/>
    </row>
    <row r="85" spans="1:66" ht="24" customHeight="1" x14ac:dyDescent="0.45">
      <c r="A85" s="55"/>
      <c r="B85" s="55"/>
      <c r="C85" s="72">
        <f t="shared" si="0"/>
        <v>76</v>
      </c>
      <c r="D85" s="59"/>
      <c r="E85" s="60"/>
      <c r="F85" s="60"/>
      <c r="G85" s="61"/>
      <c r="H85" s="60"/>
      <c r="I85" s="60"/>
      <c r="J85" s="60"/>
      <c r="K85" s="60"/>
      <c r="L85" s="162" t="s">
        <v>105</v>
      </c>
      <c r="M85" s="180"/>
      <c r="N85" s="180"/>
      <c r="O85" s="181"/>
      <c r="P85" s="35" t="s">
        <v>56</v>
      </c>
      <c r="Q85" s="99"/>
      <c r="R85" s="99"/>
      <c r="S85" s="99"/>
      <c r="T85" s="99"/>
      <c r="U85" s="99"/>
      <c r="V85" s="99"/>
      <c r="W85" s="100"/>
      <c r="X85" s="239" t="s">
        <v>114</v>
      </c>
      <c r="Y85" s="237"/>
      <c r="Z85" s="237"/>
      <c r="AA85" s="237"/>
      <c r="AB85" s="237"/>
      <c r="AC85" s="237"/>
      <c r="AD85" s="237"/>
      <c r="AE85" s="238"/>
      <c r="AF85" s="98"/>
      <c r="AG85" s="99"/>
      <c r="AH85" s="99"/>
      <c r="AI85" s="99"/>
      <c r="AJ85" s="99"/>
      <c r="AK85" s="99"/>
      <c r="AL85" s="99"/>
      <c r="AM85" s="99"/>
      <c r="AN85" s="104"/>
      <c r="AO85" s="240">
        <v>45715</v>
      </c>
      <c r="AP85" s="241"/>
      <c r="AQ85" s="236" t="s">
        <v>198</v>
      </c>
      <c r="AR85" s="232"/>
      <c r="AS85" s="236" t="s">
        <v>157</v>
      </c>
      <c r="AT85" s="242"/>
      <c r="AU85" s="105"/>
      <c r="AV85" s="106"/>
      <c r="AW85" s="96"/>
      <c r="AX85" s="97"/>
      <c r="AY85" s="96"/>
      <c r="AZ85" s="107"/>
      <c r="BA85" s="101"/>
      <c r="BB85" s="102"/>
      <c r="BC85" s="102"/>
      <c r="BD85" s="102"/>
      <c r="BE85" s="102"/>
      <c r="BF85" s="102"/>
      <c r="BG85" s="102"/>
      <c r="BH85" s="102"/>
      <c r="BI85" s="102"/>
      <c r="BJ85" s="102"/>
      <c r="BK85" s="102"/>
      <c r="BL85" s="103"/>
      <c r="BM85" s="56"/>
      <c r="BN85" s="56"/>
    </row>
    <row r="86" spans="1:66" ht="24" customHeight="1" x14ac:dyDescent="0.45">
      <c r="A86" s="55"/>
      <c r="B86" s="55"/>
      <c r="C86" s="72">
        <f t="shared" si="0"/>
        <v>77</v>
      </c>
      <c r="D86" s="59"/>
      <c r="E86" s="60"/>
      <c r="F86" s="60"/>
      <c r="G86" s="61"/>
      <c r="H86" s="60"/>
      <c r="I86" s="60"/>
      <c r="J86" s="60"/>
      <c r="K86" s="60"/>
      <c r="L86" s="162" t="s">
        <v>106</v>
      </c>
      <c r="M86" s="180"/>
      <c r="N86" s="180"/>
      <c r="O86" s="181"/>
      <c r="P86" s="35" t="s">
        <v>56</v>
      </c>
      <c r="Q86" s="99"/>
      <c r="R86" s="99"/>
      <c r="S86" s="99"/>
      <c r="T86" s="99"/>
      <c r="U86" s="99"/>
      <c r="V86" s="99"/>
      <c r="W86" s="100"/>
      <c r="X86" s="239" t="s">
        <v>114</v>
      </c>
      <c r="Y86" s="237"/>
      <c r="Z86" s="237"/>
      <c r="AA86" s="237"/>
      <c r="AB86" s="237"/>
      <c r="AC86" s="237"/>
      <c r="AD86" s="237"/>
      <c r="AE86" s="238"/>
      <c r="AF86" s="98"/>
      <c r="AG86" s="99"/>
      <c r="AH86" s="99"/>
      <c r="AI86" s="99"/>
      <c r="AJ86" s="99"/>
      <c r="AK86" s="99"/>
      <c r="AL86" s="99"/>
      <c r="AM86" s="99"/>
      <c r="AN86" s="104"/>
      <c r="AO86" s="240">
        <v>45715</v>
      </c>
      <c r="AP86" s="241"/>
      <c r="AQ86" s="236" t="s">
        <v>198</v>
      </c>
      <c r="AR86" s="232"/>
      <c r="AS86" s="236" t="s">
        <v>157</v>
      </c>
      <c r="AT86" s="242"/>
      <c r="AU86" s="105"/>
      <c r="AV86" s="106"/>
      <c r="AW86" s="96"/>
      <c r="AX86" s="97"/>
      <c r="AY86" s="96"/>
      <c r="AZ86" s="107"/>
      <c r="BA86" s="101"/>
      <c r="BB86" s="102"/>
      <c r="BC86" s="102"/>
      <c r="BD86" s="102"/>
      <c r="BE86" s="102"/>
      <c r="BF86" s="102"/>
      <c r="BG86" s="102"/>
      <c r="BH86" s="102"/>
      <c r="BI86" s="102"/>
      <c r="BJ86" s="102"/>
      <c r="BK86" s="102"/>
      <c r="BL86" s="103"/>
      <c r="BM86" s="56"/>
      <c r="BN86" s="56"/>
    </row>
    <row r="87" spans="1:66" ht="24" customHeight="1" x14ac:dyDescent="0.45">
      <c r="A87" s="55"/>
      <c r="B87" s="55"/>
      <c r="C87" s="72">
        <f t="shared" si="0"/>
        <v>78</v>
      </c>
      <c r="D87" s="59"/>
      <c r="E87" s="60"/>
      <c r="F87" s="60"/>
      <c r="G87" s="61"/>
      <c r="H87" s="60"/>
      <c r="I87" s="60"/>
      <c r="J87" s="60"/>
      <c r="K87" s="60"/>
      <c r="L87" s="162" t="s">
        <v>107</v>
      </c>
      <c r="M87" s="180"/>
      <c r="N87" s="180"/>
      <c r="O87" s="181"/>
      <c r="P87" s="35" t="s">
        <v>56</v>
      </c>
      <c r="Q87" s="99"/>
      <c r="R87" s="99"/>
      <c r="S87" s="99"/>
      <c r="T87" s="99"/>
      <c r="U87" s="99"/>
      <c r="V87" s="99"/>
      <c r="W87" s="100"/>
      <c r="X87" s="239" t="s">
        <v>114</v>
      </c>
      <c r="Y87" s="237"/>
      <c r="Z87" s="237"/>
      <c r="AA87" s="237"/>
      <c r="AB87" s="237"/>
      <c r="AC87" s="237"/>
      <c r="AD87" s="237"/>
      <c r="AE87" s="238"/>
      <c r="AF87" s="98"/>
      <c r="AG87" s="99"/>
      <c r="AH87" s="99"/>
      <c r="AI87" s="99"/>
      <c r="AJ87" s="99"/>
      <c r="AK87" s="99"/>
      <c r="AL87" s="99"/>
      <c r="AM87" s="99"/>
      <c r="AN87" s="104"/>
      <c r="AO87" s="240">
        <v>45715</v>
      </c>
      <c r="AP87" s="241"/>
      <c r="AQ87" s="236" t="s">
        <v>198</v>
      </c>
      <c r="AR87" s="232"/>
      <c r="AS87" s="236" t="s">
        <v>157</v>
      </c>
      <c r="AT87" s="242"/>
      <c r="AU87" s="105"/>
      <c r="AV87" s="106"/>
      <c r="AW87" s="96"/>
      <c r="AX87" s="97"/>
      <c r="AY87" s="96"/>
      <c r="AZ87" s="107"/>
      <c r="BA87" s="101"/>
      <c r="BB87" s="102"/>
      <c r="BC87" s="102"/>
      <c r="BD87" s="102"/>
      <c r="BE87" s="102"/>
      <c r="BF87" s="102"/>
      <c r="BG87" s="102"/>
      <c r="BH87" s="102"/>
      <c r="BI87" s="102"/>
      <c r="BJ87" s="102"/>
      <c r="BK87" s="102"/>
      <c r="BL87" s="103"/>
      <c r="BM87" s="56"/>
      <c r="BN87" s="56"/>
    </row>
    <row r="88" spans="1:66" ht="24" customHeight="1" x14ac:dyDescent="0.45">
      <c r="A88" s="55"/>
      <c r="B88" s="55"/>
      <c r="C88" s="72">
        <f t="shared" si="0"/>
        <v>79</v>
      </c>
      <c r="D88" s="59"/>
      <c r="E88" s="60"/>
      <c r="F88" s="60"/>
      <c r="G88" s="61"/>
      <c r="H88" s="60"/>
      <c r="I88" s="60"/>
      <c r="J88" s="60"/>
      <c r="K88" s="60"/>
      <c r="L88" s="162" t="s">
        <v>108</v>
      </c>
      <c r="M88" s="180"/>
      <c r="N88" s="180"/>
      <c r="O88" s="181"/>
      <c r="P88" s="35" t="s">
        <v>56</v>
      </c>
      <c r="Q88" s="99"/>
      <c r="R88" s="99"/>
      <c r="S88" s="99"/>
      <c r="T88" s="99"/>
      <c r="U88" s="99"/>
      <c r="V88" s="99"/>
      <c r="W88" s="100"/>
      <c r="X88" s="239" t="s">
        <v>114</v>
      </c>
      <c r="Y88" s="237"/>
      <c r="Z88" s="237"/>
      <c r="AA88" s="237"/>
      <c r="AB88" s="237"/>
      <c r="AC88" s="237"/>
      <c r="AD88" s="237"/>
      <c r="AE88" s="238"/>
      <c r="AF88" s="98"/>
      <c r="AG88" s="99"/>
      <c r="AH88" s="99"/>
      <c r="AI88" s="99"/>
      <c r="AJ88" s="99"/>
      <c r="AK88" s="99"/>
      <c r="AL88" s="99"/>
      <c r="AM88" s="99"/>
      <c r="AN88" s="104"/>
      <c r="AO88" s="240">
        <v>45715</v>
      </c>
      <c r="AP88" s="241"/>
      <c r="AQ88" s="236" t="s">
        <v>198</v>
      </c>
      <c r="AR88" s="232"/>
      <c r="AS88" s="236" t="s">
        <v>157</v>
      </c>
      <c r="AT88" s="242"/>
      <c r="AU88" s="105"/>
      <c r="AV88" s="106"/>
      <c r="AW88" s="96"/>
      <c r="AX88" s="97"/>
      <c r="AY88" s="96"/>
      <c r="AZ88" s="107"/>
      <c r="BA88" s="101"/>
      <c r="BB88" s="102"/>
      <c r="BC88" s="102"/>
      <c r="BD88" s="102"/>
      <c r="BE88" s="102"/>
      <c r="BF88" s="102"/>
      <c r="BG88" s="102"/>
      <c r="BH88" s="102"/>
      <c r="BI88" s="102"/>
      <c r="BJ88" s="102"/>
      <c r="BK88" s="102"/>
      <c r="BL88" s="103"/>
      <c r="BM88" s="56"/>
      <c r="BN88" s="56"/>
    </row>
    <row r="89" spans="1:66" ht="24" customHeight="1" x14ac:dyDescent="0.45">
      <c r="A89" s="55"/>
      <c r="B89" s="55"/>
      <c r="C89" s="72">
        <f t="shared" si="0"/>
        <v>80</v>
      </c>
      <c r="D89" s="59"/>
      <c r="E89" s="60"/>
      <c r="F89" s="60"/>
      <c r="G89" s="61"/>
      <c r="H89" s="110"/>
      <c r="I89" s="111"/>
      <c r="J89" s="111"/>
      <c r="K89" s="112"/>
      <c r="L89" s="162" t="s">
        <v>109</v>
      </c>
      <c r="M89" s="180"/>
      <c r="N89" s="180"/>
      <c r="O89" s="181"/>
      <c r="P89" s="35" t="s">
        <v>56</v>
      </c>
      <c r="Q89" s="99"/>
      <c r="R89" s="99"/>
      <c r="S89" s="99"/>
      <c r="T89" s="99"/>
      <c r="U89" s="99"/>
      <c r="V89" s="99"/>
      <c r="W89" s="100"/>
      <c r="X89" s="239" t="s">
        <v>114</v>
      </c>
      <c r="Y89" s="237"/>
      <c r="Z89" s="237"/>
      <c r="AA89" s="237"/>
      <c r="AB89" s="237"/>
      <c r="AC89" s="237"/>
      <c r="AD89" s="237"/>
      <c r="AE89" s="238"/>
      <c r="AF89" s="98"/>
      <c r="AG89" s="99"/>
      <c r="AH89" s="99"/>
      <c r="AI89" s="99"/>
      <c r="AJ89" s="99"/>
      <c r="AK89" s="99"/>
      <c r="AL89" s="99"/>
      <c r="AM89" s="99"/>
      <c r="AN89" s="104"/>
      <c r="AO89" s="240">
        <v>45715</v>
      </c>
      <c r="AP89" s="241"/>
      <c r="AQ89" s="236" t="s">
        <v>198</v>
      </c>
      <c r="AR89" s="232"/>
      <c r="AS89" s="236" t="s">
        <v>157</v>
      </c>
      <c r="AT89" s="242"/>
      <c r="AU89" s="105"/>
      <c r="AV89" s="106"/>
      <c r="AW89" s="96"/>
      <c r="AX89" s="97"/>
      <c r="AY89" s="96"/>
      <c r="AZ89" s="107"/>
      <c r="BA89" s="101"/>
      <c r="BB89" s="102"/>
      <c r="BC89" s="102"/>
      <c r="BD89" s="102"/>
      <c r="BE89" s="102"/>
      <c r="BF89" s="102"/>
      <c r="BG89" s="102"/>
      <c r="BH89" s="102"/>
      <c r="BI89" s="102"/>
      <c r="BJ89" s="102"/>
      <c r="BK89" s="102"/>
      <c r="BL89" s="103"/>
      <c r="BM89" s="56"/>
      <c r="BN89" s="56"/>
    </row>
    <row r="90" spans="1:66" ht="24" customHeight="1" thickBot="1" x14ac:dyDescent="0.5">
      <c r="A90" s="55"/>
      <c r="B90" s="55"/>
      <c r="C90" s="72">
        <f t="shared" si="0"/>
        <v>81</v>
      </c>
      <c r="D90" s="59"/>
      <c r="E90" s="60"/>
      <c r="F90" s="60"/>
      <c r="G90" s="61"/>
      <c r="H90" s="35" t="s">
        <v>60</v>
      </c>
      <c r="I90" s="102"/>
      <c r="J90" s="102"/>
      <c r="K90" s="108"/>
      <c r="L90" s="109" t="s">
        <v>58</v>
      </c>
      <c r="M90" s="102"/>
      <c r="N90" s="102"/>
      <c r="O90" s="108"/>
      <c r="P90" s="109" t="s">
        <v>59</v>
      </c>
      <c r="Q90" s="109"/>
      <c r="R90" s="60"/>
      <c r="S90" s="60"/>
      <c r="T90" s="60"/>
      <c r="U90" s="60"/>
      <c r="V90" s="60"/>
      <c r="W90" s="116"/>
      <c r="X90" s="239" t="s">
        <v>115</v>
      </c>
      <c r="Y90" s="237"/>
      <c r="Z90" s="237"/>
      <c r="AA90" s="237"/>
      <c r="AB90" s="237"/>
      <c r="AC90" s="237"/>
      <c r="AD90" s="237"/>
      <c r="AE90" s="238"/>
      <c r="AF90" s="98"/>
      <c r="AG90" s="99"/>
      <c r="AH90" s="99"/>
      <c r="AI90" s="99"/>
      <c r="AJ90" s="99"/>
      <c r="AK90" s="99"/>
      <c r="AL90" s="99"/>
      <c r="AM90" s="99"/>
      <c r="AN90" s="104"/>
      <c r="AO90" s="240">
        <v>45715</v>
      </c>
      <c r="AP90" s="241"/>
      <c r="AQ90" s="236" t="s">
        <v>198</v>
      </c>
      <c r="AR90" s="232"/>
      <c r="AS90" s="236" t="s">
        <v>157</v>
      </c>
      <c r="AT90" s="242"/>
      <c r="AU90" s="105"/>
      <c r="AV90" s="106"/>
      <c r="AW90" s="96"/>
      <c r="AX90" s="97"/>
      <c r="AY90" s="96"/>
      <c r="AZ90" s="107"/>
      <c r="BA90" s="101"/>
      <c r="BB90" s="102"/>
      <c r="BC90" s="102"/>
      <c r="BD90" s="102"/>
      <c r="BE90" s="102"/>
      <c r="BF90" s="102"/>
      <c r="BG90" s="102"/>
      <c r="BH90" s="102"/>
      <c r="BI90" s="102"/>
      <c r="BJ90" s="102"/>
      <c r="BK90" s="102"/>
      <c r="BL90" s="103"/>
      <c r="BM90" s="56"/>
      <c r="BN90" s="56"/>
    </row>
    <row r="91" spans="1:66" ht="20.100000000000001" customHeight="1" thickTop="1" thickBot="1" x14ac:dyDescent="0.5">
      <c r="A91" s="55"/>
      <c r="B91" s="8"/>
      <c r="C91" s="12"/>
      <c r="D91" s="12"/>
      <c r="E91" s="12"/>
      <c r="F91" s="12"/>
      <c r="G91" s="12"/>
      <c r="H91" s="12"/>
      <c r="I91" s="12"/>
      <c r="J91" s="12"/>
      <c r="K91" s="12"/>
      <c r="L91" s="12"/>
      <c r="M91" s="12"/>
      <c r="N91" s="12"/>
      <c r="O91" s="12"/>
      <c r="P91" s="18"/>
      <c r="Q91" s="18"/>
      <c r="R91" s="18"/>
      <c r="S91" s="18"/>
      <c r="T91" s="18"/>
      <c r="U91" s="18"/>
      <c r="V91" s="18"/>
      <c r="W91" s="18"/>
      <c r="X91" s="18"/>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8"/>
      <c r="BN91" s="56"/>
    </row>
    <row r="92" spans="1:66" ht="5.0999999999999996" customHeight="1" thickTop="1" x14ac:dyDescent="0.45">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row>
    <row r="93" spans="1:66" ht="20.100000000000001" customHeight="1" x14ac:dyDescent="0.45">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row>
  </sheetData>
  <mergeCells count="409">
    <mergeCell ref="AO90:AP90"/>
    <mergeCell ref="AQ90:AR90"/>
    <mergeCell ref="AS90:AT90"/>
    <mergeCell ref="AO87:AP87"/>
    <mergeCell ref="AQ87:AR87"/>
    <mergeCell ref="AS87:AT87"/>
    <mergeCell ref="AO88:AP88"/>
    <mergeCell ref="AQ88:AR88"/>
    <mergeCell ref="AS88:AT88"/>
    <mergeCell ref="AO89:AP89"/>
    <mergeCell ref="AQ89:AR89"/>
    <mergeCell ref="AS89:AT89"/>
    <mergeCell ref="AO84:AP84"/>
    <mergeCell ref="AQ84:AR84"/>
    <mergeCell ref="AS84:AT84"/>
    <mergeCell ref="AO85:AP85"/>
    <mergeCell ref="AQ85:AR85"/>
    <mergeCell ref="AS85:AT85"/>
    <mergeCell ref="AO86:AP86"/>
    <mergeCell ref="AQ86:AR86"/>
    <mergeCell ref="AS86:AT86"/>
    <mergeCell ref="AO81:AP81"/>
    <mergeCell ref="AQ81:AR81"/>
    <mergeCell ref="AS81:AT81"/>
    <mergeCell ref="AO82:AP82"/>
    <mergeCell ref="AQ82:AR82"/>
    <mergeCell ref="AS82:AT82"/>
    <mergeCell ref="AO83:AP83"/>
    <mergeCell ref="AQ83:AR83"/>
    <mergeCell ref="AS83:AT83"/>
    <mergeCell ref="AO78:AP78"/>
    <mergeCell ref="AQ78:AR78"/>
    <mergeCell ref="AS78:AT78"/>
    <mergeCell ref="AO79:AP79"/>
    <mergeCell ref="AQ79:AR79"/>
    <mergeCell ref="AS79:AT79"/>
    <mergeCell ref="AO80:AP80"/>
    <mergeCell ref="AQ80:AR80"/>
    <mergeCell ref="AS80:AT80"/>
    <mergeCell ref="AO75:AP75"/>
    <mergeCell ref="AQ75:AR75"/>
    <mergeCell ref="AS75:AT75"/>
    <mergeCell ref="AO76:AP76"/>
    <mergeCell ref="AQ76:AR76"/>
    <mergeCell ref="AS76:AT76"/>
    <mergeCell ref="AO77:AP77"/>
    <mergeCell ref="AQ77:AR77"/>
    <mergeCell ref="AS77:AT77"/>
    <mergeCell ref="AO72:AP72"/>
    <mergeCell ref="AQ72:AR72"/>
    <mergeCell ref="AS72:AT72"/>
    <mergeCell ref="AO73:AP73"/>
    <mergeCell ref="AQ73:AR73"/>
    <mergeCell ref="AS73:AT73"/>
    <mergeCell ref="AO74:AP74"/>
    <mergeCell ref="AQ74:AR74"/>
    <mergeCell ref="AS74:AT74"/>
    <mergeCell ref="AO69:AP69"/>
    <mergeCell ref="AQ69:AR69"/>
    <mergeCell ref="AS69:AT69"/>
    <mergeCell ref="AO70:AP70"/>
    <mergeCell ref="AQ70:AR70"/>
    <mergeCell ref="AS70:AT70"/>
    <mergeCell ref="AO71:AP71"/>
    <mergeCell ref="AQ71:AR71"/>
    <mergeCell ref="AS71:AT71"/>
    <mergeCell ref="AO66:AP66"/>
    <mergeCell ref="AQ66:AR66"/>
    <mergeCell ref="AS66:AT66"/>
    <mergeCell ref="AO67:AP67"/>
    <mergeCell ref="AQ67:AR67"/>
    <mergeCell ref="AS67:AT67"/>
    <mergeCell ref="AO68:AP68"/>
    <mergeCell ref="AQ68:AR68"/>
    <mergeCell ref="AS68:AT68"/>
    <mergeCell ref="AO63:AP63"/>
    <mergeCell ref="AQ63:AR63"/>
    <mergeCell ref="AS63:AT63"/>
    <mergeCell ref="AO64:AP64"/>
    <mergeCell ref="AQ64:AR64"/>
    <mergeCell ref="AS64:AT64"/>
    <mergeCell ref="AO65:AP65"/>
    <mergeCell ref="AQ65:AR65"/>
    <mergeCell ref="AS65:AT65"/>
    <mergeCell ref="AO60:AP60"/>
    <mergeCell ref="AQ60:AR60"/>
    <mergeCell ref="AS60:AT60"/>
    <mergeCell ref="AO61:AP61"/>
    <mergeCell ref="AQ61:AR61"/>
    <mergeCell ref="AS61:AT61"/>
    <mergeCell ref="AO62:AP62"/>
    <mergeCell ref="AQ62:AR62"/>
    <mergeCell ref="AS62:AT62"/>
    <mergeCell ref="AO57:AP57"/>
    <mergeCell ref="AQ57:AR57"/>
    <mergeCell ref="AS57:AT57"/>
    <mergeCell ref="AO58:AP58"/>
    <mergeCell ref="AQ58:AR58"/>
    <mergeCell ref="AS58:AT58"/>
    <mergeCell ref="AO59:AP59"/>
    <mergeCell ref="AQ59:AR59"/>
    <mergeCell ref="AS59:AT59"/>
    <mergeCell ref="AO54:AP54"/>
    <mergeCell ref="AQ54:AR54"/>
    <mergeCell ref="AS54:AT54"/>
    <mergeCell ref="AO55:AP55"/>
    <mergeCell ref="AQ55:AR55"/>
    <mergeCell ref="AS55:AT55"/>
    <mergeCell ref="AO56:AP56"/>
    <mergeCell ref="AQ56:AR56"/>
    <mergeCell ref="AS56:AT56"/>
    <mergeCell ref="AO51:AP51"/>
    <mergeCell ref="AQ51:AR51"/>
    <mergeCell ref="AS51:AT51"/>
    <mergeCell ref="AO52:AP52"/>
    <mergeCell ref="AQ52:AR52"/>
    <mergeCell ref="AS52:AT52"/>
    <mergeCell ref="AO53:AP53"/>
    <mergeCell ref="AQ53:AR53"/>
    <mergeCell ref="AS53:AT53"/>
    <mergeCell ref="AO48:AP48"/>
    <mergeCell ref="AQ48:AR48"/>
    <mergeCell ref="AS48:AT48"/>
    <mergeCell ref="AO49:AP49"/>
    <mergeCell ref="AQ49:AR49"/>
    <mergeCell ref="AS49:AT49"/>
    <mergeCell ref="AO50:AP50"/>
    <mergeCell ref="AQ50:AR50"/>
    <mergeCell ref="AS50:AT50"/>
    <mergeCell ref="AO45:AP45"/>
    <mergeCell ref="AQ45:AR45"/>
    <mergeCell ref="AS45:AT45"/>
    <mergeCell ref="AO46:AP46"/>
    <mergeCell ref="AQ46:AR46"/>
    <mergeCell ref="AS46:AT46"/>
    <mergeCell ref="AO47:AP47"/>
    <mergeCell ref="AQ47:AR47"/>
    <mergeCell ref="AS47:AT47"/>
    <mergeCell ref="AO42:AP42"/>
    <mergeCell ref="AQ42:AR42"/>
    <mergeCell ref="AS42:AT42"/>
    <mergeCell ref="AO43:AP43"/>
    <mergeCell ref="AQ43:AR43"/>
    <mergeCell ref="AS43:AT43"/>
    <mergeCell ref="AO44:AP44"/>
    <mergeCell ref="AQ44:AR44"/>
    <mergeCell ref="AS44:AT44"/>
    <mergeCell ref="AO39:AP39"/>
    <mergeCell ref="AQ39:AR39"/>
    <mergeCell ref="AS39:AT39"/>
    <mergeCell ref="AO40:AP40"/>
    <mergeCell ref="AQ40:AR40"/>
    <mergeCell ref="AS40:AT40"/>
    <mergeCell ref="AO41:AP41"/>
    <mergeCell ref="AQ41:AR41"/>
    <mergeCell ref="AS41:AT41"/>
    <mergeCell ref="AO36:AP36"/>
    <mergeCell ref="AQ36:AR36"/>
    <mergeCell ref="AS36:AT36"/>
    <mergeCell ref="AO37:AP37"/>
    <mergeCell ref="AQ37:AR37"/>
    <mergeCell ref="AS37:AT37"/>
    <mergeCell ref="AO38:AP38"/>
    <mergeCell ref="AQ38:AR38"/>
    <mergeCell ref="AS38:AT38"/>
    <mergeCell ref="AO33:AP33"/>
    <mergeCell ref="AQ33:AR33"/>
    <mergeCell ref="AS33:AT33"/>
    <mergeCell ref="AO34:AP34"/>
    <mergeCell ref="AQ34:AR34"/>
    <mergeCell ref="AS34:AT34"/>
    <mergeCell ref="AO35:AP35"/>
    <mergeCell ref="AQ35:AR35"/>
    <mergeCell ref="AS35:AT35"/>
    <mergeCell ref="AO30:AP30"/>
    <mergeCell ref="AQ30:AR30"/>
    <mergeCell ref="AS30:AT30"/>
    <mergeCell ref="AO31:AP31"/>
    <mergeCell ref="AQ31:AR31"/>
    <mergeCell ref="AS31:AT31"/>
    <mergeCell ref="AO32:AP32"/>
    <mergeCell ref="AQ32:AR32"/>
    <mergeCell ref="AS32:AT32"/>
    <mergeCell ref="AO27:AP27"/>
    <mergeCell ref="AQ27:AR27"/>
    <mergeCell ref="AS27:AT27"/>
    <mergeCell ref="AO28:AP28"/>
    <mergeCell ref="AQ28:AR28"/>
    <mergeCell ref="AS28:AT28"/>
    <mergeCell ref="AO29:AP29"/>
    <mergeCell ref="AQ29:AR29"/>
    <mergeCell ref="AS29:AT29"/>
    <mergeCell ref="AO24:AP24"/>
    <mergeCell ref="AQ24:AR24"/>
    <mergeCell ref="AS24:AT24"/>
    <mergeCell ref="AO25:AP25"/>
    <mergeCell ref="AQ25:AR25"/>
    <mergeCell ref="AS25:AT25"/>
    <mergeCell ref="AO26:AP26"/>
    <mergeCell ref="AQ26:AR26"/>
    <mergeCell ref="AS26:AT26"/>
    <mergeCell ref="AO21:AP21"/>
    <mergeCell ref="AQ21:AR21"/>
    <mergeCell ref="AS21:AT21"/>
    <mergeCell ref="AO22:AP22"/>
    <mergeCell ref="AQ22:AR22"/>
    <mergeCell ref="AS22:AT22"/>
    <mergeCell ref="AO23:AP23"/>
    <mergeCell ref="AQ23:AR23"/>
    <mergeCell ref="AS23:AT23"/>
    <mergeCell ref="AO18:AP18"/>
    <mergeCell ref="AQ18:AR18"/>
    <mergeCell ref="AS18:AT18"/>
    <mergeCell ref="AO19:AP19"/>
    <mergeCell ref="AQ19:AR19"/>
    <mergeCell ref="AS19:AT19"/>
    <mergeCell ref="AO20:AP20"/>
    <mergeCell ref="AQ20:AR20"/>
    <mergeCell ref="AS20:AT20"/>
    <mergeCell ref="AO15:AP15"/>
    <mergeCell ref="AQ15:AR15"/>
    <mergeCell ref="AS15:AT15"/>
    <mergeCell ref="AO16:AP16"/>
    <mergeCell ref="AQ16:AR16"/>
    <mergeCell ref="AS16:AT16"/>
    <mergeCell ref="AO17:AP17"/>
    <mergeCell ref="AQ17:AR17"/>
    <mergeCell ref="AS17:AT17"/>
    <mergeCell ref="AO12:AP12"/>
    <mergeCell ref="AQ12:AR12"/>
    <mergeCell ref="AS12:AT12"/>
    <mergeCell ref="AO13:AP13"/>
    <mergeCell ref="AQ13:AR13"/>
    <mergeCell ref="AS13:AT13"/>
    <mergeCell ref="AO14:AP14"/>
    <mergeCell ref="AQ14:AR14"/>
    <mergeCell ref="AS14:AT14"/>
    <mergeCell ref="X53:AE53"/>
    <mergeCell ref="X54:AE54"/>
    <mergeCell ref="X55:AE55"/>
    <mergeCell ref="X56:AE56"/>
    <mergeCell ref="X57:AE57"/>
    <mergeCell ref="X90:AE90"/>
    <mergeCell ref="X84:AE84"/>
    <mergeCell ref="X85:AE85"/>
    <mergeCell ref="X86:AE86"/>
    <mergeCell ref="X87:AE87"/>
    <mergeCell ref="X88:AE88"/>
    <mergeCell ref="X89:AE89"/>
    <mergeCell ref="X78:AE78"/>
    <mergeCell ref="X79:AE79"/>
    <mergeCell ref="X80:AE80"/>
    <mergeCell ref="X81:AE81"/>
    <mergeCell ref="X82:AE82"/>
    <mergeCell ref="X83:AE83"/>
    <mergeCell ref="X72:AE72"/>
    <mergeCell ref="X73:AE73"/>
    <mergeCell ref="X74:AE74"/>
    <mergeCell ref="X75:AE75"/>
    <mergeCell ref="X76:AE76"/>
    <mergeCell ref="X77:AE77"/>
    <mergeCell ref="X68:AE68"/>
    <mergeCell ref="X69:AE69"/>
    <mergeCell ref="X70:AE70"/>
    <mergeCell ref="X71:AE71"/>
    <mergeCell ref="X64:AE64"/>
    <mergeCell ref="X65:AE65"/>
    <mergeCell ref="X66:AE66"/>
    <mergeCell ref="X67:AE67"/>
    <mergeCell ref="X58:AE58"/>
    <mergeCell ref="X59:AE59"/>
    <mergeCell ref="X60:AE60"/>
    <mergeCell ref="X61:AE61"/>
    <mergeCell ref="X62:AE62"/>
    <mergeCell ref="X63:AE63"/>
    <mergeCell ref="P49:W49"/>
    <mergeCell ref="X49:AE49"/>
    <mergeCell ref="L50:O50"/>
    <mergeCell ref="X50:AE50"/>
    <mergeCell ref="X51:AE51"/>
    <mergeCell ref="X52:AE52"/>
    <mergeCell ref="P41:W41"/>
    <mergeCell ref="X41:AE41"/>
    <mergeCell ref="P47:W47"/>
    <mergeCell ref="X47:AE47"/>
    <mergeCell ref="P48:W48"/>
    <mergeCell ref="X48:AE48"/>
    <mergeCell ref="P42:W42"/>
    <mergeCell ref="X42:AE42"/>
    <mergeCell ref="P43:W43"/>
    <mergeCell ref="X43:AE43"/>
    <mergeCell ref="P44:W44"/>
    <mergeCell ref="X44:AE44"/>
    <mergeCell ref="P45:W45"/>
    <mergeCell ref="X45:AE45"/>
    <mergeCell ref="P46:W46"/>
    <mergeCell ref="X46:AE46"/>
    <mergeCell ref="P38:W38"/>
    <mergeCell ref="X38:AE38"/>
    <mergeCell ref="P39:W39"/>
    <mergeCell ref="X39:AE39"/>
    <mergeCell ref="P40:W40"/>
    <mergeCell ref="X40:AE40"/>
    <mergeCell ref="P35:W35"/>
    <mergeCell ref="X35:AE35"/>
    <mergeCell ref="P36:W36"/>
    <mergeCell ref="X36:AE36"/>
    <mergeCell ref="P37:W37"/>
    <mergeCell ref="X37:AE37"/>
    <mergeCell ref="P32:W32"/>
    <mergeCell ref="X32:AE32"/>
    <mergeCell ref="P33:W33"/>
    <mergeCell ref="X33:AE33"/>
    <mergeCell ref="P34:W34"/>
    <mergeCell ref="X34:AE34"/>
    <mergeCell ref="P29:W29"/>
    <mergeCell ref="X29:AE29"/>
    <mergeCell ref="P30:W30"/>
    <mergeCell ref="X30:AE30"/>
    <mergeCell ref="P31:W31"/>
    <mergeCell ref="X31:AE31"/>
    <mergeCell ref="P26:W26"/>
    <mergeCell ref="X26:AE26"/>
    <mergeCell ref="P27:W27"/>
    <mergeCell ref="X27:AE27"/>
    <mergeCell ref="P28:W28"/>
    <mergeCell ref="X28:AE28"/>
    <mergeCell ref="P23:W23"/>
    <mergeCell ref="X23:AE23"/>
    <mergeCell ref="P24:W24"/>
    <mergeCell ref="X24:AE24"/>
    <mergeCell ref="P25:W25"/>
    <mergeCell ref="X25:AE25"/>
    <mergeCell ref="P21:W21"/>
    <mergeCell ref="X21:AE21"/>
    <mergeCell ref="P22:W22"/>
    <mergeCell ref="X22:AE22"/>
    <mergeCell ref="P18:W18"/>
    <mergeCell ref="X18:AE18"/>
    <mergeCell ref="P19:W19"/>
    <mergeCell ref="X19:AE19"/>
    <mergeCell ref="P20:W20"/>
    <mergeCell ref="X20:AE20"/>
    <mergeCell ref="P15:W15"/>
    <mergeCell ref="X15:AE15"/>
    <mergeCell ref="P16:W16"/>
    <mergeCell ref="X16:AE16"/>
    <mergeCell ref="P17:W17"/>
    <mergeCell ref="X17:AE17"/>
    <mergeCell ref="P12:W12"/>
    <mergeCell ref="X12:AE12"/>
    <mergeCell ref="P13:W13"/>
    <mergeCell ref="X13:AE13"/>
    <mergeCell ref="P14:W14"/>
    <mergeCell ref="X14:AE14"/>
    <mergeCell ref="BA10:BL10"/>
    <mergeCell ref="BE7:BF8"/>
    <mergeCell ref="BG7:BH7"/>
    <mergeCell ref="BI7:BJ7"/>
    <mergeCell ref="BK7:BL7"/>
    <mergeCell ref="P11:W11"/>
    <mergeCell ref="X11:AE11"/>
    <mergeCell ref="AY9:AZ9"/>
    <mergeCell ref="BA9:BL9"/>
    <mergeCell ref="AO9:AP9"/>
    <mergeCell ref="AQ9:AR9"/>
    <mergeCell ref="AS9:AT9"/>
    <mergeCell ref="AU9:AV9"/>
    <mergeCell ref="AW9:AX9"/>
    <mergeCell ref="AU8:AZ8"/>
    <mergeCell ref="BG8:BH8"/>
    <mergeCell ref="BI8:BJ8"/>
    <mergeCell ref="BK8:BL8"/>
    <mergeCell ref="AO11:AP11"/>
    <mergeCell ref="AQ11:AR11"/>
    <mergeCell ref="AS11:AT11"/>
    <mergeCell ref="AO8:AT8"/>
    <mergeCell ref="AS10:AT10"/>
    <mergeCell ref="AU10:AV10"/>
    <mergeCell ref="AW10:AX10"/>
    <mergeCell ref="AY10:AZ10"/>
    <mergeCell ref="AK3:AW4"/>
    <mergeCell ref="D10:G10"/>
    <mergeCell ref="H10:K10"/>
    <mergeCell ref="L10:O10"/>
    <mergeCell ref="P10:W10"/>
    <mergeCell ref="X10:AE10"/>
    <mergeCell ref="AF10:AN10"/>
    <mergeCell ref="AO10:AP10"/>
    <mergeCell ref="AQ10:AR10"/>
    <mergeCell ref="B2:G2"/>
    <mergeCell ref="H2:K2"/>
    <mergeCell ref="L2:Q2"/>
    <mergeCell ref="R2:W2"/>
    <mergeCell ref="X2:AJ2"/>
    <mergeCell ref="AK2:AW2"/>
    <mergeCell ref="BB3:BE4"/>
    <mergeCell ref="BF3:BI4"/>
    <mergeCell ref="BJ3:BM4"/>
    <mergeCell ref="AX2:BA2"/>
    <mergeCell ref="BB2:BE2"/>
    <mergeCell ref="BF2:BI2"/>
    <mergeCell ref="BJ2:BM2"/>
    <mergeCell ref="AX3:BA4"/>
    <mergeCell ref="B3:G4"/>
    <mergeCell ref="H3:K4"/>
    <mergeCell ref="L3:Q4"/>
    <mergeCell ref="R3:W4"/>
    <mergeCell ref="X3:AJ4"/>
  </mergeCells>
  <phoneticPr fontId="2"/>
  <conditionalFormatting sqref="AY10:AY90">
    <cfRule type="cellIs" dxfId="15" priority="7" operator="equal">
      <formula>"OK"</formula>
    </cfRule>
    <cfRule type="cellIs" dxfId="14" priority="8" operator="equal">
      <formula>"NG"</formula>
    </cfRule>
  </conditionalFormatting>
  <conditionalFormatting sqref="AS10">
    <cfRule type="cellIs" dxfId="5" priority="5" operator="equal">
      <formula>"OK"</formula>
    </cfRule>
    <cfRule type="cellIs" dxfId="4" priority="6" operator="equal">
      <formula>"NG"</formula>
    </cfRule>
  </conditionalFormatting>
  <conditionalFormatting sqref="AS11:AS49">
    <cfRule type="cellIs" dxfId="3" priority="3" operator="equal">
      <formula>"OK"</formula>
    </cfRule>
    <cfRule type="cellIs" dxfId="2" priority="4" operator="equal">
      <formula>"NG"</formula>
    </cfRule>
  </conditionalFormatting>
  <conditionalFormatting sqref="AS50:AS90">
    <cfRule type="cellIs" dxfId="1" priority="1" operator="equal">
      <formula>"OK"</formula>
    </cfRule>
    <cfRule type="cellIs" dxfId="0" priority="2" operator="equal">
      <formula>"NG"</formula>
    </cfRule>
  </conditionalFormatting>
  <dataValidations count="1">
    <dataValidation type="list" allowBlank="1" showInputMessage="1" showErrorMessage="1" sqref="AY10:AY90 AS10:AS90">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G27" sqref="G27"/>
    </sheetView>
  </sheetViews>
  <sheetFormatPr defaultRowHeight="18" x14ac:dyDescent="0.45"/>
  <sheetData>
    <row r="1" spans="1:1" x14ac:dyDescent="0.45">
      <c r="A1" s="2" t="s">
        <v>15</v>
      </c>
    </row>
    <row r="2" spans="1:1" x14ac:dyDescent="0.45">
      <c r="A2" s="6" t="s">
        <v>16</v>
      </c>
    </row>
    <row r="3" spans="1:1" x14ac:dyDescent="0.45">
      <c r="A3" s="6" t="s">
        <v>17</v>
      </c>
    </row>
    <row r="4" spans="1:1" x14ac:dyDescent="0.45">
      <c r="A4" s="6" t="s">
        <v>18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10</vt:i4>
      </vt:variant>
    </vt:vector>
  </HeadingPairs>
  <TitlesOfParts>
    <vt:vector size="16" baseType="lpstr">
      <vt:lpstr>変更履歴</vt:lpstr>
      <vt:lpstr>一覧画面</vt:lpstr>
      <vt:lpstr>新規更新共通</vt:lpstr>
      <vt:lpstr>新規登録画面</vt:lpstr>
      <vt:lpstr>更新画面</vt:lpstr>
      <vt:lpstr>参照</vt:lpstr>
      <vt:lpstr>一覧画面!Print_Area</vt:lpstr>
      <vt:lpstr>更新画面!Print_Area</vt:lpstr>
      <vt:lpstr>新規更新共通!Print_Area</vt:lpstr>
      <vt:lpstr>新規登録画面!Print_Area</vt:lpstr>
      <vt:lpstr>変更履歴!Print_Area</vt:lpstr>
      <vt:lpstr>一覧画面!Print_Titles</vt:lpstr>
      <vt:lpstr>更新画面!Print_Titles</vt:lpstr>
      <vt:lpstr>新規更新共通!Print_Titles</vt:lpstr>
      <vt:lpstr>新規登録画面!Print_Titles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2021-08-19T04:42:28Z</cp:lastPrinted>
  <dcterms:created xsi:type="dcterms:W3CDTF">2021-04-12T04:47:05Z</dcterms:created>
  <dcterms:modified xsi:type="dcterms:W3CDTF">2025-02-27T03:54:53Z</dcterms:modified>
</cp:coreProperties>
</file>