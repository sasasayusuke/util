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 activeTab="1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画面!$A$1:$BN$17</definedName>
    <definedName name="_xlnm.Print_Area" localSheetId="2">帳票!$A$1:$BN$29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4" l="1"/>
  <c r="L3" i="19" l="1"/>
  <c r="C11" i="24" l="1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12" i="19" l="1"/>
  <c r="C13" i="19"/>
  <c r="C14" i="19"/>
  <c r="C15" i="19"/>
  <c r="C11" i="19"/>
  <c r="C10" i="24" l="1"/>
  <c r="BI8" i="24" l="1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<sst xmlns="http://schemas.openxmlformats.org/spreadsheetml/2006/main" count="220" uniqueCount="89">
  <si>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</si>
  <si>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</si>
  <si>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</si>
  <si>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</si>
  <si>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</si>
  <si>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</si>
  <si>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</si>
  <si>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</si>
  <si>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</si>
  <si>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</si>
  <si>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</si>
  <si>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</si>
  <si>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</si>
  <si>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</si>
  <si>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</si>
  <si>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</si>
  <si>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</si>
  <si>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</si>
  <si>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</si>
  <si>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</si>
  <si>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</si>
  <si>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</si>
  <si>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</si>
  <si>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</si>
  <si>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</si>
  <si>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</si>
  <si>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</si>
  <si>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</si>
  <si>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</si>
  <si>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</si>
  <si>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</si>
  <si>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</si>
  <si>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</si>
  <si>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</si>
  <si>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</si>
  <si>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</si>
  <si>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</si>
  <si>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</si>
  <si>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</si>
  <si>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</si>
  <si>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</si>
  <si>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</si>
  <si>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</si>
  <si>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</si>
  <si>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</si>
  <si>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</si>
  <si>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</si>
  <si>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</si>
  <si>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</si>
  <si>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</si>
  <si>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</si>
  <si>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</si>
  <si>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</si>
  <si>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出力種類</t>
    <rPh sb="0" eb="2">
      <t>シュツリョク</t>
    </rPh>
    <rPh sb="2" eb="4">
      <t>シュルイ</t>
    </rPh>
    <phoneticPr fontId="2"/>
  </si>
  <si>
    <t>入力欄が活性、かつ空欄であること。</t>
    <rPh sb="9" eb="11">
      <t>クウラン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</si>
  <si>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</si>
  <si>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</t>
    <rPh sb="0" eb="2">
      <t>シュツリョク</t>
    </rPh>
    <phoneticPr fontId="2"/>
  </si>
  <si>
    <t>出力ボタンを押下する</t>
    <rPh sb="0" eb="2">
      <t>シュツリョク</t>
    </rPh>
    <rPh sb="6" eb="8">
      <t>オウカ</t>
    </rPh>
    <phoneticPr fontId="2"/>
  </si>
  <si>
    <t>現行システムと同じデータがExcelで出力されること。</t>
    <phoneticPr fontId="2"/>
  </si>
  <si>
    <t>出力ボタン押下</t>
    <rPh sb="0" eb="2">
      <t>シュツリョク</t>
    </rPh>
    <phoneticPr fontId="2"/>
  </si>
  <si>
    <t>Excelで帳票がDLされること</t>
    <phoneticPr fontId="2"/>
  </si>
  <si>
    <t>複数ページとならないデータで出力ボタンを押下</t>
    <rPh sb="14" eb="16">
      <t>シュツリョク</t>
    </rPh>
    <phoneticPr fontId="2"/>
  </si>
  <si>
    <t>複数ページとなるデータで出力ボタンを押下</t>
    <rPh sb="12" eb="14">
      <t>シュツリョク</t>
    </rPh>
    <phoneticPr fontId="2"/>
  </si>
  <si>
    <t>集計年(from)</t>
    <rPh sb="0" eb="2">
      <t>シュウケイ</t>
    </rPh>
    <rPh sb="2" eb="3">
      <t>ドシ</t>
    </rPh>
    <phoneticPr fontId="2"/>
  </si>
  <si>
    <t>集計年(to)</t>
    <rPh sb="0" eb="2">
      <t>シュウケイ</t>
    </rPh>
    <rPh sb="2" eb="3">
      <t>ドシ</t>
    </rPh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</si>
  <si>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</si>
  <si>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</si>
  <si>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</si>
  <si>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期間from</t>
  </si>
  <si>
    <t>期間to</t>
  </si>
  <si>
    <t>集計年</t>
  </si>
  <si>
    <t>原価率合計</t>
  </si>
  <si>
    <t>順位</t>
  </si>
  <si>
    <t>前対比</t>
  </si>
  <si>
    <t>原価率</t>
  </si>
  <si>
    <t>パーセント</t>
  </si>
  <si>
    <t>メニューより仕入先別年間仕入順位推移表を起動する</t>
    <rPh sb="20" eb="22">
      <t>キドウ</t>
    </rPh>
    <phoneticPr fontId="2"/>
  </si>
  <si>
    <t>※詳細は「TK0200_仕入別年間仕入順位推移表_帳票設計書」を参照</t>
    <rPh sb="1" eb="3">
      <t>ショウサイ</t>
    </rPh>
    <rPh sb="32" eb="34">
      <t>サンショウ</t>
    </rPh>
    <phoneticPr fontId="2"/>
  </si>
  <si>
    <t>売上金額合計</t>
  </si>
  <si>
    <t>純仕入金額合計</t>
  </si>
  <si>
    <t>仕入先CD</t>
  </si>
  <si>
    <t>仕入先名1</t>
  </si>
  <si>
    <t>仕入先名2</t>
  </si>
  <si>
    <t>売上金額</t>
  </si>
  <si>
    <t>純仕入金額</t>
  </si>
  <si>
    <t>帳票</t>
    <phoneticPr fontId="2"/>
  </si>
  <si>
    <t>飯高</t>
    <rPh sb="0" eb="2">
      <t>イイダカ</t>
    </rPh>
    <phoneticPr fontId="2"/>
  </si>
  <si>
    <t>OK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</si>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</sst>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4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</cellXfs>
  <cellStyles count="2">
    <cellStyle name="標準" xfId="0" builtinId="0"/>
    <cellStyle name="標準 2 2" xfId="1"/>
  </cellStyles>
  <dxfs count="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selection activeCell="L3" sqref="L3:Q4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8" t="s">
        <v>0</v>
      </c>
      <c r="C2" s="171"/>
      <c r="D2" s="171"/>
      <c r="E2" s="171"/>
      <c r="F2" s="171"/>
      <c r="G2" s="171"/>
      <c r="H2" s="171" t="s">
        <v>40</v>
      </c>
      <c r="I2" s="171"/>
      <c r="J2" s="171"/>
      <c r="K2" s="171"/>
      <c r="L2" s="171" t="s">
        <v>41</v>
      </c>
      <c r="M2" s="171"/>
      <c r="N2" s="171"/>
      <c r="O2" s="171"/>
      <c r="P2" s="171"/>
      <c r="Q2" s="171"/>
      <c r="R2" s="171" t="s">
        <v>1</v>
      </c>
      <c r="S2" s="171"/>
      <c r="T2" s="171"/>
      <c r="U2" s="171"/>
      <c r="V2" s="171"/>
      <c r="W2" s="171"/>
      <c r="X2" s="183" t="s">
        <v>2</v>
      </c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5"/>
      <c r="AK2" s="183" t="s">
        <v>30</v>
      </c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5"/>
      <c r="AX2" s="171" t="s">
        <v>4</v>
      </c>
      <c r="AY2" s="171"/>
      <c r="AZ2" s="171"/>
      <c r="BA2" s="171"/>
      <c r="BB2" s="171" t="s">
        <v>3</v>
      </c>
      <c r="BC2" s="171"/>
      <c r="BD2" s="171"/>
      <c r="BE2" s="171"/>
      <c r="BF2" s="171" t="s">
        <v>5</v>
      </c>
      <c r="BG2" s="171"/>
      <c r="BH2" s="171"/>
      <c r="BI2" s="171"/>
      <c r="BJ2" s="171" t="s">
        <v>6</v>
      </c>
      <c r="BK2" s="171"/>
      <c r="BL2" s="171"/>
      <c r="BM2" s="172"/>
      <c r="BN2" s="15"/>
    </row>
    <row r="3" spans="1:66" ht="20.100000000000001" customHeight="1" x14ac:dyDescent="0.45">
      <c r="A3" s="9"/>
      <c r="B3" s="186" t="s">
        <v>38</v>
      </c>
      <c r="C3" s="174"/>
      <c r="D3" s="174"/>
      <c r="E3" s="174"/>
      <c r="F3" s="174"/>
      <c r="G3" s="174"/>
      <c r="H3" s="174" t="str">
        <f ca="1">LEFT($X$3,FIND("_",$X$3)-1)</f>
        <v>統計</v>
      </c>
      <c r="I3" s="174"/>
      <c r="J3" s="174"/>
      <c r="K3" s="174"/>
      <c r="L3" s="174" t="s">
        <v>39</v>
      </c>
      <c r="M3" s="174"/>
      <c r="N3" s="174"/>
      <c r="O3" s="174"/>
      <c r="P3" s="174"/>
      <c r="Q3" s="174"/>
      <c r="R3" s="187" t="str">
        <f ca="1">MID($X$3,FIND("_",$X$3,FIND("_",$X$3)+1)+1,LEN($X$3)-FIND("_",$X$3,FIND("_",$X$3)+1))</f>
        <v>結合試験項目</v>
      </c>
      <c r="S3" s="174"/>
      <c r="T3" s="174"/>
      <c r="U3" s="174"/>
      <c r="V3" s="174"/>
      <c r="W3" s="174"/>
      <c r="X3" s="177" t="str">
        <f ca="1">REPLACE(LEFT(CELL("filename",$B$2),FIND(".x",CELL("filename",$B$2))-1),1,FIND("[",CELL("filename",$B$2)),)</f>
        <v>統計_仕入先別年間仕入順位推移表_結合試験項目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MID($X$3,FIND("_",$X$3)+1,FIND("_",$X$3,FIND("_",$X$3)+1)-FIND("_",$X$3)-1)</f>
        <v>仕入先別年間仕入順位推移表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v>45636</v>
      </c>
      <c r="AY3" s="174"/>
      <c r="AZ3" s="174"/>
      <c r="BA3" s="174"/>
      <c r="BB3" s="174" t="s">
        <v>45</v>
      </c>
      <c r="BC3" s="174"/>
      <c r="BD3" s="174"/>
      <c r="BE3" s="174"/>
      <c r="BF3" s="173">
        <v>45636</v>
      </c>
      <c r="BG3" s="174"/>
      <c r="BH3" s="174"/>
      <c r="BI3" s="174"/>
      <c r="BJ3" s="174" t="s">
        <v>45</v>
      </c>
      <c r="BK3" s="174"/>
      <c r="BL3" s="174"/>
      <c r="BM3" s="176"/>
      <c r="BN3" s="15"/>
    </row>
    <row r="4" spans="1:66" ht="20.100000000000001" customHeight="1" thickBot="1" x14ac:dyDescent="0.5">
      <c r="A4" s="9"/>
      <c r="B4" s="179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0" t="s">
        <v>7</v>
      </c>
      <c r="D8" s="170"/>
      <c r="E8" s="170"/>
      <c r="F8" s="170"/>
      <c r="G8" s="170" t="s">
        <v>8</v>
      </c>
      <c r="H8" s="170"/>
      <c r="I8" s="170"/>
      <c r="J8" s="170"/>
      <c r="K8" s="170" t="s">
        <v>9</v>
      </c>
      <c r="L8" s="170"/>
      <c r="M8" s="170"/>
      <c r="N8" s="170"/>
      <c r="O8" s="170" t="s">
        <v>10</v>
      </c>
      <c r="P8" s="170"/>
      <c r="Q8" s="170"/>
      <c r="R8" s="170"/>
      <c r="S8" s="170"/>
      <c r="T8" s="170"/>
      <c r="U8" s="170"/>
      <c r="V8" s="170"/>
      <c r="W8" s="170"/>
      <c r="X8" s="170"/>
      <c r="Y8" s="170" t="s">
        <v>11</v>
      </c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8"/>
      <c r="BN8" s="15"/>
    </row>
    <row r="9" spans="1:66" ht="20.100000000000001" customHeight="1" x14ac:dyDescent="0.45">
      <c r="A9" s="9"/>
      <c r="B9" s="8"/>
      <c r="C9" s="169">
        <v>45636</v>
      </c>
      <c r="D9" s="167"/>
      <c r="E9" s="167"/>
      <c r="F9" s="168"/>
      <c r="G9" s="163" t="s">
        <v>20</v>
      </c>
      <c r="H9" s="164"/>
      <c r="I9" s="164"/>
      <c r="J9" s="165"/>
      <c r="K9" s="166"/>
      <c r="L9" s="167"/>
      <c r="M9" s="167"/>
      <c r="N9" s="168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69"/>
      <c r="D10" s="167"/>
      <c r="E10" s="167"/>
      <c r="F10" s="168"/>
      <c r="G10" s="163"/>
      <c r="H10" s="164"/>
      <c r="I10" s="164"/>
      <c r="J10" s="165"/>
      <c r="K10" s="166"/>
      <c r="L10" s="167"/>
      <c r="M10" s="167"/>
      <c r="N10" s="168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69"/>
      <c r="D11" s="167"/>
      <c r="E11" s="167"/>
      <c r="F11" s="168"/>
      <c r="G11" s="163"/>
      <c r="H11" s="164"/>
      <c r="I11" s="164"/>
      <c r="J11" s="165"/>
      <c r="K11" s="166"/>
      <c r="L11" s="167"/>
      <c r="M11" s="167"/>
      <c r="N11" s="168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69"/>
      <c r="D36" s="167"/>
      <c r="E36" s="167"/>
      <c r="F36" s="168"/>
      <c r="G36" s="163"/>
      <c r="H36" s="164"/>
      <c r="I36" s="164"/>
      <c r="J36" s="165"/>
      <c r="K36" s="166"/>
      <c r="L36" s="167"/>
      <c r="M36" s="167"/>
      <c r="N36" s="168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69"/>
      <c r="D37" s="167"/>
      <c r="E37" s="167"/>
      <c r="F37" s="168"/>
      <c r="G37" s="163"/>
      <c r="H37" s="164"/>
      <c r="I37" s="164"/>
      <c r="J37" s="165"/>
      <c r="K37" s="166"/>
      <c r="L37" s="167"/>
      <c r="M37" s="167"/>
      <c r="N37" s="168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69"/>
      <c r="D38" s="167"/>
      <c r="E38" s="167"/>
      <c r="F38" s="168"/>
      <c r="G38" s="163"/>
      <c r="H38" s="164"/>
      <c r="I38" s="164"/>
      <c r="J38" s="165"/>
      <c r="K38" s="166"/>
      <c r="L38" s="167"/>
      <c r="M38" s="167"/>
      <c r="N38" s="168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69"/>
      <c r="D39" s="167"/>
      <c r="E39" s="167"/>
      <c r="F39" s="168"/>
      <c r="G39" s="163"/>
      <c r="H39" s="164"/>
      <c r="I39" s="164"/>
      <c r="J39" s="165"/>
      <c r="K39" s="166"/>
      <c r="L39" s="167"/>
      <c r="M39" s="167"/>
      <c r="N39" s="168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69"/>
      <c r="D40" s="167"/>
      <c r="E40" s="167"/>
      <c r="F40" s="168"/>
      <c r="G40" s="163"/>
      <c r="H40" s="164"/>
      <c r="I40" s="164"/>
      <c r="J40" s="165"/>
      <c r="K40" s="166"/>
      <c r="L40" s="167"/>
      <c r="M40" s="167"/>
      <c r="N40" s="168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69"/>
      <c r="D41" s="167"/>
      <c r="E41" s="167"/>
      <c r="F41" s="168"/>
      <c r="G41" s="163"/>
      <c r="H41" s="164"/>
      <c r="I41" s="164"/>
      <c r="J41" s="165"/>
      <c r="K41" s="166"/>
      <c r="L41" s="167"/>
      <c r="M41" s="167"/>
      <c r="N41" s="168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69"/>
      <c r="D42" s="167"/>
      <c r="E42" s="167"/>
      <c r="F42" s="168"/>
      <c r="G42" s="163"/>
      <c r="H42" s="164"/>
      <c r="I42" s="164"/>
      <c r="J42" s="165"/>
      <c r="K42" s="166"/>
      <c r="L42" s="167"/>
      <c r="M42" s="167"/>
      <c r="N42" s="168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69"/>
      <c r="D43" s="167"/>
      <c r="E43" s="167"/>
      <c r="F43" s="168"/>
      <c r="G43" s="163"/>
      <c r="H43" s="164"/>
      <c r="I43" s="164"/>
      <c r="J43" s="165"/>
      <c r="K43" s="166"/>
      <c r="L43" s="167"/>
      <c r="M43" s="167"/>
      <c r="N43" s="168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69"/>
      <c r="D44" s="167"/>
      <c r="E44" s="167"/>
      <c r="F44" s="168"/>
      <c r="G44" s="163"/>
      <c r="H44" s="164"/>
      <c r="I44" s="164"/>
      <c r="J44" s="165"/>
      <c r="K44" s="166"/>
      <c r="L44" s="167"/>
      <c r="M44" s="167"/>
      <c r="N44" s="168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69"/>
      <c r="D45" s="167"/>
      <c r="E45" s="167"/>
      <c r="F45" s="168"/>
      <c r="G45" s="163"/>
      <c r="H45" s="164"/>
      <c r="I45" s="164"/>
      <c r="J45" s="165"/>
      <c r="K45" s="166"/>
      <c r="L45" s="167"/>
      <c r="M45" s="167"/>
      <c r="N45" s="168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69"/>
      <c r="D46" s="167"/>
      <c r="E46" s="167"/>
      <c r="F46" s="168"/>
      <c r="G46" s="163"/>
      <c r="H46" s="164"/>
      <c r="I46" s="164"/>
      <c r="J46" s="165"/>
      <c r="K46" s="166"/>
      <c r="L46" s="167"/>
      <c r="M46" s="167"/>
      <c r="N46" s="168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69"/>
      <c r="D47" s="167"/>
      <c r="E47" s="167"/>
      <c r="F47" s="168"/>
      <c r="G47" s="163"/>
      <c r="H47" s="164"/>
      <c r="I47" s="164"/>
      <c r="J47" s="165"/>
      <c r="K47" s="166"/>
      <c r="L47" s="167"/>
      <c r="M47" s="167"/>
      <c r="N47" s="168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8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88" t="s">
        <v>0</v>
      </c>
      <c r="C2" s="171"/>
      <c r="D2" s="171"/>
      <c r="E2" s="171"/>
      <c r="F2" s="171"/>
      <c r="G2" s="171"/>
      <c r="H2" s="171" t="s">
        <v>40</v>
      </c>
      <c r="I2" s="171"/>
      <c r="J2" s="171"/>
      <c r="K2" s="171"/>
      <c r="L2" s="171" t="s">
        <v>41</v>
      </c>
      <c r="M2" s="171"/>
      <c r="N2" s="171"/>
      <c r="O2" s="171"/>
      <c r="P2" s="171"/>
      <c r="Q2" s="171"/>
      <c r="R2" s="171" t="s">
        <v>1</v>
      </c>
      <c r="S2" s="171"/>
      <c r="T2" s="171"/>
      <c r="U2" s="171"/>
      <c r="V2" s="171"/>
      <c r="W2" s="171"/>
      <c r="X2" s="183" t="s">
        <v>2</v>
      </c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5"/>
      <c r="AK2" s="183" t="s">
        <v>30</v>
      </c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5"/>
      <c r="AX2" s="171" t="s">
        <v>4</v>
      </c>
      <c r="AY2" s="171"/>
      <c r="AZ2" s="171"/>
      <c r="BA2" s="171"/>
      <c r="BB2" s="171" t="s">
        <v>3</v>
      </c>
      <c r="BC2" s="171"/>
      <c r="BD2" s="171"/>
      <c r="BE2" s="171"/>
      <c r="BF2" s="171" t="s">
        <v>5</v>
      </c>
      <c r="BG2" s="171"/>
      <c r="BH2" s="171"/>
      <c r="BI2" s="171"/>
      <c r="BJ2" s="171" t="s">
        <v>6</v>
      </c>
      <c r="BK2" s="171"/>
      <c r="BL2" s="171"/>
      <c r="BM2" s="172"/>
      <c r="BN2" s="16"/>
    </row>
    <row r="3" spans="1:66" ht="20.100000000000001" customHeight="1" x14ac:dyDescent="0.45">
      <c r="A3" s="10"/>
      <c r="B3" s="186" t="str">
        <f>変更履歴!B3</f>
        <v>受発注システム</v>
      </c>
      <c r="C3" s="174"/>
      <c r="D3" s="174"/>
      <c r="E3" s="174"/>
      <c r="F3" s="174"/>
      <c r="G3" s="174"/>
      <c r="H3" s="174" t="str">
        <f ca="1">変更履歴!H3</f>
        <v>統計</v>
      </c>
      <c r="I3" s="174"/>
      <c r="J3" s="174"/>
      <c r="K3" s="174"/>
      <c r="L3" s="174" t="str">
        <f>変更履歴!L3</f>
        <v>受発注</v>
      </c>
      <c r="M3" s="174"/>
      <c r="N3" s="174"/>
      <c r="O3" s="174"/>
      <c r="P3" s="174"/>
      <c r="Q3" s="174"/>
      <c r="R3" s="174" t="str">
        <f ca="1">変更履歴!R3</f>
        <v>結合試験項目</v>
      </c>
      <c r="S3" s="174"/>
      <c r="T3" s="174"/>
      <c r="U3" s="174"/>
      <c r="V3" s="174"/>
      <c r="W3" s="174"/>
      <c r="X3" s="177" t="str">
        <f ca="1">変更履歴!X3</f>
        <v>統計_仕入先別年間仕入順位推移表_結合試験項目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変更履歴!AK3</f>
        <v>仕入先別年間仕入順位推移表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f>変更履歴!AX3</f>
        <v>45636</v>
      </c>
      <c r="AY3" s="173"/>
      <c r="AZ3" s="173"/>
      <c r="BA3" s="173"/>
      <c r="BB3" s="174" t="str">
        <f>変更履歴!BB3</f>
        <v>榎本</v>
      </c>
      <c r="BC3" s="174"/>
      <c r="BD3" s="174"/>
      <c r="BE3" s="174"/>
      <c r="BF3" s="173">
        <f>変更履歴!BF3</f>
        <v>45636</v>
      </c>
      <c r="BG3" s="173"/>
      <c r="BH3" s="173"/>
      <c r="BI3" s="173"/>
      <c r="BJ3" s="174" t="str">
        <f>変更履歴!BJ3</f>
        <v>榎本</v>
      </c>
      <c r="BK3" s="174"/>
      <c r="BL3" s="174"/>
      <c r="BM3" s="176"/>
      <c r="BN3" s="16"/>
    </row>
    <row r="4" spans="1:66" ht="20.100000000000001" customHeight="1" thickBot="1" x14ac:dyDescent="0.5">
      <c r="A4" s="10"/>
      <c r="B4" s="179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99"/>
      <c r="AY4" s="199"/>
      <c r="AZ4" s="199"/>
      <c r="BA4" s="199"/>
      <c r="BB4" s="175"/>
      <c r="BC4" s="175"/>
      <c r="BD4" s="175"/>
      <c r="BE4" s="175"/>
      <c r="BF4" s="199"/>
      <c r="BG4" s="199"/>
      <c r="BH4" s="199"/>
      <c r="BI4" s="199"/>
      <c r="BJ4" s="175"/>
      <c r="BK4" s="175"/>
      <c r="BL4" s="175"/>
      <c r="BM4" s="17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0" t="s">
        <v>32</v>
      </c>
      <c r="BF7" s="201"/>
      <c r="BG7" s="204" t="s">
        <v>31</v>
      </c>
      <c r="BH7" s="204"/>
      <c r="BI7" s="205" t="s">
        <v>33</v>
      </c>
      <c r="BJ7" s="206"/>
      <c r="BK7" s="205" t="s">
        <v>34</v>
      </c>
      <c r="BL7" s="20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14" t="s">
        <v>35</v>
      </c>
      <c r="AP8" s="213"/>
      <c r="AQ8" s="213"/>
      <c r="AR8" s="213"/>
      <c r="AS8" s="213"/>
      <c r="AT8" s="207"/>
      <c r="AU8" s="214" t="s">
        <v>36</v>
      </c>
      <c r="AV8" s="213"/>
      <c r="AW8" s="213"/>
      <c r="AX8" s="213"/>
      <c r="AY8" s="213"/>
      <c r="AZ8" s="207"/>
      <c r="BE8" s="202"/>
      <c r="BF8" s="203"/>
      <c r="BG8" s="215">
        <f>COUNTA(C10:C15)</f>
        <v>6</v>
      </c>
      <c r="BH8" s="216"/>
      <c r="BI8" s="215">
        <f>COUNTIF(AS10:AT15,"OK")+COUNTIF(AY10:AZ15,"OK")</f>
        <v>6</v>
      </c>
      <c r="BJ8" s="216"/>
      <c r="BK8" s="215">
        <f>BG8-BI8</f>
        <v>0</v>
      </c>
      <c r="BL8" s="21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08" t="s">
        <v>25</v>
      </c>
      <c r="AP9" s="209"/>
      <c r="AQ9" s="210" t="s">
        <v>26</v>
      </c>
      <c r="AR9" s="209"/>
      <c r="AS9" s="210" t="s">
        <v>29</v>
      </c>
      <c r="AT9" s="211"/>
      <c r="AU9" s="208" t="s">
        <v>25</v>
      </c>
      <c r="AV9" s="209"/>
      <c r="AW9" s="210" t="s">
        <v>26</v>
      </c>
      <c r="AX9" s="209"/>
      <c r="AY9" s="210" t="s">
        <v>29</v>
      </c>
      <c r="AZ9" s="211"/>
      <c r="BA9" s="212" t="s">
        <v>27</v>
      </c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07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18" t="s">
        <v>42</v>
      </c>
      <c r="E10" s="219"/>
      <c r="F10" s="219"/>
      <c r="G10" s="220"/>
      <c r="H10" s="218" t="s">
        <v>43</v>
      </c>
      <c r="I10" s="219"/>
      <c r="J10" s="219"/>
      <c r="K10" s="220"/>
      <c r="L10" s="190" t="s">
        <v>63</v>
      </c>
      <c r="M10" s="191"/>
      <c r="N10" s="191"/>
      <c r="O10" s="192"/>
      <c r="P10" s="190" t="s">
        <v>76</v>
      </c>
      <c r="Q10" s="191"/>
      <c r="R10" s="191"/>
      <c r="S10" s="191"/>
      <c r="T10" s="191"/>
      <c r="U10" s="191"/>
      <c r="V10" s="191"/>
      <c r="W10" s="192"/>
      <c r="X10" s="190" t="s">
        <v>54</v>
      </c>
      <c r="Y10" s="191"/>
      <c r="Z10" s="191"/>
      <c r="AA10" s="191"/>
      <c r="AB10" s="191"/>
      <c r="AC10" s="191"/>
      <c r="AD10" s="191"/>
      <c r="AE10" s="192"/>
      <c r="AF10" s="190"/>
      <c r="AG10" s="191"/>
      <c r="AH10" s="191"/>
      <c r="AI10" s="191"/>
      <c r="AJ10" s="191"/>
      <c r="AK10" s="191"/>
      <c r="AL10" s="191"/>
      <c r="AM10" s="191"/>
      <c r="AN10" s="198"/>
      <c r="AO10" s="193">
        <v>45673</v>
      </c>
      <c r="AP10" s="194"/>
      <c r="AQ10" s="166" t="s">
        <v>86</v>
      </c>
      <c r="AR10" s="168"/>
      <c r="AS10" s="166" t="s">
        <v>87</v>
      </c>
      <c r="AT10" s="189"/>
      <c r="AU10" s="193"/>
      <c r="AV10" s="194"/>
      <c r="AW10" s="166"/>
      <c r="AX10" s="168"/>
      <c r="AY10" s="166"/>
      <c r="AZ10" s="189"/>
      <c r="BA10" s="195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7"/>
      <c r="BM10" s="16"/>
      <c r="BN10" s="16"/>
    </row>
    <row r="11" spans="1:66" s="109" customFormat="1" ht="24" customHeight="1" x14ac:dyDescent="0.45">
      <c r="A11" s="111"/>
      <c r="B11" s="111"/>
      <c r="C11" s="155">
        <f>ROW()-9</f>
        <v>2</v>
      </c>
      <c r="D11" s="145"/>
      <c r="E11" s="146"/>
      <c r="F11" s="146"/>
      <c r="G11" s="147"/>
      <c r="H11" s="145"/>
      <c r="I11" s="146"/>
      <c r="J11" s="146"/>
      <c r="K11" s="147"/>
      <c r="L11" s="190" t="s">
        <v>64</v>
      </c>
      <c r="M11" s="191"/>
      <c r="N11" s="191"/>
      <c r="O11" s="192"/>
      <c r="P11" s="190" t="s">
        <v>76</v>
      </c>
      <c r="Q11" s="191"/>
      <c r="R11" s="191"/>
      <c r="S11" s="191"/>
      <c r="T11" s="191"/>
      <c r="U11" s="191"/>
      <c r="V11" s="191"/>
      <c r="W11" s="192"/>
      <c r="X11" s="190" t="s">
        <v>54</v>
      </c>
      <c r="Y11" s="191"/>
      <c r="Z11" s="191"/>
      <c r="AA11" s="191"/>
      <c r="AB11" s="191"/>
      <c r="AC11" s="191"/>
      <c r="AD11" s="191"/>
      <c r="AE11" s="192"/>
      <c r="AF11" s="103"/>
      <c r="AG11" s="144"/>
      <c r="AH11" s="144"/>
      <c r="AI11" s="144"/>
      <c r="AJ11" s="144"/>
      <c r="AK11" s="144"/>
      <c r="AL11" s="144"/>
      <c r="AM11" s="144"/>
      <c r="AN11" s="154"/>
      <c r="AO11" s="193">
        <v>45673</v>
      </c>
      <c r="AP11" s="194"/>
      <c r="AQ11" s="166" t="s">
        <v>86</v>
      </c>
      <c r="AR11" s="168"/>
      <c r="AS11" s="166" t="s">
        <v>87</v>
      </c>
      <c r="AT11" s="189"/>
      <c r="AU11" s="149"/>
      <c r="AV11" s="150"/>
      <c r="AW11" s="141"/>
      <c r="AX11" s="142"/>
      <c r="AY11" s="141"/>
      <c r="AZ11" s="148"/>
      <c r="BA11" s="151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3"/>
      <c r="BM11" s="112"/>
      <c r="BN11" s="112"/>
    </row>
    <row r="12" spans="1:66" s="66" customFormat="1" ht="24" customHeight="1" x14ac:dyDescent="0.45">
      <c r="A12" s="67"/>
      <c r="B12" s="67"/>
      <c r="C12" s="155">
        <f t="shared" ref="C12:C15" si="0">ROW()-9</f>
        <v>3</v>
      </c>
      <c r="D12" s="80"/>
      <c r="E12" s="81"/>
      <c r="F12" s="81"/>
      <c r="G12" s="82"/>
      <c r="H12" s="221" t="s">
        <v>44</v>
      </c>
      <c r="I12" s="222"/>
      <c r="J12" s="222"/>
      <c r="K12" s="223"/>
      <c r="L12" s="107" t="s">
        <v>56</v>
      </c>
      <c r="M12" s="105"/>
      <c r="N12" s="105"/>
      <c r="O12" s="106"/>
      <c r="P12" s="103" t="s">
        <v>57</v>
      </c>
      <c r="Q12" s="94"/>
      <c r="R12" s="94"/>
      <c r="S12" s="94"/>
      <c r="T12" s="94"/>
      <c r="U12" s="94"/>
      <c r="V12" s="94"/>
      <c r="W12" s="102"/>
      <c r="X12" s="190" t="s">
        <v>58</v>
      </c>
      <c r="Y12" s="191"/>
      <c r="Z12" s="191"/>
      <c r="AA12" s="191"/>
      <c r="AB12" s="191"/>
      <c r="AC12" s="191"/>
      <c r="AD12" s="191"/>
      <c r="AE12" s="192"/>
      <c r="AF12" s="71"/>
      <c r="AG12" s="72"/>
      <c r="AH12" s="72"/>
      <c r="AI12" s="72"/>
      <c r="AJ12" s="72"/>
      <c r="AK12" s="72"/>
      <c r="AL12" s="72"/>
      <c r="AM12" s="72"/>
      <c r="AN12" s="76"/>
      <c r="AO12" s="193">
        <v>45673</v>
      </c>
      <c r="AP12" s="194"/>
      <c r="AQ12" s="166" t="s">
        <v>86</v>
      </c>
      <c r="AR12" s="168"/>
      <c r="AS12" s="166" t="s">
        <v>87</v>
      </c>
      <c r="AT12" s="189"/>
      <c r="AU12" s="77"/>
      <c r="AV12" s="78"/>
      <c r="AW12" s="70"/>
      <c r="AX12" s="69"/>
      <c r="AY12" s="70"/>
      <c r="AZ12" s="79"/>
      <c r="BA12" s="73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5"/>
      <c r="BM12" s="68"/>
      <c r="BN12" s="68"/>
    </row>
    <row r="13" spans="1:66" s="109" customFormat="1" ht="27" customHeight="1" x14ac:dyDescent="0.45">
      <c r="A13" s="111"/>
      <c r="B13" s="111"/>
      <c r="C13" s="155">
        <f t="shared" si="0"/>
        <v>4</v>
      </c>
      <c r="D13" s="145"/>
      <c r="E13" s="146"/>
      <c r="F13" s="146"/>
      <c r="G13" s="147"/>
      <c r="H13" s="157"/>
      <c r="I13" s="158"/>
      <c r="J13" s="158"/>
      <c r="K13" s="159"/>
      <c r="L13" s="93" t="s">
        <v>33</v>
      </c>
      <c r="M13" s="35"/>
      <c r="N13" s="35"/>
      <c r="O13" s="36"/>
      <c r="P13" s="37" t="s">
        <v>55</v>
      </c>
      <c r="Q13" s="35"/>
      <c r="R13" s="35"/>
      <c r="S13" s="35"/>
      <c r="T13" s="35"/>
      <c r="U13" s="35"/>
      <c r="V13" s="35"/>
      <c r="W13" s="36"/>
      <c r="X13" s="37" t="s">
        <v>47</v>
      </c>
      <c r="Y13" s="35"/>
      <c r="Z13" s="35"/>
      <c r="AA13" s="35"/>
      <c r="AB13" s="35"/>
      <c r="AC13" s="35"/>
      <c r="AD13" s="35"/>
      <c r="AE13" s="36"/>
      <c r="AF13" s="143"/>
      <c r="AG13" s="144"/>
      <c r="AH13" s="144"/>
      <c r="AI13" s="144"/>
      <c r="AJ13" s="144"/>
      <c r="AK13" s="144"/>
      <c r="AL13" s="144"/>
      <c r="AM13" s="144"/>
      <c r="AN13" s="154"/>
      <c r="AO13" s="193">
        <v>45673</v>
      </c>
      <c r="AP13" s="194"/>
      <c r="AQ13" s="166" t="s">
        <v>86</v>
      </c>
      <c r="AR13" s="168"/>
      <c r="AS13" s="166" t="s">
        <v>87</v>
      </c>
      <c r="AT13" s="189"/>
      <c r="AU13" s="149"/>
      <c r="AV13" s="150"/>
      <c r="AW13" s="141"/>
      <c r="AX13" s="142"/>
      <c r="AY13" s="141"/>
      <c r="AZ13" s="148"/>
      <c r="BA13" s="151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3"/>
      <c r="BM13" s="112"/>
      <c r="BN13" s="112"/>
    </row>
    <row r="14" spans="1:66" s="85" customFormat="1" ht="25.8" customHeight="1" x14ac:dyDescent="0.45">
      <c r="A14" s="86"/>
      <c r="B14" s="86"/>
      <c r="C14" s="155">
        <f t="shared" si="0"/>
        <v>5</v>
      </c>
      <c r="D14" s="99"/>
      <c r="E14" s="100"/>
      <c r="F14" s="100"/>
      <c r="G14" s="101"/>
      <c r="H14" s="85" t="s">
        <v>65</v>
      </c>
      <c r="L14" s="190" t="s">
        <v>63</v>
      </c>
      <c r="M14" s="191"/>
      <c r="N14" s="191"/>
      <c r="O14" s="192"/>
      <c r="P14" s="190" t="s">
        <v>66</v>
      </c>
      <c r="Q14" s="191"/>
      <c r="R14" s="191"/>
      <c r="S14" s="191"/>
      <c r="T14" s="191"/>
      <c r="U14" s="191"/>
      <c r="V14" s="191"/>
      <c r="W14" s="192"/>
      <c r="X14" s="190" t="s">
        <v>67</v>
      </c>
      <c r="Y14" s="191"/>
      <c r="Z14" s="191"/>
      <c r="AA14" s="191"/>
      <c r="AB14" s="191"/>
      <c r="AC14" s="191"/>
      <c r="AD14" s="191"/>
      <c r="AE14" s="192"/>
      <c r="AF14" s="93"/>
      <c r="AG14" s="94"/>
      <c r="AH14" s="94"/>
      <c r="AI14" s="94"/>
      <c r="AJ14" s="94"/>
      <c r="AK14" s="94"/>
      <c r="AL14" s="94"/>
      <c r="AM14" s="94"/>
      <c r="AN14" s="95"/>
      <c r="AO14" s="193">
        <v>45673</v>
      </c>
      <c r="AP14" s="194"/>
      <c r="AQ14" s="166" t="s">
        <v>86</v>
      </c>
      <c r="AR14" s="168"/>
      <c r="AS14" s="166" t="s">
        <v>88</v>
      </c>
      <c r="AT14" s="189"/>
      <c r="AU14" s="193">
        <v>45695</v>
      </c>
      <c r="AV14" s="194"/>
      <c r="AW14" s="166" t="s">
        <v>86</v>
      </c>
      <c r="AX14" s="168"/>
      <c r="AY14" s="166" t="s">
        <v>87</v>
      </c>
      <c r="AZ14" s="189"/>
      <c r="BA14" s="90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2"/>
      <c r="BM14" s="87"/>
      <c r="BN14" s="87"/>
    </row>
    <row r="15" spans="1:66" s="85" customFormat="1" ht="25.8" customHeight="1" thickBot="1" x14ac:dyDescent="0.5">
      <c r="A15" s="86"/>
      <c r="B15" s="86"/>
      <c r="C15" s="155">
        <f t="shared" si="0"/>
        <v>6</v>
      </c>
      <c r="D15" s="99"/>
      <c r="E15" s="100"/>
      <c r="F15" s="100"/>
      <c r="G15" s="101"/>
      <c r="H15" s="83"/>
      <c r="I15" s="84"/>
      <c r="J15" s="84"/>
      <c r="K15" s="84"/>
      <c r="L15" s="190" t="s">
        <v>64</v>
      </c>
      <c r="M15" s="191"/>
      <c r="N15" s="191"/>
      <c r="O15" s="192"/>
      <c r="P15" s="190" t="s">
        <v>66</v>
      </c>
      <c r="Q15" s="191"/>
      <c r="R15" s="191"/>
      <c r="S15" s="191"/>
      <c r="T15" s="191"/>
      <c r="U15" s="191"/>
      <c r="V15" s="191"/>
      <c r="W15" s="192"/>
      <c r="X15" s="190" t="s">
        <v>67</v>
      </c>
      <c r="Y15" s="191"/>
      <c r="Z15" s="191"/>
      <c r="AA15" s="191"/>
      <c r="AB15" s="191"/>
      <c r="AC15" s="191"/>
      <c r="AD15" s="191"/>
      <c r="AE15" s="192"/>
      <c r="AF15" s="93"/>
      <c r="AG15" s="94"/>
      <c r="AH15" s="94"/>
      <c r="AI15" s="94"/>
      <c r="AJ15" s="94"/>
      <c r="AK15" s="94"/>
      <c r="AL15" s="94"/>
      <c r="AM15" s="94"/>
      <c r="AN15" s="95"/>
      <c r="AO15" s="193">
        <v>45673</v>
      </c>
      <c r="AP15" s="194"/>
      <c r="AQ15" s="166" t="s">
        <v>86</v>
      </c>
      <c r="AR15" s="168"/>
      <c r="AS15" s="166" t="s">
        <v>88</v>
      </c>
      <c r="AT15" s="189"/>
      <c r="AU15" s="193">
        <v>45695</v>
      </c>
      <c r="AV15" s="194"/>
      <c r="AW15" s="166" t="s">
        <v>86</v>
      </c>
      <c r="AX15" s="168"/>
      <c r="AY15" s="166" t="s">
        <v>87</v>
      </c>
      <c r="AZ15" s="189"/>
      <c r="BA15" s="162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2"/>
      <c r="BM15" s="87"/>
      <c r="BN15" s="87"/>
    </row>
    <row r="16" spans="1:66" ht="20.100000000000001" customHeight="1" thickTop="1" thickBot="1" x14ac:dyDescent="0.5">
      <c r="A16" s="10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8"/>
      <c r="BN16" s="16"/>
    </row>
    <row r="17" spans="2:65" ht="5.0999999999999996" customHeight="1" thickTop="1" x14ac:dyDescent="0.4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  <row r="18" spans="2:65" ht="20.100000000000001" customHeight="1" x14ac:dyDescent="0.4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</sheetData>
  <mergeCells count="81">
    <mergeCell ref="AS15:AT15"/>
    <mergeCell ref="AU14:AV14"/>
    <mergeCell ref="AW14:AX14"/>
    <mergeCell ref="AU15:AV15"/>
    <mergeCell ref="AW15:AX15"/>
    <mergeCell ref="B3:G4"/>
    <mergeCell ref="H3:K4"/>
    <mergeCell ref="L3:Q4"/>
    <mergeCell ref="L14:O14"/>
    <mergeCell ref="L15:O15"/>
    <mergeCell ref="P14:W14"/>
    <mergeCell ref="D10:G10"/>
    <mergeCell ref="L10:O10"/>
    <mergeCell ref="H12:K12"/>
    <mergeCell ref="H10:K10"/>
    <mergeCell ref="L11:O11"/>
    <mergeCell ref="P15:W15"/>
    <mergeCell ref="B2:G2"/>
    <mergeCell ref="H2:K2"/>
    <mergeCell ref="L2:Q2"/>
    <mergeCell ref="R2:W2"/>
    <mergeCell ref="X2:AJ2"/>
    <mergeCell ref="AK3:AW4"/>
    <mergeCell ref="AK2:AW2"/>
    <mergeCell ref="P10:W10"/>
    <mergeCell ref="X10:AE10"/>
    <mergeCell ref="P11:W11"/>
    <mergeCell ref="R3:W4"/>
    <mergeCell ref="X3:AJ4"/>
    <mergeCell ref="AO11:AP11"/>
    <mergeCell ref="AQ11:AR11"/>
    <mergeCell ref="AS11:AT11"/>
    <mergeCell ref="X11:AE11"/>
    <mergeCell ref="AX2:BA2"/>
    <mergeCell ref="BB2:BE2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AY14:AZ14"/>
    <mergeCell ref="AY15:AZ15"/>
    <mergeCell ref="X14:AE14"/>
    <mergeCell ref="X15:AE15"/>
    <mergeCell ref="X12:AE12"/>
    <mergeCell ref="AO12:AP12"/>
    <mergeCell ref="AO13:AP13"/>
    <mergeCell ref="AO14:AP14"/>
    <mergeCell ref="AO15:AP15"/>
    <mergeCell ref="AQ12:AR12"/>
    <mergeCell ref="AQ13:AR13"/>
    <mergeCell ref="AQ14:AR14"/>
    <mergeCell ref="AQ15:AR15"/>
    <mergeCell ref="AS12:AT12"/>
    <mergeCell ref="AS13:AT13"/>
    <mergeCell ref="AS14:AT14"/>
  </mergeCells>
  <phoneticPr fontId="2"/>
  <conditionalFormatting sqref="AY10:AY13 AS10:AS15">
    <cfRule type="cellIs" dxfId="7" priority="9" operator="equal">
      <formula>"OK"</formula>
    </cfRule>
    <cfRule type="cellIs" dxfId="6" priority="10" operator="equal">
      <formula>"NG"</formula>
    </cfRule>
  </conditionalFormatting>
  <conditionalFormatting sqref="AY14">
    <cfRule type="cellIs" dxfId="5" priority="3" operator="equal">
      <formula>"OK"</formula>
    </cfRule>
    <cfRule type="cellIs" dxfId="4" priority="4" operator="equal">
      <formula>"NG"</formula>
    </cfRule>
  </conditionalFormatting>
  <conditionalFormatting sqref="AY15">
    <cfRule type="cellIs" dxfId="3" priority="1" operator="equal">
      <formula>"OK"</formula>
    </cfRule>
    <cfRule type="cellIs" dxfId="2" priority="2" operator="equal">
      <formula>"NG"</formula>
    </cfRule>
  </conditionalFormatting>
  <dataValidations count="1">
    <dataValidation type="list" allowBlank="1" showInputMessage="1" showErrorMessage="1" sqref="AS10:AS15 AY10:AY1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9" customWidth="1"/>
    <col min="2" max="65" width="3.69921875" style="39" customWidth="1"/>
    <col min="66" max="66" width="1.09765625" style="39" customWidth="1"/>
    <col min="67" max="16384" width="3.59765625" style="39"/>
  </cols>
  <sheetData>
    <row r="1" spans="1:66" ht="5.25" customHeight="1" thickBot="1" x14ac:dyDescent="0.5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</row>
    <row r="2" spans="1:66" ht="20.100000000000001" customHeight="1" thickTop="1" x14ac:dyDescent="0.45">
      <c r="A2" s="41"/>
      <c r="B2" s="188" t="s">
        <v>0</v>
      </c>
      <c r="C2" s="171"/>
      <c r="D2" s="171"/>
      <c r="E2" s="171"/>
      <c r="F2" s="171"/>
      <c r="G2" s="171"/>
      <c r="H2" s="171" t="s">
        <v>40</v>
      </c>
      <c r="I2" s="171"/>
      <c r="J2" s="171"/>
      <c r="K2" s="171"/>
      <c r="L2" s="171" t="s">
        <v>41</v>
      </c>
      <c r="M2" s="171"/>
      <c r="N2" s="171"/>
      <c r="O2" s="171"/>
      <c r="P2" s="171"/>
      <c r="Q2" s="171"/>
      <c r="R2" s="171" t="s">
        <v>1</v>
      </c>
      <c r="S2" s="171"/>
      <c r="T2" s="171"/>
      <c r="U2" s="171"/>
      <c r="V2" s="171"/>
      <c r="W2" s="171"/>
      <c r="X2" s="183" t="s">
        <v>2</v>
      </c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5"/>
      <c r="AK2" s="183" t="s">
        <v>30</v>
      </c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5"/>
      <c r="AX2" s="171" t="s">
        <v>4</v>
      </c>
      <c r="AY2" s="171"/>
      <c r="AZ2" s="171"/>
      <c r="BA2" s="171"/>
      <c r="BB2" s="171" t="s">
        <v>3</v>
      </c>
      <c r="BC2" s="171"/>
      <c r="BD2" s="171"/>
      <c r="BE2" s="171"/>
      <c r="BF2" s="171" t="s">
        <v>5</v>
      </c>
      <c r="BG2" s="171"/>
      <c r="BH2" s="171"/>
      <c r="BI2" s="171"/>
      <c r="BJ2" s="171" t="s">
        <v>6</v>
      </c>
      <c r="BK2" s="171"/>
      <c r="BL2" s="171"/>
      <c r="BM2" s="172"/>
      <c r="BN2" s="44"/>
    </row>
    <row r="3" spans="1:66" ht="20.100000000000001" customHeight="1" x14ac:dyDescent="0.45">
      <c r="A3" s="41"/>
      <c r="B3" s="186" t="str">
        <f>変更履歴!B3</f>
        <v>受発注システム</v>
      </c>
      <c r="C3" s="174"/>
      <c r="D3" s="174"/>
      <c r="E3" s="174"/>
      <c r="F3" s="174"/>
      <c r="G3" s="174"/>
      <c r="H3" s="174" t="str">
        <f ca="1">変更履歴!H3</f>
        <v>統計</v>
      </c>
      <c r="I3" s="174"/>
      <c r="J3" s="174"/>
      <c r="K3" s="174"/>
      <c r="L3" s="174" t="str">
        <f>変更履歴!L3</f>
        <v>受発注</v>
      </c>
      <c r="M3" s="174"/>
      <c r="N3" s="174"/>
      <c r="O3" s="174"/>
      <c r="P3" s="174"/>
      <c r="Q3" s="174"/>
      <c r="R3" s="174" t="str">
        <f ca="1">変更履歴!R3</f>
        <v>結合試験項目</v>
      </c>
      <c r="S3" s="174"/>
      <c r="T3" s="174"/>
      <c r="U3" s="174"/>
      <c r="V3" s="174"/>
      <c r="W3" s="174"/>
      <c r="X3" s="177" t="str">
        <f ca="1">変更履歴!X3</f>
        <v>統計_仕入先別年間仕入順位推移表_結合試験項目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変更履歴!AK3</f>
        <v>仕入先別年間仕入順位推移表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f>変更履歴!AX3</f>
        <v>45636</v>
      </c>
      <c r="AY3" s="173"/>
      <c r="AZ3" s="173"/>
      <c r="BA3" s="173"/>
      <c r="BB3" s="174" t="str">
        <f>変更履歴!BB3</f>
        <v>榎本</v>
      </c>
      <c r="BC3" s="174"/>
      <c r="BD3" s="174"/>
      <c r="BE3" s="174"/>
      <c r="BF3" s="173">
        <f>変更履歴!BF3</f>
        <v>45636</v>
      </c>
      <c r="BG3" s="173"/>
      <c r="BH3" s="173"/>
      <c r="BI3" s="173"/>
      <c r="BJ3" s="174" t="str">
        <f>変更履歴!BJ3</f>
        <v>榎本</v>
      </c>
      <c r="BK3" s="174"/>
      <c r="BL3" s="174"/>
      <c r="BM3" s="176"/>
      <c r="BN3" s="44"/>
    </row>
    <row r="4" spans="1:66" ht="20.100000000000001" customHeight="1" thickBot="1" x14ac:dyDescent="0.5">
      <c r="A4" s="41"/>
      <c r="B4" s="179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99"/>
      <c r="AY4" s="199"/>
      <c r="AZ4" s="199"/>
      <c r="BA4" s="199"/>
      <c r="BB4" s="175"/>
      <c r="BC4" s="175"/>
      <c r="BD4" s="175"/>
      <c r="BE4" s="175"/>
      <c r="BF4" s="199"/>
      <c r="BG4" s="199"/>
      <c r="BH4" s="199"/>
      <c r="BI4" s="199"/>
      <c r="BJ4" s="175"/>
      <c r="BK4" s="175"/>
      <c r="BL4" s="175"/>
      <c r="BM4" s="177"/>
      <c r="BN4" s="44"/>
    </row>
    <row r="5" spans="1:66" ht="5.25" customHeight="1" thickTop="1" thickBot="1" x14ac:dyDescent="0.5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66" ht="8.4" customHeight="1" thickTop="1" thickBot="1" x14ac:dyDescent="0.5">
      <c r="A6" s="41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4"/>
    </row>
    <row r="7" spans="1:66" ht="13.8" thickTop="1" thickBot="1" x14ac:dyDescent="0.5">
      <c r="A7" s="41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E7" s="200" t="s">
        <v>32</v>
      </c>
      <c r="BF7" s="201"/>
      <c r="BG7" s="204" t="s">
        <v>31</v>
      </c>
      <c r="BH7" s="204"/>
      <c r="BI7" s="205" t="s">
        <v>33</v>
      </c>
      <c r="BJ7" s="206"/>
      <c r="BK7" s="205" t="s">
        <v>34</v>
      </c>
      <c r="BL7" s="207"/>
      <c r="BM7" s="40"/>
      <c r="BN7" s="44"/>
    </row>
    <row r="8" spans="1:66" ht="13.8" thickTop="1" thickBot="1" x14ac:dyDescent="0.5">
      <c r="A8" s="41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L8" s="40"/>
      <c r="AM8" s="40"/>
      <c r="AO8" s="214" t="s">
        <v>35</v>
      </c>
      <c r="AP8" s="213"/>
      <c r="AQ8" s="213"/>
      <c r="AR8" s="213"/>
      <c r="AS8" s="213"/>
      <c r="AT8" s="207"/>
      <c r="AU8" s="214" t="s">
        <v>36</v>
      </c>
      <c r="AV8" s="213"/>
      <c r="AW8" s="213"/>
      <c r="AX8" s="213"/>
      <c r="AY8" s="213"/>
      <c r="AZ8" s="207"/>
      <c r="BE8" s="202"/>
      <c r="BF8" s="203"/>
      <c r="BG8" s="215">
        <f>COUNTA(C10:C27)</f>
        <v>18</v>
      </c>
      <c r="BH8" s="216"/>
      <c r="BI8" s="215">
        <f>COUNTIF(AS10:AT27,"OK")+COUNTIF(AY10:AZ27,"OK")</f>
        <v>18</v>
      </c>
      <c r="BJ8" s="216"/>
      <c r="BK8" s="215">
        <f>BG8-BI8</f>
        <v>0</v>
      </c>
      <c r="BL8" s="217"/>
      <c r="BM8" s="40"/>
      <c r="BN8" s="44"/>
    </row>
    <row r="9" spans="1:66" ht="20.100000000000001" customHeight="1" thickTop="1" x14ac:dyDescent="0.45">
      <c r="A9" s="41"/>
      <c r="B9" s="40"/>
      <c r="C9" s="46" t="s">
        <v>12</v>
      </c>
      <c r="D9" s="49" t="s">
        <v>21</v>
      </c>
      <c r="E9" s="50"/>
      <c r="F9" s="50"/>
      <c r="G9" s="50"/>
      <c r="H9" s="49" t="s">
        <v>22</v>
      </c>
      <c r="I9" s="50"/>
      <c r="J9" s="50"/>
      <c r="K9" s="51"/>
      <c r="L9" s="49" t="s">
        <v>23</v>
      </c>
      <c r="M9" s="50"/>
      <c r="N9" s="50"/>
      <c r="O9" s="50"/>
      <c r="P9" s="49" t="s">
        <v>37</v>
      </c>
      <c r="Q9" s="50"/>
      <c r="R9" s="50"/>
      <c r="S9" s="50"/>
      <c r="T9" s="50"/>
      <c r="U9" s="50"/>
      <c r="V9" s="50"/>
      <c r="W9" s="50"/>
      <c r="X9" s="49" t="s">
        <v>24</v>
      </c>
      <c r="Y9" s="50"/>
      <c r="Z9" s="50"/>
      <c r="AA9" s="50"/>
      <c r="AB9" s="50"/>
      <c r="AC9" s="50"/>
      <c r="AD9" s="50"/>
      <c r="AE9" s="50"/>
      <c r="AF9" s="49" t="s">
        <v>28</v>
      </c>
      <c r="AG9" s="50"/>
      <c r="AH9" s="50"/>
      <c r="AI9" s="50"/>
      <c r="AJ9" s="50"/>
      <c r="AK9" s="50"/>
      <c r="AL9" s="50"/>
      <c r="AM9" s="50"/>
      <c r="AN9" s="52"/>
      <c r="AO9" s="208" t="s">
        <v>25</v>
      </c>
      <c r="AP9" s="209"/>
      <c r="AQ9" s="210" t="s">
        <v>26</v>
      </c>
      <c r="AR9" s="209"/>
      <c r="AS9" s="210" t="s">
        <v>29</v>
      </c>
      <c r="AT9" s="211"/>
      <c r="AU9" s="208" t="s">
        <v>25</v>
      </c>
      <c r="AV9" s="209"/>
      <c r="AW9" s="210" t="s">
        <v>26</v>
      </c>
      <c r="AX9" s="209"/>
      <c r="AY9" s="210" t="s">
        <v>29</v>
      </c>
      <c r="AZ9" s="211"/>
      <c r="BA9" s="212" t="s">
        <v>27</v>
      </c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07"/>
      <c r="BM9" s="44"/>
      <c r="BN9" s="44"/>
    </row>
    <row r="10" spans="1:66" s="85" customFormat="1" ht="27" customHeight="1" x14ac:dyDescent="0.45">
      <c r="A10" s="86"/>
      <c r="B10" s="86"/>
      <c r="C10" s="115">
        <f t="shared" ref="C10:C27" si="0">ROW()-9</f>
        <v>1</v>
      </c>
      <c r="D10" s="241" t="s">
        <v>85</v>
      </c>
      <c r="E10" s="242"/>
      <c r="F10" s="242"/>
      <c r="G10" s="243"/>
      <c r="H10" s="190" t="s">
        <v>53</v>
      </c>
      <c r="I10" s="191"/>
      <c r="J10" s="191"/>
      <c r="K10" s="192"/>
      <c r="L10" s="190" t="s">
        <v>56</v>
      </c>
      <c r="M10" s="191"/>
      <c r="N10" s="191"/>
      <c r="O10" s="192"/>
      <c r="P10" s="190" t="s">
        <v>59</v>
      </c>
      <c r="Q10" s="191"/>
      <c r="R10" s="191"/>
      <c r="S10" s="191"/>
      <c r="T10" s="191"/>
      <c r="U10" s="191"/>
      <c r="V10" s="191"/>
      <c r="W10" s="192"/>
      <c r="X10" s="190" t="s">
        <v>60</v>
      </c>
      <c r="Y10" s="191"/>
      <c r="Z10" s="191"/>
      <c r="AA10" s="191"/>
      <c r="AB10" s="191"/>
      <c r="AC10" s="191"/>
      <c r="AD10" s="191"/>
      <c r="AE10" s="192"/>
      <c r="AF10" s="190" t="s">
        <v>77</v>
      </c>
      <c r="AG10" s="191"/>
      <c r="AH10" s="191"/>
      <c r="AI10" s="191"/>
      <c r="AJ10" s="191"/>
      <c r="AK10" s="191"/>
      <c r="AL10" s="191"/>
      <c r="AM10" s="191"/>
      <c r="AN10" s="198"/>
      <c r="AO10" s="193">
        <v>45673</v>
      </c>
      <c r="AP10" s="194"/>
      <c r="AQ10" s="166" t="s">
        <v>86</v>
      </c>
      <c r="AR10" s="168"/>
      <c r="AS10" s="166" t="s">
        <v>87</v>
      </c>
      <c r="AT10" s="189"/>
      <c r="AU10" s="96"/>
      <c r="AV10" s="97"/>
      <c r="AW10" s="88"/>
      <c r="AX10" s="89"/>
      <c r="AY10" s="88"/>
      <c r="AZ10" s="98"/>
      <c r="BA10" s="90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2"/>
      <c r="BM10" s="87"/>
      <c r="BN10" s="87"/>
    </row>
    <row r="11" spans="1:66" ht="20.100000000000001" customHeight="1" x14ac:dyDescent="0.45">
      <c r="A11" s="41"/>
      <c r="B11" s="41"/>
      <c r="C11" s="155">
        <f t="shared" si="0"/>
        <v>2</v>
      </c>
      <c r="D11" s="53"/>
      <c r="E11" s="54"/>
      <c r="F11" s="54"/>
      <c r="G11" s="55"/>
      <c r="H11" s="38" t="s">
        <v>48</v>
      </c>
      <c r="K11" s="65"/>
      <c r="L11" s="161" t="s">
        <v>68</v>
      </c>
      <c r="M11" s="125"/>
      <c r="N11" s="125"/>
      <c r="O11" s="126"/>
      <c r="P11" s="190" t="s">
        <v>59</v>
      </c>
      <c r="Q11" s="191"/>
      <c r="R11" s="191"/>
      <c r="S11" s="191"/>
      <c r="T11" s="191"/>
      <c r="U11" s="191"/>
      <c r="V11" s="191"/>
      <c r="W11" s="192"/>
      <c r="X11" s="190" t="s">
        <v>46</v>
      </c>
      <c r="Y11" s="191"/>
      <c r="Z11" s="191"/>
      <c r="AA11" s="191"/>
      <c r="AB11" s="191"/>
      <c r="AC11" s="191"/>
      <c r="AD11" s="191"/>
      <c r="AE11" s="192"/>
      <c r="AF11" s="238"/>
      <c r="AG11" s="239"/>
      <c r="AH11" s="239"/>
      <c r="AI11" s="239"/>
      <c r="AJ11" s="239"/>
      <c r="AK11" s="239"/>
      <c r="AL11" s="239"/>
      <c r="AM11" s="239"/>
      <c r="AN11" s="240"/>
      <c r="AO11" s="193">
        <v>45673</v>
      </c>
      <c r="AP11" s="194"/>
      <c r="AQ11" s="166" t="s">
        <v>86</v>
      </c>
      <c r="AR11" s="168"/>
      <c r="AS11" s="166" t="s">
        <v>87</v>
      </c>
      <c r="AT11" s="189"/>
      <c r="AU11" s="63"/>
      <c r="AV11" s="64"/>
      <c r="AW11" s="47"/>
      <c r="AX11" s="48"/>
      <c r="AY11" s="47"/>
      <c r="AZ11" s="58"/>
      <c r="BA11" s="59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1"/>
      <c r="BM11" s="44"/>
      <c r="BN11" s="44"/>
    </row>
    <row r="12" spans="1:66" s="109" customFormat="1" ht="20.100000000000001" customHeight="1" x14ac:dyDescent="0.45">
      <c r="A12" s="111"/>
      <c r="B12" s="111"/>
      <c r="C12" s="155">
        <f t="shared" si="0"/>
        <v>3</v>
      </c>
      <c r="D12" s="116"/>
      <c r="E12" s="117"/>
      <c r="F12" s="117"/>
      <c r="G12" s="118"/>
      <c r="H12" s="108"/>
      <c r="K12" s="104"/>
      <c r="L12" s="160" t="s">
        <v>69</v>
      </c>
      <c r="M12" s="125"/>
      <c r="N12" s="125"/>
      <c r="O12" s="126"/>
      <c r="P12" s="190" t="s">
        <v>59</v>
      </c>
      <c r="Q12" s="191"/>
      <c r="R12" s="191"/>
      <c r="S12" s="191"/>
      <c r="T12" s="191"/>
      <c r="U12" s="191"/>
      <c r="V12" s="191"/>
      <c r="W12" s="192"/>
      <c r="X12" s="190" t="s">
        <v>46</v>
      </c>
      <c r="Y12" s="191"/>
      <c r="Z12" s="191"/>
      <c r="AA12" s="191"/>
      <c r="AB12" s="191"/>
      <c r="AC12" s="191"/>
      <c r="AD12" s="191"/>
      <c r="AE12" s="192"/>
      <c r="AF12" s="238"/>
      <c r="AG12" s="239"/>
      <c r="AH12" s="239"/>
      <c r="AI12" s="239"/>
      <c r="AJ12" s="239"/>
      <c r="AK12" s="239"/>
      <c r="AL12" s="239"/>
      <c r="AM12" s="239"/>
      <c r="AN12" s="240"/>
      <c r="AO12" s="193">
        <v>45673</v>
      </c>
      <c r="AP12" s="194"/>
      <c r="AQ12" s="166" t="s">
        <v>86</v>
      </c>
      <c r="AR12" s="168"/>
      <c r="AS12" s="166" t="s">
        <v>87</v>
      </c>
      <c r="AT12" s="189"/>
      <c r="AU12" s="123"/>
      <c r="AV12" s="124"/>
      <c r="AW12" s="113"/>
      <c r="AX12" s="114"/>
      <c r="AY12" s="113"/>
      <c r="AZ12" s="119"/>
      <c r="BA12" s="120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2"/>
      <c r="BM12" s="112"/>
      <c r="BN12" s="112"/>
    </row>
    <row r="13" spans="1:66" s="109" customFormat="1" ht="20.100000000000001" customHeight="1" x14ac:dyDescent="0.45">
      <c r="A13" s="111"/>
      <c r="B13" s="111"/>
      <c r="C13" s="155">
        <f t="shared" si="0"/>
        <v>4</v>
      </c>
      <c r="D13" s="116"/>
      <c r="E13" s="117"/>
      <c r="F13" s="117"/>
      <c r="G13" s="118"/>
      <c r="H13" s="108"/>
      <c r="K13" s="104"/>
      <c r="L13" s="160" t="s">
        <v>70</v>
      </c>
      <c r="M13" s="125"/>
      <c r="N13" s="125"/>
      <c r="O13" s="126"/>
      <c r="P13" s="190" t="s">
        <v>59</v>
      </c>
      <c r="Q13" s="191"/>
      <c r="R13" s="191"/>
      <c r="S13" s="191"/>
      <c r="T13" s="191"/>
      <c r="U13" s="191"/>
      <c r="V13" s="191"/>
      <c r="W13" s="192"/>
      <c r="X13" s="190" t="s">
        <v>46</v>
      </c>
      <c r="Y13" s="191"/>
      <c r="Z13" s="191"/>
      <c r="AA13" s="191"/>
      <c r="AB13" s="191"/>
      <c r="AC13" s="191"/>
      <c r="AD13" s="191"/>
      <c r="AE13" s="192"/>
      <c r="AF13" s="238"/>
      <c r="AG13" s="239"/>
      <c r="AH13" s="239"/>
      <c r="AI13" s="239"/>
      <c r="AJ13" s="239"/>
      <c r="AK13" s="239"/>
      <c r="AL13" s="239"/>
      <c r="AM13" s="239"/>
      <c r="AN13" s="240"/>
      <c r="AO13" s="193">
        <v>45673</v>
      </c>
      <c r="AP13" s="194"/>
      <c r="AQ13" s="166" t="s">
        <v>86</v>
      </c>
      <c r="AR13" s="168"/>
      <c r="AS13" s="166" t="s">
        <v>87</v>
      </c>
      <c r="AT13" s="189"/>
      <c r="AU13" s="123"/>
      <c r="AV13" s="124"/>
      <c r="AW13" s="113"/>
      <c r="AX13" s="114"/>
      <c r="AY13" s="113"/>
      <c r="AZ13" s="119"/>
      <c r="BA13" s="120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2"/>
      <c r="BM13" s="112"/>
      <c r="BN13" s="112"/>
    </row>
    <row r="14" spans="1:66" s="109" customFormat="1" ht="20.100000000000001" customHeight="1" x14ac:dyDescent="0.45">
      <c r="A14" s="111"/>
      <c r="B14" s="111"/>
      <c r="C14" s="155">
        <f t="shared" si="0"/>
        <v>5</v>
      </c>
      <c r="D14" s="116"/>
      <c r="E14" s="117"/>
      <c r="F14" s="117"/>
      <c r="G14" s="118"/>
      <c r="H14" s="108"/>
      <c r="K14" s="104"/>
      <c r="L14" s="160" t="s">
        <v>78</v>
      </c>
      <c r="M14" s="125"/>
      <c r="N14" s="125"/>
      <c r="O14" s="126"/>
      <c r="P14" s="190" t="s">
        <v>59</v>
      </c>
      <c r="Q14" s="191"/>
      <c r="R14" s="191"/>
      <c r="S14" s="191"/>
      <c r="T14" s="191"/>
      <c r="U14" s="191"/>
      <c r="V14" s="191"/>
      <c r="W14" s="192"/>
      <c r="X14" s="190" t="s">
        <v>46</v>
      </c>
      <c r="Y14" s="191"/>
      <c r="Z14" s="191"/>
      <c r="AA14" s="191"/>
      <c r="AB14" s="191"/>
      <c r="AC14" s="191"/>
      <c r="AD14" s="191"/>
      <c r="AE14" s="192"/>
      <c r="AF14" s="238"/>
      <c r="AG14" s="239"/>
      <c r="AH14" s="239"/>
      <c r="AI14" s="239"/>
      <c r="AJ14" s="239"/>
      <c r="AK14" s="239"/>
      <c r="AL14" s="239"/>
      <c r="AM14" s="239"/>
      <c r="AN14" s="240"/>
      <c r="AO14" s="193">
        <v>45673</v>
      </c>
      <c r="AP14" s="194"/>
      <c r="AQ14" s="166" t="s">
        <v>86</v>
      </c>
      <c r="AR14" s="168"/>
      <c r="AS14" s="166" t="s">
        <v>87</v>
      </c>
      <c r="AT14" s="189"/>
      <c r="AU14" s="123"/>
      <c r="AV14" s="124"/>
      <c r="AW14" s="113"/>
      <c r="AX14" s="114"/>
      <c r="AY14" s="113"/>
      <c r="AZ14" s="119"/>
      <c r="BA14" s="120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2"/>
      <c r="BM14" s="112"/>
      <c r="BN14" s="112"/>
    </row>
    <row r="15" spans="1:66" s="109" customFormat="1" ht="20.100000000000001" customHeight="1" x14ac:dyDescent="0.45">
      <c r="A15" s="111"/>
      <c r="B15" s="111"/>
      <c r="C15" s="155">
        <f t="shared" si="0"/>
        <v>6</v>
      </c>
      <c r="D15" s="129"/>
      <c r="E15" s="130"/>
      <c r="F15" s="130"/>
      <c r="G15" s="131"/>
      <c r="H15" s="108"/>
      <c r="K15" s="104"/>
      <c r="L15" s="160" t="s">
        <v>71</v>
      </c>
      <c r="M15" s="125"/>
      <c r="N15" s="125"/>
      <c r="O15" s="126"/>
      <c r="P15" s="190" t="s">
        <v>59</v>
      </c>
      <c r="Q15" s="191"/>
      <c r="R15" s="191"/>
      <c r="S15" s="191"/>
      <c r="T15" s="191"/>
      <c r="U15" s="191"/>
      <c r="V15" s="191"/>
      <c r="W15" s="192"/>
      <c r="X15" s="190" t="s">
        <v>46</v>
      </c>
      <c r="Y15" s="191"/>
      <c r="Z15" s="191"/>
      <c r="AA15" s="191"/>
      <c r="AB15" s="191"/>
      <c r="AC15" s="191"/>
      <c r="AD15" s="191"/>
      <c r="AE15" s="192"/>
      <c r="AF15" s="138"/>
      <c r="AG15" s="139"/>
      <c r="AH15" s="139"/>
      <c r="AI15" s="139"/>
      <c r="AJ15" s="139"/>
      <c r="AK15" s="139"/>
      <c r="AL15" s="139"/>
      <c r="AM15" s="139"/>
      <c r="AN15" s="140"/>
      <c r="AO15" s="193">
        <v>45673</v>
      </c>
      <c r="AP15" s="194"/>
      <c r="AQ15" s="166" t="s">
        <v>86</v>
      </c>
      <c r="AR15" s="168"/>
      <c r="AS15" s="166" t="s">
        <v>87</v>
      </c>
      <c r="AT15" s="189"/>
      <c r="AU15" s="133"/>
      <c r="AV15" s="134"/>
      <c r="AW15" s="127"/>
      <c r="AX15" s="128"/>
      <c r="AY15" s="127"/>
      <c r="AZ15" s="132"/>
      <c r="BA15" s="135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7"/>
      <c r="BM15" s="112"/>
      <c r="BN15" s="112"/>
    </row>
    <row r="16" spans="1:66" s="109" customFormat="1" ht="20.100000000000001" customHeight="1" x14ac:dyDescent="0.45">
      <c r="A16" s="111"/>
      <c r="B16" s="111"/>
      <c r="C16" s="155">
        <f t="shared" si="0"/>
        <v>7</v>
      </c>
      <c r="D16" s="129"/>
      <c r="E16" s="130"/>
      <c r="F16" s="130"/>
      <c r="G16" s="131"/>
      <c r="H16" s="108"/>
      <c r="K16" s="104"/>
      <c r="L16" s="160" t="s">
        <v>79</v>
      </c>
      <c r="M16" s="125"/>
      <c r="N16" s="125"/>
      <c r="O16" s="126"/>
      <c r="P16" s="190" t="s">
        <v>59</v>
      </c>
      <c r="Q16" s="191"/>
      <c r="R16" s="191"/>
      <c r="S16" s="191"/>
      <c r="T16" s="191"/>
      <c r="U16" s="191"/>
      <c r="V16" s="191"/>
      <c r="W16" s="192"/>
      <c r="X16" s="190" t="s">
        <v>46</v>
      </c>
      <c r="Y16" s="191"/>
      <c r="Z16" s="191"/>
      <c r="AA16" s="191"/>
      <c r="AB16" s="191"/>
      <c r="AC16" s="191"/>
      <c r="AD16" s="191"/>
      <c r="AE16" s="192"/>
      <c r="AF16" s="138"/>
      <c r="AG16" s="139"/>
      <c r="AH16" s="139"/>
      <c r="AI16" s="139"/>
      <c r="AJ16" s="139"/>
      <c r="AK16" s="139"/>
      <c r="AL16" s="139"/>
      <c r="AM16" s="139"/>
      <c r="AN16" s="140"/>
      <c r="AO16" s="193">
        <v>45673</v>
      </c>
      <c r="AP16" s="194"/>
      <c r="AQ16" s="166" t="s">
        <v>86</v>
      </c>
      <c r="AR16" s="168"/>
      <c r="AS16" s="166" t="s">
        <v>87</v>
      </c>
      <c r="AT16" s="189"/>
      <c r="AU16" s="133"/>
      <c r="AV16" s="134"/>
      <c r="AW16" s="127"/>
      <c r="AX16" s="128"/>
      <c r="AY16" s="127"/>
      <c r="AZ16" s="132"/>
      <c r="BA16" s="135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7"/>
      <c r="BM16" s="112"/>
      <c r="BN16" s="112"/>
    </row>
    <row r="17" spans="1:66" s="109" customFormat="1" ht="20.100000000000001" customHeight="1" x14ac:dyDescent="0.45">
      <c r="A17" s="111"/>
      <c r="B17" s="111"/>
      <c r="C17" s="155">
        <f t="shared" si="0"/>
        <v>8</v>
      </c>
      <c r="D17" s="129"/>
      <c r="E17" s="130"/>
      <c r="F17" s="130"/>
      <c r="G17" s="131"/>
      <c r="H17" s="108"/>
      <c r="K17" s="104"/>
      <c r="L17" s="160" t="s">
        <v>80</v>
      </c>
      <c r="M17" s="125"/>
      <c r="N17" s="125"/>
      <c r="O17" s="126"/>
      <c r="P17" s="190" t="s">
        <v>59</v>
      </c>
      <c r="Q17" s="191"/>
      <c r="R17" s="191"/>
      <c r="S17" s="191"/>
      <c r="T17" s="191"/>
      <c r="U17" s="191"/>
      <c r="V17" s="191"/>
      <c r="W17" s="192"/>
      <c r="X17" s="190" t="s">
        <v>46</v>
      </c>
      <c r="Y17" s="191"/>
      <c r="Z17" s="191"/>
      <c r="AA17" s="191"/>
      <c r="AB17" s="191"/>
      <c r="AC17" s="191"/>
      <c r="AD17" s="191"/>
      <c r="AE17" s="192"/>
      <c r="AF17" s="138"/>
      <c r="AG17" s="139"/>
      <c r="AH17" s="139"/>
      <c r="AI17" s="139"/>
      <c r="AJ17" s="139"/>
      <c r="AK17" s="139"/>
      <c r="AL17" s="139"/>
      <c r="AM17" s="139"/>
      <c r="AN17" s="140"/>
      <c r="AO17" s="193">
        <v>45673</v>
      </c>
      <c r="AP17" s="194"/>
      <c r="AQ17" s="166" t="s">
        <v>86</v>
      </c>
      <c r="AR17" s="168"/>
      <c r="AS17" s="166" t="s">
        <v>87</v>
      </c>
      <c r="AT17" s="189"/>
      <c r="AU17" s="133"/>
      <c r="AV17" s="134"/>
      <c r="AW17" s="127"/>
      <c r="AX17" s="128"/>
      <c r="AY17" s="127"/>
      <c r="AZ17" s="132"/>
      <c r="BA17" s="135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7"/>
      <c r="BM17" s="112"/>
      <c r="BN17" s="112"/>
    </row>
    <row r="18" spans="1:66" s="109" customFormat="1" ht="20.100000000000001" customHeight="1" x14ac:dyDescent="0.45">
      <c r="A18" s="111"/>
      <c r="B18" s="111"/>
      <c r="C18" s="155">
        <f t="shared" si="0"/>
        <v>9</v>
      </c>
      <c r="D18" s="116"/>
      <c r="E18" s="117"/>
      <c r="F18" s="117"/>
      <c r="G18" s="118"/>
      <c r="H18" s="108"/>
      <c r="K18" s="104"/>
      <c r="L18" s="160" t="s">
        <v>81</v>
      </c>
      <c r="M18" s="125"/>
      <c r="N18" s="125"/>
      <c r="O18" s="126"/>
      <c r="P18" s="190" t="s">
        <v>59</v>
      </c>
      <c r="Q18" s="191"/>
      <c r="R18" s="191"/>
      <c r="S18" s="191"/>
      <c r="T18" s="191"/>
      <c r="U18" s="191"/>
      <c r="V18" s="191"/>
      <c r="W18" s="192"/>
      <c r="X18" s="190" t="s">
        <v>46</v>
      </c>
      <c r="Y18" s="191"/>
      <c r="Z18" s="191"/>
      <c r="AA18" s="191"/>
      <c r="AB18" s="191"/>
      <c r="AC18" s="191"/>
      <c r="AD18" s="191"/>
      <c r="AE18" s="192"/>
      <c r="AF18" s="238"/>
      <c r="AG18" s="239"/>
      <c r="AH18" s="239"/>
      <c r="AI18" s="239"/>
      <c r="AJ18" s="239"/>
      <c r="AK18" s="239"/>
      <c r="AL18" s="239"/>
      <c r="AM18" s="239"/>
      <c r="AN18" s="240"/>
      <c r="AO18" s="193">
        <v>45673</v>
      </c>
      <c r="AP18" s="194"/>
      <c r="AQ18" s="166" t="s">
        <v>86</v>
      </c>
      <c r="AR18" s="168"/>
      <c r="AS18" s="166" t="s">
        <v>87</v>
      </c>
      <c r="AT18" s="189"/>
      <c r="AU18" s="123"/>
      <c r="AV18" s="124"/>
      <c r="AW18" s="113"/>
      <c r="AX18" s="114"/>
      <c r="AY18" s="113"/>
      <c r="AZ18" s="119"/>
      <c r="BA18" s="120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2"/>
      <c r="BM18" s="112"/>
      <c r="BN18" s="112"/>
    </row>
    <row r="19" spans="1:66" s="109" customFormat="1" ht="20.100000000000001" customHeight="1" x14ac:dyDescent="0.45">
      <c r="A19" s="111"/>
      <c r="B19" s="111"/>
      <c r="C19" s="155">
        <f t="shared" si="0"/>
        <v>10</v>
      </c>
      <c r="D19" s="116"/>
      <c r="E19" s="117"/>
      <c r="F19" s="117"/>
      <c r="G19" s="118"/>
      <c r="H19" s="108"/>
      <c r="K19" s="104"/>
      <c r="L19" s="160" t="s">
        <v>82</v>
      </c>
      <c r="M19" s="125"/>
      <c r="N19" s="125"/>
      <c r="O19" s="126"/>
      <c r="P19" s="190" t="s">
        <v>59</v>
      </c>
      <c r="Q19" s="191"/>
      <c r="R19" s="191"/>
      <c r="S19" s="191"/>
      <c r="T19" s="191"/>
      <c r="U19" s="191"/>
      <c r="V19" s="191"/>
      <c r="W19" s="192"/>
      <c r="X19" s="190" t="s">
        <v>46</v>
      </c>
      <c r="Y19" s="191"/>
      <c r="Z19" s="191"/>
      <c r="AA19" s="191"/>
      <c r="AB19" s="191"/>
      <c r="AC19" s="191"/>
      <c r="AD19" s="191"/>
      <c r="AE19" s="192"/>
      <c r="AF19" s="238"/>
      <c r="AG19" s="239"/>
      <c r="AH19" s="239"/>
      <c r="AI19" s="239"/>
      <c r="AJ19" s="239"/>
      <c r="AK19" s="239"/>
      <c r="AL19" s="239"/>
      <c r="AM19" s="239"/>
      <c r="AN19" s="240"/>
      <c r="AO19" s="193">
        <v>45673</v>
      </c>
      <c r="AP19" s="194"/>
      <c r="AQ19" s="166" t="s">
        <v>86</v>
      </c>
      <c r="AR19" s="168"/>
      <c r="AS19" s="166" t="s">
        <v>87</v>
      </c>
      <c r="AT19" s="189"/>
      <c r="AU19" s="123"/>
      <c r="AV19" s="124"/>
      <c r="AW19" s="113"/>
      <c r="AX19" s="114"/>
      <c r="AY19" s="113"/>
      <c r="AZ19" s="119"/>
      <c r="BA19" s="120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2"/>
      <c r="BM19" s="112"/>
      <c r="BN19" s="112"/>
    </row>
    <row r="20" spans="1:66" s="109" customFormat="1" ht="20.100000000000001" customHeight="1" x14ac:dyDescent="0.45">
      <c r="A20" s="111"/>
      <c r="B20" s="111"/>
      <c r="C20" s="155">
        <f t="shared" si="0"/>
        <v>11</v>
      </c>
      <c r="D20" s="116"/>
      <c r="E20" s="117"/>
      <c r="F20" s="117"/>
      <c r="G20" s="118"/>
      <c r="H20" s="108"/>
      <c r="K20" s="104"/>
      <c r="L20" s="160" t="s">
        <v>72</v>
      </c>
      <c r="M20" s="125"/>
      <c r="N20" s="125"/>
      <c r="O20" s="126"/>
      <c r="P20" s="190" t="s">
        <v>59</v>
      </c>
      <c r="Q20" s="191"/>
      <c r="R20" s="191"/>
      <c r="S20" s="191"/>
      <c r="T20" s="191"/>
      <c r="U20" s="191"/>
      <c r="V20" s="191"/>
      <c r="W20" s="192"/>
      <c r="X20" s="190" t="s">
        <v>46</v>
      </c>
      <c r="Y20" s="191"/>
      <c r="Z20" s="191"/>
      <c r="AA20" s="191"/>
      <c r="AB20" s="191"/>
      <c r="AC20" s="191"/>
      <c r="AD20" s="191"/>
      <c r="AE20" s="192"/>
      <c r="AF20" s="238"/>
      <c r="AG20" s="239"/>
      <c r="AH20" s="239"/>
      <c r="AI20" s="239"/>
      <c r="AJ20" s="239"/>
      <c r="AK20" s="239"/>
      <c r="AL20" s="239"/>
      <c r="AM20" s="239"/>
      <c r="AN20" s="240"/>
      <c r="AO20" s="193">
        <v>45673</v>
      </c>
      <c r="AP20" s="194"/>
      <c r="AQ20" s="166" t="s">
        <v>86</v>
      </c>
      <c r="AR20" s="168"/>
      <c r="AS20" s="166" t="s">
        <v>87</v>
      </c>
      <c r="AT20" s="189"/>
      <c r="AU20" s="123"/>
      <c r="AV20" s="124"/>
      <c r="AW20" s="113"/>
      <c r="AX20" s="114"/>
      <c r="AY20" s="113"/>
      <c r="AZ20" s="119"/>
      <c r="BA20" s="120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2"/>
      <c r="BM20" s="112"/>
      <c r="BN20" s="112"/>
    </row>
    <row r="21" spans="1:66" s="109" customFormat="1" ht="20.100000000000001" customHeight="1" x14ac:dyDescent="0.45">
      <c r="A21" s="111"/>
      <c r="B21" s="111"/>
      <c r="C21" s="155">
        <f t="shared" si="0"/>
        <v>12</v>
      </c>
      <c r="D21" s="116"/>
      <c r="E21" s="117"/>
      <c r="F21" s="117"/>
      <c r="G21" s="118"/>
      <c r="H21" s="108"/>
      <c r="K21" s="104"/>
      <c r="L21" s="160" t="s">
        <v>73</v>
      </c>
      <c r="M21" s="125"/>
      <c r="N21" s="125"/>
      <c r="O21" s="126"/>
      <c r="P21" s="190" t="s">
        <v>59</v>
      </c>
      <c r="Q21" s="191"/>
      <c r="R21" s="191"/>
      <c r="S21" s="191"/>
      <c r="T21" s="191"/>
      <c r="U21" s="191"/>
      <c r="V21" s="191"/>
      <c r="W21" s="192"/>
      <c r="X21" s="190" t="s">
        <v>46</v>
      </c>
      <c r="Y21" s="191"/>
      <c r="Z21" s="191"/>
      <c r="AA21" s="191"/>
      <c r="AB21" s="191"/>
      <c r="AC21" s="191"/>
      <c r="AD21" s="191"/>
      <c r="AE21" s="192"/>
      <c r="AF21" s="238"/>
      <c r="AG21" s="239"/>
      <c r="AH21" s="239"/>
      <c r="AI21" s="239"/>
      <c r="AJ21" s="239"/>
      <c r="AK21" s="239"/>
      <c r="AL21" s="239"/>
      <c r="AM21" s="239"/>
      <c r="AN21" s="240"/>
      <c r="AO21" s="193">
        <v>45673</v>
      </c>
      <c r="AP21" s="194"/>
      <c r="AQ21" s="166" t="s">
        <v>86</v>
      </c>
      <c r="AR21" s="168"/>
      <c r="AS21" s="166" t="s">
        <v>87</v>
      </c>
      <c r="AT21" s="189"/>
      <c r="AU21" s="123"/>
      <c r="AV21" s="124"/>
      <c r="AW21" s="113"/>
      <c r="AX21" s="114"/>
      <c r="AY21" s="113"/>
      <c r="AZ21" s="119"/>
      <c r="BA21" s="120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2"/>
      <c r="BM21" s="112"/>
      <c r="BN21" s="112"/>
    </row>
    <row r="22" spans="1:66" s="109" customFormat="1" ht="20.100000000000001" customHeight="1" x14ac:dyDescent="0.45">
      <c r="A22" s="111"/>
      <c r="B22" s="111"/>
      <c r="C22" s="155">
        <f t="shared" si="0"/>
        <v>13</v>
      </c>
      <c r="D22" s="116"/>
      <c r="E22" s="117"/>
      <c r="F22" s="117"/>
      <c r="G22" s="118"/>
      <c r="H22" s="108"/>
      <c r="K22" s="104"/>
      <c r="L22" s="160" t="s">
        <v>83</v>
      </c>
      <c r="M22" s="125"/>
      <c r="N22" s="125"/>
      <c r="O22" s="126"/>
      <c r="P22" s="190" t="s">
        <v>59</v>
      </c>
      <c r="Q22" s="191"/>
      <c r="R22" s="191"/>
      <c r="S22" s="191"/>
      <c r="T22" s="191"/>
      <c r="U22" s="191"/>
      <c r="V22" s="191"/>
      <c r="W22" s="192"/>
      <c r="X22" s="190" t="s">
        <v>46</v>
      </c>
      <c r="Y22" s="191"/>
      <c r="Z22" s="191"/>
      <c r="AA22" s="191"/>
      <c r="AB22" s="191"/>
      <c r="AC22" s="191"/>
      <c r="AD22" s="191"/>
      <c r="AE22" s="192"/>
      <c r="AF22" s="238"/>
      <c r="AG22" s="239"/>
      <c r="AH22" s="239"/>
      <c r="AI22" s="239"/>
      <c r="AJ22" s="239"/>
      <c r="AK22" s="239"/>
      <c r="AL22" s="239"/>
      <c r="AM22" s="239"/>
      <c r="AN22" s="240"/>
      <c r="AO22" s="193">
        <v>45673</v>
      </c>
      <c r="AP22" s="194"/>
      <c r="AQ22" s="166" t="s">
        <v>86</v>
      </c>
      <c r="AR22" s="168"/>
      <c r="AS22" s="166" t="s">
        <v>87</v>
      </c>
      <c r="AT22" s="189"/>
      <c r="AU22" s="123"/>
      <c r="AV22" s="124"/>
      <c r="AW22" s="113"/>
      <c r="AX22" s="114"/>
      <c r="AY22" s="113"/>
      <c r="AZ22" s="119"/>
      <c r="BA22" s="120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2"/>
      <c r="BM22" s="112"/>
      <c r="BN22" s="112"/>
    </row>
    <row r="23" spans="1:66" s="109" customFormat="1" ht="20.100000000000001" customHeight="1" x14ac:dyDescent="0.45">
      <c r="A23" s="111"/>
      <c r="B23" s="111"/>
      <c r="C23" s="155">
        <f t="shared" si="0"/>
        <v>14</v>
      </c>
      <c r="D23" s="116"/>
      <c r="E23" s="117"/>
      <c r="F23" s="117"/>
      <c r="G23" s="118"/>
      <c r="H23" s="108"/>
      <c r="K23" s="104"/>
      <c r="L23" s="156" t="s">
        <v>74</v>
      </c>
      <c r="N23" s="110"/>
      <c r="O23" s="104"/>
      <c r="P23" s="190" t="s">
        <v>59</v>
      </c>
      <c r="Q23" s="191"/>
      <c r="R23" s="191"/>
      <c r="S23" s="191"/>
      <c r="T23" s="191"/>
      <c r="U23" s="191"/>
      <c r="V23" s="191"/>
      <c r="W23" s="192"/>
      <c r="X23" s="190" t="s">
        <v>46</v>
      </c>
      <c r="Y23" s="191"/>
      <c r="Z23" s="191"/>
      <c r="AA23" s="191"/>
      <c r="AB23" s="191"/>
      <c r="AC23" s="191"/>
      <c r="AD23" s="191"/>
      <c r="AE23" s="192"/>
      <c r="AF23" s="238"/>
      <c r="AG23" s="239"/>
      <c r="AH23" s="239"/>
      <c r="AI23" s="239"/>
      <c r="AJ23" s="239"/>
      <c r="AK23" s="239"/>
      <c r="AL23" s="239"/>
      <c r="AM23" s="239"/>
      <c r="AN23" s="240"/>
      <c r="AO23" s="193">
        <v>45673</v>
      </c>
      <c r="AP23" s="194"/>
      <c r="AQ23" s="166" t="s">
        <v>86</v>
      </c>
      <c r="AR23" s="168"/>
      <c r="AS23" s="166" t="s">
        <v>87</v>
      </c>
      <c r="AT23" s="189"/>
      <c r="AU23" s="123"/>
      <c r="AV23" s="124"/>
      <c r="AW23" s="113"/>
      <c r="AX23" s="114"/>
      <c r="AY23" s="113"/>
      <c r="AZ23" s="119"/>
      <c r="BA23" s="120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2"/>
      <c r="BM23" s="112"/>
      <c r="BN23" s="112"/>
    </row>
    <row r="24" spans="1:66" s="109" customFormat="1" ht="20.100000000000001" customHeight="1" x14ac:dyDescent="0.45">
      <c r="A24" s="111"/>
      <c r="B24" s="111"/>
      <c r="C24" s="155">
        <f t="shared" si="0"/>
        <v>15</v>
      </c>
      <c r="D24" s="116"/>
      <c r="E24" s="117"/>
      <c r="F24" s="117"/>
      <c r="G24" s="118"/>
      <c r="H24" s="108"/>
      <c r="K24" s="104"/>
      <c r="L24" s="160" t="s">
        <v>84</v>
      </c>
      <c r="M24" s="125"/>
      <c r="N24" s="125"/>
      <c r="O24" s="126"/>
      <c r="P24" s="190" t="s">
        <v>59</v>
      </c>
      <c r="Q24" s="191"/>
      <c r="R24" s="191"/>
      <c r="S24" s="191"/>
      <c r="T24" s="191"/>
      <c r="U24" s="191"/>
      <c r="V24" s="191"/>
      <c r="W24" s="192"/>
      <c r="X24" s="190" t="s">
        <v>46</v>
      </c>
      <c r="Y24" s="191"/>
      <c r="Z24" s="191"/>
      <c r="AA24" s="191"/>
      <c r="AB24" s="191"/>
      <c r="AC24" s="191"/>
      <c r="AD24" s="191"/>
      <c r="AE24" s="192"/>
      <c r="AF24" s="238"/>
      <c r="AG24" s="239"/>
      <c r="AH24" s="239"/>
      <c r="AI24" s="239"/>
      <c r="AJ24" s="239"/>
      <c r="AK24" s="239"/>
      <c r="AL24" s="239"/>
      <c r="AM24" s="239"/>
      <c r="AN24" s="240"/>
      <c r="AO24" s="193">
        <v>45673</v>
      </c>
      <c r="AP24" s="194"/>
      <c r="AQ24" s="166" t="s">
        <v>86</v>
      </c>
      <c r="AR24" s="168"/>
      <c r="AS24" s="166" t="s">
        <v>87</v>
      </c>
      <c r="AT24" s="189"/>
      <c r="AU24" s="123"/>
      <c r="AV24" s="124"/>
      <c r="AW24" s="113"/>
      <c r="AX24" s="114"/>
      <c r="AY24" s="113"/>
      <c r="AZ24" s="119"/>
      <c r="BA24" s="120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2"/>
      <c r="BM24" s="112"/>
      <c r="BN24" s="112"/>
    </row>
    <row r="25" spans="1:66" s="85" customFormat="1" ht="19.8" customHeight="1" x14ac:dyDescent="0.45">
      <c r="A25" s="86"/>
      <c r="B25" s="86"/>
      <c r="C25" s="155">
        <f t="shared" si="0"/>
        <v>16</v>
      </c>
      <c r="D25" s="99"/>
      <c r="E25" s="100"/>
      <c r="F25" s="100"/>
      <c r="G25" s="101"/>
      <c r="H25" s="108"/>
      <c r="K25" s="104"/>
      <c r="L25" s="160" t="s">
        <v>75</v>
      </c>
      <c r="M25" s="125"/>
      <c r="N25" s="125"/>
      <c r="O25" s="126"/>
      <c r="P25" s="190" t="s">
        <v>59</v>
      </c>
      <c r="Q25" s="191"/>
      <c r="R25" s="191"/>
      <c r="S25" s="191"/>
      <c r="T25" s="191"/>
      <c r="U25" s="191"/>
      <c r="V25" s="191"/>
      <c r="W25" s="192"/>
      <c r="X25" s="190" t="s">
        <v>46</v>
      </c>
      <c r="Y25" s="191"/>
      <c r="Z25" s="191"/>
      <c r="AA25" s="191"/>
      <c r="AB25" s="191"/>
      <c r="AC25" s="191"/>
      <c r="AD25" s="191"/>
      <c r="AE25" s="192"/>
      <c r="AF25" s="238"/>
      <c r="AG25" s="239"/>
      <c r="AH25" s="239"/>
      <c r="AI25" s="239"/>
      <c r="AJ25" s="239"/>
      <c r="AK25" s="239"/>
      <c r="AL25" s="239"/>
      <c r="AM25" s="239"/>
      <c r="AN25" s="240"/>
      <c r="AO25" s="193">
        <v>45673</v>
      </c>
      <c r="AP25" s="194"/>
      <c r="AQ25" s="166" t="s">
        <v>86</v>
      </c>
      <c r="AR25" s="168"/>
      <c r="AS25" s="166" t="s">
        <v>87</v>
      </c>
      <c r="AT25" s="189"/>
      <c r="AU25" s="96"/>
      <c r="AV25" s="97"/>
      <c r="AW25" s="88"/>
      <c r="AX25" s="89"/>
      <c r="AY25" s="88"/>
      <c r="AZ25" s="98"/>
      <c r="BA25" s="90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2"/>
      <c r="BM25" s="87"/>
      <c r="BN25" s="87"/>
    </row>
    <row r="26" spans="1:66" ht="20.100000000000001" customHeight="1" x14ac:dyDescent="0.45">
      <c r="A26" s="41"/>
      <c r="B26" s="41"/>
      <c r="C26" s="155">
        <f t="shared" si="0"/>
        <v>17</v>
      </c>
      <c r="D26" s="53"/>
      <c r="E26" s="54"/>
      <c r="F26" s="54"/>
      <c r="G26" s="55"/>
      <c r="H26" s="227" t="s">
        <v>49</v>
      </c>
      <c r="I26" s="228"/>
      <c r="J26" s="228"/>
      <c r="K26" s="229"/>
      <c r="L26" s="230" t="s">
        <v>50</v>
      </c>
      <c r="M26" s="231"/>
      <c r="N26" s="231"/>
      <c r="O26" s="232"/>
      <c r="P26" s="230" t="s">
        <v>61</v>
      </c>
      <c r="Q26" s="231"/>
      <c r="R26" s="231"/>
      <c r="S26" s="231"/>
      <c r="T26" s="231"/>
      <c r="U26" s="231"/>
      <c r="V26" s="231"/>
      <c r="W26" s="232"/>
      <c r="X26" s="230" t="s">
        <v>51</v>
      </c>
      <c r="Y26" s="231"/>
      <c r="Z26" s="231"/>
      <c r="AA26" s="231"/>
      <c r="AB26" s="231"/>
      <c r="AC26" s="231"/>
      <c r="AD26" s="231"/>
      <c r="AE26" s="233"/>
      <c r="AF26" s="56"/>
      <c r="AG26" s="57"/>
      <c r="AH26" s="57"/>
      <c r="AI26" s="57"/>
      <c r="AJ26" s="57"/>
      <c r="AK26" s="57"/>
      <c r="AL26" s="57"/>
      <c r="AM26" s="57"/>
      <c r="AN26" s="62"/>
      <c r="AO26" s="193">
        <v>45673</v>
      </c>
      <c r="AP26" s="194"/>
      <c r="AQ26" s="166" t="s">
        <v>86</v>
      </c>
      <c r="AR26" s="168"/>
      <c r="AS26" s="166" t="s">
        <v>87</v>
      </c>
      <c r="AT26" s="189"/>
      <c r="AU26" s="63"/>
      <c r="AV26" s="64"/>
      <c r="AW26" s="47"/>
      <c r="AX26" s="48"/>
      <c r="AY26" s="47"/>
      <c r="AZ26" s="58"/>
      <c r="BA26" s="59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1"/>
      <c r="BM26" s="44"/>
      <c r="BN26" s="44"/>
    </row>
    <row r="27" spans="1:66" ht="20.100000000000001" customHeight="1" thickBot="1" x14ac:dyDescent="0.5">
      <c r="A27" s="41"/>
      <c r="B27" s="41"/>
      <c r="C27" s="155">
        <f t="shared" si="0"/>
        <v>18</v>
      </c>
      <c r="D27" s="53"/>
      <c r="E27" s="54"/>
      <c r="F27" s="54"/>
      <c r="G27" s="55"/>
      <c r="H27" s="234"/>
      <c r="I27" s="235"/>
      <c r="J27" s="235"/>
      <c r="K27" s="236"/>
      <c r="L27" s="224" t="s">
        <v>52</v>
      </c>
      <c r="M27" s="225"/>
      <c r="N27" s="225"/>
      <c r="O27" s="237"/>
      <c r="P27" s="224" t="s">
        <v>62</v>
      </c>
      <c r="Q27" s="225"/>
      <c r="R27" s="225"/>
      <c r="S27" s="225"/>
      <c r="T27" s="225"/>
      <c r="U27" s="225"/>
      <c r="V27" s="225"/>
      <c r="W27" s="237"/>
      <c r="X27" s="224" t="s">
        <v>51</v>
      </c>
      <c r="Y27" s="225"/>
      <c r="Z27" s="225"/>
      <c r="AA27" s="225"/>
      <c r="AB27" s="225"/>
      <c r="AC27" s="225"/>
      <c r="AD27" s="225"/>
      <c r="AE27" s="226"/>
      <c r="AF27" s="56"/>
      <c r="AG27" s="57"/>
      <c r="AH27" s="57"/>
      <c r="AI27" s="57"/>
      <c r="AJ27" s="57"/>
      <c r="AK27" s="57"/>
      <c r="AL27" s="57"/>
      <c r="AM27" s="57"/>
      <c r="AN27" s="62"/>
      <c r="AO27" s="193">
        <v>45673</v>
      </c>
      <c r="AP27" s="194"/>
      <c r="AQ27" s="166" t="s">
        <v>86</v>
      </c>
      <c r="AR27" s="168"/>
      <c r="AS27" s="166" t="s">
        <v>87</v>
      </c>
      <c r="AT27" s="189"/>
      <c r="AU27" s="63"/>
      <c r="AV27" s="64"/>
      <c r="AW27" s="47"/>
      <c r="AX27" s="48"/>
      <c r="AY27" s="47"/>
      <c r="AZ27" s="58"/>
      <c r="BA27" s="59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1"/>
      <c r="BM27" s="44"/>
      <c r="BN27" s="44"/>
    </row>
    <row r="28" spans="1:66" ht="20.100000000000001" customHeight="1" thickTop="1" thickBot="1" x14ac:dyDescent="0.5">
      <c r="A28" s="41"/>
      <c r="B28" s="40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0"/>
      <c r="BN28" s="44"/>
    </row>
    <row r="29" spans="1:66" ht="5.0999999999999996" customHeight="1" thickTop="1" x14ac:dyDescent="0.45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</row>
    <row r="30" spans="1:66" ht="20.100000000000001" customHeight="1" x14ac:dyDescent="0.45"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</sheetData>
  <mergeCells count="146">
    <mergeCell ref="AQ25:AR25"/>
    <mergeCell ref="AQ26:AR26"/>
    <mergeCell ref="AQ27:AR27"/>
    <mergeCell ref="AQ20:AR20"/>
    <mergeCell ref="AQ21:AR21"/>
    <mergeCell ref="AQ22:AR22"/>
    <mergeCell ref="AQ23:AR23"/>
    <mergeCell ref="AQ24:AR24"/>
    <mergeCell ref="AO23:AP23"/>
    <mergeCell ref="AO24:AP24"/>
    <mergeCell ref="AO25:AP25"/>
    <mergeCell ref="AO26:AP26"/>
    <mergeCell ref="AO27:AP27"/>
    <mergeCell ref="AS24:AT24"/>
    <mergeCell ref="AS25:AT25"/>
    <mergeCell ref="AS26:AT26"/>
    <mergeCell ref="AS27:AT27"/>
    <mergeCell ref="AO10:AP10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O11:AP11"/>
    <mergeCell ref="AS19:AT19"/>
    <mergeCell ref="AS20:AT20"/>
    <mergeCell ref="AS21:AT21"/>
    <mergeCell ref="AS22:AT22"/>
    <mergeCell ref="AS23:AT23"/>
    <mergeCell ref="AO18:AP18"/>
    <mergeCell ref="AO19:AP19"/>
    <mergeCell ref="AO20:AP20"/>
    <mergeCell ref="X13:AE13"/>
    <mergeCell ref="X14:AE14"/>
    <mergeCell ref="X18:AE18"/>
    <mergeCell ref="P21:W21"/>
    <mergeCell ref="X21:AE21"/>
    <mergeCell ref="X19:AE19"/>
    <mergeCell ref="X20:AE20"/>
    <mergeCell ref="P22:W22"/>
    <mergeCell ref="R3:W4"/>
    <mergeCell ref="X3:AJ4"/>
    <mergeCell ref="P11:W11"/>
    <mergeCell ref="P10:W10"/>
    <mergeCell ref="AF11:AN11"/>
    <mergeCell ref="L3:Q4"/>
    <mergeCell ref="AK3:AW4"/>
    <mergeCell ref="AS10:AT10"/>
    <mergeCell ref="AS11:AT11"/>
    <mergeCell ref="AO21:AP21"/>
    <mergeCell ref="AO22:AP22"/>
    <mergeCell ref="AO13:AP13"/>
    <mergeCell ref="AO14:AP14"/>
    <mergeCell ref="AO15:AP15"/>
    <mergeCell ref="AO16:AP16"/>
    <mergeCell ref="AO17:AP17"/>
    <mergeCell ref="P23:W23"/>
    <mergeCell ref="P12:W12"/>
    <mergeCell ref="P13:W13"/>
    <mergeCell ref="P14:W14"/>
    <mergeCell ref="P18:W18"/>
    <mergeCell ref="P20:W20"/>
    <mergeCell ref="P19:W19"/>
    <mergeCell ref="P15:W15"/>
    <mergeCell ref="P16:W16"/>
    <mergeCell ref="P17:W17"/>
    <mergeCell ref="H10:K10"/>
    <mergeCell ref="L10:O10"/>
    <mergeCell ref="B2:G2"/>
    <mergeCell ref="H2:K2"/>
    <mergeCell ref="L2:Q2"/>
    <mergeCell ref="D10:G10"/>
    <mergeCell ref="B3:G4"/>
    <mergeCell ref="H3:K4"/>
    <mergeCell ref="AF12:AN12"/>
    <mergeCell ref="R2:W2"/>
    <mergeCell ref="X2:AJ2"/>
    <mergeCell ref="X11:AE11"/>
    <mergeCell ref="X10:AE10"/>
    <mergeCell ref="X12:AE12"/>
    <mergeCell ref="AF13:AN13"/>
    <mergeCell ref="AF14:AN14"/>
    <mergeCell ref="AF18:AN18"/>
    <mergeCell ref="BF3:BI4"/>
    <mergeCell ref="BE7:BF8"/>
    <mergeCell ref="BG7:BH7"/>
    <mergeCell ref="BI7:BJ7"/>
    <mergeCell ref="AS14:AT14"/>
    <mergeCell ref="AS15:AT15"/>
    <mergeCell ref="AS16:AT16"/>
    <mergeCell ref="AS12:AT12"/>
    <mergeCell ref="AS13:AT13"/>
    <mergeCell ref="AS17:AT17"/>
    <mergeCell ref="AS18:AT18"/>
    <mergeCell ref="AO12:AP12"/>
    <mergeCell ref="BF2:BI2"/>
    <mergeCell ref="AY9:AZ9"/>
    <mergeCell ref="BA9:BL9"/>
    <mergeCell ref="AF10:AN10"/>
    <mergeCell ref="AO9:AP9"/>
    <mergeCell ref="AQ9:AR9"/>
    <mergeCell ref="AS9:AT9"/>
    <mergeCell ref="AU9:AV9"/>
    <mergeCell ref="AW9:AX9"/>
    <mergeCell ref="AX2:BA2"/>
    <mergeCell ref="BB2:BE2"/>
    <mergeCell ref="AK2:AW2"/>
    <mergeCell ref="BJ2:BM2"/>
    <mergeCell ref="AO8:AT8"/>
    <mergeCell ref="AU8:AZ8"/>
    <mergeCell ref="BG8:BH8"/>
    <mergeCell ref="BI8:BJ8"/>
    <mergeCell ref="BK8:BL8"/>
    <mergeCell ref="AX3:BA4"/>
    <mergeCell ref="BB3:BE4"/>
    <mergeCell ref="BJ3:BM4"/>
    <mergeCell ref="BK7:BL7"/>
    <mergeCell ref="AF22:AN22"/>
    <mergeCell ref="AF23:AN23"/>
    <mergeCell ref="AF24:AN24"/>
    <mergeCell ref="AF25:AN25"/>
    <mergeCell ref="X15:AE15"/>
    <mergeCell ref="X16:AE16"/>
    <mergeCell ref="X17:AE17"/>
    <mergeCell ref="X23:AE23"/>
    <mergeCell ref="X24:AE24"/>
    <mergeCell ref="X25:AE25"/>
    <mergeCell ref="AF21:AN21"/>
    <mergeCell ref="X22:AE22"/>
    <mergeCell ref="AF19:AN19"/>
    <mergeCell ref="AF20:AN20"/>
    <mergeCell ref="X27:AE27"/>
    <mergeCell ref="H26:K26"/>
    <mergeCell ref="L26:O26"/>
    <mergeCell ref="P26:W26"/>
    <mergeCell ref="X26:AE26"/>
    <mergeCell ref="P24:W24"/>
    <mergeCell ref="P25:W25"/>
    <mergeCell ref="H27:K27"/>
    <mergeCell ref="L27:O27"/>
    <mergeCell ref="P27:W27"/>
  </mergeCells>
  <phoneticPr fontId="2"/>
  <conditionalFormatting sqref="AY10:AY27 AS10:AS27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7 AS10:AS2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2025-02-27T03:17:42Z</dcterms:modified>
</cp:coreProperties>
</file>