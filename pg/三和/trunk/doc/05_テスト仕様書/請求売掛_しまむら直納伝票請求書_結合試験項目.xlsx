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画面!$A$1:$BN$58</definedName>
    <definedName name="_xlnm.Print_Area" localSheetId="2">帳票!$A$1:$BN$49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20" l="1"/>
  <c r="C46" i="20"/>
  <c r="C45" i="19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6" i="19"/>
  <c r="C47" i="19"/>
  <c r="C48" i="19"/>
  <c r="C49" i="19"/>
  <c r="C50" i="19"/>
  <c r="C51" i="19"/>
  <c r="C52" i="19"/>
  <c r="C53" i="19"/>
  <c r="C54" i="19"/>
  <c r="C55" i="19"/>
  <c r="C56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10" i="20" l="1"/>
  <c r="BI8" i="20"/>
  <c r="BJ3" i="20"/>
  <c r="BF3" i="20"/>
  <c r="BB3" i="20"/>
  <c r="AX3" i="20"/>
  <c r="L3" i="20"/>
  <c r="B3" i="20"/>
  <c r="C10" i="19" l="1"/>
  <c r="BI8" i="19"/>
  <c r="BJ3" i="19"/>
  <c r="BF3" i="19"/>
  <c r="BB3" i="19"/>
  <c r="AX3" i="19"/>
  <c r="L3" i="19"/>
  <c r="B3" i="19"/>
  <c r="BG8" i="20" l="1"/>
  <c r="BK8" i="20" s="1"/>
  <c r="X3" i="1" l="1"/>
  <c r="X3" i="20" s="1"/>
  <c r="BG8" i="19" l="1"/>
  <c r="BK8" i="19" s="1"/>
  <c r="X3" i="19"/>
  <c r="H3" i="1"/>
  <c r="H3" i="20" s="1"/>
  <c r="R3" i="1"/>
  <c r="R3" i="20" s="1"/>
  <c r="AK3" i="1"/>
  <c r="AK3" i="19" l="1"/>
  <c r="AK3" i="20"/>
  <c r="R3" i="19"/>
  <c r="H3" i="19"/>
</calcChain>
</file>

<file path=xl/sharedStrings.xml><?xml version="1.0" encoding="utf-8"?>
<sst xmlns="http://schemas.openxmlformats.org/spreadsheetml/2006/main" count="564" uniqueCount="160">
  <si>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</si>
  <si>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</si>
  <si>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</si>
  <si>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</si>
  <si>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</si>
  <si>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</si>
  <si>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</si>
  <si>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</si>
  <si>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</si>
  <si>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</si>
  <si>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</si>
  <si>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</si>
  <si>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</si>
  <si>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</si>
  <si>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</si>
  <si>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</si>
  <si>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</si>
  <si>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</si>
  <si>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</si>
  <si>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</si>
  <si>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</si>
  <si>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</si>
  <si>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</si>
  <si>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</si>
  <si>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</si>
  <si>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</si>
  <si>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</si>
  <si>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</si>
  <si>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</si>
  <si>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</si>
  <si>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</si>
  <si>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</si>
  <si>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</si>
  <si>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</si>
  <si>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</si>
  <si>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</si>
  <si>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</si>
  <si>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</si>
  <si>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</si>
  <si>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</si>
  <si>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</si>
  <si>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</si>
  <si>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請求期間</t>
    <rPh sb="0" eb="4">
      <t>セイキュウキカン</t>
    </rPh>
    <phoneticPr fontId="2"/>
  </si>
  <si>
    <t>入力欄が非活性、かつ、空欄であること</t>
    <rPh sb="4" eb="5">
      <t>ヒ</t>
    </rPh>
    <rPh sb="5" eb="7">
      <t>カッセイ</t>
    </rPh>
    <rPh sb="11" eb="13">
      <t>クウラン</t>
    </rPh>
    <phoneticPr fontId="2"/>
  </si>
  <si>
    <t>入力欄が活性、かつ、空欄であること</t>
    <rPh sb="4" eb="6">
      <t>カッセイ</t>
    </rPh>
    <rPh sb="10" eb="12">
      <t>クウラン</t>
    </rPh>
    <phoneticPr fontId="2"/>
  </si>
  <si>
    <t>動作確認</t>
    <rPh sb="0" eb="2">
      <t>ドウサ</t>
    </rPh>
    <rPh sb="2" eb="4">
      <t>カクニン</t>
    </rPh>
    <phoneticPr fontId="2"/>
  </si>
  <si>
    <t>初期表示</t>
    <rPh sb="0" eb="4">
      <t>ショキヒョウジ</t>
    </rPh>
    <phoneticPr fontId="2"/>
  </si>
  <si>
    <t>虫眼鏡を押下する</t>
    <rPh sb="4" eb="6">
      <t>オウカ</t>
    </rPh>
    <phoneticPr fontId="2"/>
  </si>
  <si>
    <t>得意先CD検索のダイアログが立ち上がること</t>
    <rPh sb="0" eb="3">
      <t>トクイサキ</t>
    </rPh>
    <rPh sb="5" eb="7">
      <t>ケンサク</t>
    </rPh>
    <rPh sb="14" eb="15">
      <t>タ</t>
    </rPh>
    <rPh sb="16" eb="17">
      <t>ア</t>
    </rPh>
    <phoneticPr fontId="2"/>
  </si>
  <si>
    <t>得意先CD欄に得意先CDが入力されている状態で得意先範囲の×ボタンを押下</t>
    <rPh sb="5" eb="6">
      <t>ラン</t>
    </rPh>
    <rPh sb="7" eb="10">
      <t>トクイサキ</t>
    </rPh>
    <rPh sb="13" eb="15">
      <t>ニュウリョク</t>
    </rPh>
    <rPh sb="20" eb="22">
      <t>ジョウタイ</t>
    </rPh>
    <rPh sb="34" eb="36">
      <t>オウカ</t>
    </rPh>
    <phoneticPr fontId="2"/>
  </si>
  <si>
    <t>得意先CD検索画面で得意先を検索し、得意先CDを選択する。</t>
    <rPh sb="7" eb="9">
      <t>ガメン</t>
    </rPh>
    <rPh sb="10" eb="13">
      <t>トクイサキ</t>
    </rPh>
    <rPh sb="14" eb="16">
      <t>ケンサク</t>
    </rPh>
    <rPh sb="18" eb="21">
      <t>トクイサキ</t>
    </rPh>
    <rPh sb="24" eb="26">
      <t>センタク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</si>
  <si>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</si>
  <si>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</si>
  <si>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</si>
  <si>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</si>
  <si>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出力バリエーション</t>
    <rPh sb="0" eb="2">
      <t>シュツリョク</t>
    </rPh>
    <phoneticPr fontId="2"/>
  </si>
  <si>
    <t>出力種類</t>
    <rPh sb="0" eb="2">
      <t>シュツリョク</t>
    </rPh>
    <rPh sb="2" eb="4">
      <t>シュルイ</t>
    </rPh>
    <phoneticPr fontId="2"/>
  </si>
  <si>
    <t>出力ボタン</t>
    <rPh sb="0" eb="2">
      <t>シュツリョク</t>
    </rPh>
    <phoneticPr fontId="2"/>
  </si>
  <si>
    <t>出力ボタン押下</t>
    <rPh sb="0" eb="2">
      <t>シュツリョク</t>
    </rPh>
    <rPh sb="5" eb="7">
      <t>オウカ</t>
    </rPh>
    <phoneticPr fontId="2"/>
  </si>
  <si>
    <t>出力確認</t>
    <rPh sb="0" eb="2">
      <t>シュツリョク</t>
    </rPh>
    <rPh sb="2" eb="4">
      <t>カクニン</t>
    </rPh>
    <phoneticPr fontId="2"/>
  </si>
  <si>
    <t>得意先名1</t>
  </si>
  <si>
    <t>得意先名2</t>
  </si>
  <si>
    <t>消費税額</t>
  </si>
  <si>
    <t>品名</t>
  </si>
  <si>
    <t>数量</t>
  </si>
  <si>
    <t>単価</t>
  </si>
  <si>
    <t>請求日付</t>
    <phoneticPr fontId="2"/>
  </si>
  <si>
    <t>締日</t>
    <phoneticPr fontId="2"/>
  </si>
  <si>
    <t>伝票種類</t>
    <rPh sb="0" eb="4">
      <t>デンピョウシュルイ</t>
    </rPh>
    <phoneticPr fontId="2"/>
  </si>
  <si>
    <t>内容区分</t>
    <rPh sb="0" eb="2">
      <t>ナイヨウ</t>
    </rPh>
    <rPh sb="2" eb="4">
      <t>クブン</t>
    </rPh>
    <phoneticPr fontId="2"/>
  </si>
  <si>
    <t>送料のみ</t>
    <rPh sb="0" eb="2">
      <t>ソウリョウ</t>
    </rPh>
    <phoneticPr fontId="2"/>
  </si>
  <si>
    <t>並び順</t>
    <rPh sb="0" eb="1">
      <t>ナラ</t>
    </rPh>
    <rPh sb="2" eb="3">
      <t>ジュン</t>
    </rPh>
    <phoneticPr fontId="2"/>
  </si>
  <si>
    <t>発行日付</t>
    <rPh sb="0" eb="2">
      <t>ハッコウ</t>
    </rPh>
    <rPh sb="2" eb="4">
      <t>ヒヅケ</t>
    </rPh>
    <phoneticPr fontId="2"/>
  </si>
  <si>
    <t>0:送料以外 1:送料のみ(Z012)</t>
    <rPh sb="2" eb="6">
      <t>ソウリョウイガイ</t>
    </rPh>
    <rPh sb="9" eb="11">
      <t>ソウリョウ</t>
    </rPh>
    <phoneticPr fontId="2"/>
  </si>
  <si>
    <t>請求日付・締め日</t>
    <rPh sb="0" eb="4">
      <t>セイキュウヒヅケ</t>
    </rPh>
    <rPh sb="5" eb="6">
      <t>シ</t>
    </rPh>
    <rPh sb="7" eb="8">
      <t>ビ</t>
    </rPh>
    <phoneticPr fontId="2"/>
  </si>
  <si>
    <t>請求日付と締め日を入力する</t>
    <rPh sb="0" eb="2">
      <t>セイキュウ</t>
    </rPh>
    <rPh sb="2" eb="4">
      <t>ヒヅケ</t>
    </rPh>
    <rPh sb="5" eb="6">
      <t>シ</t>
    </rPh>
    <rPh sb="7" eb="8">
      <t>ビ</t>
    </rPh>
    <rPh sb="9" eb="11">
      <t>ニュウリョク</t>
    </rPh>
    <phoneticPr fontId="2"/>
  </si>
  <si>
    <t>請求期間(To)に請求日付と締日で設定した日付が入力される</t>
    <rPh sb="0" eb="4">
      <t>セイキュウキカン</t>
    </rPh>
    <rPh sb="9" eb="11">
      <t>セイキュウ</t>
    </rPh>
    <rPh sb="11" eb="13">
      <t>ヒヅケ</t>
    </rPh>
    <rPh sb="14" eb="16">
      <t>シメビ</t>
    </rPh>
    <rPh sb="17" eb="19">
      <t>セッテイ</t>
    </rPh>
    <rPh sb="21" eb="23">
      <t>ヒヅケ</t>
    </rPh>
    <rPh sb="24" eb="26">
      <t>ニュウリョク</t>
    </rPh>
    <phoneticPr fontId="2"/>
  </si>
  <si>
    <t>請求期間(From)に請求日付と締日で設定した日付から30日前の日付が入力される</t>
    <rPh sb="0" eb="4">
      <t>セイキュウキカン</t>
    </rPh>
    <rPh sb="11" eb="13">
      <t>セイキュウ</t>
    </rPh>
    <rPh sb="13" eb="15">
      <t>ヒヅケ</t>
    </rPh>
    <rPh sb="16" eb="18">
      <t>シメビ</t>
    </rPh>
    <rPh sb="19" eb="21">
      <t>セッテイ</t>
    </rPh>
    <rPh sb="23" eb="25">
      <t>ヒヅケ</t>
    </rPh>
    <rPh sb="29" eb="30">
      <t>ニチ</t>
    </rPh>
    <rPh sb="30" eb="31">
      <t>マエ</t>
    </rPh>
    <rPh sb="32" eb="34">
      <t>ヒヅケ</t>
    </rPh>
    <rPh sb="35" eb="37">
      <t>ニュウリョク</t>
    </rPh>
    <phoneticPr fontId="2"/>
  </si>
  <si>
    <t>得意先1</t>
    <phoneticPr fontId="2"/>
  </si>
  <si>
    <t>得意先2</t>
  </si>
  <si>
    <t>得意先3</t>
  </si>
  <si>
    <t>得意先1　虫眼鏡</t>
    <rPh sb="5" eb="8">
      <t>ムシメガネ</t>
    </rPh>
    <phoneticPr fontId="2"/>
  </si>
  <si>
    <t>得意先1　×ボタン</t>
    <phoneticPr fontId="2"/>
  </si>
  <si>
    <t>以下の項目に選択した得意先CDの該当情報が表示されること
得意先2
得意先3</t>
    <rPh sb="0" eb="2">
      <t>イカ</t>
    </rPh>
    <rPh sb="3" eb="5">
      <t>コウモク</t>
    </rPh>
    <rPh sb="6" eb="8">
      <t>センタク</t>
    </rPh>
    <rPh sb="10" eb="13">
      <t>トクイサキ</t>
    </rPh>
    <rPh sb="16" eb="18">
      <t>ガイトウ</t>
    </rPh>
    <rPh sb="18" eb="20">
      <t>ジョウホウ</t>
    </rPh>
    <rPh sb="21" eb="23">
      <t>ヒョウジ</t>
    </rPh>
    <phoneticPr fontId="2"/>
  </si>
  <si>
    <t xml:space="preserve">以下の項目が得意先CD入力前と同じであること
請求日付   
締日   
請求期間   
得意先1   
伝票種類   
内容区分   
送料のみ   
並び順   
発行日付   
</t>
    <rPh sb="0" eb="2">
      <t>イカ</t>
    </rPh>
    <rPh sb="3" eb="5">
      <t>コウモク</t>
    </rPh>
    <rPh sb="6" eb="9">
      <t>トクイサキ</t>
    </rPh>
    <rPh sb="11" eb="13">
      <t>ニュウリョク</t>
    </rPh>
    <rPh sb="13" eb="14">
      <t>マエ</t>
    </rPh>
    <rPh sb="15" eb="16">
      <t>オナ</t>
    </rPh>
    <phoneticPr fontId="2"/>
  </si>
  <si>
    <t xml:space="preserve">以下の項目が×ボタン押下前と同じであること
請求日付   
締日   
請求期間   
得意先1   
伝票種類   
内容区分   
送料のみ   
並び順   
発行日付   
</t>
    <rPh sb="0" eb="2">
      <t>イカ</t>
    </rPh>
    <rPh sb="3" eb="5">
      <t>コウモク</t>
    </rPh>
    <rPh sb="10" eb="12">
      <t>オウカ</t>
    </rPh>
    <rPh sb="12" eb="13">
      <t>マエ</t>
    </rPh>
    <rPh sb="14" eb="15">
      <t>オナ</t>
    </rPh>
    <phoneticPr fontId="2"/>
  </si>
  <si>
    <t xml:space="preserve">以下の項目が空欄になること
得意先2   
得意先3   </t>
    <rPh sb="0" eb="2">
      <t>イカ</t>
    </rPh>
    <rPh sb="3" eb="5">
      <t>コウモク</t>
    </rPh>
    <rPh sb="6" eb="8">
      <t>クウラン</t>
    </rPh>
    <rPh sb="14" eb="17">
      <t>トクイサキ</t>
    </rPh>
    <rPh sb="22" eb="25">
      <t>トクイサキ</t>
    </rPh>
    <phoneticPr fontId="2"/>
  </si>
  <si>
    <t>得意先1　入力時</t>
    <rPh sb="5" eb="8">
      <t>ニュウリョクジ</t>
    </rPh>
    <phoneticPr fontId="2"/>
  </si>
  <si>
    <t>得意先1に存在する得意先CDを入力する</t>
    <rPh sb="5" eb="7">
      <t>ソンザイ</t>
    </rPh>
    <rPh sb="9" eb="12">
      <t>トクイサキ</t>
    </rPh>
    <rPh sb="15" eb="17">
      <t>ニュウリョク</t>
    </rPh>
    <phoneticPr fontId="2"/>
  </si>
  <si>
    <t>2を入力して出力する</t>
    <rPh sb="2" eb="4">
      <t>ニュウリョク</t>
    </rPh>
    <rPh sb="6" eb="8">
      <t>シュツリョク</t>
    </rPh>
    <phoneticPr fontId="2"/>
  </si>
  <si>
    <t>3を入力して出力する</t>
    <rPh sb="2" eb="4">
      <t>ニュウリョク</t>
    </rPh>
    <rPh sb="6" eb="8">
      <t>シュツリョク</t>
    </rPh>
    <phoneticPr fontId="2"/>
  </si>
  <si>
    <t>4を入力して出力する</t>
    <rPh sb="2" eb="4">
      <t>ニュウリョク</t>
    </rPh>
    <rPh sb="6" eb="8">
      <t>シュツリョク</t>
    </rPh>
    <phoneticPr fontId="2"/>
  </si>
  <si>
    <t>0を入力して出力する</t>
    <rPh sb="2" eb="4">
      <t>ニュウリョク</t>
    </rPh>
    <rPh sb="6" eb="8">
      <t>シュツリョク</t>
    </rPh>
    <phoneticPr fontId="2"/>
  </si>
  <si>
    <t>1を入力して出力する</t>
    <rPh sb="2" eb="4">
      <t>ニュウリョク</t>
    </rPh>
    <rPh sb="6" eb="8">
      <t>シュツリョク</t>
    </rPh>
    <phoneticPr fontId="2"/>
  </si>
  <si>
    <t>伝票種類</t>
    <rPh sb="0" eb="2">
      <t>デンピョウ</t>
    </rPh>
    <rPh sb="2" eb="4">
      <t>シュルイ</t>
    </rPh>
    <phoneticPr fontId="2"/>
  </si>
  <si>
    <t>請求期限</t>
    <rPh sb="2" eb="4">
      <t>キゲン</t>
    </rPh>
    <phoneticPr fontId="2"/>
  </si>
  <si>
    <t>該当データが存在しない範囲で出力ボタンを押下する。</t>
    <rPh sb="0" eb="2">
      <t>ガイトウ</t>
    </rPh>
    <rPh sb="6" eb="8">
      <t>ソンザイ</t>
    </rPh>
    <rPh sb="11" eb="13">
      <t>ハンイ</t>
    </rPh>
    <rPh sb="14" eb="16">
      <t>シュツリョク</t>
    </rPh>
    <rPh sb="20" eb="22">
      <t>オウカ</t>
    </rPh>
    <phoneticPr fontId="2"/>
  </si>
  <si>
    <t>メッセージが出力され、帳票が出力されないこと</t>
    <rPh sb="6" eb="8">
      <t>シュツリョク</t>
    </rPh>
    <rPh sb="11" eb="13">
      <t>チョウヒョウ</t>
    </rPh>
    <rPh sb="14" eb="16">
      <t>シュツリョク</t>
    </rPh>
    <phoneticPr fontId="2"/>
  </si>
  <si>
    <t>Excelで帳票がDLされること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</si>
  <si>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</si>
  <si>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作成日</t>
  </si>
  <si>
    <t>見積金額</t>
  </si>
  <si>
    <t>消費税見出し</t>
  </si>
  <si>
    <t>合計金額</t>
  </si>
  <si>
    <t>送料</t>
  </si>
  <si>
    <t>見積件名</t>
  </si>
  <si>
    <t>納期</t>
  </si>
  <si>
    <t>受渡地</t>
  </si>
  <si>
    <t>支払条件</t>
  </si>
  <si>
    <t>備考</t>
  </si>
  <si>
    <t>インボイス登録番号</t>
  </si>
  <si>
    <t>会社担当者</t>
  </si>
  <si>
    <t>会社担当者_E-mail</t>
  </si>
  <si>
    <t>伝票番号</t>
  </si>
  <si>
    <t>納品店番</t>
  </si>
  <si>
    <t>金額</t>
  </si>
  <si>
    <t>管理番号</t>
  </si>
  <si>
    <t>0:伝票番号  1:納品日付</t>
    <rPh sb="2" eb="6">
      <t>デンピョウバンゴウ</t>
    </rPh>
    <rPh sb="10" eb="14">
      <t>ノウヒンヒヅケ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</si>
  <si>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</si>
  <si>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</si>
  <si>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メニューよりしまむら直納伝票請求書を起動する</t>
    <rPh sb="18" eb="20">
      <t>キドウ</t>
    </rPh>
    <phoneticPr fontId="2"/>
  </si>
  <si>
    <t>伝票種類(左)</t>
    <rPh sb="0" eb="4">
      <t>デンピョウシュルイ</t>
    </rPh>
    <rPh sb="5" eb="6">
      <t>ヒダリ</t>
    </rPh>
    <phoneticPr fontId="2"/>
  </si>
  <si>
    <t>伝票種類(右)</t>
    <rPh sb="0" eb="4">
      <t>デンピョウシュルイ</t>
    </rPh>
    <rPh sb="5" eb="6">
      <t>ミギ</t>
    </rPh>
    <phoneticPr fontId="2"/>
  </si>
  <si>
    <t>入力欄が非活性、かつ、区分の説明が表示されていること。</t>
    <phoneticPr fontId="2"/>
  </si>
  <si>
    <t>内容区分(左)</t>
    <rPh sb="0" eb="2">
      <t>ナイヨウ</t>
    </rPh>
    <rPh sb="2" eb="4">
      <t>クブン</t>
    </rPh>
    <rPh sb="5" eb="6">
      <t>ヒダリ</t>
    </rPh>
    <phoneticPr fontId="2"/>
  </si>
  <si>
    <t>内容区分(右)</t>
    <rPh sb="0" eb="2">
      <t>ナイヨウ</t>
    </rPh>
    <rPh sb="2" eb="4">
      <t>クブン</t>
    </rPh>
    <rPh sb="5" eb="6">
      <t>ミギ</t>
    </rPh>
    <phoneticPr fontId="2"/>
  </si>
  <si>
    <t>送料のみ(左)</t>
    <rPh sb="0" eb="2">
      <t>ソウリョウ</t>
    </rPh>
    <rPh sb="5" eb="6">
      <t>ヒダリ</t>
    </rPh>
    <phoneticPr fontId="2"/>
  </si>
  <si>
    <t>2:直納 3:mail消耗品 4:mail直納</t>
    <phoneticPr fontId="2"/>
  </si>
  <si>
    <t>0:なし 1:ﾃﾞｨﾊﾞﾛ 2:台湾3:システム開発</t>
    <rPh sb="16" eb="18">
      <t>タイワン</t>
    </rPh>
    <rPh sb="24" eb="26">
      <t>カイハツ</t>
    </rPh>
    <phoneticPr fontId="2"/>
  </si>
  <si>
    <t>送料のみ(右)</t>
    <rPh sb="0" eb="2">
      <t>ソウリョウ</t>
    </rPh>
    <rPh sb="5" eb="6">
      <t>ミギ</t>
    </rPh>
    <phoneticPr fontId="2"/>
  </si>
  <si>
    <t>並び順(左)</t>
    <rPh sb="0" eb="1">
      <t>ナラ</t>
    </rPh>
    <rPh sb="2" eb="3">
      <t>ジュン</t>
    </rPh>
    <rPh sb="4" eb="5">
      <t>ヒダリ</t>
    </rPh>
    <phoneticPr fontId="2"/>
  </si>
  <si>
    <t>並び順(右)</t>
    <rPh sb="0" eb="1">
      <t>ナラ</t>
    </rPh>
    <rPh sb="2" eb="3">
      <t>ジュン</t>
    </rPh>
    <rPh sb="4" eb="5">
      <t>ミギ</t>
    </rPh>
    <phoneticPr fontId="2"/>
  </si>
  <si>
    <t>詳細情報
SU0700_しまむら直納伝票請求書_帳票設計書.xlsx</t>
    <rPh sb="0" eb="2">
      <t>ショウサイ</t>
    </rPh>
    <rPh sb="2" eb="4">
      <t>ジョウホウ</t>
    </rPh>
    <phoneticPr fontId="2"/>
  </si>
  <si>
    <t>児玉</t>
    <rPh sb="0" eb="2">
      <t>コダマ</t>
    </rPh>
    <phoneticPr fontId="2"/>
  </si>
  <si>
    <t>画面</t>
    <phoneticPr fontId="2"/>
  </si>
  <si>
    <t>帳票</t>
    <rPh sb="0" eb="2">
      <t>チョウヒョウ</t>
    </rPh>
    <phoneticPr fontId="2"/>
  </si>
  <si>
    <t>Excelで出力されること</t>
    <rPh sb="6" eb="8">
      <t>シュツリョク</t>
    </rPh>
    <phoneticPr fontId="2"/>
  </si>
  <si>
    <t>ページ確認</t>
  </si>
  <si>
    <t>単ページ</t>
  </si>
  <si>
    <t>複数ページとならないデータで出力ボタンを押下</t>
  </si>
  <si>
    <t>現行システムと同じデータが出力されること</t>
  </si>
  <si>
    <t>複数ページ</t>
  </si>
  <si>
    <t>複数ページとなるデータで出力ボタンを押下</t>
  </si>
  <si>
    <t>松村</t>
    <rPh sb="0" eb="2">
      <t>マツムラ</t>
    </rPh>
    <phoneticPr fontId="2"/>
  </si>
  <si>
    <t>NG</t>
  </si>
  <si>
    <t>再表示時に前のデータが残る</t>
    <rPh sb="0" eb="3">
      <t>サイヒョウジ</t>
    </rPh>
    <rPh sb="3" eb="4">
      <t>ジ</t>
    </rPh>
    <rPh sb="5" eb="6">
      <t>マエ</t>
    </rPh>
    <rPh sb="11" eb="12">
      <t>ノコ</t>
    </rPh>
    <phoneticPr fontId="2"/>
  </si>
  <si>
    <t>再表示時に前のデータが残る</t>
    <phoneticPr fontId="2"/>
  </si>
  <si>
    <t>OK</t>
  </si>
  <si>
    <t>OK</t>
    <phoneticPr fontId="2"/>
  </si>
  <si>
    <t>初期値が0である・入力必須でない</t>
  </si>
  <si>
    <t>初期値が0である・入力必須でない</t>
    <rPh sb="0" eb="3">
      <t>ショキチ</t>
    </rPh>
    <rPh sb="9" eb="13">
      <t>ニュウリョクヒッス</t>
    </rPh>
    <phoneticPr fontId="2"/>
  </si>
  <si>
    <t>NG</t>
    <phoneticPr fontId="2"/>
  </si>
  <si>
    <t>出力ボタンを押下すると内容区分が0になる（出力されるExcelファイルも0の時のもの）</t>
    <rPh sb="0" eb="2">
      <t>シュツリョク</t>
    </rPh>
    <rPh sb="6" eb="8">
      <t>オウカ</t>
    </rPh>
    <rPh sb="11" eb="15">
      <t>ナイヨウクブン</t>
    </rPh>
    <rPh sb="21" eb="23">
      <t>シュツリョク</t>
    </rPh>
    <rPh sb="38" eb="39">
      <t>トキ</t>
    </rPh>
    <phoneticPr fontId="2"/>
  </si>
  <si>
    <t>Excelファイルが作成されてしまう</t>
  </si>
  <si>
    <t>Excelファイルが作成されてしまう</t>
    <rPh sb="10" eb="12">
      <t>サクセイ</t>
    </rPh>
    <phoneticPr fontId="2"/>
  </si>
  <si>
    <t>Excelファイルが作成されてしまう</t>
    <phoneticPr fontId="2"/>
  </si>
  <si>
    <t>Excelにパスワードが設定されていない</t>
    <rPh sb="0" eb="14">
      <t>エクセルニパスワードガセッテイ</t>
    </rPh>
    <phoneticPr fontId="2"/>
  </si>
  <si>
    <t>児玉</t>
    <rPh sb="0" eb="2">
      <t>コダマ</t>
    </rPh>
    <phoneticPr fontId="2"/>
  </si>
  <si>
    <t>OK</t>
    <phoneticPr fontId="2"/>
  </si>
  <si>
    <t>ダイアログが終了すること</t>
    <rPh sb="6" eb="8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</si>
</sst>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3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42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4" xfId="0" applyFont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40" xfId="0" applyFont="1" applyFill="1" applyBorder="1" applyAlignment="1">
      <alignment horizontal="left" vertical="top" wrapText="1"/>
    </xf>
    <xf numFmtId="177" fontId="3" fillId="2" borderId="41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21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1" t="s">
        <v>0</v>
      </c>
      <c r="C2" s="154"/>
      <c r="D2" s="154"/>
      <c r="E2" s="154"/>
      <c r="F2" s="154"/>
      <c r="G2" s="154"/>
      <c r="H2" s="154" t="s">
        <v>40</v>
      </c>
      <c r="I2" s="154"/>
      <c r="J2" s="154"/>
      <c r="K2" s="154"/>
      <c r="L2" s="154" t="s">
        <v>41</v>
      </c>
      <c r="M2" s="154"/>
      <c r="N2" s="154"/>
      <c r="O2" s="154"/>
      <c r="P2" s="154"/>
      <c r="Q2" s="154"/>
      <c r="R2" s="154" t="s">
        <v>1</v>
      </c>
      <c r="S2" s="154"/>
      <c r="T2" s="154"/>
      <c r="U2" s="154"/>
      <c r="V2" s="154"/>
      <c r="W2" s="154"/>
      <c r="X2" s="166" t="s">
        <v>2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30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54" t="s">
        <v>4</v>
      </c>
      <c r="AY2" s="154"/>
      <c r="AZ2" s="154"/>
      <c r="BA2" s="154"/>
      <c r="BB2" s="154" t="s">
        <v>3</v>
      </c>
      <c r="BC2" s="154"/>
      <c r="BD2" s="154"/>
      <c r="BE2" s="154"/>
      <c r="BF2" s="154" t="s">
        <v>5</v>
      </c>
      <c r="BG2" s="154"/>
      <c r="BH2" s="154"/>
      <c r="BI2" s="154"/>
      <c r="BJ2" s="154" t="s">
        <v>6</v>
      </c>
      <c r="BK2" s="154"/>
      <c r="BL2" s="154"/>
      <c r="BM2" s="155"/>
      <c r="BN2" s="15"/>
    </row>
    <row r="3" spans="1:66" ht="20.100000000000001" customHeight="1" x14ac:dyDescent="0.45">
      <c r="A3" s="9"/>
      <c r="B3" s="169" t="s">
        <v>38</v>
      </c>
      <c r="C3" s="157"/>
      <c r="D3" s="157"/>
      <c r="E3" s="157"/>
      <c r="F3" s="157"/>
      <c r="G3" s="157"/>
      <c r="H3" s="157" t="str">
        <f ca="1">LEFT($X$3,FIND("_",$X$3)-1)</f>
        <v>請求売掛</v>
      </c>
      <c r="I3" s="157"/>
      <c r="J3" s="157"/>
      <c r="K3" s="157"/>
      <c r="L3" s="157" t="s">
        <v>39</v>
      </c>
      <c r="M3" s="157"/>
      <c r="N3" s="157"/>
      <c r="O3" s="157"/>
      <c r="P3" s="157"/>
      <c r="Q3" s="157"/>
      <c r="R3" s="170" t="str">
        <f ca="1">MID($X$3,FIND("_",$X$3,FIND("_",$X$3)+1)+1,LEN($X$3)-FIND("_",$X$3,FIND("_",$X$3)+1))</f>
        <v>結合試験項目</v>
      </c>
      <c r="S3" s="157"/>
      <c r="T3" s="157"/>
      <c r="U3" s="157"/>
      <c r="V3" s="157"/>
      <c r="W3" s="157"/>
      <c r="X3" s="160" t="str">
        <f ca="1">REPLACE(LEFT(CELL("filename",$B$2),FIND(".x",CELL("filename",$B$2))-1),1,FIND("[",CELL("filename",$B$2)),)</f>
        <v>請求売掛_しまむら直納伝票請求書_結合試験項目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2"/>
      <c r="AK3" s="160" t="str">
        <f ca="1">MID($X$3,FIND("_",$X$3)+1,FIND("_",$X$3,FIND("_",$X$3)+1)-FIND("_",$X$3)-1)</f>
        <v>しまむら直納伝票請求書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2"/>
      <c r="AX3" s="156">
        <v>45628</v>
      </c>
      <c r="AY3" s="157"/>
      <c r="AZ3" s="157"/>
      <c r="BA3" s="157"/>
      <c r="BB3" s="157" t="s">
        <v>133</v>
      </c>
      <c r="BC3" s="157"/>
      <c r="BD3" s="157"/>
      <c r="BE3" s="157"/>
      <c r="BF3" s="156">
        <v>45628</v>
      </c>
      <c r="BG3" s="157"/>
      <c r="BH3" s="157"/>
      <c r="BI3" s="157"/>
      <c r="BJ3" s="157" t="s">
        <v>133</v>
      </c>
      <c r="BK3" s="157"/>
      <c r="BL3" s="157"/>
      <c r="BM3" s="159"/>
      <c r="BN3" s="15"/>
    </row>
    <row r="4" spans="1:66" ht="20.100000000000001" customHeight="1" thickBot="1" x14ac:dyDescent="0.5">
      <c r="A4" s="9"/>
      <c r="B4" s="162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3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5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5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6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53" t="s">
        <v>7</v>
      </c>
      <c r="D8" s="153"/>
      <c r="E8" s="153"/>
      <c r="F8" s="153"/>
      <c r="G8" s="153" t="s">
        <v>8</v>
      </c>
      <c r="H8" s="153"/>
      <c r="I8" s="153"/>
      <c r="J8" s="153"/>
      <c r="K8" s="153" t="s">
        <v>9</v>
      </c>
      <c r="L8" s="153"/>
      <c r="M8" s="153"/>
      <c r="N8" s="153"/>
      <c r="O8" s="153" t="s">
        <v>10</v>
      </c>
      <c r="P8" s="153"/>
      <c r="Q8" s="153"/>
      <c r="R8" s="153"/>
      <c r="S8" s="153"/>
      <c r="T8" s="153"/>
      <c r="U8" s="153"/>
      <c r="V8" s="153"/>
      <c r="W8" s="153"/>
      <c r="X8" s="153"/>
      <c r="Y8" s="153" t="s">
        <v>11</v>
      </c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8"/>
      <c r="BN8" s="15"/>
    </row>
    <row r="9" spans="1:66" ht="20.100000000000001" customHeight="1" x14ac:dyDescent="0.45">
      <c r="A9" s="9"/>
      <c r="B9" s="8"/>
      <c r="C9" s="152">
        <v>45628</v>
      </c>
      <c r="D9" s="150"/>
      <c r="E9" s="150"/>
      <c r="F9" s="151"/>
      <c r="G9" s="146" t="s">
        <v>20</v>
      </c>
      <c r="H9" s="147"/>
      <c r="I9" s="147"/>
      <c r="J9" s="148"/>
      <c r="K9" s="149"/>
      <c r="L9" s="150"/>
      <c r="M9" s="150"/>
      <c r="N9" s="151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52"/>
      <c r="D10" s="150"/>
      <c r="E10" s="150"/>
      <c r="F10" s="151"/>
      <c r="G10" s="146"/>
      <c r="H10" s="147"/>
      <c r="I10" s="147"/>
      <c r="J10" s="148"/>
      <c r="K10" s="149"/>
      <c r="L10" s="150"/>
      <c r="M10" s="150"/>
      <c r="N10" s="151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52"/>
      <c r="D11" s="150"/>
      <c r="E11" s="150"/>
      <c r="F11" s="151"/>
      <c r="G11" s="146"/>
      <c r="H11" s="147"/>
      <c r="I11" s="147"/>
      <c r="J11" s="148"/>
      <c r="K11" s="149"/>
      <c r="L11" s="150"/>
      <c r="M11" s="150"/>
      <c r="N11" s="151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52"/>
      <c r="D36" s="150"/>
      <c r="E36" s="150"/>
      <c r="F36" s="151"/>
      <c r="G36" s="146"/>
      <c r="H36" s="147"/>
      <c r="I36" s="147"/>
      <c r="J36" s="148"/>
      <c r="K36" s="149"/>
      <c r="L36" s="150"/>
      <c r="M36" s="150"/>
      <c r="N36" s="151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52"/>
      <c r="D37" s="150"/>
      <c r="E37" s="150"/>
      <c r="F37" s="151"/>
      <c r="G37" s="146"/>
      <c r="H37" s="147"/>
      <c r="I37" s="147"/>
      <c r="J37" s="148"/>
      <c r="K37" s="149"/>
      <c r="L37" s="150"/>
      <c r="M37" s="150"/>
      <c r="N37" s="151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52"/>
      <c r="D38" s="150"/>
      <c r="E38" s="150"/>
      <c r="F38" s="151"/>
      <c r="G38" s="146"/>
      <c r="H38" s="147"/>
      <c r="I38" s="147"/>
      <c r="J38" s="148"/>
      <c r="K38" s="149"/>
      <c r="L38" s="150"/>
      <c r="M38" s="150"/>
      <c r="N38" s="151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52"/>
      <c r="D39" s="150"/>
      <c r="E39" s="150"/>
      <c r="F39" s="151"/>
      <c r="G39" s="146"/>
      <c r="H39" s="147"/>
      <c r="I39" s="147"/>
      <c r="J39" s="148"/>
      <c r="K39" s="149"/>
      <c r="L39" s="150"/>
      <c r="M39" s="150"/>
      <c r="N39" s="151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52"/>
      <c r="D40" s="150"/>
      <c r="E40" s="150"/>
      <c r="F40" s="151"/>
      <c r="G40" s="146"/>
      <c r="H40" s="147"/>
      <c r="I40" s="147"/>
      <c r="J40" s="148"/>
      <c r="K40" s="149"/>
      <c r="L40" s="150"/>
      <c r="M40" s="150"/>
      <c r="N40" s="151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52"/>
      <c r="D41" s="150"/>
      <c r="E41" s="150"/>
      <c r="F41" s="151"/>
      <c r="G41" s="146"/>
      <c r="H41" s="147"/>
      <c r="I41" s="147"/>
      <c r="J41" s="148"/>
      <c r="K41" s="149"/>
      <c r="L41" s="150"/>
      <c r="M41" s="150"/>
      <c r="N41" s="151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52"/>
      <c r="D42" s="150"/>
      <c r="E42" s="150"/>
      <c r="F42" s="151"/>
      <c r="G42" s="146"/>
      <c r="H42" s="147"/>
      <c r="I42" s="147"/>
      <c r="J42" s="148"/>
      <c r="K42" s="149"/>
      <c r="L42" s="150"/>
      <c r="M42" s="150"/>
      <c r="N42" s="151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52"/>
      <c r="D43" s="150"/>
      <c r="E43" s="150"/>
      <c r="F43" s="151"/>
      <c r="G43" s="146"/>
      <c r="H43" s="147"/>
      <c r="I43" s="147"/>
      <c r="J43" s="148"/>
      <c r="K43" s="149"/>
      <c r="L43" s="150"/>
      <c r="M43" s="150"/>
      <c r="N43" s="151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52"/>
      <c r="D44" s="150"/>
      <c r="E44" s="150"/>
      <c r="F44" s="151"/>
      <c r="G44" s="146"/>
      <c r="H44" s="147"/>
      <c r="I44" s="147"/>
      <c r="J44" s="148"/>
      <c r="K44" s="149"/>
      <c r="L44" s="150"/>
      <c r="M44" s="150"/>
      <c r="N44" s="151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52"/>
      <c r="D45" s="150"/>
      <c r="E45" s="150"/>
      <c r="F45" s="151"/>
      <c r="G45" s="146"/>
      <c r="H45" s="147"/>
      <c r="I45" s="147"/>
      <c r="J45" s="148"/>
      <c r="K45" s="149"/>
      <c r="L45" s="150"/>
      <c r="M45" s="150"/>
      <c r="N45" s="151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52"/>
      <c r="D46" s="150"/>
      <c r="E46" s="150"/>
      <c r="F46" s="151"/>
      <c r="G46" s="146"/>
      <c r="H46" s="147"/>
      <c r="I46" s="147"/>
      <c r="J46" s="148"/>
      <c r="K46" s="149"/>
      <c r="L46" s="150"/>
      <c r="M46" s="150"/>
      <c r="N46" s="151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52"/>
      <c r="D47" s="150"/>
      <c r="E47" s="150"/>
      <c r="F47" s="151"/>
      <c r="G47" s="146"/>
      <c r="H47" s="147"/>
      <c r="I47" s="147"/>
      <c r="J47" s="148"/>
      <c r="K47" s="149"/>
      <c r="L47" s="150"/>
      <c r="M47" s="150"/>
      <c r="N47" s="151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71" t="s">
        <v>0</v>
      </c>
      <c r="C2" s="154"/>
      <c r="D2" s="154"/>
      <c r="E2" s="154"/>
      <c r="F2" s="154"/>
      <c r="G2" s="154"/>
      <c r="H2" s="154" t="s">
        <v>40</v>
      </c>
      <c r="I2" s="154"/>
      <c r="J2" s="154"/>
      <c r="K2" s="154"/>
      <c r="L2" s="154" t="s">
        <v>41</v>
      </c>
      <c r="M2" s="154"/>
      <c r="N2" s="154"/>
      <c r="O2" s="154"/>
      <c r="P2" s="154"/>
      <c r="Q2" s="154"/>
      <c r="R2" s="154" t="s">
        <v>1</v>
      </c>
      <c r="S2" s="154"/>
      <c r="T2" s="154"/>
      <c r="U2" s="154"/>
      <c r="V2" s="154"/>
      <c r="W2" s="154"/>
      <c r="X2" s="166" t="s">
        <v>2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30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54" t="s">
        <v>4</v>
      </c>
      <c r="AY2" s="154"/>
      <c r="AZ2" s="154"/>
      <c r="BA2" s="154"/>
      <c r="BB2" s="154" t="s">
        <v>3</v>
      </c>
      <c r="BC2" s="154"/>
      <c r="BD2" s="154"/>
      <c r="BE2" s="154"/>
      <c r="BF2" s="154" t="s">
        <v>5</v>
      </c>
      <c r="BG2" s="154"/>
      <c r="BH2" s="154"/>
      <c r="BI2" s="154"/>
      <c r="BJ2" s="154" t="s">
        <v>6</v>
      </c>
      <c r="BK2" s="154"/>
      <c r="BL2" s="154"/>
      <c r="BM2" s="155"/>
      <c r="BN2" s="16"/>
    </row>
    <row r="3" spans="1:66" ht="20.100000000000001" customHeight="1" x14ac:dyDescent="0.45">
      <c r="A3" s="10"/>
      <c r="B3" s="169" t="str">
        <f>変更履歴!B3</f>
        <v>受発注システム</v>
      </c>
      <c r="C3" s="157"/>
      <c r="D3" s="157"/>
      <c r="E3" s="157"/>
      <c r="F3" s="157"/>
      <c r="G3" s="157"/>
      <c r="H3" s="157" t="str">
        <f ca="1">変更履歴!H3</f>
        <v>請求売掛</v>
      </c>
      <c r="I3" s="157"/>
      <c r="J3" s="157"/>
      <c r="K3" s="157"/>
      <c r="L3" s="157" t="str">
        <f>変更履歴!L3</f>
        <v>受発注</v>
      </c>
      <c r="M3" s="157"/>
      <c r="N3" s="157"/>
      <c r="O3" s="157"/>
      <c r="P3" s="157"/>
      <c r="Q3" s="157"/>
      <c r="R3" s="157" t="str">
        <f ca="1">変更履歴!R3</f>
        <v>結合試験項目</v>
      </c>
      <c r="S3" s="157"/>
      <c r="T3" s="157"/>
      <c r="U3" s="157"/>
      <c r="V3" s="157"/>
      <c r="W3" s="157"/>
      <c r="X3" s="160" t="str">
        <f ca="1">変更履歴!X3</f>
        <v>請求売掛_しまむら直納伝票請求書_結合試験項目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2"/>
      <c r="AK3" s="160" t="str">
        <f ca="1">変更履歴!AK3</f>
        <v>しまむら直納伝票請求書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2"/>
      <c r="AX3" s="156">
        <f>変更履歴!AX3</f>
        <v>45628</v>
      </c>
      <c r="AY3" s="156"/>
      <c r="AZ3" s="156"/>
      <c r="BA3" s="156"/>
      <c r="BB3" s="157" t="str">
        <f>変更履歴!BB3</f>
        <v>児玉</v>
      </c>
      <c r="BC3" s="157"/>
      <c r="BD3" s="157"/>
      <c r="BE3" s="157"/>
      <c r="BF3" s="156">
        <f>変更履歴!BF3</f>
        <v>45628</v>
      </c>
      <c r="BG3" s="156"/>
      <c r="BH3" s="156"/>
      <c r="BI3" s="156"/>
      <c r="BJ3" s="157" t="str">
        <f>変更履歴!BJ3</f>
        <v>児玉</v>
      </c>
      <c r="BK3" s="157"/>
      <c r="BL3" s="157"/>
      <c r="BM3" s="159"/>
      <c r="BN3" s="16"/>
    </row>
    <row r="4" spans="1:66" ht="20.100000000000001" customHeight="1" thickBot="1" x14ac:dyDescent="0.5">
      <c r="A4" s="10"/>
      <c r="B4" s="162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3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5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5"/>
      <c r="AX4" s="208"/>
      <c r="AY4" s="208"/>
      <c r="AZ4" s="208"/>
      <c r="BA4" s="208"/>
      <c r="BB4" s="158"/>
      <c r="BC4" s="158"/>
      <c r="BD4" s="158"/>
      <c r="BE4" s="158"/>
      <c r="BF4" s="208"/>
      <c r="BG4" s="208"/>
      <c r="BH4" s="208"/>
      <c r="BI4" s="208"/>
      <c r="BJ4" s="158"/>
      <c r="BK4" s="158"/>
      <c r="BL4" s="158"/>
      <c r="BM4" s="16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9" t="s">
        <v>32</v>
      </c>
      <c r="BF7" s="210"/>
      <c r="BG7" s="213" t="s">
        <v>31</v>
      </c>
      <c r="BH7" s="213"/>
      <c r="BI7" s="214" t="s">
        <v>33</v>
      </c>
      <c r="BJ7" s="215"/>
      <c r="BK7" s="214" t="s">
        <v>34</v>
      </c>
      <c r="BL7" s="20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99" t="s">
        <v>35</v>
      </c>
      <c r="AP8" s="200"/>
      <c r="AQ8" s="200"/>
      <c r="AR8" s="200"/>
      <c r="AS8" s="200"/>
      <c r="AT8" s="201"/>
      <c r="AU8" s="199" t="s">
        <v>36</v>
      </c>
      <c r="AV8" s="200"/>
      <c r="AW8" s="200"/>
      <c r="AX8" s="200"/>
      <c r="AY8" s="200"/>
      <c r="AZ8" s="201"/>
      <c r="BE8" s="211"/>
      <c r="BF8" s="212"/>
      <c r="BG8" s="202">
        <f>COUNTA(C10:C56)</f>
        <v>47</v>
      </c>
      <c r="BH8" s="203"/>
      <c r="BI8" s="202">
        <f>COUNTIF(AS10:AT56,"OK")+COUNTIF(AY10:AZ56,"OK")</f>
        <v>47</v>
      </c>
      <c r="BJ8" s="203"/>
      <c r="BK8" s="202">
        <f>BG8-BI8</f>
        <v>0</v>
      </c>
      <c r="BL8" s="204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6" t="s">
        <v>25</v>
      </c>
      <c r="AP9" s="217"/>
      <c r="AQ9" s="205" t="s">
        <v>26</v>
      </c>
      <c r="AR9" s="217"/>
      <c r="AS9" s="205" t="s">
        <v>29</v>
      </c>
      <c r="AT9" s="206"/>
      <c r="AU9" s="216" t="s">
        <v>25</v>
      </c>
      <c r="AV9" s="217"/>
      <c r="AW9" s="205" t="s">
        <v>26</v>
      </c>
      <c r="AX9" s="217"/>
      <c r="AY9" s="205" t="s">
        <v>29</v>
      </c>
      <c r="AZ9" s="206"/>
      <c r="BA9" s="207" t="s">
        <v>27</v>
      </c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1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81" t="s">
        <v>134</v>
      </c>
      <c r="E10" s="182"/>
      <c r="F10" s="182"/>
      <c r="G10" s="183"/>
      <c r="H10" s="181" t="s">
        <v>46</v>
      </c>
      <c r="I10" s="182"/>
      <c r="J10" s="182"/>
      <c r="K10" s="183"/>
      <c r="L10" s="178" t="s">
        <v>66</v>
      </c>
      <c r="M10" s="176"/>
      <c r="N10" s="176"/>
      <c r="O10" s="179"/>
      <c r="P10" s="178" t="s">
        <v>120</v>
      </c>
      <c r="Q10" s="176"/>
      <c r="R10" s="176"/>
      <c r="S10" s="176"/>
      <c r="T10" s="176"/>
      <c r="U10" s="176"/>
      <c r="V10" s="176"/>
      <c r="W10" s="179"/>
      <c r="X10" s="178" t="s">
        <v>44</v>
      </c>
      <c r="Y10" s="176"/>
      <c r="Z10" s="176"/>
      <c r="AA10" s="176"/>
      <c r="AB10" s="176"/>
      <c r="AC10" s="176"/>
      <c r="AD10" s="176"/>
      <c r="AE10" s="179"/>
      <c r="AF10" s="178"/>
      <c r="AG10" s="176"/>
      <c r="AH10" s="176"/>
      <c r="AI10" s="176"/>
      <c r="AJ10" s="176"/>
      <c r="AK10" s="176"/>
      <c r="AL10" s="176"/>
      <c r="AM10" s="176"/>
      <c r="AN10" s="180"/>
      <c r="AO10" s="172">
        <v>45665</v>
      </c>
      <c r="AP10" s="173"/>
      <c r="AQ10" s="149" t="s">
        <v>143</v>
      </c>
      <c r="AR10" s="151"/>
      <c r="AS10" s="149" t="s">
        <v>144</v>
      </c>
      <c r="AT10" s="174"/>
      <c r="AU10" s="172">
        <v>45695</v>
      </c>
      <c r="AV10" s="173"/>
      <c r="AW10" s="149" t="s">
        <v>157</v>
      </c>
      <c r="AX10" s="151"/>
      <c r="AY10" s="149" t="s">
        <v>158</v>
      </c>
      <c r="AZ10" s="174"/>
      <c r="BA10" s="196" t="s">
        <v>145</v>
      </c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8"/>
      <c r="BM10" s="16"/>
      <c r="BN10" s="16"/>
    </row>
    <row r="11" spans="1:66" ht="20.100000000000001" customHeight="1" x14ac:dyDescent="0.45">
      <c r="A11" s="10"/>
      <c r="B11" s="10"/>
      <c r="C11" s="92">
        <f t="shared" ref="C11:C56" si="0">ROW()-9</f>
        <v>2</v>
      </c>
      <c r="D11" s="193"/>
      <c r="E11" s="194"/>
      <c r="F11" s="194"/>
      <c r="G11" s="195"/>
      <c r="H11" s="193"/>
      <c r="I11" s="194"/>
      <c r="J11" s="194"/>
      <c r="K11" s="195"/>
      <c r="L11" s="178" t="s">
        <v>67</v>
      </c>
      <c r="M11" s="176"/>
      <c r="N11" s="176"/>
      <c r="O11" s="179"/>
      <c r="P11" s="178" t="s">
        <v>120</v>
      </c>
      <c r="Q11" s="176"/>
      <c r="R11" s="176"/>
      <c r="S11" s="176"/>
      <c r="T11" s="176"/>
      <c r="U11" s="176"/>
      <c r="V11" s="176"/>
      <c r="W11" s="179"/>
      <c r="X11" s="178" t="s">
        <v>44</v>
      </c>
      <c r="Y11" s="176"/>
      <c r="Z11" s="176"/>
      <c r="AA11" s="176"/>
      <c r="AB11" s="176"/>
      <c r="AC11" s="176"/>
      <c r="AD11" s="176"/>
      <c r="AE11" s="179"/>
      <c r="AF11" s="178"/>
      <c r="AG11" s="176"/>
      <c r="AH11" s="176"/>
      <c r="AI11" s="176"/>
      <c r="AJ11" s="176"/>
      <c r="AK11" s="176"/>
      <c r="AL11" s="176"/>
      <c r="AM11" s="176"/>
      <c r="AN11" s="180"/>
      <c r="AO11" s="172">
        <v>45665</v>
      </c>
      <c r="AP11" s="173"/>
      <c r="AQ11" s="149" t="s">
        <v>143</v>
      </c>
      <c r="AR11" s="151"/>
      <c r="AS11" s="149" t="s">
        <v>144</v>
      </c>
      <c r="AT11" s="174"/>
      <c r="AU11" s="172">
        <v>45695</v>
      </c>
      <c r="AV11" s="173"/>
      <c r="AW11" s="149" t="s">
        <v>157</v>
      </c>
      <c r="AX11" s="151"/>
      <c r="AY11" s="149" t="s">
        <v>158</v>
      </c>
      <c r="AZ11" s="174"/>
      <c r="BA11" s="196" t="s">
        <v>146</v>
      </c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8"/>
      <c r="BM11" s="16"/>
      <c r="BN11" s="16"/>
    </row>
    <row r="12" spans="1:66" ht="20.100000000000001" customHeight="1" x14ac:dyDescent="0.45">
      <c r="A12" s="10"/>
      <c r="B12" s="10"/>
      <c r="C12" s="92">
        <f t="shared" si="0"/>
        <v>3</v>
      </c>
      <c r="D12" s="193"/>
      <c r="E12" s="194"/>
      <c r="F12" s="194"/>
      <c r="G12" s="195"/>
      <c r="H12" s="193"/>
      <c r="I12" s="194"/>
      <c r="J12" s="194"/>
      <c r="K12" s="195"/>
      <c r="L12" s="178" t="s">
        <v>42</v>
      </c>
      <c r="M12" s="176"/>
      <c r="N12" s="176"/>
      <c r="O12" s="179"/>
      <c r="P12" s="178" t="s">
        <v>120</v>
      </c>
      <c r="Q12" s="176"/>
      <c r="R12" s="176"/>
      <c r="S12" s="176"/>
      <c r="T12" s="176"/>
      <c r="U12" s="176"/>
      <c r="V12" s="176"/>
      <c r="W12" s="179"/>
      <c r="X12" s="178" t="s">
        <v>43</v>
      </c>
      <c r="Y12" s="176"/>
      <c r="Z12" s="176"/>
      <c r="AA12" s="176"/>
      <c r="AB12" s="176"/>
      <c r="AC12" s="176"/>
      <c r="AD12" s="176"/>
      <c r="AE12" s="179"/>
      <c r="AF12" s="178"/>
      <c r="AG12" s="176"/>
      <c r="AH12" s="176"/>
      <c r="AI12" s="176"/>
      <c r="AJ12" s="176"/>
      <c r="AK12" s="176"/>
      <c r="AL12" s="176"/>
      <c r="AM12" s="176"/>
      <c r="AN12" s="180"/>
      <c r="AO12" s="172">
        <v>45665</v>
      </c>
      <c r="AP12" s="173"/>
      <c r="AQ12" s="149" t="s">
        <v>143</v>
      </c>
      <c r="AR12" s="151"/>
      <c r="AS12" s="149" t="s">
        <v>144</v>
      </c>
      <c r="AT12" s="174"/>
      <c r="AU12" s="172">
        <v>45695</v>
      </c>
      <c r="AV12" s="173"/>
      <c r="AW12" s="149" t="s">
        <v>157</v>
      </c>
      <c r="AX12" s="151"/>
      <c r="AY12" s="149" t="s">
        <v>158</v>
      </c>
      <c r="AZ12" s="174"/>
      <c r="BA12" s="196" t="s">
        <v>146</v>
      </c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8"/>
      <c r="BM12" s="16"/>
      <c r="BN12" s="16"/>
    </row>
    <row r="13" spans="1:66" ht="20.100000000000001" customHeight="1" x14ac:dyDescent="0.45">
      <c r="A13" s="10"/>
      <c r="B13" s="10"/>
      <c r="C13" s="92">
        <f t="shared" si="0"/>
        <v>4</v>
      </c>
      <c r="D13" s="193"/>
      <c r="E13" s="194"/>
      <c r="F13" s="194"/>
      <c r="G13" s="195"/>
      <c r="H13" s="193"/>
      <c r="I13" s="194"/>
      <c r="J13" s="194"/>
      <c r="K13" s="195"/>
      <c r="L13" s="178" t="s">
        <v>78</v>
      </c>
      <c r="M13" s="176"/>
      <c r="N13" s="176"/>
      <c r="O13" s="179"/>
      <c r="P13" s="178" t="s">
        <v>120</v>
      </c>
      <c r="Q13" s="176"/>
      <c r="R13" s="176"/>
      <c r="S13" s="176"/>
      <c r="T13" s="176"/>
      <c r="U13" s="176"/>
      <c r="V13" s="176"/>
      <c r="W13" s="179"/>
      <c r="X13" s="178" t="s">
        <v>44</v>
      </c>
      <c r="Y13" s="176"/>
      <c r="Z13" s="176"/>
      <c r="AA13" s="176"/>
      <c r="AB13" s="176"/>
      <c r="AC13" s="176"/>
      <c r="AD13" s="176"/>
      <c r="AE13" s="179"/>
      <c r="AF13" s="178"/>
      <c r="AG13" s="176"/>
      <c r="AH13" s="176"/>
      <c r="AI13" s="176"/>
      <c r="AJ13" s="176"/>
      <c r="AK13" s="176"/>
      <c r="AL13" s="176"/>
      <c r="AM13" s="176"/>
      <c r="AN13" s="180"/>
      <c r="AO13" s="172">
        <v>45665</v>
      </c>
      <c r="AP13" s="173"/>
      <c r="AQ13" s="149" t="s">
        <v>143</v>
      </c>
      <c r="AR13" s="151"/>
      <c r="AS13" s="149" t="s">
        <v>144</v>
      </c>
      <c r="AT13" s="174"/>
      <c r="AU13" s="172">
        <v>45695</v>
      </c>
      <c r="AV13" s="173"/>
      <c r="AW13" s="149" t="s">
        <v>157</v>
      </c>
      <c r="AX13" s="151"/>
      <c r="AY13" s="149" t="s">
        <v>158</v>
      </c>
      <c r="AZ13" s="174"/>
      <c r="BA13" s="196" t="s">
        <v>146</v>
      </c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8"/>
      <c r="BM13" s="16"/>
      <c r="BN13" s="16"/>
    </row>
    <row r="14" spans="1:66" s="75" customFormat="1" ht="20.100000000000001" customHeight="1" x14ac:dyDescent="0.45">
      <c r="A14" s="76"/>
      <c r="B14" s="76"/>
      <c r="C14" s="92">
        <f t="shared" si="0"/>
        <v>5</v>
      </c>
      <c r="D14" s="80"/>
      <c r="E14" s="81"/>
      <c r="F14" s="81"/>
      <c r="G14" s="82"/>
      <c r="H14" s="80"/>
      <c r="I14" s="81"/>
      <c r="J14" s="81"/>
      <c r="K14" s="82"/>
      <c r="L14" s="178" t="s">
        <v>79</v>
      </c>
      <c r="M14" s="176"/>
      <c r="N14" s="176"/>
      <c r="O14" s="179"/>
      <c r="P14" s="178" t="s">
        <v>120</v>
      </c>
      <c r="Q14" s="176"/>
      <c r="R14" s="176"/>
      <c r="S14" s="176"/>
      <c r="T14" s="176"/>
      <c r="U14" s="176"/>
      <c r="V14" s="176"/>
      <c r="W14" s="179"/>
      <c r="X14" s="178" t="s">
        <v>43</v>
      </c>
      <c r="Y14" s="176"/>
      <c r="Z14" s="176"/>
      <c r="AA14" s="176"/>
      <c r="AB14" s="176"/>
      <c r="AC14" s="176"/>
      <c r="AD14" s="176"/>
      <c r="AE14" s="179"/>
      <c r="AF14" s="83"/>
      <c r="AG14" s="84"/>
      <c r="AH14" s="84"/>
      <c r="AI14" s="84"/>
      <c r="AJ14" s="84"/>
      <c r="AK14" s="84"/>
      <c r="AL14" s="84"/>
      <c r="AM14" s="84"/>
      <c r="AN14" s="89"/>
      <c r="AO14" s="172">
        <v>45665</v>
      </c>
      <c r="AP14" s="173"/>
      <c r="AQ14" s="149" t="s">
        <v>143</v>
      </c>
      <c r="AR14" s="151"/>
      <c r="AS14" s="149" t="s">
        <v>144</v>
      </c>
      <c r="AT14" s="174"/>
      <c r="AU14" s="172">
        <v>45695</v>
      </c>
      <c r="AV14" s="173"/>
      <c r="AW14" s="149" t="s">
        <v>157</v>
      </c>
      <c r="AX14" s="151"/>
      <c r="AY14" s="149" t="s">
        <v>158</v>
      </c>
      <c r="AZ14" s="174"/>
      <c r="BA14" s="86" t="s">
        <v>146</v>
      </c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8"/>
      <c r="BM14" s="77"/>
      <c r="BN14" s="77"/>
    </row>
    <row r="15" spans="1:66" s="75" customFormat="1" ht="20.100000000000001" customHeight="1" x14ac:dyDescent="0.45">
      <c r="A15" s="76"/>
      <c r="B15" s="76"/>
      <c r="C15" s="92">
        <f t="shared" si="0"/>
        <v>6</v>
      </c>
      <c r="D15" s="80"/>
      <c r="E15" s="81"/>
      <c r="F15" s="81"/>
      <c r="G15" s="82"/>
      <c r="H15" s="80"/>
      <c r="I15" s="81"/>
      <c r="J15" s="81"/>
      <c r="K15" s="82"/>
      <c r="L15" s="178" t="s">
        <v>80</v>
      </c>
      <c r="M15" s="176"/>
      <c r="N15" s="176"/>
      <c r="O15" s="179"/>
      <c r="P15" s="178" t="s">
        <v>120</v>
      </c>
      <c r="Q15" s="176"/>
      <c r="R15" s="176"/>
      <c r="S15" s="176"/>
      <c r="T15" s="176"/>
      <c r="U15" s="176"/>
      <c r="V15" s="176"/>
      <c r="W15" s="179"/>
      <c r="X15" s="178" t="s">
        <v>43</v>
      </c>
      <c r="Y15" s="176"/>
      <c r="Z15" s="176"/>
      <c r="AA15" s="176"/>
      <c r="AB15" s="176"/>
      <c r="AC15" s="176"/>
      <c r="AD15" s="176"/>
      <c r="AE15" s="179"/>
      <c r="AF15" s="83"/>
      <c r="AG15" s="84"/>
      <c r="AH15" s="84"/>
      <c r="AI15" s="84"/>
      <c r="AJ15" s="84"/>
      <c r="AK15" s="84"/>
      <c r="AL15" s="84"/>
      <c r="AM15" s="84"/>
      <c r="AN15" s="89"/>
      <c r="AO15" s="172">
        <v>45665</v>
      </c>
      <c r="AP15" s="173"/>
      <c r="AQ15" s="149" t="s">
        <v>143</v>
      </c>
      <c r="AR15" s="151"/>
      <c r="AS15" s="149" t="s">
        <v>144</v>
      </c>
      <c r="AT15" s="174"/>
      <c r="AU15" s="172">
        <v>45695</v>
      </c>
      <c r="AV15" s="173"/>
      <c r="AW15" s="149" t="s">
        <v>157</v>
      </c>
      <c r="AX15" s="151"/>
      <c r="AY15" s="149" t="s">
        <v>158</v>
      </c>
      <c r="AZ15" s="174"/>
      <c r="BA15" s="86" t="s">
        <v>146</v>
      </c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8"/>
      <c r="BM15" s="77"/>
      <c r="BN15" s="77"/>
    </row>
    <row r="16" spans="1:66" ht="20.100000000000001" customHeight="1" x14ac:dyDescent="0.45">
      <c r="A16" s="10"/>
      <c r="B16" s="10"/>
      <c r="C16" s="92">
        <f t="shared" si="0"/>
        <v>7</v>
      </c>
      <c r="D16" s="193"/>
      <c r="E16" s="194"/>
      <c r="F16" s="194"/>
      <c r="G16" s="195"/>
      <c r="H16" s="193"/>
      <c r="I16" s="194"/>
      <c r="J16" s="194"/>
      <c r="K16" s="195"/>
      <c r="L16" s="178" t="s">
        <v>121</v>
      </c>
      <c r="M16" s="176"/>
      <c r="N16" s="176"/>
      <c r="O16" s="179"/>
      <c r="P16" s="178" t="s">
        <v>120</v>
      </c>
      <c r="Q16" s="176"/>
      <c r="R16" s="176"/>
      <c r="S16" s="176"/>
      <c r="T16" s="176"/>
      <c r="U16" s="176"/>
      <c r="V16" s="176"/>
      <c r="W16" s="179"/>
      <c r="X16" s="178" t="s">
        <v>44</v>
      </c>
      <c r="Y16" s="176"/>
      <c r="Z16" s="176"/>
      <c r="AA16" s="176"/>
      <c r="AB16" s="176"/>
      <c r="AC16" s="176"/>
      <c r="AD16" s="176"/>
      <c r="AE16" s="179"/>
      <c r="AF16" s="178"/>
      <c r="AG16" s="176"/>
      <c r="AH16" s="176"/>
      <c r="AI16" s="176"/>
      <c r="AJ16" s="176"/>
      <c r="AK16" s="176"/>
      <c r="AL16" s="176"/>
      <c r="AM16" s="176"/>
      <c r="AN16" s="180"/>
      <c r="AO16" s="172">
        <v>45665</v>
      </c>
      <c r="AP16" s="173"/>
      <c r="AQ16" s="149" t="s">
        <v>143</v>
      </c>
      <c r="AR16" s="151"/>
      <c r="AS16" s="149" t="s">
        <v>144</v>
      </c>
      <c r="AT16" s="174"/>
      <c r="AU16" s="172">
        <v>45695</v>
      </c>
      <c r="AV16" s="173"/>
      <c r="AW16" s="149" t="s">
        <v>157</v>
      </c>
      <c r="AX16" s="151"/>
      <c r="AY16" s="149" t="s">
        <v>158</v>
      </c>
      <c r="AZ16" s="174"/>
      <c r="BA16" s="196" t="s">
        <v>146</v>
      </c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8"/>
      <c r="BM16" s="16"/>
      <c r="BN16" s="16"/>
    </row>
    <row r="17" spans="1:66" s="75" customFormat="1" ht="30" customHeight="1" x14ac:dyDescent="0.45">
      <c r="A17" s="76"/>
      <c r="B17" s="76"/>
      <c r="C17" s="92">
        <f t="shared" si="0"/>
        <v>8</v>
      </c>
      <c r="D17" s="115"/>
      <c r="E17" s="116"/>
      <c r="F17" s="116"/>
      <c r="G17" s="117"/>
      <c r="H17" s="115"/>
      <c r="I17" s="116"/>
      <c r="J17" s="116"/>
      <c r="K17" s="117"/>
      <c r="L17" s="178" t="s">
        <v>122</v>
      </c>
      <c r="M17" s="176"/>
      <c r="N17" s="176"/>
      <c r="O17" s="179"/>
      <c r="P17" s="178" t="s">
        <v>120</v>
      </c>
      <c r="Q17" s="176"/>
      <c r="R17" s="176"/>
      <c r="S17" s="176"/>
      <c r="T17" s="176"/>
      <c r="U17" s="176"/>
      <c r="V17" s="176"/>
      <c r="W17" s="179"/>
      <c r="X17" s="178" t="s">
        <v>123</v>
      </c>
      <c r="Y17" s="176"/>
      <c r="Z17" s="176"/>
      <c r="AA17" s="176"/>
      <c r="AB17" s="176"/>
      <c r="AC17" s="176"/>
      <c r="AD17" s="176"/>
      <c r="AE17" s="179"/>
      <c r="AF17" s="178" t="s">
        <v>127</v>
      </c>
      <c r="AG17" s="176"/>
      <c r="AH17" s="176"/>
      <c r="AI17" s="176"/>
      <c r="AJ17" s="176"/>
      <c r="AK17" s="176"/>
      <c r="AL17" s="176"/>
      <c r="AM17" s="176"/>
      <c r="AN17" s="180"/>
      <c r="AO17" s="172">
        <v>45665</v>
      </c>
      <c r="AP17" s="173"/>
      <c r="AQ17" s="149" t="s">
        <v>143</v>
      </c>
      <c r="AR17" s="151"/>
      <c r="AS17" s="149" t="s">
        <v>148</v>
      </c>
      <c r="AT17" s="174"/>
      <c r="AU17" s="122"/>
      <c r="AV17" s="123"/>
      <c r="AW17" s="113"/>
      <c r="AX17" s="114"/>
      <c r="AY17" s="113"/>
      <c r="AZ17" s="118"/>
      <c r="BA17" s="119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1"/>
      <c r="BM17" s="77"/>
      <c r="BN17" s="77"/>
    </row>
    <row r="18" spans="1:66" s="75" customFormat="1" ht="20.100000000000001" customHeight="1" x14ac:dyDescent="0.45">
      <c r="A18" s="76"/>
      <c r="B18" s="76"/>
      <c r="C18" s="92">
        <f t="shared" si="0"/>
        <v>9</v>
      </c>
      <c r="D18" s="80"/>
      <c r="E18" s="81"/>
      <c r="F18" s="81"/>
      <c r="G18" s="82"/>
      <c r="H18" s="80"/>
      <c r="I18" s="81"/>
      <c r="J18" s="81"/>
      <c r="K18" s="82"/>
      <c r="L18" s="178" t="s">
        <v>124</v>
      </c>
      <c r="M18" s="176"/>
      <c r="N18" s="176"/>
      <c r="O18" s="179"/>
      <c r="P18" s="178" t="s">
        <v>120</v>
      </c>
      <c r="Q18" s="176"/>
      <c r="R18" s="176"/>
      <c r="S18" s="176"/>
      <c r="T18" s="176"/>
      <c r="U18" s="176"/>
      <c r="V18" s="176"/>
      <c r="W18" s="179"/>
      <c r="X18" s="178" t="s">
        <v>44</v>
      </c>
      <c r="Y18" s="176"/>
      <c r="Z18" s="176"/>
      <c r="AA18" s="176"/>
      <c r="AB18" s="176"/>
      <c r="AC18" s="176"/>
      <c r="AD18" s="176"/>
      <c r="AE18" s="179"/>
      <c r="AF18" s="178"/>
      <c r="AG18" s="176"/>
      <c r="AH18" s="176"/>
      <c r="AI18" s="176"/>
      <c r="AJ18" s="176"/>
      <c r="AK18" s="176"/>
      <c r="AL18" s="176"/>
      <c r="AM18" s="176"/>
      <c r="AN18" s="180"/>
      <c r="AO18" s="172">
        <v>45665</v>
      </c>
      <c r="AP18" s="173"/>
      <c r="AQ18" s="149" t="s">
        <v>143</v>
      </c>
      <c r="AR18" s="151"/>
      <c r="AS18" s="149" t="s">
        <v>144</v>
      </c>
      <c r="AT18" s="174"/>
      <c r="AU18" s="172">
        <v>45695</v>
      </c>
      <c r="AV18" s="173"/>
      <c r="AW18" s="149" t="s">
        <v>157</v>
      </c>
      <c r="AX18" s="151"/>
      <c r="AY18" s="149" t="s">
        <v>158</v>
      </c>
      <c r="AZ18" s="174"/>
      <c r="BA18" s="86" t="s">
        <v>150</v>
      </c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8"/>
      <c r="BM18" s="77"/>
      <c r="BN18" s="77"/>
    </row>
    <row r="19" spans="1:66" s="75" customFormat="1" ht="28.8" customHeight="1" x14ac:dyDescent="0.45">
      <c r="A19" s="76"/>
      <c r="B19" s="76"/>
      <c r="C19" s="92">
        <f t="shared" si="0"/>
        <v>10</v>
      </c>
      <c r="D19" s="115"/>
      <c r="E19" s="116"/>
      <c r="F19" s="116"/>
      <c r="G19" s="117"/>
      <c r="H19" s="115"/>
      <c r="I19" s="116"/>
      <c r="J19" s="116"/>
      <c r="K19" s="117"/>
      <c r="L19" s="178" t="s">
        <v>125</v>
      </c>
      <c r="M19" s="176"/>
      <c r="N19" s="176"/>
      <c r="O19" s="179"/>
      <c r="P19" s="178" t="s">
        <v>120</v>
      </c>
      <c r="Q19" s="176"/>
      <c r="R19" s="176"/>
      <c r="S19" s="176"/>
      <c r="T19" s="176"/>
      <c r="U19" s="176"/>
      <c r="V19" s="176"/>
      <c r="W19" s="179"/>
      <c r="X19" s="178" t="s">
        <v>123</v>
      </c>
      <c r="Y19" s="176"/>
      <c r="Z19" s="176"/>
      <c r="AA19" s="176"/>
      <c r="AB19" s="176"/>
      <c r="AC19" s="176"/>
      <c r="AD19" s="176"/>
      <c r="AE19" s="179"/>
      <c r="AF19" s="178" t="s">
        <v>128</v>
      </c>
      <c r="AG19" s="176"/>
      <c r="AH19" s="176"/>
      <c r="AI19" s="176"/>
      <c r="AJ19" s="176"/>
      <c r="AK19" s="176"/>
      <c r="AL19" s="176"/>
      <c r="AM19" s="176"/>
      <c r="AN19" s="180"/>
      <c r="AO19" s="172">
        <v>45665</v>
      </c>
      <c r="AP19" s="173"/>
      <c r="AQ19" s="149" t="s">
        <v>143</v>
      </c>
      <c r="AR19" s="151"/>
      <c r="AS19" s="149" t="s">
        <v>148</v>
      </c>
      <c r="AT19" s="174"/>
      <c r="AU19" s="122"/>
      <c r="AV19" s="123"/>
      <c r="AW19" s="113"/>
      <c r="AX19" s="114"/>
      <c r="AY19" s="113"/>
      <c r="AZ19" s="118"/>
      <c r="BA19" s="119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1"/>
      <c r="BM19" s="77"/>
      <c r="BN19" s="77"/>
    </row>
    <row r="20" spans="1:66" s="75" customFormat="1" ht="20.100000000000001" customHeight="1" x14ac:dyDescent="0.45">
      <c r="A20" s="76"/>
      <c r="B20" s="76"/>
      <c r="C20" s="92">
        <f t="shared" si="0"/>
        <v>11</v>
      </c>
      <c r="D20" s="80"/>
      <c r="E20" s="81"/>
      <c r="F20" s="81"/>
      <c r="G20" s="82"/>
      <c r="H20" s="80"/>
      <c r="I20" s="81"/>
      <c r="J20" s="81"/>
      <c r="K20" s="82"/>
      <c r="L20" s="178" t="s">
        <v>126</v>
      </c>
      <c r="M20" s="176"/>
      <c r="N20" s="176"/>
      <c r="O20" s="179"/>
      <c r="P20" s="178" t="s">
        <v>120</v>
      </c>
      <c r="Q20" s="176"/>
      <c r="R20" s="176"/>
      <c r="S20" s="176"/>
      <c r="T20" s="176"/>
      <c r="U20" s="176"/>
      <c r="V20" s="176"/>
      <c r="W20" s="179"/>
      <c r="X20" s="178" t="s">
        <v>44</v>
      </c>
      <c r="Y20" s="176"/>
      <c r="Z20" s="176"/>
      <c r="AA20" s="176"/>
      <c r="AB20" s="176"/>
      <c r="AC20" s="176"/>
      <c r="AD20" s="176"/>
      <c r="AE20" s="179"/>
      <c r="AF20" s="178"/>
      <c r="AG20" s="176"/>
      <c r="AH20" s="176"/>
      <c r="AI20" s="176"/>
      <c r="AJ20" s="176"/>
      <c r="AK20" s="176"/>
      <c r="AL20" s="176"/>
      <c r="AM20" s="176"/>
      <c r="AN20" s="180"/>
      <c r="AO20" s="172">
        <v>45665</v>
      </c>
      <c r="AP20" s="173"/>
      <c r="AQ20" s="149" t="s">
        <v>143</v>
      </c>
      <c r="AR20" s="151"/>
      <c r="AS20" s="149" t="s">
        <v>144</v>
      </c>
      <c r="AT20" s="174"/>
      <c r="AU20" s="172">
        <v>45695</v>
      </c>
      <c r="AV20" s="173"/>
      <c r="AW20" s="149" t="s">
        <v>157</v>
      </c>
      <c r="AX20" s="151"/>
      <c r="AY20" s="149" t="s">
        <v>158</v>
      </c>
      <c r="AZ20" s="174"/>
      <c r="BA20" s="144" t="s">
        <v>149</v>
      </c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8"/>
      <c r="BM20" s="77"/>
      <c r="BN20" s="77"/>
    </row>
    <row r="21" spans="1:66" s="75" customFormat="1" ht="30.6" customHeight="1" x14ac:dyDescent="0.45">
      <c r="A21" s="76"/>
      <c r="B21" s="76"/>
      <c r="C21" s="92">
        <f t="shared" si="0"/>
        <v>12</v>
      </c>
      <c r="D21" s="115"/>
      <c r="E21" s="116"/>
      <c r="F21" s="116"/>
      <c r="G21" s="117"/>
      <c r="H21" s="115"/>
      <c r="I21" s="116"/>
      <c r="J21" s="116"/>
      <c r="K21" s="117"/>
      <c r="L21" s="178" t="s">
        <v>129</v>
      </c>
      <c r="M21" s="176"/>
      <c r="N21" s="176"/>
      <c r="O21" s="179"/>
      <c r="P21" s="178" t="s">
        <v>120</v>
      </c>
      <c r="Q21" s="176"/>
      <c r="R21" s="176"/>
      <c r="S21" s="176"/>
      <c r="T21" s="176"/>
      <c r="U21" s="176"/>
      <c r="V21" s="176"/>
      <c r="W21" s="179"/>
      <c r="X21" s="178" t="s">
        <v>123</v>
      </c>
      <c r="Y21" s="176"/>
      <c r="Z21" s="176"/>
      <c r="AA21" s="176"/>
      <c r="AB21" s="176"/>
      <c r="AC21" s="176"/>
      <c r="AD21" s="176"/>
      <c r="AE21" s="179"/>
      <c r="AF21" s="178" t="s">
        <v>73</v>
      </c>
      <c r="AG21" s="176"/>
      <c r="AH21" s="176"/>
      <c r="AI21" s="176"/>
      <c r="AJ21" s="176"/>
      <c r="AK21" s="176"/>
      <c r="AL21" s="176"/>
      <c r="AM21" s="176"/>
      <c r="AN21" s="180"/>
      <c r="AO21" s="172">
        <v>45665</v>
      </c>
      <c r="AP21" s="173"/>
      <c r="AQ21" s="149" t="s">
        <v>143</v>
      </c>
      <c r="AR21" s="151"/>
      <c r="AS21" s="149" t="s">
        <v>148</v>
      </c>
      <c r="AT21" s="174"/>
      <c r="AU21" s="122"/>
      <c r="AV21" s="123"/>
      <c r="AW21" s="113"/>
      <c r="AX21" s="114"/>
      <c r="AY21" s="113"/>
      <c r="AZ21" s="118"/>
      <c r="BA21" s="119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1"/>
      <c r="BM21" s="77"/>
      <c r="BN21" s="77"/>
    </row>
    <row r="22" spans="1:66" s="75" customFormat="1" ht="20.100000000000001" customHeight="1" x14ac:dyDescent="0.45">
      <c r="A22" s="76"/>
      <c r="B22" s="76"/>
      <c r="C22" s="92">
        <f t="shared" si="0"/>
        <v>13</v>
      </c>
      <c r="D22" s="80"/>
      <c r="E22" s="81"/>
      <c r="F22" s="81"/>
      <c r="G22" s="82"/>
      <c r="H22" s="80"/>
      <c r="I22" s="81"/>
      <c r="J22" s="81"/>
      <c r="K22" s="82"/>
      <c r="L22" s="178" t="s">
        <v>130</v>
      </c>
      <c r="M22" s="176"/>
      <c r="N22" s="176"/>
      <c r="O22" s="179"/>
      <c r="P22" s="178" t="s">
        <v>120</v>
      </c>
      <c r="Q22" s="176"/>
      <c r="R22" s="176"/>
      <c r="S22" s="176"/>
      <c r="T22" s="176"/>
      <c r="U22" s="176"/>
      <c r="V22" s="176"/>
      <c r="W22" s="179"/>
      <c r="X22" s="178" t="s">
        <v>44</v>
      </c>
      <c r="Y22" s="176"/>
      <c r="Z22" s="176"/>
      <c r="AA22" s="176"/>
      <c r="AB22" s="176"/>
      <c r="AC22" s="176"/>
      <c r="AD22" s="176"/>
      <c r="AE22" s="179"/>
      <c r="AF22" s="178"/>
      <c r="AG22" s="176"/>
      <c r="AH22" s="176"/>
      <c r="AI22" s="176"/>
      <c r="AJ22" s="176"/>
      <c r="AK22" s="176"/>
      <c r="AL22" s="176"/>
      <c r="AM22" s="176"/>
      <c r="AN22" s="180"/>
      <c r="AO22" s="172">
        <v>45665</v>
      </c>
      <c r="AP22" s="173"/>
      <c r="AQ22" s="149" t="s">
        <v>143</v>
      </c>
      <c r="AR22" s="151"/>
      <c r="AS22" s="149" t="s">
        <v>144</v>
      </c>
      <c r="AT22" s="174"/>
      <c r="AU22" s="172">
        <v>45695</v>
      </c>
      <c r="AV22" s="173"/>
      <c r="AW22" s="149" t="s">
        <v>157</v>
      </c>
      <c r="AX22" s="151"/>
      <c r="AY22" s="149" t="s">
        <v>158</v>
      </c>
      <c r="AZ22" s="174"/>
      <c r="BA22" s="144" t="s">
        <v>149</v>
      </c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8"/>
      <c r="BM22" s="77"/>
      <c r="BN22" s="77"/>
    </row>
    <row r="23" spans="1:66" s="75" customFormat="1" ht="30.6" customHeight="1" x14ac:dyDescent="0.45">
      <c r="A23" s="76"/>
      <c r="B23" s="76"/>
      <c r="C23" s="92">
        <f t="shared" si="0"/>
        <v>14</v>
      </c>
      <c r="D23" s="115"/>
      <c r="E23" s="116"/>
      <c r="F23" s="116"/>
      <c r="G23" s="117"/>
      <c r="H23" s="115"/>
      <c r="I23" s="116"/>
      <c r="J23" s="116"/>
      <c r="K23" s="117"/>
      <c r="L23" s="178" t="s">
        <v>131</v>
      </c>
      <c r="M23" s="176"/>
      <c r="N23" s="176"/>
      <c r="O23" s="179"/>
      <c r="P23" s="178" t="s">
        <v>120</v>
      </c>
      <c r="Q23" s="176"/>
      <c r="R23" s="176"/>
      <c r="S23" s="176"/>
      <c r="T23" s="176"/>
      <c r="U23" s="176"/>
      <c r="V23" s="176"/>
      <c r="W23" s="179"/>
      <c r="X23" s="178" t="s">
        <v>123</v>
      </c>
      <c r="Y23" s="176"/>
      <c r="Z23" s="176"/>
      <c r="AA23" s="176"/>
      <c r="AB23" s="176"/>
      <c r="AC23" s="176"/>
      <c r="AD23" s="176"/>
      <c r="AE23" s="179"/>
      <c r="AF23" s="178" t="s">
        <v>117</v>
      </c>
      <c r="AG23" s="176"/>
      <c r="AH23" s="176"/>
      <c r="AI23" s="176"/>
      <c r="AJ23" s="176"/>
      <c r="AK23" s="176"/>
      <c r="AL23" s="176"/>
      <c r="AM23" s="176"/>
      <c r="AN23" s="180"/>
      <c r="AO23" s="172">
        <v>45665</v>
      </c>
      <c r="AP23" s="173"/>
      <c r="AQ23" s="149" t="s">
        <v>143</v>
      </c>
      <c r="AR23" s="151"/>
      <c r="AS23" s="149" t="s">
        <v>148</v>
      </c>
      <c r="AT23" s="174"/>
      <c r="AU23" s="122"/>
      <c r="AV23" s="123"/>
      <c r="AW23" s="113"/>
      <c r="AX23" s="114"/>
      <c r="AY23" s="113"/>
      <c r="AZ23" s="118"/>
      <c r="BA23" s="119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1"/>
      <c r="BM23" s="77"/>
      <c r="BN23" s="77"/>
    </row>
    <row r="24" spans="1:66" ht="31.8" customHeight="1" x14ac:dyDescent="0.45">
      <c r="A24" s="10"/>
      <c r="B24" s="10"/>
      <c r="C24" s="92">
        <f t="shared" si="0"/>
        <v>15</v>
      </c>
      <c r="D24" s="193"/>
      <c r="E24" s="194"/>
      <c r="F24" s="194"/>
      <c r="G24" s="195"/>
      <c r="H24" s="184"/>
      <c r="I24" s="185"/>
      <c r="J24" s="185"/>
      <c r="K24" s="186"/>
      <c r="L24" s="178" t="s">
        <v>72</v>
      </c>
      <c r="M24" s="176"/>
      <c r="N24" s="176"/>
      <c r="O24" s="179"/>
      <c r="P24" s="178" t="s">
        <v>120</v>
      </c>
      <c r="Q24" s="176"/>
      <c r="R24" s="176"/>
      <c r="S24" s="176"/>
      <c r="T24" s="176"/>
      <c r="U24" s="176"/>
      <c r="V24" s="176"/>
      <c r="W24" s="179"/>
      <c r="X24" s="178" t="s">
        <v>44</v>
      </c>
      <c r="Y24" s="176"/>
      <c r="Z24" s="176"/>
      <c r="AA24" s="176"/>
      <c r="AB24" s="176"/>
      <c r="AC24" s="176"/>
      <c r="AD24" s="176"/>
      <c r="AE24" s="179"/>
      <c r="AF24" s="178"/>
      <c r="AG24" s="176"/>
      <c r="AH24" s="176"/>
      <c r="AI24" s="176"/>
      <c r="AJ24" s="176"/>
      <c r="AK24" s="176"/>
      <c r="AL24" s="176"/>
      <c r="AM24" s="176"/>
      <c r="AN24" s="180"/>
      <c r="AO24" s="172">
        <v>45665</v>
      </c>
      <c r="AP24" s="173"/>
      <c r="AQ24" s="149" t="s">
        <v>143</v>
      </c>
      <c r="AR24" s="151"/>
      <c r="AS24" s="149" t="s">
        <v>144</v>
      </c>
      <c r="AT24" s="174"/>
      <c r="AU24" s="172">
        <v>45695</v>
      </c>
      <c r="AV24" s="173"/>
      <c r="AW24" s="149" t="s">
        <v>157</v>
      </c>
      <c r="AX24" s="151"/>
      <c r="AY24" s="149" t="s">
        <v>158</v>
      </c>
      <c r="AZ24" s="174"/>
      <c r="BA24" s="196" t="s">
        <v>146</v>
      </c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8"/>
      <c r="BM24" s="16"/>
      <c r="BN24" s="16"/>
    </row>
    <row r="25" spans="1:66" ht="31.8" customHeight="1" x14ac:dyDescent="0.45">
      <c r="A25" s="10"/>
      <c r="B25" s="10"/>
      <c r="C25" s="92">
        <f t="shared" si="0"/>
        <v>16</v>
      </c>
      <c r="D25" s="193"/>
      <c r="E25" s="194"/>
      <c r="F25" s="194"/>
      <c r="G25" s="195"/>
      <c r="H25" s="193" t="s">
        <v>45</v>
      </c>
      <c r="I25" s="194"/>
      <c r="J25" s="194"/>
      <c r="K25" s="195"/>
      <c r="L25" s="181" t="s">
        <v>74</v>
      </c>
      <c r="M25" s="182"/>
      <c r="N25" s="182"/>
      <c r="O25" s="183"/>
      <c r="P25" s="181" t="s">
        <v>75</v>
      </c>
      <c r="Q25" s="182"/>
      <c r="R25" s="182"/>
      <c r="S25" s="182"/>
      <c r="T25" s="182"/>
      <c r="U25" s="182"/>
      <c r="V25" s="182"/>
      <c r="W25" s="183"/>
      <c r="X25" s="178" t="s">
        <v>76</v>
      </c>
      <c r="Y25" s="176"/>
      <c r="Z25" s="176"/>
      <c r="AA25" s="176"/>
      <c r="AB25" s="176"/>
      <c r="AC25" s="176"/>
      <c r="AD25" s="176"/>
      <c r="AE25" s="179"/>
      <c r="AF25" s="178"/>
      <c r="AG25" s="176"/>
      <c r="AH25" s="176"/>
      <c r="AI25" s="176"/>
      <c r="AJ25" s="176"/>
      <c r="AK25" s="176"/>
      <c r="AL25" s="176"/>
      <c r="AM25" s="176"/>
      <c r="AN25" s="180"/>
      <c r="AO25" s="172">
        <v>45665</v>
      </c>
      <c r="AP25" s="173"/>
      <c r="AQ25" s="149" t="s">
        <v>143</v>
      </c>
      <c r="AR25" s="151"/>
      <c r="AS25" s="149" t="s">
        <v>148</v>
      </c>
      <c r="AT25" s="174"/>
      <c r="AU25" s="172"/>
      <c r="AV25" s="173"/>
      <c r="AW25" s="149"/>
      <c r="AX25" s="151"/>
      <c r="AY25" s="149"/>
      <c r="AZ25" s="174"/>
      <c r="BA25" s="196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8"/>
      <c r="BM25" s="16"/>
      <c r="BN25" s="16"/>
    </row>
    <row r="26" spans="1:66" ht="29.4" customHeight="1" x14ac:dyDescent="0.45">
      <c r="A26" s="10"/>
      <c r="B26" s="10"/>
      <c r="C26" s="92">
        <f t="shared" si="0"/>
        <v>17</v>
      </c>
      <c r="D26" s="193"/>
      <c r="E26" s="194"/>
      <c r="F26" s="194"/>
      <c r="G26" s="195"/>
      <c r="H26" s="193"/>
      <c r="I26" s="194"/>
      <c r="J26" s="194"/>
      <c r="K26" s="195"/>
      <c r="L26" s="184"/>
      <c r="M26" s="185"/>
      <c r="N26" s="185"/>
      <c r="O26" s="186"/>
      <c r="P26" s="184"/>
      <c r="Q26" s="185"/>
      <c r="R26" s="185"/>
      <c r="S26" s="185"/>
      <c r="T26" s="185"/>
      <c r="U26" s="185"/>
      <c r="V26" s="185"/>
      <c r="W26" s="186"/>
      <c r="X26" s="178" t="s">
        <v>77</v>
      </c>
      <c r="Y26" s="176"/>
      <c r="Z26" s="176"/>
      <c r="AA26" s="176"/>
      <c r="AB26" s="176"/>
      <c r="AC26" s="176"/>
      <c r="AD26" s="176"/>
      <c r="AE26" s="179"/>
      <c r="AF26" s="178"/>
      <c r="AG26" s="176"/>
      <c r="AH26" s="176"/>
      <c r="AI26" s="176"/>
      <c r="AJ26" s="176"/>
      <c r="AK26" s="176"/>
      <c r="AL26" s="176"/>
      <c r="AM26" s="176"/>
      <c r="AN26" s="180"/>
      <c r="AO26" s="172">
        <v>45665</v>
      </c>
      <c r="AP26" s="173"/>
      <c r="AQ26" s="149" t="s">
        <v>143</v>
      </c>
      <c r="AR26" s="151"/>
      <c r="AS26" s="149" t="s">
        <v>148</v>
      </c>
      <c r="AT26" s="174"/>
      <c r="AU26" s="172"/>
      <c r="AV26" s="173"/>
      <c r="AW26" s="149"/>
      <c r="AX26" s="151"/>
      <c r="AY26" s="149"/>
      <c r="AZ26" s="174"/>
      <c r="BA26" s="196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8"/>
      <c r="BM26" s="16"/>
      <c r="BN26" s="16"/>
    </row>
    <row r="27" spans="1:66" ht="28.8" customHeight="1" x14ac:dyDescent="0.45">
      <c r="A27" s="10"/>
      <c r="B27" s="10"/>
      <c r="C27" s="92">
        <f t="shared" si="0"/>
        <v>18</v>
      </c>
      <c r="D27" s="193"/>
      <c r="E27" s="194"/>
      <c r="F27" s="194"/>
      <c r="G27" s="195"/>
      <c r="H27" s="193"/>
      <c r="I27" s="194"/>
      <c r="J27" s="194"/>
      <c r="K27" s="195"/>
      <c r="L27" s="181" t="s">
        <v>81</v>
      </c>
      <c r="M27" s="182"/>
      <c r="N27" s="182"/>
      <c r="O27" s="183"/>
      <c r="P27" s="178" t="s">
        <v>47</v>
      </c>
      <c r="Q27" s="176"/>
      <c r="R27" s="176"/>
      <c r="S27" s="176"/>
      <c r="T27" s="176"/>
      <c r="U27" s="176"/>
      <c r="V27" s="176"/>
      <c r="W27" s="179"/>
      <c r="X27" s="178" t="s">
        <v>48</v>
      </c>
      <c r="Y27" s="176"/>
      <c r="Z27" s="176"/>
      <c r="AA27" s="176"/>
      <c r="AB27" s="176"/>
      <c r="AC27" s="176"/>
      <c r="AD27" s="176"/>
      <c r="AE27" s="179"/>
      <c r="AF27" s="178"/>
      <c r="AG27" s="176"/>
      <c r="AH27" s="176"/>
      <c r="AI27" s="176"/>
      <c r="AJ27" s="176"/>
      <c r="AK27" s="176"/>
      <c r="AL27" s="176"/>
      <c r="AM27" s="176"/>
      <c r="AN27" s="180"/>
      <c r="AO27" s="172">
        <v>45665</v>
      </c>
      <c r="AP27" s="173"/>
      <c r="AQ27" s="149" t="s">
        <v>143</v>
      </c>
      <c r="AR27" s="151"/>
      <c r="AS27" s="149" t="s">
        <v>148</v>
      </c>
      <c r="AT27" s="174"/>
      <c r="AU27" s="172"/>
      <c r="AV27" s="173"/>
      <c r="AW27" s="149"/>
      <c r="AX27" s="151"/>
      <c r="AY27" s="149"/>
      <c r="AZ27" s="174"/>
      <c r="BA27" s="196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8"/>
      <c r="BM27" s="16"/>
      <c r="BN27" s="16"/>
    </row>
    <row r="28" spans="1:66" ht="54.6" customHeight="1" x14ac:dyDescent="0.45">
      <c r="A28" s="10"/>
      <c r="B28" s="10"/>
      <c r="C28" s="92">
        <f t="shared" si="0"/>
        <v>19</v>
      </c>
      <c r="D28" s="193"/>
      <c r="E28" s="194"/>
      <c r="F28" s="194"/>
      <c r="G28" s="195"/>
      <c r="H28" s="193"/>
      <c r="I28" s="194"/>
      <c r="J28" s="194"/>
      <c r="K28" s="195"/>
      <c r="L28" s="193"/>
      <c r="M28" s="194"/>
      <c r="N28" s="194"/>
      <c r="O28" s="195"/>
      <c r="P28" s="181" t="s">
        <v>50</v>
      </c>
      <c r="Q28" s="182"/>
      <c r="R28" s="182"/>
      <c r="S28" s="182"/>
      <c r="T28" s="182"/>
      <c r="U28" s="182"/>
      <c r="V28" s="182"/>
      <c r="W28" s="183"/>
      <c r="X28" s="178" t="s">
        <v>83</v>
      </c>
      <c r="Y28" s="176"/>
      <c r="Z28" s="176"/>
      <c r="AA28" s="176"/>
      <c r="AB28" s="176"/>
      <c r="AC28" s="176"/>
      <c r="AD28" s="176"/>
      <c r="AE28" s="179"/>
      <c r="AF28" s="178"/>
      <c r="AG28" s="176"/>
      <c r="AH28" s="176"/>
      <c r="AI28" s="176"/>
      <c r="AJ28" s="176"/>
      <c r="AK28" s="176"/>
      <c r="AL28" s="176"/>
      <c r="AM28" s="176"/>
      <c r="AN28" s="180"/>
      <c r="AO28" s="172">
        <v>45665</v>
      </c>
      <c r="AP28" s="173"/>
      <c r="AQ28" s="149" t="s">
        <v>143</v>
      </c>
      <c r="AR28" s="151"/>
      <c r="AS28" s="149" t="s">
        <v>148</v>
      </c>
      <c r="AT28" s="174"/>
      <c r="AU28" s="172"/>
      <c r="AV28" s="173"/>
      <c r="AW28" s="149"/>
      <c r="AX28" s="151"/>
      <c r="AY28" s="149"/>
      <c r="AZ28" s="174"/>
      <c r="BA28" s="196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8"/>
      <c r="BM28" s="16"/>
      <c r="BN28" s="16"/>
    </row>
    <row r="29" spans="1:66" ht="133.19999999999999" customHeight="1" x14ac:dyDescent="0.45">
      <c r="A29" s="10"/>
      <c r="B29" s="10"/>
      <c r="C29" s="92">
        <f t="shared" si="0"/>
        <v>20</v>
      </c>
      <c r="D29" s="193"/>
      <c r="E29" s="194"/>
      <c r="F29" s="194"/>
      <c r="G29" s="195"/>
      <c r="H29" s="193"/>
      <c r="I29" s="194"/>
      <c r="J29" s="194"/>
      <c r="K29" s="195"/>
      <c r="L29" s="184"/>
      <c r="M29" s="185"/>
      <c r="N29" s="185"/>
      <c r="O29" s="186"/>
      <c r="P29" s="184"/>
      <c r="Q29" s="185"/>
      <c r="R29" s="185"/>
      <c r="S29" s="185"/>
      <c r="T29" s="185"/>
      <c r="U29" s="185"/>
      <c r="V29" s="185"/>
      <c r="W29" s="186"/>
      <c r="X29" s="178" t="s">
        <v>84</v>
      </c>
      <c r="Y29" s="176"/>
      <c r="Z29" s="176"/>
      <c r="AA29" s="176"/>
      <c r="AB29" s="176"/>
      <c r="AC29" s="176"/>
      <c r="AD29" s="176"/>
      <c r="AE29" s="179"/>
      <c r="AF29" s="178"/>
      <c r="AG29" s="176"/>
      <c r="AH29" s="176"/>
      <c r="AI29" s="176"/>
      <c r="AJ29" s="176"/>
      <c r="AK29" s="176"/>
      <c r="AL29" s="176"/>
      <c r="AM29" s="176"/>
      <c r="AN29" s="180"/>
      <c r="AO29" s="172">
        <v>45665</v>
      </c>
      <c r="AP29" s="173"/>
      <c r="AQ29" s="149" t="s">
        <v>143</v>
      </c>
      <c r="AR29" s="151"/>
      <c r="AS29" s="149" t="s">
        <v>148</v>
      </c>
      <c r="AT29" s="174"/>
      <c r="AU29" s="172"/>
      <c r="AV29" s="173"/>
      <c r="AW29" s="149"/>
      <c r="AX29" s="151"/>
      <c r="AY29" s="149"/>
      <c r="AZ29" s="174"/>
      <c r="BA29" s="196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8"/>
      <c r="BM29" s="16"/>
      <c r="BN29" s="16"/>
    </row>
    <row r="30" spans="1:66" s="75" customFormat="1" ht="54" customHeight="1" x14ac:dyDescent="0.45">
      <c r="A30" s="76"/>
      <c r="B30" s="76"/>
      <c r="C30" s="92">
        <f t="shared" si="0"/>
        <v>21</v>
      </c>
      <c r="D30" s="80"/>
      <c r="E30" s="81"/>
      <c r="F30" s="81"/>
      <c r="G30" s="82"/>
      <c r="H30" s="80"/>
      <c r="I30" s="81"/>
      <c r="J30" s="81"/>
      <c r="K30" s="82"/>
      <c r="L30" s="181" t="s">
        <v>87</v>
      </c>
      <c r="M30" s="182"/>
      <c r="N30" s="182"/>
      <c r="O30" s="183"/>
      <c r="P30" s="181" t="s">
        <v>88</v>
      </c>
      <c r="Q30" s="182"/>
      <c r="R30" s="182"/>
      <c r="S30" s="182"/>
      <c r="T30" s="182"/>
      <c r="U30" s="182"/>
      <c r="V30" s="182"/>
      <c r="W30" s="183"/>
      <c r="X30" s="178" t="s">
        <v>83</v>
      </c>
      <c r="Y30" s="176"/>
      <c r="Z30" s="176"/>
      <c r="AA30" s="176"/>
      <c r="AB30" s="176"/>
      <c r="AC30" s="176"/>
      <c r="AD30" s="176"/>
      <c r="AE30" s="179"/>
      <c r="AF30" s="83"/>
      <c r="AG30" s="84"/>
      <c r="AH30" s="84"/>
      <c r="AI30" s="84"/>
      <c r="AJ30" s="84"/>
      <c r="AK30" s="84"/>
      <c r="AL30" s="84"/>
      <c r="AM30" s="84"/>
      <c r="AN30" s="89"/>
      <c r="AO30" s="172">
        <v>45665</v>
      </c>
      <c r="AP30" s="173"/>
      <c r="AQ30" s="149" t="s">
        <v>143</v>
      </c>
      <c r="AR30" s="151"/>
      <c r="AS30" s="149" t="s">
        <v>148</v>
      </c>
      <c r="AT30" s="174"/>
      <c r="AU30" s="90"/>
      <c r="AV30" s="91"/>
      <c r="AW30" s="78"/>
      <c r="AX30" s="79"/>
      <c r="AY30" s="78"/>
      <c r="AZ30" s="85"/>
      <c r="BA30" s="86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  <c r="BM30" s="77"/>
      <c r="BN30" s="77"/>
    </row>
    <row r="31" spans="1:66" s="75" customFormat="1" ht="131.4" customHeight="1" x14ac:dyDescent="0.45">
      <c r="A31" s="76"/>
      <c r="B31" s="76"/>
      <c r="C31" s="92">
        <f t="shared" si="0"/>
        <v>22</v>
      </c>
      <c r="D31" s="80"/>
      <c r="E31" s="81"/>
      <c r="F31" s="81"/>
      <c r="G31" s="82"/>
      <c r="H31" s="80"/>
      <c r="I31" s="81"/>
      <c r="J31" s="81"/>
      <c r="K31" s="82"/>
      <c r="L31" s="184"/>
      <c r="M31" s="185"/>
      <c r="N31" s="185"/>
      <c r="O31" s="186"/>
      <c r="P31" s="184"/>
      <c r="Q31" s="185"/>
      <c r="R31" s="185"/>
      <c r="S31" s="185"/>
      <c r="T31" s="185"/>
      <c r="U31" s="185"/>
      <c r="V31" s="185"/>
      <c r="W31" s="186"/>
      <c r="X31" s="178" t="s">
        <v>84</v>
      </c>
      <c r="Y31" s="176"/>
      <c r="Z31" s="176"/>
      <c r="AA31" s="176"/>
      <c r="AB31" s="176"/>
      <c r="AC31" s="176"/>
      <c r="AD31" s="176"/>
      <c r="AE31" s="179"/>
      <c r="AF31" s="83"/>
      <c r="AG31" s="84"/>
      <c r="AH31" s="84"/>
      <c r="AI31" s="84"/>
      <c r="AJ31" s="84"/>
      <c r="AK31" s="84"/>
      <c r="AL31" s="84"/>
      <c r="AM31" s="84"/>
      <c r="AN31" s="89"/>
      <c r="AO31" s="172">
        <v>45665</v>
      </c>
      <c r="AP31" s="173"/>
      <c r="AQ31" s="149" t="s">
        <v>143</v>
      </c>
      <c r="AR31" s="151"/>
      <c r="AS31" s="149" t="s">
        <v>148</v>
      </c>
      <c r="AT31" s="174"/>
      <c r="AU31" s="90"/>
      <c r="AV31" s="91"/>
      <c r="AW31" s="78"/>
      <c r="AX31" s="79"/>
      <c r="AY31" s="78"/>
      <c r="AZ31" s="85"/>
      <c r="BA31" s="86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8"/>
      <c r="BM31" s="77"/>
      <c r="BN31" s="77"/>
    </row>
    <row r="32" spans="1:66" s="35" customFormat="1" ht="50.4" customHeight="1" x14ac:dyDescent="0.45">
      <c r="A32" s="36"/>
      <c r="B32" s="36"/>
      <c r="C32" s="92">
        <f t="shared" si="0"/>
        <v>23</v>
      </c>
      <c r="D32" s="40"/>
      <c r="E32" s="41"/>
      <c r="F32" s="41"/>
      <c r="G32" s="42"/>
      <c r="H32" s="40"/>
      <c r="I32" s="41"/>
      <c r="J32" s="41"/>
      <c r="K32" s="42"/>
      <c r="L32" s="181" t="s">
        <v>82</v>
      </c>
      <c r="M32" s="182"/>
      <c r="N32" s="182"/>
      <c r="O32" s="183"/>
      <c r="P32" s="181" t="s">
        <v>49</v>
      </c>
      <c r="Q32" s="182"/>
      <c r="R32" s="182"/>
      <c r="S32" s="182"/>
      <c r="T32" s="182"/>
      <c r="U32" s="182"/>
      <c r="V32" s="182"/>
      <c r="W32" s="183"/>
      <c r="X32" s="178" t="s">
        <v>86</v>
      </c>
      <c r="Y32" s="176"/>
      <c r="Z32" s="176"/>
      <c r="AA32" s="176"/>
      <c r="AB32" s="176"/>
      <c r="AC32" s="176"/>
      <c r="AD32" s="176"/>
      <c r="AE32" s="179"/>
      <c r="AF32" s="43"/>
      <c r="AG32" s="44"/>
      <c r="AH32" s="44"/>
      <c r="AI32" s="44"/>
      <c r="AJ32" s="44"/>
      <c r="AK32" s="44"/>
      <c r="AL32" s="44"/>
      <c r="AM32" s="44"/>
      <c r="AN32" s="52"/>
      <c r="AO32" s="172">
        <v>45665</v>
      </c>
      <c r="AP32" s="173"/>
      <c r="AQ32" s="149" t="s">
        <v>143</v>
      </c>
      <c r="AR32" s="151"/>
      <c r="AS32" s="149" t="s">
        <v>148</v>
      </c>
      <c r="AT32" s="174"/>
      <c r="AU32" s="53"/>
      <c r="AV32" s="54"/>
      <c r="AW32" s="38"/>
      <c r="AX32" s="39"/>
      <c r="AY32" s="38"/>
      <c r="AZ32" s="48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BM32" s="37"/>
      <c r="BN32" s="37"/>
    </row>
    <row r="33" spans="1:66" s="35" customFormat="1" ht="136.80000000000001" customHeight="1" x14ac:dyDescent="0.45">
      <c r="A33" s="36"/>
      <c r="B33" s="36"/>
      <c r="C33" s="92">
        <f t="shared" si="0"/>
        <v>24</v>
      </c>
      <c r="D33" s="40"/>
      <c r="E33" s="41"/>
      <c r="F33" s="41"/>
      <c r="G33" s="42"/>
      <c r="H33" s="40"/>
      <c r="I33" s="41"/>
      <c r="J33" s="41"/>
      <c r="K33" s="42"/>
      <c r="L33" s="72"/>
      <c r="M33" s="73"/>
      <c r="N33" s="73"/>
      <c r="O33" s="74"/>
      <c r="P33" s="45"/>
      <c r="Q33" s="46"/>
      <c r="R33" s="46"/>
      <c r="S33" s="46"/>
      <c r="T33" s="46"/>
      <c r="U33" s="46"/>
      <c r="V33" s="46"/>
      <c r="W33" s="47"/>
      <c r="X33" s="178" t="s">
        <v>85</v>
      </c>
      <c r="Y33" s="176"/>
      <c r="Z33" s="176"/>
      <c r="AA33" s="176"/>
      <c r="AB33" s="176"/>
      <c r="AC33" s="176"/>
      <c r="AD33" s="176"/>
      <c r="AE33" s="179"/>
      <c r="AF33" s="43"/>
      <c r="AG33" s="44"/>
      <c r="AH33" s="44"/>
      <c r="AI33" s="44"/>
      <c r="AJ33" s="44"/>
      <c r="AK33" s="44"/>
      <c r="AL33" s="44"/>
      <c r="AM33" s="44"/>
      <c r="AN33" s="52"/>
      <c r="AO33" s="172">
        <v>45665</v>
      </c>
      <c r="AP33" s="173"/>
      <c r="AQ33" s="149" t="s">
        <v>143</v>
      </c>
      <c r="AR33" s="151"/>
      <c r="AS33" s="149" t="s">
        <v>148</v>
      </c>
      <c r="AT33" s="174"/>
      <c r="AU33" s="53"/>
      <c r="AV33" s="54"/>
      <c r="AW33" s="38"/>
      <c r="AX33" s="39"/>
      <c r="AY33" s="38"/>
      <c r="AZ33" s="48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1"/>
      <c r="BM33" s="37"/>
      <c r="BN33" s="37"/>
    </row>
    <row r="34" spans="1:66" s="75" customFormat="1" ht="20.399999999999999" customHeight="1" x14ac:dyDescent="0.45">
      <c r="A34" s="76"/>
      <c r="B34" s="76"/>
      <c r="C34" s="92">
        <f t="shared" si="0"/>
        <v>25</v>
      </c>
      <c r="D34" s="80"/>
      <c r="E34" s="81"/>
      <c r="F34" s="81"/>
      <c r="G34" s="82"/>
      <c r="H34" s="80"/>
      <c r="I34" s="81"/>
      <c r="J34" s="81"/>
      <c r="K34" s="82"/>
      <c r="L34" s="187" t="s">
        <v>68</v>
      </c>
      <c r="M34" s="188"/>
      <c r="N34" s="188"/>
      <c r="O34" s="189"/>
      <c r="P34" s="178" t="s">
        <v>89</v>
      </c>
      <c r="Q34" s="176"/>
      <c r="R34" s="176"/>
      <c r="S34" s="176"/>
      <c r="T34" s="176"/>
      <c r="U34" s="176"/>
      <c r="V34" s="176"/>
      <c r="W34" s="179"/>
      <c r="X34" s="178" t="s">
        <v>54</v>
      </c>
      <c r="Y34" s="176"/>
      <c r="Z34" s="176"/>
      <c r="AA34" s="176"/>
      <c r="AB34" s="176"/>
      <c r="AC34" s="176"/>
      <c r="AD34" s="176"/>
      <c r="AE34" s="179"/>
      <c r="AF34" s="83"/>
      <c r="AG34" s="84"/>
      <c r="AH34" s="84"/>
      <c r="AI34" s="84"/>
      <c r="AJ34" s="84"/>
      <c r="AK34" s="84"/>
      <c r="AL34" s="84"/>
      <c r="AM34" s="84"/>
      <c r="AN34" s="89"/>
      <c r="AO34" s="172">
        <v>45665</v>
      </c>
      <c r="AP34" s="173"/>
      <c r="AQ34" s="149" t="s">
        <v>143</v>
      </c>
      <c r="AR34" s="151"/>
      <c r="AS34" s="149" t="s">
        <v>148</v>
      </c>
      <c r="AT34" s="174"/>
      <c r="AU34" s="90"/>
      <c r="AV34" s="91"/>
      <c r="AW34" s="78"/>
      <c r="AX34" s="79"/>
      <c r="AY34" s="78"/>
      <c r="AZ34" s="85"/>
      <c r="BA34" s="86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8"/>
      <c r="BM34" s="77"/>
      <c r="BN34" s="77"/>
    </row>
    <row r="35" spans="1:66" s="75" customFormat="1" ht="20.399999999999999" customHeight="1" x14ac:dyDescent="0.45">
      <c r="A35" s="76"/>
      <c r="B35" s="76"/>
      <c r="C35" s="92">
        <f t="shared" si="0"/>
        <v>26</v>
      </c>
      <c r="D35" s="80"/>
      <c r="E35" s="81"/>
      <c r="F35" s="81"/>
      <c r="G35" s="82"/>
      <c r="H35" s="80"/>
      <c r="I35" s="81"/>
      <c r="J35" s="81"/>
      <c r="K35" s="82"/>
      <c r="L35" s="218"/>
      <c r="M35" s="219"/>
      <c r="N35" s="219"/>
      <c r="O35" s="220"/>
      <c r="P35" s="178" t="s">
        <v>90</v>
      </c>
      <c r="Q35" s="176"/>
      <c r="R35" s="176"/>
      <c r="S35" s="176"/>
      <c r="T35" s="176"/>
      <c r="U35" s="176"/>
      <c r="V35" s="176"/>
      <c r="W35" s="179"/>
      <c r="X35" s="178" t="s">
        <v>54</v>
      </c>
      <c r="Y35" s="176"/>
      <c r="Z35" s="176"/>
      <c r="AA35" s="176"/>
      <c r="AB35" s="176"/>
      <c r="AC35" s="176"/>
      <c r="AD35" s="176"/>
      <c r="AE35" s="179"/>
      <c r="AF35" s="83"/>
      <c r="AG35" s="84"/>
      <c r="AH35" s="84"/>
      <c r="AI35" s="84"/>
      <c r="AJ35" s="84"/>
      <c r="AK35" s="84"/>
      <c r="AL35" s="84"/>
      <c r="AM35" s="84"/>
      <c r="AN35" s="89"/>
      <c r="AO35" s="172">
        <v>45665</v>
      </c>
      <c r="AP35" s="173"/>
      <c r="AQ35" s="149" t="s">
        <v>143</v>
      </c>
      <c r="AR35" s="151"/>
      <c r="AS35" s="149" t="s">
        <v>148</v>
      </c>
      <c r="AT35" s="174"/>
      <c r="AU35" s="90"/>
      <c r="AV35" s="91"/>
      <c r="AW35" s="78"/>
      <c r="AX35" s="79"/>
      <c r="AY35" s="78"/>
      <c r="AZ35" s="85"/>
      <c r="BA35" s="86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8"/>
      <c r="BM35" s="77"/>
      <c r="BN35" s="77"/>
    </row>
    <row r="36" spans="1:66" s="75" customFormat="1" ht="20.399999999999999" customHeight="1" x14ac:dyDescent="0.45">
      <c r="A36" s="76"/>
      <c r="B36" s="76"/>
      <c r="C36" s="92">
        <f t="shared" si="0"/>
        <v>27</v>
      </c>
      <c r="D36" s="80"/>
      <c r="E36" s="81"/>
      <c r="F36" s="81"/>
      <c r="G36" s="82"/>
      <c r="H36" s="80"/>
      <c r="I36" s="81"/>
      <c r="J36" s="81"/>
      <c r="K36" s="82"/>
      <c r="L36" s="190"/>
      <c r="M36" s="191"/>
      <c r="N36" s="191"/>
      <c r="O36" s="192"/>
      <c r="P36" s="178" t="s">
        <v>91</v>
      </c>
      <c r="Q36" s="176"/>
      <c r="R36" s="176"/>
      <c r="S36" s="176"/>
      <c r="T36" s="176"/>
      <c r="U36" s="176"/>
      <c r="V36" s="176"/>
      <c r="W36" s="179"/>
      <c r="X36" s="178" t="s">
        <v>54</v>
      </c>
      <c r="Y36" s="176"/>
      <c r="Z36" s="176"/>
      <c r="AA36" s="176"/>
      <c r="AB36" s="176"/>
      <c r="AC36" s="176"/>
      <c r="AD36" s="176"/>
      <c r="AE36" s="179"/>
      <c r="AF36" s="83"/>
      <c r="AG36" s="84"/>
      <c r="AH36" s="84"/>
      <c r="AI36" s="84"/>
      <c r="AJ36" s="84"/>
      <c r="AK36" s="84"/>
      <c r="AL36" s="84"/>
      <c r="AM36" s="84"/>
      <c r="AN36" s="89"/>
      <c r="AO36" s="172">
        <v>45665</v>
      </c>
      <c r="AP36" s="173"/>
      <c r="AQ36" s="149" t="s">
        <v>143</v>
      </c>
      <c r="AR36" s="151"/>
      <c r="AS36" s="149" t="s">
        <v>147</v>
      </c>
      <c r="AT36" s="174"/>
      <c r="AU36" s="90"/>
      <c r="AV36" s="91"/>
      <c r="AW36" s="78"/>
      <c r="AX36" s="79"/>
      <c r="AY36" s="78"/>
      <c r="AZ36" s="85"/>
      <c r="BA36" s="86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8"/>
      <c r="BM36" s="77"/>
      <c r="BN36" s="77"/>
    </row>
    <row r="37" spans="1:66" s="75" customFormat="1" ht="20.399999999999999" customHeight="1" x14ac:dyDescent="0.45">
      <c r="A37" s="76"/>
      <c r="B37" s="76"/>
      <c r="C37" s="92">
        <f t="shared" si="0"/>
        <v>28</v>
      </c>
      <c r="D37" s="80"/>
      <c r="E37" s="81"/>
      <c r="F37" s="81"/>
      <c r="G37" s="82"/>
      <c r="H37" s="80"/>
      <c r="I37" s="81"/>
      <c r="J37" s="81"/>
      <c r="K37" s="82"/>
      <c r="L37" s="187" t="s">
        <v>69</v>
      </c>
      <c r="M37" s="188"/>
      <c r="N37" s="188"/>
      <c r="O37" s="189"/>
      <c r="P37" s="178" t="s">
        <v>92</v>
      </c>
      <c r="Q37" s="176"/>
      <c r="R37" s="176"/>
      <c r="S37" s="176"/>
      <c r="T37" s="176"/>
      <c r="U37" s="176"/>
      <c r="V37" s="176"/>
      <c r="W37" s="179"/>
      <c r="X37" s="178" t="s">
        <v>54</v>
      </c>
      <c r="Y37" s="176"/>
      <c r="Z37" s="176"/>
      <c r="AA37" s="176"/>
      <c r="AB37" s="176"/>
      <c r="AC37" s="176"/>
      <c r="AD37" s="176"/>
      <c r="AE37" s="179"/>
      <c r="AF37" s="83"/>
      <c r="AG37" s="84"/>
      <c r="AH37" s="84"/>
      <c r="AI37" s="84"/>
      <c r="AJ37" s="84"/>
      <c r="AK37" s="84"/>
      <c r="AL37" s="84"/>
      <c r="AM37" s="84"/>
      <c r="AN37" s="89"/>
      <c r="AO37" s="172">
        <v>45665</v>
      </c>
      <c r="AP37" s="173"/>
      <c r="AQ37" s="149" t="s">
        <v>143</v>
      </c>
      <c r="AR37" s="151"/>
      <c r="AS37" s="149" t="s">
        <v>147</v>
      </c>
      <c r="AT37" s="174"/>
      <c r="AU37" s="90"/>
      <c r="AV37" s="91"/>
      <c r="AW37" s="78"/>
      <c r="AX37" s="79"/>
      <c r="AY37" s="78"/>
      <c r="AZ37" s="85"/>
      <c r="BA37" s="86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8"/>
      <c r="BM37" s="77"/>
      <c r="BN37" s="77"/>
    </row>
    <row r="38" spans="1:66" s="75" customFormat="1" ht="32.4" customHeight="1" x14ac:dyDescent="0.45">
      <c r="A38" s="76"/>
      <c r="B38" s="76"/>
      <c r="C38" s="92">
        <f t="shared" si="0"/>
        <v>29</v>
      </c>
      <c r="D38" s="80"/>
      <c r="E38" s="81"/>
      <c r="F38" s="81"/>
      <c r="G38" s="82"/>
      <c r="H38" s="80"/>
      <c r="I38" s="81"/>
      <c r="J38" s="81"/>
      <c r="K38" s="82"/>
      <c r="L38" s="218"/>
      <c r="M38" s="219"/>
      <c r="N38" s="219"/>
      <c r="O38" s="220"/>
      <c r="P38" s="178" t="s">
        <v>93</v>
      </c>
      <c r="Q38" s="176"/>
      <c r="R38" s="176"/>
      <c r="S38" s="176"/>
      <c r="T38" s="176"/>
      <c r="U38" s="176"/>
      <c r="V38" s="176"/>
      <c r="W38" s="179"/>
      <c r="X38" s="178" t="s">
        <v>54</v>
      </c>
      <c r="Y38" s="176"/>
      <c r="Z38" s="176"/>
      <c r="AA38" s="176"/>
      <c r="AB38" s="176"/>
      <c r="AC38" s="176"/>
      <c r="AD38" s="176"/>
      <c r="AE38" s="179"/>
      <c r="AF38" s="83"/>
      <c r="AG38" s="84"/>
      <c r="AH38" s="84"/>
      <c r="AI38" s="84"/>
      <c r="AJ38" s="84"/>
      <c r="AK38" s="84"/>
      <c r="AL38" s="84"/>
      <c r="AM38" s="84"/>
      <c r="AN38" s="89"/>
      <c r="AO38" s="172">
        <v>45665</v>
      </c>
      <c r="AP38" s="173"/>
      <c r="AQ38" s="149" t="s">
        <v>143</v>
      </c>
      <c r="AR38" s="151"/>
      <c r="AS38" s="149" t="s">
        <v>144</v>
      </c>
      <c r="AT38" s="174"/>
      <c r="AU38" s="172">
        <v>45695</v>
      </c>
      <c r="AV38" s="173"/>
      <c r="AW38" s="149" t="s">
        <v>157</v>
      </c>
      <c r="AX38" s="151"/>
      <c r="AY38" s="149" t="s">
        <v>158</v>
      </c>
      <c r="AZ38" s="174"/>
      <c r="BA38" s="175" t="s">
        <v>152</v>
      </c>
      <c r="BB38" s="176"/>
      <c r="BC38" s="176"/>
      <c r="BD38" s="176"/>
      <c r="BE38" s="176"/>
      <c r="BF38" s="176"/>
      <c r="BG38" s="176"/>
      <c r="BH38" s="176"/>
      <c r="BI38" s="176"/>
      <c r="BJ38" s="176"/>
      <c r="BK38" s="176"/>
      <c r="BL38" s="177"/>
      <c r="BM38" s="77"/>
      <c r="BN38" s="77"/>
    </row>
    <row r="39" spans="1:66" s="75" customFormat="1" ht="25.8" customHeight="1" x14ac:dyDescent="0.45">
      <c r="A39" s="76"/>
      <c r="B39" s="76"/>
      <c r="C39" s="92">
        <f t="shared" si="0"/>
        <v>30</v>
      </c>
      <c r="D39" s="80"/>
      <c r="E39" s="81"/>
      <c r="F39" s="81"/>
      <c r="G39" s="82"/>
      <c r="H39" s="80"/>
      <c r="I39" s="81"/>
      <c r="J39" s="81"/>
      <c r="K39" s="82"/>
      <c r="L39" s="218"/>
      <c r="M39" s="219"/>
      <c r="N39" s="219"/>
      <c r="O39" s="220"/>
      <c r="P39" s="178" t="s">
        <v>89</v>
      </c>
      <c r="Q39" s="176"/>
      <c r="R39" s="176"/>
      <c r="S39" s="176"/>
      <c r="T39" s="176"/>
      <c r="U39" s="176"/>
      <c r="V39" s="176"/>
      <c r="W39" s="179"/>
      <c r="X39" s="178" t="s">
        <v>54</v>
      </c>
      <c r="Y39" s="176"/>
      <c r="Z39" s="176"/>
      <c r="AA39" s="176"/>
      <c r="AB39" s="176"/>
      <c r="AC39" s="176"/>
      <c r="AD39" s="176"/>
      <c r="AE39" s="179"/>
      <c r="AF39" s="83"/>
      <c r="AG39" s="84"/>
      <c r="AH39" s="84"/>
      <c r="AI39" s="84"/>
      <c r="AJ39" s="84"/>
      <c r="AK39" s="84"/>
      <c r="AL39" s="84"/>
      <c r="AM39" s="84"/>
      <c r="AN39" s="89"/>
      <c r="AO39" s="172">
        <v>45665</v>
      </c>
      <c r="AP39" s="173"/>
      <c r="AQ39" s="149" t="s">
        <v>143</v>
      </c>
      <c r="AR39" s="151"/>
      <c r="AS39" s="149" t="s">
        <v>144</v>
      </c>
      <c r="AT39" s="174"/>
      <c r="AU39" s="172">
        <v>45695</v>
      </c>
      <c r="AV39" s="173"/>
      <c r="AW39" s="149" t="s">
        <v>157</v>
      </c>
      <c r="AX39" s="151"/>
      <c r="AY39" s="149" t="s">
        <v>158</v>
      </c>
      <c r="AZ39" s="174"/>
      <c r="BA39" s="175" t="s">
        <v>152</v>
      </c>
      <c r="BB39" s="176"/>
      <c r="BC39" s="176"/>
      <c r="BD39" s="176"/>
      <c r="BE39" s="176"/>
      <c r="BF39" s="176"/>
      <c r="BG39" s="176"/>
      <c r="BH39" s="176"/>
      <c r="BI39" s="176"/>
      <c r="BJ39" s="176"/>
      <c r="BK39" s="176"/>
      <c r="BL39" s="177"/>
      <c r="BM39" s="77"/>
      <c r="BN39" s="77"/>
    </row>
    <row r="40" spans="1:66" s="75" customFormat="1" ht="25.2" customHeight="1" x14ac:dyDescent="0.45">
      <c r="A40" s="76"/>
      <c r="B40" s="76"/>
      <c r="C40" s="92">
        <f t="shared" si="0"/>
        <v>31</v>
      </c>
      <c r="D40" s="80"/>
      <c r="E40" s="81"/>
      <c r="F40" s="81"/>
      <c r="G40" s="82"/>
      <c r="H40" s="80"/>
      <c r="I40" s="81"/>
      <c r="J40" s="81"/>
      <c r="K40" s="82"/>
      <c r="L40" s="190"/>
      <c r="M40" s="191"/>
      <c r="N40" s="191"/>
      <c r="O40" s="192"/>
      <c r="P40" s="178" t="s">
        <v>90</v>
      </c>
      <c r="Q40" s="176"/>
      <c r="R40" s="176"/>
      <c r="S40" s="176"/>
      <c r="T40" s="176"/>
      <c r="U40" s="176"/>
      <c r="V40" s="176"/>
      <c r="W40" s="179"/>
      <c r="X40" s="178" t="s">
        <v>54</v>
      </c>
      <c r="Y40" s="176"/>
      <c r="Z40" s="176"/>
      <c r="AA40" s="176"/>
      <c r="AB40" s="176"/>
      <c r="AC40" s="176"/>
      <c r="AD40" s="176"/>
      <c r="AE40" s="179"/>
      <c r="AF40" s="83"/>
      <c r="AG40" s="84"/>
      <c r="AH40" s="84"/>
      <c r="AI40" s="84"/>
      <c r="AJ40" s="84"/>
      <c r="AK40" s="84"/>
      <c r="AL40" s="84"/>
      <c r="AM40" s="84"/>
      <c r="AN40" s="89"/>
      <c r="AO40" s="172">
        <v>45665</v>
      </c>
      <c r="AP40" s="173"/>
      <c r="AQ40" s="149" t="s">
        <v>143</v>
      </c>
      <c r="AR40" s="151"/>
      <c r="AS40" s="149" t="s">
        <v>144</v>
      </c>
      <c r="AT40" s="174"/>
      <c r="AU40" s="172">
        <v>45695</v>
      </c>
      <c r="AV40" s="173"/>
      <c r="AW40" s="149" t="s">
        <v>157</v>
      </c>
      <c r="AX40" s="151"/>
      <c r="AY40" s="149" t="s">
        <v>158</v>
      </c>
      <c r="AZ40" s="174"/>
      <c r="BA40" s="175" t="s">
        <v>152</v>
      </c>
      <c r="BB40" s="176"/>
      <c r="BC40" s="176"/>
      <c r="BD40" s="176"/>
      <c r="BE40" s="176"/>
      <c r="BF40" s="176"/>
      <c r="BG40" s="176"/>
      <c r="BH40" s="176"/>
      <c r="BI40" s="176"/>
      <c r="BJ40" s="176"/>
      <c r="BK40" s="176"/>
      <c r="BL40" s="177"/>
      <c r="BM40" s="77"/>
      <c r="BN40" s="77"/>
    </row>
    <row r="41" spans="1:66" s="75" customFormat="1" ht="20.399999999999999" customHeight="1" x14ac:dyDescent="0.45">
      <c r="A41" s="76"/>
      <c r="B41" s="76"/>
      <c r="C41" s="92">
        <f t="shared" si="0"/>
        <v>32</v>
      </c>
      <c r="D41" s="80"/>
      <c r="E41" s="81"/>
      <c r="F41" s="81"/>
      <c r="G41" s="82"/>
      <c r="H41" s="80"/>
      <c r="I41" s="81"/>
      <c r="J41" s="81"/>
      <c r="K41" s="82"/>
      <c r="L41" s="181" t="s">
        <v>70</v>
      </c>
      <c r="M41" s="182"/>
      <c r="N41" s="182"/>
      <c r="O41" s="183"/>
      <c r="P41" s="178" t="s">
        <v>92</v>
      </c>
      <c r="Q41" s="176"/>
      <c r="R41" s="176"/>
      <c r="S41" s="176"/>
      <c r="T41" s="176"/>
      <c r="U41" s="176"/>
      <c r="V41" s="176"/>
      <c r="W41" s="179"/>
      <c r="X41" s="178" t="s">
        <v>54</v>
      </c>
      <c r="Y41" s="176"/>
      <c r="Z41" s="176"/>
      <c r="AA41" s="176"/>
      <c r="AB41" s="176"/>
      <c r="AC41" s="176"/>
      <c r="AD41" s="176"/>
      <c r="AE41" s="179"/>
      <c r="AF41" s="83"/>
      <c r="AG41" s="84"/>
      <c r="AH41" s="84"/>
      <c r="AI41" s="84"/>
      <c r="AJ41" s="84"/>
      <c r="AK41" s="84"/>
      <c r="AL41" s="84"/>
      <c r="AM41" s="84"/>
      <c r="AN41" s="89"/>
      <c r="AO41" s="172">
        <v>45665</v>
      </c>
      <c r="AP41" s="173"/>
      <c r="AQ41" s="149" t="s">
        <v>143</v>
      </c>
      <c r="AR41" s="151"/>
      <c r="AS41" s="149" t="s">
        <v>147</v>
      </c>
      <c r="AT41" s="174"/>
      <c r="AU41" s="90"/>
      <c r="AV41" s="91"/>
      <c r="AW41" s="78"/>
      <c r="AX41" s="79"/>
      <c r="AY41" s="78"/>
      <c r="AZ41" s="85"/>
      <c r="BA41" s="86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BM41" s="77"/>
      <c r="BN41" s="77"/>
    </row>
    <row r="42" spans="1:66" s="75" customFormat="1" ht="20.399999999999999" customHeight="1" x14ac:dyDescent="0.45">
      <c r="A42" s="76"/>
      <c r="B42" s="76"/>
      <c r="C42" s="92">
        <f t="shared" si="0"/>
        <v>33</v>
      </c>
      <c r="D42" s="80"/>
      <c r="E42" s="81"/>
      <c r="F42" s="81"/>
      <c r="G42" s="82"/>
      <c r="H42" s="80"/>
      <c r="I42" s="81"/>
      <c r="J42" s="81"/>
      <c r="K42" s="82"/>
      <c r="L42" s="184"/>
      <c r="M42" s="185"/>
      <c r="N42" s="185"/>
      <c r="O42" s="186"/>
      <c r="P42" s="178" t="s">
        <v>93</v>
      </c>
      <c r="Q42" s="176"/>
      <c r="R42" s="176"/>
      <c r="S42" s="176"/>
      <c r="T42" s="176"/>
      <c r="U42" s="176"/>
      <c r="V42" s="176"/>
      <c r="W42" s="179"/>
      <c r="X42" s="178" t="s">
        <v>54</v>
      </c>
      <c r="Y42" s="176"/>
      <c r="Z42" s="176"/>
      <c r="AA42" s="176"/>
      <c r="AB42" s="176"/>
      <c r="AC42" s="176"/>
      <c r="AD42" s="176"/>
      <c r="AE42" s="179"/>
      <c r="AF42" s="83"/>
      <c r="AG42" s="84"/>
      <c r="AH42" s="84"/>
      <c r="AI42" s="84"/>
      <c r="AJ42" s="84"/>
      <c r="AK42" s="84"/>
      <c r="AL42" s="84"/>
      <c r="AM42" s="84"/>
      <c r="AN42" s="89"/>
      <c r="AO42" s="172">
        <v>45665</v>
      </c>
      <c r="AP42" s="173"/>
      <c r="AQ42" s="149" t="s">
        <v>143</v>
      </c>
      <c r="AR42" s="151"/>
      <c r="AS42" s="149" t="s">
        <v>147</v>
      </c>
      <c r="AT42" s="174"/>
      <c r="AU42" s="90"/>
      <c r="AV42" s="91"/>
      <c r="AW42" s="78"/>
      <c r="AX42" s="79"/>
      <c r="AY42" s="78"/>
      <c r="AZ42" s="85"/>
      <c r="BA42" s="86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8"/>
      <c r="BM42" s="77"/>
      <c r="BN42" s="77"/>
    </row>
    <row r="43" spans="1:66" s="75" customFormat="1" ht="20.399999999999999" customHeight="1" x14ac:dyDescent="0.45">
      <c r="A43" s="76"/>
      <c r="B43" s="76"/>
      <c r="C43" s="92">
        <f t="shared" si="0"/>
        <v>34</v>
      </c>
      <c r="D43" s="80"/>
      <c r="E43" s="81"/>
      <c r="F43" s="81"/>
      <c r="G43" s="82"/>
      <c r="H43" s="80"/>
      <c r="I43" s="81"/>
      <c r="J43" s="81"/>
      <c r="K43" s="82"/>
      <c r="L43" s="187" t="s">
        <v>71</v>
      </c>
      <c r="M43" s="188"/>
      <c r="N43" s="188"/>
      <c r="O43" s="189"/>
      <c r="P43" s="178" t="s">
        <v>92</v>
      </c>
      <c r="Q43" s="176"/>
      <c r="R43" s="176"/>
      <c r="S43" s="176"/>
      <c r="T43" s="176"/>
      <c r="U43" s="176"/>
      <c r="V43" s="176"/>
      <c r="W43" s="179"/>
      <c r="X43" s="178" t="s">
        <v>54</v>
      </c>
      <c r="Y43" s="176"/>
      <c r="Z43" s="176"/>
      <c r="AA43" s="176"/>
      <c r="AB43" s="176"/>
      <c r="AC43" s="176"/>
      <c r="AD43" s="176"/>
      <c r="AE43" s="179"/>
      <c r="AF43" s="83"/>
      <c r="AG43" s="84"/>
      <c r="AH43" s="84"/>
      <c r="AI43" s="84"/>
      <c r="AJ43" s="84"/>
      <c r="AK43" s="84"/>
      <c r="AL43" s="84"/>
      <c r="AM43" s="84"/>
      <c r="AN43" s="89"/>
      <c r="AO43" s="172">
        <v>45665</v>
      </c>
      <c r="AP43" s="173"/>
      <c r="AQ43" s="149" t="s">
        <v>143</v>
      </c>
      <c r="AR43" s="151"/>
      <c r="AS43" s="149" t="s">
        <v>147</v>
      </c>
      <c r="AT43" s="174"/>
      <c r="AU43" s="90"/>
      <c r="AV43" s="91"/>
      <c r="AW43" s="78"/>
      <c r="AX43" s="79"/>
      <c r="AY43" s="78"/>
      <c r="AZ43" s="85"/>
      <c r="BA43" s="86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8"/>
      <c r="BM43" s="77"/>
      <c r="BN43" s="77"/>
    </row>
    <row r="44" spans="1:66" s="75" customFormat="1" ht="20.399999999999999" customHeight="1" x14ac:dyDescent="0.45">
      <c r="A44" s="76"/>
      <c r="B44" s="76"/>
      <c r="C44" s="92">
        <f t="shared" si="0"/>
        <v>35</v>
      </c>
      <c r="D44" s="80"/>
      <c r="E44" s="81"/>
      <c r="F44" s="81"/>
      <c r="G44" s="82"/>
      <c r="H44" s="110"/>
      <c r="I44" s="111"/>
      <c r="J44" s="111"/>
      <c r="K44" s="112"/>
      <c r="L44" s="190"/>
      <c r="M44" s="191"/>
      <c r="N44" s="191"/>
      <c r="O44" s="192"/>
      <c r="P44" s="178" t="s">
        <v>93</v>
      </c>
      <c r="Q44" s="176"/>
      <c r="R44" s="176"/>
      <c r="S44" s="176"/>
      <c r="T44" s="176"/>
      <c r="U44" s="176"/>
      <c r="V44" s="176"/>
      <c r="W44" s="179"/>
      <c r="X44" s="178" t="s">
        <v>54</v>
      </c>
      <c r="Y44" s="176"/>
      <c r="Z44" s="176"/>
      <c r="AA44" s="176"/>
      <c r="AB44" s="176"/>
      <c r="AC44" s="176"/>
      <c r="AD44" s="176"/>
      <c r="AE44" s="179"/>
      <c r="AF44" s="83"/>
      <c r="AG44" s="84"/>
      <c r="AH44" s="84"/>
      <c r="AI44" s="84"/>
      <c r="AJ44" s="84"/>
      <c r="AK44" s="84"/>
      <c r="AL44" s="84"/>
      <c r="AM44" s="84"/>
      <c r="AN44" s="89"/>
      <c r="AO44" s="172">
        <v>45665</v>
      </c>
      <c r="AP44" s="173"/>
      <c r="AQ44" s="149" t="s">
        <v>143</v>
      </c>
      <c r="AR44" s="151"/>
      <c r="AS44" s="149" t="s">
        <v>147</v>
      </c>
      <c r="AT44" s="174"/>
      <c r="AU44" s="90"/>
      <c r="AV44" s="91"/>
      <c r="AW44" s="78"/>
      <c r="AX44" s="79"/>
      <c r="AY44" s="78"/>
      <c r="AZ44" s="85"/>
      <c r="BA44" s="86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8"/>
      <c r="BM44" s="77"/>
      <c r="BN44" s="77"/>
    </row>
    <row r="45" spans="1:66" s="75" customFormat="1" ht="20.399999999999999" customHeight="1" x14ac:dyDescent="0.45">
      <c r="A45" s="76"/>
      <c r="B45" s="76"/>
      <c r="C45" s="92">
        <f t="shared" si="0"/>
        <v>36</v>
      </c>
      <c r="D45" s="135"/>
      <c r="E45" s="136"/>
      <c r="F45" s="136"/>
      <c r="G45" s="137"/>
      <c r="H45" s="135"/>
      <c r="I45" s="136"/>
      <c r="J45" s="136"/>
      <c r="K45" s="137"/>
      <c r="L45" s="181" t="s">
        <v>57</v>
      </c>
      <c r="M45" s="182"/>
      <c r="N45" s="182"/>
      <c r="O45" s="183"/>
      <c r="P45" s="181" t="s">
        <v>58</v>
      </c>
      <c r="Q45" s="182"/>
      <c r="R45" s="182"/>
      <c r="S45" s="182"/>
      <c r="T45" s="182"/>
      <c r="U45" s="182"/>
      <c r="V45" s="182"/>
      <c r="W45" s="183"/>
      <c r="X45" s="178" t="s">
        <v>136</v>
      </c>
      <c r="Y45" s="176"/>
      <c r="Z45" s="176"/>
      <c r="AA45" s="176"/>
      <c r="AB45" s="176"/>
      <c r="AC45" s="176"/>
      <c r="AD45" s="176"/>
      <c r="AE45" s="179"/>
      <c r="AF45" s="126"/>
      <c r="AG45" s="127"/>
      <c r="AH45" s="127"/>
      <c r="AI45" s="127"/>
      <c r="AJ45" s="127"/>
      <c r="AK45" s="127"/>
      <c r="AL45" s="127"/>
      <c r="AM45" s="127"/>
      <c r="AN45" s="128"/>
      <c r="AO45" s="172">
        <v>45665</v>
      </c>
      <c r="AP45" s="173"/>
      <c r="AQ45" s="149" t="s">
        <v>143</v>
      </c>
      <c r="AR45" s="151"/>
      <c r="AS45" s="149" t="s">
        <v>147</v>
      </c>
      <c r="AT45" s="174"/>
      <c r="AU45" s="132"/>
      <c r="AV45" s="133"/>
      <c r="AW45" s="125"/>
      <c r="AX45" s="124"/>
      <c r="AY45" s="125"/>
      <c r="AZ45" s="134"/>
      <c r="BA45" s="129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1"/>
      <c r="BM45" s="77"/>
      <c r="BN45" s="77"/>
    </row>
    <row r="46" spans="1:66" s="75" customFormat="1" ht="20.399999999999999" customHeight="1" x14ac:dyDescent="0.45">
      <c r="A46" s="76"/>
      <c r="B46" s="76"/>
      <c r="C46" s="92">
        <f t="shared" si="0"/>
        <v>37</v>
      </c>
      <c r="D46" s="110"/>
      <c r="E46" s="111"/>
      <c r="F46" s="111"/>
      <c r="G46" s="112"/>
      <c r="H46" s="103"/>
      <c r="I46" s="104"/>
      <c r="J46" s="104"/>
      <c r="K46" s="105"/>
      <c r="L46" s="178" t="s">
        <v>118</v>
      </c>
      <c r="M46" s="176"/>
      <c r="N46" s="176"/>
      <c r="O46" s="179"/>
      <c r="P46" s="178" t="s">
        <v>119</v>
      </c>
      <c r="Q46" s="176"/>
      <c r="R46" s="176"/>
      <c r="S46" s="176"/>
      <c r="T46" s="176"/>
      <c r="U46" s="176"/>
      <c r="V46" s="176"/>
      <c r="W46" s="179"/>
      <c r="X46" s="178" t="s">
        <v>159</v>
      </c>
      <c r="Y46" s="176"/>
      <c r="Z46" s="176"/>
      <c r="AA46" s="176"/>
      <c r="AB46" s="176"/>
      <c r="AC46" s="176"/>
      <c r="AD46" s="176"/>
      <c r="AE46" s="179"/>
      <c r="AF46" s="101"/>
      <c r="AG46" s="102"/>
      <c r="AH46" s="102"/>
      <c r="AI46" s="102"/>
      <c r="AJ46" s="102"/>
      <c r="AK46" s="102"/>
      <c r="AL46" s="102"/>
      <c r="AM46" s="102"/>
      <c r="AN46" s="106"/>
      <c r="AO46" s="172">
        <v>45665</v>
      </c>
      <c r="AP46" s="173"/>
      <c r="AQ46" s="149" t="s">
        <v>143</v>
      </c>
      <c r="AR46" s="151"/>
      <c r="AS46" s="149" t="s">
        <v>148</v>
      </c>
      <c r="AT46" s="174"/>
      <c r="AU46" s="172"/>
      <c r="AV46" s="173"/>
      <c r="AW46" s="149"/>
      <c r="AX46" s="151"/>
      <c r="AY46" s="149"/>
      <c r="AZ46" s="174"/>
      <c r="BA46" s="107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9"/>
      <c r="BM46" s="77"/>
      <c r="BN46" s="77"/>
    </row>
    <row r="47" spans="1:66" ht="26.4" customHeight="1" x14ac:dyDescent="0.45">
      <c r="A47" s="10"/>
      <c r="B47" s="10"/>
      <c r="C47" s="92">
        <f t="shared" si="0"/>
        <v>38</v>
      </c>
      <c r="D47" s="193"/>
      <c r="E47" s="194"/>
      <c r="F47" s="194"/>
      <c r="G47" s="195"/>
      <c r="H47" s="193" t="s">
        <v>51</v>
      </c>
      <c r="I47" s="194"/>
      <c r="J47" s="194"/>
      <c r="K47" s="195"/>
      <c r="L47" s="178" t="s">
        <v>66</v>
      </c>
      <c r="M47" s="176"/>
      <c r="N47" s="176"/>
      <c r="O47" s="179"/>
      <c r="P47" s="178" t="s">
        <v>52</v>
      </c>
      <c r="Q47" s="176"/>
      <c r="R47" s="176"/>
      <c r="S47" s="176"/>
      <c r="T47" s="176"/>
      <c r="U47" s="176"/>
      <c r="V47" s="176"/>
      <c r="W47" s="179"/>
      <c r="X47" s="178" t="s">
        <v>53</v>
      </c>
      <c r="Y47" s="176"/>
      <c r="Z47" s="176"/>
      <c r="AA47" s="176"/>
      <c r="AB47" s="176"/>
      <c r="AC47" s="176"/>
      <c r="AD47" s="176"/>
      <c r="AE47" s="179"/>
      <c r="AF47" s="178"/>
      <c r="AG47" s="176"/>
      <c r="AH47" s="176"/>
      <c r="AI47" s="176"/>
      <c r="AJ47" s="176"/>
      <c r="AK47" s="176"/>
      <c r="AL47" s="176"/>
      <c r="AM47" s="176"/>
      <c r="AN47" s="180"/>
      <c r="AO47" s="172">
        <v>45665</v>
      </c>
      <c r="AP47" s="173"/>
      <c r="AQ47" s="149" t="s">
        <v>143</v>
      </c>
      <c r="AR47" s="151"/>
      <c r="AS47" s="149" t="s">
        <v>147</v>
      </c>
      <c r="AT47" s="174"/>
      <c r="AU47" s="172"/>
      <c r="AV47" s="173"/>
      <c r="AW47" s="149"/>
      <c r="AX47" s="151"/>
      <c r="AY47" s="149"/>
      <c r="AZ47" s="174"/>
      <c r="BA47" s="196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8"/>
      <c r="BM47" s="16"/>
      <c r="BN47" s="16"/>
    </row>
    <row r="48" spans="1:66" s="75" customFormat="1" ht="26.4" customHeight="1" x14ac:dyDescent="0.45">
      <c r="A48" s="76"/>
      <c r="B48" s="76"/>
      <c r="C48" s="92">
        <f t="shared" si="0"/>
        <v>39</v>
      </c>
      <c r="D48" s="80"/>
      <c r="E48" s="81"/>
      <c r="F48" s="81"/>
      <c r="G48" s="82"/>
      <c r="H48" s="80"/>
      <c r="I48" s="81"/>
      <c r="J48" s="81"/>
      <c r="K48" s="82"/>
      <c r="L48" s="178" t="s">
        <v>67</v>
      </c>
      <c r="M48" s="176"/>
      <c r="N48" s="176"/>
      <c r="O48" s="179"/>
      <c r="P48" s="178" t="s">
        <v>52</v>
      </c>
      <c r="Q48" s="176"/>
      <c r="R48" s="176"/>
      <c r="S48" s="176"/>
      <c r="T48" s="176"/>
      <c r="U48" s="176"/>
      <c r="V48" s="176"/>
      <c r="W48" s="179"/>
      <c r="X48" s="178" t="s">
        <v>53</v>
      </c>
      <c r="Y48" s="176"/>
      <c r="Z48" s="176"/>
      <c r="AA48" s="176"/>
      <c r="AB48" s="176"/>
      <c r="AC48" s="176"/>
      <c r="AD48" s="176"/>
      <c r="AE48" s="179"/>
      <c r="AF48" s="83"/>
      <c r="AG48" s="84"/>
      <c r="AH48" s="84"/>
      <c r="AI48" s="84"/>
      <c r="AJ48" s="84"/>
      <c r="AK48" s="84"/>
      <c r="AL48" s="84"/>
      <c r="AM48" s="84"/>
      <c r="AN48" s="89"/>
      <c r="AO48" s="172">
        <v>45665</v>
      </c>
      <c r="AP48" s="173"/>
      <c r="AQ48" s="149" t="s">
        <v>143</v>
      </c>
      <c r="AR48" s="151"/>
      <c r="AS48" s="149" t="s">
        <v>147</v>
      </c>
      <c r="AT48" s="174"/>
      <c r="AU48" s="90"/>
      <c r="AV48" s="91"/>
      <c r="AW48" s="78"/>
      <c r="AX48" s="79"/>
      <c r="AY48" s="78"/>
      <c r="AZ48" s="85"/>
      <c r="BA48" s="86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8"/>
      <c r="BM48" s="77"/>
      <c r="BN48" s="77"/>
    </row>
    <row r="49" spans="1:66" s="75" customFormat="1" ht="26.4" customHeight="1" x14ac:dyDescent="0.45">
      <c r="A49" s="76"/>
      <c r="B49" s="76"/>
      <c r="C49" s="92">
        <f t="shared" si="0"/>
        <v>40</v>
      </c>
      <c r="D49" s="80"/>
      <c r="E49" s="81"/>
      <c r="F49" s="81"/>
      <c r="G49" s="82"/>
      <c r="H49" s="80"/>
      <c r="I49" s="81"/>
      <c r="J49" s="81"/>
      <c r="K49" s="82"/>
      <c r="L49" s="178" t="s">
        <v>78</v>
      </c>
      <c r="M49" s="176"/>
      <c r="N49" s="176"/>
      <c r="O49" s="179"/>
      <c r="P49" s="178" t="s">
        <v>52</v>
      </c>
      <c r="Q49" s="176"/>
      <c r="R49" s="176"/>
      <c r="S49" s="176"/>
      <c r="T49" s="176"/>
      <c r="U49" s="176"/>
      <c r="V49" s="176"/>
      <c r="W49" s="179"/>
      <c r="X49" s="178" t="s">
        <v>53</v>
      </c>
      <c r="Y49" s="176"/>
      <c r="Z49" s="176"/>
      <c r="AA49" s="176"/>
      <c r="AB49" s="176"/>
      <c r="AC49" s="176"/>
      <c r="AD49" s="176"/>
      <c r="AE49" s="179"/>
      <c r="AF49" s="83"/>
      <c r="AG49" s="84"/>
      <c r="AH49" s="84"/>
      <c r="AI49" s="84"/>
      <c r="AJ49" s="84"/>
      <c r="AK49" s="84"/>
      <c r="AL49" s="84"/>
      <c r="AM49" s="84"/>
      <c r="AN49" s="89"/>
      <c r="AO49" s="172">
        <v>45665</v>
      </c>
      <c r="AP49" s="173"/>
      <c r="AQ49" s="149" t="s">
        <v>143</v>
      </c>
      <c r="AR49" s="151"/>
      <c r="AS49" s="149" t="s">
        <v>147</v>
      </c>
      <c r="AT49" s="174"/>
      <c r="AU49" s="90"/>
      <c r="AV49" s="91"/>
      <c r="AW49" s="78"/>
      <c r="AX49" s="79"/>
      <c r="AY49" s="78"/>
      <c r="AZ49" s="85"/>
      <c r="BA49" s="86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8"/>
      <c r="BM49" s="77"/>
      <c r="BN49" s="77"/>
    </row>
    <row r="50" spans="1:66" ht="26.4" customHeight="1" x14ac:dyDescent="0.45">
      <c r="A50" s="10"/>
      <c r="B50" s="10"/>
      <c r="C50" s="92">
        <f t="shared" si="0"/>
        <v>41</v>
      </c>
      <c r="D50" s="193"/>
      <c r="E50" s="194"/>
      <c r="F50" s="194"/>
      <c r="G50" s="195"/>
      <c r="H50" s="193"/>
      <c r="I50" s="194"/>
      <c r="J50" s="194"/>
      <c r="K50" s="195"/>
      <c r="L50" s="184" t="s">
        <v>94</v>
      </c>
      <c r="M50" s="185"/>
      <c r="N50" s="185"/>
      <c r="O50" s="186"/>
      <c r="P50" s="178" t="s">
        <v>52</v>
      </c>
      <c r="Q50" s="176"/>
      <c r="R50" s="176"/>
      <c r="S50" s="176"/>
      <c r="T50" s="176"/>
      <c r="U50" s="176"/>
      <c r="V50" s="176"/>
      <c r="W50" s="179"/>
      <c r="X50" s="178" t="s">
        <v>53</v>
      </c>
      <c r="Y50" s="176"/>
      <c r="Z50" s="176"/>
      <c r="AA50" s="176"/>
      <c r="AB50" s="176"/>
      <c r="AC50" s="176"/>
      <c r="AD50" s="176"/>
      <c r="AE50" s="179"/>
      <c r="AF50" s="178"/>
      <c r="AG50" s="176"/>
      <c r="AH50" s="176"/>
      <c r="AI50" s="176"/>
      <c r="AJ50" s="176"/>
      <c r="AK50" s="176"/>
      <c r="AL50" s="176"/>
      <c r="AM50" s="176"/>
      <c r="AN50" s="180"/>
      <c r="AO50" s="172">
        <v>45665</v>
      </c>
      <c r="AP50" s="173"/>
      <c r="AQ50" s="149" t="s">
        <v>143</v>
      </c>
      <c r="AR50" s="151"/>
      <c r="AS50" s="149" t="s">
        <v>147</v>
      </c>
      <c r="AT50" s="174"/>
      <c r="AU50" s="172"/>
      <c r="AV50" s="173"/>
      <c r="AW50" s="149"/>
      <c r="AX50" s="151"/>
      <c r="AY50" s="149"/>
      <c r="AZ50" s="174"/>
      <c r="BA50" s="196"/>
      <c r="BB50" s="197"/>
      <c r="BC50" s="197"/>
      <c r="BD50" s="197"/>
      <c r="BE50" s="197"/>
      <c r="BF50" s="197"/>
      <c r="BG50" s="197"/>
      <c r="BH50" s="197"/>
      <c r="BI50" s="197"/>
      <c r="BJ50" s="197"/>
      <c r="BK50" s="197"/>
      <c r="BL50" s="198"/>
      <c r="BM50" s="16"/>
      <c r="BN50" s="16"/>
    </row>
    <row r="51" spans="1:66" ht="26.4" customHeight="1" x14ac:dyDescent="0.45">
      <c r="A51" s="10"/>
      <c r="B51" s="10"/>
      <c r="C51" s="92">
        <f t="shared" si="0"/>
        <v>42</v>
      </c>
      <c r="D51" s="193"/>
      <c r="E51" s="194"/>
      <c r="F51" s="194"/>
      <c r="G51" s="195"/>
      <c r="H51" s="193"/>
      <c r="I51" s="194"/>
      <c r="J51" s="194"/>
      <c r="K51" s="195"/>
      <c r="L51" s="178" t="s">
        <v>68</v>
      </c>
      <c r="M51" s="176"/>
      <c r="N51" s="176"/>
      <c r="O51" s="179"/>
      <c r="P51" s="178" t="s">
        <v>52</v>
      </c>
      <c r="Q51" s="176"/>
      <c r="R51" s="176"/>
      <c r="S51" s="176"/>
      <c r="T51" s="176"/>
      <c r="U51" s="176"/>
      <c r="V51" s="176"/>
      <c r="W51" s="179"/>
      <c r="X51" s="178" t="s">
        <v>53</v>
      </c>
      <c r="Y51" s="176"/>
      <c r="Z51" s="176"/>
      <c r="AA51" s="176"/>
      <c r="AB51" s="176"/>
      <c r="AC51" s="176"/>
      <c r="AD51" s="176"/>
      <c r="AE51" s="179"/>
      <c r="AF51" s="178"/>
      <c r="AG51" s="176"/>
      <c r="AH51" s="176"/>
      <c r="AI51" s="176"/>
      <c r="AJ51" s="176"/>
      <c r="AK51" s="176"/>
      <c r="AL51" s="176"/>
      <c r="AM51" s="176"/>
      <c r="AN51" s="180"/>
      <c r="AO51" s="172">
        <v>45665</v>
      </c>
      <c r="AP51" s="173"/>
      <c r="AQ51" s="149" t="s">
        <v>143</v>
      </c>
      <c r="AR51" s="151"/>
      <c r="AS51" s="149" t="s">
        <v>147</v>
      </c>
      <c r="AT51" s="174"/>
      <c r="AU51" s="172"/>
      <c r="AV51" s="173"/>
      <c r="AW51" s="149"/>
      <c r="AX51" s="151"/>
      <c r="AY51" s="149"/>
      <c r="AZ51" s="174"/>
      <c r="BA51" s="196"/>
      <c r="BB51" s="197"/>
      <c r="BC51" s="197"/>
      <c r="BD51" s="197"/>
      <c r="BE51" s="197"/>
      <c r="BF51" s="197"/>
      <c r="BG51" s="197"/>
      <c r="BH51" s="197"/>
      <c r="BI51" s="197"/>
      <c r="BJ51" s="197"/>
      <c r="BK51" s="197"/>
      <c r="BL51" s="198"/>
      <c r="BM51" s="16"/>
      <c r="BN51" s="16"/>
    </row>
    <row r="52" spans="1:66" ht="26.4" customHeight="1" x14ac:dyDescent="0.45">
      <c r="A52" s="10"/>
      <c r="B52" s="10"/>
      <c r="C52" s="92">
        <f t="shared" si="0"/>
        <v>43</v>
      </c>
      <c r="D52" s="193"/>
      <c r="E52" s="194"/>
      <c r="F52" s="194"/>
      <c r="G52" s="195"/>
      <c r="H52" s="193"/>
      <c r="I52" s="194"/>
      <c r="J52" s="194"/>
      <c r="K52" s="195"/>
      <c r="L52" s="178" t="s">
        <v>69</v>
      </c>
      <c r="M52" s="176"/>
      <c r="N52" s="176"/>
      <c r="O52" s="179"/>
      <c r="P52" s="178" t="s">
        <v>52</v>
      </c>
      <c r="Q52" s="176"/>
      <c r="R52" s="176"/>
      <c r="S52" s="176"/>
      <c r="T52" s="176"/>
      <c r="U52" s="176"/>
      <c r="V52" s="176"/>
      <c r="W52" s="179"/>
      <c r="X52" s="178" t="s">
        <v>53</v>
      </c>
      <c r="Y52" s="176"/>
      <c r="Z52" s="176"/>
      <c r="AA52" s="176"/>
      <c r="AB52" s="176"/>
      <c r="AC52" s="176"/>
      <c r="AD52" s="176"/>
      <c r="AE52" s="179"/>
      <c r="AF52" s="178"/>
      <c r="AG52" s="176"/>
      <c r="AH52" s="176"/>
      <c r="AI52" s="176"/>
      <c r="AJ52" s="176"/>
      <c r="AK52" s="176"/>
      <c r="AL52" s="176"/>
      <c r="AM52" s="176"/>
      <c r="AN52" s="180"/>
      <c r="AO52" s="172">
        <v>45665</v>
      </c>
      <c r="AP52" s="173"/>
      <c r="AQ52" s="149" t="s">
        <v>143</v>
      </c>
      <c r="AR52" s="151"/>
      <c r="AS52" s="149" t="s">
        <v>151</v>
      </c>
      <c r="AT52" s="174"/>
      <c r="AU52" s="172">
        <v>45695</v>
      </c>
      <c r="AV52" s="173"/>
      <c r="AW52" s="149" t="s">
        <v>157</v>
      </c>
      <c r="AX52" s="151"/>
      <c r="AY52" s="149" t="s">
        <v>158</v>
      </c>
      <c r="AZ52" s="174"/>
      <c r="BA52" s="196" t="s">
        <v>154</v>
      </c>
      <c r="BB52" s="197"/>
      <c r="BC52" s="197"/>
      <c r="BD52" s="197"/>
      <c r="BE52" s="197"/>
      <c r="BF52" s="197"/>
      <c r="BG52" s="197"/>
      <c r="BH52" s="197"/>
      <c r="BI52" s="197"/>
      <c r="BJ52" s="197"/>
      <c r="BK52" s="197"/>
      <c r="BL52" s="198"/>
      <c r="BM52" s="16"/>
      <c r="BN52" s="16"/>
    </row>
    <row r="53" spans="1:66" ht="26.4" customHeight="1" x14ac:dyDescent="0.45">
      <c r="A53" s="10"/>
      <c r="B53" s="10"/>
      <c r="C53" s="92">
        <f t="shared" si="0"/>
        <v>44</v>
      </c>
      <c r="D53" s="193"/>
      <c r="E53" s="194"/>
      <c r="F53" s="194"/>
      <c r="G53" s="195"/>
      <c r="H53" s="193"/>
      <c r="I53" s="194"/>
      <c r="J53" s="194"/>
      <c r="K53" s="195"/>
      <c r="L53" s="178" t="s">
        <v>70</v>
      </c>
      <c r="M53" s="176"/>
      <c r="N53" s="176"/>
      <c r="O53" s="179"/>
      <c r="P53" s="178" t="s">
        <v>52</v>
      </c>
      <c r="Q53" s="176"/>
      <c r="R53" s="176"/>
      <c r="S53" s="176"/>
      <c r="T53" s="176"/>
      <c r="U53" s="176"/>
      <c r="V53" s="176"/>
      <c r="W53" s="179"/>
      <c r="X53" s="178" t="s">
        <v>53</v>
      </c>
      <c r="Y53" s="176"/>
      <c r="Z53" s="176"/>
      <c r="AA53" s="176"/>
      <c r="AB53" s="176"/>
      <c r="AC53" s="176"/>
      <c r="AD53" s="176"/>
      <c r="AE53" s="179"/>
      <c r="AF53" s="178"/>
      <c r="AG53" s="176"/>
      <c r="AH53" s="176"/>
      <c r="AI53" s="176"/>
      <c r="AJ53" s="176"/>
      <c r="AK53" s="176"/>
      <c r="AL53" s="176"/>
      <c r="AM53" s="176"/>
      <c r="AN53" s="180"/>
      <c r="AO53" s="172">
        <v>45665</v>
      </c>
      <c r="AP53" s="173"/>
      <c r="AQ53" s="149" t="s">
        <v>143</v>
      </c>
      <c r="AR53" s="151"/>
      <c r="AS53" s="149" t="s">
        <v>151</v>
      </c>
      <c r="AT53" s="174"/>
      <c r="AU53" s="172">
        <v>45695</v>
      </c>
      <c r="AV53" s="173"/>
      <c r="AW53" s="149" t="s">
        <v>157</v>
      </c>
      <c r="AX53" s="151"/>
      <c r="AY53" s="149" t="s">
        <v>158</v>
      </c>
      <c r="AZ53" s="174"/>
      <c r="BA53" s="196" t="s">
        <v>155</v>
      </c>
      <c r="BB53" s="197"/>
      <c r="BC53" s="197"/>
      <c r="BD53" s="197"/>
      <c r="BE53" s="197"/>
      <c r="BF53" s="197"/>
      <c r="BG53" s="197"/>
      <c r="BH53" s="197"/>
      <c r="BI53" s="197"/>
      <c r="BJ53" s="197"/>
      <c r="BK53" s="197"/>
      <c r="BL53" s="198"/>
      <c r="BM53" s="16"/>
      <c r="BN53" s="16"/>
    </row>
    <row r="54" spans="1:66" s="55" customFormat="1" ht="26.4" customHeight="1" x14ac:dyDescent="0.45">
      <c r="A54" s="56"/>
      <c r="B54" s="56"/>
      <c r="C54" s="92">
        <f t="shared" si="0"/>
        <v>45</v>
      </c>
      <c r="D54" s="60"/>
      <c r="E54" s="61"/>
      <c r="F54" s="61"/>
      <c r="G54" s="62"/>
      <c r="H54" s="60"/>
      <c r="I54" s="61"/>
      <c r="J54" s="61"/>
      <c r="K54" s="62"/>
      <c r="L54" s="178" t="s">
        <v>71</v>
      </c>
      <c r="M54" s="176"/>
      <c r="N54" s="176"/>
      <c r="O54" s="179"/>
      <c r="P54" s="178" t="s">
        <v>52</v>
      </c>
      <c r="Q54" s="176"/>
      <c r="R54" s="176"/>
      <c r="S54" s="176"/>
      <c r="T54" s="176"/>
      <c r="U54" s="176"/>
      <c r="V54" s="176"/>
      <c r="W54" s="179"/>
      <c r="X54" s="178" t="s">
        <v>53</v>
      </c>
      <c r="Y54" s="176"/>
      <c r="Z54" s="176"/>
      <c r="AA54" s="176"/>
      <c r="AB54" s="176"/>
      <c r="AC54" s="176"/>
      <c r="AD54" s="176"/>
      <c r="AE54" s="179"/>
      <c r="AF54" s="63"/>
      <c r="AG54" s="64"/>
      <c r="AH54" s="64"/>
      <c r="AI54" s="64"/>
      <c r="AJ54" s="64"/>
      <c r="AK54" s="64"/>
      <c r="AL54" s="64"/>
      <c r="AM54" s="64"/>
      <c r="AN54" s="69"/>
      <c r="AO54" s="172">
        <v>45665</v>
      </c>
      <c r="AP54" s="173"/>
      <c r="AQ54" s="149" t="s">
        <v>143</v>
      </c>
      <c r="AR54" s="151"/>
      <c r="AS54" s="149" t="s">
        <v>151</v>
      </c>
      <c r="AT54" s="174"/>
      <c r="AU54" s="172">
        <v>45695</v>
      </c>
      <c r="AV54" s="173"/>
      <c r="AW54" s="149" t="s">
        <v>157</v>
      </c>
      <c r="AX54" s="151"/>
      <c r="AY54" s="149" t="s">
        <v>158</v>
      </c>
      <c r="AZ54" s="174"/>
      <c r="BA54" s="144" t="s">
        <v>153</v>
      </c>
      <c r="BB54" s="145"/>
      <c r="BC54" s="67"/>
      <c r="BD54" s="67"/>
      <c r="BE54" s="67"/>
      <c r="BF54" s="67"/>
      <c r="BG54" s="67"/>
      <c r="BH54" s="67"/>
      <c r="BI54" s="67"/>
      <c r="BJ54" s="67"/>
      <c r="BK54" s="67"/>
      <c r="BL54" s="68"/>
      <c r="BM54" s="57"/>
      <c r="BN54" s="57"/>
    </row>
    <row r="55" spans="1:66" ht="28.2" customHeight="1" x14ac:dyDescent="0.45">
      <c r="A55" s="10"/>
      <c r="B55" s="10"/>
      <c r="C55" s="92">
        <f t="shared" si="0"/>
        <v>46</v>
      </c>
      <c r="D55" s="193"/>
      <c r="E55" s="194"/>
      <c r="F55" s="194"/>
      <c r="G55" s="195"/>
      <c r="H55" s="193"/>
      <c r="I55" s="194"/>
      <c r="J55" s="194"/>
      <c r="K55" s="195"/>
      <c r="L55" s="178" t="s">
        <v>72</v>
      </c>
      <c r="M55" s="176"/>
      <c r="N55" s="176"/>
      <c r="O55" s="179"/>
      <c r="P55" s="178" t="s">
        <v>52</v>
      </c>
      <c r="Q55" s="176"/>
      <c r="R55" s="176"/>
      <c r="S55" s="176"/>
      <c r="T55" s="176"/>
      <c r="U55" s="176"/>
      <c r="V55" s="176"/>
      <c r="W55" s="179"/>
      <c r="X55" s="178" t="s">
        <v>53</v>
      </c>
      <c r="Y55" s="176"/>
      <c r="Z55" s="176"/>
      <c r="AA55" s="176"/>
      <c r="AB55" s="176"/>
      <c r="AC55" s="176"/>
      <c r="AD55" s="176"/>
      <c r="AE55" s="179"/>
      <c r="AF55" s="178"/>
      <c r="AG55" s="176"/>
      <c r="AH55" s="176"/>
      <c r="AI55" s="176"/>
      <c r="AJ55" s="176"/>
      <c r="AK55" s="176"/>
      <c r="AL55" s="176"/>
      <c r="AM55" s="176"/>
      <c r="AN55" s="180"/>
      <c r="AO55" s="172">
        <v>45665</v>
      </c>
      <c r="AP55" s="173"/>
      <c r="AQ55" s="149" t="s">
        <v>143</v>
      </c>
      <c r="AR55" s="151"/>
      <c r="AS55" s="149" t="s">
        <v>147</v>
      </c>
      <c r="AT55" s="174"/>
      <c r="AU55" s="172"/>
      <c r="AV55" s="173"/>
      <c r="AW55" s="149"/>
      <c r="AX55" s="151"/>
      <c r="AY55" s="149"/>
      <c r="AZ55" s="174"/>
      <c r="BA55" s="196"/>
      <c r="BB55" s="197"/>
      <c r="BC55" s="197"/>
      <c r="BD55" s="197"/>
      <c r="BE55" s="197"/>
      <c r="BF55" s="197"/>
      <c r="BG55" s="197"/>
      <c r="BH55" s="197"/>
      <c r="BI55" s="197"/>
      <c r="BJ55" s="197"/>
      <c r="BK55" s="197"/>
      <c r="BL55" s="198"/>
      <c r="BM55" s="16"/>
      <c r="BN55" s="16"/>
    </row>
    <row r="56" spans="1:66" s="55" customFormat="1" ht="29.4" customHeight="1" thickBot="1" x14ac:dyDescent="0.5">
      <c r="A56" s="56"/>
      <c r="B56" s="56"/>
      <c r="C56" s="92">
        <f t="shared" si="0"/>
        <v>47</v>
      </c>
      <c r="D56" s="72"/>
      <c r="E56" s="73"/>
      <c r="F56" s="73"/>
      <c r="G56" s="74"/>
      <c r="H56" s="72"/>
      <c r="I56" s="73"/>
      <c r="J56" s="73"/>
      <c r="K56" s="74"/>
      <c r="L56" s="178" t="s">
        <v>95</v>
      </c>
      <c r="M56" s="176"/>
      <c r="N56" s="176"/>
      <c r="O56" s="179"/>
      <c r="P56" s="178" t="s">
        <v>96</v>
      </c>
      <c r="Q56" s="176"/>
      <c r="R56" s="176"/>
      <c r="S56" s="176"/>
      <c r="T56" s="176"/>
      <c r="U56" s="176"/>
      <c r="V56" s="176"/>
      <c r="W56" s="179"/>
      <c r="X56" s="178" t="s">
        <v>97</v>
      </c>
      <c r="Y56" s="176"/>
      <c r="Z56" s="176"/>
      <c r="AA56" s="176"/>
      <c r="AB56" s="176"/>
      <c r="AC56" s="176"/>
      <c r="AD56" s="176"/>
      <c r="AE56" s="179"/>
      <c r="AF56" s="63"/>
      <c r="AG56" s="64"/>
      <c r="AH56" s="64"/>
      <c r="AI56" s="64"/>
      <c r="AJ56" s="64"/>
      <c r="AK56" s="64"/>
      <c r="AL56" s="64"/>
      <c r="AM56" s="64"/>
      <c r="AN56" s="69"/>
      <c r="AO56" s="172">
        <v>45665</v>
      </c>
      <c r="AP56" s="173"/>
      <c r="AQ56" s="149" t="s">
        <v>143</v>
      </c>
      <c r="AR56" s="151"/>
      <c r="AS56" s="149" t="s">
        <v>147</v>
      </c>
      <c r="AT56" s="174"/>
      <c r="AU56" s="70"/>
      <c r="AV56" s="71"/>
      <c r="AW56" s="58"/>
      <c r="AX56" s="59"/>
      <c r="AY56" s="58"/>
      <c r="AZ56" s="65"/>
      <c r="BA56" s="66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8"/>
      <c r="BM56" s="57"/>
      <c r="BN56" s="57"/>
    </row>
    <row r="57" spans="1:66" ht="20.100000000000001" customHeight="1" thickTop="1" thickBot="1" x14ac:dyDescent="0.5">
      <c r="A57" s="1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8"/>
      <c r="BN57" s="16"/>
    </row>
    <row r="58" spans="1:66" ht="5.0999999999999996" customHeight="1" thickTop="1" x14ac:dyDescent="0.4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</row>
    <row r="59" spans="1:66" ht="20.100000000000001" customHeight="1" x14ac:dyDescent="0.45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</sheetData>
  <mergeCells count="464">
    <mergeCell ref="AU39:AV39"/>
    <mergeCell ref="AW39:AX39"/>
    <mergeCell ref="AY39:AZ39"/>
    <mergeCell ref="AU40:AV40"/>
    <mergeCell ref="AW40:AX40"/>
    <mergeCell ref="AY40:AZ40"/>
    <mergeCell ref="AU46:AV46"/>
    <mergeCell ref="AW46:AX46"/>
    <mergeCell ref="AY46:AZ46"/>
    <mergeCell ref="AU20:AV20"/>
    <mergeCell ref="AW20:AX20"/>
    <mergeCell ref="AY20:AZ20"/>
    <mergeCell ref="AU22:AV22"/>
    <mergeCell ref="AW22:AX22"/>
    <mergeCell ref="AY22:AZ22"/>
    <mergeCell ref="AU38:AV38"/>
    <mergeCell ref="AW38:AX38"/>
    <mergeCell ref="AY38:AZ38"/>
    <mergeCell ref="AU14:AV14"/>
    <mergeCell ref="AW14:AX14"/>
    <mergeCell ref="AY14:AZ14"/>
    <mergeCell ref="AU15:AV15"/>
    <mergeCell ref="AW15:AX15"/>
    <mergeCell ref="AY15:AZ15"/>
    <mergeCell ref="AU18:AV18"/>
    <mergeCell ref="AW18:AX18"/>
    <mergeCell ref="AY18:AZ18"/>
    <mergeCell ref="L45:O45"/>
    <mergeCell ref="P45:W45"/>
    <mergeCell ref="X45:AE45"/>
    <mergeCell ref="X46:AE46"/>
    <mergeCell ref="P56:W56"/>
    <mergeCell ref="X56:AE56"/>
    <mergeCell ref="X39:AE39"/>
    <mergeCell ref="X40:AE40"/>
    <mergeCell ref="X42:AE42"/>
    <mergeCell ref="L48:O48"/>
    <mergeCell ref="L49:O49"/>
    <mergeCell ref="P48:W48"/>
    <mergeCell ref="P49:W49"/>
    <mergeCell ref="X48:AE48"/>
    <mergeCell ref="X49:AE49"/>
    <mergeCell ref="X54:AE54"/>
    <mergeCell ref="L55:O55"/>
    <mergeCell ref="P54:W54"/>
    <mergeCell ref="P53:W53"/>
    <mergeCell ref="X53:AE53"/>
    <mergeCell ref="P47:W47"/>
    <mergeCell ref="P51:W51"/>
    <mergeCell ref="X47:AE47"/>
    <mergeCell ref="X51:AE51"/>
    <mergeCell ref="P50:W50"/>
    <mergeCell ref="X50:AE50"/>
    <mergeCell ref="L46:O46"/>
    <mergeCell ref="P46:W46"/>
    <mergeCell ref="X30:AE30"/>
    <mergeCell ref="L30:O31"/>
    <mergeCell ref="P30:W31"/>
    <mergeCell ref="X31:AE31"/>
    <mergeCell ref="P41:W41"/>
    <mergeCell ref="X37:AE37"/>
    <mergeCell ref="X41:AE41"/>
    <mergeCell ref="L34:O36"/>
    <mergeCell ref="P35:W35"/>
    <mergeCell ref="P36:W36"/>
    <mergeCell ref="P38:W38"/>
    <mergeCell ref="P39:W39"/>
    <mergeCell ref="P40:W40"/>
    <mergeCell ref="L37:O40"/>
    <mergeCell ref="L41:O42"/>
    <mergeCell ref="X38:AE38"/>
    <mergeCell ref="X33:AE33"/>
    <mergeCell ref="X32:AE32"/>
    <mergeCell ref="P34:W34"/>
    <mergeCell ref="X34:AE34"/>
    <mergeCell ref="AF18:AN18"/>
    <mergeCell ref="AF20:AN20"/>
    <mergeCell ref="AF22:AN22"/>
    <mergeCell ref="L14:O14"/>
    <mergeCell ref="L15:O15"/>
    <mergeCell ref="P14:W14"/>
    <mergeCell ref="P15:W15"/>
    <mergeCell ref="X14:AE14"/>
    <mergeCell ref="X15:AE15"/>
    <mergeCell ref="P20:W20"/>
    <mergeCell ref="P22:W22"/>
    <mergeCell ref="X18:AE18"/>
    <mergeCell ref="X20:AE20"/>
    <mergeCell ref="L17:O17"/>
    <mergeCell ref="L19:O19"/>
    <mergeCell ref="P19:W19"/>
    <mergeCell ref="X19:AE19"/>
    <mergeCell ref="AF19:AN19"/>
    <mergeCell ref="L21:O21"/>
    <mergeCell ref="P21:W21"/>
    <mergeCell ref="X21:AE21"/>
    <mergeCell ref="AF21:AN21"/>
    <mergeCell ref="X22:AE2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8:AT8"/>
    <mergeCell ref="AO9:AP9"/>
    <mergeCell ref="AQ9:AR9"/>
    <mergeCell ref="AS9:AT9"/>
    <mergeCell ref="AU9:AV9"/>
    <mergeCell ref="AW9:AX9"/>
    <mergeCell ref="H10:K10"/>
    <mergeCell ref="H11:K11"/>
    <mergeCell ref="H12:K12"/>
    <mergeCell ref="AQ10:AR10"/>
    <mergeCell ref="AS10:AT10"/>
    <mergeCell ref="AU10:AV10"/>
    <mergeCell ref="AW10:AX10"/>
    <mergeCell ref="L10:O10"/>
    <mergeCell ref="L11:O11"/>
    <mergeCell ref="L12:O12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P10:W10"/>
    <mergeCell ref="X10:AE10"/>
    <mergeCell ref="AF10:AN10"/>
    <mergeCell ref="AO10:AP10"/>
    <mergeCell ref="AX2:BA2"/>
    <mergeCell ref="BB2:BE2"/>
    <mergeCell ref="BF2:BI2"/>
    <mergeCell ref="BJ2:BM2"/>
    <mergeCell ref="AU8:AZ8"/>
    <mergeCell ref="BG8:BH8"/>
    <mergeCell ref="BI8:BJ8"/>
    <mergeCell ref="BK8:BL8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Y10:AZ10"/>
    <mergeCell ref="BA12:BL12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0:BL10"/>
    <mergeCell ref="P11:W11"/>
    <mergeCell ref="X11:AE11"/>
    <mergeCell ref="BA16:BL16"/>
    <mergeCell ref="P24:W24"/>
    <mergeCell ref="AO24:AP24"/>
    <mergeCell ref="AQ24:AR24"/>
    <mergeCell ref="AS24:AT24"/>
    <mergeCell ref="AU24:AV24"/>
    <mergeCell ref="AW24:AX24"/>
    <mergeCell ref="AY24:AZ24"/>
    <mergeCell ref="BA24:BL24"/>
    <mergeCell ref="P16:W16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X24:AE24"/>
    <mergeCell ref="AF24:AN24"/>
    <mergeCell ref="P18:W18"/>
    <mergeCell ref="P17:W17"/>
    <mergeCell ref="X17:AE17"/>
    <mergeCell ref="AF17:AN17"/>
    <mergeCell ref="AO26:AP26"/>
    <mergeCell ref="AQ26:AR26"/>
    <mergeCell ref="AS26:AT26"/>
    <mergeCell ref="AU26:AV26"/>
    <mergeCell ref="AW26:AX26"/>
    <mergeCell ref="AY26:AZ26"/>
    <mergeCell ref="BA26:BL26"/>
    <mergeCell ref="X25:AE25"/>
    <mergeCell ref="AF25:AN25"/>
    <mergeCell ref="AO25:AP25"/>
    <mergeCell ref="AQ25:AR25"/>
    <mergeCell ref="AS25:AT25"/>
    <mergeCell ref="AU25:AV25"/>
    <mergeCell ref="AW25:AX25"/>
    <mergeCell ref="AY25:AZ25"/>
    <mergeCell ref="BA25:BL25"/>
    <mergeCell ref="X26:AE26"/>
    <mergeCell ref="AF26:AN26"/>
    <mergeCell ref="AO28:AP28"/>
    <mergeCell ref="AQ28:AR28"/>
    <mergeCell ref="AS28:AT28"/>
    <mergeCell ref="AU28:AV28"/>
    <mergeCell ref="AW28:AX28"/>
    <mergeCell ref="AY28:AZ28"/>
    <mergeCell ref="BA28:BL28"/>
    <mergeCell ref="AF27:AN27"/>
    <mergeCell ref="AO27:AP27"/>
    <mergeCell ref="AQ27:AR27"/>
    <mergeCell ref="AS27:AT27"/>
    <mergeCell ref="AU27:AV27"/>
    <mergeCell ref="AW27:AX27"/>
    <mergeCell ref="AY27:AZ27"/>
    <mergeCell ref="BA27:BL27"/>
    <mergeCell ref="AF28:AN28"/>
    <mergeCell ref="BA29:BL29"/>
    <mergeCell ref="AF29:AN29"/>
    <mergeCell ref="AO29:AP29"/>
    <mergeCell ref="AQ29:AR29"/>
    <mergeCell ref="AS29:AT29"/>
    <mergeCell ref="AU29:AV29"/>
    <mergeCell ref="AW29:AX29"/>
    <mergeCell ref="AY29:AZ29"/>
    <mergeCell ref="P29:W29"/>
    <mergeCell ref="X29:AE29"/>
    <mergeCell ref="BA51:BL51"/>
    <mergeCell ref="AF51:AN51"/>
    <mergeCell ref="AO51:AP51"/>
    <mergeCell ref="AQ51:AR51"/>
    <mergeCell ref="AS51:AT51"/>
    <mergeCell ref="AU51:AV51"/>
    <mergeCell ref="AW51:AX51"/>
    <mergeCell ref="AY51:AZ51"/>
    <mergeCell ref="BA47:BL47"/>
    <mergeCell ref="AF50:AN50"/>
    <mergeCell ref="AO50:AP50"/>
    <mergeCell ref="AQ50:AR50"/>
    <mergeCell ref="AS50:AT50"/>
    <mergeCell ref="AU50:AV50"/>
    <mergeCell ref="AW50:AX50"/>
    <mergeCell ref="AY50:AZ50"/>
    <mergeCell ref="BA50:BL50"/>
    <mergeCell ref="AF47:AN47"/>
    <mergeCell ref="AO47:AP47"/>
    <mergeCell ref="AQ47:AR47"/>
    <mergeCell ref="AS47:AT47"/>
    <mergeCell ref="AU47:AV47"/>
    <mergeCell ref="AW47:AX47"/>
    <mergeCell ref="AY47:AZ47"/>
    <mergeCell ref="BA52:BL52"/>
    <mergeCell ref="P52:W52"/>
    <mergeCell ref="X52:AE52"/>
    <mergeCell ref="AF52:AN52"/>
    <mergeCell ref="AO52:AP52"/>
    <mergeCell ref="AQ52:AR52"/>
    <mergeCell ref="AS52:AT52"/>
    <mergeCell ref="AU52:AV52"/>
    <mergeCell ref="AW52:AX52"/>
    <mergeCell ref="AY52:AZ52"/>
    <mergeCell ref="AY55:AZ55"/>
    <mergeCell ref="BA55:BL55"/>
    <mergeCell ref="AY53:AZ53"/>
    <mergeCell ref="BA53:BL53"/>
    <mergeCell ref="P55:W55"/>
    <mergeCell ref="X55:AE55"/>
    <mergeCell ref="AF55:AN55"/>
    <mergeCell ref="AO55:AP55"/>
    <mergeCell ref="AQ55:AR55"/>
    <mergeCell ref="AS55:AT55"/>
    <mergeCell ref="AU55:AV55"/>
    <mergeCell ref="AW55:AX55"/>
    <mergeCell ref="AF53:AN53"/>
    <mergeCell ref="AO53:AP53"/>
    <mergeCell ref="AQ53:AR53"/>
    <mergeCell ref="AS53:AT53"/>
    <mergeCell ref="AU53:AV53"/>
    <mergeCell ref="AW53:AX53"/>
    <mergeCell ref="AO54:AP54"/>
    <mergeCell ref="AQ54:AR54"/>
    <mergeCell ref="AS54:AT54"/>
    <mergeCell ref="AU54:AV54"/>
    <mergeCell ref="AW54:AX54"/>
    <mergeCell ref="AY54:AZ54"/>
    <mergeCell ref="H16:K16"/>
    <mergeCell ref="D47:G47"/>
    <mergeCell ref="D50:G50"/>
    <mergeCell ref="D51:G51"/>
    <mergeCell ref="D27:G27"/>
    <mergeCell ref="D28:G28"/>
    <mergeCell ref="D29:G29"/>
    <mergeCell ref="D10:G10"/>
    <mergeCell ref="D11:G11"/>
    <mergeCell ref="D12:G12"/>
    <mergeCell ref="D13:G13"/>
    <mergeCell ref="D16:G16"/>
    <mergeCell ref="D24:G24"/>
    <mergeCell ref="D25:G25"/>
    <mergeCell ref="D26:G26"/>
    <mergeCell ref="H24:K24"/>
    <mergeCell ref="H26:K26"/>
    <mergeCell ref="H27:K27"/>
    <mergeCell ref="H28:K28"/>
    <mergeCell ref="H29:K29"/>
    <mergeCell ref="H25:K25"/>
    <mergeCell ref="H13:K13"/>
    <mergeCell ref="L53:O53"/>
    <mergeCell ref="L47:O47"/>
    <mergeCell ref="L51:O51"/>
    <mergeCell ref="L52:O52"/>
    <mergeCell ref="L50:O50"/>
    <mergeCell ref="L54:O54"/>
    <mergeCell ref="L56:O56"/>
    <mergeCell ref="D52:G52"/>
    <mergeCell ref="D53:G53"/>
    <mergeCell ref="D55:G55"/>
    <mergeCell ref="H47:K47"/>
    <mergeCell ref="H55:K55"/>
    <mergeCell ref="H50:K50"/>
    <mergeCell ref="H51:K51"/>
    <mergeCell ref="H52:K52"/>
    <mergeCell ref="H53:K53"/>
    <mergeCell ref="L13:O13"/>
    <mergeCell ref="L16:O16"/>
    <mergeCell ref="L24:O24"/>
    <mergeCell ref="L25:O26"/>
    <mergeCell ref="L27:O27"/>
    <mergeCell ref="L28:O28"/>
    <mergeCell ref="L18:O18"/>
    <mergeCell ref="L20:O20"/>
    <mergeCell ref="L22:O22"/>
    <mergeCell ref="L23:O23"/>
    <mergeCell ref="P23:W23"/>
    <mergeCell ref="X23:AE23"/>
    <mergeCell ref="AF23:AN23"/>
    <mergeCell ref="X44:AE44"/>
    <mergeCell ref="X43:AE43"/>
    <mergeCell ref="P28:W28"/>
    <mergeCell ref="P43:W43"/>
    <mergeCell ref="P42:W42"/>
    <mergeCell ref="L29:O29"/>
    <mergeCell ref="L32:O32"/>
    <mergeCell ref="L43:O44"/>
    <mergeCell ref="P44:W44"/>
    <mergeCell ref="X28:AE28"/>
    <mergeCell ref="P27:W27"/>
    <mergeCell ref="X27:AE27"/>
    <mergeCell ref="P37:W37"/>
    <mergeCell ref="P25:W26"/>
    <mergeCell ref="X36:AE36"/>
    <mergeCell ref="X35:AE35"/>
    <mergeCell ref="P32:W32"/>
    <mergeCell ref="AO14:AP14"/>
    <mergeCell ref="AQ14:AR14"/>
    <mergeCell ref="AS14:AT14"/>
    <mergeCell ref="AO15:AP15"/>
    <mergeCell ref="AQ15:AR15"/>
    <mergeCell ref="AS15:AT15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1:AP21"/>
    <mergeCell ref="AQ21:AR21"/>
    <mergeCell ref="AS21:AT21"/>
    <mergeCell ref="AO23:AP23"/>
    <mergeCell ref="AQ23:AR23"/>
    <mergeCell ref="AS23:AT23"/>
    <mergeCell ref="AO20:AP20"/>
    <mergeCell ref="AQ20:AR20"/>
    <mergeCell ref="AS20:AT20"/>
    <mergeCell ref="AO22:AP22"/>
    <mergeCell ref="AQ22:AR22"/>
    <mergeCell ref="AS22:AT22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45:AP45"/>
    <mergeCell ref="AQ45:AR45"/>
    <mergeCell ref="AS45:AT45"/>
    <mergeCell ref="AO36:AP36"/>
    <mergeCell ref="AQ36:AR36"/>
    <mergeCell ref="AS36:AT36"/>
    <mergeCell ref="AO41:AP41"/>
    <mergeCell ref="AQ41:AR41"/>
    <mergeCell ref="AS41:AT41"/>
    <mergeCell ref="AO42:AP42"/>
    <mergeCell ref="AQ42:AR42"/>
    <mergeCell ref="AS42:AT42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56:AP56"/>
    <mergeCell ref="AQ56:AR56"/>
    <mergeCell ref="AS56:AT56"/>
    <mergeCell ref="BA38:BL38"/>
    <mergeCell ref="BA39:BL39"/>
    <mergeCell ref="BA40:BL40"/>
    <mergeCell ref="AO48:AP48"/>
    <mergeCell ref="AQ48:AR48"/>
    <mergeCell ref="AS48:AT48"/>
    <mergeCell ref="AO49:AP49"/>
    <mergeCell ref="AQ49:AR49"/>
    <mergeCell ref="AS49:AT49"/>
    <mergeCell ref="AO46:AP46"/>
    <mergeCell ref="AQ46:AR46"/>
    <mergeCell ref="AS46:AT46"/>
    <mergeCell ref="AO40:AP40"/>
    <mergeCell ref="AQ40:AR40"/>
    <mergeCell ref="AS40:AT40"/>
    <mergeCell ref="AO43:AP43"/>
    <mergeCell ref="AQ43:AR43"/>
    <mergeCell ref="AS43:AT43"/>
    <mergeCell ref="AO44:AP44"/>
    <mergeCell ref="AQ44:AR44"/>
    <mergeCell ref="AS44:AT44"/>
  </mergeCells>
  <phoneticPr fontId="2"/>
  <conditionalFormatting sqref="AS10 AY10 AY47:AY51 AS25 AS36 AY17 AY19 AY21 AY23 AY25:AY37 AY41:AY45 AY55:AY56">
    <cfRule type="cellIs" dxfId="211" priority="131" operator="equal">
      <formula>"OK"</formula>
    </cfRule>
    <cfRule type="cellIs" dxfId="210" priority="132" operator="equal">
      <formula>"NG"</formula>
    </cfRule>
  </conditionalFormatting>
  <conditionalFormatting sqref="AS11">
    <cfRule type="cellIs" dxfId="209" priority="123" operator="equal">
      <formula>"OK"</formula>
    </cfRule>
    <cfRule type="cellIs" dxfId="208" priority="124" operator="equal">
      <formula>"NG"</formula>
    </cfRule>
  </conditionalFormatting>
  <conditionalFormatting sqref="AS12">
    <cfRule type="cellIs" dxfId="207" priority="121" operator="equal">
      <formula>"OK"</formula>
    </cfRule>
    <cfRule type="cellIs" dxfId="206" priority="122" operator="equal">
      <formula>"NG"</formula>
    </cfRule>
  </conditionalFormatting>
  <conditionalFormatting sqref="AS13">
    <cfRule type="cellIs" dxfId="205" priority="119" operator="equal">
      <formula>"OK"</formula>
    </cfRule>
    <cfRule type="cellIs" dxfId="204" priority="120" operator="equal">
      <formula>"NG"</formula>
    </cfRule>
  </conditionalFormatting>
  <conditionalFormatting sqref="AS14">
    <cfRule type="cellIs" dxfId="203" priority="117" operator="equal">
      <formula>"OK"</formula>
    </cfRule>
    <cfRule type="cellIs" dxfId="202" priority="118" operator="equal">
      <formula>"NG"</formula>
    </cfRule>
  </conditionalFormatting>
  <conditionalFormatting sqref="AS15">
    <cfRule type="cellIs" dxfId="201" priority="115" operator="equal">
      <formula>"OK"</formula>
    </cfRule>
    <cfRule type="cellIs" dxfId="200" priority="116" operator="equal">
      <formula>"NG"</formula>
    </cfRule>
  </conditionalFormatting>
  <conditionalFormatting sqref="AS16">
    <cfRule type="cellIs" dxfId="199" priority="113" operator="equal">
      <formula>"OK"</formula>
    </cfRule>
    <cfRule type="cellIs" dxfId="198" priority="114" operator="equal">
      <formula>"NG"</formula>
    </cfRule>
  </conditionalFormatting>
  <conditionalFormatting sqref="AS17">
    <cfRule type="cellIs" dxfId="197" priority="111" operator="equal">
      <formula>"OK"</formula>
    </cfRule>
    <cfRule type="cellIs" dxfId="196" priority="112" operator="equal">
      <formula>"NG"</formula>
    </cfRule>
  </conditionalFormatting>
  <conditionalFormatting sqref="AS18">
    <cfRule type="cellIs" dxfId="195" priority="109" operator="equal">
      <formula>"OK"</formula>
    </cfRule>
    <cfRule type="cellIs" dxfId="194" priority="110" operator="equal">
      <formula>"NG"</formula>
    </cfRule>
  </conditionalFormatting>
  <conditionalFormatting sqref="AS19">
    <cfRule type="cellIs" dxfId="193" priority="107" operator="equal">
      <formula>"OK"</formula>
    </cfRule>
    <cfRule type="cellIs" dxfId="192" priority="108" operator="equal">
      <formula>"NG"</formula>
    </cfRule>
  </conditionalFormatting>
  <conditionalFormatting sqref="AS21">
    <cfRule type="cellIs" dxfId="191" priority="105" operator="equal">
      <formula>"OK"</formula>
    </cfRule>
    <cfRule type="cellIs" dxfId="190" priority="106" operator="equal">
      <formula>"NG"</formula>
    </cfRule>
  </conditionalFormatting>
  <conditionalFormatting sqref="AS23">
    <cfRule type="cellIs" dxfId="189" priority="103" operator="equal">
      <formula>"OK"</formula>
    </cfRule>
    <cfRule type="cellIs" dxfId="188" priority="104" operator="equal">
      <formula>"NG"</formula>
    </cfRule>
  </conditionalFormatting>
  <conditionalFormatting sqref="AS20">
    <cfRule type="cellIs" dxfId="187" priority="101" operator="equal">
      <formula>"OK"</formula>
    </cfRule>
    <cfRule type="cellIs" dxfId="186" priority="102" operator="equal">
      <formula>"NG"</formula>
    </cfRule>
  </conditionalFormatting>
  <conditionalFormatting sqref="AS22">
    <cfRule type="cellIs" dxfId="185" priority="99" operator="equal">
      <formula>"OK"</formula>
    </cfRule>
    <cfRule type="cellIs" dxfId="184" priority="100" operator="equal">
      <formula>"NG"</formula>
    </cfRule>
  </conditionalFormatting>
  <conditionalFormatting sqref="AS24">
    <cfRule type="cellIs" dxfId="183" priority="97" operator="equal">
      <formula>"OK"</formula>
    </cfRule>
    <cfRule type="cellIs" dxfId="182" priority="98" operator="equal">
      <formula>"NG"</formula>
    </cfRule>
  </conditionalFormatting>
  <conditionalFormatting sqref="AS26">
    <cfRule type="cellIs" dxfId="181" priority="95" operator="equal">
      <formula>"OK"</formula>
    </cfRule>
    <cfRule type="cellIs" dxfId="180" priority="96" operator="equal">
      <formula>"NG"</formula>
    </cfRule>
  </conditionalFormatting>
  <conditionalFormatting sqref="AS27">
    <cfRule type="cellIs" dxfId="179" priority="93" operator="equal">
      <formula>"OK"</formula>
    </cfRule>
    <cfRule type="cellIs" dxfId="178" priority="94" operator="equal">
      <formula>"NG"</formula>
    </cfRule>
  </conditionalFormatting>
  <conditionalFormatting sqref="AS28">
    <cfRule type="cellIs" dxfId="177" priority="91" operator="equal">
      <formula>"OK"</formula>
    </cfRule>
    <cfRule type="cellIs" dxfId="176" priority="92" operator="equal">
      <formula>"NG"</formula>
    </cfRule>
  </conditionalFormatting>
  <conditionalFormatting sqref="AS29">
    <cfRule type="cellIs" dxfId="175" priority="89" operator="equal">
      <formula>"OK"</formula>
    </cfRule>
    <cfRule type="cellIs" dxfId="174" priority="90" operator="equal">
      <formula>"NG"</formula>
    </cfRule>
  </conditionalFormatting>
  <conditionalFormatting sqref="AS30">
    <cfRule type="cellIs" dxfId="173" priority="87" operator="equal">
      <formula>"OK"</formula>
    </cfRule>
    <cfRule type="cellIs" dxfId="172" priority="88" operator="equal">
      <formula>"NG"</formula>
    </cfRule>
  </conditionalFormatting>
  <conditionalFormatting sqref="AS31">
    <cfRule type="cellIs" dxfId="171" priority="85" operator="equal">
      <formula>"OK"</formula>
    </cfRule>
    <cfRule type="cellIs" dxfId="170" priority="86" operator="equal">
      <formula>"NG"</formula>
    </cfRule>
  </conditionalFormatting>
  <conditionalFormatting sqref="AS32">
    <cfRule type="cellIs" dxfId="169" priority="83" operator="equal">
      <formula>"OK"</formula>
    </cfRule>
    <cfRule type="cellIs" dxfId="168" priority="84" operator="equal">
      <formula>"NG"</formula>
    </cfRule>
  </conditionalFormatting>
  <conditionalFormatting sqref="AS33">
    <cfRule type="cellIs" dxfId="167" priority="81" operator="equal">
      <formula>"OK"</formula>
    </cfRule>
    <cfRule type="cellIs" dxfId="166" priority="82" operator="equal">
      <formula>"NG"</formula>
    </cfRule>
  </conditionalFormatting>
  <conditionalFormatting sqref="AS34">
    <cfRule type="cellIs" dxfId="165" priority="77" operator="equal">
      <formula>"OK"</formula>
    </cfRule>
    <cfRule type="cellIs" dxfId="164" priority="78" operator="equal">
      <formula>"NG"</formula>
    </cfRule>
  </conditionalFormatting>
  <conditionalFormatting sqref="AS35">
    <cfRule type="cellIs" dxfId="163" priority="75" operator="equal">
      <formula>"OK"</formula>
    </cfRule>
    <cfRule type="cellIs" dxfId="162" priority="76" operator="equal">
      <formula>"NG"</formula>
    </cfRule>
  </conditionalFormatting>
  <conditionalFormatting sqref="AS41">
    <cfRule type="cellIs" dxfId="161" priority="73" operator="equal">
      <formula>"OK"</formula>
    </cfRule>
    <cfRule type="cellIs" dxfId="160" priority="74" operator="equal">
      <formula>"NG"</formula>
    </cfRule>
  </conditionalFormatting>
  <conditionalFormatting sqref="AS42">
    <cfRule type="cellIs" dxfId="159" priority="71" operator="equal">
      <formula>"OK"</formula>
    </cfRule>
    <cfRule type="cellIs" dxfId="158" priority="72" operator="equal">
      <formula>"NG"</formula>
    </cfRule>
  </conditionalFormatting>
  <conditionalFormatting sqref="AS43">
    <cfRule type="cellIs" dxfId="157" priority="69" operator="equal">
      <formula>"OK"</formula>
    </cfRule>
    <cfRule type="cellIs" dxfId="156" priority="70" operator="equal">
      <formula>"NG"</formula>
    </cfRule>
  </conditionalFormatting>
  <conditionalFormatting sqref="AS44">
    <cfRule type="cellIs" dxfId="155" priority="67" operator="equal">
      <formula>"OK"</formula>
    </cfRule>
    <cfRule type="cellIs" dxfId="154" priority="68" operator="equal">
      <formula>"NG"</formula>
    </cfRule>
  </conditionalFormatting>
  <conditionalFormatting sqref="AS45">
    <cfRule type="cellIs" dxfId="153" priority="65" operator="equal">
      <formula>"OK"</formula>
    </cfRule>
    <cfRule type="cellIs" dxfId="152" priority="66" operator="equal">
      <formula>"NG"</formula>
    </cfRule>
  </conditionalFormatting>
  <conditionalFormatting sqref="AS46">
    <cfRule type="cellIs" dxfId="151" priority="63" operator="equal">
      <formula>"OK"</formula>
    </cfRule>
    <cfRule type="cellIs" dxfId="150" priority="64" operator="equal">
      <formula>"NG"</formula>
    </cfRule>
  </conditionalFormatting>
  <conditionalFormatting sqref="AS37">
    <cfRule type="cellIs" dxfId="149" priority="61" operator="equal">
      <formula>"OK"</formula>
    </cfRule>
    <cfRule type="cellIs" dxfId="148" priority="62" operator="equal">
      <formula>"NG"</formula>
    </cfRule>
  </conditionalFormatting>
  <conditionalFormatting sqref="AS38">
    <cfRule type="cellIs" dxfId="147" priority="59" operator="equal">
      <formula>"OK"</formula>
    </cfRule>
    <cfRule type="cellIs" dxfId="146" priority="60" operator="equal">
      <formula>"NG"</formula>
    </cfRule>
  </conditionalFormatting>
  <conditionalFormatting sqref="AS39">
    <cfRule type="cellIs" dxfId="145" priority="57" operator="equal">
      <formula>"OK"</formula>
    </cfRule>
    <cfRule type="cellIs" dxfId="144" priority="58" operator="equal">
      <formula>"NG"</formula>
    </cfRule>
  </conditionalFormatting>
  <conditionalFormatting sqref="AS40">
    <cfRule type="cellIs" dxfId="143" priority="55" operator="equal">
      <formula>"OK"</formula>
    </cfRule>
    <cfRule type="cellIs" dxfId="142" priority="56" operator="equal">
      <formula>"NG"</formula>
    </cfRule>
  </conditionalFormatting>
  <conditionalFormatting sqref="AS47">
    <cfRule type="cellIs" dxfId="141" priority="53" operator="equal">
      <formula>"OK"</formula>
    </cfRule>
    <cfRule type="cellIs" dxfId="140" priority="54" operator="equal">
      <formula>"NG"</formula>
    </cfRule>
  </conditionalFormatting>
  <conditionalFormatting sqref="AS48">
    <cfRule type="cellIs" dxfId="139" priority="51" operator="equal">
      <formula>"OK"</formula>
    </cfRule>
    <cfRule type="cellIs" dxfId="138" priority="52" operator="equal">
      <formula>"NG"</formula>
    </cfRule>
  </conditionalFormatting>
  <conditionalFormatting sqref="AS49">
    <cfRule type="cellIs" dxfId="137" priority="49" operator="equal">
      <formula>"OK"</formula>
    </cfRule>
    <cfRule type="cellIs" dxfId="136" priority="50" operator="equal">
      <formula>"NG"</formula>
    </cfRule>
  </conditionalFormatting>
  <conditionalFormatting sqref="AS50">
    <cfRule type="cellIs" dxfId="135" priority="47" operator="equal">
      <formula>"OK"</formula>
    </cfRule>
    <cfRule type="cellIs" dxfId="134" priority="48" operator="equal">
      <formula>"NG"</formula>
    </cfRule>
  </conditionalFormatting>
  <conditionalFormatting sqref="AS51">
    <cfRule type="cellIs" dxfId="133" priority="45" operator="equal">
      <formula>"OK"</formula>
    </cfRule>
    <cfRule type="cellIs" dxfId="132" priority="46" operator="equal">
      <formula>"NG"</formula>
    </cfRule>
  </conditionalFormatting>
  <conditionalFormatting sqref="AS52">
    <cfRule type="cellIs" dxfId="131" priority="43" operator="equal">
      <formula>"OK"</formula>
    </cfRule>
    <cfRule type="cellIs" dxfId="130" priority="44" operator="equal">
      <formula>"NG"</formula>
    </cfRule>
  </conditionalFormatting>
  <conditionalFormatting sqref="AS53">
    <cfRule type="cellIs" dxfId="129" priority="41" operator="equal">
      <formula>"OK"</formula>
    </cfRule>
    <cfRule type="cellIs" dxfId="128" priority="42" operator="equal">
      <formula>"NG"</formula>
    </cfRule>
  </conditionalFormatting>
  <conditionalFormatting sqref="AS54">
    <cfRule type="cellIs" dxfId="127" priority="39" operator="equal">
      <formula>"OK"</formula>
    </cfRule>
    <cfRule type="cellIs" dxfId="126" priority="40" operator="equal">
      <formula>"NG"</formula>
    </cfRule>
  </conditionalFormatting>
  <conditionalFormatting sqref="AS55">
    <cfRule type="cellIs" dxfId="125" priority="37" operator="equal">
      <formula>"OK"</formula>
    </cfRule>
    <cfRule type="cellIs" dxfId="124" priority="38" operator="equal">
      <formula>"NG"</formula>
    </cfRule>
  </conditionalFormatting>
  <conditionalFormatting sqref="AS56">
    <cfRule type="cellIs" dxfId="123" priority="35" operator="equal">
      <formula>"OK"</formula>
    </cfRule>
    <cfRule type="cellIs" dxfId="122" priority="36" operator="equal">
      <formula>"NG"</formula>
    </cfRule>
  </conditionalFormatting>
  <conditionalFormatting sqref="AY11">
    <cfRule type="cellIs" dxfId="121" priority="33" operator="equal">
      <formula>"OK"</formula>
    </cfRule>
    <cfRule type="cellIs" dxfId="120" priority="34" operator="equal">
      <formula>"NG"</formula>
    </cfRule>
  </conditionalFormatting>
  <conditionalFormatting sqref="AY12">
    <cfRule type="cellIs" dxfId="119" priority="31" operator="equal">
      <formula>"OK"</formula>
    </cfRule>
    <cfRule type="cellIs" dxfId="118" priority="32" operator="equal">
      <formula>"NG"</formula>
    </cfRule>
  </conditionalFormatting>
  <conditionalFormatting sqref="AY13">
    <cfRule type="cellIs" dxfId="117" priority="29" operator="equal">
      <formula>"OK"</formula>
    </cfRule>
    <cfRule type="cellIs" dxfId="116" priority="30" operator="equal">
      <formula>"NG"</formula>
    </cfRule>
  </conditionalFormatting>
  <conditionalFormatting sqref="AY14">
    <cfRule type="cellIs" dxfId="115" priority="27" operator="equal">
      <formula>"OK"</formula>
    </cfRule>
    <cfRule type="cellIs" dxfId="114" priority="28" operator="equal">
      <formula>"NG"</formula>
    </cfRule>
  </conditionalFormatting>
  <conditionalFormatting sqref="AY15">
    <cfRule type="cellIs" dxfId="113" priority="25" operator="equal">
      <formula>"OK"</formula>
    </cfRule>
    <cfRule type="cellIs" dxfId="112" priority="26" operator="equal">
      <formula>"NG"</formula>
    </cfRule>
  </conditionalFormatting>
  <conditionalFormatting sqref="AY16">
    <cfRule type="cellIs" dxfId="111" priority="23" operator="equal">
      <formula>"OK"</formula>
    </cfRule>
    <cfRule type="cellIs" dxfId="110" priority="24" operator="equal">
      <formula>"NG"</formula>
    </cfRule>
  </conditionalFormatting>
  <conditionalFormatting sqref="AY18">
    <cfRule type="cellIs" dxfId="109" priority="21" operator="equal">
      <formula>"OK"</formula>
    </cfRule>
    <cfRule type="cellIs" dxfId="108" priority="22" operator="equal">
      <formula>"NG"</formula>
    </cfRule>
  </conditionalFormatting>
  <conditionalFormatting sqref="AY20">
    <cfRule type="cellIs" dxfId="107" priority="19" operator="equal">
      <formula>"OK"</formula>
    </cfRule>
    <cfRule type="cellIs" dxfId="106" priority="20" operator="equal">
      <formula>"NG"</formula>
    </cfRule>
  </conditionalFormatting>
  <conditionalFormatting sqref="AY22">
    <cfRule type="cellIs" dxfId="105" priority="17" operator="equal">
      <formula>"OK"</formula>
    </cfRule>
    <cfRule type="cellIs" dxfId="104" priority="18" operator="equal">
      <formula>"NG"</formula>
    </cfRule>
  </conditionalFormatting>
  <conditionalFormatting sqref="AY24">
    <cfRule type="cellIs" dxfId="103" priority="15" operator="equal">
      <formula>"OK"</formula>
    </cfRule>
    <cfRule type="cellIs" dxfId="102" priority="16" operator="equal">
      <formula>"NG"</formula>
    </cfRule>
  </conditionalFormatting>
  <conditionalFormatting sqref="AY38">
    <cfRule type="cellIs" dxfId="101" priority="13" operator="equal">
      <formula>"OK"</formula>
    </cfRule>
    <cfRule type="cellIs" dxfId="100" priority="14" operator="equal">
      <formula>"NG"</formula>
    </cfRule>
  </conditionalFormatting>
  <conditionalFormatting sqref="AY39">
    <cfRule type="cellIs" dxfId="99" priority="11" operator="equal">
      <formula>"OK"</formula>
    </cfRule>
    <cfRule type="cellIs" dxfId="98" priority="12" operator="equal">
      <formula>"NG"</formula>
    </cfRule>
  </conditionalFormatting>
  <conditionalFormatting sqref="AY40">
    <cfRule type="cellIs" dxfId="97" priority="9" operator="equal">
      <formula>"OK"</formula>
    </cfRule>
    <cfRule type="cellIs" dxfId="96" priority="10" operator="equal">
      <formula>"NG"</formula>
    </cfRule>
  </conditionalFormatting>
  <conditionalFormatting sqref="AY46">
    <cfRule type="cellIs" dxfId="95" priority="7" operator="equal">
      <formula>"OK"</formula>
    </cfRule>
    <cfRule type="cellIs" dxfId="94" priority="8" operator="equal">
      <formula>"NG"</formula>
    </cfRule>
  </conditionalFormatting>
  <conditionalFormatting sqref="AY52">
    <cfRule type="cellIs" dxfId="93" priority="5" operator="equal">
      <formula>"OK"</formula>
    </cfRule>
    <cfRule type="cellIs" dxfId="92" priority="6" operator="equal">
      <formula>"NG"</formula>
    </cfRule>
  </conditionalFormatting>
  <conditionalFormatting sqref="AY53">
    <cfRule type="cellIs" dxfId="91" priority="3" operator="equal">
      <formula>"OK"</formula>
    </cfRule>
    <cfRule type="cellIs" dxfId="90" priority="4" operator="equal">
      <formula>"NG"</formula>
    </cfRule>
  </conditionalFormatting>
  <conditionalFormatting sqref="AY54">
    <cfRule type="cellIs" dxfId="89" priority="1" operator="equal">
      <formula>"OK"</formula>
    </cfRule>
    <cfRule type="cellIs" dxfId="88" priority="2" operator="equal">
      <formula>"NG"</formula>
    </cfRule>
  </conditionalFormatting>
  <dataValidations count="1">
    <dataValidation type="list" allowBlank="1" showInputMessage="1" showErrorMessage="1" sqref="AS10:AS56 AY10:AY5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0"/>
  <sheetViews>
    <sheetView showGridLines="0" view="pageBreakPreview" zoomScale="70" zoomScaleNormal="100" zoomScaleSheetLayoutView="7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71" t="s">
        <v>0</v>
      </c>
      <c r="C2" s="154"/>
      <c r="D2" s="154"/>
      <c r="E2" s="154"/>
      <c r="F2" s="154"/>
      <c r="G2" s="154"/>
      <c r="H2" s="154" t="s">
        <v>40</v>
      </c>
      <c r="I2" s="154"/>
      <c r="J2" s="154"/>
      <c r="K2" s="154"/>
      <c r="L2" s="154" t="s">
        <v>41</v>
      </c>
      <c r="M2" s="154"/>
      <c r="N2" s="154"/>
      <c r="O2" s="154"/>
      <c r="P2" s="154"/>
      <c r="Q2" s="154"/>
      <c r="R2" s="154" t="s">
        <v>1</v>
      </c>
      <c r="S2" s="154"/>
      <c r="T2" s="154"/>
      <c r="U2" s="154"/>
      <c r="V2" s="154"/>
      <c r="W2" s="154"/>
      <c r="X2" s="166" t="s">
        <v>2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30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54" t="s">
        <v>4</v>
      </c>
      <c r="AY2" s="154"/>
      <c r="AZ2" s="154"/>
      <c r="BA2" s="154"/>
      <c r="BB2" s="154" t="s">
        <v>3</v>
      </c>
      <c r="BC2" s="154"/>
      <c r="BD2" s="154"/>
      <c r="BE2" s="154"/>
      <c r="BF2" s="154" t="s">
        <v>5</v>
      </c>
      <c r="BG2" s="154"/>
      <c r="BH2" s="154"/>
      <c r="BI2" s="154"/>
      <c r="BJ2" s="154" t="s">
        <v>6</v>
      </c>
      <c r="BK2" s="154"/>
      <c r="BL2" s="154"/>
      <c r="BM2" s="155"/>
      <c r="BN2" s="16"/>
    </row>
    <row r="3" spans="1:66" ht="20.100000000000001" customHeight="1" x14ac:dyDescent="0.45">
      <c r="A3" s="10"/>
      <c r="B3" s="169" t="str">
        <f>変更履歴!B3</f>
        <v>受発注システム</v>
      </c>
      <c r="C3" s="157"/>
      <c r="D3" s="157"/>
      <c r="E3" s="157"/>
      <c r="F3" s="157"/>
      <c r="G3" s="157"/>
      <c r="H3" s="157" t="str">
        <f ca="1">変更履歴!H3</f>
        <v>請求売掛</v>
      </c>
      <c r="I3" s="157"/>
      <c r="J3" s="157"/>
      <c r="K3" s="157"/>
      <c r="L3" s="157" t="str">
        <f>変更履歴!L3</f>
        <v>受発注</v>
      </c>
      <c r="M3" s="157"/>
      <c r="N3" s="157"/>
      <c r="O3" s="157"/>
      <c r="P3" s="157"/>
      <c r="Q3" s="157"/>
      <c r="R3" s="157" t="str">
        <f ca="1">変更履歴!R3</f>
        <v>結合試験項目</v>
      </c>
      <c r="S3" s="157"/>
      <c r="T3" s="157"/>
      <c r="U3" s="157"/>
      <c r="V3" s="157"/>
      <c r="W3" s="157"/>
      <c r="X3" s="160" t="str">
        <f ca="1">変更履歴!X3</f>
        <v>請求売掛_しまむら直納伝票請求書_結合試験項目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2"/>
      <c r="AK3" s="160" t="str">
        <f ca="1">変更履歴!AK3</f>
        <v>しまむら直納伝票請求書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2"/>
      <c r="AX3" s="156">
        <f>変更履歴!AX3</f>
        <v>45628</v>
      </c>
      <c r="AY3" s="156"/>
      <c r="AZ3" s="156"/>
      <c r="BA3" s="156"/>
      <c r="BB3" s="157" t="str">
        <f>変更履歴!BB3</f>
        <v>児玉</v>
      </c>
      <c r="BC3" s="157"/>
      <c r="BD3" s="157"/>
      <c r="BE3" s="157"/>
      <c r="BF3" s="156">
        <f>変更履歴!BF3</f>
        <v>45628</v>
      </c>
      <c r="BG3" s="156"/>
      <c r="BH3" s="156"/>
      <c r="BI3" s="156"/>
      <c r="BJ3" s="157" t="str">
        <f>変更履歴!BJ3</f>
        <v>児玉</v>
      </c>
      <c r="BK3" s="157"/>
      <c r="BL3" s="157"/>
      <c r="BM3" s="159"/>
      <c r="BN3" s="16"/>
    </row>
    <row r="4" spans="1:66" ht="20.100000000000001" customHeight="1" thickBot="1" x14ac:dyDescent="0.5">
      <c r="A4" s="10"/>
      <c r="B4" s="162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3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5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5"/>
      <c r="AX4" s="208"/>
      <c r="AY4" s="208"/>
      <c r="AZ4" s="208"/>
      <c r="BA4" s="208"/>
      <c r="BB4" s="158"/>
      <c r="BC4" s="158"/>
      <c r="BD4" s="158"/>
      <c r="BE4" s="158"/>
      <c r="BF4" s="208"/>
      <c r="BG4" s="208"/>
      <c r="BH4" s="208"/>
      <c r="BI4" s="208"/>
      <c r="BJ4" s="158"/>
      <c r="BK4" s="158"/>
      <c r="BL4" s="158"/>
      <c r="BM4" s="16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9" t="s">
        <v>32</v>
      </c>
      <c r="BF7" s="210"/>
      <c r="BG7" s="213" t="s">
        <v>31</v>
      </c>
      <c r="BH7" s="213"/>
      <c r="BI7" s="214" t="s">
        <v>33</v>
      </c>
      <c r="BJ7" s="215"/>
      <c r="BK7" s="214" t="s">
        <v>34</v>
      </c>
      <c r="BL7" s="20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99" t="s">
        <v>35</v>
      </c>
      <c r="AP8" s="200"/>
      <c r="AQ8" s="200"/>
      <c r="AR8" s="200"/>
      <c r="AS8" s="200"/>
      <c r="AT8" s="201"/>
      <c r="AU8" s="199" t="s">
        <v>36</v>
      </c>
      <c r="AV8" s="200"/>
      <c r="AW8" s="200"/>
      <c r="AX8" s="200"/>
      <c r="AY8" s="200"/>
      <c r="AZ8" s="201"/>
      <c r="BE8" s="211"/>
      <c r="BF8" s="212"/>
      <c r="BG8" s="202">
        <f>COUNTA(C10:C45)</f>
        <v>36</v>
      </c>
      <c r="BH8" s="203"/>
      <c r="BI8" s="202">
        <f>COUNTIF(AS10:AT45,"OK")+COUNTIF(AY10:AZ45,"OK")</f>
        <v>36</v>
      </c>
      <c r="BJ8" s="203"/>
      <c r="BK8" s="202">
        <f>BG8-BI8</f>
        <v>0</v>
      </c>
      <c r="BL8" s="204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6" t="s">
        <v>25</v>
      </c>
      <c r="AP9" s="217"/>
      <c r="AQ9" s="205" t="s">
        <v>26</v>
      </c>
      <c r="AR9" s="217"/>
      <c r="AS9" s="205" t="s">
        <v>29</v>
      </c>
      <c r="AT9" s="206"/>
      <c r="AU9" s="216" t="s">
        <v>25</v>
      </c>
      <c r="AV9" s="217"/>
      <c r="AW9" s="205" t="s">
        <v>26</v>
      </c>
      <c r="AX9" s="217"/>
      <c r="AY9" s="205" t="s">
        <v>29</v>
      </c>
      <c r="AZ9" s="206"/>
      <c r="BA9" s="207" t="s">
        <v>27</v>
      </c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1"/>
      <c r="BM9" s="16"/>
      <c r="BN9" s="16"/>
    </row>
    <row r="10" spans="1:66" ht="46.8" customHeight="1" x14ac:dyDescent="0.45">
      <c r="A10" s="10"/>
      <c r="B10" s="10"/>
      <c r="C10" s="30">
        <f>ROW()-9</f>
        <v>1</v>
      </c>
      <c r="D10" s="181" t="s">
        <v>135</v>
      </c>
      <c r="E10" s="182"/>
      <c r="F10" s="182"/>
      <c r="G10" s="183"/>
      <c r="H10" s="181" t="s">
        <v>55</v>
      </c>
      <c r="I10" s="182"/>
      <c r="J10" s="182"/>
      <c r="K10" s="183"/>
      <c r="L10" s="187" t="s">
        <v>68</v>
      </c>
      <c r="M10" s="188"/>
      <c r="N10" s="188"/>
      <c r="O10" s="189"/>
      <c r="P10" s="178" t="s">
        <v>89</v>
      </c>
      <c r="Q10" s="176"/>
      <c r="R10" s="176"/>
      <c r="S10" s="176"/>
      <c r="T10" s="176"/>
      <c r="U10" s="176"/>
      <c r="V10" s="176"/>
      <c r="W10" s="179"/>
      <c r="X10" s="178" t="s">
        <v>54</v>
      </c>
      <c r="Y10" s="176"/>
      <c r="Z10" s="176"/>
      <c r="AA10" s="176"/>
      <c r="AB10" s="176"/>
      <c r="AC10" s="176"/>
      <c r="AD10" s="176"/>
      <c r="AE10" s="179"/>
      <c r="AF10" s="178" t="s">
        <v>132</v>
      </c>
      <c r="AG10" s="176"/>
      <c r="AH10" s="176"/>
      <c r="AI10" s="176"/>
      <c r="AJ10" s="176"/>
      <c r="AK10" s="176"/>
      <c r="AL10" s="176"/>
      <c r="AM10" s="176"/>
      <c r="AN10" s="180"/>
      <c r="AO10" s="172">
        <v>45665</v>
      </c>
      <c r="AP10" s="173"/>
      <c r="AQ10" s="149" t="s">
        <v>143</v>
      </c>
      <c r="AR10" s="151"/>
      <c r="AS10" s="149" t="s">
        <v>147</v>
      </c>
      <c r="AT10" s="174"/>
      <c r="AU10" s="172"/>
      <c r="AV10" s="173"/>
      <c r="AW10" s="149"/>
      <c r="AX10" s="151"/>
      <c r="AY10" s="149"/>
      <c r="AZ10" s="174"/>
      <c r="BA10" s="196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8"/>
      <c r="BM10" s="16"/>
      <c r="BN10" s="16"/>
    </row>
    <row r="11" spans="1:66" ht="20.100000000000001" customHeight="1" x14ac:dyDescent="0.45">
      <c r="A11" s="10"/>
      <c r="B11" s="10"/>
      <c r="C11" s="92">
        <f t="shared" ref="C11:C45" si="0">ROW()-9</f>
        <v>2</v>
      </c>
      <c r="D11" s="193"/>
      <c r="E11" s="194"/>
      <c r="F11" s="194"/>
      <c r="G11" s="195"/>
      <c r="H11" s="193"/>
      <c r="I11" s="194"/>
      <c r="J11" s="194"/>
      <c r="K11" s="195"/>
      <c r="L11" s="218"/>
      <c r="M11" s="219"/>
      <c r="N11" s="219"/>
      <c r="O11" s="220"/>
      <c r="P11" s="178" t="s">
        <v>90</v>
      </c>
      <c r="Q11" s="176"/>
      <c r="R11" s="176"/>
      <c r="S11" s="176"/>
      <c r="T11" s="176"/>
      <c r="U11" s="176"/>
      <c r="V11" s="176"/>
      <c r="W11" s="179"/>
      <c r="X11" s="178" t="s">
        <v>54</v>
      </c>
      <c r="Y11" s="176"/>
      <c r="Z11" s="176"/>
      <c r="AA11" s="176"/>
      <c r="AB11" s="176"/>
      <c r="AC11" s="176"/>
      <c r="AD11" s="176"/>
      <c r="AE11" s="179"/>
      <c r="AF11" s="178"/>
      <c r="AG11" s="176"/>
      <c r="AH11" s="176"/>
      <c r="AI11" s="176"/>
      <c r="AJ11" s="176"/>
      <c r="AK11" s="176"/>
      <c r="AL11" s="176"/>
      <c r="AM11" s="176"/>
      <c r="AN11" s="180"/>
      <c r="AO11" s="172">
        <v>45665</v>
      </c>
      <c r="AP11" s="173"/>
      <c r="AQ11" s="149" t="s">
        <v>143</v>
      </c>
      <c r="AR11" s="151"/>
      <c r="AS11" s="149" t="s">
        <v>147</v>
      </c>
      <c r="AT11" s="174"/>
      <c r="AU11" s="172"/>
      <c r="AV11" s="173"/>
      <c r="AW11" s="149"/>
      <c r="AX11" s="151"/>
      <c r="AY11" s="149"/>
      <c r="AZ11" s="174"/>
      <c r="BA11" s="196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8"/>
      <c r="BM11" s="16"/>
      <c r="BN11" s="16"/>
    </row>
    <row r="12" spans="1:66" ht="20.100000000000001" customHeight="1" x14ac:dyDescent="0.45">
      <c r="A12" s="10"/>
      <c r="B12" s="10"/>
      <c r="C12" s="92">
        <f t="shared" si="0"/>
        <v>3</v>
      </c>
      <c r="D12" s="193"/>
      <c r="E12" s="194"/>
      <c r="F12" s="194"/>
      <c r="G12" s="195"/>
      <c r="H12" s="193"/>
      <c r="I12" s="194"/>
      <c r="J12" s="194"/>
      <c r="K12" s="195"/>
      <c r="L12" s="190"/>
      <c r="M12" s="191"/>
      <c r="N12" s="191"/>
      <c r="O12" s="192"/>
      <c r="P12" s="178" t="s">
        <v>91</v>
      </c>
      <c r="Q12" s="176"/>
      <c r="R12" s="176"/>
      <c r="S12" s="176"/>
      <c r="T12" s="176"/>
      <c r="U12" s="176"/>
      <c r="V12" s="176"/>
      <c r="W12" s="179"/>
      <c r="X12" s="178" t="s">
        <v>54</v>
      </c>
      <c r="Y12" s="176"/>
      <c r="Z12" s="176"/>
      <c r="AA12" s="176"/>
      <c r="AB12" s="176"/>
      <c r="AC12" s="176"/>
      <c r="AD12" s="176"/>
      <c r="AE12" s="179"/>
      <c r="AF12" s="178"/>
      <c r="AG12" s="176"/>
      <c r="AH12" s="176"/>
      <c r="AI12" s="176"/>
      <c r="AJ12" s="176"/>
      <c r="AK12" s="176"/>
      <c r="AL12" s="176"/>
      <c r="AM12" s="176"/>
      <c r="AN12" s="180"/>
      <c r="AO12" s="172">
        <v>45665</v>
      </c>
      <c r="AP12" s="173"/>
      <c r="AQ12" s="149" t="s">
        <v>143</v>
      </c>
      <c r="AR12" s="151"/>
      <c r="AS12" s="149" t="s">
        <v>147</v>
      </c>
      <c r="AT12" s="174"/>
      <c r="AU12" s="172"/>
      <c r="AV12" s="173"/>
      <c r="AW12" s="149"/>
      <c r="AX12" s="151"/>
      <c r="AY12" s="149"/>
      <c r="AZ12" s="174"/>
      <c r="BA12" s="196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8"/>
      <c r="BM12" s="16"/>
      <c r="BN12" s="16"/>
    </row>
    <row r="13" spans="1:66" ht="20.100000000000001" customHeight="1" x14ac:dyDescent="0.45">
      <c r="A13" s="10"/>
      <c r="B13" s="10"/>
      <c r="C13" s="92">
        <f t="shared" si="0"/>
        <v>4</v>
      </c>
      <c r="D13" s="193"/>
      <c r="E13" s="194"/>
      <c r="F13" s="194"/>
      <c r="G13" s="195"/>
      <c r="H13" s="193"/>
      <c r="I13" s="194"/>
      <c r="J13" s="194"/>
      <c r="K13" s="195"/>
      <c r="L13" s="187" t="s">
        <v>69</v>
      </c>
      <c r="M13" s="188"/>
      <c r="N13" s="188"/>
      <c r="O13" s="189"/>
      <c r="P13" s="178" t="s">
        <v>92</v>
      </c>
      <c r="Q13" s="176"/>
      <c r="R13" s="176"/>
      <c r="S13" s="176"/>
      <c r="T13" s="176"/>
      <c r="U13" s="176"/>
      <c r="V13" s="176"/>
      <c r="W13" s="179"/>
      <c r="X13" s="178" t="s">
        <v>54</v>
      </c>
      <c r="Y13" s="176"/>
      <c r="Z13" s="176"/>
      <c r="AA13" s="176"/>
      <c r="AB13" s="176"/>
      <c r="AC13" s="176"/>
      <c r="AD13" s="176"/>
      <c r="AE13" s="179"/>
      <c r="AF13" s="178"/>
      <c r="AG13" s="176"/>
      <c r="AH13" s="176"/>
      <c r="AI13" s="176"/>
      <c r="AJ13" s="176"/>
      <c r="AK13" s="176"/>
      <c r="AL13" s="176"/>
      <c r="AM13" s="176"/>
      <c r="AN13" s="180"/>
      <c r="AO13" s="172">
        <v>45665</v>
      </c>
      <c r="AP13" s="173"/>
      <c r="AQ13" s="149" t="s">
        <v>143</v>
      </c>
      <c r="AR13" s="151"/>
      <c r="AS13" s="149" t="s">
        <v>147</v>
      </c>
      <c r="AT13" s="174"/>
      <c r="AU13" s="172"/>
      <c r="AV13" s="173"/>
      <c r="AW13" s="149"/>
      <c r="AX13" s="151"/>
      <c r="AY13" s="149"/>
      <c r="AZ13" s="174"/>
      <c r="BA13" s="196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8"/>
      <c r="BM13" s="16"/>
      <c r="BN13" s="16"/>
    </row>
    <row r="14" spans="1:66" s="75" customFormat="1" ht="20.100000000000001" customHeight="1" x14ac:dyDescent="0.45">
      <c r="A14" s="76"/>
      <c r="B14" s="76"/>
      <c r="C14" s="92">
        <f t="shared" si="0"/>
        <v>5</v>
      </c>
      <c r="D14" s="80"/>
      <c r="E14" s="81"/>
      <c r="F14" s="81"/>
      <c r="G14" s="82"/>
      <c r="H14" s="80"/>
      <c r="I14" s="81"/>
      <c r="J14" s="81"/>
      <c r="K14" s="82"/>
      <c r="L14" s="218"/>
      <c r="M14" s="219"/>
      <c r="N14" s="219"/>
      <c r="O14" s="220"/>
      <c r="P14" s="178" t="s">
        <v>93</v>
      </c>
      <c r="Q14" s="176"/>
      <c r="R14" s="176"/>
      <c r="S14" s="176"/>
      <c r="T14" s="176"/>
      <c r="U14" s="176"/>
      <c r="V14" s="176"/>
      <c r="W14" s="179"/>
      <c r="X14" s="178" t="s">
        <v>54</v>
      </c>
      <c r="Y14" s="176"/>
      <c r="Z14" s="176"/>
      <c r="AA14" s="176"/>
      <c r="AB14" s="176"/>
      <c r="AC14" s="176"/>
      <c r="AD14" s="176"/>
      <c r="AE14" s="179"/>
      <c r="AF14" s="83"/>
      <c r="AG14" s="84"/>
      <c r="AH14" s="84"/>
      <c r="AI14" s="84"/>
      <c r="AJ14" s="84"/>
      <c r="AK14" s="84"/>
      <c r="AL14" s="84"/>
      <c r="AM14" s="84"/>
      <c r="AN14" s="89"/>
      <c r="AO14" s="172">
        <v>45665</v>
      </c>
      <c r="AP14" s="173"/>
      <c r="AQ14" s="149" t="s">
        <v>143</v>
      </c>
      <c r="AR14" s="151"/>
      <c r="AS14" s="149" t="s">
        <v>144</v>
      </c>
      <c r="AT14" s="174"/>
      <c r="AU14" s="172">
        <v>45695</v>
      </c>
      <c r="AV14" s="173"/>
      <c r="AW14" s="149" t="s">
        <v>157</v>
      </c>
      <c r="AX14" s="151"/>
      <c r="AY14" s="149" t="s">
        <v>158</v>
      </c>
      <c r="AZ14" s="174"/>
      <c r="BA14" s="175" t="s">
        <v>152</v>
      </c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7"/>
      <c r="BM14" s="77"/>
      <c r="BN14" s="77"/>
    </row>
    <row r="15" spans="1:66" s="75" customFormat="1" ht="20.100000000000001" customHeight="1" x14ac:dyDescent="0.45">
      <c r="A15" s="76"/>
      <c r="B15" s="76"/>
      <c r="C15" s="92">
        <f t="shared" si="0"/>
        <v>6</v>
      </c>
      <c r="D15" s="80"/>
      <c r="E15" s="81"/>
      <c r="F15" s="81"/>
      <c r="G15" s="82"/>
      <c r="H15" s="80"/>
      <c r="I15" s="81"/>
      <c r="J15" s="81"/>
      <c r="K15" s="82"/>
      <c r="L15" s="218"/>
      <c r="M15" s="219"/>
      <c r="N15" s="219"/>
      <c r="O15" s="220"/>
      <c r="P15" s="178" t="s">
        <v>89</v>
      </c>
      <c r="Q15" s="176"/>
      <c r="R15" s="176"/>
      <c r="S15" s="176"/>
      <c r="T15" s="176"/>
      <c r="U15" s="176"/>
      <c r="V15" s="176"/>
      <c r="W15" s="179"/>
      <c r="X15" s="178" t="s">
        <v>54</v>
      </c>
      <c r="Y15" s="176"/>
      <c r="Z15" s="176"/>
      <c r="AA15" s="176"/>
      <c r="AB15" s="176"/>
      <c r="AC15" s="176"/>
      <c r="AD15" s="176"/>
      <c r="AE15" s="179"/>
      <c r="AF15" s="83"/>
      <c r="AG15" s="84"/>
      <c r="AH15" s="84"/>
      <c r="AI15" s="84"/>
      <c r="AJ15" s="84"/>
      <c r="AK15" s="84"/>
      <c r="AL15" s="84"/>
      <c r="AM15" s="84"/>
      <c r="AN15" s="89"/>
      <c r="AO15" s="172">
        <v>45665</v>
      </c>
      <c r="AP15" s="173"/>
      <c r="AQ15" s="149" t="s">
        <v>143</v>
      </c>
      <c r="AR15" s="151"/>
      <c r="AS15" s="149" t="s">
        <v>144</v>
      </c>
      <c r="AT15" s="174"/>
      <c r="AU15" s="172">
        <v>45695</v>
      </c>
      <c r="AV15" s="173"/>
      <c r="AW15" s="149" t="s">
        <v>157</v>
      </c>
      <c r="AX15" s="151"/>
      <c r="AY15" s="149" t="s">
        <v>158</v>
      </c>
      <c r="AZ15" s="174"/>
      <c r="BA15" s="175" t="s">
        <v>152</v>
      </c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7"/>
      <c r="BM15" s="77"/>
      <c r="BN15" s="77"/>
    </row>
    <row r="16" spans="1:66" s="75" customFormat="1" ht="20.100000000000001" customHeight="1" x14ac:dyDescent="0.45">
      <c r="A16" s="76"/>
      <c r="B16" s="76"/>
      <c r="C16" s="92">
        <f t="shared" si="0"/>
        <v>7</v>
      </c>
      <c r="D16" s="80"/>
      <c r="E16" s="81"/>
      <c r="F16" s="81"/>
      <c r="G16" s="82"/>
      <c r="H16" s="80"/>
      <c r="I16" s="81"/>
      <c r="J16" s="81"/>
      <c r="K16" s="82"/>
      <c r="L16" s="190"/>
      <c r="M16" s="191"/>
      <c r="N16" s="191"/>
      <c r="O16" s="192"/>
      <c r="P16" s="178" t="s">
        <v>90</v>
      </c>
      <c r="Q16" s="176"/>
      <c r="R16" s="176"/>
      <c r="S16" s="176"/>
      <c r="T16" s="176"/>
      <c r="U16" s="176"/>
      <c r="V16" s="176"/>
      <c r="W16" s="179"/>
      <c r="X16" s="178" t="s">
        <v>54</v>
      </c>
      <c r="Y16" s="176"/>
      <c r="Z16" s="176"/>
      <c r="AA16" s="176"/>
      <c r="AB16" s="176"/>
      <c r="AC16" s="176"/>
      <c r="AD16" s="176"/>
      <c r="AE16" s="179"/>
      <c r="AF16" s="83"/>
      <c r="AG16" s="84"/>
      <c r="AH16" s="84"/>
      <c r="AI16" s="84"/>
      <c r="AJ16" s="84"/>
      <c r="AK16" s="84"/>
      <c r="AL16" s="84"/>
      <c r="AM16" s="84"/>
      <c r="AN16" s="89"/>
      <c r="AO16" s="172">
        <v>45665</v>
      </c>
      <c r="AP16" s="173"/>
      <c r="AQ16" s="149" t="s">
        <v>143</v>
      </c>
      <c r="AR16" s="151"/>
      <c r="AS16" s="149" t="s">
        <v>144</v>
      </c>
      <c r="AT16" s="174"/>
      <c r="AU16" s="172">
        <v>45695</v>
      </c>
      <c r="AV16" s="173"/>
      <c r="AW16" s="149" t="s">
        <v>157</v>
      </c>
      <c r="AX16" s="151"/>
      <c r="AY16" s="149" t="s">
        <v>158</v>
      </c>
      <c r="AZ16" s="174"/>
      <c r="BA16" s="175" t="s">
        <v>152</v>
      </c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7"/>
      <c r="BM16" s="77"/>
      <c r="BN16" s="77"/>
    </row>
    <row r="17" spans="1:66" s="75" customFormat="1" ht="20.100000000000001" customHeight="1" x14ac:dyDescent="0.45">
      <c r="A17" s="76"/>
      <c r="B17" s="76"/>
      <c r="C17" s="92">
        <f t="shared" si="0"/>
        <v>8</v>
      </c>
      <c r="D17" s="80"/>
      <c r="E17" s="81"/>
      <c r="F17" s="81"/>
      <c r="G17" s="82"/>
      <c r="H17" s="80"/>
      <c r="I17" s="81"/>
      <c r="J17" s="81"/>
      <c r="K17" s="82"/>
      <c r="L17" s="181" t="s">
        <v>70</v>
      </c>
      <c r="M17" s="182"/>
      <c r="N17" s="182"/>
      <c r="O17" s="183"/>
      <c r="P17" s="178" t="s">
        <v>92</v>
      </c>
      <c r="Q17" s="176"/>
      <c r="R17" s="176"/>
      <c r="S17" s="176"/>
      <c r="T17" s="176"/>
      <c r="U17" s="176"/>
      <c r="V17" s="176"/>
      <c r="W17" s="179"/>
      <c r="X17" s="178" t="s">
        <v>54</v>
      </c>
      <c r="Y17" s="176"/>
      <c r="Z17" s="176"/>
      <c r="AA17" s="176"/>
      <c r="AB17" s="176"/>
      <c r="AC17" s="176"/>
      <c r="AD17" s="176"/>
      <c r="AE17" s="179"/>
      <c r="AF17" s="83"/>
      <c r="AG17" s="84"/>
      <c r="AH17" s="84"/>
      <c r="AI17" s="84"/>
      <c r="AJ17" s="84"/>
      <c r="AK17" s="84"/>
      <c r="AL17" s="84"/>
      <c r="AM17" s="84"/>
      <c r="AN17" s="89"/>
      <c r="AO17" s="172">
        <v>45665</v>
      </c>
      <c r="AP17" s="173"/>
      <c r="AQ17" s="149" t="s">
        <v>143</v>
      </c>
      <c r="AR17" s="151"/>
      <c r="AS17" s="149" t="s">
        <v>147</v>
      </c>
      <c r="AT17" s="174"/>
      <c r="AU17" s="90"/>
      <c r="AV17" s="91"/>
      <c r="AW17" s="78"/>
      <c r="AX17" s="79"/>
      <c r="AY17" s="78"/>
      <c r="AZ17" s="85"/>
      <c r="BA17" s="86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8"/>
      <c r="BM17" s="77"/>
      <c r="BN17" s="77"/>
    </row>
    <row r="18" spans="1:66" s="75" customFormat="1" ht="20.100000000000001" customHeight="1" x14ac:dyDescent="0.45">
      <c r="A18" s="76"/>
      <c r="B18" s="76"/>
      <c r="C18" s="92">
        <f t="shared" si="0"/>
        <v>9</v>
      </c>
      <c r="D18" s="80"/>
      <c r="E18" s="81"/>
      <c r="F18" s="81"/>
      <c r="G18" s="82"/>
      <c r="H18" s="80"/>
      <c r="I18" s="81"/>
      <c r="J18" s="81"/>
      <c r="K18" s="82"/>
      <c r="L18" s="184"/>
      <c r="M18" s="185"/>
      <c r="N18" s="185"/>
      <c r="O18" s="186"/>
      <c r="P18" s="178" t="s">
        <v>93</v>
      </c>
      <c r="Q18" s="176"/>
      <c r="R18" s="176"/>
      <c r="S18" s="176"/>
      <c r="T18" s="176"/>
      <c r="U18" s="176"/>
      <c r="V18" s="176"/>
      <c r="W18" s="179"/>
      <c r="X18" s="178" t="s">
        <v>54</v>
      </c>
      <c r="Y18" s="176"/>
      <c r="Z18" s="176"/>
      <c r="AA18" s="176"/>
      <c r="AB18" s="176"/>
      <c r="AC18" s="176"/>
      <c r="AD18" s="176"/>
      <c r="AE18" s="179"/>
      <c r="AF18" s="83"/>
      <c r="AG18" s="84"/>
      <c r="AH18" s="84"/>
      <c r="AI18" s="84"/>
      <c r="AJ18" s="84"/>
      <c r="AK18" s="84"/>
      <c r="AL18" s="84"/>
      <c r="AM18" s="84"/>
      <c r="AN18" s="89"/>
      <c r="AO18" s="172">
        <v>45665</v>
      </c>
      <c r="AP18" s="173"/>
      <c r="AQ18" s="149" t="s">
        <v>143</v>
      </c>
      <c r="AR18" s="151"/>
      <c r="AS18" s="149" t="s">
        <v>147</v>
      </c>
      <c r="AT18" s="174"/>
      <c r="AU18" s="90"/>
      <c r="AV18" s="91"/>
      <c r="AW18" s="78"/>
      <c r="AX18" s="79"/>
      <c r="AY18" s="78"/>
      <c r="AZ18" s="85"/>
      <c r="BA18" s="86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8"/>
      <c r="BM18" s="77"/>
      <c r="BN18" s="77"/>
    </row>
    <row r="19" spans="1:66" s="75" customFormat="1" ht="20.100000000000001" customHeight="1" x14ac:dyDescent="0.45">
      <c r="A19" s="76"/>
      <c r="B19" s="76"/>
      <c r="C19" s="92">
        <f t="shared" si="0"/>
        <v>10</v>
      </c>
      <c r="D19" s="80"/>
      <c r="E19" s="81"/>
      <c r="F19" s="81"/>
      <c r="G19" s="82"/>
      <c r="H19" s="80"/>
      <c r="I19" s="81"/>
      <c r="J19" s="81"/>
      <c r="K19" s="82"/>
      <c r="L19" s="187" t="s">
        <v>71</v>
      </c>
      <c r="M19" s="188"/>
      <c r="N19" s="188"/>
      <c r="O19" s="189"/>
      <c r="P19" s="178" t="s">
        <v>92</v>
      </c>
      <c r="Q19" s="176"/>
      <c r="R19" s="176"/>
      <c r="S19" s="176"/>
      <c r="T19" s="176"/>
      <c r="U19" s="176"/>
      <c r="V19" s="176"/>
      <c r="W19" s="179"/>
      <c r="X19" s="178" t="s">
        <v>54</v>
      </c>
      <c r="Y19" s="176"/>
      <c r="Z19" s="176"/>
      <c r="AA19" s="176"/>
      <c r="AB19" s="176"/>
      <c r="AC19" s="176"/>
      <c r="AD19" s="176"/>
      <c r="AE19" s="179"/>
      <c r="AF19" s="83"/>
      <c r="AG19" s="84"/>
      <c r="AH19" s="84"/>
      <c r="AI19" s="84"/>
      <c r="AJ19" s="84"/>
      <c r="AK19" s="84"/>
      <c r="AL19" s="84"/>
      <c r="AM19" s="84"/>
      <c r="AN19" s="89"/>
      <c r="AO19" s="172">
        <v>45665</v>
      </c>
      <c r="AP19" s="173"/>
      <c r="AQ19" s="149" t="s">
        <v>143</v>
      </c>
      <c r="AR19" s="151"/>
      <c r="AS19" s="149" t="s">
        <v>147</v>
      </c>
      <c r="AT19" s="174"/>
      <c r="AU19" s="90"/>
      <c r="AV19" s="91"/>
      <c r="AW19" s="78"/>
      <c r="AX19" s="79"/>
      <c r="AY19" s="78"/>
      <c r="AZ19" s="85"/>
      <c r="BA19" s="86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8"/>
      <c r="BM19" s="77"/>
      <c r="BN19" s="77"/>
    </row>
    <row r="20" spans="1:66" ht="19.2" customHeight="1" x14ac:dyDescent="0.45">
      <c r="A20" s="10"/>
      <c r="B20" s="10"/>
      <c r="C20" s="92">
        <f t="shared" si="0"/>
        <v>11</v>
      </c>
      <c r="D20" s="193"/>
      <c r="E20" s="194"/>
      <c r="F20" s="194"/>
      <c r="G20" s="195"/>
      <c r="H20" s="193"/>
      <c r="I20" s="194"/>
      <c r="J20" s="194"/>
      <c r="K20" s="195"/>
      <c r="L20" s="190"/>
      <c r="M20" s="191"/>
      <c r="N20" s="191"/>
      <c r="O20" s="192"/>
      <c r="P20" s="178" t="s">
        <v>93</v>
      </c>
      <c r="Q20" s="176"/>
      <c r="R20" s="176"/>
      <c r="S20" s="176"/>
      <c r="T20" s="176"/>
      <c r="U20" s="176"/>
      <c r="V20" s="176"/>
      <c r="W20" s="179"/>
      <c r="X20" s="178" t="s">
        <v>54</v>
      </c>
      <c r="Y20" s="176"/>
      <c r="Z20" s="176"/>
      <c r="AA20" s="176"/>
      <c r="AB20" s="176"/>
      <c r="AC20" s="176"/>
      <c r="AD20" s="176"/>
      <c r="AE20" s="179"/>
      <c r="AF20" s="178"/>
      <c r="AG20" s="176"/>
      <c r="AH20" s="176"/>
      <c r="AI20" s="176"/>
      <c r="AJ20" s="176"/>
      <c r="AK20" s="176"/>
      <c r="AL20" s="176"/>
      <c r="AM20" s="176"/>
      <c r="AN20" s="180"/>
      <c r="AO20" s="172">
        <v>45665</v>
      </c>
      <c r="AP20" s="173"/>
      <c r="AQ20" s="149" t="s">
        <v>143</v>
      </c>
      <c r="AR20" s="151"/>
      <c r="AS20" s="149" t="s">
        <v>147</v>
      </c>
      <c r="AT20" s="174"/>
      <c r="AU20" s="172"/>
      <c r="AV20" s="173"/>
      <c r="AW20" s="149"/>
      <c r="AX20" s="151"/>
      <c r="AY20" s="149"/>
      <c r="AZ20" s="174"/>
      <c r="BA20" s="196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8"/>
      <c r="BM20" s="16"/>
      <c r="BN20" s="16"/>
    </row>
    <row r="21" spans="1:66" ht="19.8" customHeight="1" x14ac:dyDescent="0.45">
      <c r="A21" s="10"/>
      <c r="B21" s="10"/>
      <c r="C21" s="92">
        <f t="shared" si="0"/>
        <v>12</v>
      </c>
      <c r="D21" s="193"/>
      <c r="E21" s="194"/>
      <c r="F21" s="194"/>
      <c r="G21" s="195"/>
      <c r="H21" s="98" t="s">
        <v>56</v>
      </c>
      <c r="I21" s="99"/>
      <c r="J21" s="99"/>
      <c r="K21" s="100"/>
      <c r="L21" s="181" t="s">
        <v>57</v>
      </c>
      <c r="M21" s="182"/>
      <c r="N21" s="182"/>
      <c r="O21" s="183"/>
      <c r="P21" s="181" t="s">
        <v>58</v>
      </c>
      <c r="Q21" s="182"/>
      <c r="R21" s="182"/>
      <c r="S21" s="182"/>
      <c r="T21" s="182"/>
      <c r="U21" s="182"/>
      <c r="V21" s="182"/>
      <c r="W21" s="183"/>
      <c r="X21" s="178" t="s">
        <v>98</v>
      </c>
      <c r="Y21" s="176"/>
      <c r="Z21" s="176"/>
      <c r="AA21" s="176"/>
      <c r="AB21" s="176"/>
      <c r="AC21" s="176"/>
      <c r="AD21" s="176"/>
      <c r="AE21" s="179"/>
      <c r="AF21" s="178"/>
      <c r="AG21" s="176"/>
      <c r="AH21" s="176"/>
      <c r="AI21" s="176"/>
      <c r="AJ21" s="176"/>
      <c r="AK21" s="176"/>
      <c r="AL21" s="176"/>
      <c r="AM21" s="176"/>
      <c r="AN21" s="180"/>
      <c r="AO21" s="172">
        <v>45665</v>
      </c>
      <c r="AP21" s="173"/>
      <c r="AQ21" s="149" t="s">
        <v>143</v>
      </c>
      <c r="AR21" s="151"/>
      <c r="AS21" s="149" t="s">
        <v>147</v>
      </c>
      <c r="AT21" s="174"/>
      <c r="AU21" s="172"/>
      <c r="AV21" s="173"/>
      <c r="AW21" s="149"/>
      <c r="AX21" s="151"/>
      <c r="AY21" s="149"/>
      <c r="AZ21" s="174"/>
      <c r="BA21" s="196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8"/>
      <c r="BM21" s="16"/>
      <c r="BN21" s="16"/>
    </row>
    <row r="22" spans="1:66" s="95" customFormat="1" ht="19.8" customHeight="1" x14ac:dyDescent="0.45">
      <c r="A22" s="93"/>
      <c r="B22" s="93"/>
      <c r="C22" s="92">
        <f t="shared" si="0"/>
        <v>13</v>
      </c>
      <c r="D22" s="72"/>
      <c r="E22" s="73"/>
      <c r="F22" s="73"/>
      <c r="G22" s="74"/>
      <c r="H22" s="94"/>
      <c r="K22" s="96"/>
      <c r="L22" s="72"/>
      <c r="M22" s="73"/>
      <c r="N22" s="73"/>
      <c r="O22" s="74"/>
      <c r="P22" s="72"/>
      <c r="Q22" s="73"/>
      <c r="R22" s="73"/>
      <c r="S22" s="73"/>
      <c r="T22" s="73"/>
      <c r="U22" s="73"/>
      <c r="V22" s="73"/>
      <c r="W22" s="74"/>
      <c r="X22" s="178" t="s">
        <v>99</v>
      </c>
      <c r="Y22" s="176"/>
      <c r="Z22" s="176"/>
      <c r="AA22" s="176"/>
      <c r="AB22" s="176"/>
      <c r="AC22" s="176"/>
      <c r="AD22" s="176"/>
      <c r="AE22" s="179"/>
      <c r="AF22" s="83"/>
      <c r="AG22" s="84"/>
      <c r="AH22" s="84"/>
      <c r="AI22" s="84"/>
      <c r="AJ22" s="84"/>
      <c r="AK22" s="84"/>
      <c r="AL22" s="84"/>
      <c r="AM22" s="84"/>
      <c r="AN22" s="89"/>
      <c r="AO22" s="172">
        <v>45665</v>
      </c>
      <c r="AP22" s="173"/>
      <c r="AQ22" s="149" t="s">
        <v>143</v>
      </c>
      <c r="AR22" s="151"/>
      <c r="AS22" s="149" t="s">
        <v>144</v>
      </c>
      <c r="AT22" s="174"/>
      <c r="AU22" s="172">
        <v>45695</v>
      </c>
      <c r="AV22" s="173"/>
      <c r="AW22" s="149" t="s">
        <v>157</v>
      </c>
      <c r="AX22" s="151"/>
      <c r="AY22" s="149" t="s">
        <v>158</v>
      </c>
      <c r="AZ22" s="174"/>
      <c r="BA22" s="86" t="s">
        <v>156</v>
      </c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8"/>
      <c r="BM22" s="97"/>
      <c r="BN22" s="97"/>
    </row>
    <row r="23" spans="1:66" ht="20.100000000000001" customHeight="1" x14ac:dyDescent="0.45">
      <c r="A23" s="10"/>
      <c r="B23" s="10"/>
      <c r="C23" s="92">
        <f t="shared" si="0"/>
        <v>14</v>
      </c>
      <c r="D23" s="193"/>
      <c r="E23" s="194"/>
      <c r="F23" s="194"/>
      <c r="G23" s="195"/>
      <c r="H23" s="193" t="s">
        <v>59</v>
      </c>
      <c r="I23" s="194"/>
      <c r="J23" s="194"/>
      <c r="K23" s="195"/>
      <c r="L23" s="178" t="s">
        <v>100</v>
      </c>
      <c r="M23" s="176"/>
      <c r="N23" s="176"/>
      <c r="O23" s="179"/>
      <c r="P23" s="184" t="s">
        <v>58</v>
      </c>
      <c r="Q23" s="185"/>
      <c r="R23" s="185"/>
      <c r="S23" s="185"/>
      <c r="T23" s="185"/>
      <c r="U23" s="185"/>
      <c r="V23" s="185"/>
      <c r="W23" s="186"/>
      <c r="X23" s="184" t="s">
        <v>54</v>
      </c>
      <c r="Y23" s="185"/>
      <c r="Z23" s="185"/>
      <c r="AA23" s="185"/>
      <c r="AB23" s="185"/>
      <c r="AC23" s="185"/>
      <c r="AD23" s="185"/>
      <c r="AE23" s="186"/>
      <c r="AF23" s="184"/>
      <c r="AG23" s="185"/>
      <c r="AH23" s="185"/>
      <c r="AI23" s="185"/>
      <c r="AJ23" s="185"/>
      <c r="AK23" s="185"/>
      <c r="AL23" s="185"/>
      <c r="AM23" s="185"/>
      <c r="AN23" s="221"/>
      <c r="AO23" s="172">
        <v>45665</v>
      </c>
      <c r="AP23" s="173"/>
      <c r="AQ23" s="149" t="s">
        <v>143</v>
      </c>
      <c r="AR23" s="151"/>
      <c r="AS23" s="149" t="s">
        <v>147</v>
      </c>
      <c r="AT23" s="174"/>
      <c r="AU23" s="222"/>
      <c r="AV23" s="223"/>
      <c r="AW23" s="224"/>
      <c r="AX23" s="225"/>
      <c r="AY23" s="224"/>
      <c r="AZ23" s="226"/>
      <c r="BA23" s="227"/>
      <c r="BB23" s="228"/>
      <c r="BC23" s="228"/>
      <c r="BD23" s="228"/>
      <c r="BE23" s="228"/>
      <c r="BF23" s="228"/>
      <c r="BG23" s="228"/>
      <c r="BH23" s="228"/>
      <c r="BI23" s="228"/>
      <c r="BJ23" s="228"/>
      <c r="BK23" s="228"/>
      <c r="BL23" s="229"/>
      <c r="BM23" s="16"/>
      <c r="BN23" s="16"/>
    </row>
    <row r="24" spans="1:66" ht="20.100000000000001" customHeight="1" x14ac:dyDescent="0.45">
      <c r="A24" s="10"/>
      <c r="B24" s="10"/>
      <c r="C24" s="92">
        <f t="shared" si="0"/>
        <v>15</v>
      </c>
      <c r="D24" s="193"/>
      <c r="E24" s="194"/>
      <c r="F24" s="194"/>
      <c r="G24" s="195"/>
      <c r="H24" s="193"/>
      <c r="I24" s="194"/>
      <c r="J24" s="194"/>
      <c r="K24" s="195"/>
      <c r="L24" s="178" t="s">
        <v>60</v>
      </c>
      <c r="M24" s="176"/>
      <c r="N24" s="176"/>
      <c r="O24" s="179"/>
      <c r="P24" s="178" t="s">
        <v>58</v>
      </c>
      <c r="Q24" s="176"/>
      <c r="R24" s="176"/>
      <c r="S24" s="176"/>
      <c r="T24" s="176"/>
      <c r="U24" s="176"/>
      <c r="V24" s="176"/>
      <c r="W24" s="179"/>
      <c r="X24" s="178" t="s">
        <v>54</v>
      </c>
      <c r="Y24" s="176"/>
      <c r="Z24" s="176"/>
      <c r="AA24" s="176"/>
      <c r="AB24" s="176"/>
      <c r="AC24" s="176"/>
      <c r="AD24" s="176"/>
      <c r="AE24" s="179"/>
      <c r="AF24" s="178"/>
      <c r="AG24" s="176"/>
      <c r="AH24" s="176"/>
      <c r="AI24" s="176"/>
      <c r="AJ24" s="176"/>
      <c r="AK24" s="176"/>
      <c r="AL24" s="176"/>
      <c r="AM24" s="176"/>
      <c r="AN24" s="180"/>
      <c r="AO24" s="172">
        <v>45665</v>
      </c>
      <c r="AP24" s="173"/>
      <c r="AQ24" s="149" t="s">
        <v>143</v>
      </c>
      <c r="AR24" s="151"/>
      <c r="AS24" s="149" t="s">
        <v>147</v>
      </c>
      <c r="AT24" s="174"/>
      <c r="AU24" s="172"/>
      <c r="AV24" s="173"/>
      <c r="AW24" s="149"/>
      <c r="AX24" s="151"/>
      <c r="AY24" s="149"/>
      <c r="AZ24" s="174"/>
      <c r="BA24" s="196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8"/>
      <c r="BM24" s="16"/>
      <c r="BN24" s="16"/>
    </row>
    <row r="25" spans="1:66" s="75" customFormat="1" ht="20.100000000000001" customHeight="1" x14ac:dyDescent="0.45">
      <c r="A25" s="76"/>
      <c r="B25" s="76"/>
      <c r="C25" s="92">
        <f t="shared" si="0"/>
        <v>16</v>
      </c>
      <c r="D25" s="80"/>
      <c r="E25" s="81"/>
      <c r="F25" s="81"/>
      <c r="G25" s="82"/>
      <c r="H25" s="80"/>
      <c r="I25" s="81"/>
      <c r="J25" s="81"/>
      <c r="K25" s="82"/>
      <c r="L25" s="178" t="s">
        <v>61</v>
      </c>
      <c r="M25" s="176"/>
      <c r="N25" s="176"/>
      <c r="O25" s="179"/>
      <c r="P25" s="178" t="s">
        <v>58</v>
      </c>
      <c r="Q25" s="176"/>
      <c r="R25" s="176"/>
      <c r="S25" s="176"/>
      <c r="T25" s="176"/>
      <c r="U25" s="176"/>
      <c r="V25" s="176"/>
      <c r="W25" s="179"/>
      <c r="X25" s="178" t="s">
        <v>54</v>
      </c>
      <c r="Y25" s="176"/>
      <c r="Z25" s="176"/>
      <c r="AA25" s="176"/>
      <c r="AB25" s="176"/>
      <c r="AC25" s="176"/>
      <c r="AD25" s="176"/>
      <c r="AE25" s="179"/>
      <c r="AF25" s="83"/>
      <c r="AG25" s="84"/>
      <c r="AH25" s="84"/>
      <c r="AI25" s="84"/>
      <c r="AJ25" s="84"/>
      <c r="AK25" s="84"/>
      <c r="AL25" s="84"/>
      <c r="AM25" s="84"/>
      <c r="AN25" s="89"/>
      <c r="AO25" s="172">
        <v>45665</v>
      </c>
      <c r="AP25" s="173"/>
      <c r="AQ25" s="149" t="s">
        <v>143</v>
      </c>
      <c r="AR25" s="151"/>
      <c r="AS25" s="149" t="s">
        <v>147</v>
      </c>
      <c r="AT25" s="174"/>
      <c r="AU25" s="90"/>
      <c r="AV25" s="91"/>
      <c r="AW25" s="78"/>
      <c r="AX25" s="79"/>
      <c r="AY25" s="78"/>
      <c r="AZ25" s="85"/>
      <c r="BA25" s="86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8"/>
      <c r="BM25" s="77"/>
      <c r="BN25" s="77"/>
    </row>
    <row r="26" spans="1:66" s="75" customFormat="1" ht="20.100000000000001" customHeight="1" x14ac:dyDescent="0.45">
      <c r="A26" s="76"/>
      <c r="B26" s="76"/>
      <c r="C26" s="92">
        <f t="shared" si="0"/>
        <v>17</v>
      </c>
      <c r="D26" s="80"/>
      <c r="E26" s="81"/>
      <c r="F26" s="81"/>
      <c r="G26" s="82"/>
      <c r="H26" s="80"/>
      <c r="I26" s="81"/>
      <c r="J26" s="81"/>
      <c r="K26" s="82"/>
      <c r="L26" s="178" t="s">
        <v>101</v>
      </c>
      <c r="M26" s="176"/>
      <c r="N26" s="176"/>
      <c r="O26" s="179"/>
      <c r="P26" s="178" t="s">
        <v>58</v>
      </c>
      <c r="Q26" s="176"/>
      <c r="R26" s="176"/>
      <c r="S26" s="176"/>
      <c r="T26" s="176"/>
      <c r="U26" s="176"/>
      <c r="V26" s="176"/>
      <c r="W26" s="179"/>
      <c r="X26" s="178" t="s">
        <v>54</v>
      </c>
      <c r="Y26" s="176"/>
      <c r="Z26" s="176"/>
      <c r="AA26" s="176"/>
      <c r="AB26" s="176"/>
      <c r="AC26" s="176"/>
      <c r="AD26" s="176"/>
      <c r="AE26" s="179"/>
      <c r="AF26" s="83"/>
      <c r="AG26" s="84"/>
      <c r="AH26" s="84"/>
      <c r="AI26" s="84"/>
      <c r="AJ26" s="84"/>
      <c r="AK26" s="84"/>
      <c r="AL26" s="84"/>
      <c r="AM26" s="84"/>
      <c r="AN26" s="89"/>
      <c r="AO26" s="172">
        <v>45665</v>
      </c>
      <c r="AP26" s="173"/>
      <c r="AQ26" s="149" t="s">
        <v>143</v>
      </c>
      <c r="AR26" s="151"/>
      <c r="AS26" s="149" t="s">
        <v>147</v>
      </c>
      <c r="AT26" s="174"/>
      <c r="AU26" s="90"/>
      <c r="AV26" s="91"/>
      <c r="AW26" s="78"/>
      <c r="AX26" s="79"/>
      <c r="AY26" s="78"/>
      <c r="AZ26" s="85"/>
      <c r="BA26" s="86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8"/>
      <c r="BM26" s="77"/>
      <c r="BN26" s="77"/>
    </row>
    <row r="27" spans="1:66" s="75" customFormat="1" ht="20.100000000000001" customHeight="1" x14ac:dyDescent="0.45">
      <c r="A27" s="76"/>
      <c r="B27" s="76"/>
      <c r="C27" s="92">
        <f t="shared" si="0"/>
        <v>18</v>
      </c>
      <c r="D27" s="80"/>
      <c r="E27" s="81"/>
      <c r="F27" s="81"/>
      <c r="G27" s="82"/>
      <c r="H27" s="80"/>
      <c r="I27" s="81"/>
      <c r="J27" s="81"/>
      <c r="K27" s="82"/>
      <c r="L27" s="178" t="s">
        <v>102</v>
      </c>
      <c r="M27" s="176"/>
      <c r="N27" s="176"/>
      <c r="O27" s="179"/>
      <c r="P27" s="178" t="s">
        <v>58</v>
      </c>
      <c r="Q27" s="176"/>
      <c r="R27" s="176"/>
      <c r="S27" s="176"/>
      <c r="T27" s="176"/>
      <c r="U27" s="176"/>
      <c r="V27" s="176"/>
      <c r="W27" s="179"/>
      <c r="X27" s="178" t="s">
        <v>54</v>
      </c>
      <c r="Y27" s="176"/>
      <c r="Z27" s="176"/>
      <c r="AA27" s="176"/>
      <c r="AB27" s="176"/>
      <c r="AC27" s="176"/>
      <c r="AD27" s="176"/>
      <c r="AE27" s="179"/>
      <c r="AF27" s="83"/>
      <c r="AG27" s="84"/>
      <c r="AH27" s="84"/>
      <c r="AI27" s="84"/>
      <c r="AJ27" s="84"/>
      <c r="AK27" s="84"/>
      <c r="AL27" s="84"/>
      <c r="AM27" s="84"/>
      <c r="AN27" s="89"/>
      <c r="AO27" s="172">
        <v>45665</v>
      </c>
      <c r="AP27" s="173"/>
      <c r="AQ27" s="149" t="s">
        <v>143</v>
      </c>
      <c r="AR27" s="151"/>
      <c r="AS27" s="149" t="s">
        <v>147</v>
      </c>
      <c r="AT27" s="174"/>
      <c r="AU27" s="90"/>
      <c r="AV27" s="91"/>
      <c r="AW27" s="78"/>
      <c r="AX27" s="79"/>
      <c r="AY27" s="78"/>
      <c r="AZ27" s="85"/>
      <c r="BA27" s="86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8"/>
      <c r="BM27" s="77"/>
      <c r="BN27" s="77"/>
    </row>
    <row r="28" spans="1:66" s="75" customFormat="1" ht="20.100000000000001" customHeight="1" x14ac:dyDescent="0.45">
      <c r="A28" s="76"/>
      <c r="B28" s="76"/>
      <c r="C28" s="92">
        <f t="shared" si="0"/>
        <v>19</v>
      </c>
      <c r="D28" s="80"/>
      <c r="E28" s="81"/>
      <c r="F28" s="81"/>
      <c r="G28" s="82"/>
      <c r="H28" s="80"/>
      <c r="I28" s="81"/>
      <c r="J28" s="81"/>
      <c r="K28" s="82"/>
      <c r="L28" s="178" t="s">
        <v>62</v>
      </c>
      <c r="M28" s="176"/>
      <c r="N28" s="176"/>
      <c r="O28" s="179"/>
      <c r="P28" s="178" t="s">
        <v>58</v>
      </c>
      <c r="Q28" s="176"/>
      <c r="R28" s="176"/>
      <c r="S28" s="176"/>
      <c r="T28" s="176"/>
      <c r="U28" s="176"/>
      <c r="V28" s="176"/>
      <c r="W28" s="179"/>
      <c r="X28" s="178" t="s">
        <v>54</v>
      </c>
      <c r="Y28" s="176"/>
      <c r="Z28" s="176"/>
      <c r="AA28" s="176"/>
      <c r="AB28" s="176"/>
      <c r="AC28" s="176"/>
      <c r="AD28" s="176"/>
      <c r="AE28" s="179"/>
      <c r="AF28" s="83"/>
      <c r="AG28" s="84"/>
      <c r="AH28" s="84"/>
      <c r="AI28" s="84"/>
      <c r="AJ28" s="84"/>
      <c r="AK28" s="84"/>
      <c r="AL28" s="84"/>
      <c r="AM28" s="84"/>
      <c r="AN28" s="89"/>
      <c r="AO28" s="172">
        <v>45665</v>
      </c>
      <c r="AP28" s="173"/>
      <c r="AQ28" s="149" t="s">
        <v>143</v>
      </c>
      <c r="AR28" s="151"/>
      <c r="AS28" s="149" t="s">
        <v>147</v>
      </c>
      <c r="AT28" s="174"/>
      <c r="AU28" s="90"/>
      <c r="AV28" s="91"/>
      <c r="AW28" s="78"/>
      <c r="AX28" s="79"/>
      <c r="AY28" s="78"/>
      <c r="AZ28" s="85"/>
      <c r="BA28" s="86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8"/>
      <c r="BM28" s="77"/>
      <c r="BN28" s="77"/>
    </row>
    <row r="29" spans="1:66" s="75" customFormat="1" ht="20.100000000000001" customHeight="1" x14ac:dyDescent="0.45">
      <c r="A29" s="76"/>
      <c r="B29" s="76"/>
      <c r="C29" s="92">
        <f t="shared" si="0"/>
        <v>20</v>
      </c>
      <c r="D29" s="80"/>
      <c r="E29" s="81"/>
      <c r="F29" s="81"/>
      <c r="G29" s="82"/>
      <c r="H29" s="80"/>
      <c r="I29" s="81"/>
      <c r="J29" s="81"/>
      <c r="K29" s="82"/>
      <c r="L29" s="178" t="s">
        <v>103</v>
      </c>
      <c r="M29" s="176"/>
      <c r="N29" s="176"/>
      <c r="O29" s="179"/>
      <c r="P29" s="178" t="s">
        <v>58</v>
      </c>
      <c r="Q29" s="176"/>
      <c r="R29" s="176"/>
      <c r="S29" s="176"/>
      <c r="T29" s="176"/>
      <c r="U29" s="176"/>
      <c r="V29" s="176"/>
      <c r="W29" s="179"/>
      <c r="X29" s="178" t="s">
        <v>54</v>
      </c>
      <c r="Y29" s="176"/>
      <c r="Z29" s="176"/>
      <c r="AA29" s="176"/>
      <c r="AB29" s="176"/>
      <c r="AC29" s="176"/>
      <c r="AD29" s="176"/>
      <c r="AE29" s="179"/>
      <c r="AF29" s="83"/>
      <c r="AG29" s="84"/>
      <c r="AH29" s="84"/>
      <c r="AI29" s="84"/>
      <c r="AJ29" s="84"/>
      <c r="AK29" s="84"/>
      <c r="AL29" s="84"/>
      <c r="AM29" s="84"/>
      <c r="AN29" s="89"/>
      <c r="AO29" s="172">
        <v>45665</v>
      </c>
      <c r="AP29" s="173"/>
      <c r="AQ29" s="149" t="s">
        <v>143</v>
      </c>
      <c r="AR29" s="151"/>
      <c r="AS29" s="149" t="s">
        <v>147</v>
      </c>
      <c r="AT29" s="174"/>
      <c r="AU29" s="90"/>
      <c r="AV29" s="91"/>
      <c r="AW29" s="78"/>
      <c r="AX29" s="79"/>
      <c r="AY29" s="78"/>
      <c r="AZ29" s="85"/>
      <c r="BA29" s="86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8"/>
      <c r="BM29" s="77"/>
      <c r="BN29" s="77"/>
    </row>
    <row r="30" spans="1:66" s="75" customFormat="1" ht="20.100000000000001" customHeight="1" x14ac:dyDescent="0.45">
      <c r="A30" s="76"/>
      <c r="B30" s="76"/>
      <c r="C30" s="92">
        <f t="shared" si="0"/>
        <v>21</v>
      </c>
      <c r="D30" s="80"/>
      <c r="E30" s="81"/>
      <c r="F30" s="81"/>
      <c r="G30" s="82"/>
      <c r="H30" s="80"/>
      <c r="I30" s="81"/>
      <c r="J30" s="81"/>
      <c r="K30" s="82"/>
      <c r="L30" s="178" t="s">
        <v>104</v>
      </c>
      <c r="M30" s="176"/>
      <c r="N30" s="176"/>
      <c r="O30" s="179"/>
      <c r="P30" s="178" t="s">
        <v>58</v>
      </c>
      <c r="Q30" s="176"/>
      <c r="R30" s="176"/>
      <c r="S30" s="176"/>
      <c r="T30" s="176"/>
      <c r="U30" s="176"/>
      <c r="V30" s="176"/>
      <c r="W30" s="179"/>
      <c r="X30" s="178" t="s">
        <v>54</v>
      </c>
      <c r="Y30" s="176"/>
      <c r="Z30" s="176"/>
      <c r="AA30" s="176"/>
      <c r="AB30" s="176"/>
      <c r="AC30" s="176"/>
      <c r="AD30" s="176"/>
      <c r="AE30" s="179"/>
      <c r="AF30" s="83"/>
      <c r="AG30" s="84"/>
      <c r="AH30" s="84"/>
      <c r="AI30" s="84"/>
      <c r="AJ30" s="84"/>
      <c r="AK30" s="84"/>
      <c r="AL30" s="84"/>
      <c r="AM30" s="84"/>
      <c r="AN30" s="89"/>
      <c r="AO30" s="172">
        <v>45665</v>
      </c>
      <c r="AP30" s="173"/>
      <c r="AQ30" s="149" t="s">
        <v>143</v>
      </c>
      <c r="AR30" s="151"/>
      <c r="AS30" s="149" t="s">
        <v>147</v>
      </c>
      <c r="AT30" s="174"/>
      <c r="AU30" s="90"/>
      <c r="AV30" s="91"/>
      <c r="AW30" s="78"/>
      <c r="AX30" s="79"/>
      <c r="AY30" s="78"/>
      <c r="AZ30" s="85"/>
      <c r="BA30" s="86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  <c r="BM30" s="77"/>
      <c r="BN30" s="77"/>
    </row>
    <row r="31" spans="1:66" s="75" customFormat="1" ht="20.100000000000001" customHeight="1" x14ac:dyDescent="0.45">
      <c r="A31" s="76"/>
      <c r="B31" s="76"/>
      <c r="C31" s="92">
        <f t="shared" si="0"/>
        <v>22</v>
      </c>
      <c r="D31" s="80"/>
      <c r="E31" s="81"/>
      <c r="F31" s="81"/>
      <c r="G31" s="82"/>
      <c r="H31" s="80"/>
      <c r="I31" s="81"/>
      <c r="J31" s="81"/>
      <c r="K31" s="82"/>
      <c r="L31" s="178" t="s">
        <v>105</v>
      </c>
      <c r="M31" s="176"/>
      <c r="N31" s="176"/>
      <c r="O31" s="179"/>
      <c r="P31" s="178" t="s">
        <v>58</v>
      </c>
      <c r="Q31" s="176"/>
      <c r="R31" s="176"/>
      <c r="S31" s="176"/>
      <c r="T31" s="176"/>
      <c r="U31" s="176"/>
      <c r="V31" s="176"/>
      <c r="W31" s="179"/>
      <c r="X31" s="178" t="s">
        <v>54</v>
      </c>
      <c r="Y31" s="176"/>
      <c r="Z31" s="176"/>
      <c r="AA31" s="176"/>
      <c r="AB31" s="176"/>
      <c r="AC31" s="176"/>
      <c r="AD31" s="176"/>
      <c r="AE31" s="179"/>
      <c r="AF31" s="83"/>
      <c r="AG31" s="84"/>
      <c r="AH31" s="84"/>
      <c r="AI31" s="84"/>
      <c r="AJ31" s="84"/>
      <c r="AK31" s="84"/>
      <c r="AL31" s="84"/>
      <c r="AM31" s="84"/>
      <c r="AN31" s="89"/>
      <c r="AO31" s="172">
        <v>45665</v>
      </c>
      <c r="AP31" s="173"/>
      <c r="AQ31" s="149" t="s">
        <v>143</v>
      </c>
      <c r="AR31" s="151"/>
      <c r="AS31" s="149" t="s">
        <v>147</v>
      </c>
      <c r="AT31" s="174"/>
      <c r="AU31" s="90"/>
      <c r="AV31" s="91"/>
      <c r="AW31" s="78"/>
      <c r="AX31" s="79"/>
      <c r="AY31" s="78"/>
      <c r="AZ31" s="85"/>
      <c r="BA31" s="86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8"/>
      <c r="BM31" s="77"/>
      <c r="BN31" s="77"/>
    </row>
    <row r="32" spans="1:66" s="75" customFormat="1" ht="20.100000000000001" customHeight="1" x14ac:dyDescent="0.45">
      <c r="A32" s="76"/>
      <c r="B32" s="76"/>
      <c r="C32" s="92">
        <f t="shared" si="0"/>
        <v>23</v>
      </c>
      <c r="D32" s="80"/>
      <c r="E32" s="81"/>
      <c r="F32" s="81"/>
      <c r="G32" s="82"/>
      <c r="H32" s="80"/>
      <c r="I32" s="81"/>
      <c r="J32" s="81"/>
      <c r="K32" s="82"/>
      <c r="L32" s="178" t="s">
        <v>106</v>
      </c>
      <c r="M32" s="176"/>
      <c r="N32" s="176"/>
      <c r="O32" s="179"/>
      <c r="P32" s="178" t="s">
        <v>58</v>
      </c>
      <c r="Q32" s="176"/>
      <c r="R32" s="176"/>
      <c r="S32" s="176"/>
      <c r="T32" s="176"/>
      <c r="U32" s="176"/>
      <c r="V32" s="176"/>
      <c r="W32" s="179"/>
      <c r="X32" s="178" t="s">
        <v>54</v>
      </c>
      <c r="Y32" s="176"/>
      <c r="Z32" s="176"/>
      <c r="AA32" s="176"/>
      <c r="AB32" s="176"/>
      <c r="AC32" s="176"/>
      <c r="AD32" s="176"/>
      <c r="AE32" s="179"/>
      <c r="AF32" s="83"/>
      <c r="AG32" s="84"/>
      <c r="AH32" s="84"/>
      <c r="AI32" s="84"/>
      <c r="AJ32" s="84"/>
      <c r="AK32" s="84"/>
      <c r="AL32" s="84"/>
      <c r="AM32" s="84"/>
      <c r="AN32" s="89"/>
      <c r="AO32" s="172">
        <v>45665</v>
      </c>
      <c r="AP32" s="173"/>
      <c r="AQ32" s="149" t="s">
        <v>143</v>
      </c>
      <c r="AR32" s="151"/>
      <c r="AS32" s="149" t="s">
        <v>147</v>
      </c>
      <c r="AT32" s="174"/>
      <c r="AU32" s="90"/>
      <c r="AV32" s="91"/>
      <c r="AW32" s="78"/>
      <c r="AX32" s="79"/>
      <c r="AY32" s="78"/>
      <c r="AZ32" s="85"/>
      <c r="BA32" s="86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BM32" s="77"/>
      <c r="BN32" s="77"/>
    </row>
    <row r="33" spans="1:66" s="75" customFormat="1" ht="20.100000000000001" customHeight="1" x14ac:dyDescent="0.45">
      <c r="A33" s="76"/>
      <c r="B33" s="76"/>
      <c r="C33" s="92">
        <f t="shared" si="0"/>
        <v>24</v>
      </c>
      <c r="D33" s="80"/>
      <c r="E33" s="81"/>
      <c r="F33" s="81"/>
      <c r="G33" s="82"/>
      <c r="H33" s="80"/>
      <c r="I33" s="81"/>
      <c r="J33" s="81"/>
      <c r="K33" s="82"/>
      <c r="L33" s="178" t="s">
        <v>107</v>
      </c>
      <c r="M33" s="176"/>
      <c r="N33" s="176"/>
      <c r="O33" s="179"/>
      <c r="P33" s="178" t="s">
        <v>58</v>
      </c>
      <c r="Q33" s="176"/>
      <c r="R33" s="176"/>
      <c r="S33" s="176"/>
      <c r="T33" s="176"/>
      <c r="U33" s="176"/>
      <c r="V33" s="176"/>
      <c r="W33" s="179"/>
      <c r="X33" s="178" t="s">
        <v>54</v>
      </c>
      <c r="Y33" s="176"/>
      <c r="Z33" s="176"/>
      <c r="AA33" s="176"/>
      <c r="AB33" s="176"/>
      <c r="AC33" s="176"/>
      <c r="AD33" s="176"/>
      <c r="AE33" s="179"/>
      <c r="AF33" s="83"/>
      <c r="AG33" s="84"/>
      <c r="AH33" s="84"/>
      <c r="AI33" s="84"/>
      <c r="AJ33" s="84"/>
      <c r="AK33" s="84"/>
      <c r="AL33" s="84"/>
      <c r="AM33" s="84"/>
      <c r="AN33" s="89"/>
      <c r="AO33" s="172">
        <v>45665</v>
      </c>
      <c r="AP33" s="173"/>
      <c r="AQ33" s="149" t="s">
        <v>143</v>
      </c>
      <c r="AR33" s="151"/>
      <c r="AS33" s="149" t="s">
        <v>147</v>
      </c>
      <c r="AT33" s="174"/>
      <c r="AU33" s="90"/>
      <c r="AV33" s="91"/>
      <c r="AW33" s="78"/>
      <c r="AX33" s="79"/>
      <c r="AY33" s="78"/>
      <c r="AZ33" s="85"/>
      <c r="BA33" s="86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8"/>
      <c r="BM33" s="77"/>
      <c r="BN33" s="77"/>
    </row>
    <row r="34" spans="1:66" s="75" customFormat="1" ht="20.100000000000001" customHeight="1" x14ac:dyDescent="0.45">
      <c r="A34" s="76"/>
      <c r="B34" s="76"/>
      <c r="C34" s="92">
        <f t="shared" si="0"/>
        <v>25</v>
      </c>
      <c r="D34" s="80"/>
      <c r="E34" s="81"/>
      <c r="F34" s="81"/>
      <c r="G34" s="82"/>
      <c r="H34" s="80"/>
      <c r="I34" s="81"/>
      <c r="J34" s="81"/>
      <c r="K34" s="82"/>
      <c r="L34" s="178" t="s">
        <v>108</v>
      </c>
      <c r="M34" s="176"/>
      <c r="N34" s="176"/>
      <c r="O34" s="179"/>
      <c r="P34" s="178" t="s">
        <v>58</v>
      </c>
      <c r="Q34" s="176"/>
      <c r="R34" s="176"/>
      <c r="S34" s="176"/>
      <c r="T34" s="176"/>
      <c r="U34" s="176"/>
      <c r="V34" s="176"/>
      <c r="W34" s="179"/>
      <c r="X34" s="178" t="s">
        <v>54</v>
      </c>
      <c r="Y34" s="176"/>
      <c r="Z34" s="176"/>
      <c r="AA34" s="176"/>
      <c r="AB34" s="176"/>
      <c r="AC34" s="176"/>
      <c r="AD34" s="176"/>
      <c r="AE34" s="179"/>
      <c r="AF34" s="83"/>
      <c r="AG34" s="84"/>
      <c r="AH34" s="84"/>
      <c r="AI34" s="84"/>
      <c r="AJ34" s="84"/>
      <c r="AK34" s="84"/>
      <c r="AL34" s="84"/>
      <c r="AM34" s="84"/>
      <c r="AN34" s="89"/>
      <c r="AO34" s="172">
        <v>45665</v>
      </c>
      <c r="AP34" s="173"/>
      <c r="AQ34" s="149" t="s">
        <v>143</v>
      </c>
      <c r="AR34" s="151"/>
      <c r="AS34" s="149" t="s">
        <v>147</v>
      </c>
      <c r="AT34" s="174"/>
      <c r="AU34" s="90"/>
      <c r="AV34" s="91"/>
      <c r="AW34" s="78"/>
      <c r="AX34" s="79"/>
      <c r="AY34" s="78"/>
      <c r="AZ34" s="85"/>
      <c r="BA34" s="86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8"/>
      <c r="BM34" s="77"/>
      <c r="BN34" s="77"/>
    </row>
    <row r="35" spans="1:66" s="75" customFormat="1" ht="20.100000000000001" customHeight="1" x14ac:dyDescent="0.45">
      <c r="A35" s="76"/>
      <c r="B35" s="76"/>
      <c r="C35" s="92">
        <f t="shared" si="0"/>
        <v>26</v>
      </c>
      <c r="D35" s="80"/>
      <c r="E35" s="81"/>
      <c r="F35" s="81"/>
      <c r="G35" s="82"/>
      <c r="H35" s="80"/>
      <c r="I35" s="81"/>
      <c r="J35" s="81"/>
      <c r="K35" s="82"/>
      <c r="L35" s="178" t="s">
        <v>109</v>
      </c>
      <c r="M35" s="176"/>
      <c r="N35" s="176"/>
      <c r="O35" s="179"/>
      <c r="P35" s="178" t="s">
        <v>58</v>
      </c>
      <c r="Q35" s="176"/>
      <c r="R35" s="176"/>
      <c r="S35" s="176"/>
      <c r="T35" s="176"/>
      <c r="U35" s="176"/>
      <c r="V35" s="176"/>
      <c r="W35" s="179"/>
      <c r="X35" s="178" t="s">
        <v>54</v>
      </c>
      <c r="Y35" s="176"/>
      <c r="Z35" s="176"/>
      <c r="AA35" s="176"/>
      <c r="AB35" s="176"/>
      <c r="AC35" s="176"/>
      <c r="AD35" s="176"/>
      <c r="AE35" s="179"/>
      <c r="AF35" s="83"/>
      <c r="AG35" s="84"/>
      <c r="AH35" s="84"/>
      <c r="AI35" s="84"/>
      <c r="AJ35" s="84"/>
      <c r="AK35" s="84"/>
      <c r="AL35" s="84"/>
      <c r="AM35" s="84"/>
      <c r="AN35" s="89"/>
      <c r="AO35" s="172">
        <v>45665</v>
      </c>
      <c r="AP35" s="173"/>
      <c r="AQ35" s="149" t="s">
        <v>143</v>
      </c>
      <c r="AR35" s="151"/>
      <c r="AS35" s="149" t="s">
        <v>147</v>
      </c>
      <c r="AT35" s="174"/>
      <c r="AU35" s="90"/>
      <c r="AV35" s="91"/>
      <c r="AW35" s="78"/>
      <c r="AX35" s="79"/>
      <c r="AY35" s="78"/>
      <c r="AZ35" s="85"/>
      <c r="BA35" s="86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8"/>
      <c r="BM35" s="77"/>
      <c r="BN35" s="77"/>
    </row>
    <row r="36" spans="1:66" s="75" customFormat="1" ht="20.100000000000001" customHeight="1" x14ac:dyDescent="0.45">
      <c r="A36" s="76"/>
      <c r="B36" s="76"/>
      <c r="C36" s="92">
        <f t="shared" si="0"/>
        <v>27</v>
      </c>
      <c r="D36" s="80"/>
      <c r="E36" s="81"/>
      <c r="F36" s="81"/>
      <c r="G36" s="82"/>
      <c r="H36" s="80"/>
      <c r="I36" s="81"/>
      <c r="J36" s="81"/>
      <c r="K36" s="82"/>
      <c r="L36" s="178" t="s">
        <v>110</v>
      </c>
      <c r="M36" s="176"/>
      <c r="N36" s="176"/>
      <c r="O36" s="179"/>
      <c r="P36" s="178" t="s">
        <v>58</v>
      </c>
      <c r="Q36" s="176"/>
      <c r="R36" s="176"/>
      <c r="S36" s="176"/>
      <c r="T36" s="176"/>
      <c r="U36" s="176"/>
      <c r="V36" s="176"/>
      <c r="W36" s="179"/>
      <c r="X36" s="178" t="s">
        <v>54</v>
      </c>
      <c r="Y36" s="176"/>
      <c r="Z36" s="176"/>
      <c r="AA36" s="176"/>
      <c r="AB36" s="176"/>
      <c r="AC36" s="176"/>
      <c r="AD36" s="176"/>
      <c r="AE36" s="179"/>
      <c r="AF36" s="83"/>
      <c r="AG36" s="84"/>
      <c r="AH36" s="84"/>
      <c r="AI36" s="84"/>
      <c r="AJ36" s="84"/>
      <c r="AK36" s="84"/>
      <c r="AL36" s="84"/>
      <c r="AM36" s="84"/>
      <c r="AN36" s="89"/>
      <c r="AO36" s="172">
        <v>45665</v>
      </c>
      <c r="AP36" s="173"/>
      <c r="AQ36" s="149" t="s">
        <v>143</v>
      </c>
      <c r="AR36" s="151"/>
      <c r="AS36" s="149" t="s">
        <v>147</v>
      </c>
      <c r="AT36" s="174"/>
      <c r="AU36" s="90"/>
      <c r="AV36" s="91"/>
      <c r="AW36" s="78"/>
      <c r="AX36" s="79"/>
      <c r="AY36" s="78"/>
      <c r="AZ36" s="85"/>
      <c r="BA36" s="86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8"/>
      <c r="BM36" s="77"/>
      <c r="BN36" s="77"/>
    </row>
    <row r="37" spans="1:66" s="75" customFormat="1" ht="20.100000000000001" customHeight="1" x14ac:dyDescent="0.45">
      <c r="A37" s="76"/>
      <c r="B37" s="76"/>
      <c r="C37" s="92">
        <f t="shared" si="0"/>
        <v>28</v>
      </c>
      <c r="D37" s="80"/>
      <c r="E37" s="81"/>
      <c r="F37" s="81"/>
      <c r="G37" s="82"/>
      <c r="H37" s="80"/>
      <c r="I37" s="81"/>
      <c r="J37" s="81"/>
      <c r="K37" s="82"/>
      <c r="L37" s="178" t="s">
        <v>111</v>
      </c>
      <c r="M37" s="176"/>
      <c r="N37" s="176"/>
      <c r="O37" s="179"/>
      <c r="P37" s="178" t="s">
        <v>58</v>
      </c>
      <c r="Q37" s="176"/>
      <c r="R37" s="176"/>
      <c r="S37" s="176"/>
      <c r="T37" s="176"/>
      <c r="U37" s="176"/>
      <c r="V37" s="176"/>
      <c r="W37" s="179"/>
      <c r="X37" s="178" t="s">
        <v>54</v>
      </c>
      <c r="Y37" s="176"/>
      <c r="Z37" s="176"/>
      <c r="AA37" s="176"/>
      <c r="AB37" s="176"/>
      <c r="AC37" s="176"/>
      <c r="AD37" s="176"/>
      <c r="AE37" s="179"/>
      <c r="AF37" s="83"/>
      <c r="AG37" s="84"/>
      <c r="AH37" s="84"/>
      <c r="AI37" s="84"/>
      <c r="AJ37" s="84"/>
      <c r="AK37" s="84"/>
      <c r="AL37" s="84"/>
      <c r="AM37" s="84"/>
      <c r="AN37" s="89"/>
      <c r="AO37" s="172">
        <v>45665</v>
      </c>
      <c r="AP37" s="173"/>
      <c r="AQ37" s="149" t="s">
        <v>143</v>
      </c>
      <c r="AR37" s="151"/>
      <c r="AS37" s="149" t="s">
        <v>147</v>
      </c>
      <c r="AT37" s="174"/>
      <c r="AU37" s="90"/>
      <c r="AV37" s="91"/>
      <c r="AW37" s="78"/>
      <c r="AX37" s="79"/>
      <c r="AY37" s="78"/>
      <c r="AZ37" s="85"/>
      <c r="BA37" s="86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8"/>
      <c r="BM37" s="77"/>
      <c r="BN37" s="77"/>
    </row>
    <row r="38" spans="1:66" s="75" customFormat="1" ht="20.100000000000001" customHeight="1" x14ac:dyDescent="0.45">
      <c r="A38" s="76"/>
      <c r="B38" s="76"/>
      <c r="C38" s="92">
        <f t="shared" si="0"/>
        <v>29</v>
      </c>
      <c r="D38" s="80"/>
      <c r="E38" s="81"/>
      <c r="F38" s="81"/>
      <c r="G38" s="82"/>
      <c r="H38" s="80"/>
      <c r="I38" s="81"/>
      <c r="J38" s="81"/>
      <c r="K38" s="82"/>
      <c r="L38" s="178" t="s">
        <v>112</v>
      </c>
      <c r="M38" s="176"/>
      <c r="N38" s="176"/>
      <c r="O38" s="179"/>
      <c r="P38" s="178" t="s">
        <v>58</v>
      </c>
      <c r="Q38" s="176"/>
      <c r="R38" s="176"/>
      <c r="S38" s="176"/>
      <c r="T38" s="176"/>
      <c r="U38" s="176"/>
      <c r="V38" s="176"/>
      <c r="W38" s="179"/>
      <c r="X38" s="178" t="s">
        <v>54</v>
      </c>
      <c r="Y38" s="176"/>
      <c r="Z38" s="176"/>
      <c r="AA38" s="176"/>
      <c r="AB38" s="176"/>
      <c r="AC38" s="176"/>
      <c r="AD38" s="176"/>
      <c r="AE38" s="179"/>
      <c r="AF38" s="83"/>
      <c r="AG38" s="84"/>
      <c r="AH38" s="84"/>
      <c r="AI38" s="84"/>
      <c r="AJ38" s="84"/>
      <c r="AK38" s="84"/>
      <c r="AL38" s="84"/>
      <c r="AM38" s="84"/>
      <c r="AN38" s="89"/>
      <c r="AO38" s="172">
        <v>45665</v>
      </c>
      <c r="AP38" s="173"/>
      <c r="AQ38" s="149" t="s">
        <v>143</v>
      </c>
      <c r="AR38" s="151"/>
      <c r="AS38" s="149" t="s">
        <v>147</v>
      </c>
      <c r="AT38" s="174"/>
      <c r="AU38" s="90"/>
      <c r="AV38" s="91"/>
      <c r="AW38" s="78"/>
      <c r="AX38" s="79"/>
      <c r="AY38" s="78"/>
      <c r="AZ38" s="85"/>
      <c r="BA38" s="86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8"/>
      <c r="BM38" s="77"/>
      <c r="BN38" s="77"/>
    </row>
    <row r="39" spans="1:66" s="75" customFormat="1" ht="20.100000000000001" customHeight="1" x14ac:dyDescent="0.45">
      <c r="A39" s="76"/>
      <c r="B39" s="76"/>
      <c r="C39" s="92">
        <f t="shared" si="0"/>
        <v>30</v>
      </c>
      <c r="D39" s="80"/>
      <c r="E39" s="81"/>
      <c r="F39" s="81"/>
      <c r="G39" s="82"/>
      <c r="H39" s="80"/>
      <c r="I39" s="81"/>
      <c r="J39" s="81"/>
      <c r="K39" s="82"/>
      <c r="L39" s="178" t="s">
        <v>113</v>
      </c>
      <c r="M39" s="176"/>
      <c r="N39" s="176"/>
      <c r="O39" s="179"/>
      <c r="P39" s="178" t="s">
        <v>58</v>
      </c>
      <c r="Q39" s="176"/>
      <c r="R39" s="176"/>
      <c r="S39" s="176"/>
      <c r="T39" s="176"/>
      <c r="U39" s="176"/>
      <c r="V39" s="176"/>
      <c r="W39" s="179"/>
      <c r="X39" s="178" t="s">
        <v>54</v>
      </c>
      <c r="Y39" s="176"/>
      <c r="Z39" s="176"/>
      <c r="AA39" s="176"/>
      <c r="AB39" s="176"/>
      <c r="AC39" s="176"/>
      <c r="AD39" s="176"/>
      <c r="AE39" s="179"/>
      <c r="AF39" s="83"/>
      <c r="AG39" s="84"/>
      <c r="AH39" s="84"/>
      <c r="AI39" s="84"/>
      <c r="AJ39" s="84"/>
      <c r="AK39" s="84"/>
      <c r="AL39" s="84"/>
      <c r="AM39" s="84"/>
      <c r="AN39" s="89"/>
      <c r="AO39" s="172">
        <v>45665</v>
      </c>
      <c r="AP39" s="173"/>
      <c r="AQ39" s="149" t="s">
        <v>143</v>
      </c>
      <c r="AR39" s="151"/>
      <c r="AS39" s="149" t="s">
        <v>147</v>
      </c>
      <c r="AT39" s="174"/>
      <c r="AU39" s="90"/>
      <c r="AV39" s="91"/>
      <c r="AW39" s="78"/>
      <c r="AX39" s="79"/>
      <c r="AY39" s="78"/>
      <c r="AZ39" s="85"/>
      <c r="BA39" s="86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8"/>
      <c r="BM39" s="77"/>
      <c r="BN39" s="77"/>
    </row>
    <row r="40" spans="1:66" s="75" customFormat="1" ht="20.100000000000001" customHeight="1" x14ac:dyDescent="0.45">
      <c r="A40" s="76"/>
      <c r="B40" s="76"/>
      <c r="C40" s="92">
        <f t="shared" si="0"/>
        <v>31</v>
      </c>
      <c r="D40" s="80"/>
      <c r="E40" s="81"/>
      <c r="F40" s="81"/>
      <c r="G40" s="82"/>
      <c r="H40" s="80"/>
      <c r="I40" s="81"/>
      <c r="J40" s="81"/>
      <c r="K40" s="82"/>
      <c r="L40" s="178" t="s">
        <v>114</v>
      </c>
      <c r="M40" s="176"/>
      <c r="N40" s="176"/>
      <c r="O40" s="179"/>
      <c r="P40" s="178" t="s">
        <v>58</v>
      </c>
      <c r="Q40" s="176"/>
      <c r="R40" s="176"/>
      <c r="S40" s="176"/>
      <c r="T40" s="176"/>
      <c r="U40" s="176"/>
      <c r="V40" s="176"/>
      <c r="W40" s="179"/>
      <c r="X40" s="178" t="s">
        <v>54</v>
      </c>
      <c r="Y40" s="176"/>
      <c r="Z40" s="176"/>
      <c r="AA40" s="176"/>
      <c r="AB40" s="176"/>
      <c r="AC40" s="176"/>
      <c r="AD40" s="176"/>
      <c r="AE40" s="179"/>
      <c r="AF40" s="83"/>
      <c r="AG40" s="84"/>
      <c r="AH40" s="84"/>
      <c r="AI40" s="84"/>
      <c r="AJ40" s="84"/>
      <c r="AK40" s="84"/>
      <c r="AL40" s="84"/>
      <c r="AM40" s="84"/>
      <c r="AN40" s="89"/>
      <c r="AO40" s="172">
        <v>45665</v>
      </c>
      <c r="AP40" s="173"/>
      <c r="AQ40" s="149" t="s">
        <v>143</v>
      </c>
      <c r="AR40" s="151"/>
      <c r="AS40" s="149" t="s">
        <v>147</v>
      </c>
      <c r="AT40" s="174"/>
      <c r="AU40" s="90"/>
      <c r="AV40" s="91"/>
      <c r="AW40" s="78"/>
      <c r="AX40" s="79"/>
      <c r="AY40" s="78"/>
      <c r="AZ40" s="85"/>
      <c r="BA40" s="86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8"/>
      <c r="BM40" s="77"/>
      <c r="BN40" s="77"/>
    </row>
    <row r="41" spans="1:66" s="75" customFormat="1" ht="20.100000000000001" customHeight="1" x14ac:dyDescent="0.45">
      <c r="A41" s="76"/>
      <c r="B41" s="76"/>
      <c r="C41" s="92">
        <f t="shared" si="0"/>
        <v>32</v>
      </c>
      <c r="D41" s="80"/>
      <c r="E41" s="81"/>
      <c r="F41" s="81"/>
      <c r="G41" s="82"/>
      <c r="H41" s="80"/>
      <c r="I41" s="81"/>
      <c r="J41" s="81"/>
      <c r="K41" s="82"/>
      <c r="L41" s="178" t="s">
        <v>65</v>
      </c>
      <c r="M41" s="176"/>
      <c r="N41" s="176"/>
      <c r="O41" s="179"/>
      <c r="P41" s="178" t="s">
        <v>58</v>
      </c>
      <c r="Q41" s="176"/>
      <c r="R41" s="176"/>
      <c r="S41" s="176"/>
      <c r="T41" s="176"/>
      <c r="U41" s="176"/>
      <c r="V41" s="176"/>
      <c r="W41" s="179"/>
      <c r="X41" s="178" t="s">
        <v>54</v>
      </c>
      <c r="Y41" s="176"/>
      <c r="Z41" s="176"/>
      <c r="AA41" s="176"/>
      <c r="AB41" s="176"/>
      <c r="AC41" s="176"/>
      <c r="AD41" s="176"/>
      <c r="AE41" s="179"/>
      <c r="AF41" s="83"/>
      <c r="AG41" s="84"/>
      <c r="AH41" s="84"/>
      <c r="AI41" s="84"/>
      <c r="AJ41" s="84"/>
      <c r="AK41" s="84"/>
      <c r="AL41" s="84"/>
      <c r="AM41" s="84"/>
      <c r="AN41" s="89"/>
      <c r="AO41" s="172">
        <v>45665</v>
      </c>
      <c r="AP41" s="173"/>
      <c r="AQ41" s="149" t="s">
        <v>143</v>
      </c>
      <c r="AR41" s="151"/>
      <c r="AS41" s="149" t="s">
        <v>147</v>
      </c>
      <c r="AT41" s="174"/>
      <c r="AU41" s="90"/>
      <c r="AV41" s="91"/>
      <c r="AW41" s="78"/>
      <c r="AX41" s="79"/>
      <c r="AY41" s="78"/>
      <c r="AZ41" s="85"/>
      <c r="BA41" s="86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BM41" s="77"/>
      <c r="BN41" s="77"/>
    </row>
    <row r="42" spans="1:66" s="75" customFormat="1" ht="20.100000000000001" customHeight="1" x14ac:dyDescent="0.45">
      <c r="A42" s="76"/>
      <c r="B42" s="76"/>
      <c r="C42" s="92">
        <f t="shared" si="0"/>
        <v>33</v>
      </c>
      <c r="D42" s="80"/>
      <c r="E42" s="81"/>
      <c r="F42" s="81"/>
      <c r="G42" s="82"/>
      <c r="H42" s="80"/>
      <c r="I42" s="81"/>
      <c r="J42" s="81"/>
      <c r="K42" s="82"/>
      <c r="L42" s="178" t="s">
        <v>115</v>
      </c>
      <c r="M42" s="176"/>
      <c r="N42" s="176"/>
      <c r="O42" s="179"/>
      <c r="P42" s="178" t="s">
        <v>58</v>
      </c>
      <c r="Q42" s="176"/>
      <c r="R42" s="176"/>
      <c r="S42" s="176"/>
      <c r="T42" s="176"/>
      <c r="U42" s="176"/>
      <c r="V42" s="176"/>
      <c r="W42" s="179"/>
      <c r="X42" s="178" t="s">
        <v>54</v>
      </c>
      <c r="Y42" s="176"/>
      <c r="Z42" s="176"/>
      <c r="AA42" s="176"/>
      <c r="AB42" s="176"/>
      <c r="AC42" s="176"/>
      <c r="AD42" s="176"/>
      <c r="AE42" s="179"/>
      <c r="AF42" s="83"/>
      <c r="AG42" s="84"/>
      <c r="AH42" s="84"/>
      <c r="AI42" s="84"/>
      <c r="AJ42" s="84"/>
      <c r="AK42" s="84"/>
      <c r="AL42" s="84"/>
      <c r="AM42" s="84"/>
      <c r="AN42" s="89"/>
      <c r="AO42" s="172">
        <v>45665</v>
      </c>
      <c r="AP42" s="173"/>
      <c r="AQ42" s="149" t="s">
        <v>143</v>
      </c>
      <c r="AR42" s="151"/>
      <c r="AS42" s="149" t="s">
        <v>147</v>
      </c>
      <c r="AT42" s="174"/>
      <c r="AU42" s="90"/>
      <c r="AV42" s="91"/>
      <c r="AW42" s="78"/>
      <c r="AX42" s="79"/>
      <c r="AY42" s="78"/>
      <c r="AZ42" s="85"/>
      <c r="BA42" s="86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8"/>
      <c r="BM42" s="77"/>
      <c r="BN42" s="77"/>
    </row>
    <row r="43" spans="1:66" s="75" customFormat="1" ht="20.100000000000001" customHeight="1" x14ac:dyDescent="0.45">
      <c r="A43" s="76"/>
      <c r="B43" s="76"/>
      <c r="C43" s="92">
        <f t="shared" si="0"/>
        <v>34</v>
      </c>
      <c r="D43" s="80"/>
      <c r="E43" s="81"/>
      <c r="F43" s="81"/>
      <c r="G43" s="82"/>
      <c r="H43" s="80"/>
      <c r="I43" s="81"/>
      <c r="J43" s="81"/>
      <c r="K43" s="82"/>
      <c r="L43" s="178" t="s">
        <v>116</v>
      </c>
      <c r="M43" s="176"/>
      <c r="N43" s="176"/>
      <c r="O43" s="179"/>
      <c r="P43" s="178" t="s">
        <v>58</v>
      </c>
      <c r="Q43" s="176"/>
      <c r="R43" s="176"/>
      <c r="S43" s="176"/>
      <c r="T43" s="176"/>
      <c r="U43" s="176"/>
      <c r="V43" s="176"/>
      <c r="W43" s="179"/>
      <c r="X43" s="178" t="s">
        <v>54</v>
      </c>
      <c r="Y43" s="176"/>
      <c r="Z43" s="176"/>
      <c r="AA43" s="176"/>
      <c r="AB43" s="176"/>
      <c r="AC43" s="176"/>
      <c r="AD43" s="176"/>
      <c r="AE43" s="179"/>
      <c r="AF43" s="83"/>
      <c r="AG43" s="84"/>
      <c r="AH43" s="84"/>
      <c r="AI43" s="84"/>
      <c r="AJ43" s="84"/>
      <c r="AK43" s="84"/>
      <c r="AL43" s="84"/>
      <c r="AM43" s="84"/>
      <c r="AN43" s="89"/>
      <c r="AO43" s="172">
        <v>45665</v>
      </c>
      <c r="AP43" s="173"/>
      <c r="AQ43" s="149" t="s">
        <v>143</v>
      </c>
      <c r="AR43" s="151"/>
      <c r="AS43" s="149" t="s">
        <v>147</v>
      </c>
      <c r="AT43" s="174"/>
      <c r="AU43" s="90"/>
      <c r="AV43" s="91"/>
      <c r="AW43" s="78"/>
      <c r="AX43" s="79"/>
      <c r="AY43" s="78"/>
      <c r="AZ43" s="85"/>
      <c r="BA43" s="86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8"/>
      <c r="BM43" s="77"/>
      <c r="BN43" s="77"/>
    </row>
    <row r="44" spans="1:66" s="75" customFormat="1" ht="20.100000000000001" customHeight="1" x14ac:dyDescent="0.45">
      <c r="A44" s="76"/>
      <c r="B44" s="76"/>
      <c r="C44" s="92">
        <f t="shared" si="0"/>
        <v>35</v>
      </c>
      <c r="D44" s="80"/>
      <c r="E44" s="81"/>
      <c r="F44" s="81"/>
      <c r="G44" s="82"/>
      <c r="H44" s="80"/>
      <c r="I44" s="81"/>
      <c r="J44" s="81"/>
      <c r="K44" s="82"/>
      <c r="L44" s="178" t="s">
        <v>63</v>
      </c>
      <c r="M44" s="176"/>
      <c r="N44" s="176"/>
      <c r="O44" s="179"/>
      <c r="P44" s="178" t="s">
        <v>58</v>
      </c>
      <c r="Q44" s="176"/>
      <c r="R44" s="176"/>
      <c r="S44" s="176"/>
      <c r="T44" s="176"/>
      <c r="U44" s="176"/>
      <c r="V44" s="176"/>
      <c r="W44" s="179"/>
      <c r="X44" s="178" t="s">
        <v>54</v>
      </c>
      <c r="Y44" s="176"/>
      <c r="Z44" s="176"/>
      <c r="AA44" s="176"/>
      <c r="AB44" s="176"/>
      <c r="AC44" s="176"/>
      <c r="AD44" s="176"/>
      <c r="AE44" s="179"/>
      <c r="AF44" s="83"/>
      <c r="AG44" s="84"/>
      <c r="AH44" s="84"/>
      <c r="AI44" s="84"/>
      <c r="AJ44" s="84"/>
      <c r="AK44" s="84"/>
      <c r="AL44" s="84"/>
      <c r="AM44" s="84"/>
      <c r="AN44" s="89"/>
      <c r="AO44" s="172">
        <v>45665</v>
      </c>
      <c r="AP44" s="173"/>
      <c r="AQ44" s="149" t="s">
        <v>143</v>
      </c>
      <c r="AR44" s="151"/>
      <c r="AS44" s="149" t="s">
        <v>147</v>
      </c>
      <c r="AT44" s="174"/>
      <c r="AU44" s="90"/>
      <c r="AV44" s="91"/>
      <c r="AW44" s="78"/>
      <c r="AX44" s="79"/>
      <c r="AY44" s="78"/>
      <c r="AZ44" s="85"/>
      <c r="BA44" s="86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8"/>
      <c r="BM44" s="77"/>
      <c r="BN44" s="77"/>
    </row>
    <row r="45" spans="1:66" ht="20.100000000000001" customHeight="1" x14ac:dyDescent="0.45">
      <c r="A45" s="10"/>
      <c r="B45" s="10"/>
      <c r="C45" s="92">
        <f t="shared" si="0"/>
        <v>36</v>
      </c>
      <c r="D45" s="193"/>
      <c r="E45" s="194"/>
      <c r="F45" s="194"/>
      <c r="G45" s="195"/>
      <c r="H45" s="193"/>
      <c r="I45" s="194"/>
      <c r="J45" s="194"/>
      <c r="K45" s="195"/>
      <c r="L45" s="178" t="s">
        <v>64</v>
      </c>
      <c r="M45" s="176"/>
      <c r="N45" s="176"/>
      <c r="O45" s="179"/>
      <c r="P45" s="178" t="s">
        <v>58</v>
      </c>
      <c r="Q45" s="176"/>
      <c r="R45" s="176"/>
      <c r="S45" s="176"/>
      <c r="T45" s="176"/>
      <c r="U45" s="176"/>
      <c r="V45" s="176"/>
      <c r="W45" s="179"/>
      <c r="X45" s="178" t="s">
        <v>54</v>
      </c>
      <c r="Y45" s="176"/>
      <c r="Z45" s="176"/>
      <c r="AA45" s="176"/>
      <c r="AB45" s="176"/>
      <c r="AC45" s="176"/>
      <c r="AD45" s="176"/>
      <c r="AE45" s="179"/>
      <c r="AF45" s="178"/>
      <c r="AG45" s="176"/>
      <c r="AH45" s="176"/>
      <c r="AI45" s="176"/>
      <c r="AJ45" s="176"/>
      <c r="AK45" s="176"/>
      <c r="AL45" s="176"/>
      <c r="AM45" s="176"/>
      <c r="AN45" s="180"/>
      <c r="AO45" s="172">
        <v>45665</v>
      </c>
      <c r="AP45" s="173"/>
      <c r="AQ45" s="149" t="s">
        <v>143</v>
      </c>
      <c r="AR45" s="151"/>
      <c r="AS45" s="149" t="s">
        <v>147</v>
      </c>
      <c r="AT45" s="174"/>
      <c r="AU45" s="172"/>
      <c r="AV45" s="173"/>
      <c r="AW45" s="149"/>
      <c r="AX45" s="151"/>
      <c r="AY45" s="149"/>
      <c r="AZ45" s="174"/>
      <c r="BA45" s="196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8"/>
      <c r="BM45" s="16"/>
      <c r="BN45" s="16"/>
    </row>
    <row r="46" spans="1:66" s="75" customFormat="1" ht="20.100000000000001" customHeight="1" x14ac:dyDescent="0.45">
      <c r="A46" s="76"/>
      <c r="B46" s="76"/>
      <c r="C46" s="92">
        <f>ROW()-9</f>
        <v>37</v>
      </c>
      <c r="D46" s="135"/>
      <c r="E46" s="136"/>
      <c r="F46" s="136"/>
      <c r="G46" s="137"/>
      <c r="H46" s="138" t="s">
        <v>137</v>
      </c>
      <c r="I46" s="139"/>
      <c r="J46" s="139"/>
      <c r="K46" s="140"/>
      <c r="L46" s="178" t="s">
        <v>138</v>
      </c>
      <c r="M46" s="176"/>
      <c r="N46" s="176"/>
      <c r="O46" s="179"/>
      <c r="P46" s="178" t="s">
        <v>139</v>
      </c>
      <c r="Q46" s="176"/>
      <c r="R46" s="176"/>
      <c r="S46" s="176"/>
      <c r="T46" s="176"/>
      <c r="U46" s="176"/>
      <c r="V46" s="176"/>
      <c r="W46" s="179"/>
      <c r="X46" s="178" t="s">
        <v>140</v>
      </c>
      <c r="Y46" s="176"/>
      <c r="Z46" s="176"/>
      <c r="AA46" s="176"/>
      <c r="AB46" s="176"/>
      <c r="AC46" s="176"/>
      <c r="AD46" s="176"/>
      <c r="AE46" s="179"/>
      <c r="AF46" s="126"/>
      <c r="AG46" s="127"/>
      <c r="AH46" s="127"/>
      <c r="AI46" s="127"/>
      <c r="AJ46" s="127"/>
      <c r="AK46" s="127"/>
      <c r="AL46" s="127"/>
      <c r="AM46" s="127"/>
      <c r="AN46" s="128"/>
      <c r="AO46" s="172">
        <v>45665</v>
      </c>
      <c r="AP46" s="173"/>
      <c r="AQ46" s="149" t="s">
        <v>143</v>
      </c>
      <c r="AR46" s="151"/>
      <c r="AS46" s="149" t="s">
        <v>147</v>
      </c>
      <c r="AT46" s="174"/>
      <c r="AU46" s="132"/>
      <c r="AV46" s="133"/>
      <c r="AW46" s="125"/>
      <c r="AX46" s="124"/>
      <c r="AY46" s="125"/>
      <c r="AZ46" s="134"/>
      <c r="BA46" s="129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1"/>
      <c r="BM46" s="77"/>
      <c r="BN46" s="77"/>
    </row>
    <row r="47" spans="1:66" s="75" customFormat="1" ht="20.100000000000001" customHeight="1" thickBot="1" x14ac:dyDescent="0.5">
      <c r="A47" s="76"/>
      <c r="B47" s="76"/>
      <c r="C47" s="92">
        <f>ROW()-9</f>
        <v>38</v>
      </c>
      <c r="D47" s="135"/>
      <c r="E47" s="136"/>
      <c r="F47" s="136"/>
      <c r="G47" s="137"/>
      <c r="H47" s="141"/>
      <c r="I47" s="142"/>
      <c r="J47" s="142"/>
      <c r="K47" s="143"/>
      <c r="L47" s="178" t="s">
        <v>141</v>
      </c>
      <c r="M47" s="176"/>
      <c r="N47" s="176"/>
      <c r="O47" s="179"/>
      <c r="P47" s="178" t="s">
        <v>142</v>
      </c>
      <c r="Q47" s="176"/>
      <c r="R47" s="176"/>
      <c r="S47" s="176"/>
      <c r="T47" s="176"/>
      <c r="U47" s="176"/>
      <c r="V47" s="176"/>
      <c r="W47" s="179"/>
      <c r="X47" s="178" t="s">
        <v>140</v>
      </c>
      <c r="Y47" s="176"/>
      <c r="Z47" s="176"/>
      <c r="AA47" s="176"/>
      <c r="AB47" s="176"/>
      <c r="AC47" s="176"/>
      <c r="AD47" s="176"/>
      <c r="AE47" s="179"/>
      <c r="AF47" s="126"/>
      <c r="AG47" s="127"/>
      <c r="AH47" s="127"/>
      <c r="AI47" s="127"/>
      <c r="AJ47" s="127"/>
      <c r="AK47" s="127"/>
      <c r="AL47" s="127"/>
      <c r="AM47" s="127"/>
      <c r="AN47" s="128"/>
      <c r="AO47" s="172">
        <v>45665</v>
      </c>
      <c r="AP47" s="173"/>
      <c r="AQ47" s="149" t="s">
        <v>143</v>
      </c>
      <c r="AR47" s="151"/>
      <c r="AS47" s="149" t="s">
        <v>147</v>
      </c>
      <c r="AT47" s="174"/>
      <c r="AU47" s="132"/>
      <c r="AV47" s="133"/>
      <c r="AW47" s="125"/>
      <c r="AX47" s="124"/>
      <c r="AY47" s="125"/>
      <c r="AZ47" s="134"/>
      <c r="BA47" s="129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1"/>
      <c r="BM47" s="77"/>
      <c r="BN47" s="77"/>
    </row>
    <row r="48" spans="1:66" ht="20.100000000000001" customHeight="1" thickTop="1" thickBot="1" x14ac:dyDescent="0.5">
      <c r="A48" s="1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8"/>
      <c r="BN48" s="16"/>
    </row>
    <row r="49" spans="2:65" ht="5.0999999999999996" customHeight="1" thickTop="1" x14ac:dyDescent="0.4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</row>
    <row r="50" spans="2:65" ht="20.100000000000001" customHeight="1" x14ac:dyDescent="0.45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</sheetData>
  <mergeCells count="332">
    <mergeCell ref="AW20:AX20"/>
    <mergeCell ref="AY20:AZ20"/>
    <mergeCell ref="AU14:AV14"/>
    <mergeCell ref="AW14:AX14"/>
    <mergeCell ref="AY14:AZ14"/>
    <mergeCell ref="AU15:AV15"/>
    <mergeCell ref="AW15:AX15"/>
    <mergeCell ref="AY15:AZ15"/>
    <mergeCell ref="AU16:AV16"/>
    <mergeCell ref="AW16:AX16"/>
    <mergeCell ref="AY16:AZ16"/>
    <mergeCell ref="L46:O46"/>
    <mergeCell ref="P46:W46"/>
    <mergeCell ref="X46:AE46"/>
    <mergeCell ref="L47:O47"/>
    <mergeCell ref="P47:W47"/>
    <mergeCell ref="X47:AE47"/>
    <mergeCell ref="BA45:BL45"/>
    <mergeCell ref="D45:G45"/>
    <mergeCell ref="H45:K45"/>
    <mergeCell ref="L45:O45"/>
    <mergeCell ref="P45:W45"/>
    <mergeCell ref="X45:AE45"/>
    <mergeCell ref="AF45:AN45"/>
    <mergeCell ref="AO45:AP45"/>
    <mergeCell ref="AQ45:AR45"/>
    <mergeCell ref="AO46:AP46"/>
    <mergeCell ref="AQ46:AR46"/>
    <mergeCell ref="AS46:AT46"/>
    <mergeCell ref="AO47:AP47"/>
    <mergeCell ref="AQ47:AR47"/>
    <mergeCell ref="AS47:AT47"/>
    <mergeCell ref="X24:AE24"/>
    <mergeCell ref="AS45:AT45"/>
    <mergeCell ref="AU45:AV45"/>
    <mergeCell ref="AW45:AX45"/>
    <mergeCell ref="AY45:AZ45"/>
    <mergeCell ref="L31:O31"/>
    <mergeCell ref="L32:O32"/>
    <mergeCell ref="L25:O25"/>
    <mergeCell ref="L26:O26"/>
    <mergeCell ref="L27:O27"/>
    <mergeCell ref="L28:O28"/>
    <mergeCell ref="L29:O29"/>
    <mergeCell ref="L30:O30"/>
    <mergeCell ref="AY24:AZ24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BA20:BL20"/>
    <mergeCell ref="D23:G23"/>
    <mergeCell ref="H23:K23"/>
    <mergeCell ref="L23:O23"/>
    <mergeCell ref="AF23:AN23"/>
    <mergeCell ref="AO23:AP23"/>
    <mergeCell ref="AQ23:AR23"/>
    <mergeCell ref="AS23:AT23"/>
    <mergeCell ref="AU23:AV23"/>
    <mergeCell ref="AW23:AX23"/>
    <mergeCell ref="AY23:AZ23"/>
    <mergeCell ref="BA23:BL23"/>
    <mergeCell ref="L19:O20"/>
    <mergeCell ref="P19:W19"/>
    <mergeCell ref="X19:AE19"/>
    <mergeCell ref="D20:G20"/>
    <mergeCell ref="H20:K20"/>
    <mergeCell ref="AF20:AN20"/>
    <mergeCell ref="AO20:AP20"/>
    <mergeCell ref="AQ20:AR20"/>
    <mergeCell ref="AU22:AV22"/>
    <mergeCell ref="AW22:AX22"/>
    <mergeCell ref="AY22:AZ22"/>
    <mergeCell ref="AU20:AV20"/>
    <mergeCell ref="BA24:BL24"/>
    <mergeCell ref="AS24:AT24"/>
    <mergeCell ref="AU24:AV24"/>
    <mergeCell ref="AW24:AX24"/>
    <mergeCell ref="AF24:AN24"/>
    <mergeCell ref="AO24:AP24"/>
    <mergeCell ref="AQ24:AR24"/>
    <mergeCell ref="D21:G21"/>
    <mergeCell ref="L21:O21"/>
    <mergeCell ref="P21:W21"/>
    <mergeCell ref="X21:AE21"/>
    <mergeCell ref="AY21:AZ21"/>
    <mergeCell ref="BA21:BL21"/>
    <mergeCell ref="AS21:AT21"/>
    <mergeCell ref="AU21:AV21"/>
    <mergeCell ref="AW21:AX21"/>
    <mergeCell ref="AF21:AN21"/>
    <mergeCell ref="AO21:AP21"/>
    <mergeCell ref="AQ21:AR21"/>
    <mergeCell ref="X22:AE22"/>
    <mergeCell ref="D24:G24"/>
    <mergeCell ref="H24:K24"/>
    <mergeCell ref="L24:O24"/>
    <mergeCell ref="P24:W24"/>
    <mergeCell ref="P12:W12"/>
    <mergeCell ref="X12:AE12"/>
    <mergeCell ref="AS10:AT10"/>
    <mergeCell ref="AF13:AN13"/>
    <mergeCell ref="AO13:AP13"/>
    <mergeCell ref="AQ13:AR13"/>
    <mergeCell ref="P20:W20"/>
    <mergeCell ref="X20:AE20"/>
    <mergeCell ref="L13:O16"/>
    <mergeCell ref="P14:W14"/>
    <mergeCell ref="X14:AE14"/>
    <mergeCell ref="P15:W15"/>
    <mergeCell ref="X15:AE15"/>
    <mergeCell ref="P16:W16"/>
    <mergeCell ref="X16:AE16"/>
    <mergeCell ref="L17:O18"/>
    <mergeCell ref="P17:W17"/>
    <mergeCell ref="X17:AE17"/>
    <mergeCell ref="P18:W18"/>
    <mergeCell ref="X18:AE18"/>
    <mergeCell ref="AS20:AT20"/>
    <mergeCell ref="AS12:AT12"/>
    <mergeCell ref="AO14:AP14"/>
    <mergeCell ref="AQ14:AR14"/>
    <mergeCell ref="D13:G13"/>
    <mergeCell ref="H13:K13"/>
    <mergeCell ref="P13:W13"/>
    <mergeCell ref="X13:AE13"/>
    <mergeCell ref="AY13:AZ13"/>
    <mergeCell ref="BA13:BL13"/>
    <mergeCell ref="AS13:AT13"/>
    <mergeCell ref="AU13:AV13"/>
    <mergeCell ref="AW13:AX13"/>
    <mergeCell ref="D11:G11"/>
    <mergeCell ref="H11:K11"/>
    <mergeCell ref="P11:W11"/>
    <mergeCell ref="AY11:AZ11"/>
    <mergeCell ref="BA11:BL11"/>
    <mergeCell ref="AS11:AT11"/>
    <mergeCell ref="AU11:AV11"/>
    <mergeCell ref="AW11:AX11"/>
    <mergeCell ref="H10:K10"/>
    <mergeCell ref="AF10:AN10"/>
    <mergeCell ref="AO10:AP10"/>
    <mergeCell ref="AQ10:AR10"/>
    <mergeCell ref="D10:G10"/>
    <mergeCell ref="P10:W10"/>
    <mergeCell ref="X11:AE11"/>
    <mergeCell ref="X10:AE10"/>
    <mergeCell ref="L10:O12"/>
    <mergeCell ref="D12:G12"/>
    <mergeCell ref="H12:K12"/>
    <mergeCell ref="AF12:AN12"/>
    <mergeCell ref="AO12:AP12"/>
    <mergeCell ref="AQ12:AR12"/>
    <mergeCell ref="AF11:AN11"/>
    <mergeCell ref="AO11:AP11"/>
    <mergeCell ref="AU12:AV1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U10:AV10"/>
    <mergeCell ref="AW10:AX10"/>
    <mergeCell ref="AY10:AZ10"/>
    <mergeCell ref="BA10:BL10"/>
    <mergeCell ref="AW12:AX12"/>
    <mergeCell ref="AY12:AZ12"/>
    <mergeCell ref="BA12:BL12"/>
    <mergeCell ref="AQ11:AR11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L43:O43"/>
    <mergeCell ref="L44:O44"/>
    <mergeCell ref="P23:W23"/>
    <mergeCell ref="X23:AE23"/>
    <mergeCell ref="P25:W25"/>
    <mergeCell ref="P26:W26"/>
    <mergeCell ref="P27:W27"/>
    <mergeCell ref="P28:W28"/>
    <mergeCell ref="P29:W29"/>
    <mergeCell ref="P30:W30"/>
    <mergeCell ref="P31:W31"/>
    <mergeCell ref="P32:W32"/>
    <mergeCell ref="P33:W33"/>
    <mergeCell ref="P34:W34"/>
    <mergeCell ref="P35:W35"/>
    <mergeCell ref="P36:W36"/>
    <mergeCell ref="P37:W37"/>
    <mergeCell ref="P38:W38"/>
    <mergeCell ref="P39:W39"/>
    <mergeCell ref="P40:W40"/>
    <mergeCell ref="P41:W41"/>
    <mergeCell ref="P42:W42"/>
    <mergeCell ref="P43:W43"/>
    <mergeCell ref="P44:W44"/>
    <mergeCell ref="AS16:AT16"/>
    <mergeCell ref="AO17:AP17"/>
    <mergeCell ref="AQ17:AR17"/>
    <mergeCell ref="AS17:AT17"/>
    <mergeCell ref="X43:AE43"/>
    <mergeCell ref="X44:AE44"/>
    <mergeCell ref="X34:AE34"/>
    <mergeCell ref="X35:AE35"/>
    <mergeCell ref="X36:AE36"/>
    <mergeCell ref="X37:AE37"/>
    <mergeCell ref="X38:AE38"/>
    <mergeCell ref="X39:AE39"/>
    <mergeCell ref="X40:AE40"/>
    <mergeCell ref="X41:AE41"/>
    <mergeCell ref="X42:AE42"/>
    <mergeCell ref="X25:AE25"/>
    <mergeCell ref="X26:AE26"/>
    <mergeCell ref="X27:AE27"/>
    <mergeCell ref="X28:AE28"/>
    <mergeCell ref="X29:AE29"/>
    <mergeCell ref="X30:AE30"/>
    <mergeCell ref="X31:AE31"/>
    <mergeCell ref="X32:AE32"/>
    <mergeCell ref="X33:AE33"/>
    <mergeCell ref="BA14:BL14"/>
    <mergeCell ref="BA15:BL15"/>
    <mergeCell ref="BA16:BL16"/>
    <mergeCell ref="AO25:AP25"/>
    <mergeCell ref="AQ25:AR25"/>
    <mergeCell ref="AS25:AT25"/>
    <mergeCell ref="AO26:AP26"/>
    <mergeCell ref="AQ26:AR26"/>
    <mergeCell ref="AS26:AT26"/>
    <mergeCell ref="AO18:AP18"/>
    <mergeCell ref="AQ18:AR18"/>
    <mergeCell ref="AS18:AT18"/>
    <mergeCell ref="AO19:AP19"/>
    <mergeCell ref="AQ19:AR19"/>
    <mergeCell ref="AS19:AT19"/>
    <mergeCell ref="AO22:AP22"/>
    <mergeCell ref="AQ22:AR22"/>
    <mergeCell ref="AS22:AT22"/>
    <mergeCell ref="AS14:AT14"/>
    <mergeCell ref="AO15:AP15"/>
    <mergeCell ref="AQ15:AR15"/>
    <mergeCell ref="AS15:AT15"/>
    <mergeCell ref="AO16:AP16"/>
    <mergeCell ref="AQ16:AR1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O44:AP44"/>
    <mergeCell ref="AQ44:AR44"/>
    <mergeCell ref="AS44:AT44"/>
  </mergeCells>
  <phoneticPr fontId="2"/>
  <conditionalFormatting sqref="AS10 AY10:AY13 AY23:AY45 AY17:AY21">
    <cfRule type="cellIs" dxfId="87" priority="91" operator="equal">
      <formula>"OK"</formula>
    </cfRule>
    <cfRule type="cellIs" dxfId="86" priority="92" operator="equal">
      <formula>"NG"</formula>
    </cfRule>
  </conditionalFormatting>
  <conditionalFormatting sqref="AY46">
    <cfRule type="cellIs" dxfId="85" priority="85" operator="equal">
      <formula>"OK"</formula>
    </cfRule>
    <cfRule type="cellIs" dxfId="84" priority="86" operator="equal">
      <formula>"NG"</formula>
    </cfRule>
  </conditionalFormatting>
  <conditionalFormatting sqref="AY47">
    <cfRule type="cellIs" dxfId="83" priority="83" operator="equal">
      <formula>"OK"</formula>
    </cfRule>
    <cfRule type="cellIs" dxfId="82" priority="84" operator="equal">
      <formula>"NG"</formula>
    </cfRule>
  </conditionalFormatting>
  <conditionalFormatting sqref="AS11">
    <cfRule type="cellIs" dxfId="81" priority="81" operator="equal">
      <formula>"OK"</formula>
    </cfRule>
    <cfRule type="cellIs" dxfId="80" priority="82" operator="equal">
      <formula>"NG"</formula>
    </cfRule>
  </conditionalFormatting>
  <conditionalFormatting sqref="AS12">
    <cfRule type="cellIs" dxfId="79" priority="79" operator="equal">
      <formula>"OK"</formula>
    </cfRule>
    <cfRule type="cellIs" dxfId="78" priority="80" operator="equal">
      <formula>"NG"</formula>
    </cfRule>
  </conditionalFormatting>
  <conditionalFormatting sqref="AS13">
    <cfRule type="cellIs" dxfId="77" priority="77" operator="equal">
      <formula>"OK"</formula>
    </cfRule>
    <cfRule type="cellIs" dxfId="76" priority="78" operator="equal">
      <formula>"NG"</formula>
    </cfRule>
  </conditionalFormatting>
  <conditionalFormatting sqref="AS14">
    <cfRule type="cellIs" dxfId="75" priority="75" operator="equal">
      <formula>"OK"</formula>
    </cfRule>
    <cfRule type="cellIs" dxfId="74" priority="76" operator="equal">
      <formula>"NG"</formula>
    </cfRule>
  </conditionalFormatting>
  <conditionalFormatting sqref="AS15">
    <cfRule type="cellIs" dxfId="73" priority="73" operator="equal">
      <formula>"OK"</formula>
    </cfRule>
    <cfRule type="cellIs" dxfId="72" priority="74" operator="equal">
      <formula>"NG"</formula>
    </cfRule>
  </conditionalFormatting>
  <conditionalFormatting sqref="AS16">
    <cfRule type="cellIs" dxfId="71" priority="71" operator="equal">
      <formula>"OK"</formula>
    </cfRule>
    <cfRule type="cellIs" dxfId="70" priority="72" operator="equal">
      <formula>"NG"</formula>
    </cfRule>
  </conditionalFormatting>
  <conditionalFormatting sqref="AS17">
    <cfRule type="cellIs" dxfId="69" priority="69" operator="equal">
      <formula>"OK"</formula>
    </cfRule>
    <cfRule type="cellIs" dxfId="68" priority="70" operator="equal">
      <formula>"NG"</formula>
    </cfRule>
  </conditionalFormatting>
  <conditionalFormatting sqref="AS18">
    <cfRule type="cellIs" dxfId="67" priority="67" operator="equal">
      <formula>"OK"</formula>
    </cfRule>
    <cfRule type="cellIs" dxfId="66" priority="68" operator="equal">
      <formula>"NG"</formula>
    </cfRule>
  </conditionalFormatting>
  <conditionalFormatting sqref="AS19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20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21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22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23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24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25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26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27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28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9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30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31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32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33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34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35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36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37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38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39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40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41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42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43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44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45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46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47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22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14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15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1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47 AY10:AY4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2025-02-27T03:31:03Z</dcterms:modified>
</cp:coreProperties>
</file>