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画面!$A$1:$BN$64</definedName>
    <definedName name="_xlnm.Print_Area" localSheetId="2">帳票!$A$1:$BN$44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C11" i="24" l="1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12" i="19" l="1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L3" i="19"/>
  <c r="C11" i="19"/>
  <c r="C10" i="24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<sst xmlns="http://schemas.openxmlformats.org/spreadsheetml/2006/main" count="522" uniqueCount="193">
  <si>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</si>
  <si>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</si>
  <si>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</si>
  <si>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</si>
  <si>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</si>
  <si>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</si>
  <si>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</si>
  <si>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</si>
  <si>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</si>
  <si>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</si>
  <si>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</si>
  <si>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</si>
  <si>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</si>
  <si>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</si>
  <si>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</si>
  <si>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</si>
  <si>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</si>
  <si>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</si>
  <si>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</si>
  <si>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</si>
  <si>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</si>
  <si>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</si>
  <si>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</si>
  <si>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</si>
  <si>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</si>
  <si>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</si>
  <si>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</si>
  <si>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</si>
  <si>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</si>
  <si>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</si>
  <si>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</si>
  <si>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</si>
  <si>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</si>
  <si>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</si>
  <si>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</si>
  <si>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</si>
  <si>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</si>
  <si>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</si>
  <si>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</si>
  <si>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</si>
  <si>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</si>
  <si>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</si>
  <si>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</si>
  <si>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</si>
  <si>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</si>
  <si>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</si>
  <si>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</si>
  <si>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</si>
  <si>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</si>
  <si>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</si>
  <si>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</si>
  <si>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</si>
  <si>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</si>
  <si>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</si>
  <si>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出力種類</t>
    <rPh sb="0" eb="2">
      <t>シュツリョク</t>
    </rPh>
    <rPh sb="2" eb="4">
      <t>シュルイ</t>
    </rPh>
    <phoneticPr fontId="2"/>
  </si>
  <si>
    <t>入力欄が活性、かつ空欄であること。</t>
    <rPh sb="9" eb="11">
      <t>クウラン</t>
    </rPh>
    <phoneticPr fontId="2"/>
  </si>
  <si>
    <t>虫眼鏡を押下する</t>
    <rPh sb="0" eb="3">
      <t>ムシメガネ</t>
    </rPh>
    <rPh sb="4" eb="6">
      <t>オウカ</t>
    </rPh>
    <phoneticPr fontId="2"/>
  </si>
  <si>
    <t>終了ボタンを押下する</t>
    <rPh sb="0" eb="2">
      <t>シュウリョウ</t>
    </rPh>
    <rPh sb="6" eb="8">
      <t>オウカ</t>
    </rPh>
    <phoneticPr fontId="2"/>
  </si>
  <si>
    <t>作成日</t>
  </si>
  <si>
    <t>得意先検索画面で得意先を検索し、得意先を選択する。</t>
    <rPh sb="0" eb="3">
      <t>トクイサキ</t>
    </rPh>
    <rPh sb="3" eb="5">
      <t>ケンサク</t>
    </rPh>
    <rPh sb="8" eb="11">
      <t>トクイサキ</t>
    </rPh>
    <rPh sb="16" eb="18">
      <t>トクイ</t>
    </rPh>
    <rPh sb="18" eb="19">
      <t>サキ</t>
    </rPh>
    <phoneticPr fontId="2"/>
  </si>
  <si>
    <t>得意先CD検索のダイアログが表示される</t>
    <rPh sb="0" eb="2">
      <t>トクイ</t>
    </rPh>
    <rPh sb="2" eb="3">
      <t>サキ</t>
    </rPh>
    <rPh sb="5" eb="7">
      <t>ケンサク</t>
    </rPh>
    <rPh sb="14" eb="16">
      <t>ヒョウジ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</si>
  <si>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</si>
  <si>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</si>
  <si>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</si>
  <si>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</si>
  <si>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</si>
  <si>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見積番号</t>
  </si>
  <si>
    <t>見積件名</t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</si>
  <si>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</si>
  <si>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</si>
  <si>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処理種別(左)</t>
    <rPh sb="0" eb="2">
      <t>ショリ</t>
    </rPh>
    <rPh sb="2" eb="4">
      <t>シュベツ</t>
    </rPh>
    <rPh sb="5" eb="6">
      <t>ヒダリ</t>
    </rPh>
    <phoneticPr fontId="2"/>
  </si>
  <si>
    <t>メニューより見積入力を起動する</t>
    <rPh sb="6" eb="8">
      <t>ミツモリ</t>
    </rPh>
    <rPh sb="8" eb="10">
      <t>ニュウリョク</t>
    </rPh>
    <rPh sb="11" eb="13">
      <t>キドウ</t>
    </rPh>
    <phoneticPr fontId="2"/>
  </si>
  <si>
    <t>処理種別(右)</t>
    <rPh sb="0" eb="2">
      <t>ショリ</t>
    </rPh>
    <rPh sb="2" eb="4">
      <t>シュベツ</t>
    </rPh>
    <rPh sb="5" eb="6">
      <t>ミギ</t>
    </rPh>
    <phoneticPr fontId="2"/>
  </si>
  <si>
    <t>入力欄が活性、かつ0が入力されていること。</t>
    <rPh sb="11" eb="13">
      <t>ニュウリョク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</si>
  <si>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</si>
  <si>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0:未処理 1:発注済 2:売上済 3:全て</t>
  </si>
  <si>
    <t>得意先CD</t>
  </si>
  <si>
    <t>得意先CD</t>
    <rPh sb="0" eb="2">
      <t>トクイ</t>
    </rPh>
    <rPh sb="2" eb="3">
      <t>サキ</t>
    </rPh>
    <phoneticPr fontId="2"/>
  </si>
  <si>
    <t>納入先CD</t>
  </si>
  <si>
    <t>納入先CD</t>
    <rPh sb="0" eb="2">
      <t>ノウニュウ</t>
    </rPh>
    <rPh sb="2" eb="3">
      <t>サキ</t>
    </rPh>
    <phoneticPr fontId="2"/>
  </si>
  <si>
    <t>担当者CD</t>
    <rPh sb="0" eb="3">
      <t>タントウシャ</t>
    </rPh>
    <phoneticPr fontId="2"/>
  </si>
  <si>
    <t>業種区分(左)</t>
    <rPh sb="0" eb="2">
      <t>ギョウシュ</t>
    </rPh>
    <rPh sb="2" eb="4">
      <t>クブン</t>
    </rPh>
    <rPh sb="5" eb="6">
      <t>ヒダリ</t>
    </rPh>
    <phoneticPr fontId="2"/>
  </si>
  <si>
    <t>業種区分(右)</t>
    <rPh sb="0" eb="2">
      <t>ギョウシュ</t>
    </rPh>
    <rPh sb="2" eb="4">
      <t>クブン</t>
    </rPh>
    <rPh sb="5" eb="6">
      <t>ミギ</t>
    </rPh>
    <phoneticPr fontId="2"/>
  </si>
  <si>
    <t>物件種別(左)</t>
    <rPh sb="0" eb="2">
      <t>ブッケン</t>
    </rPh>
    <rPh sb="2" eb="4">
      <t>シュベツ</t>
    </rPh>
    <rPh sb="5" eb="6">
      <t>ヒダリ</t>
    </rPh>
    <phoneticPr fontId="2"/>
  </si>
  <si>
    <t>物件種別(右)</t>
    <rPh sb="0" eb="2">
      <t>ブッケン</t>
    </rPh>
    <rPh sb="2" eb="4">
      <t>シュベツ</t>
    </rPh>
    <rPh sb="5" eb="6">
      <t>ミギ</t>
    </rPh>
    <phoneticPr fontId="2"/>
  </si>
  <si>
    <t>見積No(from)</t>
    <rPh sb="0" eb="2">
      <t>ミツモリ</t>
    </rPh>
    <phoneticPr fontId="2"/>
  </si>
  <si>
    <t>見積件名</t>
    <rPh sb="0" eb="2">
      <t>ミツモリ</t>
    </rPh>
    <rPh sb="2" eb="4">
      <t>ケンメイ</t>
    </rPh>
    <phoneticPr fontId="2"/>
  </si>
  <si>
    <t>見積金額(from)</t>
    <rPh sb="0" eb="2">
      <t>ミツモリ</t>
    </rPh>
    <rPh sb="2" eb="4">
      <t>キンガク</t>
    </rPh>
    <phoneticPr fontId="2"/>
  </si>
  <si>
    <t>見積金額(to)</t>
    <rPh sb="0" eb="2">
      <t>ミツモリ</t>
    </rPh>
    <rPh sb="2" eb="4">
      <t>キンガク</t>
    </rPh>
    <phoneticPr fontId="2"/>
  </si>
  <si>
    <t>物件No(from)</t>
    <rPh sb="0" eb="2">
      <t>ブッケン</t>
    </rPh>
    <phoneticPr fontId="2"/>
  </si>
  <si>
    <t>物件No(to)</t>
    <rPh sb="0" eb="2">
      <t>ブッケン</t>
    </rPh>
    <phoneticPr fontId="2"/>
  </si>
  <si>
    <t>Wリース区分</t>
  </si>
  <si>
    <t>Wリース区分(左)</t>
    <rPh sb="4" eb="6">
      <t>クブン</t>
    </rPh>
    <rPh sb="7" eb="8">
      <t>ヒダリ</t>
    </rPh>
    <phoneticPr fontId="2"/>
  </si>
  <si>
    <t>Wリース区分(右)</t>
    <rPh sb="4" eb="6">
      <t>クブン</t>
    </rPh>
    <rPh sb="7" eb="8">
      <t>ミギ</t>
    </rPh>
    <phoneticPr fontId="2"/>
  </si>
  <si>
    <t>W請求管轄(左)</t>
    <rPh sb="6" eb="7">
      <t>ヒダリ</t>
    </rPh>
    <phoneticPr fontId="2"/>
  </si>
  <si>
    <t>W請求管轄(右)</t>
    <rPh sb="6" eb="7">
      <t>ミギ</t>
    </rPh>
    <phoneticPr fontId="2"/>
  </si>
  <si>
    <t>見積日(from)</t>
    <rPh sb="0" eb="3">
      <t>ミツモリヒ</t>
    </rPh>
    <phoneticPr fontId="2"/>
  </si>
  <si>
    <t>見積日(to)</t>
    <rPh sb="0" eb="3">
      <t>ミツモリヒ</t>
    </rPh>
    <phoneticPr fontId="2"/>
  </si>
  <si>
    <t>開始納期(from)</t>
    <rPh sb="0" eb="4">
      <t>カイシノウキ</t>
    </rPh>
    <phoneticPr fontId="2"/>
  </si>
  <si>
    <t>開始納期(to)</t>
    <rPh sb="0" eb="4">
      <t>カイシノウキ</t>
    </rPh>
    <phoneticPr fontId="2"/>
  </si>
  <si>
    <t>仕入日(from)</t>
    <rPh sb="0" eb="2">
      <t>シイレ</t>
    </rPh>
    <rPh sb="2" eb="3">
      <t>ヒ</t>
    </rPh>
    <phoneticPr fontId="2"/>
  </si>
  <si>
    <t>仕入日(to)</t>
    <rPh sb="0" eb="2">
      <t>シイレ</t>
    </rPh>
    <rPh sb="2" eb="3">
      <t>ヒ</t>
    </rPh>
    <phoneticPr fontId="2"/>
  </si>
  <si>
    <t>完了日(from)</t>
    <rPh sb="0" eb="3">
      <t>カンリョウヒ</t>
    </rPh>
    <phoneticPr fontId="2"/>
  </si>
  <si>
    <t>完了日(to)</t>
    <rPh sb="0" eb="3">
      <t>カンリョウヒ</t>
    </rPh>
    <phoneticPr fontId="2"/>
  </si>
  <si>
    <t>請求予定日(from)</t>
    <rPh sb="0" eb="2">
      <t>セイキュウ</t>
    </rPh>
    <rPh sb="2" eb="5">
      <t>ヨテイビ</t>
    </rPh>
    <phoneticPr fontId="2"/>
  </si>
  <si>
    <t>請求予定日(to)</t>
    <rPh sb="0" eb="2">
      <t>セイキュウ</t>
    </rPh>
    <rPh sb="2" eb="5">
      <t>ヨテイビ</t>
    </rPh>
    <phoneticPr fontId="2"/>
  </si>
  <si>
    <t>見積確定(左)</t>
    <rPh sb="0" eb="2">
      <t>ミツモリ</t>
    </rPh>
    <rPh sb="2" eb="4">
      <t>カクテイ</t>
    </rPh>
    <rPh sb="5" eb="6">
      <t>ヒダリ</t>
    </rPh>
    <phoneticPr fontId="2"/>
  </si>
  <si>
    <t>見積確定(右)</t>
    <rPh sb="0" eb="2">
      <t>ミツモリ</t>
    </rPh>
    <rPh sb="2" eb="4">
      <t>カクテイ</t>
    </rPh>
    <rPh sb="5" eb="6">
      <t>ミギ</t>
    </rPh>
    <phoneticPr fontId="2"/>
  </si>
  <si>
    <t>0:未確定 1:確定</t>
    <phoneticPr fontId="2"/>
  </si>
  <si>
    <t>0:什器 1:内装</t>
  </si>
  <si>
    <t>0:新店 1:改装 2:メンテ 6:委託</t>
  </si>
  <si>
    <t>1:通常 2:リース</t>
  </si>
  <si>
    <t>入力欄が非活性、かつ空欄であること。</t>
    <rPh sb="4" eb="5">
      <t>ヒ</t>
    </rPh>
    <rPh sb="5" eb="7">
      <t>カッセイ</t>
    </rPh>
    <phoneticPr fontId="2"/>
  </si>
  <si>
    <t>得意先CD　虫眼鏡</t>
    <rPh sb="0" eb="2">
      <t>トクイ</t>
    </rPh>
    <rPh sb="2" eb="3">
      <t>サキ</t>
    </rPh>
    <rPh sb="6" eb="9">
      <t>ムシメガネ</t>
    </rPh>
    <phoneticPr fontId="2"/>
  </si>
  <si>
    <t>納入先CD　虫眼鏡</t>
    <rPh sb="0" eb="2">
      <t>ノウニュウ</t>
    </rPh>
    <rPh sb="2" eb="3">
      <t>サキ</t>
    </rPh>
    <phoneticPr fontId="2"/>
  </si>
  <si>
    <t xml:space="preserve">納入先CD検索のダイアログが立ち上がること
</t>
    <rPh sb="0" eb="3">
      <t>ノウニュウサキ</t>
    </rPh>
    <rPh sb="2" eb="3">
      <t>サキ</t>
    </rPh>
    <rPh sb="5" eb="7">
      <t>ケンサク</t>
    </rPh>
    <rPh sb="14" eb="15">
      <t>タ</t>
    </rPh>
    <rPh sb="16" eb="17">
      <t>ア</t>
    </rPh>
    <phoneticPr fontId="2"/>
  </si>
  <si>
    <t>納入先検索画面で納入先を検索し、納入先を選択する。</t>
    <rPh sb="0" eb="3">
      <t>ノウニュウサキ</t>
    </rPh>
    <rPh sb="3" eb="5">
      <t>ケンサク</t>
    </rPh>
    <rPh sb="8" eb="10">
      <t>ノウニュウ</t>
    </rPh>
    <rPh sb="10" eb="11">
      <t>サキ</t>
    </rPh>
    <rPh sb="16" eb="18">
      <t>ノウニュウ</t>
    </rPh>
    <rPh sb="18" eb="19">
      <t>サキ</t>
    </rPh>
    <phoneticPr fontId="2"/>
  </si>
  <si>
    <t>納入先CD ×ボタン</t>
    <rPh sb="0" eb="2">
      <t>ノウニュウ</t>
    </rPh>
    <phoneticPr fontId="2"/>
  </si>
  <si>
    <t>納入先CDに選択した納入先CDが表示されること。</t>
    <rPh sb="0" eb="2">
      <t>ノウニュウ</t>
    </rPh>
    <rPh sb="2" eb="3">
      <t>サキ</t>
    </rPh>
    <rPh sb="6" eb="8">
      <t>センタク</t>
    </rPh>
    <rPh sb="10" eb="13">
      <t>ノウニュウサキ</t>
    </rPh>
    <rPh sb="16" eb="18">
      <t>ヒョウジ</t>
    </rPh>
    <phoneticPr fontId="2"/>
  </si>
  <si>
    <t>納入先CD欄に納入先CDが選択されている状態で納入先CDの×ボタンを押下</t>
    <rPh sb="0" eb="3">
      <t>ノウニュウサキ</t>
    </rPh>
    <rPh sb="5" eb="6">
      <t>ラン</t>
    </rPh>
    <rPh sb="7" eb="9">
      <t>ノウニュウ</t>
    </rPh>
    <rPh sb="9" eb="10">
      <t>サキ</t>
    </rPh>
    <rPh sb="13" eb="15">
      <t>センタク</t>
    </rPh>
    <rPh sb="20" eb="22">
      <t>ジョウタイ</t>
    </rPh>
    <rPh sb="23" eb="26">
      <t>ノウニュウサキ</t>
    </rPh>
    <rPh sb="34" eb="36">
      <t>オウカ</t>
    </rPh>
    <phoneticPr fontId="2"/>
  </si>
  <si>
    <t>納入先CDが空欄になること</t>
    <rPh sb="0" eb="3">
      <t>ノウニュウサキ</t>
    </rPh>
    <rPh sb="6" eb="8">
      <t>クウラン</t>
    </rPh>
    <phoneticPr fontId="2"/>
  </si>
  <si>
    <t>担当者CD　虫眼鏡</t>
    <rPh sb="0" eb="3">
      <t>タントウシャ</t>
    </rPh>
    <phoneticPr fontId="2"/>
  </si>
  <si>
    <t>担当者CD ×ボタン</t>
    <rPh sb="0" eb="2">
      <t>タントウ</t>
    </rPh>
    <rPh sb="2" eb="3">
      <t>シャ</t>
    </rPh>
    <phoneticPr fontId="2"/>
  </si>
  <si>
    <t>担当者検索画面で担当者を検索し、担当者を選択する。</t>
    <rPh sb="0" eb="3">
      <t>タントウシャ</t>
    </rPh>
    <rPh sb="3" eb="5">
      <t>ケンサク</t>
    </rPh>
    <rPh sb="8" eb="11">
      <t>タントウシャ</t>
    </rPh>
    <rPh sb="16" eb="19">
      <t>タントウシャ</t>
    </rPh>
    <phoneticPr fontId="2"/>
  </si>
  <si>
    <t xml:space="preserve">担当者CD検索のダイアログが立ち上がること
</t>
    <rPh sb="0" eb="3">
      <t>タントウシャ</t>
    </rPh>
    <rPh sb="5" eb="7">
      <t>ケンサク</t>
    </rPh>
    <rPh sb="14" eb="15">
      <t>タ</t>
    </rPh>
    <rPh sb="16" eb="17">
      <t>ア</t>
    </rPh>
    <phoneticPr fontId="2"/>
  </si>
  <si>
    <t>担当者CDに選択した担当者CDが表示されること。</t>
    <rPh sb="0" eb="3">
      <t>タントウシャ</t>
    </rPh>
    <rPh sb="6" eb="8">
      <t>センタク</t>
    </rPh>
    <rPh sb="10" eb="13">
      <t>タントウシャ</t>
    </rPh>
    <rPh sb="16" eb="18">
      <t>ヒョウジ</t>
    </rPh>
    <phoneticPr fontId="2"/>
  </si>
  <si>
    <t>担当者CD欄に担当者CDが選択されている状態で担当者CDの×ボタンを押下</t>
    <rPh sb="0" eb="3">
      <t>タントウシャ</t>
    </rPh>
    <rPh sb="5" eb="6">
      <t>ラン</t>
    </rPh>
    <rPh sb="7" eb="10">
      <t>タントウシャ</t>
    </rPh>
    <rPh sb="13" eb="15">
      <t>センタク</t>
    </rPh>
    <rPh sb="20" eb="22">
      <t>ジョウタイ</t>
    </rPh>
    <rPh sb="23" eb="26">
      <t>タントウシャ</t>
    </rPh>
    <rPh sb="34" eb="36">
      <t>オウカ</t>
    </rPh>
    <phoneticPr fontId="2"/>
  </si>
  <si>
    <t>担当者CDが空欄になること</t>
    <rPh sb="0" eb="3">
      <t>タントウシャ</t>
    </rPh>
    <rPh sb="6" eb="8">
      <t>クウラン</t>
    </rPh>
    <phoneticPr fontId="2"/>
  </si>
  <si>
    <t>得意先CD　×ボタン</t>
    <rPh sb="0" eb="2">
      <t>トクイ</t>
    </rPh>
    <rPh sb="2" eb="3">
      <t>サキ</t>
    </rPh>
    <phoneticPr fontId="2"/>
  </si>
  <si>
    <t>得意先CDに選択した得意先CDが表示されること。</t>
    <rPh sb="0" eb="2">
      <t>トクイ</t>
    </rPh>
    <rPh sb="6" eb="8">
      <t>センタク</t>
    </rPh>
    <rPh sb="10" eb="13">
      <t>トクイサキ</t>
    </rPh>
    <rPh sb="16" eb="18">
      <t>ヒョウジ</t>
    </rPh>
    <phoneticPr fontId="2"/>
  </si>
  <si>
    <t>得意先CD欄に得意先CDが選択されている状態で得意先CDの×ボタンを押下</t>
    <rPh sb="0" eb="3">
      <t>トクイサキ</t>
    </rPh>
    <rPh sb="5" eb="6">
      <t>ラン</t>
    </rPh>
    <rPh sb="7" eb="10">
      <t>トクイサキ</t>
    </rPh>
    <rPh sb="13" eb="15">
      <t>センタク</t>
    </rPh>
    <rPh sb="20" eb="22">
      <t>ジョウタイ</t>
    </rPh>
    <rPh sb="23" eb="26">
      <t>トクイサキ</t>
    </rPh>
    <rPh sb="34" eb="36">
      <t>オウカ</t>
    </rPh>
    <phoneticPr fontId="2"/>
  </si>
  <si>
    <t>得意先CDが空欄になること</t>
    <rPh sb="0" eb="3">
      <t>トクイサキ</t>
    </rPh>
    <rPh sb="6" eb="8">
      <t>クウラン</t>
    </rPh>
    <phoneticPr fontId="2"/>
  </si>
  <si>
    <t>見積No(to)</t>
    <rPh sb="0" eb="2">
      <t>ミツモリ</t>
    </rPh>
    <phoneticPr fontId="2"/>
  </si>
  <si>
    <t>見積No(from)　×ボタン</t>
    <rPh sb="0" eb="2">
      <t>ミツモリ</t>
    </rPh>
    <phoneticPr fontId="2"/>
  </si>
  <si>
    <t>見積番号検索画面で見積Noを検索し、見積Noを選択する。</t>
    <rPh sb="0" eb="4">
      <t>ミツモリバンゴウ</t>
    </rPh>
    <rPh sb="4" eb="6">
      <t>ケンサク</t>
    </rPh>
    <rPh sb="9" eb="11">
      <t>ミツモリ</t>
    </rPh>
    <rPh sb="18" eb="20">
      <t>ミツモリ</t>
    </rPh>
    <phoneticPr fontId="2"/>
  </si>
  <si>
    <t>見積番号検索のダイアログが表示される</t>
    <rPh sb="0" eb="4">
      <t>ミツモリバンゴウ</t>
    </rPh>
    <rPh sb="4" eb="6">
      <t>ケンサク</t>
    </rPh>
    <rPh sb="13" eb="15">
      <t>ヒョウジ</t>
    </rPh>
    <phoneticPr fontId="2"/>
  </si>
  <si>
    <t>見積Noに選択した見積Noが表示されること。</t>
    <rPh sb="0" eb="2">
      <t>ミツモリ</t>
    </rPh>
    <rPh sb="5" eb="7">
      <t>センタク</t>
    </rPh>
    <rPh sb="9" eb="11">
      <t>ミツモリ</t>
    </rPh>
    <rPh sb="14" eb="16">
      <t>ヒョウジ</t>
    </rPh>
    <phoneticPr fontId="2"/>
  </si>
  <si>
    <t>見積No欄に見積Noが選択されている状態で見積No(from)の×ボタンを押下</t>
    <rPh sb="0" eb="2">
      <t>ミツモリ</t>
    </rPh>
    <rPh sb="4" eb="5">
      <t>ラン</t>
    </rPh>
    <rPh sb="6" eb="8">
      <t>ミツモリ</t>
    </rPh>
    <rPh sb="11" eb="13">
      <t>センタク</t>
    </rPh>
    <rPh sb="18" eb="20">
      <t>ジョウタイ</t>
    </rPh>
    <rPh sb="21" eb="23">
      <t>ミツモリ</t>
    </rPh>
    <rPh sb="37" eb="39">
      <t>オウカ</t>
    </rPh>
    <phoneticPr fontId="2"/>
  </si>
  <si>
    <t>見積No(from)が空欄になること</t>
    <rPh sb="0" eb="2">
      <t>ミツモリ</t>
    </rPh>
    <rPh sb="11" eb="13">
      <t>クウラン</t>
    </rPh>
    <phoneticPr fontId="2"/>
  </si>
  <si>
    <t>見積No(from)　
虫眼鏡</t>
    <rPh sb="0" eb="2">
      <t>ミツモリ</t>
    </rPh>
    <rPh sb="12" eb="15">
      <t>ムシメガネ</t>
    </rPh>
    <phoneticPr fontId="2"/>
  </si>
  <si>
    <t>見積No(to)　
虫眼鏡</t>
    <rPh sb="0" eb="2">
      <t>ミツモリ</t>
    </rPh>
    <rPh sb="10" eb="13">
      <t>ムシメガネ</t>
    </rPh>
    <phoneticPr fontId="2"/>
  </si>
  <si>
    <t>見積No(to)　×ボタン</t>
    <rPh sb="0" eb="2">
      <t>ミツモリ</t>
    </rPh>
    <phoneticPr fontId="2"/>
  </si>
  <si>
    <t>見積No(to)が空欄になること</t>
    <rPh sb="0" eb="2">
      <t>ミツモリ</t>
    </rPh>
    <rPh sb="9" eb="11">
      <t>クウラン</t>
    </rPh>
    <phoneticPr fontId="2"/>
  </si>
  <si>
    <t>見積No欄に見積Noが選択されている状態で見積No(to)の×ボタンを押下</t>
    <rPh sb="0" eb="2">
      <t>ミツモリ</t>
    </rPh>
    <rPh sb="4" eb="5">
      <t>ラン</t>
    </rPh>
    <rPh sb="6" eb="8">
      <t>ミツモリ</t>
    </rPh>
    <rPh sb="11" eb="13">
      <t>センタク</t>
    </rPh>
    <rPh sb="18" eb="20">
      <t>ジョウタイ</t>
    </rPh>
    <rPh sb="21" eb="23">
      <t>ミツモリ</t>
    </rPh>
    <rPh sb="35" eb="37">
      <t>オウカ</t>
    </rPh>
    <phoneticPr fontId="2"/>
  </si>
  <si>
    <t>W請求管轄 虫眼鏡</t>
    <rPh sb="6" eb="9">
      <t>ムシメガネ</t>
    </rPh>
    <phoneticPr fontId="2"/>
  </si>
  <si>
    <t>ウエルシア物件区分検索のダイアログが表示されること</t>
    <rPh sb="9" eb="11">
      <t>ケンサク</t>
    </rPh>
    <rPh sb="18" eb="20">
      <t>ヒョウジ</t>
    </rPh>
    <phoneticPr fontId="2"/>
  </si>
  <si>
    <t>ウエルシア物件区分検索画面でウエルシア物件区分を検索し、ウエルシア物件区分を選択する。</t>
    <rPh sb="5" eb="7">
      <t>ブッケン</t>
    </rPh>
    <rPh sb="7" eb="9">
      <t>クブン</t>
    </rPh>
    <rPh sb="9" eb="11">
      <t>ケンサク</t>
    </rPh>
    <rPh sb="11" eb="13">
      <t>ガメン</t>
    </rPh>
    <rPh sb="19" eb="21">
      <t>ブッケン</t>
    </rPh>
    <rPh sb="21" eb="23">
      <t>クブン</t>
    </rPh>
    <rPh sb="33" eb="35">
      <t>ブッケン</t>
    </rPh>
    <rPh sb="35" eb="37">
      <t>クブン</t>
    </rPh>
    <phoneticPr fontId="2"/>
  </si>
  <si>
    <t>W請求管轄に選択したウエルシア物件区分が表示されること。</t>
    <rPh sb="1" eb="3">
      <t>セイキュウ</t>
    </rPh>
    <rPh sb="3" eb="5">
      <t>カンカツ</t>
    </rPh>
    <rPh sb="6" eb="8">
      <t>センタク</t>
    </rPh>
    <rPh sb="20" eb="22">
      <t>ヒョウジ</t>
    </rPh>
    <phoneticPr fontId="2"/>
  </si>
  <si>
    <t>W請求管轄 ×ボタン</t>
    <phoneticPr fontId="2"/>
  </si>
  <si>
    <t>W請求管轄にウエルシア物件区分が選択されている状態でW請求管轄の×ボタンを押下</t>
    <rPh sb="16" eb="18">
      <t>センタク</t>
    </rPh>
    <rPh sb="23" eb="25">
      <t>ジョウタイ</t>
    </rPh>
    <rPh sb="37" eb="39">
      <t>オウカ</t>
    </rPh>
    <phoneticPr fontId="2"/>
  </si>
  <si>
    <t>W請求管轄が空欄になること</t>
    <rPh sb="1" eb="3">
      <t>セイキュウ</t>
    </rPh>
    <rPh sb="3" eb="5">
      <t>カンカツ</t>
    </rPh>
    <rPh sb="6" eb="8">
      <t>クウラン</t>
    </rPh>
    <phoneticPr fontId="2"/>
  </si>
  <si>
    <t>検索</t>
    <rPh sb="0" eb="2">
      <t>ケンサク</t>
    </rPh>
    <phoneticPr fontId="2"/>
  </si>
  <si>
    <t>検索ボタンを押下する</t>
    <rPh sb="0" eb="2">
      <t>ケンサク</t>
    </rPh>
    <rPh sb="6" eb="8">
      <t>オウカ</t>
    </rPh>
    <phoneticPr fontId="2"/>
  </si>
  <si>
    <t>現行システムと同じデータが表示されること。</t>
    <rPh sb="13" eb="15">
      <t>ヒョウジ</t>
    </rPh>
    <phoneticPr fontId="2"/>
  </si>
  <si>
    <t>※詳細は「MH0300_経過確認表_帳票設計書.xlsx」を参照</t>
    <rPh sb="1" eb="3">
      <t>ショウサイ</t>
    </rPh>
    <rPh sb="30" eb="32">
      <t>サンショウ</t>
    </rPh>
    <phoneticPr fontId="2"/>
  </si>
  <si>
    <t>タイトル</t>
  </si>
  <si>
    <t>チーム名</t>
  </si>
  <si>
    <t>物件種別</t>
  </si>
  <si>
    <t>見積金額</t>
  </si>
  <si>
    <t>W物件区分</t>
  </si>
  <si>
    <t>完了日</t>
  </si>
  <si>
    <t>請求発行日</t>
  </si>
  <si>
    <t>請求予定月</t>
  </si>
  <si>
    <t>備考1</t>
  </si>
  <si>
    <t>備考2</t>
  </si>
  <si>
    <t>処理種別</t>
    <rPh sb="0" eb="2">
      <t>ショリ</t>
    </rPh>
    <rPh sb="2" eb="4">
      <t>シュベツ</t>
    </rPh>
    <phoneticPr fontId="2"/>
  </si>
  <si>
    <t>0:未処理を選択し出力ボタンを押下する</t>
    <rPh sb="6" eb="8">
      <t>センタク</t>
    </rPh>
    <rPh sb="9" eb="11">
      <t>シュツリョク</t>
    </rPh>
    <rPh sb="15" eb="17">
      <t>オウカ</t>
    </rPh>
    <phoneticPr fontId="2"/>
  </si>
  <si>
    <t>1:発注済を選択し出力ボタンを押下する</t>
    <phoneticPr fontId="2"/>
  </si>
  <si>
    <t>2:売上済を選択し出力ボタンを押下する</t>
    <phoneticPr fontId="2"/>
  </si>
  <si>
    <t>3:全てを選択し出力ボタンを押下する</t>
    <phoneticPr fontId="2"/>
  </si>
  <si>
    <t>業種区分</t>
    <rPh sb="0" eb="2">
      <t>ギョウシュ</t>
    </rPh>
    <rPh sb="2" eb="4">
      <t>クブン</t>
    </rPh>
    <phoneticPr fontId="2"/>
  </si>
  <si>
    <t>0:什器を選択し出力ボタンを押下する</t>
    <phoneticPr fontId="2"/>
  </si>
  <si>
    <t>1:内装を選択し出力ボタンを押下する</t>
    <phoneticPr fontId="2"/>
  </si>
  <si>
    <t>物件種別</t>
    <rPh sb="0" eb="2">
      <t>ブッケン</t>
    </rPh>
    <rPh sb="2" eb="4">
      <t>シュベツ</t>
    </rPh>
    <phoneticPr fontId="2"/>
  </si>
  <si>
    <t>0:新店 を選択し出力ボタンを押下する</t>
    <phoneticPr fontId="2"/>
  </si>
  <si>
    <t>1:改装を選択し出力ボタンを押下する</t>
    <phoneticPr fontId="2"/>
  </si>
  <si>
    <t>2:メンテを選択し出力ボタンを押下する</t>
    <phoneticPr fontId="2"/>
  </si>
  <si>
    <t>6:委託を選択し出力ボタンを押下する</t>
    <phoneticPr fontId="2"/>
  </si>
  <si>
    <t xml:space="preserve"> 2:リースを選択し出力ボタンを押下する</t>
    <phoneticPr fontId="2"/>
  </si>
  <si>
    <t>1:通常を選択し出力ボタンを押下する</t>
    <phoneticPr fontId="2"/>
  </si>
  <si>
    <t>Wリース区分</t>
    <phoneticPr fontId="2"/>
  </si>
  <si>
    <t>見積確定</t>
    <rPh sb="0" eb="2">
      <t>ミツモリ</t>
    </rPh>
    <rPh sb="2" eb="4">
      <t>カクテイ</t>
    </rPh>
    <phoneticPr fontId="2"/>
  </si>
  <si>
    <t>1:確定を選択し出力ボタンを押下する</t>
    <phoneticPr fontId="2"/>
  </si>
  <si>
    <t>0:未確定を選択し出力ボタンを押下する</t>
    <phoneticPr fontId="2"/>
  </si>
  <si>
    <t>現行システムと同じデータが出力されていないこと</t>
    <rPh sb="0" eb="2">
      <t>ゲンコウ</t>
    </rPh>
    <rPh sb="7" eb="8">
      <t>オナ</t>
    </rPh>
    <rPh sb="13" eb="15">
      <t>シュツリョク</t>
    </rPh>
    <phoneticPr fontId="2"/>
  </si>
  <si>
    <t>帳票</t>
    <rPh sb="0" eb="2">
      <t>チョウヒョウ</t>
    </rPh>
    <phoneticPr fontId="2"/>
  </si>
  <si>
    <t>松村</t>
    <rPh sb="0" eb="2">
      <t>マツムラ</t>
    </rPh>
    <phoneticPr fontId="2"/>
  </si>
  <si>
    <t>OK</t>
    <phoneticPr fontId="2"/>
  </si>
  <si>
    <t>NG</t>
  </si>
  <si>
    <t>選択した得意先は入るが、得意先を選択する際に同じものが2つ連続で表示される</t>
    <rPh sb="0" eb="2">
      <t>センタク</t>
    </rPh>
    <rPh sb="4" eb="7">
      <t>トクイサキ</t>
    </rPh>
    <rPh sb="8" eb="9">
      <t>ハイ</t>
    </rPh>
    <rPh sb="12" eb="15">
      <t>トクイサキ</t>
    </rPh>
    <rPh sb="16" eb="18">
      <t>センタク</t>
    </rPh>
    <rPh sb="20" eb="21">
      <t>サイ</t>
    </rPh>
    <rPh sb="22" eb="23">
      <t>オナ</t>
    </rPh>
    <rPh sb="29" eb="31">
      <t>レンゾク</t>
    </rPh>
    <rPh sb="32" eb="34">
      <t>ヒョウジ</t>
    </rPh>
    <phoneticPr fontId="2"/>
  </si>
  <si>
    <t>検索ボタンを押下すると科目CDを入力してくださいというアラートがでて、検索ができない</t>
    <rPh sb="0" eb="2">
      <t>ケンサク</t>
    </rPh>
    <rPh sb="6" eb="8">
      <t>オウカ</t>
    </rPh>
    <rPh sb="11" eb="13">
      <t>カモク</t>
    </rPh>
    <rPh sb="16" eb="18">
      <t>ニュウリョク</t>
    </rPh>
    <rPh sb="35" eb="37">
      <t>ケンサク</t>
    </rPh>
    <phoneticPr fontId="2"/>
  </si>
  <si>
    <t>大谷</t>
    <rPh sb="0" eb="2">
      <t>オオタニ</t>
    </rPh>
    <phoneticPr fontId="2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</si>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</sst>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8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7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302" t="s">
        <v>0</v>
      </c>
      <c r="C2" s="303"/>
      <c r="D2" s="303"/>
      <c r="E2" s="303"/>
      <c r="F2" s="303"/>
      <c r="G2" s="303"/>
      <c r="H2" s="303" t="s">
        <v>40</v>
      </c>
      <c r="I2" s="303"/>
      <c r="J2" s="303"/>
      <c r="K2" s="303"/>
      <c r="L2" s="303" t="s">
        <v>41</v>
      </c>
      <c r="M2" s="303"/>
      <c r="N2" s="303"/>
      <c r="O2" s="303"/>
      <c r="P2" s="303"/>
      <c r="Q2" s="303"/>
      <c r="R2" s="303" t="s">
        <v>1</v>
      </c>
      <c r="S2" s="303"/>
      <c r="T2" s="303"/>
      <c r="U2" s="303"/>
      <c r="V2" s="303"/>
      <c r="W2" s="303"/>
      <c r="X2" s="304" t="s">
        <v>2</v>
      </c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6"/>
      <c r="AK2" s="304" t="s">
        <v>30</v>
      </c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6"/>
      <c r="AX2" s="303" t="s">
        <v>4</v>
      </c>
      <c r="AY2" s="303"/>
      <c r="AZ2" s="303"/>
      <c r="BA2" s="303"/>
      <c r="BB2" s="303" t="s">
        <v>3</v>
      </c>
      <c r="BC2" s="303"/>
      <c r="BD2" s="303"/>
      <c r="BE2" s="303"/>
      <c r="BF2" s="303" t="s">
        <v>5</v>
      </c>
      <c r="BG2" s="303"/>
      <c r="BH2" s="303"/>
      <c r="BI2" s="303"/>
      <c r="BJ2" s="303" t="s">
        <v>6</v>
      </c>
      <c r="BK2" s="303"/>
      <c r="BL2" s="303"/>
      <c r="BM2" s="317"/>
      <c r="BN2" s="15"/>
    </row>
    <row r="3" spans="1:66" ht="20.100000000000001" customHeight="1" x14ac:dyDescent="0.45">
      <c r="A3" s="9"/>
      <c r="B3" s="307" t="s">
        <v>38</v>
      </c>
      <c r="C3" s="308"/>
      <c r="D3" s="308"/>
      <c r="E3" s="308"/>
      <c r="F3" s="308"/>
      <c r="G3" s="308"/>
      <c r="H3" s="308" t="str">
        <f ca="1">LEFT($X$3,FIND("_",$X$3)-1)</f>
        <v>見積発注</v>
      </c>
      <c r="I3" s="308"/>
      <c r="J3" s="308"/>
      <c r="K3" s="308"/>
      <c r="L3" s="308" t="s">
        <v>39</v>
      </c>
      <c r="M3" s="308"/>
      <c r="N3" s="308"/>
      <c r="O3" s="308"/>
      <c r="P3" s="308"/>
      <c r="Q3" s="308"/>
      <c r="R3" s="311" t="str">
        <f ca="1">MID($X$3,FIND("_",$X$3,FIND("_",$X$3)+1)+1,LEN($X$3)-FIND("_",$X$3,FIND("_",$X$3)+1))</f>
        <v>結合試験項目</v>
      </c>
      <c r="S3" s="308"/>
      <c r="T3" s="308"/>
      <c r="U3" s="308"/>
      <c r="V3" s="308"/>
      <c r="W3" s="308"/>
      <c r="X3" s="312" t="str">
        <f ca="1">REPLACE(LEFT(CELL("filename",$B$2),FIND(".x",CELL("filename",$B$2))-1),1,FIND("[",CELL("filename",$B$2)),)</f>
        <v>見積発注_経過確認票出力_結合試験項目</v>
      </c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09"/>
      <c r="AK3" s="312" t="str">
        <f ca="1">MID($X$3,FIND("_",$X$3)+1,FIND("_",$X$3,FIND("_",$X$3)+1)-FIND("_",$X$3)-1)</f>
        <v>経過確認票出力</v>
      </c>
      <c r="AL3" s="313"/>
      <c r="AM3" s="313"/>
      <c r="AN3" s="313"/>
      <c r="AO3" s="313"/>
      <c r="AP3" s="313"/>
      <c r="AQ3" s="313"/>
      <c r="AR3" s="313"/>
      <c r="AS3" s="313"/>
      <c r="AT3" s="313"/>
      <c r="AU3" s="313"/>
      <c r="AV3" s="313"/>
      <c r="AW3" s="309"/>
      <c r="AX3" s="319">
        <v>45636</v>
      </c>
      <c r="AY3" s="308"/>
      <c r="AZ3" s="308"/>
      <c r="BA3" s="308"/>
      <c r="BB3" s="308" t="s">
        <v>45</v>
      </c>
      <c r="BC3" s="308"/>
      <c r="BD3" s="308"/>
      <c r="BE3" s="308"/>
      <c r="BF3" s="319">
        <v>45636</v>
      </c>
      <c r="BG3" s="308"/>
      <c r="BH3" s="308"/>
      <c r="BI3" s="308"/>
      <c r="BJ3" s="308" t="s">
        <v>45</v>
      </c>
      <c r="BK3" s="308"/>
      <c r="BL3" s="308"/>
      <c r="BM3" s="320"/>
      <c r="BN3" s="15"/>
    </row>
    <row r="4" spans="1:66" ht="20.100000000000001" customHeight="1" thickBot="1" x14ac:dyDescent="0.5">
      <c r="A4" s="9"/>
      <c r="B4" s="309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4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6"/>
      <c r="AK4" s="314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6"/>
      <c r="AX4" s="310"/>
      <c r="AY4" s="310"/>
      <c r="AZ4" s="310"/>
      <c r="BA4" s="310"/>
      <c r="BB4" s="310"/>
      <c r="BC4" s="310"/>
      <c r="BD4" s="310"/>
      <c r="BE4" s="310"/>
      <c r="BF4" s="310"/>
      <c r="BG4" s="310"/>
      <c r="BH4" s="310"/>
      <c r="BI4" s="310"/>
      <c r="BJ4" s="310"/>
      <c r="BK4" s="310"/>
      <c r="BL4" s="310"/>
      <c r="BM4" s="31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318" t="s">
        <v>7</v>
      </c>
      <c r="D8" s="318"/>
      <c r="E8" s="318"/>
      <c r="F8" s="318"/>
      <c r="G8" s="318" t="s">
        <v>8</v>
      </c>
      <c r="H8" s="318"/>
      <c r="I8" s="318"/>
      <c r="J8" s="318"/>
      <c r="K8" s="318" t="s">
        <v>9</v>
      </c>
      <c r="L8" s="318"/>
      <c r="M8" s="318"/>
      <c r="N8" s="318"/>
      <c r="O8" s="318" t="s">
        <v>10</v>
      </c>
      <c r="P8" s="318"/>
      <c r="Q8" s="318"/>
      <c r="R8" s="318"/>
      <c r="S8" s="318"/>
      <c r="T8" s="318"/>
      <c r="U8" s="318"/>
      <c r="V8" s="318"/>
      <c r="W8" s="318"/>
      <c r="X8" s="318"/>
      <c r="Y8" s="318" t="s">
        <v>11</v>
      </c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18"/>
      <c r="BK8" s="318"/>
      <c r="BL8" s="318"/>
      <c r="BM8" s="8"/>
      <c r="BN8" s="15"/>
    </row>
    <row r="9" spans="1:66" ht="20.100000000000001" customHeight="1" x14ac:dyDescent="0.45">
      <c r="A9" s="9"/>
      <c r="B9" s="8"/>
      <c r="C9" s="321">
        <v>45636</v>
      </c>
      <c r="D9" s="322"/>
      <c r="E9" s="322"/>
      <c r="F9" s="323"/>
      <c r="G9" s="324" t="s">
        <v>20</v>
      </c>
      <c r="H9" s="325"/>
      <c r="I9" s="325"/>
      <c r="J9" s="326"/>
      <c r="K9" s="327"/>
      <c r="L9" s="322"/>
      <c r="M9" s="322"/>
      <c r="N9" s="323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321"/>
      <c r="D10" s="322"/>
      <c r="E10" s="322"/>
      <c r="F10" s="323"/>
      <c r="G10" s="324"/>
      <c r="H10" s="325"/>
      <c r="I10" s="325"/>
      <c r="J10" s="326"/>
      <c r="K10" s="327"/>
      <c r="L10" s="322"/>
      <c r="M10" s="322"/>
      <c r="N10" s="323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321"/>
      <c r="D11" s="322"/>
      <c r="E11" s="322"/>
      <c r="F11" s="323"/>
      <c r="G11" s="324"/>
      <c r="H11" s="325"/>
      <c r="I11" s="325"/>
      <c r="J11" s="326"/>
      <c r="K11" s="327"/>
      <c r="L11" s="322"/>
      <c r="M11" s="322"/>
      <c r="N11" s="323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321"/>
      <c r="D36" s="322"/>
      <c r="E36" s="322"/>
      <c r="F36" s="323"/>
      <c r="G36" s="324"/>
      <c r="H36" s="325"/>
      <c r="I36" s="325"/>
      <c r="J36" s="326"/>
      <c r="K36" s="327"/>
      <c r="L36" s="322"/>
      <c r="M36" s="322"/>
      <c r="N36" s="323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321"/>
      <c r="D37" s="322"/>
      <c r="E37" s="322"/>
      <c r="F37" s="323"/>
      <c r="G37" s="324"/>
      <c r="H37" s="325"/>
      <c r="I37" s="325"/>
      <c r="J37" s="326"/>
      <c r="K37" s="327"/>
      <c r="L37" s="322"/>
      <c r="M37" s="322"/>
      <c r="N37" s="323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321"/>
      <c r="D38" s="322"/>
      <c r="E38" s="322"/>
      <c r="F38" s="323"/>
      <c r="G38" s="324"/>
      <c r="H38" s="325"/>
      <c r="I38" s="325"/>
      <c r="J38" s="326"/>
      <c r="K38" s="327"/>
      <c r="L38" s="322"/>
      <c r="M38" s="322"/>
      <c r="N38" s="323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321"/>
      <c r="D39" s="322"/>
      <c r="E39" s="322"/>
      <c r="F39" s="323"/>
      <c r="G39" s="324"/>
      <c r="H39" s="325"/>
      <c r="I39" s="325"/>
      <c r="J39" s="326"/>
      <c r="K39" s="327"/>
      <c r="L39" s="322"/>
      <c r="M39" s="322"/>
      <c r="N39" s="323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321"/>
      <c r="D40" s="322"/>
      <c r="E40" s="322"/>
      <c r="F40" s="323"/>
      <c r="G40" s="324"/>
      <c r="H40" s="325"/>
      <c r="I40" s="325"/>
      <c r="J40" s="326"/>
      <c r="K40" s="327"/>
      <c r="L40" s="322"/>
      <c r="M40" s="322"/>
      <c r="N40" s="323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321"/>
      <c r="D41" s="322"/>
      <c r="E41" s="322"/>
      <c r="F41" s="323"/>
      <c r="G41" s="324"/>
      <c r="H41" s="325"/>
      <c r="I41" s="325"/>
      <c r="J41" s="326"/>
      <c r="K41" s="327"/>
      <c r="L41" s="322"/>
      <c r="M41" s="322"/>
      <c r="N41" s="323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321"/>
      <c r="D42" s="322"/>
      <c r="E42" s="322"/>
      <c r="F42" s="323"/>
      <c r="G42" s="324"/>
      <c r="H42" s="325"/>
      <c r="I42" s="325"/>
      <c r="J42" s="326"/>
      <c r="K42" s="327"/>
      <c r="L42" s="322"/>
      <c r="M42" s="322"/>
      <c r="N42" s="323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321"/>
      <c r="D43" s="322"/>
      <c r="E43" s="322"/>
      <c r="F43" s="323"/>
      <c r="G43" s="324"/>
      <c r="H43" s="325"/>
      <c r="I43" s="325"/>
      <c r="J43" s="326"/>
      <c r="K43" s="327"/>
      <c r="L43" s="322"/>
      <c r="M43" s="322"/>
      <c r="N43" s="323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321"/>
      <c r="D44" s="322"/>
      <c r="E44" s="322"/>
      <c r="F44" s="323"/>
      <c r="G44" s="324"/>
      <c r="H44" s="325"/>
      <c r="I44" s="325"/>
      <c r="J44" s="326"/>
      <c r="K44" s="327"/>
      <c r="L44" s="322"/>
      <c r="M44" s="322"/>
      <c r="N44" s="323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321"/>
      <c r="D45" s="322"/>
      <c r="E45" s="322"/>
      <c r="F45" s="323"/>
      <c r="G45" s="324"/>
      <c r="H45" s="325"/>
      <c r="I45" s="325"/>
      <c r="J45" s="326"/>
      <c r="K45" s="327"/>
      <c r="L45" s="322"/>
      <c r="M45" s="322"/>
      <c r="N45" s="323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321"/>
      <c r="D46" s="322"/>
      <c r="E46" s="322"/>
      <c r="F46" s="323"/>
      <c r="G46" s="324"/>
      <c r="H46" s="325"/>
      <c r="I46" s="325"/>
      <c r="J46" s="326"/>
      <c r="K46" s="327"/>
      <c r="L46" s="322"/>
      <c r="M46" s="322"/>
      <c r="N46" s="323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321"/>
      <c r="D47" s="322"/>
      <c r="E47" s="322"/>
      <c r="F47" s="323"/>
      <c r="G47" s="324"/>
      <c r="H47" s="325"/>
      <c r="I47" s="325"/>
      <c r="J47" s="326"/>
      <c r="K47" s="327"/>
      <c r="L47" s="322"/>
      <c r="M47" s="322"/>
      <c r="N47" s="323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6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302" t="s">
        <v>0</v>
      </c>
      <c r="C2" s="303"/>
      <c r="D2" s="303"/>
      <c r="E2" s="303"/>
      <c r="F2" s="303"/>
      <c r="G2" s="303"/>
      <c r="H2" s="303" t="s">
        <v>40</v>
      </c>
      <c r="I2" s="303"/>
      <c r="J2" s="303"/>
      <c r="K2" s="303"/>
      <c r="L2" s="303" t="s">
        <v>41</v>
      </c>
      <c r="M2" s="303"/>
      <c r="N2" s="303"/>
      <c r="O2" s="303"/>
      <c r="P2" s="303"/>
      <c r="Q2" s="303"/>
      <c r="R2" s="303" t="s">
        <v>1</v>
      </c>
      <c r="S2" s="303"/>
      <c r="T2" s="303"/>
      <c r="U2" s="303"/>
      <c r="V2" s="303"/>
      <c r="W2" s="303"/>
      <c r="X2" s="304" t="s">
        <v>2</v>
      </c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6"/>
      <c r="AK2" s="304" t="s">
        <v>30</v>
      </c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6"/>
      <c r="AX2" s="303" t="s">
        <v>4</v>
      </c>
      <c r="AY2" s="303"/>
      <c r="AZ2" s="303"/>
      <c r="BA2" s="303"/>
      <c r="BB2" s="303" t="s">
        <v>3</v>
      </c>
      <c r="BC2" s="303"/>
      <c r="BD2" s="303"/>
      <c r="BE2" s="303"/>
      <c r="BF2" s="303" t="s">
        <v>5</v>
      </c>
      <c r="BG2" s="303"/>
      <c r="BH2" s="303"/>
      <c r="BI2" s="303"/>
      <c r="BJ2" s="303" t="s">
        <v>6</v>
      </c>
      <c r="BK2" s="303"/>
      <c r="BL2" s="303"/>
      <c r="BM2" s="317"/>
      <c r="BN2" s="16"/>
    </row>
    <row r="3" spans="1:66" ht="20.100000000000001" customHeight="1" x14ac:dyDescent="0.45">
      <c r="A3" s="10"/>
      <c r="B3" s="307" t="str">
        <f>変更履歴!B3</f>
        <v>受発注システム</v>
      </c>
      <c r="C3" s="308"/>
      <c r="D3" s="308"/>
      <c r="E3" s="308"/>
      <c r="F3" s="308"/>
      <c r="G3" s="308"/>
      <c r="H3" s="308" t="str">
        <f ca="1">変更履歴!H3</f>
        <v>見積発注</v>
      </c>
      <c r="I3" s="308"/>
      <c r="J3" s="308"/>
      <c r="K3" s="308"/>
      <c r="L3" s="308">
        <f>変更履歴!B7</f>
        <v>0</v>
      </c>
      <c r="M3" s="308"/>
      <c r="N3" s="308"/>
      <c r="O3" s="308"/>
      <c r="P3" s="308"/>
      <c r="Q3" s="308"/>
      <c r="R3" s="308" t="str">
        <f ca="1">変更履歴!R3</f>
        <v>結合試験項目</v>
      </c>
      <c r="S3" s="308"/>
      <c r="T3" s="308"/>
      <c r="U3" s="308"/>
      <c r="V3" s="308"/>
      <c r="W3" s="308"/>
      <c r="X3" s="312" t="str">
        <f ca="1">変更履歴!X3</f>
        <v>見積発注_経過確認票出力_結合試験項目</v>
      </c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09"/>
      <c r="AK3" s="312" t="str">
        <f ca="1">変更履歴!AK3</f>
        <v>経過確認票出力</v>
      </c>
      <c r="AL3" s="313"/>
      <c r="AM3" s="313"/>
      <c r="AN3" s="313"/>
      <c r="AO3" s="313"/>
      <c r="AP3" s="313"/>
      <c r="AQ3" s="313"/>
      <c r="AR3" s="313"/>
      <c r="AS3" s="313"/>
      <c r="AT3" s="313"/>
      <c r="AU3" s="313"/>
      <c r="AV3" s="313"/>
      <c r="AW3" s="309"/>
      <c r="AX3" s="319">
        <f>変更履歴!AX3</f>
        <v>45636</v>
      </c>
      <c r="AY3" s="319"/>
      <c r="AZ3" s="319"/>
      <c r="BA3" s="319"/>
      <c r="BB3" s="308" t="str">
        <f>変更履歴!BB3</f>
        <v>榎本</v>
      </c>
      <c r="BC3" s="308"/>
      <c r="BD3" s="308"/>
      <c r="BE3" s="308"/>
      <c r="BF3" s="319">
        <f>変更履歴!BF3</f>
        <v>45636</v>
      </c>
      <c r="BG3" s="319"/>
      <c r="BH3" s="319"/>
      <c r="BI3" s="319"/>
      <c r="BJ3" s="308" t="str">
        <f>変更履歴!BJ3</f>
        <v>榎本</v>
      </c>
      <c r="BK3" s="308"/>
      <c r="BL3" s="308"/>
      <c r="BM3" s="320"/>
      <c r="BN3" s="16"/>
    </row>
    <row r="4" spans="1:66" ht="20.100000000000001" customHeight="1" thickBot="1" x14ac:dyDescent="0.5">
      <c r="A4" s="10"/>
      <c r="B4" s="309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4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6"/>
      <c r="AK4" s="314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6"/>
      <c r="AX4" s="363"/>
      <c r="AY4" s="363"/>
      <c r="AZ4" s="363"/>
      <c r="BA4" s="363"/>
      <c r="BB4" s="310"/>
      <c r="BC4" s="310"/>
      <c r="BD4" s="310"/>
      <c r="BE4" s="310"/>
      <c r="BF4" s="363"/>
      <c r="BG4" s="363"/>
      <c r="BH4" s="363"/>
      <c r="BI4" s="363"/>
      <c r="BJ4" s="310"/>
      <c r="BK4" s="310"/>
      <c r="BL4" s="310"/>
      <c r="BM4" s="31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364" t="s">
        <v>32</v>
      </c>
      <c r="BF7" s="365"/>
      <c r="BG7" s="368" t="s">
        <v>31</v>
      </c>
      <c r="BH7" s="368"/>
      <c r="BI7" s="369" t="s">
        <v>33</v>
      </c>
      <c r="BJ7" s="370"/>
      <c r="BK7" s="369" t="s">
        <v>34</v>
      </c>
      <c r="BL7" s="358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359" t="s">
        <v>35</v>
      </c>
      <c r="AP8" s="357"/>
      <c r="AQ8" s="357"/>
      <c r="AR8" s="357"/>
      <c r="AS8" s="357"/>
      <c r="AT8" s="358"/>
      <c r="AU8" s="359" t="s">
        <v>36</v>
      </c>
      <c r="AV8" s="357"/>
      <c r="AW8" s="357"/>
      <c r="AX8" s="357"/>
      <c r="AY8" s="357"/>
      <c r="AZ8" s="358"/>
      <c r="BE8" s="366"/>
      <c r="BF8" s="367"/>
      <c r="BG8" s="360">
        <f>COUNTA(C10:C62)</f>
        <v>53</v>
      </c>
      <c r="BH8" s="361"/>
      <c r="BI8" s="360">
        <f>COUNTIF(AS10:AT62,"OK")+COUNTIF(AY10:AZ62,"OK")</f>
        <v>53</v>
      </c>
      <c r="BJ8" s="361"/>
      <c r="BK8" s="360">
        <f>BG8-BI8</f>
        <v>0</v>
      </c>
      <c r="BL8" s="36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52" t="s">
        <v>25</v>
      </c>
      <c r="AP9" s="353"/>
      <c r="AQ9" s="354" t="s">
        <v>26</v>
      </c>
      <c r="AR9" s="353"/>
      <c r="AS9" s="354" t="s">
        <v>29</v>
      </c>
      <c r="AT9" s="355"/>
      <c r="AU9" s="352" t="s">
        <v>25</v>
      </c>
      <c r="AV9" s="353"/>
      <c r="AW9" s="354" t="s">
        <v>26</v>
      </c>
      <c r="AX9" s="353"/>
      <c r="AY9" s="354" t="s">
        <v>29</v>
      </c>
      <c r="AZ9" s="355"/>
      <c r="BA9" s="356" t="s">
        <v>27</v>
      </c>
      <c r="BB9" s="357"/>
      <c r="BC9" s="357"/>
      <c r="BD9" s="357"/>
      <c r="BE9" s="357"/>
      <c r="BF9" s="357"/>
      <c r="BG9" s="357"/>
      <c r="BH9" s="357"/>
      <c r="BI9" s="357"/>
      <c r="BJ9" s="357"/>
      <c r="BK9" s="357"/>
      <c r="BL9" s="358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339" t="s">
        <v>42</v>
      </c>
      <c r="E10" s="340"/>
      <c r="F10" s="340"/>
      <c r="G10" s="341"/>
      <c r="H10" s="339" t="s">
        <v>43</v>
      </c>
      <c r="I10" s="340"/>
      <c r="J10" s="340"/>
      <c r="K10" s="341"/>
      <c r="L10" s="337" t="s">
        <v>70</v>
      </c>
      <c r="M10" s="332"/>
      <c r="N10" s="332"/>
      <c r="O10" s="338"/>
      <c r="P10" s="337" t="s">
        <v>71</v>
      </c>
      <c r="Q10" s="332"/>
      <c r="R10" s="332"/>
      <c r="S10" s="332"/>
      <c r="T10" s="332"/>
      <c r="U10" s="332"/>
      <c r="V10" s="332"/>
      <c r="W10" s="338"/>
      <c r="X10" s="337" t="s">
        <v>73</v>
      </c>
      <c r="Y10" s="332"/>
      <c r="Z10" s="332"/>
      <c r="AA10" s="332"/>
      <c r="AB10" s="332"/>
      <c r="AC10" s="332"/>
      <c r="AD10" s="332"/>
      <c r="AE10" s="338"/>
      <c r="AF10" s="337"/>
      <c r="AG10" s="332"/>
      <c r="AH10" s="332"/>
      <c r="AI10" s="332"/>
      <c r="AJ10" s="332"/>
      <c r="AK10" s="332"/>
      <c r="AL10" s="332"/>
      <c r="AM10" s="332"/>
      <c r="AN10" s="351"/>
      <c r="AO10" s="328">
        <v>45681</v>
      </c>
      <c r="AP10" s="329"/>
      <c r="AQ10" s="327" t="s">
        <v>186</v>
      </c>
      <c r="AR10" s="323"/>
      <c r="AS10" s="327" t="s">
        <v>187</v>
      </c>
      <c r="AT10" s="330"/>
      <c r="AU10" s="328"/>
      <c r="AV10" s="329"/>
      <c r="AW10" s="327"/>
      <c r="AX10" s="323"/>
      <c r="AY10" s="327"/>
      <c r="AZ10" s="330"/>
      <c r="BA10" s="348"/>
      <c r="BB10" s="349"/>
      <c r="BC10" s="349"/>
      <c r="BD10" s="349"/>
      <c r="BE10" s="349"/>
      <c r="BF10" s="349"/>
      <c r="BG10" s="349"/>
      <c r="BH10" s="349"/>
      <c r="BI10" s="349"/>
      <c r="BJ10" s="349"/>
      <c r="BK10" s="349"/>
      <c r="BL10" s="350"/>
      <c r="BM10" s="16"/>
      <c r="BN10" s="16"/>
    </row>
    <row r="11" spans="1:66" s="218" customFormat="1" ht="24" customHeight="1" x14ac:dyDescent="0.45">
      <c r="A11" s="220"/>
      <c r="B11" s="220"/>
      <c r="C11" s="271">
        <f>ROW()-9</f>
        <v>2</v>
      </c>
      <c r="D11" s="255"/>
      <c r="E11" s="256"/>
      <c r="F11" s="256"/>
      <c r="G11" s="257"/>
      <c r="H11" s="255"/>
      <c r="I11" s="256"/>
      <c r="J11" s="256"/>
      <c r="K11" s="257"/>
      <c r="L11" s="337" t="s">
        <v>72</v>
      </c>
      <c r="M11" s="332"/>
      <c r="N11" s="332"/>
      <c r="O11" s="338"/>
      <c r="P11" s="337" t="s">
        <v>71</v>
      </c>
      <c r="Q11" s="332"/>
      <c r="R11" s="332"/>
      <c r="S11" s="332"/>
      <c r="T11" s="332"/>
      <c r="U11" s="332"/>
      <c r="V11" s="332"/>
      <c r="W11" s="338"/>
      <c r="X11" s="337" t="s">
        <v>74</v>
      </c>
      <c r="Y11" s="332"/>
      <c r="Z11" s="332"/>
      <c r="AA11" s="332"/>
      <c r="AB11" s="332"/>
      <c r="AC11" s="332"/>
      <c r="AD11" s="332"/>
      <c r="AE11" s="338"/>
      <c r="AF11" s="210" t="s">
        <v>75</v>
      </c>
      <c r="AG11" s="253"/>
      <c r="AH11" s="253"/>
      <c r="AI11" s="253"/>
      <c r="AJ11" s="253"/>
      <c r="AK11" s="253"/>
      <c r="AL11" s="253"/>
      <c r="AM11" s="253"/>
      <c r="AN11" s="264"/>
      <c r="AO11" s="328">
        <v>45681</v>
      </c>
      <c r="AP11" s="329"/>
      <c r="AQ11" s="327" t="s">
        <v>186</v>
      </c>
      <c r="AR11" s="323"/>
      <c r="AS11" s="327" t="s">
        <v>187</v>
      </c>
      <c r="AT11" s="330"/>
      <c r="AU11" s="259"/>
      <c r="AV11" s="260"/>
      <c r="AW11" s="250"/>
      <c r="AX11" s="251"/>
      <c r="AY11" s="250"/>
      <c r="AZ11" s="258"/>
      <c r="BA11" s="261"/>
      <c r="BB11" s="262"/>
      <c r="BC11" s="262"/>
      <c r="BD11" s="262"/>
      <c r="BE11" s="262"/>
      <c r="BF11" s="262"/>
      <c r="BG11" s="262"/>
      <c r="BH11" s="262"/>
      <c r="BI11" s="262"/>
      <c r="BJ11" s="262"/>
      <c r="BK11" s="262"/>
      <c r="BL11" s="263"/>
      <c r="BM11" s="221"/>
      <c r="BN11" s="221"/>
    </row>
    <row r="12" spans="1:66" s="218" customFormat="1" ht="24" customHeight="1" x14ac:dyDescent="0.45">
      <c r="A12" s="220"/>
      <c r="B12" s="220"/>
      <c r="C12" s="271">
        <f t="shared" ref="C12:C62" si="0">ROW()-9</f>
        <v>3</v>
      </c>
      <c r="D12" s="255"/>
      <c r="E12" s="256"/>
      <c r="F12" s="256"/>
      <c r="G12" s="257"/>
      <c r="H12" s="255"/>
      <c r="I12" s="256"/>
      <c r="J12" s="256"/>
      <c r="K12" s="257"/>
      <c r="L12" s="210" t="s">
        <v>77</v>
      </c>
      <c r="M12" s="253"/>
      <c r="N12" s="253"/>
      <c r="O12" s="254"/>
      <c r="P12" s="337" t="s">
        <v>71</v>
      </c>
      <c r="Q12" s="332"/>
      <c r="R12" s="332"/>
      <c r="S12" s="332"/>
      <c r="T12" s="332"/>
      <c r="U12" s="332"/>
      <c r="V12" s="332"/>
      <c r="W12" s="338"/>
      <c r="X12" s="337" t="s">
        <v>55</v>
      </c>
      <c r="Y12" s="332"/>
      <c r="Z12" s="332"/>
      <c r="AA12" s="332"/>
      <c r="AB12" s="332"/>
      <c r="AC12" s="332"/>
      <c r="AD12" s="332"/>
      <c r="AE12" s="338"/>
      <c r="AF12" s="252"/>
      <c r="AG12" s="253"/>
      <c r="AH12" s="253"/>
      <c r="AI12" s="253"/>
      <c r="AJ12" s="253"/>
      <c r="AK12" s="253"/>
      <c r="AL12" s="253"/>
      <c r="AM12" s="253"/>
      <c r="AN12" s="264"/>
      <c r="AO12" s="328">
        <v>45681</v>
      </c>
      <c r="AP12" s="329"/>
      <c r="AQ12" s="327" t="s">
        <v>186</v>
      </c>
      <c r="AR12" s="323"/>
      <c r="AS12" s="327" t="s">
        <v>187</v>
      </c>
      <c r="AT12" s="330"/>
      <c r="AU12" s="259"/>
      <c r="AV12" s="260"/>
      <c r="AW12" s="250"/>
      <c r="AX12" s="251"/>
      <c r="AY12" s="250"/>
      <c r="AZ12" s="258"/>
      <c r="BA12" s="261"/>
      <c r="BB12" s="262"/>
      <c r="BC12" s="262"/>
      <c r="BD12" s="262"/>
      <c r="BE12" s="262"/>
      <c r="BF12" s="262"/>
      <c r="BG12" s="262"/>
      <c r="BH12" s="262"/>
      <c r="BI12" s="262"/>
      <c r="BJ12" s="262"/>
      <c r="BK12" s="262"/>
      <c r="BL12" s="263"/>
      <c r="BM12" s="221"/>
      <c r="BN12" s="221"/>
    </row>
    <row r="13" spans="1:66" s="218" customFormat="1" ht="24" customHeight="1" x14ac:dyDescent="0.45">
      <c r="A13" s="220"/>
      <c r="B13" s="220"/>
      <c r="C13" s="271">
        <f t="shared" si="0"/>
        <v>4</v>
      </c>
      <c r="D13" s="255"/>
      <c r="E13" s="256"/>
      <c r="F13" s="256"/>
      <c r="G13" s="257"/>
      <c r="H13" s="255"/>
      <c r="I13" s="256"/>
      <c r="J13" s="256"/>
      <c r="K13" s="257"/>
      <c r="L13" s="210" t="s">
        <v>79</v>
      </c>
      <c r="M13" s="253"/>
      <c r="N13" s="253"/>
      <c r="O13" s="254"/>
      <c r="P13" s="337" t="s">
        <v>71</v>
      </c>
      <c r="Q13" s="332"/>
      <c r="R13" s="332"/>
      <c r="S13" s="332"/>
      <c r="T13" s="332"/>
      <c r="U13" s="332"/>
      <c r="V13" s="332"/>
      <c r="W13" s="338"/>
      <c r="X13" s="337" t="s">
        <v>55</v>
      </c>
      <c r="Y13" s="332"/>
      <c r="Z13" s="332"/>
      <c r="AA13" s="332"/>
      <c r="AB13" s="332"/>
      <c r="AC13" s="332"/>
      <c r="AD13" s="332"/>
      <c r="AE13" s="338"/>
      <c r="AF13" s="252"/>
      <c r="AG13" s="253"/>
      <c r="AH13" s="253"/>
      <c r="AI13" s="253"/>
      <c r="AJ13" s="253"/>
      <c r="AK13" s="253"/>
      <c r="AL13" s="253"/>
      <c r="AM13" s="253"/>
      <c r="AN13" s="264"/>
      <c r="AO13" s="328">
        <v>45681</v>
      </c>
      <c r="AP13" s="329"/>
      <c r="AQ13" s="327" t="s">
        <v>186</v>
      </c>
      <c r="AR13" s="323"/>
      <c r="AS13" s="327" t="s">
        <v>187</v>
      </c>
      <c r="AT13" s="330"/>
      <c r="AU13" s="259"/>
      <c r="AV13" s="260"/>
      <c r="AW13" s="250"/>
      <c r="AX13" s="251"/>
      <c r="AY13" s="250"/>
      <c r="AZ13" s="258"/>
      <c r="BA13" s="261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3"/>
      <c r="BM13" s="221"/>
      <c r="BN13" s="221"/>
    </row>
    <row r="14" spans="1:66" s="218" customFormat="1" ht="24" customHeight="1" x14ac:dyDescent="0.45">
      <c r="A14" s="220"/>
      <c r="B14" s="220"/>
      <c r="C14" s="271">
        <f t="shared" si="0"/>
        <v>5</v>
      </c>
      <c r="D14" s="255"/>
      <c r="E14" s="256"/>
      <c r="F14" s="256"/>
      <c r="G14" s="257"/>
      <c r="H14" s="255"/>
      <c r="I14" s="256"/>
      <c r="J14" s="256"/>
      <c r="K14" s="257"/>
      <c r="L14" s="210" t="s">
        <v>80</v>
      </c>
      <c r="M14" s="253"/>
      <c r="N14" s="253"/>
      <c r="O14" s="254"/>
      <c r="P14" s="337" t="s">
        <v>71</v>
      </c>
      <c r="Q14" s="332"/>
      <c r="R14" s="332"/>
      <c r="S14" s="332"/>
      <c r="T14" s="332"/>
      <c r="U14" s="332"/>
      <c r="V14" s="332"/>
      <c r="W14" s="338"/>
      <c r="X14" s="337" t="s">
        <v>55</v>
      </c>
      <c r="Y14" s="332"/>
      <c r="Z14" s="332"/>
      <c r="AA14" s="332"/>
      <c r="AB14" s="332"/>
      <c r="AC14" s="332"/>
      <c r="AD14" s="332"/>
      <c r="AE14" s="338"/>
      <c r="AF14" s="252"/>
      <c r="AG14" s="253"/>
      <c r="AH14" s="253"/>
      <c r="AI14" s="253"/>
      <c r="AJ14" s="253"/>
      <c r="AK14" s="253"/>
      <c r="AL14" s="253"/>
      <c r="AM14" s="253"/>
      <c r="AN14" s="264"/>
      <c r="AO14" s="328">
        <v>45681</v>
      </c>
      <c r="AP14" s="329"/>
      <c r="AQ14" s="327" t="s">
        <v>186</v>
      </c>
      <c r="AR14" s="323"/>
      <c r="AS14" s="327" t="s">
        <v>187</v>
      </c>
      <c r="AT14" s="330"/>
      <c r="AU14" s="259"/>
      <c r="AV14" s="260"/>
      <c r="AW14" s="250"/>
      <c r="AX14" s="251"/>
      <c r="AY14" s="250"/>
      <c r="AZ14" s="258"/>
      <c r="BA14" s="261"/>
      <c r="BB14" s="262"/>
      <c r="BC14" s="262"/>
      <c r="BD14" s="262"/>
      <c r="BE14" s="262"/>
      <c r="BF14" s="262"/>
      <c r="BG14" s="262"/>
      <c r="BH14" s="262"/>
      <c r="BI14" s="262"/>
      <c r="BJ14" s="262"/>
      <c r="BK14" s="262"/>
      <c r="BL14" s="263"/>
      <c r="BM14" s="221"/>
      <c r="BN14" s="221"/>
    </row>
    <row r="15" spans="1:66" s="218" customFormat="1" ht="24" customHeight="1" x14ac:dyDescent="0.45">
      <c r="A15" s="220"/>
      <c r="B15" s="220"/>
      <c r="C15" s="271">
        <f t="shared" si="0"/>
        <v>6</v>
      </c>
      <c r="D15" s="255"/>
      <c r="E15" s="256"/>
      <c r="F15" s="256"/>
      <c r="G15" s="257"/>
      <c r="H15" s="255"/>
      <c r="I15" s="256"/>
      <c r="J15" s="256"/>
      <c r="K15" s="257"/>
      <c r="L15" s="210" t="s">
        <v>81</v>
      </c>
      <c r="M15" s="253"/>
      <c r="N15" s="253"/>
      <c r="O15" s="254"/>
      <c r="P15" s="337" t="s">
        <v>71</v>
      </c>
      <c r="Q15" s="332"/>
      <c r="R15" s="332"/>
      <c r="S15" s="332"/>
      <c r="T15" s="332"/>
      <c r="U15" s="332"/>
      <c r="V15" s="332"/>
      <c r="W15" s="338"/>
      <c r="X15" s="337" t="s">
        <v>55</v>
      </c>
      <c r="Y15" s="332"/>
      <c r="Z15" s="332"/>
      <c r="AA15" s="332"/>
      <c r="AB15" s="332"/>
      <c r="AC15" s="332"/>
      <c r="AD15" s="332"/>
      <c r="AE15" s="338"/>
      <c r="AF15" s="252"/>
      <c r="AG15" s="253"/>
      <c r="AH15" s="253"/>
      <c r="AI15" s="253"/>
      <c r="AJ15" s="253"/>
      <c r="AK15" s="253"/>
      <c r="AL15" s="253"/>
      <c r="AM15" s="253"/>
      <c r="AN15" s="264"/>
      <c r="AO15" s="328">
        <v>45681</v>
      </c>
      <c r="AP15" s="329"/>
      <c r="AQ15" s="327" t="s">
        <v>186</v>
      </c>
      <c r="AR15" s="323"/>
      <c r="AS15" s="327" t="s">
        <v>187</v>
      </c>
      <c r="AT15" s="330"/>
      <c r="AU15" s="259"/>
      <c r="AV15" s="260"/>
      <c r="AW15" s="250"/>
      <c r="AX15" s="251"/>
      <c r="AY15" s="250"/>
      <c r="AZ15" s="258"/>
      <c r="BA15" s="261"/>
      <c r="BB15" s="262"/>
      <c r="BC15" s="262"/>
      <c r="BD15" s="262"/>
      <c r="BE15" s="262"/>
      <c r="BF15" s="262"/>
      <c r="BG15" s="262"/>
      <c r="BH15" s="262"/>
      <c r="BI15" s="262"/>
      <c r="BJ15" s="262"/>
      <c r="BK15" s="262"/>
      <c r="BL15" s="263"/>
      <c r="BM15" s="221"/>
      <c r="BN15" s="221"/>
    </row>
    <row r="16" spans="1:66" s="218" customFormat="1" ht="24" customHeight="1" x14ac:dyDescent="0.45">
      <c r="A16" s="220"/>
      <c r="B16" s="220"/>
      <c r="C16" s="271">
        <f t="shared" si="0"/>
        <v>7</v>
      </c>
      <c r="D16" s="255"/>
      <c r="E16" s="256"/>
      <c r="F16" s="256"/>
      <c r="G16" s="257"/>
      <c r="H16" s="255"/>
      <c r="I16" s="256"/>
      <c r="J16" s="256"/>
      <c r="K16" s="257"/>
      <c r="L16" s="210" t="s">
        <v>82</v>
      </c>
      <c r="M16" s="253"/>
      <c r="N16" s="253"/>
      <c r="O16" s="254"/>
      <c r="P16" s="337" t="s">
        <v>71</v>
      </c>
      <c r="Q16" s="332"/>
      <c r="R16" s="332"/>
      <c r="S16" s="332"/>
      <c r="T16" s="332"/>
      <c r="U16" s="332"/>
      <c r="V16" s="332"/>
      <c r="W16" s="338"/>
      <c r="X16" s="337" t="s">
        <v>74</v>
      </c>
      <c r="Y16" s="332"/>
      <c r="Z16" s="332"/>
      <c r="AA16" s="332"/>
      <c r="AB16" s="332"/>
      <c r="AC16" s="332"/>
      <c r="AD16" s="332"/>
      <c r="AE16" s="338"/>
      <c r="AF16" s="210" t="s">
        <v>109</v>
      </c>
      <c r="AG16" s="253"/>
      <c r="AH16" s="253"/>
      <c r="AI16" s="253"/>
      <c r="AJ16" s="253"/>
      <c r="AK16" s="253"/>
      <c r="AL16" s="253"/>
      <c r="AM16" s="253"/>
      <c r="AN16" s="264"/>
      <c r="AO16" s="328">
        <v>45681</v>
      </c>
      <c r="AP16" s="329"/>
      <c r="AQ16" s="327" t="s">
        <v>186</v>
      </c>
      <c r="AR16" s="323"/>
      <c r="AS16" s="327" t="s">
        <v>187</v>
      </c>
      <c r="AT16" s="330"/>
      <c r="AU16" s="259"/>
      <c r="AV16" s="260"/>
      <c r="AW16" s="250"/>
      <c r="AX16" s="251"/>
      <c r="AY16" s="250"/>
      <c r="AZ16" s="258"/>
      <c r="BA16" s="261"/>
      <c r="BB16" s="262"/>
      <c r="BC16" s="262"/>
      <c r="BD16" s="262"/>
      <c r="BE16" s="262"/>
      <c r="BF16" s="262"/>
      <c r="BG16" s="262"/>
      <c r="BH16" s="262"/>
      <c r="BI16" s="262"/>
      <c r="BJ16" s="262"/>
      <c r="BK16" s="262"/>
      <c r="BL16" s="263"/>
      <c r="BM16" s="221"/>
      <c r="BN16" s="221"/>
    </row>
    <row r="17" spans="1:66" s="218" customFormat="1" ht="24" customHeight="1" x14ac:dyDescent="0.45">
      <c r="A17" s="220"/>
      <c r="B17" s="220"/>
      <c r="C17" s="271">
        <f t="shared" si="0"/>
        <v>8</v>
      </c>
      <c r="D17" s="255"/>
      <c r="E17" s="256"/>
      <c r="F17" s="256"/>
      <c r="G17" s="257"/>
      <c r="H17" s="255"/>
      <c r="I17" s="256"/>
      <c r="J17" s="256"/>
      <c r="K17" s="257"/>
      <c r="L17" s="210" t="s">
        <v>83</v>
      </c>
      <c r="M17" s="253"/>
      <c r="N17" s="253"/>
      <c r="O17" s="254"/>
      <c r="P17" s="337" t="s">
        <v>71</v>
      </c>
      <c r="Q17" s="332"/>
      <c r="R17" s="332"/>
      <c r="S17" s="332"/>
      <c r="T17" s="332"/>
      <c r="U17" s="332"/>
      <c r="V17" s="332"/>
      <c r="W17" s="338"/>
      <c r="X17" s="337" t="s">
        <v>55</v>
      </c>
      <c r="Y17" s="332"/>
      <c r="Z17" s="332"/>
      <c r="AA17" s="332"/>
      <c r="AB17" s="332"/>
      <c r="AC17" s="332"/>
      <c r="AD17" s="332"/>
      <c r="AE17" s="338"/>
      <c r="AF17" s="252"/>
      <c r="AG17" s="253"/>
      <c r="AH17" s="253"/>
      <c r="AI17" s="253"/>
      <c r="AJ17" s="253"/>
      <c r="AK17" s="253"/>
      <c r="AL17" s="253"/>
      <c r="AM17" s="253"/>
      <c r="AN17" s="264"/>
      <c r="AO17" s="328">
        <v>45681</v>
      </c>
      <c r="AP17" s="329"/>
      <c r="AQ17" s="327" t="s">
        <v>186</v>
      </c>
      <c r="AR17" s="323"/>
      <c r="AS17" s="327" t="s">
        <v>187</v>
      </c>
      <c r="AT17" s="330"/>
      <c r="AU17" s="259"/>
      <c r="AV17" s="260"/>
      <c r="AW17" s="250"/>
      <c r="AX17" s="251"/>
      <c r="AY17" s="250"/>
      <c r="AZ17" s="258"/>
      <c r="BA17" s="261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3"/>
      <c r="BM17" s="221"/>
      <c r="BN17" s="221"/>
    </row>
    <row r="18" spans="1:66" s="218" customFormat="1" ht="24" customHeight="1" x14ac:dyDescent="0.45">
      <c r="A18" s="220"/>
      <c r="B18" s="220"/>
      <c r="C18" s="271">
        <f t="shared" si="0"/>
        <v>9</v>
      </c>
      <c r="D18" s="255"/>
      <c r="E18" s="256"/>
      <c r="F18" s="256"/>
      <c r="G18" s="257"/>
      <c r="H18" s="255"/>
      <c r="I18" s="256"/>
      <c r="J18" s="256"/>
      <c r="K18" s="257"/>
      <c r="L18" s="210" t="s">
        <v>84</v>
      </c>
      <c r="M18" s="253"/>
      <c r="N18" s="253"/>
      <c r="O18" s="254"/>
      <c r="P18" s="337" t="s">
        <v>71</v>
      </c>
      <c r="Q18" s="332"/>
      <c r="R18" s="332"/>
      <c r="S18" s="332"/>
      <c r="T18" s="332"/>
      <c r="U18" s="332"/>
      <c r="V18" s="332"/>
      <c r="W18" s="338"/>
      <c r="X18" s="337" t="s">
        <v>74</v>
      </c>
      <c r="Y18" s="332"/>
      <c r="Z18" s="332"/>
      <c r="AA18" s="332"/>
      <c r="AB18" s="332"/>
      <c r="AC18" s="332"/>
      <c r="AD18" s="332"/>
      <c r="AE18" s="338"/>
      <c r="AF18" s="210" t="s">
        <v>110</v>
      </c>
      <c r="AG18" s="253"/>
      <c r="AH18" s="253"/>
      <c r="AI18" s="253"/>
      <c r="AJ18" s="253"/>
      <c r="AK18" s="253"/>
      <c r="AL18" s="253"/>
      <c r="AM18" s="253"/>
      <c r="AN18" s="264"/>
      <c r="AO18" s="328">
        <v>45681</v>
      </c>
      <c r="AP18" s="329"/>
      <c r="AQ18" s="327" t="s">
        <v>186</v>
      </c>
      <c r="AR18" s="323"/>
      <c r="AS18" s="327" t="s">
        <v>187</v>
      </c>
      <c r="AT18" s="330"/>
      <c r="AU18" s="259"/>
      <c r="AV18" s="260"/>
      <c r="AW18" s="250"/>
      <c r="AX18" s="251"/>
      <c r="AY18" s="250"/>
      <c r="AZ18" s="258"/>
      <c r="BA18" s="261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3"/>
      <c r="BM18" s="221"/>
      <c r="BN18" s="221"/>
    </row>
    <row r="19" spans="1:66" s="266" customFormat="1" ht="24" customHeight="1" x14ac:dyDescent="0.45">
      <c r="A19" s="267"/>
      <c r="B19" s="267"/>
      <c r="C19" s="271">
        <f t="shared" si="0"/>
        <v>10</v>
      </c>
      <c r="D19" s="272"/>
      <c r="E19" s="273"/>
      <c r="F19" s="273"/>
      <c r="G19" s="274"/>
      <c r="H19" s="272"/>
      <c r="I19" s="273"/>
      <c r="J19" s="273"/>
      <c r="K19" s="274"/>
      <c r="L19" s="210" t="s">
        <v>85</v>
      </c>
      <c r="M19" s="276"/>
      <c r="N19" s="276"/>
      <c r="O19" s="292"/>
      <c r="P19" s="337" t="s">
        <v>71</v>
      </c>
      <c r="Q19" s="332"/>
      <c r="R19" s="332"/>
      <c r="S19" s="332"/>
      <c r="T19" s="332"/>
      <c r="U19" s="332"/>
      <c r="V19" s="332"/>
      <c r="W19" s="338"/>
      <c r="X19" s="337" t="s">
        <v>55</v>
      </c>
      <c r="Y19" s="332"/>
      <c r="Z19" s="332"/>
      <c r="AA19" s="332"/>
      <c r="AB19" s="332"/>
      <c r="AC19" s="332"/>
      <c r="AD19" s="332"/>
      <c r="AE19" s="338"/>
      <c r="AF19" s="210"/>
      <c r="AG19" s="276"/>
      <c r="AH19" s="276"/>
      <c r="AI19" s="276"/>
      <c r="AJ19" s="276"/>
      <c r="AK19" s="276"/>
      <c r="AL19" s="276"/>
      <c r="AM19" s="276"/>
      <c r="AN19" s="284"/>
      <c r="AO19" s="328">
        <v>45681</v>
      </c>
      <c r="AP19" s="329"/>
      <c r="AQ19" s="327" t="s">
        <v>186</v>
      </c>
      <c r="AR19" s="323"/>
      <c r="AS19" s="327" t="s">
        <v>187</v>
      </c>
      <c r="AT19" s="330"/>
      <c r="AU19" s="285"/>
      <c r="AV19" s="286"/>
      <c r="AW19" s="269"/>
      <c r="AX19" s="270"/>
      <c r="AY19" s="269"/>
      <c r="AZ19" s="280"/>
      <c r="BA19" s="281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3"/>
      <c r="BM19" s="268"/>
      <c r="BN19" s="268"/>
    </row>
    <row r="20" spans="1:66" s="218" customFormat="1" ht="24" customHeight="1" x14ac:dyDescent="0.45">
      <c r="A20" s="220"/>
      <c r="B20" s="220"/>
      <c r="C20" s="271">
        <f t="shared" si="0"/>
        <v>11</v>
      </c>
      <c r="D20" s="255"/>
      <c r="E20" s="256"/>
      <c r="F20" s="256"/>
      <c r="G20" s="257"/>
      <c r="H20" s="255"/>
      <c r="I20" s="256"/>
      <c r="J20" s="256"/>
      <c r="K20" s="257"/>
      <c r="L20" s="210" t="s">
        <v>132</v>
      </c>
      <c r="M20" s="253"/>
      <c r="N20" s="253"/>
      <c r="O20" s="254"/>
      <c r="P20" s="337" t="s">
        <v>71</v>
      </c>
      <c r="Q20" s="332"/>
      <c r="R20" s="332"/>
      <c r="S20" s="332"/>
      <c r="T20" s="332"/>
      <c r="U20" s="332"/>
      <c r="V20" s="332"/>
      <c r="W20" s="338"/>
      <c r="X20" s="337" t="s">
        <v>55</v>
      </c>
      <c r="Y20" s="332"/>
      <c r="Z20" s="332"/>
      <c r="AA20" s="332"/>
      <c r="AB20" s="332"/>
      <c r="AC20" s="332"/>
      <c r="AD20" s="332"/>
      <c r="AE20" s="338"/>
      <c r="AF20" s="252"/>
      <c r="AG20" s="253"/>
      <c r="AH20" s="253"/>
      <c r="AI20" s="253"/>
      <c r="AJ20" s="253"/>
      <c r="AK20" s="253"/>
      <c r="AL20" s="253"/>
      <c r="AM20" s="253"/>
      <c r="AN20" s="264"/>
      <c r="AO20" s="328">
        <v>45681</v>
      </c>
      <c r="AP20" s="329"/>
      <c r="AQ20" s="327" t="s">
        <v>186</v>
      </c>
      <c r="AR20" s="323"/>
      <c r="AS20" s="327" t="s">
        <v>187</v>
      </c>
      <c r="AT20" s="330"/>
      <c r="AU20" s="259"/>
      <c r="AV20" s="260"/>
      <c r="AW20" s="250"/>
      <c r="AX20" s="251"/>
      <c r="AY20" s="250"/>
      <c r="AZ20" s="258"/>
      <c r="BA20" s="261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3"/>
      <c r="BM20" s="221"/>
      <c r="BN20" s="221"/>
    </row>
    <row r="21" spans="1:66" s="266" customFormat="1" ht="24" customHeight="1" x14ac:dyDescent="0.45">
      <c r="A21" s="267"/>
      <c r="B21" s="267"/>
      <c r="C21" s="271">
        <f t="shared" si="0"/>
        <v>12</v>
      </c>
      <c r="D21" s="272"/>
      <c r="E21" s="273"/>
      <c r="F21" s="273"/>
      <c r="G21" s="274"/>
      <c r="H21" s="272"/>
      <c r="I21" s="273"/>
      <c r="J21" s="273"/>
      <c r="K21" s="274"/>
      <c r="L21" s="210" t="s">
        <v>86</v>
      </c>
      <c r="M21" s="276"/>
      <c r="N21" s="276"/>
      <c r="O21" s="292"/>
      <c r="P21" s="337" t="s">
        <v>71</v>
      </c>
      <c r="Q21" s="332"/>
      <c r="R21" s="332"/>
      <c r="S21" s="332"/>
      <c r="T21" s="332"/>
      <c r="U21" s="332"/>
      <c r="V21" s="332"/>
      <c r="W21" s="338"/>
      <c r="X21" s="337" t="s">
        <v>55</v>
      </c>
      <c r="Y21" s="332"/>
      <c r="Z21" s="332"/>
      <c r="AA21" s="332"/>
      <c r="AB21" s="332"/>
      <c r="AC21" s="332"/>
      <c r="AD21" s="332"/>
      <c r="AE21" s="338"/>
      <c r="AF21" s="275"/>
      <c r="AG21" s="276"/>
      <c r="AH21" s="276"/>
      <c r="AI21" s="276"/>
      <c r="AJ21" s="276"/>
      <c r="AK21" s="276"/>
      <c r="AL21" s="276"/>
      <c r="AM21" s="276"/>
      <c r="AN21" s="284"/>
      <c r="AO21" s="328">
        <v>45681</v>
      </c>
      <c r="AP21" s="329"/>
      <c r="AQ21" s="327" t="s">
        <v>186</v>
      </c>
      <c r="AR21" s="323"/>
      <c r="AS21" s="327" t="s">
        <v>187</v>
      </c>
      <c r="AT21" s="330"/>
      <c r="AU21" s="285"/>
      <c r="AV21" s="286"/>
      <c r="AW21" s="269"/>
      <c r="AX21" s="270"/>
      <c r="AY21" s="269"/>
      <c r="AZ21" s="280"/>
      <c r="BA21" s="281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3"/>
      <c r="BM21" s="268"/>
      <c r="BN21" s="268"/>
    </row>
    <row r="22" spans="1:66" s="266" customFormat="1" ht="24" customHeight="1" x14ac:dyDescent="0.45">
      <c r="A22" s="267"/>
      <c r="B22" s="267"/>
      <c r="C22" s="271">
        <f t="shared" si="0"/>
        <v>13</v>
      </c>
      <c r="D22" s="272"/>
      <c r="E22" s="273"/>
      <c r="F22" s="273"/>
      <c r="G22" s="274"/>
      <c r="H22" s="272"/>
      <c r="I22" s="273"/>
      <c r="J22" s="273"/>
      <c r="K22" s="274"/>
      <c r="L22" s="210" t="s">
        <v>87</v>
      </c>
      <c r="M22" s="276"/>
      <c r="N22" s="276"/>
      <c r="O22" s="292"/>
      <c r="P22" s="337" t="s">
        <v>71</v>
      </c>
      <c r="Q22" s="332"/>
      <c r="R22" s="332"/>
      <c r="S22" s="332"/>
      <c r="T22" s="332"/>
      <c r="U22" s="332"/>
      <c r="V22" s="332"/>
      <c r="W22" s="338"/>
      <c r="X22" s="337" t="s">
        <v>55</v>
      </c>
      <c r="Y22" s="332"/>
      <c r="Z22" s="332"/>
      <c r="AA22" s="332"/>
      <c r="AB22" s="332"/>
      <c r="AC22" s="332"/>
      <c r="AD22" s="332"/>
      <c r="AE22" s="338"/>
      <c r="AF22" s="275"/>
      <c r="AG22" s="276"/>
      <c r="AH22" s="276"/>
      <c r="AI22" s="276"/>
      <c r="AJ22" s="276"/>
      <c r="AK22" s="276"/>
      <c r="AL22" s="276"/>
      <c r="AM22" s="276"/>
      <c r="AN22" s="284"/>
      <c r="AO22" s="328">
        <v>45681</v>
      </c>
      <c r="AP22" s="329"/>
      <c r="AQ22" s="327" t="s">
        <v>186</v>
      </c>
      <c r="AR22" s="323"/>
      <c r="AS22" s="327" t="s">
        <v>187</v>
      </c>
      <c r="AT22" s="330"/>
      <c r="AU22" s="285"/>
      <c r="AV22" s="286"/>
      <c r="AW22" s="269"/>
      <c r="AX22" s="270"/>
      <c r="AY22" s="269"/>
      <c r="AZ22" s="280"/>
      <c r="BA22" s="281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3"/>
      <c r="BM22" s="268"/>
      <c r="BN22" s="268"/>
    </row>
    <row r="23" spans="1:66" s="266" customFormat="1" ht="24" customHeight="1" x14ac:dyDescent="0.45">
      <c r="A23" s="267"/>
      <c r="B23" s="267"/>
      <c r="C23" s="271">
        <f t="shared" si="0"/>
        <v>14</v>
      </c>
      <c r="D23" s="272"/>
      <c r="E23" s="273"/>
      <c r="F23" s="273"/>
      <c r="G23" s="274"/>
      <c r="H23" s="272"/>
      <c r="I23" s="273"/>
      <c r="J23" s="273"/>
      <c r="K23" s="274"/>
      <c r="L23" s="210" t="s">
        <v>88</v>
      </c>
      <c r="M23" s="276"/>
      <c r="N23" s="276"/>
      <c r="O23" s="292"/>
      <c r="P23" s="337" t="s">
        <v>71</v>
      </c>
      <c r="Q23" s="332"/>
      <c r="R23" s="332"/>
      <c r="S23" s="332"/>
      <c r="T23" s="332"/>
      <c r="U23" s="332"/>
      <c r="V23" s="332"/>
      <c r="W23" s="338"/>
      <c r="X23" s="337" t="s">
        <v>55</v>
      </c>
      <c r="Y23" s="332"/>
      <c r="Z23" s="332"/>
      <c r="AA23" s="332"/>
      <c r="AB23" s="332"/>
      <c r="AC23" s="332"/>
      <c r="AD23" s="332"/>
      <c r="AE23" s="338"/>
      <c r="AF23" s="275"/>
      <c r="AG23" s="276"/>
      <c r="AH23" s="276"/>
      <c r="AI23" s="276"/>
      <c r="AJ23" s="276"/>
      <c r="AK23" s="276"/>
      <c r="AL23" s="276"/>
      <c r="AM23" s="276"/>
      <c r="AN23" s="284"/>
      <c r="AO23" s="328">
        <v>45681</v>
      </c>
      <c r="AP23" s="329"/>
      <c r="AQ23" s="327" t="s">
        <v>186</v>
      </c>
      <c r="AR23" s="323"/>
      <c r="AS23" s="327" t="s">
        <v>187</v>
      </c>
      <c r="AT23" s="330"/>
      <c r="AU23" s="285"/>
      <c r="AV23" s="286"/>
      <c r="AW23" s="269"/>
      <c r="AX23" s="270"/>
      <c r="AY23" s="269"/>
      <c r="AZ23" s="280"/>
      <c r="BA23" s="281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3"/>
      <c r="BM23" s="268"/>
      <c r="BN23" s="268"/>
    </row>
    <row r="24" spans="1:66" s="218" customFormat="1" ht="24" customHeight="1" x14ac:dyDescent="0.45">
      <c r="A24" s="220"/>
      <c r="B24" s="220"/>
      <c r="C24" s="271">
        <f t="shared" si="0"/>
        <v>15</v>
      </c>
      <c r="D24" s="255"/>
      <c r="E24" s="256"/>
      <c r="F24" s="256"/>
      <c r="G24" s="257"/>
      <c r="H24" s="255"/>
      <c r="I24" s="256"/>
      <c r="J24" s="256"/>
      <c r="K24" s="257"/>
      <c r="L24" s="210" t="s">
        <v>89</v>
      </c>
      <c r="M24" s="253"/>
      <c r="N24" s="253"/>
      <c r="O24" s="254"/>
      <c r="P24" s="337" t="s">
        <v>71</v>
      </c>
      <c r="Q24" s="332"/>
      <c r="R24" s="332"/>
      <c r="S24" s="332"/>
      <c r="T24" s="332"/>
      <c r="U24" s="332"/>
      <c r="V24" s="332"/>
      <c r="W24" s="338"/>
      <c r="X24" s="337" t="s">
        <v>55</v>
      </c>
      <c r="Y24" s="332"/>
      <c r="Z24" s="332"/>
      <c r="AA24" s="332"/>
      <c r="AB24" s="332"/>
      <c r="AC24" s="332"/>
      <c r="AD24" s="332"/>
      <c r="AE24" s="338"/>
      <c r="AF24" s="252"/>
      <c r="AG24" s="253"/>
      <c r="AH24" s="253"/>
      <c r="AI24" s="253"/>
      <c r="AJ24" s="253"/>
      <c r="AK24" s="253"/>
      <c r="AL24" s="253"/>
      <c r="AM24" s="253"/>
      <c r="AN24" s="264"/>
      <c r="AO24" s="328">
        <v>45681</v>
      </c>
      <c r="AP24" s="329"/>
      <c r="AQ24" s="327" t="s">
        <v>186</v>
      </c>
      <c r="AR24" s="323"/>
      <c r="AS24" s="327" t="s">
        <v>187</v>
      </c>
      <c r="AT24" s="330"/>
      <c r="AU24" s="259"/>
      <c r="AV24" s="260"/>
      <c r="AW24" s="250"/>
      <c r="AX24" s="251"/>
      <c r="AY24" s="250"/>
      <c r="AZ24" s="258"/>
      <c r="BA24" s="261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3"/>
      <c r="BM24" s="221"/>
      <c r="BN24" s="221"/>
    </row>
    <row r="25" spans="1:66" s="218" customFormat="1" ht="24" customHeight="1" x14ac:dyDescent="0.45">
      <c r="A25" s="220"/>
      <c r="B25" s="220"/>
      <c r="C25" s="271">
        <f t="shared" si="0"/>
        <v>16</v>
      </c>
      <c r="D25" s="255"/>
      <c r="E25" s="256"/>
      <c r="F25" s="256"/>
      <c r="G25" s="257"/>
      <c r="H25" s="255"/>
      <c r="I25" s="256"/>
      <c r="J25" s="256"/>
      <c r="K25" s="257"/>
      <c r="L25" s="210" t="s">
        <v>90</v>
      </c>
      <c r="M25" s="253"/>
      <c r="N25" s="253"/>
      <c r="O25" s="254"/>
      <c r="P25" s="337" t="s">
        <v>71</v>
      </c>
      <c r="Q25" s="332"/>
      <c r="R25" s="332"/>
      <c r="S25" s="332"/>
      <c r="T25" s="332"/>
      <c r="U25" s="332"/>
      <c r="V25" s="332"/>
      <c r="W25" s="338"/>
      <c r="X25" s="337" t="s">
        <v>55</v>
      </c>
      <c r="Y25" s="332"/>
      <c r="Z25" s="332"/>
      <c r="AA25" s="332"/>
      <c r="AB25" s="332"/>
      <c r="AC25" s="332"/>
      <c r="AD25" s="332"/>
      <c r="AE25" s="338"/>
      <c r="AF25" s="252"/>
      <c r="AG25" s="253"/>
      <c r="AH25" s="253"/>
      <c r="AI25" s="253"/>
      <c r="AJ25" s="253"/>
      <c r="AK25" s="253"/>
      <c r="AL25" s="253"/>
      <c r="AM25" s="253"/>
      <c r="AN25" s="264"/>
      <c r="AO25" s="328">
        <v>45681</v>
      </c>
      <c r="AP25" s="329"/>
      <c r="AQ25" s="327" t="s">
        <v>186</v>
      </c>
      <c r="AR25" s="323"/>
      <c r="AS25" s="327" t="s">
        <v>187</v>
      </c>
      <c r="AT25" s="330"/>
      <c r="AU25" s="259"/>
      <c r="AV25" s="260"/>
      <c r="AW25" s="250"/>
      <c r="AX25" s="251"/>
      <c r="AY25" s="250"/>
      <c r="AZ25" s="258"/>
      <c r="BA25" s="261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3"/>
      <c r="BM25" s="221"/>
      <c r="BN25" s="221"/>
    </row>
    <row r="26" spans="1:66" s="218" customFormat="1" ht="24" customHeight="1" x14ac:dyDescent="0.45">
      <c r="A26" s="220"/>
      <c r="B26" s="220"/>
      <c r="C26" s="271">
        <f t="shared" si="0"/>
        <v>17</v>
      </c>
      <c r="D26" s="255"/>
      <c r="E26" s="256"/>
      <c r="F26" s="256"/>
      <c r="G26" s="257"/>
      <c r="H26" s="255"/>
      <c r="I26" s="256"/>
      <c r="J26" s="256"/>
      <c r="K26" s="257"/>
      <c r="L26" s="210" t="s">
        <v>92</v>
      </c>
      <c r="M26" s="253"/>
      <c r="N26" s="253"/>
      <c r="O26" s="254"/>
      <c r="P26" s="337" t="s">
        <v>71</v>
      </c>
      <c r="Q26" s="332"/>
      <c r="R26" s="332"/>
      <c r="S26" s="332"/>
      <c r="T26" s="332"/>
      <c r="U26" s="332"/>
      <c r="V26" s="332"/>
      <c r="W26" s="338"/>
      <c r="X26" s="337" t="s">
        <v>55</v>
      </c>
      <c r="Y26" s="332"/>
      <c r="Z26" s="332"/>
      <c r="AA26" s="332"/>
      <c r="AB26" s="332"/>
      <c r="AC26" s="332"/>
      <c r="AD26" s="332"/>
      <c r="AE26" s="338"/>
      <c r="AF26" s="252"/>
      <c r="AG26" s="253"/>
      <c r="AH26" s="253"/>
      <c r="AI26" s="253"/>
      <c r="AJ26" s="253"/>
      <c r="AK26" s="253"/>
      <c r="AL26" s="253"/>
      <c r="AM26" s="253"/>
      <c r="AN26" s="264"/>
      <c r="AO26" s="328">
        <v>45681</v>
      </c>
      <c r="AP26" s="329"/>
      <c r="AQ26" s="327" t="s">
        <v>186</v>
      </c>
      <c r="AR26" s="323"/>
      <c r="AS26" s="327" t="s">
        <v>187</v>
      </c>
      <c r="AT26" s="330"/>
      <c r="AU26" s="259"/>
      <c r="AV26" s="260"/>
      <c r="AW26" s="250"/>
      <c r="AX26" s="251"/>
      <c r="AY26" s="250"/>
      <c r="AZ26" s="258"/>
      <c r="BA26" s="261"/>
      <c r="BB26" s="262"/>
      <c r="BC26" s="262"/>
      <c r="BD26" s="262"/>
      <c r="BE26" s="262"/>
      <c r="BF26" s="262"/>
      <c r="BG26" s="262"/>
      <c r="BH26" s="262"/>
      <c r="BI26" s="262"/>
      <c r="BJ26" s="262"/>
      <c r="BK26" s="262"/>
      <c r="BL26" s="263"/>
      <c r="BM26" s="221"/>
      <c r="BN26" s="221"/>
    </row>
    <row r="27" spans="1:66" s="266" customFormat="1" ht="24" customHeight="1" x14ac:dyDescent="0.45">
      <c r="A27" s="267"/>
      <c r="B27" s="267"/>
      <c r="C27" s="271">
        <f t="shared" si="0"/>
        <v>18</v>
      </c>
      <c r="D27" s="272"/>
      <c r="E27" s="273"/>
      <c r="F27" s="273"/>
      <c r="G27" s="274"/>
      <c r="H27" s="272"/>
      <c r="I27" s="273"/>
      <c r="J27" s="273"/>
      <c r="K27" s="274"/>
      <c r="L27" s="210" t="s">
        <v>93</v>
      </c>
      <c r="M27" s="276"/>
      <c r="N27" s="276"/>
      <c r="O27" s="292"/>
      <c r="P27" s="337" t="s">
        <v>71</v>
      </c>
      <c r="Q27" s="332"/>
      <c r="R27" s="332"/>
      <c r="S27" s="332"/>
      <c r="T27" s="332"/>
      <c r="U27" s="332"/>
      <c r="V27" s="332"/>
      <c r="W27" s="338"/>
      <c r="X27" s="337" t="s">
        <v>74</v>
      </c>
      <c r="Y27" s="332"/>
      <c r="Z27" s="332"/>
      <c r="AA27" s="332"/>
      <c r="AB27" s="332"/>
      <c r="AC27" s="332"/>
      <c r="AD27" s="332"/>
      <c r="AE27" s="338"/>
      <c r="AF27" s="210" t="s">
        <v>111</v>
      </c>
      <c r="AG27" s="276"/>
      <c r="AH27" s="276"/>
      <c r="AI27" s="276"/>
      <c r="AJ27" s="276"/>
      <c r="AK27" s="276"/>
      <c r="AL27" s="276"/>
      <c r="AM27" s="276"/>
      <c r="AN27" s="284"/>
      <c r="AO27" s="328">
        <v>45681</v>
      </c>
      <c r="AP27" s="329"/>
      <c r="AQ27" s="327" t="s">
        <v>186</v>
      </c>
      <c r="AR27" s="323"/>
      <c r="AS27" s="327" t="s">
        <v>187</v>
      </c>
      <c r="AT27" s="330"/>
      <c r="AU27" s="285"/>
      <c r="AV27" s="286"/>
      <c r="AW27" s="269"/>
      <c r="AX27" s="270"/>
      <c r="AY27" s="269"/>
      <c r="AZ27" s="280"/>
      <c r="BA27" s="281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3"/>
      <c r="BM27" s="268"/>
      <c r="BN27" s="268"/>
    </row>
    <row r="28" spans="1:66" s="266" customFormat="1" ht="24" customHeight="1" x14ac:dyDescent="0.45">
      <c r="A28" s="267"/>
      <c r="B28" s="267"/>
      <c r="C28" s="271">
        <f t="shared" si="0"/>
        <v>19</v>
      </c>
      <c r="D28" s="272"/>
      <c r="E28" s="273"/>
      <c r="F28" s="273"/>
      <c r="G28" s="274"/>
      <c r="H28" s="272"/>
      <c r="I28" s="273"/>
      <c r="J28" s="273"/>
      <c r="K28" s="274"/>
      <c r="L28" s="210" t="s">
        <v>94</v>
      </c>
      <c r="M28" s="276"/>
      <c r="N28" s="276"/>
      <c r="O28" s="292"/>
      <c r="P28" s="337" t="s">
        <v>71</v>
      </c>
      <c r="Q28" s="332"/>
      <c r="R28" s="332"/>
      <c r="S28" s="332"/>
      <c r="T28" s="332"/>
      <c r="U28" s="332"/>
      <c r="V28" s="332"/>
      <c r="W28" s="338"/>
      <c r="X28" s="337" t="s">
        <v>55</v>
      </c>
      <c r="Y28" s="332"/>
      <c r="Z28" s="332"/>
      <c r="AA28" s="332"/>
      <c r="AB28" s="332"/>
      <c r="AC28" s="332"/>
      <c r="AD28" s="332"/>
      <c r="AE28" s="338"/>
      <c r="AF28" s="275"/>
      <c r="AG28" s="276"/>
      <c r="AH28" s="276"/>
      <c r="AI28" s="276"/>
      <c r="AJ28" s="276"/>
      <c r="AK28" s="276"/>
      <c r="AL28" s="276"/>
      <c r="AM28" s="276"/>
      <c r="AN28" s="284"/>
      <c r="AO28" s="328">
        <v>45681</v>
      </c>
      <c r="AP28" s="329"/>
      <c r="AQ28" s="327" t="s">
        <v>186</v>
      </c>
      <c r="AR28" s="323"/>
      <c r="AS28" s="327" t="s">
        <v>187</v>
      </c>
      <c r="AT28" s="330"/>
      <c r="AU28" s="285"/>
      <c r="AV28" s="286"/>
      <c r="AW28" s="269"/>
      <c r="AX28" s="270"/>
      <c r="AY28" s="269"/>
      <c r="AZ28" s="280"/>
      <c r="BA28" s="281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3"/>
      <c r="BM28" s="268"/>
      <c r="BN28" s="268"/>
    </row>
    <row r="29" spans="1:66" s="266" customFormat="1" ht="24" customHeight="1" x14ac:dyDescent="0.45">
      <c r="A29" s="267"/>
      <c r="B29" s="267"/>
      <c r="C29" s="271">
        <f t="shared" si="0"/>
        <v>20</v>
      </c>
      <c r="D29" s="272"/>
      <c r="E29" s="273"/>
      <c r="F29" s="273"/>
      <c r="G29" s="274"/>
      <c r="H29" s="272"/>
      <c r="I29" s="273"/>
      <c r="J29" s="273"/>
      <c r="K29" s="274"/>
      <c r="L29" s="210" t="s">
        <v>95</v>
      </c>
      <c r="M29" s="276"/>
      <c r="N29" s="276"/>
      <c r="O29" s="292"/>
      <c r="P29" s="337" t="s">
        <v>71</v>
      </c>
      <c r="Q29" s="332"/>
      <c r="R29" s="332"/>
      <c r="S29" s="332"/>
      <c r="T29" s="332"/>
      <c r="U29" s="332"/>
      <c r="V29" s="332"/>
      <c r="W29" s="338"/>
      <c r="X29" s="337" t="s">
        <v>112</v>
      </c>
      <c r="Y29" s="332"/>
      <c r="Z29" s="332"/>
      <c r="AA29" s="332"/>
      <c r="AB29" s="332"/>
      <c r="AC29" s="332"/>
      <c r="AD29" s="332"/>
      <c r="AE29" s="338"/>
      <c r="AF29" s="275"/>
      <c r="AG29" s="276"/>
      <c r="AH29" s="276"/>
      <c r="AI29" s="276"/>
      <c r="AJ29" s="276"/>
      <c r="AK29" s="276"/>
      <c r="AL29" s="276"/>
      <c r="AM29" s="276"/>
      <c r="AN29" s="284"/>
      <c r="AO29" s="328">
        <v>45681</v>
      </c>
      <c r="AP29" s="329"/>
      <c r="AQ29" s="327" t="s">
        <v>186</v>
      </c>
      <c r="AR29" s="323"/>
      <c r="AS29" s="327" t="s">
        <v>187</v>
      </c>
      <c r="AT29" s="330"/>
      <c r="AU29" s="285"/>
      <c r="AV29" s="286"/>
      <c r="AW29" s="269"/>
      <c r="AX29" s="270"/>
      <c r="AY29" s="269"/>
      <c r="AZ29" s="280"/>
      <c r="BA29" s="281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3"/>
      <c r="BM29" s="268"/>
      <c r="BN29" s="268"/>
    </row>
    <row r="30" spans="1:66" s="266" customFormat="1" ht="24" customHeight="1" x14ac:dyDescent="0.45">
      <c r="A30" s="267"/>
      <c r="B30" s="267"/>
      <c r="C30" s="271">
        <f t="shared" si="0"/>
        <v>21</v>
      </c>
      <c r="D30" s="272"/>
      <c r="E30" s="273"/>
      <c r="F30" s="273"/>
      <c r="G30" s="274"/>
      <c r="H30" s="272"/>
      <c r="I30" s="273"/>
      <c r="J30" s="273"/>
      <c r="K30" s="274"/>
      <c r="L30" s="210" t="s">
        <v>96</v>
      </c>
      <c r="M30" s="276"/>
      <c r="N30" s="276"/>
      <c r="O30" s="292"/>
      <c r="P30" s="337" t="s">
        <v>71</v>
      </c>
      <c r="Q30" s="332"/>
      <c r="R30" s="332"/>
      <c r="S30" s="332"/>
      <c r="T30" s="332"/>
      <c r="U30" s="332"/>
      <c r="V30" s="332"/>
      <c r="W30" s="338"/>
      <c r="X30" s="337" t="s">
        <v>55</v>
      </c>
      <c r="Y30" s="332"/>
      <c r="Z30" s="332"/>
      <c r="AA30" s="332"/>
      <c r="AB30" s="332"/>
      <c r="AC30" s="332"/>
      <c r="AD30" s="332"/>
      <c r="AE30" s="338"/>
      <c r="AF30" s="275"/>
      <c r="AG30" s="276"/>
      <c r="AH30" s="276"/>
      <c r="AI30" s="276"/>
      <c r="AJ30" s="276"/>
      <c r="AK30" s="276"/>
      <c r="AL30" s="276"/>
      <c r="AM30" s="276"/>
      <c r="AN30" s="284"/>
      <c r="AO30" s="328">
        <v>45681</v>
      </c>
      <c r="AP30" s="329"/>
      <c r="AQ30" s="327" t="s">
        <v>186</v>
      </c>
      <c r="AR30" s="323"/>
      <c r="AS30" s="327" t="s">
        <v>187</v>
      </c>
      <c r="AT30" s="330"/>
      <c r="AU30" s="285"/>
      <c r="AV30" s="286"/>
      <c r="AW30" s="269"/>
      <c r="AX30" s="270"/>
      <c r="AY30" s="269"/>
      <c r="AZ30" s="280"/>
      <c r="BA30" s="281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3"/>
      <c r="BM30" s="268"/>
      <c r="BN30" s="268"/>
    </row>
    <row r="31" spans="1:66" s="266" customFormat="1" ht="24" customHeight="1" x14ac:dyDescent="0.45">
      <c r="A31" s="267"/>
      <c r="B31" s="267"/>
      <c r="C31" s="271">
        <f t="shared" si="0"/>
        <v>22</v>
      </c>
      <c r="D31" s="272"/>
      <c r="E31" s="273"/>
      <c r="F31" s="273"/>
      <c r="G31" s="274"/>
      <c r="H31" s="272"/>
      <c r="I31" s="273"/>
      <c r="J31" s="273"/>
      <c r="K31" s="274"/>
      <c r="L31" s="210" t="s">
        <v>97</v>
      </c>
      <c r="M31" s="276"/>
      <c r="N31" s="276"/>
      <c r="O31" s="292"/>
      <c r="P31" s="337" t="s">
        <v>71</v>
      </c>
      <c r="Q31" s="332"/>
      <c r="R31" s="332"/>
      <c r="S31" s="332"/>
      <c r="T31" s="332"/>
      <c r="U31" s="332"/>
      <c r="V31" s="332"/>
      <c r="W31" s="338"/>
      <c r="X31" s="337" t="s">
        <v>55</v>
      </c>
      <c r="Y31" s="332"/>
      <c r="Z31" s="332"/>
      <c r="AA31" s="332"/>
      <c r="AB31" s="332"/>
      <c r="AC31" s="332"/>
      <c r="AD31" s="332"/>
      <c r="AE31" s="338"/>
      <c r="AF31" s="275"/>
      <c r="AG31" s="276"/>
      <c r="AH31" s="276"/>
      <c r="AI31" s="276"/>
      <c r="AJ31" s="276"/>
      <c r="AK31" s="276"/>
      <c r="AL31" s="276"/>
      <c r="AM31" s="276"/>
      <c r="AN31" s="284"/>
      <c r="AO31" s="328">
        <v>45681</v>
      </c>
      <c r="AP31" s="329"/>
      <c r="AQ31" s="327" t="s">
        <v>186</v>
      </c>
      <c r="AR31" s="323"/>
      <c r="AS31" s="327" t="s">
        <v>187</v>
      </c>
      <c r="AT31" s="330"/>
      <c r="AU31" s="285"/>
      <c r="AV31" s="286"/>
      <c r="AW31" s="269"/>
      <c r="AX31" s="270"/>
      <c r="AY31" s="269"/>
      <c r="AZ31" s="280"/>
      <c r="BA31" s="281"/>
      <c r="BB31" s="282"/>
      <c r="BC31" s="282"/>
      <c r="BD31" s="282"/>
      <c r="BE31" s="282"/>
      <c r="BF31" s="282"/>
      <c r="BG31" s="282"/>
      <c r="BH31" s="282"/>
      <c r="BI31" s="282"/>
      <c r="BJ31" s="282"/>
      <c r="BK31" s="282"/>
      <c r="BL31" s="283"/>
      <c r="BM31" s="268"/>
      <c r="BN31" s="268"/>
    </row>
    <row r="32" spans="1:66" s="266" customFormat="1" ht="24" customHeight="1" x14ac:dyDescent="0.45">
      <c r="A32" s="267"/>
      <c r="B32" s="267"/>
      <c r="C32" s="271">
        <f t="shared" si="0"/>
        <v>23</v>
      </c>
      <c r="D32" s="272"/>
      <c r="E32" s="273"/>
      <c r="F32" s="273"/>
      <c r="G32" s="274"/>
      <c r="H32" s="272"/>
      <c r="I32" s="273"/>
      <c r="J32" s="273"/>
      <c r="K32" s="274"/>
      <c r="L32" s="210" t="s">
        <v>98</v>
      </c>
      <c r="M32" s="276"/>
      <c r="N32" s="276"/>
      <c r="O32" s="292"/>
      <c r="P32" s="337" t="s">
        <v>71</v>
      </c>
      <c r="Q32" s="332"/>
      <c r="R32" s="332"/>
      <c r="S32" s="332"/>
      <c r="T32" s="332"/>
      <c r="U32" s="332"/>
      <c r="V32" s="332"/>
      <c r="W32" s="338"/>
      <c r="X32" s="337" t="s">
        <v>55</v>
      </c>
      <c r="Y32" s="332"/>
      <c r="Z32" s="332"/>
      <c r="AA32" s="332"/>
      <c r="AB32" s="332"/>
      <c r="AC32" s="332"/>
      <c r="AD32" s="332"/>
      <c r="AE32" s="338"/>
      <c r="AF32" s="275"/>
      <c r="AG32" s="276"/>
      <c r="AH32" s="276"/>
      <c r="AI32" s="276"/>
      <c r="AJ32" s="276"/>
      <c r="AK32" s="276"/>
      <c r="AL32" s="276"/>
      <c r="AM32" s="276"/>
      <c r="AN32" s="284"/>
      <c r="AO32" s="328">
        <v>45681</v>
      </c>
      <c r="AP32" s="329"/>
      <c r="AQ32" s="327" t="s">
        <v>186</v>
      </c>
      <c r="AR32" s="323"/>
      <c r="AS32" s="327" t="s">
        <v>187</v>
      </c>
      <c r="AT32" s="330"/>
      <c r="AU32" s="285"/>
      <c r="AV32" s="286"/>
      <c r="AW32" s="269"/>
      <c r="AX32" s="270"/>
      <c r="AY32" s="269"/>
      <c r="AZ32" s="280"/>
      <c r="BA32" s="281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3"/>
      <c r="BM32" s="268"/>
      <c r="BN32" s="268"/>
    </row>
    <row r="33" spans="1:66" s="266" customFormat="1" ht="24" customHeight="1" x14ac:dyDescent="0.45">
      <c r="A33" s="267"/>
      <c r="B33" s="267"/>
      <c r="C33" s="271">
        <f t="shared" si="0"/>
        <v>24</v>
      </c>
      <c r="D33" s="272"/>
      <c r="E33" s="273"/>
      <c r="F33" s="273"/>
      <c r="G33" s="274"/>
      <c r="H33" s="272"/>
      <c r="I33" s="273"/>
      <c r="J33" s="273"/>
      <c r="K33" s="274"/>
      <c r="L33" s="210" t="s">
        <v>99</v>
      </c>
      <c r="M33" s="276"/>
      <c r="N33" s="276"/>
      <c r="O33" s="292"/>
      <c r="P33" s="337" t="s">
        <v>71</v>
      </c>
      <c r="Q33" s="332"/>
      <c r="R33" s="332"/>
      <c r="S33" s="332"/>
      <c r="T33" s="332"/>
      <c r="U33" s="332"/>
      <c r="V33" s="332"/>
      <c r="W33" s="338"/>
      <c r="X33" s="337" t="s">
        <v>55</v>
      </c>
      <c r="Y33" s="332"/>
      <c r="Z33" s="332"/>
      <c r="AA33" s="332"/>
      <c r="AB33" s="332"/>
      <c r="AC33" s="332"/>
      <c r="AD33" s="332"/>
      <c r="AE33" s="338"/>
      <c r="AF33" s="275"/>
      <c r="AG33" s="276"/>
      <c r="AH33" s="276"/>
      <c r="AI33" s="276"/>
      <c r="AJ33" s="276"/>
      <c r="AK33" s="276"/>
      <c r="AL33" s="276"/>
      <c r="AM33" s="276"/>
      <c r="AN33" s="284"/>
      <c r="AO33" s="328">
        <v>45681</v>
      </c>
      <c r="AP33" s="329"/>
      <c r="AQ33" s="327" t="s">
        <v>186</v>
      </c>
      <c r="AR33" s="323"/>
      <c r="AS33" s="327" t="s">
        <v>187</v>
      </c>
      <c r="AT33" s="330"/>
      <c r="AU33" s="285"/>
      <c r="AV33" s="286"/>
      <c r="AW33" s="269"/>
      <c r="AX33" s="270"/>
      <c r="AY33" s="269"/>
      <c r="AZ33" s="280"/>
      <c r="BA33" s="281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3"/>
      <c r="BM33" s="268"/>
      <c r="BN33" s="268"/>
    </row>
    <row r="34" spans="1:66" s="266" customFormat="1" ht="24" customHeight="1" x14ac:dyDescent="0.45">
      <c r="A34" s="267"/>
      <c r="B34" s="267"/>
      <c r="C34" s="271">
        <f t="shared" si="0"/>
        <v>25</v>
      </c>
      <c r="D34" s="272"/>
      <c r="E34" s="273"/>
      <c r="F34" s="273"/>
      <c r="G34" s="274"/>
      <c r="H34" s="272"/>
      <c r="I34" s="273"/>
      <c r="J34" s="273"/>
      <c r="K34" s="274"/>
      <c r="L34" s="210" t="s">
        <v>100</v>
      </c>
      <c r="M34" s="276"/>
      <c r="N34" s="276"/>
      <c r="O34" s="292"/>
      <c r="P34" s="337" t="s">
        <v>71</v>
      </c>
      <c r="Q34" s="332"/>
      <c r="R34" s="332"/>
      <c r="S34" s="332"/>
      <c r="T34" s="332"/>
      <c r="U34" s="332"/>
      <c r="V34" s="332"/>
      <c r="W34" s="338"/>
      <c r="X34" s="337" t="s">
        <v>55</v>
      </c>
      <c r="Y34" s="332"/>
      <c r="Z34" s="332"/>
      <c r="AA34" s="332"/>
      <c r="AB34" s="332"/>
      <c r="AC34" s="332"/>
      <c r="AD34" s="332"/>
      <c r="AE34" s="338"/>
      <c r="AF34" s="275"/>
      <c r="AG34" s="276"/>
      <c r="AH34" s="276"/>
      <c r="AI34" s="276"/>
      <c r="AJ34" s="276"/>
      <c r="AK34" s="276"/>
      <c r="AL34" s="276"/>
      <c r="AM34" s="276"/>
      <c r="AN34" s="284"/>
      <c r="AO34" s="328">
        <v>45681</v>
      </c>
      <c r="AP34" s="329"/>
      <c r="AQ34" s="327" t="s">
        <v>186</v>
      </c>
      <c r="AR34" s="323"/>
      <c r="AS34" s="327" t="s">
        <v>187</v>
      </c>
      <c r="AT34" s="330"/>
      <c r="AU34" s="285"/>
      <c r="AV34" s="286"/>
      <c r="AW34" s="269"/>
      <c r="AX34" s="270"/>
      <c r="AY34" s="269"/>
      <c r="AZ34" s="280"/>
      <c r="BA34" s="281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3"/>
      <c r="BM34" s="268"/>
      <c r="BN34" s="268"/>
    </row>
    <row r="35" spans="1:66" s="266" customFormat="1" ht="24" customHeight="1" x14ac:dyDescent="0.45">
      <c r="A35" s="267"/>
      <c r="B35" s="267"/>
      <c r="C35" s="271">
        <f t="shared" si="0"/>
        <v>26</v>
      </c>
      <c r="D35" s="272"/>
      <c r="E35" s="273"/>
      <c r="F35" s="273"/>
      <c r="G35" s="274"/>
      <c r="H35" s="272"/>
      <c r="I35" s="273"/>
      <c r="J35" s="273"/>
      <c r="K35" s="274"/>
      <c r="L35" s="210" t="s">
        <v>101</v>
      </c>
      <c r="M35" s="276"/>
      <c r="N35" s="276"/>
      <c r="O35" s="292"/>
      <c r="P35" s="337" t="s">
        <v>71</v>
      </c>
      <c r="Q35" s="332"/>
      <c r="R35" s="332"/>
      <c r="S35" s="332"/>
      <c r="T35" s="332"/>
      <c r="U35" s="332"/>
      <c r="V35" s="332"/>
      <c r="W35" s="338"/>
      <c r="X35" s="337" t="s">
        <v>55</v>
      </c>
      <c r="Y35" s="332"/>
      <c r="Z35" s="332"/>
      <c r="AA35" s="332"/>
      <c r="AB35" s="332"/>
      <c r="AC35" s="332"/>
      <c r="AD35" s="332"/>
      <c r="AE35" s="338"/>
      <c r="AF35" s="275"/>
      <c r="AG35" s="276"/>
      <c r="AH35" s="276"/>
      <c r="AI35" s="276"/>
      <c r="AJ35" s="276"/>
      <c r="AK35" s="276"/>
      <c r="AL35" s="276"/>
      <c r="AM35" s="276"/>
      <c r="AN35" s="284"/>
      <c r="AO35" s="328">
        <v>45681</v>
      </c>
      <c r="AP35" s="329"/>
      <c r="AQ35" s="327" t="s">
        <v>186</v>
      </c>
      <c r="AR35" s="323"/>
      <c r="AS35" s="327" t="s">
        <v>187</v>
      </c>
      <c r="AT35" s="330"/>
      <c r="AU35" s="285"/>
      <c r="AV35" s="286"/>
      <c r="AW35" s="269"/>
      <c r="AX35" s="270"/>
      <c r="AY35" s="269"/>
      <c r="AZ35" s="280"/>
      <c r="BA35" s="281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3"/>
      <c r="BM35" s="268"/>
      <c r="BN35" s="268"/>
    </row>
    <row r="36" spans="1:66" s="266" customFormat="1" ht="24" customHeight="1" x14ac:dyDescent="0.45">
      <c r="A36" s="267"/>
      <c r="B36" s="267"/>
      <c r="C36" s="271">
        <f t="shared" si="0"/>
        <v>27</v>
      </c>
      <c r="D36" s="272"/>
      <c r="E36" s="273"/>
      <c r="F36" s="273"/>
      <c r="G36" s="274"/>
      <c r="H36" s="272"/>
      <c r="I36" s="273"/>
      <c r="J36" s="273"/>
      <c r="K36" s="274"/>
      <c r="L36" s="210" t="s">
        <v>102</v>
      </c>
      <c r="M36" s="276"/>
      <c r="N36" s="276"/>
      <c r="O36" s="292"/>
      <c r="P36" s="337" t="s">
        <v>71</v>
      </c>
      <c r="Q36" s="332"/>
      <c r="R36" s="332"/>
      <c r="S36" s="332"/>
      <c r="T36" s="332"/>
      <c r="U36" s="332"/>
      <c r="V36" s="332"/>
      <c r="W36" s="338"/>
      <c r="X36" s="337" t="s">
        <v>55</v>
      </c>
      <c r="Y36" s="332"/>
      <c r="Z36" s="332"/>
      <c r="AA36" s="332"/>
      <c r="AB36" s="332"/>
      <c r="AC36" s="332"/>
      <c r="AD36" s="332"/>
      <c r="AE36" s="338"/>
      <c r="AF36" s="275"/>
      <c r="AG36" s="276"/>
      <c r="AH36" s="276"/>
      <c r="AI36" s="276"/>
      <c r="AJ36" s="276"/>
      <c r="AK36" s="276"/>
      <c r="AL36" s="276"/>
      <c r="AM36" s="276"/>
      <c r="AN36" s="284"/>
      <c r="AO36" s="328">
        <v>45681</v>
      </c>
      <c r="AP36" s="329"/>
      <c r="AQ36" s="327" t="s">
        <v>186</v>
      </c>
      <c r="AR36" s="323"/>
      <c r="AS36" s="327" t="s">
        <v>187</v>
      </c>
      <c r="AT36" s="330"/>
      <c r="AU36" s="285"/>
      <c r="AV36" s="286"/>
      <c r="AW36" s="269"/>
      <c r="AX36" s="270"/>
      <c r="AY36" s="269"/>
      <c r="AZ36" s="280"/>
      <c r="BA36" s="281"/>
      <c r="BB36" s="282"/>
      <c r="BC36" s="282"/>
      <c r="BD36" s="282"/>
      <c r="BE36" s="282"/>
      <c r="BF36" s="282"/>
      <c r="BG36" s="282"/>
      <c r="BH36" s="282"/>
      <c r="BI36" s="282"/>
      <c r="BJ36" s="282"/>
      <c r="BK36" s="282"/>
      <c r="BL36" s="283"/>
      <c r="BM36" s="268"/>
      <c r="BN36" s="268"/>
    </row>
    <row r="37" spans="1:66" s="266" customFormat="1" ht="24" customHeight="1" x14ac:dyDescent="0.45">
      <c r="A37" s="267"/>
      <c r="B37" s="267"/>
      <c r="C37" s="271">
        <f t="shared" si="0"/>
        <v>28</v>
      </c>
      <c r="D37" s="272"/>
      <c r="E37" s="273"/>
      <c r="F37" s="273"/>
      <c r="G37" s="274"/>
      <c r="H37" s="272"/>
      <c r="I37" s="273"/>
      <c r="J37" s="273"/>
      <c r="K37" s="274"/>
      <c r="L37" s="210" t="s">
        <v>103</v>
      </c>
      <c r="M37" s="276"/>
      <c r="N37" s="276"/>
      <c r="O37" s="292"/>
      <c r="P37" s="337" t="s">
        <v>71</v>
      </c>
      <c r="Q37" s="332"/>
      <c r="R37" s="332"/>
      <c r="S37" s="332"/>
      <c r="T37" s="332"/>
      <c r="U37" s="332"/>
      <c r="V37" s="332"/>
      <c r="W37" s="338"/>
      <c r="X37" s="337" t="s">
        <v>55</v>
      </c>
      <c r="Y37" s="332"/>
      <c r="Z37" s="332"/>
      <c r="AA37" s="332"/>
      <c r="AB37" s="332"/>
      <c r="AC37" s="332"/>
      <c r="AD37" s="332"/>
      <c r="AE37" s="338"/>
      <c r="AF37" s="275"/>
      <c r="AG37" s="276"/>
      <c r="AH37" s="276"/>
      <c r="AI37" s="276"/>
      <c r="AJ37" s="276"/>
      <c r="AK37" s="276"/>
      <c r="AL37" s="276"/>
      <c r="AM37" s="276"/>
      <c r="AN37" s="284"/>
      <c r="AO37" s="328">
        <v>45681</v>
      </c>
      <c r="AP37" s="329"/>
      <c r="AQ37" s="327" t="s">
        <v>186</v>
      </c>
      <c r="AR37" s="323"/>
      <c r="AS37" s="327" t="s">
        <v>187</v>
      </c>
      <c r="AT37" s="330"/>
      <c r="AU37" s="285"/>
      <c r="AV37" s="286"/>
      <c r="AW37" s="269"/>
      <c r="AX37" s="270"/>
      <c r="AY37" s="269"/>
      <c r="AZ37" s="280"/>
      <c r="BA37" s="281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3"/>
      <c r="BM37" s="268"/>
      <c r="BN37" s="268"/>
    </row>
    <row r="38" spans="1:66" s="266" customFormat="1" ht="24" customHeight="1" x14ac:dyDescent="0.45">
      <c r="A38" s="267"/>
      <c r="B38" s="267"/>
      <c r="C38" s="271">
        <f t="shared" si="0"/>
        <v>29</v>
      </c>
      <c r="D38" s="272"/>
      <c r="E38" s="273"/>
      <c r="F38" s="273"/>
      <c r="G38" s="274"/>
      <c r="H38" s="272"/>
      <c r="I38" s="273"/>
      <c r="J38" s="273"/>
      <c r="K38" s="274"/>
      <c r="L38" s="210" t="s">
        <v>104</v>
      </c>
      <c r="M38" s="276"/>
      <c r="N38" s="276"/>
      <c r="O38" s="292"/>
      <c r="P38" s="337" t="s">
        <v>71</v>
      </c>
      <c r="Q38" s="332"/>
      <c r="R38" s="332"/>
      <c r="S38" s="332"/>
      <c r="T38" s="332"/>
      <c r="U38" s="332"/>
      <c r="V38" s="332"/>
      <c r="W38" s="338"/>
      <c r="X38" s="337" t="s">
        <v>55</v>
      </c>
      <c r="Y38" s="332"/>
      <c r="Z38" s="332"/>
      <c r="AA38" s="332"/>
      <c r="AB38" s="332"/>
      <c r="AC38" s="332"/>
      <c r="AD38" s="332"/>
      <c r="AE38" s="338"/>
      <c r="AF38" s="275"/>
      <c r="AG38" s="276"/>
      <c r="AH38" s="276"/>
      <c r="AI38" s="276"/>
      <c r="AJ38" s="276"/>
      <c r="AK38" s="276"/>
      <c r="AL38" s="276"/>
      <c r="AM38" s="276"/>
      <c r="AN38" s="284"/>
      <c r="AO38" s="328">
        <v>45681</v>
      </c>
      <c r="AP38" s="329"/>
      <c r="AQ38" s="327" t="s">
        <v>186</v>
      </c>
      <c r="AR38" s="323"/>
      <c r="AS38" s="327" t="s">
        <v>187</v>
      </c>
      <c r="AT38" s="330"/>
      <c r="AU38" s="285"/>
      <c r="AV38" s="286"/>
      <c r="AW38" s="269"/>
      <c r="AX38" s="270"/>
      <c r="AY38" s="269"/>
      <c r="AZ38" s="280"/>
      <c r="BA38" s="281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3"/>
      <c r="BM38" s="268"/>
      <c r="BN38" s="268"/>
    </row>
    <row r="39" spans="1:66" ht="24" customHeight="1" x14ac:dyDescent="0.45">
      <c r="A39" s="10"/>
      <c r="B39" s="10"/>
      <c r="C39" s="271">
        <f t="shared" si="0"/>
        <v>30</v>
      </c>
      <c r="D39" s="46"/>
      <c r="E39" s="47"/>
      <c r="F39" s="47"/>
      <c r="G39" s="48"/>
      <c r="H39" s="46"/>
      <c r="I39" s="47"/>
      <c r="J39" s="47"/>
      <c r="K39" s="48"/>
      <c r="L39" s="210" t="s">
        <v>105</v>
      </c>
      <c r="M39" s="287"/>
      <c r="N39" s="287"/>
      <c r="O39" s="288"/>
      <c r="P39" s="337" t="s">
        <v>71</v>
      </c>
      <c r="Q39" s="332"/>
      <c r="R39" s="332"/>
      <c r="S39" s="332"/>
      <c r="T39" s="332"/>
      <c r="U39" s="332"/>
      <c r="V39" s="332"/>
      <c r="W39" s="338"/>
      <c r="X39" s="337" t="s">
        <v>55</v>
      </c>
      <c r="Y39" s="332"/>
      <c r="Z39" s="332"/>
      <c r="AA39" s="332"/>
      <c r="AB39" s="332"/>
      <c r="AC39" s="332"/>
      <c r="AD39" s="332"/>
      <c r="AE39" s="338"/>
      <c r="AF39" s="40"/>
      <c r="AG39" s="41"/>
      <c r="AH39" s="41"/>
      <c r="AI39" s="41"/>
      <c r="AJ39" s="41"/>
      <c r="AK39" s="41"/>
      <c r="AL39" s="41"/>
      <c r="AM39" s="41"/>
      <c r="AN39" s="42"/>
      <c r="AO39" s="328">
        <v>45681</v>
      </c>
      <c r="AP39" s="329"/>
      <c r="AQ39" s="327" t="s">
        <v>186</v>
      </c>
      <c r="AR39" s="323"/>
      <c r="AS39" s="327" t="s">
        <v>187</v>
      </c>
      <c r="AT39" s="330"/>
      <c r="AU39" s="43"/>
      <c r="AV39" s="44"/>
      <c r="AW39" s="36"/>
      <c r="AX39" s="35"/>
      <c r="AY39" s="36"/>
      <c r="AZ39" s="45"/>
      <c r="BA39" s="37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9"/>
      <c r="BM39" s="16"/>
      <c r="BN39" s="16"/>
    </row>
    <row r="40" spans="1:66" s="94" customFormat="1" ht="24" customHeight="1" x14ac:dyDescent="0.45">
      <c r="A40" s="95"/>
      <c r="B40" s="95"/>
      <c r="C40" s="271">
        <f t="shared" si="0"/>
        <v>31</v>
      </c>
      <c r="D40" s="108"/>
      <c r="E40" s="109"/>
      <c r="F40" s="109"/>
      <c r="G40" s="110"/>
      <c r="H40" s="108"/>
      <c r="I40" s="109"/>
      <c r="J40" s="109"/>
      <c r="K40" s="110"/>
      <c r="L40" s="337" t="s">
        <v>106</v>
      </c>
      <c r="M40" s="332"/>
      <c r="N40" s="332"/>
      <c r="O40" s="338"/>
      <c r="P40" s="337" t="s">
        <v>71</v>
      </c>
      <c r="Q40" s="332"/>
      <c r="R40" s="332"/>
      <c r="S40" s="332"/>
      <c r="T40" s="332"/>
      <c r="U40" s="332"/>
      <c r="V40" s="332"/>
      <c r="W40" s="338"/>
      <c r="X40" s="64" t="s">
        <v>55</v>
      </c>
      <c r="Y40" s="103"/>
      <c r="Z40" s="103"/>
      <c r="AA40" s="103"/>
      <c r="AB40" s="103"/>
      <c r="AC40" s="103"/>
      <c r="AD40" s="103"/>
      <c r="AE40" s="111"/>
      <c r="AF40" s="102"/>
      <c r="AG40" s="103"/>
      <c r="AH40" s="103"/>
      <c r="AI40" s="103"/>
      <c r="AJ40" s="103"/>
      <c r="AK40" s="103"/>
      <c r="AL40" s="103"/>
      <c r="AM40" s="103"/>
      <c r="AN40" s="104"/>
      <c r="AO40" s="328">
        <v>45681</v>
      </c>
      <c r="AP40" s="329"/>
      <c r="AQ40" s="327" t="s">
        <v>186</v>
      </c>
      <c r="AR40" s="323"/>
      <c r="AS40" s="327" t="s">
        <v>187</v>
      </c>
      <c r="AT40" s="330"/>
      <c r="AU40" s="105"/>
      <c r="AV40" s="106"/>
      <c r="AW40" s="97"/>
      <c r="AX40" s="98"/>
      <c r="AY40" s="97"/>
      <c r="AZ40" s="107"/>
      <c r="BA40" s="99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1"/>
      <c r="BM40" s="96"/>
      <c r="BN40" s="96"/>
    </row>
    <row r="41" spans="1:66" ht="24" customHeight="1" x14ac:dyDescent="0.45">
      <c r="A41" s="10"/>
      <c r="B41" s="10"/>
      <c r="C41" s="271">
        <f t="shared" si="0"/>
        <v>32</v>
      </c>
      <c r="D41" s="342"/>
      <c r="E41" s="343"/>
      <c r="F41" s="343"/>
      <c r="G41" s="344"/>
      <c r="H41" s="345"/>
      <c r="I41" s="346"/>
      <c r="J41" s="346"/>
      <c r="K41" s="347"/>
      <c r="L41" s="337" t="s">
        <v>107</v>
      </c>
      <c r="M41" s="332"/>
      <c r="N41" s="332"/>
      <c r="O41" s="338"/>
      <c r="P41" s="337" t="s">
        <v>71</v>
      </c>
      <c r="Q41" s="332"/>
      <c r="R41" s="332"/>
      <c r="S41" s="332"/>
      <c r="T41" s="332"/>
      <c r="U41" s="332"/>
      <c r="V41" s="332"/>
      <c r="W41" s="338"/>
      <c r="X41" s="337" t="s">
        <v>74</v>
      </c>
      <c r="Y41" s="332"/>
      <c r="Z41" s="332"/>
      <c r="AA41" s="332"/>
      <c r="AB41" s="332"/>
      <c r="AC41" s="332"/>
      <c r="AD41" s="332"/>
      <c r="AE41" s="338"/>
      <c r="AF41" s="337" t="s">
        <v>108</v>
      </c>
      <c r="AG41" s="332"/>
      <c r="AH41" s="332"/>
      <c r="AI41" s="332"/>
      <c r="AJ41" s="332"/>
      <c r="AK41" s="332"/>
      <c r="AL41" s="332"/>
      <c r="AM41" s="332"/>
      <c r="AN41" s="351"/>
      <c r="AO41" s="328">
        <v>45681</v>
      </c>
      <c r="AP41" s="329"/>
      <c r="AQ41" s="327" t="s">
        <v>186</v>
      </c>
      <c r="AR41" s="323"/>
      <c r="AS41" s="327" t="s">
        <v>187</v>
      </c>
      <c r="AT41" s="330"/>
      <c r="AU41" s="328"/>
      <c r="AV41" s="329"/>
      <c r="AW41" s="327"/>
      <c r="AX41" s="323"/>
      <c r="AY41" s="327"/>
      <c r="AZ41" s="330"/>
      <c r="BA41" s="348"/>
      <c r="BB41" s="349"/>
      <c r="BC41" s="349"/>
      <c r="BD41" s="349"/>
      <c r="BE41" s="349"/>
      <c r="BF41" s="349"/>
      <c r="BG41" s="349"/>
      <c r="BH41" s="349"/>
      <c r="BI41" s="349"/>
      <c r="BJ41" s="349"/>
      <c r="BK41" s="349"/>
      <c r="BL41" s="350"/>
      <c r="BM41" s="16"/>
      <c r="BN41" s="16"/>
    </row>
    <row r="42" spans="1:66" s="113" customFormat="1" ht="24" customHeight="1" x14ac:dyDescent="0.45">
      <c r="A42" s="114"/>
      <c r="B42" s="114"/>
      <c r="C42" s="271">
        <f t="shared" si="0"/>
        <v>33</v>
      </c>
      <c r="D42" s="136"/>
      <c r="E42" s="137"/>
      <c r="F42" s="137"/>
      <c r="G42" s="138"/>
      <c r="H42" s="342" t="s">
        <v>44</v>
      </c>
      <c r="I42" s="343"/>
      <c r="J42" s="343"/>
      <c r="K42" s="344"/>
      <c r="L42" s="300" t="s">
        <v>113</v>
      </c>
      <c r="M42" s="296"/>
      <c r="N42" s="296"/>
      <c r="O42" s="297"/>
      <c r="P42" s="64" t="s">
        <v>56</v>
      </c>
      <c r="Q42" s="127"/>
      <c r="R42" s="127"/>
      <c r="S42" s="127"/>
      <c r="T42" s="127"/>
      <c r="U42" s="127"/>
      <c r="V42" s="127"/>
      <c r="W42" s="128"/>
      <c r="X42" s="337" t="s">
        <v>60</v>
      </c>
      <c r="Y42" s="332"/>
      <c r="Z42" s="332"/>
      <c r="AA42" s="332"/>
      <c r="AB42" s="332"/>
      <c r="AC42" s="332"/>
      <c r="AD42" s="332"/>
      <c r="AE42" s="338"/>
      <c r="AF42" s="126"/>
      <c r="AG42" s="127"/>
      <c r="AH42" s="127"/>
      <c r="AI42" s="127"/>
      <c r="AJ42" s="127"/>
      <c r="AK42" s="127"/>
      <c r="AL42" s="127"/>
      <c r="AM42" s="127"/>
      <c r="AN42" s="132"/>
      <c r="AO42" s="328">
        <v>45681</v>
      </c>
      <c r="AP42" s="329"/>
      <c r="AQ42" s="327" t="s">
        <v>186</v>
      </c>
      <c r="AR42" s="323"/>
      <c r="AS42" s="327" t="s">
        <v>187</v>
      </c>
      <c r="AT42" s="330"/>
      <c r="AU42" s="133"/>
      <c r="AV42" s="134"/>
      <c r="AW42" s="125"/>
      <c r="AX42" s="124"/>
      <c r="AY42" s="125"/>
      <c r="AZ42" s="135"/>
      <c r="BA42" s="129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1"/>
      <c r="BM42" s="115"/>
      <c r="BN42" s="115"/>
    </row>
    <row r="43" spans="1:66" s="218" customFormat="1" ht="27" customHeight="1" x14ac:dyDescent="0.45">
      <c r="A43" s="220"/>
      <c r="B43" s="220"/>
      <c r="C43" s="271">
        <f t="shared" si="0"/>
        <v>34</v>
      </c>
      <c r="D43" s="255"/>
      <c r="E43" s="256"/>
      <c r="F43" s="256"/>
      <c r="G43" s="257"/>
      <c r="H43" s="255"/>
      <c r="I43" s="256"/>
      <c r="J43" s="256"/>
      <c r="K43" s="257"/>
      <c r="L43" s="295"/>
      <c r="M43" s="298"/>
      <c r="N43" s="298"/>
      <c r="O43" s="299"/>
      <c r="P43" s="339" t="s">
        <v>59</v>
      </c>
      <c r="Q43" s="340"/>
      <c r="R43" s="340"/>
      <c r="S43" s="340"/>
      <c r="T43" s="340"/>
      <c r="U43" s="340"/>
      <c r="V43" s="340"/>
      <c r="W43" s="341"/>
      <c r="X43" s="337" t="s">
        <v>129</v>
      </c>
      <c r="Y43" s="332"/>
      <c r="Z43" s="332"/>
      <c r="AA43" s="332"/>
      <c r="AB43" s="332"/>
      <c r="AC43" s="332"/>
      <c r="AD43" s="332"/>
      <c r="AE43" s="338"/>
      <c r="AF43" s="252"/>
      <c r="AG43" s="253"/>
      <c r="AH43" s="253"/>
      <c r="AI43" s="253"/>
      <c r="AJ43" s="253"/>
      <c r="AK43" s="253"/>
      <c r="AL43" s="253"/>
      <c r="AM43" s="253"/>
      <c r="AN43" s="264"/>
      <c r="AO43" s="328">
        <v>45681</v>
      </c>
      <c r="AP43" s="329"/>
      <c r="AQ43" s="327" t="s">
        <v>186</v>
      </c>
      <c r="AR43" s="323"/>
      <c r="AS43" s="327" t="s">
        <v>188</v>
      </c>
      <c r="AT43" s="330"/>
      <c r="AU43" s="328">
        <v>45702</v>
      </c>
      <c r="AV43" s="329"/>
      <c r="AW43" s="327" t="s">
        <v>191</v>
      </c>
      <c r="AX43" s="323"/>
      <c r="AY43" s="327" t="s">
        <v>192</v>
      </c>
      <c r="AZ43" s="330"/>
      <c r="BA43" s="331" t="s">
        <v>189</v>
      </c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3"/>
      <c r="BM43" s="221"/>
      <c r="BN43" s="221"/>
    </row>
    <row r="44" spans="1:66" s="218" customFormat="1" ht="24" customHeight="1" x14ac:dyDescent="0.45">
      <c r="A44" s="220"/>
      <c r="B44" s="220"/>
      <c r="C44" s="271">
        <f t="shared" si="0"/>
        <v>35</v>
      </c>
      <c r="D44" s="255"/>
      <c r="E44" s="256"/>
      <c r="F44" s="256"/>
      <c r="G44" s="257"/>
      <c r="H44" s="255"/>
      <c r="I44" s="256"/>
      <c r="J44" s="256"/>
      <c r="K44" s="257"/>
      <c r="L44" s="337" t="s">
        <v>128</v>
      </c>
      <c r="M44" s="332"/>
      <c r="N44" s="332"/>
      <c r="O44" s="338"/>
      <c r="P44" s="337" t="s">
        <v>130</v>
      </c>
      <c r="Q44" s="332"/>
      <c r="R44" s="332"/>
      <c r="S44" s="332"/>
      <c r="T44" s="332"/>
      <c r="U44" s="332"/>
      <c r="V44" s="332"/>
      <c r="W44" s="338"/>
      <c r="X44" s="337" t="s">
        <v>131</v>
      </c>
      <c r="Y44" s="332"/>
      <c r="Z44" s="332"/>
      <c r="AA44" s="332"/>
      <c r="AB44" s="332"/>
      <c r="AC44" s="332"/>
      <c r="AD44" s="332"/>
      <c r="AE44" s="338"/>
      <c r="AF44" s="252"/>
      <c r="AG44" s="253"/>
      <c r="AH44" s="253"/>
      <c r="AI44" s="253"/>
      <c r="AJ44" s="253"/>
      <c r="AK44" s="253"/>
      <c r="AL44" s="253"/>
      <c r="AM44" s="253"/>
      <c r="AN44" s="264"/>
      <c r="AO44" s="328">
        <v>45681</v>
      </c>
      <c r="AP44" s="329"/>
      <c r="AQ44" s="327" t="s">
        <v>186</v>
      </c>
      <c r="AR44" s="323"/>
      <c r="AS44" s="327" t="s">
        <v>187</v>
      </c>
      <c r="AT44" s="330"/>
      <c r="AU44" s="259"/>
      <c r="AV44" s="260"/>
      <c r="AW44" s="250"/>
      <c r="AX44" s="251"/>
      <c r="AY44" s="250"/>
      <c r="AZ44" s="258"/>
      <c r="BA44" s="261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3"/>
      <c r="BM44" s="221"/>
      <c r="BN44" s="221"/>
    </row>
    <row r="45" spans="1:66" s="218" customFormat="1" ht="24" customHeight="1" x14ac:dyDescent="0.45">
      <c r="A45" s="220"/>
      <c r="B45" s="220"/>
      <c r="C45" s="271">
        <f t="shared" si="0"/>
        <v>36</v>
      </c>
      <c r="D45" s="255"/>
      <c r="E45" s="256"/>
      <c r="F45" s="256"/>
      <c r="G45" s="257"/>
      <c r="H45" s="255"/>
      <c r="I45" s="256"/>
      <c r="J45" s="256"/>
      <c r="K45" s="257"/>
      <c r="L45" s="342" t="s">
        <v>114</v>
      </c>
      <c r="M45" s="343"/>
      <c r="N45" s="343"/>
      <c r="O45" s="344"/>
      <c r="P45" s="345" t="s">
        <v>56</v>
      </c>
      <c r="Q45" s="346"/>
      <c r="R45" s="346"/>
      <c r="S45" s="346"/>
      <c r="T45" s="346"/>
      <c r="U45" s="346"/>
      <c r="V45" s="346"/>
      <c r="W45" s="347"/>
      <c r="X45" s="337" t="s">
        <v>115</v>
      </c>
      <c r="Y45" s="332"/>
      <c r="Z45" s="332"/>
      <c r="AA45" s="332"/>
      <c r="AB45" s="332"/>
      <c r="AC45" s="332"/>
      <c r="AD45" s="332"/>
      <c r="AE45" s="338"/>
      <c r="AF45" s="252"/>
      <c r="AG45" s="253"/>
      <c r="AH45" s="253"/>
      <c r="AI45" s="253"/>
      <c r="AJ45" s="253"/>
      <c r="AK45" s="253"/>
      <c r="AL45" s="253"/>
      <c r="AM45" s="253"/>
      <c r="AN45" s="264"/>
      <c r="AO45" s="328">
        <v>45681</v>
      </c>
      <c r="AP45" s="329"/>
      <c r="AQ45" s="327" t="s">
        <v>186</v>
      </c>
      <c r="AR45" s="323"/>
      <c r="AS45" s="327" t="s">
        <v>187</v>
      </c>
      <c r="AT45" s="330"/>
      <c r="AU45" s="259"/>
      <c r="AV45" s="260"/>
      <c r="AW45" s="250"/>
      <c r="AX45" s="251"/>
      <c r="AY45" s="250"/>
      <c r="AZ45" s="258"/>
      <c r="BA45" s="261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3"/>
      <c r="BM45" s="221"/>
      <c r="BN45" s="221"/>
    </row>
    <row r="46" spans="1:66" s="218" customFormat="1" ht="24" customHeight="1" x14ac:dyDescent="0.45">
      <c r="A46" s="220"/>
      <c r="B46" s="220"/>
      <c r="C46" s="271">
        <f t="shared" si="0"/>
        <v>37</v>
      </c>
      <c r="D46" s="255"/>
      <c r="E46" s="256"/>
      <c r="F46" s="256"/>
      <c r="G46" s="257"/>
      <c r="H46" s="255"/>
      <c r="I46" s="256"/>
      <c r="J46" s="256"/>
      <c r="K46" s="257"/>
      <c r="L46" s="345"/>
      <c r="M46" s="346"/>
      <c r="N46" s="346"/>
      <c r="O46" s="347"/>
      <c r="P46" s="337" t="s">
        <v>116</v>
      </c>
      <c r="Q46" s="332"/>
      <c r="R46" s="332"/>
      <c r="S46" s="332"/>
      <c r="T46" s="332"/>
      <c r="U46" s="332"/>
      <c r="V46" s="332"/>
      <c r="W46" s="338"/>
      <c r="X46" s="337" t="s">
        <v>118</v>
      </c>
      <c r="Y46" s="332"/>
      <c r="Z46" s="332"/>
      <c r="AA46" s="332"/>
      <c r="AB46" s="332"/>
      <c r="AC46" s="332"/>
      <c r="AD46" s="332"/>
      <c r="AE46" s="338"/>
      <c r="AF46" s="252"/>
      <c r="AG46" s="253"/>
      <c r="AH46" s="253"/>
      <c r="AI46" s="253"/>
      <c r="AJ46" s="253"/>
      <c r="AK46" s="253"/>
      <c r="AL46" s="253"/>
      <c r="AM46" s="253"/>
      <c r="AN46" s="264"/>
      <c r="AO46" s="328">
        <v>45681</v>
      </c>
      <c r="AP46" s="329"/>
      <c r="AQ46" s="327" t="s">
        <v>186</v>
      </c>
      <c r="AR46" s="323"/>
      <c r="AS46" s="327" t="s">
        <v>188</v>
      </c>
      <c r="AT46" s="330"/>
      <c r="AU46" s="328">
        <v>45702</v>
      </c>
      <c r="AV46" s="329"/>
      <c r="AW46" s="327" t="s">
        <v>191</v>
      </c>
      <c r="AX46" s="323"/>
      <c r="AY46" s="327" t="s">
        <v>192</v>
      </c>
      <c r="AZ46" s="330"/>
      <c r="BA46" s="331" t="s">
        <v>190</v>
      </c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3"/>
      <c r="BM46" s="221"/>
      <c r="BN46" s="221"/>
    </row>
    <row r="47" spans="1:66" s="218" customFormat="1" ht="24" customHeight="1" x14ac:dyDescent="0.45">
      <c r="A47" s="220"/>
      <c r="B47" s="220"/>
      <c r="C47" s="271">
        <f t="shared" si="0"/>
        <v>38</v>
      </c>
      <c r="D47" s="255"/>
      <c r="E47" s="256"/>
      <c r="F47" s="256"/>
      <c r="G47" s="257"/>
      <c r="H47" s="255"/>
      <c r="I47" s="256"/>
      <c r="J47" s="256"/>
      <c r="K47" s="257"/>
      <c r="L47" s="334" t="s">
        <v>117</v>
      </c>
      <c r="M47" s="335"/>
      <c r="N47" s="335"/>
      <c r="O47" s="336"/>
      <c r="P47" s="337" t="s">
        <v>119</v>
      </c>
      <c r="Q47" s="332"/>
      <c r="R47" s="332"/>
      <c r="S47" s="332"/>
      <c r="T47" s="332"/>
      <c r="U47" s="332"/>
      <c r="V47" s="332"/>
      <c r="W47" s="338"/>
      <c r="X47" s="337" t="s">
        <v>120</v>
      </c>
      <c r="Y47" s="332"/>
      <c r="Z47" s="332"/>
      <c r="AA47" s="332"/>
      <c r="AB47" s="332"/>
      <c r="AC47" s="332"/>
      <c r="AD47" s="332"/>
      <c r="AE47" s="338"/>
      <c r="AF47" s="252"/>
      <c r="AG47" s="253"/>
      <c r="AH47" s="253"/>
      <c r="AI47" s="253"/>
      <c r="AJ47" s="253"/>
      <c r="AK47" s="253"/>
      <c r="AL47" s="253"/>
      <c r="AM47" s="253"/>
      <c r="AN47" s="264"/>
      <c r="AO47" s="328">
        <v>45681</v>
      </c>
      <c r="AP47" s="329"/>
      <c r="AQ47" s="327" t="s">
        <v>186</v>
      </c>
      <c r="AR47" s="323"/>
      <c r="AS47" s="327" t="s">
        <v>187</v>
      </c>
      <c r="AT47" s="330"/>
      <c r="AU47" s="259"/>
      <c r="AV47" s="260"/>
      <c r="AW47" s="250"/>
      <c r="AX47" s="251"/>
      <c r="AY47" s="250"/>
      <c r="AZ47" s="258"/>
      <c r="BA47" s="261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3"/>
      <c r="BM47" s="221"/>
      <c r="BN47" s="221"/>
    </row>
    <row r="48" spans="1:66" s="218" customFormat="1" ht="24" customHeight="1" x14ac:dyDescent="0.45">
      <c r="A48" s="220"/>
      <c r="B48" s="220"/>
      <c r="C48" s="271">
        <f t="shared" si="0"/>
        <v>39</v>
      </c>
      <c r="D48" s="255"/>
      <c r="E48" s="256"/>
      <c r="F48" s="256"/>
      <c r="G48" s="257"/>
      <c r="H48" s="255"/>
      <c r="I48" s="256"/>
      <c r="J48" s="256"/>
      <c r="K48" s="257"/>
      <c r="L48" s="342" t="s">
        <v>121</v>
      </c>
      <c r="M48" s="343"/>
      <c r="N48" s="343"/>
      <c r="O48" s="344"/>
      <c r="P48" s="345" t="s">
        <v>56</v>
      </c>
      <c r="Q48" s="346"/>
      <c r="R48" s="346"/>
      <c r="S48" s="346"/>
      <c r="T48" s="346"/>
      <c r="U48" s="346"/>
      <c r="V48" s="346"/>
      <c r="W48" s="347"/>
      <c r="X48" s="337" t="s">
        <v>124</v>
      </c>
      <c r="Y48" s="332"/>
      <c r="Z48" s="332"/>
      <c r="AA48" s="332"/>
      <c r="AB48" s="332"/>
      <c r="AC48" s="332"/>
      <c r="AD48" s="332"/>
      <c r="AE48" s="338"/>
      <c r="AF48" s="252"/>
      <c r="AG48" s="253"/>
      <c r="AH48" s="253"/>
      <c r="AI48" s="253"/>
      <c r="AJ48" s="253"/>
      <c r="AK48" s="253"/>
      <c r="AL48" s="253"/>
      <c r="AM48" s="253"/>
      <c r="AN48" s="264"/>
      <c r="AO48" s="328">
        <v>45681</v>
      </c>
      <c r="AP48" s="329"/>
      <c r="AQ48" s="327" t="s">
        <v>186</v>
      </c>
      <c r="AR48" s="323"/>
      <c r="AS48" s="327" t="s">
        <v>187</v>
      </c>
      <c r="AT48" s="330"/>
      <c r="AU48" s="259"/>
      <c r="AV48" s="260"/>
      <c r="AW48" s="250"/>
      <c r="AX48" s="251"/>
      <c r="AY48" s="250"/>
      <c r="AZ48" s="258"/>
      <c r="BA48" s="261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3"/>
      <c r="BM48" s="221"/>
      <c r="BN48" s="221"/>
    </row>
    <row r="49" spans="1:66" s="218" customFormat="1" ht="24" customHeight="1" x14ac:dyDescent="0.45">
      <c r="A49" s="220"/>
      <c r="B49" s="220"/>
      <c r="C49" s="271">
        <f t="shared" si="0"/>
        <v>40</v>
      </c>
      <c r="D49" s="255"/>
      <c r="E49" s="256"/>
      <c r="F49" s="256"/>
      <c r="G49" s="257"/>
      <c r="H49" s="255"/>
      <c r="I49" s="256"/>
      <c r="J49" s="256"/>
      <c r="K49" s="257"/>
      <c r="L49" s="345"/>
      <c r="M49" s="346"/>
      <c r="N49" s="346"/>
      <c r="O49" s="347"/>
      <c r="P49" s="337" t="s">
        <v>123</v>
      </c>
      <c r="Q49" s="332"/>
      <c r="R49" s="332"/>
      <c r="S49" s="332"/>
      <c r="T49" s="332"/>
      <c r="U49" s="332"/>
      <c r="V49" s="332"/>
      <c r="W49" s="338"/>
      <c r="X49" s="337" t="s">
        <v>125</v>
      </c>
      <c r="Y49" s="332"/>
      <c r="Z49" s="332"/>
      <c r="AA49" s="332"/>
      <c r="AB49" s="332"/>
      <c r="AC49" s="332"/>
      <c r="AD49" s="332"/>
      <c r="AE49" s="338"/>
      <c r="AF49" s="252"/>
      <c r="AG49" s="253"/>
      <c r="AH49" s="253"/>
      <c r="AI49" s="253"/>
      <c r="AJ49" s="253"/>
      <c r="AK49" s="253"/>
      <c r="AL49" s="253"/>
      <c r="AM49" s="253"/>
      <c r="AN49" s="264"/>
      <c r="AO49" s="328">
        <v>45681</v>
      </c>
      <c r="AP49" s="329"/>
      <c r="AQ49" s="327" t="s">
        <v>186</v>
      </c>
      <c r="AR49" s="323"/>
      <c r="AS49" s="327" t="s">
        <v>187</v>
      </c>
      <c r="AT49" s="330"/>
      <c r="AU49" s="259"/>
      <c r="AV49" s="260"/>
      <c r="AW49" s="250"/>
      <c r="AX49" s="251"/>
      <c r="AY49" s="250"/>
      <c r="AZ49" s="258"/>
      <c r="BA49" s="261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3"/>
      <c r="BM49" s="221"/>
      <c r="BN49" s="221"/>
    </row>
    <row r="50" spans="1:66" s="139" customFormat="1" ht="24" customHeight="1" x14ac:dyDescent="0.45">
      <c r="A50" s="140"/>
      <c r="B50" s="140"/>
      <c r="C50" s="271">
        <f t="shared" si="0"/>
        <v>41</v>
      </c>
      <c r="D50" s="153"/>
      <c r="E50" s="154"/>
      <c r="F50" s="154"/>
      <c r="G50" s="155"/>
      <c r="H50" s="153"/>
      <c r="I50" s="154"/>
      <c r="J50" s="154"/>
      <c r="K50" s="155"/>
      <c r="L50" s="334" t="s">
        <v>122</v>
      </c>
      <c r="M50" s="335"/>
      <c r="N50" s="335"/>
      <c r="O50" s="336"/>
      <c r="P50" s="337" t="s">
        <v>126</v>
      </c>
      <c r="Q50" s="332"/>
      <c r="R50" s="332"/>
      <c r="S50" s="332"/>
      <c r="T50" s="332"/>
      <c r="U50" s="332"/>
      <c r="V50" s="332"/>
      <c r="W50" s="338"/>
      <c r="X50" s="337" t="s">
        <v>127</v>
      </c>
      <c r="Y50" s="332"/>
      <c r="Z50" s="332"/>
      <c r="AA50" s="332"/>
      <c r="AB50" s="332"/>
      <c r="AC50" s="332"/>
      <c r="AD50" s="332"/>
      <c r="AE50" s="338"/>
      <c r="AF50" s="147"/>
      <c r="AG50" s="148"/>
      <c r="AH50" s="148"/>
      <c r="AI50" s="148"/>
      <c r="AJ50" s="148"/>
      <c r="AK50" s="148"/>
      <c r="AL50" s="148"/>
      <c r="AM50" s="148"/>
      <c r="AN50" s="149"/>
      <c r="AO50" s="328">
        <v>45681</v>
      </c>
      <c r="AP50" s="329"/>
      <c r="AQ50" s="327" t="s">
        <v>186</v>
      </c>
      <c r="AR50" s="323"/>
      <c r="AS50" s="327" t="s">
        <v>187</v>
      </c>
      <c r="AT50" s="330"/>
      <c r="AU50" s="150"/>
      <c r="AV50" s="151"/>
      <c r="AW50" s="142"/>
      <c r="AX50" s="143"/>
      <c r="AY50" s="142"/>
      <c r="AZ50" s="152"/>
      <c r="BA50" s="144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6"/>
      <c r="BM50" s="141"/>
      <c r="BN50" s="141"/>
    </row>
    <row r="51" spans="1:66" s="156" customFormat="1" ht="24" customHeight="1" x14ac:dyDescent="0.45">
      <c r="A51" s="157"/>
      <c r="B51" s="157"/>
      <c r="C51" s="271">
        <f t="shared" si="0"/>
        <v>42</v>
      </c>
      <c r="D51" s="170"/>
      <c r="E51" s="171"/>
      <c r="F51" s="171"/>
      <c r="G51" s="172"/>
      <c r="H51" s="170"/>
      <c r="I51" s="171"/>
      <c r="J51" s="171"/>
      <c r="K51" s="172"/>
      <c r="L51" s="339" t="s">
        <v>139</v>
      </c>
      <c r="M51" s="340"/>
      <c r="N51" s="340"/>
      <c r="O51" s="341"/>
      <c r="P51" s="210" t="s">
        <v>56</v>
      </c>
      <c r="Q51" s="276"/>
      <c r="R51" s="276"/>
      <c r="S51" s="276"/>
      <c r="T51" s="276"/>
      <c r="U51" s="276"/>
      <c r="V51" s="276"/>
      <c r="W51" s="292"/>
      <c r="X51" s="337" t="s">
        <v>135</v>
      </c>
      <c r="Y51" s="332"/>
      <c r="Z51" s="332"/>
      <c r="AA51" s="332"/>
      <c r="AB51" s="332"/>
      <c r="AC51" s="332"/>
      <c r="AD51" s="332"/>
      <c r="AE51" s="338"/>
      <c r="AF51" s="164"/>
      <c r="AG51" s="165"/>
      <c r="AH51" s="165"/>
      <c r="AI51" s="165"/>
      <c r="AJ51" s="165"/>
      <c r="AK51" s="165"/>
      <c r="AL51" s="165"/>
      <c r="AM51" s="165"/>
      <c r="AN51" s="166"/>
      <c r="AO51" s="328">
        <v>45681</v>
      </c>
      <c r="AP51" s="329"/>
      <c r="AQ51" s="327" t="s">
        <v>186</v>
      </c>
      <c r="AR51" s="323"/>
      <c r="AS51" s="327" t="s">
        <v>187</v>
      </c>
      <c r="AT51" s="330"/>
      <c r="AU51" s="167"/>
      <c r="AV51" s="168"/>
      <c r="AW51" s="159"/>
      <c r="AX51" s="160"/>
      <c r="AY51" s="159"/>
      <c r="AZ51" s="169"/>
      <c r="BA51" s="161"/>
      <c r="BB51" s="162"/>
      <c r="BC51" s="162"/>
      <c r="BD51" s="162"/>
      <c r="BE51" s="162"/>
      <c r="BF51" s="162"/>
      <c r="BG51" s="162"/>
      <c r="BH51" s="162"/>
      <c r="BI51" s="162"/>
      <c r="BJ51" s="162"/>
      <c r="BK51" s="162"/>
      <c r="BL51" s="163"/>
      <c r="BM51" s="158"/>
      <c r="BN51" s="158"/>
    </row>
    <row r="52" spans="1:66" s="175" customFormat="1" ht="24" customHeight="1" x14ac:dyDescent="0.45">
      <c r="A52" s="176"/>
      <c r="B52" s="176"/>
      <c r="C52" s="271">
        <f t="shared" si="0"/>
        <v>43</v>
      </c>
      <c r="D52" s="189"/>
      <c r="E52" s="190"/>
      <c r="F52" s="190"/>
      <c r="G52" s="191"/>
      <c r="H52" s="189"/>
      <c r="I52" s="190"/>
      <c r="J52" s="190"/>
      <c r="K52" s="191"/>
      <c r="L52" s="295"/>
      <c r="M52" s="298"/>
      <c r="N52" s="298"/>
      <c r="O52" s="299"/>
      <c r="P52" s="339" t="s">
        <v>134</v>
      </c>
      <c r="Q52" s="340"/>
      <c r="R52" s="340"/>
      <c r="S52" s="340"/>
      <c r="T52" s="340"/>
      <c r="U52" s="340"/>
      <c r="V52" s="340"/>
      <c r="W52" s="341"/>
      <c r="X52" s="337" t="s">
        <v>136</v>
      </c>
      <c r="Y52" s="332"/>
      <c r="Z52" s="332"/>
      <c r="AA52" s="332"/>
      <c r="AB52" s="332"/>
      <c r="AC52" s="332"/>
      <c r="AD52" s="332"/>
      <c r="AE52" s="338"/>
      <c r="AF52" s="183"/>
      <c r="AG52" s="184"/>
      <c r="AH52" s="184"/>
      <c r="AI52" s="184"/>
      <c r="AJ52" s="184"/>
      <c r="AK52" s="184"/>
      <c r="AL52" s="184"/>
      <c r="AM52" s="184"/>
      <c r="AN52" s="185"/>
      <c r="AO52" s="328">
        <v>45681</v>
      </c>
      <c r="AP52" s="329"/>
      <c r="AQ52" s="327" t="s">
        <v>186</v>
      </c>
      <c r="AR52" s="323"/>
      <c r="AS52" s="327" t="s">
        <v>187</v>
      </c>
      <c r="AT52" s="330"/>
      <c r="AU52" s="186"/>
      <c r="AV52" s="187"/>
      <c r="AW52" s="178"/>
      <c r="AX52" s="179"/>
      <c r="AY52" s="178"/>
      <c r="AZ52" s="188"/>
      <c r="BA52" s="180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2"/>
      <c r="BM52" s="177"/>
      <c r="BN52" s="177"/>
    </row>
    <row r="53" spans="1:66" s="175" customFormat="1" ht="24" customHeight="1" x14ac:dyDescent="0.45">
      <c r="A53" s="176"/>
      <c r="B53" s="176"/>
      <c r="C53" s="271">
        <f t="shared" si="0"/>
        <v>44</v>
      </c>
      <c r="D53" s="189"/>
      <c r="E53" s="190"/>
      <c r="F53" s="190"/>
      <c r="G53" s="191"/>
      <c r="H53" s="189"/>
      <c r="I53" s="190"/>
      <c r="J53" s="190"/>
      <c r="K53" s="191"/>
      <c r="L53" s="337" t="s">
        <v>133</v>
      </c>
      <c r="M53" s="332"/>
      <c r="N53" s="332"/>
      <c r="O53" s="338"/>
      <c r="P53" s="337" t="s">
        <v>137</v>
      </c>
      <c r="Q53" s="332"/>
      <c r="R53" s="332"/>
      <c r="S53" s="332"/>
      <c r="T53" s="332"/>
      <c r="U53" s="332"/>
      <c r="V53" s="332"/>
      <c r="W53" s="338"/>
      <c r="X53" s="337" t="s">
        <v>138</v>
      </c>
      <c r="Y53" s="332"/>
      <c r="Z53" s="332"/>
      <c r="AA53" s="332"/>
      <c r="AB53" s="332"/>
      <c r="AC53" s="332"/>
      <c r="AD53" s="332"/>
      <c r="AE53" s="338"/>
      <c r="AF53" s="183"/>
      <c r="AG53" s="184"/>
      <c r="AH53" s="184"/>
      <c r="AI53" s="184"/>
      <c r="AJ53" s="184"/>
      <c r="AK53" s="184"/>
      <c r="AL53" s="184"/>
      <c r="AM53" s="184"/>
      <c r="AN53" s="185"/>
      <c r="AO53" s="328">
        <v>45681</v>
      </c>
      <c r="AP53" s="329"/>
      <c r="AQ53" s="327" t="s">
        <v>186</v>
      </c>
      <c r="AR53" s="323"/>
      <c r="AS53" s="327" t="s">
        <v>187</v>
      </c>
      <c r="AT53" s="330"/>
      <c r="AU53" s="186"/>
      <c r="AV53" s="187"/>
      <c r="AW53" s="178"/>
      <c r="AX53" s="179"/>
      <c r="AY53" s="178"/>
      <c r="AZ53" s="188"/>
      <c r="BA53" s="180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2"/>
      <c r="BM53" s="177"/>
      <c r="BN53" s="177"/>
    </row>
    <row r="54" spans="1:66" s="266" customFormat="1" ht="24" customHeight="1" x14ac:dyDescent="0.45">
      <c r="A54" s="267"/>
      <c r="B54" s="267"/>
      <c r="C54" s="271">
        <f t="shared" si="0"/>
        <v>45</v>
      </c>
      <c r="D54" s="272"/>
      <c r="E54" s="273"/>
      <c r="F54" s="273"/>
      <c r="G54" s="274"/>
      <c r="H54" s="273"/>
      <c r="I54" s="273"/>
      <c r="J54" s="273"/>
      <c r="K54" s="273"/>
      <c r="L54" s="339" t="s">
        <v>140</v>
      </c>
      <c r="M54" s="340"/>
      <c r="N54" s="340"/>
      <c r="O54" s="341"/>
      <c r="P54" s="210" t="s">
        <v>56</v>
      </c>
      <c r="Q54" s="276"/>
      <c r="R54" s="276"/>
      <c r="S54" s="276"/>
      <c r="T54" s="276"/>
      <c r="U54" s="276"/>
      <c r="V54" s="276"/>
      <c r="W54" s="292"/>
      <c r="X54" s="337" t="s">
        <v>135</v>
      </c>
      <c r="Y54" s="332"/>
      <c r="Z54" s="332"/>
      <c r="AA54" s="332"/>
      <c r="AB54" s="332"/>
      <c r="AC54" s="332"/>
      <c r="AD54" s="332"/>
      <c r="AE54" s="338"/>
      <c r="AF54" s="275"/>
      <c r="AG54" s="276"/>
      <c r="AH54" s="276"/>
      <c r="AI54" s="276"/>
      <c r="AJ54" s="276"/>
      <c r="AK54" s="276"/>
      <c r="AL54" s="276"/>
      <c r="AM54" s="276"/>
      <c r="AN54" s="284"/>
      <c r="AO54" s="328">
        <v>45681</v>
      </c>
      <c r="AP54" s="329"/>
      <c r="AQ54" s="327" t="s">
        <v>186</v>
      </c>
      <c r="AR54" s="323"/>
      <c r="AS54" s="327" t="s">
        <v>187</v>
      </c>
      <c r="AT54" s="330"/>
      <c r="AU54" s="285"/>
      <c r="AV54" s="286"/>
      <c r="AW54" s="269"/>
      <c r="AX54" s="270"/>
      <c r="AY54" s="269"/>
      <c r="AZ54" s="280"/>
      <c r="BA54" s="281"/>
      <c r="BB54" s="282"/>
      <c r="BC54" s="282"/>
      <c r="BD54" s="282"/>
      <c r="BE54" s="282"/>
      <c r="BF54" s="282"/>
      <c r="BG54" s="282"/>
      <c r="BH54" s="282"/>
      <c r="BI54" s="282"/>
      <c r="BJ54" s="282"/>
      <c r="BK54" s="282"/>
      <c r="BL54" s="283"/>
      <c r="BM54" s="268"/>
      <c r="BN54" s="268"/>
    </row>
    <row r="55" spans="1:66" s="266" customFormat="1" ht="24" customHeight="1" x14ac:dyDescent="0.45">
      <c r="A55" s="267"/>
      <c r="B55" s="267"/>
      <c r="C55" s="271">
        <f t="shared" si="0"/>
        <v>46</v>
      </c>
      <c r="D55" s="272"/>
      <c r="E55" s="273"/>
      <c r="F55" s="273"/>
      <c r="G55" s="274"/>
      <c r="H55" s="273"/>
      <c r="I55" s="273"/>
      <c r="J55" s="273"/>
      <c r="K55" s="273"/>
      <c r="L55" s="295"/>
      <c r="M55" s="298"/>
      <c r="N55" s="298"/>
      <c r="O55" s="299"/>
      <c r="P55" s="339" t="s">
        <v>134</v>
      </c>
      <c r="Q55" s="340"/>
      <c r="R55" s="340"/>
      <c r="S55" s="340"/>
      <c r="T55" s="340"/>
      <c r="U55" s="340"/>
      <c r="V55" s="340"/>
      <c r="W55" s="341"/>
      <c r="X55" s="337" t="s">
        <v>136</v>
      </c>
      <c r="Y55" s="332"/>
      <c r="Z55" s="332"/>
      <c r="AA55" s="332"/>
      <c r="AB55" s="332"/>
      <c r="AC55" s="332"/>
      <c r="AD55" s="332"/>
      <c r="AE55" s="338"/>
      <c r="AF55" s="275"/>
      <c r="AG55" s="276"/>
      <c r="AH55" s="276"/>
      <c r="AI55" s="276"/>
      <c r="AJ55" s="276"/>
      <c r="AK55" s="276"/>
      <c r="AL55" s="276"/>
      <c r="AM55" s="276"/>
      <c r="AN55" s="284"/>
      <c r="AO55" s="328">
        <v>45681</v>
      </c>
      <c r="AP55" s="329"/>
      <c r="AQ55" s="327" t="s">
        <v>186</v>
      </c>
      <c r="AR55" s="323"/>
      <c r="AS55" s="327" t="s">
        <v>187</v>
      </c>
      <c r="AT55" s="330"/>
      <c r="AU55" s="285"/>
      <c r="AV55" s="286"/>
      <c r="AW55" s="269"/>
      <c r="AX55" s="270"/>
      <c r="AY55" s="269"/>
      <c r="AZ55" s="280"/>
      <c r="BA55" s="281"/>
      <c r="BB55" s="282"/>
      <c r="BC55" s="282"/>
      <c r="BD55" s="282"/>
      <c r="BE55" s="282"/>
      <c r="BF55" s="282"/>
      <c r="BG55" s="282"/>
      <c r="BH55" s="282"/>
      <c r="BI55" s="282"/>
      <c r="BJ55" s="282"/>
      <c r="BK55" s="282"/>
      <c r="BL55" s="283"/>
      <c r="BM55" s="268"/>
      <c r="BN55" s="268"/>
    </row>
    <row r="56" spans="1:66" ht="25.8" customHeight="1" x14ac:dyDescent="0.45">
      <c r="A56" s="10"/>
      <c r="B56" s="10"/>
      <c r="C56" s="271">
        <f t="shared" si="0"/>
        <v>47</v>
      </c>
      <c r="D56" s="51"/>
      <c r="E56" s="52"/>
      <c r="F56" s="52"/>
      <c r="G56" s="53"/>
      <c r="L56" s="337" t="s">
        <v>141</v>
      </c>
      <c r="M56" s="332"/>
      <c r="N56" s="332"/>
      <c r="O56" s="338"/>
      <c r="P56" s="337" t="s">
        <v>143</v>
      </c>
      <c r="Q56" s="332"/>
      <c r="R56" s="332"/>
      <c r="S56" s="332"/>
      <c r="T56" s="332"/>
      <c r="U56" s="332"/>
      <c r="V56" s="332"/>
      <c r="W56" s="338"/>
      <c r="X56" s="337" t="s">
        <v>142</v>
      </c>
      <c r="Y56" s="332"/>
      <c r="Z56" s="332"/>
      <c r="AA56" s="332"/>
      <c r="AB56" s="332"/>
      <c r="AC56" s="332"/>
      <c r="AD56" s="332"/>
      <c r="AE56" s="338"/>
      <c r="AF56" s="112"/>
      <c r="AG56" s="54"/>
      <c r="AH56" s="54"/>
      <c r="AI56" s="54"/>
      <c r="AJ56" s="54"/>
      <c r="AK56" s="54"/>
      <c r="AL56" s="54"/>
      <c r="AM56" s="54"/>
      <c r="AN56" s="59"/>
      <c r="AO56" s="328">
        <v>45681</v>
      </c>
      <c r="AP56" s="329"/>
      <c r="AQ56" s="327" t="s">
        <v>186</v>
      </c>
      <c r="AR56" s="323"/>
      <c r="AS56" s="327" t="s">
        <v>187</v>
      </c>
      <c r="AT56" s="330"/>
      <c r="AU56" s="60"/>
      <c r="AV56" s="61"/>
      <c r="AW56" s="49"/>
      <c r="AX56" s="50"/>
      <c r="AY56" s="49"/>
      <c r="AZ56" s="55"/>
      <c r="BA56" s="56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8"/>
      <c r="BM56" s="16"/>
      <c r="BN56" s="16"/>
    </row>
    <row r="57" spans="1:66" s="266" customFormat="1" ht="25.8" customHeight="1" x14ac:dyDescent="0.45">
      <c r="A57" s="267"/>
      <c r="B57" s="267"/>
      <c r="C57" s="271">
        <f t="shared" si="0"/>
        <v>48</v>
      </c>
      <c r="D57" s="272"/>
      <c r="E57" s="273"/>
      <c r="F57" s="273"/>
      <c r="G57" s="274"/>
      <c r="L57" s="265" t="s">
        <v>144</v>
      </c>
      <c r="M57" s="293"/>
      <c r="N57" s="293"/>
      <c r="O57" s="294"/>
      <c r="P57" s="210" t="s">
        <v>56</v>
      </c>
      <c r="Q57" s="276"/>
      <c r="R57" s="276"/>
      <c r="S57" s="276"/>
      <c r="T57" s="276"/>
      <c r="U57" s="276"/>
      <c r="V57" s="276"/>
      <c r="W57" s="292"/>
      <c r="X57" s="371" t="s">
        <v>145</v>
      </c>
      <c r="Y57" s="372"/>
      <c r="Z57" s="372"/>
      <c r="AA57" s="372"/>
      <c r="AB57" s="372"/>
      <c r="AC57" s="372"/>
      <c r="AD57" s="372"/>
      <c r="AE57" s="373"/>
      <c r="AF57" s="275"/>
      <c r="AG57" s="276"/>
      <c r="AH57" s="276"/>
      <c r="AI57" s="276"/>
      <c r="AJ57" s="276"/>
      <c r="AK57" s="276"/>
      <c r="AL57" s="276"/>
      <c r="AM57" s="276"/>
      <c r="AN57" s="284"/>
      <c r="AO57" s="328">
        <v>45681</v>
      </c>
      <c r="AP57" s="329"/>
      <c r="AQ57" s="327" t="s">
        <v>186</v>
      </c>
      <c r="AR57" s="323"/>
      <c r="AS57" s="327" t="s">
        <v>187</v>
      </c>
      <c r="AT57" s="330"/>
      <c r="AU57" s="285"/>
      <c r="AV57" s="286"/>
      <c r="AW57" s="269"/>
      <c r="AX57" s="270"/>
      <c r="AY57" s="269"/>
      <c r="AZ57" s="280"/>
      <c r="BA57" s="281"/>
      <c r="BB57" s="282"/>
      <c r="BC57" s="282"/>
      <c r="BD57" s="282"/>
      <c r="BE57" s="282"/>
      <c r="BF57" s="282"/>
      <c r="BG57" s="282"/>
      <c r="BH57" s="282"/>
      <c r="BI57" s="282"/>
      <c r="BJ57" s="282"/>
      <c r="BK57" s="282"/>
      <c r="BL57" s="283"/>
      <c r="BM57" s="268"/>
      <c r="BN57" s="268"/>
    </row>
    <row r="58" spans="1:66" s="266" customFormat="1" ht="25.8" customHeight="1" x14ac:dyDescent="0.45">
      <c r="A58" s="267"/>
      <c r="B58" s="267"/>
      <c r="C58" s="271">
        <f t="shared" si="0"/>
        <v>49</v>
      </c>
      <c r="D58" s="272"/>
      <c r="E58" s="273"/>
      <c r="F58" s="273"/>
      <c r="G58" s="274"/>
      <c r="K58" s="211"/>
      <c r="L58" s="273"/>
      <c r="M58" s="278"/>
      <c r="N58" s="278"/>
      <c r="O58" s="279"/>
      <c r="P58" s="340" t="s">
        <v>146</v>
      </c>
      <c r="Q58" s="340"/>
      <c r="R58" s="340"/>
      <c r="S58" s="340"/>
      <c r="T58" s="340"/>
      <c r="U58" s="340"/>
      <c r="V58" s="340"/>
      <c r="W58" s="341"/>
      <c r="X58" s="337" t="s">
        <v>147</v>
      </c>
      <c r="Y58" s="332"/>
      <c r="Z58" s="332"/>
      <c r="AA58" s="332"/>
      <c r="AB58" s="332"/>
      <c r="AC58" s="332"/>
      <c r="AD58" s="332"/>
      <c r="AE58" s="338"/>
      <c r="AF58" s="275"/>
      <c r="AG58" s="276"/>
      <c r="AH58" s="276"/>
      <c r="AI58" s="276"/>
      <c r="AJ58" s="276"/>
      <c r="AK58" s="276"/>
      <c r="AL58" s="276"/>
      <c r="AM58" s="276"/>
      <c r="AN58" s="284"/>
      <c r="AO58" s="328">
        <v>45681</v>
      </c>
      <c r="AP58" s="329"/>
      <c r="AQ58" s="327" t="s">
        <v>186</v>
      </c>
      <c r="AR58" s="323"/>
      <c r="AS58" s="327" t="s">
        <v>187</v>
      </c>
      <c r="AT58" s="330"/>
      <c r="AU58" s="285"/>
      <c r="AV58" s="286"/>
      <c r="AW58" s="269"/>
      <c r="AX58" s="270"/>
      <c r="AY58" s="269"/>
      <c r="AZ58" s="280"/>
      <c r="BA58" s="281"/>
      <c r="BB58" s="282"/>
      <c r="BC58" s="282"/>
      <c r="BD58" s="282"/>
      <c r="BE58" s="282"/>
      <c r="BF58" s="282"/>
      <c r="BG58" s="282"/>
      <c r="BH58" s="282"/>
      <c r="BI58" s="282"/>
      <c r="BJ58" s="282"/>
      <c r="BK58" s="282"/>
      <c r="BL58" s="283"/>
      <c r="BM58" s="268"/>
      <c r="BN58" s="268"/>
    </row>
    <row r="59" spans="1:66" s="266" customFormat="1" ht="25.8" customHeight="1" x14ac:dyDescent="0.45">
      <c r="A59" s="267"/>
      <c r="B59" s="267"/>
      <c r="C59" s="271">
        <f t="shared" si="0"/>
        <v>50</v>
      </c>
      <c r="D59" s="272"/>
      <c r="E59" s="273"/>
      <c r="F59" s="273"/>
      <c r="G59" s="274"/>
      <c r="L59" s="337" t="s">
        <v>148</v>
      </c>
      <c r="M59" s="332"/>
      <c r="N59" s="332"/>
      <c r="O59" s="338"/>
      <c r="P59" s="337" t="s">
        <v>149</v>
      </c>
      <c r="Q59" s="332"/>
      <c r="R59" s="332"/>
      <c r="S59" s="332"/>
      <c r="T59" s="332"/>
      <c r="U59" s="332"/>
      <c r="V59" s="332"/>
      <c r="W59" s="338"/>
      <c r="X59" s="337" t="s">
        <v>150</v>
      </c>
      <c r="Y59" s="332"/>
      <c r="Z59" s="332"/>
      <c r="AA59" s="332"/>
      <c r="AB59" s="332"/>
      <c r="AC59" s="332"/>
      <c r="AD59" s="332"/>
      <c r="AE59" s="338"/>
      <c r="AF59" s="275"/>
      <c r="AG59" s="276"/>
      <c r="AH59" s="276"/>
      <c r="AI59" s="276"/>
      <c r="AJ59" s="276"/>
      <c r="AK59" s="276"/>
      <c r="AL59" s="276"/>
      <c r="AM59" s="276"/>
      <c r="AN59" s="284"/>
      <c r="AO59" s="328">
        <v>45681</v>
      </c>
      <c r="AP59" s="329"/>
      <c r="AQ59" s="327" t="s">
        <v>186</v>
      </c>
      <c r="AR59" s="323"/>
      <c r="AS59" s="327" t="s">
        <v>187</v>
      </c>
      <c r="AT59" s="330"/>
      <c r="AU59" s="285"/>
      <c r="AV59" s="286"/>
      <c r="AW59" s="269"/>
      <c r="AX59" s="270"/>
      <c r="AY59" s="269"/>
      <c r="AZ59" s="280"/>
      <c r="BA59" s="281"/>
      <c r="BB59" s="282"/>
      <c r="BC59" s="282"/>
      <c r="BD59" s="282"/>
      <c r="BE59" s="282"/>
      <c r="BF59" s="282"/>
      <c r="BG59" s="282"/>
      <c r="BH59" s="282"/>
      <c r="BI59" s="282"/>
      <c r="BJ59" s="282"/>
      <c r="BK59" s="282"/>
      <c r="BL59" s="283"/>
      <c r="BM59" s="268"/>
      <c r="BN59" s="268"/>
    </row>
    <row r="60" spans="1:66" s="266" customFormat="1" ht="25.8" customHeight="1" x14ac:dyDescent="0.45">
      <c r="A60" s="267"/>
      <c r="B60" s="267"/>
      <c r="C60" s="271">
        <f t="shared" si="0"/>
        <v>51</v>
      </c>
      <c r="D60" s="272"/>
      <c r="E60" s="273"/>
      <c r="F60" s="273"/>
      <c r="G60" s="274"/>
      <c r="L60" s="275" t="s">
        <v>151</v>
      </c>
      <c r="M60" s="276"/>
      <c r="N60" s="276"/>
      <c r="O60" s="292"/>
      <c r="P60" s="210" t="s">
        <v>152</v>
      </c>
      <c r="Q60" s="276"/>
      <c r="R60" s="276"/>
      <c r="S60" s="276"/>
      <c r="T60" s="276"/>
      <c r="U60" s="276"/>
      <c r="V60" s="276"/>
      <c r="W60" s="292"/>
      <c r="X60" s="337" t="s">
        <v>153</v>
      </c>
      <c r="Y60" s="332"/>
      <c r="Z60" s="332"/>
      <c r="AA60" s="332"/>
      <c r="AB60" s="332"/>
      <c r="AC60" s="332"/>
      <c r="AD60" s="332"/>
      <c r="AE60" s="338"/>
      <c r="AF60" s="275"/>
      <c r="AG60" s="276"/>
      <c r="AH60" s="276"/>
      <c r="AI60" s="276"/>
      <c r="AJ60" s="276"/>
      <c r="AK60" s="276"/>
      <c r="AL60" s="276"/>
      <c r="AM60" s="276"/>
      <c r="AN60" s="284"/>
      <c r="AO60" s="328">
        <v>45681</v>
      </c>
      <c r="AP60" s="329"/>
      <c r="AQ60" s="327" t="s">
        <v>186</v>
      </c>
      <c r="AR60" s="323"/>
      <c r="AS60" s="327" t="s">
        <v>187</v>
      </c>
      <c r="AT60" s="330"/>
      <c r="AU60" s="285"/>
      <c r="AV60" s="286"/>
      <c r="AW60" s="269"/>
      <c r="AX60" s="270"/>
      <c r="AY60" s="269"/>
      <c r="AZ60" s="280"/>
      <c r="BA60" s="281"/>
      <c r="BB60" s="282"/>
      <c r="BC60" s="282"/>
      <c r="BD60" s="282"/>
      <c r="BE60" s="282"/>
      <c r="BF60" s="282"/>
      <c r="BG60" s="282"/>
      <c r="BH60" s="282"/>
      <c r="BI60" s="282"/>
      <c r="BJ60" s="282"/>
      <c r="BK60" s="282"/>
      <c r="BL60" s="283"/>
      <c r="BM60" s="268"/>
      <c r="BN60" s="268"/>
    </row>
    <row r="61" spans="1:66" s="192" customFormat="1" ht="25.8" customHeight="1" x14ac:dyDescent="0.45">
      <c r="A61" s="193"/>
      <c r="B61" s="193"/>
      <c r="C61" s="271">
        <f t="shared" si="0"/>
        <v>52</v>
      </c>
      <c r="D61" s="206"/>
      <c r="E61" s="207"/>
      <c r="F61" s="207"/>
      <c r="G61" s="208"/>
      <c r="L61" s="215" t="s">
        <v>61</v>
      </c>
      <c r="M61" s="213"/>
      <c r="N61" s="213"/>
      <c r="O61" s="214"/>
      <c r="P61" s="210" t="s">
        <v>62</v>
      </c>
      <c r="Q61" s="201"/>
      <c r="R61" s="201"/>
      <c r="S61" s="201"/>
      <c r="T61" s="201"/>
      <c r="U61" s="201"/>
      <c r="V61" s="201"/>
      <c r="W61" s="209"/>
      <c r="X61" s="337" t="s">
        <v>63</v>
      </c>
      <c r="Y61" s="332"/>
      <c r="Z61" s="332"/>
      <c r="AA61" s="332"/>
      <c r="AB61" s="332"/>
      <c r="AC61" s="332"/>
      <c r="AD61" s="332"/>
      <c r="AE61" s="338"/>
      <c r="AF61" s="200"/>
      <c r="AG61" s="201"/>
      <c r="AH61" s="201"/>
      <c r="AI61" s="201"/>
      <c r="AJ61" s="201"/>
      <c r="AK61" s="201"/>
      <c r="AL61" s="201"/>
      <c r="AM61" s="201"/>
      <c r="AN61" s="202"/>
      <c r="AO61" s="328">
        <v>45681</v>
      </c>
      <c r="AP61" s="329"/>
      <c r="AQ61" s="327" t="s">
        <v>186</v>
      </c>
      <c r="AR61" s="323"/>
      <c r="AS61" s="327" t="s">
        <v>187</v>
      </c>
      <c r="AT61" s="330"/>
      <c r="AU61" s="203"/>
      <c r="AV61" s="204"/>
      <c r="AW61" s="195"/>
      <c r="AX61" s="196"/>
      <c r="AY61" s="195"/>
      <c r="AZ61" s="205"/>
      <c r="BA61" s="197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9"/>
      <c r="BM61" s="194"/>
      <c r="BN61" s="194"/>
    </row>
    <row r="62" spans="1:66" s="192" customFormat="1" ht="25.8" customHeight="1" thickBot="1" x14ac:dyDescent="0.5">
      <c r="A62" s="193"/>
      <c r="B62" s="193"/>
      <c r="C62" s="271">
        <f t="shared" si="0"/>
        <v>53</v>
      </c>
      <c r="D62" s="206"/>
      <c r="E62" s="207"/>
      <c r="F62" s="207"/>
      <c r="G62" s="208"/>
      <c r="H62" s="173"/>
      <c r="I62" s="174"/>
      <c r="J62" s="174"/>
      <c r="K62" s="174"/>
      <c r="L62" s="200" t="s">
        <v>33</v>
      </c>
      <c r="M62" s="62"/>
      <c r="N62" s="62"/>
      <c r="O62" s="63"/>
      <c r="P62" s="64" t="s">
        <v>57</v>
      </c>
      <c r="Q62" s="62"/>
      <c r="R62" s="62"/>
      <c r="S62" s="62"/>
      <c r="T62" s="62"/>
      <c r="U62" s="62"/>
      <c r="V62" s="62"/>
      <c r="W62" s="63"/>
      <c r="X62" s="64" t="s">
        <v>47</v>
      </c>
      <c r="Y62" s="62"/>
      <c r="Z62" s="62"/>
      <c r="AA62" s="62"/>
      <c r="AB62" s="62"/>
      <c r="AC62" s="62"/>
      <c r="AD62" s="62"/>
      <c r="AE62" s="63"/>
      <c r="AF62" s="200"/>
      <c r="AG62" s="201"/>
      <c r="AH62" s="201"/>
      <c r="AI62" s="201"/>
      <c r="AJ62" s="201"/>
      <c r="AK62" s="201"/>
      <c r="AL62" s="201"/>
      <c r="AM62" s="201"/>
      <c r="AN62" s="202"/>
      <c r="AO62" s="328">
        <v>45681</v>
      </c>
      <c r="AP62" s="329"/>
      <c r="AQ62" s="327" t="s">
        <v>186</v>
      </c>
      <c r="AR62" s="323"/>
      <c r="AS62" s="327" t="s">
        <v>187</v>
      </c>
      <c r="AT62" s="330"/>
      <c r="AU62" s="203"/>
      <c r="AV62" s="204"/>
      <c r="AW62" s="195"/>
      <c r="AX62" s="196"/>
      <c r="AY62" s="195"/>
      <c r="AZ62" s="205"/>
      <c r="BA62" s="197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9"/>
      <c r="BM62" s="194"/>
      <c r="BN62" s="194"/>
    </row>
    <row r="63" spans="1:66" ht="20.100000000000001" customHeight="1" thickTop="1" thickBot="1" x14ac:dyDescent="0.5">
      <c r="A63" s="10"/>
      <c r="B63" s="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8"/>
      <c r="BN63" s="16"/>
    </row>
    <row r="64" spans="1:66" ht="5.0999999999999996" customHeight="1" thickTop="1" x14ac:dyDescent="0.4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</row>
    <row r="65" spans="4:61" ht="20.100000000000001" customHeight="1" x14ac:dyDescent="0.45"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</sheetData>
  <mergeCells count="329">
    <mergeCell ref="AY43:AZ43"/>
    <mergeCell ref="AU46:AV46"/>
    <mergeCell ref="AW46:AX46"/>
    <mergeCell ref="AY46:AZ46"/>
    <mergeCell ref="X59:AE59"/>
    <mergeCell ref="X60:AE60"/>
    <mergeCell ref="X54:AE54"/>
    <mergeCell ref="P55:W55"/>
    <mergeCell ref="X55:AE55"/>
    <mergeCell ref="X51:AE51"/>
    <mergeCell ref="P52:W52"/>
    <mergeCell ref="X52:AE52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L56:O56"/>
    <mergeCell ref="P56:W56"/>
    <mergeCell ref="X56:AE56"/>
    <mergeCell ref="X57:AE57"/>
    <mergeCell ref="P58:W58"/>
    <mergeCell ref="X58:AE58"/>
    <mergeCell ref="L54:O54"/>
    <mergeCell ref="L59:O59"/>
    <mergeCell ref="P59:W59"/>
    <mergeCell ref="L53:O53"/>
    <mergeCell ref="P53:W53"/>
    <mergeCell ref="X53:AE53"/>
    <mergeCell ref="P19:W19"/>
    <mergeCell ref="X19:AE19"/>
    <mergeCell ref="L51:O51"/>
    <mergeCell ref="X29:AE29"/>
    <mergeCell ref="X39:AE39"/>
    <mergeCell ref="P28:W28"/>
    <mergeCell ref="X24:AE24"/>
    <mergeCell ref="X25:AE25"/>
    <mergeCell ref="X26:AE26"/>
    <mergeCell ref="X28:AE28"/>
    <mergeCell ref="X32:AE32"/>
    <mergeCell ref="X33:AE33"/>
    <mergeCell ref="X34:AE34"/>
    <mergeCell ref="X35:AE35"/>
    <mergeCell ref="X36:AE36"/>
    <mergeCell ref="X37:AE37"/>
    <mergeCell ref="X38:AE38"/>
    <mergeCell ref="L48:O49"/>
    <mergeCell ref="P49:W49"/>
    <mergeCell ref="X49:AE49"/>
    <mergeCell ref="X61:AE61"/>
    <mergeCell ref="X45:AE45"/>
    <mergeCell ref="P47:W47"/>
    <mergeCell ref="X47:AE47"/>
    <mergeCell ref="P46:W46"/>
    <mergeCell ref="X46:AE46"/>
    <mergeCell ref="X11:AE11"/>
    <mergeCell ref="P12:W12"/>
    <mergeCell ref="P13:W13"/>
    <mergeCell ref="P14:W14"/>
    <mergeCell ref="P15:W15"/>
    <mergeCell ref="P16:W16"/>
    <mergeCell ref="P17:W17"/>
    <mergeCell ref="P18:W18"/>
    <mergeCell ref="P20:W20"/>
    <mergeCell ref="P21:W21"/>
    <mergeCell ref="P22:W22"/>
    <mergeCell ref="P23:W23"/>
    <mergeCell ref="P24:W24"/>
    <mergeCell ref="P25:W25"/>
    <mergeCell ref="P26:W26"/>
    <mergeCell ref="P27:W27"/>
    <mergeCell ref="P29:W29"/>
    <mergeCell ref="X27:AE27"/>
    <mergeCell ref="AU41:AV41"/>
    <mergeCell ref="AY41:AZ41"/>
    <mergeCell ref="BA41:BL41"/>
    <mergeCell ref="P45:W45"/>
    <mergeCell ref="AF41:AN41"/>
    <mergeCell ref="AO41:AP41"/>
    <mergeCell ref="AQ41:AR41"/>
    <mergeCell ref="AW41:AX41"/>
    <mergeCell ref="P44:W44"/>
    <mergeCell ref="X44:AE44"/>
    <mergeCell ref="P41:W41"/>
    <mergeCell ref="X42:AE42"/>
    <mergeCell ref="P43:W43"/>
    <mergeCell ref="X43:AE43"/>
    <mergeCell ref="X41:AE41"/>
    <mergeCell ref="AO44:AP44"/>
    <mergeCell ref="AQ44:AR44"/>
    <mergeCell ref="AS44:AT44"/>
    <mergeCell ref="BA43:BL43"/>
    <mergeCell ref="AO45:AP45"/>
    <mergeCell ref="AQ45:AR45"/>
    <mergeCell ref="AS45:AT45"/>
    <mergeCell ref="AU43:AV43"/>
    <mergeCell ref="AW43:AX43"/>
    <mergeCell ref="X14:AE14"/>
    <mergeCell ref="X15:AE15"/>
    <mergeCell ref="X17:AE17"/>
    <mergeCell ref="X20:AE20"/>
    <mergeCell ref="X21:AE21"/>
    <mergeCell ref="X22:AE22"/>
    <mergeCell ref="X23:AE23"/>
    <mergeCell ref="X16:AE16"/>
    <mergeCell ref="X18:AE18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L41:O41"/>
    <mergeCell ref="L11:O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K3:AW4"/>
    <mergeCell ref="AK2:AW2"/>
    <mergeCell ref="P40:W40"/>
    <mergeCell ref="P10:W10"/>
    <mergeCell ref="X10:AE10"/>
    <mergeCell ref="P11:W11"/>
    <mergeCell ref="P30:W30"/>
    <mergeCell ref="P31:W31"/>
    <mergeCell ref="P32:W32"/>
    <mergeCell ref="P33:W33"/>
    <mergeCell ref="P34:W34"/>
    <mergeCell ref="P35:W35"/>
    <mergeCell ref="P36:W36"/>
    <mergeCell ref="P37:W37"/>
    <mergeCell ref="P38:W38"/>
    <mergeCell ref="X30:AE30"/>
    <mergeCell ref="X31:AE31"/>
    <mergeCell ref="R3:W4"/>
    <mergeCell ref="X3:AJ4"/>
    <mergeCell ref="AO11:AP11"/>
    <mergeCell ref="X12:AE12"/>
    <mergeCell ref="X13:AE13"/>
    <mergeCell ref="AO16:AP16"/>
    <mergeCell ref="AQ16:AR16"/>
    <mergeCell ref="B2:G2"/>
    <mergeCell ref="H2:K2"/>
    <mergeCell ref="L2:Q2"/>
    <mergeCell ref="R2:W2"/>
    <mergeCell ref="X2:AJ2"/>
    <mergeCell ref="L50:O50"/>
    <mergeCell ref="P50:W50"/>
    <mergeCell ref="X50:AE50"/>
    <mergeCell ref="B3:G4"/>
    <mergeCell ref="H3:K4"/>
    <mergeCell ref="L3:Q4"/>
    <mergeCell ref="D10:G10"/>
    <mergeCell ref="D41:G41"/>
    <mergeCell ref="L10:O10"/>
    <mergeCell ref="P39:W39"/>
    <mergeCell ref="L45:O46"/>
    <mergeCell ref="L44:O44"/>
    <mergeCell ref="L47:O47"/>
    <mergeCell ref="H42:K42"/>
    <mergeCell ref="H10:K10"/>
    <mergeCell ref="H41:K41"/>
    <mergeCell ref="L40:O40"/>
    <mergeCell ref="P48:W48"/>
    <mergeCell ref="X48:AE48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2:AP42"/>
    <mergeCell ref="AQ42:AR42"/>
    <mergeCell ref="AS42:AT42"/>
    <mergeCell ref="AO43:AP43"/>
    <mergeCell ref="AQ43:AR43"/>
    <mergeCell ref="AS43:AT43"/>
    <mergeCell ref="AS41:AT41"/>
    <mergeCell ref="AO50:AP50"/>
    <mergeCell ref="AQ50:AR50"/>
    <mergeCell ref="AS50:AT50"/>
    <mergeCell ref="AO46:AP46"/>
    <mergeCell ref="AQ46:AR46"/>
    <mergeCell ref="AS46:AT46"/>
    <mergeCell ref="BA46:BL46"/>
    <mergeCell ref="AO51:AP51"/>
    <mergeCell ref="AQ51:AR51"/>
    <mergeCell ref="AS51:AT51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56:AP56"/>
    <mergeCell ref="AQ56:AR56"/>
    <mergeCell ref="AS56:AT56"/>
    <mergeCell ref="AO57:AP57"/>
    <mergeCell ref="AQ57:AR57"/>
    <mergeCell ref="AS57:AT57"/>
    <mergeCell ref="AO61:AP61"/>
    <mergeCell ref="AQ61:AR61"/>
    <mergeCell ref="AS61:AT61"/>
    <mergeCell ref="AO62:AP62"/>
    <mergeCell ref="AQ62:AR62"/>
    <mergeCell ref="AS62:AT62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</mergeCells>
  <phoneticPr fontId="2"/>
  <conditionalFormatting sqref="AS10 AY10:AY42 AY44:AY45 AY47:AY62">
    <cfRule type="cellIs" dxfId="177" priority="117" operator="equal">
      <formula>"OK"</formula>
    </cfRule>
    <cfRule type="cellIs" dxfId="176" priority="118" operator="equal">
      <formula>"NG"</formula>
    </cfRule>
  </conditionalFormatting>
  <conditionalFormatting sqref="AS11">
    <cfRule type="cellIs" dxfId="175" priority="111" operator="equal">
      <formula>"OK"</formula>
    </cfRule>
    <cfRule type="cellIs" dxfId="174" priority="112" operator="equal">
      <formula>"NG"</formula>
    </cfRule>
  </conditionalFormatting>
  <conditionalFormatting sqref="AS12">
    <cfRule type="cellIs" dxfId="173" priority="109" operator="equal">
      <formula>"OK"</formula>
    </cfRule>
    <cfRule type="cellIs" dxfId="172" priority="110" operator="equal">
      <formula>"NG"</formula>
    </cfRule>
  </conditionalFormatting>
  <conditionalFormatting sqref="AS13">
    <cfRule type="cellIs" dxfId="171" priority="107" operator="equal">
      <formula>"OK"</formula>
    </cfRule>
    <cfRule type="cellIs" dxfId="170" priority="108" operator="equal">
      <formula>"NG"</formula>
    </cfRule>
  </conditionalFormatting>
  <conditionalFormatting sqref="AS14">
    <cfRule type="cellIs" dxfId="169" priority="103" operator="equal">
      <formula>"OK"</formula>
    </cfRule>
    <cfRule type="cellIs" dxfId="168" priority="104" operator="equal">
      <formula>"NG"</formula>
    </cfRule>
  </conditionalFormatting>
  <conditionalFormatting sqref="AS15">
    <cfRule type="cellIs" dxfId="167" priority="101" operator="equal">
      <formula>"OK"</formula>
    </cfRule>
    <cfRule type="cellIs" dxfId="166" priority="102" operator="equal">
      <formula>"NG"</formula>
    </cfRule>
  </conditionalFormatting>
  <conditionalFormatting sqref="AS16">
    <cfRule type="cellIs" dxfId="165" priority="99" operator="equal">
      <formula>"OK"</formula>
    </cfRule>
    <cfRule type="cellIs" dxfId="164" priority="100" operator="equal">
      <formula>"NG"</formula>
    </cfRule>
  </conditionalFormatting>
  <conditionalFormatting sqref="AS17">
    <cfRule type="cellIs" dxfId="163" priority="97" operator="equal">
      <formula>"OK"</formula>
    </cfRule>
    <cfRule type="cellIs" dxfId="162" priority="98" operator="equal">
      <formula>"NG"</formula>
    </cfRule>
  </conditionalFormatting>
  <conditionalFormatting sqref="AS18">
    <cfRule type="cellIs" dxfId="161" priority="95" operator="equal">
      <formula>"OK"</formula>
    </cfRule>
    <cfRule type="cellIs" dxfId="160" priority="96" operator="equal">
      <formula>"NG"</formula>
    </cfRule>
  </conditionalFormatting>
  <conditionalFormatting sqref="AS19">
    <cfRule type="cellIs" dxfId="159" priority="93" operator="equal">
      <formula>"OK"</formula>
    </cfRule>
    <cfRule type="cellIs" dxfId="158" priority="94" operator="equal">
      <formula>"NG"</formula>
    </cfRule>
  </conditionalFormatting>
  <conditionalFormatting sqref="AS20">
    <cfRule type="cellIs" dxfId="157" priority="91" operator="equal">
      <formula>"OK"</formula>
    </cfRule>
    <cfRule type="cellIs" dxfId="156" priority="92" operator="equal">
      <formula>"NG"</formula>
    </cfRule>
  </conditionalFormatting>
  <conditionalFormatting sqref="AS21">
    <cfRule type="cellIs" dxfId="155" priority="89" operator="equal">
      <formula>"OK"</formula>
    </cfRule>
    <cfRule type="cellIs" dxfId="154" priority="90" operator="equal">
      <formula>"NG"</formula>
    </cfRule>
  </conditionalFormatting>
  <conditionalFormatting sqref="AS22">
    <cfRule type="cellIs" dxfId="153" priority="87" operator="equal">
      <formula>"OK"</formula>
    </cfRule>
    <cfRule type="cellIs" dxfId="152" priority="88" operator="equal">
      <formula>"NG"</formula>
    </cfRule>
  </conditionalFormatting>
  <conditionalFormatting sqref="AS23">
    <cfRule type="cellIs" dxfId="151" priority="85" operator="equal">
      <formula>"OK"</formula>
    </cfRule>
    <cfRule type="cellIs" dxfId="150" priority="86" operator="equal">
      <formula>"NG"</formula>
    </cfRule>
  </conditionalFormatting>
  <conditionalFormatting sqref="AS24">
    <cfRule type="cellIs" dxfId="149" priority="83" operator="equal">
      <formula>"OK"</formula>
    </cfRule>
    <cfRule type="cellIs" dxfId="148" priority="84" operator="equal">
      <formula>"NG"</formula>
    </cfRule>
  </conditionalFormatting>
  <conditionalFormatting sqref="AS25">
    <cfRule type="cellIs" dxfId="147" priority="81" operator="equal">
      <formula>"OK"</formula>
    </cfRule>
    <cfRule type="cellIs" dxfId="146" priority="82" operator="equal">
      <formula>"NG"</formula>
    </cfRule>
  </conditionalFormatting>
  <conditionalFormatting sqref="AS26">
    <cfRule type="cellIs" dxfId="145" priority="79" operator="equal">
      <formula>"OK"</formula>
    </cfRule>
    <cfRule type="cellIs" dxfId="144" priority="80" operator="equal">
      <formula>"NG"</formula>
    </cfRule>
  </conditionalFormatting>
  <conditionalFormatting sqref="AS27">
    <cfRule type="cellIs" dxfId="143" priority="77" operator="equal">
      <formula>"OK"</formula>
    </cfRule>
    <cfRule type="cellIs" dxfId="142" priority="78" operator="equal">
      <formula>"NG"</formula>
    </cfRule>
  </conditionalFormatting>
  <conditionalFormatting sqref="AS28">
    <cfRule type="cellIs" dxfId="141" priority="75" operator="equal">
      <formula>"OK"</formula>
    </cfRule>
    <cfRule type="cellIs" dxfId="140" priority="76" operator="equal">
      <formula>"NG"</formula>
    </cfRule>
  </conditionalFormatting>
  <conditionalFormatting sqref="AS29">
    <cfRule type="cellIs" dxfId="139" priority="73" operator="equal">
      <formula>"OK"</formula>
    </cfRule>
    <cfRule type="cellIs" dxfId="138" priority="74" operator="equal">
      <formula>"NG"</formula>
    </cfRule>
  </conditionalFormatting>
  <conditionalFormatting sqref="AS30">
    <cfRule type="cellIs" dxfId="137" priority="71" operator="equal">
      <formula>"OK"</formula>
    </cfRule>
    <cfRule type="cellIs" dxfId="136" priority="72" operator="equal">
      <formula>"NG"</formula>
    </cfRule>
  </conditionalFormatting>
  <conditionalFormatting sqref="AS31">
    <cfRule type="cellIs" dxfId="135" priority="69" operator="equal">
      <formula>"OK"</formula>
    </cfRule>
    <cfRule type="cellIs" dxfId="134" priority="70" operator="equal">
      <formula>"NG"</formula>
    </cfRule>
  </conditionalFormatting>
  <conditionalFormatting sqref="AS32">
    <cfRule type="cellIs" dxfId="133" priority="67" operator="equal">
      <formula>"OK"</formula>
    </cfRule>
    <cfRule type="cellIs" dxfId="132" priority="68" operator="equal">
      <formula>"NG"</formula>
    </cfRule>
  </conditionalFormatting>
  <conditionalFormatting sqref="AS33">
    <cfRule type="cellIs" dxfId="131" priority="65" operator="equal">
      <formula>"OK"</formula>
    </cfRule>
    <cfRule type="cellIs" dxfId="130" priority="66" operator="equal">
      <formula>"NG"</formula>
    </cfRule>
  </conditionalFormatting>
  <conditionalFormatting sqref="AS34">
    <cfRule type="cellIs" dxfId="129" priority="63" operator="equal">
      <formula>"OK"</formula>
    </cfRule>
    <cfRule type="cellIs" dxfId="128" priority="64" operator="equal">
      <formula>"NG"</formula>
    </cfRule>
  </conditionalFormatting>
  <conditionalFormatting sqref="AS35">
    <cfRule type="cellIs" dxfId="127" priority="61" operator="equal">
      <formula>"OK"</formula>
    </cfRule>
    <cfRule type="cellIs" dxfId="126" priority="62" operator="equal">
      <formula>"NG"</formula>
    </cfRule>
  </conditionalFormatting>
  <conditionalFormatting sqref="AS36">
    <cfRule type="cellIs" dxfId="125" priority="59" operator="equal">
      <formula>"OK"</formula>
    </cfRule>
    <cfRule type="cellIs" dxfId="124" priority="60" operator="equal">
      <formula>"NG"</formula>
    </cfRule>
  </conditionalFormatting>
  <conditionalFormatting sqref="AS37">
    <cfRule type="cellIs" dxfId="123" priority="57" operator="equal">
      <formula>"OK"</formula>
    </cfRule>
    <cfRule type="cellIs" dxfId="122" priority="58" operator="equal">
      <formula>"NG"</formula>
    </cfRule>
  </conditionalFormatting>
  <conditionalFormatting sqref="AS38">
    <cfRule type="cellIs" dxfId="121" priority="55" operator="equal">
      <formula>"OK"</formula>
    </cfRule>
    <cfRule type="cellIs" dxfId="120" priority="56" operator="equal">
      <formula>"NG"</formula>
    </cfRule>
  </conditionalFormatting>
  <conditionalFormatting sqref="AS39">
    <cfRule type="cellIs" dxfId="119" priority="53" operator="equal">
      <formula>"OK"</formula>
    </cfRule>
    <cfRule type="cellIs" dxfId="118" priority="54" operator="equal">
      <formula>"NG"</formula>
    </cfRule>
  </conditionalFormatting>
  <conditionalFormatting sqref="AS40">
    <cfRule type="cellIs" dxfId="117" priority="51" operator="equal">
      <formula>"OK"</formula>
    </cfRule>
    <cfRule type="cellIs" dxfId="116" priority="52" operator="equal">
      <formula>"NG"</formula>
    </cfRule>
  </conditionalFormatting>
  <conditionalFormatting sqref="AS41">
    <cfRule type="cellIs" dxfId="115" priority="49" operator="equal">
      <formula>"OK"</formula>
    </cfRule>
    <cfRule type="cellIs" dxfId="114" priority="50" operator="equal">
      <formula>"NG"</formula>
    </cfRule>
  </conditionalFormatting>
  <conditionalFormatting sqref="AS42">
    <cfRule type="cellIs" dxfId="113" priority="47" operator="equal">
      <formula>"OK"</formula>
    </cfRule>
    <cfRule type="cellIs" dxfId="112" priority="48" operator="equal">
      <formula>"NG"</formula>
    </cfRule>
  </conditionalFormatting>
  <conditionalFormatting sqref="AS43">
    <cfRule type="cellIs" dxfId="111" priority="45" operator="equal">
      <formula>"OK"</formula>
    </cfRule>
    <cfRule type="cellIs" dxfId="110" priority="46" operator="equal">
      <formula>"NG"</formula>
    </cfRule>
  </conditionalFormatting>
  <conditionalFormatting sqref="AS44">
    <cfRule type="cellIs" dxfId="109" priority="43" operator="equal">
      <formula>"OK"</formula>
    </cfRule>
    <cfRule type="cellIs" dxfId="108" priority="44" operator="equal">
      <formula>"NG"</formula>
    </cfRule>
  </conditionalFormatting>
  <conditionalFormatting sqref="AS45">
    <cfRule type="cellIs" dxfId="107" priority="41" operator="equal">
      <formula>"OK"</formula>
    </cfRule>
    <cfRule type="cellIs" dxfId="106" priority="42" operator="equal">
      <formula>"NG"</formula>
    </cfRule>
  </conditionalFormatting>
  <conditionalFormatting sqref="AS47">
    <cfRule type="cellIs" dxfId="105" priority="39" operator="equal">
      <formula>"OK"</formula>
    </cfRule>
    <cfRule type="cellIs" dxfId="104" priority="40" operator="equal">
      <formula>"NG"</formula>
    </cfRule>
  </conditionalFormatting>
  <conditionalFormatting sqref="AS48">
    <cfRule type="cellIs" dxfId="103" priority="37" operator="equal">
      <formula>"OK"</formula>
    </cfRule>
    <cfRule type="cellIs" dxfId="102" priority="38" operator="equal">
      <formula>"NG"</formula>
    </cfRule>
  </conditionalFormatting>
  <conditionalFormatting sqref="AS49">
    <cfRule type="cellIs" dxfId="101" priority="35" operator="equal">
      <formula>"OK"</formula>
    </cfRule>
    <cfRule type="cellIs" dxfId="100" priority="36" operator="equal">
      <formula>"NG"</formula>
    </cfRule>
  </conditionalFormatting>
  <conditionalFormatting sqref="AS50">
    <cfRule type="cellIs" dxfId="99" priority="33" operator="equal">
      <formula>"OK"</formula>
    </cfRule>
    <cfRule type="cellIs" dxfId="98" priority="34" operator="equal">
      <formula>"NG"</formula>
    </cfRule>
  </conditionalFormatting>
  <conditionalFormatting sqref="AS46">
    <cfRule type="cellIs" dxfId="97" priority="31" operator="equal">
      <formula>"OK"</formula>
    </cfRule>
    <cfRule type="cellIs" dxfId="96" priority="32" operator="equal">
      <formula>"NG"</formula>
    </cfRule>
  </conditionalFormatting>
  <conditionalFormatting sqref="AS51">
    <cfRule type="cellIs" dxfId="95" priority="29" operator="equal">
      <formula>"OK"</formula>
    </cfRule>
    <cfRule type="cellIs" dxfId="94" priority="30" operator="equal">
      <formula>"NG"</formula>
    </cfRule>
  </conditionalFormatting>
  <conditionalFormatting sqref="AS52">
    <cfRule type="cellIs" dxfId="93" priority="27" operator="equal">
      <formula>"OK"</formula>
    </cfRule>
    <cfRule type="cellIs" dxfId="92" priority="28" operator="equal">
      <formula>"NG"</formula>
    </cfRule>
  </conditionalFormatting>
  <conditionalFormatting sqref="AS53">
    <cfRule type="cellIs" dxfId="91" priority="25" operator="equal">
      <formula>"OK"</formula>
    </cfRule>
    <cfRule type="cellIs" dxfId="90" priority="26" operator="equal">
      <formula>"NG"</formula>
    </cfRule>
  </conditionalFormatting>
  <conditionalFormatting sqref="AS54">
    <cfRule type="cellIs" dxfId="89" priority="23" operator="equal">
      <formula>"OK"</formula>
    </cfRule>
    <cfRule type="cellIs" dxfId="88" priority="24" operator="equal">
      <formula>"NG"</formula>
    </cfRule>
  </conditionalFormatting>
  <conditionalFormatting sqref="AS55">
    <cfRule type="cellIs" dxfId="87" priority="21" operator="equal">
      <formula>"OK"</formula>
    </cfRule>
    <cfRule type="cellIs" dxfId="86" priority="22" operator="equal">
      <formula>"NG"</formula>
    </cfRule>
  </conditionalFormatting>
  <conditionalFormatting sqref="AS56">
    <cfRule type="cellIs" dxfId="85" priority="19" operator="equal">
      <formula>"OK"</formula>
    </cfRule>
    <cfRule type="cellIs" dxfId="84" priority="20" operator="equal">
      <formula>"NG"</formula>
    </cfRule>
  </conditionalFormatting>
  <conditionalFormatting sqref="AS57">
    <cfRule type="cellIs" dxfId="83" priority="17" operator="equal">
      <formula>"OK"</formula>
    </cfRule>
    <cfRule type="cellIs" dxfId="82" priority="18" operator="equal">
      <formula>"NG"</formula>
    </cfRule>
  </conditionalFormatting>
  <conditionalFormatting sqref="AS58">
    <cfRule type="cellIs" dxfId="81" priority="15" operator="equal">
      <formula>"OK"</formula>
    </cfRule>
    <cfRule type="cellIs" dxfId="80" priority="16" operator="equal">
      <formula>"NG"</formula>
    </cfRule>
  </conditionalFormatting>
  <conditionalFormatting sqref="AS59">
    <cfRule type="cellIs" dxfId="79" priority="13" operator="equal">
      <formula>"OK"</formula>
    </cfRule>
    <cfRule type="cellIs" dxfId="78" priority="14" operator="equal">
      <formula>"NG"</formula>
    </cfRule>
  </conditionalFormatting>
  <conditionalFormatting sqref="AS60">
    <cfRule type="cellIs" dxfId="77" priority="11" operator="equal">
      <formula>"OK"</formula>
    </cfRule>
    <cfRule type="cellIs" dxfId="76" priority="12" operator="equal">
      <formula>"NG"</formula>
    </cfRule>
  </conditionalFormatting>
  <conditionalFormatting sqref="AS61">
    <cfRule type="cellIs" dxfId="75" priority="9" operator="equal">
      <formula>"OK"</formula>
    </cfRule>
    <cfRule type="cellIs" dxfId="74" priority="10" operator="equal">
      <formula>"NG"</formula>
    </cfRule>
  </conditionalFormatting>
  <conditionalFormatting sqref="AS62">
    <cfRule type="cellIs" dxfId="73" priority="7" operator="equal">
      <formula>"OK"</formula>
    </cfRule>
    <cfRule type="cellIs" dxfId="72" priority="8" operator="equal">
      <formula>"NG"</formula>
    </cfRule>
  </conditionalFormatting>
  <conditionalFormatting sqref="AY43">
    <cfRule type="cellIs" dxfId="71" priority="5" operator="equal">
      <formula>"OK"</formula>
    </cfRule>
    <cfRule type="cellIs" dxfId="70" priority="6" operator="equal">
      <formula>"NG"</formula>
    </cfRule>
  </conditionalFormatting>
  <conditionalFormatting sqref="AY46">
    <cfRule type="cellIs" dxfId="69" priority="1" operator="equal">
      <formula>"OK"</formula>
    </cfRule>
    <cfRule type="cellIs" dxfId="68" priority="2" operator="equal">
      <formula>"NG"</formula>
    </cfRule>
  </conditionalFormatting>
  <dataValidations count="1">
    <dataValidation type="list" allowBlank="1" showInputMessage="1" showErrorMessage="1" sqref="AS10:AS62 AY10:AY6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5"/>
  <sheetViews>
    <sheetView showGridLines="0" view="pageBreakPreview" zoomScale="70" zoomScaleNormal="100" zoomScaleSheetLayoutView="7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67" customWidth="1"/>
    <col min="2" max="65" width="3.69921875" style="67" customWidth="1"/>
    <col min="66" max="66" width="1.09765625" style="67" customWidth="1"/>
    <col min="67" max="16384" width="3.59765625" style="67"/>
  </cols>
  <sheetData>
    <row r="1" spans="1:66" ht="5.25" customHeight="1" thickBot="1" x14ac:dyDescent="0.5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</row>
    <row r="2" spans="1:66" ht="20.100000000000001" customHeight="1" thickTop="1" x14ac:dyDescent="0.45">
      <c r="A2" s="69"/>
      <c r="B2" s="302" t="s">
        <v>0</v>
      </c>
      <c r="C2" s="303"/>
      <c r="D2" s="303"/>
      <c r="E2" s="303"/>
      <c r="F2" s="303"/>
      <c r="G2" s="303"/>
      <c r="H2" s="303" t="s">
        <v>40</v>
      </c>
      <c r="I2" s="303"/>
      <c r="J2" s="303"/>
      <c r="K2" s="303"/>
      <c r="L2" s="303" t="s">
        <v>41</v>
      </c>
      <c r="M2" s="303"/>
      <c r="N2" s="303"/>
      <c r="O2" s="303"/>
      <c r="P2" s="303"/>
      <c r="Q2" s="303"/>
      <c r="R2" s="303" t="s">
        <v>1</v>
      </c>
      <c r="S2" s="303"/>
      <c r="T2" s="303"/>
      <c r="U2" s="303"/>
      <c r="V2" s="303"/>
      <c r="W2" s="303"/>
      <c r="X2" s="304" t="s">
        <v>2</v>
      </c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6"/>
      <c r="AK2" s="304" t="s">
        <v>30</v>
      </c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6"/>
      <c r="AX2" s="303" t="s">
        <v>4</v>
      </c>
      <c r="AY2" s="303"/>
      <c r="AZ2" s="303"/>
      <c r="BA2" s="303"/>
      <c r="BB2" s="303" t="s">
        <v>3</v>
      </c>
      <c r="BC2" s="303"/>
      <c r="BD2" s="303"/>
      <c r="BE2" s="303"/>
      <c r="BF2" s="303" t="s">
        <v>5</v>
      </c>
      <c r="BG2" s="303"/>
      <c r="BH2" s="303"/>
      <c r="BI2" s="303"/>
      <c r="BJ2" s="303" t="s">
        <v>6</v>
      </c>
      <c r="BK2" s="303"/>
      <c r="BL2" s="303"/>
      <c r="BM2" s="317"/>
      <c r="BN2" s="72"/>
    </row>
    <row r="3" spans="1:66" ht="20.100000000000001" customHeight="1" x14ac:dyDescent="0.45">
      <c r="A3" s="69"/>
      <c r="B3" s="307" t="str">
        <f>変更履歴!B3</f>
        <v>受発注システム</v>
      </c>
      <c r="C3" s="308"/>
      <c r="D3" s="308"/>
      <c r="E3" s="308"/>
      <c r="F3" s="308"/>
      <c r="G3" s="308"/>
      <c r="H3" s="308" t="str">
        <f ca="1">変更履歴!H3</f>
        <v>見積発注</v>
      </c>
      <c r="I3" s="308"/>
      <c r="J3" s="308"/>
      <c r="K3" s="308"/>
      <c r="L3" s="308" t="str">
        <f>変更履歴!L3</f>
        <v>受発注</v>
      </c>
      <c r="M3" s="308"/>
      <c r="N3" s="308"/>
      <c r="O3" s="308"/>
      <c r="P3" s="308"/>
      <c r="Q3" s="308"/>
      <c r="R3" s="308" t="str">
        <f ca="1">変更履歴!R3</f>
        <v>結合試験項目</v>
      </c>
      <c r="S3" s="308"/>
      <c r="T3" s="308"/>
      <c r="U3" s="308"/>
      <c r="V3" s="308"/>
      <c r="W3" s="308"/>
      <c r="X3" s="312" t="str">
        <f ca="1">変更履歴!X3</f>
        <v>見積発注_経過確認票出力_結合試験項目</v>
      </c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09"/>
      <c r="AK3" s="312" t="str">
        <f ca="1">変更履歴!AK3</f>
        <v>経過確認票出力</v>
      </c>
      <c r="AL3" s="313"/>
      <c r="AM3" s="313"/>
      <c r="AN3" s="313"/>
      <c r="AO3" s="313"/>
      <c r="AP3" s="313"/>
      <c r="AQ3" s="313"/>
      <c r="AR3" s="313"/>
      <c r="AS3" s="313"/>
      <c r="AT3" s="313"/>
      <c r="AU3" s="313"/>
      <c r="AV3" s="313"/>
      <c r="AW3" s="309"/>
      <c r="AX3" s="319">
        <f>変更履歴!AX3</f>
        <v>45636</v>
      </c>
      <c r="AY3" s="319"/>
      <c r="AZ3" s="319"/>
      <c r="BA3" s="319"/>
      <c r="BB3" s="308" t="str">
        <f>変更履歴!BB3</f>
        <v>榎本</v>
      </c>
      <c r="BC3" s="308"/>
      <c r="BD3" s="308"/>
      <c r="BE3" s="308"/>
      <c r="BF3" s="319">
        <f>変更履歴!BF3</f>
        <v>45636</v>
      </c>
      <c r="BG3" s="319"/>
      <c r="BH3" s="319"/>
      <c r="BI3" s="319"/>
      <c r="BJ3" s="308" t="str">
        <f>変更履歴!BJ3</f>
        <v>榎本</v>
      </c>
      <c r="BK3" s="308"/>
      <c r="BL3" s="308"/>
      <c r="BM3" s="320"/>
      <c r="BN3" s="72"/>
    </row>
    <row r="4" spans="1:66" ht="20.100000000000001" customHeight="1" thickBot="1" x14ac:dyDescent="0.5">
      <c r="A4" s="69"/>
      <c r="B4" s="309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4"/>
      <c r="Y4" s="315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6"/>
      <c r="AK4" s="314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6"/>
      <c r="AX4" s="363"/>
      <c r="AY4" s="363"/>
      <c r="AZ4" s="363"/>
      <c r="BA4" s="363"/>
      <c r="BB4" s="310"/>
      <c r="BC4" s="310"/>
      <c r="BD4" s="310"/>
      <c r="BE4" s="310"/>
      <c r="BF4" s="363"/>
      <c r="BG4" s="363"/>
      <c r="BH4" s="363"/>
      <c r="BI4" s="363"/>
      <c r="BJ4" s="310"/>
      <c r="BK4" s="310"/>
      <c r="BL4" s="310"/>
      <c r="BM4" s="312"/>
      <c r="BN4" s="72"/>
    </row>
    <row r="5" spans="1:66" ht="5.25" customHeight="1" thickTop="1" thickBot="1" x14ac:dyDescent="0.5"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</row>
    <row r="6" spans="1:66" ht="8.4" customHeight="1" thickTop="1" thickBot="1" x14ac:dyDescent="0.5">
      <c r="A6" s="69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72"/>
    </row>
    <row r="7" spans="1:66" ht="13.8" thickTop="1" thickBot="1" x14ac:dyDescent="0.5">
      <c r="A7" s="69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E7" s="364" t="s">
        <v>32</v>
      </c>
      <c r="BF7" s="365"/>
      <c r="BG7" s="368" t="s">
        <v>31</v>
      </c>
      <c r="BH7" s="368"/>
      <c r="BI7" s="369" t="s">
        <v>33</v>
      </c>
      <c r="BJ7" s="370"/>
      <c r="BK7" s="369" t="s">
        <v>34</v>
      </c>
      <c r="BL7" s="358"/>
      <c r="BM7" s="68"/>
      <c r="BN7" s="72"/>
    </row>
    <row r="8" spans="1:66" ht="13.8" thickTop="1" thickBot="1" x14ac:dyDescent="0.5">
      <c r="A8" s="69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L8" s="68"/>
      <c r="AM8" s="68"/>
      <c r="AO8" s="359" t="s">
        <v>35</v>
      </c>
      <c r="AP8" s="357"/>
      <c r="AQ8" s="357"/>
      <c r="AR8" s="357"/>
      <c r="AS8" s="357"/>
      <c r="AT8" s="358"/>
      <c r="AU8" s="359" t="s">
        <v>36</v>
      </c>
      <c r="AV8" s="357"/>
      <c r="AW8" s="357"/>
      <c r="AX8" s="357"/>
      <c r="AY8" s="357"/>
      <c r="AZ8" s="358"/>
      <c r="BE8" s="366"/>
      <c r="BF8" s="367"/>
      <c r="BG8" s="360">
        <f>COUNTA(C10:C42)</f>
        <v>33</v>
      </c>
      <c r="BH8" s="361"/>
      <c r="BI8" s="360">
        <f>COUNTIF(AS10:AT42,"OK")+COUNTIF(AY10:AZ42,"OK")</f>
        <v>33</v>
      </c>
      <c r="BJ8" s="361"/>
      <c r="BK8" s="360">
        <f>BG8-BI8</f>
        <v>0</v>
      </c>
      <c r="BL8" s="362"/>
      <c r="BM8" s="68"/>
      <c r="BN8" s="72"/>
    </row>
    <row r="9" spans="1:66" ht="20.100000000000001" customHeight="1" thickTop="1" x14ac:dyDescent="0.45">
      <c r="A9" s="69"/>
      <c r="B9" s="68"/>
      <c r="C9" s="74" t="s">
        <v>12</v>
      </c>
      <c r="D9" s="77" t="s">
        <v>21</v>
      </c>
      <c r="E9" s="78"/>
      <c r="F9" s="78"/>
      <c r="G9" s="78"/>
      <c r="H9" s="77" t="s">
        <v>22</v>
      </c>
      <c r="I9" s="78"/>
      <c r="J9" s="78"/>
      <c r="K9" s="79"/>
      <c r="L9" s="77" t="s">
        <v>23</v>
      </c>
      <c r="M9" s="78"/>
      <c r="N9" s="78"/>
      <c r="O9" s="78"/>
      <c r="P9" s="77" t="s">
        <v>37</v>
      </c>
      <c r="Q9" s="78"/>
      <c r="R9" s="78"/>
      <c r="S9" s="78"/>
      <c r="T9" s="78"/>
      <c r="U9" s="78"/>
      <c r="V9" s="78"/>
      <c r="W9" s="78"/>
      <c r="X9" s="77" t="s">
        <v>24</v>
      </c>
      <c r="Y9" s="78"/>
      <c r="Z9" s="78"/>
      <c r="AA9" s="78"/>
      <c r="AB9" s="78"/>
      <c r="AC9" s="78"/>
      <c r="AD9" s="78"/>
      <c r="AE9" s="78"/>
      <c r="AF9" s="77" t="s">
        <v>28</v>
      </c>
      <c r="AG9" s="78"/>
      <c r="AH9" s="78"/>
      <c r="AI9" s="78"/>
      <c r="AJ9" s="78"/>
      <c r="AK9" s="78"/>
      <c r="AL9" s="78"/>
      <c r="AM9" s="78"/>
      <c r="AN9" s="80"/>
      <c r="AO9" s="352" t="s">
        <v>25</v>
      </c>
      <c r="AP9" s="353"/>
      <c r="AQ9" s="354" t="s">
        <v>26</v>
      </c>
      <c r="AR9" s="353"/>
      <c r="AS9" s="354" t="s">
        <v>29</v>
      </c>
      <c r="AT9" s="355"/>
      <c r="AU9" s="352" t="s">
        <v>25</v>
      </c>
      <c r="AV9" s="353"/>
      <c r="AW9" s="354" t="s">
        <v>26</v>
      </c>
      <c r="AX9" s="353"/>
      <c r="AY9" s="354" t="s">
        <v>29</v>
      </c>
      <c r="AZ9" s="355"/>
      <c r="BA9" s="356" t="s">
        <v>27</v>
      </c>
      <c r="BB9" s="357"/>
      <c r="BC9" s="357"/>
      <c r="BD9" s="357"/>
      <c r="BE9" s="357"/>
      <c r="BF9" s="357"/>
      <c r="BG9" s="357"/>
      <c r="BH9" s="357"/>
      <c r="BI9" s="357"/>
      <c r="BJ9" s="357"/>
      <c r="BK9" s="357"/>
      <c r="BL9" s="358"/>
      <c r="BM9" s="72"/>
      <c r="BN9" s="72"/>
    </row>
    <row r="10" spans="1:66" s="192" customFormat="1" ht="27" customHeight="1" x14ac:dyDescent="0.45">
      <c r="A10" s="193"/>
      <c r="B10" s="193"/>
      <c r="C10" s="224">
        <f t="shared" ref="C10:C42" si="0">ROW()-9</f>
        <v>1</v>
      </c>
      <c r="D10" s="113" t="s">
        <v>185</v>
      </c>
      <c r="E10" s="67"/>
      <c r="F10" s="67"/>
      <c r="G10" s="93"/>
      <c r="H10" s="113" t="s">
        <v>53</v>
      </c>
      <c r="I10" s="67"/>
      <c r="J10" s="67"/>
      <c r="K10" s="93"/>
      <c r="L10" s="339" t="s">
        <v>165</v>
      </c>
      <c r="M10" s="340"/>
      <c r="N10" s="340"/>
      <c r="O10" s="341"/>
      <c r="P10" s="332" t="s">
        <v>166</v>
      </c>
      <c r="Q10" s="332"/>
      <c r="R10" s="332"/>
      <c r="S10" s="332"/>
      <c r="T10" s="332"/>
      <c r="U10" s="332"/>
      <c r="V10" s="332"/>
      <c r="W10" s="338"/>
      <c r="X10" s="337" t="s">
        <v>46</v>
      </c>
      <c r="Y10" s="332"/>
      <c r="Z10" s="332"/>
      <c r="AA10" s="332"/>
      <c r="AB10" s="332"/>
      <c r="AC10" s="332"/>
      <c r="AD10" s="332"/>
      <c r="AE10" s="338"/>
      <c r="AF10" s="216"/>
      <c r="AG10" s="212"/>
      <c r="AH10" s="212"/>
      <c r="AI10" s="212"/>
      <c r="AJ10" s="212"/>
      <c r="AK10" s="212"/>
      <c r="AL10" s="212"/>
      <c r="AM10" s="212"/>
      <c r="AN10" s="235"/>
      <c r="AO10" s="328">
        <v>45681</v>
      </c>
      <c r="AP10" s="329"/>
      <c r="AQ10" s="327" t="s">
        <v>186</v>
      </c>
      <c r="AR10" s="323"/>
      <c r="AS10" s="327" t="s">
        <v>187</v>
      </c>
      <c r="AT10" s="330"/>
      <c r="AU10" s="203"/>
      <c r="AV10" s="204"/>
      <c r="AW10" s="195"/>
      <c r="AX10" s="196"/>
      <c r="AY10" s="195"/>
      <c r="AZ10" s="205"/>
      <c r="BA10" s="197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9"/>
      <c r="BM10" s="194"/>
      <c r="BN10" s="194"/>
    </row>
    <row r="11" spans="1:66" s="266" customFormat="1" ht="27" customHeight="1" x14ac:dyDescent="0.45">
      <c r="A11" s="267"/>
      <c r="B11" s="267"/>
      <c r="C11" s="271">
        <f t="shared" si="0"/>
        <v>2</v>
      </c>
      <c r="G11" s="211"/>
      <c r="K11" s="211"/>
      <c r="L11" s="273"/>
      <c r="M11" s="273"/>
      <c r="N11" s="273"/>
      <c r="O11" s="274"/>
      <c r="P11" s="282" t="s">
        <v>167</v>
      </c>
      <c r="Q11" s="282"/>
      <c r="R11" s="276"/>
      <c r="S11" s="276"/>
      <c r="T11" s="276"/>
      <c r="U11" s="276"/>
      <c r="V11" s="276"/>
      <c r="W11" s="292"/>
      <c r="X11" s="337" t="s">
        <v>46</v>
      </c>
      <c r="Y11" s="332"/>
      <c r="Z11" s="332"/>
      <c r="AA11" s="332"/>
      <c r="AB11" s="332"/>
      <c r="AC11" s="332"/>
      <c r="AD11" s="332"/>
      <c r="AE11" s="338"/>
      <c r="AF11" s="289"/>
      <c r="AG11" s="290"/>
      <c r="AH11" s="290"/>
      <c r="AI11" s="290"/>
      <c r="AJ11" s="290"/>
      <c r="AK11" s="290"/>
      <c r="AL11" s="290"/>
      <c r="AM11" s="290"/>
      <c r="AN11" s="291"/>
      <c r="AO11" s="328">
        <v>45681</v>
      </c>
      <c r="AP11" s="329"/>
      <c r="AQ11" s="327" t="s">
        <v>186</v>
      </c>
      <c r="AR11" s="323"/>
      <c r="AS11" s="327" t="s">
        <v>187</v>
      </c>
      <c r="AT11" s="330"/>
      <c r="AU11" s="285"/>
      <c r="AV11" s="286"/>
      <c r="AW11" s="269"/>
      <c r="AX11" s="270"/>
      <c r="AY11" s="269"/>
      <c r="AZ11" s="280"/>
      <c r="BA11" s="281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3"/>
      <c r="BM11" s="268"/>
      <c r="BN11" s="268"/>
    </row>
    <row r="12" spans="1:66" s="266" customFormat="1" ht="27" customHeight="1" x14ac:dyDescent="0.45">
      <c r="A12" s="267"/>
      <c r="B12" s="267"/>
      <c r="C12" s="271">
        <f t="shared" si="0"/>
        <v>3</v>
      </c>
      <c r="G12" s="211"/>
      <c r="K12" s="211"/>
      <c r="L12" s="273"/>
      <c r="M12" s="273"/>
      <c r="N12" s="273"/>
      <c r="O12" s="274"/>
      <c r="P12" s="282" t="s">
        <v>168</v>
      </c>
      <c r="Q12" s="282"/>
      <c r="R12" s="276"/>
      <c r="S12" s="276"/>
      <c r="T12" s="276"/>
      <c r="U12" s="276"/>
      <c r="V12" s="276"/>
      <c r="W12" s="292"/>
      <c r="X12" s="337" t="s">
        <v>46</v>
      </c>
      <c r="Y12" s="332"/>
      <c r="Z12" s="332"/>
      <c r="AA12" s="332"/>
      <c r="AB12" s="332"/>
      <c r="AC12" s="332"/>
      <c r="AD12" s="332"/>
      <c r="AE12" s="338"/>
      <c r="AF12" s="289"/>
      <c r="AG12" s="290"/>
      <c r="AH12" s="290"/>
      <c r="AI12" s="290"/>
      <c r="AJ12" s="290"/>
      <c r="AK12" s="290"/>
      <c r="AL12" s="290"/>
      <c r="AM12" s="290"/>
      <c r="AN12" s="291"/>
      <c r="AO12" s="328">
        <v>45681</v>
      </c>
      <c r="AP12" s="329"/>
      <c r="AQ12" s="327" t="s">
        <v>186</v>
      </c>
      <c r="AR12" s="323"/>
      <c r="AS12" s="327" t="s">
        <v>187</v>
      </c>
      <c r="AT12" s="330"/>
      <c r="AU12" s="285"/>
      <c r="AV12" s="286"/>
      <c r="AW12" s="269"/>
      <c r="AX12" s="270"/>
      <c r="AY12" s="269"/>
      <c r="AZ12" s="280"/>
      <c r="BA12" s="281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3"/>
      <c r="BM12" s="268"/>
      <c r="BN12" s="268"/>
    </row>
    <row r="13" spans="1:66" s="266" customFormat="1" ht="27" customHeight="1" x14ac:dyDescent="0.45">
      <c r="A13" s="267"/>
      <c r="B13" s="267"/>
      <c r="C13" s="271">
        <f t="shared" si="0"/>
        <v>4</v>
      </c>
      <c r="G13" s="211"/>
      <c r="K13" s="211"/>
      <c r="L13" s="278"/>
      <c r="M13" s="278"/>
      <c r="N13" s="278"/>
      <c r="O13" s="279"/>
      <c r="P13" s="282" t="s">
        <v>169</v>
      </c>
      <c r="Q13" s="282"/>
      <c r="R13" s="276"/>
      <c r="S13" s="276"/>
      <c r="T13" s="276"/>
      <c r="U13" s="276"/>
      <c r="V13" s="276"/>
      <c r="W13" s="292"/>
      <c r="X13" s="337" t="s">
        <v>46</v>
      </c>
      <c r="Y13" s="332"/>
      <c r="Z13" s="332"/>
      <c r="AA13" s="332"/>
      <c r="AB13" s="332"/>
      <c r="AC13" s="332"/>
      <c r="AD13" s="332"/>
      <c r="AE13" s="338"/>
      <c r="AF13" s="289"/>
      <c r="AG13" s="290"/>
      <c r="AH13" s="290"/>
      <c r="AI13" s="290"/>
      <c r="AJ13" s="290"/>
      <c r="AK13" s="290"/>
      <c r="AL13" s="290"/>
      <c r="AM13" s="290"/>
      <c r="AN13" s="291"/>
      <c r="AO13" s="328">
        <v>45681</v>
      </c>
      <c r="AP13" s="329"/>
      <c r="AQ13" s="327" t="s">
        <v>186</v>
      </c>
      <c r="AR13" s="323"/>
      <c r="AS13" s="327" t="s">
        <v>187</v>
      </c>
      <c r="AT13" s="330"/>
      <c r="AU13" s="285"/>
      <c r="AV13" s="286"/>
      <c r="AW13" s="269"/>
      <c r="AX13" s="270"/>
      <c r="AY13" s="269"/>
      <c r="AZ13" s="280"/>
      <c r="BA13" s="281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3"/>
      <c r="BM13" s="268"/>
      <c r="BN13" s="268"/>
    </row>
    <row r="14" spans="1:66" s="266" customFormat="1" ht="27" customHeight="1" x14ac:dyDescent="0.45">
      <c r="A14" s="267"/>
      <c r="B14" s="267"/>
      <c r="C14" s="271">
        <f t="shared" si="0"/>
        <v>5</v>
      </c>
      <c r="G14" s="211"/>
      <c r="K14" s="211"/>
      <c r="L14" s="301" t="s">
        <v>170</v>
      </c>
      <c r="M14" s="293"/>
      <c r="N14" s="293"/>
      <c r="O14" s="294"/>
      <c r="P14" s="282" t="s">
        <v>171</v>
      </c>
      <c r="Q14" s="276"/>
      <c r="R14" s="276"/>
      <c r="S14" s="276"/>
      <c r="T14" s="276"/>
      <c r="U14" s="276"/>
      <c r="V14" s="276"/>
      <c r="W14" s="292"/>
      <c r="X14" s="337" t="s">
        <v>46</v>
      </c>
      <c r="Y14" s="332"/>
      <c r="Z14" s="332"/>
      <c r="AA14" s="332"/>
      <c r="AB14" s="332"/>
      <c r="AC14" s="332"/>
      <c r="AD14" s="332"/>
      <c r="AE14" s="338"/>
      <c r="AF14" s="289"/>
      <c r="AG14" s="290"/>
      <c r="AH14" s="290"/>
      <c r="AI14" s="290"/>
      <c r="AJ14" s="290"/>
      <c r="AK14" s="290"/>
      <c r="AL14" s="290"/>
      <c r="AM14" s="290"/>
      <c r="AN14" s="291"/>
      <c r="AO14" s="328">
        <v>45681</v>
      </c>
      <c r="AP14" s="329"/>
      <c r="AQ14" s="327" t="s">
        <v>186</v>
      </c>
      <c r="AR14" s="323"/>
      <c r="AS14" s="327" t="s">
        <v>187</v>
      </c>
      <c r="AT14" s="330"/>
      <c r="AU14" s="285"/>
      <c r="AV14" s="286"/>
      <c r="AW14" s="269"/>
      <c r="AX14" s="270"/>
      <c r="AY14" s="269"/>
      <c r="AZ14" s="280"/>
      <c r="BA14" s="281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3"/>
      <c r="BM14" s="268"/>
      <c r="BN14" s="268"/>
    </row>
    <row r="15" spans="1:66" s="192" customFormat="1" ht="27" customHeight="1" x14ac:dyDescent="0.45">
      <c r="A15" s="193"/>
      <c r="B15" s="193"/>
      <c r="C15" s="271">
        <f t="shared" si="0"/>
        <v>6</v>
      </c>
      <c r="D15" s="113"/>
      <c r="E15" s="113"/>
      <c r="F15" s="113"/>
      <c r="G15" s="66"/>
      <c r="H15" s="113"/>
      <c r="I15" s="113"/>
      <c r="J15" s="113"/>
      <c r="K15" s="211"/>
      <c r="L15" s="345"/>
      <c r="M15" s="346"/>
      <c r="N15" s="346"/>
      <c r="O15" s="347"/>
      <c r="P15" s="332" t="s">
        <v>172</v>
      </c>
      <c r="Q15" s="332"/>
      <c r="R15" s="332"/>
      <c r="S15" s="332"/>
      <c r="T15" s="332"/>
      <c r="U15" s="332"/>
      <c r="V15" s="332"/>
      <c r="W15" s="338"/>
      <c r="X15" s="337" t="s">
        <v>46</v>
      </c>
      <c r="Y15" s="332"/>
      <c r="Z15" s="332"/>
      <c r="AA15" s="332"/>
      <c r="AB15" s="332"/>
      <c r="AC15" s="332"/>
      <c r="AD15" s="332"/>
      <c r="AE15" s="338"/>
      <c r="AF15" s="216"/>
      <c r="AG15" s="212"/>
      <c r="AH15" s="212"/>
      <c r="AI15" s="212"/>
      <c r="AJ15" s="212"/>
      <c r="AK15" s="212"/>
      <c r="AL15" s="212"/>
      <c r="AM15" s="212"/>
      <c r="AN15" s="235"/>
      <c r="AO15" s="328">
        <v>45681</v>
      </c>
      <c r="AP15" s="329"/>
      <c r="AQ15" s="327" t="s">
        <v>186</v>
      </c>
      <c r="AR15" s="323"/>
      <c r="AS15" s="327" t="s">
        <v>187</v>
      </c>
      <c r="AT15" s="330"/>
      <c r="AU15" s="203"/>
      <c r="AV15" s="204"/>
      <c r="AW15" s="195"/>
      <c r="AX15" s="196"/>
      <c r="AY15" s="195"/>
      <c r="AZ15" s="205"/>
      <c r="BA15" s="197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9"/>
      <c r="BM15" s="194"/>
      <c r="BN15" s="194"/>
    </row>
    <row r="16" spans="1:66" s="266" customFormat="1" ht="27" customHeight="1" x14ac:dyDescent="0.45">
      <c r="A16" s="267"/>
      <c r="B16" s="267"/>
      <c r="C16" s="271">
        <f t="shared" si="0"/>
        <v>7</v>
      </c>
      <c r="G16" s="211"/>
      <c r="K16" s="211"/>
      <c r="L16" s="217" t="s">
        <v>173</v>
      </c>
      <c r="M16" s="273"/>
      <c r="N16" s="273"/>
      <c r="O16" s="274"/>
      <c r="P16" s="282" t="s">
        <v>174</v>
      </c>
      <c r="Q16" s="276"/>
      <c r="R16" s="276"/>
      <c r="S16" s="276"/>
      <c r="T16" s="276"/>
      <c r="U16" s="276"/>
      <c r="V16" s="276"/>
      <c r="W16" s="292"/>
      <c r="X16" s="337" t="s">
        <v>46</v>
      </c>
      <c r="Y16" s="332"/>
      <c r="Z16" s="332"/>
      <c r="AA16" s="332"/>
      <c r="AB16" s="332"/>
      <c r="AC16" s="332"/>
      <c r="AD16" s="332"/>
      <c r="AE16" s="338"/>
      <c r="AF16" s="289"/>
      <c r="AG16" s="290"/>
      <c r="AH16" s="290"/>
      <c r="AI16" s="290"/>
      <c r="AJ16" s="290"/>
      <c r="AK16" s="290"/>
      <c r="AL16" s="290"/>
      <c r="AM16" s="290"/>
      <c r="AN16" s="291"/>
      <c r="AO16" s="328">
        <v>45681</v>
      </c>
      <c r="AP16" s="329"/>
      <c r="AQ16" s="327" t="s">
        <v>186</v>
      </c>
      <c r="AR16" s="323"/>
      <c r="AS16" s="327" t="s">
        <v>187</v>
      </c>
      <c r="AT16" s="330"/>
      <c r="AU16" s="285"/>
      <c r="AV16" s="286"/>
      <c r="AW16" s="269"/>
      <c r="AX16" s="270"/>
      <c r="AY16" s="269"/>
      <c r="AZ16" s="280"/>
      <c r="BA16" s="281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3"/>
      <c r="BM16" s="268"/>
      <c r="BN16" s="268"/>
    </row>
    <row r="17" spans="1:66" s="266" customFormat="1" ht="27" customHeight="1" x14ac:dyDescent="0.45">
      <c r="A17" s="267"/>
      <c r="B17" s="267"/>
      <c r="C17" s="271">
        <f t="shared" si="0"/>
        <v>8</v>
      </c>
      <c r="G17" s="211"/>
      <c r="K17" s="211"/>
      <c r="L17" s="273"/>
      <c r="M17" s="273"/>
      <c r="N17" s="273"/>
      <c r="O17" s="274"/>
      <c r="P17" s="282" t="s">
        <v>175</v>
      </c>
      <c r="Q17" s="276"/>
      <c r="R17" s="276"/>
      <c r="S17" s="276"/>
      <c r="T17" s="276"/>
      <c r="U17" s="276"/>
      <c r="V17" s="276"/>
      <c r="W17" s="292"/>
      <c r="X17" s="337" t="s">
        <v>46</v>
      </c>
      <c r="Y17" s="332"/>
      <c r="Z17" s="332"/>
      <c r="AA17" s="332"/>
      <c r="AB17" s="332"/>
      <c r="AC17" s="332"/>
      <c r="AD17" s="332"/>
      <c r="AE17" s="338"/>
      <c r="AF17" s="289"/>
      <c r="AG17" s="290"/>
      <c r="AH17" s="290"/>
      <c r="AI17" s="290"/>
      <c r="AJ17" s="290"/>
      <c r="AK17" s="290"/>
      <c r="AL17" s="290"/>
      <c r="AM17" s="290"/>
      <c r="AN17" s="291"/>
      <c r="AO17" s="328">
        <v>45681</v>
      </c>
      <c r="AP17" s="329"/>
      <c r="AQ17" s="327" t="s">
        <v>186</v>
      </c>
      <c r="AR17" s="323"/>
      <c r="AS17" s="327" t="s">
        <v>187</v>
      </c>
      <c r="AT17" s="330"/>
      <c r="AU17" s="285"/>
      <c r="AV17" s="286"/>
      <c r="AW17" s="269"/>
      <c r="AX17" s="270"/>
      <c r="AY17" s="269"/>
      <c r="AZ17" s="280"/>
      <c r="BA17" s="281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3"/>
      <c r="BM17" s="268"/>
      <c r="BN17" s="268"/>
    </row>
    <row r="18" spans="1:66" s="266" customFormat="1" ht="27" customHeight="1" x14ac:dyDescent="0.45">
      <c r="A18" s="267"/>
      <c r="B18" s="267"/>
      <c r="C18" s="271">
        <f t="shared" si="0"/>
        <v>9</v>
      </c>
      <c r="G18" s="211"/>
      <c r="K18" s="211"/>
      <c r="L18" s="273"/>
      <c r="M18" s="273"/>
      <c r="N18" s="273"/>
      <c r="O18" s="274"/>
      <c r="P18" s="282" t="s">
        <v>176</v>
      </c>
      <c r="Q18" s="276"/>
      <c r="R18" s="276"/>
      <c r="S18" s="276"/>
      <c r="T18" s="276"/>
      <c r="U18" s="276"/>
      <c r="V18" s="276"/>
      <c r="W18" s="292"/>
      <c r="X18" s="337" t="s">
        <v>46</v>
      </c>
      <c r="Y18" s="332"/>
      <c r="Z18" s="332"/>
      <c r="AA18" s="332"/>
      <c r="AB18" s="332"/>
      <c r="AC18" s="332"/>
      <c r="AD18" s="332"/>
      <c r="AE18" s="338"/>
      <c r="AF18" s="289"/>
      <c r="AG18" s="290"/>
      <c r="AH18" s="290"/>
      <c r="AI18" s="290"/>
      <c r="AJ18" s="290"/>
      <c r="AK18" s="290"/>
      <c r="AL18" s="290"/>
      <c r="AM18" s="290"/>
      <c r="AN18" s="291"/>
      <c r="AO18" s="328">
        <v>45681</v>
      </c>
      <c r="AP18" s="329"/>
      <c r="AQ18" s="327" t="s">
        <v>186</v>
      </c>
      <c r="AR18" s="323"/>
      <c r="AS18" s="327" t="s">
        <v>187</v>
      </c>
      <c r="AT18" s="330"/>
      <c r="AU18" s="285"/>
      <c r="AV18" s="286"/>
      <c r="AW18" s="269"/>
      <c r="AX18" s="270"/>
      <c r="AY18" s="269"/>
      <c r="AZ18" s="280"/>
      <c r="BA18" s="281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3"/>
      <c r="BM18" s="268"/>
      <c r="BN18" s="268"/>
    </row>
    <row r="19" spans="1:66" s="266" customFormat="1" ht="27" customHeight="1" x14ac:dyDescent="0.45">
      <c r="A19" s="267"/>
      <c r="B19" s="267"/>
      <c r="C19" s="271">
        <f t="shared" si="0"/>
        <v>10</v>
      </c>
      <c r="G19" s="211"/>
      <c r="K19" s="211"/>
      <c r="L19" s="278"/>
      <c r="M19" s="278"/>
      <c r="N19" s="278"/>
      <c r="O19" s="279"/>
      <c r="P19" s="282" t="s">
        <v>177</v>
      </c>
      <c r="Q19" s="276"/>
      <c r="R19" s="276"/>
      <c r="S19" s="276"/>
      <c r="T19" s="276"/>
      <c r="U19" s="276"/>
      <c r="V19" s="276"/>
      <c r="W19" s="292"/>
      <c r="X19" s="337" t="s">
        <v>46</v>
      </c>
      <c r="Y19" s="332"/>
      <c r="Z19" s="332"/>
      <c r="AA19" s="332"/>
      <c r="AB19" s="332"/>
      <c r="AC19" s="332"/>
      <c r="AD19" s="332"/>
      <c r="AE19" s="338"/>
      <c r="AF19" s="289"/>
      <c r="AG19" s="290"/>
      <c r="AH19" s="290"/>
      <c r="AI19" s="290"/>
      <c r="AJ19" s="290"/>
      <c r="AK19" s="290"/>
      <c r="AL19" s="290"/>
      <c r="AM19" s="290"/>
      <c r="AN19" s="291"/>
      <c r="AO19" s="328">
        <v>45681</v>
      </c>
      <c r="AP19" s="329"/>
      <c r="AQ19" s="327" t="s">
        <v>186</v>
      </c>
      <c r="AR19" s="323"/>
      <c r="AS19" s="327" t="s">
        <v>187</v>
      </c>
      <c r="AT19" s="330"/>
      <c r="AU19" s="285"/>
      <c r="AV19" s="286"/>
      <c r="AW19" s="269"/>
      <c r="AX19" s="270"/>
      <c r="AY19" s="269"/>
      <c r="AZ19" s="280"/>
      <c r="BA19" s="281"/>
      <c r="BB19" s="282"/>
      <c r="BC19" s="282"/>
      <c r="BD19" s="282"/>
      <c r="BE19" s="282"/>
      <c r="BF19" s="282"/>
      <c r="BG19" s="282"/>
      <c r="BH19" s="282"/>
      <c r="BI19" s="282"/>
      <c r="BJ19" s="282"/>
      <c r="BK19" s="282"/>
      <c r="BL19" s="283"/>
      <c r="BM19" s="268"/>
      <c r="BN19" s="268"/>
    </row>
    <row r="20" spans="1:66" s="192" customFormat="1" ht="27" customHeight="1" x14ac:dyDescent="0.45">
      <c r="A20" s="193"/>
      <c r="B20" s="193"/>
      <c r="C20" s="271">
        <f t="shared" si="0"/>
        <v>11</v>
      </c>
      <c r="G20" s="211"/>
      <c r="L20" s="342" t="s">
        <v>180</v>
      </c>
      <c r="M20" s="343"/>
      <c r="N20" s="343"/>
      <c r="O20" s="344"/>
      <c r="P20" s="337" t="s">
        <v>179</v>
      </c>
      <c r="Q20" s="332"/>
      <c r="R20" s="332"/>
      <c r="S20" s="332"/>
      <c r="T20" s="332"/>
      <c r="U20" s="332"/>
      <c r="V20" s="332"/>
      <c r="W20" s="338"/>
      <c r="X20" s="337" t="s">
        <v>46</v>
      </c>
      <c r="Y20" s="332"/>
      <c r="Z20" s="332"/>
      <c r="AA20" s="332"/>
      <c r="AB20" s="332"/>
      <c r="AC20" s="332"/>
      <c r="AD20" s="332"/>
      <c r="AE20" s="338"/>
      <c r="AF20" s="216"/>
      <c r="AG20" s="212"/>
      <c r="AH20" s="212"/>
      <c r="AI20" s="212"/>
      <c r="AJ20" s="212"/>
      <c r="AK20" s="212"/>
      <c r="AL20" s="212"/>
      <c r="AM20" s="212"/>
      <c r="AN20" s="235"/>
      <c r="AO20" s="328">
        <v>45681</v>
      </c>
      <c r="AP20" s="329"/>
      <c r="AQ20" s="327" t="s">
        <v>186</v>
      </c>
      <c r="AR20" s="323"/>
      <c r="AS20" s="327" t="s">
        <v>187</v>
      </c>
      <c r="AT20" s="330"/>
      <c r="AU20" s="203"/>
      <c r="AV20" s="204"/>
      <c r="AW20" s="195"/>
      <c r="AX20" s="196"/>
      <c r="AY20" s="195"/>
      <c r="AZ20" s="205"/>
      <c r="BA20" s="197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9"/>
      <c r="BM20" s="194"/>
      <c r="BN20" s="194"/>
    </row>
    <row r="21" spans="1:66" s="266" customFormat="1" ht="27" customHeight="1" x14ac:dyDescent="0.45">
      <c r="A21" s="267"/>
      <c r="B21" s="267"/>
      <c r="C21" s="271">
        <f t="shared" si="0"/>
        <v>12</v>
      </c>
      <c r="G21" s="211"/>
      <c r="L21" s="277"/>
      <c r="M21" s="278"/>
      <c r="N21" s="278"/>
      <c r="O21" s="279"/>
      <c r="P21" s="210" t="s">
        <v>178</v>
      </c>
      <c r="Q21" s="276"/>
      <c r="R21" s="276"/>
      <c r="S21" s="276"/>
      <c r="T21" s="276"/>
      <c r="U21" s="276"/>
      <c r="V21" s="276"/>
      <c r="W21" s="292"/>
      <c r="X21" s="337" t="s">
        <v>46</v>
      </c>
      <c r="Y21" s="332"/>
      <c r="Z21" s="332"/>
      <c r="AA21" s="332"/>
      <c r="AB21" s="332"/>
      <c r="AC21" s="332"/>
      <c r="AD21" s="332"/>
      <c r="AE21" s="338"/>
      <c r="AF21" s="289"/>
      <c r="AG21" s="290"/>
      <c r="AH21" s="290"/>
      <c r="AI21" s="290"/>
      <c r="AJ21" s="290"/>
      <c r="AK21" s="290"/>
      <c r="AL21" s="290"/>
      <c r="AM21" s="290"/>
      <c r="AN21" s="291"/>
      <c r="AO21" s="328">
        <v>45681</v>
      </c>
      <c r="AP21" s="329"/>
      <c r="AQ21" s="327" t="s">
        <v>186</v>
      </c>
      <c r="AR21" s="323"/>
      <c r="AS21" s="327" t="s">
        <v>187</v>
      </c>
      <c r="AT21" s="330"/>
      <c r="AU21" s="285"/>
      <c r="AV21" s="286"/>
      <c r="AW21" s="269"/>
      <c r="AX21" s="270"/>
      <c r="AY21" s="269"/>
      <c r="AZ21" s="280"/>
      <c r="BA21" s="281"/>
      <c r="BB21" s="282"/>
      <c r="BC21" s="282"/>
      <c r="BD21" s="282"/>
      <c r="BE21" s="282"/>
      <c r="BF21" s="282"/>
      <c r="BG21" s="282"/>
      <c r="BH21" s="282"/>
      <c r="BI21" s="282"/>
      <c r="BJ21" s="282"/>
      <c r="BK21" s="282"/>
      <c r="BL21" s="283"/>
      <c r="BM21" s="268"/>
      <c r="BN21" s="268"/>
    </row>
    <row r="22" spans="1:66" s="266" customFormat="1" ht="27" customHeight="1" x14ac:dyDescent="0.45">
      <c r="A22" s="267"/>
      <c r="B22" s="267"/>
      <c r="C22" s="271">
        <f t="shared" si="0"/>
        <v>13</v>
      </c>
      <c r="G22" s="211"/>
      <c r="K22" s="211"/>
      <c r="L22" s="266" t="s">
        <v>181</v>
      </c>
      <c r="M22" s="273"/>
      <c r="N22" s="273"/>
      <c r="O22" s="294"/>
      <c r="P22" s="282" t="s">
        <v>183</v>
      </c>
      <c r="Q22" s="276"/>
      <c r="R22" s="276"/>
      <c r="S22" s="276"/>
      <c r="T22" s="276"/>
      <c r="U22" s="276"/>
      <c r="V22" s="276"/>
      <c r="W22" s="292"/>
      <c r="X22" s="337" t="s">
        <v>46</v>
      </c>
      <c r="Y22" s="332"/>
      <c r="Z22" s="332"/>
      <c r="AA22" s="332"/>
      <c r="AB22" s="332"/>
      <c r="AC22" s="332"/>
      <c r="AD22" s="332"/>
      <c r="AE22" s="338"/>
      <c r="AF22" s="289"/>
      <c r="AG22" s="290"/>
      <c r="AH22" s="290"/>
      <c r="AI22" s="290"/>
      <c r="AJ22" s="290"/>
      <c r="AK22" s="290"/>
      <c r="AL22" s="290"/>
      <c r="AM22" s="290"/>
      <c r="AN22" s="291"/>
      <c r="AO22" s="328">
        <v>45681</v>
      </c>
      <c r="AP22" s="329"/>
      <c r="AQ22" s="327" t="s">
        <v>186</v>
      </c>
      <c r="AR22" s="323"/>
      <c r="AS22" s="327" t="s">
        <v>187</v>
      </c>
      <c r="AT22" s="330"/>
      <c r="AU22" s="285"/>
      <c r="AV22" s="286"/>
      <c r="AW22" s="269"/>
      <c r="AX22" s="270"/>
      <c r="AY22" s="269"/>
      <c r="AZ22" s="280"/>
      <c r="BA22" s="281"/>
      <c r="BB22" s="282"/>
      <c r="BC22" s="282"/>
      <c r="BD22" s="282"/>
      <c r="BE22" s="282"/>
      <c r="BF22" s="282"/>
      <c r="BG22" s="282"/>
      <c r="BH22" s="282"/>
      <c r="BI22" s="282"/>
      <c r="BJ22" s="282"/>
      <c r="BK22" s="282"/>
      <c r="BL22" s="283"/>
      <c r="BM22" s="268"/>
      <c r="BN22" s="268"/>
    </row>
    <row r="23" spans="1:66" s="266" customFormat="1" ht="27" customHeight="1" x14ac:dyDescent="0.45">
      <c r="A23" s="267"/>
      <c r="B23" s="267"/>
      <c r="C23" s="271">
        <f t="shared" si="0"/>
        <v>14</v>
      </c>
      <c r="G23" s="211"/>
      <c r="L23" s="272"/>
      <c r="M23" s="273"/>
      <c r="N23" s="273"/>
      <c r="O23" s="279"/>
      <c r="P23" s="282" t="s">
        <v>182</v>
      </c>
      <c r="Q23" s="276"/>
      <c r="R23" s="276"/>
      <c r="S23" s="276"/>
      <c r="T23" s="276"/>
      <c r="U23" s="276"/>
      <c r="V23" s="276"/>
      <c r="W23" s="292"/>
      <c r="X23" s="337" t="s">
        <v>46</v>
      </c>
      <c r="Y23" s="332"/>
      <c r="Z23" s="332"/>
      <c r="AA23" s="332"/>
      <c r="AB23" s="332"/>
      <c r="AC23" s="332"/>
      <c r="AD23" s="332"/>
      <c r="AE23" s="338"/>
      <c r="AF23" s="289"/>
      <c r="AG23" s="290"/>
      <c r="AH23" s="290"/>
      <c r="AI23" s="290"/>
      <c r="AJ23" s="290"/>
      <c r="AK23" s="290"/>
      <c r="AL23" s="290"/>
      <c r="AM23" s="290"/>
      <c r="AN23" s="291"/>
      <c r="AO23" s="328">
        <v>45681</v>
      </c>
      <c r="AP23" s="329"/>
      <c r="AQ23" s="327" t="s">
        <v>186</v>
      </c>
      <c r="AR23" s="323"/>
      <c r="AS23" s="327" t="s">
        <v>187</v>
      </c>
      <c r="AT23" s="330"/>
      <c r="AU23" s="285"/>
      <c r="AV23" s="286"/>
      <c r="AW23" s="269"/>
      <c r="AX23" s="270"/>
      <c r="AY23" s="269"/>
      <c r="AZ23" s="280"/>
      <c r="BA23" s="281"/>
      <c r="BB23" s="282"/>
      <c r="BC23" s="282"/>
      <c r="BD23" s="282"/>
      <c r="BE23" s="282"/>
      <c r="BF23" s="282"/>
      <c r="BG23" s="282"/>
      <c r="BH23" s="282"/>
      <c r="BI23" s="282"/>
      <c r="BJ23" s="282"/>
      <c r="BK23" s="282"/>
      <c r="BL23" s="283"/>
      <c r="BM23" s="268"/>
      <c r="BN23" s="268"/>
    </row>
    <row r="24" spans="1:66" s="113" customFormat="1" ht="27" customHeight="1" x14ac:dyDescent="0.45">
      <c r="A24" s="114"/>
      <c r="B24" s="114"/>
      <c r="C24" s="271">
        <f t="shared" si="0"/>
        <v>15</v>
      </c>
      <c r="D24" s="342"/>
      <c r="E24" s="343"/>
      <c r="F24" s="343"/>
      <c r="G24" s="344"/>
      <c r="H24" s="337" t="s">
        <v>54</v>
      </c>
      <c r="I24" s="332"/>
      <c r="J24" s="332"/>
      <c r="K24" s="338"/>
      <c r="L24" s="337" t="s">
        <v>61</v>
      </c>
      <c r="M24" s="332"/>
      <c r="N24" s="332"/>
      <c r="O24" s="347"/>
      <c r="P24" s="337" t="s">
        <v>64</v>
      </c>
      <c r="Q24" s="332"/>
      <c r="R24" s="332"/>
      <c r="S24" s="332"/>
      <c r="T24" s="332"/>
      <c r="U24" s="332"/>
      <c r="V24" s="332"/>
      <c r="W24" s="338"/>
      <c r="X24" s="337" t="s">
        <v>65</v>
      </c>
      <c r="Y24" s="332"/>
      <c r="Z24" s="332"/>
      <c r="AA24" s="332"/>
      <c r="AB24" s="332"/>
      <c r="AC24" s="332"/>
      <c r="AD24" s="332"/>
      <c r="AE24" s="338"/>
      <c r="AF24" s="337" t="s">
        <v>154</v>
      </c>
      <c r="AG24" s="332"/>
      <c r="AH24" s="332"/>
      <c r="AI24" s="332"/>
      <c r="AJ24" s="332"/>
      <c r="AK24" s="332"/>
      <c r="AL24" s="332"/>
      <c r="AM24" s="332"/>
      <c r="AN24" s="351"/>
      <c r="AO24" s="328">
        <v>45681</v>
      </c>
      <c r="AP24" s="329"/>
      <c r="AQ24" s="327" t="s">
        <v>186</v>
      </c>
      <c r="AR24" s="323"/>
      <c r="AS24" s="327" t="s">
        <v>187</v>
      </c>
      <c r="AT24" s="330"/>
      <c r="AU24" s="121"/>
      <c r="AV24" s="122"/>
      <c r="AW24" s="116"/>
      <c r="AX24" s="117"/>
      <c r="AY24" s="116"/>
      <c r="AZ24" s="123"/>
      <c r="BA24" s="118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20"/>
      <c r="BM24" s="115"/>
      <c r="BN24" s="115"/>
    </row>
    <row r="25" spans="1:66" ht="20.100000000000001" customHeight="1" x14ac:dyDescent="0.45">
      <c r="A25" s="69"/>
      <c r="B25" s="69"/>
      <c r="C25" s="271">
        <f t="shared" si="0"/>
        <v>16</v>
      </c>
      <c r="D25" s="81"/>
      <c r="E25" s="82"/>
      <c r="F25" s="82"/>
      <c r="G25" s="83"/>
      <c r="H25" s="65" t="s">
        <v>48</v>
      </c>
      <c r="K25" s="93"/>
      <c r="L25" s="290" t="s">
        <v>155</v>
      </c>
      <c r="M25" s="234"/>
      <c r="N25" s="234"/>
      <c r="O25" s="235"/>
      <c r="P25" s="337" t="s">
        <v>64</v>
      </c>
      <c r="Q25" s="332"/>
      <c r="R25" s="332"/>
      <c r="S25" s="332"/>
      <c r="T25" s="332"/>
      <c r="U25" s="332"/>
      <c r="V25" s="332"/>
      <c r="W25" s="338"/>
      <c r="X25" s="337" t="s">
        <v>46</v>
      </c>
      <c r="Y25" s="332"/>
      <c r="Z25" s="332"/>
      <c r="AA25" s="332"/>
      <c r="AB25" s="332"/>
      <c r="AC25" s="332"/>
      <c r="AD25" s="332"/>
      <c r="AE25" s="338"/>
      <c r="AF25" s="374"/>
      <c r="AG25" s="375"/>
      <c r="AH25" s="375"/>
      <c r="AI25" s="375"/>
      <c r="AJ25" s="375"/>
      <c r="AK25" s="375"/>
      <c r="AL25" s="375"/>
      <c r="AM25" s="375"/>
      <c r="AN25" s="376"/>
      <c r="AO25" s="328">
        <v>45681</v>
      </c>
      <c r="AP25" s="329"/>
      <c r="AQ25" s="327" t="s">
        <v>186</v>
      </c>
      <c r="AR25" s="323"/>
      <c r="AS25" s="327" t="s">
        <v>187</v>
      </c>
      <c r="AT25" s="330"/>
      <c r="AU25" s="91"/>
      <c r="AV25" s="92"/>
      <c r="AW25" s="75"/>
      <c r="AX25" s="76"/>
      <c r="AY25" s="75"/>
      <c r="AZ25" s="86"/>
      <c r="BA25" s="87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9"/>
      <c r="BM25" s="72"/>
      <c r="BN25" s="72"/>
    </row>
    <row r="26" spans="1:66" s="218" customFormat="1" ht="20.100000000000001" customHeight="1" x14ac:dyDescent="0.45">
      <c r="A26" s="220"/>
      <c r="B26" s="220"/>
      <c r="C26" s="271">
        <f t="shared" si="0"/>
        <v>17</v>
      </c>
      <c r="D26" s="225"/>
      <c r="E26" s="226"/>
      <c r="F26" s="226"/>
      <c r="G26" s="227"/>
      <c r="H26" s="217"/>
      <c r="K26" s="211"/>
      <c r="L26" s="289" t="s">
        <v>156</v>
      </c>
      <c r="M26" s="234"/>
      <c r="N26" s="234"/>
      <c r="O26" s="235"/>
      <c r="P26" s="337" t="s">
        <v>64</v>
      </c>
      <c r="Q26" s="332"/>
      <c r="R26" s="332"/>
      <c r="S26" s="332"/>
      <c r="T26" s="332"/>
      <c r="U26" s="332"/>
      <c r="V26" s="332"/>
      <c r="W26" s="338"/>
      <c r="X26" s="337" t="s">
        <v>184</v>
      </c>
      <c r="Y26" s="332"/>
      <c r="Z26" s="332"/>
      <c r="AA26" s="332"/>
      <c r="AB26" s="332"/>
      <c r="AC26" s="332"/>
      <c r="AD26" s="332"/>
      <c r="AE26" s="338"/>
      <c r="AF26" s="374"/>
      <c r="AG26" s="375"/>
      <c r="AH26" s="375"/>
      <c r="AI26" s="375"/>
      <c r="AJ26" s="375"/>
      <c r="AK26" s="375"/>
      <c r="AL26" s="375"/>
      <c r="AM26" s="375"/>
      <c r="AN26" s="376"/>
      <c r="AO26" s="328">
        <v>45681</v>
      </c>
      <c r="AP26" s="329"/>
      <c r="AQ26" s="327" t="s">
        <v>186</v>
      </c>
      <c r="AR26" s="323"/>
      <c r="AS26" s="327" t="s">
        <v>187</v>
      </c>
      <c r="AT26" s="330"/>
      <c r="AU26" s="232"/>
      <c r="AV26" s="233"/>
      <c r="AW26" s="222"/>
      <c r="AX26" s="223"/>
      <c r="AY26" s="222"/>
      <c r="AZ26" s="228"/>
      <c r="BA26" s="229"/>
      <c r="BB26" s="230"/>
      <c r="BC26" s="230"/>
      <c r="BD26" s="230"/>
      <c r="BE26" s="230"/>
      <c r="BF26" s="230"/>
      <c r="BG26" s="230"/>
      <c r="BH26" s="230"/>
      <c r="BI26" s="230"/>
      <c r="BJ26" s="230"/>
      <c r="BK26" s="230"/>
      <c r="BL26" s="231"/>
      <c r="BM26" s="221"/>
      <c r="BN26" s="221"/>
    </row>
    <row r="27" spans="1:66" s="218" customFormat="1" ht="20.100000000000001" customHeight="1" x14ac:dyDescent="0.45">
      <c r="A27" s="220"/>
      <c r="B27" s="220"/>
      <c r="C27" s="271">
        <f t="shared" si="0"/>
        <v>18</v>
      </c>
      <c r="D27" s="225"/>
      <c r="E27" s="226"/>
      <c r="F27" s="226"/>
      <c r="G27" s="227"/>
      <c r="H27" s="217"/>
      <c r="K27" s="211"/>
      <c r="L27" s="289" t="s">
        <v>58</v>
      </c>
      <c r="M27" s="234"/>
      <c r="N27" s="234"/>
      <c r="O27" s="235"/>
      <c r="P27" s="337" t="s">
        <v>64</v>
      </c>
      <c r="Q27" s="332"/>
      <c r="R27" s="332"/>
      <c r="S27" s="332"/>
      <c r="T27" s="332"/>
      <c r="U27" s="332"/>
      <c r="V27" s="332"/>
      <c r="W27" s="338"/>
      <c r="X27" s="337" t="s">
        <v>46</v>
      </c>
      <c r="Y27" s="332"/>
      <c r="Z27" s="332"/>
      <c r="AA27" s="332"/>
      <c r="AB27" s="332"/>
      <c r="AC27" s="332"/>
      <c r="AD27" s="332"/>
      <c r="AE27" s="338"/>
      <c r="AF27" s="374"/>
      <c r="AG27" s="375"/>
      <c r="AH27" s="375"/>
      <c r="AI27" s="375"/>
      <c r="AJ27" s="375"/>
      <c r="AK27" s="375"/>
      <c r="AL27" s="375"/>
      <c r="AM27" s="375"/>
      <c r="AN27" s="376"/>
      <c r="AO27" s="328">
        <v>45681</v>
      </c>
      <c r="AP27" s="329"/>
      <c r="AQ27" s="327" t="s">
        <v>186</v>
      </c>
      <c r="AR27" s="323"/>
      <c r="AS27" s="327" t="s">
        <v>187</v>
      </c>
      <c r="AT27" s="330"/>
      <c r="AU27" s="232"/>
      <c r="AV27" s="233"/>
      <c r="AW27" s="222"/>
      <c r="AX27" s="223"/>
      <c r="AY27" s="222"/>
      <c r="AZ27" s="228"/>
      <c r="BA27" s="229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1"/>
      <c r="BM27" s="221"/>
      <c r="BN27" s="221"/>
    </row>
    <row r="28" spans="1:66" s="218" customFormat="1" ht="20.100000000000001" customHeight="1" x14ac:dyDescent="0.45">
      <c r="A28" s="220"/>
      <c r="B28" s="220"/>
      <c r="C28" s="271">
        <f t="shared" si="0"/>
        <v>19</v>
      </c>
      <c r="D28" s="225"/>
      <c r="E28" s="226"/>
      <c r="F28" s="226"/>
      <c r="G28" s="227"/>
      <c r="H28" s="217"/>
      <c r="K28" s="211"/>
      <c r="L28" s="289" t="s">
        <v>66</v>
      </c>
      <c r="M28" s="234"/>
      <c r="N28" s="234"/>
      <c r="O28" s="235"/>
      <c r="P28" s="337" t="s">
        <v>64</v>
      </c>
      <c r="Q28" s="332"/>
      <c r="R28" s="332"/>
      <c r="S28" s="332"/>
      <c r="T28" s="332"/>
      <c r="U28" s="332"/>
      <c r="V28" s="332"/>
      <c r="W28" s="338"/>
      <c r="X28" s="337" t="s">
        <v>46</v>
      </c>
      <c r="Y28" s="332"/>
      <c r="Z28" s="332"/>
      <c r="AA28" s="332"/>
      <c r="AB28" s="332"/>
      <c r="AC28" s="332"/>
      <c r="AD28" s="332"/>
      <c r="AE28" s="338"/>
      <c r="AF28" s="374"/>
      <c r="AG28" s="375"/>
      <c r="AH28" s="375"/>
      <c r="AI28" s="375"/>
      <c r="AJ28" s="375"/>
      <c r="AK28" s="375"/>
      <c r="AL28" s="375"/>
      <c r="AM28" s="375"/>
      <c r="AN28" s="376"/>
      <c r="AO28" s="328">
        <v>45681</v>
      </c>
      <c r="AP28" s="329"/>
      <c r="AQ28" s="327" t="s">
        <v>186</v>
      </c>
      <c r="AR28" s="323"/>
      <c r="AS28" s="327" t="s">
        <v>187</v>
      </c>
      <c r="AT28" s="330"/>
      <c r="AU28" s="232"/>
      <c r="AV28" s="233"/>
      <c r="AW28" s="222"/>
      <c r="AX28" s="223"/>
      <c r="AY28" s="222"/>
      <c r="AZ28" s="228"/>
      <c r="BA28" s="229"/>
      <c r="BB28" s="230"/>
      <c r="BC28" s="230"/>
      <c r="BD28" s="230"/>
      <c r="BE28" s="230"/>
      <c r="BF28" s="230"/>
      <c r="BG28" s="230"/>
      <c r="BH28" s="230"/>
      <c r="BI28" s="230"/>
      <c r="BJ28" s="230"/>
      <c r="BK28" s="230"/>
      <c r="BL28" s="231"/>
      <c r="BM28" s="221"/>
      <c r="BN28" s="221"/>
    </row>
    <row r="29" spans="1:66" s="218" customFormat="1" ht="20.100000000000001" customHeight="1" x14ac:dyDescent="0.45">
      <c r="A29" s="220"/>
      <c r="B29" s="220"/>
      <c r="C29" s="271">
        <f t="shared" si="0"/>
        <v>20</v>
      </c>
      <c r="D29" s="238"/>
      <c r="E29" s="239"/>
      <c r="F29" s="239"/>
      <c r="G29" s="240"/>
      <c r="H29" s="217"/>
      <c r="K29" s="211"/>
      <c r="L29" s="289" t="s">
        <v>157</v>
      </c>
      <c r="M29" s="234"/>
      <c r="N29" s="234"/>
      <c r="O29" s="235"/>
      <c r="P29" s="337" t="s">
        <v>64</v>
      </c>
      <c r="Q29" s="332"/>
      <c r="R29" s="332"/>
      <c r="S29" s="332"/>
      <c r="T29" s="332"/>
      <c r="U29" s="332"/>
      <c r="V29" s="332"/>
      <c r="W29" s="338"/>
      <c r="X29" s="337" t="s">
        <v>46</v>
      </c>
      <c r="Y29" s="332"/>
      <c r="Z29" s="332"/>
      <c r="AA29" s="332"/>
      <c r="AB29" s="332"/>
      <c r="AC29" s="332"/>
      <c r="AD29" s="332"/>
      <c r="AE29" s="338"/>
      <c r="AF29" s="247"/>
      <c r="AG29" s="248"/>
      <c r="AH29" s="248"/>
      <c r="AI29" s="248"/>
      <c r="AJ29" s="248"/>
      <c r="AK29" s="248"/>
      <c r="AL29" s="248"/>
      <c r="AM29" s="248"/>
      <c r="AN29" s="249"/>
      <c r="AO29" s="328">
        <v>45681</v>
      </c>
      <c r="AP29" s="329"/>
      <c r="AQ29" s="327" t="s">
        <v>186</v>
      </c>
      <c r="AR29" s="323"/>
      <c r="AS29" s="327" t="s">
        <v>187</v>
      </c>
      <c r="AT29" s="330"/>
      <c r="AU29" s="242"/>
      <c r="AV29" s="243"/>
      <c r="AW29" s="236"/>
      <c r="AX29" s="237"/>
      <c r="AY29" s="236"/>
      <c r="AZ29" s="241"/>
      <c r="BA29" s="244"/>
      <c r="BB29" s="245"/>
      <c r="BC29" s="245"/>
      <c r="BD29" s="245"/>
      <c r="BE29" s="245"/>
      <c r="BF29" s="245"/>
      <c r="BG29" s="245"/>
      <c r="BH29" s="245"/>
      <c r="BI29" s="245"/>
      <c r="BJ29" s="245"/>
      <c r="BK29" s="245"/>
      <c r="BL29" s="246"/>
      <c r="BM29" s="221"/>
      <c r="BN29" s="221"/>
    </row>
    <row r="30" spans="1:66" s="218" customFormat="1" ht="20.100000000000001" customHeight="1" x14ac:dyDescent="0.45">
      <c r="A30" s="220"/>
      <c r="B30" s="220"/>
      <c r="C30" s="271">
        <f t="shared" si="0"/>
        <v>21</v>
      </c>
      <c r="D30" s="238"/>
      <c r="E30" s="239"/>
      <c r="F30" s="239"/>
      <c r="G30" s="240"/>
      <c r="H30" s="217"/>
      <c r="K30" s="211"/>
      <c r="L30" s="289" t="s">
        <v>76</v>
      </c>
      <c r="M30" s="234"/>
      <c r="N30" s="234"/>
      <c r="O30" s="235"/>
      <c r="P30" s="337" t="s">
        <v>64</v>
      </c>
      <c r="Q30" s="332"/>
      <c r="R30" s="332"/>
      <c r="S30" s="332"/>
      <c r="T30" s="332"/>
      <c r="U30" s="332"/>
      <c r="V30" s="332"/>
      <c r="W30" s="338"/>
      <c r="X30" s="337" t="s">
        <v>46</v>
      </c>
      <c r="Y30" s="332"/>
      <c r="Z30" s="332"/>
      <c r="AA30" s="332"/>
      <c r="AB30" s="332"/>
      <c r="AC30" s="332"/>
      <c r="AD30" s="332"/>
      <c r="AE30" s="338"/>
      <c r="AF30" s="247"/>
      <c r="AG30" s="248"/>
      <c r="AH30" s="248"/>
      <c r="AI30" s="248"/>
      <c r="AJ30" s="248"/>
      <c r="AK30" s="248"/>
      <c r="AL30" s="248"/>
      <c r="AM30" s="248"/>
      <c r="AN30" s="249"/>
      <c r="AO30" s="328">
        <v>45681</v>
      </c>
      <c r="AP30" s="329"/>
      <c r="AQ30" s="327" t="s">
        <v>186</v>
      </c>
      <c r="AR30" s="323"/>
      <c r="AS30" s="327" t="s">
        <v>187</v>
      </c>
      <c r="AT30" s="330"/>
      <c r="AU30" s="242"/>
      <c r="AV30" s="243"/>
      <c r="AW30" s="236"/>
      <c r="AX30" s="237"/>
      <c r="AY30" s="236"/>
      <c r="AZ30" s="241"/>
      <c r="BA30" s="244"/>
      <c r="BB30" s="245"/>
      <c r="BC30" s="245"/>
      <c r="BD30" s="245"/>
      <c r="BE30" s="245"/>
      <c r="BF30" s="245"/>
      <c r="BG30" s="245"/>
      <c r="BH30" s="245"/>
      <c r="BI30" s="245"/>
      <c r="BJ30" s="245"/>
      <c r="BK30" s="245"/>
      <c r="BL30" s="246"/>
      <c r="BM30" s="221"/>
      <c r="BN30" s="221"/>
    </row>
    <row r="31" spans="1:66" s="218" customFormat="1" ht="20.100000000000001" customHeight="1" x14ac:dyDescent="0.45">
      <c r="A31" s="220"/>
      <c r="B31" s="220"/>
      <c r="C31" s="271">
        <f t="shared" si="0"/>
        <v>22</v>
      </c>
      <c r="D31" s="238"/>
      <c r="E31" s="239"/>
      <c r="F31" s="239"/>
      <c r="G31" s="240"/>
      <c r="H31" s="217"/>
      <c r="K31" s="211"/>
      <c r="L31" s="289" t="s">
        <v>78</v>
      </c>
      <c r="M31" s="234"/>
      <c r="N31" s="234"/>
      <c r="O31" s="235"/>
      <c r="P31" s="337" t="s">
        <v>64</v>
      </c>
      <c r="Q31" s="332"/>
      <c r="R31" s="332"/>
      <c r="S31" s="332"/>
      <c r="T31" s="332"/>
      <c r="U31" s="332"/>
      <c r="V31" s="332"/>
      <c r="W31" s="338"/>
      <c r="X31" s="337" t="s">
        <v>46</v>
      </c>
      <c r="Y31" s="332"/>
      <c r="Z31" s="332"/>
      <c r="AA31" s="332"/>
      <c r="AB31" s="332"/>
      <c r="AC31" s="332"/>
      <c r="AD31" s="332"/>
      <c r="AE31" s="338"/>
      <c r="AF31" s="247"/>
      <c r="AG31" s="248"/>
      <c r="AH31" s="248"/>
      <c r="AI31" s="248"/>
      <c r="AJ31" s="248"/>
      <c r="AK31" s="248"/>
      <c r="AL31" s="248"/>
      <c r="AM31" s="248"/>
      <c r="AN31" s="249"/>
      <c r="AO31" s="328">
        <v>45681</v>
      </c>
      <c r="AP31" s="329"/>
      <c r="AQ31" s="327" t="s">
        <v>186</v>
      </c>
      <c r="AR31" s="323"/>
      <c r="AS31" s="327" t="s">
        <v>187</v>
      </c>
      <c r="AT31" s="330"/>
      <c r="AU31" s="242"/>
      <c r="AV31" s="243"/>
      <c r="AW31" s="236"/>
      <c r="AX31" s="237"/>
      <c r="AY31" s="236"/>
      <c r="AZ31" s="241"/>
      <c r="BA31" s="244"/>
      <c r="BB31" s="245"/>
      <c r="BC31" s="245"/>
      <c r="BD31" s="245"/>
      <c r="BE31" s="245"/>
      <c r="BF31" s="245"/>
      <c r="BG31" s="245"/>
      <c r="BH31" s="245"/>
      <c r="BI31" s="245"/>
      <c r="BJ31" s="245"/>
      <c r="BK31" s="245"/>
      <c r="BL31" s="246"/>
      <c r="BM31" s="221"/>
      <c r="BN31" s="221"/>
    </row>
    <row r="32" spans="1:66" s="218" customFormat="1" ht="20.100000000000001" customHeight="1" x14ac:dyDescent="0.45">
      <c r="A32" s="220"/>
      <c r="B32" s="220"/>
      <c r="C32" s="271">
        <f t="shared" si="0"/>
        <v>23</v>
      </c>
      <c r="D32" s="225"/>
      <c r="E32" s="226"/>
      <c r="F32" s="226"/>
      <c r="G32" s="227"/>
      <c r="H32" s="217"/>
      <c r="K32" s="211"/>
      <c r="L32" s="289" t="s">
        <v>67</v>
      </c>
      <c r="M32" s="234"/>
      <c r="N32" s="234"/>
      <c r="O32" s="235"/>
      <c r="P32" s="337" t="s">
        <v>64</v>
      </c>
      <c r="Q32" s="332"/>
      <c r="R32" s="332"/>
      <c r="S32" s="332"/>
      <c r="T32" s="332"/>
      <c r="U32" s="332"/>
      <c r="V32" s="332"/>
      <c r="W32" s="338"/>
      <c r="X32" s="337" t="s">
        <v>46</v>
      </c>
      <c r="Y32" s="332"/>
      <c r="Z32" s="332"/>
      <c r="AA32" s="332"/>
      <c r="AB32" s="332"/>
      <c r="AC32" s="332"/>
      <c r="AD32" s="332"/>
      <c r="AE32" s="338"/>
      <c r="AF32" s="374"/>
      <c r="AG32" s="375"/>
      <c r="AH32" s="375"/>
      <c r="AI32" s="375"/>
      <c r="AJ32" s="375"/>
      <c r="AK32" s="375"/>
      <c r="AL32" s="375"/>
      <c r="AM32" s="375"/>
      <c r="AN32" s="376"/>
      <c r="AO32" s="328">
        <v>45681</v>
      </c>
      <c r="AP32" s="329"/>
      <c r="AQ32" s="327" t="s">
        <v>186</v>
      </c>
      <c r="AR32" s="323"/>
      <c r="AS32" s="327" t="s">
        <v>187</v>
      </c>
      <c r="AT32" s="330"/>
      <c r="AU32" s="232"/>
      <c r="AV32" s="233"/>
      <c r="AW32" s="222"/>
      <c r="AX32" s="223"/>
      <c r="AY32" s="222"/>
      <c r="AZ32" s="228"/>
      <c r="BA32" s="229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1"/>
      <c r="BM32" s="221"/>
      <c r="BN32" s="221"/>
    </row>
    <row r="33" spans="1:66" s="218" customFormat="1" ht="20.100000000000001" customHeight="1" x14ac:dyDescent="0.45">
      <c r="A33" s="220"/>
      <c r="B33" s="220"/>
      <c r="C33" s="271">
        <f t="shared" si="0"/>
        <v>24</v>
      </c>
      <c r="D33" s="225"/>
      <c r="E33" s="226"/>
      <c r="F33" s="226"/>
      <c r="G33" s="227"/>
      <c r="H33" s="217"/>
      <c r="K33" s="211"/>
      <c r="L33" s="289" t="s">
        <v>158</v>
      </c>
      <c r="M33" s="234"/>
      <c r="N33" s="234"/>
      <c r="O33" s="235"/>
      <c r="P33" s="337" t="s">
        <v>64</v>
      </c>
      <c r="Q33" s="332"/>
      <c r="R33" s="332"/>
      <c r="S33" s="332"/>
      <c r="T33" s="332"/>
      <c r="U33" s="332"/>
      <c r="V33" s="332"/>
      <c r="W33" s="338"/>
      <c r="X33" s="337" t="s">
        <v>46</v>
      </c>
      <c r="Y33" s="332"/>
      <c r="Z33" s="332"/>
      <c r="AA33" s="332"/>
      <c r="AB33" s="332"/>
      <c r="AC33" s="332"/>
      <c r="AD33" s="332"/>
      <c r="AE33" s="338"/>
      <c r="AF33" s="374"/>
      <c r="AG33" s="375"/>
      <c r="AH33" s="375"/>
      <c r="AI33" s="375"/>
      <c r="AJ33" s="375"/>
      <c r="AK33" s="375"/>
      <c r="AL33" s="375"/>
      <c r="AM33" s="375"/>
      <c r="AN33" s="376"/>
      <c r="AO33" s="328">
        <v>45681</v>
      </c>
      <c r="AP33" s="329"/>
      <c r="AQ33" s="327" t="s">
        <v>186</v>
      </c>
      <c r="AR33" s="323"/>
      <c r="AS33" s="327" t="s">
        <v>187</v>
      </c>
      <c r="AT33" s="330"/>
      <c r="AU33" s="232"/>
      <c r="AV33" s="233"/>
      <c r="AW33" s="222"/>
      <c r="AX33" s="223"/>
      <c r="AY33" s="222"/>
      <c r="AZ33" s="228"/>
      <c r="BA33" s="229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1"/>
      <c r="BM33" s="221"/>
      <c r="BN33" s="221"/>
    </row>
    <row r="34" spans="1:66" s="218" customFormat="1" ht="20.100000000000001" customHeight="1" x14ac:dyDescent="0.45">
      <c r="A34" s="220"/>
      <c r="B34" s="220"/>
      <c r="C34" s="271">
        <f t="shared" si="0"/>
        <v>25</v>
      </c>
      <c r="D34" s="225"/>
      <c r="E34" s="226"/>
      <c r="F34" s="226"/>
      <c r="G34" s="227"/>
      <c r="H34" s="217"/>
      <c r="K34" s="211"/>
      <c r="L34" s="289" t="s">
        <v>91</v>
      </c>
      <c r="M34" s="234"/>
      <c r="N34" s="234"/>
      <c r="O34" s="235"/>
      <c r="P34" s="337" t="s">
        <v>64</v>
      </c>
      <c r="Q34" s="332"/>
      <c r="R34" s="332"/>
      <c r="S34" s="332"/>
      <c r="T34" s="332"/>
      <c r="U34" s="332"/>
      <c r="V34" s="332"/>
      <c r="W34" s="338"/>
      <c r="X34" s="337" t="s">
        <v>46</v>
      </c>
      <c r="Y34" s="332"/>
      <c r="Z34" s="332"/>
      <c r="AA34" s="332"/>
      <c r="AB34" s="332"/>
      <c r="AC34" s="332"/>
      <c r="AD34" s="332"/>
      <c r="AE34" s="338"/>
      <c r="AF34" s="374"/>
      <c r="AG34" s="375"/>
      <c r="AH34" s="375"/>
      <c r="AI34" s="375"/>
      <c r="AJ34" s="375"/>
      <c r="AK34" s="375"/>
      <c r="AL34" s="375"/>
      <c r="AM34" s="375"/>
      <c r="AN34" s="376"/>
      <c r="AO34" s="328">
        <v>45681</v>
      </c>
      <c r="AP34" s="329"/>
      <c r="AQ34" s="327" t="s">
        <v>186</v>
      </c>
      <c r="AR34" s="323"/>
      <c r="AS34" s="327" t="s">
        <v>187</v>
      </c>
      <c r="AT34" s="330"/>
      <c r="AU34" s="232"/>
      <c r="AV34" s="233"/>
      <c r="AW34" s="222"/>
      <c r="AX34" s="223"/>
      <c r="AY34" s="222"/>
      <c r="AZ34" s="228"/>
      <c r="BA34" s="229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1"/>
      <c r="BM34" s="221"/>
      <c r="BN34" s="221"/>
    </row>
    <row r="35" spans="1:66" s="218" customFormat="1" ht="20.100000000000001" customHeight="1" x14ac:dyDescent="0.45">
      <c r="A35" s="220"/>
      <c r="B35" s="220"/>
      <c r="C35" s="271">
        <f t="shared" si="0"/>
        <v>26</v>
      </c>
      <c r="D35" s="225"/>
      <c r="E35" s="226"/>
      <c r="F35" s="226"/>
      <c r="G35" s="227"/>
      <c r="H35" s="217"/>
      <c r="K35" s="211"/>
      <c r="L35" s="289" t="s">
        <v>159</v>
      </c>
      <c r="M35" s="234"/>
      <c r="N35" s="234"/>
      <c r="O35" s="235"/>
      <c r="P35" s="337" t="s">
        <v>64</v>
      </c>
      <c r="Q35" s="332"/>
      <c r="R35" s="332"/>
      <c r="S35" s="332"/>
      <c r="T35" s="332"/>
      <c r="U35" s="332"/>
      <c r="V35" s="332"/>
      <c r="W35" s="338"/>
      <c r="X35" s="337" t="s">
        <v>46</v>
      </c>
      <c r="Y35" s="332"/>
      <c r="Z35" s="332"/>
      <c r="AA35" s="332"/>
      <c r="AB35" s="332"/>
      <c r="AC35" s="332"/>
      <c r="AD35" s="332"/>
      <c r="AE35" s="338"/>
      <c r="AF35" s="374"/>
      <c r="AG35" s="375"/>
      <c r="AH35" s="375"/>
      <c r="AI35" s="375"/>
      <c r="AJ35" s="375"/>
      <c r="AK35" s="375"/>
      <c r="AL35" s="375"/>
      <c r="AM35" s="375"/>
      <c r="AN35" s="376"/>
      <c r="AO35" s="328">
        <v>45681</v>
      </c>
      <c r="AP35" s="329"/>
      <c r="AQ35" s="327" t="s">
        <v>186</v>
      </c>
      <c r="AR35" s="323"/>
      <c r="AS35" s="327" t="s">
        <v>187</v>
      </c>
      <c r="AT35" s="330"/>
      <c r="AU35" s="232"/>
      <c r="AV35" s="233"/>
      <c r="AW35" s="222"/>
      <c r="AX35" s="223"/>
      <c r="AY35" s="222"/>
      <c r="AZ35" s="228"/>
      <c r="BA35" s="229"/>
      <c r="BB35" s="230"/>
      <c r="BC35" s="230"/>
      <c r="BD35" s="230"/>
      <c r="BE35" s="230"/>
      <c r="BF35" s="230"/>
      <c r="BG35" s="230"/>
      <c r="BH35" s="230"/>
      <c r="BI35" s="230"/>
      <c r="BJ35" s="230"/>
      <c r="BK35" s="230"/>
      <c r="BL35" s="231"/>
      <c r="BM35" s="221"/>
      <c r="BN35" s="221"/>
    </row>
    <row r="36" spans="1:66" s="218" customFormat="1" ht="20.100000000000001" customHeight="1" x14ac:dyDescent="0.45">
      <c r="A36" s="220"/>
      <c r="B36" s="220"/>
      <c r="C36" s="271">
        <f t="shared" si="0"/>
        <v>27</v>
      </c>
      <c r="D36" s="225"/>
      <c r="E36" s="226"/>
      <c r="F36" s="226"/>
      <c r="G36" s="227"/>
      <c r="H36" s="217"/>
      <c r="K36" s="211"/>
      <c r="L36" s="289" t="s">
        <v>160</v>
      </c>
      <c r="M36" s="234"/>
      <c r="N36" s="234"/>
      <c r="O36" s="235"/>
      <c r="P36" s="337" t="s">
        <v>64</v>
      </c>
      <c r="Q36" s="332"/>
      <c r="R36" s="332"/>
      <c r="S36" s="332"/>
      <c r="T36" s="332"/>
      <c r="U36" s="332"/>
      <c r="V36" s="332"/>
      <c r="W36" s="338"/>
      <c r="X36" s="337" t="s">
        <v>46</v>
      </c>
      <c r="Y36" s="332"/>
      <c r="Z36" s="332"/>
      <c r="AA36" s="332"/>
      <c r="AB36" s="332"/>
      <c r="AC36" s="332"/>
      <c r="AD36" s="332"/>
      <c r="AE36" s="338"/>
      <c r="AF36" s="374"/>
      <c r="AG36" s="375"/>
      <c r="AH36" s="375"/>
      <c r="AI36" s="375"/>
      <c r="AJ36" s="375"/>
      <c r="AK36" s="375"/>
      <c r="AL36" s="375"/>
      <c r="AM36" s="375"/>
      <c r="AN36" s="376"/>
      <c r="AO36" s="328">
        <v>45681</v>
      </c>
      <c r="AP36" s="329"/>
      <c r="AQ36" s="327" t="s">
        <v>186</v>
      </c>
      <c r="AR36" s="323"/>
      <c r="AS36" s="327" t="s">
        <v>187</v>
      </c>
      <c r="AT36" s="330"/>
      <c r="AU36" s="232"/>
      <c r="AV36" s="233"/>
      <c r="AW36" s="222"/>
      <c r="AX36" s="223"/>
      <c r="AY36" s="222"/>
      <c r="AZ36" s="228"/>
      <c r="BA36" s="229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1"/>
      <c r="BM36" s="221"/>
      <c r="BN36" s="221"/>
    </row>
    <row r="37" spans="1:66" s="218" customFormat="1" ht="20.100000000000001" customHeight="1" x14ac:dyDescent="0.45">
      <c r="A37" s="220"/>
      <c r="B37" s="220"/>
      <c r="C37" s="271">
        <f t="shared" si="0"/>
        <v>28</v>
      </c>
      <c r="D37" s="225"/>
      <c r="E37" s="226"/>
      <c r="F37" s="226"/>
      <c r="G37" s="227"/>
      <c r="H37" s="217"/>
      <c r="K37" s="211"/>
      <c r="L37" s="266" t="s">
        <v>161</v>
      </c>
      <c r="N37" s="219"/>
      <c r="O37" s="211"/>
      <c r="P37" s="337" t="s">
        <v>64</v>
      </c>
      <c r="Q37" s="332"/>
      <c r="R37" s="332"/>
      <c r="S37" s="332"/>
      <c r="T37" s="332"/>
      <c r="U37" s="332"/>
      <c r="V37" s="332"/>
      <c r="W37" s="338"/>
      <c r="X37" s="337" t="s">
        <v>46</v>
      </c>
      <c r="Y37" s="332"/>
      <c r="Z37" s="332"/>
      <c r="AA37" s="332"/>
      <c r="AB37" s="332"/>
      <c r="AC37" s="332"/>
      <c r="AD37" s="332"/>
      <c r="AE37" s="338"/>
      <c r="AF37" s="374"/>
      <c r="AG37" s="375"/>
      <c r="AH37" s="375"/>
      <c r="AI37" s="375"/>
      <c r="AJ37" s="375"/>
      <c r="AK37" s="375"/>
      <c r="AL37" s="375"/>
      <c r="AM37" s="375"/>
      <c r="AN37" s="376"/>
      <c r="AO37" s="328">
        <v>45681</v>
      </c>
      <c r="AP37" s="329"/>
      <c r="AQ37" s="327" t="s">
        <v>186</v>
      </c>
      <c r="AR37" s="323"/>
      <c r="AS37" s="327" t="s">
        <v>187</v>
      </c>
      <c r="AT37" s="330"/>
      <c r="AU37" s="232"/>
      <c r="AV37" s="233"/>
      <c r="AW37" s="222"/>
      <c r="AX37" s="223"/>
      <c r="AY37" s="222"/>
      <c r="AZ37" s="228"/>
      <c r="BA37" s="229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1"/>
      <c r="BM37" s="221"/>
      <c r="BN37" s="221"/>
    </row>
    <row r="38" spans="1:66" s="218" customFormat="1" ht="20.100000000000001" customHeight="1" x14ac:dyDescent="0.45">
      <c r="A38" s="220"/>
      <c r="B38" s="220"/>
      <c r="C38" s="271">
        <f t="shared" si="0"/>
        <v>29</v>
      </c>
      <c r="D38" s="225"/>
      <c r="E38" s="226"/>
      <c r="F38" s="226"/>
      <c r="G38" s="227"/>
      <c r="H38" s="217"/>
      <c r="K38" s="211"/>
      <c r="L38" s="289" t="s">
        <v>162</v>
      </c>
      <c r="M38" s="234"/>
      <c r="N38" s="234"/>
      <c r="O38" s="235"/>
      <c r="P38" s="337" t="s">
        <v>64</v>
      </c>
      <c r="Q38" s="332"/>
      <c r="R38" s="332"/>
      <c r="S38" s="332"/>
      <c r="T38" s="332"/>
      <c r="U38" s="332"/>
      <c r="V38" s="332"/>
      <c r="W38" s="338"/>
      <c r="X38" s="337" t="s">
        <v>46</v>
      </c>
      <c r="Y38" s="332"/>
      <c r="Z38" s="332"/>
      <c r="AA38" s="332"/>
      <c r="AB38" s="332"/>
      <c r="AC38" s="332"/>
      <c r="AD38" s="332"/>
      <c r="AE38" s="338"/>
      <c r="AF38" s="374"/>
      <c r="AG38" s="375"/>
      <c r="AH38" s="375"/>
      <c r="AI38" s="375"/>
      <c r="AJ38" s="375"/>
      <c r="AK38" s="375"/>
      <c r="AL38" s="375"/>
      <c r="AM38" s="375"/>
      <c r="AN38" s="376"/>
      <c r="AO38" s="328">
        <v>45681</v>
      </c>
      <c r="AP38" s="329"/>
      <c r="AQ38" s="327" t="s">
        <v>186</v>
      </c>
      <c r="AR38" s="323"/>
      <c r="AS38" s="327" t="s">
        <v>187</v>
      </c>
      <c r="AT38" s="330"/>
      <c r="AU38" s="232"/>
      <c r="AV38" s="233"/>
      <c r="AW38" s="222"/>
      <c r="AX38" s="223"/>
      <c r="AY38" s="222"/>
      <c r="AZ38" s="228"/>
      <c r="BA38" s="229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1"/>
      <c r="BM38" s="221"/>
      <c r="BN38" s="221"/>
    </row>
    <row r="39" spans="1:66" s="192" customFormat="1" ht="19.8" customHeight="1" x14ac:dyDescent="0.45">
      <c r="A39" s="193"/>
      <c r="B39" s="193"/>
      <c r="C39" s="271">
        <f t="shared" si="0"/>
        <v>30</v>
      </c>
      <c r="D39" s="206"/>
      <c r="E39" s="207"/>
      <c r="F39" s="207"/>
      <c r="G39" s="208"/>
      <c r="H39" s="217"/>
      <c r="K39" s="211"/>
      <c r="L39" s="289" t="s">
        <v>163</v>
      </c>
      <c r="M39" s="234"/>
      <c r="N39" s="234"/>
      <c r="O39" s="235"/>
      <c r="P39" s="337" t="s">
        <v>64</v>
      </c>
      <c r="Q39" s="332"/>
      <c r="R39" s="332"/>
      <c r="S39" s="332"/>
      <c r="T39" s="332"/>
      <c r="U39" s="332"/>
      <c r="V39" s="332"/>
      <c r="W39" s="338"/>
      <c r="X39" s="337" t="s">
        <v>46</v>
      </c>
      <c r="Y39" s="332"/>
      <c r="Z39" s="332"/>
      <c r="AA39" s="332"/>
      <c r="AB39" s="332"/>
      <c r="AC39" s="332"/>
      <c r="AD39" s="332"/>
      <c r="AE39" s="338"/>
      <c r="AF39" s="374"/>
      <c r="AG39" s="375"/>
      <c r="AH39" s="375"/>
      <c r="AI39" s="375"/>
      <c r="AJ39" s="375"/>
      <c r="AK39" s="375"/>
      <c r="AL39" s="375"/>
      <c r="AM39" s="375"/>
      <c r="AN39" s="376"/>
      <c r="AO39" s="328">
        <v>45681</v>
      </c>
      <c r="AP39" s="329"/>
      <c r="AQ39" s="327" t="s">
        <v>186</v>
      </c>
      <c r="AR39" s="323"/>
      <c r="AS39" s="327" t="s">
        <v>187</v>
      </c>
      <c r="AT39" s="330"/>
      <c r="AU39" s="203"/>
      <c r="AV39" s="204"/>
      <c r="AW39" s="195"/>
      <c r="AX39" s="196"/>
      <c r="AY39" s="195"/>
      <c r="AZ39" s="205"/>
      <c r="BA39" s="197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9"/>
      <c r="BM39" s="194"/>
      <c r="BN39" s="194"/>
    </row>
    <row r="40" spans="1:66" s="218" customFormat="1" ht="20.100000000000001" customHeight="1" x14ac:dyDescent="0.45">
      <c r="A40" s="220"/>
      <c r="B40" s="220"/>
      <c r="C40" s="271">
        <f t="shared" si="0"/>
        <v>31</v>
      </c>
      <c r="D40" s="225"/>
      <c r="E40" s="226"/>
      <c r="F40" s="226"/>
      <c r="G40" s="227"/>
      <c r="H40" s="217"/>
      <c r="K40" s="211"/>
      <c r="L40" s="266" t="s">
        <v>164</v>
      </c>
      <c r="N40" s="219"/>
      <c r="O40" s="211"/>
      <c r="P40" s="337" t="s">
        <v>64</v>
      </c>
      <c r="Q40" s="332"/>
      <c r="R40" s="332"/>
      <c r="S40" s="332"/>
      <c r="T40" s="332"/>
      <c r="U40" s="332"/>
      <c r="V40" s="332"/>
      <c r="W40" s="338"/>
      <c r="X40" s="337" t="s">
        <v>46</v>
      </c>
      <c r="Y40" s="332"/>
      <c r="Z40" s="332"/>
      <c r="AA40" s="332"/>
      <c r="AB40" s="332"/>
      <c r="AC40" s="332"/>
      <c r="AD40" s="332"/>
      <c r="AE40" s="338"/>
      <c r="AF40" s="374"/>
      <c r="AG40" s="375"/>
      <c r="AH40" s="375"/>
      <c r="AI40" s="375"/>
      <c r="AJ40" s="375"/>
      <c r="AK40" s="375"/>
      <c r="AL40" s="375"/>
      <c r="AM40" s="375"/>
      <c r="AN40" s="376"/>
      <c r="AO40" s="328">
        <v>45681</v>
      </c>
      <c r="AP40" s="329"/>
      <c r="AQ40" s="327" t="s">
        <v>186</v>
      </c>
      <c r="AR40" s="323"/>
      <c r="AS40" s="327" t="s">
        <v>187</v>
      </c>
      <c r="AT40" s="330"/>
      <c r="AU40" s="232"/>
      <c r="AV40" s="233"/>
      <c r="AW40" s="222"/>
      <c r="AX40" s="223"/>
      <c r="AY40" s="222"/>
      <c r="AZ40" s="228"/>
      <c r="BA40" s="229"/>
      <c r="BB40" s="230"/>
      <c r="BC40" s="230"/>
      <c r="BD40" s="230"/>
      <c r="BE40" s="230"/>
      <c r="BF40" s="230"/>
      <c r="BG40" s="230"/>
      <c r="BH40" s="230"/>
      <c r="BI40" s="230"/>
      <c r="BJ40" s="230"/>
      <c r="BK40" s="230"/>
      <c r="BL40" s="231"/>
      <c r="BM40" s="221"/>
      <c r="BN40" s="221"/>
    </row>
    <row r="41" spans="1:66" ht="20.100000000000001" customHeight="1" x14ac:dyDescent="0.45">
      <c r="A41" s="69"/>
      <c r="B41" s="69"/>
      <c r="C41" s="271">
        <f t="shared" si="0"/>
        <v>32</v>
      </c>
      <c r="D41" s="81"/>
      <c r="E41" s="82"/>
      <c r="F41" s="82"/>
      <c r="G41" s="83"/>
      <c r="H41" s="384" t="s">
        <v>49</v>
      </c>
      <c r="I41" s="385"/>
      <c r="J41" s="385"/>
      <c r="K41" s="386"/>
      <c r="L41" s="387" t="s">
        <v>50</v>
      </c>
      <c r="M41" s="335"/>
      <c r="N41" s="335"/>
      <c r="O41" s="388"/>
      <c r="P41" s="387" t="s">
        <v>68</v>
      </c>
      <c r="Q41" s="335"/>
      <c r="R41" s="335"/>
      <c r="S41" s="335"/>
      <c r="T41" s="335"/>
      <c r="U41" s="335"/>
      <c r="V41" s="335"/>
      <c r="W41" s="388"/>
      <c r="X41" s="387" t="s">
        <v>51</v>
      </c>
      <c r="Y41" s="335"/>
      <c r="Z41" s="335"/>
      <c r="AA41" s="335"/>
      <c r="AB41" s="335"/>
      <c r="AC41" s="335"/>
      <c r="AD41" s="335"/>
      <c r="AE41" s="336"/>
      <c r="AF41" s="84"/>
      <c r="AG41" s="85"/>
      <c r="AH41" s="85"/>
      <c r="AI41" s="85"/>
      <c r="AJ41" s="85"/>
      <c r="AK41" s="85"/>
      <c r="AL41" s="85"/>
      <c r="AM41" s="85"/>
      <c r="AN41" s="90"/>
      <c r="AO41" s="328">
        <v>45681</v>
      </c>
      <c r="AP41" s="329"/>
      <c r="AQ41" s="327" t="s">
        <v>186</v>
      </c>
      <c r="AR41" s="323"/>
      <c r="AS41" s="327" t="s">
        <v>187</v>
      </c>
      <c r="AT41" s="330"/>
      <c r="AU41" s="91"/>
      <c r="AV41" s="92"/>
      <c r="AW41" s="75"/>
      <c r="AX41" s="76"/>
      <c r="AY41" s="75"/>
      <c r="AZ41" s="86"/>
      <c r="BA41" s="87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BM41" s="72"/>
      <c r="BN41" s="72"/>
    </row>
    <row r="42" spans="1:66" ht="20.100000000000001" customHeight="1" thickBot="1" x14ac:dyDescent="0.5">
      <c r="A42" s="69"/>
      <c r="B42" s="69"/>
      <c r="C42" s="271">
        <f t="shared" si="0"/>
        <v>33</v>
      </c>
      <c r="D42" s="81"/>
      <c r="E42" s="82"/>
      <c r="F42" s="82"/>
      <c r="G42" s="83"/>
      <c r="H42" s="377"/>
      <c r="I42" s="378"/>
      <c r="J42" s="378"/>
      <c r="K42" s="379"/>
      <c r="L42" s="380" t="s">
        <v>52</v>
      </c>
      <c r="M42" s="381"/>
      <c r="N42" s="381"/>
      <c r="O42" s="382"/>
      <c r="P42" s="380" t="s">
        <v>69</v>
      </c>
      <c r="Q42" s="381"/>
      <c r="R42" s="381"/>
      <c r="S42" s="381"/>
      <c r="T42" s="381"/>
      <c r="U42" s="381"/>
      <c r="V42" s="381"/>
      <c r="W42" s="382"/>
      <c r="X42" s="380" t="s">
        <v>51</v>
      </c>
      <c r="Y42" s="381"/>
      <c r="Z42" s="381"/>
      <c r="AA42" s="381"/>
      <c r="AB42" s="381"/>
      <c r="AC42" s="381"/>
      <c r="AD42" s="381"/>
      <c r="AE42" s="383"/>
      <c r="AF42" s="84"/>
      <c r="AG42" s="85"/>
      <c r="AH42" s="85"/>
      <c r="AI42" s="85"/>
      <c r="AJ42" s="85"/>
      <c r="AK42" s="85"/>
      <c r="AL42" s="85"/>
      <c r="AM42" s="85"/>
      <c r="AN42" s="90"/>
      <c r="AO42" s="328">
        <v>45681</v>
      </c>
      <c r="AP42" s="329"/>
      <c r="AQ42" s="327" t="s">
        <v>186</v>
      </c>
      <c r="AR42" s="323"/>
      <c r="AS42" s="327" t="s">
        <v>187</v>
      </c>
      <c r="AT42" s="330"/>
      <c r="AU42" s="91"/>
      <c r="AV42" s="92"/>
      <c r="AW42" s="75"/>
      <c r="AX42" s="76"/>
      <c r="AY42" s="75"/>
      <c r="AZ42" s="86"/>
      <c r="BA42" s="87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9"/>
      <c r="BM42" s="72"/>
      <c r="BN42" s="72"/>
    </row>
    <row r="43" spans="1:66" ht="20.100000000000001" customHeight="1" thickTop="1" thickBot="1" x14ac:dyDescent="0.5">
      <c r="A43" s="69"/>
      <c r="B43" s="68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68"/>
      <c r="BN43" s="72"/>
    </row>
    <row r="44" spans="1:66" ht="5.0999999999999996" customHeight="1" thickTop="1" x14ac:dyDescent="0.45"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</row>
    <row r="45" spans="1:66" ht="20.100000000000001" customHeight="1" x14ac:dyDescent="0.45"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</row>
  </sheetData>
  <mergeCells count="214">
    <mergeCell ref="H42:K42"/>
    <mergeCell ref="L42:O42"/>
    <mergeCell ref="P42:W42"/>
    <mergeCell ref="X42:AE42"/>
    <mergeCell ref="H41:K41"/>
    <mergeCell ref="L41:O41"/>
    <mergeCell ref="P41:W41"/>
    <mergeCell ref="X41:AE41"/>
    <mergeCell ref="P29:W29"/>
    <mergeCell ref="P30:W30"/>
    <mergeCell ref="P31:W31"/>
    <mergeCell ref="X29:AE29"/>
    <mergeCell ref="X30:AE30"/>
    <mergeCell ref="X31:AE31"/>
    <mergeCell ref="P38:W38"/>
    <mergeCell ref="P39:W39"/>
    <mergeCell ref="P40:W40"/>
    <mergeCell ref="AS9:AT9"/>
    <mergeCell ref="AU9:AV9"/>
    <mergeCell ref="AW9:AX9"/>
    <mergeCell ref="X36:AE36"/>
    <mergeCell ref="X37:AE37"/>
    <mergeCell ref="X38:AE38"/>
    <mergeCell ref="X39:AE39"/>
    <mergeCell ref="X40:AE40"/>
    <mergeCell ref="X25:AE25"/>
    <mergeCell ref="X24:AE24"/>
    <mergeCell ref="AF36:AN36"/>
    <mergeCell ref="AF37:AN37"/>
    <mergeCell ref="AF38:AN38"/>
    <mergeCell ref="AF39:AN39"/>
    <mergeCell ref="AF40:AN40"/>
    <mergeCell ref="X11:AE11"/>
    <mergeCell ref="X12:AE12"/>
    <mergeCell ref="X13:AE13"/>
    <mergeCell ref="X14:AE14"/>
    <mergeCell ref="X16:AE16"/>
    <mergeCell ref="X17:AE17"/>
    <mergeCell ref="X18:AE18"/>
    <mergeCell ref="AO10:AP10"/>
    <mergeCell ref="AQ10:AR10"/>
    <mergeCell ref="AX2:BA2"/>
    <mergeCell ref="BB2:BE2"/>
    <mergeCell ref="AK2:AW2"/>
    <mergeCell ref="P33:W33"/>
    <mergeCell ref="P34:W34"/>
    <mergeCell ref="P35:W35"/>
    <mergeCell ref="X33:AE33"/>
    <mergeCell ref="X34:AE34"/>
    <mergeCell ref="X35:AE35"/>
    <mergeCell ref="AF33:AN33"/>
    <mergeCell ref="AF34:AN34"/>
    <mergeCell ref="AF35:AN35"/>
    <mergeCell ref="AY9:AZ9"/>
    <mergeCell ref="BA9:BL9"/>
    <mergeCell ref="AF24:AN24"/>
    <mergeCell ref="AO9:AP9"/>
    <mergeCell ref="AQ9:AR9"/>
    <mergeCell ref="BF2:BI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B2:G2"/>
    <mergeCell ref="H2:K2"/>
    <mergeCell ref="L2:Q2"/>
    <mergeCell ref="R2:W2"/>
    <mergeCell ref="X2:AJ2"/>
    <mergeCell ref="P26:W26"/>
    <mergeCell ref="P27:W27"/>
    <mergeCell ref="P28:W28"/>
    <mergeCell ref="P32:W32"/>
    <mergeCell ref="X26:AE26"/>
    <mergeCell ref="X27:AE27"/>
    <mergeCell ref="X28:AE28"/>
    <mergeCell ref="X32:AE32"/>
    <mergeCell ref="AF25:AN25"/>
    <mergeCell ref="AF26:AN26"/>
    <mergeCell ref="AF27:AN27"/>
    <mergeCell ref="AF28:AN28"/>
    <mergeCell ref="AF32:AN32"/>
    <mergeCell ref="D24:G24"/>
    <mergeCell ref="H24:K24"/>
    <mergeCell ref="L24:O24"/>
    <mergeCell ref="B3:G4"/>
    <mergeCell ref="H3:K4"/>
    <mergeCell ref="L3:Q4"/>
    <mergeCell ref="R3:W4"/>
    <mergeCell ref="X3:AJ4"/>
    <mergeCell ref="P25:W25"/>
    <mergeCell ref="P24:W24"/>
    <mergeCell ref="P36:W36"/>
    <mergeCell ref="P37:W37"/>
    <mergeCell ref="L20:O20"/>
    <mergeCell ref="P20:W20"/>
    <mergeCell ref="X20:AE20"/>
    <mergeCell ref="L15:O15"/>
    <mergeCell ref="P15:W15"/>
    <mergeCell ref="X15:AE15"/>
    <mergeCell ref="L10:O10"/>
    <mergeCell ref="P10:W10"/>
    <mergeCell ref="X10:AE10"/>
    <mergeCell ref="X19:AE19"/>
    <mergeCell ref="X21:AE21"/>
    <mergeCell ref="X22:AE22"/>
    <mergeCell ref="X23:AE23"/>
    <mergeCell ref="AS10:AT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41:AP41"/>
    <mergeCell ref="AQ41:AR41"/>
    <mergeCell ref="AS41:AT41"/>
    <mergeCell ref="AO42:AP42"/>
    <mergeCell ref="AQ42:AR42"/>
    <mergeCell ref="AS42:AT42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</mergeCells>
  <phoneticPr fontId="2"/>
  <conditionalFormatting sqref="AY10:AY42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10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1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2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13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14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5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6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7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8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9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0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1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2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3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4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5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6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7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8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9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0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1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2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3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4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5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6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7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8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9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40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4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2 AS10:AS4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2025-02-27T03:50:17Z</dcterms:modified>
</cp:coreProperties>
</file>