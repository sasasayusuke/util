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firstSheet="1" activeTab="1"/>
  </bookViews>
  <sheets>
    <sheet name="変更履歴" sheetId="1" r:id="rId1"/>
    <sheet name="画面" sheetId="19" r:id="rId2"/>
    <sheet name="帳票(PDF)" sheetId="21" r:id="rId3"/>
    <sheet name="帳票(インポート)" sheetId="22" r:id="rId4"/>
    <sheet name="帳票(エラーリスト)" sheetId="23" r:id="rId5"/>
    <sheet name="参照" sheetId="12" state="hidden" r:id="rId6"/>
  </sheets>
  <definedNames>
    <definedName name="_xlnm.Print_Area" localSheetId="1">画面!$A$1:$BN$23</definedName>
    <definedName name="_xlnm.Print_Area" localSheetId="2">'帳票(PDF)'!$A$1:$BN$28</definedName>
    <definedName name="_xlnm.Print_Area" localSheetId="3">'帳票(インポート)'!$A$1:$BN$34</definedName>
    <definedName name="_xlnm.Print_Area" localSheetId="4">'帳票(エラーリスト)'!$A$1:$BN$25</definedName>
    <definedName name="_xlnm.Print_Area" localSheetId="0">変更履歴!$A$1:$BN$49</definedName>
    <definedName name="_xlnm.Print_Titles" localSheetId="1">画面!$1:$5</definedName>
    <definedName name="_xlnm.Print_Titles" localSheetId="2">'帳票(PDF)'!$1:$5</definedName>
    <definedName name="_xlnm.Print_Titles" localSheetId="3">'帳票(インポート)'!$1:$5</definedName>
    <definedName name="_xlnm.Print_Titles" localSheetId="4">'帳票(エラーリスト)'!$1:$5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1" i="21" l="1"/>
  <c r="C15" i="19" l="1"/>
  <c r="C16" i="19"/>
  <c r="C11" i="21" l="1"/>
  <c r="C12" i="21"/>
  <c r="C13" i="21"/>
  <c r="C14" i="21"/>
  <c r="C15" i="21"/>
  <c r="C16" i="21"/>
  <c r="C17" i="21"/>
  <c r="C18" i="21"/>
  <c r="C19" i="21"/>
  <c r="C20" i="21"/>
  <c r="C22" i="21"/>
  <c r="C23" i="21"/>
  <c r="C24" i="21"/>
  <c r="C25" i="21"/>
  <c r="C26" i="21"/>
  <c r="C11" i="22"/>
  <c r="C12" i="22"/>
  <c r="C13" i="22"/>
  <c r="C14" i="22"/>
  <c r="C15" i="22"/>
  <c r="C16" i="22"/>
  <c r="C17" i="22"/>
  <c r="C18" i="22"/>
  <c r="C19" i="22"/>
  <c r="C20" i="22"/>
  <c r="C21" i="22"/>
  <c r="C22" i="22"/>
  <c r="C23" i="22"/>
  <c r="C24" i="22"/>
  <c r="C25" i="22"/>
  <c r="C26" i="22"/>
  <c r="C27" i="22"/>
  <c r="C28" i="22"/>
  <c r="C29" i="22"/>
  <c r="C30" i="22"/>
  <c r="C31" i="22"/>
  <c r="C32" i="22"/>
  <c r="C11" i="23"/>
  <c r="C12" i="23"/>
  <c r="C13" i="23"/>
  <c r="C14" i="23"/>
  <c r="C15" i="23"/>
  <c r="C16" i="23"/>
  <c r="C17" i="23"/>
  <c r="C18" i="23"/>
  <c r="C19" i="23"/>
  <c r="C20" i="23"/>
  <c r="C21" i="23"/>
  <c r="C22" i="23"/>
  <c r="C23" i="23"/>
  <c r="C19" i="19"/>
  <c r="C20" i="19"/>
  <c r="C21" i="19"/>
  <c r="C11" i="19"/>
  <c r="C12" i="19"/>
  <c r="C13" i="19"/>
  <c r="C14" i="19"/>
  <c r="C17" i="19"/>
  <c r="C18" i="19"/>
  <c r="C10" i="23" l="1"/>
  <c r="BI8" i="23"/>
  <c r="BJ3" i="23"/>
  <c r="BF3" i="23"/>
  <c r="BB3" i="23"/>
  <c r="AX3" i="23"/>
  <c r="L3" i="23"/>
  <c r="B3" i="23"/>
  <c r="C10" i="22"/>
  <c r="BI8" i="22"/>
  <c r="BJ3" i="22"/>
  <c r="BF3" i="22"/>
  <c r="BB3" i="22"/>
  <c r="AX3" i="22"/>
  <c r="L3" i="22"/>
  <c r="B3" i="22"/>
  <c r="BG8" i="23" l="1"/>
  <c r="BK8" i="23" s="1"/>
  <c r="BG8" i="22" l="1"/>
  <c r="BK8" i="22" s="1"/>
  <c r="C10" i="21"/>
  <c r="BI8" i="21"/>
  <c r="BJ3" i="21"/>
  <c r="BF3" i="21"/>
  <c r="BB3" i="21"/>
  <c r="AX3" i="21"/>
  <c r="L3" i="21"/>
  <c r="B3" i="21"/>
  <c r="L3" i="19" l="1"/>
  <c r="B3" i="19"/>
  <c r="C10" i="19" l="1"/>
  <c r="BI8" i="19"/>
  <c r="BJ3" i="19"/>
  <c r="BF3" i="19"/>
  <c r="BB3" i="19"/>
  <c r="AX3" i="19"/>
  <c r="X3" i="1" l="1"/>
  <c r="X3" i="22" l="1"/>
  <c r="X3" i="23"/>
  <c r="X3" i="19"/>
  <c r="X3" i="21"/>
  <c r="H3" i="1"/>
  <c r="R3" i="1"/>
  <c r="AK3" i="1"/>
  <c r="H3" i="22" l="1"/>
  <c r="H3" i="23"/>
  <c r="R3" i="22"/>
  <c r="R3" i="23"/>
  <c r="AK3" i="22"/>
  <c r="AK3" i="23"/>
  <c r="AK3" i="19"/>
  <c r="AK3" i="21"/>
  <c r="H3" i="19"/>
  <c r="H3" i="21"/>
  <c r="R3" i="19"/>
  <c r="R3" i="21"/>
  <c r="BG8" i="21" l="1"/>
  <c r="BK8" i="21" s="1"/>
  <c r="BG8" i="19" l="1"/>
  <c r="BK8" i="19" s="1"/>
</calcChain>
</file>

<file path=xl/sharedStrings.xml><?xml version="1.0" encoding="utf-8"?>
<sst xmlns="http://schemas.openxmlformats.org/spreadsheetml/2006/main" count="547" uniqueCount="145">
  <si>
    <t>システム名</t>
    <rPh sb="4" eb="5">
      <t>メイ</t>
    </rPh>
    <phoneticPr fontId="2"/>
  </si>
  <si>
    <t>業務分類</t>
    <rPh sb="0" eb="2">
      <t>ギョウム</t>
    </rPh>
    <rPh sb="2" eb="4">
      <t>ブンルイ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</si>
  <si>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</si>
  <si>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</si>
  <si>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</si>
  <si>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</si>
  <si>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</si>
  <si>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</si>
  <si>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運用自動化</t>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</si>
  <si>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</si>
  <si>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</si>
  <si>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</si>
  <si>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</si>
  <si>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</si>
  <si>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</si>
  <si>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</si>
  <si>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</si>
  <si>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</si>
  <si>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</si>
  <si>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</si>
  <si>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</si>
  <si>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</si>
  <si>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</si>
  <si>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</si>
  <si>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</si>
  <si>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</si>
  <si>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</si>
  <si>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</si>
  <si>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</si>
  <si>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</si>
  <si>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</si>
  <si>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</si>
  <si>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</si>
  <si>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試験ID</t>
    <rPh sb="0" eb="2">
      <t>シケン</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</si>
  <si>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</si>
  <si>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</si>
  <si>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</si>
  <si>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</si>
  <si>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</si>
  <si>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</si>
  <si>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</si>
  <si>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</si>
  <si>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画面</t>
    <rPh sb="0" eb="2">
      <t>ガメン</t>
    </rPh>
    <phoneticPr fontId="2"/>
  </si>
  <si>
    <t>初期表示</t>
    <rPh sb="0" eb="4">
      <t>ショキヒョウジ</t>
    </rPh>
    <phoneticPr fontId="2"/>
  </si>
  <si>
    <t>システム名</t>
  </si>
  <si>
    <t>業務分類</t>
  </si>
  <si>
    <t>システム分類</t>
  </si>
  <si>
    <t>ドキュメント種別</t>
  </si>
  <si>
    <t>ドキュメント名</t>
  </si>
  <si>
    <t>試験対象</t>
  </si>
  <si>
    <t>出力バリエーション</t>
    <phoneticPr fontId="2"/>
  </si>
  <si>
    <t>現行システムと同じデータが出力されること</t>
  </si>
  <si>
    <t>現行システムと同じデータが出力されること</t>
    <phoneticPr fontId="2"/>
  </si>
  <si>
    <t>出力種類</t>
    <phoneticPr fontId="2"/>
  </si>
  <si>
    <t>終了の確認メッセージが表示されること</t>
    <rPh sb="0" eb="2">
      <t>シュウリョウ</t>
    </rPh>
    <rPh sb="3" eb="5">
      <t>カクニン</t>
    </rPh>
    <rPh sb="11" eb="13">
      <t>ヒョウジ</t>
    </rPh>
    <phoneticPr fontId="2"/>
  </si>
  <si>
    <t>終了ボタン</t>
    <rPh sb="0" eb="2">
      <t>シュウリョウ</t>
    </rPh>
    <phoneticPr fontId="2"/>
  </si>
  <si>
    <t>終了ボタンを押下する</t>
    <rPh sb="0" eb="2">
      <t>シュウリョウ</t>
    </rPh>
    <rPh sb="6" eb="8">
      <t>オウカ</t>
    </rPh>
    <phoneticPr fontId="2"/>
  </si>
  <si>
    <t>出力内容</t>
    <rPh sb="0" eb="4">
      <t>シュツリョクナイヨウ</t>
    </rPh>
    <phoneticPr fontId="2"/>
  </si>
  <si>
    <t>動作確認</t>
    <rPh sb="0" eb="2">
      <t>ドウサ</t>
    </rPh>
    <rPh sb="2" eb="4">
      <t>カクニン</t>
    </rPh>
    <phoneticPr fontId="2"/>
  </si>
  <si>
    <t>処理区分</t>
    <rPh sb="0" eb="4">
      <t>ショリクブン</t>
    </rPh>
    <phoneticPr fontId="2"/>
  </si>
  <si>
    <t>リスト出力</t>
    <rPh sb="3" eb="5">
      <t>シュツリョク</t>
    </rPh>
    <phoneticPr fontId="2"/>
  </si>
  <si>
    <t>ラジオボタンが活性、かつ、「する」が選択されている状態</t>
    <rPh sb="7" eb="9">
      <t>カッセイ</t>
    </rPh>
    <rPh sb="18" eb="20">
      <t>センタク</t>
    </rPh>
    <rPh sb="25" eb="27">
      <t>ジョウタイ</t>
    </rPh>
    <phoneticPr fontId="2"/>
  </si>
  <si>
    <t>ラジオボタンが活性、かつ、「チェックのみ」が選択されている状態</t>
    <rPh sb="7" eb="9">
      <t>カッセイ</t>
    </rPh>
    <rPh sb="22" eb="24">
      <t>センタク</t>
    </rPh>
    <rPh sb="29" eb="31">
      <t>ジョウタイ</t>
    </rPh>
    <phoneticPr fontId="2"/>
  </si>
  <si>
    <t>メッセージが出力され、実行されないこと</t>
    <rPh sb="6" eb="8">
      <t>シュツリョク</t>
    </rPh>
    <rPh sb="11" eb="13">
      <t>ジッコウ</t>
    </rPh>
    <phoneticPr fontId="2"/>
  </si>
  <si>
    <t>形式が不十分なファイルを選択し実行ボタンを押下する</t>
    <rPh sb="0" eb="2">
      <t>ケイシキ</t>
    </rPh>
    <rPh sb="3" eb="6">
      <t>フジュウブン</t>
    </rPh>
    <rPh sb="15" eb="17">
      <t>ジッコウ</t>
    </rPh>
    <rPh sb="21" eb="23">
      <t>オウカ</t>
    </rPh>
    <phoneticPr fontId="2"/>
  </si>
  <si>
    <t>処理区分・リスト出力</t>
    <rPh sb="0" eb="4">
      <t>ショリクブン</t>
    </rPh>
    <rPh sb="8" eb="10">
      <t>シュツリョク</t>
    </rPh>
    <phoneticPr fontId="2"/>
  </si>
  <si>
    <t>処理区分「チェックする」、リスト出力「しない」を選択して実行を押下</t>
    <rPh sb="0" eb="2">
      <t>ショリ</t>
    </rPh>
    <rPh sb="2" eb="4">
      <t>クブン</t>
    </rPh>
    <rPh sb="16" eb="18">
      <t>シュツリョク</t>
    </rPh>
    <rPh sb="24" eb="26">
      <t>センタク</t>
    </rPh>
    <rPh sb="28" eb="30">
      <t>ジッコウ</t>
    </rPh>
    <rPh sb="31" eb="33">
      <t>オウカ</t>
    </rPh>
    <phoneticPr fontId="2"/>
  </si>
  <si>
    <t>処理区分「チェックする」、リスト出力「する」を選択して実行を押下</t>
    <rPh sb="0" eb="2">
      <t>ショリ</t>
    </rPh>
    <rPh sb="2" eb="4">
      <t>クブン</t>
    </rPh>
    <rPh sb="16" eb="18">
      <t>シュツリョク</t>
    </rPh>
    <rPh sb="23" eb="25">
      <t>センタク</t>
    </rPh>
    <rPh sb="27" eb="29">
      <t>ジッコウ</t>
    </rPh>
    <rPh sb="30" eb="32">
      <t>オウカ</t>
    </rPh>
    <phoneticPr fontId="2"/>
  </si>
  <si>
    <t>実行ボタンを押下</t>
  </si>
  <si>
    <t>実行ボタンを押下</t>
    <rPh sb="0" eb="2">
      <t>ジッコウ</t>
    </rPh>
    <phoneticPr fontId="2"/>
  </si>
  <si>
    <t>実行ボタン</t>
    <rPh sb="0" eb="2">
      <t>ジッコウ</t>
    </rPh>
    <phoneticPr fontId="2"/>
  </si>
  <si>
    <t>摘要</t>
  </si>
  <si>
    <t>PDF形式で出力されること</t>
    <rPh sb="3" eb="5">
      <t>ケイシキ</t>
    </rPh>
    <rPh sb="6" eb="8">
      <t>シュツリョク</t>
    </rPh>
    <phoneticPr fontId="2"/>
  </si>
  <si>
    <t>メニューより経費取込処理を起動する</t>
    <rPh sb="13" eb="15">
      <t>キドウ</t>
    </rPh>
    <phoneticPr fontId="2"/>
  </si>
  <si>
    <t>取込先</t>
    <rPh sb="0" eb="2">
      <t>トリコミ</t>
    </rPh>
    <rPh sb="2" eb="3">
      <t>サキ</t>
    </rPh>
    <phoneticPr fontId="2"/>
  </si>
  <si>
    <t>ページ確認</t>
    <rPh sb="3" eb="5">
      <t>カクニン</t>
    </rPh>
    <phoneticPr fontId="2"/>
  </si>
  <si>
    <t>単ページ</t>
    <rPh sb="0" eb="1">
      <t>タン</t>
    </rPh>
    <phoneticPr fontId="2"/>
  </si>
  <si>
    <t>複数ページとならないデータで出力ボタンを押下</t>
    <rPh sb="0" eb="2">
      <t>フクスウ</t>
    </rPh>
    <rPh sb="14" eb="16">
      <t>シュツリョク</t>
    </rPh>
    <rPh sb="20" eb="22">
      <t>オウカ</t>
    </rPh>
    <phoneticPr fontId="2"/>
  </si>
  <si>
    <t>現行システムと同じデータが出力されること</t>
    <rPh sb="0" eb="2">
      <t>ゲンコウ</t>
    </rPh>
    <rPh sb="7" eb="8">
      <t>オナ</t>
    </rPh>
    <rPh sb="13" eb="15">
      <t>シュツリョク</t>
    </rPh>
    <phoneticPr fontId="2"/>
  </si>
  <si>
    <t>複数ページ</t>
    <rPh sb="0" eb="2">
      <t>フクスウ</t>
    </rPh>
    <phoneticPr fontId="2"/>
  </si>
  <si>
    <t>複数ページとなるデータで出力ボタンを押下</t>
    <rPh sb="0" eb="2">
      <t>フクスウ</t>
    </rPh>
    <rPh sb="12" eb="14">
      <t>シュツリョク</t>
    </rPh>
    <rPh sb="18" eb="20">
      <t>オウカ</t>
    </rPh>
    <phoneticPr fontId="2"/>
  </si>
  <si>
    <t>作成日</t>
  </si>
  <si>
    <t>日付</t>
  </si>
  <si>
    <t>科目CD</t>
  </si>
  <si>
    <t>補助CD</t>
  </si>
  <si>
    <t>科目名</t>
  </si>
  <si>
    <t>金額</t>
  </si>
  <si>
    <t>消費税</t>
  </si>
  <si>
    <t>担当者CD</t>
  </si>
  <si>
    <t>担当者名</t>
  </si>
  <si>
    <t>処理区分「取込」、リスト出力「する」を選択して実行を押下</t>
    <rPh sb="0" eb="2">
      <t>ショリ</t>
    </rPh>
    <rPh sb="2" eb="4">
      <t>クブン</t>
    </rPh>
    <rPh sb="5" eb="7">
      <t>トリコミ</t>
    </rPh>
    <rPh sb="12" eb="14">
      <t>シュツリョク</t>
    </rPh>
    <rPh sb="19" eb="21">
      <t>センタク</t>
    </rPh>
    <rPh sb="23" eb="25">
      <t>ジッコウ</t>
    </rPh>
    <rPh sb="26" eb="28">
      <t>オウカ</t>
    </rPh>
    <phoneticPr fontId="2"/>
  </si>
  <si>
    <t>処理区分「取込」、リスト出力「しない」を選択して実行を押下</t>
    <rPh sb="0" eb="2">
      <t>ショリ</t>
    </rPh>
    <rPh sb="2" eb="4">
      <t>クブン</t>
    </rPh>
    <rPh sb="12" eb="14">
      <t>シュツリョク</t>
    </rPh>
    <rPh sb="20" eb="22">
      <t>センタク</t>
    </rPh>
    <rPh sb="24" eb="26">
      <t>ジッコウ</t>
    </rPh>
    <rPh sb="27" eb="29">
      <t>オウカ</t>
    </rPh>
    <phoneticPr fontId="2"/>
  </si>
  <si>
    <t>経費番号</t>
  </si>
  <si>
    <t>経費日付</t>
  </si>
  <si>
    <t>初期登録日</t>
  </si>
  <si>
    <t>登録変更日</t>
  </si>
  <si>
    <t>枝番</t>
  </si>
  <si>
    <t>購入先名</t>
  </si>
  <si>
    <t>科目摘要cd</t>
  </si>
  <si>
    <t>消費税額</t>
  </si>
  <si>
    <t>貸方科目CD</t>
  </si>
  <si>
    <t>補助科目CD</t>
  </si>
  <si>
    <t>削除日付</t>
    <rPh sb="0" eb="2">
      <t>サクジョ</t>
    </rPh>
    <rPh sb="2" eb="4">
      <t>ヒヅケ</t>
    </rPh>
    <phoneticPr fontId="2"/>
  </si>
  <si>
    <t>入力項目が活性かつ、空欄であること</t>
    <rPh sb="0" eb="4">
      <t>ニュウリョクコウモク</t>
    </rPh>
    <rPh sb="5" eb="7">
      <t>カッセイ</t>
    </rPh>
    <rPh sb="10" eb="12">
      <t>クウラン</t>
    </rPh>
    <phoneticPr fontId="2"/>
  </si>
  <si>
    <t>エラー確認</t>
    <phoneticPr fontId="2"/>
  </si>
  <si>
    <t>削除日付(From)</t>
    <rPh sb="0" eb="2">
      <t>サクジョ</t>
    </rPh>
    <rPh sb="2" eb="4">
      <t>ヒヅケ</t>
    </rPh>
    <phoneticPr fontId="2"/>
  </si>
  <si>
    <t>削除日付(To)</t>
    <rPh sb="0" eb="2">
      <t>サクジョ</t>
    </rPh>
    <rPh sb="2" eb="4">
      <t>ヒヅケ</t>
    </rPh>
    <phoneticPr fontId="2"/>
  </si>
  <si>
    <t>エラーメッセージが表示されること</t>
    <rPh sb="9" eb="11">
      <t>ヒョウジ</t>
    </rPh>
    <phoneticPr fontId="2"/>
  </si>
  <si>
    <t>年月日の値が空の状態で削除ボタンを押下する</t>
    <rPh sb="0" eb="1">
      <t>ネン</t>
    </rPh>
    <rPh sb="1" eb="3">
      <t>ゲツビ</t>
    </rPh>
    <rPh sb="4" eb="5">
      <t>アタイ</t>
    </rPh>
    <rPh sb="6" eb="7">
      <t>カラ</t>
    </rPh>
    <rPh sb="8" eb="10">
      <t>ジョウタイ</t>
    </rPh>
    <rPh sb="11" eb="13">
      <t>サクジョ</t>
    </rPh>
    <rPh sb="17" eb="19">
      <t>オウカ</t>
    </rPh>
    <phoneticPr fontId="2"/>
  </si>
  <si>
    <t>年月日の値が空の状態で削除ボタンを押下する</t>
    <rPh sb="0" eb="1">
      <t>ネン</t>
    </rPh>
    <rPh sb="4" eb="5">
      <t>アタイ</t>
    </rPh>
    <rPh sb="6" eb="7">
      <t>カラ</t>
    </rPh>
    <rPh sb="8" eb="10">
      <t>ジョウタイ</t>
    </rPh>
    <rPh sb="17" eb="19">
      <t>オウカ</t>
    </rPh>
    <phoneticPr fontId="2"/>
  </si>
  <si>
    <t>Fromの値がToの値より大きい場合に削除ボタンを押下する</t>
    <rPh sb="5" eb="6">
      <t>アタイ</t>
    </rPh>
    <rPh sb="10" eb="11">
      <t>アタイ</t>
    </rPh>
    <rPh sb="13" eb="14">
      <t>オオ</t>
    </rPh>
    <rPh sb="16" eb="18">
      <t>バアイ</t>
    </rPh>
    <rPh sb="25" eb="27">
      <t>オウカ</t>
    </rPh>
    <phoneticPr fontId="2"/>
  </si>
  <si>
    <t>削除ボタン</t>
    <rPh sb="0" eb="2">
      <t>サクジョ</t>
    </rPh>
    <phoneticPr fontId="2"/>
  </si>
  <si>
    <t>削除日付が正確に入力された状態で削除ボタンを押下する</t>
    <rPh sb="0" eb="2">
      <t>サクジョ</t>
    </rPh>
    <rPh sb="2" eb="4">
      <t>ヒヅケ</t>
    </rPh>
    <rPh sb="5" eb="7">
      <t>セイカク</t>
    </rPh>
    <rPh sb="8" eb="10">
      <t>ニュウリョク</t>
    </rPh>
    <rPh sb="13" eb="15">
      <t>ジョウタイ</t>
    </rPh>
    <rPh sb="16" eb="18">
      <t>サクジョ</t>
    </rPh>
    <rPh sb="22" eb="24">
      <t>オウカ</t>
    </rPh>
    <phoneticPr fontId="2"/>
  </si>
  <si>
    <t>詳細情報
KH0400_経費データ取込エラーリスト_帳票設計書.xlsx</t>
    <phoneticPr fontId="2"/>
  </si>
  <si>
    <t>詳細情報
KH0300_経費データ仕訳TXT_インポート_帳票設計書.xlsx</t>
    <phoneticPr fontId="2"/>
  </si>
  <si>
    <t>詳細情報
KH0300_経費データ取込リスト_帳票設計書.xlsx</t>
    <phoneticPr fontId="2"/>
  </si>
  <si>
    <t>児玉</t>
    <rPh sb="0" eb="2">
      <t>コダマ</t>
    </rPh>
    <phoneticPr fontId="2"/>
  </si>
  <si>
    <t>帳票(エラーリスト)</t>
    <rPh sb="0" eb="2">
      <t>チョウヒョウ</t>
    </rPh>
    <phoneticPr fontId="2"/>
  </si>
  <si>
    <t>帳票(インポート)</t>
    <rPh sb="0" eb="2">
      <t>チョウヒョウ</t>
    </rPh>
    <phoneticPr fontId="2"/>
  </si>
  <si>
    <t>帳票(PDF)</t>
    <rPh sb="0" eb="2">
      <t>チョウヒョウ</t>
    </rPh>
    <phoneticPr fontId="2"/>
  </si>
  <si>
    <t>リスト出力「する」を選択して実行を押下</t>
    <phoneticPr fontId="2"/>
  </si>
  <si>
    <t>実行ボタン</t>
    <rPh sb="0" eb="2">
      <t>ジッコウ</t>
    </rPh>
    <phoneticPr fontId="2"/>
  </si>
  <si>
    <t>PDF形式の帳票が出力されること</t>
    <rPh sb="3" eb="5">
      <t>ケイシキ</t>
    </rPh>
    <rPh sb="6" eb="8">
      <t>チョウヒョウ</t>
    </rPh>
    <rPh sb="9" eb="11">
      <t>シュツリョク</t>
    </rPh>
    <phoneticPr fontId="2"/>
  </si>
  <si>
    <t>PDF形式のエラーリストが出力されること</t>
    <rPh sb="3" eb="5">
      <t>ケイシキ</t>
    </rPh>
    <rPh sb="13" eb="15">
      <t>シュツリョク</t>
    </rPh>
    <phoneticPr fontId="2"/>
  </si>
  <si>
    <t>[TD経費][TD明細]にデータが作成されること</t>
    <rPh sb="9" eb="11">
      <t>メイサイ</t>
    </rPh>
    <rPh sb="17" eb="19">
      <t>サクセイ</t>
    </rPh>
    <phoneticPr fontId="2"/>
  </si>
  <si>
    <t>設計書に記載されたフォーマットで作成したデータを取り込先に指定して、実行ボタンを押下</t>
    <rPh sb="0" eb="3">
      <t>セッケイショ</t>
    </rPh>
    <rPh sb="4" eb="6">
      <t>キサイ</t>
    </rPh>
    <rPh sb="16" eb="18">
      <t>サクセイ</t>
    </rPh>
    <rPh sb="24" eb="25">
      <t>ト</t>
    </rPh>
    <rPh sb="26" eb="27">
      <t>コ</t>
    </rPh>
    <rPh sb="27" eb="28">
      <t>サキ</t>
    </rPh>
    <rPh sb="29" eb="31">
      <t>シテイ</t>
    </rPh>
    <rPh sb="34" eb="36">
      <t>ジッコウ</t>
    </rPh>
    <phoneticPr fontId="2"/>
  </si>
  <si>
    <t>削除日付に指定した経費日付のデータが経費テーブルおよび経費明細テーブルから削除されること</t>
    <rPh sb="0" eb="2">
      <t>サクジョ</t>
    </rPh>
    <rPh sb="2" eb="4">
      <t>ヒヅケ</t>
    </rPh>
    <rPh sb="5" eb="7">
      <t>シテイ</t>
    </rPh>
    <rPh sb="9" eb="11">
      <t>ケイヒ</t>
    </rPh>
    <rPh sb="11" eb="13">
      <t>ヒヅケ</t>
    </rPh>
    <rPh sb="18" eb="20">
      <t>ケイヒ</t>
    </rPh>
    <rPh sb="27" eb="31">
      <t>ケイヒメイサイ</t>
    </rPh>
    <rPh sb="37" eb="39">
      <t>サクジョ</t>
    </rPh>
    <phoneticPr fontId="2"/>
  </si>
  <si>
    <t>取込先に指定したファイルが不整合の状態で、リスト出力「する」を選択して実行を押下</t>
    <rPh sb="4" eb="6">
      <t>シテイ</t>
    </rPh>
    <rPh sb="13" eb="16">
      <t>フセイゴウ</t>
    </rPh>
    <rPh sb="17" eb="19">
      <t>ジョウタイ</t>
    </rPh>
    <phoneticPr fontId="2"/>
  </si>
  <si>
    <t>[TD経費][TD明細]にデータが作成されない</t>
    <phoneticPr fontId="2"/>
  </si>
  <si>
    <t>処理区分「チェックのみ」、リスト出力「する」を選択して実行を押下</t>
    <rPh sb="0" eb="2">
      <t>ショリ</t>
    </rPh>
    <rPh sb="2" eb="4">
      <t>クブン</t>
    </rPh>
    <rPh sb="16" eb="18">
      <t>シュツリョク</t>
    </rPh>
    <rPh sb="23" eb="25">
      <t>センタク</t>
    </rPh>
    <rPh sb="27" eb="29">
      <t>ジッコウ</t>
    </rPh>
    <rPh sb="30" eb="32">
      <t>オウカ</t>
    </rPh>
    <phoneticPr fontId="2"/>
  </si>
  <si>
    <t>処理区分「チェックのみ」、リスト出力「しない」を選択して実行を押下</t>
    <rPh sb="0" eb="2">
      <t>ショリ</t>
    </rPh>
    <rPh sb="2" eb="4">
      <t>クブン</t>
    </rPh>
    <rPh sb="16" eb="18">
      <t>シュツリョク</t>
    </rPh>
    <rPh sb="24" eb="26">
      <t>センタク</t>
    </rPh>
    <rPh sb="28" eb="30">
      <t>ジッコウ</t>
    </rPh>
    <rPh sb="31" eb="33">
      <t>オウカ</t>
    </rPh>
    <phoneticPr fontId="2"/>
  </si>
  <si>
    <t>帳票が出力されないこと</t>
    <rPh sb="0" eb="2">
      <t>チョウヒョウ</t>
    </rPh>
    <rPh sb="3" eb="5">
      <t>シュツリョク</t>
    </rPh>
    <phoneticPr fontId="2"/>
  </si>
  <si>
    <t>取込先に指定したファイルが不整合の状態である状態で実行を押下すること</t>
    <rPh sb="22" eb="24">
      <t>ジョウタイ</t>
    </rPh>
    <rPh sb="25" eb="27">
      <t>ジッコウ</t>
    </rPh>
    <rPh sb="28" eb="30">
      <t>オウカ</t>
    </rPh>
    <phoneticPr fontId="2"/>
  </si>
  <si>
    <t>飯高</t>
    <rPh sb="0" eb="2">
      <t>イイダカ</t>
    </rPh>
    <phoneticPr fontId="2"/>
  </si>
  <si>
    <t>OK</t>
  </si>
  <si>
    <t>NG</t>
  </si>
  <si>
    <t>取込はできるが、チェックにするとメッセージが表示される。
登録されていないメッセージコードです: SUCCESS_CHECK</t>
    <rPh sb="0" eb="2">
      <t>トリコミ</t>
    </rPh>
    <rPh sb="22" eb="24">
      <t>ヒョウジ</t>
    </rPh>
    <phoneticPr fontId="2"/>
  </si>
  <si>
    <t>空欄</t>
    <rPh sb="0" eb="2">
      <t>クウラン</t>
    </rPh>
    <phoneticPr fontId="2"/>
  </si>
  <si>
    <t>データを増やすとエラーが出る</t>
    <rPh sb="4" eb="5">
      <t>フ</t>
    </rPh>
    <rPh sb="12" eb="13">
      <t>デ</t>
    </rPh>
    <phoneticPr fontId="2"/>
  </si>
  <si>
    <t>すべて空欄のまま出力される</t>
    <rPh sb="3" eb="5">
      <t>クウラン</t>
    </rPh>
    <rPh sb="8" eb="10">
      <t>シュツリョク</t>
    </rPh>
    <phoneticPr fontId="2"/>
  </si>
  <si>
    <t>OK</t>
    <phoneticPr fontId="2"/>
  </si>
  <si>
    <t>空欄になっている</t>
    <rPh sb="0" eb="2">
      <t>クウラン</t>
    </rPh>
    <phoneticPr fontId="2"/>
  </si>
  <si>
    <t>NULLになっている</t>
    <phoneticPr fontId="2"/>
  </si>
  <si>
    <t>科目摘要名</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</si>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</sst>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ck">
        <color auto="1"/>
      </left>
      <right/>
      <top style="thin">
        <color auto="1"/>
      </top>
      <bottom/>
      <diagonal/>
    </border>
  </borders>
  <cellStyleXfs count="2">
    <xf numFmtId="0" fontId="0" fillId="0" borderId="0">
      <alignment vertical="center"/>
    </xf>
    <xf numFmtId="0" fontId="4" fillId="0" borderId="0"/>
  </cellStyleXfs>
  <cellXfs count="205">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7" xfId="0" applyFont="1" applyFill="1" applyBorder="1" applyAlignment="1">
      <alignment horizontal="left" vertical="top"/>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lignment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0" fontId="3" fillId="2" borderId="30"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3" borderId="36" xfId="0" applyFont="1" applyFill="1" applyBorder="1" applyAlignment="1">
      <alignment horizontal="center" vertical="center"/>
    </xf>
    <xf numFmtId="0" fontId="3" fillId="2" borderId="40" xfId="0" applyFont="1" applyFill="1" applyBorder="1" applyAlignment="1">
      <alignment horizontal="center" vertical="center" shrinkToFit="1"/>
    </xf>
    <xf numFmtId="0" fontId="3" fillId="2" borderId="35" xfId="0" applyFont="1" applyFill="1" applyBorder="1" applyAlignment="1">
      <alignment horizontal="center" vertical="center" shrinkToFit="1"/>
    </xf>
    <xf numFmtId="0" fontId="3" fillId="0" borderId="10" xfId="0" applyFont="1" applyFill="1" applyBorder="1" applyAlignment="1">
      <alignment horizontal="left" vertical="top" wrapText="1"/>
    </xf>
    <xf numFmtId="0" fontId="3" fillId="0" borderId="39"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2" borderId="29" xfId="0" applyFont="1" applyFill="1" applyBorder="1" applyAlignment="1">
      <alignment horizontal="left" vertical="top" wrapText="1"/>
    </xf>
    <xf numFmtId="0" fontId="3" fillId="2" borderId="2" xfId="0" applyFont="1" applyFill="1" applyBorder="1" applyAlignment="1">
      <alignment vertical="top"/>
    </xf>
    <xf numFmtId="0" fontId="3" fillId="2" borderId="3" xfId="0" applyFont="1" applyFill="1" applyBorder="1" applyAlignment="1">
      <alignment vertical="top"/>
    </xf>
    <xf numFmtId="0" fontId="3" fillId="2" borderId="4" xfId="0" applyFont="1" applyFill="1" applyBorder="1" applyAlignment="1">
      <alignment vertical="top"/>
    </xf>
    <xf numFmtId="0" fontId="3" fillId="2" borderId="37" xfId="0" applyFont="1" applyFill="1" applyBorder="1" applyAlignment="1">
      <alignment vertical="top"/>
    </xf>
    <xf numFmtId="0" fontId="3" fillId="2" borderId="0" xfId="0" applyFont="1" applyFill="1" applyBorder="1" applyAlignment="1">
      <alignment vertical="top"/>
    </xf>
    <xf numFmtId="0" fontId="3" fillId="2" borderId="38" xfId="0" applyFont="1" applyFill="1" applyBorder="1" applyAlignment="1">
      <alignment vertical="top"/>
    </xf>
    <xf numFmtId="0" fontId="3" fillId="2" borderId="10" xfId="0" applyFont="1" applyFill="1" applyBorder="1" applyAlignment="1">
      <alignment vertical="top"/>
    </xf>
    <xf numFmtId="0" fontId="3" fillId="2" borderId="39" xfId="0" applyFont="1" applyFill="1" applyBorder="1" applyAlignment="1">
      <alignment vertical="top"/>
    </xf>
    <xf numFmtId="0" fontId="3" fillId="2" borderId="8" xfId="0" applyFont="1" applyFill="1" applyBorder="1" applyAlignment="1">
      <alignment vertical="top"/>
    </xf>
  </cellXfs>
  <cellStyles count="2">
    <cellStyle name="標準" xfId="0" builtinId="0"/>
    <cellStyle name="標準 2 2" xfId="1"/>
  </cellStyles>
  <dxfs count="3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41" t="s">
        <v>0</v>
      </c>
      <c r="C2" s="124"/>
      <c r="D2" s="124"/>
      <c r="E2" s="124"/>
      <c r="F2" s="124"/>
      <c r="G2" s="124"/>
      <c r="H2" s="124" t="s">
        <v>33</v>
      </c>
      <c r="I2" s="124"/>
      <c r="J2" s="124"/>
      <c r="K2" s="124"/>
      <c r="L2" s="124" t="s">
        <v>1</v>
      </c>
      <c r="M2" s="124"/>
      <c r="N2" s="124"/>
      <c r="O2" s="124"/>
      <c r="P2" s="124"/>
      <c r="Q2" s="124"/>
      <c r="R2" s="124" t="s">
        <v>2</v>
      </c>
      <c r="S2" s="124"/>
      <c r="T2" s="124"/>
      <c r="U2" s="124"/>
      <c r="V2" s="124"/>
      <c r="W2" s="124"/>
      <c r="X2" s="136" t="s">
        <v>3</v>
      </c>
      <c r="Y2" s="137"/>
      <c r="Z2" s="137"/>
      <c r="AA2" s="137"/>
      <c r="AB2" s="137"/>
      <c r="AC2" s="137"/>
      <c r="AD2" s="137"/>
      <c r="AE2" s="137"/>
      <c r="AF2" s="137"/>
      <c r="AG2" s="137"/>
      <c r="AH2" s="137"/>
      <c r="AI2" s="137"/>
      <c r="AJ2" s="138"/>
      <c r="AK2" s="136" t="s">
        <v>32</v>
      </c>
      <c r="AL2" s="137"/>
      <c r="AM2" s="137"/>
      <c r="AN2" s="137"/>
      <c r="AO2" s="137"/>
      <c r="AP2" s="137"/>
      <c r="AQ2" s="137"/>
      <c r="AR2" s="137"/>
      <c r="AS2" s="137"/>
      <c r="AT2" s="137"/>
      <c r="AU2" s="137"/>
      <c r="AV2" s="137"/>
      <c r="AW2" s="138"/>
      <c r="AX2" s="124" t="s">
        <v>5</v>
      </c>
      <c r="AY2" s="124"/>
      <c r="AZ2" s="124"/>
      <c r="BA2" s="124"/>
      <c r="BB2" s="124" t="s">
        <v>4</v>
      </c>
      <c r="BC2" s="124"/>
      <c r="BD2" s="124"/>
      <c r="BE2" s="124"/>
      <c r="BF2" s="124" t="s">
        <v>6</v>
      </c>
      <c r="BG2" s="124"/>
      <c r="BH2" s="124"/>
      <c r="BI2" s="124"/>
      <c r="BJ2" s="124" t="s">
        <v>7</v>
      </c>
      <c r="BK2" s="124"/>
      <c r="BL2" s="124"/>
      <c r="BM2" s="125"/>
      <c r="BN2" s="15"/>
    </row>
    <row r="3" spans="1:66" ht="20.100000000000001" customHeight="1" x14ac:dyDescent="0.45">
      <c r="A3" s="9"/>
      <c r="B3" s="139" t="s">
        <v>41</v>
      </c>
      <c r="C3" s="127"/>
      <c r="D3" s="127"/>
      <c r="E3" s="127"/>
      <c r="F3" s="127"/>
      <c r="G3" s="127"/>
      <c r="H3" s="127" t="str">
        <f ca="1">LEFT($X$3,FIND("_",$X$3)-1)</f>
        <v>経費</v>
      </c>
      <c r="I3" s="127"/>
      <c r="J3" s="127"/>
      <c r="K3" s="127"/>
      <c r="L3" s="127" t="s">
        <v>8</v>
      </c>
      <c r="M3" s="127"/>
      <c r="N3" s="127"/>
      <c r="O3" s="127"/>
      <c r="P3" s="127"/>
      <c r="Q3" s="127"/>
      <c r="R3" s="140" t="str">
        <f ca="1">MID($X$3,FIND("_",$X$3,FIND("_",$X$3)+1)+1,LEN($X$3)-FIND("_",$X$3,FIND("_",$X$3)+1))</f>
        <v>結合試験項目</v>
      </c>
      <c r="S3" s="127"/>
      <c r="T3" s="127"/>
      <c r="U3" s="127"/>
      <c r="V3" s="127"/>
      <c r="W3" s="127"/>
      <c r="X3" s="130" t="str">
        <f ca="1">REPLACE(LEFT(CELL("filename",$B$2),FIND(".x",CELL("filename",$B$2))-1),1,FIND("[",CELL("filename",$B$2)),)</f>
        <v>経費_経費取込処理_結合試験項目</v>
      </c>
      <c r="Y3" s="131"/>
      <c r="Z3" s="131"/>
      <c r="AA3" s="131"/>
      <c r="AB3" s="131"/>
      <c r="AC3" s="131"/>
      <c r="AD3" s="131"/>
      <c r="AE3" s="131"/>
      <c r="AF3" s="131"/>
      <c r="AG3" s="131"/>
      <c r="AH3" s="131"/>
      <c r="AI3" s="131"/>
      <c r="AJ3" s="132"/>
      <c r="AK3" s="130" t="str">
        <f ca="1">MID($X$3,FIND("_",$X$3)+1,FIND("_",$X$3,FIND("_",$X$3)+1)-FIND("_",$X$3)-1)</f>
        <v>経費取込処理</v>
      </c>
      <c r="AL3" s="131"/>
      <c r="AM3" s="131"/>
      <c r="AN3" s="131"/>
      <c r="AO3" s="131"/>
      <c r="AP3" s="131"/>
      <c r="AQ3" s="131"/>
      <c r="AR3" s="131"/>
      <c r="AS3" s="131"/>
      <c r="AT3" s="131"/>
      <c r="AU3" s="131"/>
      <c r="AV3" s="131"/>
      <c r="AW3" s="132"/>
      <c r="AX3" s="126">
        <v>45628</v>
      </c>
      <c r="AY3" s="127"/>
      <c r="AZ3" s="127"/>
      <c r="BA3" s="127"/>
      <c r="BB3" s="127" t="s">
        <v>116</v>
      </c>
      <c r="BC3" s="127"/>
      <c r="BD3" s="127"/>
      <c r="BE3" s="127"/>
      <c r="BF3" s="126">
        <v>45628</v>
      </c>
      <c r="BG3" s="127"/>
      <c r="BH3" s="127"/>
      <c r="BI3" s="127"/>
      <c r="BJ3" s="127" t="s">
        <v>116</v>
      </c>
      <c r="BK3" s="127"/>
      <c r="BL3" s="127"/>
      <c r="BM3" s="129"/>
      <c r="BN3" s="15"/>
    </row>
    <row r="4" spans="1:66" ht="20.100000000000001" customHeight="1" thickBot="1" x14ac:dyDescent="0.5">
      <c r="A4" s="9"/>
      <c r="B4" s="132"/>
      <c r="C4" s="128"/>
      <c r="D4" s="128"/>
      <c r="E4" s="128"/>
      <c r="F4" s="128"/>
      <c r="G4" s="128"/>
      <c r="H4" s="128"/>
      <c r="I4" s="128"/>
      <c r="J4" s="128"/>
      <c r="K4" s="128"/>
      <c r="L4" s="128"/>
      <c r="M4" s="128"/>
      <c r="N4" s="128"/>
      <c r="O4" s="128"/>
      <c r="P4" s="128"/>
      <c r="Q4" s="128"/>
      <c r="R4" s="128"/>
      <c r="S4" s="128"/>
      <c r="T4" s="128"/>
      <c r="U4" s="128"/>
      <c r="V4" s="128"/>
      <c r="W4" s="128"/>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28"/>
      <c r="AY4" s="128"/>
      <c r="AZ4" s="128"/>
      <c r="BA4" s="128"/>
      <c r="BB4" s="128"/>
      <c r="BC4" s="128"/>
      <c r="BD4" s="128"/>
      <c r="BE4" s="128"/>
      <c r="BF4" s="128"/>
      <c r="BG4" s="128"/>
      <c r="BH4" s="128"/>
      <c r="BI4" s="128"/>
      <c r="BJ4" s="128"/>
      <c r="BK4" s="128"/>
      <c r="BL4" s="128"/>
      <c r="BM4" s="130"/>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21</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123" t="s">
        <v>9</v>
      </c>
      <c r="D8" s="123"/>
      <c r="E8" s="123"/>
      <c r="F8" s="123"/>
      <c r="G8" s="123" t="s">
        <v>10</v>
      </c>
      <c r="H8" s="123"/>
      <c r="I8" s="123"/>
      <c r="J8" s="123"/>
      <c r="K8" s="123" t="s">
        <v>11</v>
      </c>
      <c r="L8" s="123"/>
      <c r="M8" s="123"/>
      <c r="N8" s="123"/>
      <c r="O8" s="123" t="s">
        <v>12</v>
      </c>
      <c r="P8" s="123"/>
      <c r="Q8" s="123"/>
      <c r="R8" s="123"/>
      <c r="S8" s="123"/>
      <c r="T8" s="123"/>
      <c r="U8" s="123"/>
      <c r="V8" s="123"/>
      <c r="W8" s="123"/>
      <c r="X8" s="123"/>
      <c r="Y8" s="123" t="s">
        <v>13</v>
      </c>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23"/>
      <c r="AZ8" s="123"/>
      <c r="BA8" s="123"/>
      <c r="BB8" s="123"/>
      <c r="BC8" s="123"/>
      <c r="BD8" s="123"/>
      <c r="BE8" s="123"/>
      <c r="BF8" s="123"/>
      <c r="BG8" s="123"/>
      <c r="BH8" s="123"/>
      <c r="BI8" s="123"/>
      <c r="BJ8" s="123"/>
      <c r="BK8" s="123"/>
      <c r="BL8" s="123"/>
      <c r="BM8" s="8"/>
      <c r="BN8" s="15"/>
    </row>
    <row r="9" spans="1:66" ht="20.100000000000001" customHeight="1" x14ac:dyDescent="0.45">
      <c r="A9" s="9"/>
      <c r="B9" s="8"/>
      <c r="C9" s="122">
        <v>45628</v>
      </c>
      <c r="D9" s="120"/>
      <c r="E9" s="120"/>
      <c r="F9" s="121"/>
      <c r="G9" s="116" t="s">
        <v>22</v>
      </c>
      <c r="H9" s="117"/>
      <c r="I9" s="117"/>
      <c r="J9" s="118"/>
      <c r="K9" s="119"/>
      <c r="L9" s="120"/>
      <c r="M9" s="120"/>
      <c r="N9" s="121"/>
      <c r="O9" s="4" t="s">
        <v>16</v>
      </c>
      <c r="P9" s="5"/>
      <c r="Q9" s="5"/>
      <c r="R9" s="5"/>
      <c r="S9" s="5"/>
      <c r="T9" s="5"/>
      <c r="U9" s="5"/>
      <c r="V9" s="5"/>
      <c r="W9" s="5"/>
      <c r="X9" s="3"/>
      <c r="Y9" s="4" t="s">
        <v>15</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122"/>
      <c r="D10" s="120"/>
      <c r="E10" s="120"/>
      <c r="F10" s="121"/>
      <c r="G10" s="116"/>
      <c r="H10" s="117"/>
      <c r="I10" s="117"/>
      <c r="J10" s="118"/>
      <c r="K10" s="119"/>
      <c r="L10" s="120"/>
      <c r="M10" s="120"/>
      <c r="N10" s="121"/>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122"/>
      <c r="D11" s="120"/>
      <c r="E11" s="120"/>
      <c r="F11" s="121"/>
      <c r="G11" s="116"/>
      <c r="H11" s="117"/>
      <c r="I11" s="117"/>
      <c r="J11" s="118"/>
      <c r="K11" s="119"/>
      <c r="L11" s="120"/>
      <c r="M11" s="120"/>
      <c r="N11" s="121"/>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122"/>
      <c r="D36" s="120"/>
      <c r="E36" s="120"/>
      <c r="F36" s="121"/>
      <c r="G36" s="116"/>
      <c r="H36" s="117"/>
      <c r="I36" s="117"/>
      <c r="J36" s="118"/>
      <c r="K36" s="119"/>
      <c r="L36" s="120"/>
      <c r="M36" s="120"/>
      <c r="N36" s="121"/>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122"/>
      <c r="D37" s="120"/>
      <c r="E37" s="120"/>
      <c r="F37" s="121"/>
      <c r="G37" s="116"/>
      <c r="H37" s="117"/>
      <c r="I37" s="117"/>
      <c r="J37" s="118"/>
      <c r="K37" s="119"/>
      <c r="L37" s="120"/>
      <c r="M37" s="120"/>
      <c r="N37" s="121"/>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122"/>
      <c r="D38" s="120"/>
      <c r="E38" s="120"/>
      <c r="F38" s="121"/>
      <c r="G38" s="116"/>
      <c r="H38" s="117"/>
      <c r="I38" s="117"/>
      <c r="J38" s="118"/>
      <c r="K38" s="119"/>
      <c r="L38" s="120"/>
      <c r="M38" s="120"/>
      <c r="N38" s="121"/>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122"/>
      <c r="D39" s="120"/>
      <c r="E39" s="120"/>
      <c r="F39" s="121"/>
      <c r="G39" s="116"/>
      <c r="H39" s="117"/>
      <c r="I39" s="117"/>
      <c r="J39" s="118"/>
      <c r="K39" s="119"/>
      <c r="L39" s="120"/>
      <c r="M39" s="120"/>
      <c r="N39" s="121"/>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122"/>
      <c r="D40" s="120"/>
      <c r="E40" s="120"/>
      <c r="F40" s="121"/>
      <c r="G40" s="116"/>
      <c r="H40" s="117"/>
      <c r="I40" s="117"/>
      <c r="J40" s="118"/>
      <c r="K40" s="119"/>
      <c r="L40" s="120"/>
      <c r="M40" s="120"/>
      <c r="N40" s="121"/>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122"/>
      <c r="D41" s="120"/>
      <c r="E41" s="120"/>
      <c r="F41" s="121"/>
      <c r="G41" s="116"/>
      <c r="H41" s="117"/>
      <c r="I41" s="117"/>
      <c r="J41" s="118"/>
      <c r="K41" s="119"/>
      <c r="L41" s="120"/>
      <c r="M41" s="120"/>
      <c r="N41" s="121"/>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122"/>
      <c r="D42" s="120"/>
      <c r="E42" s="120"/>
      <c r="F42" s="121"/>
      <c r="G42" s="116"/>
      <c r="H42" s="117"/>
      <c r="I42" s="117"/>
      <c r="J42" s="118"/>
      <c r="K42" s="119"/>
      <c r="L42" s="120"/>
      <c r="M42" s="120"/>
      <c r="N42" s="121"/>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122"/>
      <c r="D43" s="120"/>
      <c r="E43" s="120"/>
      <c r="F43" s="121"/>
      <c r="G43" s="116"/>
      <c r="H43" s="117"/>
      <c r="I43" s="117"/>
      <c r="J43" s="118"/>
      <c r="K43" s="119"/>
      <c r="L43" s="120"/>
      <c r="M43" s="120"/>
      <c r="N43" s="121"/>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122"/>
      <c r="D44" s="120"/>
      <c r="E44" s="120"/>
      <c r="F44" s="121"/>
      <c r="G44" s="116"/>
      <c r="H44" s="117"/>
      <c r="I44" s="117"/>
      <c r="J44" s="118"/>
      <c r="K44" s="119"/>
      <c r="L44" s="120"/>
      <c r="M44" s="120"/>
      <c r="N44" s="121"/>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122"/>
      <c r="D45" s="120"/>
      <c r="E45" s="120"/>
      <c r="F45" s="121"/>
      <c r="G45" s="116"/>
      <c r="H45" s="117"/>
      <c r="I45" s="117"/>
      <c r="J45" s="118"/>
      <c r="K45" s="119"/>
      <c r="L45" s="120"/>
      <c r="M45" s="120"/>
      <c r="N45" s="121"/>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122"/>
      <c r="D46" s="120"/>
      <c r="E46" s="120"/>
      <c r="F46" s="121"/>
      <c r="G46" s="116"/>
      <c r="H46" s="117"/>
      <c r="I46" s="117"/>
      <c r="J46" s="118"/>
      <c r="K46" s="119"/>
      <c r="L46" s="120"/>
      <c r="M46" s="120"/>
      <c r="N46" s="121"/>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122"/>
      <c r="D47" s="120"/>
      <c r="E47" s="120"/>
      <c r="F47" s="121"/>
      <c r="G47" s="116"/>
      <c r="H47" s="117"/>
      <c r="I47" s="117"/>
      <c r="J47" s="118"/>
      <c r="K47" s="119"/>
      <c r="L47" s="120"/>
      <c r="M47" s="120"/>
      <c r="N47" s="121"/>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24"/>
  <sheetViews>
    <sheetView showGridLines="0" tabSelected="1"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14" width="3.69921875" style="7" customWidth="1"/>
    <col min="15" max="15" width="3.796875" style="7" customWidth="1"/>
    <col min="16"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86" t="s">
        <v>44</v>
      </c>
      <c r="C2" s="137"/>
      <c r="D2" s="137"/>
      <c r="E2" s="137"/>
      <c r="F2" s="137"/>
      <c r="G2" s="138"/>
      <c r="H2" s="136" t="s">
        <v>45</v>
      </c>
      <c r="I2" s="137"/>
      <c r="J2" s="137"/>
      <c r="K2" s="138"/>
      <c r="L2" s="136" t="s">
        <v>46</v>
      </c>
      <c r="M2" s="137"/>
      <c r="N2" s="137"/>
      <c r="O2" s="137"/>
      <c r="P2" s="137"/>
      <c r="Q2" s="138"/>
      <c r="R2" s="136" t="s">
        <v>47</v>
      </c>
      <c r="S2" s="137"/>
      <c r="T2" s="137"/>
      <c r="U2" s="137"/>
      <c r="V2" s="137"/>
      <c r="W2" s="138"/>
      <c r="X2" s="136" t="s">
        <v>48</v>
      </c>
      <c r="Y2" s="137"/>
      <c r="Z2" s="137"/>
      <c r="AA2" s="137"/>
      <c r="AB2" s="137"/>
      <c r="AC2" s="137"/>
      <c r="AD2" s="137"/>
      <c r="AE2" s="137"/>
      <c r="AF2" s="137"/>
      <c r="AG2" s="137"/>
      <c r="AH2" s="137"/>
      <c r="AI2" s="137"/>
      <c r="AJ2" s="138"/>
      <c r="AK2" s="136" t="s">
        <v>49</v>
      </c>
      <c r="AL2" s="137"/>
      <c r="AM2" s="137"/>
      <c r="AN2" s="137"/>
      <c r="AO2" s="137"/>
      <c r="AP2" s="137"/>
      <c r="AQ2" s="137"/>
      <c r="AR2" s="137"/>
      <c r="AS2" s="137"/>
      <c r="AT2" s="137"/>
      <c r="AU2" s="137"/>
      <c r="AV2" s="137"/>
      <c r="AW2" s="138"/>
      <c r="AX2" s="124" t="s">
        <v>5</v>
      </c>
      <c r="AY2" s="124"/>
      <c r="AZ2" s="124"/>
      <c r="BA2" s="124"/>
      <c r="BB2" s="124" t="s">
        <v>4</v>
      </c>
      <c r="BC2" s="124"/>
      <c r="BD2" s="124"/>
      <c r="BE2" s="124"/>
      <c r="BF2" s="124" t="s">
        <v>6</v>
      </c>
      <c r="BG2" s="124"/>
      <c r="BH2" s="124"/>
      <c r="BI2" s="124"/>
      <c r="BJ2" s="124" t="s">
        <v>7</v>
      </c>
      <c r="BK2" s="124"/>
      <c r="BL2" s="124"/>
      <c r="BM2" s="125"/>
      <c r="BN2" s="16"/>
    </row>
    <row r="3" spans="1:66" ht="20.100000000000001" customHeight="1" x14ac:dyDescent="0.45">
      <c r="A3" s="10"/>
      <c r="B3" s="187" t="str">
        <f>変更履歴!B3</f>
        <v>受発注システム</v>
      </c>
      <c r="C3" s="131"/>
      <c r="D3" s="131"/>
      <c r="E3" s="131"/>
      <c r="F3" s="131"/>
      <c r="G3" s="132"/>
      <c r="H3" s="130" t="str">
        <f ca="1">変更履歴!H3</f>
        <v>経費</v>
      </c>
      <c r="I3" s="131"/>
      <c r="J3" s="131"/>
      <c r="K3" s="132"/>
      <c r="L3" s="130" t="str">
        <f>変更履歴!L3</f>
        <v>運用自動化</v>
      </c>
      <c r="M3" s="131"/>
      <c r="N3" s="131"/>
      <c r="O3" s="131"/>
      <c r="P3" s="131"/>
      <c r="Q3" s="132"/>
      <c r="R3" s="130" t="str">
        <f ca="1">変更履歴!R3</f>
        <v>結合試験項目</v>
      </c>
      <c r="S3" s="131"/>
      <c r="T3" s="131"/>
      <c r="U3" s="131"/>
      <c r="V3" s="131"/>
      <c r="W3" s="132"/>
      <c r="X3" s="130" t="str">
        <f ca="1">変更履歴!X3</f>
        <v>経費_経費取込処理_結合試験項目</v>
      </c>
      <c r="Y3" s="131"/>
      <c r="Z3" s="131"/>
      <c r="AA3" s="131"/>
      <c r="AB3" s="131"/>
      <c r="AC3" s="131"/>
      <c r="AD3" s="131"/>
      <c r="AE3" s="131"/>
      <c r="AF3" s="131"/>
      <c r="AG3" s="131"/>
      <c r="AH3" s="131"/>
      <c r="AI3" s="131"/>
      <c r="AJ3" s="132"/>
      <c r="AK3" s="130" t="str">
        <f ca="1">変更履歴!AK3</f>
        <v>経費取込処理</v>
      </c>
      <c r="AL3" s="131"/>
      <c r="AM3" s="131"/>
      <c r="AN3" s="131"/>
      <c r="AO3" s="131"/>
      <c r="AP3" s="131"/>
      <c r="AQ3" s="131"/>
      <c r="AR3" s="131"/>
      <c r="AS3" s="131"/>
      <c r="AT3" s="131"/>
      <c r="AU3" s="131"/>
      <c r="AV3" s="131"/>
      <c r="AW3" s="132"/>
      <c r="AX3" s="126">
        <f>変更履歴!AX3</f>
        <v>45628</v>
      </c>
      <c r="AY3" s="126"/>
      <c r="AZ3" s="126"/>
      <c r="BA3" s="126"/>
      <c r="BB3" s="127" t="str">
        <f>変更履歴!BB3</f>
        <v>児玉</v>
      </c>
      <c r="BC3" s="127"/>
      <c r="BD3" s="127"/>
      <c r="BE3" s="127"/>
      <c r="BF3" s="126">
        <f>変更履歴!BF3</f>
        <v>45628</v>
      </c>
      <c r="BG3" s="126"/>
      <c r="BH3" s="126"/>
      <c r="BI3" s="126"/>
      <c r="BJ3" s="127" t="str">
        <f>変更履歴!BJ3</f>
        <v>児玉</v>
      </c>
      <c r="BK3" s="127"/>
      <c r="BL3" s="127"/>
      <c r="BM3" s="129"/>
      <c r="BN3" s="16"/>
    </row>
    <row r="4" spans="1:66" ht="20.100000000000001" customHeight="1" thickBot="1" x14ac:dyDescent="0.5">
      <c r="A4" s="10"/>
      <c r="B4" s="188"/>
      <c r="C4" s="134"/>
      <c r="D4" s="134"/>
      <c r="E4" s="134"/>
      <c r="F4" s="134"/>
      <c r="G4" s="135"/>
      <c r="H4" s="133"/>
      <c r="I4" s="134"/>
      <c r="J4" s="134"/>
      <c r="K4" s="135"/>
      <c r="L4" s="133"/>
      <c r="M4" s="134"/>
      <c r="N4" s="134"/>
      <c r="O4" s="134"/>
      <c r="P4" s="134"/>
      <c r="Q4" s="135"/>
      <c r="R4" s="133"/>
      <c r="S4" s="134"/>
      <c r="T4" s="134"/>
      <c r="U4" s="134"/>
      <c r="V4" s="134"/>
      <c r="W4" s="135"/>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73"/>
      <c r="AY4" s="173"/>
      <c r="AZ4" s="173"/>
      <c r="BA4" s="173"/>
      <c r="BB4" s="128"/>
      <c r="BC4" s="128"/>
      <c r="BD4" s="128"/>
      <c r="BE4" s="128"/>
      <c r="BF4" s="173"/>
      <c r="BG4" s="173"/>
      <c r="BH4" s="173"/>
      <c r="BI4" s="173"/>
      <c r="BJ4" s="128"/>
      <c r="BK4" s="128"/>
      <c r="BL4" s="128"/>
      <c r="BM4" s="13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74" t="s">
        <v>35</v>
      </c>
      <c r="BF7" s="175"/>
      <c r="BG7" s="178" t="s">
        <v>34</v>
      </c>
      <c r="BH7" s="178"/>
      <c r="BI7" s="179" t="s">
        <v>36</v>
      </c>
      <c r="BJ7" s="180"/>
      <c r="BK7" s="179" t="s">
        <v>37</v>
      </c>
      <c r="BL7" s="166"/>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64" t="s">
        <v>38</v>
      </c>
      <c r="AP8" s="165"/>
      <c r="AQ8" s="165"/>
      <c r="AR8" s="165"/>
      <c r="AS8" s="165"/>
      <c r="AT8" s="166"/>
      <c r="AU8" s="164" t="s">
        <v>39</v>
      </c>
      <c r="AV8" s="165"/>
      <c r="AW8" s="165"/>
      <c r="AX8" s="165"/>
      <c r="AY8" s="165"/>
      <c r="AZ8" s="166"/>
      <c r="BE8" s="176"/>
      <c r="BF8" s="177"/>
      <c r="BG8" s="167">
        <f>COUNTA(C10:C21)</f>
        <v>12</v>
      </c>
      <c r="BH8" s="168"/>
      <c r="BI8" s="167">
        <f>COUNTIF(AS10:AT21,"OK")+COUNTIF(AY10:AZ21,"OK")</f>
        <v>12</v>
      </c>
      <c r="BJ8" s="168"/>
      <c r="BK8" s="167">
        <f>BG8-BI8</f>
        <v>0</v>
      </c>
      <c r="BL8" s="169"/>
      <c r="BM8" s="8"/>
      <c r="BN8" s="16"/>
    </row>
    <row r="9" spans="1:66" ht="20.100000000000001" customHeight="1" thickTop="1" x14ac:dyDescent="0.45">
      <c r="A9" s="10"/>
      <c r="B9" s="8"/>
      <c r="C9" s="19" t="s">
        <v>14</v>
      </c>
      <c r="D9" s="31" t="s">
        <v>23</v>
      </c>
      <c r="E9" s="32"/>
      <c r="F9" s="32"/>
      <c r="G9" s="32"/>
      <c r="H9" s="31" t="s">
        <v>24</v>
      </c>
      <c r="I9" s="32"/>
      <c r="J9" s="32"/>
      <c r="K9" s="33"/>
      <c r="L9" s="31" t="s">
        <v>25</v>
      </c>
      <c r="M9" s="32"/>
      <c r="N9" s="32"/>
      <c r="O9" s="32"/>
      <c r="P9" s="31" t="s">
        <v>40</v>
      </c>
      <c r="Q9" s="32"/>
      <c r="R9" s="32"/>
      <c r="S9" s="32"/>
      <c r="T9" s="32"/>
      <c r="U9" s="32"/>
      <c r="V9" s="32"/>
      <c r="W9" s="32"/>
      <c r="X9" s="31" t="s">
        <v>26</v>
      </c>
      <c r="Y9" s="32"/>
      <c r="Z9" s="32"/>
      <c r="AA9" s="32"/>
      <c r="AB9" s="32"/>
      <c r="AC9" s="32"/>
      <c r="AD9" s="32"/>
      <c r="AE9" s="32"/>
      <c r="AF9" s="31" t="s">
        <v>30</v>
      </c>
      <c r="AG9" s="32"/>
      <c r="AH9" s="32"/>
      <c r="AI9" s="32"/>
      <c r="AJ9" s="32"/>
      <c r="AK9" s="32"/>
      <c r="AL9" s="32"/>
      <c r="AM9" s="32"/>
      <c r="AN9" s="34"/>
      <c r="AO9" s="181" t="s">
        <v>27</v>
      </c>
      <c r="AP9" s="182"/>
      <c r="AQ9" s="170" t="s">
        <v>28</v>
      </c>
      <c r="AR9" s="182"/>
      <c r="AS9" s="170" t="s">
        <v>31</v>
      </c>
      <c r="AT9" s="171"/>
      <c r="AU9" s="181" t="s">
        <v>27</v>
      </c>
      <c r="AV9" s="182"/>
      <c r="AW9" s="170" t="s">
        <v>28</v>
      </c>
      <c r="AX9" s="182"/>
      <c r="AY9" s="170" t="s">
        <v>31</v>
      </c>
      <c r="AZ9" s="171"/>
      <c r="BA9" s="172" t="s">
        <v>29</v>
      </c>
      <c r="BB9" s="165"/>
      <c r="BC9" s="165"/>
      <c r="BD9" s="165"/>
      <c r="BE9" s="165"/>
      <c r="BF9" s="165"/>
      <c r="BG9" s="165"/>
      <c r="BH9" s="165"/>
      <c r="BI9" s="165"/>
      <c r="BJ9" s="165"/>
      <c r="BK9" s="165"/>
      <c r="BL9" s="166"/>
      <c r="BM9" s="16"/>
      <c r="BN9" s="16"/>
    </row>
    <row r="10" spans="1:66" ht="32.4" customHeight="1" x14ac:dyDescent="0.45">
      <c r="A10" s="10"/>
      <c r="B10" s="10"/>
      <c r="C10" s="30">
        <f>ROW()-9</f>
        <v>1</v>
      </c>
      <c r="D10" s="148" t="s">
        <v>42</v>
      </c>
      <c r="E10" s="149"/>
      <c r="F10" s="149"/>
      <c r="G10" s="150"/>
      <c r="H10" s="148" t="s">
        <v>43</v>
      </c>
      <c r="I10" s="149"/>
      <c r="J10" s="149"/>
      <c r="K10" s="150"/>
      <c r="L10" s="145" t="s">
        <v>59</v>
      </c>
      <c r="M10" s="146"/>
      <c r="N10" s="146"/>
      <c r="O10" s="147"/>
      <c r="P10" s="145" t="s">
        <v>73</v>
      </c>
      <c r="Q10" s="146"/>
      <c r="R10" s="146"/>
      <c r="S10" s="146"/>
      <c r="T10" s="146"/>
      <c r="U10" s="146"/>
      <c r="V10" s="146"/>
      <c r="W10" s="147"/>
      <c r="X10" s="145" t="s">
        <v>62</v>
      </c>
      <c r="Y10" s="146"/>
      <c r="Z10" s="146"/>
      <c r="AA10" s="146"/>
      <c r="AB10" s="146"/>
      <c r="AC10" s="146"/>
      <c r="AD10" s="146"/>
      <c r="AE10" s="147"/>
      <c r="AF10" s="145"/>
      <c r="AG10" s="146"/>
      <c r="AH10" s="146"/>
      <c r="AI10" s="146"/>
      <c r="AJ10" s="146"/>
      <c r="AK10" s="146"/>
      <c r="AL10" s="146"/>
      <c r="AM10" s="146"/>
      <c r="AN10" s="163"/>
      <c r="AO10" s="143">
        <v>45674</v>
      </c>
      <c r="AP10" s="144"/>
      <c r="AQ10" s="119" t="s">
        <v>133</v>
      </c>
      <c r="AR10" s="121"/>
      <c r="AS10" s="119" t="s">
        <v>134</v>
      </c>
      <c r="AT10" s="142"/>
      <c r="AU10" s="143"/>
      <c r="AV10" s="144"/>
      <c r="AW10" s="119"/>
      <c r="AX10" s="121"/>
      <c r="AY10" s="119"/>
      <c r="AZ10" s="142"/>
      <c r="BA10" s="160"/>
      <c r="BB10" s="161"/>
      <c r="BC10" s="161"/>
      <c r="BD10" s="161"/>
      <c r="BE10" s="161"/>
      <c r="BF10" s="161"/>
      <c r="BG10" s="161"/>
      <c r="BH10" s="161"/>
      <c r="BI10" s="161"/>
      <c r="BJ10" s="161"/>
      <c r="BK10" s="161"/>
      <c r="BL10" s="162"/>
      <c r="BM10" s="16"/>
      <c r="BN10" s="16"/>
    </row>
    <row r="11" spans="1:66" ht="24.6" customHeight="1" x14ac:dyDescent="0.45">
      <c r="A11" s="10"/>
      <c r="B11" s="10"/>
      <c r="C11" s="85">
        <f t="shared" ref="C11:C21" si="0">ROW()-9</f>
        <v>2</v>
      </c>
      <c r="D11" s="154"/>
      <c r="E11" s="155"/>
      <c r="F11" s="155"/>
      <c r="G11" s="156"/>
      <c r="H11" s="154"/>
      <c r="I11" s="155"/>
      <c r="J11" s="155"/>
      <c r="K11" s="156"/>
      <c r="L11" s="145" t="s">
        <v>60</v>
      </c>
      <c r="M11" s="146"/>
      <c r="N11" s="146"/>
      <c r="O11" s="147"/>
      <c r="P11" s="145" t="s">
        <v>73</v>
      </c>
      <c r="Q11" s="146"/>
      <c r="R11" s="146"/>
      <c r="S11" s="146"/>
      <c r="T11" s="146"/>
      <c r="U11" s="146"/>
      <c r="V11" s="146"/>
      <c r="W11" s="147"/>
      <c r="X11" s="157" t="s">
        <v>61</v>
      </c>
      <c r="Y11" s="158"/>
      <c r="Z11" s="158"/>
      <c r="AA11" s="158"/>
      <c r="AB11" s="158"/>
      <c r="AC11" s="158"/>
      <c r="AD11" s="158"/>
      <c r="AE11" s="159"/>
      <c r="AF11" s="145"/>
      <c r="AG11" s="146"/>
      <c r="AH11" s="146"/>
      <c r="AI11" s="146"/>
      <c r="AJ11" s="146"/>
      <c r="AK11" s="146"/>
      <c r="AL11" s="146"/>
      <c r="AM11" s="146"/>
      <c r="AN11" s="163"/>
      <c r="AO11" s="143">
        <v>45674</v>
      </c>
      <c r="AP11" s="144"/>
      <c r="AQ11" s="119" t="s">
        <v>133</v>
      </c>
      <c r="AR11" s="121"/>
      <c r="AS11" s="119" t="s">
        <v>134</v>
      </c>
      <c r="AT11" s="142"/>
      <c r="AU11" s="143"/>
      <c r="AV11" s="144"/>
      <c r="AW11" s="119"/>
      <c r="AX11" s="121"/>
      <c r="AY11" s="119"/>
      <c r="AZ11" s="142"/>
      <c r="BA11" s="160"/>
      <c r="BB11" s="161"/>
      <c r="BC11" s="161"/>
      <c r="BD11" s="161"/>
      <c r="BE11" s="161"/>
      <c r="BF11" s="161"/>
      <c r="BG11" s="161"/>
      <c r="BH11" s="161"/>
      <c r="BI11" s="161"/>
      <c r="BJ11" s="161"/>
      <c r="BK11" s="161"/>
      <c r="BL11" s="162"/>
      <c r="BM11" s="16"/>
      <c r="BN11" s="16"/>
    </row>
    <row r="12" spans="1:66" s="35" customFormat="1" ht="24.6" customHeight="1" x14ac:dyDescent="0.45">
      <c r="A12" s="37"/>
      <c r="B12" s="37"/>
      <c r="C12" s="85">
        <f t="shared" si="0"/>
        <v>3</v>
      </c>
      <c r="D12" s="56"/>
      <c r="E12" s="57"/>
      <c r="F12" s="57"/>
      <c r="G12" s="58"/>
      <c r="H12" s="70"/>
      <c r="I12" s="71"/>
      <c r="J12" s="71"/>
      <c r="K12" s="72"/>
      <c r="L12" s="145" t="s">
        <v>74</v>
      </c>
      <c r="M12" s="146"/>
      <c r="N12" s="146"/>
      <c r="O12" s="147"/>
      <c r="P12" s="145" t="s">
        <v>73</v>
      </c>
      <c r="Q12" s="146"/>
      <c r="R12" s="146"/>
      <c r="S12" s="146"/>
      <c r="T12" s="146"/>
      <c r="U12" s="146"/>
      <c r="V12" s="146"/>
      <c r="W12" s="147"/>
      <c r="X12" s="145" t="s">
        <v>103</v>
      </c>
      <c r="Y12" s="146"/>
      <c r="Z12" s="146"/>
      <c r="AA12" s="146"/>
      <c r="AB12" s="146"/>
      <c r="AC12" s="146"/>
      <c r="AD12" s="146"/>
      <c r="AE12" s="147"/>
      <c r="AF12" s="54"/>
      <c r="AG12" s="55"/>
      <c r="AH12" s="55"/>
      <c r="AI12" s="55"/>
      <c r="AJ12" s="55"/>
      <c r="AK12" s="55"/>
      <c r="AL12" s="55"/>
      <c r="AM12" s="55"/>
      <c r="AN12" s="63"/>
      <c r="AO12" s="143">
        <v>45674</v>
      </c>
      <c r="AP12" s="144"/>
      <c r="AQ12" s="119" t="s">
        <v>133</v>
      </c>
      <c r="AR12" s="121"/>
      <c r="AS12" s="119" t="s">
        <v>134</v>
      </c>
      <c r="AT12" s="142"/>
      <c r="AU12" s="64"/>
      <c r="AV12" s="65"/>
      <c r="AW12" s="52"/>
      <c r="AX12" s="53"/>
      <c r="AY12" s="52"/>
      <c r="AZ12" s="59"/>
      <c r="BA12" s="60"/>
      <c r="BB12" s="61"/>
      <c r="BC12" s="61"/>
      <c r="BD12" s="61"/>
      <c r="BE12" s="61"/>
      <c r="BF12" s="61"/>
      <c r="BG12" s="61"/>
      <c r="BH12" s="61"/>
      <c r="BI12" s="61"/>
      <c r="BJ12" s="61"/>
      <c r="BK12" s="61"/>
      <c r="BL12" s="62"/>
      <c r="BM12" s="40"/>
      <c r="BN12" s="40"/>
    </row>
    <row r="13" spans="1:66" s="35" customFormat="1" ht="24.6" customHeight="1" x14ac:dyDescent="0.45">
      <c r="A13" s="37"/>
      <c r="B13" s="37"/>
      <c r="C13" s="85">
        <f t="shared" si="0"/>
        <v>4</v>
      </c>
      <c r="D13" s="70"/>
      <c r="E13" s="71"/>
      <c r="F13" s="71"/>
      <c r="G13" s="72"/>
      <c r="H13" s="70"/>
      <c r="I13" s="71"/>
      <c r="J13" s="71"/>
      <c r="K13" s="72"/>
      <c r="L13" s="145" t="s">
        <v>102</v>
      </c>
      <c r="M13" s="146"/>
      <c r="N13" s="146"/>
      <c r="O13" s="147"/>
      <c r="P13" s="145" t="s">
        <v>73</v>
      </c>
      <c r="Q13" s="146"/>
      <c r="R13" s="146"/>
      <c r="S13" s="146"/>
      <c r="T13" s="146"/>
      <c r="U13" s="146"/>
      <c r="V13" s="146"/>
      <c r="W13" s="147"/>
      <c r="X13" s="145" t="s">
        <v>103</v>
      </c>
      <c r="Y13" s="146"/>
      <c r="Z13" s="146"/>
      <c r="AA13" s="146"/>
      <c r="AB13" s="146"/>
      <c r="AC13" s="146"/>
      <c r="AD13" s="146"/>
      <c r="AE13" s="147"/>
      <c r="AF13" s="68"/>
      <c r="AG13" s="69"/>
      <c r="AH13" s="69"/>
      <c r="AI13" s="69"/>
      <c r="AJ13" s="69"/>
      <c r="AK13" s="69"/>
      <c r="AL13" s="69"/>
      <c r="AM13" s="69"/>
      <c r="AN13" s="77"/>
      <c r="AO13" s="143">
        <v>45674</v>
      </c>
      <c r="AP13" s="144"/>
      <c r="AQ13" s="119" t="s">
        <v>133</v>
      </c>
      <c r="AR13" s="121"/>
      <c r="AS13" s="119" t="s">
        <v>134</v>
      </c>
      <c r="AT13" s="142"/>
      <c r="AU13" s="78"/>
      <c r="AV13" s="79"/>
      <c r="AW13" s="66"/>
      <c r="AX13" s="67"/>
      <c r="AY13" s="66"/>
      <c r="AZ13" s="73"/>
      <c r="BA13" s="74"/>
      <c r="BB13" s="75"/>
      <c r="BC13" s="75"/>
      <c r="BD13" s="75"/>
      <c r="BE13" s="75"/>
      <c r="BF13" s="75"/>
      <c r="BG13" s="75"/>
      <c r="BH13" s="75"/>
      <c r="BI13" s="75"/>
      <c r="BJ13" s="75"/>
      <c r="BK13" s="75"/>
      <c r="BL13" s="76"/>
      <c r="BM13" s="40"/>
      <c r="BN13" s="40"/>
    </row>
    <row r="14" spans="1:66" s="35" customFormat="1" ht="24" customHeight="1" x14ac:dyDescent="0.45">
      <c r="A14" s="37"/>
      <c r="B14" s="37"/>
      <c r="C14" s="85">
        <f t="shared" si="0"/>
        <v>5</v>
      </c>
      <c r="D14" s="154"/>
      <c r="E14" s="155"/>
      <c r="F14" s="155"/>
      <c r="G14" s="156"/>
      <c r="H14" s="148" t="s">
        <v>58</v>
      </c>
      <c r="I14" s="149"/>
      <c r="J14" s="149"/>
      <c r="K14" s="150"/>
      <c r="L14" s="148" t="s">
        <v>121</v>
      </c>
      <c r="M14" s="149"/>
      <c r="N14" s="149"/>
      <c r="O14" s="150"/>
      <c r="P14" s="148" t="s">
        <v>120</v>
      </c>
      <c r="Q14" s="149"/>
      <c r="R14" s="149"/>
      <c r="S14" s="149"/>
      <c r="T14" s="149"/>
      <c r="U14" s="149"/>
      <c r="V14" s="149"/>
      <c r="W14" s="150"/>
      <c r="X14" s="145" t="s">
        <v>122</v>
      </c>
      <c r="Y14" s="146"/>
      <c r="Z14" s="146"/>
      <c r="AA14" s="146"/>
      <c r="AB14" s="146"/>
      <c r="AC14" s="146"/>
      <c r="AD14" s="146"/>
      <c r="AE14" s="147"/>
      <c r="AF14" s="145"/>
      <c r="AG14" s="146"/>
      <c r="AH14" s="146"/>
      <c r="AI14" s="146"/>
      <c r="AJ14" s="146"/>
      <c r="AK14" s="146"/>
      <c r="AL14" s="146"/>
      <c r="AM14" s="146"/>
      <c r="AN14" s="163"/>
      <c r="AO14" s="143">
        <v>45674</v>
      </c>
      <c r="AP14" s="144"/>
      <c r="AQ14" s="119" t="s">
        <v>133</v>
      </c>
      <c r="AR14" s="121"/>
      <c r="AS14" s="119" t="s">
        <v>134</v>
      </c>
      <c r="AT14" s="142"/>
      <c r="AU14" s="143"/>
      <c r="AV14" s="144"/>
      <c r="AW14" s="119"/>
      <c r="AX14" s="121"/>
      <c r="AY14" s="119"/>
      <c r="AZ14" s="142"/>
      <c r="BA14" s="160"/>
      <c r="BB14" s="161"/>
      <c r="BC14" s="161"/>
      <c r="BD14" s="161"/>
      <c r="BE14" s="161"/>
      <c r="BF14" s="161"/>
      <c r="BG14" s="161"/>
      <c r="BH14" s="161"/>
      <c r="BI14" s="161"/>
      <c r="BJ14" s="161"/>
      <c r="BK14" s="161"/>
      <c r="BL14" s="162"/>
      <c r="BM14" s="40"/>
      <c r="BN14" s="40"/>
    </row>
    <row r="15" spans="1:66" s="80" customFormat="1" ht="40.200000000000003" customHeight="1" x14ac:dyDescent="0.45">
      <c r="A15" s="81"/>
      <c r="B15" s="81"/>
      <c r="C15" s="85">
        <f t="shared" si="0"/>
        <v>6</v>
      </c>
      <c r="D15" s="105"/>
      <c r="E15" s="106"/>
      <c r="F15" s="106"/>
      <c r="G15" s="107"/>
      <c r="H15" s="154"/>
      <c r="I15" s="155"/>
      <c r="J15" s="155"/>
      <c r="K15" s="156"/>
      <c r="L15" s="102"/>
      <c r="M15" s="103"/>
      <c r="N15" s="103"/>
      <c r="O15" s="104"/>
      <c r="P15" s="148" t="s">
        <v>127</v>
      </c>
      <c r="Q15" s="149"/>
      <c r="R15" s="149"/>
      <c r="S15" s="149"/>
      <c r="T15" s="149"/>
      <c r="U15" s="149"/>
      <c r="V15" s="149"/>
      <c r="W15" s="150"/>
      <c r="X15" s="145" t="s">
        <v>123</v>
      </c>
      <c r="Y15" s="146"/>
      <c r="Z15" s="146"/>
      <c r="AA15" s="146"/>
      <c r="AB15" s="146"/>
      <c r="AC15" s="146"/>
      <c r="AD15" s="146"/>
      <c r="AE15" s="147"/>
      <c r="AF15" s="100"/>
      <c r="AG15" s="101"/>
      <c r="AH15" s="101"/>
      <c r="AI15" s="101"/>
      <c r="AJ15" s="101"/>
      <c r="AK15" s="101"/>
      <c r="AL15" s="101"/>
      <c r="AM15" s="101"/>
      <c r="AN15" s="114"/>
      <c r="AO15" s="143">
        <v>45674</v>
      </c>
      <c r="AP15" s="144"/>
      <c r="AQ15" s="119" t="s">
        <v>133</v>
      </c>
      <c r="AR15" s="121"/>
      <c r="AS15" s="119" t="s">
        <v>134</v>
      </c>
      <c r="AT15" s="142"/>
      <c r="AU15" s="109"/>
      <c r="AV15" s="110"/>
      <c r="AW15" s="98"/>
      <c r="AX15" s="99"/>
      <c r="AY15" s="98"/>
      <c r="AZ15" s="108"/>
      <c r="BA15" s="111"/>
      <c r="BB15" s="112"/>
      <c r="BC15" s="112"/>
      <c r="BD15" s="112"/>
      <c r="BE15" s="112"/>
      <c r="BF15" s="112"/>
      <c r="BG15" s="112"/>
      <c r="BH15" s="112"/>
      <c r="BI15" s="112"/>
      <c r="BJ15" s="112"/>
      <c r="BK15" s="112"/>
      <c r="BL15" s="113"/>
      <c r="BM15" s="82"/>
      <c r="BN15" s="82"/>
    </row>
    <row r="16" spans="1:66" s="80" customFormat="1" ht="24" customHeight="1" x14ac:dyDescent="0.45">
      <c r="A16" s="81"/>
      <c r="B16" s="81"/>
      <c r="C16" s="85">
        <f t="shared" si="0"/>
        <v>7</v>
      </c>
      <c r="D16" s="105"/>
      <c r="E16" s="106"/>
      <c r="F16" s="106"/>
      <c r="G16" s="107"/>
      <c r="H16" s="154"/>
      <c r="I16" s="155"/>
      <c r="J16" s="155"/>
      <c r="K16" s="156"/>
      <c r="L16" s="145" t="s">
        <v>55</v>
      </c>
      <c r="M16" s="146"/>
      <c r="N16" s="146"/>
      <c r="O16" s="147"/>
      <c r="P16" s="145" t="s">
        <v>56</v>
      </c>
      <c r="Q16" s="146"/>
      <c r="R16" s="146"/>
      <c r="S16" s="146"/>
      <c r="T16" s="146"/>
      <c r="U16" s="146"/>
      <c r="V16" s="146"/>
      <c r="W16" s="147"/>
      <c r="X16" s="145" t="s">
        <v>54</v>
      </c>
      <c r="Y16" s="146"/>
      <c r="Z16" s="146"/>
      <c r="AA16" s="146"/>
      <c r="AB16" s="146"/>
      <c r="AC16" s="146"/>
      <c r="AD16" s="146"/>
      <c r="AE16" s="147"/>
      <c r="AF16" s="100"/>
      <c r="AG16" s="101"/>
      <c r="AH16" s="101"/>
      <c r="AI16" s="101"/>
      <c r="AJ16" s="101"/>
      <c r="AK16" s="101"/>
      <c r="AL16" s="101"/>
      <c r="AM16" s="101"/>
      <c r="AN16" s="114"/>
      <c r="AO16" s="143">
        <v>45674</v>
      </c>
      <c r="AP16" s="144"/>
      <c r="AQ16" s="119" t="s">
        <v>133</v>
      </c>
      <c r="AR16" s="121"/>
      <c r="AS16" s="119" t="s">
        <v>134</v>
      </c>
      <c r="AT16" s="142"/>
      <c r="AU16" s="109"/>
      <c r="AV16" s="110"/>
      <c r="AW16" s="98"/>
      <c r="AX16" s="99"/>
      <c r="AY16" s="98"/>
      <c r="AZ16" s="108"/>
      <c r="BA16" s="111"/>
      <c r="BB16" s="112"/>
      <c r="BC16" s="112"/>
      <c r="BD16" s="112"/>
      <c r="BE16" s="112"/>
      <c r="BF16" s="112"/>
      <c r="BG16" s="112"/>
      <c r="BH16" s="112"/>
      <c r="BI16" s="112"/>
      <c r="BJ16" s="112"/>
      <c r="BK16" s="112"/>
      <c r="BL16" s="113"/>
      <c r="BM16" s="82"/>
      <c r="BN16" s="82"/>
    </row>
    <row r="17" spans="1:66" s="80" customFormat="1" ht="45" customHeight="1" x14ac:dyDescent="0.45">
      <c r="A17" s="81"/>
      <c r="B17" s="81"/>
      <c r="C17" s="85">
        <f t="shared" si="0"/>
        <v>8</v>
      </c>
      <c r="D17" s="95"/>
      <c r="E17" s="96"/>
      <c r="F17" s="96"/>
      <c r="G17" s="97"/>
      <c r="H17" s="183"/>
      <c r="I17" s="184"/>
      <c r="J17" s="184"/>
      <c r="K17" s="185"/>
      <c r="L17" s="145" t="s">
        <v>111</v>
      </c>
      <c r="M17" s="146"/>
      <c r="N17" s="146"/>
      <c r="O17" s="147"/>
      <c r="P17" s="145" t="s">
        <v>112</v>
      </c>
      <c r="Q17" s="146"/>
      <c r="R17" s="146"/>
      <c r="S17" s="146"/>
      <c r="T17" s="146"/>
      <c r="U17" s="146"/>
      <c r="V17" s="146"/>
      <c r="W17" s="147"/>
      <c r="X17" s="145" t="s">
        <v>126</v>
      </c>
      <c r="Y17" s="146"/>
      <c r="Z17" s="146"/>
      <c r="AA17" s="146"/>
      <c r="AB17" s="146"/>
      <c r="AC17" s="146"/>
      <c r="AD17" s="146"/>
      <c r="AE17" s="147"/>
      <c r="AF17" s="89"/>
      <c r="AG17" s="90"/>
      <c r="AH17" s="90"/>
      <c r="AI17" s="90"/>
      <c r="AJ17" s="90"/>
      <c r="AK17" s="90"/>
      <c r="AL17" s="90"/>
      <c r="AM17" s="90"/>
      <c r="AN17" s="91"/>
      <c r="AO17" s="143">
        <v>45674</v>
      </c>
      <c r="AP17" s="144"/>
      <c r="AQ17" s="119" t="s">
        <v>133</v>
      </c>
      <c r="AR17" s="121"/>
      <c r="AS17" s="119" t="s">
        <v>134</v>
      </c>
      <c r="AT17" s="142"/>
      <c r="AU17" s="92"/>
      <c r="AV17" s="93"/>
      <c r="AW17" s="83"/>
      <c r="AX17" s="84"/>
      <c r="AY17" s="83"/>
      <c r="AZ17" s="94"/>
      <c r="BA17" s="86"/>
      <c r="BB17" s="87"/>
      <c r="BC17" s="87"/>
      <c r="BD17" s="87"/>
      <c r="BE17" s="87"/>
      <c r="BF17" s="87"/>
      <c r="BG17" s="87"/>
      <c r="BH17" s="87"/>
      <c r="BI17" s="87"/>
      <c r="BJ17" s="87"/>
      <c r="BK17" s="87"/>
      <c r="BL17" s="88"/>
      <c r="BM17" s="82"/>
      <c r="BN17" s="82"/>
    </row>
    <row r="18" spans="1:66" s="35" customFormat="1" ht="24" customHeight="1" x14ac:dyDescent="0.45">
      <c r="A18" s="37"/>
      <c r="B18" s="37"/>
      <c r="C18" s="85">
        <f t="shared" si="0"/>
        <v>9</v>
      </c>
      <c r="D18" s="70"/>
      <c r="E18" s="71"/>
      <c r="F18" s="71"/>
      <c r="G18" s="72"/>
      <c r="H18" s="148" t="s">
        <v>104</v>
      </c>
      <c r="I18" s="149"/>
      <c r="J18" s="149"/>
      <c r="K18" s="150"/>
      <c r="L18" s="145" t="s">
        <v>105</v>
      </c>
      <c r="M18" s="146"/>
      <c r="N18" s="146"/>
      <c r="O18" s="147"/>
      <c r="P18" s="151" t="s">
        <v>108</v>
      </c>
      <c r="Q18" s="152"/>
      <c r="R18" s="152"/>
      <c r="S18" s="152"/>
      <c r="T18" s="152"/>
      <c r="U18" s="152"/>
      <c r="V18" s="152"/>
      <c r="W18" s="153"/>
      <c r="X18" s="145" t="s">
        <v>107</v>
      </c>
      <c r="Y18" s="146"/>
      <c r="Z18" s="146"/>
      <c r="AA18" s="146"/>
      <c r="AB18" s="146"/>
      <c r="AC18" s="146"/>
      <c r="AD18" s="146"/>
      <c r="AE18" s="147"/>
      <c r="AF18" s="68"/>
      <c r="AG18" s="69"/>
      <c r="AH18" s="69"/>
      <c r="AI18" s="69"/>
      <c r="AJ18" s="69"/>
      <c r="AK18" s="69"/>
      <c r="AL18" s="69"/>
      <c r="AM18" s="69"/>
      <c r="AN18" s="77"/>
      <c r="AO18" s="143">
        <v>45674</v>
      </c>
      <c r="AP18" s="144"/>
      <c r="AQ18" s="119" t="s">
        <v>133</v>
      </c>
      <c r="AR18" s="121"/>
      <c r="AS18" s="119" t="s">
        <v>134</v>
      </c>
      <c r="AT18" s="142"/>
      <c r="AU18" s="78"/>
      <c r="AV18" s="79"/>
      <c r="AW18" s="66"/>
      <c r="AX18" s="67"/>
      <c r="AY18" s="66"/>
      <c r="AZ18" s="73"/>
      <c r="BA18" s="74"/>
      <c r="BB18" s="75"/>
      <c r="BC18" s="75"/>
      <c r="BD18" s="75"/>
      <c r="BE18" s="75"/>
      <c r="BF18" s="75"/>
      <c r="BG18" s="75"/>
      <c r="BH18" s="75"/>
      <c r="BI18" s="75"/>
      <c r="BJ18" s="75"/>
      <c r="BK18" s="75"/>
      <c r="BL18" s="76"/>
      <c r="BM18" s="40"/>
      <c r="BN18" s="40"/>
    </row>
    <row r="19" spans="1:66" s="35" customFormat="1" ht="24" customHeight="1" x14ac:dyDescent="0.45">
      <c r="A19" s="37"/>
      <c r="B19" s="37"/>
      <c r="C19" s="85">
        <f t="shared" si="0"/>
        <v>10</v>
      </c>
      <c r="D19" s="70"/>
      <c r="E19" s="71"/>
      <c r="F19" s="71"/>
      <c r="G19" s="72"/>
      <c r="H19" s="70"/>
      <c r="I19" s="71"/>
      <c r="J19" s="71"/>
      <c r="K19" s="72"/>
      <c r="L19" s="145" t="s">
        <v>106</v>
      </c>
      <c r="M19" s="146"/>
      <c r="N19" s="146"/>
      <c r="O19" s="147"/>
      <c r="P19" s="151" t="s">
        <v>109</v>
      </c>
      <c r="Q19" s="152"/>
      <c r="R19" s="152"/>
      <c r="S19" s="152"/>
      <c r="T19" s="152"/>
      <c r="U19" s="152"/>
      <c r="V19" s="152"/>
      <c r="W19" s="153"/>
      <c r="X19" s="145" t="s">
        <v>107</v>
      </c>
      <c r="Y19" s="146"/>
      <c r="Z19" s="146"/>
      <c r="AA19" s="146"/>
      <c r="AB19" s="146"/>
      <c r="AC19" s="146"/>
      <c r="AD19" s="146"/>
      <c r="AE19" s="147"/>
      <c r="AF19" s="68"/>
      <c r="AG19" s="69"/>
      <c r="AH19" s="69"/>
      <c r="AI19" s="69"/>
      <c r="AJ19" s="69"/>
      <c r="AK19" s="69"/>
      <c r="AL19" s="69"/>
      <c r="AM19" s="69"/>
      <c r="AN19" s="77"/>
      <c r="AO19" s="143">
        <v>45674</v>
      </c>
      <c r="AP19" s="144"/>
      <c r="AQ19" s="119" t="s">
        <v>133</v>
      </c>
      <c r="AR19" s="121"/>
      <c r="AS19" s="119" t="s">
        <v>134</v>
      </c>
      <c r="AT19" s="142"/>
      <c r="AU19" s="78"/>
      <c r="AV19" s="79"/>
      <c r="AW19" s="66"/>
      <c r="AX19" s="67"/>
      <c r="AY19" s="66"/>
      <c r="AZ19" s="73"/>
      <c r="BA19" s="74"/>
      <c r="BB19" s="75"/>
      <c r="BC19" s="75"/>
      <c r="BD19" s="75"/>
      <c r="BE19" s="75"/>
      <c r="BF19" s="75"/>
      <c r="BG19" s="75"/>
      <c r="BH19" s="75"/>
      <c r="BI19" s="75"/>
      <c r="BJ19" s="75"/>
      <c r="BK19" s="75"/>
      <c r="BL19" s="76"/>
      <c r="BM19" s="40"/>
      <c r="BN19" s="40"/>
    </row>
    <row r="20" spans="1:66" s="35" customFormat="1" ht="24" customHeight="1" x14ac:dyDescent="0.45">
      <c r="A20" s="37"/>
      <c r="B20" s="37"/>
      <c r="C20" s="85">
        <f t="shared" si="0"/>
        <v>11</v>
      </c>
      <c r="D20" s="70"/>
      <c r="E20" s="71"/>
      <c r="F20" s="71"/>
      <c r="G20" s="72"/>
      <c r="H20" s="70"/>
      <c r="I20" s="71"/>
      <c r="J20" s="71"/>
      <c r="K20" s="72"/>
      <c r="L20" s="145" t="s">
        <v>102</v>
      </c>
      <c r="M20" s="146"/>
      <c r="N20" s="146"/>
      <c r="O20" s="147"/>
      <c r="P20" s="145" t="s">
        <v>110</v>
      </c>
      <c r="Q20" s="146"/>
      <c r="R20" s="146"/>
      <c r="S20" s="146"/>
      <c r="T20" s="146"/>
      <c r="U20" s="146"/>
      <c r="V20" s="146"/>
      <c r="W20" s="147"/>
      <c r="X20" s="145" t="s">
        <v>107</v>
      </c>
      <c r="Y20" s="146"/>
      <c r="Z20" s="146"/>
      <c r="AA20" s="146"/>
      <c r="AB20" s="146"/>
      <c r="AC20" s="146"/>
      <c r="AD20" s="146"/>
      <c r="AE20" s="147"/>
      <c r="AF20" s="68"/>
      <c r="AG20" s="69"/>
      <c r="AH20" s="69"/>
      <c r="AI20" s="69"/>
      <c r="AJ20" s="69"/>
      <c r="AK20" s="69"/>
      <c r="AL20" s="69"/>
      <c r="AM20" s="69"/>
      <c r="AN20" s="77"/>
      <c r="AO20" s="143">
        <v>45674</v>
      </c>
      <c r="AP20" s="144"/>
      <c r="AQ20" s="119" t="s">
        <v>133</v>
      </c>
      <c r="AR20" s="121"/>
      <c r="AS20" s="119" t="s">
        <v>134</v>
      </c>
      <c r="AT20" s="142"/>
      <c r="AU20" s="78"/>
      <c r="AV20" s="79"/>
      <c r="AW20" s="66"/>
      <c r="AX20" s="67"/>
      <c r="AY20" s="66"/>
      <c r="AZ20" s="73"/>
      <c r="BA20" s="74"/>
      <c r="BB20" s="75"/>
      <c r="BC20" s="75"/>
      <c r="BD20" s="75"/>
      <c r="BE20" s="75"/>
      <c r="BF20" s="75"/>
      <c r="BG20" s="75"/>
      <c r="BH20" s="75"/>
      <c r="BI20" s="75"/>
      <c r="BJ20" s="75"/>
      <c r="BK20" s="75"/>
      <c r="BL20" s="76"/>
      <c r="BM20" s="40"/>
      <c r="BN20" s="40"/>
    </row>
    <row r="21" spans="1:66" ht="28.2" customHeight="1" thickBot="1" x14ac:dyDescent="0.5">
      <c r="A21" s="10"/>
      <c r="B21" s="10"/>
      <c r="C21" s="85">
        <f t="shared" si="0"/>
        <v>12</v>
      </c>
      <c r="D21" s="154"/>
      <c r="E21" s="155"/>
      <c r="F21" s="155"/>
      <c r="G21" s="156"/>
      <c r="H21" s="154"/>
      <c r="I21" s="155"/>
      <c r="J21" s="155"/>
      <c r="K21" s="156"/>
      <c r="L21" s="145" t="s">
        <v>74</v>
      </c>
      <c r="M21" s="146"/>
      <c r="N21" s="146"/>
      <c r="O21" s="147"/>
      <c r="P21" s="145" t="s">
        <v>64</v>
      </c>
      <c r="Q21" s="146"/>
      <c r="R21" s="146"/>
      <c r="S21" s="146"/>
      <c r="T21" s="146"/>
      <c r="U21" s="146"/>
      <c r="V21" s="146"/>
      <c r="W21" s="147"/>
      <c r="X21" s="145" t="s">
        <v>63</v>
      </c>
      <c r="Y21" s="146"/>
      <c r="Z21" s="146"/>
      <c r="AA21" s="146"/>
      <c r="AB21" s="146"/>
      <c r="AC21" s="146"/>
      <c r="AD21" s="146"/>
      <c r="AE21" s="147"/>
      <c r="AF21" s="145"/>
      <c r="AG21" s="146"/>
      <c r="AH21" s="146"/>
      <c r="AI21" s="146"/>
      <c r="AJ21" s="146"/>
      <c r="AK21" s="146"/>
      <c r="AL21" s="146"/>
      <c r="AM21" s="146"/>
      <c r="AN21" s="163"/>
      <c r="AO21" s="143">
        <v>45674</v>
      </c>
      <c r="AP21" s="144"/>
      <c r="AQ21" s="119" t="s">
        <v>133</v>
      </c>
      <c r="AR21" s="121"/>
      <c r="AS21" s="119" t="s">
        <v>134</v>
      </c>
      <c r="AT21" s="142"/>
      <c r="AU21" s="143"/>
      <c r="AV21" s="144"/>
      <c r="AW21" s="119"/>
      <c r="AX21" s="121"/>
      <c r="AY21" s="119"/>
      <c r="AZ21" s="142"/>
      <c r="BA21" s="160"/>
      <c r="BB21" s="161"/>
      <c r="BC21" s="161"/>
      <c r="BD21" s="161"/>
      <c r="BE21" s="161"/>
      <c r="BF21" s="161"/>
      <c r="BG21" s="161"/>
      <c r="BH21" s="161"/>
      <c r="BI21" s="161"/>
      <c r="BJ21" s="161"/>
      <c r="BK21" s="161"/>
      <c r="BL21" s="162"/>
      <c r="BM21" s="16"/>
      <c r="BN21" s="16"/>
    </row>
    <row r="22" spans="1:66" ht="20.100000000000001" customHeight="1" thickTop="1" thickBot="1" x14ac:dyDescent="0.5">
      <c r="A22" s="10"/>
      <c r="B22" s="8"/>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8"/>
      <c r="BN22" s="16"/>
    </row>
    <row r="23" spans="1:66" ht="5.0999999999999996" customHeight="1" thickTop="1" x14ac:dyDescent="0.45">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row>
    <row r="24" spans="1:66" ht="20.100000000000001" customHeight="1" x14ac:dyDescent="0.45">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row>
  </sheetData>
  <mergeCells count="136">
    <mergeCell ref="B2:G2"/>
    <mergeCell ref="H2:K2"/>
    <mergeCell ref="L2:Q2"/>
    <mergeCell ref="R2:W2"/>
    <mergeCell ref="X2:AJ2"/>
    <mergeCell ref="AK2:AW2"/>
    <mergeCell ref="AF11:AN11"/>
    <mergeCell ref="AO11:AP11"/>
    <mergeCell ref="AQ11:AR11"/>
    <mergeCell ref="AS11:AT11"/>
    <mergeCell ref="H10:K10"/>
    <mergeCell ref="L10:O10"/>
    <mergeCell ref="P10:W10"/>
    <mergeCell ref="X10:AE10"/>
    <mergeCell ref="B3:G4"/>
    <mergeCell ref="H3:K4"/>
    <mergeCell ref="L3:Q4"/>
    <mergeCell ref="R3:W4"/>
    <mergeCell ref="X3:AJ4"/>
    <mergeCell ref="AK3:AW4"/>
    <mergeCell ref="AF10:AN10"/>
    <mergeCell ref="AO10:AP10"/>
    <mergeCell ref="AQ10:AR10"/>
    <mergeCell ref="AS10:AT10"/>
    <mergeCell ref="BA10:BL10"/>
    <mergeCell ref="AY10:AZ10"/>
    <mergeCell ref="AU10:AV10"/>
    <mergeCell ref="AW10:AX10"/>
    <mergeCell ref="AX3:BA4"/>
    <mergeCell ref="D14:G14"/>
    <mergeCell ref="AW14:AX14"/>
    <mergeCell ref="AY14:AZ14"/>
    <mergeCell ref="BA14:BL14"/>
    <mergeCell ref="AF14:AN14"/>
    <mergeCell ref="AO14:AP14"/>
    <mergeCell ref="AQ14:AR14"/>
    <mergeCell ref="AU14:AV14"/>
    <mergeCell ref="AO8:AT8"/>
    <mergeCell ref="AO9:AP9"/>
    <mergeCell ref="AQ9:AR9"/>
    <mergeCell ref="AS9:AT9"/>
    <mergeCell ref="AU9:AV9"/>
    <mergeCell ref="AW9:AX9"/>
    <mergeCell ref="D10:G10"/>
    <mergeCell ref="D11:G11"/>
    <mergeCell ref="L13:O13"/>
    <mergeCell ref="P13:W13"/>
    <mergeCell ref="X13:AE13"/>
    <mergeCell ref="BB2:BE2"/>
    <mergeCell ref="BF2:BI2"/>
    <mergeCell ref="BJ2:BM2"/>
    <mergeCell ref="AU8:AZ8"/>
    <mergeCell ref="BG8:BH8"/>
    <mergeCell ref="BI8:BJ8"/>
    <mergeCell ref="BK8:BL8"/>
    <mergeCell ref="AY9:AZ9"/>
    <mergeCell ref="BA9:BL9"/>
    <mergeCell ref="BB3:BE4"/>
    <mergeCell ref="BF3:BI4"/>
    <mergeCell ref="AX2:BA2"/>
    <mergeCell ref="BJ3:BM4"/>
    <mergeCell ref="BE7:BF8"/>
    <mergeCell ref="BG7:BH7"/>
    <mergeCell ref="BI7:BJ7"/>
    <mergeCell ref="BK7:BL7"/>
    <mergeCell ref="AU11:AV11"/>
    <mergeCell ref="AW11:AX11"/>
    <mergeCell ref="AY11:AZ11"/>
    <mergeCell ref="AS14:AT14"/>
    <mergeCell ref="X21:AE21"/>
    <mergeCell ref="L12:O12"/>
    <mergeCell ref="P12:W12"/>
    <mergeCell ref="BA21:BL21"/>
    <mergeCell ref="P21:W21"/>
    <mergeCell ref="AF21:AN21"/>
    <mergeCell ref="AO21:AP21"/>
    <mergeCell ref="AQ21:AR21"/>
    <mergeCell ref="AS21:AT21"/>
    <mergeCell ref="AU21:AV21"/>
    <mergeCell ref="AW21:AX21"/>
    <mergeCell ref="AY21:AZ21"/>
    <mergeCell ref="L17:O17"/>
    <mergeCell ref="BA11:BL11"/>
    <mergeCell ref="P17:W17"/>
    <mergeCell ref="X17:AE17"/>
    <mergeCell ref="D21:G21"/>
    <mergeCell ref="X12:AE12"/>
    <mergeCell ref="L11:O11"/>
    <mergeCell ref="L21:O21"/>
    <mergeCell ref="H11:K11"/>
    <mergeCell ref="H21:K21"/>
    <mergeCell ref="L14:O14"/>
    <mergeCell ref="P11:W11"/>
    <mergeCell ref="X11:AE11"/>
    <mergeCell ref="P14:W14"/>
    <mergeCell ref="X14:AE14"/>
    <mergeCell ref="H14:K17"/>
    <mergeCell ref="L20:O20"/>
    <mergeCell ref="H18:K18"/>
    <mergeCell ref="L18:O18"/>
    <mergeCell ref="L19:O19"/>
    <mergeCell ref="P20:W20"/>
    <mergeCell ref="P18:W18"/>
    <mergeCell ref="P19:W19"/>
    <mergeCell ref="X20:AE20"/>
    <mergeCell ref="X18:AE18"/>
    <mergeCell ref="X19:AE19"/>
    <mergeCell ref="L16:O16"/>
    <mergeCell ref="P16:W16"/>
    <mergeCell ref="X16:AE16"/>
    <mergeCell ref="X15:AE15"/>
    <mergeCell ref="AO12:AP12"/>
    <mergeCell ref="AO13:AP13"/>
    <mergeCell ref="AO15:AP15"/>
    <mergeCell ref="AO16:AP16"/>
    <mergeCell ref="AO17:AP17"/>
    <mergeCell ref="P15:W15"/>
    <mergeCell ref="AS12:AT12"/>
    <mergeCell ref="AS13:AT13"/>
    <mergeCell ref="AS15:AT15"/>
    <mergeCell ref="AS16:AT16"/>
    <mergeCell ref="AS17:AT17"/>
    <mergeCell ref="AS18:AT18"/>
    <mergeCell ref="AS19:AT19"/>
    <mergeCell ref="AS20:AT20"/>
    <mergeCell ref="AO18:AP18"/>
    <mergeCell ref="AO19:AP19"/>
    <mergeCell ref="AO20:AP20"/>
    <mergeCell ref="AQ12:AR12"/>
    <mergeCell ref="AQ13:AR13"/>
    <mergeCell ref="AQ15:AR15"/>
    <mergeCell ref="AQ16:AR16"/>
    <mergeCell ref="AQ17:AR17"/>
    <mergeCell ref="AQ18:AR18"/>
    <mergeCell ref="AQ19:AR19"/>
    <mergeCell ref="AQ20:AR20"/>
  </mergeCells>
  <phoneticPr fontId="2"/>
  <conditionalFormatting sqref="AY10:AY21 AS10:AS16">
    <cfRule type="cellIs" dxfId="33" priority="15" operator="equal">
      <formula>"OK"</formula>
    </cfRule>
    <cfRule type="cellIs" dxfId="32" priority="16" operator="equal">
      <formula>"NG"</formula>
    </cfRule>
  </conditionalFormatting>
  <conditionalFormatting sqref="AS17">
    <cfRule type="cellIs" dxfId="31" priority="9" operator="equal">
      <formula>"OK"</formula>
    </cfRule>
    <cfRule type="cellIs" dxfId="30" priority="10" operator="equal">
      <formula>"NG"</formula>
    </cfRule>
  </conditionalFormatting>
  <conditionalFormatting sqref="AS18">
    <cfRule type="cellIs" dxfId="29" priority="7" operator="equal">
      <formula>"OK"</formula>
    </cfRule>
    <cfRule type="cellIs" dxfId="28" priority="8" operator="equal">
      <formula>"NG"</formula>
    </cfRule>
  </conditionalFormatting>
  <conditionalFormatting sqref="AS19">
    <cfRule type="cellIs" dxfId="27" priority="5" operator="equal">
      <formula>"OK"</formula>
    </cfRule>
    <cfRule type="cellIs" dxfId="26" priority="6" operator="equal">
      <formula>"NG"</formula>
    </cfRule>
  </conditionalFormatting>
  <conditionalFormatting sqref="AS20">
    <cfRule type="cellIs" dxfId="25" priority="3" operator="equal">
      <formula>"OK"</formula>
    </cfRule>
    <cfRule type="cellIs" dxfId="24" priority="4" operator="equal">
      <formula>"NG"</formula>
    </cfRule>
  </conditionalFormatting>
  <conditionalFormatting sqref="AS21">
    <cfRule type="cellIs" dxfId="23" priority="1" operator="equal">
      <formula>"OK"</formula>
    </cfRule>
    <cfRule type="cellIs" dxfId="22" priority="2" operator="equal">
      <formula>"NG"</formula>
    </cfRule>
  </conditionalFormatting>
  <dataValidations count="1">
    <dataValidation type="list" allowBlank="1" showInputMessage="1" showErrorMessage="1" sqref="AY10:AY21 AS10:AS21">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29"/>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35" customWidth="1"/>
    <col min="2" max="14" width="3.69921875" style="35" customWidth="1"/>
    <col min="15" max="15" width="3.796875" style="35" customWidth="1"/>
    <col min="16" max="65" width="3.69921875" style="35" customWidth="1"/>
    <col min="66" max="66" width="1.09765625" style="35" customWidth="1"/>
    <col min="67" max="16384" width="3.59765625" style="35"/>
  </cols>
  <sheetData>
    <row r="1" spans="1:66" ht="5.25" customHeight="1" thickBot="1" x14ac:dyDescent="0.5">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row>
    <row r="2" spans="1:66" ht="20.100000000000001" customHeight="1" thickTop="1" x14ac:dyDescent="0.45">
      <c r="A2" s="37"/>
      <c r="B2" s="186" t="s">
        <v>44</v>
      </c>
      <c r="C2" s="137"/>
      <c r="D2" s="137"/>
      <c r="E2" s="137"/>
      <c r="F2" s="137"/>
      <c r="G2" s="138"/>
      <c r="H2" s="136" t="s">
        <v>45</v>
      </c>
      <c r="I2" s="137"/>
      <c r="J2" s="137"/>
      <c r="K2" s="138"/>
      <c r="L2" s="136" t="s">
        <v>46</v>
      </c>
      <c r="M2" s="137"/>
      <c r="N2" s="137"/>
      <c r="O2" s="137"/>
      <c r="P2" s="137"/>
      <c r="Q2" s="138"/>
      <c r="R2" s="136" t="s">
        <v>47</v>
      </c>
      <c r="S2" s="137"/>
      <c r="T2" s="137"/>
      <c r="U2" s="137"/>
      <c r="V2" s="137"/>
      <c r="W2" s="138"/>
      <c r="X2" s="136" t="s">
        <v>48</v>
      </c>
      <c r="Y2" s="137"/>
      <c r="Z2" s="137"/>
      <c r="AA2" s="137"/>
      <c r="AB2" s="137"/>
      <c r="AC2" s="137"/>
      <c r="AD2" s="137"/>
      <c r="AE2" s="137"/>
      <c r="AF2" s="137"/>
      <c r="AG2" s="137"/>
      <c r="AH2" s="137"/>
      <c r="AI2" s="137"/>
      <c r="AJ2" s="138"/>
      <c r="AK2" s="136" t="s">
        <v>49</v>
      </c>
      <c r="AL2" s="137"/>
      <c r="AM2" s="137"/>
      <c r="AN2" s="137"/>
      <c r="AO2" s="137"/>
      <c r="AP2" s="137"/>
      <c r="AQ2" s="137"/>
      <c r="AR2" s="137"/>
      <c r="AS2" s="137"/>
      <c r="AT2" s="137"/>
      <c r="AU2" s="137"/>
      <c r="AV2" s="137"/>
      <c r="AW2" s="138"/>
      <c r="AX2" s="124" t="s">
        <v>5</v>
      </c>
      <c r="AY2" s="124"/>
      <c r="AZ2" s="124"/>
      <c r="BA2" s="124"/>
      <c r="BB2" s="124" t="s">
        <v>4</v>
      </c>
      <c r="BC2" s="124"/>
      <c r="BD2" s="124"/>
      <c r="BE2" s="124"/>
      <c r="BF2" s="124" t="s">
        <v>6</v>
      </c>
      <c r="BG2" s="124"/>
      <c r="BH2" s="124"/>
      <c r="BI2" s="124"/>
      <c r="BJ2" s="124" t="s">
        <v>7</v>
      </c>
      <c r="BK2" s="124"/>
      <c r="BL2" s="124"/>
      <c r="BM2" s="125"/>
      <c r="BN2" s="40"/>
    </row>
    <row r="3" spans="1:66" ht="20.100000000000001" customHeight="1" x14ac:dyDescent="0.45">
      <c r="A3" s="37"/>
      <c r="B3" s="187" t="str">
        <f>変更履歴!B3</f>
        <v>受発注システム</v>
      </c>
      <c r="C3" s="131"/>
      <c r="D3" s="131"/>
      <c r="E3" s="131"/>
      <c r="F3" s="131"/>
      <c r="G3" s="132"/>
      <c r="H3" s="130" t="str">
        <f ca="1">変更履歴!H3</f>
        <v>経費</v>
      </c>
      <c r="I3" s="131"/>
      <c r="J3" s="131"/>
      <c r="K3" s="132"/>
      <c r="L3" s="130" t="str">
        <f>変更履歴!L3</f>
        <v>運用自動化</v>
      </c>
      <c r="M3" s="131"/>
      <c r="N3" s="131"/>
      <c r="O3" s="131"/>
      <c r="P3" s="131"/>
      <c r="Q3" s="132"/>
      <c r="R3" s="130" t="str">
        <f ca="1">変更履歴!R3</f>
        <v>結合試験項目</v>
      </c>
      <c r="S3" s="131"/>
      <c r="T3" s="131"/>
      <c r="U3" s="131"/>
      <c r="V3" s="131"/>
      <c r="W3" s="132"/>
      <c r="X3" s="130" t="str">
        <f ca="1">変更履歴!X3</f>
        <v>経費_経費取込処理_結合試験項目</v>
      </c>
      <c r="Y3" s="131"/>
      <c r="Z3" s="131"/>
      <c r="AA3" s="131"/>
      <c r="AB3" s="131"/>
      <c r="AC3" s="131"/>
      <c r="AD3" s="131"/>
      <c r="AE3" s="131"/>
      <c r="AF3" s="131"/>
      <c r="AG3" s="131"/>
      <c r="AH3" s="131"/>
      <c r="AI3" s="131"/>
      <c r="AJ3" s="132"/>
      <c r="AK3" s="130" t="str">
        <f ca="1">変更履歴!AK3</f>
        <v>経費取込処理</v>
      </c>
      <c r="AL3" s="131"/>
      <c r="AM3" s="131"/>
      <c r="AN3" s="131"/>
      <c r="AO3" s="131"/>
      <c r="AP3" s="131"/>
      <c r="AQ3" s="131"/>
      <c r="AR3" s="131"/>
      <c r="AS3" s="131"/>
      <c r="AT3" s="131"/>
      <c r="AU3" s="131"/>
      <c r="AV3" s="131"/>
      <c r="AW3" s="132"/>
      <c r="AX3" s="126">
        <f>変更履歴!AX3</f>
        <v>45628</v>
      </c>
      <c r="AY3" s="126"/>
      <c r="AZ3" s="126"/>
      <c r="BA3" s="126"/>
      <c r="BB3" s="127" t="str">
        <f>変更履歴!BB3</f>
        <v>児玉</v>
      </c>
      <c r="BC3" s="127"/>
      <c r="BD3" s="127"/>
      <c r="BE3" s="127"/>
      <c r="BF3" s="126">
        <f>変更履歴!BF3</f>
        <v>45628</v>
      </c>
      <c r="BG3" s="126"/>
      <c r="BH3" s="126"/>
      <c r="BI3" s="126"/>
      <c r="BJ3" s="127" t="str">
        <f>変更履歴!BJ3</f>
        <v>児玉</v>
      </c>
      <c r="BK3" s="127"/>
      <c r="BL3" s="127"/>
      <c r="BM3" s="129"/>
      <c r="BN3" s="40"/>
    </row>
    <row r="4" spans="1:66" ht="20.100000000000001" customHeight="1" thickBot="1" x14ac:dyDescent="0.5">
      <c r="A4" s="37"/>
      <c r="B4" s="188"/>
      <c r="C4" s="134"/>
      <c r="D4" s="134"/>
      <c r="E4" s="134"/>
      <c r="F4" s="134"/>
      <c r="G4" s="135"/>
      <c r="H4" s="133"/>
      <c r="I4" s="134"/>
      <c r="J4" s="134"/>
      <c r="K4" s="135"/>
      <c r="L4" s="133"/>
      <c r="M4" s="134"/>
      <c r="N4" s="134"/>
      <c r="O4" s="134"/>
      <c r="P4" s="134"/>
      <c r="Q4" s="135"/>
      <c r="R4" s="133"/>
      <c r="S4" s="134"/>
      <c r="T4" s="134"/>
      <c r="U4" s="134"/>
      <c r="V4" s="134"/>
      <c r="W4" s="135"/>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73"/>
      <c r="AY4" s="173"/>
      <c r="AZ4" s="173"/>
      <c r="BA4" s="173"/>
      <c r="BB4" s="128"/>
      <c r="BC4" s="128"/>
      <c r="BD4" s="128"/>
      <c r="BE4" s="128"/>
      <c r="BF4" s="173"/>
      <c r="BG4" s="173"/>
      <c r="BH4" s="173"/>
      <c r="BI4" s="173"/>
      <c r="BJ4" s="128"/>
      <c r="BK4" s="128"/>
      <c r="BL4" s="128"/>
      <c r="BM4" s="130"/>
      <c r="BN4" s="40"/>
    </row>
    <row r="5" spans="1:66" ht="5.25" customHeight="1" thickTop="1" thickBot="1" x14ac:dyDescent="0.5">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row>
    <row r="6" spans="1:66" ht="8.4" customHeight="1" thickTop="1" thickBot="1" x14ac:dyDescent="0.5">
      <c r="A6" s="37"/>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40"/>
    </row>
    <row r="7" spans="1:66" ht="13.8" thickTop="1" thickBot="1" x14ac:dyDescent="0.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E7" s="174" t="s">
        <v>35</v>
      </c>
      <c r="BF7" s="175"/>
      <c r="BG7" s="178" t="s">
        <v>34</v>
      </c>
      <c r="BH7" s="178"/>
      <c r="BI7" s="179" t="s">
        <v>36</v>
      </c>
      <c r="BJ7" s="180"/>
      <c r="BK7" s="179" t="s">
        <v>37</v>
      </c>
      <c r="BL7" s="166"/>
      <c r="BM7" s="36"/>
      <c r="BN7" s="40"/>
    </row>
    <row r="8" spans="1:66" ht="13.8" thickTop="1" thickBot="1" x14ac:dyDescent="0.5">
      <c r="A8" s="37"/>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L8" s="36"/>
      <c r="AM8" s="36"/>
      <c r="AO8" s="164" t="s">
        <v>38</v>
      </c>
      <c r="AP8" s="165"/>
      <c r="AQ8" s="165"/>
      <c r="AR8" s="165"/>
      <c r="AS8" s="165"/>
      <c r="AT8" s="166"/>
      <c r="AU8" s="164" t="s">
        <v>39</v>
      </c>
      <c r="AV8" s="165"/>
      <c r="AW8" s="165"/>
      <c r="AX8" s="165"/>
      <c r="AY8" s="165"/>
      <c r="AZ8" s="166"/>
      <c r="BE8" s="176"/>
      <c r="BF8" s="177"/>
      <c r="BG8" s="167">
        <f>COUNTA(C10:C26)</f>
        <v>17</v>
      </c>
      <c r="BH8" s="168"/>
      <c r="BI8" s="167">
        <f>COUNTIF(AS10:AT26,"OK")+COUNTIF(AY10:AZ26,"OK")</f>
        <v>17</v>
      </c>
      <c r="BJ8" s="168"/>
      <c r="BK8" s="167">
        <f>BG8-BI8</f>
        <v>0</v>
      </c>
      <c r="BL8" s="169"/>
      <c r="BM8" s="36"/>
      <c r="BN8" s="40"/>
    </row>
    <row r="9" spans="1:66" ht="20.100000000000001" customHeight="1" thickTop="1" x14ac:dyDescent="0.45">
      <c r="A9" s="37"/>
      <c r="B9" s="36"/>
      <c r="C9" s="42" t="s">
        <v>14</v>
      </c>
      <c r="D9" s="44" t="s">
        <v>23</v>
      </c>
      <c r="E9" s="45"/>
      <c r="F9" s="45"/>
      <c r="G9" s="45"/>
      <c r="H9" s="44" t="s">
        <v>24</v>
      </c>
      <c r="I9" s="45"/>
      <c r="J9" s="45"/>
      <c r="K9" s="46"/>
      <c r="L9" s="44" t="s">
        <v>25</v>
      </c>
      <c r="M9" s="45"/>
      <c r="N9" s="45"/>
      <c r="O9" s="45"/>
      <c r="P9" s="44" t="s">
        <v>40</v>
      </c>
      <c r="Q9" s="45"/>
      <c r="R9" s="45"/>
      <c r="S9" s="45"/>
      <c r="T9" s="45"/>
      <c r="U9" s="45"/>
      <c r="V9" s="45"/>
      <c r="W9" s="45"/>
      <c r="X9" s="44" t="s">
        <v>26</v>
      </c>
      <c r="Y9" s="45"/>
      <c r="Z9" s="45"/>
      <c r="AA9" s="45"/>
      <c r="AB9" s="45"/>
      <c r="AC9" s="45"/>
      <c r="AD9" s="45"/>
      <c r="AE9" s="45"/>
      <c r="AF9" s="44" t="s">
        <v>30</v>
      </c>
      <c r="AG9" s="45"/>
      <c r="AH9" s="45"/>
      <c r="AI9" s="45"/>
      <c r="AJ9" s="45"/>
      <c r="AK9" s="45"/>
      <c r="AL9" s="45"/>
      <c r="AM9" s="45"/>
      <c r="AN9" s="47"/>
      <c r="AO9" s="181" t="s">
        <v>27</v>
      </c>
      <c r="AP9" s="182"/>
      <c r="AQ9" s="170" t="s">
        <v>28</v>
      </c>
      <c r="AR9" s="182"/>
      <c r="AS9" s="170" t="s">
        <v>31</v>
      </c>
      <c r="AT9" s="171"/>
      <c r="AU9" s="181" t="s">
        <v>27</v>
      </c>
      <c r="AV9" s="182"/>
      <c r="AW9" s="170" t="s">
        <v>28</v>
      </c>
      <c r="AX9" s="182"/>
      <c r="AY9" s="170" t="s">
        <v>31</v>
      </c>
      <c r="AZ9" s="171"/>
      <c r="BA9" s="172" t="s">
        <v>29</v>
      </c>
      <c r="BB9" s="165"/>
      <c r="BC9" s="165"/>
      <c r="BD9" s="165"/>
      <c r="BE9" s="165"/>
      <c r="BF9" s="165"/>
      <c r="BG9" s="165"/>
      <c r="BH9" s="165"/>
      <c r="BI9" s="165"/>
      <c r="BJ9" s="165"/>
      <c r="BK9" s="165"/>
      <c r="BL9" s="166"/>
      <c r="BM9" s="40"/>
      <c r="BN9" s="40"/>
    </row>
    <row r="10" spans="1:66" ht="33" customHeight="1" x14ac:dyDescent="0.45">
      <c r="A10" s="37"/>
      <c r="B10" s="37"/>
      <c r="C10" s="43">
        <f>ROW()-9</f>
        <v>1</v>
      </c>
      <c r="D10" s="148" t="s">
        <v>119</v>
      </c>
      <c r="E10" s="149"/>
      <c r="F10" s="149"/>
      <c r="G10" s="150"/>
      <c r="H10" s="148" t="s">
        <v>50</v>
      </c>
      <c r="I10" s="149"/>
      <c r="J10" s="149"/>
      <c r="K10" s="150"/>
      <c r="L10" s="196" t="s">
        <v>65</v>
      </c>
      <c r="M10" s="197"/>
      <c r="N10" s="197"/>
      <c r="O10" s="198"/>
      <c r="P10" s="145" t="s">
        <v>129</v>
      </c>
      <c r="Q10" s="146"/>
      <c r="R10" s="146"/>
      <c r="S10" s="146"/>
      <c r="T10" s="146"/>
      <c r="U10" s="146"/>
      <c r="V10" s="146"/>
      <c r="W10" s="147"/>
      <c r="X10" s="145" t="s">
        <v>52</v>
      </c>
      <c r="Y10" s="146"/>
      <c r="Z10" s="146"/>
      <c r="AA10" s="146"/>
      <c r="AB10" s="146"/>
      <c r="AC10" s="146"/>
      <c r="AD10" s="146"/>
      <c r="AE10" s="147"/>
      <c r="AF10" s="145"/>
      <c r="AG10" s="146"/>
      <c r="AH10" s="146"/>
      <c r="AI10" s="146"/>
      <c r="AJ10" s="146"/>
      <c r="AK10" s="146"/>
      <c r="AL10" s="146"/>
      <c r="AM10" s="146"/>
      <c r="AN10" s="163"/>
      <c r="AO10" s="143">
        <v>45674</v>
      </c>
      <c r="AP10" s="144"/>
      <c r="AQ10" s="119" t="s">
        <v>133</v>
      </c>
      <c r="AR10" s="121"/>
      <c r="AS10" s="119" t="s">
        <v>135</v>
      </c>
      <c r="AT10" s="142"/>
      <c r="AU10" s="143">
        <v>45705</v>
      </c>
      <c r="AV10" s="144"/>
      <c r="AW10" s="119" t="s">
        <v>144</v>
      </c>
      <c r="AX10" s="121"/>
      <c r="AY10" s="119" t="s">
        <v>134</v>
      </c>
      <c r="AZ10" s="142"/>
      <c r="BA10" s="195" t="s">
        <v>136</v>
      </c>
      <c r="BB10" s="161"/>
      <c r="BC10" s="161"/>
      <c r="BD10" s="161"/>
      <c r="BE10" s="161"/>
      <c r="BF10" s="161"/>
      <c r="BG10" s="161"/>
      <c r="BH10" s="161"/>
      <c r="BI10" s="161"/>
      <c r="BJ10" s="161"/>
      <c r="BK10" s="161"/>
      <c r="BL10" s="162"/>
      <c r="BM10" s="40"/>
      <c r="BN10" s="40"/>
    </row>
    <row r="11" spans="1:66" ht="33" customHeight="1" x14ac:dyDescent="0.45">
      <c r="A11" s="37"/>
      <c r="B11" s="37"/>
      <c r="C11" s="85">
        <f t="shared" ref="C11:C26" si="0">ROW()-9</f>
        <v>2</v>
      </c>
      <c r="D11" s="154"/>
      <c r="E11" s="155"/>
      <c r="F11" s="155"/>
      <c r="G11" s="156"/>
      <c r="H11" s="154"/>
      <c r="I11" s="155"/>
      <c r="J11" s="155"/>
      <c r="K11" s="156"/>
      <c r="L11" s="199"/>
      <c r="M11" s="200"/>
      <c r="N11" s="200"/>
      <c r="O11" s="201"/>
      <c r="P11" s="145" t="s">
        <v>130</v>
      </c>
      <c r="Q11" s="146"/>
      <c r="R11" s="146"/>
      <c r="S11" s="146"/>
      <c r="T11" s="146"/>
      <c r="U11" s="146"/>
      <c r="V11" s="146"/>
      <c r="W11" s="147"/>
      <c r="X11" s="145" t="s">
        <v>131</v>
      </c>
      <c r="Y11" s="146"/>
      <c r="Z11" s="146"/>
      <c r="AA11" s="146"/>
      <c r="AB11" s="146"/>
      <c r="AC11" s="146"/>
      <c r="AD11" s="146"/>
      <c r="AE11" s="147"/>
      <c r="AF11" s="145"/>
      <c r="AG11" s="146"/>
      <c r="AH11" s="146"/>
      <c r="AI11" s="146"/>
      <c r="AJ11" s="146"/>
      <c r="AK11" s="146"/>
      <c r="AL11" s="146"/>
      <c r="AM11" s="146"/>
      <c r="AN11" s="163"/>
      <c r="AO11" s="143">
        <v>45674</v>
      </c>
      <c r="AP11" s="144"/>
      <c r="AQ11" s="119" t="s">
        <v>133</v>
      </c>
      <c r="AR11" s="121"/>
      <c r="AS11" s="119" t="s">
        <v>135</v>
      </c>
      <c r="AT11" s="142"/>
      <c r="AU11" s="143">
        <v>45705</v>
      </c>
      <c r="AV11" s="144"/>
      <c r="AW11" s="119" t="s">
        <v>144</v>
      </c>
      <c r="AX11" s="121"/>
      <c r="AY11" s="119" t="s">
        <v>134</v>
      </c>
      <c r="AZ11" s="142"/>
      <c r="BA11" s="195" t="s">
        <v>136</v>
      </c>
      <c r="BB11" s="161"/>
      <c r="BC11" s="161"/>
      <c r="BD11" s="161"/>
      <c r="BE11" s="161"/>
      <c r="BF11" s="161"/>
      <c r="BG11" s="161"/>
      <c r="BH11" s="161"/>
      <c r="BI11" s="161"/>
      <c r="BJ11" s="161"/>
      <c r="BK11" s="161"/>
      <c r="BL11" s="162"/>
      <c r="BM11" s="40"/>
      <c r="BN11" s="40"/>
    </row>
    <row r="12" spans="1:66" ht="33" customHeight="1" x14ac:dyDescent="0.45">
      <c r="A12" s="37"/>
      <c r="B12" s="37"/>
      <c r="C12" s="85">
        <f t="shared" si="0"/>
        <v>3</v>
      </c>
      <c r="D12" s="154"/>
      <c r="E12" s="155"/>
      <c r="F12" s="155"/>
      <c r="G12" s="156"/>
      <c r="H12" s="154"/>
      <c r="I12" s="155"/>
      <c r="J12" s="155"/>
      <c r="K12" s="156"/>
      <c r="L12" s="199"/>
      <c r="M12" s="200"/>
      <c r="N12" s="200"/>
      <c r="O12" s="201"/>
      <c r="P12" s="145" t="s">
        <v>90</v>
      </c>
      <c r="Q12" s="146"/>
      <c r="R12" s="146"/>
      <c r="S12" s="146"/>
      <c r="T12" s="146"/>
      <c r="U12" s="146"/>
      <c r="V12" s="146"/>
      <c r="W12" s="147"/>
      <c r="X12" s="145" t="s">
        <v>52</v>
      </c>
      <c r="Y12" s="146"/>
      <c r="Z12" s="146"/>
      <c r="AA12" s="146"/>
      <c r="AB12" s="146"/>
      <c r="AC12" s="146"/>
      <c r="AD12" s="146"/>
      <c r="AE12" s="147"/>
      <c r="AF12" s="145"/>
      <c r="AG12" s="146"/>
      <c r="AH12" s="146"/>
      <c r="AI12" s="146"/>
      <c r="AJ12" s="146"/>
      <c r="AK12" s="146"/>
      <c r="AL12" s="146"/>
      <c r="AM12" s="146"/>
      <c r="AN12" s="163"/>
      <c r="AO12" s="143">
        <v>45674</v>
      </c>
      <c r="AP12" s="144"/>
      <c r="AQ12" s="119" t="s">
        <v>133</v>
      </c>
      <c r="AR12" s="121"/>
      <c r="AS12" s="119" t="s">
        <v>134</v>
      </c>
      <c r="AT12" s="142"/>
      <c r="AU12" s="143"/>
      <c r="AV12" s="144"/>
      <c r="AW12" s="119"/>
      <c r="AX12" s="121"/>
      <c r="AY12" s="119"/>
      <c r="AZ12" s="142"/>
      <c r="BA12" s="160"/>
      <c r="BB12" s="161"/>
      <c r="BC12" s="161"/>
      <c r="BD12" s="161"/>
      <c r="BE12" s="161"/>
      <c r="BF12" s="161"/>
      <c r="BG12" s="161"/>
      <c r="BH12" s="161"/>
      <c r="BI12" s="161"/>
      <c r="BJ12" s="161"/>
      <c r="BK12" s="161"/>
      <c r="BL12" s="162"/>
      <c r="BM12" s="40"/>
      <c r="BN12" s="40"/>
    </row>
    <row r="13" spans="1:66" ht="33" customHeight="1" x14ac:dyDescent="0.45">
      <c r="A13" s="37"/>
      <c r="B13" s="37"/>
      <c r="C13" s="85">
        <f t="shared" si="0"/>
        <v>4</v>
      </c>
      <c r="D13" s="154"/>
      <c r="E13" s="155"/>
      <c r="F13" s="155"/>
      <c r="G13" s="156"/>
      <c r="H13" s="154"/>
      <c r="I13" s="155"/>
      <c r="J13" s="155"/>
      <c r="K13" s="156"/>
      <c r="L13" s="202"/>
      <c r="M13" s="203"/>
      <c r="N13" s="203"/>
      <c r="O13" s="204"/>
      <c r="P13" s="145" t="s">
        <v>91</v>
      </c>
      <c r="Q13" s="146"/>
      <c r="R13" s="146"/>
      <c r="S13" s="146"/>
      <c r="T13" s="146"/>
      <c r="U13" s="146"/>
      <c r="V13" s="146"/>
      <c r="W13" s="147"/>
      <c r="X13" s="145" t="s">
        <v>131</v>
      </c>
      <c r="Y13" s="146"/>
      <c r="Z13" s="146"/>
      <c r="AA13" s="146"/>
      <c r="AB13" s="146"/>
      <c r="AC13" s="146"/>
      <c r="AD13" s="146"/>
      <c r="AE13" s="147"/>
      <c r="AF13" s="145"/>
      <c r="AG13" s="146"/>
      <c r="AH13" s="146"/>
      <c r="AI13" s="146"/>
      <c r="AJ13" s="146"/>
      <c r="AK13" s="146"/>
      <c r="AL13" s="146"/>
      <c r="AM13" s="146"/>
      <c r="AN13" s="163"/>
      <c r="AO13" s="143">
        <v>45674</v>
      </c>
      <c r="AP13" s="144"/>
      <c r="AQ13" s="119" t="s">
        <v>133</v>
      </c>
      <c r="AR13" s="121"/>
      <c r="AS13" s="119" t="s">
        <v>134</v>
      </c>
      <c r="AT13" s="142"/>
      <c r="AU13" s="143"/>
      <c r="AV13" s="144"/>
      <c r="AW13" s="119"/>
      <c r="AX13" s="121"/>
      <c r="AY13" s="119"/>
      <c r="AZ13" s="142"/>
      <c r="BA13" s="160"/>
      <c r="BB13" s="161"/>
      <c r="BC13" s="161"/>
      <c r="BD13" s="161"/>
      <c r="BE13" s="161"/>
      <c r="BF13" s="161"/>
      <c r="BG13" s="161"/>
      <c r="BH13" s="161"/>
      <c r="BI13" s="161"/>
      <c r="BJ13" s="161"/>
      <c r="BK13" s="161"/>
      <c r="BL13" s="162"/>
      <c r="BM13" s="40"/>
      <c r="BN13" s="40"/>
    </row>
    <row r="14" spans="1:66" ht="19.95" customHeight="1" x14ac:dyDescent="0.45">
      <c r="A14" s="37"/>
      <c r="B14" s="37"/>
      <c r="C14" s="85">
        <f t="shared" si="0"/>
        <v>5</v>
      </c>
      <c r="D14" s="154"/>
      <c r="E14" s="155"/>
      <c r="F14" s="155"/>
      <c r="G14" s="156"/>
      <c r="H14" s="145" t="s">
        <v>53</v>
      </c>
      <c r="I14" s="146"/>
      <c r="J14" s="146"/>
      <c r="K14" s="147"/>
      <c r="L14" s="157" t="s">
        <v>70</v>
      </c>
      <c r="M14" s="158"/>
      <c r="N14" s="158"/>
      <c r="O14" s="159"/>
      <c r="P14" s="145" t="s">
        <v>69</v>
      </c>
      <c r="Q14" s="146"/>
      <c r="R14" s="146"/>
      <c r="S14" s="146"/>
      <c r="T14" s="146"/>
      <c r="U14" s="146"/>
      <c r="V14" s="146"/>
      <c r="W14" s="147"/>
      <c r="X14" s="145" t="s">
        <v>72</v>
      </c>
      <c r="Y14" s="146"/>
      <c r="Z14" s="146"/>
      <c r="AA14" s="146"/>
      <c r="AB14" s="146"/>
      <c r="AC14" s="146"/>
      <c r="AD14" s="146"/>
      <c r="AE14" s="147"/>
      <c r="AF14" s="145"/>
      <c r="AG14" s="146"/>
      <c r="AH14" s="146"/>
      <c r="AI14" s="146"/>
      <c r="AJ14" s="146"/>
      <c r="AK14" s="146"/>
      <c r="AL14" s="146"/>
      <c r="AM14" s="146"/>
      <c r="AN14" s="163"/>
      <c r="AO14" s="143">
        <v>45674</v>
      </c>
      <c r="AP14" s="144"/>
      <c r="AQ14" s="119" t="s">
        <v>133</v>
      </c>
      <c r="AR14" s="121"/>
      <c r="AS14" s="119" t="s">
        <v>134</v>
      </c>
      <c r="AT14" s="142"/>
      <c r="AU14" s="143"/>
      <c r="AV14" s="144"/>
      <c r="AW14" s="119"/>
      <c r="AX14" s="121"/>
      <c r="AY14" s="119"/>
      <c r="AZ14" s="142"/>
      <c r="BA14" s="160"/>
      <c r="BB14" s="161"/>
      <c r="BC14" s="161"/>
      <c r="BD14" s="161"/>
      <c r="BE14" s="161"/>
      <c r="BF14" s="161"/>
      <c r="BG14" s="161"/>
      <c r="BH14" s="161"/>
      <c r="BI14" s="161"/>
      <c r="BJ14" s="161"/>
      <c r="BK14" s="161"/>
      <c r="BL14" s="162"/>
      <c r="BM14" s="40"/>
      <c r="BN14" s="40"/>
    </row>
    <row r="15" spans="1:66" ht="33.6" customHeight="1" x14ac:dyDescent="0.45">
      <c r="A15" s="37"/>
      <c r="B15" s="37"/>
      <c r="C15" s="85">
        <f t="shared" si="0"/>
        <v>6</v>
      </c>
      <c r="D15" s="48"/>
      <c r="E15" s="49"/>
      <c r="F15" s="49"/>
      <c r="G15" s="50"/>
      <c r="H15" s="51" t="s">
        <v>57</v>
      </c>
      <c r="I15" s="49"/>
      <c r="J15" s="49"/>
      <c r="K15" s="50"/>
      <c r="L15" s="157" t="s">
        <v>81</v>
      </c>
      <c r="M15" s="158"/>
      <c r="N15" s="158"/>
      <c r="O15" s="159"/>
      <c r="P15" s="145" t="s">
        <v>68</v>
      </c>
      <c r="Q15" s="146"/>
      <c r="R15" s="146"/>
      <c r="S15" s="146"/>
      <c r="T15" s="146"/>
      <c r="U15" s="146"/>
      <c r="V15" s="146"/>
      <c r="W15" s="147"/>
      <c r="X15" s="145" t="s">
        <v>51</v>
      </c>
      <c r="Y15" s="146"/>
      <c r="Z15" s="146"/>
      <c r="AA15" s="146"/>
      <c r="AB15" s="146"/>
      <c r="AC15" s="146"/>
      <c r="AD15" s="146"/>
      <c r="AE15" s="147"/>
      <c r="AF15" s="145" t="s">
        <v>115</v>
      </c>
      <c r="AG15" s="146"/>
      <c r="AH15" s="146"/>
      <c r="AI15" s="146"/>
      <c r="AJ15" s="146"/>
      <c r="AK15" s="146"/>
      <c r="AL15" s="146"/>
      <c r="AM15" s="146"/>
      <c r="AN15" s="163"/>
      <c r="AO15" s="143">
        <v>45674</v>
      </c>
      <c r="AP15" s="144"/>
      <c r="AQ15" s="119" t="s">
        <v>133</v>
      </c>
      <c r="AR15" s="121"/>
      <c r="AS15" s="119" t="s">
        <v>134</v>
      </c>
      <c r="AT15" s="142"/>
      <c r="AU15" s="143"/>
      <c r="AV15" s="144"/>
      <c r="AW15" s="119"/>
      <c r="AX15" s="121"/>
      <c r="AY15" s="119"/>
      <c r="AZ15" s="142"/>
      <c r="BA15" s="160"/>
      <c r="BB15" s="161"/>
      <c r="BC15" s="161"/>
      <c r="BD15" s="161"/>
      <c r="BE15" s="161"/>
      <c r="BF15" s="161"/>
      <c r="BG15" s="161"/>
      <c r="BH15" s="161"/>
      <c r="BI15" s="161"/>
      <c r="BJ15" s="161"/>
      <c r="BK15" s="161"/>
      <c r="BL15" s="162"/>
      <c r="BM15" s="40"/>
      <c r="BN15" s="40"/>
    </row>
    <row r="16" spans="1:66" ht="19.95" customHeight="1" x14ac:dyDescent="0.45">
      <c r="A16" s="37"/>
      <c r="B16" s="37"/>
      <c r="C16" s="85">
        <f t="shared" si="0"/>
        <v>7</v>
      </c>
      <c r="D16" s="48"/>
      <c r="E16" s="49"/>
      <c r="F16" s="49"/>
      <c r="G16" s="50"/>
      <c r="H16" s="48"/>
      <c r="I16" s="49"/>
      <c r="J16" s="49"/>
      <c r="K16" s="50"/>
      <c r="L16" s="157" t="s">
        <v>82</v>
      </c>
      <c r="M16" s="158"/>
      <c r="N16" s="158"/>
      <c r="O16" s="159"/>
      <c r="P16" s="145" t="s">
        <v>68</v>
      </c>
      <c r="Q16" s="146"/>
      <c r="R16" s="146"/>
      <c r="S16" s="146"/>
      <c r="T16" s="146"/>
      <c r="U16" s="146"/>
      <c r="V16" s="146"/>
      <c r="W16" s="147"/>
      <c r="X16" s="145" t="s">
        <v>51</v>
      </c>
      <c r="Y16" s="146"/>
      <c r="Z16" s="146"/>
      <c r="AA16" s="146"/>
      <c r="AB16" s="146"/>
      <c r="AC16" s="146"/>
      <c r="AD16" s="146"/>
      <c r="AE16" s="147"/>
      <c r="AF16" s="145"/>
      <c r="AG16" s="146"/>
      <c r="AH16" s="146"/>
      <c r="AI16" s="146"/>
      <c r="AJ16" s="146"/>
      <c r="AK16" s="146"/>
      <c r="AL16" s="146"/>
      <c r="AM16" s="146"/>
      <c r="AN16" s="163"/>
      <c r="AO16" s="143">
        <v>45674</v>
      </c>
      <c r="AP16" s="144"/>
      <c r="AQ16" s="119" t="s">
        <v>133</v>
      </c>
      <c r="AR16" s="121"/>
      <c r="AS16" s="119" t="s">
        <v>134</v>
      </c>
      <c r="AT16" s="142"/>
      <c r="AU16" s="143"/>
      <c r="AV16" s="144"/>
      <c r="AW16" s="119"/>
      <c r="AX16" s="121"/>
      <c r="AY16" s="119"/>
      <c r="AZ16" s="142"/>
      <c r="BA16" s="160"/>
      <c r="BB16" s="161"/>
      <c r="BC16" s="161"/>
      <c r="BD16" s="161"/>
      <c r="BE16" s="161"/>
      <c r="BF16" s="161"/>
      <c r="BG16" s="161"/>
      <c r="BH16" s="161"/>
      <c r="BI16" s="161"/>
      <c r="BJ16" s="161"/>
      <c r="BK16" s="161"/>
      <c r="BL16" s="162"/>
      <c r="BM16" s="40"/>
      <c r="BN16" s="40"/>
    </row>
    <row r="17" spans="1:66" ht="19.95" customHeight="1" x14ac:dyDescent="0.45">
      <c r="A17" s="37"/>
      <c r="B17" s="37"/>
      <c r="C17" s="85">
        <f t="shared" si="0"/>
        <v>8</v>
      </c>
      <c r="D17" s="154"/>
      <c r="E17" s="155"/>
      <c r="F17" s="155"/>
      <c r="G17" s="156"/>
      <c r="H17" s="154"/>
      <c r="I17" s="155"/>
      <c r="J17" s="155"/>
      <c r="K17" s="156"/>
      <c r="L17" s="157" t="s">
        <v>83</v>
      </c>
      <c r="M17" s="158"/>
      <c r="N17" s="158"/>
      <c r="O17" s="159"/>
      <c r="P17" s="145" t="s">
        <v>68</v>
      </c>
      <c r="Q17" s="146"/>
      <c r="R17" s="146"/>
      <c r="S17" s="146"/>
      <c r="T17" s="146"/>
      <c r="U17" s="146"/>
      <c r="V17" s="146"/>
      <c r="W17" s="147"/>
      <c r="X17" s="145" t="s">
        <v>51</v>
      </c>
      <c r="Y17" s="146"/>
      <c r="Z17" s="146"/>
      <c r="AA17" s="146"/>
      <c r="AB17" s="146"/>
      <c r="AC17" s="146"/>
      <c r="AD17" s="146"/>
      <c r="AE17" s="147"/>
      <c r="AF17" s="145"/>
      <c r="AG17" s="146"/>
      <c r="AH17" s="146"/>
      <c r="AI17" s="146"/>
      <c r="AJ17" s="146"/>
      <c r="AK17" s="146"/>
      <c r="AL17" s="146"/>
      <c r="AM17" s="146"/>
      <c r="AN17" s="163"/>
      <c r="AO17" s="143">
        <v>45674</v>
      </c>
      <c r="AP17" s="144"/>
      <c r="AQ17" s="119" t="s">
        <v>133</v>
      </c>
      <c r="AR17" s="121"/>
      <c r="AS17" s="119" t="s">
        <v>134</v>
      </c>
      <c r="AT17" s="142"/>
      <c r="AU17" s="143"/>
      <c r="AV17" s="144"/>
      <c r="AW17" s="119"/>
      <c r="AX17" s="121"/>
      <c r="AY17" s="119"/>
      <c r="AZ17" s="142"/>
      <c r="BA17" s="160"/>
      <c r="BB17" s="161"/>
      <c r="BC17" s="161"/>
      <c r="BD17" s="161"/>
      <c r="BE17" s="161"/>
      <c r="BF17" s="161"/>
      <c r="BG17" s="161"/>
      <c r="BH17" s="161"/>
      <c r="BI17" s="161"/>
      <c r="BJ17" s="161"/>
      <c r="BK17" s="161"/>
      <c r="BL17" s="162"/>
      <c r="BM17" s="40"/>
      <c r="BN17" s="40"/>
    </row>
    <row r="18" spans="1:66" ht="19.95" customHeight="1" x14ac:dyDescent="0.45">
      <c r="A18" s="37"/>
      <c r="B18" s="37"/>
      <c r="C18" s="85">
        <f t="shared" si="0"/>
        <v>9</v>
      </c>
      <c r="D18" s="154"/>
      <c r="E18" s="155"/>
      <c r="F18" s="155"/>
      <c r="G18" s="156"/>
      <c r="H18" s="154"/>
      <c r="I18" s="155"/>
      <c r="J18" s="155"/>
      <c r="K18" s="156"/>
      <c r="L18" s="157" t="s">
        <v>84</v>
      </c>
      <c r="M18" s="158"/>
      <c r="N18" s="158"/>
      <c r="O18" s="159"/>
      <c r="P18" s="145" t="s">
        <v>68</v>
      </c>
      <c r="Q18" s="146"/>
      <c r="R18" s="146"/>
      <c r="S18" s="146"/>
      <c r="T18" s="146"/>
      <c r="U18" s="146"/>
      <c r="V18" s="146"/>
      <c r="W18" s="147"/>
      <c r="X18" s="145" t="s">
        <v>51</v>
      </c>
      <c r="Y18" s="146"/>
      <c r="Z18" s="146"/>
      <c r="AA18" s="146"/>
      <c r="AB18" s="146"/>
      <c r="AC18" s="146"/>
      <c r="AD18" s="146"/>
      <c r="AE18" s="147"/>
      <c r="AF18" s="145"/>
      <c r="AG18" s="146"/>
      <c r="AH18" s="146"/>
      <c r="AI18" s="146"/>
      <c r="AJ18" s="146"/>
      <c r="AK18" s="146"/>
      <c r="AL18" s="146"/>
      <c r="AM18" s="146"/>
      <c r="AN18" s="163"/>
      <c r="AO18" s="143">
        <v>45674</v>
      </c>
      <c r="AP18" s="144"/>
      <c r="AQ18" s="119" t="s">
        <v>133</v>
      </c>
      <c r="AR18" s="121"/>
      <c r="AS18" s="119" t="s">
        <v>134</v>
      </c>
      <c r="AT18" s="142"/>
      <c r="AU18" s="143"/>
      <c r="AV18" s="144"/>
      <c r="AW18" s="119"/>
      <c r="AX18" s="121"/>
      <c r="AY18" s="119"/>
      <c r="AZ18" s="142"/>
      <c r="BA18" s="160"/>
      <c r="BB18" s="161"/>
      <c r="BC18" s="161"/>
      <c r="BD18" s="161"/>
      <c r="BE18" s="161"/>
      <c r="BF18" s="161"/>
      <c r="BG18" s="161"/>
      <c r="BH18" s="161"/>
      <c r="BI18" s="161"/>
      <c r="BJ18" s="161"/>
      <c r="BK18" s="161"/>
      <c r="BL18" s="162"/>
      <c r="BM18" s="40"/>
      <c r="BN18" s="40"/>
    </row>
    <row r="19" spans="1:66" ht="19.95" customHeight="1" x14ac:dyDescent="0.45">
      <c r="A19" s="37"/>
      <c r="B19" s="37"/>
      <c r="C19" s="85">
        <f t="shared" si="0"/>
        <v>10</v>
      </c>
      <c r="D19" s="154"/>
      <c r="E19" s="155"/>
      <c r="F19" s="155"/>
      <c r="G19" s="156"/>
      <c r="H19" s="154"/>
      <c r="I19" s="155"/>
      <c r="J19" s="155"/>
      <c r="K19" s="156"/>
      <c r="L19" s="157" t="s">
        <v>85</v>
      </c>
      <c r="M19" s="158"/>
      <c r="N19" s="158"/>
      <c r="O19" s="159"/>
      <c r="P19" s="145" t="s">
        <v>68</v>
      </c>
      <c r="Q19" s="146"/>
      <c r="R19" s="146"/>
      <c r="S19" s="146"/>
      <c r="T19" s="146"/>
      <c r="U19" s="146"/>
      <c r="V19" s="146"/>
      <c r="W19" s="147"/>
      <c r="X19" s="145" t="s">
        <v>51</v>
      </c>
      <c r="Y19" s="146"/>
      <c r="Z19" s="146"/>
      <c r="AA19" s="146"/>
      <c r="AB19" s="146"/>
      <c r="AC19" s="146"/>
      <c r="AD19" s="146"/>
      <c r="AE19" s="147"/>
      <c r="AF19" s="145"/>
      <c r="AG19" s="146"/>
      <c r="AH19" s="146"/>
      <c r="AI19" s="146"/>
      <c r="AJ19" s="146"/>
      <c r="AK19" s="146"/>
      <c r="AL19" s="146"/>
      <c r="AM19" s="146"/>
      <c r="AN19" s="163"/>
      <c r="AO19" s="143">
        <v>45674</v>
      </c>
      <c r="AP19" s="144"/>
      <c r="AQ19" s="119" t="s">
        <v>133</v>
      </c>
      <c r="AR19" s="121"/>
      <c r="AS19" s="119" t="s">
        <v>134</v>
      </c>
      <c r="AT19" s="142"/>
      <c r="AU19" s="143"/>
      <c r="AV19" s="144"/>
      <c r="AW19" s="119"/>
      <c r="AX19" s="121"/>
      <c r="AY19" s="119"/>
      <c r="AZ19" s="142"/>
      <c r="BA19" s="160"/>
      <c r="BB19" s="161"/>
      <c r="BC19" s="161"/>
      <c r="BD19" s="161"/>
      <c r="BE19" s="161"/>
      <c r="BF19" s="161"/>
      <c r="BG19" s="161"/>
      <c r="BH19" s="161"/>
      <c r="BI19" s="161"/>
      <c r="BJ19" s="161"/>
      <c r="BK19" s="161"/>
      <c r="BL19" s="162"/>
      <c r="BM19" s="40"/>
      <c r="BN19" s="40"/>
    </row>
    <row r="20" spans="1:66" ht="19.95" customHeight="1" x14ac:dyDescent="0.45">
      <c r="A20" s="37"/>
      <c r="B20" s="37"/>
      <c r="C20" s="85">
        <f t="shared" si="0"/>
        <v>11</v>
      </c>
      <c r="D20" s="154"/>
      <c r="E20" s="155"/>
      <c r="F20" s="155"/>
      <c r="G20" s="156"/>
      <c r="H20" s="154"/>
      <c r="I20" s="155"/>
      <c r="J20" s="155"/>
      <c r="K20" s="156"/>
      <c r="L20" s="157" t="s">
        <v>86</v>
      </c>
      <c r="M20" s="158"/>
      <c r="N20" s="158"/>
      <c r="O20" s="159"/>
      <c r="P20" s="145" t="s">
        <v>68</v>
      </c>
      <c r="Q20" s="146"/>
      <c r="R20" s="146"/>
      <c r="S20" s="146"/>
      <c r="T20" s="146"/>
      <c r="U20" s="146"/>
      <c r="V20" s="146"/>
      <c r="W20" s="147"/>
      <c r="X20" s="145" t="s">
        <v>51</v>
      </c>
      <c r="Y20" s="146"/>
      <c r="Z20" s="146"/>
      <c r="AA20" s="146"/>
      <c r="AB20" s="146"/>
      <c r="AC20" s="146"/>
      <c r="AD20" s="146"/>
      <c r="AE20" s="147"/>
      <c r="AF20" s="145"/>
      <c r="AG20" s="146"/>
      <c r="AH20" s="146"/>
      <c r="AI20" s="146"/>
      <c r="AJ20" s="146"/>
      <c r="AK20" s="146"/>
      <c r="AL20" s="146"/>
      <c r="AM20" s="146"/>
      <c r="AN20" s="163"/>
      <c r="AO20" s="143">
        <v>45674</v>
      </c>
      <c r="AP20" s="144"/>
      <c r="AQ20" s="119" t="s">
        <v>133</v>
      </c>
      <c r="AR20" s="121"/>
      <c r="AS20" s="119" t="s">
        <v>134</v>
      </c>
      <c r="AT20" s="142"/>
      <c r="AU20" s="143"/>
      <c r="AV20" s="144"/>
      <c r="AW20" s="119"/>
      <c r="AX20" s="121"/>
      <c r="AY20" s="119"/>
      <c r="AZ20" s="142"/>
      <c r="BA20" s="160"/>
      <c r="BB20" s="161"/>
      <c r="BC20" s="161"/>
      <c r="BD20" s="161"/>
      <c r="BE20" s="161"/>
      <c r="BF20" s="161"/>
      <c r="BG20" s="161"/>
      <c r="BH20" s="161"/>
      <c r="BI20" s="161"/>
      <c r="BJ20" s="161"/>
      <c r="BK20" s="161"/>
      <c r="BL20" s="162"/>
      <c r="BM20" s="40"/>
      <c r="BN20" s="40"/>
    </row>
    <row r="21" spans="1:66" ht="19.95" customHeight="1" x14ac:dyDescent="0.45">
      <c r="A21" s="37"/>
      <c r="B21" s="37"/>
      <c r="C21" s="85">
        <f t="shared" si="0"/>
        <v>12</v>
      </c>
      <c r="D21" s="154"/>
      <c r="E21" s="155"/>
      <c r="F21" s="155"/>
      <c r="G21" s="156"/>
      <c r="H21" s="154"/>
      <c r="I21" s="155"/>
      <c r="J21" s="155"/>
      <c r="K21" s="156"/>
      <c r="L21" s="157" t="s">
        <v>87</v>
      </c>
      <c r="M21" s="158"/>
      <c r="N21" s="158"/>
      <c r="O21" s="159"/>
      <c r="P21" s="145" t="s">
        <v>68</v>
      </c>
      <c r="Q21" s="146"/>
      <c r="R21" s="146"/>
      <c r="S21" s="146"/>
      <c r="T21" s="146"/>
      <c r="U21" s="146"/>
      <c r="V21" s="146"/>
      <c r="W21" s="147"/>
      <c r="X21" s="145" t="s">
        <v>51</v>
      </c>
      <c r="Y21" s="146"/>
      <c r="Z21" s="146"/>
      <c r="AA21" s="146"/>
      <c r="AB21" s="146"/>
      <c r="AC21" s="146"/>
      <c r="AD21" s="146"/>
      <c r="AE21" s="147"/>
      <c r="AF21" s="145"/>
      <c r="AG21" s="146"/>
      <c r="AH21" s="146"/>
      <c r="AI21" s="146"/>
      <c r="AJ21" s="146"/>
      <c r="AK21" s="146"/>
      <c r="AL21" s="146"/>
      <c r="AM21" s="146"/>
      <c r="AN21" s="163"/>
      <c r="AO21" s="143">
        <v>45674</v>
      </c>
      <c r="AP21" s="144"/>
      <c r="AQ21" s="119" t="s">
        <v>133</v>
      </c>
      <c r="AR21" s="121"/>
      <c r="AS21" s="119" t="s">
        <v>135</v>
      </c>
      <c r="AT21" s="142"/>
      <c r="AU21" s="143">
        <v>45705</v>
      </c>
      <c r="AV21" s="144"/>
      <c r="AW21" s="119" t="s">
        <v>144</v>
      </c>
      <c r="AX21" s="121"/>
      <c r="AY21" s="119" t="s">
        <v>134</v>
      </c>
      <c r="AZ21" s="142"/>
      <c r="BA21" s="160" t="s">
        <v>137</v>
      </c>
      <c r="BB21" s="161"/>
      <c r="BC21" s="161"/>
      <c r="BD21" s="161"/>
      <c r="BE21" s="161"/>
      <c r="BF21" s="161"/>
      <c r="BG21" s="161"/>
      <c r="BH21" s="161"/>
      <c r="BI21" s="161"/>
      <c r="BJ21" s="161"/>
      <c r="BK21" s="161"/>
      <c r="BL21" s="162"/>
      <c r="BM21" s="40"/>
      <c r="BN21" s="40"/>
    </row>
    <row r="22" spans="1:66" ht="19.95" customHeight="1" x14ac:dyDescent="0.45">
      <c r="A22" s="37"/>
      <c r="B22" s="37"/>
      <c r="C22" s="85">
        <f t="shared" si="0"/>
        <v>13</v>
      </c>
      <c r="D22" s="154"/>
      <c r="E22" s="155"/>
      <c r="F22" s="155"/>
      <c r="G22" s="156"/>
      <c r="H22" s="154"/>
      <c r="I22" s="155"/>
      <c r="J22" s="155"/>
      <c r="K22" s="156"/>
      <c r="L22" s="157" t="s">
        <v>88</v>
      </c>
      <c r="M22" s="158"/>
      <c r="N22" s="158"/>
      <c r="O22" s="159"/>
      <c r="P22" s="145" t="s">
        <v>68</v>
      </c>
      <c r="Q22" s="146"/>
      <c r="R22" s="146"/>
      <c r="S22" s="146"/>
      <c r="T22" s="146"/>
      <c r="U22" s="146"/>
      <c r="V22" s="146"/>
      <c r="W22" s="147"/>
      <c r="X22" s="145" t="s">
        <v>51</v>
      </c>
      <c r="Y22" s="146"/>
      <c r="Z22" s="146"/>
      <c r="AA22" s="146"/>
      <c r="AB22" s="146"/>
      <c r="AC22" s="146"/>
      <c r="AD22" s="146"/>
      <c r="AE22" s="147"/>
      <c r="AF22" s="145"/>
      <c r="AG22" s="146"/>
      <c r="AH22" s="146"/>
      <c r="AI22" s="146"/>
      <c r="AJ22" s="146"/>
      <c r="AK22" s="146"/>
      <c r="AL22" s="146"/>
      <c r="AM22" s="146"/>
      <c r="AN22" s="163"/>
      <c r="AO22" s="143">
        <v>45674</v>
      </c>
      <c r="AP22" s="144"/>
      <c r="AQ22" s="119" t="s">
        <v>133</v>
      </c>
      <c r="AR22" s="121"/>
      <c r="AS22" s="119" t="s">
        <v>135</v>
      </c>
      <c r="AT22" s="142"/>
      <c r="AU22" s="143">
        <v>45705</v>
      </c>
      <c r="AV22" s="144"/>
      <c r="AW22" s="119" t="s">
        <v>144</v>
      </c>
      <c r="AX22" s="121"/>
      <c r="AY22" s="119" t="s">
        <v>134</v>
      </c>
      <c r="AZ22" s="142"/>
      <c r="BA22" s="160" t="s">
        <v>137</v>
      </c>
      <c r="BB22" s="161"/>
      <c r="BC22" s="161"/>
      <c r="BD22" s="161"/>
      <c r="BE22" s="161"/>
      <c r="BF22" s="161"/>
      <c r="BG22" s="161"/>
      <c r="BH22" s="161"/>
      <c r="BI22" s="161"/>
      <c r="BJ22" s="161"/>
      <c r="BK22" s="161"/>
      <c r="BL22" s="162"/>
      <c r="BM22" s="40"/>
      <c r="BN22" s="40"/>
    </row>
    <row r="23" spans="1:66" ht="19.95" customHeight="1" x14ac:dyDescent="0.45">
      <c r="A23" s="37"/>
      <c r="B23" s="37"/>
      <c r="C23" s="85">
        <f t="shared" si="0"/>
        <v>14</v>
      </c>
      <c r="D23" s="154"/>
      <c r="E23" s="155"/>
      <c r="F23" s="155"/>
      <c r="G23" s="156"/>
      <c r="H23" s="154"/>
      <c r="I23" s="155"/>
      <c r="J23" s="155"/>
      <c r="K23" s="156"/>
      <c r="L23" s="157" t="s">
        <v>89</v>
      </c>
      <c r="M23" s="158"/>
      <c r="N23" s="158"/>
      <c r="O23" s="159"/>
      <c r="P23" s="145" t="s">
        <v>68</v>
      </c>
      <c r="Q23" s="146"/>
      <c r="R23" s="146"/>
      <c r="S23" s="146"/>
      <c r="T23" s="146"/>
      <c r="U23" s="146"/>
      <c r="V23" s="146"/>
      <c r="W23" s="147"/>
      <c r="X23" s="145" t="s">
        <v>51</v>
      </c>
      <c r="Y23" s="146"/>
      <c r="Z23" s="146"/>
      <c r="AA23" s="146"/>
      <c r="AB23" s="146"/>
      <c r="AC23" s="146"/>
      <c r="AD23" s="146"/>
      <c r="AE23" s="147"/>
      <c r="AF23" s="145"/>
      <c r="AG23" s="146"/>
      <c r="AH23" s="146"/>
      <c r="AI23" s="146"/>
      <c r="AJ23" s="146"/>
      <c r="AK23" s="146"/>
      <c r="AL23" s="146"/>
      <c r="AM23" s="146"/>
      <c r="AN23" s="163"/>
      <c r="AO23" s="143">
        <v>45674</v>
      </c>
      <c r="AP23" s="144"/>
      <c r="AQ23" s="119" t="s">
        <v>133</v>
      </c>
      <c r="AR23" s="121"/>
      <c r="AS23" s="119" t="s">
        <v>135</v>
      </c>
      <c r="AT23" s="142"/>
      <c r="AU23" s="143">
        <v>45705</v>
      </c>
      <c r="AV23" s="144"/>
      <c r="AW23" s="119" t="s">
        <v>144</v>
      </c>
      <c r="AX23" s="121"/>
      <c r="AY23" s="119" t="s">
        <v>134</v>
      </c>
      <c r="AZ23" s="142"/>
      <c r="BA23" s="160" t="s">
        <v>137</v>
      </c>
      <c r="BB23" s="161"/>
      <c r="BC23" s="161"/>
      <c r="BD23" s="161"/>
      <c r="BE23" s="161"/>
      <c r="BF23" s="161"/>
      <c r="BG23" s="161"/>
      <c r="BH23" s="161"/>
      <c r="BI23" s="161"/>
      <c r="BJ23" s="161"/>
      <c r="BK23" s="161"/>
      <c r="BL23" s="162"/>
      <c r="BM23" s="40"/>
      <c r="BN23" s="40"/>
    </row>
    <row r="24" spans="1:66" ht="19.95" customHeight="1" x14ac:dyDescent="0.45">
      <c r="A24" s="37"/>
      <c r="B24" s="37"/>
      <c r="C24" s="85">
        <f t="shared" si="0"/>
        <v>15</v>
      </c>
      <c r="D24" s="154"/>
      <c r="E24" s="155"/>
      <c r="F24" s="155"/>
      <c r="G24" s="156"/>
      <c r="H24" s="154"/>
      <c r="I24" s="155"/>
      <c r="J24" s="155"/>
      <c r="K24" s="156"/>
      <c r="L24" s="157" t="s">
        <v>71</v>
      </c>
      <c r="M24" s="158"/>
      <c r="N24" s="158"/>
      <c r="O24" s="159"/>
      <c r="P24" s="145" t="s">
        <v>68</v>
      </c>
      <c r="Q24" s="146"/>
      <c r="R24" s="146"/>
      <c r="S24" s="146"/>
      <c r="T24" s="146"/>
      <c r="U24" s="146"/>
      <c r="V24" s="146"/>
      <c r="W24" s="147"/>
      <c r="X24" s="145" t="s">
        <v>51</v>
      </c>
      <c r="Y24" s="146"/>
      <c r="Z24" s="146"/>
      <c r="AA24" s="146"/>
      <c r="AB24" s="146"/>
      <c r="AC24" s="146"/>
      <c r="AD24" s="146"/>
      <c r="AE24" s="147"/>
      <c r="AF24" s="145"/>
      <c r="AG24" s="146"/>
      <c r="AH24" s="146"/>
      <c r="AI24" s="146"/>
      <c r="AJ24" s="146"/>
      <c r="AK24" s="146"/>
      <c r="AL24" s="146"/>
      <c r="AM24" s="146"/>
      <c r="AN24" s="163"/>
      <c r="AO24" s="143">
        <v>45674</v>
      </c>
      <c r="AP24" s="144"/>
      <c r="AQ24" s="119" t="s">
        <v>133</v>
      </c>
      <c r="AR24" s="121"/>
      <c r="AS24" s="119" t="s">
        <v>134</v>
      </c>
      <c r="AT24" s="142"/>
      <c r="AU24" s="143"/>
      <c r="AV24" s="144"/>
      <c r="AW24" s="119"/>
      <c r="AX24" s="121"/>
      <c r="AY24" s="119"/>
      <c r="AZ24" s="142"/>
      <c r="BA24" s="160"/>
      <c r="BB24" s="161"/>
      <c r="BC24" s="161"/>
      <c r="BD24" s="161"/>
      <c r="BE24" s="161"/>
      <c r="BF24" s="161"/>
      <c r="BG24" s="161"/>
      <c r="BH24" s="161"/>
      <c r="BI24" s="161"/>
      <c r="BJ24" s="161"/>
      <c r="BK24" s="161"/>
      <c r="BL24" s="162"/>
      <c r="BM24" s="40"/>
      <c r="BN24" s="40"/>
    </row>
    <row r="25" spans="1:66" ht="19.2" customHeight="1" x14ac:dyDescent="0.45">
      <c r="A25" s="37"/>
      <c r="B25" s="37"/>
      <c r="C25" s="85">
        <f t="shared" si="0"/>
        <v>16</v>
      </c>
      <c r="D25" s="154"/>
      <c r="E25" s="155"/>
      <c r="F25" s="155"/>
      <c r="G25" s="156"/>
      <c r="H25" s="192" t="s">
        <v>75</v>
      </c>
      <c r="I25" s="193"/>
      <c r="J25" s="193"/>
      <c r="K25" s="194"/>
      <c r="L25" s="145" t="s">
        <v>76</v>
      </c>
      <c r="M25" s="146"/>
      <c r="N25" s="146"/>
      <c r="O25" s="147"/>
      <c r="P25" s="145" t="s">
        <v>77</v>
      </c>
      <c r="Q25" s="146"/>
      <c r="R25" s="146"/>
      <c r="S25" s="146"/>
      <c r="T25" s="146"/>
      <c r="U25" s="146"/>
      <c r="V25" s="146"/>
      <c r="W25" s="147"/>
      <c r="X25" s="145" t="s">
        <v>78</v>
      </c>
      <c r="Y25" s="146"/>
      <c r="Z25" s="146"/>
      <c r="AA25" s="146"/>
      <c r="AB25" s="146"/>
      <c r="AC25" s="146"/>
      <c r="AD25" s="146"/>
      <c r="AE25" s="147"/>
      <c r="AF25" s="145"/>
      <c r="AG25" s="146"/>
      <c r="AH25" s="146"/>
      <c r="AI25" s="146"/>
      <c r="AJ25" s="146"/>
      <c r="AK25" s="146"/>
      <c r="AL25" s="146"/>
      <c r="AM25" s="146"/>
      <c r="AN25" s="163"/>
      <c r="AO25" s="143">
        <v>45674</v>
      </c>
      <c r="AP25" s="144"/>
      <c r="AQ25" s="119" t="s">
        <v>133</v>
      </c>
      <c r="AR25" s="121"/>
      <c r="AS25" s="119" t="s">
        <v>134</v>
      </c>
      <c r="AT25" s="142"/>
      <c r="AU25" s="143"/>
      <c r="AV25" s="144"/>
      <c r="AW25" s="119"/>
      <c r="AX25" s="121"/>
      <c r="AY25" s="119"/>
      <c r="AZ25" s="142"/>
      <c r="BA25" s="160"/>
      <c r="BB25" s="161"/>
      <c r="BC25" s="161"/>
      <c r="BD25" s="161"/>
      <c r="BE25" s="161"/>
      <c r="BF25" s="161"/>
      <c r="BG25" s="161"/>
      <c r="BH25" s="161"/>
      <c r="BI25" s="161"/>
      <c r="BJ25" s="161"/>
      <c r="BK25" s="161"/>
      <c r="BL25" s="162"/>
      <c r="BM25" s="40"/>
      <c r="BN25" s="40"/>
    </row>
    <row r="26" spans="1:66" ht="20.100000000000001" customHeight="1" thickBot="1" x14ac:dyDescent="0.5">
      <c r="A26" s="37"/>
      <c r="B26" s="37"/>
      <c r="C26" s="85">
        <f t="shared" si="0"/>
        <v>17</v>
      </c>
      <c r="D26" s="154"/>
      <c r="E26" s="155"/>
      <c r="F26" s="155"/>
      <c r="G26" s="156"/>
      <c r="H26" s="189"/>
      <c r="I26" s="190"/>
      <c r="J26" s="190"/>
      <c r="K26" s="191"/>
      <c r="L26" s="145" t="s">
        <v>79</v>
      </c>
      <c r="M26" s="146"/>
      <c r="N26" s="146"/>
      <c r="O26" s="147"/>
      <c r="P26" s="145" t="s">
        <v>80</v>
      </c>
      <c r="Q26" s="146"/>
      <c r="R26" s="146"/>
      <c r="S26" s="146"/>
      <c r="T26" s="146"/>
      <c r="U26" s="146"/>
      <c r="V26" s="146"/>
      <c r="W26" s="147"/>
      <c r="X26" s="145" t="s">
        <v>78</v>
      </c>
      <c r="Y26" s="146"/>
      <c r="Z26" s="146"/>
      <c r="AA26" s="146"/>
      <c r="AB26" s="146"/>
      <c r="AC26" s="146"/>
      <c r="AD26" s="146"/>
      <c r="AE26" s="147"/>
      <c r="AF26" s="145"/>
      <c r="AG26" s="146"/>
      <c r="AH26" s="146"/>
      <c r="AI26" s="146"/>
      <c r="AJ26" s="146"/>
      <c r="AK26" s="146"/>
      <c r="AL26" s="146"/>
      <c r="AM26" s="146"/>
      <c r="AN26" s="163"/>
      <c r="AO26" s="143">
        <v>45674</v>
      </c>
      <c r="AP26" s="144"/>
      <c r="AQ26" s="119" t="s">
        <v>133</v>
      </c>
      <c r="AR26" s="121"/>
      <c r="AS26" s="119" t="s">
        <v>135</v>
      </c>
      <c r="AT26" s="142"/>
      <c r="AU26" s="143">
        <v>45705</v>
      </c>
      <c r="AV26" s="144"/>
      <c r="AW26" s="119" t="s">
        <v>144</v>
      </c>
      <c r="AX26" s="121"/>
      <c r="AY26" s="119" t="s">
        <v>134</v>
      </c>
      <c r="AZ26" s="142"/>
      <c r="BA26" s="160" t="s">
        <v>138</v>
      </c>
      <c r="BB26" s="161"/>
      <c r="BC26" s="161"/>
      <c r="BD26" s="161"/>
      <c r="BE26" s="161"/>
      <c r="BF26" s="161"/>
      <c r="BG26" s="161"/>
      <c r="BH26" s="161"/>
      <c r="BI26" s="161"/>
      <c r="BJ26" s="161"/>
      <c r="BK26" s="161"/>
      <c r="BL26" s="162"/>
      <c r="BM26" s="40"/>
      <c r="BN26" s="40"/>
    </row>
    <row r="27" spans="1:66" ht="20.100000000000001" customHeight="1" thickTop="1" thickBot="1" x14ac:dyDescent="0.5">
      <c r="A27" s="37"/>
      <c r="B27" s="36"/>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6"/>
      <c r="BN27" s="40"/>
    </row>
    <row r="28" spans="1:66" ht="5.0999999999999996" customHeight="1" thickTop="1" x14ac:dyDescent="0.45">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row>
    <row r="29" spans="1:66" ht="20.100000000000001" customHeight="1" x14ac:dyDescent="0.45">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row>
  </sheetData>
  <mergeCells count="250">
    <mergeCell ref="AU25:AV25"/>
    <mergeCell ref="AW25:AX25"/>
    <mergeCell ref="L19:O19"/>
    <mergeCell ref="L20:O20"/>
    <mergeCell ref="L21:O21"/>
    <mergeCell ref="L22:O22"/>
    <mergeCell ref="L23:O23"/>
    <mergeCell ref="L24:O24"/>
    <mergeCell ref="P19:W19"/>
    <mergeCell ref="P21:W21"/>
    <mergeCell ref="P22:W22"/>
    <mergeCell ref="P23:W23"/>
    <mergeCell ref="P24:W24"/>
    <mergeCell ref="AF23:AN23"/>
    <mergeCell ref="AO23:AP23"/>
    <mergeCell ref="AQ23:AR23"/>
    <mergeCell ref="AQ21:AR21"/>
    <mergeCell ref="AW24:AX24"/>
    <mergeCell ref="AS23:AT23"/>
    <mergeCell ref="AU23:AV23"/>
    <mergeCell ref="AS22:AT22"/>
    <mergeCell ref="AU22:AV22"/>
    <mergeCell ref="AW22:AX22"/>
    <mergeCell ref="AS21:AT21"/>
    <mergeCell ref="AY24:AZ24"/>
    <mergeCell ref="BA24:BL24"/>
    <mergeCell ref="D24:G24"/>
    <mergeCell ref="H24:K24"/>
    <mergeCell ref="X24:AE24"/>
    <mergeCell ref="AF24:AN24"/>
    <mergeCell ref="AO24:AP24"/>
    <mergeCell ref="AQ24:AR24"/>
    <mergeCell ref="AS24:AT24"/>
    <mergeCell ref="AU24:AV24"/>
    <mergeCell ref="AY22:AZ22"/>
    <mergeCell ref="BA22:BL22"/>
    <mergeCell ref="D23:G23"/>
    <mergeCell ref="H23:K23"/>
    <mergeCell ref="X23:AE23"/>
    <mergeCell ref="D22:G22"/>
    <mergeCell ref="H22:K22"/>
    <mergeCell ref="X22:AE22"/>
    <mergeCell ref="AF22:AN22"/>
    <mergeCell ref="AO22:AP22"/>
    <mergeCell ref="AQ22:AR22"/>
    <mergeCell ref="AY23:AZ23"/>
    <mergeCell ref="BA23:BL23"/>
    <mergeCell ref="AW23:AX23"/>
    <mergeCell ref="AU21:AV21"/>
    <mergeCell ref="AW21:AX21"/>
    <mergeCell ref="AY21:AZ21"/>
    <mergeCell ref="BA21:BL21"/>
    <mergeCell ref="AU20:AV20"/>
    <mergeCell ref="AW20:AX20"/>
    <mergeCell ref="AY20:AZ20"/>
    <mergeCell ref="BA20:BL20"/>
    <mergeCell ref="D21:G21"/>
    <mergeCell ref="H21:K21"/>
    <mergeCell ref="X21:AE21"/>
    <mergeCell ref="AF21:AN21"/>
    <mergeCell ref="AO21:AP21"/>
    <mergeCell ref="BA19:BL19"/>
    <mergeCell ref="D20:G20"/>
    <mergeCell ref="H20:K20"/>
    <mergeCell ref="P20:W20"/>
    <mergeCell ref="X20:AE20"/>
    <mergeCell ref="AF20:AN20"/>
    <mergeCell ref="AO20:AP20"/>
    <mergeCell ref="AQ20:AR20"/>
    <mergeCell ref="AS20:AT20"/>
    <mergeCell ref="AO19:AP19"/>
    <mergeCell ref="AQ19:AR19"/>
    <mergeCell ref="AS19:AT19"/>
    <mergeCell ref="AU19:AV19"/>
    <mergeCell ref="AW19:AX19"/>
    <mergeCell ref="AY19:AZ19"/>
    <mergeCell ref="D19:G19"/>
    <mergeCell ref="H19:K19"/>
    <mergeCell ref="X19:AE19"/>
    <mergeCell ref="AF19:AN19"/>
    <mergeCell ref="L17:O17"/>
    <mergeCell ref="L18:O18"/>
    <mergeCell ref="P18:W18"/>
    <mergeCell ref="D17:G17"/>
    <mergeCell ref="H17:K17"/>
    <mergeCell ref="P17:W17"/>
    <mergeCell ref="X17:AE17"/>
    <mergeCell ref="AF17:AN17"/>
    <mergeCell ref="AO17:AP17"/>
    <mergeCell ref="AQ18:AR18"/>
    <mergeCell ref="AS18:AT18"/>
    <mergeCell ref="AU18:AV18"/>
    <mergeCell ref="AW18:AX18"/>
    <mergeCell ref="AY18:AZ18"/>
    <mergeCell ref="BA18:BL18"/>
    <mergeCell ref="D18:G18"/>
    <mergeCell ref="H18:K18"/>
    <mergeCell ref="X18:AE18"/>
    <mergeCell ref="AF18:AN18"/>
    <mergeCell ref="AO18:AP18"/>
    <mergeCell ref="L16:O16"/>
    <mergeCell ref="P16:W16"/>
    <mergeCell ref="X16:AE16"/>
    <mergeCell ref="AF16:AN16"/>
    <mergeCell ref="AO16:AP16"/>
    <mergeCell ref="AQ16:AR16"/>
    <mergeCell ref="AS16:AT16"/>
    <mergeCell ref="AU16:AV16"/>
    <mergeCell ref="BA16:BL16"/>
    <mergeCell ref="L15:O15"/>
    <mergeCell ref="P15:W15"/>
    <mergeCell ref="X15:AE15"/>
    <mergeCell ref="AF15:AN15"/>
    <mergeCell ref="AO15:AP15"/>
    <mergeCell ref="AQ15:AR15"/>
    <mergeCell ref="AS15:AT15"/>
    <mergeCell ref="AU15:AV15"/>
    <mergeCell ref="AW15:AX15"/>
    <mergeCell ref="BA14:BL14"/>
    <mergeCell ref="AO14:AP14"/>
    <mergeCell ref="AQ14:AR14"/>
    <mergeCell ref="AS14:AT14"/>
    <mergeCell ref="AU14:AV14"/>
    <mergeCell ref="AW14:AX14"/>
    <mergeCell ref="AY14:AZ14"/>
    <mergeCell ref="AW17:AX17"/>
    <mergeCell ref="AY17:AZ17"/>
    <mergeCell ref="BA17:BL17"/>
    <mergeCell ref="AW16:AX16"/>
    <mergeCell ref="AY16:AZ16"/>
    <mergeCell ref="AY15:AZ15"/>
    <mergeCell ref="BA15:BL15"/>
    <mergeCell ref="AQ17:AR17"/>
    <mergeCell ref="AS17:AT17"/>
    <mergeCell ref="AU17:AV17"/>
    <mergeCell ref="D13:G13"/>
    <mergeCell ref="H13:K13"/>
    <mergeCell ref="P13:W13"/>
    <mergeCell ref="X13:AE13"/>
    <mergeCell ref="AF13:AN13"/>
    <mergeCell ref="D14:G14"/>
    <mergeCell ref="H14:K14"/>
    <mergeCell ref="L14:O14"/>
    <mergeCell ref="P14:W14"/>
    <mergeCell ref="X14:AE14"/>
    <mergeCell ref="AF14:AN14"/>
    <mergeCell ref="AY12:AZ12"/>
    <mergeCell ref="BA12:BL12"/>
    <mergeCell ref="BA13:BL13"/>
    <mergeCell ref="AO13:AP13"/>
    <mergeCell ref="AQ13:AR13"/>
    <mergeCell ref="AS13:AT13"/>
    <mergeCell ref="AU13:AV13"/>
    <mergeCell ref="AW13:AX13"/>
    <mergeCell ref="AY13:AZ13"/>
    <mergeCell ref="AY9:AZ9"/>
    <mergeCell ref="BA9:BL9"/>
    <mergeCell ref="AW10:AX10"/>
    <mergeCell ref="AY10:AZ10"/>
    <mergeCell ref="BA10:BL10"/>
    <mergeCell ref="D11:G11"/>
    <mergeCell ref="H11:K11"/>
    <mergeCell ref="P11:W11"/>
    <mergeCell ref="X11:AE11"/>
    <mergeCell ref="AY11:AZ11"/>
    <mergeCell ref="BA11:BL11"/>
    <mergeCell ref="AS11:AT11"/>
    <mergeCell ref="AU11:AV11"/>
    <mergeCell ref="AW11:AX11"/>
    <mergeCell ref="D10:G10"/>
    <mergeCell ref="H10:K10"/>
    <mergeCell ref="P10:W10"/>
    <mergeCell ref="X10:AE10"/>
    <mergeCell ref="AF10:AN10"/>
    <mergeCell ref="AO10:AP10"/>
    <mergeCell ref="AQ10:AR10"/>
    <mergeCell ref="AS10:AT10"/>
    <mergeCell ref="AU10:AV10"/>
    <mergeCell ref="L10:O13"/>
    <mergeCell ref="AX3:BA4"/>
    <mergeCell ref="BB3:BE4"/>
    <mergeCell ref="BF3:BI4"/>
    <mergeCell ref="BJ3:BM4"/>
    <mergeCell ref="BE7:BF8"/>
    <mergeCell ref="BG7:BH7"/>
    <mergeCell ref="BI7:BJ7"/>
    <mergeCell ref="BK7:BL7"/>
    <mergeCell ref="AX2:BA2"/>
    <mergeCell ref="BB2:BE2"/>
    <mergeCell ref="BF2:BI2"/>
    <mergeCell ref="BJ2:BM2"/>
    <mergeCell ref="AU8:AZ8"/>
    <mergeCell ref="BG8:BH8"/>
    <mergeCell ref="BI8:BJ8"/>
    <mergeCell ref="BK8:BL8"/>
    <mergeCell ref="B3:G4"/>
    <mergeCell ref="H3:K4"/>
    <mergeCell ref="L3:Q4"/>
    <mergeCell ref="R3:W4"/>
    <mergeCell ref="X3:AJ4"/>
    <mergeCell ref="AK3:AW4"/>
    <mergeCell ref="B2:G2"/>
    <mergeCell ref="H2:K2"/>
    <mergeCell ref="L2:Q2"/>
    <mergeCell ref="R2:W2"/>
    <mergeCell ref="X2:AJ2"/>
    <mergeCell ref="AK2:AW2"/>
    <mergeCell ref="AO8:AT8"/>
    <mergeCell ref="AO9:AP9"/>
    <mergeCell ref="AQ9:AR9"/>
    <mergeCell ref="AS9:AT9"/>
    <mergeCell ref="AU9:AV9"/>
    <mergeCell ref="AW9:AX9"/>
    <mergeCell ref="D12:G12"/>
    <mergeCell ref="H12:K12"/>
    <mergeCell ref="P12:W12"/>
    <mergeCell ref="X12:AE12"/>
    <mergeCell ref="AF12:AN12"/>
    <mergeCell ref="AO12:AP12"/>
    <mergeCell ref="AQ12:AR12"/>
    <mergeCell ref="AF11:AN11"/>
    <mergeCell ref="AO11:AP11"/>
    <mergeCell ref="AQ11:AR11"/>
    <mergeCell ref="AS12:AT12"/>
    <mergeCell ref="AU12:AV12"/>
    <mergeCell ref="AW12:AX12"/>
    <mergeCell ref="AY25:AZ25"/>
    <mergeCell ref="BA25:BL25"/>
    <mergeCell ref="D26:G26"/>
    <mergeCell ref="H26:K26"/>
    <mergeCell ref="L26:O26"/>
    <mergeCell ref="P26:W26"/>
    <mergeCell ref="X26:AE26"/>
    <mergeCell ref="AF26:AN26"/>
    <mergeCell ref="AO26:AP26"/>
    <mergeCell ref="AQ26:AR26"/>
    <mergeCell ref="AS26:AT26"/>
    <mergeCell ref="AU26:AV26"/>
    <mergeCell ref="AW26:AX26"/>
    <mergeCell ref="AY26:AZ26"/>
    <mergeCell ref="BA26:BL26"/>
    <mergeCell ref="D25:G25"/>
    <mergeCell ref="H25:K25"/>
    <mergeCell ref="L25:O25"/>
    <mergeCell ref="P25:W25"/>
    <mergeCell ref="X25:AE25"/>
    <mergeCell ref="AF25:AN25"/>
    <mergeCell ref="AO25:AP25"/>
    <mergeCell ref="AQ25:AR25"/>
    <mergeCell ref="AS25:AT25"/>
  </mergeCells>
  <phoneticPr fontId="2"/>
  <conditionalFormatting sqref="AS10:AS11 AY10 AS15:AS24 AY12:AY20 AY24">
    <cfRule type="cellIs" dxfId="21" priority="17" operator="equal">
      <formula>"OK"</formula>
    </cfRule>
    <cfRule type="cellIs" dxfId="20" priority="18" operator="equal">
      <formula>"NG"</formula>
    </cfRule>
  </conditionalFormatting>
  <conditionalFormatting sqref="AY25 AS25:AS26">
    <cfRule type="cellIs" dxfId="19" priority="9" operator="equal">
      <formula>"OK"</formula>
    </cfRule>
    <cfRule type="cellIs" dxfId="18" priority="10" operator="equal">
      <formula>"NG"</formula>
    </cfRule>
  </conditionalFormatting>
  <conditionalFormatting sqref="AS12:AS14">
    <cfRule type="cellIs" dxfId="17" priority="7" operator="equal">
      <formula>"OK"</formula>
    </cfRule>
    <cfRule type="cellIs" dxfId="16" priority="8" operator="equal">
      <formula>"NG"</formula>
    </cfRule>
  </conditionalFormatting>
  <conditionalFormatting sqref="AY11">
    <cfRule type="cellIs" dxfId="15" priority="5" operator="equal">
      <formula>"OK"</formula>
    </cfRule>
    <cfRule type="cellIs" dxfId="14" priority="6" operator="equal">
      <formula>"NG"</formula>
    </cfRule>
  </conditionalFormatting>
  <conditionalFormatting sqref="AY21:AY23">
    <cfRule type="cellIs" dxfId="13" priority="3" operator="equal">
      <formula>"OK"</formula>
    </cfRule>
    <cfRule type="cellIs" dxfId="12" priority="4" operator="equal">
      <formula>"NG"</formula>
    </cfRule>
  </conditionalFormatting>
  <conditionalFormatting sqref="AY26">
    <cfRule type="cellIs" dxfId="11" priority="1" operator="equal">
      <formula>"OK"</formula>
    </cfRule>
    <cfRule type="cellIs" dxfId="10" priority="2" operator="equal">
      <formula>"NG"</formula>
    </cfRule>
  </conditionalFormatting>
  <dataValidations count="1">
    <dataValidation type="list" allowBlank="1" showInputMessage="1" showErrorMessage="1" sqref="AS10:AS26 AY10:AY26">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35"/>
  <sheetViews>
    <sheetView showGridLines="0" view="pageBreakPreview" zoomScale="80" zoomScaleNormal="100" zoomScaleSheetLayoutView="80" workbookViewId="0">
      <pane ySplit="9" topLeftCell="A10" activePane="bottomLeft" state="frozen"/>
      <selection pane="bottomLeft"/>
    </sheetView>
  </sheetViews>
  <sheetFormatPr defaultColWidth="3.59765625" defaultRowHeight="20.100000000000001" customHeight="1" x14ac:dyDescent="0.45"/>
  <cols>
    <col min="1" max="1" width="1.09765625" style="35" customWidth="1"/>
    <col min="2" max="14" width="3.69921875" style="35" customWidth="1"/>
    <col min="15" max="15" width="3.796875" style="35" customWidth="1"/>
    <col min="16" max="65" width="3.69921875" style="35" customWidth="1"/>
    <col min="66" max="66" width="1.09765625" style="35" customWidth="1"/>
    <col min="67" max="16384" width="3.59765625" style="35"/>
  </cols>
  <sheetData>
    <row r="1" spans="1:66" ht="5.25" customHeight="1" thickBot="1" x14ac:dyDescent="0.5">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row>
    <row r="2" spans="1:66" ht="20.100000000000001" customHeight="1" thickTop="1" x14ac:dyDescent="0.45">
      <c r="A2" s="37"/>
      <c r="B2" s="186" t="s">
        <v>44</v>
      </c>
      <c r="C2" s="137"/>
      <c r="D2" s="137"/>
      <c r="E2" s="137"/>
      <c r="F2" s="137"/>
      <c r="G2" s="138"/>
      <c r="H2" s="136" t="s">
        <v>45</v>
      </c>
      <c r="I2" s="137"/>
      <c r="J2" s="137"/>
      <c r="K2" s="138"/>
      <c r="L2" s="136" t="s">
        <v>46</v>
      </c>
      <c r="M2" s="137"/>
      <c r="N2" s="137"/>
      <c r="O2" s="137"/>
      <c r="P2" s="137"/>
      <c r="Q2" s="138"/>
      <c r="R2" s="136" t="s">
        <v>47</v>
      </c>
      <c r="S2" s="137"/>
      <c r="T2" s="137"/>
      <c r="U2" s="137"/>
      <c r="V2" s="137"/>
      <c r="W2" s="138"/>
      <c r="X2" s="136" t="s">
        <v>48</v>
      </c>
      <c r="Y2" s="137"/>
      <c r="Z2" s="137"/>
      <c r="AA2" s="137"/>
      <c r="AB2" s="137"/>
      <c r="AC2" s="137"/>
      <c r="AD2" s="137"/>
      <c r="AE2" s="137"/>
      <c r="AF2" s="137"/>
      <c r="AG2" s="137"/>
      <c r="AH2" s="137"/>
      <c r="AI2" s="137"/>
      <c r="AJ2" s="138"/>
      <c r="AK2" s="136" t="s">
        <v>49</v>
      </c>
      <c r="AL2" s="137"/>
      <c r="AM2" s="137"/>
      <c r="AN2" s="137"/>
      <c r="AO2" s="137"/>
      <c r="AP2" s="137"/>
      <c r="AQ2" s="137"/>
      <c r="AR2" s="137"/>
      <c r="AS2" s="137"/>
      <c r="AT2" s="137"/>
      <c r="AU2" s="137"/>
      <c r="AV2" s="137"/>
      <c r="AW2" s="138"/>
      <c r="AX2" s="124" t="s">
        <v>5</v>
      </c>
      <c r="AY2" s="124"/>
      <c r="AZ2" s="124"/>
      <c r="BA2" s="124"/>
      <c r="BB2" s="124" t="s">
        <v>4</v>
      </c>
      <c r="BC2" s="124"/>
      <c r="BD2" s="124"/>
      <c r="BE2" s="124"/>
      <c r="BF2" s="124" t="s">
        <v>6</v>
      </c>
      <c r="BG2" s="124"/>
      <c r="BH2" s="124"/>
      <c r="BI2" s="124"/>
      <c r="BJ2" s="124" t="s">
        <v>7</v>
      </c>
      <c r="BK2" s="124"/>
      <c r="BL2" s="124"/>
      <c r="BM2" s="125"/>
      <c r="BN2" s="40"/>
    </row>
    <row r="3" spans="1:66" ht="20.100000000000001" customHeight="1" x14ac:dyDescent="0.45">
      <c r="A3" s="37"/>
      <c r="B3" s="187" t="str">
        <f>変更履歴!B3</f>
        <v>受発注システム</v>
      </c>
      <c r="C3" s="131"/>
      <c r="D3" s="131"/>
      <c r="E3" s="131"/>
      <c r="F3" s="131"/>
      <c r="G3" s="132"/>
      <c r="H3" s="130" t="str">
        <f ca="1">変更履歴!H3</f>
        <v>経費</v>
      </c>
      <c r="I3" s="131"/>
      <c r="J3" s="131"/>
      <c r="K3" s="132"/>
      <c r="L3" s="130" t="str">
        <f>変更履歴!L3</f>
        <v>運用自動化</v>
      </c>
      <c r="M3" s="131"/>
      <c r="N3" s="131"/>
      <c r="O3" s="131"/>
      <c r="P3" s="131"/>
      <c r="Q3" s="132"/>
      <c r="R3" s="130" t="str">
        <f ca="1">変更履歴!R3</f>
        <v>結合試験項目</v>
      </c>
      <c r="S3" s="131"/>
      <c r="T3" s="131"/>
      <c r="U3" s="131"/>
      <c r="V3" s="131"/>
      <c r="W3" s="132"/>
      <c r="X3" s="130" t="str">
        <f ca="1">変更履歴!X3</f>
        <v>経費_経費取込処理_結合試験項目</v>
      </c>
      <c r="Y3" s="131"/>
      <c r="Z3" s="131"/>
      <c r="AA3" s="131"/>
      <c r="AB3" s="131"/>
      <c r="AC3" s="131"/>
      <c r="AD3" s="131"/>
      <c r="AE3" s="131"/>
      <c r="AF3" s="131"/>
      <c r="AG3" s="131"/>
      <c r="AH3" s="131"/>
      <c r="AI3" s="131"/>
      <c r="AJ3" s="132"/>
      <c r="AK3" s="130" t="str">
        <f ca="1">変更履歴!AK3</f>
        <v>経費取込処理</v>
      </c>
      <c r="AL3" s="131"/>
      <c r="AM3" s="131"/>
      <c r="AN3" s="131"/>
      <c r="AO3" s="131"/>
      <c r="AP3" s="131"/>
      <c r="AQ3" s="131"/>
      <c r="AR3" s="131"/>
      <c r="AS3" s="131"/>
      <c r="AT3" s="131"/>
      <c r="AU3" s="131"/>
      <c r="AV3" s="131"/>
      <c r="AW3" s="132"/>
      <c r="AX3" s="126">
        <f>変更履歴!AX3</f>
        <v>45628</v>
      </c>
      <c r="AY3" s="126"/>
      <c r="AZ3" s="126"/>
      <c r="BA3" s="126"/>
      <c r="BB3" s="127" t="str">
        <f>変更履歴!BB3</f>
        <v>児玉</v>
      </c>
      <c r="BC3" s="127"/>
      <c r="BD3" s="127"/>
      <c r="BE3" s="127"/>
      <c r="BF3" s="126">
        <f>変更履歴!BF3</f>
        <v>45628</v>
      </c>
      <c r="BG3" s="126"/>
      <c r="BH3" s="126"/>
      <c r="BI3" s="126"/>
      <c r="BJ3" s="127" t="str">
        <f>変更履歴!BJ3</f>
        <v>児玉</v>
      </c>
      <c r="BK3" s="127"/>
      <c r="BL3" s="127"/>
      <c r="BM3" s="129"/>
      <c r="BN3" s="40"/>
    </row>
    <row r="4" spans="1:66" ht="20.100000000000001" customHeight="1" thickBot="1" x14ac:dyDescent="0.5">
      <c r="A4" s="37"/>
      <c r="B4" s="188"/>
      <c r="C4" s="134"/>
      <c r="D4" s="134"/>
      <c r="E4" s="134"/>
      <c r="F4" s="134"/>
      <c r="G4" s="135"/>
      <c r="H4" s="133"/>
      <c r="I4" s="134"/>
      <c r="J4" s="134"/>
      <c r="K4" s="135"/>
      <c r="L4" s="133"/>
      <c r="M4" s="134"/>
      <c r="N4" s="134"/>
      <c r="O4" s="134"/>
      <c r="P4" s="134"/>
      <c r="Q4" s="135"/>
      <c r="R4" s="133"/>
      <c r="S4" s="134"/>
      <c r="T4" s="134"/>
      <c r="U4" s="134"/>
      <c r="V4" s="134"/>
      <c r="W4" s="135"/>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73"/>
      <c r="AY4" s="173"/>
      <c r="AZ4" s="173"/>
      <c r="BA4" s="173"/>
      <c r="BB4" s="128"/>
      <c r="BC4" s="128"/>
      <c r="BD4" s="128"/>
      <c r="BE4" s="128"/>
      <c r="BF4" s="173"/>
      <c r="BG4" s="173"/>
      <c r="BH4" s="173"/>
      <c r="BI4" s="173"/>
      <c r="BJ4" s="128"/>
      <c r="BK4" s="128"/>
      <c r="BL4" s="128"/>
      <c r="BM4" s="130"/>
      <c r="BN4" s="40"/>
    </row>
    <row r="5" spans="1:66" ht="5.25" customHeight="1" thickTop="1" thickBot="1" x14ac:dyDescent="0.5">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row>
    <row r="6" spans="1:66" ht="8.4" customHeight="1" thickTop="1" thickBot="1" x14ac:dyDescent="0.5">
      <c r="A6" s="37"/>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40"/>
    </row>
    <row r="7" spans="1:66" ht="13.8" thickTop="1" thickBot="1" x14ac:dyDescent="0.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E7" s="174" t="s">
        <v>35</v>
      </c>
      <c r="BF7" s="175"/>
      <c r="BG7" s="178" t="s">
        <v>34</v>
      </c>
      <c r="BH7" s="178"/>
      <c r="BI7" s="179" t="s">
        <v>36</v>
      </c>
      <c r="BJ7" s="180"/>
      <c r="BK7" s="179" t="s">
        <v>37</v>
      </c>
      <c r="BL7" s="166"/>
      <c r="BM7" s="36"/>
      <c r="BN7" s="40"/>
    </row>
    <row r="8" spans="1:66" ht="13.8" thickTop="1" thickBot="1" x14ac:dyDescent="0.5">
      <c r="A8" s="37"/>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L8" s="36"/>
      <c r="AM8" s="36"/>
      <c r="AO8" s="164" t="s">
        <v>38</v>
      </c>
      <c r="AP8" s="165"/>
      <c r="AQ8" s="165"/>
      <c r="AR8" s="165"/>
      <c r="AS8" s="165"/>
      <c r="AT8" s="166"/>
      <c r="AU8" s="164" t="s">
        <v>39</v>
      </c>
      <c r="AV8" s="165"/>
      <c r="AW8" s="165"/>
      <c r="AX8" s="165"/>
      <c r="AY8" s="165"/>
      <c r="AZ8" s="166"/>
      <c r="BE8" s="176"/>
      <c r="BF8" s="177"/>
      <c r="BG8" s="167">
        <f>COUNTA(C10:C32)</f>
        <v>23</v>
      </c>
      <c r="BH8" s="168"/>
      <c r="BI8" s="167">
        <f>COUNTIF(AS10:AT32,"OK")+COUNTIF(AY10:AZ32,"OK")</f>
        <v>23</v>
      </c>
      <c r="BJ8" s="168"/>
      <c r="BK8" s="167">
        <f>BG8-BI8</f>
        <v>0</v>
      </c>
      <c r="BL8" s="169"/>
      <c r="BM8" s="36"/>
      <c r="BN8" s="40"/>
    </row>
    <row r="9" spans="1:66" ht="20.100000000000001" customHeight="1" thickTop="1" x14ac:dyDescent="0.45">
      <c r="A9" s="37"/>
      <c r="B9" s="36"/>
      <c r="C9" s="42" t="s">
        <v>14</v>
      </c>
      <c r="D9" s="44" t="s">
        <v>23</v>
      </c>
      <c r="E9" s="45"/>
      <c r="F9" s="45"/>
      <c r="G9" s="45"/>
      <c r="H9" s="44" t="s">
        <v>24</v>
      </c>
      <c r="I9" s="45"/>
      <c r="J9" s="45"/>
      <c r="K9" s="46"/>
      <c r="L9" s="44" t="s">
        <v>25</v>
      </c>
      <c r="M9" s="45"/>
      <c r="N9" s="45"/>
      <c r="O9" s="45"/>
      <c r="P9" s="44" t="s">
        <v>40</v>
      </c>
      <c r="Q9" s="45"/>
      <c r="R9" s="45"/>
      <c r="S9" s="45"/>
      <c r="T9" s="45"/>
      <c r="U9" s="45"/>
      <c r="V9" s="45"/>
      <c r="W9" s="45"/>
      <c r="X9" s="44" t="s">
        <v>26</v>
      </c>
      <c r="Y9" s="45"/>
      <c r="Z9" s="45"/>
      <c r="AA9" s="45"/>
      <c r="AB9" s="45"/>
      <c r="AC9" s="45"/>
      <c r="AD9" s="45"/>
      <c r="AE9" s="45"/>
      <c r="AF9" s="44" t="s">
        <v>30</v>
      </c>
      <c r="AG9" s="45"/>
      <c r="AH9" s="45"/>
      <c r="AI9" s="45"/>
      <c r="AJ9" s="45"/>
      <c r="AK9" s="45"/>
      <c r="AL9" s="45"/>
      <c r="AM9" s="45"/>
      <c r="AN9" s="47"/>
      <c r="AO9" s="181" t="s">
        <v>27</v>
      </c>
      <c r="AP9" s="182"/>
      <c r="AQ9" s="170" t="s">
        <v>28</v>
      </c>
      <c r="AR9" s="182"/>
      <c r="AS9" s="170" t="s">
        <v>31</v>
      </c>
      <c r="AT9" s="171"/>
      <c r="AU9" s="181" t="s">
        <v>27</v>
      </c>
      <c r="AV9" s="182"/>
      <c r="AW9" s="170" t="s">
        <v>28</v>
      </c>
      <c r="AX9" s="182"/>
      <c r="AY9" s="170" t="s">
        <v>31</v>
      </c>
      <c r="AZ9" s="171"/>
      <c r="BA9" s="172" t="s">
        <v>29</v>
      </c>
      <c r="BB9" s="165"/>
      <c r="BC9" s="165"/>
      <c r="BD9" s="165"/>
      <c r="BE9" s="165"/>
      <c r="BF9" s="165"/>
      <c r="BG9" s="165"/>
      <c r="BH9" s="165"/>
      <c r="BI9" s="165"/>
      <c r="BJ9" s="165"/>
      <c r="BK9" s="165"/>
      <c r="BL9" s="166"/>
      <c r="BM9" s="40"/>
      <c r="BN9" s="40"/>
    </row>
    <row r="10" spans="1:66" ht="33" customHeight="1" x14ac:dyDescent="0.45">
      <c r="A10" s="37"/>
      <c r="B10" s="37"/>
      <c r="C10" s="43">
        <f>ROW()-9</f>
        <v>1</v>
      </c>
      <c r="D10" s="148" t="s">
        <v>118</v>
      </c>
      <c r="E10" s="149"/>
      <c r="F10" s="149"/>
      <c r="G10" s="150"/>
      <c r="H10" s="148" t="s">
        <v>50</v>
      </c>
      <c r="I10" s="149"/>
      <c r="J10" s="149"/>
      <c r="K10" s="150"/>
      <c r="L10" s="196" t="s">
        <v>65</v>
      </c>
      <c r="M10" s="197"/>
      <c r="N10" s="197"/>
      <c r="O10" s="198"/>
      <c r="P10" s="145" t="s">
        <v>129</v>
      </c>
      <c r="Q10" s="146"/>
      <c r="R10" s="146"/>
      <c r="S10" s="146"/>
      <c r="T10" s="146"/>
      <c r="U10" s="146"/>
      <c r="V10" s="146"/>
      <c r="W10" s="147"/>
      <c r="X10" s="145" t="s">
        <v>128</v>
      </c>
      <c r="Y10" s="146"/>
      <c r="Z10" s="146"/>
      <c r="AA10" s="146"/>
      <c r="AB10" s="146"/>
      <c r="AC10" s="146"/>
      <c r="AD10" s="146"/>
      <c r="AE10" s="147"/>
      <c r="AF10" s="145"/>
      <c r="AG10" s="146"/>
      <c r="AH10" s="146"/>
      <c r="AI10" s="146"/>
      <c r="AJ10" s="146"/>
      <c r="AK10" s="146"/>
      <c r="AL10" s="146"/>
      <c r="AM10" s="146"/>
      <c r="AN10" s="163"/>
      <c r="AO10" s="143">
        <v>45674</v>
      </c>
      <c r="AP10" s="144"/>
      <c r="AQ10" s="119" t="s">
        <v>133</v>
      </c>
      <c r="AR10" s="121"/>
      <c r="AS10" s="119" t="s">
        <v>134</v>
      </c>
      <c r="AT10" s="142"/>
      <c r="AU10" s="143"/>
      <c r="AV10" s="144"/>
      <c r="AW10" s="119"/>
      <c r="AX10" s="121"/>
      <c r="AY10" s="119"/>
      <c r="AZ10" s="142"/>
      <c r="BA10" s="160"/>
      <c r="BB10" s="161"/>
      <c r="BC10" s="161"/>
      <c r="BD10" s="161"/>
      <c r="BE10" s="161"/>
      <c r="BF10" s="161"/>
      <c r="BG10" s="161"/>
      <c r="BH10" s="161"/>
      <c r="BI10" s="161"/>
      <c r="BJ10" s="161"/>
      <c r="BK10" s="161"/>
      <c r="BL10" s="162"/>
      <c r="BM10" s="40"/>
      <c r="BN10" s="40"/>
    </row>
    <row r="11" spans="1:66" ht="33" customHeight="1" x14ac:dyDescent="0.45">
      <c r="A11" s="37"/>
      <c r="B11" s="37"/>
      <c r="C11" s="85">
        <f t="shared" ref="C11:C32" si="0">ROW()-9</f>
        <v>2</v>
      </c>
      <c r="D11" s="154"/>
      <c r="E11" s="155"/>
      <c r="F11" s="155"/>
      <c r="G11" s="156"/>
      <c r="H11" s="154"/>
      <c r="I11" s="155"/>
      <c r="J11" s="155"/>
      <c r="K11" s="156"/>
      <c r="L11" s="199"/>
      <c r="M11" s="200"/>
      <c r="N11" s="200"/>
      <c r="O11" s="201"/>
      <c r="P11" s="145" t="s">
        <v>130</v>
      </c>
      <c r="Q11" s="146"/>
      <c r="R11" s="146"/>
      <c r="S11" s="146"/>
      <c r="T11" s="146"/>
      <c r="U11" s="146"/>
      <c r="V11" s="146"/>
      <c r="W11" s="147"/>
      <c r="X11" s="145" t="s">
        <v>128</v>
      </c>
      <c r="Y11" s="146"/>
      <c r="Z11" s="146"/>
      <c r="AA11" s="146"/>
      <c r="AB11" s="146"/>
      <c r="AC11" s="146"/>
      <c r="AD11" s="146"/>
      <c r="AE11" s="147"/>
      <c r="AF11" s="145"/>
      <c r="AG11" s="146"/>
      <c r="AH11" s="146"/>
      <c r="AI11" s="146"/>
      <c r="AJ11" s="146"/>
      <c r="AK11" s="146"/>
      <c r="AL11" s="146"/>
      <c r="AM11" s="146"/>
      <c r="AN11" s="163"/>
      <c r="AO11" s="143">
        <v>45674</v>
      </c>
      <c r="AP11" s="144"/>
      <c r="AQ11" s="119" t="s">
        <v>133</v>
      </c>
      <c r="AR11" s="121"/>
      <c r="AS11" s="119" t="s">
        <v>134</v>
      </c>
      <c r="AT11" s="142"/>
      <c r="AU11" s="143"/>
      <c r="AV11" s="144"/>
      <c r="AW11" s="119"/>
      <c r="AX11" s="121"/>
      <c r="AY11" s="119"/>
      <c r="AZ11" s="142"/>
      <c r="BA11" s="160"/>
      <c r="BB11" s="161"/>
      <c r="BC11" s="161"/>
      <c r="BD11" s="161"/>
      <c r="BE11" s="161"/>
      <c r="BF11" s="161"/>
      <c r="BG11" s="161"/>
      <c r="BH11" s="161"/>
      <c r="BI11" s="161"/>
      <c r="BJ11" s="161"/>
      <c r="BK11" s="161"/>
      <c r="BL11" s="162"/>
      <c r="BM11" s="40"/>
      <c r="BN11" s="40"/>
    </row>
    <row r="12" spans="1:66" ht="33" customHeight="1" x14ac:dyDescent="0.45">
      <c r="A12" s="37"/>
      <c r="B12" s="37"/>
      <c r="C12" s="85">
        <f t="shared" si="0"/>
        <v>3</v>
      </c>
      <c r="D12" s="154"/>
      <c r="E12" s="155"/>
      <c r="F12" s="155"/>
      <c r="G12" s="156"/>
      <c r="H12" s="154"/>
      <c r="I12" s="155"/>
      <c r="J12" s="155"/>
      <c r="K12" s="156"/>
      <c r="L12" s="199"/>
      <c r="M12" s="200"/>
      <c r="N12" s="200"/>
      <c r="O12" s="201"/>
      <c r="P12" s="145" t="s">
        <v>90</v>
      </c>
      <c r="Q12" s="146"/>
      <c r="R12" s="146"/>
      <c r="S12" s="146"/>
      <c r="T12" s="146"/>
      <c r="U12" s="146"/>
      <c r="V12" s="146"/>
      <c r="W12" s="147"/>
      <c r="X12" s="145" t="s">
        <v>124</v>
      </c>
      <c r="Y12" s="146"/>
      <c r="Z12" s="146"/>
      <c r="AA12" s="146"/>
      <c r="AB12" s="146"/>
      <c r="AC12" s="146"/>
      <c r="AD12" s="146"/>
      <c r="AE12" s="147"/>
      <c r="AF12" s="145"/>
      <c r="AG12" s="146"/>
      <c r="AH12" s="146"/>
      <c r="AI12" s="146"/>
      <c r="AJ12" s="146"/>
      <c r="AK12" s="146"/>
      <c r="AL12" s="146"/>
      <c r="AM12" s="146"/>
      <c r="AN12" s="163"/>
      <c r="AO12" s="143">
        <v>45674</v>
      </c>
      <c r="AP12" s="144"/>
      <c r="AQ12" s="119" t="s">
        <v>133</v>
      </c>
      <c r="AR12" s="121"/>
      <c r="AS12" s="119" t="s">
        <v>134</v>
      </c>
      <c r="AT12" s="142"/>
      <c r="AU12" s="143"/>
      <c r="AV12" s="144"/>
      <c r="AW12" s="119"/>
      <c r="AX12" s="121"/>
      <c r="AY12" s="119"/>
      <c r="AZ12" s="142"/>
      <c r="BA12" s="160"/>
      <c r="BB12" s="161"/>
      <c r="BC12" s="161"/>
      <c r="BD12" s="161"/>
      <c r="BE12" s="161"/>
      <c r="BF12" s="161"/>
      <c r="BG12" s="161"/>
      <c r="BH12" s="161"/>
      <c r="BI12" s="161"/>
      <c r="BJ12" s="161"/>
      <c r="BK12" s="161"/>
      <c r="BL12" s="162"/>
      <c r="BM12" s="40"/>
      <c r="BN12" s="40"/>
    </row>
    <row r="13" spans="1:66" ht="33" customHeight="1" x14ac:dyDescent="0.45">
      <c r="A13" s="37"/>
      <c r="B13" s="37"/>
      <c r="C13" s="85">
        <f t="shared" si="0"/>
        <v>4</v>
      </c>
      <c r="D13" s="154"/>
      <c r="E13" s="155"/>
      <c r="F13" s="155"/>
      <c r="G13" s="156"/>
      <c r="H13" s="154"/>
      <c r="I13" s="155"/>
      <c r="J13" s="155"/>
      <c r="K13" s="156"/>
      <c r="L13" s="202"/>
      <c r="M13" s="203"/>
      <c r="N13" s="203"/>
      <c r="O13" s="204"/>
      <c r="P13" s="145" t="s">
        <v>91</v>
      </c>
      <c r="Q13" s="146"/>
      <c r="R13" s="146"/>
      <c r="S13" s="146"/>
      <c r="T13" s="146"/>
      <c r="U13" s="146"/>
      <c r="V13" s="146"/>
      <c r="W13" s="147"/>
      <c r="X13" s="145" t="s">
        <v>124</v>
      </c>
      <c r="Y13" s="146"/>
      <c r="Z13" s="146"/>
      <c r="AA13" s="146"/>
      <c r="AB13" s="146"/>
      <c r="AC13" s="146"/>
      <c r="AD13" s="146"/>
      <c r="AE13" s="147"/>
      <c r="AF13" s="145"/>
      <c r="AG13" s="146"/>
      <c r="AH13" s="146"/>
      <c r="AI13" s="146"/>
      <c r="AJ13" s="146"/>
      <c r="AK13" s="146"/>
      <c r="AL13" s="146"/>
      <c r="AM13" s="146"/>
      <c r="AN13" s="163"/>
      <c r="AO13" s="143">
        <v>45674</v>
      </c>
      <c r="AP13" s="144"/>
      <c r="AQ13" s="119" t="s">
        <v>133</v>
      </c>
      <c r="AR13" s="121"/>
      <c r="AS13" s="119" t="s">
        <v>134</v>
      </c>
      <c r="AT13" s="142"/>
      <c r="AU13" s="143"/>
      <c r="AV13" s="144"/>
      <c r="AW13" s="119"/>
      <c r="AX13" s="121"/>
      <c r="AY13" s="119"/>
      <c r="AZ13" s="142"/>
      <c r="BA13" s="160"/>
      <c r="BB13" s="161"/>
      <c r="BC13" s="161"/>
      <c r="BD13" s="161"/>
      <c r="BE13" s="161"/>
      <c r="BF13" s="161"/>
      <c r="BG13" s="161"/>
      <c r="BH13" s="161"/>
      <c r="BI13" s="161"/>
      <c r="BJ13" s="161"/>
      <c r="BK13" s="161"/>
      <c r="BL13" s="162"/>
      <c r="BM13" s="40"/>
      <c r="BN13" s="40"/>
    </row>
    <row r="14" spans="1:66" ht="42.6" customHeight="1" x14ac:dyDescent="0.45">
      <c r="A14" s="37"/>
      <c r="B14" s="37"/>
      <c r="C14" s="85">
        <f t="shared" si="0"/>
        <v>5</v>
      </c>
      <c r="D14" s="154"/>
      <c r="E14" s="155"/>
      <c r="F14" s="155"/>
      <c r="G14" s="156"/>
      <c r="H14" s="145" t="s">
        <v>53</v>
      </c>
      <c r="I14" s="146"/>
      <c r="J14" s="146"/>
      <c r="K14" s="147"/>
      <c r="L14" s="157" t="s">
        <v>70</v>
      </c>
      <c r="M14" s="158"/>
      <c r="N14" s="158"/>
      <c r="O14" s="159"/>
      <c r="P14" s="145" t="s">
        <v>125</v>
      </c>
      <c r="Q14" s="146"/>
      <c r="R14" s="146"/>
      <c r="S14" s="146"/>
      <c r="T14" s="146"/>
      <c r="U14" s="146"/>
      <c r="V14" s="146"/>
      <c r="W14" s="147"/>
      <c r="X14" s="145"/>
      <c r="Y14" s="146"/>
      <c r="Z14" s="146"/>
      <c r="AA14" s="146"/>
      <c r="AB14" s="146"/>
      <c r="AC14" s="146"/>
      <c r="AD14" s="146"/>
      <c r="AE14" s="147"/>
      <c r="AF14" s="145" t="s">
        <v>114</v>
      </c>
      <c r="AG14" s="146"/>
      <c r="AH14" s="146"/>
      <c r="AI14" s="146"/>
      <c r="AJ14" s="146"/>
      <c r="AK14" s="146"/>
      <c r="AL14" s="146"/>
      <c r="AM14" s="146"/>
      <c r="AN14" s="163"/>
      <c r="AO14" s="143">
        <v>45674</v>
      </c>
      <c r="AP14" s="144"/>
      <c r="AQ14" s="119" t="s">
        <v>133</v>
      </c>
      <c r="AR14" s="121"/>
      <c r="AS14" s="119" t="s">
        <v>134</v>
      </c>
      <c r="AT14" s="142"/>
      <c r="AU14" s="143"/>
      <c r="AV14" s="144"/>
      <c r="AW14" s="119"/>
      <c r="AX14" s="121"/>
      <c r="AY14" s="119"/>
      <c r="AZ14" s="142"/>
      <c r="BA14" s="160"/>
      <c r="BB14" s="161"/>
      <c r="BC14" s="161"/>
      <c r="BD14" s="161"/>
      <c r="BE14" s="161"/>
      <c r="BF14" s="161"/>
      <c r="BG14" s="161"/>
      <c r="BH14" s="161"/>
      <c r="BI14" s="161"/>
      <c r="BJ14" s="161"/>
      <c r="BK14" s="161"/>
      <c r="BL14" s="162"/>
      <c r="BM14" s="40"/>
      <c r="BN14" s="40"/>
    </row>
    <row r="15" spans="1:66" ht="24.6" customHeight="1" x14ac:dyDescent="0.45">
      <c r="A15" s="37"/>
      <c r="B15" s="37"/>
      <c r="C15" s="85">
        <f t="shared" si="0"/>
        <v>6</v>
      </c>
      <c r="D15" s="70"/>
      <c r="E15" s="71"/>
      <c r="F15" s="71"/>
      <c r="G15" s="72"/>
      <c r="H15" s="51" t="s">
        <v>57</v>
      </c>
      <c r="I15" s="71"/>
      <c r="J15" s="71"/>
      <c r="K15" s="72"/>
      <c r="L15" s="157" t="s">
        <v>92</v>
      </c>
      <c r="M15" s="158"/>
      <c r="N15" s="158"/>
      <c r="O15" s="159"/>
      <c r="P15" s="145" t="s">
        <v>68</v>
      </c>
      <c r="Q15" s="146"/>
      <c r="R15" s="146"/>
      <c r="S15" s="146"/>
      <c r="T15" s="146"/>
      <c r="U15" s="146"/>
      <c r="V15" s="146"/>
      <c r="W15" s="147"/>
      <c r="X15" s="145" t="s">
        <v>124</v>
      </c>
      <c r="Y15" s="146"/>
      <c r="Z15" s="146"/>
      <c r="AA15" s="146"/>
      <c r="AB15" s="146"/>
      <c r="AC15" s="146"/>
      <c r="AD15" s="146"/>
      <c r="AE15" s="147"/>
      <c r="AF15" s="145"/>
      <c r="AG15" s="146"/>
      <c r="AH15" s="146"/>
      <c r="AI15" s="146"/>
      <c r="AJ15" s="146"/>
      <c r="AK15" s="146"/>
      <c r="AL15" s="146"/>
      <c r="AM15" s="146"/>
      <c r="AN15" s="163"/>
      <c r="AO15" s="143">
        <v>45674</v>
      </c>
      <c r="AP15" s="144"/>
      <c r="AQ15" s="119" t="s">
        <v>133</v>
      </c>
      <c r="AR15" s="121"/>
      <c r="AS15" s="119" t="s">
        <v>140</v>
      </c>
      <c r="AT15" s="142"/>
      <c r="AU15" s="143"/>
      <c r="AV15" s="144"/>
      <c r="AW15" s="119"/>
      <c r="AX15" s="121"/>
      <c r="AY15" s="119"/>
      <c r="AZ15" s="142"/>
      <c r="BA15" s="160"/>
      <c r="BB15" s="161"/>
      <c r="BC15" s="161"/>
      <c r="BD15" s="161"/>
      <c r="BE15" s="161"/>
      <c r="BF15" s="161"/>
      <c r="BG15" s="161"/>
      <c r="BH15" s="161"/>
      <c r="BI15" s="161"/>
      <c r="BJ15" s="161"/>
      <c r="BK15" s="161"/>
      <c r="BL15" s="162"/>
      <c r="BM15" s="40"/>
      <c r="BN15" s="40"/>
    </row>
    <row r="16" spans="1:66" ht="24.6" customHeight="1" x14ac:dyDescent="0.45">
      <c r="A16" s="37"/>
      <c r="B16" s="37"/>
      <c r="C16" s="85">
        <f t="shared" si="0"/>
        <v>7</v>
      </c>
      <c r="D16" s="70"/>
      <c r="E16" s="71"/>
      <c r="F16" s="71"/>
      <c r="G16" s="72"/>
      <c r="H16" s="70"/>
      <c r="I16" s="71"/>
      <c r="J16" s="71"/>
      <c r="K16" s="72"/>
      <c r="L16" s="157" t="s">
        <v>93</v>
      </c>
      <c r="M16" s="158"/>
      <c r="N16" s="158"/>
      <c r="O16" s="159"/>
      <c r="P16" s="145" t="s">
        <v>68</v>
      </c>
      <c r="Q16" s="146"/>
      <c r="R16" s="146"/>
      <c r="S16" s="146"/>
      <c r="T16" s="146"/>
      <c r="U16" s="146"/>
      <c r="V16" s="146"/>
      <c r="W16" s="147"/>
      <c r="X16" s="145" t="s">
        <v>124</v>
      </c>
      <c r="Y16" s="146"/>
      <c r="Z16" s="146"/>
      <c r="AA16" s="146"/>
      <c r="AB16" s="146"/>
      <c r="AC16" s="146"/>
      <c r="AD16" s="146"/>
      <c r="AE16" s="147"/>
      <c r="AF16" s="145"/>
      <c r="AG16" s="146"/>
      <c r="AH16" s="146"/>
      <c r="AI16" s="146"/>
      <c r="AJ16" s="146"/>
      <c r="AK16" s="146"/>
      <c r="AL16" s="146"/>
      <c r="AM16" s="146"/>
      <c r="AN16" s="163"/>
      <c r="AO16" s="143">
        <v>45674</v>
      </c>
      <c r="AP16" s="144"/>
      <c r="AQ16" s="119" t="s">
        <v>133</v>
      </c>
      <c r="AR16" s="121"/>
      <c r="AS16" s="119" t="s">
        <v>134</v>
      </c>
      <c r="AT16" s="142"/>
      <c r="AU16" s="143"/>
      <c r="AV16" s="144"/>
      <c r="AW16" s="119"/>
      <c r="AX16" s="121"/>
      <c r="AY16" s="119"/>
      <c r="AZ16" s="142"/>
      <c r="BA16" s="160"/>
      <c r="BB16" s="161"/>
      <c r="BC16" s="161"/>
      <c r="BD16" s="161"/>
      <c r="BE16" s="161"/>
      <c r="BF16" s="161"/>
      <c r="BG16" s="161"/>
      <c r="BH16" s="161"/>
      <c r="BI16" s="161"/>
      <c r="BJ16" s="161"/>
      <c r="BK16" s="161"/>
      <c r="BL16" s="162"/>
      <c r="BM16" s="40"/>
      <c r="BN16" s="40"/>
    </row>
    <row r="17" spans="1:66" ht="19.95" customHeight="1" x14ac:dyDescent="0.45">
      <c r="A17" s="37"/>
      <c r="B17" s="37"/>
      <c r="C17" s="85">
        <f t="shared" si="0"/>
        <v>8</v>
      </c>
      <c r="D17" s="154"/>
      <c r="E17" s="155"/>
      <c r="F17" s="155"/>
      <c r="G17" s="156"/>
      <c r="H17" s="154"/>
      <c r="I17" s="155"/>
      <c r="J17" s="155"/>
      <c r="K17" s="156"/>
      <c r="L17" s="157" t="s">
        <v>94</v>
      </c>
      <c r="M17" s="158"/>
      <c r="N17" s="158"/>
      <c r="O17" s="159"/>
      <c r="P17" s="145" t="s">
        <v>68</v>
      </c>
      <c r="Q17" s="146"/>
      <c r="R17" s="146"/>
      <c r="S17" s="146"/>
      <c r="T17" s="146"/>
      <c r="U17" s="146"/>
      <c r="V17" s="146"/>
      <c r="W17" s="147"/>
      <c r="X17" s="145" t="s">
        <v>124</v>
      </c>
      <c r="Y17" s="146"/>
      <c r="Z17" s="146"/>
      <c r="AA17" s="146"/>
      <c r="AB17" s="146"/>
      <c r="AC17" s="146"/>
      <c r="AD17" s="146"/>
      <c r="AE17" s="147"/>
      <c r="AF17" s="145"/>
      <c r="AG17" s="146"/>
      <c r="AH17" s="146"/>
      <c r="AI17" s="146"/>
      <c r="AJ17" s="146"/>
      <c r="AK17" s="146"/>
      <c r="AL17" s="146"/>
      <c r="AM17" s="146"/>
      <c r="AN17" s="163"/>
      <c r="AO17" s="143">
        <v>45674</v>
      </c>
      <c r="AP17" s="144"/>
      <c r="AQ17" s="119" t="s">
        <v>133</v>
      </c>
      <c r="AR17" s="121"/>
      <c r="AS17" s="119" t="s">
        <v>134</v>
      </c>
      <c r="AT17" s="142"/>
      <c r="AU17" s="143"/>
      <c r="AV17" s="144"/>
      <c r="AW17" s="119"/>
      <c r="AX17" s="121"/>
      <c r="AY17" s="119"/>
      <c r="AZ17" s="142"/>
      <c r="BA17" s="160"/>
      <c r="BB17" s="161"/>
      <c r="BC17" s="161"/>
      <c r="BD17" s="161"/>
      <c r="BE17" s="161"/>
      <c r="BF17" s="161"/>
      <c r="BG17" s="161"/>
      <c r="BH17" s="161"/>
      <c r="BI17" s="161"/>
      <c r="BJ17" s="161"/>
      <c r="BK17" s="161"/>
      <c r="BL17" s="162"/>
      <c r="BM17" s="40"/>
      <c r="BN17" s="40"/>
    </row>
    <row r="18" spans="1:66" ht="19.95" customHeight="1" x14ac:dyDescent="0.45">
      <c r="A18" s="37"/>
      <c r="B18" s="37"/>
      <c r="C18" s="85">
        <f t="shared" si="0"/>
        <v>9</v>
      </c>
      <c r="D18" s="154"/>
      <c r="E18" s="155"/>
      <c r="F18" s="155"/>
      <c r="G18" s="156"/>
      <c r="H18" s="154"/>
      <c r="I18" s="155"/>
      <c r="J18" s="155"/>
      <c r="K18" s="156"/>
      <c r="L18" s="157" t="s">
        <v>95</v>
      </c>
      <c r="M18" s="158"/>
      <c r="N18" s="158"/>
      <c r="O18" s="159"/>
      <c r="P18" s="145" t="s">
        <v>68</v>
      </c>
      <c r="Q18" s="146"/>
      <c r="R18" s="146"/>
      <c r="S18" s="146"/>
      <c r="T18" s="146"/>
      <c r="U18" s="146"/>
      <c r="V18" s="146"/>
      <c r="W18" s="147"/>
      <c r="X18" s="145" t="s">
        <v>124</v>
      </c>
      <c r="Y18" s="146"/>
      <c r="Z18" s="146"/>
      <c r="AA18" s="146"/>
      <c r="AB18" s="146"/>
      <c r="AC18" s="146"/>
      <c r="AD18" s="146"/>
      <c r="AE18" s="147"/>
      <c r="AF18" s="145"/>
      <c r="AG18" s="146"/>
      <c r="AH18" s="146"/>
      <c r="AI18" s="146"/>
      <c r="AJ18" s="146"/>
      <c r="AK18" s="146"/>
      <c r="AL18" s="146"/>
      <c r="AM18" s="146"/>
      <c r="AN18" s="163"/>
      <c r="AO18" s="143">
        <v>45674</v>
      </c>
      <c r="AP18" s="144"/>
      <c r="AQ18" s="119" t="s">
        <v>133</v>
      </c>
      <c r="AR18" s="121"/>
      <c r="AS18" s="119" t="s">
        <v>134</v>
      </c>
      <c r="AT18" s="142"/>
      <c r="AU18" s="143"/>
      <c r="AV18" s="144"/>
      <c r="AW18" s="119"/>
      <c r="AX18" s="121"/>
      <c r="AY18" s="119"/>
      <c r="AZ18" s="142"/>
      <c r="BA18" s="160"/>
      <c r="BB18" s="161"/>
      <c r="BC18" s="161"/>
      <c r="BD18" s="161"/>
      <c r="BE18" s="161"/>
      <c r="BF18" s="161"/>
      <c r="BG18" s="161"/>
      <c r="BH18" s="161"/>
      <c r="BI18" s="161"/>
      <c r="BJ18" s="161"/>
      <c r="BK18" s="161"/>
      <c r="BL18" s="162"/>
      <c r="BM18" s="40"/>
      <c r="BN18" s="40"/>
    </row>
    <row r="19" spans="1:66" ht="19.95" customHeight="1" x14ac:dyDescent="0.45">
      <c r="A19" s="37"/>
      <c r="B19" s="37"/>
      <c r="C19" s="85">
        <f t="shared" si="0"/>
        <v>10</v>
      </c>
      <c r="D19" s="154"/>
      <c r="E19" s="155"/>
      <c r="F19" s="155"/>
      <c r="G19" s="156"/>
      <c r="H19" s="154"/>
      <c r="I19" s="155"/>
      <c r="J19" s="155"/>
      <c r="K19" s="156"/>
      <c r="L19" s="157" t="s">
        <v>92</v>
      </c>
      <c r="M19" s="158"/>
      <c r="N19" s="158"/>
      <c r="O19" s="159"/>
      <c r="P19" s="145" t="s">
        <v>68</v>
      </c>
      <c r="Q19" s="146"/>
      <c r="R19" s="146"/>
      <c r="S19" s="146"/>
      <c r="T19" s="146"/>
      <c r="U19" s="146"/>
      <c r="V19" s="146"/>
      <c r="W19" s="147"/>
      <c r="X19" s="145" t="s">
        <v>124</v>
      </c>
      <c r="Y19" s="146"/>
      <c r="Z19" s="146"/>
      <c r="AA19" s="146"/>
      <c r="AB19" s="146"/>
      <c r="AC19" s="146"/>
      <c r="AD19" s="146"/>
      <c r="AE19" s="147"/>
      <c r="AF19" s="145"/>
      <c r="AG19" s="146"/>
      <c r="AH19" s="146"/>
      <c r="AI19" s="146"/>
      <c r="AJ19" s="146"/>
      <c r="AK19" s="146"/>
      <c r="AL19" s="146"/>
      <c r="AM19" s="146"/>
      <c r="AN19" s="163"/>
      <c r="AO19" s="143">
        <v>45674</v>
      </c>
      <c r="AP19" s="144"/>
      <c r="AQ19" s="119" t="s">
        <v>133</v>
      </c>
      <c r="AR19" s="121"/>
      <c r="AS19" s="119" t="s">
        <v>134</v>
      </c>
      <c r="AT19" s="142"/>
      <c r="AU19" s="143"/>
      <c r="AV19" s="144"/>
      <c r="AW19" s="119"/>
      <c r="AX19" s="121"/>
      <c r="AY19" s="119"/>
      <c r="AZ19" s="142"/>
      <c r="BA19" s="160"/>
      <c r="BB19" s="161"/>
      <c r="BC19" s="161"/>
      <c r="BD19" s="161"/>
      <c r="BE19" s="161"/>
      <c r="BF19" s="161"/>
      <c r="BG19" s="161"/>
      <c r="BH19" s="161"/>
      <c r="BI19" s="161"/>
      <c r="BJ19" s="161"/>
      <c r="BK19" s="161"/>
      <c r="BL19" s="162"/>
      <c r="BM19" s="40"/>
      <c r="BN19" s="40"/>
    </row>
    <row r="20" spans="1:66" ht="19.95" customHeight="1" x14ac:dyDescent="0.45">
      <c r="A20" s="37"/>
      <c r="B20" s="37"/>
      <c r="C20" s="85">
        <f t="shared" si="0"/>
        <v>11</v>
      </c>
      <c r="D20" s="154"/>
      <c r="E20" s="155"/>
      <c r="F20" s="155"/>
      <c r="G20" s="156"/>
      <c r="H20" s="154"/>
      <c r="I20" s="155"/>
      <c r="J20" s="155"/>
      <c r="K20" s="156"/>
      <c r="L20" s="157" t="s">
        <v>96</v>
      </c>
      <c r="M20" s="158"/>
      <c r="N20" s="158"/>
      <c r="O20" s="159"/>
      <c r="P20" s="145" t="s">
        <v>68</v>
      </c>
      <c r="Q20" s="146"/>
      <c r="R20" s="146"/>
      <c r="S20" s="146"/>
      <c r="T20" s="146"/>
      <c r="U20" s="146"/>
      <c r="V20" s="146"/>
      <c r="W20" s="147"/>
      <c r="X20" s="145" t="s">
        <v>124</v>
      </c>
      <c r="Y20" s="146"/>
      <c r="Z20" s="146"/>
      <c r="AA20" s="146"/>
      <c r="AB20" s="146"/>
      <c r="AC20" s="146"/>
      <c r="AD20" s="146"/>
      <c r="AE20" s="147"/>
      <c r="AF20" s="145"/>
      <c r="AG20" s="146"/>
      <c r="AH20" s="146"/>
      <c r="AI20" s="146"/>
      <c r="AJ20" s="146"/>
      <c r="AK20" s="146"/>
      <c r="AL20" s="146"/>
      <c r="AM20" s="146"/>
      <c r="AN20" s="163"/>
      <c r="AO20" s="143">
        <v>45674</v>
      </c>
      <c r="AP20" s="144"/>
      <c r="AQ20" s="119" t="s">
        <v>133</v>
      </c>
      <c r="AR20" s="121"/>
      <c r="AS20" s="119" t="s">
        <v>134</v>
      </c>
      <c r="AT20" s="142"/>
      <c r="AU20" s="143"/>
      <c r="AV20" s="144"/>
      <c r="AW20" s="119"/>
      <c r="AX20" s="121"/>
      <c r="AY20" s="119"/>
      <c r="AZ20" s="142"/>
      <c r="BA20" s="160"/>
      <c r="BB20" s="161"/>
      <c r="BC20" s="161"/>
      <c r="BD20" s="161"/>
      <c r="BE20" s="161"/>
      <c r="BF20" s="161"/>
      <c r="BG20" s="161"/>
      <c r="BH20" s="161"/>
      <c r="BI20" s="161"/>
      <c r="BJ20" s="161"/>
      <c r="BK20" s="161"/>
      <c r="BL20" s="162"/>
      <c r="BM20" s="40"/>
      <c r="BN20" s="40"/>
    </row>
    <row r="21" spans="1:66" ht="19.95" customHeight="1" x14ac:dyDescent="0.45">
      <c r="A21" s="37"/>
      <c r="B21" s="37"/>
      <c r="C21" s="85">
        <f t="shared" si="0"/>
        <v>12</v>
      </c>
      <c r="D21" s="154"/>
      <c r="E21" s="155"/>
      <c r="F21" s="155"/>
      <c r="G21" s="156"/>
      <c r="H21" s="154"/>
      <c r="I21" s="155"/>
      <c r="J21" s="155"/>
      <c r="K21" s="156"/>
      <c r="L21" s="157" t="s">
        <v>83</v>
      </c>
      <c r="M21" s="158"/>
      <c r="N21" s="158"/>
      <c r="O21" s="159"/>
      <c r="P21" s="145" t="s">
        <v>68</v>
      </c>
      <c r="Q21" s="146"/>
      <c r="R21" s="146"/>
      <c r="S21" s="146"/>
      <c r="T21" s="146"/>
      <c r="U21" s="146"/>
      <c r="V21" s="146"/>
      <c r="W21" s="147"/>
      <c r="X21" s="145" t="s">
        <v>124</v>
      </c>
      <c r="Y21" s="146"/>
      <c r="Z21" s="146"/>
      <c r="AA21" s="146"/>
      <c r="AB21" s="146"/>
      <c r="AC21" s="146"/>
      <c r="AD21" s="146"/>
      <c r="AE21" s="147"/>
      <c r="AF21" s="145"/>
      <c r="AG21" s="146"/>
      <c r="AH21" s="146"/>
      <c r="AI21" s="146"/>
      <c r="AJ21" s="146"/>
      <c r="AK21" s="146"/>
      <c r="AL21" s="146"/>
      <c r="AM21" s="146"/>
      <c r="AN21" s="163"/>
      <c r="AO21" s="143">
        <v>45674</v>
      </c>
      <c r="AP21" s="144"/>
      <c r="AQ21" s="119" t="s">
        <v>133</v>
      </c>
      <c r="AR21" s="121"/>
      <c r="AS21" s="119" t="s">
        <v>134</v>
      </c>
      <c r="AT21" s="142"/>
      <c r="AU21" s="143"/>
      <c r="AV21" s="144"/>
      <c r="AW21" s="119"/>
      <c r="AX21" s="121"/>
      <c r="AY21" s="119"/>
      <c r="AZ21" s="142"/>
      <c r="BA21" s="160"/>
      <c r="BB21" s="161"/>
      <c r="BC21" s="161"/>
      <c r="BD21" s="161"/>
      <c r="BE21" s="161"/>
      <c r="BF21" s="161"/>
      <c r="BG21" s="161"/>
      <c r="BH21" s="161"/>
      <c r="BI21" s="161"/>
      <c r="BJ21" s="161"/>
      <c r="BK21" s="161"/>
      <c r="BL21" s="162"/>
      <c r="BM21" s="40"/>
      <c r="BN21" s="40"/>
    </row>
    <row r="22" spans="1:66" ht="19.95" customHeight="1" x14ac:dyDescent="0.45">
      <c r="A22" s="37"/>
      <c r="B22" s="37"/>
      <c r="C22" s="85">
        <f t="shared" si="0"/>
        <v>13</v>
      </c>
      <c r="D22" s="154"/>
      <c r="E22" s="155"/>
      <c r="F22" s="155"/>
      <c r="G22" s="156"/>
      <c r="H22" s="154"/>
      <c r="I22" s="155"/>
      <c r="J22" s="155"/>
      <c r="K22" s="156"/>
      <c r="L22" s="157" t="s">
        <v>85</v>
      </c>
      <c r="M22" s="158"/>
      <c r="N22" s="158"/>
      <c r="O22" s="159"/>
      <c r="P22" s="145" t="s">
        <v>68</v>
      </c>
      <c r="Q22" s="146"/>
      <c r="R22" s="146"/>
      <c r="S22" s="146"/>
      <c r="T22" s="146"/>
      <c r="U22" s="146"/>
      <c r="V22" s="146"/>
      <c r="W22" s="147"/>
      <c r="X22" s="145" t="s">
        <v>124</v>
      </c>
      <c r="Y22" s="146"/>
      <c r="Z22" s="146"/>
      <c r="AA22" s="146"/>
      <c r="AB22" s="146"/>
      <c r="AC22" s="146"/>
      <c r="AD22" s="146"/>
      <c r="AE22" s="147"/>
      <c r="AF22" s="145"/>
      <c r="AG22" s="146"/>
      <c r="AH22" s="146"/>
      <c r="AI22" s="146"/>
      <c r="AJ22" s="146"/>
      <c r="AK22" s="146"/>
      <c r="AL22" s="146"/>
      <c r="AM22" s="146"/>
      <c r="AN22" s="163"/>
      <c r="AO22" s="143">
        <v>45674</v>
      </c>
      <c r="AP22" s="144"/>
      <c r="AQ22" s="119" t="s">
        <v>133</v>
      </c>
      <c r="AR22" s="121"/>
      <c r="AS22" s="119" t="s">
        <v>134</v>
      </c>
      <c r="AT22" s="142"/>
      <c r="AU22" s="143"/>
      <c r="AV22" s="144"/>
      <c r="AW22" s="119"/>
      <c r="AX22" s="121"/>
      <c r="AY22" s="119"/>
      <c r="AZ22" s="142"/>
      <c r="BA22" s="160"/>
      <c r="BB22" s="161"/>
      <c r="BC22" s="161"/>
      <c r="BD22" s="161"/>
      <c r="BE22" s="161"/>
      <c r="BF22" s="161"/>
      <c r="BG22" s="161"/>
      <c r="BH22" s="161"/>
      <c r="BI22" s="161"/>
      <c r="BJ22" s="161"/>
      <c r="BK22" s="161"/>
      <c r="BL22" s="162"/>
      <c r="BM22" s="40"/>
      <c r="BN22" s="40"/>
    </row>
    <row r="23" spans="1:66" ht="19.95" customHeight="1" x14ac:dyDescent="0.45">
      <c r="A23" s="37"/>
      <c r="B23" s="37"/>
      <c r="C23" s="85">
        <f t="shared" si="0"/>
        <v>14</v>
      </c>
      <c r="D23" s="154"/>
      <c r="E23" s="155"/>
      <c r="F23" s="155"/>
      <c r="G23" s="156"/>
      <c r="H23" s="154"/>
      <c r="I23" s="155"/>
      <c r="J23" s="155"/>
      <c r="K23" s="156"/>
      <c r="L23" s="157" t="s">
        <v>86</v>
      </c>
      <c r="M23" s="158"/>
      <c r="N23" s="158"/>
      <c r="O23" s="159"/>
      <c r="P23" s="145" t="s">
        <v>68</v>
      </c>
      <c r="Q23" s="146"/>
      <c r="R23" s="146"/>
      <c r="S23" s="146"/>
      <c r="T23" s="146"/>
      <c r="U23" s="146"/>
      <c r="V23" s="146"/>
      <c r="W23" s="147"/>
      <c r="X23" s="145" t="s">
        <v>124</v>
      </c>
      <c r="Y23" s="146"/>
      <c r="Z23" s="146"/>
      <c r="AA23" s="146"/>
      <c r="AB23" s="146"/>
      <c r="AC23" s="146"/>
      <c r="AD23" s="146"/>
      <c r="AE23" s="147"/>
      <c r="AF23" s="145"/>
      <c r="AG23" s="146"/>
      <c r="AH23" s="146"/>
      <c r="AI23" s="146"/>
      <c r="AJ23" s="146"/>
      <c r="AK23" s="146"/>
      <c r="AL23" s="146"/>
      <c r="AM23" s="146"/>
      <c r="AN23" s="163"/>
      <c r="AO23" s="143">
        <v>45674</v>
      </c>
      <c r="AP23" s="144"/>
      <c r="AQ23" s="119" t="s">
        <v>133</v>
      </c>
      <c r="AR23" s="121"/>
      <c r="AS23" s="119" t="s">
        <v>134</v>
      </c>
      <c r="AT23" s="142"/>
      <c r="AU23" s="143"/>
      <c r="AV23" s="144"/>
      <c r="AW23" s="119"/>
      <c r="AX23" s="121"/>
      <c r="AY23" s="119"/>
      <c r="AZ23" s="142"/>
      <c r="BA23" s="160"/>
      <c r="BB23" s="161"/>
      <c r="BC23" s="161"/>
      <c r="BD23" s="161"/>
      <c r="BE23" s="161"/>
      <c r="BF23" s="161"/>
      <c r="BG23" s="161"/>
      <c r="BH23" s="161"/>
      <c r="BI23" s="161"/>
      <c r="BJ23" s="161"/>
      <c r="BK23" s="161"/>
      <c r="BL23" s="162"/>
      <c r="BM23" s="40"/>
      <c r="BN23" s="40"/>
    </row>
    <row r="24" spans="1:66" ht="19.95" customHeight="1" x14ac:dyDescent="0.45">
      <c r="A24" s="37"/>
      <c r="B24" s="37"/>
      <c r="C24" s="85">
        <f t="shared" si="0"/>
        <v>15</v>
      </c>
      <c r="D24" s="154"/>
      <c r="E24" s="155"/>
      <c r="F24" s="155"/>
      <c r="G24" s="156"/>
      <c r="H24" s="154"/>
      <c r="I24" s="155"/>
      <c r="J24" s="155"/>
      <c r="K24" s="156"/>
      <c r="L24" s="157" t="s">
        <v>88</v>
      </c>
      <c r="M24" s="158"/>
      <c r="N24" s="158"/>
      <c r="O24" s="159"/>
      <c r="P24" s="145" t="s">
        <v>68</v>
      </c>
      <c r="Q24" s="146"/>
      <c r="R24" s="146"/>
      <c r="S24" s="146"/>
      <c r="T24" s="146"/>
      <c r="U24" s="146"/>
      <c r="V24" s="146"/>
      <c r="W24" s="147"/>
      <c r="X24" s="145" t="s">
        <v>124</v>
      </c>
      <c r="Y24" s="146"/>
      <c r="Z24" s="146"/>
      <c r="AA24" s="146"/>
      <c r="AB24" s="146"/>
      <c r="AC24" s="146"/>
      <c r="AD24" s="146"/>
      <c r="AE24" s="147"/>
      <c r="AF24" s="145"/>
      <c r="AG24" s="146"/>
      <c r="AH24" s="146"/>
      <c r="AI24" s="146"/>
      <c r="AJ24" s="146"/>
      <c r="AK24" s="146"/>
      <c r="AL24" s="146"/>
      <c r="AM24" s="146"/>
      <c r="AN24" s="163"/>
      <c r="AO24" s="143">
        <v>45674</v>
      </c>
      <c r="AP24" s="144"/>
      <c r="AQ24" s="119" t="s">
        <v>133</v>
      </c>
      <c r="AR24" s="121"/>
      <c r="AS24" s="119" t="s">
        <v>134</v>
      </c>
      <c r="AT24" s="142"/>
      <c r="AU24" s="143"/>
      <c r="AV24" s="144"/>
      <c r="AW24" s="119"/>
      <c r="AX24" s="121"/>
      <c r="AY24" s="119"/>
      <c r="AZ24" s="142"/>
      <c r="BA24" s="160"/>
      <c r="BB24" s="161"/>
      <c r="BC24" s="161"/>
      <c r="BD24" s="161"/>
      <c r="BE24" s="161"/>
      <c r="BF24" s="161"/>
      <c r="BG24" s="161"/>
      <c r="BH24" s="161"/>
      <c r="BI24" s="161"/>
      <c r="BJ24" s="161"/>
      <c r="BK24" s="161"/>
      <c r="BL24" s="162"/>
      <c r="BM24" s="40"/>
      <c r="BN24" s="40"/>
    </row>
    <row r="25" spans="1:66" ht="19.95" customHeight="1" x14ac:dyDescent="0.45">
      <c r="A25" s="37"/>
      <c r="B25" s="37"/>
      <c r="C25" s="85">
        <f t="shared" si="0"/>
        <v>16</v>
      </c>
      <c r="D25" s="70"/>
      <c r="E25" s="71"/>
      <c r="F25" s="71"/>
      <c r="G25" s="72"/>
      <c r="H25" s="70"/>
      <c r="I25" s="71"/>
      <c r="J25" s="71"/>
      <c r="K25" s="72"/>
      <c r="L25" s="157" t="s">
        <v>89</v>
      </c>
      <c r="M25" s="158"/>
      <c r="N25" s="158"/>
      <c r="O25" s="159"/>
      <c r="P25" s="145" t="s">
        <v>68</v>
      </c>
      <c r="Q25" s="146"/>
      <c r="R25" s="146"/>
      <c r="S25" s="146"/>
      <c r="T25" s="146"/>
      <c r="U25" s="146"/>
      <c r="V25" s="146"/>
      <c r="W25" s="147"/>
      <c r="X25" s="145" t="s">
        <v>124</v>
      </c>
      <c r="Y25" s="146"/>
      <c r="Z25" s="146"/>
      <c r="AA25" s="146"/>
      <c r="AB25" s="146"/>
      <c r="AC25" s="146"/>
      <c r="AD25" s="146"/>
      <c r="AE25" s="147"/>
      <c r="AF25" s="68"/>
      <c r="AG25" s="69"/>
      <c r="AH25" s="69"/>
      <c r="AI25" s="69"/>
      <c r="AJ25" s="69"/>
      <c r="AK25" s="69"/>
      <c r="AL25" s="69"/>
      <c r="AM25" s="69"/>
      <c r="AN25" s="77"/>
      <c r="AO25" s="143">
        <v>45674</v>
      </c>
      <c r="AP25" s="144"/>
      <c r="AQ25" s="119" t="s">
        <v>133</v>
      </c>
      <c r="AR25" s="121"/>
      <c r="AS25" s="119" t="s">
        <v>135</v>
      </c>
      <c r="AT25" s="142"/>
      <c r="AU25" s="143">
        <v>45705</v>
      </c>
      <c r="AV25" s="144"/>
      <c r="AW25" s="119" t="s">
        <v>144</v>
      </c>
      <c r="AX25" s="121"/>
      <c r="AY25" s="119" t="s">
        <v>134</v>
      </c>
      <c r="AZ25" s="142"/>
      <c r="BA25" s="74" t="s">
        <v>141</v>
      </c>
      <c r="BB25" s="75"/>
      <c r="BC25" s="75"/>
      <c r="BD25" s="75"/>
      <c r="BE25" s="75"/>
      <c r="BF25" s="75"/>
      <c r="BG25" s="75"/>
      <c r="BH25" s="75"/>
      <c r="BI25" s="75"/>
      <c r="BJ25" s="75"/>
      <c r="BK25" s="75"/>
      <c r="BL25" s="76"/>
      <c r="BM25" s="40"/>
      <c r="BN25" s="40"/>
    </row>
    <row r="26" spans="1:66" ht="19.95" customHeight="1" x14ac:dyDescent="0.45">
      <c r="A26" s="37"/>
      <c r="B26" s="37"/>
      <c r="C26" s="85">
        <f t="shared" si="0"/>
        <v>17</v>
      </c>
      <c r="D26" s="70"/>
      <c r="E26" s="71"/>
      <c r="F26" s="71"/>
      <c r="G26" s="72"/>
      <c r="H26" s="70"/>
      <c r="I26" s="71"/>
      <c r="J26" s="71"/>
      <c r="K26" s="72"/>
      <c r="L26" s="157" t="s">
        <v>97</v>
      </c>
      <c r="M26" s="158"/>
      <c r="N26" s="158"/>
      <c r="O26" s="159"/>
      <c r="P26" s="145" t="s">
        <v>68</v>
      </c>
      <c r="Q26" s="146"/>
      <c r="R26" s="146"/>
      <c r="S26" s="146"/>
      <c r="T26" s="146"/>
      <c r="U26" s="146"/>
      <c r="V26" s="146"/>
      <c r="W26" s="147"/>
      <c r="X26" s="145" t="s">
        <v>124</v>
      </c>
      <c r="Y26" s="146"/>
      <c r="Z26" s="146"/>
      <c r="AA26" s="146"/>
      <c r="AB26" s="146"/>
      <c r="AC26" s="146"/>
      <c r="AD26" s="146"/>
      <c r="AE26" s="147"/>
      <c r="AF26" s="68"/>
      <c r="AG26" s="69"/>
      <c r="AH26" s="69"/>
      <c r="AI26" s="69"/>
      <c r="AJ26" s="69"/>
      <c r="AK26" s="69"/>
      <c r="AL26" s="69"/>
      <c r="AM26" s="69"/>
      <c r="AN26" s="77"/>
      <c r="AO26" s="143">
        <v>45674</v>
      </c>
      <c r="AP26" s="144"/>
      <c r="AQ26" s="119" t="s">
        <v>133</v>
      </c>
      <c r="AR26" s="121"/>
      <c r="AS26" s="119" t="s">
        <v>135</v>
      </c>
      <c r="AT26" s="142"/>
      <c r="AU26" s="143">
        <v>45705</v>
      </c>
      <c r="AV26" s="144"/>
      <c r="AW26" s="119" t="s">
        <v>144</v>
      </c>
      <c r="AX26" s="121"/>
      <c r="AY26" s="119" t="s">
        <v>134</v>
      </c>
      <c r="AZ26" s="142"/>
      <c r="BA26" s="115" t="s">
        <v>141</v>
      </c>
      <c r="BB26" s="75"/>
      <c r="BC26" s="75"/>
      <c r="BD26" s="75"/>
      <c r="BE26" s="75"/>
      <c r="BF26" s="75"/>
      <c r="BG26" s="75"/>
      <c r="BH26" s="75"/>
      <c r="BI26" s="75"/>
      <c r="BJ26" s="75"/>
      <c r="BK26" s="75"/>
      <c r="BL26" s="76"/>
      <c r="BM26" s="40"/>
      <c r="BN26" s="40"/>
    </row>
    <row r="27" spans="1:66" ht="19.95" customHeight="1" x14ac:dyDescent="0.45">
      <c r="A27" s="37"/>
      <c r="B27" s="37"/>
      <c r="C27" s="85">
        <f t="shared" si="0"/>
        <v>18</v>
      </c>
      <c r="D27" s="70"/>
      <c r="E27" s="71"/>
      <c r="F27" s="71"/>
      <c r="G27" s="72"/>
      <c r="H27" s="70"/>
      <c r="I27" s="71"/>
      <c r="J27" s="71"/>
      <c r="K27" s="72"/>
      <c r="L27" s="157" t="s">
        <v>98</v>
      </c>
      <c r="M27" s="158"/>
      <c r="N27" s="158"/>
      <c r="O27" s="159"/>
      <c r="P27" s="145" t="s">
        <v>68</v>
      </c>
      <c r="Q27" s="146"/>
      <c r="R27" s="146"/>
      <c r="S27" s="146"/>
      <c r="T27" s="146"/>
      <c r="U27" s="146"/>
      <c r="V27" s="146"/>
      <c r="W27" s="147"/>
      <c r="X27" s="145" t="s">
        <v>124</v>
      </c>
      <c r="Y27" s="146"/>
      <c r="Z27" s="146"/>
      <c r="AA27" s="146"/>
      <c r="AB27" s="146"/>
      <c r="AC27" s="146"/>
      <c r="AD27" s="146"/>
      <c r="AE27" s="147"/>
      <c r="AF27" s="68"/>
      <c r="AG27" s="69"/>
      <c r="AH27" s="69"/>
      <c r="AI27" s="69"/>
      <c r="AJ27" s="69"/>
      <c r="AK27" s="69"/>
      <c r="AL27" s="69"/>
      <c r="AM27" s="69"/>
      <c r="AN27" s="77"/>
      <c r="AO27" s="143">
        <v>45674</v>
      </c>
      <c r="AP27" s="144"/>
      <c r="AQ27" s="119" t="s">
        <v>133</v>
      </c>
      <c r="AR27" s="121"/>
      <c r="AS27" s="119" t="s">
        <v>135</v>
      </c>
      <c r="AT27" s="142"/>
      <c r="AU27" s="143">
        <v>45705</v>
      </c>
      <c r="AV27" s="144"/>
      <c r="AW27" s="119" t="s">
        <v>144</v>
      </c>
      <c r="AX27" s="121"/>
      <c r="AY27" s="119" t="s">
        <v>134</v>
      </c>
      <c r="AZ27" s="142"/>
      <c r="BA27" s="74" t="s">
        <v>142</v>
      </c>
      <c r="BB27" s="75"/>
      <c r="BC27" s="75"/>
      <c r="BD27" s="75"/>
      <c r="BE27" s="75"/>
      <c r="BF27" s="75"/>
      <c r="BG27" s="75"/>
      <c r="BH27" s="75"/>
      <c r="BI27" s="75"/>
      <c r="BJ27" s="75"/>
      <c r="BK27" s="75"/>
      <c r="BL27" s="76"/>
      <c r="BM27" s="40"/>
      <c r="BN27" s="40"/>
    </row>
    <row r="28" spans="1:66" ht="19.95" customHeight="1" x14ac:dyDescent="0.45">
      <c r="A28" s="37"/>
      <c r="B28" s="37"/>
      <c r="C28" s="85">
        <f t="shared" si="0"/>
        <v>19</v>
      </c>
      <c r="D28" s="70"/>
      <c r="E28" s="71"/>
      <c r="F28" s="71"/>
      <c r="G28" s="72"/>
      <c r="H28" s="70"/>
      <c r="I28" s="71"/>
      <c r="J28" s="71"/>
      <c r="K28" s="72"/>
      <c r="L28" s="157" t="s">
        <v>143</v>
      </c>
      <c r="M28" s="158"/>
      <c r="N28" s="158"/>
      <c r="O28" s="159"/>
      <c r="P28" s="145" t="s">
        <v>68</v>
      </c>
      <c r="Q28" s="146"/>
      <c r="R28" s="146"/>
      <c r="S28" s="146"/>
      <c r="T28" s="146"/>
      <c r="U28" s="146"/>
      <c r="V28" s="146"/>
      <c r="W28" s="147"/>
      <c r="X28" s="145" t="s">
        <v>124</v>
      </c>
      <c r="Y28" s="146"/>
      <c r="Z28" s="146"/>
      <c r="AA28" s="146"/>
      <c r="AB28" s="146"/>
      <c r="AC28" s="146"/>
      <c r="AD28" s="146"/>
      <c r="AE28" s="147"/>
      <c r="AF28" s="68"/>
      <c r="AG28" s="69"/>
      <c r="AH28" s="69"/>
      <c r="AI28" s="69"/>
      <c r="AJ28" s="69"/>
      <c r="AK28" s="69"/>
      <c r="AL28" s="69"/>
      <c r="AM28" s="69"/>
      <c r="AN28" s="77"/>
      <c r="AO28" s="143">
        <v>45674</v>
      </c>
      <c r="AP28" s="144"/>
      <c r="AQ28" s="119" t="s">
        <v>133</v>
      </c>
      <c r="AR28" s="121"/>
      <c r="AS28" s="119" t="s">
        <v>134</v>
      </c>
      <c r="AT28" s="142"/>
      <c r="AU28" s="78"/>
      <c r="AV28" s="79"/>
      <c r="AW28" s="66"/>
      <c r="AX28" s="67"/>
      <c r="AY28" s="66"/>
      <c r="AZ28" s="73"/>
      <c r="BA28" s="74"/>
      <c r="BB28" s="75"/>
      <c r="BC28" s="75"/>
      <c r="BD28" s="75"/>
      <c r="BE28" s="75"/>
      <c r="BF28" s="75"/>
      <c r="BG28" s="75"/>
      <c r="BH28" s="75"/>
      <c r="BI28" s="75"/>
      <c r="BJ28" s="75"/>
      <c r="BK28" s="75"/>
      <c r="BL28" s="76"/>
      <c r="BM28" s="40"/>
      <c r="BN28" s="40"/>
    </row>
    <row r="29" spans="1:66" ht="19.95" customHeight="1" x14ac:dyDescent="0.45">
      <c r="A29" s="37"/>
      <c r="B29" s="37"/>
      <c r="C29" s="85">
        <f t="shared" si="0"/>
        <v>20</v>
      </c>
      <c r="D29" s="70"/>
      <c r="E29" s="71"/>
      <c r="F29" s="71"/>
      <c r="G29" s="72"/>
      <c r="H29" s="70"/>
      <c r="I29" s="71"/>
      <c r="J29" s="71"/>
      <c r="K29" s="72"/>
      <c r="L29" s="157" t="s">
        <v>94</v>
      </c>
      <c r="M29" s="158"/>
      <c r="N29" s="158"/>
      <c r="O29" s="159"/>
      <c r="P29" s="145" t="s">
        <v>68</v>
      </c>
      <c r="Q29" s="146"/>
      <c r="R29" s="146"/>
      <c r="S29" s="146"/>
      <c r="T29" s="146"/>
      <c r="U29" s="146"/>
      <c r="V29" s="146"/>
      <c r="W29" s="147"/>
      <c r="X29" s="145" t="s">
        <v>124</v>
      </c>
      <c r="Y29" s="146"/>
      <c r="Z29" s="146"/>
      <c r="AA29" s="146"/>
      <c r="AB29" s="146"/>
      <c r="AC29" s="146"/>
      <c r="AD29" s="146"/>
      <c r="AE29" s="147"/>
      <c r="AF29" s="68"/>
      <c r="AG29" s="69"/>
      <c r="AH29" s="69"/>
      <c r="AI29" s="69"/>
      <c r="AJ29" s="69"/>
      <c r="AK29" s="69"/>
      <c r="AL29" s="69"/>
      <c r="AM29" s="69"/>
      <c r="AN29" s="77"/>
      <c r="AO29" s="143">
        <v>45674</v>
      </c>
      <c r="AP29" s="144"/>
      <c r="AQ29" s="119" t="s">
        <v>133</v>
      </c>
      <c r="AR29" s="121"/>
      <c r="AS29" s="119" t="s">
        <v>134</v>
      </c>
      <c r="AT29" s="142"/>
      <c r="AU29" s="78"/>
      <c r="AV29" s="79"/>
      <c r="AW29" s="66"/>
      <c r="AX29" s="67"/>
      <c r="AY29" s="66"/>
      <c r="AZ29" s="73"/>
      <c r="BA29" s="74"/>
      <c r="BB29" s="75"/>
      <c r="BC29" s="75"/>
      <c r="BD29" s="75"/>
      <c r="BE29" s="75"/>
      <c r="BF29" s="75"/>
      <c r="BG29" s="75"/>
      <c r="BH29" s="75"/>
      <c r="BI29" s="75"/>
      <c r="BJ29" s="75"/>
      <c r="BK29" s="75"/>
      <c r="BL29" s="76"/>
      <c r="BM29" s="40"/>
      <c r="BN29" s="40"/>
    </row>
    <row r="30" spans="1:66" ht="19.95" customHeight="1" x14ac:dyDescent="0.45">
      <c r="A30" s="37"/>
      <c r="B30" s="37"/>
      <c r="C30" s="85">
        <f t="shared" si="0"/>
        <v>21</v>
      </c>
      <c r="D30" s="70"/>
      <c r="E30" s="71"/>
      <c r="F30" s="71"/>
      <c r="G30" s="72"/>
      <c r="H30" s="70"/>
      <c r="I30" s="71"/>
      <c r="J30" s="71"/>
      <c r="K30" s="72"/>
      <c r="L30" s="157" t="s">
        <v>95</v>
      </c>
      <c r="M30" s="158"/>
      <c r="N30" s="158"/>
      <c r="O30" s="159"/>
      <c r="P30" s="145" t="s">
        <v>68</v>
      </c>
      <c r="Q30" s="146"/>
      <c r="R30" s="146"/>
      <c r="S30" s="146"/>
      <c r="T30" s="146"/>
      <c r="U30" s="146"/>
      <c r="V30" s="146"/>
      <c r="W30" s="147"/>
      <c r="X30" s="145" t="s">
        <v>124</v>
      </c>
      <c r="Y30" s="146"/>
      <c r="Z30" s="146"/>
      <c r="AA30" s="146"/>
      <c r="AB30" s="146"/>
      <c r="AC30" s="146"/>
      <c r="AD30" s="146"/>
      <c r="AE30" s="147"/>
      <c r="AF30" s="68"/>
      <c r="AG30" s="69"/>
      <c r="AH30" s="69"/>
      <c r="AI30" s="69"/>
      <c r="AJ30" s="69"/>
      <c r="AK30" s="69"/>
      <c r="AL30" s="69"/>
      <c r="AM30" s="69"/>
      <c r="AN30" s="77"/>
      <c r="AO30" s="143">
        <v>45674</v>
      </c>
      <c r="AP30" s="144"/>
      <c r="AQ30" s="119" t="s">
        <v>133</v>
      </c>
      <c r="AR30" s="121"/>
      <c r="AS30" s="119" t="s">
        <v>134</v>
      </c>
      <c r="AT30" s="142"/>
      <c r="AU30" s="78"/>
      <c r="AV30" s="79"/>
      <c r="AW30" s="66"/>
      <c r="AX30" s="67"/>
      <c r="AY30" s="66"/>
      <c r="AZ30" s="73"/>
      <c r="BA30" s="74"/>
      <c r="BB30" s="75"/>
      <c r="BC30" s="75"/>
      <c r="BD30" s="75"/>
      <c r="BE30" s="75"/>
      <c r="BF30" s="75"/>
      <c r="BG30" s="75"/>
      <c r="BH30" s="75"/>
      <c r="BI30" s="75"/>
      <c r="BJ30" s="75"/>
      <c r="BK30" s="75"/>
      <c r="BL30" s="76"/>
      <c r="BM30" s="40"/>
      <c r="BN30" s="40"/>
    </row>
    <row r="31" spans="1:66" ht="19.95" customHeight="1" x14ac:dyDescent="0.45">
      <c r="A31" s="37"/>
      <c r="B31" s="37"/>
      <c r="C31" s="85">
        <f t="shared" si="0"/>
        <v>22</v>
      </c>
      <c r="D31" s="70"/>
      <c r="E31" s="71"/>
      <c r="F31" s="71"/>
      <c r="G31" s="72"/>
      <c r="H31" s="70"/>
      <c r="I31" s="71"/>
      <c r="J31" s="71"/>
      <c r="K31" s="72"/>
      <c r="L31" s="157" t="s">
        <v>99</v>
      </c>
      <c r="M31" s="158"/>
      <c r="N31" s="158"/>
      <c r="O31" s="159"/>
      <c r="P31" s="145" t="s">
        <v>68</v>
      </c>
      <c r="Q31" s="146"/>
      <c r="R31" s="146"/>
      <c r="S31" s="146"/>
      <c r="T31" s="146"/>
      <c r="U31" s="146"/>
      <c r="V31" s="146"/>
      <c r="W31" s="147"/>
      <c r="X31" s="145" t="s">
        <v>124</v>
      </c>
      <c r="Y31" s="146"/>
      <c r="Z31" s="146"/>
      <c r="AA31" s="146"/>
      <c r="AB31" s="146"/>
      <c r="AC31" s="146"/>
      <c r="AD31" s="146"/>
      <c r="AE31" s="147"/>
      <c r="AF31" s="68"/>
      <c r="AG31" s="69"/>
      <c r="AH31" s="69"/>
      <c r="AI31" s="69"/>
      <c r="AJ31" s="69"/>
      <c r="AK31" s="69"/>
      <c r="AL31" s="69"/>
      <c r="AM31" s="69"/>
      <c r="AN31" s="77"/>
      <c r="AO31" s="143">
        <v>45674</v>
      </c>
      <c r="AP31" s="144"/>
      <c r="AQ31" s="119" t="s">
        <v>133</v>
      </c>
      <c r="AR31" s="121"/>
      <c r="AS31" s="119" t="s">
        <v>134</v>
      </c>
      <c r="AT31" s="142"/>
      <c r="AU31" s="78"/>
      <c r="AV31" s="79"/>
      <c r="AW31" s="66"/>
      <c r="AX31" s="67"/>
      <c r="AY31" s="66"/>
      <c r="AZ31" s="73"/>
      <c r="BA31" s="74"/>
      <c r="BB31" s="75"/>
      <c r="BC31" s="75"/>
      <c r="BD31" s="75"/>
      <c r="BE31" s="75"/>
      <c r="BF31" s="75"/>
      <c r="BG31" s="75"/>
      <c r="BH31" s="75"/>
      <c r="BI31" s="75"/>
      <c r="BJ31" s="75"/>
      <c r="BK31" s="75"/>
      <c r="BL31" s="76"/>
      <c r="BM31" s="40"/>
      <c r="BN31" s="40"/>
    </row>
    <row r="32" spans="1:66" ht="19.95" customHeight="1" thickBot="1" x14ac:dyDescent="0.5">
      <c r="A32" s="37"/>
      <c r="B32" s="37"/>
      <c r="C32" s="85">
        <f t="shared" si="0"/>
        <v>23</v>
      </c>
      <c r="D32" s="70"/>
      <c r="E32" s="71"/>
      <c r="F32" s="71"/>
      <c r="G32" s="72"/>
      <c r="H32" s="70"/>
      <c r="I32" s="71"/>
      <c r="J32" s="71"/>
      <c r="K32" s="72"/>
      <c r="L32" s="157" t="s">
        <v>84</v>
      </c>
      <c r="M32" s="158"/>
      <c r="N32" s="158"/>
      <c r="O32" s="159"/>
      <c r="P32" s="145" t="s">
        <v>68</v>
      </c>
      <c r="Q32" s="146"/>
      <c r="R32" s="146"/>
      <c r="S32" s="146"/>
      <c r="T32" s="146"/>
      <c r="U32" s="146"/>
      <c r="V32" s="146"/>
      <c r="W32" s="147"/>
      <c r="X32" s="145" t="s">
        <v>124</v>
      </c>
      <c r="Y32" s="146"/>
      <c r="Z32" s="146"/>
      <c r="AA32" s="146"/>
      <c r="AB32" s="146"/>
      <c r="AC32" s="146"/>
      <c r="AD32" s="146"/>
      <c r="AE32" s="147"/>
      <c r="AF32" s="68"/>
      <c r="AG32" s="69"/>
      <c r="AH32" s="69"/>
      <c r="AI32" s="69"/>
      <c r="AJ32" s="69"/>
      <c r="AK32" s="69"/>
      <c r="AL32" s="69"/>
      <c r="AM32" s="69"/>
      <c r="AN32" s="77"/>
      <c r="AO32" s="143">
        <v>45674</v>
      </c>
      <c r="AP32" s="144"/>
      <c r="AQ32" s="119" t="s">
        <v>133</v>
      </c>
      <c r="AR32" s="121"/>
      <c r="AS32" s="119" t="s">
        <v>134</v>
      </c>
      <c r="AT32" s="142"/>
      <c r="AU32" s="78"/>
      <c r="AV32" s="79"/>
      <c r="AW32" s="66"/>
      <c r="AX32" s="67"/>
      <c r="AY32" s="66"/>
      <c r="AZ32" s="73"/>
      <c r="BA32" s="74"/>
      <c r="BB32" s="75"/>
      <c r="BC32" s="75"/>
      <c r="BD32" s="75"/>
      <c r="BE32" s="75"/>
      <c r="BF32" s="75"/>
      <c r="BG32" s="75"/>
      <c r="BH32" s="75"/>
      <c r="BI32" s="75"/>
      <c r="BJ32" s="75"/>
      <c r="BK32" s="75"/>
      <c r="BL32" s="76"/>
      <c r="BM32" s="40"/>
      <c r="BN32" s="40"/>
    </row>
    <row r="33" spans="1:66" ht="20.100000000000001" customHeight="1" thickTop="1" thickBot="1" x14ac:dyDescent="0.5">
      <c r="A33" s="37"/>
      <c r="B33" s="36"/>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6"/>
      <c r="BN33" s="40"/>
    </row>
    <row r="34" spans="1:66" ht="5.0999999999999996" customHeight="1" thickTop="1" x14ac:dyDescent="0.45">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row>
    <row r="35" spans="1:66" ht="20.100000000000001" customHeight="1" x14ac:dyDescent="0.45">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row>
  </sheetData>
  <mergeCells count="281">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D11:G11"/>
    <mergeCell ref="H11:K11"/>
    <mergeCell ref="P11:W11"/>
    <mergeCell ref="X11:AE11"/>
    <mergeCell ref="AF11:AN11"/>
    <mergeCell ref="BA11:BL11"/>
    <mergeCell ref="D10:G10"/>
    <mergeCell ref="H10:K10"/>
    <mergeCell ref="L10:O13"/>
    <mergeCell ref="P10:W10"/>
    <mergeCell ref="X10:AE10"/>
    <mergeCell ref="AF10:AN10"/>
    <mergeCell ref="AO10:AP10"/>
    <mergeCell ref="AQ10:AR10"/>
    <mergeCell ref="AS10:AT10"/>
    <mergeCell ref="D12:G12"/>
    <mergeCell ref="H12:K12"/>
    <mergeCell ref="P12:W12"/>
    <mergeCell ref="X12:AE12"/>
    <mergeCell ref="AF12:AN12"/>
    <mergeCell ref="AO12:AP12"/>
    <mergeCell ref="AQ12:AR12"/>
    <mergeCell ref="AS12:AT12"/>
    <mergeCell ref="AO11:AP11"/>
    <mergeCell ref="AQ11:AR11"/>
    <mergeCell ref="AS11:AT11"/>
    <mergeCell ref="AU11:AV11"/>
    <mergeCell ref="AW11:AX11"/>
    <mergeCell ref="AY11:AZ11"/>
    <mergeCell ref="AW12:AX12"/>
    <mergeCell ref="AY12:AZ12"/>
    <mergeCell ref="AU10:AV10"/>
    <mergeCell ref="AW10:AX10"/>
    <mergeCell ref="AY10:AZ10"/>
    <mergeCell ref="BA12:BL12"/>
    <mergeCell ref="D13:G13"/>
    <mergeCell ref="H13:K13"/>
    <mergeCell ref="P13:W13"/>
    <mergeCell ref="X13:AE13"/>
    <mergeCell ref="AF13:AN13"/>
    <mergeCell ref="AO13:AP13"/>
    <mergeCell ref="AQ13:AR13"/>
    <mergeCell ref="AS13:AT13"/>
    <mergeCell ref="AU13:AV13"/>
    <mergeCell ref="AW13:AX13"/>
    <mergeCell ref="AY13:AZ13"/>
    <mergeCell ref="BA13:BL13"/>
    <mergeCell ref="AU12:AV12"/>
    <mergeCell ref="AY14:AZ14"/>
    <mergeCell ref="BA14:BL14"/>
    <mergeCell ref="L15:O15"/>
    <mergeCell ref="P15:W15"/>
    <mergeCell ref="X15:AE15"/>
    <mergeCell ref="AF15:AN15"/>
    <mergeCell ref="AO15:AP15"/>
    <mergeCell ref="AQ15:AR15"/>
    <mergeCell ref="AS15:AT15"/>
    <mergeCell ref="AU15:AV15"/>
    <mergeCell ref="AF14:AN14"/>
    <mergeCell ref="AO14:AP14"/>
    <mergeCell ref="AQ14:AR14"/>
    <mergeCell ref="AS14:AT14"/>
    <mergeCell ref="AU14:AV14"/>
    <mergeCell ref="AW14:AX14"/>
    <mergeCell ref="AW15:AX15"/>
    <mergeCell ref="AY15:AZ15"/>
    <mergeCell ref="BA15:BL15"/>
    <mergeCell ref="AF16:AN16"/>
    <mergeCell ref="AO16:AP16"/>
    <mergeCell ref="AQ16:AR16"/>
    <mergeCell ref="AS16:AT16"/>
    <mergeCell ref="AU16:AV16"/>
    <mergeCell ref="AW16:AX16"/>
    <mergeCell ref="D14:G14"/>
    <mergeCell ref="H14:K14"/>
    <mergeCell ref="L14:O14"/>
    <mergeCell ref="P14:W14"/>
    <mergeCell ref="X14:AE14"/>
    <mergeCell ref="P18:W18"/>
    <mergeCell ref="X18:AE18"/>
    <mergeCell ref="AF18:AN18"/>
    <mergeCell ref="AO18:AP18"/>
    <mergeCell ref="AQ18:AR18"/>
    <mergeCell ref="AS18:AT18"/>
    <mergeCell ref="AY16:AZ16"/>
    <mergeCell ref="BA16:BL16"/>
    <mergeCell ref="D17:G17"/>
    <mergeCell ref="H17:K17"/>
    <mergeCell ref="L17:O17"/>
    <mergeCell ref="P17:W17"/>
    <mergeCell ref="X17:AE17"/>
    <mergeCell ref="AF17:AN17"/>
    <mergeCell ref="BA17:BL17"/>
    <mergeCell ref="AO17:AP17"/>
    <mergeCell ref="AQ17:AR17"/>
    <mergeCell ref="AS17:AT17"/>
    <mergeCell ref="AU17:AV17"/>
    <mergeCell ref="AW17:AX17"/>
    <mergeCell ref="AY17:AZ17"/>
    <mergeCell ref="L16:O16"/>
    <mergeCell ref="P16:W16"/>
    <mergeCell ref="X16:AE16"/>
    <mergeCell ref="AF20:AN20"/>
    <mergeCell ref="AO20:AP20"/>
    <mergeCell ref="AQ20:AR20"/>
    <mergeCell ref="AS20:AT20"/>
    <mergeCell ref="AU18:AV18"/>
    <mergeCell ref="AW18:AX18"/>
    <mergeCell ref="AY18:AZ18"/>
    <mergeCell ref="BA18:BL18"/>
    <mergeCell ref="D19:G19"/>
    <mergeCell ref="H19:K19"/>
    <mergeCell ref="L19:O19"/>
    <mergeCell ref="P19:W19"/>
    <mergeCell ref="X19:AE19"/>
    <mergeCell ref="AF19:AN19"/>
    <mergeCell ref="BA19:BL19"/>
    <mergeCell ref="AO19:AP19"/>
    <mergeCell ref="AQ19:AR19"/>
    <mergeCell ref="AS19:AT19"/>
    <mergeCell ref="AU19:AV19"/>
    <mergeCell ref="AW19:AX19"/>
    <mergeCell ref="AY19:AZ19"/>
    <mergeCell ref="D18:G18"/>
    <mergeCell ref="H18:K18"/>
    <mergeCell ref="L18:O18"/>
    <mergeCell ref="AQ22:AR22"/>
    <mergeCell ref="AS22:AT22"/>
    <mergeCell ref="AU20:AV20"/>
    <mergeCell ref="AW20:AX20"/>
    <mergeCell ref="AY20:AZ20"/>
    <mergeCell ref="BA20:BL20"/>
    <mergeCell ref="D21:G21"/>
    <mergeCell ref="H21:K21"/>
    <mergeCell ref="L21:O21"/>
    <mergeCell ref="P21:W21"/>
    <mergeCell ref="X21:AE21"/>
    <mergeCell ref="AF21:AN21"/>
    <mergeCell ref="BA21:BL21"/>
    <mergeCell ref="AO21:AP21"/>
    <mergeCell ref="AQ21:AR21"/>
    <mergeCell ref="AS21:AT21"/>
    <mergeCell ref="AU21:AV21"/>
    <mergeCell ref="AW21:AX21"/>
    <mergeCell ref="AY21:AZ21"/>
    <mergeCell ref="D20:G20"/>
    <mergeCell ref="H20:K20"/>
    <mergeCell ref="L20:O20"/>
    <mergeCell ref="P20:W20"/>
    <mergeCell ref="X20:AE20"/>
    <mergeCell ref="AU22:AV22"/>
    <mergeCell ref="AW22:AX22"/>
    <mergeCell ref="AY22:AZ22"/>
    <mergeCell ref="BA22:BL22"/>
    <mergeCell ref="D23:G23"/>
    <mergeCell ref="H23:K23"/>
    <mergeCell ref="L23:O23"/>
    <mergeCell ref="P23:W23"/>
    <mergeCell ref="X23:AE23"/>
    <mergeCell ref="AF23:AN23"/>
    <mergeCell ref="BA23:BL23"/>
    <mergeCell ref="AO23:AP23"/>
    <mergeCell ref="AQ23:AR23"/>
    <mergeCell ref="AS23:AT23"/>
    <mergeCell ref="AU23:AV23"/>
    <mergeCell ref="AW23:AX23"/>
    <mergeCell ref="AY23:AZ23"/>
    <mergeCell ref="D22:G22"/>
    <mergeCell ref="H22:K22"/>
    <mergeCell ref="L22:O22"/>
    <mergeCell ref="P22:W22"/>
    <mergeCell ref="X22:AE22"/>
    <mergeCell ref="AF22:AN22"/>
    <mergeCell ref="AO22:AP22"/>
    <mergeCell ref="AU24:AV24"/>
    <mergeCell ref="AW24:AX24"/>
    <mergeCell ref="AY24:AZ24"/>
    <mergeCell ref="BA24:BL24"/>
    <mergeCell ref="L25:O25"/>
    <mergeCell ref="L26:O26"/>
    <mergeCell ref="L27:O27"/>
    <mergeCell ref="L28:O28"/>
    <mergeCell ref="L31:O31"/>
    <mergeCell ref="AS30:AT30"/>
    <mergeCell ref="AS31:AT31"/>
    <mergeCell ref="AO24:AP24"/>
    <mergeCell ref="AQ24:AR24"/>
    <mergeCell ref="AS24:AT24"/>
    <mergeCell ref="AU25:AV25"/>
    <mergeCell ref="AW25:AX25"/>
    <mergeCell ref="AY25:AZ25"/>
    <mergeCell ref="AU26:AV26"/>
    <mergeCell ref="AW26:AX26"/>
    <mergeCell ref="AY26:AZ26"/>
    <mergeCell ref="AU27:AV27"/>
    <mergeCell ref="AW27:AX27"/>
    <mergeCell ref="AY27:AZ27"/>
    <mergeCell ref="X31:AE31"/>
    <mergeCell ref="L32:O32"/>
    <mergeCell ref="L29:O29"/>
    <mergeCell ref="L30:O30"/>
    <mergeCell ref="D24:G24"/>
    <mergeCell ref="H24:K24"/>
    <mergeCell ref="L24:O24"/>
    <mergeCell ref="P24:W24"/>
    <mergeCell ref="X24:AE24"/>
    <mergeCell ref="AF24:AN24"/>
    <mergeCell ref="P25:W25"/>
    <mergeCell ref="X25:AE25"/>
    <mergeCell ref="P26:W26"/>
    <mergeCell ref="X26:AE26"/>
    <mergeCell ref="P27:W27"/>
    <mergeCell ref="X27:AE27"/>
    <mergeCell ref="P28:W28"/>
    <mergeCell ref="X28:AE28"/>
    <mergeCell ref="P32:W32"/>
    <mergeCell ref="X32:AE32"/>
    <mergeCell ref="P29:W29"/>
    <mergeCell ref="X29:AE29"/>
    <mergeCell ref="P30:W30"/>
    <mergeCell ref="X30:AE30"/>
    <mergeCell ref="P31:W31"/>
    <mergeCell ref="AS32:AT32"/>
    <mergeCell ref="AO25:AP25"/>
    <mergeCell ref="AO26:AP26"/>
    <mergeCell ref="AO27:AP27"/>
    <mergeCell ref="AO28:AP28"/>
    <mergeCell ref="AO29:AP29"/>
    <mergeCell ref="AO30:AP30"/>
    <mergeCell ref="AO31:AP31"/>
    <mergeCell ref="AO32:AP32"/>
    <mergeCell ref="AQ25:AR25"/>
    <mergeCell ref="AQ26:AR26"/>
    <mergeCell ref="AQ27:AR27"/>
    <mergeCell ref="AQ28:AR28"/>
    <mergeCell ref="AQ29:AR29"/>
    <mergeCell ref="AQ30:AR30"/>
    <mergeCell ref="AQ31:AR31"/>
    <mergeCell ref="AQ32:AR32"/>
    <mergeCell ref="AS25:AT25"/>
    <mergeCell ref="AS26:AT26"/>
    <mergeCell ref="AS27:AT27"/>
    <mergeCell ref="AS28:AT28"/>
    <mergeCell ref="AS29:AT29"/>
  </mergeCells>
  <phoneticPr fontId="2"/>
  <conditionalFormatting sqref="AY10:AY24 AS10:AS27 AY28:AY32">
    <cfRule type="cellIs" dxfId="9" priority="7" operator="equal">
      <formula>"OK"</formula>
    </cfRule>
    <cfRule type="cellIs" dxfId="8" priority="8" operator="equal">
      <formula>"NG"</formula>
    </cfRule>
  </conditionalFormatting>
  <conditionalFormatting sqref="AS28:AS32">
    <cfRule type="cellIs" dxfId="7" priority="3" operator="equal">
      <formula>"OK"</formula>
    </cfRule>
    <cfRule type="cellIs" dxfId="6" priority="4" operator="equal">
      <formula>"NG"</formula>
    </cfRule>
  </conditionalFormatting>
  <conditionalFormatting sqref="AY25:AY27">
    <cfRule type="cellIs" dxfId="5" priority="1" operator="equal">
      <formula>"OK"</formula>
    </cfRule>
    <cfRule type="cellIs" dxfId="4" priority="2" operator="equal">
      <formula>"NG"</formula>
    </cfRule>
  </conditionalFormatting>
  <dataValidations count="1">
    <dataValidation type="list" allowBlank="1" showInputMessage="1" showErrorMessage="1" sqref="AS10:AS32 AY10:AY32">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26"/>
  <sheetViews>
    <sheetView showGridLines="0" view="pageBreakPreview" zoomScale="80" zoomScaleNormal="100" zoomScaleSheetLayoutView="80" workbookViewId="0">
      <pane ySplit="9" topLeftCell="A10" activePane="bottomLeft" state="frozen"/>
      <selection pane="bottomLeft"/>
    </sheetView>
  </sheetViews>
  <sheetFormatPr defaultColWidth="3.59765625" defaultRowHeight="20.100000000000001" customHeight="1" x14ac:dyDescent="0.45"/>
  <cols>
    <col min="1" max="1" width="1.09765625" style="35" customWidth="1"/>
    <col min="2" max="14" width="3.69921875" style="35" customWidth="1"/>
    <col min="15" max="15" width="3.796875" style="35" customWidth="1"/>
    <col min="16" max="65" width="3.69921875" style="35" customWidth="1"/>
    <col min="66" max="66" width="1.09765625" style="35" customWidth="1"/>
    <col min="67" max="16384" width="3.59765625" style="35"/>
  </cols>
  <sheetData>
    <row r="1" spans="1:66" ht="5.25" customHeight="1" thickBot="1" x14ac:dyDescent="0.5">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row>
    <row r="2" spans="1:66" ht="20.100000000000001" customHeight="1" thickTop="1" x14ac:dyDescent="0.45">
      <c r="A2" s="37"/>
      <c r="B2" s="186" t="s">
        <v>44</v>
      </c>
      <c r="C2" s="137"/>
      <c r="D2" s="137"/>
      <c r="E2" s="137"/>
      <c r="F2" s="137"/>
      <c r="G2" s="138"/>
      <c r="H2" s="136" t="s">
        <v>45</v>
      </c>
      <c r="I2" s="137"/>
      <c r="J2" s="137"/>
      <c r="K2" s="138"/>
      <c r="L2" s="136" t="s">
        <v>46</v>
      </c>
      <c r="M2" s="137"/>
      <c r="N2" s="137"/>
      <c r="O2" s="137"/>
      <c r="P2" s="137"/>
      <c r="Q2" s="138"/>
      <c r="R2" s="136" t="s">
        <v>47</v>
      </c>
      <c r="S2" s="137"/>
      <c r="T2" s="137"/>
      <c r="U2" s="137"/>
      <c r="V2" s="137"/>
      <c r="W2" s="138"/>
      <c r="X2" s="136" t="s">
        <v>48</v>
      </c>
      <c r="Y2" s="137"/>
      <c r="Z2" s="137"/>
      <c r="AA2" s="137"/>
      <c r="AB2" s="137"/>
      <c r="AC2" s="137"/>
      <c r="AD2" s="137"/>
      <c r="AE2" s="137"/>
      <c r="AF2" s="137"/>
      <c r="AG2" s="137"/>
      <c r="AH2" s="137"/>
      <c r="AI2" s="137"/>
      <c r="AJ2" s="138"/>
      <c r="AK2" s="136" t="s">
        <v>49</v>
      </c>
      <c r="AL2" s="137"/>
      <c r="AM2" s="137"/>
      <c r="AN2" s="137"/>
      <c r="AO2" s="137"/>
      <c r="AP2" s="137"/>
      <c r="AQ2" s="137"/>
      <c r="AR2" s="137"/>
      <c r="AS2" s="137"/>
      <c r="AT2" s="137"/>
      <c r="AU2" s="137"/>
      <c r="AV2" s="137"/>
      <c r="AW2" s="138"/>
      <c r="AX2" s="124" t="s">
        <v>5</v>
      </c>
      <c r="AY2" s="124"/>
      <c r="AZ2" s="124"/>
      <c r="BA2" s="124"/>
      <c r="BB2" s="124" t="s">
        <v>4</v>
      </c>
      <c r="BC2" s="124"/>
      <c r="BD2" s="124"/>
      <c r="BE2" s="124"/>
      <c r="BF2" s="124" t="s">
        <v>6</v>
      </c>
      <c r="BG2" s="124"/>
      <c r="BH2" s="124"/>
      <c r="BI2" s="124"/>
      <c r="BJ2" s="124" t="s">
        <v>7</v>
      </c>
      <c r="BK2" s="124"/>
      <c r="BL2" s="124"/>
      <c r="BM2" s="125"/>
      <c r="BN2" s="40"/>
    </row>
    <row r="3" spans="1:66" ht="20.100000000000001" customHeight="1" x14ac:dyDescent="0.45">
      <c r="A3" s="37"/>
      <c r="B3" s="187" t="str">
        <f>変更履歴!B3</f>
        <v>受発注システム</v>
      </c>
      <c r="C3" s="131"/>
      <c r="D3" s="131"/>
      <c r="E3" s="131"/>
      <c r="F3" s="131"/>
      <c r="G3" s="132"/>
      <c r="H3" s="130" t="str">
        <f ca="1">変更履歴!H3</f>
        <v>経費</v>
      </c>
      <c r="I3" s="131"/>
      <c r="J3" s="131"/>
      <c r="K3" s="132"/>
      <c r="L3" s="130" t="str">
        <f>変更履歴!L3</f>
        <v>運用自動化</v>
      </c>
      <c r="M3" s="131"/>
      <c r="N3" s="131"/>
      <c r="O3" s="131"/>
      <c r="P3" s="131"/>
      <c r="Q3" s="132"/>
      <c r="R3" s="130" t="str">
        <f ca="1">変更履歴!R3</f>
        <v>結合試験項目</v>
      </c>
      <c r="S3" s="131"/>
      <c r="T3" s="131"/>
      <c r="U3" s="131"/>
      <c r="V3" s="131"/>
      <c r="W3" s="132"/>
      <c r="X3" s="130" t="str">
        <f ca="1">変更履歴!X3</f>
        <v>経費_経費取込処理_結合試験項目</v>
      </c>
      <c r="Y3" s="131"/>
      <c r="Z3" s="131"/>
      <c r="AA3" s="131"/>
      <c r="AB3" s="131"/>
      <c r="AC3" s="131"/>
      <c r="AD3" s="131"/>
      <c r="AE3" s="131"/>
      <c r="AF3" s="131"/>
      <c r="AG3" s="131"/>
      <c r="AH3" s="131"/>
      <c r="AI3" s="131"/>
      <c r="AJ3" s="132"/>
      <c r="AK3" s="130" t="str">
        <f ca="1">変更履歴!AK3</f>
        <v>経費取込処理</v>
      </c>
      <c r="AL3" s="131"/>
      <c r="AM3" s="131"/>
      <c r="AN3" s="131"/>
      <c r="AO3" s="131"/>
      <c r="AP3" s="131"/>
      <c r="AQ3" s="131"/>
      <c r="AR3" s="131"/>
      <c r="AS3" s="131"/>
      <c r="AT3" s="131"/>
      <c r="AU3" s="131"/>
      <c r="AV3" s="131"/>
      <c r="AW3" s="132"/>
      <c r="AX3" s="126">
        <f>変更履歴!AX3</f>
        <v>45628</v>
      </c>
      <c r="AY3" s="126"/>
      <c r="AZ3" s="126"/>
      <c r="BA3" s="126"/>
      <c r="BB3" s="127" t="str">
        <f>変更履歴!BB3</f>
        <v>児玉</v>
      </c>
      <c r="BC3" s="127"/>
      <c r="BD3" s="127"/>
      <c r="BE3" s="127"/>
      <c r="BF3" s="126">
        <f>変更履歴!BF3</f>
        <v>45628</v>
      </c>
      <c r="BG3" s="126"/>
      <c r="BH3" s="126"/>
      <c r="BI3" s="126"/>
      <c r="BJ3" s="127" t="str">
        <f>変更履歴!BJ3</f>
        <v>児玉</v>
      </c>
      <c r="BK3" s="127"/>
      <c r="BL3" s="127"/>
      <c r="BM3" s="129"/>
      <c r="BN3" s="40"/>
    </row>
    <row r="4" spans="1:66" ht="20.100000000000001" customHeight="1" thickBot="1" x14ac:dyDescent="0.5">
      <c r="A4" s="37"/>
      <c r="B4" s="188"/>
      <c r="C4" s="134"/>
      <c r="D4" s="134"/>
      <c r="E4" s="134"/>
      <c r="F4" s="134"/>
      <c r="G4" s="135"/>
      <c r="H4" s="133"/>
      <c r="I4" s="134"/>
      <c r="J4" s="134"/>
      <c r="K4" s="135"/>
      <c r="L4" s="133"/>
      <c r="M4" s="134"/>
      <c r="N4" s="134"/>
      <c r="O4" s="134"/>
      <c r="P4" s="134"/>
      <c r="Q4" s="135"/>
      <c r="R4" s="133"/>
      <c r="S4" s="134"/>
      <c r="T4" s="134"/>
      <c r="U4" s="134"/>
      <c r="V4" s="134"/>
      <c r="W4" s="135"/>
      <c r="X4" s="133"/>
      <c r="Y4" s="134"/>
      <c r="Z4" s="134"/>
      <c r="AA4" s="134"/>
      <c r="AB4" s="134"/>
      <c r="AC4" s="134"/>
      <c r="AD4" s="134"/>
      <c r="AE4" s="134"/>
      <c r="AF4" s="134"/>
      <c r="AG4" s="134"/>
      <c r="AH4" s="134"/>
      <c r="AI4" s="134"/>
      <c r="AJ4" s="135"/>
      <c r="AK4" s="133"/>
      <c r="AL4" s="134"/>
      <c r="AM4" s="134"/>
      <c r="AN4" s="134"/>
      <c r="AO4" s="134"/>
      <c r="AP4" s="134"/>
      <c r="AQ4" s="134"/>
      <c r="AR4" s="134"/>
      <c r="AS4" s="134"/>
      <c r="AT4" s="134"/>
      <c r="AU4" s="134"/>
      <c r="AV4" s="134"/>
      <c r="AW4" s="135"/>
      <c r="AX4" s="173"/>
      <c r="AY4" s="173"/>
      <c r="AZ4" s="173"/>
      <c r="BA4" s="173"/>
      <c r="BB4" s="128"/>
      <c r="BC4" s="128"/>
      <c r="BD4" s="128"/>
      <c r="BE4" s="128"/>
      <c r="BF4" s="173"/>
      <c r="BG4" s="173"/>
      <c r="BH4" s="173"/>
      <c r="BI4" s="173"/>
      <c r="BJ4" s="128"/>
      <c r="BK4" s="128"/>
      <c r="BL4" s="128"/>
      <c r="BM4" s="130"/>
      <c r="BN4" s="40"/>
    </row>
    <row r="5" spans="1:66" ht="5.25" customHeight="1" thickTop="1" thickBot="1" x14ac:dyDescent="0.5">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row>
    <row r="6" spans="1:66" ht="8.4" customHeight="1" thickTop="1" thickBot="1" x14ac:dyDescent="0.5">
      <c r="A6" s="37"/>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40"/>
    </row>
    <row r="7" spans="1:66" ht="13.8" thickTop="1" thickBot="1" x14ac:dyDescent="0.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E7" s="174" t="s">
        <v>35</v>
      </c>
      <c r="BF7" s="175"/>
      <c r="BG7" s="178" t="s">
        <v>34</v>
      </c>
      <c r="BH7" s="178"/>
      <c r="BI7" s="179" t="s">
        <v>36</v>
      </c>
      <c r="BJ7" s="180"/>
      <c r="BK7" s="179" t="s">
        <v>37</v>
      </c>
      <c r="BL7" s="166"/>
      <c r="BM7" s="36"/>
      <c r="BN7" s="40"/>
    </row>
    <row r="8" spans="1:66" ht="13.8" thickTop="1" thickBot="1" x14ac:dyDescent="0.5">
      <c r="A8" s="37"/>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L8" s="36"/>
      <c r="AM8" s="36"/>
      <c r="AO8" s="164" t="s">
        <v>38</v>
      </c>
      <c r="AP8" s="165"/>
      <c r="AQ8" s="165"/>
      <c r="AR8" s="165"/>
      <c r="AS8" s="165"/>
      <c r="AT8" s="166"/>
      <c r="AU8" s="164" t="s">
        <v>39</v>
      </c>
      <c r="AV8" s="165"/>
      <c r="AW8" s="165"/>
      <c r="AX8" s="165"/>
      <c r="AY8" s="165"/>
      <c r="AZ8" s="166"/>
      <c r="BE8" s="176"/>
      <c r="BF8" s="177"/>
      <c r="BG8" s="167">
        <f>COUNTA(C10:C23)</f>
        <v>14</v>
      </c>
      <c r="BH8" s="168"/>
      <c r="BI8" s="167">
        <f>COUNTIF(AS10:AT23,"OK")+COUNTIF(AY10:AZ23,"OK")</f>
        <v>14</v>
      </c>
      <c r="BJ8" s="168"/>
      <c r="BK8" s="167">
        <f>BG8-BI8</f>
        <v>0</v>
      </c>
      <c r="BL8" s="169"/>
      <c r="BM8" s="36"/>
      <c r="BN8" s="40"/>
    </row>
    <row r="9" spans="1:66" ht="20.100000000000001" customHeight="1" thickTop="1" x14ac:dyDescent="0.45">
      <c r="A9" s="37"/>
      <c r="B9" s="36"/>
      <c r="C9" s="42" t="s">
        <v>14</v>
      </c>
      <c r="D9" s="44" t="s">
        <v>23</v>
      </c>
      <c r="E9" s="45"/>
      <c r="F9" s="45"/>
      <c r="G9" s="45"/>
      <c r="H9" s="44" t="s">
        <v>24</v>
      </c>
      <c r="I9" s="45"/>
      <c r="J9" s="45"/>
      <c r="K9" s="46"/>
      <c r="L9" s="44" t="s">
        <v>25</v>
      </c>
      <c r="M9" s="45"/>
      <c r="N9" s="45"/>
      <c r="O9" s="45"/>
      <c r="P9" s="44" t="s">
        <v>40</v>
      </c>
      <c r="Q9" s="45"/>
      <c r="R9" s="45"/>
      <c r="S9" s="45"/>
      <c r="T9" s="45"/>
      <c r="U9" s="45"/>
      <c r="V9" s="45"/>
      <c r="W9" s="45"/>
      <c r="X9" s="44" t="s">
        <v>26</v>
      </c>
      <c r="Y9" s="45"/>
      <c r="Z9" s="45"/>
      <c r="AA9" s="45"/>
      <c r="AB9" s="45"/>
      <c r="AC9" s="45"/>
      <c r="AD9" s="45"/>
      <c r="AE9" s="45"/>
      <c r="AF9" s="44" t="s">
        <v>30</v>
      </c>
      <c r="AG9" s="45"/>
      <c r="AH9" s="45"/>
      <c r="AI9" s="45"/>
      <c r="AJ9" s="45"/>
      <c r="AK9" s="45"/>
      <c r="AL9" s="45"/>
      <c r="AM9" s="45"/>
      <c r="AN9" s="47"/>
      <c r="AO9" s="181" t="s">
        <v>27</v>
      </c>
      <c r="AP9" s="182"/>
      <c r="AQ9" s="170" t="s">
        <v>28</v>
      </c>
      <c r="AR9" s="182"/>
      <c r="AS9" s="170" t="s">
        <v>31</v>
      </c>
      <c r="AT9" s="171"/>
      <c r="AU9" s="181" t="s">
        <v>27</v>
      </c>
      <c r="AV9" s="182"/>
      <c r="AW9" s="170" t="s">
        <v>28</v>
      </c>
      <c r="AX9" s="182"/>
      <c r="AY9" s="170" t="s">
        <v>31</v>
      </c>
      <c r="AZ9" s="171"/>
      <c r="BA9" s="172" t="s">
        <v>29</v>
      </c>
      <c r="BB9" s="165"/>
      <c r="BC9" s="165"/>
      <c r="BD9" s="165"/>
      <c r="BE9" s="165"/>
      <c r="BF9" s="165"/>
      <c r="BG9" s="165"/>
      <c r="BH9" s="165"/>
      <c r="BI9" s="165"/>
      <c r="BJ9" s="165"/>
      <c r="BK9" s="165"/>
      <c r="BL9" s="166"/>
      <c r="BM9" s="40"/>
      <c r="BN9" s="40"/>
    </row>
    <row r="10" spans="1:66" ht="33" customHeight="1" x14ac:dyDescent="0.45">
      <c r="A10" s="37"/>
      <c r="B10" s="37"/>
      <c r="C10" s="43">
        <f>ROW()-9</f>
        <v>1</v>
      </c>
      <c r="D10" s="148" t="s">
        <v>117</v>
      </c>
      <c r="E10" s="149"/>
      <c r="F10" s="149"/>
      <c r="G10" s="150"/>
      <c r="H10" s="148" t="s">
        <v>50</v>
      </c>
      <c r="I10" s="149"/>
      <c r="J10" s="149"/>
      <c r="K10" s="150"/>
      <c r="L10" s="196" t="s">
        <v>65</v>
      </c>
      <c r="M10" s="197"/>
      <c r="N10" s="197"/>
      <c r="O10" s="198"/>
      <c r="P10" s="145" t="s">
        <v>67</v>
      </c>
      <c r="Q10" s="146"/>
      <c r="R10" s="146"/>
      <c r="S10" s="146"/>
      <c r="T10" s="146"/>
      <c r="U10" s="146"/>
      <c r="V10" s="146"/>
      <c r="W10" s="147"/>
      <c r="X10" s="145" t="s">
        <v>52</v>
      </c>
      <c r="Y10" s="146"/>
      <c r="Z10" s="146"/>
      <c r="AA10" s="146"/>
      <c r="AB10" s="146"/>
      <c r="AC10" s="146"/>
      <c r="AD10" s="146"/>
      <c r="AE10" s="147"/>
      <c r="AF10" s="145" t="s">
        <v>132</v>
      </c>
      <c r="AG10" s="146"/>
      <c r="AH10" s="146"/>
      <c r="AI10" s="146"/>
      <c r="AJ10" s="146"/>
      <c r="AK10" s="146"/>
      <c r="AL10" s="146"/>
      <c r="AM10" s="146"/>
      <c r="AN10" s="163"/>
      <c r="AO10" s="143">
        <v>45674</v>
      </c>
      <c r="AP10" s="144"/>
      <c r="AQ10" s="119" t="s">
        <v>133</v>
      </c>
      <c r="AR10" s="121"/>
      <c r="AS10" s="119" t="s">
        <v>135</v>
      </c>
      <c r="AT10" s="142"/>
      <c r="AU10" s="143">
        <v>45705</v>
      </c>
      <c r="AV10" s="144"/>
      <c r="AW10" s="119" t="s">
        <v>144</v>
      </c>
      <c r="AX10" s="121"/>
      <c r="AY10" s="119" t="s">
        <v>134</v>
      </c>
      <c r="AZ10" s="142"/>
      <c r="BA10" s="160" t="s">
        <v>139</v>
      </c>
      <c r="BB10" s="161"/>
      <c r="BC10" s="161"/>
      <c r="BD10" s="161"/>
      <c r="BE10" s="161"/>
      <c r="BF10" s="161"/>
      <c r="BG10" s="161"/>
      <c r="BH10" s="161"/>
      <c r="BI10" s="161"/>
      <c r="BJ10" s="161"/>
      <c r="BK10" s="161"/>
      <c r="BL10" s="162"/>
      <c r="BM10" s="40"/>
      <c r="BN10" s="40"/>
    </row>
    <row r="11" spans="1:66" ht="33" customHeight="1" x14ac:dyDescent="0.45">
      <c r="A11" s="37"/>
      <c r="B11" s="37"/>
      <c r="C11" s="85">
        <f t="shared" ref="C11:C23" si="0">ROW()-9</f>
        <v>2</v>
      </c>
      <c r="D11" s="154"/>
      <c r="E11" s="155"/>
      <c r="F11" s="155"/>
      <c r="G11" s="156"/>
      <c r="H11" s="154"/>
      <c r="I11" s="155"/>
      <c r="J11" s="155"/>
      <c r="K11" s="156"/>
      <c r="L11" s="199"/>
      <c r="M11" s="200"/>
      <c r="N11" s="200"/>
      <c r="O11" s="201"/>
      <c r="P11" s="145" t="s">
        <v>66</v>
      </c>
      <c r="Q11" s="146"/>
      <c r="R11" s="146"/>
      <c r="S11" s="146"/>
      <c r="T11" s="146"/>
      <c r="U11" s="146"/>
      <c r="V11" s="146"/>
      <c r="W11" s="147"/>
      <c r="X11" s="145" t="s">
        <v>131</v>
      </c>
      <c r="Y11" s="146"/>
      <c r="Z11" s="146"/>
      <c r="AA11" s="146"/>
      <c r="AB11" s="146"/>
      <c r="AC11" s="146"/>
      <c r="AD11" s="146"/>
      <c r="AE11" s="147"/>
      <c r="AF11" s="145" t="s">
        <v>132</v>
      </c>
      <c r="AG11" s="146"/>
      <c r="AH11" s="146"/>
      <c r="AI11" s="146"/>
      <c r="AJ11" s="146"/>
      <c r="AK11" s="146"/>
      <c r="AL11" s="146"/>
      <c r="AM11" s="146"/>
      <c r="AN11" s="163"/>
      <c r="AO11" s="143">
        <v>45674</v>
      </c>
      <c r="AP11" s="144"/>
      <c r="AQ11" s="119" t="s">
        <v>133</v>
      </c>
      <c r="AR11" s="121"/>
      <c r="AS11" s="119" t="s">
        <v>135</v>
      </c>
      <c r="AT11" s="142"/>
      <c r="AU11" s="143">
        <v>45705</v>
      </c>
      <c r="AV11" s="144"/>
      <c r="AW11" s="119" t="s">
        <v>144</v>
      </c>
      <c r="AX11" s="121"/>
      <c r="AY11" s="119" t="s">
        <v>134</v>
      </c>
      <c r="AZ11" s="142"/>
      <c r="BA11" s="160"/>
      <c r="BB11" s="161"/>
      <c r="BC11" s="161"/>
      <c r="BD11" s="161"/>
      <c r="BE11" s="161"/>
      <c r="BF11" s="161"/>
      <c r="BG11" s="161"/>
      <c r="BH11" s="161"/>
      <c r="BI11" s="161"/>
      <c r="BJ11" s="161"/>
      <c r="BK11" s="161"/>
      <c r="BL11" s="162"/>
      <c r="BM11" s="40"/>
      <c r="BN11" s="40"/>
    </row>
    <row r="12" spans="1:66" ht="33" customHeight="1" x14ac:dyDescent="0.45">
      <c r="A12" s="37"/>
      <c r="B12" s="37"/>
      <c r="C12" s="85">
        <f t="shared" si="0"/>
        <v>3</v>
      </c>
      <c r="D12" s="154"/>
      <c r="E12" s="155"/>
      <c r="F12" s="155"/>
      <c r="G12" s="156"/>
      <c r="H12" s="154"/>
      <c r="I12" s="155"/>
      <c r="J12" s="155"/>
      <c r="K12" s="156"/>
      <c r="L12" s="199"/>
      <c r="M12" s="200"/>
      <c r="N12" s="200"/>
      <c r="O12" s="201"/>
      <c r="P12" s="145" t="s">
        <v>90</v>
      </c>
      <c r="Q12" s="146"/>
      <c r="R12" s="146"/>
      <c r="S12" s="146"/>
      <c r="T12" s="146"/>
      <c r="U12" s="146"/>
      <c r="V12" s="146"/>
      <c r="W12" s="147"/>
      <c r="X12" s="145" t="s">
        <v>52</v>
      </c>
      <c r="Y12" s="146"/>
      <c r="Z12" s="146"/>
      <c r="AA12" s="146"/>
      <c r="AB12" s="146"/>
      <c r="AC12" s="146"/>
      <c r="AD12" s="146"/>
      <c r="AE12" s="147"/>
      <c r="AF12" s="145" t="s">
        <v>132</v>
      </c>
      <c r="AG12" s="146"/>
      <c r="AH12" s="146"/>
      <c r="AI12" s="146"/>
      <c r="AJ12" s="146"/>
      <c r="AK12" s="146"/>
      <c r="AL12" s="146"/>
      <c r="AM12" s="146"/>
      <c r="AN12" s="163"/>
      <c r="AO12" s="143">
        <v>45674</v>
      </c>
      <c r="AP12" s="144"/>
      <c r="AQ12" s="119" t="s">
        <v>133</v>
      </c>
      <c r="AR12" s="121"/>
      <c r="AS12" s="119" t="s">
        <v>135</v>
      </c>
      <c r="AT12" s="142"/>
      <c r="AU12" s="143">
        <v>45705</v>
      </c>
      <c r="AV12" s="144"/>
      <c r="AW12" s="119" t="s">
        <v>144</v>
      </c>
      <c r="AX12" s="121"/>
      <c r="AY12" s="119" t="s">
        <v>134</v>
      </c>
      <c r="AZ12" s="142"/>
      <c r="BA12" s="160"/>
      <c r="BB12" s="161"/>
      <c r="BC12" s="161"/>
      <c r="BD12" s="161"/>
      <c r="BE12" s="161"/>
      <c r="BF12" s="161"/>
      <c r="BG12" s="161"/>
      <c r="BH12" s="161"/>
      <c r="BI12" s="161"/>
      <c r="BJ12" s="161"/>
      <c r="BK12" s="161"/>
      <c r="BL12" s="162"/>
      <c r="BM12" s="40"/>
      <c r="BN12" s="40"/>
    </row>
    <row r="13" spans="1:66" ht="33" customHeight="1" x14ac:dyDescent="0.45">
      <c r="A13" s="37"/>
      <c r="B13" s="37"/>
      <c r="C13" s="85">
        <f t="shared" si="0"/>
        <v>4</v>
      </c>
      <c r="D13" s="154"/>
      <c r="E13" s="155"/>
      <c r="F13" s="155"/>
      <c r="G13" s="156"/>
      <c r="H13" s="154"/>
      <c r="I13" s="155"/>
      <c r="J13" s="155"/>
      <c r="K13" s="156"/>
      <c r="L13" s="202"/>
      <c r="M13" s="203"/>
      <c r="N13" s="203"/>
      <c r="O13" s="204"/>
      <c r="P13" s="145" t="s">
        <v>91</v>
      </c>
      <c r="Q13" s="146"/>
      <c r="R13" s="146"/>
      <c r="S13" s="146"/>
      <c r="T13" s="146"/>
      <c r="U13" s="146"/>
      <c r="V13" s="146"/>
      <c r="W13" s="147"/>
      <c r="X13" s="145" t="s">
        <v>131</v>
      </c>
      <c r="Y13" s="146"/>
      <c r="Z13" s="146"/>
      <c r="AA13" s="146"/>
      <c r="AB13" s="146"/>
      <c r="AC13" s="146"/>
      <c r="AD13" s="146"/>
      <c r="AE13" s="147"/>
      <c r="AF13" s="145" t="s">
        <v>132</v>
      </c>
      <c r="AG13" s="146"/>
      <c r="AH13" s="146"/>
      <c r="AI13" s="146"/>
      <c r="AJ13" s="146"/>
      <c r="AK13" s="146"/>
      <c r="AL13" s="146"/>
      <c r="AM13" s="146"/>
      <c r="AN13" s="163"/>
      <c r="AO13" s="143">
        <v>45674</v>
      </c>
      <c r="AP13" s="144"/>
      <c r="AQ13" s="119" t="s">
        <v>133</v>
      </c>
      <c r="AR13" s="121"/>
      <c r="AS13" s="119" t="s">
        <v>135</v>
      </c>
      <c r="AT13" s="142"/>
      <c r="AU13" s="143">
        <v>45705</v>
      </c>
      <c r="AV13" s="144"/>
      <c r="AW13" s="119" t="s">
        <v>144</v>
      </c>
      <c r="AX13" s="121"/>
      <c r="AY13" s="119" t="s">
        <v>134</v>
      </c>
      <c r="AZ13" s="142"/>
      <c r="BA13" s="160"/>
      <c r="BB13" s="161"/>
      <c r="BC13" s="161"/>
      <c r="BD13" s="161"/>
      <c r="BE13" s="161"/>
      <c r="BF13" s="161"/>
      <c r="BG13" s="161"/>
      <c r="BH13" s="161"/>
      <c r="BI13" s="161"/>
      <c r="BJ13" s="161"/>
      <c r="BK13" s="161"/>
      <c r="BL13" s="162"/>
      <c r="BM13" s="40"/>
      <c r="BN13" s="40"/>
    </row>
    <row r="14" spans="1:66" ht="19.95" customHeight="1" x14ac:dyDescent="0.45">
      <c r="A14" s="37"/>
      <c r="B14" s="37"/>
      <c r="C14" s="85">
        <f t="shared" si="0"/>
        <v>5</v>
      </c>
      <c r="D14" s="154"/>
      <c r="E14" s="155"/>
      <c r="F14" s="155"/>
      <c r="G14" s="156"/>
      <c r="H14" s="145" t="s">
        <v>53</v>
      </c>
      <c r="I14" s="146"/>
      <c r="J14" s="146"/>
      <c r="K14" s="147"/>
      <c r="L14" s="157" t="s">
        <v>70</v>
      </c>
      <c r="M14" s="158"/>
      <c r="N14" s="158"/>
      <c r="O14" s="159"/>
      <c r="P14" s="145" t="s">
        <v>69</v>
      </c>
      <c r="Q14" s="146"/>
      <c r="R14" s="146"/>
      <c r="S14" s="146"/>
      <c r="T14" s="146"/>
      <c r="U14" s="146"/>
      <c r="V14" s="146"/>
      <c r="W14" s="147"/>
      <c r="X14" s="145" t="s">
        <v>72</v>
      </c>
      <c r="Y14" s="146"/>
      <c r="Z14" s="146"/>
      <c r="AA14" s="146"/>
      <c r="AB14" s="146"/>
      <c r="AC14" s="146"/>
      <c r="AD14" s="146"/>
      <c r="AE14" s="147"/>
      <c r="AF14" s="145"/>
      <c r="AG14" s="146"/>
      <c r="AH14" s="146"/>
      <c r="AI14" s="146"/>
      <c r="AJ14" s="146"/>
      <c r="AK14" s="146"/>
      <c r="AL14" s="146"/>
      <c r="AM14" s="146"/>
      <c r="AN14" s="163"/>
      <c r="AO14" s="143">
        <v>45674</v>
      </c>
      <c r="AP14" s="144"/>
      <c r="AQ14" s="119" t="s">
        <v>133</v>
      </c>
      <c r="AR14" s="121"/>
      <c r="AS14" s="119" t="s">
        <v>135</v>
      </c>
      <c r="AT14" s="142"/>
      <c r="AU14" s="143">
        <v>45705</v>
      </c>
      <c r="AV14" s="144"/>
      <c r="AW14" s="119" t="s">
        <v>144</v>
      </c>
      <c r="AX14" s="121"/>
      <c r="AY14" s="119" t="s">
        <v>134</v>
      </c>
      <c r="AZ14" s="142"/>
      <c r="BA14" s="160"/>
      <c r="BB14" s="161"/>
      <c r="BC14" s="161"/>
      <c r="BD14" s="161"/>
      <c r="BE14" s="161"/>
      <c r="BF14" s="161"/>
      <c r="BG14" s="161"/>
      <c r="BH14" s="161"/>
      <c r="BI14" s="161"/>
      <c r="BJ14" s="161"/>
      <c r="BK14" s="161"/>
      <c r="BL14" s="162"/>
      <c r="BM14" s="40"/>
      <c r="BN14" s="40"/>
    </row>
    <row r="15" spans="1:66" ht="42.6" customHeight="1" x14ac:dyDescent="0.45">
      <c r="A15" s="37"/>
      <c r="B15" s="37"/>
      <c r="C15" s="85">
        <f t="shared" si="0"/>
        <v>6</v>
      </c>
      <c r="D15" s="70"/>
      <c r="E15" s="71"/>
      <c r="F15" s="71"/>
      <c r="G15" s="72"/>
      <c r="H15" s="51" t="s">
        <v>57</v>
      </c>
      <c r="I15" s="71"/>
      <c r="J15" s="71"/>
      <c r="K15" s="72"/>
      <c r="L15" s="157" t="s">
        <v>81</v>
      </c>
      <c r="M15" s="158"/>
      <c r="N15" s="158"/>
      <c r="O15" s="159"/>
      <c r="P15" s="145" t="s">
        <v>68</v>
      </c>
      <c r="Q15" s="146"/>
      <c r="R15" s="146"/>
      <c r="S15" s="146"/>
      <c r="T15" s="146"/>
      <c r="U15" s="146"/>
      <c r="V15" s="146"/>
      <c r="W15" s="147"/>
      <c r="X15" s="145" t="s">
        <v>51</v>
      </c>
      <c r="Y15" s="146"/>
      <c r="Z15" s="146"/>
      <c r="AA15" s="146"/>
      <c r="AB15" s="146"/>
      <c r="AC15" s="146"/>
      <c r="AD15" s="146"/>
      <c r="AE15" s="147"/>
      <c r="AF15" s="145" t="s">
        <v>113</v>
      </c>
      <c r="AG15" s="146"/>
      <c r="AH15" s="146"/>
      <c r="AI15" s="146"/>
      <c r="AJ15" s="146"/>
      <c r="AK15" s="146"/>
      <c r="AL15" s="146"/>
      <c r="AM15" s="146"/>
      <c r="AN15" s="163"/>
      <c r="AO15" s="143">
        <v>45674</v>
      </c>
      <c r="AP15" s="144"/>
      <c r="AQ15" s="119" t="s">
        <v>133</v>
      </c>
      <c r="AR15" s="121"/>
      <c r="AS15" s="119" t="s">
        <v>135</v>
      </c>
      <c r="AT15" s="142"/>
      <c r="AU15" s="143">
        <v>45705</v>
      </c>
      <c r="AV15" s="144"/>
      <c r="AW15" s="119" t="s">
        <v>144</v>
      </c>
      <c r="AX15" s="121"/>
      <c r="AY15" s="119" t="s">
        <v>134</v>
      </c>
      <c r="AZ15" s="142"/>
      <c r="BA15" s="160"/>
      <c r="BB15" s="161"/>
      <c r="BC15" s="161"/>
      <c r="BD15" s="161"/>
      <c r="BE15" s="161"/>
      <c r="BF15" s="161"/>
      <c r="BG15" s="161"/>
      <c r="BH15" s="161"/>
      <c r="BI15" s="161"/>
      <c r="BJ15" s="161"/>
      <c r="BK15" s="161"/>
      <c r="BL15" s="162"/>
      <c r="BM15" s="40"/>
      <c r="BN15" s="40"/>
    </row>
    <row r="16" spans="1:66" ht="19.95" customHeight="1" x14ac:dyDescent="0.45">
      <c r="A16" s="37"/>
      <c r="B16" s="37"/>
      <c r="C16" s="85">
        <f t="shared" si="0"/>
        <v>7</v>
      </c>
      <c r="D16" s="70"/>
      <c r="E16" s="71"/>
      <c r="F16" s="71"/>
      <c r="G16" s="72"/>
      <c r="H16" s="70"/>
      <c r="I16" s="71"/>
      <c r="J16" s="71"/>
      <c r="K16" s="72"/>
      <c r="L16" s="157" t="s">
        <v>82</v>
      </c>
      <c r="M16" s="158"/>
      <c r="N16" s="158"/>
      <c r="O16" s="159"/>
      <c r="P16" s="145" t="s">
        <v>68</v>
      </c>
      <c r="Q16" s="146"/>
      <c r="R16" s="146"/>
      <c r="S16" s="146"/>
      <c r="T16" s="146"/>
      <c r="U16" s="146"/>
      <c r="V16" s="146"/>
      <c r="W16" s="147"/>
      <c r="X16" s="145" t="s">
        <v>51</v>
      </c>
      <c r="Y16" s="146"/>
      <c r="Z16" s="146"/>
      <c r="AA16" s="146"/>
      <c r="AB16" s="146"/>
      <c r="AC16" s="146"/>
      <c r="AD16" s="146"/>
      <c r="AE16" s="147"/>
      <c r="AF16" s="145"/>
      <c r="AG16" s="146"/>
      <c r="AH16" s="146"/>
      <c r="AI16" s="146"/>
      <c r="AJ16" s="146"/>
      <c r="AK16" s="146"/>
      <c r="AL16" s="146"/>
      <c r="AM16" s="146"/>
      <c r="AN16" s="163"/>
      <c r="AO16" s="143">
        <v>45674</v>
      </c>
      <c r="AP16" s="144"/>
      <c r="AQ16" s="119" t="s">
        <v>133</v>
      </c>
      <c r="AR16" s="121"/>
      <c r="AS16" s="119" t="s">
        <v>135</v>
      </c>
      <c r="AT16" s="142"/>
      <c r="AU16" s="143">
        <v>45705</v>
      </c>
      <c r="AV16" s="144"/>
      <c r="AW16" s="119" t="s">
        <v>144</v>
      </c>
      <c r="AX16" s="121"/>
      <c r="AY16" s="119" t="s">
        <v>134</v>
      </c>
      <c r="AZ16" s="142"/>
      <c r="BA16" s="160"/>
      <c r="BB16" s="161"/>
      <c r="BC16" s="161"/>
      <c r="BD16" s="161"/>
      <c r="BE16" s="161"/>
      <c r="BF16" s="161"/>
      <c r="BG16" s="161"/>
      <c r="BH16" s="161"/>
      <c r="BI16" s="161"/>
      <c r="BJ16" s="161"/>
      <c r="BK16" s="161"/>
      <c r="BL16" s="162"/>
      <c r="BM16" s="40"/>
      <c r="BN16" s="40"/>
    </row>
    <row r="17" spans="1:66" ht="19.95" customHeight="1" x14ac:dyDescent="0.45">
      <c r="A17" s="37"/>
      <c r="B17" s="37"/>
      <c r="C17" s="85">
        <f t="shared" si="0"/>
        <v>8</v>
      </c>
      <c r="D17" s="154"/>
      <c r="E17" s="155"/>
      <c r="F17" s="155"/>
      <c r="G17" s="156"/>
      <c r="H17" s="154"/>
      <c r="I17" s="155"/>
      <c r="J17" s="155"/>
      <c r="K17" s="156"/>
      <c r="L17" s="157" t="s">
        <v>100</v>
      </c>
      <c r="M17" s="158"/>
      <c r="N17" s="158"/>
      <c r="O17" s="159"/>
      <c r="P17" s="145" t="s">
        <v>68</v>
      </c>
      <c r="Q17" s="146"/>
      <c r="R17" s="146"/>
      <c r="S17" s="146"/>
      <c r="T17" s="146"/>
      <c r="U17" s="146"/>
      <c r="V17" s="146"/>
      <c r="W17" s="147"/>
      <c r="X17" s="145" t="s">
        <v>51</v>
      </c>
      <c r="Y17" s="146"/>
      <c r="Z17" s="146"/>
      <c r="AA17" s="146"/>
      <c r="AB17" s="146"/>
      <c r="AC17" s="146"/>
      <c r="AD17" s="146"/>
      <c r="AE17" s="147"/>
      <c r="AF17" s="145"/>
      <c r="AG17" s="146"/>
      <c r="AH17" s="146"/>
      <c r="AI17" s="146"/>
      <c r="AJ17" s="146"/>
      <c r="AK17" s="146"/>
      <c r="AL17" s="146"/>
      <c r="AM17" s="146"/>
      <c r="AN17" s="163"/>
      <c r="AO17" s="143">
        <v>45674</v>
      </c>
      <c r="AP17" s="144"/>
      <c r="AQ17" s="119" t="s">
        <v>133</v>
      </c>
      <c r="AR17" s="121"/>
      <c r="AS17" s="119" t="s">
        <v>135</v>
      </c>
      <c r="AT17" s="142"/>
      <c r="AU17" s="143">
        <v>45705</v>
      </c>
      <c r="AV17" s="144"/>
      <c r="AW17" s="119" t="s">
        <v>144</v>
      </c>
      <c r="AX17" s="121"/>
      <c r="AY17" s="119" t="s">
        <v>134</v>
      </c>
      <c r="AZ17" s="142"/>
      <c r="BA17" s="160"/>
      <c r="BB17" s="161"/>
      <c r="BC17" s="161"/>
      <c r="BD17" s="161"/>
      <c r="BE17" s="161"/>
      <c r="BF17" s="161"/>
      <c r="BG17" s="161"/>
      <c r="BH17" s="161"/>
      <c r="BI17" s="161"/>
      <c r="BJ17" s="161"/>
      <c r="BK17" s="161"/>
      <c r="BL17" s="162"/>
      <c r="BM17" s="40"/>
      <c r="BN17" s="40"/>
    </row>
    <row r="18" spans="1:66" ht="19.95" customHeight="1" x14ac:dyDescent="0.45">
      <c r="A18" s="37"/>
      <c r="B18" s="37"/>
      <c r="C18" s="85">
        <f t="shared" si="0"/>
        <v>9</v>
      </c>
      <c r="D18" s="154"/>
      <c r="E18" s="155"/>
      <c r="F18" s="155"/>
      <c r="G18" s="156"/>
      <c r="H18" s="154"/>
      <c r="I18" s="155"/>
      <c r="J18" s="155"/>
      <c r="K18" s="156"/>
      <c r="L18" s="157" t="s">
        <v>101</v>
      </c>
      <c r="M18" s="158"/>
      <c r="N18" s="158"/>
      <c r="O18" s="159"/>
      <c r="P18" s="145" t="s">
        <v>68</v>
      </c>
      <c r="Q18" s="146"/>
      <c r="R18" s="146"/>
      <c r="S18" s="146"/>
      <c r="T18" s="146"/>
      <c r="U18" s="146"/>
      <c r="V18" s="146"/>
      <c r="W18" s="147"/>
      <c r="X18" s="145" t="s">
        <v>51</v>
      </c>
      <c r="Y18" s="146"/>
      <c r="Z18" s="146"/>
      <c r="AA18" s="146"/>
      <c r="AB18" s="146"/>
      <c r="AC18" s="146"/>
      <c r="AD18" s="146"/>
      <c r="AE18" s="147"/>
      <c r="AF18" s="145"/>
      <c r="AG18" s="146"/>
      <c r="AH18" s="146"/>
      <c r="AI18" s="146"/>
      <c r="AJ18" s="146"/>
      <c r="AK18" s="146"/>
      <c r="AL18" s="146"/>
      <c r="AM18" s="146"/>
      <c r="AN18" s="163"/>
      <c r="AO18" s="143">
        <v>45674</v>
      </c>
      <c r="AP18" s="144"/>
      <c r="AQ18" s="119" t="s">
        <v>133</v>
      </c>
      <c r="AR18" s="121"/>
      <c r="AS18" s="119" t="s">
        <v>135</v>
      </c>
      <c r="AT18" s="142"/>
      <c r="AU18" s="143">
        <v>45705</v>
      </c>
      <c r="AV18" s="144"/>
      <c r="AW18" s="119" t="s">
        <v>144</v>
      </c>
      <c r="AX18" s="121"/>
      <c r="AY18" s="119" t="s">
        <v>134</v>
      </c>
      <c r="AZ18" s="142"/>
      <c r="BA18" s="160"/>
      <c r="BB18" s="161"/>
      <c r="BC18" s="161"/>
      <c r="BD18" s="161"/>
      <c r="BE18" s="161"/>
      <c r="BF18" s="161"/>
      <c r="BG18" s="161"/>
      <c r="BH18" s="161"/>
      <c r="BI18" s="161"/>
      <c r="BJ18" s="161"/>
      <c r="BK18" s="161"/>
      <c r="BL18" s="162"/>
      <c r="BM18" s="40"/>
      <c r="BN18" s="40"/>
    </row>
    <row r="19" spans="1:66" ht="19.95" customHeight="1" x14ac:dyDescent="0.45">
      <c r="A19" s="37"/>
      <c r="B19" s="37"/>
      <c r="C19" s="85">
        <f t="shared" si="0"/>
        <v>10</v>
      </c>
      <c r="D19" s="154"/>
      <c r="E19" s="155"/>
      <c r="F19" s="155"/>
      <c r="G19" s="156"/>
      <c r="H19" s="154"/>
      <c r="I19" s="155"/>
      <c r="J19" s="155"/>
      <c r="K19" s="156"/>
      <c r="L19" s="157" t="s">
        <v>86</v>
      </c>
      <c r="M19" s="158"/>
      <c r="N19" s="158"/>
      <c r="O19" s="159"/>
      <c r="P19" s="145" t="s">
        <v>68</v>
      </c>
      <c r="Q19" s="146"/>
      <c r="R19" s="146"/>
      <c r="S19" s="146"/>
      <c r="T19" s="146"/>
      <c r="U19" s="146"/>
      <c r="V19" s="146"/>
      <c r="W19" s="147"/>
      <c r="X19" s="145" t="s">
        <v>51</v>
      </c>
      <c r="Y19" s="146"/>
      <c r="Z19" s="146"/>
      <c r="AA19" s="146"/>
      <c r="AB19" s="146"/>
      <c r="AC19" s="146"/>
      <c r="AD19" s="146"/>
      <c r="AE19" s="147"/>
      <c r="AF19" s="145"/>
      <c r="AG19" s="146"/>
      <c r="AH19" s="146"/>
      <c r="AI19" s="146"/>
      <c r="AJ19" s="146"/>
      <c r="AK19" s="146"/>
      <c r="AL19" s="146"/>
      <c r="AM19" s="146"/>
      <c r="AN19" s="163"/>
      <c r="AO19" s="143">
        <v>45674</v>
      </c>
      <c r="AP19" s="144"/>
      <c r="AQ19" s="119" t="s">
        <v>133</v>
      </c>
      <c r="AR19" s="121"/>
      <c r="AS19" s="119" t="s">
        <v>135</v>
      </c>
      <c r="AT19" s="142"/>
      <c r="AU19" s="143">
        <v>45705</v>
      </c>
      <c r="AV19" s="144"/>
      <c r="AW19" s="119" t="s">
        <v>144</v>
      </c>
      <c r="AX19" s="121"/>
      <c r="AY19" s="119" t="s">
        <v>134</v>
      </c>
      <c r="AZ19" s="142"/>
      <c r="BA19" s="160"/>
      <c r="BB19" s="161"/>
      <c r="BC19" s="161"/>
      <c r="BD19" s="161"/>
      <c r="BE19" s="161"/>
      <c r="BF19" s="161"/>
      <c r="BG19" s="161"/>
      <c r="BH19" s="161"/>
      <c r="BI19" s="161"/>
      <c r="BJ19" s="161"/>
      <c r="BK19" s="161"/>
      <c r="BL19" s="162"/>
      <c r="BM19" s="40"/>
      <c r="BN19" s="40"/>
    </row>
    <row r="20" spans="1:66" ht="19.95" customHeight="1" x14ac:dyDescent="0.45">
      <c r="A20" s="37"/>
      <c r="B20" s="37"/>
      <c r="C20" s="85">
        <f t="shared" si="0"/>
        <v>11</v>
      </c>
      <c r="D20" s="154"/>
      <c r="E20" s="155"/>
      <c r="F20" s="155"/>
      <c r="G20" s="156"/>
      <c r="H20" s="154"/>
      <c r="I20" s="155"/>
      <c r="J20" s="155"/>
      <c r="K20" s="156"/>
      <c r="L20" s="157" t="s">
        <v>87</v>
      </c>
      <c r="M20" s="158"/>
      <c r="N20" s="158"/>
      <c r="O20" s="159"/>
      <c r="P20" s="145" t="s">
        <v>68</v>
      </c>
      <c r="Q20" s="146"/>
      <c r="R20" s="146"/>
      <c r="S20" s="146"/>
      <c r="T20" s="146"/>
      <c r="U20" s="146"/>
      <c r="V20" s="146"/>
      <c r="W20" s="147"/>
      <c r="X20" s="145" t="s">
        <v>51</v>
      </c>
      <c r="Y20" s="146"/>
      <c r="Z20" s="146"/>
      <c r="AA20" s="146"/>
      <c r="AB20" s="146"/>
      <c r="AC20" s="146"/>
      <c r="AD20" s="146"/>
      <c r="AE20" s="147"/>
      <c r="AF20" s="145"/>
      <c r="AG20" s="146"/>
      <c r="AH20" s="146"/>
      <c r="AI20" s="146"/>
      <c r="AJ20" s="146"/>
      <c r="AK20" s="146"/>
      <c r="AL20" s="146"/>
      <c r="AM20" s="146"/>
      <c r="AN20" s="163"/>
      <c r="AO20" s="143">
        <v>45674</v>
      </c>
      <c r="AP20" s="144"/>
      <c r="AQ20" s="119" t="s">
        <v>133</v>
      </c>
      <c r="AR20" s="121"/>
      <c r="AS20" s="119" t="s">
        <v>135</v>
      </c>
      <c r="AT20" s="142"/>
      <c r="AU20" s="143">
        <v>45705</v>
      </c>
      <c r="AV20" s="144"/>
      <c r="AW20" s="119" t="s">
        <v>144</v>
      </c>
      <c r="AX20" s="121"/>
      <c r="AY20" s="119" t="s">
        <v>134</v>
      </c>
      <c r="AZ20" s="142"/>
      <c r="BA20" s="160"/>
      <c r="BB20" s="161"/>
      <c r="BC20" s="161"/>
      <c r="BD20" s="161"/>
      <c r="BE20" s="161"/>
      <c r="BF20" s="161"/>
      <c r="BG20" s="161"/>
      <c r="BH20" s="161"/>
      <c r="BI20" s="161"/>
      <c r="BJ20" s="161"/>
      <c r="BK20" s="161"/>
      <c r="BL20" s="162"/>
      <c r="BM20" s="40"/>
      <c r="BN20" s="40"/>
    </row>
    <row r="21" spans="1:66" ht="19.95" customHeight="1" x14ac:dyDescent="0.45">
      <c r="A21" s="37"/>
      <c r="B21" s="37"/>
      <c r="C21" s="85">
        <f t="shared" si="0"/>
        <v>12</v>
      </c>
      <c r="D21" s="154"/>
      <c r="E21" s="155"/>
      <c r="F21" s="155"/>
      <c r="G21" s="156"/>
      <c r="H21" s="154"/>
      <c r="I21" s="155"/>
      <c r="J21" s="155"/>
      <c r="K21" s="156"/>
      <c r="L21" s="157" t="s">
        <v>71</v>
      </c>
      <c r="M21" s="158"/>
      <c r="N21" s="158"/>
      <c r="O21" s="159"/>
      <c r="P21" s="145" t="s">
        <v>68</v>
      </c>
      <c r="Q21" s="146"/>
      <c r="R21" s="146"/>
      <c r="S21" s="146"/>
      <c r="T21" s="146"/>
      <c r="U21" s="146"/>
      <c r="V21" s="146"/>
      <c r="W21" s="147"/>
      <c r="X21" s="145" t="s">
        <v>51</v>
      </c>
      <c r="Y21" s="146"/>
      <c r="Z21" s="146"/>
      <c r="AA21" s="146"/>
      <c r="AB21" s="146"/>
      <c r="AC21" s="146"/>
      <c r="AD21" s="146"/>
      <c r="AE21" s="147"/>
      <c r="AF21" s="145"/>
      <c r="AG21" s="146"/>
      <c r="AH21" s="146"/>
      <c r="AI21" s="146"/>
      <c r="AJ21" s="146"/>
      <c r="AK21" s="146"/>
      <c r="AL21" s="146"/>
      <c r="AM21" s="146"/>
      <c r="AN21" s="163"/>
      <c r="AO21" s="143">
        <v>45674</v>
      </c>
      <c r="AP21" s="144"/>
      <c r="AQ21" s="119" t="s">
        <v>133</v>
      </c>
      <c r="AR21" s="121"/>
      <c r="AS21" s="119" t="s">
        <v>135</v>
      </c>
      <c r="AT21" s="142"/>
      <c r="AU21" s="143">
        <v>45705</v>
      </c>
      <c r="AV21" s="144"/>
      <c r="AW21" s="119" t="s">
        <v>144</v>
      </c>
      <c r="AX21" s="121"/>
      <c r="AY21" s="119" t="s">
        <v>134</v>
      </c>
      <c r="AZ21" s="142"/>
      <c r="BA21" s="160"/>
      <c r="BB21" s="161"/>
      <c r="BC21" s="161"/>
      <c r="BD21" s="161"/>
      <c r="BE21" s="161"/>
      <c r="BF21" s="161"/>
      <c r="BG21" s="161"/>
      <c r="BH21" s="161"/>
      <c r="BI21" s="161"/>
      <c r="BJ21" s="161"/>
      <c r="BK21" s="161"/>
      <c r="BL21" s="162"/>
      <c r="BM21" s="40"/>
      <c r="BN21" s="40"/>
    </row>
    <row r="22" spans="1:66" ht="19.2" customHeight="1" x14ac:dyDescent="0.45">
      <c r="A22" s="37"/>
      <c r="B22" s="37"/>
      <c r="C22" s="85">
        <f t="shared" si="0"/>
        <v>13</v>
      </c>
      <c r="D22" s="154"/>
      <c r="E22" s="155"/>
      <c r="F22" s="155"/>
      <c r="G22" s="156"/>
      <c r="H22" s="192" t="s">
        <v>75</v>
      </c>
      <c r="I22" s="193"/>
      <c r="J22" s="193"/>
      <c r="K22" s="194"/>
      <c r="L22" s="145" t="s">
        <v>76</v>
      </c>
      <c r="M22" s="146"/>
      <c r="N22" s="146"/>
      <c r="O22" s="147"/>
      <c r="P22" s="145" t="s">
        <v>77</v>
      </c>
      <c r="Q22" s="146"/>
      <c r="R22" s="146"/>
      <c r="S22" s="146"/>
      <c r="T22" s="146"/>
      <c r="U22" s="146"/>
      <c r="V22" s="146"/>
      <c r="W22" s="147"/>
      <c r="X22" s="145" t="s">
        <v>78</v>
      </c>
      <c r="Y22" s="146"/>
      <c r="Z22" s="146"/>
      <c r="AA22" s="146"/>
      <c r="AB22" s="146"/>
      <c r="AC22" s="146"/>
      <c r="AD22" s="146"/>
      <c r="AE22" s="147"/>
      <c r="AF22" s="145"/>
      <c r="AG22" s="146"/>
      <c r="AH22" s="146"/>
      <c r="AI22" s="146"/>
      <c r="AJ22" s="146"/>
      <c r="AK22" s="146"/>
      <c r="AL22" s="146"/>
      <c r="AM22" s="146"/>
      <c r="AN22" s="163"/>
      <c r="AO22" s="143">
        <v>45674</v>
      </c>
      <c r="AP22" s="144"/>
      <c r="AQ22" s="119" t="s">
        <v>133</v>
      </c>
      <c r="AR22" s="121"/>
      <c r="AS22" s="119" t="s">
        <v>135</v>
      </c>
      <c r="AT22" s="142"/>
      <c r="AU22" s="143">
        <v>45705</v>
      </c>
      <c r="AV22" s="144"/>
      <c r="AW22" s="119" t="s">
        <v>144</v>
      </c>
      <c r="AX22" s="121"/>
      <c r="AY22" s="119" t="s">
        <v>134</v>
      </c>
      <c r="AZ22" s="142"/>
      <c r="BA22" s="160"/>
      <c r="BB22" s="161"/>
      <c r="BC22" s="161"/>
      <c r="BD22" s="161"/>
      <c r="BE22" s="161"/>
      <c r="BF22" s="161"/>
      <c r="BG22" s="161"/>
      <c r="BH22" s="161"/>
      <c r="BI22" s="161"/>
      <c r="BJ22" s="161"/>
      <c r="BK22" s="161"/>
      <c r="BL22" s="162"/>
      <c r="BM22" s="40"/>
      <c r="BN22" s="40"/>
    </row>
    <row r="23" spans="1:66" ht="20.100000000000001" customHeight="1" thickBot="1" x14ac:dyDescent="0.5">
      <c r="A23" s="37"/>
      <c r="B23" s="37"/>
      <c r="C23" s="85">
        <f t="shared" si="0"/>
        <v>14</v>
      </c>
      <c r="D23" s="154"/>
      <c r="E23" s="155"/>
      <c r="F23" s="155"/>
      <c r="G23" s="156"/>
      <c r="H23" s="189"/>
      <c r="I23" s="190"/>
      <c r="J23" s="190"/>
      <c r="K23" s="191"/>
      <c r="L23" s="145" t="s">
        <v>79</v>
      </c>
      <c r="M23" s="146"/>
      <c r="N23" s="146"/>
      <c r="O23" s="147"/>
      <c r="P23" s="145" t="s">
        <v>80</v>
      </c>
      <c r="Q23" s="146"/>
      <c r="R23" s="146"/>
      <c r="S23" s="146"/>
      <c r="T23" s="146"/>
      <c r="U23" s="146"/>
      <c r="V23" s="146"/>
      <c r="W23" s="147"/>
      <c r="X23" s="145" t="s">
        <v>78</v>
      </c>
      <c r="Y23" s="146"/>
      <c r="Z23" s="146"/>
      <c r="AA23" s="146"/>
      <c r="AB23" s="146"/>
      <c r="AC23" s="146"/>
      <c r="AD23" s="146"/>
      <c r="AE23" s="147"/>
      <c r="AF23" s="145"/>
      <c r="AG23" s="146"/>
      <c r="AH23" s="146"/>
      <c r="AI23" s="146"/>
      <c r="AJ23" s="146"/>
      <c r="AK23" s="146"/>
      <c r="AL23" s="146"/>
      <c r="AM23" s="146"/>
      <c r="AN23" s="163"/>
      <c r="AO23" s="143">
        <v>45674</v>
      </c>
      <c r="AP23" s="144"/>
      <c r="AQ23" s="119" t="s">
        <v>133</v>
      </c>
      <c r="AR23" s="121"/>
      <c r="AS23" s="119" t="s">
        <v>135</v>
      </c>
      <c r="AT23" s="142"/>
      <c r="AU23" s="143">
        <v>45705</v>
      </c>
      <c r="AV23" s="144"/>
      <c r="AW23" s="119" t="s">
        <v>144</v>
      </c>
      <c r="AX23" s="121"/>
      <c r="AY23" s="119" t="s">
        <v>134</v>
      </c>
      <c r="AZ23" s="142"/>
      <c r="BA23" s="160"/>
      <c r="BB23" s="161"/>
      <c r="BC23" s="161"/>
      <c r="BD23" s="161"/>
      <c r="BE23" s="161"/>
      <c r="BF23" s="161"/>
      <c r="BG23" s="161"/>
      <c r="BH23" s="161"/>
      <c r="BI23" s="161"/>
      <c r="BJ23" s="161"/>
      <c r="BK23" s="161"/>
      <c r="BL23" s="162"/>
      <c r="BM23" s="40"/>
      <c r="BN23" s="40"/>
    </row>
    <row r="24" spans="1:66" ht="20.100000000000001" customHeight="1" thickTop="1" thickBot="1" x14ac:dyDescent="0.5">
      <c r="A24" s="37"/>
      <c r="B24" s="36"/>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6"/>
      <c r="BN24" s="40"/>
    </row>
    <row r="25" spans="1:66" ht="5.0999999999999996" customHeight="1" thickTop="1" x14ac:dyDescent="0.45">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row>
    <row r="26" spans="1:66" ht="20.100000000000001" customHeight="1" x14ac:dyDescent="0.45">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row>
  </sheetData>
  <mergeCells count="211">
    <mergeCell ref="B3:G4"/>
    <mergeCell ref="H3:K4"/>
    <mergeCell ref="L3:Q4"/>
    <mergeCell ref="R3:W4"/>
    <mergeCell ref="X3:AJ4"/>
    <mergeCell ref="AK3:AW4"/>
    <mergeCell ref="B2:G2"/>
    <mergeCell ref="H2:K2"/>
    <mergeCell ref="L2:Q2"/>
    <mergeCell ref="R2:W2"/>
    <mergeCell ref="X2:AJ2"/>
    <mergeCell ref="AK2:AW2"/>
    <mergeCell ref="AX3:BA4"/>
    <mergeCell ref="BB3:BE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D11:G11"/>
    <mergeCell ref="H11:K11"/>
    <mergeCell ref="P11:W11"/>
    <mergeCell ref="X11:AE11"/>
    <mergeCell ref="AF11:AN11"/>
    <mergeCell ref="BA11:BL11"/>
    <mergeCell ref="D10:G10"/>
    <mergeCell ref="H10:K10"/>
    <mergeCell ref="L10:O13"/>
    <mergeCell ref="P10:W10"/>
    <mergeCell ref="X10:AE10"/>
    <mergeCell ref="AF10:AN10"/>
    <mergeCell ref="AO10:AP10"/>
    <mergeCell ref="AQ10:AR10"/>
    <mergeCell ref="AS10:AT10"/>
    <mergeCell ref="D12:G12"/>
    <mergeCell ref="H12:K12"/>
    <mergeCell ref="P12:W12"/>
    <mergeCell ref="X12:AE12"/>
    <mergeCell ref="AF12:AN12"/>
    <mergeCell ref="AO12:AP12"/>
    <mergeCell ref="AQ12:AR12"/>
    <mergeCell ref="AS12:AT12"/>
    <mergeCell ref="AO11:AP11"/>
    <mergeCell ref="AQ11:AR11"/>
    <mergeCell ref="AS11:AT11"/>
    <mergeCell ref="AU11:AV11"/>
    <mergeCell ref="AW11:AX11"/>
    <mergeCell ref="AY11:AZ11"/>
    <mergeCell ref="AW12:AX12"/>
    <mergeCell ref="AY12:AZ12"/>
    <mergeCell ref="AU10:AV10"/>
    <mergeCell ref="AW10:AX10"/>
    <mergeCell ref="AY10:AZ10"/>
    <mergeCell ref="AY15:AZ15"/>
    <mergeCell ref="BA15:BL15"/>
    <mergeCell ref="BA12:BL12"/>
    <mergeCell ref="D13:G13"/>
    <mergeCell ref="H13:K13"/>
    <mergeCell ref="P13:W13"/>
    <mergeCell ref="X13:AE13"/>
    <mergeCell ref="AF13:AN13"/>
    <mergeCell ref="AO13:AP13"/>
    <mergeCell ref="AQ13:AR13"/>
    <mergeCell ref="AS13:AT13"/>
    <mergeCell ref="AU13:AV13"/>
    <mergeCell ref="AW13:AX13"/>
    <mergeCell ref="AY13:AZ13"/>
    <mergeCell ref="BA13:BL13"/>
    <mergeCell ref="AU12:AV12"/>
    <mergeCell ref="AU16:AV16"/>
    <mergeCell ref="AW16:AX16"/>
    <mergeCell ref="D14:G14"/>
    <mergeCell ref="H14:K14"/>
    <mergeCell ref="L14:O14"/>
    <mergeCell ref="P14:W14"/>
    <mergeCell ref="X14:AE14"/>
    <mergeCell ref="AY14:AZ14"/>
    <mergeCell ref="BA14:BL14"/>
    <mergeCell ref="L15:O15"/>
    <mergeCell ref="P15:W15"/>
    <mergeCell ref="X15:AE15"/>
    <mergeCell ref="AF15:AN15"/>
    <mergeCell ref="AO15:AP15"/>
    <mergeCell ref="AQ15:AR15"/>
    <mergeCell ref="AS15:AT15"/>
    <mergeCell ref="AU15:AV15"/>
    <mergeCell ref="AF14:AN14"/>
    <mergeCell ref="AO14:AP14"/>
    <mergeCell ref="AQ14:AR14"/>
    <mergeCell ref="AS14:AT14"/>
    <mergeCell ref="AU14:AV14"/>
    <mergeCell ref="AW14:AX14"/>
    <mergeCell ref="AW15:AX15"/>
    <mergeCell ref="AQ18:AR18"/>
    <mergeCell ref="AS18:AT18"/>
    <mergeCell ref="AY16:AZ16"/>
    <mergeCell ref="BA16:BL16"/>
    <mergeCell ref="D17:G17"/>
    <mergeCell ref="H17:K17"/>
    <mergeCell ref="L17:O17"/>
    <mergeCell ref="P17:W17"/>
    <mergeCell ref="X17:AE17"/>
    <mergeCell ref="AF17:AN17"/>
    <mergeCell ref="BA17:BL17"/>
    <mergeCell ref="AO17:AP17"/>
    <mergeCell ref="AQ17:AR17"/>
    <mergeCell ref="AS17:AT17"/>
    <mergeCell ref="AU17:AV17"/>
    <mergeCell ref="AW17:AX17"/>
    <mergeCell ref="AY17:AZ17"/>
    <mergeCell ref="L16:O16"/>
    <mergeCell ref="P16:W16"/>
    <mergeCell ref="X16:AE16"/>
    <mergeCell ref="AF16:AN16"/>
    <mergeCell ref="AO16:AP16"/>
    <mergeCell ref="AQ16:AR16"/>
    <mergeCell ref="AS16:AT16"/>
    <mergeCell ref="AU18:AV18"/>
    <mergeCell ref="AW18:AX18"/>
    <mergeCell ref="AY18:AZ18"/>
    <mergeCell ref="BA18:BL18"/>
    <mergeCell ref="D19:G19"/>
    <mergeCell ref="H19:K19"/>
    <mergeCell ref="L19:O19"/>
    <mergeCell ref="P19:W19"/>
    <mergeCell ref="X19:AE19"/>
    <mergeCell ref="AF19:AN19"/>
    <mergeCell ref="BA19:BL19"/>
    <mergeCell ref="AO19:AP19"/>
    <mergeCell ref="AQ19:AR19"/>
    <mergeCell ref="AS19:AT19"/>
    <mergeCell ref="AU19:AV19"/>
    <mergeCell ref="AW19:AX19"/>
    <mergeCell ref="AY19:AZ19"/>
    <mergeCell ref="D18:G18"/>
    <mergeCell ref="H18:K18"/>
    <mergeCell ref="L18:O18"/>
    <mergeCell ref="P18:W18"/>
    <mergeCell ref="X18:AE18"/>
    <mergeCell ref="AF18:AN18"/>
    <mergeCell ref="AO18:AP18"/>
    <mergeCell ref="AU20:AV20"/>
    <mergeCell ref="AW20:AX20"/>
    <mergeCell ref="AY20:AZ20"/>
    <mergeCell ref="BA20:BL20"/>
    <mergeCell ref="D21:G21"/>
    <mergeCell ref="H21:K21"/>
    <mergeCell ref="L21:O21"/>
    <mergeCell ref="P21:W21"/>
    <mergeCell ref="X21:AE21"/>
    <mergeCell ref="AF21:AN21"/>
    <mergeCell ref="D20:G20"/>
    <mergeCell ref="H20:K20"/>
    <mergeCell ref="L20:O20"/>
    <mergeCell ref="P20:W20"/>
    <mergeCell ref="X20:AE20"/>
    <mergeCell ref="AF20:AN20"/>
    <mergeCell ref="AO20:AP20"/>
    <mergeCell ref="AQ20:AR20"/>
    <mergeCell ref="AS20:AT20"/>
    <mergeCell ref="P22:W22"/>
    <mergeCell ref="X22:AE22"/>
    <mergeCell ref="BA21:BL21"/>
    <mergeCell ref="AO21:AP21"/>
    <mergeCell ref="AQ21:AR21"/>
    <mergeCell ref="AS21:AT21"/>
    <mergeCell ref="AU21:AV21"/>
    <mergeCell ref="AW21:AX21"/>
    <mergeCell ref="AY21:AZ21"/>
    <mergeCell ref="AS23:AT23"/>
    <mergeCell ref="AU23:AV23"/>
    <mergeCell ref="AW23:AX23"/>
    <mergeCell ref="AY23:AZ23"/>
    <mergeCell ref="BA23:BL23"/>
    <mergeCell ref="AY22:AZ22"/>
    <mergeCell ref="BA22:BL22"/>
    <mergeCell ref="D23:G23"/>
    <mergeCell ref="H23:K23"/>
    <mergeCell ref="L23:O23"/>
    <mergeCell ref="P23:W23"/>
    <mergeCell ref="X23:AE23"/>
    <mergeCell ref="AF23:AN23"/>
    <mergeCell ref="AO23:AP23"/>
    <mergeCell ref="AQ23:AR23"/>
    <mergeCell ref="AF22:AN22"/>
    <mergeCell ref="AO22:AP22"/>
    <mergeCell ref="AQ22:AR22"/>
    <mergeCell ref="AS22:AT22"/>
    <mergeCell ref="AU22:AV22"/>
    <mergeCell ref="AW22:AX22"/>
    <mergeCell ref="D22:G22"/>
    <mergeCell ref="H22:K22"/>
    <mergeCell ref="L22:O22"/>
  </mergeCells>
  <phoneticPr fontId="2"/>
  <conditionalFormatting sqref="AS10:AS23">
    <cfRule type="cellIs" dxfId="3" priority="5" operator="equal">
      <formula>"OK"</formula>
    </cfRule>
    <cfRule type="cellIs" dxfId="2" priority="6" operator="equal">
      <formula>"NG"</formula>
    </cfRule>
  </conditionalFormatting>
  <conditionalFormatting sqref="AY10:AY23">
    <cfRule type="cellIs" dxfId="1" priority="1" operator="equal">
      <formula>"OK"</formula>
    </cfRule>
    <cfRule type="cellIs" dxfId="0" priority="2" operator="equal">
      <formula>"NG"</formula>
    </cfRule>
  </conditionalFormatting>
  <dataValidations count="1">
    <dataValidation type="list" allowBlank="1" showInputMessage="1" showErrorMessage="1" sqref="AS10:AS23 AY10:AY23">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17</v>
      </c>
    </row>
    <row r="2" spans="1:1" x14ac:dyDescent="0.45">
      <c r="A2" s="6" t="s">
        <v>18</v>
      </c>
    </row>
    <row r="3" spans="1:1" x14ac:dyDescent="0.45">
      <c r="A3" s="6" t="s">
        <v>19</v>
      </c>
    </row>
    <row r="4" spans="1:1" x14ac:dyDescent="0.45">
      <c r="A4" s="6" t="s">
        <v>20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画面</vt:lpstr>
      <vt:lpstr>帳票(PDF)</vt:lpstr>
      <vt:lpstr>帳票(インポート)</vt:lpstr>
      <vt:lpstr>帳票(エラーリスト)</vt:lpstr>
      <vt:lpstr>参照</vt:lpstr>
      <vt:lpstr>画面!Print_Area</vt:lpstr>
      <vt:lpstr>'帳票(PDF)'!Print_Area</vt:lpstr>
      <vt:lpstr>'帳票(インポート)'!Print_Area</vt:lpstr>
      <vt:lpstr>'帳票(エラーリスト)'!Print_Area</vt:lpstr>
      <vt:lpstr>変更履歴!Print_Area</vt:lpstr>
      <vt:lpstr>画面!Print_Titles</vt:lpstr>
      <vt:lpstr>'帳票(PDF)'!Print_Titles</vt:lpstr>
      <vt:lpstr>'帳票(インポート)'!Print_Titles</vt:lpstr>
      <vt:lpstr>'帳票(エラーリスト)'!Print_Titles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2025-02-27T03:50:58Z</dcterms:modified>
</cp:coreProperties>
</file>