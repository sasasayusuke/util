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参照" sheetId="12" state="hidden" r:id="rId3"/>
  </sheets>
  <definedNames>
    <definedName name="_xlnm.Print_Area" localSheetId="1">画面!$A$1:$BN$55</definedName>
    <definedName name="_xlnm.Print_Area" localSheetId="0">変更履歴!$A$1:$BN$49</definedName>
    <definedName name="_xlnm.Print_Titles" localSheetId="1">画面!$1:$5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19" l="1"/>
  <c r="C53" i="19"/>
  <c r="C48" i="19"/>
  <c r="C49" i="19"/>
  <c r="C50" i="19"/>
  <c r="C52" i="19"/>
  <c r="C43" i="19"/>
  <c r="C42" i="19"/>
  <c r="C41" i="19"/>
  <c r="C40" i="19"/>
  <c r="C39" i="19"/>
  <c r="C38" i="19"/>
  <c r="C37" i="19"/>
  <c r="C35" i="19"/>
  <c r="C36" i="19"/>
  <c r="C34" i="19"/>
  <c r="C33" i="19"/>
  <c r="C32" i="19"/>
  <c r="C31" i="19"/>
  <c r="C30" i="19"/>
  <c r="C12" i="19"/>
  <c r="C46" i="19" l="1"/>
  <c r="C47" i="19"/>
  <c r="C11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44" i="19"/>
  <c r="C45" i="19"/>
  <c r="C10" i="19" l="1"/>
  <c r="BI8" i="19"/>
  <c r="BJ3" i="19"/>
  <c r="BF3" i="19"/>
  <c r="BB3" i="19"/>
  <c r="AX3" i="19"/>
  <c r="L3" i="19"/>
  <c r="B3" i="19"/>
  <c r="X3" i="1" l="1"/>
  <c r="BG8" i="19" l="1"/>
  <c r="BK8" i="19" s="1"/>
  <c r="X3" i="19"/>
  <c r="H3" i="1"/>
  <c r="R3" i="1"/>
  <c r="AK3" i="1"/>
  <c r="AK3" i="19" l="1"/>
  <c r="R3" i="19"/>
  <c r="H3" i="19"/>
</calcChain>
</file>

<file path=xl/sharedStrings.xml><?xml version="1.0" encoding="utf-8"?>
<sst xmlns="http://schemas.openxmlformats.org/spreadsheetml/2006/main" count="281" uniqueCount="132">
  <si>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</si>
  <si>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</si>
  <si>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</si>
  <si>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</si>
  <si>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</si>
  <si>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</si>
  <si>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</si>
  <si>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</si>
  <si>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</si>
  <si>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</si>
  <si>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</si>
  <si>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</si>
  <si>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</si>
  <si>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</si>
  <si>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</si>
  <si>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</si>
  <si>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</si>
  <si>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</si>
  <si>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</si>
  <si>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</si>
  <si>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</si>
  <si>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</si>
  <si>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</si>
  <si>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</si>
  <si>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</si>
  <si>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</si>
  <si>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</si>
  <si>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</si>
  <si>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</si>
  <si>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</si>
  <si>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</si>
  <si>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</si>
  <si>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</si>
  <si>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</si>
  <si>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</si>
  <si>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</si>
  <si>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</si>
  <si>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</si>
  <si>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人見</t>
    <rPh sb="0" eb="2">
      <t>ヒトミ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</si>
  <si>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</si>
  <si>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</si>
  <si>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</si>
  <si>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</si>
  <si>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</si>
  <si>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</si>
  <si>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</si>
  <si>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</si>
  <si>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</si>
  <si>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入力欄が活性、かつ、空欄であること</t>
    <rPh sb="4" eb="6">
      <t>カッセイ</t>
    </rPh>
    <rPh sb="10" eb="12">
      <t>クウラン</t>
    </rPh>
    <phoneticPr fontId="2"/>
  </si>
  <si>
    <t>入力欄が非活性、かつ、空欄であること</t>
    <rPh sb="4" eb="5">
      <t>ヒ</t>
    </rPh>
    <rPh sb="5" eb="7">
      <t>カッセイ</t>
    </rPh>
    <rPh sb="11" eb="13">
      <t>クウラン</t>
    </rPh>
    <phoneticPr fontId="2"/>
  </si>
  <si>
    <t>中止ボタン</t>
    <rPh sb="0" eb="2">
      <t>チュウシ</t>
    </rPh>
    <phoneticPr fontId="2"/>
  </si>
  <si>
    <t>中止ボタンを押下する</t>
    <rPh sb="0" eb="2">
      <t>チュウシ</t>
    </rPh>
    <rPh sb="6" eb="8">
      <t>オウカ</t>
    </rPh>
    <phoneticPr fontId="2"/>
  </si>
  <si>
    <t>確認メッセージが表示され、変更内容がリセットされること</t>
    <rPh sb="0" eb="2">
      <t>カクニン</t>
    </rPh>
    <rPh sb="8" eb="10">
      <t>ヒョウジ</t>
    </rPh>
    <rPh sb="13" eb="17">
      <t>ヘンコウナイヨウ</t>
    </rPh>
    <phoneticPr fontId="2"/>
  </si>
  <si>
    <t>虫眼鏡を押下する</t>
  </si>
  <si>
    <t>×ボタンを押下する</t>
    <rPh sb="5" eb="7">
      <t>オウカ</t>
    </rPh>
    <phoneticPr fontId="2"/>
  </si>
  <si>
    <t>入力制御確認</t>
    <phoneticPr fontId="2"/>
  </si>
  <si>
    <t>項目に入力する</t>
    <rPh sb="0" eb="2">
      <t>コウモク</t>
    </rPh>
    <rPh sb="3" eb="5">
      <t>ニュウリョク</t>
    </rPh>
    <phoneticPr fontId="2"/>
  </si>
  <si>
    <t>日付形式でのみ入力できること</t>
    <rPh sb="0" eb="2">
      <t>ヒヅケ</t>
    </rPh>
    <rPh sb="2" eb="4">
      <t>ケイシキ</t>
    </rPh>
    <rPh sb="7" eb="9">
      <t>ニュウリョク</t>
    </rPh>
    <phoneticPr fontId="2"/>
  </si>
  <si>
    <t>数値のみ入力できること</t>
    <rPh sb="0" eb="2">
      <t>スウチ</t>
    </rPh>
    <rPh sb="4" eb="6">
      <t>ニュウリョク</t>
    </rPh>
    <phoneticPr fontId="2"/>
  </si>
  <si>
    <t>保存ボタン</t>
    <rPh sb="0" eb="2">
      <t>ホゾン</t>
    </rPh>
    <phoneticPr fontId="2"/>
  </si>
  <si>
    <t>保存ボタンを押下する</t>
    <rPh sb="0" eb="2">
      <t>ホゾン</t>
    </rPh>
    <rPh sb="6" eb="8">
      <t>オウカ</t>
    </rPh>
    <phoneticPr fontId="2"/>
  </si>
  <si>
    <t>エラー確認</t>
    <rPh sb="3" eb="5">
      <t>カクニン</t>
    </rPh>
    <phoneticPr fontId="2"/>
  </si>
  <si>
    <t>メッセージが表示されること</t>
    <rPh sb="6" eb="8">
      <t>ヒョウジ</t>
    </rPh>
    <phoneticPr fontId="2"/>
  </si>
  <si>
    <t>メッセージが表示され、保存されないこと</t>
    <rPh sb="6" eb="8">
      <t>ヒョウジ</t>
    </rPh>
    <rPh sb="11" eb="13">
      <t>ホゾン</t>
    </rPh>
    <phoneticPr fontId="2"/>
  </si>
  <si>
    <t>経費日付</t>
    <rPh sb="0" eb="2">
      <t>ケイヒ</t>
    </rPh>
    <rPh sb="2" eb="4">
      <t>ヒヅケ</t>
    </rPh>
    <phoneticPr fontId="2"/>
  </si>
  <si>
    <t>科目</t>
    <rPh sb="0" eb="2">
      <t>カモク</t>
    </rPh>
    <phoneticPr fontId="2"/>
  </si>
  <si>
    <t>金額/消費税</t>
    <rPh sb="0" eb="2">
      <t>キンガク</t>
    </rPh>
    <rPh sb="3" eb="6">
      <t>ショウヒゼイ</t>
    </rPh>
    <phoneticPr fontId="2"/>
  </si>
  <si>
    <t>担当者</t>
    <rPh sb="0" eb="3">
      <t>タントウシャ</t>
    </rPh>
    <phoneticPr fontId="2"/>
  </si>
  <si>
    <t>購入先</t>
    <rPh sb="0" eb="3">
      <t>コウニュウサキ</t>
    </rPh>
    <phoneticPr fontId="2"/>
  </si>
  <si>
    <t>摘要</t>
    <rPh sb="0" eb="2">
      <t>テキヨウ</t>
    </rPh>
    <phoneticPr fontId="2"/>
  </si>
  <si>
    <t>入力欄が活性、かつ、当日の日付が入力されていること</t>
    <rPh sb="4" eb="6">
      <t>カッセイ</t>
    </rPh>
    <rPh sb="10" eb="12">
      <t>トウジツ</t>
    </rPh>
    <rPh sb="13" eb="15">
      <t>ヒヅケ</t>
    </rPh>
    <rPh sb="16" eb="18">
      <t>ニュウリョク</t>
    </rPh>
    <phoneticPr fontId="2"/>
  </si>
  <si>
    <t>経費番号(左)</t>
    <rPh sb="0" eb="2">
      <t>ケイヒ</t>
    </rPh>
    <rPh sb="2" eb="4">
      <t>バンゴウ</t>
    </rPh>
    <rPh sb="5" eb="6">
      <t>ヒダリ</t>
    </rPh>
    <phoneticPr fontId="2"/>
  </si>
  <si>
    <t>経費番号(右)</t>
    <rPh sb="0" eb="2">
      <t>ケイヒ</t>
    </rPh>
    <rPh sb="2" eb="4">
      <t>バンゴウ</t>
    </rPh>
    <rPh sb="5" eb="6">
      <t>ミギ</t>
    </rPh>
    <phoneticPr fontId="2"/>
  </si>
  <si>
    <t>数値のみで4桁まで入力できること</t>
    <rPh sb="0" eb="2">
      <t>スウチ</t>
    </rPh>
    <rPh sb="6" eb="7">
      <t>ケタ</t>
    </rPh>
    <rPh sb="9" eb="11">
      <t>ニュウリョク</t>
    </rPh>
    <phoneticPr fontId="2"/>
  </si>
  <si>
    <t>数値のみで2桁まで入力できること</t>
    <rPh sb="0" eb="2">
      <t>スウチ</t>
    </rPh>
    <rPh sb="6" eb="7">
      <t>ケタ</t>
    </rPh>
    <rPh sb="9" eb="11">
      <t>ニュウリョク</t>
    </rPh>
    <phoneticPr fontId="2"/>
  </si>
  <si>
    <t>[TD経費明細]にデータが保存されること</t>
    <rPh sb="3" eb="7">
      <t>ケイヒメイサイ</t>
    </rPh>
    <rPh sb="13" eb="15">
      <t>ホゾン</t>
    </rPh>
    <phoneticPr fontId="2"/>
  </si>
  <si>
    <t>科目　虫眼鏡</t>
    <rPh sb="0" eb="2">
      <t>カモク</t>
    </rPh>
    <rPh sb="3" eb="6">
      <t>ムシメガネ</t>
    </rPh>
    <phoneticPr fontId="2"/>
  </si>
  <si>
    <t>科目検索画面で科目を検索し、科目を選択する。</t>
    <rPh sb="0" eb="2">
      <t>カモク</t>
    </rPh>
    <rPh sb="2" eb="4">
      <t>ケンサク</t>
    </rPh>
    <rPh sb="7" eb="9">
      <t>カモク</t>
    </rPh>
    <rPh sb="14" eb="16">
      <t>カモク</t>
    </rPh>
    <phoneticPr fontId="2"/>
  </si>
  <si>
    <t>以下の項目に選択した科目の該当情報が表示されること
科目(活性)</t>
    <rPh sb="10" eb="12">
      <t>カモク</t>
    </rPh>
    <phoneticPr fontId="2"/>
  </si>
  <si>
    <t>以下の項目が科目入力前と同じであること
経費日付(活性)
経費番号(左)(非活性)
経費番号(右)(非活性)
金額/消費税(活性)
担当者(活性)
購入先(活性)
摘要(活性)</t>
    <rPh sb="6" eb="8">
      <t>カモク</t>
    </rPh>
    <phoneticPr fontId="2"/>
  </si>
  <si>
    <t>以下の項目に選択した科目の該当情報が削除されること
科目(活性)</t>
    <rPh sb="10" eb="12">
      <t>カモク</t>
    </rPh>
    <rPh sb="18" eb="20">
      <t>サクジョ</t>
    </rPh>
    <phoneticPr fontId="2"/>
  </si>
  <si>
    <t>科目　×ボタン</t>
    <rPh sb="0" eb="2">
      <t>カモク</t>
    </rPh>
    <phoneticPr fontId="2"/>
  </si>
  <si>
    <t>以下の項目が科目削除前と同じであること
経費日付(活性)
経費番号(左)(非活性)
経費番号(右)(非活性)
金額/消費税(活性)
担当者(活性)
購入先(活性)
摘要(活性)</t>
    <rPh sb="6" eb="8">
      <t>カモク</t>
    </rPh>
    <rPh sb="8" eb="10">
      <t>サクジョ</t>
    </rPh>
    <phoneticPr fontId="2"/>
  </si>
  <si>
    <t>科目</t>
    <rPh sb="0" eb="2">
      <t>カモク</t>
    </rPh>
    <phoneticPr fontId="2"/>
  </si>
  <si>
    <t>科目の値を削除する</t>
    <rPh sb="0" eb="2">
      <t>カモク</t>
    </rPh>
    <rPh sb="3" eb="4">
      <t>アタイ</t>
    </rPh>
    <rPh sb="5" eb="7">
      <t>サクジョ</t>
    </rPh>
    <phoneticPr fontId="2"/>
  </si>
  <si>
    <t>科目検索のダイアログが立ち上がること。</t>
    <rPh sb="0" eb="2">
      <t>カモク</t>
    </rPh>
    <rPh sb="2" eb="4">
      <t>ケンサク</t>
    </rPh>
    <phoneticPr fontId="2"/>
  </si>
  <si>
    <t>動作確認</t>
    <rPh sb="0" eb="2">
      <t>ドウサ</t>
    </rPh>
    <rPh sb="2" eb="4">
      <t>カクニン</t>
    </rPh>
    <phoneticPr fontId="2"/>
  </si>
  <si>
    <t>担当者　虫眼鏡</t>
    <rPh sb="4" eb="7">
      <t>ムシメガネ</t>
    </rPh>
    <phoneticPr fontId="2"/>
  </si>
  <si>
    <t>担当者検索画面で科目を検索し、科目を選択する。</t>
    <rPh sb="0" eb="3">
      <t>タントウシャ</t>
    </rPh>
    <rPh sb="3" eb="5">
      <t>ケンサク</t>
    </rPh>
    <rPh sb="8" eb="10">
      <t>カモク</t>
    </rPh>
    <rPh sb="15" eb="17">
      <t>カモク</t>
    </rPh>
    <phoneticPr fontId="2"/>
  </si>
  <si>
    <t>担当者検索のダイアログが立ち上がること。</t>
    <rPh sb="0" eb="3">
      <t>タントウシャ</t>
    </rPh>
    <rPh sb="3" eb="5">
      <t>ケンサク</t>
    </rPh>
    <phoneticPr fontId="2"/>
  </si>
  <si>
    <t>担当者　×ボタン</t>
    <rPh sb="0" eb="3">
      <t>タントウシャ</t>
    </rPh>
    <phoneticPr fontId="2"/>
  </si>
  <si>
    <t>担当者の値を削除する</t>
    <rPh sb="0" eb="3">
      <t>タントウシャ</t>
    </rPh>
    <rPh sb="4" eb="5">
      <t>アタイ</t>
    </rPh>
    <rPh sb="6" eb="8">
      <t>サクジョ</t>
    </rPh>
    <phoneticPr fontId="2"/>
  </si>
  <si>
    <t>以下の項目に選択した担当者の該当情報が表示されること
担当者(活性)</t>
    <rPh sb="10" eb="13">
      <t>タントウシャ</t>
    </rPh>
    <phoneticPr fontId="2"/>
  </si>
  <si>
    <t>以下の項目が担当者入力前と同じであること
経費日付(活性)
経費番号(左)(非活性)
経費番号(右)(非活性)
科目(活性)
金額/消費税(活性)
購入先(活性)
摘要(活性)</t>
    <rPh sb="6" eb="9">
      <t>タントウシャ</t>
    </rPh>
    <rPh sb="9" eb="11">
      <t>ニュウリョク</t>
    </rPh>
    <phoneticPr fontId="2"/>
  </si>
  <si>
    <t>以下の項目に選択した担当者の該当情報が削除されること
担当者(活性)</t>
    <rPh sb="10" eb="13">
      <t>タントウシャ</t>
    </rPh>
    <rPh sb="19" eb="21">
      <t>サクジョ</t>
    </rPh>
    <phoneticPr fontId="2"/>
  </si>
  <si>
    <t>以下の項目が担当者削除前と同じであること
経費日付(活性)
経費番号(左)(非活性)
経費番号(右)(非活性)
科目(活性)
金額/消費税(活性)
購入先(活性)
摘要(活性)</t>
    <rPh sb="6" eb="9">
      <t>タントウシャ</t>
    </rPh>
    <rPh sb="9" eb="11">
      <t>サクジョ</t>
    </rPh>
    <phoneticPr fontId="2"/>
  </si>
  <si>
    <t>以下の項目に選択した担当者の該当情報が削除されること
担当者(活性)</t>
    <rPh sb="19" eb="21">
      <t>サクジョ</t>
    </rPh>
    <phoneticPr fontId="2"/>
  </si>
  <si>
    <t>以下の項目が担当者削除前と同じであること
経費日付(活性)
経費番号(左)(非活性)
経費番号(右)(非活性)
科目(活性)
金額/消費税(活性)
購入先(活性)
摘要(活性)</t>
    <rPh sb="9" eb="11">
      <t>サクジョ</t>
    </rPh>
    <phoneticPr fontId="2"/>
  </si>
  <si>
    <t>摘要　虫眼鏡</t>
    <rPh sb="0" eb="2">
      <t>テキヨウ</t>
    </rPh>
    <rPh sb="3" eb="6">
      <t>ムシメガネ</t>
    </rPh>
    <phoneticPr fontId="2"/>
  </si>
  <si>
    <t>摘要検索のダイアログが立ち上がること。</t>
    <rPh sb="0" eb="2">
      <t>テキヨウ</t>
    </rPh>
    <rPh sb="2" eb="4">
      <t>ケンサク</t>
    </rPh>
    <phoneticPr fontId="2"/>
  </si>
  <si>
    <t>摘要検索画面で科目を検索し、科目を選択する。</t>
    <rPh sb="0" eb="2">
      <t>テキヨウ</t>
    </rPh>
    <rPh sb="2" eb="4">
      <t>ケンサク</t>
    </rPh>
    <rPh sb="7" eb="9">
      <t>カモク</t>
    </rPh>
    <rPh sb="14" eb="16">
      <t>カモク</t>
    </rPh>
    <phoneticPr fontId="2"/>
  </si>
  <si>
    <t>摘要　×ボタン</t>
    <rPh sb="0" eb="2">
      <t>テキヨウ</t>
    </rPh>
    <phoneticPr fontId="2"/>
  </si>
  <si>
    <t>摘要　虫眼鏡</t>
    <rPh sb="3" eb="6">
      <t>ムシメガネ</t>
    </rPh>
    <phoneticPr fontId="2"/>
  </si>
  <si>
    <t>摘要の値を削除する</t>
    <rPh sb="0" eb="2">
      <t>テキヨウ</t>
    </rPh>
    <rPh sb="3" eb="4">
      <t>アタイ</t>
    </rPh>
    <rPh sb="5" eb="7">
      <t>サクジョ</t>
    </rPh>
    <phoneticPr fontId="2"/>
  </si>
  <si>
    <t>以下の項目が摘要入力前と同じであること
経費日付(活性)
経費番号(左)(非活性)
経費番号(右)(非活性)
科目(活性)
金額/消費税(活性)
担当者(活性)
購入先(活性)</t>
    <rPh sb="6" eb="8">
      <t>テキヨウ</t>
    </rPh>
    <rPh sb="8" eb="10">
      <t>ニュウリョク</t>
    </rPh>
    <phoneticPr fontId="2"/>
  </si>
  <si>
    <t>以下の項目に選択した摘要の該当情報が表示されること
摘要(活性)</t>
    <rPh sb="10" eb="12">
      <t>テキヨウ</t>
    </rPh>
    <phoneticPr fontId="2"/>
  </si>
  <si>
    <t>以下の項目に選択した摘要の該当情報が削除されること
摘要(活性)</t>
    <rPh sb="10" eb="12">
      <t>テキヨウ</t>
    </rPh>
    <rPh sb="18" eb="20">
      <t>サクジョ</t>
    </rPh>
    <phoneticPr fontId="2"/>
  </si>
  <si>
    <t>以下の項目に選択した摘要の該当情報が削除されること
摘要(活性)</t>
    <rPh sb="18" eb="20">
      <t>サクジョ</t>
    </rPh>
    <phoneticPr fontId="2"/>
  </si>
  <si>
    <t>以下の項目が摘要削除前と同じであること
経費日付(活性)
経費番号(左)(非活性)
経費番号(右)(非活性)
科目(活性)
金額/消費税(活性)
担当者(活性)
購入先(活性)</t>
    <rPh sb="6" eb="8">
      <t>テキヨウ</t>
    </rPh>
    <rPh sb="8" eb="10">
      <t>サクジョ</t>
    </rPh>
    <phoneticPr fontId="2"/>
  </si>
  <si>
    <t>以下の項目が摘要削除前と同じであること
経費日付(活性)
経費番号(左)(非活性)
経費番号(右)(非活性)
科目(活性)
金額/消費税(活性)
担当者(活性)
購入先(活性)</t>
    <rPh sb="8" eb="10">
      <t>サクジョ</t>
    </rPh>
    <phoneticPr fontId="2"/>
  </si>
  <si>
    <t>担当者</t>
    <phoneticPr fontId="2"/>
  </si>
  <si>
    <t>摘要</t>
    <phoneticPr fontId="2"/>
  </si>
  <si>
    <t>[TM科目]に存在しない番号を入力し、フォーカスアウトする</t>
    <rPh sb="3" eb="5">
      <t>カモク</t>
    </rPh>
    <rPh sb="7" eb="9">
      <t>ソンザイ</t>
    </rPh>
    <rPh sb="12" eb="14">
      <t>バンゴウ</t>
    </rPh>
    <rPh sb="15" eb="17">
      <t>ニュウリョク</t>
    </rPh>
    <phoneticPr fontId="2"/>
  </si>
  <si>
    <t>メッセージが表示され、入力前の値に変更されること</t>
    <rPh sb="6" eb="8">
      <t>ヒョウジ</t>
    </rPh>
    <rPh sb="11" eb="14">
      <t>ニュウリョクマエ</t>
    </rPh>
    <rPh sb="15" eb="16">
      <t>アタイ</t>
    </rPh>
    <rPh sb="17" eb="19">
      <t>ヘンコウ</t>
    </rPh>
    <phoneticPr fontId="2"/>
  </si>
  <si>
    <t>金額の値が0の状態でフォーカスアウトする</t>
    <rPh sb="0" eb="2">
      <t>キンガク</t>
    </rPh>
    <rPh sb="3" eb="4">
      <t>アタイ</t>
    </rPh>
    <rPh sb="7" eb="9">
      <t>ジョウタイ</t>
    </rPh>
    <phoneticPr fontId="2"/>
  </si>
  <si>
    <t>[TM担当者]に存在しない番号を入力し、フォーカスアウトする</t>
    <rPh sb="3" eb="6">
      <t>タントウシャ</t>
    </rPh>
    <rPh sb="8" eb="10">
      <t>ソンザイ</t>
    </rPh>
    <rPh sb="13" eb="15">
      <t>バンゴウ</t>
    </rPh>
    <rPh sb="16" eb="18">
      <t>ニュウリョク</t>
    </rPh>
    <phoneticPr fontId="2"/>
  </si>
  <si>
    <t>[TM科目摘要]に存在しない番号を入力し、フォーカスアウトする</t>
    <rPh sb="3" eb="5">
      <t>カモク</t>
    </rPh>
    <rPh sb="5" eb="7">
      <t>テキヨウ</t>
    </rPh>
    <rPh sb="9" eb="11">
      <t>ソンザイ</t>
    </rPh>
    <rPh sb="14" eb="16">
      <t>バンゴウ</t>
    </rPh>
    <rPh sb="17" eb="19">
      <t>ニュウリョク</t>
    </rPh>
    <phoneticPr fontId="2"/>
  </si>
  <si>
    <t>科目の値が空の状態で保存ボタンを押下する</t>
    <rPh sb="3" eb="4">
      <t>アタイ</t>
    </rPh>
    <rPh sb="5" eb="6">
      <t>カラ</t>
    </rPh>
    <rPh sb="7" eb="9">
      <t>ジョウタイ</t>
    </rPh>
    <rPh sb="10" eb="12">
      <t>ホゾン</t>
    </rPh>
    <rPh sb="16" eb="18">
      <t>オウカ</t>
    </rPh>
    <phoneticPr fontId="2"/>
  </si>
  <si>
    <t>金額の値が空の状態で保存ボタンを押下する</t>
    <rPh sb="0" eb="2">
      <t>キンガク</t>
    </rPh>
    <rPh sb="3" eb="4">
      <t>アタイ</t>
    </rPh>
    <rPh sb="5" eb="6">
      <t>カラ</t>
    </rPh>
    <rPh sb="7" eb="9">
      <t>ジョウタイ</t>
    </rPh>
    <rPh sb="10" eb="12">
      <t>ホゾン</t>
    </rPh>
    <rPh sb="16" eb="18">
      <t>オウカ</t>
    </rPh>
    <phoneticPr fontId="2"/>
  </si>
  <si>
    <t>経費日付</t>
    <rPh sb="0" eb="2">
      <t>ケイヒ</t>
    </rPh>
    <rPh sb="2" eb="4">
      <t>ヒヅケ</t>
    </rPh>
    <phoneticPr fontId="2"/>
  </si>
  <si>
    <t>経費日付の値が空の状態でフォーカスアウトする</t>
    <rPh sb="0" eb="2">
      <t>ケイヒ</t>
    </rPh>
    <rPh sb="2" eb="4">
      <t>ヒヅケ</t>
    </rPh>
    <rPh sb="5" eb="6">
      <t>アタイ</t>
    </rPh>
    <rPh sb="7" eb="8">
      <t>カラ</t>
    </rPh>
    <rPh sb="9" eb="11">
      <t>ジョウタイ</t>
    </rPh>
    <phoneticPr fontId="2"/>
  </si>
  <si>
    <t>松村</t>
    <rPh sb="0" eb="2">
      <t>マツムラ</t>
    </rPh>
    <phoneticPr fontId="2"/>
  </si>
  <si>
    <t>NG</t>
  </si>
  <si>
    <t>NG</t>
    <phoneticPr fontId="2"/>
  </si>
  <si>
    <t>当日の日付が入力されていない</t>
    <rPh sb="0" eb="2">
      <t>トウジツ</t>
    </rPh>
    <rPh sb="3" eb="5">
      <t>ヒヅケ</t>
    </rPh>
    <rPh sb="6" eb="8">
      <t>ニュウリョク</t>
    </rPh>
    <phoneticPr fontId="2"/>
  </si>
  <si>
    <t>メニューより経費入力を起動する</t>
  </si>
  <si>
    <t>OK</t>
    <phoneticPr fontId="2"/>
  </si>
  <si>
    <t>無効なタイトルですと表示されデータの保存ができない</t>
    <rPh sb="0" eb="2">
      <t>ムコウ</t>
    </rPh>
    <rPh sb="10" eb="12">
      <t>ヒョウジ</t>
    </rPh>
    <rPh sb="18" eb="20">
      <t>ホゾン</t>
    </rPh>
    <phoneticPr fontId="2"/>
  </si>
  <si>
    <t>摘用の2行目の文字が消えない</t>
    <rPh sb="0" eb="1">
      <t>ツ</t>
    </rPh>
    <rPh sb="1" eb="2">
      <t>ヨウ</t>
    </rPh>
    <rPh sb="4" eb="6">
      <t>ギョウメ</t>
    </rPh>
    <rPh sb="7" eb="9">
      <t>モジ</t>
    </rPh>
    <rPh sb="10" eb="11">
      <t>キ</t>
    </rPh>
    <phoneticPr fontId="2"/>
  </si>
  <si>
    <t>メッセージが表示されない</t>
    <rPh sb="6" eb="8">
      <t>ヒョウジ</t>
    </rPh>
    <phoneticPr fontId="2"/>
  </si>
  <si>
    <t>大谷</t>
    <rPh sb="0" eb="2">
      <t>オオタニ</t>
    </rPh>
    <phoneticPr fontId="2"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</si>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</sst>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10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84" t="s">
        <v>0</v>
      </c>
      <c r="C2" s="85"/>
      <c r="D2" s="85"/>
      <c r="E2" s="85"/>
      <c r="F2" s="85"/>
      <c r="G2" s="85"/>
      <c r="H2" s="85" t="s">
        <v>41</v>
      </c>
      <c r="I2" s="85"/>
      <c r="J2" s="85"/>
      <c r="K2" s="85"/>
      <c r="L2" s="85" t="s">
        <v>42</v>
      </c>
      <c r="M2" s="85"/>
      <c r="N2" s="85"/>
      <c r="O2" s="85"/>
      <c r="P2" s="85"/>
      <c r="Q2" s="85"/>
      <c r="R2" s="85" t="s">
        <v>1</v>
      </c>
      <c r="S2" s="85"/>
      <c r="T2" s="85"/>
      <c r="U2" s="85"/>
      <c r="V2" s="85"/>
      <c r="W2" s="85"/>
      <c r="X2" s="86" t="s">
        <v>2</v>
      </c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8"/>
      <c r="AK2" s="86" t="s">
        <v>30</v>
      </c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8"/>
      <c r="AX2" s="85" t="s">
        <v>4</v>
      </c>
      <c r="AY2" s="85"/>
      <c r="AZ2" s="85"/>
      <c r="BA2" s="85"/>
      <c r="BB2" s="85" t="s">
        <v>3</v>
      </c>
      <c r="BC2" s="85"/>
      <c r="BD2" s="85"/>
      <c r="BE2" s="85"/>
      <c r="BF2" s="85" t="s">
        <v>5</v>
      </c>
      <c r="BG2" s="85"/>
      <c r="BH2" s="85"/>
      <c r="BI2" s="85"/>
      <c r="BJ2" s="85" t="s">
        <v>6</v>
      </c>
      <c r="BK2" s="85"/>
      <c r="BL2" s="85"/>
      <c r="BM2" s="99"/>
      <c r="BN2" s="15"/>
    </row>
    <row r="3" spans="1:66" ht="20.100000000000001" customHeight="1" x14ac:dyDescent="0.45">
      <c r="A3" s="9"/>
      <c r="B3" s="89" t="s">
        <v>39</v>
      </c>
      <c r="C3" s="90"/>
      <c r="D3" s="90"/>
      <c r="E3" s="90"/>
      <c r="F3" s="90"/>
      <c r="G3" s="90"/>
      <c r="H3" s="90" t="str">
        <f ca="1">LEFT($X$3,FIND("_",$X$3)-1)</f>
        <v>経費</v>
      </c>
      <c r="I3" s="90"/>
      <c r="J3" s="90"/>
      <c r="K3" s="90"/>
      <c r="L3" s="90" t="s">
        <v>40</v>
      </c>
      <c r="M3" s="90"/>
      <c r="N3" s="90"/>
      <c r="O3" s="90"/>
      <c r="P3" s="90"/>
      <c r="Q3" s="90"/>
      <c r="R3" s="93" t="str">
        <f ca="1">MID($X$3,FIND("_",$X$3,FIND("_",$X$3)+1)+1,LEN($X$3)-FIND("_",$X$3,FIND("_",$X$3)+1))</f>
        <v>結合試験項目</v>
      </c>
      <c r="S3" s="90"/>
      <c r="T3" s="90"/>
      <c r="U3" s="90"/>
      <c r="V3" s="90"/>
      <c r="W3" s="90"/>
      <c r="X3" s="94" t="str">
        <f ca="1">REPLACE(LEFT(CELL("filename",$B$2),FIND(".x",CELL("filename",$B$2))-1),1,FIND("[",CELL("filename",$B$2)),)</f>
        <v>経費_経費入力_結合試験項目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1"/>
      <c r="AK3" s="94" t="str">
        <f ca="1">MID($X$3,FIND("_",$X$3)+1,FIND("_",$X$3,FIND("_",$X$3)+1)-FIND("_",$X$3)-1)</f>
        <v>経費入力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1"/>
      <c r="AX3" s="101">
        <v>45628</v>
      </c>
      <c r="AY3" s="90"/>
      <c r="AZ3" s="90"/>
      <c r="BA3" s="90"/>
      <c r="BB3" s="90" t="s">
        <v>38</v>
      </c>
      <c r="BC3" s="90"/>
      <c r="BD3" s="90"/>
      <c r="BE3" s="90"/>
      <c r="BF3" s="101">
        <v>45628</v>
      </c>
      <c r="BG3" s="90"/>
      <c r="BH3" s="90"/>
      <c r="BI3" s="90"/>
      <c r="BJ3" s="90" t="s">
        <v>38</v>
      </c>
      <c r="BK3" s="90"/>
      <c r="BL3" s="90"/>
      <c r="BM3" s="102"/>
      <c r="BN3" s="15"/>
    </row>
    <row r="4" spans="1:66" ht="20.100000000000001" customHeight="1" thickBot="1" x14ac:dyDescent="0.5">
      <c r="A4" s="9"/>
      <c r="B4" s="91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6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8"/>
      <c r="AK4" s="96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8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00" t="s">
        <v>7</v>
      </c>
      <c r="D8" s="100"/>
      <c r="E8" s="100"/>
      <c r="F8" s="100"/>
      <c r="G8" s="100" t="s">
        <v>8</v>
      </c>
      <c r="H8" s="100"/>
      <c r="I8" s="100"/>
      <c r="J8" s="100"/>
      <c r="K8" s="100" t="s">
        <v>9</v>
      </c>
      <c r="L8" s="100"/>
      <c r="M8" s="100"/>
      <c r="N8" s="100"/>
      <c r="O8" s="100" t="s">
        <v>10</v>
      </c>
      <c r="P8" s="100"/>
      <c r="Q8" s="100"/>
      <c r="R8" s="100"/>
      <c r="S8" s="100"/>
      <c r="T8" s="100"/>
      <c r="U8" s="100"/>
      <c r="V8" s="100"/>
      <c r="W8" s="100"/>
      <c r="X8" s="100"/>
      <c r="Y8" s="100" t="s">
        <v>11</v>
      </c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8"/>
      <c r="BN8" s="15"/>
    </row>
    <row r="9" spans="1:66" ht="20.100000000000001" customHeight="1" x14ac:dyDescent="0.45">
      <c r="A9" s="9"/>
      <c r="B9" s="8"/>
      <c r="C9" s="103">
        <v>45628</v>
      </c>
      <c r="D9" s="104"/>
      <c r="E9" s="104"/>
      <c r="F9" s="105"/>
      <c r="G9" s="106" t="s">
        <v>20</v>
      </c>
      <c r="H9" s="107"/>
      <c r="I9" s="107"/>
      <c r="J9" s="108"/>
      <c r="K9" s="109"/>
      <c r="L9" s="104"/>
      <c r="M9" s="104"/>
      <c r="N9" s="105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03"/>
      <c r="D10" s="104"/>
      <c r="E10" s="104"/>
      <c r="F10" s="105"/>
      <c r="G10" s="106"/>
      <c r="H10" s="107"/>
      <c r="I10" s="107"/>
      <c r="J10" s="108"/>
      <c r="K10" s="109"/>
      <c r="L10" s="104"/>
      <c r="M10" s="104"/>
      <c r="N10" s="105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03"/>
      <c r="D11" s="104"/>
      <c r="E11" s="104"/>
      <c r="F11" s="105"/>
      <c r="G11" s="106"/>
      <c r="H11" s="107"/>
      <c r="I11" s="107"/>
      <c r="J11" s="108"/>
      <c r="K11" s="109"/>
      <c r="L11" s="104"/>
      <c r="M11" s="104"/>
      <c r="N11" s="105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03"/>
      <c r="D36" s="104"/>
      <c r="E36" s="104"/>
      <c r="F36" s="105"/>
      <c r="G36" s="106"/>
      <c r="H36" s="107"/>
      <c r="I36" s="107"/>
      <c r="J36" s="108"/>
      <c r="K36" s="109"/>
      <c r="L36" s="104"/>
      <c r="M36" s="104"/>
      <c r="N36" s="105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03"/>
      <c r="D37" s="104"/>
      <c r="E37" s="104"/>
      <c r="F37" s="105"/>
      <c r="G37" s="106"/>
      <c r="H37" s="107"/>
      <c r="I37" s="107"/>
      <c r="J37" s="108"/>
      <c r="K37" s="109"/>
      <c r="L37" s="104"/>
      <c r="M37" s="104"/>
      <c r="N37" s="105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03"/>
      <c r="D38" s="104"/>
      <c r="E38" s="104"/>
      <c r="F38" s="105"/>
      <c r="G38" s="106"/>
      <c r="H38" s="107"/>
      <c r="I38" s="107"/>
      <c r="J38" s="108"/>
      <c r="K38" s="109"/>
      <c r="L38" s="104"/>
      <c r="M38" s="104"/>
      <c r="N38" s="105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03"/>
      <c r="D39" s="104"/>
      <c r="E39" s="104"/>
      <c r="F39" s="105"/>
      <c r="G39" s="106"/>
      <c r="H39" s="107"/>
      <c r="I39" s="107"/>
      <c r="J39" s="108"/>
      <c r="K39" s="109"/>
      <c r="L39" s="104"/>
      <c r="M39" s="104"/>
      <c r="N39" s="105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03"/>
      <c r="D40" s="104"/>
      <c r="E40" s="104"/>
      <c r="F40" s="105"/>
      <c r="G40" s="106"/>
      <c r="H40" s="107"/>
      <c r="I40" s="107"/>
      <c r="J40" s="108"/>
      <c r="K40" s="109"/>
      <c r="L40" s="104"/>
      <c r="M40" s="104"/>
      <c r="N40" s="105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03"/>
      <c r="D41" s="104"/>
      <c r="E41" s="104"/>
      <c r="F41" s="105"/>
      <c r="G41" s="106"/>
      <c r="H41" s="107"/>
      <c r="I41" s="107"/>
      <c r="J41" s="108"/>
      <c r="K41" s="109"/>
      <c r="L41" s="104"/>
      <c r="M41" s="104"/>
      <c r="N41" s="105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03"/>
      <c r="D42" s="104"/>
      <c r="E42" s="104"/>
      <c r="F42" s="105"/>
      <c r="G42" s="106"/>
      <c r="H42" s="107"/>
      <c r="I42" s="107"/>
      <c r="J42" s="108"/>
      <c r="K42" s="109"/>
      <c r="L42" s="104"/>
      <c r="M42" s="104"/>
      <c r="N42" s="105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03"/>
      <c r="D43" s="104"/>
      <c r="E43" s="104"/>
      <c r="F43" s="105"/>
      <c r="G43" s="106"/>
      <c r="H43" s="107"/>
      <c r="I43" s="107"/>
      <c r="J43" s="108"/>
      <c r="K43" s="109"/>
      <c r="L43" s="104"/>
      <c r="M43" s="104"/>
      <c r="N43" s="105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03"/>
      <c r="D44" s="104"/>
      <c r="E44" s="104"/>
      <c r="F44" s="105"/>
      <c r="G44" s="106"/>
      <c r="H44" s="107"/>
      <c r="I44" s="107"/>
      <c r="J44" s="108"/>
      <c r="K44" s="109"/>
      <c r="L44" s="104"/>
      <c r="M44" s="104"/>
      <c r="N44" s="105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03"/>
      <c r="D45" s="104"/>
      <c r="E45" s="104"/>
      <c r="F45" s="105"/>
      <c r="G45" s="106"/>
      <c r="H45" s="107"/>
      <c r="I45" s="107"/>
      <c r="J45" s="108"/>
      <c r="K45" s="109"/>
      <c r="L45" s="104"/>
      <c r="M45" s="104"/>
      <c r="N45" s="105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03"/>
      <c r="D46" s="104"/>
      <c r="E46" s="104"/>
      <c r="F46" s="105"/>
      <c r="G46" s="106"/>
      <c r="H46" s="107"/>
      <c r="I46" s="107"/>
      <c r="J46" s="108"/>
      <c r="K46" s="109"/>
      <c r="L46" s="104"/>
      <c r="M46" s="104"/>
      <c r="N46" s="105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03"/>
      <c r="D47" s="104"/>
      <c r="E47" s="104"/>
      <c r="F47" s="105"/>
      <c r="G47" s="106"/>
      <c r="H47" s="107"/>
      <c r="I47" s="107"/>
      <c r="J47" s="108"/>
      <c r="K47" s="109"/>
      <c r="L47" s="104"/>
      <c r="M47" s="104"/>
      <c r="N47" s="105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6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4" t="s">
        <v>0</v>
      </c>
      <c r="C2" s="85"/>
      <c r="D2" s="85"/>
      <c r="E2" s="85"/>
      <c r="F2" s="85"/>
      <c r="G2" s="85"/>
      <c r="H2" s="85" t="s">
        <v>41</v>
      </c>
      <c r="I2" s="85"/>
      <c r="J2" s="85"/>
      <c r="K2" s="85"/>
      <c r="L2" s="85" t="s">
        <v>42</v>
      </c>
      <c r="M2" s="85"/>
      <c r="N2" s="85"/>
      <c r="O2" s="85"/>
      <c r="P2" s="85"/>
      <c r="Q2" s="85"/>
      <c r="R2" s="85" t="s">
        <v>1</v>
      </c>
      <c r="S2" s="85"/>
      <c r="T2" s="85"/>
      <c r="U2" s="85"/>
      <c r="V2" s="85"/>
      <c r="W2" s="85"/>
      <c r="X2" s="86" t="s">
        <v>2</v>
      </c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8"/>
      <c r="AK2" s="86" t="s">
        <v>30</v>
      </c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8"/>
      <c r="AX2" s="85" t="s">
        <v>4</v>
      </c>
      <c r="AY2" s="85"/>
      <c r="AZ2" s="85"/>
      <c r="BA2" s="85"/>
      <c r="BB2" s="85" t="s">
        <v>3</v>
      </c>
      <c r="BC2" s="85"/>
      <c r="BD2" s="85"/>
      <c r="BE2" s="85"/>
      <c r="BF2" s="85" t="s">
        <v>5</v>
      </c>
      <c r="BG2" s="85"/>
      <c r="BH2" s="85"/>
      <c r="BI2" s="85"/>
      <c r="BJ2" s="85" t="s">
        <v>6</v>
      </c>
      <c r="BK2" s="85"/>
      <c r="BL2" s="85"/>
      <c r="BM2" s="99"/>
      <c r="BN2" s="16"/>
    </row>
    <row r="3" spans="1:66" ht="20.100000000000001" customHeight="1" x14ac:dyDescent="0.45">
      <c r="A3" s="10"/>
      <c r="B3" s="89" t="str">
        <f>変更履歴!B3</f>
        <v>受発注システム</v>
      </c>
      <c r="C3" s="90"/>
      <c r="D3" s="90"/>
      <c r="E3" s="90"/>
      <c r="F3" s="90"/>
      <c r="G3" s="90"/>
      <c r="H3" s="90" t="str">
        <f ca="1">変更履歴!H3</f>
        <v>経費</v>
      </c>
      <c r="I3" s="90"/>
      <c r="J3" s="90"/>
      <c r="K3" s="90"/>
      <c r="L3" s="90" t="str">
        <f>変更履歴!L3</f>
        <v>受発注</v>
      </c>
      <c r="M3" s="90"/>
      <c r="N3" s="90"/>
      <c r="O3" s="90"/>
      <c r="P3" s="90"/>
      <c r="Q3" s="90"/>
      <c r="R3" s="90" t="str">
        <f ca="1">変更履歴!R3</f>
        <v>結合試験項目</v>
      </c>
      <c r="S3" s="90"/>
      <c r="T3" s="90"/>
      <c r="U3" s="90"/>
      <c r="V3" s="90"/>
      <c r="W3" s="90"/>
      <c r="X3" s="94" t="str">
        <f ca="1">変更履歴!X3</f>
        <v>経費_経費入力_結合試験項目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1"/>
      <c r="AK3" s="94" t="str">
        <f ca="1">変更履歴!AK3</f>
        <v>経費入力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1"/>
      <c r="AX3" s="101">
        <f>変更履歴!AX3</f>
        <v>45628</v>
      </c>
      <c r="AY3" s="101"/>
      <c r="AZ3" s="101"/>
      <c r="BA3" s="101"/>
      <c r="BB3" s="90" t="str">
        <f>変更履歴!BB3</f>
        <v>人見</v>
      </c>
      <c r="BC3" s="90"/>
      <c r="BD3" s="90"/>
      <c r="BE3" s="90"/>
      <c r="BF3" s="101">
        <f>変更履歴!BF3</f>
        <v>45628</v>
      </c>
      <c r="BG3" s="101"/>
      <c r="BH3" s="101"/>
      <c r="BI3" s="101"/>
      <c r="BJ3" s="90" t="str">
        <f>変更履歴!BJ3</f>
        <v>人見</v>
      </c>
      <c r="BK3" s="90"/>
      <c r="BL3" s="90"/>
      <c r="BM3" s="102"/>
      <c r="BN3" s="16"/>
    </row>
    <row r="4" spans="1:66" ht="20.100000000000001" customHeight="1" thickBot="1" x14ac:dyDescent="0.5">
      <c r="A4" s="10"/>
      <c r="B4" s="91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6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8"/>
      <c r="AK4" s="96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8"/>
      <c r="AX4" s="153"/>
      <c r="AY4" s="153"/>
      <c r="AZ4" s="153"/>
      <c r="BA4" s="153"/>
      <c r="BB4" s="92"/>
      <c r="BC4" s="92"/>
      <c r="BD4" s="92"/>
      <c r="BE4" s="92"/>
      <c r="BF4" s="153"/>
      <c r="BG4" s="153"/>
      <c r="BH4" s="153"/>
      <c r="BI4" s="153"/>
      <c r="BJ4" s="92"/>
      <c r="BK4" s="92"/>
      <c r="BL4" s="92"/>
      <c r="BM4" s="9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9" t="s">
        <v>32</v>
      </c>
      <c r="BF7" s="140"/>
      <c r="BG7" s="143" t="s">
        <v>31</v>
      </c>
      <c r="BH7" s="143"/>
      <c r="BI7" s="144" t="s">
        <v>33</v>
      </c>
      <c r="BJ7" s="145"/>
      <c r="BK7" s="144" t="s">
        <v>34</v>
      </c>
      <c r="BL7" s="13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5" t="s">
        <v>35</v>
      </c>
      <c r="AP8" s="136"/>
      <c r="AQ8" s="136"/>
      <c r="AR8" s="136"/>
      <c r="AS8" s="136"/>
      <c r="AT8" s="137"/>
      <c r="AU8" s="135" t="s">
        <v>36</v>
      </c>
      <c r="AV8" s="136"/>
      <c r="AW8" s="136"/>
      <c r="AX8" s="136"/>
      <c r="AY8" s="136"/>
      <c r="AZ8" s="137"/>
      <c r="BE8" s="141"/>
      <c r="BF8" s="142"/>
      <c r="BG8" s="150">
        <f>COUNTA(C10:C53)</f>
        <v>44</v>
      </c>
      <c r="BH8" s="151"/>
      <c r="BI8" s="150">
        <f>COUNTIF(AS10:AT53,"OK")+COUNTIF(AY10:AZ53,"OK")</f>
        <v>44</v>
      </c>
      <c r="BJ8" s="151"/>
      <c r="BK8" s="150">
        <f>BG8-BI8</f>
        <v>0</v>
      </c>
      <c r="BL8" s="15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9" t="s">
        <v>25</v>
      </c>
      <c r="AP9" s="130"/>
      <c r="AQ9" s="131" t="s">
        <v>26</v>
      </c>
      <c r="AR9" s="130"/>
      <c r="AS9" s="131" t="s">
        <v>29</v>
      </c>
      <c r="AT9" s="138"/>
      <c r="AU9" s="129" t="s">
        <v>25</v>
      </c>
      <c r="AV9" s="130"/>
      <c r="AW9" s="131" t="s">
        <v>26</v>
      </c>
      <c r="AX9" s="130"/>
      <c r="AY9" s="131" t="s">
        <v>29</v>
      </c>
      <c r="AZ9" s="138"/>
      <c r="BA9" s="146" t="s">
        <v>27</v>
      </c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7"/>
      <c r="BM9" s="16"/>
      <c r="BN9" s="16"/>
    </row>
    <row r="10" spans="1:66" ht="26.4" customHeight="1" x14ac:dyDescent="0.45">
      <c r="A10" s="10"/>
      <c r="B10" s="10"/>
      <c r="C10" s="30">
        <f>ROW()-9</f>
        <v>1</v>
      </c>
      <c r="D10" s="116" t="s">
        <v>43</v>
      </c>
      <c r="E10" s="117"/>
      <c r="F10" s="117"/>
      <c r="G10" s="118"/>
      <c r="H10" s="116" t="s">
        <v>44</v>
      </c>
      <c r="I10" s="117"/>
      <c r="J10" s="117"/>
      <c r="K10" s="118"/>
      <c r="L10" s="113" t="s">
        <v>64</v>
      </c>
      <c r="M10" s="114"/>
      <c r="N10" s="114"/>
      <c r="O10" s="115"/>
      <c r="P10" s="113" t="s">
        <v>125</v>
      </c>
      <c r="Q10" s="114"/>
      <c r="R10" s="114"/>
      <c r="S10" s="114"/>
      <c r="T10" s="114"/>
      <c r="U10" s="114"/>
      <c r="V10" s="114"/>
      <c r="W10" s="115"/>
      <c r="X10" s="113" t="s">
        <v>70</v>
      </c>
      <c r="Y10" s="114"/>
      <c r="Z10" s="114"/>
      <c r="AA10" s="114"/>
      <c r="AB10" s="114"/>
      <c r="AC10" s="114"/>
      <c r="AD10" s="114"/>
      <c r="AE10" s="115"/>
      <c r="AF10" s="113"/>
      <c r="AG10" s="114"/>
      <c r="AH10" s="114"/>
      <c r="AI10" s="114"/>
      <c r="AJ10" s="114"/>
      <c r="AK10" s="114"/>
      <c r="AL10" s="114"/>
      <c r="AM10" s="114"/>
      <c r="AN10" s="119"/>
      <c r="AO10" s="133">
        <v>45686</v>
      </c>
      <c r="AP10" s="134"/>
      <c r="AQ10" s="109" t="s">
        <v>121</v>
      </c>
      <c r="AR10" s="105"/>
      <c r="AS10" s="109" t="s">
        <v>123</v>
      </c>
      <c r="AT10" s="132"/>
      <c r="AU10" s="133">
        <v>45705</v>
      </c>
      <c r="AV10" s="134"/>
      <c r="AW10" s="109" t="s">
        <v>130</v>
      </c>
      <c r="AX10" s="105"/>
      <c r="AY10" s="109" t="s">
        <v>131</v>
      </c>
      <c r="AZ10" s="132"/>
      <c r="BA10" s="147" t="s">
        <v>124</v>
      </c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9"/>
      <c r="BM10" s="16"/>
      <c r="BN10" s="16"/>
    </row>
    <row r="11" spans="1:66" ht="18" customHeight="1" x14ac:dyDescent="0.45">
      <c r="A11" s="10"/>
      <c r="B11" s="10"/>
      <c r="C11" s="40">
        <f t="shared" ref="C11:C53" si="0">ROW()-9</f>
        <v>2</v>
      </c>
      <c r="D11" s="110"/>
      <c r="E11" s="111"/>
      <c r="F11" s="111"/>
      <c r="G11" s="112"/>
      <c r="H11" s="110"/>
      <c r="I11" s="111"/>
      <c r="J11" s="111"/>
      <c r="K11" s="112"/>
      <c r="L11" s="113" t="s">
        <v>71</v>
      </c>
      <c r="M11" s="114"/>
      <c r="N11" s="114"/>
      <c r="O11" s="115"/>
      <c r="P11" s="113" t="s">
        <v>125</v>
      </c>
      <c r="Q11" s="114"/>
      <c r="R11" s="114"/>
      <c r="S11" s="114"/>
      <c r="T11" s="114"/>
      <c r="U11" s="114"/>
      <c r="V11" s="114"/>
      <c r="W11" s="115"/>
      <c r="X11" s="113" t="s">
        <v>49</v>
      </c>
      <c r="Y11" s="114"/>
      <c r="Z11" s="114"/>
      <c r="AA11" s="114"/>
      <c r="AB11" s="114"/>
      <c r="AC11" s="114"/>
      <c r="AD11" s="114"/>
      <c r="AE11" s="115"/>
      <c r="AF11" s="113"/>
      <c r="AG11" s="114"/>
      <c r="AH11" s="114"/>
      <c r="AI11" s="114"/>
      <c r="AJ11" s="114"/>
      <c r="AK11" s="114"/>
      <c r="AL11" s="114"/>
      <c r="AM11" s="114"/>
      <c r="AN11" s="119"/>
      <c r="AO11" s="133">
        <v>45686</v>
      </c>
      <c r="AP11" s="134"/>
      <c r="AQ11" s="109" t="s">
        <v>121</v>
      </c>
      <c r="AR11" s="105"/>
      <c r="AS11" s="109" t="s">
        <v>126</v>
      </c>
      <c r="AT11" s="132"/>
      <c r="AU11" s="133"/>
      <c r="AV11" s="134"/>
      <c r="AW11" s="109"/>
      <c r="AX11" s="105"/>
      <c r="AY11" s="109"/>
      <c r="AZ11" s="132"/>
      <c r="BA11" s="147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9"/>
      <c r="BM11" s="16"/>
      <c r="BN11" s="16"/>
    </row>
    <row r="12" spans="1:66" s="35" customFormat="1" ht="18" customHeight="1" x14ac:dyDescent="0.45">
      <c r="A12" s="36"/>
      <c r="B12" s="36"/>
      <c r="C12" s="40">
        <f t="shared" si="0"/>
        <v>3</v>
      </c>
      <c r="D12" s="110"/>
      <c r="E12" s="111"/>
      <c r="F12" s="111"/>
      <c r="G12" s="112"/>
      <c r="H12" s="110"/>
      <c r="I12" s="111"/>
      <c r="J12" s="111"/>
      <c r="K12" s="112"/>
      <c r="L12" s="113" t="s">
        <v>72</v>
      </c>
      <c r="M12" s="114"/>
      <c r="N12" s="114"/>
      <c r="O12" s="115"/>
      <c r="P12" s="113" t="s">
        <v>125</v>
      </c>
      <c r="Q12" s="114"/>
      <c r="R12" s="114"/>
      <c r="S12" s="114"/>
      <c r="T12" s="114"/>
      <c r="U12" s="114"/>
      <c r="V12" s="114"/>
      <c r="W12" s="115"/>
      <c r="X12" s="113" t="s">
        <v>49</v>
      </c>
      <c r="Y12" s="114"/>
      <c r="Z12" s="114"/>
      <c r="AA12" s="114"/>
      <c r="AB12" s="114"/>
      <c r="AC12" s="114"/>
      <c r="AD12" s="114"/>
      <c r="AE12" s="115"/>
      <c r="AF12" s="113"/>
      <c r="AG12" s="114"/>
      <c r="AH12" s="114"/>
      <c r="AI12" s="114"/>
      <c r="AJ12" s="114"/>
      <c r="AK12" s="114"/>
      <c r="AL12" s="114"/>
      <c r="AM12" s="114"/>
      <c r="AN12" s="119"/>
      <c r="AO12" s="133">
        <v>45686</v>
      </c>
      <c r="AP12" s="134"/>
      <c r="AQ12" s="109" t="s">
        <v>121</v>
      </c>
      <c r="AR12" s="105"/>
      <c r="AS12" s="109" t="s">
        <v>126</v>
      </c>
      <c r="AT12" s="132"/>
      <c r="AU12" s="69"/>
      <c r="AV12" s="70"/>
      <c r="AW12" s="68"/>
      <c r="AX12" s="67"/>
      <c r="AY12" s="68"/>
      <c r="AZ12" s="71"/>
      <c r="BA12" s="72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4"/>
      <c r="BM12" s="37"/>
      <c r="BN12" s="37"/>
    </row>
    <row r="13" spans="1:66" s="35" customFormat="1" ht="20.399999999999999" customHeight="1" x14ac:dyDescent="0.45">
      <c r="A13" s="36"/>
      <c r="B13" s="36"/>
      <c r="C13" s="40">
        <f t="shared" si="0"/>
        <v>4</v>
      </c>
      <c r="D13" s="47"/>
      <c r="E13" s="48"/>
      <c r="F13" s="48"/>
      <c r="G13" s="49"/>
      <c r="H13" s="47"/>
      <c r="I13" s="48"/>
      <c r="J13" s="48"/>
      <c r="K13" s="49"/>
      <c r="L13" s="113" t="s">
        <v>65</v>
      </c>
      <c r="M13" s="114"/>
      <c r="N13" s="114"/>
      <c r="O13" s="115"/>
      <c r="P13" s="113" t="s">
        <v>125</v>
      </c>
      <c r="Q13" s="114"/>
      <c r="R13" s="114"/>
      <c r="S13" s="114"/>
      <c r="T13" s="114"/>
      <c r="U13" s="114"/>
      <c r="V13" s="114"/>
      <c r="W13" s="115"/>
      <c r="X13" s="113" t="s">
        <v>48</v>
      </c>
      <c r="Y13" s="114"/>
      <c r="Z13" s="114"/>
      <c r="AA13" s="114"/>
      <c r="AB13" s="114"/>
      <c r="AC13" s="114"/>
      <c r="AD13" s="114"/>
      <c r="AE13" s="115"/>
      <c r="AF13" s="113"/>
      <c r="AG13" s="114"/>
      <c r="AH13" s="114"/>
      <c r="AI13" s="114"/>
      <c r="AJ13" s="114"/>
      <c r="AK13" s="114"/>
      <c r="AL13" s="114"/>
      <c r="AM13" s="114"/>
      <c r="AN13" s="119"/>
      <c r="AO13" s="133">
        <v>45686</v>
      </c>
      <c r="AP13" s="134"/>
      <c r="AQ13" s="109" t="s">
        <v>121</v>
      </c>
      <c r="AR13" s="105"/>
      <c r="AS13" s="109" t="s">
        <v>126</v>
      </c>
      <c r="AT13" s="132"/>
      <c r="AU13" s="44"/>
      <c r="AV13" s="45"/>
      <c r="AW13" s="38"/>
      <c r="AX13" s="39"/>
      <c r="AY13" s="38"/>
      <c r="AZ13" s="46"/>
      <c r="BA13" s="41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3"/>
      <c r="BM13" s="37"/>
      <c r="BN13" s="37"/>
    </row>
    <row r="14" spans="1:66" s="35" customFormat="1" ht="20.100000000000001" customHeight="1" x14ac:dyDescent="0.45">
      <c r="A14" s="36"/>
      <c r="B14" s="36"/>
      <c r="C14" s="40">
        <f t="shared" si="0"/>
        <v>5</v>
      </c>
      <c r="D14" s="47"/>
      <c r="E14" s="48"/>
      <c r="F14" s="48"/>
      <c r="G14" s="49"/>
      <c r="H14" s="47"/>
      <c r="I14" s="48"/>
      <c r="J14" s="48"/>
      <c r="K14" s="49"/>
      <c r="L14" s="113" t="s">
        <v>66</v>
      </c>
      <c r="M14" s="114"/>
      <c r="N14" s="114"/>
      <c r="O14" s="115"/>
      <c r="P14" s="113" t="s">
        <v>125</v>
      </c>
      <c r="Q14" s="114"/>
      <c r="R14" s="114"/>
      <c r="S14" s="114"/>
      <c r="T14" s="114"/>
      <c r="U14" s="114"/>
      <c r="V14" s="114"/>
      <c r="W14" s="115"/>
      <c r="X14" s="113" t="s">
        <v>48</v>
      </c>
      <c r="Y14" s="114"/>
      <c r="Z14" s="114"/>
      <c r="AA14" s="114"/>
      <c r="AB14" s="114"/>
      <c r="AC14" s="114"/>
      <c r="AD14" s="114"/>
      <c r="AE14" s="115"/>
      <c r="AF14" s="113"/>
      <c r="AG14" s="114"/>
      <c r="AH14" s="114"/>
      <c r="AI14" s="114"/>
      <c r="AJ14" s="114"/>
      <c r="AK14" s="114"/>
      <c r="AL14" s="114"/>
      <c r="AM14" s="114"/>
      <c r="AN14" s="119"/>
      <c r="AO14" s="133">
        <v>45686</v>
      </c>
      <c r="AP14" s="134"/>
      <c r="AQ14" s="109" t="s">
        <v>121</v>
      </c>
      <c r="AR14" s="105"/>
      <c r="AS14" s="109" t="s">
        <v>126</v>
      </c>
      <c r="AT14" s="132"/>
      <c r="AU14" s="44"/>
      <c r="AV14" s="45"/>
      <c r="AW14" s="38"/>
      <c r="AX14" s="39"/>
      <c r="AY14" s="38"/>
      <c r="AZ14" s="46"/>
      <c r="BA14" s="41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3"/>
      <c r="BM14" s="37"/>
      <c r="BN14" s="37"/>
    </row>
    <row r="15" spans="1:66" s="35" customFormat="1" ht="20.100000000000001" customHeight="1" x14ac:dyDescent="0.45">
      <c r="A15" s="36"/>
      <c r="B15" s="36"/>
      <c r="C15" s="40">
        <f t="shared" si="0"/>
        <v>6</v>
      </c>
      <c r="D15" s="47"/>
      <c r="E15" s="48"/>
      <c r="F15" s="48"/>
      <c r="G15" s="49"/>
      <c r="H15" s="47"/>
      <c r="I15" s="48"/>
      <c r="J15" s="48"/>
      <c r="K15" s="49"/>
      <c r="L15" s="113" t="s">
        <v>67</v>
      </c>
      <c r="M15" s="114"/>
      <c r="N15" s="114"/>
      <c r="O15" s="115"/>
      <c r="P15" s="113" t="s">
        <v>125</v>
      </c>
      <c r="Q15" s="114"/>
      <c r="R15" s="114"/>
      <c r="S15" s="114"/>
      <c r="T15" s="114"/>
      <c r="U15" s="114"/>
      <c r="V15" s="114"/>
      <c r="W15" s="115"/>
      <c r="X15" s="113" t="s">
        <v>48</v>
      </c>
      <c r="Y15" s="114"/>
      <c r="Z15" s="114"/>
      <c r="AA15" s="114"/>
      <c r="AB15" s="114"/>
      <c r="AC15" s="114"/>
      <c r="AD15" s="114"/>
      <c r="AE15" s="115"/>
      <c r="AF15" s="113"/>
      <c r="AG15" s="114"/>
      <c r="AH15" s="114"/>
      <c r="AI15" s="114"/>
      <c r="AJ15" s="114"/>
      <c r="AK15" s="114"/>
      <c r="AL15" s="114"/>
      <c r="AM15" s="114"/>
      <c r="AN15" s="119"/>
      <c r="AO15" s="133">
        <v>45686</v>
      </c>
      <c r="AP15" s="134"/>
      <c r="AQ15" s="109" t="s">
        <v>121</v>
      </c>
      <c r="AR15" s="105"/>
      <c r="AS15" s="109" t="s">
        <v>126</v>
      </c>
      <c r="AT15" s="132"/>
      <c r="AU15" s="44"/>
      <c r="AV15" s="45"/>
      <c r="AW15" s="38"/>
      <c r="AX15" s="39"/>
      <c r="AY15" s="38"/>
      <c r="AZ15" s="46"/>
      <c r="BA15" s="41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3"/>
      <c r="BM15" s="37"/>
      <c r="BN15" s="37"/>
    </row>
    <row r="16" spans="1:66" s="35" customFormat="1" ht="20.100000000000001" customHeight="1" x14ac:dyDescent="0.45">
      <c r="A16" s="36"/>
      <c r="B16" s="36"/>
      <c r="C16" s="40">
        <f t="shared" si="0"/>
        <v>7</v>
      </c>
      <c r="D16" s="47"/>
      <c r="E16" s="48"/>
      <c r="F16" s="48"/>
      <c r="G16" s="49"/>
      <c r="H16" s="47"/>
      <c r="I16" s="48"/>
      <c r="J16" s="48"/>
      <c r="K16" s="49"/>
      <c r="L16" s="113" t="s">
        <v>68</v>
      </c>
      <c r="M16" s="114"/>
      <c r="N16" s="114"/>
      <c r="O16" s="115"/>
      <c r="P16" s="113" t="s">
        <v>125</v>
      </c>
      <c r="Q16" s="114"/>
      <c r="R16" s="114"/>
      <c r="S16" s="114"/>
      <c r="T16" s="114"/>
      <c r="U16" s="114"/>
      <c r="V16" s="114"/>
      <c r="W16" s="115"/>
      <c r="X16" s="113" t="s">
        <v>48</v>
      </c>
      <c r="Y16" s="114"/>
      <c r="Z16" s="114"/>
      <c r="AA16" s="114"/>
      <c r="AB16" s="114"/>
      <c r="AC16" s="114"/>
      <c r="AD16" s="114"/>
      <c r="AE16" s="115"/>
      <c r="AF16" s="113"/>
      <c r="AG16" s="114"/>
      <c r="AH16" s="114"/>
      <c r="AI16" s="114"/>
      <c r="AJ16" s="114"/>
      <c r="AK16" s="114"/>
      <c r="AL16" s="114"/>
      <c r="AM16" s="114"/>
      <c r="AN16" s="119"/>
      <c r="AO16" s="133">
        <v>45686</v>
      </c>
      <c r="AP16" s="134"/>
      <c r="AQ16" s="109" t="s">
        <v>121</v>
      </c>
      <c r="AR16" s="105"/>
      <c r="AS16" s="109" t="s">
        <v>126</v>
      </c>
      <c r="AT16" s="132"/>
      <c r="AU16" s="44"/>
      <c r="AV16" s="45"/>
      <c r="AW16" s="38"/>
      <c r="AX16" s="39"/>
      <c r="AY16" s="38"/>
      <c r="AZ16" s="46"/>
      <c r="BA16" s="41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3"/>
      <c r="BM16" s="37"/>
      <c r="BN16" s="37"/>
    </row>
    <row r="17" spans="1:66" s="35" customFormat="1" ht="20.100000000000001" customHeight="1" x14ac:dyDescent="0.45">
      <c r="A17" s="36"/>
      <c r="B17" s="36"/>
      <c r="C17" s="40">
        <f t="shared" si="0"/>
        <v>8</v>
      </c>
      <c r="D17" s="47"/>
      <c r="E17" s="48"/>
      <c r="F17" s="48"/>
      <c r="G17" s="49"/>
      <c r="H17" s="47"/>
      <c r="I17" s="48"/>
      <c r="J17" s="48"/>
      <c r="K17" s="49"/>
      <c r="L17" s="113" t="s">
        <v>69</v>
      </c>
      <c r="M17" s="114"/>
      <c r="N17" s="114"/>
      <c r="O17" s="115"/>
      <c r="P17" s="113" t="s">
        <v>125</v>
      </c>
      <c r="Q17" s="114"/>
      <c r="R17" s="114"/>
      <c r="S17" s="114"/>
      <c r="T17" s="114"/>
      <c r="U17" s="114"/>
      <c r="V17" s="114"/>
      <c r="W17" s="115"/>
      <c r="X17" s="113" t="s">
        <v>48</v>
      </c>
      <c r="Y17" s="114"/>
      <c r="Z17" s="114"/>
      <c r="AA17" s="114"/>
      <c r="AB17" s="114"/>
      <c r="AC17" s="114"/>
      <c r="AD17" s="114"/>
      <c r="AE17" s="115"/>
      <c r="AF17" s="113"/>
      <c r="AG17" s="114"/>
      <c r="AH17" s="114"/>
      <c r="AI17" s="114"/>
      <c r="AJ17" s="114"/>
      <c r="AK17" s="114"/>
      <c r="AL17" s="114"/>
      <c r="AM17" s="114"/>
      <c r="AN17" s="119"/>
      <c r="AO17" s="133">
        <v>45686</v>
      </c>
      <c r="AP17" s="134"/>
      <c r="AQ17" s="109" t="s">
        <v>121</v>
      </c>
      <c r="AR17" s="105"/>
      <c r="AS17" s="109" t="s">
        <v>126</v>
      </c>
      <c r="AT17" s="132"/>
      <c r="AU17" s="44"/>
      <c r="AV17" s="45"/>
      <c r="AW17" s="38"/>
      <c r="AX17" s="39"/>
      <c r="AY17" s="38"/>
      <c r="AZ17" s="46"/>
      <c r="BA17" s="41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3"/>
      <c r="BM17" s="37"/>
      <c r="BN17" s="37"/>
    </row>
    <row r="18" spans="1:66" s="35" customFormat="1" ht="18" customHeight="1" x14ac:dyDescent="0.45">
      <c r="A18" s="36"/>
      <c r="B18" s="36"/>
      <c r="C18" s="40">
        <f t="shared" si="0"/>
        <v>9</v>
      </c>
      <c r="D18" s="110"/>
      <c r="E18" s="111"/>
      <c r="F18" s="111"/>
      <c r="G18" s="112"/>
      <c r="H18" s="116" t="s">
        <v>55</v>
      </c>
      <c r="I18" s="117"/>
      <c r="J18" s="117"/>
      <c r="K18" s="118"/>
      <c r="L18" s="113" t="s">
        <v>64</v>
      </c>
      <c r="M18" s="114"/>
      <c r="N18" s="114"/>
      <c r="O18" s="115"/>
      <c r="P18" s="113" t="s">
        <v>56</v>
      </c>
      <c r="Q18" s="114"/>
      <c r="R18" s="114"/>
      <c r="S18" s="114"/>
      <c r="T18" s="114"/>
      <c r="U18" s="114"/>
      <c r="V18" s="114"/>
      <c r="W18" s="115"/>
      <c r="X18" s="113" t="s">
        <v>57</v>
      </c>
      <c r="Y18" s="114"/>
      <c r="Z18" s="114"/>
      <c r="AA18" s="114"/>
      <c r="AB18" s="114"/>
      <c r="AC18" s="114"/>
      <c r="AD18" s="114"/>
      <c r="AE18" s="115"/>
      <c r="AF18" s="113"/>
      <c r="AG18" s="114"/>
      <c r="AH18" s="114"/>
      <c r="AI18" s="114"/>
      <c r="AJ18" s="114"/>
      <c r="AK18" s="114"/>
      <c r="AL18" s="114"/>
      <c r="AM18" s="114"/>
      <c r="AN18" s="119"/>
      <c r="AO18" s="133">
        <v>45686</v>
      </c>
      <c r="AP18" s="134"/>
      <c r="AQ18" s="109" t="s">
        <v>121</v>
      </c>
      <c r="AR18" s="105"/>
      <c r="AS18" s="109" t="s">
        <v>126</v>
      </c>
      <c r="AT18" s="132"/>
      <c r="AU18" s="62"/>
      <c r="AV18" s="63"/>
      <c r="AW18" s="50"/>
      <c r="AX18" s="51"/>
      <c r="AY18" s="50"/>
      <c r="AZ18" s="58"/>
      <c r="BA18" s="64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6"/>
      <c r="BM18" s="37"/>
      <c r="BN18" s="37"/>
    </row>
    <row r="19" spans="1:66" s="35" customFormat="1" ht="18" customHeight="1" x14ac:dyDescent="0.45">
      <c r="A19" s="36"/>
      <c r="B19" s="36"/>
      <c r="C19" s="40">
        <f t="shared" si="0"/>
        <v>10</v>
      </c>
      <c r="D19" s="59"/>
      <c r="E19" s="60"/>
      <c r="F19" s="60"/>
      <c r="G19" s="61"/>
      <c r="H19" s="59"/>
      <c r="I19" s="60"/>
      <c r="J19" s="60"/>
      <c r="K19" s="61"/>
      <c r="L19" s="113" t="s">
        <v>65</v>
      </c>
      <c r="M19" s="114"/>
      <c r="N19" s="114"/>
      <c r="O19" s="115"/>
      <c r="P19" s="113" t="s">
        <v>56</v>
      </c>
      <c r="Q19" s="114"/>
      <c r="R19" s="114"/>
      <c r="S19" s="114"/>
      <c r="T19" s="114"/>
      <c r="U19" s="114"/>
      <c r="V19" s="114"/>
      <c r="W19" s="115"/>
      <c r="X19" s="113" t="s">
        <v>73</v>
      </c>
      <c r="Y19" s="114"/>
      <c r="Z19" s="114"/>
      <c r="AA19" s="114"/>
      <c r="AB19" s="114"/>
      <c r="AC19" s="114"/>
      <c r="AD19" s="114"/>
      <c r="AE19" s="115"/>
      <c r="AF19" s="52"/>
      <c r="AG19" s="53"/>
      <c r="AH19" s="53"/>
      <c r="AI19" s="53"/>
      <c r="AJ19" s="53"/>
      <c r="AK19" s="53"/>
      <c r="AL19" s="53"/>
      <c r="AM19" s="53"/>
      <c r="AN19" s="54"/>
      <c r="AO19" s="133">
        <v>45686</v>
      </c>
      <c r="AP19" s="134"/>
      <c r="AQ19" s="109" t="s">
        <v>121</v>
      </c>
      <c r="AR19" s="105"/>
      <c r="AS19" s="109" t="s">
        <v>126</v>
      </c>
      <c r="AT19" s="132"/>
      <c r="AU19" s="62"/>
      <c r="AV19" s="63"/>
      <c r="AW19" s="50"/>
      <c r="AX19" s="51"/>
      <c r="AY19" s="50"/>
      <c r="AZ19" s="58"/>
      <c r="BA19" s="64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6"/>
      <c r="BM19" s="37"/>
      <c r="BN19" s="37"/>
    </row>
    <row r="20" spans="1:66" s="35" customFormat="1" ht="18" customHeight="1" x14ac:dyDescent="0.45">
      <c r="A20" s="36"/>
      <c r="B20" s="36"/>
      <c r="C20" s="40">
        <f t="shared" si="0"/>
        <v>11</v>
      </c>
      <c r="D20" s="59"/>
      <c r="E20" s="60"/>
      <c r="F20" s="60"/>
      <c r="G20" s="61"/>
      <c r="H20" s="59"/>
      <c r="I20" s="60"/>
      <c r="J20" s="60"/>
      <c r="K20" s="61"/>
      <c r="L20" s="113" t="s">
        <v>66</v>
      </c>
      <c r="M20" s="114"/>
      <c r="N20" s="114"/>
      <c r="O20" s="115"/>
      <c r="P20" s="113" t="s">
        <v>56</v>
      </c>
      <c r="Q20" s="114"/>
      <c r="R20" s="114"/>
      <c r="S20" s="114"/>
      <c r="T20" s="114"/>
      <c r="U20" s="114"/>
      <c r="V20" s="114"/>
      <c r="W20" s="115"/>
      <c r="X20" s="113" t="s">
        <v>58</v>
      </c>
      <c r="Y20" s="114"/>
      <c r="Z20" s="114"/>
      <c r="AA20" s="114"/>
      <c r="AB20" s="114"/>
      <c r="AC20" s="114"/>
      <c r="AD20" s="114"/>
      <c r="AE20" s="115"/>
      <c r="AF20" s="52"/>
      <c r="AG20" s="53"/>
      <c r="AH20" s="53"/>
      <c r="AI20" s="53"/>
      <c r="AJ20" s="53"/>
      <c r="AK20" s="53"/>
      <c r="AL20" s="53"/>
      <c r="AM20" s="53"/>
      <c r="AN20" s="54"/>
      <c r="AO20" s="133">
        <v>45686</v>
      </c>
      <c r="AP20" s="134"/>
      <c r="AQ20" s="109" t="s">
        <v>121</v>
      </c>
      <c r="AR20" s="105"/>
      <c r="AS20" s="109" t="s">
        <v>126</v>
      </c>
      <c r="AT20" s="132"/>
      <c r="AU20" s="62"/>
      <c r="AV20" s="63"/>
      <c r="AW20" s="50"/>
      <c r="AX20" s="51"/>
      <c r="AY20" s="50"/>
      <c r="AZ20" s="58"/>
      <c r="BA20" s="64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6"/>
      <c r="BM20" s="37"/>
      <c r="BN20" s="37"/>
    </row>
    <row r="21" spans="1:66" s="35" customFormat="1" ht="16.2" customHeight="1" x14ac:dyDescent="0.45">
      <c r="A21" s="36"/>
      <c r="B21" s="36"/>
      <c r="C21" s="40">
        <f t="shared" si="0"/>
        <v>12</v>
      </c>
      <c r="D21" s="110"/>
      <c r="E21" s="111"/>
      <c r="F21" s="111"/>
      <c r="G21" s="112"/>
      <c r="H21" s="110"/>
      <c r="I21" s="111"/>
      <c r="J21" s="111"/>
      <c r="K21" s="112"/>
      <c r="L21" s="113" t="s">
        <v>67</v>
      </c>
      <c r="M21" s="114"/>
      <c r="N21" s="114"/>
      <c r="O21" s="115"/>
      <c r="P21" s="113" t="s">
        <v>56</v>
      </c>
      <c r="Q21" s="114"/>
      <c r="R21" s="114"/>
      <c r="S21" s="114"/>
      <c r="T21" s="114"/>
      <c r="U21" s="114"/>
      <c r="V21" s="114"/>
      <c r="W21" s="115"/>
      <c r="X21" s="113" t="s">
        <v>74</v>
      </c>
      <c r="Y21" s="114"/>
      <c r="Z21" s="114"/>
      <c r="AA21" s="114"/>
      <c r="AB21" s="114"/>
      <c r="AC21" s="114"/>
      <c r="AD21" s="114"/>
      <c r="AE21" s="115"/>
      <c r="AF21" s="113"/>
      <c r="AG21" s="114"/>
      <c r="AH21" s="114"/>
      <c r="AI21" s="114"/>
      <c r="AJ21" s="114"/>
      <c r="AK21" s="114"/>
      <c r="AL21" s="114"/>
      <c r="AM21" s="114"/>
      <c r="AN21" s="119"/>
      <c r="AO21" s="133">
        <v>45686</v>
      </c>
      <c r="AP21" s="134"/>
      <c r="AQ21" s="109" t="s">
        <v>121</v>
      </c>
      <c r="AR21" s="105"/>
      <c r="AS21" s="109" t="s">
        <v>126</v>
      </c>
      <c r="AT21" s="132"/>
      <c r="AU21" s="133"/>
      <c r="AV21" s="134"/>
      <c r="AW21" s="109"/>
      <c r="AX21" s="105"/>
      <c r="AY21" s="109"/>
      <c r="AZ21" s="132"/>
      <c r="BA21" s="147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9"/>
      <c r="BM21" s="37"/>
      <c r="BN21" s="37"/>
    </row>
    <row r="22" spans="1:66" s="35" customFormat="1" ht="15.6" customHeight="1" x14ac:dyDescent="0.45">
      <c r="A22" s="36"/>
      <c r="B22" s="36"/>
      <c r="C22" s="40">
        <f t="shared" si="0"/>
        <v>13</v>
      </c>
      <c r="D22" s="110"/>
      <c r="E22" s="111"/>
      <c r="F22" s="111"/>
      <c r="G22" s="112"/>
      <c r="H22" s="110"/>
      <c r="I22" s="111"/>
      <c r="J22" s="111"/>
      <c r="K22" s="112"/>
      <c r="L22" s="113" t="s">
        <v>69</v>
      </c>
      <c r="M22" s="114"/>
      <c r="N22" s="114"/>
      <c r="O22" s="115"/>
      <c r="P22" s="113" t="s">
        <v>56</v>
      </c>
      <c r="Q22" s="114"/>
      <c r="R22" s="114"/>
      <c r="S22" s="114"/>
      <c r="T22" s="114"/>
      <c r="U22" s="114"/>
      <c r="V22" s="114"/>
      <c r="W22" s="115"/>
      <c r="X22" s="113" t="s">
        <v>74</v>
      </c>
      <c r="Y22" s="114"/>
      <c r="Z22" s="114"/>
      <c r="AA22" s="114"/>
      <c r="AB22" s="114"/>
      <c r="AC22" s="114"/>
      <c r="AD22" s="114"/>
      <c r="AE22" s="115"/>
      <c r="AF22" s="113"/>
      <c r="AG22" s="114"/>
      <c r="AH22" s="114"/>
      <c r="AI22" s="114"/>
      <c r="AJ22" s="114"/>
      <c r="AK22" s="114"/>
      <c r="AL22" s="114"/>
      <c r="AM22" s="114"/>
      <c r="AN22" s="119"/>
      <c r="AO22" s="133">
        <v>45686</v>
      </c>
      <c r="AP22" s="134"/>
      <c r="AQ22" s="109" t="s">
        <v>121</v>
      </c>
      <c r="AR22" s="105"/>
      <c r="AS22" s="109" t="s">
        <v>126</v>
      </c>
      <c r="AT22" s="132"/>
      <c r="AU22" s="133"/>
      <c r="AV22" s="134"/>
      <c r="AW22" s="109"/>
      <c r="AX22" s="105"/>
      <c r="AY22" s="109"/>
      <c r="AZ22" s="132"/>
      <c r="BA22" s="147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9"/>
      <c r="BM22" s="37"/>
      <c r="BN22" s="37"/>
    </row>
    <row r="23" spans="1:66" s="35" customFormat="1" ht="18" customHeight="1" x14ac:dyDescent="0.45">
      <c r="A23" s="36"/>
      <c r="B23" s="36"/>
      <c r="C23" s="40">
        <f t="shared" si="0"/>
        <v>14</v>
      </c>
      <c r="D23" s="110"/>
      <c r="E23" s="111"/>
      <c r="F23" s="111"/>
      <c r="G23" s="112"/>
      <c r="H23" s="116" t="s">
        <v>86</v>
      </c>
      <c r="I23" s="117"/>
      <c r="J23" s="117"/>
      <c r="K23" s="118"/>
      <c r="L23" s="126" t="s">
        <v>76</v>
      </c>
      <c r="M23" s="127"/>
      <c r="N23" s="127"/>
      <c r="O23" s="128"/>
      <c r="P23" s="113" t="s">
        <v>53</v>
      </c>
      <c r="Q23" s="114"/>
      <c r="R23" s="114"/>
      <c r="S23" s="114"/>
      <c r="T23" s="114"/>
      <c r="U23" s="114"/>
      <c r="V23" s="114"/>
      <c r="W23" s="115"/>
      <c r="X23" s="113" t="s">
        <v>85</v>
      </c>
      <c r="Y23" s="114"/>
      <c r="Z23" s="114"/>
      <c r="AA23" s="114"/>
      <c r="AB23" s="114"/>
      <c r="AC23" s="114"/>
      <c r="AD23" s="114"/>
      <c r="AE23" s="115"/>
      <c r="AF23" s="113"/>
      <c r="AG23" s="114"/>
      <c r="AH23" s="114"/>
      <c r="AI23" s="114"/>
      <c r="AJ23" s="114"/>
      <c r="AK23" s="114"/>
      <c r="AL23" s="114"/>
      <c r="AM23" s="114"/>
      <c r="AN23" s="119"/>
      <c r="AO23" s="133">
        <v>45686</v>
      </c>
      <c r="AP23" s="134"/>
      <c r="AQ23" s="109" t="s">
        <v>121</v>
      </c>
      <c r="AR23" s="105"/>
      <c r="AS23" s="109" t="s">
        <v>126</v>
      </c>
      <c r="AT23" s="132"/>
      <c r="AU23" s="62"/>
      <c r="AV23" s="63"/>
      <c r="AW23" s="50"/>
      <c r="AX23" s="51"/>
      <c r="AY23" s="50"/>
      <c r="AZ23" s="58"/>
      <c r="BA23" s="64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6"/>
      <c r="BM23" s="37"/>
      <c r="BN23" s="37"/>
    </row>
    <row r="24" spans="1:66" s="35" customFormat="1" ht="43.2" customHeight="1" x14ac:dyDescent="0.45">
      <c r="A24" s="36"/>
      <c r="B24" s="36"/>
      <c r="C24" s="40">
        <f t="shared" si="0"/>
        <v>15</v>
      </c>
      <c r="D24" s="110"/>
      <c r="E24" s="111"/>
      <c r="F24" s="111"/>
      <c r="G24" s="112"/>
      <c r="H24" s="110"/>
      <c r="I24" s="111"/>
      <c r="J24" s="111"/>
      <c r="K24" s="112"/>
      <c r="L24" s="123"/>
      <c r="M24" s="124"/>
      <c r="N24" s="124"/>
      <c r="O24" s="125"/>
      <c r="P24" s="116" t="s">
        <v>77</v>
      </c>
      <c r="Q24" s="117"/>
      <c r="R24" s="117"/>
      <c r="S24" s="117"/>
      <c r="T24" s="117"/>
      <c r="U24" s="117"/>
      <c r="V24" s="117"/>
      <c r="W24" s="118"/>
      <c r="X24" s="113" t="s">
        <v>78</v>
      </c>
      <c r="Y24" s="114"/>
      <c r="Z24" s="114"/>
      <c r="AA24" s="114"/>
      <c r="AB24" s="114"/>
      <c r="AC24" s="114"/>
      <c r="AD24" s="114"/>
      <c r="AE24" s="115"/>
      <c r="AF24" s="113"/>
      <c r="AG24" s="114"/>
      <c r="AH24" s="114"/>
      <c r="AI24" s="114"/>
      <c r="AJ24" s="114"/>
      <c r="AK24" s="114"/>
      <c r="AL24" s="114"/>
      <c r="AM24" s="114"/>
      <c r="AN24" s="119"/>
      <c r="AO24" s="133">
        <v>45686</v>
      </c>
      <c r="AP24" s="134"/>
      <c r="AQ24" s="109" t="s">
        <v>121</v>
      </c>
      <c r="AR24" s="105"/>
      <c r="AS24" s="109" t="s">
        <v>126</v>
      </c>
      <c r="AT24" s="132"/>
      <c r="AU24" s="62"/>
      <c r="AV24" s="63"/>
      <c r="AW24" s="50"/>
      <c r="AX24" s="51"/>
      <c r="AY24" s="50"/>
      <c r="AZ24" s="58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6"/>
      <c r="BM24" s="37"/>
      <c r="BN24" s="37"/>
    </row>
    <row r="25" spans="1:66" s="35" customFormat="1" ht="102" customHeight="1" x14ac:dyDescent="0.45">
      <c r="A25" s="36"/>
      <c r="B25" s="36"/>
      <c r="C25" s="40">
        <f t="shared" si="0"/>
        <v>16</v>
      </c>
      <c r="D25" s="110"/>
      <c r="E25" s="111"/>
      <c r="F25" s="111"/>
      <c r="G25" s="112"/>
      <c r="H25" s="110"/>
      <c r="I25" s="111"/>
      <c r="J25" s="111"/>
      <c r="K25" s="112"/>
      <c r="L25" s="120"/>
      <c r="M25" s="121"/>
      <c r="N25" s="121"/>
      <c r="O25" s="122"/>
      <c r="P25" s="120"/>
      <c r="Q25" s="121"/>
      <c r="R25" s="121"/>
      <c r="S25" s="121"/>
      <c r="T25" s="121"/>
      <c r="U25" s="121"/>
      <c r="V25" s="121"/>
      <c r="W25" s="122"/>
      <c r="X25" s="113" t="s">
        <v>79</v>
      </c>
      <c r="Y25" s="114"/>
      <c r="Z25" s="114"/>
      <c r="AA25" s="114"/>
      <c r="AB25" s="114"/>
      <c r="AC25" s="114"/>
      <c r="AD25" s="114"/>
      <c r="AE25" s="115"/>
      <c r="AF25" s="113"/>
      <c r="AG25" s="114"/>
      <c r="AH25" s="114"/>
      <c r="AI25" s="114"/>
      <c r="AJ25" s="114"/>
      <c r="AK25" s="114"/>
      <c r="AL25" s="114"/>
      <c r="AM25" s="114"/>
      <c r="AN25" s="119"/>
      <c r="AO25" s="133">
        <v>45686</v>
      </c>
      <c r="AP25" s="134"/>
      <c r="AQ25" s="109" t="s">
        <v>121</v>
      </c>
      <c r="AR25" s="105"/>
      <c r="AS25" s="109" t="s">
        <v>126</v>
      </c>
      <c r="AT25" s="132"/>
      <c r="AU25" s="62"/>
      <c r="AV25" s="63"/>
      <c r="AW25" s="50"/>
      <c r="AX25" s="51"/>
      <c r="AY25" s="50"/>
      <c r="AZ25" s="58"/>
      <c r="BA25" s="64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6"/>
      <c r="BM25" s="37"/>
      <c r="BN25" s="37"/>
    </row>
    <row r="26" spans="1:66" s="35" customFormat="1" ht="41.4" customHeight="1" x14ac:dyDescent="0.45">
      <c r="A26" s="36"/>
      <c r="B26" s="36"/>
      <c r="C26" s="40">
        <f t="shared" si="0"/>
        <v>17</v>
      </c>
      <c r="D26" s="59"/>
      <c r="E26" s="60"/>
      <c r="F26" s="60"/>
      <c r="G26" s="61"/>
      <c r="H26" s="59"/>
      <c r="I26" s="60"/>
      <c r="J26" s="60"/>
      <c r="K26" s="61"/>
      <c r="L26" s="116" t="s">
        <v>81</v>
      </c>
      <c r="M26" s="117"/>
      <c r="N26" s="117"/>
      <c r="O26" s="118"/>
      <c r="P26" s="116" t="s">
        <v>54</v>
      </c>
      <c r="Q26" s="117" t="s">
        <v>54</v>
      </c>
      <c r="R26" s="117"/>
      <c r="S26" s="117"/>
      <c r="T26" s="117"/>
      <c r="U26" s="117"/>
      <c r="V26" s="117"/>
      <c r="W26" s="118"/>
      <c r="X26" s="113" t="s">
        <v>80</v>
      </c>
      <c r="Y26" s="114"/>
      <c r="Z26" s="114"/>
      <c r="AA26" s="114"/>
      <c r="AB26" s="114"/>
      <c r="AC26" s="114"/>
      <c r="AD26" s="114"/>
      <c r="AE26" s="115"/>
      <c r="AF26" s="52"/>
      <c r="AG26" s="53"/>
      <c r="AH26" s="53"/>
      <c r="AI26" s="53"/>
      <c r="AJ26" s="53"/>
      <c r="AK26" s="53"/>
      <c r="AL26" s="53"/>
      <c r="AM26" s="53"/>
      <c r="AN26" s="54"/>
      <c r="AO26" s="133">
        <v>45686</v>
      </c>
      <c r="AP26" s="134"/>
      <c r="AQ26" s="109" t="s">
        <v>121</v>
      </c>
      <c r="AR26" s="105"/>
      <c r="AS26" s="109" t="s">
        <v>126</v>
      </c>
      <c r="AT26" s="132"/>
      <c r="AU26" s="62"/>
      <c r="AV26" s="63"/>
      <c r="AW26" s="50"/>
      <c r="AX26" s="51"/>
      <c r="AY26" s="50"/>
      <c r="AZ26" s="58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6"/>
      <c r="BM26" s="37"/>
      <c r="BN26" s="37"/>
    </row>
    <row r="27" spans="1:66" s="35" customFormat="1" ht="109.2" customHeight="1" x14ac:dyDescent="0.45">
      <c r="A27" s="36"/>
      <c r="B27" s="36"/>
      <c r="C27" s="40">
        <f t="shared" si="0"/>
        <v>18</v>
      </c>
      <c r="D27" s="59"/>
      <c r="E27" s="60"/>
      <c r="F27" s="60"/>
      <c r="G27" s="61"/>
      <c r="H27" s="59"/>
      <c r="I27" s="60"/>
      <c r="J27" s="60"/>
      <c r="K27" s="61"/>
      <c r="L27" s="120"/>
      <c r="M27" s="121"/>
      <c r="N27" s="121"/>
      <c r="O27" s="122"/>
      <c r="P27" s="120"/>
      <c r="Q27" s="121"/>
      <c r="R27" s="121"/>
      <c r="S27" s="121"/>
      <c r="T27" s="121"/>
      <c r="U27" s="121"/>
      <c r="V27" s="121"/>
      <c r="W27" s="122"/>
      <c r="X27" s="113" t="s">
        <v>82</v>
      </c>
      <c r="Y27" s="114"/>
      <c r="Z27" s="114"/>
      <c r="AA27" s="114"/>
      <c r="AB27" s="114"/>
      <c r="AC27" s="114"/>
      <c r="AD27" s="114"/>
      <c r="AE27" s="115"/>
      <c r="AF27" s="52"/>
      <c r="AG27" s="53"/>
      <c r="AH27" s="53"/>
      <c r="AI27" s="53"/>
      <c r="AJ27" s="53"/>
      <c r="AK27" s="53"/>
      <c r="AL27" s="53"/>
      <c r="AM27" s="53"/>
      <c r="AN27" s="54"/>
      <c r="AO27" s="133">
        <v>45686</v>
      </c>
      <c r="AP27" s="134"/>
      <c r="AQ27" s="109" t="s">
        <v>121</v>
      </c>
      <c r="AR27" s="105"/>
      <c r="AS27" s="109" t="s">
        <v>126</v>
      </c>
      <c r="AT27" s="132"/>
      <c r="AU27" s="62"/>
      <c r="AV27" s="63"/>
      <c r="AW27" s="50"/>
      <c r="AX27" s="51"/>
      <c r="AY27" s="50"/>
      <c r="AZ27" s="58"/>
      <c r="BA27" s="64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6"/>
      <c r="BM27" s="37"/>
      <c r="BN27" s="37"/>
    </row>
    <row r="28" spans="1:66" s="35" customFormat="1" ht="41.4" customHeight="1" x14ac:dyDescent="0.45">
      <c r="A28" s="36"/>
      <c r="B28" s="36"/>
      <c r="C28" s="40">
        <f t="shared" si="0"/>
        <v>19</v>
      </c>
      <c r="D28" s="59"/>
      <c r="E28" s="60"/>
      <c r="F28" s="60"/>
      <c r="G28" s="61"/>
      <c r="H28" s="59"/>
      <c r="I28" s="60"/>
      <c r="J28" s="60"/>
      <c r="K28" s="61"/>
      <c r="L28" s="116" t="s">
        <v>83</v>
      </c>
      <c r="M28" s="117"/>
      <c r="N28" s="117"/>
      <c r="O28" s="118"/>
      <c r="P28" s="116" t="s">
        <v>84</v>
      </c>
      <c r="Q28" s="117"/>
      <c r="R28" s="117"/>
      <c r="S28" s="117"/>
      <c r="T28" s="117"/>
      <c r="U28" s="117"/>
      <c r="V28" s="117"/>
      <c r="W28" s="118"/>
      <c r="X28" s="113" t="s">
        <v>80</v>
      </c>
      <c r="Y28" s="114"/>
      <c r="Z28" s="114"/>
      <c r="AA28" s="114"/>
      <c r="AB28" s="114"/>
      <c r="AC28" s="114"/>
      <c r="AD28" s="114"/>
      <c r="AE28" s="115"/>
      <c r="AF28" s="52"/>
      <c r="AG28" s="53"/>
      <c r="AH28" s="53"/>
      <c r="AI28" s="53"/>
      <c r="AJ28" s="53"/>
      <c r="AK28" s="53"/>
      <c r="AL28" s="53"/>
      <c r="AM28" s="53"/>
      <c r="AN28" s="54"/>
      <c r="AO28" s="133">
        <v>45686</v>
      </c>
      <c r="AP28" s="134"/>
      <c r="AQ28" s="109" t="s">
        <v>121</v>
      </c>
      <c r="AR28" s="105"/>
      <c r="AS28" s="109" t="s">
        <v>126</v>
      </c>
      <c r="AT28" s="132"/>
      <c r="AU28" s="62"/>
      <c r="AV28" s="63"/>
      <c r="AW28" s="50"/>
      <c r="AX28" s="51"/>
      <c r="AY28" s="50"/>
      <c r="AZ28" s="58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6"/>
      <c r="BM28" s="37"/>
      <c r="BN28" s="37"/>
    </row>
    <row r="29" spans="1:66" s="35" customFormat="1" ht="105" customHeight="1" x14ac:dyDescent="0.45">
      <c r="A29" s="36"/>
      <c r="B29" s="36"/>
      <c r="C29" s="40">
        <f t="shared" si="0"/>
        <v>20</v>
      </c>
      <c r="D29" s="59"/>
      <c r="E29" s="60"/>
      <c r="F29" s="60"/>
      <c r="G29" s="61"/>
      <c r="H29" s="59"/>
      <c r="I29" s="60"/>
      <c r="J29" s="60"/>
      <c r="K29" s="61"/>
      <c r="L29" s="120"/>
      <c r="M29" s="121"/>
      <c r="N29" s="121"/>
      <c r="O29" s="122"/>
      <c r="P29" s="120"/>
      <c r="Q29" s="121"/>
      <c r="R29" s="121"/>
      <c r="S29" s="121"/>
      <c r="T29" s="121"/>
      <c r="U29" s="121"/>
      <c r="V29" s="121"/>
      <c r="W29" s="122"/>
      <c r="X29" s="113" t="s">
        <v>82</v>
      </c>
      <c r="Y29" s="114"/>
      <c r="Z29" s="114"/>
      <c r="AA29" s="114"/>
      <c r="AB29" s="114"/>
      <c r="AC29" s="114"/>
      <c r="AD29" s="114"/>
      <c r="AE29" s="115"/>
      <c r="AF29" s="52"/>
      <c r="AG29" s="53"/>
      <c r="AH29" s="53"/>
      <c r="AI29" s="53"/>
      <c r="AJ29" s="53"/>
      <c r="AK29" s="53"/>
      <c r="AL29" s="53"/>
      <c r="AM29" s="53"/>
      <c r="AN29" s="54"/>
      <c r="AO29" s="133">
        <v>45686</v>
      </c>
      <c r="AP29" s="134"/>
      <c r="AQ29" s="109" t="s">
        <v>121</v>
      </c>
      <c r="AR29" s="105"/>
      <c r="AS29" s="109" t="s">
        <v>126</v>
      </c>
      <c r="AT29" s="132"/>
      <c r="AU29" s="62"/>
      <c r="AV29" s="63"/>
      <c r="AW29" s="50"/>
      <c r="AX29" s="51"/>
      <c r="AY29" s="50"/>
      <c r="AZ29" s="58"/>
      <c r="BA29" s="64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  <c r="BM29" s="37"/>
      <c r="BN29" s="37"/>
    </row>
    <row r="30" spans="1:66" s="35" customFormat="1" ht="18" customHeight="1" x14ac:dyDescent="0.45">
      <c r="A30" s="36"/>
      <c r="B30" s="36"/>
      <c r="C30" s="40">
        <f t="shared" si="0"/>
        <v>21</v>
      </c>
      <c r="D30" s="110"/>
      <c r="E30" s="111"/>
      <c r="F30" s="111"/>
      <c r="G30" s="112"/>
      <c r="H30" s="116"/>
      <c r="I30" s="117"/>
      <c r="J30" s="117"/>
      <c r="K30" s="118"/>
      <c r="L30" s="126" t="s">
        <v>87</v>
      </c>
      <c r="M30" s="127"/>
      <c r="N30" s="127"/>
      <c r="O30" s="128"/>
      <c r="P30" s="113" t="s">
        <v>53</v>
      </c>
      <c r="Q30" s="114"/>
      <c r="R30" s="114"/>
      <c r="S30" s="114"/>
      <c r="T30" s="114"/>
      <c r="U30" s="114"/>
      <c r="V30" s="114"/>
      <c r="W30" s="115"/>
      <c r="X30" s="113" t="s">
        <v>89</v>
      </c>
      <c r="Y30" s="114"/>
      <c r="Z30" s="114"/>
      <c r="AA30" s="114"/>
      <c r="AB30" s="114"/>
      <c r="AC30" s="114"/>
      <c r="AD30" s="114"/>
      <c r="AE30" s="115"/>
      <c r="AF30" s="113"/>
      <c r="AG30" s="114"/>
      <c r="AH30" s="114"/>
      <c r="AI30" s="114"/>
      <c r="AJ30" s="114"/>
      <c r="AK30" s="114"/>
      <c r="AL30" s="114"/>
      <c r="AM30" s="114"/>
      <c r="AN30" s="119"/>
      <c r="AO30" s="133">
        <v>45686</v>
      </c>
      <c r="AP30" s="134"/>
      <c r="AQ30" s="109" t="s">
        <v>121</v>
      </c>
      <c r="AR30" s="105"/>
      <c r="AS30" s="109" t="s">
        <v>126</v>
      </c>
      <c r="AT30" s="132"/>
      <c r="AU30" s="69"/>
      <c r="AV30" s="70"/>
      <c r="AW30" s="68"/>
      <c r="AX30" s="67"/>
      <c r="AY30" s="68"/>
      <c r="AZ30" s="71"/>
      <c r="BA30" s="72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4"/>
      <c r="BM30" s="37"/>
      <c r="BN30" s="37"/>
    </row>
    <row r="31" spans="1:66" s="35" customFormat="1" ht="43.2" customHeight="1" x14ac:dyDescent="0.45">
      <c r="A31" s="36"/>
      <c r="B31" s="36"/>
      <c r="C31" s="40">
        <f t="shared" si="0"/>
        <v>22</v>
      </c>
      <c r="D31" s="110"/>
      <c r="E31" s="111"/>
      <c r="F31" s="111"/>
      <c r="G31" s="112"/>
      <c r="H31" s="110"/>
      <c r="I31" s="111"/>
      <c r="J31" s="111"/>
      <c r="K31" s="112"/>
      <c r="L31" s="123"/>
      <c r="M31" s="124"/>
      <c r="N31" s="124"/>
      <c r="O31" s="125"/>
      <c r="P31" s="116" t="s">
        <v>88</v>
      </c>
      <c r="Q31" s="117"/>
      <c r="R31" s="117"/>
      <c r="S31" s="117"/>
      <c r="T31" s="117"/>
      <c r="U31" s="117"/>
      <c r="V31" s="117"/>
      <c r="W31" s="118"/>
      <c r="X31" s="113" t="s">
        <v>92</v>
      </c>
      <c r="Y31" s="114"/>
      <c r="Z31" s="114"/>
      <c r="AA31" s="114"/>
      <c r="AB31" s="114"/>
      <c r="AC31" s="114"/>
      <c r="AD31" s="114"/>
      <c r="AE31" s="115"/>
      <c r="AF31" s="113"/>
      <c r="AG31" s="114"/>
      <c r="AH31" s="114"/>
      <c r="AI31" s="114"/>
      <c r="AJ31" s="114"/>
      <c r="AK31" s="114"/>
      <c r="AL31" s="114"/>
      <c r="AM31" s="114"/>
      <c r="AN31" s="119"/>
      <c r="AO31" s="133">
        <v>45686</v>
      </c>
      <c r="AP31" s="134"/>
      <c r="AQ31" s="109" t="s">
        <v>121</v>
      </c>
      <c r="AR31" s="105"/>
      <c r="AS31" s="109" t="s">
        <v>126</v>
      </c>
      <c r="AT31" s="132"/>
      <c r="AU31" s="69"/>
      <c r="AV31" s="70"/>
      <c r="AW31" s="68"/>
      <c r="AX31" s="67"/>
      <c r="AY31" s="68"/>
      <c r="AZ31" s="71"/>
      <c r="BA31" s="72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4"/>
      <c r="BM31" s="37"/>
      <c r="BN31" s="37"/>
    </row>
    <row r="32" spans="1:66" s="35" customFormat="1" ht="105.6" customHeight="1" x14ac:dyDescent="0.45">
      <c r="A32" s="36"/>
      <c r="B32" s="36"/>
      <c r="C32" s="40">
        <f t="shared" si="0"/>
        <v>23</v>
      </c>
      <c r="D32" s="110"/>
      <c r="E32" s="111"/>
      <c r="F32" s="111"/>
      <c r="G32" s="112"/>
      <c r="H32" s="110"/>
      <c r="I32" s="111"/>
      <c r="J32" s="111"/>
      <c r="K32" s="112"/>
      <c r="L32" s="120"/>
      <c r="M32" s="121"/>
      <c r="N32" s="121"/>
      <c r="O32" s="122"/>
      <c r="P32" s="120"/>
      <c r="Q32" s="121"/>
      <c r="R32" s="121"/>
      <c r="S32" s="121"/>
      <c r="T32" s="121"/>
      <c r="U32" s="121"/>
      <c r="V32" s="121"/>
      <c r="W32" s="122"/>
      <c r="X32" s="113" t="s">
        <v>93</v>
      </c>
      <c r="Y32" s="114"/>
      <c r="Z32" s="114"/>
      <c r="AA32" s="114"/>
      <c r="AB32" s="114"/>
      <c r="AC32" s="114"/>
      <c r="AD32" s="114"/>
      <c r="AE32" s="115"/>
      <c r="AF32" s="113"/>
      <c r="AG32" s="114"/>
      <c r="AH32" s="114"/>
      <c r="AI32" s="114"/>
      <c r="AJ32" s="114"/>
      <c r="AK32" s="114"/>
      <c r="AL32" s="114"/>
      <c r="AM32" s="114"/>
      <c r="AN32" s="119"/>
      <c r="AO32" s="133">
        <v>45686</v>
      </c>
      <c r="AP32" s="134"/>
      <c r="AQ32" s="109" t="s">
        <v>121</v>
      </c>
      <c r="AR32" s="105"/>
      <c r="AS32" s="109" t="s">
        <v>126</v>
      </c>
      <c r="AT32" s="132"/>
      <c r="AU32" s="69"/>
      <c r="AV32" s="70"/>
      <c r="AW32" s="68"/>
      <c r="AX32" s="67"/>
      <c r="AY32" s="68"/>
      <c r="AZ32" s="71"/>
      <c r="BA32" s="72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4"/>
      <c r="BM32" s="37"/>
      <c r="BN32" s="37"/>
    </row>
    <row r="33" spans="1:66" s="35" customFormat="1" ht="41.4" customHeight="1" x14ac:dyDescent="0.45">
      <c r="A33" s="36"/>
      <c r="B33" s="36"/>
      <c r="C33" s="40">
        <f t="shared" si="0"/>
        <v>24</v>
      </c>
      <c r="D33" s="77"/>
      <c r="E33" s="78"/>
      <c r="F33" s="78"/>
      <c r="G33" s="79"/>
      <c r="H33" s="77"/>
      <c r="I33" s="78"/>
      <c r="J33" s="78"/>
      <c r="K33" s="79"/>
      <c r="L33" s="116" t="s">
        <v>90</v>
      </c>
      <c r="M33" s="117"/>
      <c r="N33" s="117"/>
      <c r="O33" s="118"/>
      <c r="P33" s="116" t="s">
        <v>54</v>
      </c>
      <c r="Q33" s="117" t="s">
        <v>54</v>
      </c>
      <c r="R33" s="117"/>
      <c r="S33" s="117"/>
      <c r="T33" s="117"/>
      <c r="U33" s="117"/>
      <c r="V33" s="117"/>
      <c r="W33" s="118"/>
      <c r="X33" s="113" t="s">
        <v>94</v>
      </c>
      <c r="Y33" s="114"/>
      <c r="Z33" s="114"/>
      <c r="AA33" s="114"/>
      <c r="AB33" s="114"/>
      <c r="AC33" s="114"/>
      <c r="AD33" s="114"/>
      <c r="AE33" s="115"/>
      <c r="AF33" s="75"/>
      <c r="AG33" s="76"/>
      <c r="AH33" s="76"/>
      <c r="AI33" s="76"/>
      <c r="AJ33" s="76"/>
      <c r="AK33" s="76"/>
      <c r="AL33" s="76"/>
      <c r="AM33" s="76"/>
      <c r="AN33" s="80"/>
      <c r="AO33" s="133">
        <v>45686</v>
      </c>
      <c r="AP33" s="134"/>
      <c r="AQ33" s="109" t="s">
        <v>121</v>
      </c>
      <c r="AR33" s="105"/>
      <c r="AS33" s="109" t="s">
        <v>126</v>
      </c>
      <c r="AT33" s="132"/>
      <c r="AU33" s="69"/>
      <c r="AV33" s="70"/>
      <c r="AW33" s="68"/>
      <c r="AX33" s="67"/>
      <c r="AY33" s="68"/>
      <c r="AZ33" s="71"/>
      <c r="BA33" s="72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4"/>
      <c r="BM33" s="37"/>
      <c r="BN33" s="37"/>
    </row>
    <row r="34" spans="1:66" s="35" customFormat="1" ht="109.2" customHeight="1" x14ac:dyDescent="0.45">
      <c r="A34" s="36"/>
      <c r="B34" s="36"/>
      <c r="C34" s="40">
        <f t="shared" si="0"/>
        <v>25</v>
      </c>
      <c r="D34" s="77"/>
      <c r="E34" s="78"/>
      <c r="F34" s="78"/>
      <c r="G34" s="79"/>
      <c r="H34" s="77"/>
      <c r="I34" s="78"/>
      <c r="J34" s="78"/>
      <c r="K34" s="79"/>
      <c r="L34" s="120"/>
      <c r="M34" s="121"/>
      <c r="N34" s="121"/>
      <c r="O34" s="122"/>
      <c r="P34" s="120"/>
      <c r="Q34" s="121"/>
      <c r="R34" s="121"/>
      <c r="S34" s="121"/>
      <c r="T34" s="121"/>
      <c r="U34" s="121"/>
      <c r="V34" s="121"/>
      <c r="W34" s="122"/>
      <c r="X34" s="113" t="s">
        <v>95</v>
      </c>
      <c r="Y34" s="114"/>
      <c r="Z34" s="114"/>
      <c r="AA34" s="114"/>
      <c r="AB34" s="114"/>
      <c r="AC34" s="114"/>
      <c r="AD34" s="114"/>
      <c r="AE34" s="115"/>
      <c r="AF34" s="75"/>
      <c r="AG34" s="76"/>
      <c r="AH34" s="76"/>
      <c r="AI34" s="76"/>
      <c r="AJ34" s="76"/>
      <c r="AK34" s="76"/>
      <c r="AL34" s="76"/>
      <c r="AM34" s="76"/>
      <c r="AN34" s="80"/>
      <c r="AO34" s="133">
        <v>45686</v>
      </c>
      <c r="AP34" s="134"/>
      <c r="AQ34" s="109" t="s">
        <v>121</v>
      </c>
      <c r="AR34" s="105"/>
      <c r="AS34" s="109" t="s">
        <v>126</v>
      </c>
      <c r="AT34" s="132"/>
      <c r="AU34" s="69"/>
      <c r="AV34" s="70"/>
      <c r="AW34" s="68"/>
      <c r="AX34" s="67"/>
      <c r="AY34" s="68"/>
      <c r="AZ34" s="71"/>
      <c r="BA34" s="72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4"/>
      <c r="BM34" s="37"/>
      <c r="BN34" s="37"/>
    </row>
    <row r="35" spans="1:66" s="35" customFormat="1" ht="41.4" customHeight="1" x14ac:dyDescent="0.45">
      <c r="A35" s="36"/>
      <c r="B35" s="36"/>
      <c r="C35" s="40">
        <f t="shared" si="0"/>
        <v>26</v>
      </c>
      <c r="D35" s="77"/>
      <c r="E35" s="78"/>
      <c r="F35" s="78"/>
      <c r="G35" s="79"/>
      <c r="H35" s="77"/>
      <c r="I35" s="78"/>
      <c r="J35" s="78"/>
      <c r="K35" s="79"/>
      <c r="L35" s="116" t="s">
        <v>87</v>
      </c>
      <c r="M35" s="117"/>
      <c r="N35" s="117"/>
      <c r="O35" s="118"/>
      <c r="P35" s="116" t="s">
        <v>91</v>
      </c>
      <c r="Q35" s="117"/>
      <c r="R35" s="117"/>
      <c r="S35" s="117"/>
      <c r="T35" s="117"/>
      <c r="U35" s="117"/>
      <c r="V35" s="117"/>
      <c r="W35" s="118"/>
      <c r="X35" s="113" t="s">
        <v>96</v>
      </c>
      <c r="Y35" s="114"/>
      <c r="Z35" s="114"/>
      <c r="AA35" s="114"/>
      <c r="AB35" s="114"/>
      <c r="AC35" s="114"/>
      <c r="AD35" s="114"/>
      <c r="AE35" s="115"/>
      <c r="AF35" s="75"/>
      <c r="AG35" s="76"/>
      <c r="AH35" s="76"/>
      <c r="AI35" s="76"/>
      <c r="AJ35" s="76"/>
      <c r="AK35" s="76"/>
      <c r="AL35" s="76"/>
      <c r="AM35" s="76"/>
      <c r="AN35" s="80"/>
      <c r="AO35" s="133">
        <v>45686</v>
      </c>
      <c r="AP35" s="134"/>
      <c r="AQ35" s="109" t="s">
        <v>121</v>
      </c>
      <c r="AR35" s="105"/>
      <c r="AS35" s="109" t="s">
        <v>126</v>
      </c>
      <c r="AT35" s="132"/>
      <c r="AU35" s="69"/>
      <c r="AV35" s="70"/>
      <c r="AW35" s="68"/>
      <c r="AX35" s="67"/>
      <c r="AY35" s="68"/>
      <c r="AZ35" s="71"/>
      <c r="BA35" s="72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4"/>
      <c r="BM35" s="37"/>
      <c r="BN35" s="37"/>
    </row>
    <row r="36" spans="1:66" s="35" customFormat="1" ht="105" customHeight="1" x14ac:dyDescent="0.45">
      <c r="A36" s="36"/>
      <c r="B36" s="36"/>
      <c r="C36" s="40">
        <f t="shared" si="0"/>
        <v>27</v>
      </c>
      <c r="D36" s="77"/>
      <c r="E36" s="78"/>
      <c r="F36" s="78"/>
      <c r="G36" s="79"/>
      <c r="H36" s="77"/>
      <c r="I36" s="78"/>
      <c r="J36" s="78"/>
      <c r="K36" s="79"/>
      <c r="L36" s="120"/>
      <c r="M36" s="121"/>
      <c r="N36" s="121"/>
      <c r="O36" s="122"/>
      <c r="P36" s="120"/>
      <c r="Q36" s="121"/>
      <c r="R36" s="121"/>
      <c r="S36" s="121"/>
      <c r="T36" s="121"/>
      <c r="U36" s="121"/>
      <c r="V36" s="121"/>
      <c r="W36" s="122"/>
      <c r="X36" s="113" t="s">
        <v>97</v>
      </c>
      <c r="Y36" s="114"/>
      <c r="Z36" s="114"/>
      <c r="AA36" s="114"/>
      <c r="AB36" s="114"/>
      <c r="AC36" s="114"/>
      <c r="AD36" s="114"/>
      <c r="AE36" s="115"/>
      <c r="AF36" s="75"/>
      <c r="AG36" s="76"/>
      <c r="AH36" s="76"/>
      <c r="AI36" s="76"/>
      <c r="AJ36" s="76"/>
      <c r="AK36" s="76"/>
      <c r="AL36" s="76"/>
      <c r="AM36" s="76"/>
      <c r="AN36" s="80"/>
      <c r="AO36" s="133">
        <v>45686</v>
      </c>
      <c r="AP36" s="134"/>
      <c r="AQ36" s="109" t="s">
        <v>121</v>
      </c>
      <c r="AR36" s="105"/>
      <c r="AS36" s="109" t="s">
        <v>126</v>
      </c>
      <c r="AT36" s="132"/>
      <c r="AU36" s="69"/>
      <c r="AV36" s="70"/>
      <c r="AW36" s="68"/>
      <c r="AX36" s="67"/>
      <c r="AY36" s="68"/>
      <c r="AZ36" s="71"/>
      <c r="BA36" s="72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4"/>
      <c r="BM36" s="37"/>
      <c r="BN36" s="37"/>
    </row>
    <row r="37" spans="1:66" s="35" customFormat="1" ht="18" customHeight="1" x14ac:dyDescent="0.45">
      <c r="A37" s="36"/>
      <c r="B37" s="36"/>
      <c r="C37" s="40">
        <f t="shared" si="0"/>
        <v>28</v>
      </c>
      <c r="D37" s="110"/>
      <c r="E37" s="111"/>
      <c r="F37" s="111"/>
      <c r="G37" s="112"/>
      <c r="H37" s="116"/>
      <c r="I37" s="117"/>
      <c r="J37" s="117"/>
      <c r="K37" s="118"/>
      <c r="L37" s="126" t="s">
        <v>98</v>
      </c>
      <c r="M37" s="127"/>
      <c r="N37" s="127"/>
      <c r="O37" s="128"/>
      <c r="P37" s="113" t="s">
        <v>53</v>
      </c>
      <c r="Q37" s="114"/>
      <c r="R37" s="114"/>
      <c r="S37" s="114"/>
      <c r="T37" s="114"/>
      <c r="U37" s="114"/>
      <c r="V37" s="114"/>
      <c r="W37" s="115"/>
      <c r="X37" s="113" t="s">
        <v>99</v>
      </c>
      <c r="Y37" s="114"/>
      <c r="Z37" s="114"/>
      <c r="AA37" s="114"/>
      <c r="AB37" s="114"/>
      <c r="AC37" s="114"/>
      <c r="AD37" s="114"/>
      <c r="AE37" s="115"/>
      <c r="AF37" s="113"/>
      <c r="AG37" s="114"/>
      <c r="AH37" s="114"/>
      <c r="AI37" s="114"/>
      <c r="AJ37" s="114"/>
      <c r="AK37" s="114"/>
      <c r="AL37" s="114"/>
      <c r="AM37" s="114"/>
      <c r="AN37" s="119"/>
      <c r="AO37" s="133">
        <v>45686</v>
      </c>
      <c r="AP37" s="134"/>
      <c r="AQ37" s="109" t="s">
        <v>121</v>
      </c>
      <c r="AR37" s="105"/>
      <c r="AS37" s="109" t="s">
        <v>126</v>
      </c>
      <c r="AT37" s="132"/>
      <c r="AU37" s="69"/>
      <c r="AV37" s="70"/>
      <c r="AW37" s="68"/>
      <c r="AX37" s="67"/>
      <c r="AY37" s="68"/>
      <c r="AZ37" s="71"/>
      <c r="BA37" s="72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4"/>
      <c r="BM37" s="37"/>
      <c r="BN37" s="37"/>
    </row>
    <row r="38" spans="1:66" s="35" customFormat="1" ht="43.2" customHeight="1" x14ac:dyDescent="0.45">
      <c r="A38" s="36"/>
      <c r="B38" s="36"/>
      <c r="C38" s="40">
        <f t="shared" si="0"/>
        <v>29</v>
      </c>
      <c r="D38" s="110"/>
      <c r="E38" s="111"/>
      <c r="F38" s="111"/>
      <c r="G38" s="112"/>
      <c r="H38" s="110"/>
      <c r="I38" s="111"/>
      <c r="J38" s="111"/>
      <c r="K38" s="112"/>
      <c r="L38" s="123"/>
      <c r="M38" s="124"/>
      <c r="N38" s="124"/>
      <c r="O38" s="125"/>
      <c r="P38" s="116" t="s">
        <v>100</v>
      </c>
      <c r="Q38" s="117"/>
      <c r="R38" s="117"/>
      <c r="S38" s="117"/>
      <c r="T38" s="117"/>
      <c r="U38" s="117"/>
      <c r="V38" s="117"/>
      <c r="W38" s="118"/>
      <c r="X38" s="113" t="s">
        <v>105</v>
      </c>
      <c r="Y38" s="114"/>
      <c r="Z38" s="114"/>
      <c r="AA38" s="114"/>
      <c r="AB38" s="114"/>
      <c r="AC38" s="114"/>
      <c r="AD38" s="114"/>
      <c r="AE38" s="115"/>
      <c r="AF38" s="113"/>
      <c r="AG38" s="114"/>
      <c r="AH38" s="114"/>
      <c r="AI38" s="114"/>
      <c r="AJ38" s="114"/>
      <c r="AK38" s="114"/>
      <c r="AL38" s="114"/>
      <c r="AM38" s="114"/>
      <c r="AN38" s="119"/>
      <c r="AO38" s="133">
        <v>45686</v>
      </c>
      <c r="AP38" s="134"/>
      <c r="AQ38" s="109" t="s">
        <v>121</v>
      </c>
      <c r="AR38" s="105"/>
      <c r="AS38" s="109" t="s">
        <v>126</v>
      </c>
      <c r="AT38" s="132"/>
      <c r="AU38" s="69"/>
      <c r="AV38" s="70"/>
      <c r="AW38" s="68"/>
      <c r="AX38" s="67"/>
      <c r="AY38" s="68"/>
      <c r="AZ38" s="71"/>
      <c r="BA38" s="72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4"/>
      <c r="BM38" s="37"/>
      <c r="BN38" s="37"/>
    </row>
    <row r="39" spans="1:66" s="35" customFormat="1" ht="105.6" customHeight="1" x14ac:dyDescent="0.45">
      <c r="A39" s="36"/>
      <c r="B39" s="36"/>
      <c r="C39" s="40">
        <f t="shared" si="0"/>
        <v>30</v>
      </c>
      <c r="D39" s="110"/>
      <c r="E39" s="111"/>
      <c r="F39" s="111"/>
      <c r="G39" s="112"/>
      <c r="H39" s="110"/>
      <c r="I39" s="111"/>
      <c r="J39" s="111"/>
      <c r="K39" s="112"/>
      <c r="L39" s="120"/>
      <c r="M39" s="121"/>
      <c r="N39" s="121"/>
      <c r="O39" s="122"/>
      <c r="P39" s="120"/>
      <c r="Q39" s="121"/>
      <c r="R39" s="121"/>
      <c r="S39" s="121"/>
      <c r="T39" s="121"/>
      <c r="U39" s="121"/>
      <c r="V39" s="121"/>
      <c r="W39" s="122"/>
      <c r="X39" s="113" t="s">
        <v>104</v>
      </c>
      <c r="Y39" s="114"/>
      <c r="Z39" s="114"/>
      <c r="AA39" s="114"/>
      <c r="AB39" s="114"/>
      <c r="AC39" s="114"/>
      <c r="AD39" s="114"/>
      <c r="AE39" s="115"/>
      <c r="AF39" s="113"/>
      <c r="AG39" s="114"/>
      <c r="AH39" s="114"/>
      <c r="AI39" s="114"/>
      <c r="AJ39" s="114"/>
      <c r="AK39" s="114"/>
      <c r="AL39" s="114"/>
      <c r="AM39" s="114"/>
      <c r="AN39" s="119"/>
      <c r="AO39" s="133">
        <v>45686</v>
      </c>
      <c r="AP39" s="134"/>
      <c r="AQ39" s="109" t="s">
        <v>121</v>
      </c>
      <c r="AR39" s="105"/>
      <c r="AS39" s="109" t="s">
        <v>126</v>
      </c>
      <c r="AT39" s="132"/>
      <c r="AU39" s="69"/>
      <c r="AV39" s="70"/>
      <c r="AW39" s="68"/>
      <c r="AX39" s="67"/>
      <c r="AY39" s="68"/>
      <c r="AZ39" s="71"/>
      <c r="BA39" s="72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4"/>
      <c r="BM39" s="37"/>
      <c r="BN39" s="37"/>
    </row>
    <row r="40" spans="1:66" s="35" customFormat="1" ht="41.4" customHeight="1" x14ac:dyDescent="0.45">
      <c r="A40" s="36"/>
      <c r="B40" s="36"/>
      <c r="C40" s="40">
        <f t="shared" si="0"/>
        <v>31</v>
      </c>
      <c r="D40" s="77"/>
      <c r="E40" s="78"/>
      <c r="F40" s="78"/>
      <c r="G40" s="79"/>
      <c r="H40" s="77"/>
      <c r="I40" s="78"/>
      <c r="J40" s="78"/>
      <c r="K40" s="79"/>
      <c r="L40" s="116" t="s">
        <v>101</v>
      </c>
      <c r="M40" s="117"/>
      <c r="N40" s="117"/>
      <c r="O40" s="118"/>
      <c r="P40" s="116" t="s">
        <v>54</v>
      </c>
      <c r="Q40" s="117" t="s">
        <v>54</v>
      </c>
      <c r="R40" s="117"/>
      <c r="S40" s="117"/>
      <c r="T40" s="117"/>
      <c r="U40" s="117"/>
      <c r="V40" s="117"/>
      <c r="W40" s="118"/>
      <c r="X40" s="113" t="s">
        <v>106</v>
      </c>
      <c r="Y40" s="114"/>
      <c r="Z40" s="114"/>
      <c r="AA40" s="114"/>
      <c r="AB40" s="114"/>
      <c r="AC40" s="114"/>
      <c r="AD40" s="114"/>
      <c r="AE40" s="115"/>
      <c r="AF40" s="75"/>
      <c r="AG40" s="76"/>
      <c r="AH40" s="76"/>
      <c r="AI40" s="76"/>
      <c r="AJ40" s="76"/>
      <c r="AK40" s="76"/>
      <c r="AL40" s="76"/>
      <c r="AM40" s="76"/>
      <c r="AN40" s="80"/>
      <c r="AO40" s="133">
        <v>45686</v>
      </c>
      <c r="AP40" s="134"/>
      <c r="AQ40" s="109" t="s">
        <v>121</v>
      </c>
      <c r="AR40" s="105"/>
      <c r="AS40" s="109" t="s">
        <v>126</v>
      </c>
      <c r="AT40" s="132"/>
      <c r="AU40" s="69"/>
      <c r="AV40" s="70"/>
      <c r="AW40" s="68"/>
      <c r="AX40" s="67"/>
      <c r="AY40" s="68"/>
      <c r="AZ40" s="71"/>
      <c r="BA40" s="72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4"/>
      <c r="BM40" s="37"/>
      <c r="BN40" s="37"/>
    </row>
    <row r="41" spans="1:66" s="35" customFormat="1" ht="109.2" customHeight="1" x14ac:dyDescent="0.45">
      <c r="A41" s="36"/>
      <c r="B41" s="36"/>
      <c r="C41" s="40">
        <f t="shared" si="0"/>
        <v>32</v>
      </c>
      <c r="D41" s="77"/>
      <c r="E41" s="78"/>
      <c r="F41" s="78"/>
      <c r="G41" s="79"/>
      <c r="H41" s="77"/>
      <c r="I41" s="78"/>
      <c r="J41" s="78"/>
      <c r="K41" s="79"/>
      <c r="L41" s="120"/>
      <c r="M41" s="121"/>
      <c r="N41" s="121"/>
      <c r="O41" s="122"/>
      <c r="P41" s="120"/>
      <c r="Q41" s="121"/>
      <c r="R41" s="121"/>
      <c r="S41" s="121"/>
      <c r="T41" s="121"/>
      <c r="U41" s="121"/>
      <c r="V41" s="121"/>
      <c r="W41" s="122"/>
      <c r="X41" s="113" t="s">
        <v>108</v>
      </c>
      <c r="Y41" s="114"/>
      <c r="Z41" s="114"/>
      <c r="AA41" s="114"/>
      <c r="AB41" s="114"/>
      <c r="AC41" s="114"/>
      <c r="AD41" s="114"/>
      <c r="AE41" s="115"/>
      <c r="AF41" s="75"/>
      <c r="AG41" s="76"/>
      <c r="AH41" s="76"/>
      <c r="AI41" s="76"/>
      <c r="AJ41" s="76"/>
      <c r="AK41" s="76"/>
      <c r="AL41" s="76"/>
      <c r="AM41" s="76"/>
      <c r="AN41" s="80"/>
      <c r="AO41" s="133">
        <v>45686</v>
      </c>
      <c r="AP41" s="134"/>
      <c r="AQ41" s="109" t="s">
        <v>121</v>
      </c>
      <c r="AR41" s="105"/>
      <c r="AS41" s="109" t="s">
        <v>122</v>
      </c>
      <c r="AT41" s="132"/>
      <c r="AU41" s="133">
        <v>45705</v>
      </c>
      <c r="AV41" s="134"/>
      <c r="AW41" s="109" t="s">
        <v>130</v>
      </c>
      <c r="AX41" s="105"/>
      <c r="AY41" s="109" t="s">
        <v>131</v>
      </c>
      <c r="AZ41" s="132"/>
      <c r="BA41" s="147" t="s">
        <v>128</v>
      </c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9"/>
      <c r="BM41" s="37"/>
      <c r="BN41" s="37"/>
    </row>
    <row r="42" spans="1:66" s="35" customFormat="1" ht="41.4" customHeight="1" x14ac:dyDescent="0.45">
      <c r="A42" s="36"/>
      <c r="B42" s="36"/>
      <c r="C42" s="40">
        <f t="shared" si="0"/>
        <v>33</v>
      </c>
      <c r="D42" s="77"/>
      <c r="E42" s="78"/>
      <c r="F42" s="78"/>
      <c r="G42" s="79"/>
      <c r="H42" s="77"/>
      <c r="I42" s="78"/>
      <c r="J42" s="78"/>
      <c r="K42" s="79"/>
      <c r="L42" s="116" t="s">
        <v>102</v>
      </c>
      <c r="M42" s="117"/>
      <c r="N42" s="117"/>
      <c r="O42" s="118"/>
      <c r="P42" s="116" t="s">
        <v>103</v>
      </c>
      <c r="Q42" s="117"/>
      <c r="R42" s="117"/>
      <c r="S42" s="117"/>
      <c r="T42" s="117"/>
      <c r="U42" s="117"/>
      <c r="V42" s="117"/>
      <c r="W42" s="118"/>
      <c r="X42" s="113" t="s">
        <v>107</v>
      </c>
      <c r="Y42" s="114"/>
      <c r="Z42" s="114"/>
      <c r="AA42" s="114"/>
      <c r="AB42" s="114"/>
      <c r="AC42" s="114"/>
      <c r="AD42" s="114"/>
      <c r="AE42" s="115"/>
      <c r="AF42" s="75"/>
      <c r="AG42" s="76"/>
      <c r="AH42" s="76"/>
      <c r="AI42" s="76"/>
      <c r="AJ42" s="76"/>
      <c r="AK42" s="76"/>
      <c r="AL42" s="76"/>
      <c r="AM42" s="76"/>
      <c r="AN42" s="80"/>
      <c r="AO42" s="133">
        <v>45686</v>
      </c>
      <c r="AP42" s="134"/>
      <c r="AQ42" s="109" t="s">
        <v>121</v>
      </c>
      <c r="AR42" s="105"/>
      <c r="AS42" s="109" t="s">
        <v>126</v>
      </c>
      <c r="AT42" s="132"/>
      <c r="AU42" s="69"/>
      <c r="AV42" s="70"/>
      <c r="AW42" s="68"/>
      <c r="AX42" s="67"/>
      <c r="AY42" s="68"/>
      <c r="AZ42" s="71"/>
      <c r="BA42" s="72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4"/>
      <c r="BM42" s="37"/>
      <c r="BN42" s="37"/>
    </row>
    <row r="43" spans="1:66" s="35" customFormat="1" ht="105" customHeight="1" x14ac:dyDescent="0.45">
      <c r="A43" s="36"/>
      <c r="B43" s="36"/>
      <c r="C43" s="40">
        <f t="shared" si="0"/>
        <v>34</v>
      </c>
      <c r="D43" s="77"/>
      <c r="E43" s="78"/>
      <c r="F43" s="78"/>
      <c r="G43" s="79"/>
      <c r="H43" s="77"/>
      <c r="I43" s="78"/>
      <c r="J43" s="78"/>
      <c r="K43" s="79"/>
      <c r="L43" s="120"/>
      <c r="M43" s="121"/>
      <c r="N43" s="121"/>
      <c r="O43" s="122"/>
      <c r="P43" s="120"/>
      <c r="Q43" s="121"/>
      <c r="R43" s="121"/>
      <c r="S43" s="121"/>
      <c r="T43" s="121"/>
      <c r="U43" s="121"/>
      <c r="V43" s="121"/>
      <c r="W43" s="122"/>
      <c r="X43" s="113" t="s">
        <v>109</v>
      </c>
      <c r="Y43" s="114"/>
      <c r="Z43" s="114"/>
      <c r="AA43" s="114"/>
      <c r="AB43" s="114"/>
      <c r="AC43" s="114"/>
      <c r="AD43" s="114"/>
      <c r="AE43" s="115"/>
      <c r="AF43" s="75"/>
      <c r="AG43" s="76"/>
      <c r="AH43" s="76"/>
      <c r="AI43" s="76"/>
      <c r="AJ43" s="76"/>
      <c r="AK43" s="76"/>
      <c r="AL43" s="76"/>
      <c r="AM43" s="76"/>
      <c r="AN43" s="80"/>
      <c r="AO43" s="133">
        <v>45686</v>
      </c>
      <c r="AP43" s="134"/>
      <c r="AQ43" s="109" t="s">
        <v>121</v>
      </c>
      <c r="AR43" s="105"/>
      <c r="AS43" s="109" t="s">
        <v>122</v>
      </c>
      <c r="AT43" s="132"/>
      <c r="AU43" s="133">
        <v>45705</v>
      </c>
      <c r="AV43" s="134"/>
      <c r="AW43" s="109" t="s">
        <v>130</v>
      </c>
      <c r="AX43" s="105"/>
      <c r="AY43" s="109" t="s">
        <v>131</v>
      </c>
      <c r="AZ43" s="132"/>
      <c r="BA43" s="147" t="s">
        <v>128</v>
      </c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9"/>
      <c r="BM43" s="37"/>
      <c r="BN43" s="37"/>
    </row>
    <row r="44" spans="1:66" s="35" customFormat="1" ht="28.2" customHeight="1" x14ac:dyDescent="0.45">
      <c r="A44" s="36"/>
      <c r="B44" s="36"/>
      <c r="C44" s="40">
        <f t="shared" si="0"/>
        <v>35</v>
      </c>
      <c r="D44" s="59"/>
      <c r="E44" s="60"/>
      <c r="F44" s="60"/>
      <c r="G44" s="61"/>
      <c r="H44" s="59"/>
      <c r="I44" s="60"/>
      <c r="J44" s="60"/>
      <c r="K44" s="61"/>
      <c r="L44" s="113" t="s">
        <v>59</v>
      </c>
      <c r="M44" s="114"/>
      <c r="N44" s="114"/>
      <c r="O44" s="115"/>
      <c r="P44" s="113" t="s">
        <v>60</v>
      </c>
      <c r="Q44" s="114"/>
      <c r="R44" s="114"/>
      <c r="S44" s="114"/>
      <c r="T44" s="114"/>
      <c r="U44" s="114"/>
      <c r="V44" s="114"/>
      <c r="W44" s="115"/>
      <c r="X44" s="113" t="s">
        <v>75</v>
      </c>
      <c r="Y44" s="114"/>
      <c r="Z44" s="114"/>
      <c r="AA44" s="114"/>
      <c r="AB44" s="114"/>
      <c r="AC44" s="114"/>
      <c r="AD44" s="114"/>
      <c r="AE44" s="115"/>
      <c r="AF44" s="52"/>
      <c r="AG44" s="53"/>
      <c r="AH44" s="53"/>
      <c r="AI44" s="53"/>
      <c r="AJ44" s="53"/>
      <c r="AK44" s="53"/>
      <c r="AL44" s="53"/>
      <c r="AM44" s="53"/>
      <c r="AN44" s="54"/>
      <c r="AO44" s="133">
        <v>45686</v>
      </c>
      <c r="AP44" s="134"/>
      <c r="AQ44" s="109" t="s">
        <v>121</v>
      </c>
      <c r="AR44" s="105"/>
      <c r="AS44" s="109" t="s">
        <v>122</v>
      </c>
      <c r="AT44" s="132"/>
      <c r="AU44" s="133">
        <v>45705</v>
      </c>
      <c r="AV44" s="134"/>
      <c r="AW44" s="109" t="s">
        <v>130</v>
      </c>
      <c r="AX44" s="105"/>
      <c r="AY44" s="109" t="s">
        <v>131</v>
      </c>
      <c r="AZ44" s="132"/>
      <c r="BA44" s="147" t="s">
        <v>127</v>
      </c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9"/>
      <c r="BM44" s="37"/>
      <c r="BN44" s="37"/>
    </row>
    <row r="45" spans="1:66" s="35" customFormat="1" ht="28.8" customHeight="1" x14ac:dyDescent="0.45">
      <c r="A45" s="36"/>
      <c r="B45" s="36"/>
      <c r="C45" s="40">
        <f t="shared" si="0"/>
        <v>36</v>
      </c>
      <c r="D45" s="47"/>
      <c r="E45" s="48"/>
      <c r="F45" s="48"/>
      <c r="G45" s="49"/>
      <c r="H45" s="47"/>
      <c r="I45" s="48"/>
      <c r="J45" s="48"/>
      <c r="K45" s="49"/>
      <c r="L45" s="113" t="s">
        <v>50</v>
      </c>
      <c r="M45" s="114"/>
      <c r="N45" s="114"/>
      <c r="O45" s="115"/>
      <c r="P45" s="113" t="s">
        <v>51</v>
      </c>
      <c r="Q45" s="114"/>
      <c r="R45" s="114"/>
      <c r="S45" s="114"/>
      <c r="T45" s="114"/>
      <c r="U45" s="114"/>
      <c r="V45" s="114"/>
      <c r="W45" s="115"/>
      <c r="X45" s="113" t="s">
        <v>52</v>
      </c>
      <c r="Y45" s="114"/>
      <c r="Z45" s="114"/>
      <c r="AA45" s="114"/>
      <c r="AB45" s="114"/>
      <c r="AC45" s="114"/>
      <c r="AD45" s="114"/>
      <c r="AE45" s="115"/>
      <c r="AF45" s="113"/>
      <c r="AG45" s="114"/>
      <c r="AH45" s="114"/>
      <c r="AI45" s="114"/>
      <c r="AJ45" s="114"/>
      <c r="AK45" s="114"/>
      <c r="AL45" s="114"/>
      <c r="AM45" s="114"/>
      <c r="AN45" s="119"/>
      <c r="AO45" s="133">
        <v>45686</v>
      </c>
      <c r="AP45" s="134"/>
      <c r="AQ45" s="109" t="s">
        <v>121</v>
      </c>
      <c r="AR45" s="105"/>
      <c r="AS45" s="109" t="s">
        <v>126</v>
      </c>
      <c r="AT45" s="132"/>
      <c r="AU45" s="44"/>
      <c r="AV45" s="45"/>
      <c r="AW45" s="38"/>
      <c r="AX45" s="39"/>
      <c r="AY45" s="38"/>
      <c r="AZ45" s="46"/>
      <c r="BA45" s="41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3"/>
      <c r="BM45" s="37"/>
      <c r="BN45" s="37"/>
    </row>
    <row r="46" spans="1:66" s="35" customFormat="1" ht="28.8" customHeight="1" x14ac:dyDescent="0.45">
      <c r="A46" s="36"/>
      <c r="B46" s="36"/>
      <c r="C46" s="40">
        <f t="shared" si="0"/>
        <v>37</v>
      </c>
      <c r="D46" s="59"/>
      <c r="E46" s="60"/>
      <c r="F46" s="60"/>
      <c r="G46" s="61"/>
      <c r="H46" s="55"/>
      <c r="I46" s="56"/>
      <c r="J46" s="56"/>
      <c r="K46" s="57"/>
      <c r="L46" s="113" t="s">
        <v>45</v>
      </c>
      <c r="M46" s="114"/>
      <c r="N46" s="114"/>
      <c r="O46" s="115"/>
      <c r="P46" s="113" t="s">
        <v>46</v>
      </c>
      <c r="Q46" s="114"/>
      <c r="R46" s="114"/>
      <c r="S46" s="114"/>
      <c r="T46" s="114"/>
      <c r="U46" s="114"/>
      <c r="V46" s="114"/>
      <c r="W46" s="115"/>
      <c r="X46" s="113" t="s">
        <v>47</v>
      </c>
      <c r="Y46" s="114"/>
      <c r="Z46" s="114"/>
      <c r="AA46" s="114"/>
      <c r="AB46" s="114"/>
      <c r="AC46" s="114"/>
      <c r="AD46" s="114"/>
      <c r="AE46" s="115"/>
      <c r="AF46" s="113"/>
      <c r="AG46" s="114"/>
      <c r="AH46" s="114"/>
      <c r="AI46" s="114"/>
      <c r="AJ46" s="114"/>
      <c r="AK46" s="114"/>
      <c r="AL46" s="114"/>
      <c r="AM46" s="114"/>
      <c r="AN46" s="119"/>
      <c r="AO46" s="133">
        <v>45686</v>
      </c>
      <c r="AP46" s="134"/>
      <c r="AQ46" s="109" t="s">
        <v>121</v>
      </c>
      <c r="AR46" s="105"/>
      <c r="AS46" s="109" t="s">
        <v>126</v>
      </c>
      <c r="AT46" s="132"/>
      <c r="AU46" s="62"/>
      <c r="AV46" s="63"/>
      <c r="AW46" s="50"/>
      <c r="AX46" s="51"/>
      <c r="AY46" s="50"/>
      <c r="AZ46" s="58"/>
      <c r="BA46" s="64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6"/>
      <c r="BM46" s="37"/>
      <c r="BN46" s="37"/>
    </row>
    <row r="47" spans="1:66" s="35" customFormat="1" ht="28.8" customHeight="1" x14ac:dyDescent="0.45">
      <c r="A47" s="36"/>
      <c r="B47" s="36"/>
      <c r="C47" s="40">
        <f t="shared" si="0"/>
        <v>38</v>
      </c>
      <c r="D47" s="59"/>
      <c r="E47" s="60"/>
      <c r="F47" s="60"/>
      <c r="G47" s="61"/>
      <c r="H47" s="116" t="s">
        <v>61</v>
      </c>
      <c r="I47" s="117"/>
      <c r="J47" s="117"/>
      <c r="K47" s="118"/>
      <c r="L47" s="113" t="s">
        <v>65</v>
      </c>
      <c r="M47" s="114"/>
      <c r="N47" s="114"/>
      <c r="O47" s="115"/>
      <c r="P47" s="113" t="s">
        <v>112</v>
      </c>
      <c r="Q47" s="114"/>
      <c r="R47" s="114"/>
      <c r="S47" s="114"/>
      <c r="T47" s="114"/>
      <c r="U47" s="114"/>
      <c r="V47" s="114"/>
      <c r="W47" s="115"/>
      <c r="X47" s="113" t="s">
        <v>113</v>
      </c>
      <c r="Y47" s="114"/>
      <c r="Z47" s="114"/>
      <c r="AA47" s="114"/>
      <c r="AB47" s="114"/>
      <c r="AC47" s="114"/>
      <c r="AD47" s="114"/>
      <c r="AE47" s="115"/>
      <c r="AF47" s="113"/>
      <c r="AG47" s="114"/>
      <c r="AH47" s="114"/>
      <c r="AI47" s="114"/>
      <c r="AJ47" s="114"/>
      <c r="AK47" s="114"/>
      <c r="AL47" s="114"/>
      <c r="AM47" s="114"/>
      <c r="AN47" s="119"/>
      <c r="AO47" s="133">
        <v>45686</v>
      </c>
      <c r="AP47" s="134"/>
      <c r="AQ47" s="109" t="s">
        <v>121</v>
      </c>
      <c r="AR47" s="105"/>
      <c r="AS47" s="109" t="s">
        <v>126</v>
      </c>
      <c r="AT47" s="132"/>
      <c r="AU47" s="62"/>
      <c r="AV47" s="63"/>
      <c r="AW47" s="50"/>
      <c r="AX47" s="51"/>
      <c r="AY47" s="50"/>
      <c r="AZ47" s="58"/>
      <c r="BA47" s="64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6"/>
      <c r="BM47" s="37"/>
      <c r="BN47" s="37"/>
    </row>
    <row r="48" spans="1:66" s="35" customFormat="1" ht="28.8" customHeight="1" x14ac:dyDescent="0.45">
      <c r="A48" s="36"/>
      <c r="B48" s="36"/>
      <c r="C48" s="40">
        <f t="shared" si="0"/>
        <v>39</v>
      </c>
      <c r="D48" s="77"/>
      <c r="E48" s="78"/>
      <c r="F48" s="78"/>
      <c r="G48" s="79"/>
      <c r="H48" s="77"/>
      <c r="I48" s="78"/>
      <c r="J48" s="78"/>
      <c r="K48" s="79"/>
      <c r="L48" s="113" t="s">
        <v>66</v>
      </c>
      <c r="M48" s="114"/>
      <c r="N48" s="114"/>
      <c r="O48" s="115"/>
      <c r="P48" s="113" t="s">
        <v>114</v>
      </c>
      <c r="Q48" s="114"/>
      <c r="R48" s="114"/>
      <c r="S48" s="114"/>
      <c r="T48" s="114"/>
      <c r="U48" s="114"/>
      <c r="V48" s="114"/>
      <c r="W48" s="115"/>
      <c r="X48" s="113" t="s">
        <v>62</v>
      </c>
      <c r="Y48" s="114"/>
      <c r="Z48" s="114"/>
      <c r="AA48" s="114"/>
      <c r="AB48" s="114"/>
      <c r="AC48" s="114"/>
      <c r="AD48" s="114"/>
      <c r="AE48" s="115"/>
      <c r="AF48" s="75"/>
      <c r="AG48" s="76"/>
      <c r="AH48" s="76"/>
      <c r="AI48" s="76"/>
      <c r="AJ48" s="76"/>
      <c r="AK48" s="76"/>
      <c r="AL48" s="76"/>
      <c r="AM48" s="76"/>
      <c r="AN48" s="80"/>
      <c r="AO48" s="133">
        <v>45686</v>
      </c>
      <c r="AP48" s="134"/>
      <c r="AQ48" s="109" t="s">
        <v>121</v>
      </c>
      <c r="AR48" s="105"/>
      <c r="AS48" s="109" t="s">
        <v>122</v>
      </c>
      <c r="AT48" s="132"/>
      <c r="AU48" s="133">
        <v>45705</v>
      </c>
      <c r="AV48" s="134"/>
      <c r="AW48" s="109" t="s">
        <v>130</v>
      </c>
      <c r="AX48" s="105"/>
      <c r="AY48" s="109" t="s">
        <v>131</v>
      </c>
      <c r="AZ48" s="132"/>
      <c r="BA48" s="147" t="s">
        <v>129</v>
      </c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9"/>
      <c r="BM48" s="37"/>
      <c r="BN48" s="37"/>
    </row>
    <row r="49" spans="1:66" s="35" customFormat="1" ht="28.8" customHeight="1" x14ac:dyDescent="0.45">
      <c r="A49" s="36"/>
      <c r="B49" s="36"/>
      <c r="C49" s="40">
        <f t="shared" si="0"/>
        <v>40</v>
      </c>
      <c r="D49" s="77"/>
      <c r="E49" s="78"/>
      <c r="F49" s="78"/>
      <c r="G49" s="79"/>
      <c r="H49" s="77"/>
      <c r="I49" s="78"/>
      <c r="J49" s="78"/>
      <c r="K49" s="79"/>
      <c r="L49" s="113" t="s">
        <v>110</v>
      </c>
      <c r="M49" s="114"/>
      <c r="N49" s="114"/>
      <c r="O49" s="115"/>
      <c r="P49" s="113" t="s">
        <v>115</v>
      </c>
      <c r="Q49" s="114"/>
      <c r="R49" s="114"/>
      <c r="S49" s="114"/>
      <c r="T49" s="114"/>
      <c r="U49" s="114"/>
      <c r="V49" s="114"/>
      <c r="W49" s="115"/>
      <c r="X49" s="113" t="s">
        <v>113</v>
      </c>
      <c r="Y49" s="114"/>
      <c r="Z49" s="114"/>
      <c r="AA49" s="114"/>
      <c r="AB49" s="114"/>
      <c r="AC49" s="114"/>
      <c r="AD49" s="114"/>
      <c r="AE49" s="115"/>
      <c r="AF49" s="113"/>
      <c r="AG49" s="114"/>
      <c r="AH49" s="114"/>
      <c r="AI49" s="114"/>
      <c r="AJ49" s="114"/>
      <c r="AK49" s="114"/>
      <c r="AL49" s="114"/>
      <c r="AM49" s="114"/>
      <c r="AN49" s="119"/>
      <c r="AO49" s="133">
        <v>45686</v>
      </c>
      <c r="AP49" s="134"/>
      <c r="AQ49" s="109" t="s">
        <v>121</v>
      </c>
      <c r="AR49" s="105"/>
      <c r="AS49" s="109" t="s">
        <v>126</v>
      </c>
      <c r="AT49" s="132"/>
      <c r="AU49" s="69"/>
      <c r="AV49" s="70"/>
      <c r="AW49" s="68"/>
      <c r="AX49" s="67"/>
      <c r="AY49" s="68"/>
      <c r="AZ49" s="71"/>
      <c r="BA49" s="72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4"/>
      <c r="BM49" s="37"/>
      <c r="BN49" s="37"/>
    </row>
    <row r="50" spans="1:66" s="35" customFormat="1" ht="28.8" customHeight="1" x14ac:dyDescent="0.45">
      <c r="A50" s="36"/>
      <c r="B50" s="36"/>
      <c r="C50" s="40">
        <f t="shared" si="0"/>
        <v>41</v>
      </c>
      <c r="D50" s="77"/>
      <c r="E50" s="78"/>
      <c r="F50" s="78"/>
      <c r="G50" s="79"/>
      <c r="H50" s="77"/>
      <c r="I50" s="78"/>
      <c r="J50" s="78"/>
      <c r="K50" s="79"/>
      <c r="L50" s="113" t="s">
        <v>111</v>
      </c>
      <c r="M50" s="114"/>
      <c r="N50" s="114"/>
      <c r="O50" s="115"/>
      <c r="P50" s="113" t="s">
        <v>116</v>
      </c>
      <c r="Q50" s="114"/>
      <c r="R50" s="114"/>
      <c r="S50" s="114"/>
      <c r="T50" s="114"/>
      <c r="U50" s="114"/>
      <c r="V50" s="114"/>
      <c r="W50" s="115"/>
      <c r="X50" s="113" t="s">
        <v>113</v>
      </c>
      <c r="Y50" s="114"/>
      <c r="Z50" s="114"/>
      <c r="AA50" s="114"/>
      <c r="AB50" s="114"/>
      <c r="AC50" s="114"/>
      <c r="AD50" s="114"/>
      <c r="AE50" s="115"/>
      <c r="AF50" s="113"/>
      <c r="AG50" s="114"/>
      <c r="AH50" s="114"/>
      <c r="AI50" s="114"/>
      <c r="AJ50" s="114"/>
      <c r="AK50" s="114"/>
      <c r="AL50" s="114"/>
      <c r="AM50" s="114"/>
      <c r="AN50" s="119"/>
      <c r="AO50" s="133">
        <v>45686</v>
      </c>
      <c r="AP50" s="134"/>
      <c r="AQ50" s="109" t="s">
        <v>121</v>
      </c>
      <c r="AR50" s="105"/>
      <c r="AS50" s="109" t="s">
        <v>126</v>
      </c>
      <c r="AT50" s="132"/>
      <c r="AU50" s="69"/>
      <c r="AV50" s="70"/>
      <c r="AW50" s="68"/>
      <c r="AX50" s="67"/>
      <c r="AY50" s="68"/>
      <c r="AZ50" s="71"/>
      <c r="BA50" s="72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4"/>
      <c r="BM50" s="37"/>
      <c r="BN50" s="37"/>
    </row>
    <row r="51" spans="1:66" s="35" customFormat="1" ht="28.8" customHeight="1" x14ac:dyDescent="0.45">
      <c r="A51" s="36"/>
      <c r="B51" s="36"/>
      <c r="C51" s="40">
        <f t="shared" si="0"/>
        <v>42</v>
      </c>
      <c r="D51" s="77"/>
      <c r="E51" s="78"/>
      <c r="F51" s="78"/>
      <c r="G51" s="79"/>
      <c r="H51" s="77"/>
      <c r="I51" s="78"/>
      <c r="J51" s="78"/>
      <c r="K51" s="79"/>
      <c r="L51" s="116" t="s">
        <v>119</v>
      </c>
      <c r="M51" s="117"/>
      <c r="N51" s="117"/>
      <c r="O51" s="118"/>
      <c r="P51" s="113" t="s">
        <v>120</v>
      </c>
      <c r="Q51" s="114"/>
      <c r="R51" s="114"/>
      <c r="S51" s="114"/>
      <c r="T51" s="114"/>
      <c r="U51" s="114"/>
      <c r="V51" s="114"/>
      <c r="W51" s="115"/>
      <c r="X51" s="113" t="s">
        <v>113</v>
      </c>
      <c r="Y51" s="114"/>
      <c r="Z51" s="114"/>
      <c r="AA51" s="114"/>
      <c r="AB51" s="114"/>
      <c r="AC51" s="114"/>
      <c r="AD51" s="114"/>
      <c r="AE51" s="115"/>
      <c r="AF51" s="81"/>
      <c r="AG51" s="82"/>
      <c r="AH51" s="82"/>
      <c r="AI51" s="82"/>
      <c r="AJ51" s="82"/>
      <c r="AK51" s="82"/>
      <c r="AL51" s="82"/>
      <c r="AM51" s="82"/>
      <c r="AN51" s="83"/>
      <c r="AO51" s="133">
        <v>45686</v>
      </c>
      <c r="AP51" s="134"/>
      <c r="AQ51" s="109" t="s">
        <v>121</v>
      </c>
      <c r="AR51" s="105"/>
      <c r="AS51" s="109" t="s">
        <v>122</v>
      </c>
      <c r="AT51" s="132"/>
      <c r="AU51" s="133">
        <v>45705</v>
      </c>
      <c r="AV51" s="134"/>
      <c r="AW51" s="109" t="s">
        <v>130</v>
      </c>
      <c r="AX51" s="105"/>
      <c r="AY51" s="109" t="s">
        <v>131</v>
      </c>
      <c r="AZ51" s="132"/>
      <c r="BA51" s="147" t="s">
        <v>129</v>
      </c>
      <c r="BB51" s="148"/>
      <c r="BC51" s="148"/>
      <c r="BD51" s="148"/>
      <c r="BE51" s="148"/>
      <c r="BF51" s="148"/>
      <c r="BG51" s="148"/>
      <c r="BH51" s="148"/>
      <c r="BI51" s="148"/>
      <c r="BJ51" s="148"/>
      <c r="BK51" s="148"/>
      <c r="BL51" s="149"/>
      <c r="BM51" s="37"/>
      <c r="BN51" s="37"/>
    </row>
    <row r="52" spans="1:66" s="35" customFormat="1" ht="28.8" customHeight="1" x14ac:dyDescent="0.45">
      <c r="A52" s="36"/>
      <c r="B52" s="36"/>
      <c r="C52" s="40">
        <f t="shared" si="0"/>
        <v>43</v>
      </c>
      <c r="D52" s="77"/>
      <c r="E52" s="78"/>
      <c r="F52" s="78"/>
      <c r="G52" s="79"/>
      <c r="H52" s="77"/>
      <c r="I52" s="78"/>
      <c r="J52" s="78"/>
      <c r="K52" s="79"/>
      <c r="L52" s="116" t="s">
        <v>59</v>
      </c>
      <c r="M52" s="117"/>
      <c r="N52" s="117"/>
      <c r="O52" s="118"/>
      <c r="P52" s="113" t="s">
        <v>117</v>
      </c>
      <c r="Q52" s="114"/>
      <c r="R52" s="114"/>
      <c r="S52" s="114"/>
      <c r="T52" s="114"/>
      <c r="U52" s="114"/>
      <c r="V52" s="114"/>
      <c r="W52" s="115"/>
      <c r="X52" s="113" t="s">
        <v>63</v>
      </c>
      <c r="Y52" s="114"/>
      <c r="Z52" s="114"/>
      <c r="AA52" s="114"/>
      <c r="AB52" s="114"/>
      <c r="AC52" s="114"/>
      <c r="AD52" s="114"/>
      <c r="AE52" s="115"/>
      <c r="AF52" s="113"/>
      <c r="AG52" s="114"/>
      <c r="AH52" s="114"/>
      <c r="AI52" s="114"/>
      <c r="AJ52" s="114"/>
      <c r="AK52" s="114"/>
      <c r="AL52" s="114"/>
      <c r="AM52" s="114"/>
      <c r="AN52" s="119"/>
      <c r="AO52" s="133">
        <v>45686</v>
      </c>
      <c r="AP52" s="134"/>
      <c r="AQ52" s="109" t="s">
        <v>121</v>
      </c>
      <c r="AR52" s="105"/>
      <c r="AS52" s="109" t="s">
        <v>126</v>
      </c>
      <c r="AT52" s="132"/>
      <c r="AU52" s="69"/>
      <c r="AV52" s="70"/>
      <c r="AW52" s="68"/>
      <c r="AX52" s="67"/>
      <c r="AY52" s="68"/>
      <c r="AZ52" s="71"/>
      <c r="BA52" s="72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4"/>
      <c r="BM52" s="37"/>
      <c r="BN52" s="37"/>
    </row>
    <row r="53" spans="1:66" s="35" customFormat="1" ht="28.8" customHeight="1" thickBot="1" x14ac:dyDescent="0.5">
      <c r="A53" s="36"/>
      <c r="B53" s="36"/>
      <c r="C53" s="40">
        <f t="shared" si="0"/>
        <v>44</v>
      </c>
      <c r="D53" s="77"/>
      <c r="E53" s="78"/>
      <c r="F53" s="78"/>
      <c r="G53" s="79"/>
      <c r="H53" s="77"/>
      <c r="I53" s="78"/>
      <c r="J53" s="78"/>
      <c r="K53" s="79"/>
      <c r="L53" s="110"/>
      <c r="M53" s="111"/>
      <c r="N53" s="111"/>
      <c r="O53" s="112"/>
      <c r="P53" s="113" t="s">
        <v>118</v>
      </c>
      <c r="Q53" s="114"/>
      <c r="R53" s="114"/>
      <c r="S53" s="114"/>
      <c r="T53" s="114"/>
      <c r="U53" s="114"/>
      <c r="V53" s="114"/>
      <c r="W53" s="115"/>
      <c r="X53" s="113" t="s">
        <v>63</v>
      </c>
      <c r="Y53" s="114"/>
      <c r="Z53" s="114"/>
      <c r="AA53" s="114"/>
      <c r="AB53" s="114"/>
      <c r="AC53" s="114"/>
      <c r="AD53" s="114"/>
      <c r="AE53" s="115"/>
      <c r="AF53" s="81"/>
      <c r="AG53" s="82"/>
      <c r="AH53" s="82"/>
      <c r="AI53" s="82"/>
      <c r="AJ53" s="82"/>
      <c r="AK53" s="82"/>
      <c r="AL53" s="82"/>
      <c r="AM53" s="82"/>
      <c r="AN53" s="83"/>
      <c r="AO53" s="133">
        <v>45686</v>
      </c>
      <c r="AP53" s="134"/>
      <c r="AQ53" s="109" t="s">
        <v>121</v>
      </c>
      <c r="AR53" s="105"/>
      <c r="AS53" s="109" t="s">
        <v>126</v>
      </c>
      <c r="AT53" s="132"/>
      <c r="AU53" s="69"/>
      <c r="AV53" s="70"/>
      <c r="AW53" s="68"/>
      <c r="AX53" s="67"/>
      <c r="AY53" s="68"/>
      <c r="AZ53" s="71"/>
      <c r="BA53" s="72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4"/>
      <c r="BM53" s="37"/>
      <c r="BN53" s="37"/>
    </row>
    <row r="54" spans="1:66" ht="20.100000000000001" customHeight="1" thickTop="1" thickBot="1" x14ac:dyDescent="0.5">
      <c r="A54" s="1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8"/>
      <c r="BN54" s="16"/>
    </row>
    <row r="55" spans="1:66" ht="5.0999999999999996" customHeight="1" thickTop="1" x14ac:dyDescent="0.4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</row>
    <row r="56" spans="1:66" ht="20.100000000000001" customHeight="1" x14ac:dyDescent="0.45"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</sheetData>
  <mergeCells count="393">
    <mergeCell ref="AU41:AV41"/>
    <mergeCell ref="AW41:AX41"/>
    <mergeCell ref="AY41:AZ41"/>
    <mergeCell ref="AU43:AV43"/>
    <mergeCell ref="AW43:AX43"/>
    <mergeCell ref="AY43:AZ43"/>
    <mergeCell ref="AU44:AV44"/>
    <mergeCell ref="AW44:AX44"/>
    <mergeCell ref="AY44:AZ44"/>
    <mergeCell ref="AO52:AP52"/>
    <mergeCell ref="AQ52:AR52"/>
    <mergeCell ref="AS52:AT52"/>
    <mergeCell ref="AO53:AP53"/>
    <mergeCell ref="AQ53:AR53"/>
    <mergeCell ref="AS53:AT53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BA51:BL51"/>
    <mergeCell ref="BA48:BL48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U48:AV48"/>
    <mergeCell ref="AW48:AX48"/>
    <mergeCell ref="AY48:AZ48"/>
    <mergeCell ref="AU51:AV51"/>
    <mergeCell ref="AW51:AX51"/>
    <mergeCell ref="AY51:AZ51"/>
    <mergeCell ref="AO39:AP39"/>
    <mergeCell ref="AQ39:AR39"/>
    <mergeCell ref="AS39:AT39"/>
    <mergeCell ref="AS44:AT44"/>
    <mergeCell ref="BA44:BL44"/>
    <mergeCell ref="AO45:AP45"/>
    <mergeCell ref="AQ45:AR45"/>
    <mergeCell ref="AS45:AT45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BA41:BL41"/>
    <mergeCell ref="BA43:BL43"/>
    <mergeCell ref="AO43:AP43"/>
    <mergeCell ref="AQ43:AR43"/>
    <mergeCell ref="AS43:AT43"/>
    <mergeCell ref="AO44:AP44"/>
    <mergeCell ref="AQ44:AR44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H47:K47"/>
    <mergeCell ref="L19:O19"/>
    <mergeCell ref="L30:O30"/>
    <mergeCell ref="L44:O44"/>
    <mergeCell ref="L46:O46"/>
    <mergeCell ref="P46:W46"/>
    <mergeCell ref="X46:AE46"/>
    <mergeCell ref="P30:W30"/>
    <mergeCell ref="X30:AE30"/>
    <mergeCell ref="P44:W44"/>
    <mergeCell ref="L45:O45"/>
    <mergeCell ref="P45:W45"/>
    <mergeCell ref="X45:AE45"/>
    <mergeCell ref="X44:AE44"/>
    <mergeCell ref="L34:O34"/>
    <mergeCell ref="P34:W34"/>
    <mergeCell ref="X34:AE34"/>
    <mergeCell ref="L27:O27"/>
    <mergeCell ref="P27:W27"/>
    <mergeCell ref="X27:AE27"/>
    <mergeCell ref="L28:O28"/>
    <mergeCell ref="P28:W28"/>
    <mergeCell ref="X28:AE28"/>
    <mergeCell ref="L29:O29"/>
    <mergeCell ref="AW21:AX21"/>
    <mergeCell ref="AY21:AZ21"/>
    <mergeCell ref="BA21:BL21"/>
    <mergeCell ref="D22:G22"/>
    <mergeCell ref="H22:K22"/>
    <mergeCell ref="L22:O22"/>
    <mergeCell ref="P22:W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H21:K21"/>
    <mergeCell ref="L21:O21"/>
    <mergeCell ref="P21:W21"/>
    <mergeCell ref="X21:AE21"/>
    <mergeCell ref="AF21:AN21"/>
    <mergeCell ref="AO21:AP21"/>
    <mergeCell ref="AQ21:AR21"/>
    <mergeCell ref="AS21:AT21"/>
    <mergeCell ref="AU21:AV21"/>
    <mergeCell ref="P29:W29"/>
    <mergeCell ref="X29:AE29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D25:G25"/>
    <mergeCell ref="H25:K25"/>
    <mergeCell ref="L25:O25"/>
    <mergeCell ref="P25:W25"/>
    <mergeCell ref="X25:AE25"/>
    <mergeCell ref="AF25:AN25"/>
    <mergeCell ref="L26:O26"/>
    <mergeCell ref="P26:W26"/>
    <mergeCell ref="X26:AE26"/>
    <mergeCell ref="P24:W24"/>
    <mergeCell ref="X24:AE24"/>
    <mergeCell ref="AF24:AN24"/>
    <mergeCell ref="D18:G18"/>
    <mergeCell ref="H18:K18"/>
    <mergeCell ref="P18:W18"/>
    <mergeCell ref="X18:AE18"/>
    <mergeCell ref="AF18:AN18"/>
    <mergeCell ref="P19:W19"/>
    <mergeCell ref="P20:W20"/>
    <mergeCell ref="X20:AE20"/>
    <mergeCell ref="D21:G21"/>
    <mergeCell ref="L20:O20"/>
    <mergeCell ref="X19:AE19"/>
    <mergeCell ref="AX2:BA2"/>
    <mergeCell ref="BB2:BE2"/>
    <mergeCell ref="BF2:BI2"/>
    <mergeCell ref="BJ2:BM2"/>
    <mergeCell ref="AU8:AZ8"/>
    <mergeCell ref="BG8:BH8"/>
    <mergeCell ref="BI8:BJ8"/>
    <mergeCell ref="BK8:BL8"/>
    <mergeCell ref="AK2:AW2"/>
    <mergeCell ref="AX3:BA4"/>
    <mergeCell ref="BB3:BE4"/>
    <mergeCell ref="BF3:BI4"/>
    <mergeCell ref="AK3:AW4"/>
    <mergeCell ref="D12:G12"/>
    <mergeCell ref="H12:K12"/>
    <mergeCell ref="L12:O12"/>
    <mergeCell ref="P12:W12"/>
    <mergeCell ref="BJ3:BM4"/>
    <mergeCell ref="BE7:BF8"/>
    <mergeCell ref="BG7:BH7"/>
    <mergeCell ref="BI7:BJ7"/>
    <mergeCell ref="BK7:BL7"/>
    <mergeCell ref="AY10:AZ10"/>
    <mergeCell ref="AY9:AZ9"/>
    <mergeCell ref="BA9:BL9"/>
    <mergeCell ref="BA10:BL10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X10:AE10"/>
    <mergeCell ref="AF10:AN10"/>
    <mergeCell ref="AO8:AT8"/>
    <mergeCell ref="AO9:AP9"/>
    <mergeCell ref="AQ9:AR9"/>
    <mergeCell ref="AS9:AT9"/>
    <mergeCell ref="AO13:AP13"/>
    <mergeCell ref="AQ13:AR13"/>
    <mergeCell ref="AS13:AT13"/>
    <mergeCell ref="AO14:AP14"/>
    <mergeCell ref="X12:AE12"/>
    <mergeCell ref="AF12:AN12"/>
    <mergeCell ref="AQ14:AR14"/>
    <mergeCell ref="AS14:AT14"/>
    <mergeCell ref="AU9:AV9"/>
    <mergeCell ref="AW9:AX9"/>
    <mergeCell ref="AS10:AT10"/>
    <mergeCell ref="AU10:AV10"/>
    <mergeCell ref="AW10:AX10"/>
    <mergeCell ref="AO10:AP10"/>
    <mergeCell ref="AQ10:AR10"/>
    <mergeCell ref="AO12:AP12"/>
    <mergeCell ref="AQ12:AR12"/>
    <mergeCell ref="AS12:AT12"/>
    <mergeCell ref="B2:G2"/>
    <mergeCell ref="H2:K2"/>
    <mergeCell ref="L2:Q2"/>
    <mergeCell ref="R2:W2"/>
    <mergeCell ref="X2:AJ2"/>
    <mergeCell ref="D10:G10"/>
    <mergeCell ref="D11:G11"/>
    <mergeCell ref="H10:K10"/>
    <mergeCell ref="H11:K11"/>
    <mergeCell ref="P10:W10"/>
    <mergeCell ref="L10:O10"/>
    <mergeCell ref="L11:O11"/>
    <mergeCell ref="P11:W11"/>
    <mergeCell ref="B3:G4"/>
    <mergeCell ref="H3:K4"/>
    <mergeCell ref="L3:Q4"/>
    <mergeCell ref="R3:W4"/>
    <mergeCell ref="X3:AJ4"/>
    <mergeCell ref="L13:O13"/>
    <mergeCell ref="P13:W13"/>
    <mergeCell ref="X13:AE13"/>
    <mergeCell ref="L14:O14"/>
    <mergeCell ref="P14:W14"/>
    <mergeCell ref="X14:AE14"/>
    <mergeCell ref="AF13:AN13"/>
    <mergeCell ref="AF14:AN14"/>
    <mergeCell ref="X16:AE16"/>
    <mergeCell ref="AF15:AN15"/>
    <mergeCell ref="AF16:AN16"/>
    <mergeCell ref="L15:O15"/>
    <mergeCell ref="L16:O16"/>
    <mergeCell ref="P15:W15"/>
    <mergeCell ref="P16:W16"/>
    <mergeCell ref="X15:AE15"/>
    <mergeCell ref="L17:O17"/>
    <mergeCell ref="L18:O18"/>
    <mergeCell ref="D30:G30"/>
    <mergeCell ref="H30:K30"/>
    <mergeCell ref="AF30:AN30"/>
    <mergeCell ref="D31:G31"/>
    <mergeCell ref="H31:K31"/>
    <mergeCell ref="L31:O31"/>
    <mergeCell ref="P31:W31"/>
    <mergeCell ref="X31:AE31"/>
    <mergeCell ref="AF31:AN31"/>
    <mergeCell ref="P17:W17"/>
    <mergeCell ref="X17:AE17"/>
    <mergeCell ref="AF17:AN17"/>
    <mergeCell ref="X22:AE22"/>
    <mergeCell ref="D23:G23"/>
    <mergeCell ref="H23:K23"/>
    <mergeCell ref="L23:O23"/>
    <mergeCell ref="P23:W23"/>
    <mergeCell ref="X23:AE23"/>
    <mergeCell ref="AF23:AN23"/>
    <mergeCell ref="D24:G24"/>
    <mergeCell ref="H24:K24"/>
    <mergeCell ref="L24:O24"/>
    <mergeCell ref="D32:G32"/>
    <mergeCell ref="H32:K32"/>
    <mergeCell ref="L32:O32"/>
    <mergeCell ref="P32:W32"/>
    <mergeCell ref="X32:AE32"/>
    <mergeCell ref="AF32:AN32"/>
    <mergeCell ref="L33:O33"/>
    <mergeCell ref="P33:W33"/>
    <mergeCell ref="X33:AE33"/>
    <mergeCell ref="L35:O35"/>
    <mergeCell ref="P35:W35"/>
    <mergeCell ref="X35:AE35"/>
    <mergeCell ref="L36:O36"/>
    <mergeCell ref="P36:W36"/>
    <mergeCell ref="X36:AE36"/>
    <mergeCell ref="D37:G37"/>
    <mergeCell ref="H37:K37"/>
    <mergeCell ref="L37:O37"/>
    <mergeCell ref="P37:W37"/>
    <mergeCell ref="X37:AE37"/>
    <mergeCell ref="AF37:AN37"/>
    <mergeCell ref="D38:G38"/>
    <mergeCell ref="H38:K38"/>
    <mergeCell ref="L38:O38"/>
    <mergeCell ref="P38:W38"/>
    <mergeCell ref="X38:AE38"/>
    <mergeCell ref="AF38:AN38"/>
    <mergeCell ref="D39:G39"/>
    <mergeCell ref="H39:K39"/>
    <mergeCell ref="L39:O39"/>
    <mergeCell ref="P39:W39"/>
    <mergeCell ref="X39:AE39"/>
    <mergeCell ref="AF39:AN39"/>
    <mergeCell ref="L40:O40"/>
    <mergeCell ref="P40:W40"/>
    <mergeCell ref="X40:AE40"/>
    <mergeCell ref="L41:O41"/>
    <mergeCell ref="P41:W41"/>
    <mergeCell ref="X41:AE41"/>
    <mergeCell ref="L42:O42"/>
    <mergeCell ref="P42:W42"/>
    <mergeCell ref="X42:AE42"/>
    <mergeCell ref="AF45:AN45"/>
    <mergeCell ref="AF46:AN46"/>
    <mergeCell ref="AF47:AN47"/>
    <mergeCell ref="AF49:AN49"/>
    <mergeCell ref="AF50:AN50"/>
    <mergeCell ref="AF52:AN52"/>
    <mergeCell ref="L43:O43"/>
    <mergeCell ref="P43:W43"/>
    <mergeCell ref="X43:AE43"/>
    <mergeCell ref="L49:O49"/>
    <mergeCell ref="P49:W49"/>
    <mergeCell ref="X49:AE49"/>
    <mergeCell ref="L50:O50"/>
    <mergeCell ref="P50:W50"/>
    <mergeCell ref="X50:AE50"/>
    <mergeCell ref="L47:O47"/>
    <mergeCell ref="P47:W47"/>
    <mergeCell ref="X47:AE47"/>
    <mergeCell ref="L48:O48"/>
    <mergeCell ref="P48:W48"/>
    <mergeCell ref="X48:AE48"/>
    <mergeCell ref="L53:O53"/>
    <mergeCell ref="P53:W53"/>
    <mergeCell ref="X53:AE53"/>
    <mergeCell ref="L51:O51"/>
    <mergeCell ref="P51:W51"/>
    <mergeCell ref="X51:AE51"/>
    <mergeCell ref="L52:O52"/>
    <mergeCell ref="P52:W52"/>
    <mergeCell ref="X52:AE52"/>
  </mergeCells>
  <phoneticPr fontId="2"/>
  <conditionalFormatting sqref="AS10:AS11 AY10:AY17 AY21:AY22 AY45:AY47 AY52:AY53 AY49:AY50">
    <cfRule type="cellIs" dxfId="103" priority="117" operator="equal">
      <formula>"OK"</formula>
    </cfRule>
    <cfRule type="cellIs" dxfId="102" priority="118" operator="equal">
      <formula>"NG"</formula>
    </cfRule>
  </conditionalFormatting>
  <conditionalFormatting sqref="AY23:AY29">
    <cfRule type="cellIs" dxfId="101" priority="105" operator="equal">
      <formula>"OK"</formula>
    </cfRule>
    <cfRule type="cellIs" dxfId="100" priority="106" operator="equal">
      <formula>"NG"</formula>
    </cfRule>
  </conditionalFormatting>
  <conditionalFormatting sqref="AY18:AY20">
    <cfRule type="cellIs" dxfId="99" priority="103" operator="equal">
      <formula>"OK"</formula>
    </cfRule>
    <cfRule type="cellIs" dxfId="98" priority="104" operator="equal">
      <formula>"NG"</formula>
    </cfRule>
  </conditionalFormatting>
  <conditionalFormatting sqref="AY30:AY36">
    <cfRule type="cellIs" dxfId="97" priority="99" operator="equal">
      <formula>"OK"</formula>
    </cfRule>
    <cfRule type="cellIs" dxfId="96" priority="100" operator="equal">
      <formula>"NG"</formula>
    </cfRule>
  </conditionalFormatting>
  <conditionalFormatting sqref="AY37:AY40 AY42">
    <cfRule type="cellIs" dxfId="95" priority="97" operator="equal">
      <formula>"OK"</formula>
    </cfRule>
    <cfRule type="cellIs" dxfId="94" priority="98" operator="equal">
      <formula>"NG"</formula>
    </cfRule>
  </conditionalFormatting>
  <conditionalFormatting sqref="AS12">
    <cfRule type="cellIs" dxfId="93" priority="93" operator="equal">
      <formula>"OK"</formula>
    </cfRule>
    <cfRule type="cellIs" dxfId="92" priority="94" operator="equal">
      <formula>"NG"</formula>
    </cfRule>
  </conditionalFormatting>
  <conditionalFormatting sqref="AS13">
    <cfRule type="cellIs" dxfId="91" priority="91" operator="equal">
      <formula>"OK"</formula>
    </cfRule>
    <cfRule type="cellIs" dxfId="90" priority="92" operator="equal">
      <formula>"NG"</formula>
    </cfRule>
  </conditionalFormatting>
  <conditionalFormatting sqref="AS14">
    <cfRule type="cellIs" dxfId="89" priority="89" operator="equal">
      <formula>"OK"</formula>
    </cfRule>
    <cfRule type="cellIs" dxfId="88" priority="90" operator="equal">
      <formula>"NG"</formula>
    </cfRule>
  </conditionalFormatting>
  <conditionalFormatting sqref="AS15">
    <cfRule type="cellIs" dxfId="87" priority="87" operator="equal">
      <formula>"OK"</formula>
    </cfRule>
    <cfRule type="cellIs" dxfId="86" priority="88" operator="equal">
      <formula>"NG"</formula>
    </cfRule>
  </conditionalFormatting>
  <conditionalFormatting sqref="AS16">
    <cfRule type="cellIs" dxfId="85" priority="85" operator="equal">
      <formula>"OK"</formula>
    </cfRule>
    <cfRule type="cellIs" dxfId="84" priority="86" operator="equal">
      <formula>"NG"</formula>
    </cfRule>
  </conditionalFormatting>
  <conditionalFormatting sqref="AS17">
    <cfRule type="cellIs" dxfId="83" priority="83" operator="equal">
      <formula>"OK"</formula>
    </cfRule>
    <cfRule type="cellIs" dxfId="82" priority="84" operator="equal">
      <formula>"NG"</formula>
    </cfRule>
  </conditionalFormatting>
  <conditionalFormatting sqref="AS18">
    <cfRule type="cellIs" dxfId="81" priority="81" operator="equal">
      <formula>"OK"</formula>
    </cfRule>
    <cfRule type="cellIs" dxfId="80" priority="82" operator="equal">
      <formula>"NG"</formula>
    </cfRule>
  </conditionalFormatting>
  <conditionalFormatting sqref="AS19">
    <cfRule type="cellIs" dxfId="79" priority="79" operator="equal">
      <formula>"OK"</formula>
    </cfRule>
    <cfRule type="cellIs" dxfId="78" priority="80" operator="equal">
      <formula>"NG"</formula>
    </cfRule>
  </conditionalFormatting>
  <conditionalFormatting sqref="AS20">
    <cfRule type="cellIs" dxfId="77" priority="77" operator="equal">
      <formula>"OK"</formula>
    </cfRule>
    <cfRule type="cellIs" dxfId="76" priority="78" operator="equal">
      <formula>"NG"</formula>
    </cfRule>
  </conditionalFormatting>
  <conditionalFormatting sqref="AS21">
    <cfRule type="cellIs" dxfId="75" priority="75" operator="equal">
      <formula>"OK"</formula>
    </cfRule>
    <cfRule type="cellIs" dxfId="74" priority="76" operator="equal">
      <formula>"NG"</formula>
    </cfRule>
  </conditionalFormatting>
  <conditionalFormatting sqref="AS22">
    <cfRule type="cellIs" dxfId="73" priority="73" operator="equal">
      <formula>"OK"</formula>
    </cfRule>
    <cfRule type="cellIs" dxfId="72" priority="74" operator="equal">
      <formula>"NG"</formula>
    </cfRule>
  </conditionalFormatting>
  <conditionalFormatting sqref="AS23">
    <cfRule type="cellIs" dxfId="71" priority="71" operator="equal">
      <formula>"OK"</formula>
    </cfRule>
    <cfRule type="cellIs" dxfId="70" priority="72" operator="equal">
      <formula>"NG"</formula>
    </cfRule>
  </conditionalFormatting>
  <conditionalFormatting sqref="AS24">
    <cfRule type="cellIs" dxfId="69" priority="69" operator="equal">
      <formula>"OK"</formula>
    </cfRule>
    <cfRule type="cellIs" dxfId="68" priority="70" operator="equal">
      <formula>"NG"</formula>
    </cfRule>
  </conditionalFormatting>
  <conditionalFormatting sqref="AS25">
    <cfRule type="cellIs" dxfId="67" priority="67" operator="equal">
      <formula>"OK"</formula>
    </cfRule>
    <cfRule type="cellIs" dxfId="66" priority="68" operator="equal">
      <formula>"NG"</formula>
    </cfRule>
  </conditionalFormatting>
  <conditionalFormatting sqref="AS26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27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28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29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30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31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32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33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34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35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36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37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38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39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40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41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42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43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44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45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46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47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48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49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50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51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52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53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4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43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44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48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5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53 AY10:AY5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画面</vt:lpstr>
      <vt:lpstr>参照</vt:lpstr>
      <vt:lpstr>画面!Print_Area</vt:lpstr>
      <vt:lpstr>変更履歴!Print_Area</vt:lpstr>
      <vt:lpstr>画面!Print_Titles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2025-02-27T03:50:36Z</dcterms:modified>
</cp:coreProperties>
</file>