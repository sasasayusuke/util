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 activeTab="1"/>
  </bookViews>
  <sheets>
    <sheet name="変更履歴" sheetId="1" r:id="rId1"/>
    <sheet name="画面" sheetId="19" r:id="rId2"/>
    <sheet name="参照" sheetId="12" state="hidden" r:id="rId3"/>
  </sheets>
  <definedNames>
    <definedName name="_xlnm.Print_Area" localSheetId="1">画面!$A$1:$BN$21</definedName>
    <definedName name="_xlnm.Print_Area" localSheetId="0">変更履歴!$A$1:$BN$49</definedName>
    <definedName name="_xlnm.Print_Titles" localSheetId="1">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9" l="1"/>
  <c r="C11" i="19"/>
  <c r="C17" i="19" l="1"/>
  <c r="C18" i="19"/>
  <c r="C16" i="19" l="1"/>
  <c r="C19" i="19" l="1"/>
  <c r="C13" i="19"/>
  <c r="C14" i="19"/>
  <c r="C15" i="19"/>
  <c r="C10" i="19" l="1"/>
  <c r="BI8" i="19"/>
  <c r="BJ3" i="19"/>
  <c r="BF3" i="19"/>
  <c r="BB3" i="19"/>
  <c r="AX3" i="19"/>
  <c r="L3" i="19"/>
  <c r="B3" i="19"/>
  <c r="X3" i="1" l="1"/>
  <c r="BG8" i="19" l="1"/>
  <c r="BK8" i="19" s="1"/>
  <c r="X3" i="19"/>
  <c r="H3" i="1"/>
  <c r="R3" i="1"/>
  <c r="AK3" i="1"/>
  <c r="AK3" i="19" l="1"/>
  <c r="R3" i="19"/>
  <c r="H3" i="19"/>
</calcChain>
</file>

<file path=xl/sharedStrings.xml><?xml version="1.0" encoding="utf-8"?>
<sst xmlns="http://schemas.openxmlformats.org/spreadsheetml/2006/main" count="114" uniqueCount="74">
  <si>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</si>
  <si>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</si>
  <si>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</si>
  <si>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</si>
  <si>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</si>
  <si>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</si>
  <si>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</si>
  <si>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</si>
  <si>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</si>
  <si>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</si>
  <si>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</si>
  <si>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</si>
  <si>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</si>
  <si>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</si>
  <si>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</si>
  <si>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</si>
  <si>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</si>
  <si>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</si>
  <si>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</si>
  <si>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</si>
  <si>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</si>
  <si>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</si>
  <si>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</si>
  <si>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</si>
  <si>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</si>
  <si>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</si>
  <si>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</si>
  <si>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</si>
  <si>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</si>
  <si>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</si>
  <si>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</si>
  <si>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</si>
  <si>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</si>
  <si>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</si>
  <si>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</si>
  <si>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</si>
  <si>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</si>
  <si>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</si>
  <si>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</si>
  <si>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</si>
  <si>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</si>
  <si>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</si>
  <si>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</si>
  <si>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</si>
  <si>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</si>
  <si>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</si>
  <si>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</si>
  <si>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動作確認</t>
    <rPh sb="0" eb="4">
      <t>ドウサカクニン</t>
    </rPh>
    <phoneticPr fontId="2"/>
  </si>
  <si>
    <t>集計値</t>
    <rPh sb="0" eb="2">
      <t>シュウケイ</t>
    </rPh>
    <rPh sb="2" eb="3">
      <t>アタイ</t>
    </rPh>
    <phoneticPr fontId="2"/>
  </si>
  <si>
    <t>メニューより月次締め処理を起動する</t>
  </si>
  <si>
    <t>入力欄が活性、かつ、買掛が選択されていること</t>
    <rPh sb="4" eb="6">
      <t>カッセイ</t>
    </rPh>
    <rPh sb="10" eb="12">
      <t>カイカケ</t>
    </rPh>
    <rPh sb="13" eb="15">
      <t>センタク</t>
    </rPh>
    <phoneticPr fontId="2"/>
  </si>
  <si>
    <t>実行ボタン</t>
    <rPh sb="0" eb="2">
      <t>ジッコウ</t>
    </rPh>
    <phoneticPr fontId="2"/>
  </si>
  <si>
    <t>集計値で買掛を選択して実行ボタンを押下する</t>
    <rPh sb="0" eb="3">
      <t>シュウケイチ</t>
    </rPh>
    <rPh sb="4" eb="6">
      <t>カイカケ</t>
    </rPh>
    <rPh sb="7" eb="9">
      <t>センタク</t>
    </rPh>
    <rPh sb="11" eb="13">
      <t>ジッコウ</t>
    </rPh>
    <rPh sb="17" eb="19">
      <t>オウカ</t>
    </rPh>
    <phoneticPr fontId="2"/>
  </si>
  <si>
    <t>集計値で売掛を選択して実行ボタンを押下する</t>
    <rPh sb="0" eb="3">
      <t>シュウケイチ</t>
    </rPh>
    <rPh sb="4" eb="6">
      <t>ウリカケ</t>
    </rPh>
    <rPh sb="7" eb="9">
      <t>センタク</t>
    </rPh>
    <rPh sb="11" eb="13">
      <t>ジッコウ</t>
    </rPh>
    <rPh sb="17" eb="19">
      <t>オウカ</t>
    </rPh>
    <phoneticPr fontId="2"/>
  </si>
  <si>
    <t>[DateID]が「買掛月次更新日」のレコードの[更新日付]が設定した月次締め日付に更新されること</t>
    <rPh sb="31" eb="33">
      <t>セッテイ</t>
    </rPh>
    <rPh sb="42" eb="44">
      <t>コウシン</t>
    </rPh>
    <phoneticPr fontId="2"/>
  </si>
  <si>
    <t>[DateID]が「売掛月次更新日」のレコードの[更新日付]が設定した月次締め日付に更新されること</t>
    <rPh sb="31" eb="33">
      <t>セッテイ</t>
    </rPh>
    <rPh sb="42" eb="44">
      <t>コウシン</t>
    </rPh>
    <phoneticPr fontId="2"/>
  </si>
  <si>
    <t>実行ボタンを押下し、表示されるメッセージから「はい」を押下する</t>
    <rPh sb="0" eb="2">
      <t>ジッコウ</t>
    </rPh>
    <rPh sb="6" eb="8">
      <t>オウカ</t>
    </rPh>
    <rPh sb="10" eb="12">
      <t>ヒョウジ</t>
    </rPh>
    <rPh sb="27" eb="29">
      <t>オウカ</t>
    </rPh>
    <phoneticPr fontId="2"/>
  </si>
  <si>
    <t>実行ボタンを押下し、表示されるメッセージから「いいえ」を押下する</t>
    <rPh sb="0" eb="2">
      <t>ジッコウ</t>
    </rPh>
    <rPh sb="6" eb="8">
      <t>オウカ</t>
    </rPh>
    <rPh sb="10" eb="12">
      <t>ヒョウジ</t>
    </rPh>
    <rPh sb="28" eb="30">
      <t>オウカ</t>
    </rPh>
    <phoneticPr fontId="2"/>
  </si>
  <si>
    <t>処理が実行されること</t>
    <rPh sb="0" eb="2">
      <t>ショリ</t>
    </rPh>
    <rPh sb="3" eb="5">
      <t>ジッコウ</t>
    </rPh>
    <phoneticPr fontId="2"/>
  </si>
  <si>
    <t>メッセージが閉じ、処理が実行されないこと</t>
    <rPh sb="6" eb="7">
      <t>ト</t>
    </rPh>
    <rPh sb="9" eb="11">
      <t>ショリ</t>
    </rPh>
    <rPh sb="12" eb="14">
      <t>ジッコウ</t>
    </rPh>
    <phoneticPr fontId="2"/>
  </si>
  <si>
    <t>入力欄が非活性、かつ、Fromの翌月末が入力されていること</t>
    <rPh sb="4" eb="5">
      <t>ヒ</t>
    </rPh>
    <rPh sb="5" eb="7">
      <t>カッセイ</t>
    </rPh>
    <rPh sb="16" eb="19">
      <t>ヨクゲツマツ</t>
    </rPh>
    <rPh sb="20" eb="22">
      <t>ニュウリョク</t>
    </rPh>
    <phoneticPr fontId="2"/>
  </si>
  <si>
    <t>月次締め日付(From)
買掛</t>
    <rPh sb="0" eb="2">
      <t>ゲツジ</t>
    </rPh>
    <rPh sb="2" eb="3">
      <t>シ</t>
    </rPh>
    <rPh sb="4" eb="6">
      <t>ヒヅケ</t>
    </rPh>
    <rPh sb="13" eb="15">
      <t>カイカケ</t>
    </rPh>
    <phoneticPr fontId="2"/>
  </si>
  <si>
    <t>月次締め日付(To)買掛</t>
    <rPh sb="0" eb="2">
      <t>ゲツジ</t>
    </rPh>
    <rPh sb="2" eb="3">
      <t>シ</t>
    </rPh>
    <rPh sb="4" eb="6">
      <t>ヒヅケ</t>
    </rPh>
    <phoneticPr fontId="2"/>
  </si>
  <si>
    <t>月次締め日付(From)売掛</t>
    <rPh sb="0" eb="2">
      <t>ゲツジ</t>
    </rPh>
    <rPh sb="2" eb="3">
      <t>シ</t>
    </rPh>
    <rPh sb="4" eb="6">
      <t>ヒヅケ</t>
    </rPh>
    <rPh sb="12" eb="14">
      <t>ウリカケ</t>
    </rPh>
    <phoneticPr fontId="2"/>
  </si>
  <si>
    <t>月次締め日付(To)売掛</t>
    <rPh sb="0" eb="2">
      <t>ゲツジ</t>
    </rPh>
    <rPh sb="2" eb="3">
      <t>シ</t>
    </rPh>
    <rPh sb="4" eb="6">
      <t>ヒヅケ</t>
    </rPh>
    <phoneticPr fontId="2"/>
  </si>
  <si>
    <t>入力欄が非活性、かつ、[DateID]が「買掛月次更新日」のレコードの[更新日付]が入力されていること</t>
    <rPh sb="4" eb="5">
      <t>ヒ</t>
    </rPh>
    <rPh sb="5" eb="7">
      <t>カッセイ</t>
    </rPh>
    <rPh sb="42" eb="44">
      <t>ニュウリョク</t>
    </rPh>
    <phoneticPr fontId="2"/>
  </si>
  <si>
    <t>入力欄が非活性、かつ、[DateID]が「売掛月次更新日」のレコードの[更新日付]が入力されていること</t>
    <rPh sb="4" eb="5">
      <t>ヒ</t>
    </rPh>
    <rPh sb="5" eb="7">
      <t>カッセイ</t>
    </rPh>
    <rPh sb="21" eb="23">
      <t>ウリカケ</t>
    </rPh>
    <rPh sb="42" eb="44">
      <t>ニュウリョク</t>
    </rPh>
    <phoneticPr fontId="2"/>
  </si>
  <si>
    <t>児玉</t>
    <rPh sb="0" eb="2">
      <t>コダマ</t>
    </rPh>
    <phoneticPr fontId="2"/>
  </si>
  <si>
    <t>児玉</t>
    <rPh sb="0" eb="2">
      <t>コダマ</t>
    </rPh>
    <phoneticPr fontId="2"/>
  </si>
  <si>
    <t>松村</t>
    <rPh sb="0" eb="2">
      <t>マツムラ</t>
    </rPh>
    <phoneticPr fontId="2"/>
  </si>
  <si>
    <t>OK</t>
    <phoneticPr fontId="2"/>
  </si>
  <si>
    <t>NG</t>
  </si>
  <si>
    <t>再表示時に年月日が表示されていない</t>
    <rPh sb="0" eb="4">
      <t>サイヒョウジジ</t>
    </rPh>
    <rPh sb="5" eb="8">
      <t>ネンガッピ</t>
    </rPh>
    <rPh sb="9" eb="11">
      <t>ヒョウジ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</si>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</sst>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7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6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04" t="s">
        <v>0</v>
      </c>
      <c r="C2" s="105"/>
      <c r="D2" s="105"/>
      <c r="E2" s="105"/>
      <c r="F2" s="105"/>
      <c r="G2" s="105"/>
      <c r="H2" s="105" t="s">
        <v>40</v>
      </c>
      <c r="I2" s="105"/>
      <c r="J2" s="105"/>
      <c r="K2" s="105"/>
      <c r="L2" s="105" t="s">
        <v>41</v>
      </c>
      <c r="M2" s="105"/>
      <c r="N2" s="105"/>
      <c r="O2" s="105"/>
      <c r="P2" s="105"/>
      <c r="Q2" s="105"/>
      <c r="R2" s="105" t="s">
        <v>1</v>
      </c>
      <c r="S2" s="105"/>
      <c r="T2" s="105"/>
      <c r="U2" s="105"/>
      <c r="V2" s="105"/>
      <c r="W2" s="105"/>
      <c r="X2" s="106" t="s">
        <v>2</v>
      </c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8"/>
      <c r="AK2" s="106" t="s">
        <v>30</v>
      </c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8"/>
      <c r="AX2" s="105" t="s">
        <v>4</v>
      </c>
      <c r="AY2" s="105"/>
      <c r="AZ2" s="105"/>
      <c r="BA2" s="105"/>
      <c r="BB2" s="105" t="s">
        <v>3</v>
      </c>
      <c r="BC2" s="105"/>
      <c r="BD2" s="105"/>
      <c r="BE2" s="105"/>
      <c r="BF2" s="105" t="s">
        <v>5</v>
      </c>
      <c r="BG2" s="105"/>
      <c r="BH2" s="105"/>
      <c r="BI2" s="105"/>
      <c r="BJ2" s="105" t="s">
        <v>6</v>
      </c>
      <c r="BK2" s="105"/>
      <c r="BL2" s="105"/>
      <c r="BM2" s="119"/>
      <c r="BN2" s="15"/>
    </row>
    <row r="3" spans="1:66" ht="20.100000000000001" customHeight="1" x14ac:dyDescent="0.45">
      <c r="A3" s="9"/>
      <c r="B3" s="109" t="s">
        <v>38</v>
      </c>
      <c r="C3" s="110"/>
      <c r="D3" s="110"/>
      <c r="E3" s="110"/>
      <c r="F3" s="110"/>
      <c r="G3" s="110"/>
      <c r="H3" s="110" t="str">
        <f ca="1">LEFT($X$3,FIND("_",$X$3)-1)</f>
        <v>請求売掛</v>
      </c>
      <c r="I3" s="110"/>
      <c r="J3" s="110"/>
      <c r="K3" s="110"/>
      <c r="L3" s="110" t="s">
        <v>39</v>
      </c>
      <c r="M3" s="110"/>
      <c r="N3" s="110"/>
      <c r="O3" s="110"/>
      <c r="P3" s="110"/>
      <c r="Q3" s="110"/>
      <c r="R3" s="113" t="str">
        <f ca="1">MID($X$3,FIND("_",$X$3,FIND("_",$X$3)+1)+1,LEN($X$3)-FIND("_",$X$3,FIND("_",$X$3)+1))</f>
        <v>結合試験項目</v>
      </c>
      <c r="S3" s="110"/>
      <c r="T3" s="110"/>
      <c r="U3" s="110"/>
      <c r="V3" s="110"/>
      <c r="W3" s="110"/>
      <c r="X3" s="114" t="str">
        <f ca="1">REPLACE(LEFT(CELL("filename",$B$2),FIND(".x",CELL("filename",$B$2))-1),1,FIND("[",CELL("filename",$B$2)),)</f>
        <v>請求売掛_月次締め処理_結合試験項目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1"/>
      <c r="AK3" s="114" t="str">
        <f ca="1">MID($X$3,FIND("_",$X$3)+1,FIND("_",$X$3,FIND("_",$X$3)+1)-FIND("_",$X$3)-1)</f>
        <v>月次締め処理</v>
      </c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1"/>
      <c r="AX3" s="121">
        <v>45628</v>
      </c>
      <c r="AY3" s="110"/>
      <c r="AZ3" s="110"/>
      <c r="BA3" s="110"/>
      <c r="BB3" s="110" t="s">
        <v>67</v>
      </c>
      <c r="BC3" s="110"/>
      <c r="BD3" s="110"/>
      <c r="BE3" s="110"/>
      <c r="BF3" s="121">
        <v>45628</v>
      </c>
      <c r="BG3" s="110"/>
      <c r="BH3" s="110"/>
      <c r="BI3" s="110"/>
      <c r="BJ3" s="110" t="s">
        <v>67</v>
      </c>
      <c r="BK3" s="110"/>
      <c r="BL3" s="110"/>
      <c r="BM3" s="122"/>
      <c r="BN3" s="15"/>
    </row>
    <row r="4" spans="1:66" ht="20.100000000000001" customHeight="1" thickBot="1" x14ac:dyDescent="0.5">
      <c r="A4" s="9"/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6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8"/>
      <c r="AK4" s="116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8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4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20" t="s">
        <v>7</v>
      </c>
      <c r="D8" s="120"/>
      <c r="E8" s="120"/>
      <c r="F8" s="120"/>
      <c r="G8" s="120" t="s">
        <v>8</v>
      </c>
      <c r="H8" s="120"/>
      <c r="I8" s="120"/>
      <c r="J8" s="120"/>
      <c r="K8" s="120" t="s">
        <v>9</v>
      </c>
      <c r="L8" s="120"/>
      <c r="M8" s="120"/>
      <c r="N8" s="120"/>
      <c r="O8" s="120" t="s">
        <v>10</v>
      </c>
      <c r="P8" s="120"/>
      <c r="Q8" s="120"/>
      <c r="R8" s="120"/>
      <c r="S8" s="120"/>
      <c r="T8" s="120"/>
      <c r="U8" s="120"/>
      <c r="V8" s="120"/>
      <c r="W8" s="120"/>
      <c r="X8" s="120"/>
      <c r="Y8" s="120" t="s">
        <v>11</v>
      </c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8"/>
      <c r="BN8" s="15"/>
    </row>
    <row r="9" spans="1:66" ht="20.100000000000001" customHeight="1" x14ac:dyDescent="0.45">
      <c r="A9" s="9"/>
      <c r="B9" s="8"/>
      <c r="C9" s="123">
        <v>45628</v>
      </c>
      <c r="D9" s="124"/>
      <c r="E9" s="124"/>
      <c r="F9" s="125"/>
      <c r="G9" s="126" t="s">
        <v>20</v>
      </c>
      <c r="H9" s="127"/>
      <c r="I9" s="127"/>
      <c r="J9" s="128"/>
      <c r="K9" s="129" t="s">
        <v>68</v>
      </c>
      <c r="L9" s="124"/>
      <c r="M9" s="124"/>
      <c r="N9" s="125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23"/>
      <c r="D10" s="124"/>
      <c r="E10" s="124"/>
      <c r="F10" s="125"/>
      <c r="G10" s="126"/>
      <c r="H10" s="127"/>
      <c r="I10" s="127"/>
      <c r="J10" s="128"/>
      <c r="K10" s="129"/>
      <c r="L10" s="124"/>
      <c r="M10" s="124"/>
      <c r="N10" s="125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23"/>
      <c r="D11" s="124"/>
      <c r="E11" s="124"/>
      <c r="F11" s="125"/>
      <c r="G11" s="126"/>
      <c r="H11" s="127"/>
      <c r="I11" s="127"/>
      <c r="J11" s="128"/>
      <c r="K11" s="129"/>
      <c r="L11" s="124"/>
      <c r="M11" s="124"/>
      <c r="N11" s="125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23"/>
      <c r="D36" s="124"/>
      <c r="E36" s="124"/>
      <c r="F36" s="125"/>
      <c r="G36" s="126"/>
      <c r="H36" s="127"/>
      <c r="I36" s="127"/>
      <c r="J36" s="128"/>
      <c r="K36" s="129"/>
      <c r="L36" s="124"/>
      <c r="M36" s="124"/>
      <c r="N36" s="125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23"/>
      <c r="D37" s="124"/>
      <c r="E37" s="124"/>
      <c r="F37" s="125"/>
      <c r="G37" s="126"/>
      <c r="H37" s="127"/>
      <c r="I37" s="127"/>
      <c r="J37" s="128"/>
      <c r="K37" s="129"/>
      <c r="L37" s="124"/>
      <c r="M37" s="124"/>
      <c r="N37" s="125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23"/>
      <c r="D38" s="124"/>
      <c r="E38" s="124"/>
      <c r="F38" s="125"/>
      <c r="G38" s="126"/>
      <c r="H38" s="127"/>
      <c r="I38" s="127"/>
      <c r="J38" s="128"/>
      <c r="K38" s="129"/>
      <c r="L38" s="124"/>
      <c r="M38" s="124"/>
      <c r="N38" s="125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23"/>
      <c r="D39" s="124"/>
      <c r="E39" s="124"/>
      <c r="F39" s="125"/>
      <c r="G39" s="126"/>
      <c r="H39" s="127"/>
      <c r="I39" s="127"/>
      <c r="J39" s="128"/>
      <c r="K39" s="129"/>
      <c r="L39" s="124"/>
      <c r="M39" s="124"/>
      <c r="N39" s="125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23"/>
      <c r="D40" s="124"/>
      <c r="E40" s="124"/>
      <c r="F40" s="125"/>
      <c r="G40" s="126"/>
      <c r="H40" s="127"/>
      <c r="I40" s="127"/>
      <c r="J40" s="128"/>
      <c r="K40" s="129"/>
      <c r="L40" s="124"/>
      <c r="M40" s="124"/>
      <c r="N40" s="125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23"/>
      <c r="D41" s="124"/>
      <c r="E41" s="124"/>
      <c r="F41" s="125"/>
      <c r="G41" s="126"/>
      <c r="H41" s="127"/>
      <c r="I41" s="127"/>
      <c r="J41" s="128"/>
      <c r="K41" s="129"/>
      <c r="L41" s="124"/>
      <c r="M41" s="124"/>
      <c r="N41" s="125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23"/>
      <c r="D42" s="124"/>
      <c r="E42" s="124"/>
      <c r="F42" s="125"/>
      <c r="G42" s="126"/>
      <c r="H42" s="127"/>
      <c r="I42" s="127"/>
      <c r="J42" s="128"/>
      <c r="K42" s="129"/>
      <c r="L42" s="124"/>
      <c r="M42" s="124"/>
      <c r="N42" s="125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23"/>
      <c r="D43" s="124"/>
      <c r="E43" s="124"/>
      <c r="F43" s="125"/>
      <c r="G43" s="126"/>
      <c r="H43" s="127"/>
      <c r="I43" s="127"/>
      <c r="J43" s="128"/>
      <c r="K43" s="129"/>
      <c r="L43" s="124"/>
      <c r="M43" s="124"/>
      <c r="N43" s="125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23"/>
      <c r="D44" s="124"/>
      <c r="E44" s="124"/>
      <c r="F44" s="125"/>
      <c r="G44" s="126"/>
      <c r="H44" s="127"/>
      <c r="I44" s="127"/>
      <c r="J44" s="128"/>
      <c r="K44" s="129"/>
      <c r="L44" s="124"/>
      <c r="M44" s="124"/>
      <c r="N44" s="125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23"/>
      <c r="D45" s="124"/>
      <c r="E45" s="124"/>
      <c r="F45" s="125"/>
      <c r="G45" s="126"/>
      <c r="H45" s="127"/>
      <c r="I45" s="127"/>
      <c r="J45" s="128"/>
      <c r="K45" s="129"/>
      <c r="L45" s="124"/>
      <c r="M45" s="124"/>
      <c r="N45" s="125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23"/>
      <c r="D46" s="124"/>
      <c r="E46" s="124"/>
      <c r="F46" s="125"/>
      <c r="G46" s="126"/>
      <c r="H46" s="127"/>
      <c r="I46" s="127"/>
      <c r="J46" s="128"/>
      <c r="K46" s="129"/>
      <c r="L46" s="124"/>
      <c r="M46" s="124"/>
      <c r="N46" s="125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23"/>
      <c r="D47" s="124"/>
      <c r="E47" s="124"/>
      <c r="F47" s="125"/>
      <c r="G47" s="126"/>
      <c r="H47" s="127"/>
      <c r="I47" s="127"/>
      <c r="J47" s="128"/>
      <c r="K47" s="129"/>
      <c r="L47" s="124"/>
      <c r="M47" s="124"/>
      <c r="N47" s="125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2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4" t="s">
        <v>0</v>
      </c>
      <c r="C2" s="105"/>
      <c r="D2" s="105"/>
      <c r="E2" s="105"/>
      <c r="F2" s="105"/>
      <c r="G2" s="105"/>
      <c r="H2" s="105" t="s">
        <v>40</v>
      </c>
      <c r="I2" s="105"/>
      <c r="J2" s="105"/>
      <c r="K2" s="105"/>
      <c r="L2" s="105" t="s">
        <v>41</v>
      </c>
      <c r="M2" s="105"/>
      <c r="N2" s="105"/>
      <c r="O2" s="105"/>
      <c r="P2" s="105"/>
      <c r="Q2" s="105"/>
      <c r="R2" s="105" t="s">
        <v>1</v>
      </c>
      <c r="S2" s="105"/>
      <c r="T2" s="105"/>
      <c r="U2" s="105"/>
      <c r="V2" s="105"/>
      <c r="W2" s="105"/>
      <c r="X2" s="106" t="s">
        <v>2</v>
      </c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8"/>
      <c r="AK2" s="106" t="s">
        <v>30</v>
      </c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8"/>
      <c r="AX2" s="105" t="s">
        <v>4</v>
      </c>
      <c r="AY2" s="105"/>
      <c r="AZ2" s="105"/>
      <c r="BA2" s="105"/>
      <c r="BB2" s="105" t="s">
        <v>3</v>
      </c>
      <c r="BC2" s="105"/>
      <c r="BD2" s="105"/>
      <c r="BE2" s="105"/>
      <c r="BF2" s="105" t="s">
        <v>5</v>
      </c>
      <c r="BG2" s="105"/>
      <c r="BH2" s="105"/>
      <c r="BI2" s="105"/>
      <c r="BJ2" s="105" t="s">
        <v>6</v>
      </c>
      <c r="BK2" s="105"/>
      <c r="BL2" s="105"/>
      <c r="BM2" s="119"/>
      <c r="BN2" s="16"/>
    </row>
    <row r="3" spans="1:66" ht="20.100000000000001" customHeight="1" x14ac:dyDescent="0.45">
      <c r="A3" s="10"/>
      <c r="B3" s="109" t="str">
        <f>変更履歴!B3</f>
        <v>受発注システム</v>
      </c>
      <c r="C3" s="110"/>
      <c r="D3" s="110"/>
      <c r="E3" s="110"/>
      <c r="F3" s="110"/>
      <c r="G3" s="110"/>
      <c r="H3" s="110" t="str">
        <f ca="1">変更履歴!H3</f>
        <v>請求売掛</v>
      </c>
      <c r="I3" s="110"/>
      <c r="J3" s="110"/>
      <c r="K3" s="110"/>
      <c r="L3" s="110" t="str">
        <f>変更履歴!L3</f>
        <v>受発注</v>
      </c>
      <c r="M3" s="110"/>
      <c r="N3" s="110"/>
      <c r="O3" s="110"/>
      <c r="P3" s="110"/>
      <c r="Q3" s="110"/>
      <c r="R3" s="110" t="str">
        <f ca="1">変更履歴!R3</f>
        <v>結合試験項目</v>
      </c>
      <c r="S3" s="110"/>
      <c r="T3" s="110"/>
      <c r="U3" s="110"/>
      <c r="V3" s="110"/>
      <c r="W3" s="110"/>
      <c r="X3" s="114" t="str">
        <f ca="1">変更履歴!X3</f>
        <v>請求売掛_月次締め処理_結合試験項目</v>
      </c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1"/>
      <c r="AK3" s="114" t="str">
        <f ca="1">変更履歴!AK3</f>
        <v>月次締め処理</v>
      </c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1"/>
      <c r="AX3" s="121">
        <f>変更履歴!AX3</f>
        <v>45628</v>
      </c>
      <c r="AY3" s="121"/>
      <c r="AZ3" s="121"/>
      <c r="BA3" s="121"/>
      <c r="BB3" s="110" t="str">
        <f>変更履歴!BB3</f>
        <v>児玉</v>
      </c>
      <c r="BC3" s="110"/>
      <c r="BD3" s="110"/>
      <c r="BE3" s="110"/>
      <c r="BF3" s="121">
        <f>変更履歴!BF3</f>
        <v>45628</v>
      </c>
      <c r="BG3" s="121"/>
      <c r="BH3" s="121"/>
      <c r="BI3" s="121"/>
      <c r="BJ3" s="110" t="str">
        <f>変更履歴!BJ3</f>
        <v>児玉</v>
      </c>
      <c r="BK3" s="110"/>
      <c r="BL3" s="110"/>
      <c r="BM3" s="122"/>
      <c r="BN3" s="16"/>
    </row>
    <row r="4" spans="1:66" ht="20.100000000000001" customHeight="1" thickBot="1" x14ac:dyDescent="0.5">
      <c r="A4" s="10"/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6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8"/>
      <c r="AK4" s="116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8"/>
      <c r="AX4" s="163"/>
      <c r="AY4" s="163"/>
      <c r="AZ4" s="163"/>
      <c r="BA4" s="163"/>
      <c r="BB4" s="112"/>
      <c r="BC4" s="112"/>
      <c r="BD4" s="112"/>
      <c r="BE4" s="112"/>
      <c r="BF4" s="163"/>
      <c r="BG4" s="163"/>
      <c r="BH4" s="163"/>
      <c r="BI4" s="163"/>
      <c r="BJ4" s="112"/>
      <c r="BK4" s="112"/>
      <c r="BL4" s="112"/>
      <c r="BM4" s="11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56" t="s">
        <v>32</v>
      </c>
      <c r="BF7" s="157"/>
      <c r="BG7" s="160" t="s">
        <v>31</v>
      </c>
      <c r="BH7" s="160"/>
      <c r="BI7" s="161" t="s">
        <v>33</v>
      </c>
      <c r="BJ7" s="162"/>
      <c r="BK7" s="161" t="s">
        <v>34</v>
      </c>
      <c r="BL7" s="15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50" t="s">
        <v>35</v>
      </c>
      <c r="AP8" s="151"/>
      <c r="AQ8" s="151"/>
      <c r="AR8" s="151"/>
      <c r="AS8" s="151"/>
      <c r="AT8" s="152"/>
      <c r="AU8" s="150" t="s">
        <v>36</v>
      </c>
      <c r="AV8" s="151"/>
      <c r="AW8" s="151"/>
      <c r="AX8" s="151"/>
      <c r="AY8" s="151"/>
      <c r="AZ8" s="152"/>
      <c r="BE8" s="158"/>
      <c r="BF8" s="159"/>
      <c r="BG8" s="153">
        <f>COUNTA(C10:C19)</f>
        <v>10</v>
      </c>
      <c r="BH8" s="154"/>
      <c r="BI8" s="153">
        <f>COUNTIF(AS10:AT19,"OK")+COUNTIF(AY10:AZ19,"OK")</f>
        <v>10</v>
      </c>
      <c r="BJ8" s="154"/>
      <c r="BK8" s="153">
        <f>BG8-BI8</f>
        <v>0</v>
      </c>
      <c r="BL8" s="155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30" t="s">
        <v>25</v>
      </c>
      <c r="AP9" s="131"/>
      <c r="AQ9" s="132" t="s">
        <v>26</v>
      </c>
      <c r="AR9" s="131"/>
      <c r="AS9" s="132" t="s">
        <v>29</v>
      </c>
      <c r="AT9" s="133"/>
      <c r="AU9" s="130" t="s">
        <v>25</v>
      </c>
      <c r="AV9" s="131"/>
      <c r="AW9" s="132" t="s">
        <v>26</v>
      </c>
      <c r="AX9" s="131"/>
      <c r="AY9" s="132" t="s">
        <v>29</v>
      </c>
      <c r="AZ9" s="133"/>
      <c r="BA9" s="164" t="s">
        <v>27</v>
      </c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2"/>
      <c r="BM9" s="16"/>
      <c r="BN9" s="16"/>
    </row>
    <row r="10" spans="1:66" ht="19.2" customHeight="1" x14ac:dyDescent="0.45">
      <c r="A10" s="10"/>
      <c r="B10" s="10"/>
      <c r="C10" s="30">
        <f>ROW()-9</f>
        <v>1</v>
      </c>
      <c r="D10" s="144" t="s">
        <v>42</v>
      </c>
      <c r="E10" s="145"/>
      <c r="F10" s="145"/>
      <c r="G10" s="146"/>
      <c r="H10" s="144" t="s">
        <v>43</v>
      </c>
      <c r="I10" s="145"/>
      <c r="J10" s="145"/>
      <c r="K10" s="146"/>
      <c r="L10" s="134" t="s">
        <v>48</v>
      </c>
      <c r="M10" s="135"/>
      <c r="N10" s="135"/>
      <c r="O10" s="136"/>
      <c r="P10" s="134" t="s">
        <v>49</v>
      </c>
      <c r="Q10" s="135"/>
      <c r="R10" s="135"/>
      <c r="S10" s="135"/>
      <c r="T10" s="135"/>
      <c r="U10" s="135"/>
      <c r="V10" s="135"/>
      <c r="W10" s="136"/>
      <c r="X10" s="134" t="s">
        <v>50</v>
      </c>
      <c r="Y10" s="135"/>
      <c r="Z10" s="135"/>
      <c r="AA10" s="135"/>
      <c r="AB10" s="135"/>
      <c r="AC10" s="135"/>
      <c r="AD10" s="135"/>
      <c r="AE10" s="136"/>
      <c r="AF10" s="134"/>
      <c r="AG10" s="135"/>
      <c r="AH10" s="135"/>
      <c r="AI10" s="135"/>
      <c r="AJ10" s="135"/>
      <c r="AK10" s="135"/>
      <c r="AL10" s="135"/>
      <c r="AM10" s="135"/>
      <c r="AN10" s="137"/>
      <c r="AO10" s="139">
        <v>45680</v>
      </c>
      <c r="AP10" s="140"/>
      <c r="AQ10" s="129" t="s">
        <v>69</v>
      </c>
      <c r="AR10" s="125"/>
      <c r="AS10" s="129" t="s">
        <v>70</v>
      </c>
      <c r="AT10" s="138"/>
      <c r="AU10" s="139"/>
      <c r="AV10" s="140"/>
      <c r="AW10" s="129"/>
      <c r="AX10" s="125"/>
      <c r="AY10" s="129"/>
      <c r="AZ10" s="138"/>
      <c r="BA10" s="165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7"/>
      <c r="BM10" s="16"/>
      <c r="BN10" s="16"/>
    </row>
    <row r="11" spans="1:66" s="35" customFormat="1" ht="46.8" customHeight="1" x14ac:dyDescent="0.45">
      <c r="A11" s="36"/>
      <c r="B11" s="36"/>
      <c r="C11" s="40">
        <f t="shared" ref="C11:C19" si="0">ROW()-9</f>
        <v>2</v>
      </c>
      <c r="D11" s="98"/>
      <c r="E11" s="99"/>
      <c r="F11" s="99"/>
      <c r="G11" s="100"/>
      <c r="H11" s="98"/>
      <c r="I11" s="99"/>
      <c r="J11" s="99"/>
      <c r="K11" s="100"/>
      <c r="L11" s="134" t="s">
        <v>61</v>
      </c>
      <c r="M11" s="135"/>
      <c r="N11" s="135"/>
      <c r="O11" s="136"/>
      <c r="P11" s="134" t="s">
        <v>49</v>
      </c>
      <c r="Q11" s="135"/>
      <c r="R11" s="135"/>
      <c r="S11" s="135"/>
      <c r="T11" s="135"/>
      <c r="U11" s="135"/>
      <c r="V11" s="135"/>
      <c r="W11" s="136"/>
      <c r="X11" s="134" t="s">
        <v>65</v>
      </c>
      <c r="Y11" s="135"/>
      <c r="Z11" s="135"/>
      <c r="AA11" s="135"/>
      <c r="AB11" s="135"/>
      <c r="AC11" s="135"/>
      <c r="AD11" s="135"/>
      <c r="AE11" s="136"/>
      <c r="AF11" s="134"/>
      <c r="AG11" s="135"/>
      <c r="AH11" s="135"/>
      <c r="AI11" s="135"/>
      <c r="AJ11" s="135"/>
      <c r="AK11" s="135"/>
      <c r="AL11" s="135"/>
      <c r="AM11" s="135"/>
      <c r="AN11" s="137"/>
      <c r="AO11" s="139">
        <v>45680</v>
      </c>
      <c r="AP11" s="140"/>
      <c r="AQ11" s="129" t="s">
        <v>69</v>
      </c>
      <c r="AR11" s="125"/>
      <c r="AS11" s="129" t="s">
        <v>71</v>
      </c>
      <c r="AT11" s="138"/>
      <c r="AU11" s="139">
        <v>45706</v>
      </c>
      <c r="AV11" s="140"/>
      <c r="AW11" s="129" t="s">
        <v>73</v>
      </c>
      <c r="AX11" s="125"/>
      <c r="AY11" s="129" t="s">
        <v>70</v>
      </c>
      <c r="AZ11" s="138"/>
      <c r="BA11" s="168" t="s">
        <v>72</v>
      </c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69"/>
      <c r="BM11" s="37"/>
      <c r="BN11" s="37"/>
    </row>
    <row r="12" spans="1:66" s="35" customFormat="1" ht="27" customHeight="1" x14ac:dyDescent="0.45">
      <c r="A12" s="36"/>
      <c r="B12" s="36"/>
      <c r="C12" s="40">
        <f t="shared" si="0"/>
        <v>3</v>
      </c>
      <c r="D12" s="98"/>
      <c r="E12" s="99"/>
      <c r="F12" s="99"/>
      <c r="G12" s="100"/>
      <c r="H12" s="98"/>
      <c r="I12" s="99"/>
      <c r="J12" s="99"/>
      <c r="K12" s="100"/>
      <c r="L12" s="134" t="s">
        <v>62</v>
      </c>
      <c r="M12" s="135"/>
      <c r="N12" s="135"/>
      <c r="O12" s="136"/>
      <c r="P12" s="134" t="s">
        <v>49</v>
      </c>
      <c r="Q12" s="135"/>
      <c r="R12" s="135"/>
      <c r="S12" s="135"/>
      <c r="T12" s="135"/>
      <c r="U12" s="135"/>
      <c r="V12" s="135"/>
      <c r="W12" s="136"/>
      <c r="X12" s="134" t="s">
        <v>60</v>
      </c>
      <c r="Y12" s="135"/>
      <c r="Z12" s="135"/>
      <c r="AA12" s="135"/>
      <c r="AB12" s="135"/>
      <c r="AC12" s="135"/>
      <c r="AD12" s="135"/>
      <c r="AE12" s="136"/>
      <c r="AF12" s="134"/>
      <c r="AG12" s="135"/>
      <c r="AH12" s="135"/>
      <c r="AI12" s="135"/>
      <c r="AJ12" s="135"/>
      <c r="AK12" s="135"/>
      <c r="AL12" s="135"/>
      <c r="AM12" s="135"/>
      <c r="AN12" s="137"/>
      <c r="AO12" s="139">
        <v>45680</v>
      </c>
      <c r="AP12" s="140"/>
      <c r="AQ12" s="129" t="s">
        <v>69</v>
      </c>
      <c r="AR12" s="125"/>
      <c r="AS12" s="129" t="s">
        <v>71</v>
      </c>
      <c r="AT12" s="138"/>
      <c r="AU12" s="139">
        <v>45706</v>
      </c>
      <c r="AV12" s="140"/>
      <c r="AW12" s="129" t="s">
        <v>73</v>
      </c>
      <c r="AX12" s="125"/>
      <c r="AY12" s="129" t="s">
        <v>70</v>
      </c>
      <c r="AZ12" s="138"/>
      <c r="BA12" s="168" t="s">
        <v>72</v>
      </c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69"/>
      <c r="BM12" s="37"/>
      <c r="BN12" s="37"/>
    </row>
    <row r="13" spans="1:66" s="35" customFormat="1" ht="48.6" customHeight="1" x14ac:dyDescent="0.45">
      <c r="A13" s="36"/>
      <c r="B13" s="36"/>
      <c r="C13" s="40">
        <f t="shared" si="0"/>
        <v>4</v>
      </c>
      <c r="D13" s="47"/>
      <c r="E13" s="48"/>
      <c r="F13" s="48"/>
      <c r="G13" s="49"/>
      <c r="H13" s="47"/>
      <c r="I13" s="48"/>
      <c r="J13" s="48"/>
      <c r="K13" s="49"/>
      <c r="L13" s="134" t="s">
        <v>63</v>
      </c>
      <c r="M13" s="135"/>
      <c r="N13" s="135"/>
      <c r="O13" s="136"/>
      <c r="P13" s="134" t="s">
        <v>49</v>
      </c>
      <c r="Q13" s="135"/>
      <c r="R13" s="135"/>
      <c r="S13" s="135"/>
      <c r="T13" s="135"/>
      <c r="U13" s="135"/>
      <c r="V13" s="135"/>
      <c r="W13" s="136"/>
      <c r="X13" s="134" t="s">
        <v>66</v>
      </c>
      <c r="Y13" s="135"/>
      <c r="Z13" s="135"/>
      <c r="AA13" s="135"/>
      <c r="AB13" s="135"/>
      <c r="AC13" s="135"/>
      <c r="AD13" s="135"/>
      <c r="AE13" s="136"/>
      <c r="AF13" s="134"/>
      <c r="AG13" s="135"/>
      <c r="AH13" s="135"/>
      <c r="AI13" s="135"/>
      <c r="AJ13" s="135"/>
      <c r="AK13" s="135"/>
      <c r="AL13" s="135"/>
      <c r="AM13" s="135"/>
      <c r="AN13" s="137"/>
      <c r="AO13" s="139">
        <v>45680</v>
      </c>
      <c r="AP13" s="140"/>
      <c r="AQ13" s="129" t="s">
        <v>69</v>
      </c>
      <c r="AR13" s="125"/>
      <c r="AS13" s="129" t="s">
        <v>70</v>
      </c>
      <c r="AT13" s="138"/>
      <c r="AU13" s="44"/>
      <c r="AV13" s="45"/>
      <c r="AW13" s="38"/>
      <c r="AX13" s="39"/>
      <c r="AY13" s="38"/>
      <c r="AZ13" s="46"/>
      <c r="BA13" s="41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3"/>
      <c r="BM13" s="37"/>
      <c r="BN13" s="37"/>
    </row>
    <row r="14" spans="1:66" s="35" customFormat="1" ht="27" customHeight="1" x14ac:dyDescent="0.45">
      <c r="A14" s="36"/>
      <c r="B14" s="36"/>
      <c r="C14" s="40">
        <f t="shared" si="0"/>
        <v>5</v>
      </c>
      <c r="D14" s="47"/>
      <c r="E14" s="48"/>
      <c r="F14" s="48"/>
      <c r="G14" s="49"/>
      <c r="H14" s="47"/>
      <c r="I14" s="48"/>
      <c r="J14" s="48"/>
      <c r="K14" s="49"/>
      <c r="L14" s="134" t="s">
        <v>64</v>
      </c>
      <c r="M14" s="135"/>
      <c r="N14" s="135"/>
      <c r="O14" s="136"/>
      <c r="P14" s="134" t="s">
        <v>49</v>
      </c>
      <c r="Q14" s="135"/>
      <c r="R14" s="135"/>
      <c r="S14" s="135"/>
      <c r="T14" s="135"/>
      <c r="U14" s="135"/>
      <c r="V14" s="135"/>
      <c r="W14" s="136"/>
      <c r="X14" s="134" t="s">
        <v>60</v>
      </c>
      <c r="Y14" s="135"/>
      <c r="Z14" s="135"/>
      <c r="AA14" s="135"/>
      <c r="AB14" s="135"/>
      <c r="AC14" s="135"/>
      <c r="AD14" s="135"/>
      <c r="AE14" s="136"/>
      <c r="AF14" s="134"/>
      <c r="AG14" s="135"/>
      <c r="AH14" s="135"/>
      <c r="AI14" s="135"/>
      <c r="AJ14" s="135"/>
      <c r="AK14" s="135"/>
      <c r="AL14" s="135"/>
      <c r="AM14" s="135"/>
      <c r="AN14" s="137"/>
      <c r="AO14" s="139">
        <v>45680</v>
      </c>
      <c r="AP14" s="140"/>
      <c r="AQ14" s="129" t="s">
        <v>69</v>
      </c>
      <c r="AR14" s="125"/>
      <c r="AS14" s="129" t="s">
        <v>70</v>
      </c>
      <c r="AT14" s="138"/>
      <c r="AU14" s="44"/>
      <c r="AV14" s="45"/>
      <c r="AW14" s="38"/>
      <c r="AX14" s="39"/>
      <c r="AY14" s="38"/>
      <c r="AZ14" s="46"/>
      <c r="BA14" s="41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3"/>
      <c r="BM14" s="37"/>
      <c r="BN14" s="37"/>
    </row>
    <row r="15" spans="1:66" s="35" customFormat="1" ht="39" customHeight="1" x14ac:dyDescent="0.45">
      <c r="A15" s="36"/>
      <c r="B15" s="36"/>
      <c r="C15" s="40">
        <f t="shared" si="0"/>
        <v>6</v>
      </c>
      <c r="D15" s="141"/>
      <c r="E15" s="142"/>
      <c r="F15" s="142"/>
      <c r="G15" s="143"/>
      <c r="H15" s="144" t="s">
        <v>47</v>
      </c>
      <c r="I15" s="145"/>
      <c r="J15" s="145"/>
      <c r="K15" s="146"/>
      <c r="L15" s="147" t="s">
        <v>51</v>
      </c>
      <c r="M15" s="148"/>
      <c r="N15" s="148"/>
      <c r="O15" s="149"/>
      <c r="P15" s="134" t="s">
        <v>52</v>
      </c>
      <c r="Q15" s="135"/>
      <c r="R15" s="135"/>
      <c r="S15" s="135"/>
      <c r="T15" s="135"/>
      <c r="U15" s="135"/>
      <c r="V15" s="135"/>
      <c r="W15" s="136"/>
      <c r="X15" s="134" t="s">
        <v>54</v>
      </c>
      <c r="Y15" s="135"/>
      <c r="Z15" s="135"/>
      <c r="AA15" s="135"/>
      <c r="AB15" s="135"/>
      <c r="AC15" s="135"/>
      <c r="AD15" s="135"/>
      <c r="AE15" s="136"/>
      <c r="AF15" s="134"/>
      <c r="AG15" s="135"/>
      <c r="AH15" s="135"/>
      <c r="AI15" s="135"/>
      <c r="AJ15" s="135"/>
      <c r="AK15" s="135"/>
      <c r="AL15" s="135"/>
      <c r="AM15" s="135"/>
      <c r="AN15" s="137"/>
      <c r="AO15" s="139">
        <v>45680</v>
      </c>
      <c r="AP15" s="140"/>
      <c r="AQ15" s="129" t="s">
        <v>69</v>
      </c>
      <c r="AR15" s="125"/>
      <c r="AS15" s="129" t="s">
        <v>70</v>
      </c>
      <c r="AT15" s="138"/>
      <c r="AU15" s="62"/>
      <c r="AV15" s="63"/>
      <c r="AW15" s="50"/>
      <c r="AX15" s="51"/>
      <c r="AY15" s="50"/>
      <c r="AZ15" s="58"/>
      <c r="BA15" s="64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6"/>
      <c r="BM15" s="37"/>
      <c r="BN15" s="37"/>
    </row>
    <row r="16" spans="1:66" s="35" customFormat="1" ht="43.2" customHeight="1" x14ac:dyDescent="0.45">
      <c r="A16" s="36"/>
      <c r="B16" s="36"/>
      <c r="C16" s="40">
        <f t="shared" si="0"/>
        <v>7</v>
      </c>
      <c r="D16" s="77"/>
      <c r="E16" s="78"/>
      <c r="F16" s="78"/>
      <c r="G16" s="79"/>
      <c r="H16" s="77"/>
      <c r="I16" s="78"/>
      <c r="J16" s="78"/>
      <c r="K16" s="79"/>
      <c r="L16" s="101"/>
      <c r="M16" s="102"/>
      <c r="N16" s="102"/>
      <c r="O16" s="103"/>
      <c r="P16" s="134" t="s">
        <v>53</v>
      </c>
      <c r="Q16" s="135"/>
      <c r="R16" s="135"/>
      <c r="S16" s="135"/>
      <c r="T16" s="135"/>
      <c r="U16" s="135"/>
      <c r="V16" s="135"/>
      <c r="W16" s="136"/>
      <c r="X16" s="134" t="s">
        <v>55</v>
      </c>
      <c r="Y16" s="135"/>
      <c r="Z16" s="135"/>
      <c r="AA16" s="135"/>
      <c r="AB16" s="135"/>
      <c r="AC16" s="135"/>
      <c r="AD16" s="135"/>
      <c r="AE16" s="136"/>
      <c r="AF16" s="75"/>
      <c r="AG16" s="76"/>
      <c r="AH16" s="76"/>
      <c r="AI16" s="76"/>
      <c r="AJ16" s="76"/>
      <c r="AK16" s="76"/>
      <c r="AL16" s="76"/>
      <c r="AM16" s="76"/>
      <c r="AN16" s="80"/>
      <c r="AO16" s="139">
        <v>45680</v>
      </c>
      <c r="AP16" s="140"/>
      <c r="AQ16" s="129" t="s">
        <v>69</v>
      </c>
      <c r="AR16" s="125"/>
      <c r="AS16" s="129" t="s">
        <v>70</v>
      </c>
      <c r="AT16" s="138"/>
      <c r="AU16" s="69"/>
      <c r="AV16" s="70"/>
      <c r="AW16" s="68"/>
      <c r="AX16" s="67"/>
      <c r="AY16" s="68"/>
      <c r="AZ16" s="71"/>
      <c r="BA16" s="72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4"/>
      <c r="BM16" s="37"/>
      <c r="BN16" s="37"/>
    </row>
    <row r="17" spans="1:66" s="35" customFormat="1" ht="43.2" customHeight="1" x14ac:dyDescent="0.45">
      <c r="A17" s="36"/>
      <c r="B17" s="36"/>
      <c r="C17" s="40">
        <f t="shared" si="0"/>
        <v>8</v>
      </c>
      <c r="D17" s="89"/>
      <c r="E17" s="90"/>
      <c r="F17" s="90"/>
      <c r="G17" s="91"/>
      <c r="H17" s="89"/>
      <c r="I17" s="90"/>
      <c r="J17" s="90"/>
      <c r="K17" s="91"/>
      <c r="L17" s="101"/>
      <c r="M17" s="102"/>
      <c r="N17" s="102"/>
      <c r="O17" s="103"/>
      <c r="P17" s="134" t="s">
        <v>56</v>
      </c>
      <c r="Q17" s="135"/>
      <c r="R17" s="135"/>
      <c r="S17" s="135"/>
      <c r="T17" s="135"/>
      <c r="U17" s="135"/>
      <c r="V17" s="135"/>
      <c r="W17" s="136"/>
      <c r="X17" s="134" t="s">
        <v>58</v>
      </c>
      <c r="Y17" s="135"/>
      <c r="Z17" s="135"/>
      <c r="AA17" s="135"/>
      <c r="AB17" s="135"/>
      <c r="AC17" s="135"/>
      <c r="AD17" s="135"/>
      <c r="AE17" s="136"/>
      <c r="AF17" s="83"/>
      <c r="AG17" s="84"/>
      <c r="AH17" s="84"/>
      <c r="AI17" s="84"/>
      <c r="AJ17" s="84"/>
      <c r="AK17" s="84"/>
      <c r="AL17" s="84"/>
      <c r="AM17" s="84"/>
      <c r="AN17" s="92"/>
      <c r="AO17" s="139">
        <v>45680</v>
      </c>
      <c r="AP17" s="140"/>
      <c r="AQ17" s="129" t="s">
        <v>69</v>
      </c>
      <c r="AR17" s="125"/>
      <c r="AS17" s="129" t="s">
        <v>70</v>
      </c>
      <c r="AT17" s="138"/>
      <c r="AU17" s="93"/>
      <c r="AV17" s="94"/>
      <c r="AW17" s="81"/>
      <c r="AX17" s="82"/>
      <c r="AY17" s="81"/>
      <c r="AZ17" s="85"/>
      <c r="BA17" s="86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8"/>
      <c r="BM17" s="37"/>
      <c r="BN17" s="37"/>
    </row>
    <row r="18" spans="1:66" s="35" customFormat="1" ht="43.2" customHeight="1" x14ac:dyDescent="0.45">
      <c r="A18" s="36"/>
      <c r="B18" s="36"/>
      <c r="C18" s="40">
        <f t="shared" si="0"/>
        <v>9</v>
      </c>
      <c r="D18" s="89"/>
      <c r="E18" s="90"/>
      <c r="F18" s="90"/>
      <c r="G18" s="91"/>
      <c r="H18" s="89"/>
      <c r="I18" s="90"/>
      <c r="J18" s="90"/>
      <c r="K18" s="91"/>
      <c r="L18" s="95"/>
      <c r="M18" s="96"/>
      <c r="N18" s="96"/>
      <c r="O18" s="97"/>
      <c r="P18" s="134" t="s">
        <v>57</v>
      </c>
      <c r="Q18" s="135"/>
      <c r="R18" s="135"/>
      <c r="S18" s="135"/>
      <c r="T18" s="135"/>
      <c r="U18" s="135"/>
      <c r="V18" s="135"/>
      <c r="W18" s="136"/>
      <c r="X18" s="134" t="s">
        <v>59</v>
      </c>
      <c r="Y18" s="135"/>
      <c r="Z18" s="135"/>
      <c r="AA18" s="135"/>
      <c r="AB18" s="135"/>
      <c r="AC18" s="135"/>
      <c r="AD18" s="135"/>
      <c r="AE18" s="136"/>
      <c r="AF18" s="83"/>
      <c r="AG18" s="84"/>
      <c r="AH18" s="84"/>
      <c r="AI18" s="84"/>
      <c r="AJ18" s="84"/>
      <c r="AK18" s="84"/>
      <c r="AL18" s="84"/>
      <c r="AM18" s="84"/>
      <c r="AN18" s="92"/>
      <c r="AO18" s="139">
        <v>45680</v>
      </c>
      <c r="AP18" s="140"/>
      <c r="AQ18" s="129" t="s">
        <v>69</v>
      </c>
      <c r="AR18" s="125"/>
      <c r="AS18" s="129" t="s">
        <v>70</v>
      </c>
      <c r="AT18" s="138"/>
      <c r="AU18" s="93"/>
      <c r="AV18" s="94"/>
      <c r="AW18" s="81"/>
      <c r="AX18" s="82"/>
      <c r="AY18" s="81"/>
      <c r="AZ18" s="85"/>
      <c r="BA18" s="86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8"/>
      <c r="BM18" s="37"/>
      <c r="BN18" s="37"/>
    </row>
    <row r="19" spans="1:66" s="35" customFormat="1" ht="28.8" customHeight="1" thickBot="1" x14ac:dyDescent="0.5">
      <c r="A19" s="36"/>
      <c r="B19" s="36"/>
      <c r="C19" s="40">
        <f t="shared" si="0"/>
        <v>10</v>
      </c>
      <c r="D19" s="59"/>
      <c r="E19" s="60"/>
      <c r="F19" s="60"/>
      <c r="G19" s="61"/>
      <c r="H19" s="55"/>
      <c r="I19" s="56"/>
      <c r="J19" s="56"/>
      <c r="K19" s="57"/>
      <c r="L19" s="134" t="s">
        <v>44</v>
      </c>
      <c r="M19" s="135"/>
      <c r="N19" s="135"/>
      <c r="O19" s="136"/>
      <c r="P19" s="134" t="s">
        <v>45</v>
      </c>
      <c r="Q19" s="135"/>
      <c r="R19" s="135"/>
      <c r="S19" s="135"/>
      <c r="T19" s="135"/>
      <c r="U19" s="135"/>
      <c r="V19" s="135"/>
      <c r="W19" s="136"/>
      <c r="X19" s="134" t="s">
        <v>46</v>
      </c>
      <c r="Y19" s="135"/>
      <c r="Z19" s="135"/>
      <c r="AA19" s="135"/>
      <c r="AB19" s="135"/>
      <c r="AC19" s="135"/>
      <c r="AD19" s="135"/>
      <c r="AE19" s="136"/>
      <c r="AF19" s="52"/>
      <c r="AG19" s="53"/>
      <c r="AH19" s="53"/>
      <c r="AI19" s="53"/>
      <c r="AJ19" s="53"/>
      <c r="AK19" s="53"/>
      <c r="AL19" s="53"/>
      <c r="AM19" s="53"/>
      <c r="AN19" s="54"/>
      <c r="AO19" s="139">
        <v>45680</v>
      </c>
      <c r="AP19" s="140"/>
      <c r="AQ19" s="129" t="s">
        <v>69</v>
      </c>
      <c r="AR19" s="125"/>
      <c r="AS19" s="129" t="s">
        <v>70</v>
      </c>
      <c r="AT19" s="138"/>
      <c r="AU19" s="62"/>
      <c r="AV19" s="63"/>
      <c r="AW19" s="50"/>
      <c r="AX19" s="51"/>
      <c r="AY19" s="50"/>
      <c r="AZ19" s="58"/>
      <c r="BA19" s="64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6"/>
      <c r="BM19" s="37"/>
      <c r="BN19" s="37"/>
    </row>
    <row r="20" spans="1:66" ht="20.100000000000001" customHeight="1" thickTop="1" thickBot="1" x14ac:dyDescent="0.5">
      <c r="A20" s="10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8"/>
      <c r="BN20" s="16"/>
    </row>
    <row r="21" spans="1:66" ht="5.0999999999999996" customHeight="1" thickTop="1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1:66" ht="20.100000000000001" customHeight="1" x14ac:dyDescent="0.4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</sheetData>
  <mergeCells count="115">
    <mergeCell ref="AO19:AP19"/>
    <mergeCell ref="AQ19:AR19"/>
    <mergeCell ref="AS19:AT19"/>
    <mergeCell ref="AO15:AP15"/>
    <mergeCell ref="AQ15:AR15"/>
    <mergeCell ref="AS15:AT15"/>
    <mergeCell ref="AO17:AP17"/>
    <mergeCell ref="AQ17:AR17"/>
    <mergeCell ref="AS17:AT17"/>
    <mergeCell ref="AO16:AP16"/>
    <mergeCell ref="AQ16:AR16"/>
    <mergeCell ref="AS16:AT16"/>
    <mergeCell ref="L19:O19"/>
    <mergeCell ref="P19:W19"/>
    <mergeCell ref="X19:AE19"/>
    <mergeCell ref="P17:W17"/>
    <mergeCell ref="X17:AE17"/>
    <mergeCell ref="P18:W18"/>
    <mergeCell ref="X18:AE18"/>
    <mergeCell ref="BA11:BL11"/>
    <mergeCell ref="BA12:BL12"/>
    <mergeCell ref="AO18:AP18"/>
    <mergeCell ref="AQ18:AR18"/>
    <mergeCell ref="AS18:AT18"/>
    <mergeCell ref="AO13:AP13"/>
    <mergeCell ref="AQ13:AR13"/>
    <mergeCell ref="AS13:AT13"/>
    <mergeCell ref="AO14:AP14"/>
    <mergeCell ref="AQ14:AR14"/>
    <mergeCell ref="AS14:AT14"/>
    <mergeCell ref="AU11:AV11"/>
    <mergeCell ref="AW11:AX11"/>
    <mergeCell ref="AY11:AZ11"/>
    <mergeCell ref="AU12:AV12"/>
    <mergeCell ref="AW12:AX12"/>
    <mergeCell ref="AY12:AZ12"/>
    <mergeCell ref="AY10:AZ10"/>
    <mergeCell ref="AY9:AZ9"/>
    <mergeCell ref="BA9:BL9"/>
    <mergeCell ref="BA10:BL10"/>
    <mergeCell ref="D10:G10"/>
    <mergeCell ref="H10:K10"/>
    <mergeCell ref="P10:W10"/>
    <mergeCell ref="X10:AE10"/>
    <mergeCell ref="AF10:AN10"/>
    <mergeCell ref="AO10:AP10"/>
    <mergeCell ref="AQ10:AR10"/>
    <mergeCell ref="L10:O10"/>
    <mergeCell ref="AU9:AV9"/>
    <mergeCell ref="AW9:AX9"/>
    <mergeCell ref="AS10:AT10"/>
    <mergeCell ref="AU10:AV10"/>
    <mergeCell ref="AW10:AX10"/>
    <mergeCell ref="BJ2:BM2"/>
    <mergeCell ref="AU8:AZ8"/>
    <mergeCell ref="BG8:BH8"/>
    <mergeCell ref="BI8:BJ8"/>
    <mergeCell ref="BK8:BL8"/>
    <mergeCell ref="BJ3:BM4"/>
    <mergeCell ref="BE7:BF8"/>
    <mergeCell ref="BG7:BH7"/>
    <mergeCell ref="BI7:BJ7"/>
    <mergeCell ref="BK7:BL7"/>
    <mergeCell ref="AK2:AW2"/>
    <mergeCell ref="AX3:BA4"/>
    <mergeCell ref="BB3:BE4"/>
    <mergeCell ref="BF3:BI4"/>
    <mergeCell ref="AK3:AW4"/>
    <mergeCell ref="AX2:BA2"/>
    <mergeCell ref="AO8:AT8"/>
    <mergeCell ref="B3:G4"/>
    <mergeCell ref="H3:K4"/>
    <mergeCell ref="L3:Q4"/>
    <mergeCell ref="R3:W4"/>
    <mergeCell ref="X3:AJ4"/>
    <mergeCell ref="BB2:BE2"/>
    <mergeCell ref="BF2:BI2"/>
    <mergeCell ref="X16:AE16"/>
    <mergeCell ref="B2:G2"/>
    <mergeCell ref="H2:K2"/>
    <mergeCell ref="L2:Q2"/>
    <mergeCell ref="R2:W2"/>
    <mergeCell ref="X2:AJ2"/>
    <mergeCell ref="D15:G15"/>
    <mergeCell ref="H15:K15"/>
    <mergeCell ref="L15:O15"/>
    <mergeCell ref="P15:W15"/>
    <mergeCell ref="X15:AE15"/>
    <mergeCell ref="AF15:AN15"/>
    <mergeCell ref="L13:O13"/>
    <mergeCell ref="L14:O14"/>
    <mergeCell ref="P16:W16"/>
    <mergeCell ref="P13:W13"/>
    <mergeCell ref="P14:W14"/>
    <mergeCell ref="AF14:AN14"/>
    <mergeCell ref="AO11:AP11"/>
    <mergeCell ref="AQ11:AR11"/>
    <mergeCell ref="AS11:AT11"/>
    <mergeCell ref="AO12:AP12"/>
    <mergeCell ref="L12:O12"/>
    <mergeCell ref="P12:W12"/>
    <mergeCell ref="X12:AE12"/>
    <mergeCell ref="AF12:AN12"/>
    <mergeCell ref="X14:AE14"/>
    <mergeCell ref="X13:AE13"/>
    <mergeCell ref="AF13:AN13"/>
    <mergeCell ref="AO9:AP9"/>
    <mergeCell ref="AQ9:AR9"/>
    <mergeCell ref="AS9:AT9"/>
    <mergeCell ref="L11:O11"/>
    <mergeCell ref="P11:W11"/>
    <mergeCell ref="X11:AE11"/>
    <mergeCell ref="AF11:AN11"/>
    <mergeCell ref="AQ12:AR12"/>
    <mergeCell ref="AS12:AT12"/>
  </mergeCells>
  <phoneticPr fontId="2"/>
  <conditionalFormatting sqref="AS10 AY10 AY19 AY13:AY14">
    <cfRule type="cellIs" dxfId="25" priority="43" operator="equal">
      <formula>"OK"</formula>
    </cfRule>
    <cfRule type="cellIs" dxfId="24" priority="44" operator="equal">
      <formula>"NG"</formula>
    </cfRule>
  </conditionalFormatting>
  <conditionalFormatting sqref="AY15:AY18">
    <cfRule type="cellIs" dxfId="23" priority="31" operator="equal">
      <formula>"OK"</formula>
    </cfRule>
    <cfRule type="cellIs" dxfId="22" priority="32" operator="equal">
      <formula>"NG"</formula>
    </cfRule>
  </conditionalFormatting>
  <conditionalFormatting sqref="AS11">
    <cfRule type="cellIs" dxfId="21" priority="23" operator="equal">
      <formula>"OK"</formula>
    </cfRule>
    <cfRule type="cellIs" dxfId="20" priority="24" operator="equal">
      <formula>"NG"</formula>
    </cfRule>
  </conditionalFormatting>
  <conditionalFormatting sqref="AS12">
    <cfRule type="cellIs" dxfId="19" priority="21" operator="equal">
      <formula>"OK"</formula>
    </cfRule>
    <cfRule type="cellIs" dxfId="18" priority="22" operator="equal">
      <formula>"NG"</formula>
    </cfRule>
  </conditionalFormatting>
  <conditionalFormatting sqref="AS13">
    <cfRule type="cellIs" dxfId="17" priority="19" operator="equal">
      <formula>"OK"</formula>
    </cfRule>
    <cfRule type="cellIs" dxfId="16" priority="20" operator="equal">
      <formula>"NG"</formula>
    </cfRule>
  </conditionalFormatting>
  <conditionalFormatting sqref="AS14">
    <cfRule type="cellIs" dxfId="15" priority="17" operator="equal">
      <formula>"OK"</formula>
    </cfRule>
    <cfRule type="cellIs" dxfId="14" priority="18" operator="equal">
      <formula>"NG"</formula>
    </cfRule>
  </conditionalFormatting>
  <conditionalFormatting sqref="AS18">
    <cfRule type="cellIs" dxfId="13" priority="15" operator="equal">
      <formula>"OK"</formula>
    </cfRule>
    <cfRule type="cellIs" dxfId="12" priority="16" operator="equal">
      <formula>"NG"</formula>
    </cfRule>
  </conditionalFormatting>
  <conditionalFormatting sqref="AS19">
    <cfRule type="cellIs" dxfId="11" priority="13" operator="equal">
      <formula>"OK"</formula>
    </cfRule>
    <cfRule type="cellIs" dxfId="10" priority="14" operator="equal">
      <formula>"NG"</formula>
    </cfRule>
  </conditionalFormatting>
  <conditionalFormatting sqref="AS15">
    <cfRule type="cellIs" dxfId="9" priority="11" operator="equal">
      <formula>"OK"</formula>
    </cfRule>
    <cfRule type="cellIs" dxfId="8" priority="12" operator="equal">
      <formula>"NG"</formula>
    </cfRule>
  </conditionalFormatting>
  <conditionalFormatting sqref="AS17">
    <cfRule type="cellIs" dxfId="7" priority="9" operator="equal">
      <formula>"OK"</formula>
    </cfRule>
    <cfRule type="cellIs" dxfId="6" priority="10" operator="equal">
      <formula>"NG"</formula>
    </cfRule>
  </conditionalFormatting>
  <conditionalFormatting sqref="AS16">
    <cfRule type="cellIs" dxfId="5" priority="7" operator="equal">
      <formula>"OK"</formula>
    </cfRule>
    <cfRule type="cellIs" dxfId="4" priority="8" operator="equal">
      <formula>"NG"</formula>
    </cfRule>
  </conditionalFormatting>
  <conditionalFormatting sqref="AY1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1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19 AY10:AY1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画面</vt:lpstr>
      <vt:lpstr>参照</vt:lpstr>
      <vt:lpstr>画面!Print_Area</vt:lpstr>
      <vt:lpstr>変更履歴!Print_Area</vt:lpstr>
      <vt:lpstr>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2025-02-27T03:28:59Z</dcterms:modified>
</cp:coreProperties>
</file>