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5_開発テスト\テスト仕様書\"/>
    </mc:Choice>
  </mc:AlternateContent>
  <bookViews>
    <workbookView xWindow="0" yWindow="0" windowWidth="28800" windowHeight="12216" tabRatio="655" activeTab="1"/>
  </bookViews>
  <sheets>
    <sheet name="変更履歴" sheetId="1" r:id="rId1"/>
    <sheet name="画面" sheetId="19" r:id="rId2"/>
    <sheet name="帳票" sheetId="24" r:id="rId3"/>
    <sheet name="参照" sheetId="12" state="hidden" r:id="rId4"/>
  </sheets>
  <definedNames>
    <definedName name="_xlnm.Print_Area" localSheetId="1">画面!$A$1:$BN$27</definedName>
    <definedName name="_xlnm.Print_Area" localSheetId="2">帳票!$A$1:$BN$40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8" i="24" l="1"/>
  <c r="L3" i="19" l="1"/>
  <c r="C14" i="19" l="1"/>
  <c r="C15" i="19"/>
  <c r="C16" i="19"/>
  <c r="C17" i="19"/>
  <c r="C18" i="19"/>
  <c r="C19" i="19"/>
  <c r="C20" i="19"/>
  <c r="C21" i="19"/>
  <c r="C22" i="19"/>
  <c r="C23" i="19"/>
  <c r="C24" i="19"/>
  <c r="C25" i="19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12" i="19" l="1"/>
  <c r="C13" i="19"/>
  <c r="C11" i="19" l="1"/>
  <c r="BI8" i="24" l="1"/>
  <c r="BJ3" i="24"/>
  <c r="BF3" i="24"/>
  <c r="BB3" i="24"/>
  <c r="AX3" i="24"/>
  <c r="L3" i="24"/>
  <c r="B3" i="24"/>
  <c r="BK8" i="24" l="1"/>
  <c r="C10" i="19" l="1"/>
  <c r="BI8" i="19"/>
  <c r="BJ3" i="19"/>
  <c r="BF3" i="19"/>
  <c r="BB3" i="19"/>
  <c r="AX3" i="19"/>
  <c r="B3" i="19"/>
  <c r="X3" i="1" l="1"/>
  <c r="X3" i="24" l="1"/>
  <c r="BG8" i="19"/>
  <c r="BK8" i="19" s="1"/>
  <c r="X3" i="19"/>
  <c r="H3" i="1"/>
  <c r="R3" i="1"/>
  <c r="AK3" i="1"/>
  <c r="AK3" i="24" l="1"/>
  <c r="H3" i="24"/>
  <c r="R3" i="24"/>
  <c r="AK3" i="19"/>
  <c r="R3" i="19"/>
  <c r="H3" i="19"/>
</calcChain>
</file>

<file path=xl/sharedStrings.xml><?xml version="1.0" encoding="utf-8"?>
<sst xmlns="http://schemas.openxmlformats.org/spreadsheetml/2006/main" count="346" uniqueCount="123">
  <si>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</si>
  <si>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</si>
  <si>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</si>
  <si>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</si>
  <si>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</si>
  <si>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</si>
  <si>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</si>
  <si>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</si>
  <si>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</si>
  <si>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</si>
  <si>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</si>
  <si>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</si>
  <si>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</si>
  <si>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</si>
  <si>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</si>
  <si>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</si>
  <si>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</si>
  <si>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</si>
  <si>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</si>
  <si>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</si>
  <si>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</si>
  <si>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</si>
  <si>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</si>
  <si>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</si>
  <si>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</si>
  <si>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</si>
  <si>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</si>
  <si>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</si>
  <si>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</si>
  <si>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</si>
  <si>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</si>
  <si>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</si>
  <si>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</si>
  <si>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</si>
  <si>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</si>
  <si>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</si>
  <si>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</si>
  <si>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</si>
  <si>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</si>
  <si>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</si>
  <si>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</si>
  <si>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</si>
  <si>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</si>
  <si>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rPh sb="0" eb="2">
      <t>ショキ</t>
    </rPh>
    <rPh sb="2" eb="4">
      <t>ヒョウジ</t>
    </rPh>
    <phoneticPr fontId="2"/>
  </si>
  <si>
    <t>動作確認</t>
    <rPh sb="0" eb="2">
      <t>ドウサ</t>
    </rPh>
    <rPh sb="2" eb="4">
      <t>カクニン</t>
    </rPh>
    <phoneticPr fontId="2"/>
  </si>
  <si>
    <t>榎本</t>
    <rPh sb="0" eb="2">
      <t>エノモト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</si>
  <si>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</si>
  <si>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ダイアログが閉じること</t>
    <rPh sb="6" eb="7">
      <t>ト</t>
    </rPh>
    <phoneticPr fontId="2"/>
  </si>
  <si>
    <t>動作確認</t>
    <rPh sb="0" eb="4">
      <t>ドウサカクニン</t>
    </rPh>
    <phoneticPr fontId="2"/>
  </si>
  <si>
    <t>ページ確認</t>
  </si>
  <si>
    <t>単ページ</t>
  </si>
  <si>
    <t>現行システムと同じデータが出力されること</t>
  </si>
  <si>
    <t>複数ページ</t>
  </si>
  <si>
    <t>出力種類</t>
    <rPh sb="0" eb="2">
      <t>シュツリョク</t>
    </rPh>
    <rPh sb="2" eb="4">
      <t>シュルイ</t>
    </rPh>
    <phoneticPr fontId="2"/>
  </si>
  <si>
    <t>終了ボタンを押下する</t>
    <rPh sb="0" eb="2">
      <t>シュウリョウ</t>
    </rPh>
    <rPh sb="6" eb="8">
      <t>オウカ</t>
    </rPh>
    <phoneticPr fontId="2"/>
  </si>
  <si>
    <t>出力</t>
    <rPh sb="0" eb="2">
      <t>シュツリョク</t>
    </rPh>
    <phoneticPr fontId="2"/>
  </si>
  <si>
    <t>出力ボタンを押下する</t>
    <rPh sb="0" eb="2">
      <t>シュツリョク</t>
    </rPh>
    <rPh sb="6" eb="8">
      <t>オウカ</t>
    </rPh>
    <phoneticPr fontId="2"/>
  </si>
  <si>
    <t>現行システムと同じデータがExcelで出力されること。</t>
    <phoneticPr fontId="2"/>
  </si>
  <si>
    <t>出力ボタン押下</t>
    <rPh sb="0" eb="2">
      <t>シュツリョク</t>
    </rPh>
    <phoneticPr fontId="2"/>
  </si>
  <si>
    <t>Excelで帳票がDLされること</t>
    <phoneticPr fontId="2"/>
  </si>
  <si>
    <t>複数ページとならないデータで出力ボタンを押下</t>
    <rPh sb="14" eb="16">
      <t>シュツリョク</t>
    </rPh>
    <phoneticPr fontId="2"/>
  </si>
  <si>
    <t>複数ページとなるデータで出力ボタンを押下</t>
    <rPh sb="12" eb="14">
      <t>シュツリョク</t>
    </rPh>
    <phoneticPr fontId="2"/>
  </si>
  <si>
    <t>エラー確認</t>
    <rPh sb="3" eb="5">
      <t>カクニン</t>
    </rPh>
    <phoneticPr fontId="2"/>
  </si>
  <si>
    <t>未入力で出力ボタンを押下する。</t>
    <rPh sb="0" eb="3">
      <t>ミニュウリョク</t>
    </rPh>
    <rPh sb="4" eb="6">
      <t>シュツリョク</t>
    </rPh>
    <rPh sb="10" eb="12">
      <t>オウカ</t>
    </rPh>
    <phoneticPr fontId="2"/>
  </si>
  <si>
    <t>エラーメッセージが出力され、帳票が出力されないこと</t>
    <rPh sb="9" eb="11">
      <t>シュツリョク</t>
    </rPh>
    <rPh sb="14" eb="16">
      <t>チョウヒョウ</t>
    </rPh>
    <rPh sb="17" eb="19">
      <t>シュツリョク</t>
    </rPh>
    <phoneticPr fontId="2"/>
  </si>
  <si>
    <t>入力欄が活性、かつ空欄であること。</t>
    <rPh sb="9" eb="11">
      <t>クウラン</t>
    </rPh>
    <phoneticPr fontId="2"/>
  </si>
  <si>
    <t>虫眼鏡を押下する</t>
  </si>
  <si>
    <t>集計年(from)</t>
    <rPh sb="0" eb="2">
      <t>シュウケイ</t>
    </rPh>
    <rPh sb="2" eb="3">
      <t>ドシ</t>
    </rPh>
    <phoneticPr fontId="2"/>
  </si>
  <si>
    <t>集計年(to)</t>
    <rPh sb="0" eb="2">
      <t>シュウケイ</t>
    </rPh>
    <rPh sb="2" eb="3">
      <t>ドシ</t>
    </rPh>
    <phoneticPr fontId="2"/>
  </si>
  <si>
    <t>メニューより顧客別施工金額実績表を起動する</t>
    <rPh sb="17" eb="19">
      <t>キドウ</t>
    </rPh>
    <phoneticPr fontId="2"/>
  </si>
  <si>
    <t>顧客指定(from)</t>
    <rPh sb="0" eb="2">
      <t>コキャク</t>
    </rPh>
    <rPh sb="2" eb="4">
      <t>シテイ</t>
    </rPh>
    <phoneticPr fontId="2"/>
  </si>
  <si>
    <t>顧客指定(to)</t>
    <rPh sb="0" eb="2">
      <t>コキャク</t>
    </rPh>
    <rPh sb="2" eb="4">
      <t>シテイ</t>
    </rPh>
    <phoneticPr fontId="2"/>
  </si>
  <si>
    <t>入力欄が活性、かつ当月が入力されていること。</t>
    <rPh sb="9" eb="11">
      <t>トウゲツ</t>
    </rPh>
    <rPh sb="12" eb="14">
      <t>ニュウリョク</t>
    </rPh>
    <phoneticPr fontId="2"/>
  </si>
  <si>
    <t>顧客指定(from)虫眼鏡</t>
    <rPh sb="0" eb="2">
      <t>コキャク</t>
    </rPh>
    <rPh sb="2" eb="4">
      <t>シテイ</t>
    </rPh>
    <rPh sb="10" eb="13">
      <t>ムシメガネ</t>
    </rPh>
    <phoneticPr fontId="2"/>
  </si>
  <si>
    <t>得意先検索のダイアログが立ち上がること　</t>
    <rPh sb="0" eb="3">
      <t>トクイサキ</t>
    </rPh>
    <phoneticPr fontId="2"/>
  </si>
  <si>
    <t>得意先検索画面で得意先検索し、得意先を選択する。</t>
    <rPh sb="8" eb="11">
      <t>トクイサキ</t>
    </rPh>
    <rPh sb="11" eb="13">
      <t>ケンサク</t>
    </rPh>
    <phoneticPr fontId="2"/>
  </si>
  <si>
    <t>顧客指定(from)に選択した得意先CDが表示されること。</t>
    <rPh sb="0" eb="2">
      <t>コキャク</t>
    </rPh>
    <rPh sb="2" eb="4">
      <t>シテイ</t>
    </rPh>
    <rPh sb="11" eb="13">
      <t>センタク</t>
    </rPh>
    <rPh sb="15" eb="18">
      <t>トクイサキ</t>
    </rPh>
    <rPh sb="21" eb="23">
      <t>ヒョウジ</t>
    </rPh>
    <phoneticPr fontId="2"/>
  </si>
  <si>
    <t>顧客指定(from) 入力</t>
    <rPh sb="0" eb="2">
      <t>コキャク</t>
    </rPh>
    <rPh sb="2" eb="4">
      <t>シテイ</t>
    </rPh>
    <rPh sb="11" eb="13">
      <t>ニュウリョク</t>
    </rPh>
    <phoneticPr fontId="2"/>
  </si>
  <si>
    <t>顧客指定欄に存在する得意先CDを入力する</t>
    <rPh sb="0" eb="2">
      <t>コキャク</t>
    </rPh>
    <rPh sb="2" eb="4">
      <t>シテイ</t>
    </rPh>
    <rPh sb="4" eb="5">
      <t>ラン</t>
    </rPh>
    <rPh sb="10" eb="13">
      <t>トクイサキ</t>
    </rPh>
    <phoneticPr fontId="2"/>
  </si>
  <si>
    <t>入力した得意先CDが表示される</t>
    <rPh sb="0" eb="2">
      <t>ニュウリョク</t>
    </rPh>
    <rPh sb="4" eb="6">
      <t>トクイ</t>
    </rPh>
    <rPh sb="10" eb="12">
      <t>ヒョウジ</t>
    </rPh>
    <phoneticPr fontId="2"/>
  </si>
  <si>
    <t>顧客指定欄に得意先CDが入力されている状態で顧客指定(from)の×ボタンを押下</t>
    <rPh sb="0" eb="2">
      <t>コキャク</t>
    </rPh>
    <rPh sb="2" eb="4">
      <t>シテイ</t>
    </rPh>
    <rPh sb="6" eb="9">
      <t>トクイサキ</t>
    </rPh>
    <rPh sb="22" eb="24">
      <t>コキャク</t>
    </rPh>
    <rPh sb="24" eb="26">
      <t>シテイ</t>
    </rPh>
    <phoneticPr fontId="2"/>
  </si>
  <si>
    <t>顧客指定(from)が空欄になる</t>
    <rPh sb="0" eb="2">
      <t>コキャク</t>
    </rPh>
    <rPh sb="2" eb="4">
      <t>シテイ</t>
    </rPh>
    <rPh sb="11" eb="13">
      <t>クウラン</t>
    </rPh>
    <phoneticPr fontId="2"/>
  </si>
  <si>
    <t>顧客指定(from) ×ボタン</t>
    <rPh sb="0" eb="2">
      <t>コキャク</t>
    </rPh>
    <rPh sb="2" eb="4">
      <t>シテイ</t>
    </rPh>
    <phoneticPr fontId="2"/>
  </si>
  <si>
    <t>顧客指定(to)虫眼鏡</t>
    <rPh sb="0" eb="2">
      <t>コキャク</t>
    </rPh>
    <rPh sb="2" eb="4">
      <t>シテイ</t>
    </rPh>
    <rPh sb="8" eb="11">
      <t>ムシメガネ</t>
    </rPh>
    <phoneticPr fontId="2"/>
  </si>
  <si>
    <t>顧客指定(to)に選択した得意先CDが表示されること。</t>
    <rPh sb="0" eb="2">
      <t>コキャク</t>
    </rPh>
    <rPh sb="2" eb="4">
      <t>シテイ</t>
    </rPh>
    <rPh sb="9" eb="11">
      <t>センタク</t>
    </rPh>
    <rPh sb="13" eb="16">
      <t>トクイサキ</t>
    </rPh>
    <rPh sb="19" eb="21">
      <t>ヒョウジ</t>
    </rPh>
    <phoneticPr fontId="2"/>
  </si>
  <si>
    <t>顧客指定(to) 入力</t>
    <rPh sb="0" eb="2">
      <t>コキャク</t>
    </rPh>
    <rPh sb="2" eb="4">
      <t>シテイ</t>
    </rPh>
    <rPh sb="9" eb="11">
      <t>ニュウリョク</t>
    </rPh>
    <phoneticPr fontId="2"/>
  </si>
  <si>
    <t>顧客指定(to) ×ボタン</t>
    <rPh sb="0" eb="2">
      <t>コキャク</t>
    </rPh>
    <rPh sb="2" eb="4">
      <t>シテイ</t>
    </rPh>
    <phoneticPr fontId="2"/>
  </si>
  <si>
    <t>顧客指定(to)が空欄になる</t>
    <rPh sb="0" eb="2">
      <t>コキャク</t>
    </rPh>
    <rPh sb="2" eb="4">
      <t>シテイ</t>
    </rPh>
    <rPh sb="9" eb="11">
      <t>クウラン</t>
    </rPh>
    <phoneticPr fontId="2"/>
  </si>
  <si>
    <t>顧客指定欄に得意先CDが入力されている状態で顧客指定(to)の×ボタンを押下</t>
    <rPh sb="0" eb="2">
      <t>コキャク</t>
    </rPh>
    <rPh sb="2" eb="4">
      <t>シテイ</t>
    </rPh>
    <rPh sb="6" eb="9">
      <t>トクイサキ</t>
    </rPh>
    <rPh sb="22" eb="24">
      <t>コキャク</t>
    </rPh>
    <rPh sb="24" eb="26">
      <t>シテイ</t>
    </rPh>
    <phoneticPr fontId="2"/>
  </si>
  <si>
    <t>チームCD_1行目</t>
  </si>
  <si>
    <t>売仕区分_1行目</t>
  </si>
  <si>
    <t>コード_1行目</t>
  </si>
  <si>
    <t>見積NO_1行目</t>
  </si>
  <si>
    <t>得意先CD_1行目</t>
  </si>
  <si>
    <t>店舗_1行目</t>
  </si>
  <si>
    <t>店舗名_1行目</t>
  </si>
  <si>
    <t>内容_1行目</t>
  </si>
  <si>
    <t>仕入先CD_1行目</t>
  </si>
  <si>
    <t>業者名_1行目</t>
  </si>
  <si>
    <t>施工費原価_1行目</t>
  </si>
  <si>
    <t>施工費売価_1行目</t>
  </si>
  <si>
    <t>原価率_1行目</t>
  </si>
  <si>
    <t>チームCD</t>
  </si>
  <si>
    <t>売仕区分</t>
  </si>
  <si>
    <t>コード</t>
  </si>
  <si>
    <t>見積NO</t>
  </si>
  <si>
    <t>得意先CD</t>
  </si>
  <si>
    <t>店舗</t>
  </si>
  <si>
    <t>店舗名</t>
  </si>
  <si>
    <t>内容</t>
  </si>
  <si>
    <t>仕入先CD</t>
  </si>
  <si>
    <t>業者名</t>
  </si>
  <si>
    <t>施工費原価</t>
  </si>
  <si>
    <t>施工費売価</t>
  </si>
  <si>
    <t>原価率</t>
  </si>
  <si>
    <t>※詳細は「TK0600_顧客別施工金額実績表_帳票設計書」を参照</t>
    <rPh sb="1" eb="3">
      <t>ショウサイ</t>
    </rPh>
    <rPh sb="30" eb="32">
      <t>サンショウ</t>
    </rPh>
    <phoneticPr fontId="2"/>
  </si>
  <si>
    <t>帳票</t>
    <rPh sb="0" eb="2">
      <t>チョウヒョウ</t>
    </rPh>
    <phoneticPr fontId="2"/>
  </si>
  <si>
    <t>飯高</t>
    <rPh sb="0" eb="2">
      <t>イイダカ</t>
    </rPh>
    <phoneticPr fontId="2"/>
  </si>
  <si>
    <t>OK</t>
  </si>
  <si>
    <t>NG</t>
  </si>
  <si>
    <t>検索ボタンを押下しても得意先が表示されない</t>
    <phoneticPr fontId="2"/>
  </si>
  <si>
    <t>得意先が表示されないため確認できない</t>
    <rPh sb="0" eb="3">
      <t>トクイサキ</t>
    </rPh>
    <rPh sb="4" eb="6">
      <t>ヒョウジ</t>
    </rPh>
    <rPh sb="12" eb="14">
      <t>カクニン</t>
    </rPh>
    <phoneticPr fontId="2"/>
  </si>
  <si>
    <t>エラーが表示される</t>
    <rPh sb="4" eb="6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</si>
</sst>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color rgb="FF000000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auto="1"/>
      </top>
      <bottom style="thin">
        <color indexed="64"/>
      </bottom>
      <diagonal/>
    </border>
    <border>
      <left/>
      <right style="thin">
        <color rgb="FF000000"/>
      </right>
      <top/>
      <bottom style="thick">
        <color auto="1"/>
      </bottom>
      <diagonal/>
    </border>
    <border>
      <left style="thin">
        <color rgb="FF000000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rgb="FF000000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1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4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>
      <alignment vertical="center"/>
    </xf>
    <xf numFmtId="0" fontId="3" fillId="2" borderId="39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7" fillId="6" borderId="6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1" xfId="0" applyFont="1" applyFill="1" applyBorder="1">
      <alignment vertical="center"/>
    </xf>
    <xf numFmtId="0" fontId="3" fillId="2" borderId="0" xfId="0" applyFont="1" applyFill="1">
      <alignment vertical="center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0" borderId="0" xfId="0" applyFont="1" applyBorder="1">
      <alignment vertical="center"/>
    </xf>
    <xf numFmtId="0" fontId="3" fillId="2" borderId="0" xfId="0" applyFont="1" applyFill="1">
      <alignment vertical="center"/>
    </xf>
    <xf numFmtId="0" fontId="3" fillId="2" borderId="12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3" fillId="2" borderId="5" xfId="0" applyFont="1" applyFill="1" applyBorder="1">
      <alignment vertical="center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38" xfId="0" applyFont="1" applyFill="1" applyBorder="1">
      <alignment vertical="center"/>
    </xf>
    <xf numFmtId="0" fontId="3" fillId="2" borderId="6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30" xfId="0" applyFont="1" applyFill="1" applyBorder="1" applyAlignment="1">
      <alignment horizontal="center" vertical="top" wrapText="1"/>
    </xf>
    <xf numFmtId="0" fontId="7" fillId="6" borderId="44" xfId="0" applyFont="1" applyFill="1" applyBorder="1" applyAlignment="1">
      <alignment horizontal="left" vertical="top" wrapText="1"/>
    </xf>
    <xf numFmtId="0" fontId="7" fillId="6" borderId="45" xfId="0" applyFont="1" applyFill="1" applyBorder="1" applyAlignment="1">
      <alignment horizontal="left" vertical="top" wrapText="1"/>
    </xf>
    <xf numFmtId="0" fontId="7" fillId="6" borderId="3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0" xfId="0" applyFont="1" applyBorder="1" applyAlignment="1">
      <alignment horizontal="left" vertical="top" wrapText="1"/>
    </xf>
    <xf numFmtId="0" fontId="7" fillId="6" borderId="42" xfId="0" applyFont="1" applyFill="1" applyBorder="1" applyAlignment="1">
      <alignment horizontal="left" vertical="top" wrapText="1"/>
    </xf>
    <xf numFmtId="0" fontId="7" fillId="6" borderId="6" xfId="0" applyFont="1" applyFill="1" applyBorder="1" applyAlignment="1">
      <alignment horizontal="left" vertical="top" wrapText="1"/>
    </xf>
    <xf numFmtId="0" fontId="7" fillId="6" borderId="41" xfId="0" applyFont="1" applyFill="1" applyBorder="1" applyAlignment="1">
      <alignment horizontal="left" vertical="top" wrapText="1"/>
    </xf>
    <xf numFmtId="0" fontId="7" fillId="6" borderId="7" xfId="0" applyFont="1" applyFill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7" fillId="0" borderId="43" xfId="0" applyFont="1" applyBorder="1" applyAlignment="1">
      <alignment horizontal="left" vertical="top" wrapText="1"/>
    </xf>
    <xf numFmtId="0" fontId="7" fillId="6" borderId="46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3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>
      <selection activeCell="F30" sqref="F30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231" t="s">
        <v>0</v>
      </c>
      <c r="C2" s="232"/>
      <c r="D2" s="232"/>
      <c r="E2" s="232"/>
      <c r="F2" s="232"/>
      <c r="G2" s="232"/>
      <c r="H2" s="232" t="s">
        <v>40</v>
      </c>
      <c r="I2" s="232"/>
      <c r="J2" s="232"/>
      <c r="K2" s="232"/>
      <c r="L2" s="232" t="s">
        <v>41</v>
      </c>
      <c r="M2" s="232"/>
      <c r="N2" s="232"/>
      <c r="O2" s="232"/>
      <c r="P2" s="232"/>
      <c r="Q2" s="232"/>
      <c r="R2" s="232" t="s">
        <v>1</v>
      </c>
      <c r="S2" s="232"/>
      <c r="T2" s="232"/>
      <c r="U2" s="232"/>
      <c r="V2" s="232"/>
      <c r="W2" s="232"/>
      <c r="X2" s="233" t="s">
        <v>2</v>
      </c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5"/>
      <c r="AK2" s="233" t="s">
        <v>30</v>
      </c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5"/>
      <c r="AX2" s="232" t="s">
        <v>4</v>
      </c>
      <c r="AY2" s="232"/>
      <c r="AZ2" s="232"/>
      <c r="BA2" s="232"/>
      <c r="BB2" s="232" t="s">
        <v>3</v>
      </c>
      <c r="BC2" s="232"/>
      <c r="BD2" s="232"/>
      <c r="BE2" s="232"/>
      <c r="BF2" s="232" t="s">
        <v>5</v>
      </c>
      <c r="BG2" s="232"/>
      <c r="BH2" s="232"/>
      <c r="BI2" s="232"/>
      <c r="BJ2" s="232" t="s">
        <v>6</v>
      </c>
      <c r="BK2" s="232"/>
      <c r="BL2" s="232"/>
      <c r="BM2" s="246"/>
      <c r="BN2" s="15"/>
    </row>
    <row r="3" spans="1:66" ht="20.100000000000001" customHeight="1" x14ac:dyDescent="0.45">
      <c r="A3" s="9"/>
      <c r="B3" s="236" t="s">
        <v>38</v>
      </c>
      <c r="C3" s="237"/>
      <c r="D3" s="237"/>
      <c r="E3" s="237"/>
      <c r="F3" s="237"/>
      <c r="G3" s="237"/>
      <c r="H3" s="237" t="str">
        <f ca="1">LEFT($X$3,FIND("_",$X$3)-1)</f>
        <v>統計</v>
      </c>
      <c r="I3" s="237"/>
      <c r="J3" s="237"/>
      <c r="K3" s="237"/>
      <c r="L3" s="237" t="s">
        <v>39</v>
      </c>
      <c r="M3" s="237"/>
      <c r="N3" s="237"/>
      <c r="O3" s="237"/>
      <c r="P3" s="237"/>
      <c r="Q3" s="237"/>
      <c r="R3" s="240" t="str">
        <f ca="1">MID($X$3,FIND("_",$X$3,FIND("_",$X$3)+1)+1,LEN($X$3)-FIND("_",$X$3,FIND("_",$X$3)+1))</f>
        <v>結合試験項目</v>
      </c>
      <c r="S3" s="237"/>
      <c r="T3" s="237"/>
      <c r="U3" s="237"/>
      <c r="V3" s="237"/>
      <c r="W3" s="237"/>
      <c r="X3" s="241" t="str">
        <f ca="1">REPLACE(LEFT(CELL("filename",$B$2),FIND(".x",CELL("filename",$B$2))-1),1,FIND("[",CELL("filename",$B$2)),)</f>
        <v>統計_顧客別施工金額実績表_結合試験項目</v>
      </c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38"/>
      <c r="AK3" s="241" t="str">
        <f ca="1">MID($X$3,FIND("_",$X$3)+1,FIND("_",$X$3,FIND("_",$X$3)+1)-FIND("_",$X$3)-1)</f>
        <v>顧客別施工金額実績表</v>
      </c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38"/>
      <c r="AX3" s="248">
        <v>45636</v>
      </c>
      <c r="AY3" s="237"/>
      <c r="AZ3" s="237"/>
      <c r="BA3" s="237"/>
      <c r="BB3" s="237" t="s">
        <v>45</v>
      </c>
      <c r="BC3" s="237"/>
      <c r="BD3" s="237"/>
      <c r="BE3" s="237"/>
      <c r="BF3" s="248">
        <v>45636</v>
      </c>
      <c r="BG3" s="237"/>
      <c r="BH3" s="237"/>
      <c r="BI3" s="237"/>
      <c r="BJ3" s="237" t="s">
        <v>45</v>
      </c>
      <c r="BK3" s="237"/>
      <c r="BL3" s="237"/>
      <c r="BM3" s="249"/>
      <c r="BN3" s="15"/>
    </row>
    <row r="4" spans="1:66" ht="20.100000000000001" customHeight="1" thickBot="1" x14ac:dyDescent="0.5">
      <c r="A4" s="9"/>
      <c r="B4" s="238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43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5"/>
      <c r="AK4" s="243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5"/>
      <c r="AX4" s="239"/>
      <c r="AY4" s="239"/>
      <c r="AZ4" s="239"/>
      <c r="BA4" s="239"/>
      <c r="BB4" s="239"/>
      <c r="BC4" s="239"/>
      <c r="BD4" s="239"/>
      <c r="BE4" s="239"/>
      <c r="BF4" s="239"/>
      <c r="BG4" s="239"/>
      <c r="BH4" s="239"/>
      <c r="BI4" s="239"/>
      <c r="BJ4" s="239"/>
      <c r="BK4" s="239"/>
      <c r="BL4" s="239"/>
      <c r="BM4" s="241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247" t="s">
        <v>7</v>
      </c>
      <c r="D8" s="247"/>
      <c r="E8" s="247"/>
      <c r="F8" s="247"/>
      <c r="G8" s="247" t="s">
        <v>8</v>
      </c>
      <c r="H8" s="247"/>
      <c r="I8" s="247"/>
      <c r="J8" s="247"/>
      <c r="K8" s="247" t="s">
        <v>9</v>
      </c>
      <c r="L8" s="247"/>
      <c r="M8" s="247"/>
      <c r="N8" s="247"/>
      <c r="O8" s="247" t="s">
        <v>10</v>
      </c>
      <c r="P8" s="247"/>
      <c r="Q8" s="247"/>
      <c r="R8" s="247"/>
      <c r="S8" s="247"/>
      <c r="T8" s="247"/>
      <c r="U8" s="247"/>
      <c r="V8" s="247"/>
      <c r="W8" s="247"/>
      <c r="X8" s="247"/>
      <c r="Y8" s="247" t="s">
        <v>11</v>
      </c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47"/>
      <c r="BE8" s="247"/>
      <c r="BF8" s="247"/>
      <c r="BG8" s="247"/>
      <c r="BH8" s="247"/>
      <c r="BI8" s="247"/>
      <c r="BJ8" s="247"/>
      <c r="BK8" s="247"/>
      <c r="BL8" s="247"/>
      <c r="BM8" s="8"/>
      <c r="BN8" s="15"/>
    </row>
    <row r="9" spans="1:66" ht="20.100000000000001" customHeight="1" x14ac:dyDescent="0.45">
      <c r="A9" s="9"/>
      <c r="B9" s="8"/>
      <c r="C9" s="250">
        <v>45636</v>
      </c>
      <c r="D9" s="251"/>
      <c r="E9" s="251"/>
      <c r="F9" s="252"/>
      <c r="G9" s="253" t="s">
        <v>20</v>
      </c>
      <c r="H9" s="254"/>
      <c r="I9" s="254"/>
      <c r="J9" s="255"/>
      <c r="K9" s="256"/>
      <c r="L9" s="251"/>
      <c r="M9" s="251"/>
      <c r="N9" s="252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250"/>
      <c r="D10" s="251"/>
      <c r="E10" s="251"/>
      <c r="F10" s="252"/>
      <c r="G10" s="253"/>
      <c r="H10" s="254"/>
      <c r="I10" s="254"/>
      <c r="J10" s="255"/>
      <c r="K10" s="256"/>
      <c r="L10" s="251"/>
      <c r="M10" s="251"/>
      <c r="N10" s="252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250"/>
      <c r="D11" s="251"/>
      <c r="E11" s="251"/>
      <c r="F11" s="252"/>
      <c r="G11" s="253"/>
      <c r="H11" s="254"/>
      <c r="I11" s="254"/>
      <c r="J11" s="255"/>
      <c r="K11" s="256"/>
      <c r="L11" s="251"/>
      <c r="M11" s="251"/>
      <c r="N11" s="252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250"/>
      <c r="D36" s="251"/>
      <c r="E36" s="251"/>
      <c r="F36" s="252"/>
      <c r="G36" s="253"/>
      <c r="H36" s="254"/>
      <c r="I36" s="254"/>
      <c r="J36" s="255"/>
      <c r="K36" s="256"/>
      <c r="L36" s="251"/>
      <c r="M36" s="251"/>
      <c r="N36" s="252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250"/>
      <c r="D37" s="251"/>
      <c r="E37" s="251"/>
      <c r="F37" s="252"/>
      <c r="G37" s="253"/>
      <c r="H37" s="254"/>
      <c r="I37" s="254"/>
      <c r="J37" s="255"/>
      <c r="K37" s="256"/>
      <c r="L37" s="251"/>
      <c r="M37" s="251"/>
      <c r="N37" s="252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250"/>
      <c r="D38" s="251"/>
      <c r="E38" s="251"/>
      <c r="F38" s="252"/>
      <c r="G38" s="253"/>
      <c r="H38" s="254"/>
      <c r="I38" s="254"/>
      <c r="J38" s="255"/>
      <c r="K38" s="256"/>
      <c r="L38" s="251"/>
      <c r="M38" s="251"/>
      <c r="N38" s="252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250"/>
      <c r="D39" s="251"/>
      <c r="E39" s="251"/>
      <c r="F39" s="252"/>
      <c r="G39" s="253"/>
      <c r="H39" s="254"/>
      <c r="I39" s="254"/>
      <c r="J39" s="255"/>
      <c r="K39" s="256"/>
      <c r="L39" s="251"/>
      <c r="M39" s="251"/>
      <c r="N39" s="252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250"/>
      <c r="D40" s="251"/>
      <c r="E40" s="251"/>
      <c r="F40" s="252"/>
      <c r="G40" s="253"/>
      <c r="H40" s="254"/>
      <c r="I40" s="254"/>
      <c r="J40" s="255"/>
      <c r="K40" s="256"/>
      <c r="L40" s="251"/>
      <c r="M40" s="251"/>
      <c r="N40" s="252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250"/>
      <c r="D41" s="251"/>
      <c r="E41" s="251"/>
      <c r="F41" s="252"/>
      <c r="G41" s="253"/>
      <c r="H41" s="254"/>
      <c r="I41" s="254"/>
      <c r="J41" s="255"/>
      <c r="K41" s="256"/>
      <c r="L41" s="251"/>
      <c r="M41" s="251"/>
      <c r="N41" s="252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250"/>
      <c r="D42" s="251"/>
      <c r="E42" s="251"/>
      <c r="F42" s="252"/>
      <c r="G42" s="253"/>
      <c r="H42" s="254"/>
      <c r="I42" s="254"/>
      <c r="J42" s="255"/>
      <c r="K42" s="256"/>
      <c r="L42" s="251"/>
      <c r="M42" s="251"/>
      <c r="N42" s="252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250"/>
      <c r="D43" s="251"/>
      <c r="E43" s="251"/>
      <c r="F43" s="252"/>
      <c r="G43" s="253"/>
      <c r="H43" s="254"/>
      <c r="I43" s="254"/>
      <c r="J43" s="255"/>
      <c r="K43" s="256"/>
      <c r="L43" s="251"/>
      <c r="M43" s="251"/>
      <c r="N43" s="252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250"/>
      <c r="D44" s="251"/>
      <c r="E44" s="251"/>
      <c r="F44" s="252"/>
      <c r="G44" s="253"/>
      <c r="H44" s="254"/>
      <c r="I44" s="254"/>
      <c r="J44" s="255"/>
      <c r="K44" s="256"/>
      <c r="L44" s="251"/>
      <c r="M44" s="251"/>
      <c r="N44" s="252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250"/>
      <c r="D45" s="251"/>
      <c r="E45" s="251"/>
      <c r="F45" s="252"/>
      <c r="G45" s="253"/>
      <c r="H45" s="254"/>
      <c r="I45" s="254"/>
      <c r="J45" s="255"/>
      <c r="K45" s="256"/>
      <c r="L45" s="251"/>
      <c r="M45" s="251"/>
      <c r="N45" s="252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250"/>
      <c r="D46" s="251"/>
      <c r="E46" s="251"/>
      <c r="F46" s="252"/>
      <c r="G46" s="253"/>
      <c r="H46" s="254"/>
      <c r="I46" s="254"/>
      <c r="J46" s="255"/>
      <c r="K46" s="256"/>
      <c r="L46" s="251"/>
      <c r="M46" s="251"/>
      <c r="N46" s="252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250"/>
      <c r="D47" s="251"/>
      <c r="E47" s="251"/>
      <c r="F47" s="252"/>
      <c r="G47" s="253"/>
      <c r="H47" s="254"/>
      <c r="I47" s="254"/>
      <c r="J47" s="255"/>
      <c r="K47" s="256"/>
      <c r="L47" s="251"/>
      <c r="M47" s="251"/>
      <c r="N47" s="252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28"/>
  <sheetViews>
    <sheetView showGridLines="0" tabSelected="1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231" t="s">
        <v>0</v>
      </c>
      <c r="C2" s="232"/>
      <c r="D2" s="232"/>
      <c r="E2" s="232"/>
      <c r="F2" s="232"/>
      <c r="G2" s="232"/>
      <c r="H2" s="232" t="s">
        <v>40</v>
      </c>
      <c r="I2" s="232"/>
      <c r="J2" s="232"/>
      <c r="K2" s="232"/>
      <c r="L2" s="232" t="s">
        <v>41</v>
      </c>
      <c r="M2" s="232"/>
      <c r="N2" s="232"/>
      <c r="O2" s="232"/>
      <c r="P2" s="232"/>
      <c r="Q2" s="232"/>
      <c r="R2" s="232" t="s">
        <v>1</v>
      </c>
      <c r="S2" s="232"/>
      <c r="T2" s="232"/>
      <c r="U2" s="232"/>
      <c r="V2" s="232"/>
      <c r="W2" s="232"/>
      <c r="X2" s="233" t="s">
        <v>2</v>
      </c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5"/>
      <c r="AK2" s="233" t="s">
        <v>30</v>
      </c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5"/>
      <c r="AX2" s="232" t="s">
        <v>4</v>
      </c>
      <c r="AY2" s="232"/>
      <c r="AZ2" s="232"/>
      <c r="BA2" s="232"/>
      <c r="BB2" s="232" t="s">
        <v>3</v>
      </c>
      <c r="BC2" s="232"/>
      <c r="BD2" s="232"/>
      <c r="BE2" s="232"/>
      <c r="BF2" s="232" t="s">
        <v>5</v>
      </c>
      <c r="BG2" s="232"/>
      <c r="BH2" s="232"/>
      <c r="BI2" s="232"/>
      <c r="BJ2" s="232" t="s">
        <v>6</v>
      </c>
      <c r="BK2" s="232"/>
      <c r="BL2" s="232"/>
      <c r="BM2" s="246"/>
      <c r="BN2" s="16"/>
    </row>
    <row r="3" spans="1:66" ht="20.100000000000001" customHeight="1" x14ac:dyDescent="0.45">
      <c r="A3" s="10"/>
      <c r="B3" s="236" t="str">
        <f>変更履歴!B3</f>
        <v>受発注システム</v>
      </c>
      <c r="C3" s="237"/>
      <c r="D3" s="237"/>
      <c r="E3" s="237"/>
      <c r="F3" s="237"/>
      <c r="G3" s="237"/>
      <c r="H3" s="237" t="str">
        <f ca="1">変更履歴!H3</f>
        <v>統計</v>
      </c>
      <c r="I3" s="237"/>
      <c r="J3" s="237"/>
      <c r="K3" s="237"/>
      <c r="L3" s="237" t="str">
        <f>変更履歴!L3</f>
        <v>受発注</v>
      </c>
      <c r="M3" s="237"/>
      <c r="N3" s="237"/>
      <c r="O3" s="237"/>
      <c r="P3" s="237"/>
      <c r="Q3" s="237"/>
      <c r="R3" s="237" t="str">
        <f ca="1">変更履歴!R3</f>
        <v>結合試験項目</v>
      </c>
      <c r="S3" s="237"/>
      <c r="T3" s="237"/>
      <c r="U3" s="237"/>
      <c r="V3" s="237"/>
      <c r="W3" s="237"/>
      <c r="X3" s="241" t="str">
        <f ca="1">変更履歴!X3</f>
        <v>統計_顧客別施工金額実績表_結合試験項目</v>
      </c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38"/>
      <c r="AK3" s="241" t="str">
        <f ca="1">変更履歴!AK3</f>
        <v>顧客別施工金額実績表</v>
      </c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38"/>
      <c r="AX3" s="248">
        <f>変更履歴!AX3</f>
        <v>45636</v>
      </c>
      <c r="AY3" s="248"/>
      <c r="AZ3" s="248"/>
      <c r="BA3" s="248"/>
      <c r="BB3" s="237" t="str">
        <f>変更履歴!BB3</f>
        <v>榎本</v>
      </c>
      <c r="BC3" s="237"/>
      <c r="BD3" s="237"/>
      <c r="BE3" s="237"/>
      <c r="BF3" s="248">
        <f>変更履歴!BF3</f>
        <v>45636</v>
      </c>
      <c r="BG3" s="248"/>
      <c r="BH3" s="248"/>
      <c r="BI3" s="248"/>
      <c r="BJ3" s="237" t="str">
        <f>変更履歴!BJ3</f>
        <v>榎本</v>
      </c>
      <c r="BK3" s="237"/>
      <c r="BL3" s="237"/>
      <c r="BM3" s="249"/>
      <c r="BN3" s="16"/>
    </row>
    <row r="4" spans="1:66" ht="20.100000000000001" customHeight="1" thickBot="1" x14ac:dyDescent="0.5">
      <c r="A4" s="10"/>
      <c r="B4" s="238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43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5"/>
      <c r="AK4" s="243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5"/>
      <c r="AX4" s="279"/>
      <c r="AY4" s="279"/>
      <c r="AZ4" s="279"/>
      <c r="BA4" s="279"/>
      <c r="BB4" s="239"/>
      <c r="BC4" s="239"/>
      <c r="BD4" s="239"/>
      <c r="BE4" s="239"/>
      <c r="BF4" s="279"/>
      <c r="BG4" s="279"/>
      <c r="BH4" s="279"/>
      <c r="BI4" s="279"/>
      <c r="BJ4" s="239"/>
      <c r="BK4" s="239"/>
      <c r="BL4" s="239"/>
      <c r="BM4" s="241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280" t="s">
        <v>32</v>
      </c>
      <c r="BF7" s="281"/>
      <c r="BG7" s="284" t="s">
        <v>31</v>
      </c>
      <c r="BH7" s="284"/>
      <c r="BI7" s="285" t="s">
        <v>33</v>
      </c>
      <c r="BJ7" s="286"/>
      <c r="BK7" s="285" t="s">
        <v>34</v>
      </c>
      <c r="BL7" s="275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276" t="s">
        <v>35</v>
      </c>
      <c r="AP8" s="274"/>
      <c r="AQ8" s="274"/>
      <c r="AR8" s="274"/>
      <c r="AS8" s="274"/>
      <c r="AT8" s="275"/>
      <c r="AU8" s="276" t="s">
        <v>36</v>
      </c>
      <c r="AV8" s="274"/>
      <c r="AW8" s="274"/>
      <c r="AX8" s="274"/>
      <c r="AY8" s="274"/>
      <c r="AZ8" s="275"/>
      <c r="BE8" s="282"/>
      <c r="BF8" s="283"/>
      <c r="BG8" s="277">
        <f>COUNTA(C10:C25)</f>
        <v>16</v>
      </c>
      <c r="BH8" s="278"/>
      <c r="BI8" s="277">
        <f>COUNTIF(AS10:AT25,"OK")+COUNTIF(AY10:AZ25,"OK")</f>
        <v>16</v>
      </c>
      <c r="BJ8" s="278"/>
      <c r="BK8" s="277">
        <f>BG8-BI8</f>
        <v>0</v>
      </c>
      <c r="BL8" s="287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269" t="s">
        <v>25</v>
      </c>
      <c r="AP9" s="270"/>
      <c r="AQ9" s="271" t="s">
        <v>26</v>
      </c>
      <c r="AR9" s="270"/>
      <c r="AS9" s="271" t="s">
        <v>29</v>
      </c>
      <c r="AT9" s="272"/>
      <c r="AU9" s="269" t="s">
        <v>25</v>
      </c>
      <c r="AV9" s="270"/>
      <c r="AW9" s="271" t="s">
        <v>26</v>
      </c>
      <c r="AX9" s="270"/>
      <c r="AY9" s="271" t="s">
        <v>29</v>
      </c>
      <c r="AZ9" s="272"/>
      <c r="BA9" s="273" t="s">
        <v>27</v>
      </c>
      <c r="BB9" s="274"/>
      <c r="BC9" s="274"/>
      <c r="BD9" s="274"/>
      <c r="BE9" s="274"/>
      <c r="BF9" s="274"/>
      <c r="BG9" s="274"/>
      <c r="BH9" s="274"/>
      <c r="BI9" s="274"/>
      <c r="BJ9" s="274"/>
      <c r="BK9" s="274"/>
      <c r="BL9" s="275"/>
      <c r="BM9" s="16"/>
      <c r="BN9" s="16"/>
    </row>
    <row r="10" spans="1:66" ht="24" customHeight="1" x14ac:dyDescent="0.45">
      <c r="A10" s="10"/>
      <c r="B10" s="10"/>
      <c r="C10" s="30">
        <f>ROW()-9</f>
        <v>1</v>
      </c>
      <c r="D10" s="263" t="s">
        <v>42</v>
      </c>
      <c r="E10" s="264"/>
      <c r="F10" s="264"/>
      <c r="G10" s="265"/>
      <c r="H10" s="263" t="s">
        <v>43</v>
      </c>
      <c r="I10" s="264"/>
      <c r="J10" s="264"/>
      <c r="K10" s="265"/>
      <c r="L10" s="260" t="s">
        <v>67</v>
      </c>
      <c r="M10" s="261"/>
      <c r="N10" s="261"/>
      <c r="O10" s="262"/>
      <c r="P10" s="260" t="s">
        <v>69</v>
      </c>
      <c r="Q10" s="261"/>
      <c r="R10" s="261"/>
      <c r="S10" s="261"/>
      <c r="T10" s="261"/>
      <c r="U10" s="261"/>
      <c r="V10" s="261"/>
      <c r="W10" s="262"/>
      <c r="X10" s="260" t="s">
        <v>72</v>
      </c>
      <c r="Y10" s="261"/>
      <c r="Z10" s="261"/>
      <c r="AA10" s="261"/>
      <c r="AB10" s="261"/>
      <c r="AC10" s="261"/>
      <c r="AD10" s="261"/>
      <c r="AE10" s="262"/>
      <c r="AF10" s="260"/>
      <c r="AG10" s="261"/>
      <c r="AH10" s="261"/>
      <c r="AI10" s="261"/>
      <c r="AJ10" s="261"/>
      <c r="AK10" s="261"/>
      <c r="AL10" s="261"/>
      <c r="AM10" s="261"/>
      <c r="AN10" s="291"/>
      <c r="AO10" s="257">
        <v>45674</v>
      </c>
      <c r="AP10" s="258"/>
      <c r="AQ10" s="256" t="s">
        <v>117</v>
      </c>
      <c r="AR10" s="252"/>
      <c r="AS10" s="256" t="s">
        <v>118</v>
      </c>
      <c r="AT10" s="259"/>
      <c r="AU10" s="257"/>
      <c r="AV10" s="258"/>
      <c r="AW10" s="256"/>
      <c r="AX10" s="252"/>
      <c r="AY10" s="256"/>
      <c r="AZ10" s="259"/>
      <c r="BA10" s="288"/>
      <c r="BB10" s="289"/>
      <c r="BC10" s="289"/>
      <c r="BD10" s="289"/>
      <c r="BE10" s="289"/>
      <c r="BF10" s="289"/>
      <c r="BG10" s="289"/>
      <c r="BH10" s="289"/>
      <c r="BI10" s="289"/>
      <c r="BJ10" s="289"/>
      <c r="BK10" s="289"/>
      <c r="BL10" s="290"/>
      <c r="BM10" s="16"/>
      <c r="BN10" s="16"/>
    </row>
    <row r="11" spans="1:66" s="98" customFormat="1" ht="24" customHeight="1" x14ac:dyDescent="0.45">
      <c r="A11" s="99"/>
      <c r="B11" s="99"/>
      <c r="C11" s="128">
        <f>ROW()-9</f>
        <v>2</v>
      </c>
      <c r="D11" s="118"/>
      <c r="E11" s="119"/>
      <c r="F11" s="119"/>
      <c r="G11" s="120"/>
      <c r="H11" s="118"/>
      <c r="I11" s="119"/>
      <c r="J11" s="119"/>
      <c r="K11" s="120"/>
      <c r="L11" s="260" t="s">
        <v>68</v>
      </c>
      <c r="M11" s="261"/>
      <c r="N11" s="261"/>
      <c r="O11" s="262"/>
      <c r="P11" s="260" t="s">
        <v>69</v>
      </c>
      <c r="Q11" s="261"/>
      <c r="R11" s="261"/>
      <c r="S11" s="261"/>
      <c r="T11" s="261"/>
      <c r="U11" s="261"/>
      <c r="V11" s="261"/>
      <c r="W11" s="262"/>
      <c r="X11" s="260" t="s">
        <v>72</v>
      </c>
      <c r="Y11" s="261"/>
      <c r="Z11" s="261"/>
      <c r="AA11" s="261"/>
      <c r="AB11" s="261"/>
      <c r="AC11" s="261"/>
      <c r="AD11" s="261"/>
      <c r="AE11" s="262"/>
      <c r="AF11" s="92"/>
      <c r="AG11" s="117"/>
      <c r="AH11" s="117"/>
      <c r="AI11" s="117"/>
      <c r="AJ11" s="117"/>
      <c r="AK11" s="117"/>
      <c r="AL11" s="117"/>
      <c r="AM11" s="117"/>
      <c r="AN11" s="127"/>
      <c r="AO11" s="257">
        <v>45674</v>
      </c>
      <c r="AP11" s="258"/>
      <c r="AQ11" s="256" t="s">
        <v>117</v>
      </c>
      <c r="AR11" s="252"/>
      <c r="AS11" s="256" t="s">
        <v>118</v>
      </c>
      <c r="AT11" s="259"/>
      <c r="AU11" s="122"/>
      <c r="AV11" s="123"/>
      <c r="AW11" s="114"/>
      <c r="AX11" s="115"/>
      <c r="AY11" s="114"/>
      <c r="AZ11" s="121"/>
      <c r="BA11" s="124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6"/>
      <c r="BM11" s="100"/>
      <c r="BN11" s="100"/>
    </row>
    <row r="12" spans="1:66" s="129" customFormat="1" ht="24" customHeight="1" x14ac:dyDescent="0.45">
      <c r="A12" s="99"/>
      <c r="B12" s="99"/>
      <c r="C12" s="152">
        <f t="shared" ref="C12:C25" si="0">ROW()-9</f>
        <v>3</v>
      </c>
      <c r="D12" s="137"/>
      <c r="E12" s="138"/>
      <c r="F12" s="138"/>
      <c r="G12" s="139"/>
      <c r="H12" s="137"/>
      <c r="I12" s="138"/>
      <c r="J12" s="138"/>
      <c r="K12" s="139"/>
      <c r="L12" s="92" t="s">
        <v>70</v>
      </c>
      <c r="M12" s="135"/>
      <c r="N12" s="135"/>
      <c r="O12" s="136"/>
      <c r="P12" s="260" t="s">
        <v>69</v>
      </c>
      <c r="Q12" s="261"/>
      <c r="R12" s="261"/>
      <c r="S12" s="261"/>
      <c r="T12" s="261"/>
      <c r="U12" s="261"/>
      <c r="V12" s="261"/>
      <c r="W12" s="262"/>
      <c r="X12" s="260" t="s">
        <v>65</v>
      </c>
      <c r="Y12" s="261"/>
      <c r="Z12" s="261"/>
      <c r="AA12" s="261"/>
      <c r="AB12" s="261"/>
      <c r="AC12" s="261"/>
      <c r="AD12" s="261"/>
      <c r="AE12" s="262"/>
      <c r="AF12" s="92"/>
      <c r="AG12" s="135"/>
      <c r="AH12" s="135"/>
      <c r="AI12" s="135"/>
      <c r="AJ12" s="135"/>
      <c r="AK12" s="135"/>
      <c r="AL12" s="135"/>
      <c r="AM12" s="135"/>
      <c r="AN12" s="143"/>
      <c r="AO12" s="257">
        <v>45674</v>
      </c>
      <c r="AP12" s="258"/>
      <c r="AQ12" s="256" t="s">
        <v>117</v>
      </c>
      <c r="AR12" s="252"/>
      <c r="AS12" s="256" t="s">
        <v>118</v>
      </c>
      <c r="AT12" s="259"/>
      <c r="AU12" s="144"/>
      <c r="AV12" s="145"/>
      <c r="AW12" s="134"/>
      <c r="AX12" s="133"/>
      <c r="AY12" s="134"/>
      <c r="AZ12" s="146"/>
      <c r="BA12" s="140"/>
      <c r="BB12" s="141"/>
      <c r="BC12" s="141"/>
      <c r="BD12" s="141"/>
      <c r="BE12" s="141"/>
      <c r="BF12" s="141"/>
      <c r="BG12" s="141"/>
      <c r="BH12" s="141"/>
      <c r="BI12" s="141"/>
      <c r="BJ12" s="141"/>
      <c r="BK12" s="141"/>
      <c r="BL12" s="142"/>
      <c r="BM12" s="100"/>
      <c r="BN12" s="100"/>
    </row>
    <row r="13" spans="1:66" s="129" customFormat="1" ht="24" customHeight="1" x14ac:dyDescent="0.45">
      <c r="A13" s="99"/>
      <c r="B13" s="99"/>
      <c r="C13" s="152">
        <f t="shared" si="0"/>
        <v>4</v>
      </c>
      <c r="D13" s="137"/>
      <c r="E13" s="138"/>
      <c r="F13" s="138"/>
      <c r="G13" s="139"/>
      <c r="H13" s="169"/>
      <c r="I13" s="195"/>
      <c r="J13" s="195"/>
      <c r="K13" s="196"/>
      <c r="L13" s="194" t="s">
        <v>71</v>
      </c>
      <c r="M13" s="135"/>
      <c r="N13" s="135"/>
      <c r="O13" s="136"/>
      <c r="P13" s="260" t="s">
        <v>69</v>
      </c>
      <c r="Q13" s="261"/>
      <c r="R13" s="261"/>
      <c r="S13" s="261"/>
      <c r="T13" s="261"/>
      <c r="U13" s="261"/>
      <c r="V13" s="261"/>
      <c r="W13" s="262"/>
      <c r="X13" s="260" t="s">
        <v>65</v>
      </c>
      <c r="Y13" s="261"/>
      <c r="Z13" s="261"/>
      <c r="AA13" s="261"/>
      <c r="AB13" s="261"/>
      <c r="AC13" s="261"/>
      <c r="AD13" s="261"/>
      <c r="AE13" s="262"/>
      <c r="AF13" s="92"/>
      <c r="AG13" s="135"/>
      <c r="AH13" s="135"/>
      <c r="AI13" s="135"/>
      <c r="AJ13" s="135"/>
      <c r="AK13" s="135"/>
      <c r="AL13" s="135"/>
      <c r="AM13" s="135"/>
      <c r="AN13" s="143"/>
      <c r="AO13" s="257">
        <v>45674</v>
      </c>
      <c r="AP13" s="258"/>
      <c r="AQ13" s="256" t="s">
        <v>117</v>
      </c>
      <c r="AR13" s="252"/>
      <c r="AS13" s="256" t="s">
        <v>118</v>
      </c>
      <c r="AT13" s="259"/>
      <c r="AU13" s="144"/>
      <c r="AV13" s="145"/>
      <c r="AW13" s="134"/>
      <c r="AX13" s="133"/>
      <c r="AY13" s="134"/>
      <c r="AZ13" s="146"/>
      <c r="BA13" s="140"/>
      <c r="BB13" s="141"/>
      <c r="BC13" s="141"/>
      <c r="BD13" s="141"/>
      <c r="BE13" s="141"/>
      <c r="BF13" s="141"/>
      <c r="BG13" s="141"/>
      <c r="BH13" s="141"/>
      <c r="BI13" s="141"/>
      <c r="BJ13" s="141"/>
      <c r="BK13" s="141"/>
      <c r="BL13" s="142"/>
      <c r="BM13" s="100"/>
      <c r="BN13" s="100"/>
    </row>
    <row r="14" spans="1:66" s="147" customFormat="1" ht="24" customHeight="1" x14ac:dyDescent="0.45">
      <c r="A14" s="148"/>
      <c r="B14" s="148"/>
      <c r="C14" s="203">
        <f t="shared" si="0"/>
        <v>5</v>
      </c>
      <c r="D14" s="155"/>
      <c r="E14" s="156"/>
      <c r="F14" s="156"/>
      <c r="G14" s="157"/>
      <c r="H14" s="266" t="s">
        <v>44</v>
      </c>
      <c r="I14" s="267"/>
      <c r="J14" s="267"/>
      <c r="K14" s="268"/>
      <c r="L14" s="263" t="s">
        <v>73</v>
      </c>
      <c r="M14" s="264"/>
      <c r="N14" s="264"/>
      <c r="O14" s="265"/>
      <c r="P14" s="260" t="s">
        <v>66</v>
      </c>
      <c r="Q14" s="261"/>
      <c r="R14" s="261"/>
      <c r="S14" s="261"/>
      <c r="T14" s="261"/>
      <c r="U14" s="261"/>
      <c r="V14" s="261"/>
      <c r="W14" s="262"/>
      <c r="X14" s="260" t="s">
        <v>74</v>
      </c>
      <c r="Y14" s="261"/>
      <c r="Z14" s="261"/>
      <c r="AA14" s="261"/>
      <c r="AB14" s="261"/>
      <c r="AC14" s="261"/>
      <c r="AD14" s="261"/>
      <c r="AE14" s="262"/>
      <c r="AF14" s="92"/>
      <c r="AG14" s="158"/>
      <c r="AH14" s="158"/>
      <c r="AI14" s="158"/>
      <c r="AJ14" s="158"/>
      <c r="AK14" s="158"/>
      <c r="AL14" s="158"/>
      <c r="AM14" s="158"/>
      <c r="AN14" s="163"/>
      <c r="AO14" s="257">
        <v>45674</v>
      </c>
      <c r="AP14" s="258"/>
      <c r="AQ14" s="256" t="s">
        <v>117</v>
      </c>
      <c r="AR14" s="252"/>
      <c r="AS14" s="256" t="s">
        <v>118</v>
      </c>
      <c r="AT14" s="259"/>
      <c r="AU14" s="164"/>
      <c r="AV14" s="165"/>
      <c r="AW14" s="150"/>
      <c r="AX14" s="151"/>
      <c r="AY14" s="150"/>
      <c r="AZ14" s="159"/>
      <c r="BA14" s="160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2"/>
      <c r="BM14" s="149"/>
      <c r="BN14" s="149"/>
    </row>
    <row r="15" spans="1:66" s="147" customFormat="1" ht="36" customHeight="1" x14ac:dyDescent="0.45">
      <c r="A15" s="148"/>
      <c r="B15" s="148"/>
      <c r="C15" s="203">
        <f t="shared" si="0"/>
        <v>6</v>
      </c>
      <c r="D15" s="155"/>
      <c r="E15" s="156"/>
      <c r="F15" s="156"/>
      <c r="G15" s="157"/>
      <c r="H15" s="155"/>
      <c r="I15" s="156"/>
      <c r="J15" s="156"/>
      <c r="K15" s="214"/>
      <c r="L15" s="197"/>
      <c r="M15" s="213"/>
      <c r="N15" s="213"/>
      <c r="O15" s="214"/>
      <c r="P15" s="261" t="s">
        <v>75</v>
      </c>
      <c r="Q15" s="261"/>
      <c r="R15" s="261"/>
      <c r="S15" s="261"/>
      <c r="T15" s="261"/>
      <c r="U15" s="261"/>
      <c r="V15" s="261"/>
      <c r="W15" s="262"/>
      <c r="X15" s="260" t="s">
        <v>76</v>
      </c>
      <c r="Y15" s="261"/>
      <c r="Z15" s="261"/>
      <c r="AA15" s="261"/>
      <c r="AB15" s="261"/>
      <c r="AC15" s="261"/>
      <c r="AD15" s="261"/>
      <c r="AE15" s="262"/>
      <c r="AF15" s="92"/>
      <c r="AG15" s="158"/>
      <c r="AH15" s="158"/>
      <c r="AI15" s="158"/>
      <c r="AJ15" s="158"/>
      <c r="AK15" s="158"/>
      <c r="AL15" s="158"/>
      <c r="AM15" s="158"/>
      <c r="AN15" s="163"/>
      <c r="AO15" s="257">
        <v>45674</v>
      </c>
      <c r="AP15" s="258"/>
      <c r="AQ15" s="256" t="s">
        <v>117</v>
      </c>
      <c r="AR15" s="252"/>
      <c r="AS15" s="256" t="s">
        <v>119</v>
      </c>
      <c r="AT15" s="259"/>
      <c r="AU15" s="257">
        <v>45701</v>
      </c>
      <c r="AV15" s="258"/>
      <c r="AW15" s="256" t="s">
        <v>117</v>
      </c>
      <c r="AX15" s="252"/>
      <c r="AY15" s="256" t="s">
        <v>118</v>
      </c>
      <c r="AZ15" s="259"/>
      <c r="BA15" s="160" t="s">
        <v>120</v>
      </c>
      <c r="BB15" s="161"/>
      <c r="BC15" s="161"/>
      <c r="BD15" s="161"/>
      <c r="BE15" s="161"/>
      <c r="BF15" s="161"/>
      <c r="BG15" s="161"/>
      <c r="BH15" s="161"/>
      <c r="BI15" s="161"/>
      <c r="BJ15" s="161"/>
      <c r="BK15" s="161"/>
      <c r="BL15" s="162"/>
      <c r="BM15" s="149"/>
      <c r="BN15" s="149"/>
    </row>
    <row r="16" spans="1:66" s="170" customFormat="1" ht="21" customHeight="1" x14ac:dyDescent="0.45">
      <c r="A16" s="171"/>
      <c r="B16" s="171"/>
      <c r="C16" s="203">
        <f t="shared" si="0"/>
        <v>7</v>
      </c>
      <c r="D16" s="178"/>
      <c r="E16" s="179"/>
      <c r="F16" s="179"/>
      <c r="G16" s="180"/>
      <c r="H16" s="179"/>
      <c r="I16" s="179"/>
      <c r="J16" s="179"/>
      <c r="K16" s="192"/>
      <c r="L16" s="216" t="s">
        <v>77</v>
      </c>
      <c r="M16" s="207"/>
      <c r="N16" s="207"/>
      <c r="O16" s="215"/>
      <c r="P16" s="220" t="s">
        <v>78</v>
      </c>
      <c r="Q16" s="218"/>
      <c r="R16" s="218"/>
      <c r="S16" s="218"/>
      <c r="T16" s="218"/>
      <c r="U16" s="218"/>
      <c r="V16" s="218"/>
      <c r="W16" s="219"/>
      <c r="X16" s="216" t="s">
        <v>79</v>
      </c>
      <c r="Y16" s="207"/>
      <c r="Z16" s="207"/>
      <c r="AA16" s="207"/>
      <c r="AB16" s="207"/>
      <c r="AC16" s="207"/>
      <c r="AD16" s="207"/>
      <c r="AE16" s="215"/>
      <c r="AF16" s="181"/>
      <c r="AG16" s="176"/>
      <c r="AH16" s="176"/>
      <c r="AI16" s="176"/>
      <c r="AJ16" s="176"/>
      <c r="AK16" s="176"/>
      <c r="AL16" s="176"/>
      <c r="AM16" s="176"/>
      <c r="AN16" s="177"/>
      <c r="AO16" s="257">
        <v>45674</v>
      </c>
      <c r="AP16" s="258"/>
      <c r="AQ16" s="256" t="s">
        <v>117</v>
      </c>
      <c r="AR16" s="252"/>
      <c r="AS16" s="256" t="s">
        <v>119</v>
      </c>
      <c r="AT16" s="259"/>
      <c r="AU16" s="257">
        <v>45701</v>
      </c>
      <c r="AV16" s="258"/>
      <c r="AW16" s="256" t="s">
        <v>117</v>
      </c>
      <c r="AX16" s="252"/>
      <c r="AY16" s="256" t="s">
        <v>118</v>
      </c>
      <c r="AZ16" s="259"/>
      <c r="BA16" s="173" t="s">
        <v>121</v>
      </c>
      <c r="BB16" s="174"/>
      <c r="BC16" s="174"/>
      <c r="BD16" s="174"/>
      <c r="BE16" s="174"/>
      <c r="BF16" s="174"/>
      <c r="BG16" s="174"/>
      <c r="BH16" s="174"/>
      <c r="BI16" s="174"/>
      <c r="BJ16" s="174"/>
      <c r="BK16" s="174"/>
      <c r="BL16" s="175"/>
      <c r="BM16" s="172"/>
      <c r="BN16" s="172"/>
    </row>
    <row r="17" spans="1:66" s="182" customFormat="1" ht="24.6" customHeight="1" x14ac:dyDescent="0.45">
      <c r="A17" s="183"/>
      <c r="B17" s="183"/>
      <c r="C17" s="203">
        <f t="shared" si="0"/>
        <v>8</v>
      </c>
      <c r="D17" s="190"/>
      <c r="E17" s="191"/>
      <c r="F17" s="191"/>
      <c r="G17" s="192"/>
      <c r="H17" s="191"/>
      <c r="I17" s="191"/>
      <c r="J17" s="191"/>
      <c r="K17" s="191"/>
      <c r="L17" s="263" t="s">
        <v>82</v>
      </c>
      <c r="M17" s="264"/>
      <c r="N17" s="264"/>
      <c r="O17" s="265"/>
      <c r="P17" s="260" t="s">
        <v>80</v>
      </c>
      <c r="Q17" s="261"/>
      <c r="R17" s="261"/>
      <c r="S17" s="261"/>
      <c r="T17" s="261"/>
      <c r="U17" s="261"/>
      <c r="V17" s="261"/>
      <c r="W17" s="262"/>
      <c r="X17" s="260" t="s">
        <v>81</v>
      </c>
      <c r="Y17" s="261"/>
      <c r="Z17" s="261"/>
      <c r="AA17" s="261"/>
      <c r="AB17" s="261"/>
      <c r="AC17" s="261"/>
      <c r="AD17" s="261"/>
      <c r="AE17" s="262"/>
      <c r="AF17" s="193"/>
      <c r="AG17" s="188"/>
      <c r="AH17" s="188"/>
      <c r="AI17" s="188"/>
      <c r="AJ17" s="188"/>
      <c r="AK17" s="188"/>
      <c r="AL17" s="188"/>
      <c r="AM17" s="188"/>
      <c r="AN17" s="189"/>
      <c r="AO17" s="257">
        <v>45674</v>
      </c>
      <c r="AP17" s="258"/>
      <c r="AQ17" s="256" t="s">
        <v>117</v>
      </c>
      <c r="AR17" s="252"/>
      <c r="AS17" s="256" t="s">
        <v>119</v>
      </c>
      <c r="AT17" s="259"/>
      <c r="AU17" s="257">
        <v>45701</v>
      </c>
      <c r="AV17" s="258"/>
      <c r="AW17" s="256" t="s">
        <v>117</v>
      </c>
      <c r="AX17" s="252"/>
      <c r="AY17" s="256" t="s">
        <v>118</v>
      </c>
      <c r="AZ17" s="259"/>
      <c r="BA17" s="185" t="s">
        <v>121</v>
      </c>
      <c r="BB17" s="186"/>
      <c r="BC17" s="186"/>
      <c r="BD17" s="186"/>
      <c r="BE17" s="186"/>
      <c r="BF17" s="186"/>
      <c r="BG17" s="186"/>
      <c r="BH17" s="186"/>
      <c r="BI17" s="186"/>
      <c r="BJ17" s="186"/>
      <c r="BK17" s="186"/>
      <c r="BL17" s="187"/>
      <c r="BM17" s="184"/>
      <c r="BN17" s="184"/>
    </row>
    <row r="18" spans="1:66" s="198" customFormat="1" ht="24.6" customHeight="1" x14ac:dyDescent="0.45">
      <c r="A18" s="199"/>
      <c r="B18" s="199"/>
      <c r="C18" s="203">
        <f t="shared" si="0"/>
        <v>9</v>
      </c>
      <c r="D18" s="212"/>
      <c r="E18" s="213"/>
      <c r="F18" s="213"/>
      <c r="G18" s="214"/>
      <c r="H18" s="213"/>
      <c r="I18" s="213"/>
      <c r="J18" s="213"/>
      <c r="K18" s="214"/>
      <c r="L18" s="264" t="s">
        <v>83</v>
      </c>
      <c r="M18" s="264"/>
      <c r="N18" s="264"/>
      <c r="O18" s="265"/>
      <c r="P18" s="260" t="s">
        <v>66</v>
      </c>
      <c r="Q18" s="261"/>
      <c r="R18" s="261"/>
      <c r="S18" s="261"/>
      <c r="T18" s="261"/>
      <c r="U18" s="261"/>
      <c r="V18" s="261"/>
      <c r="W18" s="262"/>
      <c r="X18" s="260" t="s">
        <v>74</v>
      </c>
      <c r="Y18" s="261"/>
      <c r="Z18" s="261"/>
      <c r="AA18" s="261"/>
      <c r="AB18" s="261"/>
      <c r="AC18" s="261"/>
      <c r="AD18" s="261"/>
      <c r="AE18" s="262"/>
      <c r="AF18" s="216"/>
      <c r="AG18" s="207"/>
      <c r="AH18" s="207"/>
      <c r="AI18" s="207"/>
      <c r="AJ18" s="207"/>
      <c r="AK18" s="207"/>
      <c r="AL18" s="207"/>
      <c r="AM18" s="207"/>
      <c r="AN18" s="208"/>
      <c r="AO18" s="257">
        <v>45674</v>
      </c>
      <c r="AP18" s="258"/>
      <c r="AQ18" s="256" t="s">
        <v>117</v>
      </c>
      <c r="AR18" s="252"/>
      <c r="AS18" s="256" t="s">
        <v>118</v>
      </c>
      <c r="AT18" s="259"/>
      <c r="AU18" s="228"/>
      <c r="AV18" s="229"/>
      <c r="AW18" s="225"/>
      <c r="AX18" s="224"/>
      <c r="AY18" s="225"/>
      <c r="AZ18" s="230"/>
      <c r="BB18" s="227"/>
      <c r="BC18" s="205"/>
      <c r="BD18" s="205"/>
      <c r="BE18" s="205"/>
      <c r="BF18" s="205"/>
      <c r="BG18" s="205"/>
      <c r="BH18" s="205"/>
      <c r="BI18" s="205"/>
      <c r="BJ18" s="205"/>
      <c r="BK18" s="205"/>
      <c r="BL18" s="206"/>
      <c r="BM18" s="200"/>
      <c r="BN18" s="200"/>
    </row>
    <row r="19" spans="1:66" s="198" customFormat="1" ht="24.6" customHeight="1" x14ac:dyDescent="0.45">
      <c r="A19" s="199"/>
      <c r="B19" s="199"/>
      <c r="C19" s="203">
        <f t="shared" si="0"/>
        <v>10</v>
      </c>
      <c r="D19" s="212"/>
      <c r="E19" s="213"/>
      <c r="F19" s="213"/>
      <c r="G19" s="214"/>
      <c r="H19" s="213"/>
      <c r="I19" s="213"/>
      <c r="J19" s="213"/>
      <c r="K19" s="214"/>
      <c r="L19" s="197"/>
      <c r="M19" s="213"/>
      <c r="N19" s="213"/>
      <c r="O19" s="214"/>
      <c r="P19" s="261" t="s">
        <v>75</v>
      </c>
      <c r="Q19" s="261"/>
      <c r="R19" s="261"/>
      <c r="S19" s="261"/>
      <c r="T19" s="261"/>
      <c r="U19" s="261"/>
      <c r="V19" s="261"/>
      <c r="W19" s="262"/>
      <c r="X19" s="260" t="s">
        <v>84</v>
      </c>
      <c r="Y19" s="261"/>
      <c r="Z19" s="261"/>
      <c r="AA19" s="261"/>
      <c r="AB19" s="261"/>
      <c r="AC19" s="261"/>
      <c r="AD19" s="261"/>
      <c r="AE19" s="262"/>
      <c r="AF19" s="216"/>
      <c r="AG19" s="207"/>
      <c r="AH19" s="207"/>
      <c r="AI19" s="207"/>
      <c r="AJ19" s="207"/>
      <c r="AK19" s="207"/>
      <c r="AL19" s="207"/>
      <c r="AM19" s="207"/>
      <c r="AN19" s="208"/>
      <c r="AO19" s="257">
        <v>45674</v>
      </c>
      <c r="AP19" s="258"/>
      <c r="AQ19" s="256" t="s">
        <v>117</v>
      </c>
      <c r="AR19" s="252"/>
      <c r="AS19" s="256" t="s">
        <v>119</v>
      </c>
      <c r="AT19" s="259"/>
      <c r="AU19" s="257">
        <v>45701</v>
      </c>
      <c r="AV19" s="258"/>
      <c r="AW19" s="256" t="s">
        <v>117</v>
      </c>
      <c r="AX19" s="252"/>
      <c r="AY19" s="256" t="s">
        <v>118</v>
      </c>
      <c r="AZ19" s="259"/>
      <c r="BA19" s="226" t="s">
        <v>120</v>
      </c>
      <c r="BB19" s="227"/>
      <c r="BC19" s="205"/>
      <c r="BD19" s="205"/>
      <c r="BE19" s="205"/>
      <c r="BF19" s="205"/>
      <c r="BG19" s="205"/>
      <c r="BH19" s="205"/>
      <c r="BI19" s="205"/>
      <c r="BJ19" s="205"/>
      <c r="BK19" s="205"/>
      <c r="BL19" s="206"/>
      <c r="BM19" s="200"/>
      <c r="BN19" s="200"/>
    </row>
    <row r="20" spans="1:66" s="198" customFormat="1" ht="19.2" customHeight="1" x14ac:dyDescent="0.45">
      <c r="A20" s="199"/>
      <c r="B20" s="199"/>
      <c r="C20" s="203">
        <f t="shared" si="0"/>
        <v>11</v>
      </c>
      <c r="D20" s="212"/>
      <c r="E20" s="213"/>
      <c r="F20" s="213"/>
      <c r="G20" s="214"/>
      <c r="H20" s="213"/>
      <c r="I20" s="213"/>
      <c r="J20" s="213"/>
      <c r="K20" s="213"/>
      <c r="L20" s="216" t="s">
        <v>85</v>
      </c>
      <c r="M20" s="207"/>
      <c r="N20" s="207"/>
      <c r="O20" s="215"/>
      <c r="P20" s="220" t="s">
        <v>78</v>
      </c>
      <c r="Q20" s="218"/>
      <c r="R20" s="218"/>
      <c r="S20" s="218"/>
      <c r="T20" s="218"/>
      <c r="U20" s="218"/>
      <c r="V20" s="218"/>
      <c r="W20" s="219"/>
      <c r="X20" s="216" t="s">
        <v>79</v>
      </c>
      <c r="Y20" s="207"/>
      <c r="Z20" s="207"/>
      <c r="AA20" s="207"/>
      <c r="AB20" s="207"/>
      <c r="AC20" s="207"/>
      <c r="AD20" s="207"/>
      <c r="AE20" s="215"/>
      <c r="AF20" s="216"/>
      <c r="AG20" s="207"/>
      <c r="AH20" s="207"/>
      <c r="AI20" s="207"/>
      <c r="AJ20" s="207"/>
      <c r="AK20" s="207"/>
      <c r="AL20" s="207"/>
      <c r="AM20" s="207"/>
      <c r="AN20" s="208"/>
      <c r="AO20" s="257">
        <v>45674</v>
      </c>
      <c r="AP20" s="258"/>
      <c r="AQ20" s="256" t="s">
        <v>117</v>
      </c>
      <c r="AR20" s="252"/>
      <c r="AS20" s="256" t="s">
        <v>119</v>
      </c>
      <c r="AT20" s="259"/>
      <c r="AU20" s="257">
        <v>45701</v>
      </c>
      <c r="AV20" s="258"/>
      <c r="AW20" s="256" t="s">
        <v>117</v>
      </c>
      <c r="AX20" s="252"/>
      <c r="AY20" s="256" t="s">
        <v>118</v>
      </c>
      <c r="AZ20" s="259"/>
      <c r="BA20" s="226" t="s">
        <v>121</v>
      </c>
      <c r="BB20" s="227"/>
      <c r="BC20" s="205"/>
      <c r="BD20" s="205"/>
      <c r="BE20" s="205"/>
      <c r="BF20" s="205"/>
      <c r="BG20" s="205"/>
      <c r="BH20" s="205"/>
      <c r="BI20" s="205"/>
      <c r="BJ20" s="205"/>
      <c r="BK20" s="205"/>
      <c r="BL20" s="206"/>
      <c r="BM20" s="200"/>
      <c r="BN20" s="200"/>
    </row>
    <row r="21" spans="1:66" s="198" customFormat="1" ht="26.4" customHeight="1" x14ac:dyDescent="0.45">
      <c r="A21" s="199"/>
      <c r="B21" s="199"/>
      <c r="C21" s="203">
        <f t="shared" si="0"/>
        <v>12</v>
      </c>
      <c r="D21" s="212"/>
      <c r="E21" s="213"/>
      <c r="F21" s="213"/>
      <c r="G21" s="214"/>
      <c r="H21" s="213"/>
      <c r="I21" s="213"/>
      <c r="J21" s="213"/>
      <c r="K21" s="213"/>
      <c r="L21" s="263" t="s">
        <v>86</v>
      </c>
      <c r="M21" s="264"/>
      <c r="N21" s="264"/>
      <c r="O21" s="265"/>
      <c r="P21" s="260" t="s">
        <v>88</v>
      </c>
      <c r="Q21" s="261"/>
      <c r="R21" s="261"/>
      <c r="S21" s="261"/>
      <c r="T21" s="261"/>
      <c r="U21" s="261"/>
      <c r="V21" s="261"/>
      <c r="W21" s="262"/>
      <c r="X21" s="260" t="s">
        <v>87</v>
      </c>
      <c r="Y21" s="261"/>
      <c r="Z21" s="261"/>
      <c r="AA21" s="261"/>
      <c r="AB21" s="261"/>
      <c r="AC21" s="261"/>
      <c r="AD21" s="261"/>
      <c r="AE21" s="262"/>
      <c r="AF21" s="216"/>
      <c r="AG21" s="207"/>
      <c r="AH21" s="207"/>
      <c r="AI21" s="207"/>
      <c r="AJ21" s="207"/>
      <c r="AK21" s="207"/>
      <c r="AL21" s="207"/>
      <c r="AM21" s="207"/>
      <c r="AN21" s="208"/>
      <c r="AO21" s="257">
        <v>45674</v>
      </c>
      <c r="AP21" s="258"/>
      <c r="AQ21" s="256" t="s">
        <v>117</v>
      </c>
      <c r="AR21" s="252"/>
      <c r="AS21" s="256" t="s">
        <v>119</v>
      </c>
      <c r="AT21" s="259"/>
      <c r="AU21" s="257">
        <v>45701</v>
      </c>
      <c r="AV21" s="258"/>
      <c r="AW21" s="256" t="s">
        <v>117</v>
      </c>
      <c r="AX21" s="252"/>
      <c r="AY21" s="256" t="s">
        <v>118</v>
      </c>
      <c r="AZ21" s="259"/>
      <c r="BA21" s="226" t="s">
        <v>121</v>
      </c>
      <c r="BB21" s="205"/>
      <c r="BC21" s="205"/>
      <c r="BD21" s="205"/>
      <c r="BE21" s="205"/>
      <c r="BF21" s="205"/>
      <c r="BG21" s="205"/>
      <c r="BH21" s="205"/>
      <c r="BI21" s="205"/>
      <c r="BJ21" s="205"/>
      <c r="BK21" s="205"/>
      <c r="BL21" s="206"/>
      <c r="BM21" s="200"/>
      <c r="BN21" s="200"/>
    </row>
    <row r="22" spans="1:66" s="66" customFormat="1" ht="24" customHeight="1" x14ac:dyDescent="0.45">
      <c r="A22" s="67"/>
      <c r="B22" s="67"/>
      <c r="C22" s="203">
        <f t="shared" si="0"/>
        <v>13</v>
      </c>
      <c r="D22" s="75"/>
      <c r="E22" s="76"/>
      <c r="F22" s="76"/>
      <c r="G22" s="77"/>
      <c r="L22" s="96" t="s">
        <v>55</v>
      </c>
      <c r="M22" s="94"/>
      <c r="N22" s="94"/>
      <c r="O22" s="95"/>
      <c r="P22" s="92" t="s">
        <v>56</v>
      </c>
      <c r="Q22" s="86"/>
      <c r="R22" s="86"/>
      <c r="S22" s="86"/>
      <c r="T22" s="86"/>
      <c r="U22" s="86"/>
      <c r="V22" s="86"/>
      <c r="W22" s="91"/>
      <c r="X22" s="260" t="s">
        <v>57</v>
      </c>
      <c r="Y22" s="261"/>
      <c r="Z22" s="261"/>
      <c r="AA22" s="261"/>
      <c r="AB22" s="261"/>
      <c r="AC22" s="261"/>
      <c r="AD22" s="261"/>
      <c r="AE22" s="262"/>
      <c r="AF22" s="69"/>
      <c r="AG22" s="70"/>
      <c r="AH22" s="70"/>
      <c r="AI22" s="70"/>
      <c r="AJ22" s="70"/>
      <c r="AK22" s="70"/>
      <c r="AL22" s="70"/>
      <c r="AM22" s="70"/>
      <c r="AN22" s="74"/>
      <c r="AO22" s="257">
        <v>45674</v>
      </c>
      <c r="AP22" s="258"/>
      <c r="AQ22" s="256" t="s">
        <v>117</v>
      </c>
      <c r="AR22" s="252"/>
      <c r="AS22" s="256" t="s">
        <v>119</v>
      </c>
      <c r="AT22" s="259"/>
      <c r="AU22" s="257">
        <v>45701</v>
      </c>
      <c r="AV22" s="258"/>
      <c r="AW22" s="256" t="s">
        <v>117</v>
      </c>
      <c r="AX22" s="252"/>
      <c r="AY22" s="256" t="s">
        <v>118</v>
      </c>
      <c r="AZ22" s="259"/>
      <c r="BA22" s="71" t="s">
        <v>122</v>
      </c>
      <c r="BB22" s="72"/>
      <c r="BC22" s="72"/>
      <c r="BD22" s="72"/>
      <c r="BE22" s="72"/>
      <c r="BF22" s="72"/>
      <c r="BG22" s="72"/>
      <c r="BH22" s="72"/>
      <c r="BI22" s="72"/>
      <c r="BJ22" s="72"/>
      <c r="BK22" s="72"/>
      <c r="BL22" s="73"/>
      <c r="BM22" s="68"/>
      <c r="BN22" s="68"/>
    </row>
    <row r="23" spans="1:66" s="98" customFormat="1" ht="27" customHeight="1" x14ac:dyDescent="0.45">
      <c r="A23" s="99"/>
      <c r="B23" s="99"/>
      <c r="C23" s="203">
        <f t="shared" si="0"/>
        <v>14</v>
      </c>
      <c r="D23" s="118"/>
      <c r="E23" s="119"/>
      <c r="F23" s="119"/>
      <c r="G23" s="120"/>
      <c r="H23" s="130"/>
      <c r="I23" s="131"/>
      <c r="J23" s="131"/>
      <c r="K23" s="132"/>
      <c r="L23" s="85" t="s">
        <v>33</v>
      </c>
      <c r="M23" s="35"/>
      <c r="N23" s="35"/>
      <c r="O23" s="36"/>
      <c r="P23" s="37" t="s">
        <v>54</v>
      </c>
      <c r="Q23" s="35"/>
      <c r="R23" s="35"/>
      <c r="S23" s="35"/>
      <c r="T23" s="35"/>
      <c r="U23" s="35"/>
      <c r="V23" s="35"/>
      <c r="W23" s="36"/>
      <c r="X23" s="37" t="s">
        <v>47</v>
      </c>
      <c r="Y23" s="35"/>
      <c r="Z23" s="35"/>
      <c r="AA23" s="35"/>
      <c r="AB23" s="35"/>
      <c r="AC23" s="35"/>
      <c r="AD23" s="35"/>
      <c r="AE23" s="36"/>
      <c r="AF23" s="116"/>
      <c r="AG23" s="117"/>
      <c r="AH23" s="117"/>
      <c r="AI23" s="117"/>
      <c r="AJ23" s="117"/>
      <c r="AK23" s="117"/>
      <c r="AL23" s="117"/>
      <c r="AM23" s="117"/>
      <c r="AN23" s="127"/>
      <c r="AO23" s="257">
        <v>45674</v>
      </c>
      <c r="AP23" s="258"/>
      <c r="AQ23" s="256" t="s">
        <v>117</v>
      </c>
      <c r="AR23" s="252"/>
      <c r="AS23" s="256" t="s">
        <v>118</v>
      </c>
      <c r="AT23" s="259"/>
      <c r="AU23" s="257"/>
      <c r="AV23" s="258"/>
      <c r="AW23" s="256"/>
      <c r="AX23" s="252"/>
      <c r="AY23" s="114"/>
      <c r="AZ23" s="121"/>
      <c r="BA23" s="124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6"/>
      <c r="BM23" s="100"/>
      <c r="BN23" s="100"/>
    </row>
    <row r="24" spans="1:66" s="80" customFormat="1" ht="25.8" customHeight="1" x14ac:dyDescent="0.45">
      <c r="A24" s="81"/>
      <c r="B24" s="81"/>
      <c r="C24" s="203">
        <f t="shared" si="0"/>
        <v>15</v>
      </c>
      <c r="D24" s="88"/>
      <c r="E24" s="89"/>
      <c r="F24" s="89"/>
      <c r="G24" s="90"/>
      <c r="H24" s="80" t="s">
        <v>62</v>
      </c>
      <c r="L24" s="260" t="s">
        <v>67</v>
      </c>
      <c r="M24" s="261"/>
      <c r="N24" s="261"/>
      <c r="O24" s="262"/>
      <c r="P24" s="260" t="s">
        <v>63</v>
      </c>
      <c r="Q24" s="261"/>
      <c r="R24" s="261"/>
      <c r="S24" s="261"/>
      <c r="T24" s="261"/>
      <c r="U24" s="261"/>
      <c r="V24" s="261"/>
      <c r="W24" s="262"/>
      <c r="X24" s="260" t="s">
        <v>64</v>
      </c>
      <c r="Y24" s="261"/>
      <c r="Z24" s="261"/>
      <c r="AA24" s="261"/>
      <c r="AB24" s="261"/>
      <c r="AC24" s="261"/>
      <c r="AD24" s="261"/>
      <c r="AE24" s="262"/>
      <c r="AF24" s="85"/>
      <c r="AG24" s="86"/>
      <c r="AH24" s="86"/>
      <c r="AI24" s="86"/>
      <c r="AJ24" s="86"/>
      <c r="AK24" s="86"/>
      <c r="AL24" s="86"/>
      <c r="AM24" s="86"/>
      <c r="AN24" s="87"/>
      <c r="AO24" s="257">
        <v>45674</v>
      </c>
      <c r="AP24" s="258"/>
      <c r="AQ24" s="256" t="s">
        <v>117</v>
      </c>
      <c r="AR24" s="252"/>
      <c r="AS24" s="256" t="s">
        <v>119</v>
      </c>
      <c r="AT24" s="259"/>
      <c r="AU24" s="257">
        <v>45701</v>
      </c>
      <c r="AV24" s="258"/>
      <c r="AW24" s="256" t="s">
        <v>117</v>
      </c>
      <c r="AX24" s="252"/>
      <c r="AY24" s="256" t="s">
        <v>118</v>
      </c>
      <c r="AZ24" s="259"/>
      <c r="BA24" s="226" t="s">
        <v>122</v>
      </c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4"/>
      <c r="BM24" s="82"/>
      <c r="BN24" s="82"/>
    </row>
    <row r="25" spans="1:66" s="80" customFormat="1" ht="25.8" customHeight="1" thickBot="1" x14ac:dyDescent="0.5">
      <c r="A25" s="81"/>
      <c r="B25" s="81"/>
      <c r="C25" s="203">
        <f t="shared" si="0"/>
        <v>16</v>
      </c>
      <c r="D25" s="88"/>
      <c r="E25" s="89"/>
      <c r="F25" s="89"/>
      <c r="G25" s="90"/>
      <c r="H25" s="78"/>
      <c r="I25" s="79"/>
      <c r="J25" s="79"/>
      <c r="K25" s="79"/>
      <c r="L25" s="260" t="s">
        <v>68</v>
      </c>
      <c r="M25" s="261"/>
      <c r="N25" s="261"/>
      <c r="O25" s="262"/>
      <c r="P25" s="260" t="s">
        <v>63</v>
      </c>
      <c r="Q25" s="261"/>
      <c r="R25" s="261"/>
      <c r="S25" s="261"/>
      <c r="T25" s="261"/>
      <c r="U25" s="261"/>
      <c r="V25" s="261"/>
      <c r="W25" s="262"/>
      <c r="X25" s="260" t="s">
        <v>64</v>
      </c>
      <c r="Y25" s="261"/>
      <c r="Z25" s="261"/>
      <c r="AA25" s="261"/>
      <c r="AB25" s="261"/>
      <c r="AC25" s="261"/>
      <c r="AD25" s="261"/>
      <c r="AE25" s="262"/>
      <c r="AF25" s="85"/>
      <c r="AG25" s="86"/>
      <c r="AH25" s="86"/>
      <c r="AI25" s="86"/>
      <c r="AJ25" s="86"/>
      <c r="AK25" s="86"/>
      <c r="AL25" s="86"/>
      <c r="AM25" s="86"/>
      <c r="AN25" s="87"/>
      <c r="AO25" s="257">
        <v>45674</v>
      </c>
      <c r="AP25" s="258"/>
      <c r="AQ25" s="256" t="s">
        <v>117</v>
      </c>
      <c r="AR25" s="252"/>
      <c r="AS25" s="256" t="s">
        <v>119</v>
      </c>
      <c r="AT25" s="259"/>
      <c r="AU25" s="257">
        <v>45701</v>
      </c>
      <c r="AV25" s="258"/>
      <c r="AW25" s="256" t="s">
        <v>117</v>
      </c>
      <c r="AX25" s="252"/>
      <c r="AY25" s="256" t="s">
        <v>118</v>
      </c>
      <c r="AZ25" s="259"/>
      <c r="BA25" s="226" t="s">
        <v>122</v>
      </c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4"/>
      <c r="BM25" s="82"/>
      <c r="BN25" s="82"/>
    </row>
    <row r="26" spans="1:66" ht="20.100000000000001" customHeight="1" thickTop="1" thickBot="1" x14ac:dyDescent="0.5">
      <c r="A26" s="10"/>
      <c r="B26" s="8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8"/>
      <c r="BN26" s="16"/>
    </row>
    <row r="27" spans="1:66" ht="5.0999999999999996" customHeight="1" thickTop="1" x14ac:dyDescent="0.45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</row>
    <row r="28" spans="1:66" ht="20.100000000000001" customHeight="1" x14ac:dyDescent="0.45"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</row>
  </sheetData>
  <mergeCells count="154">
    <mergeCell ref="X25:AE25"/>
    <mergeCell ref="BA10:BL10"/>
    <mergeCell ref="AF10:AN10"/>
    <mergeCell ref="AO10:AP10"/>
    <mergeCell ref="AQ10:AR10"/>
    <mergeCell ref="AS10:AT10"/>
    <mergeCell ref="AU10:AV10"/>
    <mergeCell ref="AW10:AX10"/>
    <mergeCell ref="AY10:AZ10"/>
    <mergeCell ref="X22:AE22"/>
    <mergeCell ref="X19:AE19"/>
    <mergeCell ref="X12:AE12"/>
    <mergeCell ref="X13:AE13"/>
    <mergeCell ref="X14:AE14"/>
    <mergeCell ref="AY15:AZ15"/>
    <mergeCell ref="AY16:AZ16"/>
    <mergeCell ref="AY17:AZ17"/>
    <mergeCell ref="AY19:AZ19"/>
    <mergeCell ref="AY20:AZ20"/>
    <mergeCell ref="AY21:AZ21"/>
    <mergeCell ref="AY22:AZ22"/>
    <mergeCell ref="AY24:AZ24"/>
    <mergeCell ref="AY25:AZ25"/>
    <mergeCell ref="X15:AE15"/>
    <mergeCell ref="AX2:BA2"/>
    <mergeCell ref="BB2:BE2"/>
    <mergeCell ref="BF2:BI2"/>
    <mergeCell ref="AO9:AP9"/>
    <mergeCell ref="AQ9:AR9"/>
    <mergeCell ref="AS9:AT9"/>
    <mergeCell ref="AU9:AV9"/>
    <mergeCell ref="AW9:AX9"/>
    <mergeCell ref="AY9:AZ9"/>
    <mergeCell ref="BA9:BL9"/>
    <mergeCell ref="BJ2:BM2"/>
    <mergeCell ref="AO8:AT8"/>
    <mergeCell ref="AU8:AZ8"/>
    <mergeCell ref="BG8:BH8"/>
    <mergeCell ref="BI8:BJ8"/>
    <mergeCell ref="AX3:BA4"/>
    <mergeCell ref="BB3:BE4"/>
    <mergeCell ref="BF3:BI4"/>
    <mergeCell ref="BJ3:BM4"/>
    <mergeCell ref="BE7:BF8"/>
    <mergeCell ref="BG7:BH7"/>
    <mergeCell ref="BI7:BJ7"/>
    <mergeCell ref="BK7:BL7"/>
    <mergeCell ref="BK8:BL8"/>
    <mergeCell ref="H14:K14"/>
    <mergeCell ref="H10:K10"/>
    <mergeCell ref="AK2:AW2"/>
    <mergeCell ref="P10:W10"/>
    <mergeCell ref="X10:AE10"/>
    <mergeCell ref="P11:W11"/>
    <mergeCell ref="R3:W4"/>
    <mergeCell ref="X3:AJ4"/>
    <mergeCell ref="X11:AE11"/>
    <mergeCell ref="AK3:AW4"/>
    <mergeCell ref="AO11:AP11"/>
    <mergeCell ref="AS11:AT11"/>
    <mergeCell ref="L11:O11"/>
    <mergeCell ref="AS12:AT12"/>
    <mergeCell ref="AS13:AT13"/>
    <mergeCell ref="AO14:AP14"/>
    <mergeCell ref="AQ14:AR14"/>
    <mergeCell ref="AS14:AT14"/>
    <mergeCell ref="AO12:AP12"/>
    <mergeCell ref="AO13:AP13"/>
    <mergeCell ref="AQ11:AR11"/>
    <mergeCell ref="AQ12:AR12"/>
    <mergeCell ref="AQ13:AR13"/>
    <mergeCell ref="B2:G2"/>
    <mergeCell ref="H2:K2"/>
    <mergeCell ref="L2:Q2"/>
    <mergeCell ref="R2:W2"/>
    <mergeCell ref="X2:AJ2"/>
    <mergeCell ref="B3:G4"/>
    <mergeCell ref="H3:K4"/>
    <mergeCell ref="L3:Q4"/>
    <mergeCell ref="D10:G10"/>
    <mergeCell ref="L10:O10"/>
    <mergeCell ref="X18:AE18"/>
    <mergeCell ref="L17:O17"/>
    <mergeCell ref="P17:W17"/>
    <mergeCell ref="X17:AE17"/>
    <mergeCell ref="L18:O18"/>
    <mergeCell ref="X21:AE21"/>
    <mergeCell ref="L24:O24"/>
    <mergeCell ref="P24:W24"/>
    <mergeCell ref="X24:AE24"/>
    <mergeCell ref="L25:O25"/>
    <mergeCell ref="P12:W12"/>
    <mergeCell ref="P13:W13"/>
    <mergeCell ref="L14:O14"/>
    <mergeCell ref="P15:W15"/>
    <mergeCell ref="P19:W19"/>
    <mergeCell ref="L21:O21"/>
    <mergeCell ref="P21:W21"/>
    <mergeCell ref="P14:W14"/>
    <mergeCell ref="P25:W25"/>
    <mergeCell ref="P18:W18"/>
    <mergeCell ref="AO17:AP17"/>
    <mergeCell ref="AQ17:AR17"/>
    <mergeCell ref="AS17:AT17"/>
    <mergeCell ref="AO18:AP18"/>
    <mergeCell ref="AQ18:AR18"/>
    <mergeCell ref="AS18:AT18"/>
    <mergeCell ref="AO15:AP15"/>
    <mergeCell ref="AQ15:AR15"/>
    <mergeCell ref="AS15:AT15"/>
    <mergeCell ref="AO16:AP16"/>
    <mergeCell ref="AQ16:AR16"/>
    <mergeCell ref="AS16:AT16"/>
    <mergeCell ref="AO21:AP21"/>
    <mergeCell ref="AQ21:AR21"/>
    <mergeCell ref="AS21:AT21"/>
    <mergeCell ref="AO22:AP22"/>
    <mergeCell ref="AQ22:AR22"/>
    <mergeCell ref="AS22:AT22"/>
    <mergeCell ref="AO19:AP19"/>
    <mergeCell ref="AQ19:AR19"/>
    <mergeCell ref="AS19:AT19"/>
    <mergeCell ref="AO20:AP20"/>
    <mergeCell ref="AQ20:AR20"/>
    <mergeCell ref="AS20:AT20"/>
    <mergeCell ref="AO25:AP25"/>
    <mergeCell ref="AQ25:AR25"/>
    <mergeCell ref="AS25:AT25"/>
    <mergeCell ref="AO23:AP23"/>
    <mergeCell ref="AQ23:AR23"/>
    <mergeCell ref="AS23:AT23"/>
    <mergeCell ref="AO24:AP24"/>
    <mergeCell ref="AQ24:AR24"/>
    <mergeCell ref="AS24:AT24"/>
    <mergeCell ref="AU15:AV15"/>
    <mergeCell ref="AW15:AX15"/>
    <mergeCell ref="AU16:AV16"/>
    <mergeCell ref="AW16:AX16"/>
    <mergeCell ref="AU17:AV17"/>
    <mergeCell ref="AW17:AX17"/>
    <mergeCell ref="AU19:AV19"/>
    <mergeCell ref="AW19:AX19"/>
    <mergeCell ref="AU20:AV20"/>
    <mergeCell ref="AW20:AX20"/>
    <mergeCell ref="AU21:AV21"/>
    <mergeCell ref="AW21:AX21"/>
    <mergeCell ref="AU22:AV22"/>
    <mergeCell ref="AW22:AX22"/>
    <mergeCell ref="AU25:AV25"/>
    <mergeCell ref="AW25:AX25"/>
    <mergeCell ref="AU24:AV24"/>
    <mergeCell ref="AW24:AX24"/>
    <mergeCell ref="AU23:AV23"/>
    <mergeCell ref="AW23:AX23"/>
  </mergeCells>
  <phoneticPr fontId="2"/>
  <conditionalFormatting sqref="AY10:AY14 AS10:AS17 AY23">
    <cfRule type="cellIs" dxfId="29" priority="35" operator="equal">
      <formula>"OK"</formula>
    </cfRule>
    <cfRule type="cellIs" dxfId="28" priority="36" operator="equal">
      <formula>"NG"</formula>
    </cfRule>
  </conditionalFormatting>
  <conditionalFormatting sqref="AY18 AS18:AS22">
    <cfRule type="cellIs" dxfId="27" priority="29" operator="equal">
      <formula>"OK"</formula>
    </cfRule>
    <cfRule type="cellIs" dxfId="26" priority="30" operator="equal">
      <formula>"NG"</formula>
    </cfRule>
  </conditionalFormatting>
  <conditionalFormatting sqref="AS23">
    <cfRule type="cellIs" dxfId="25" priority="27" operator="equal">
      <formula>"OK"</formula>
    </cfRule>
    <cfRule type="cellIs" dxfId="24" priority="28" operator="equal">
      <formula>"NG"</formula>
    </cfRule>
  </conditionalFormatting>
  <conditionalFormatting sqref="AS24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25">
    <cfRule type="cellIs" dxfId="21" priority="19" operator="equal">
      <formula>"OK"</formula>
    </cfRule>
    <cfRule type="cellIs" dxfId="20" priority="20" operator="equal">
      <formula>"NG"</formula>
    </cfRule>
  </conditionalFormatting>
  <conditionalFormatting sqref="AY15">
    <cfRule type="cellIs" dxfId="19" priority="17" operator="equal">
      <formula>"OK"</formula>
    </cfRule>
    <cfRule type="cellIs" dxfId="18" priority="18" operator="equal">
      <formula>"NG"</formula>
    </cfRule>
  </conditionalFormatting>
  <conditionalFormatting sqref="AY16">
    <cfRule type="cellIs" dxfId="17" priority="15" operator="equal">
      <formula>"OK"</formula>
    </cfRule>
    <cfRule type="cellIs" dxfId="16" priority="16" operator="equal">
      <formula>"NG"</formula>
    </cfRule>
  </conditionalFormatting>
  <conditionalFormatting sqref="AY17">
    <cfRule type="cellIs" dxfId="15" priority="13" operator="equal">
      <formula>"OK"</formula>
    </cfRule>
    <cfRule type="cellIs" dxfId="14" priority="14" operator="equal">
      <formula>"NG"</formula>
    </cfRule>
  </conditionalFormatting>
  <conditionalFormatting sqref="AY19">
    <cfRule type="cellIs" dxfId="13" priority="11" operator="equal">
      <formula>"OK"</formula>
    </cfRule>
    <cfRule type="cellIs" dxfId="12" priority="12" operator="equal">
      <formula>"NG"</formula>
    </cfRule>
  </conditionalFormatting>
  <conditionalFormatting sqref="AY20">
    <cfRule type="cellIs" dxfId="11" priority="9" operator="equal">
      <formula>"OK"</formula>
    </cfRule>
    <cfRule type="cellIs" dxfId="10" priority="10" operator="equal">
      <formula>"NG"</formula>
    </cfRule>
  </conditionalFormatting>
  <conditionalFormatting sqref="AY21">
    <cfRule type="cellIs" dxfId="9" priority="7" operator="equal">
      <formula>"OK"</formula>
    </cfRule>
    <cfRule type="cellIs" dxfId="8" priority="8" operator="equal">
      <formula>"NG"</formula>
    </cfRule>
  </conditionalFormatting>
  <conditionalFormatting sqref="AY22">
    <cfRule type="cellIs" dxfId="7" priority="5" operator="equal">
      <formula>"OK"</formula>
    </cfRule>
    <cfRule type="cellIs" dxfId="6" priority="6" operator="equal">
      <formula>"NG"</formula>
    </cfRule>
  </conditionalFormatting>
  <conditionalFormatting sqref="AY24">
    <cfRule type="cellIs" dxfId="5" priority="3" operator="equal">
      <formula>"OK"</formula>
    </cfRule>
    <cfRule type="cellIs" dxfId="4" priority="4" operator="equal">
      <formula>"NG"</formula>
    </cfRule>
  </conditionalFormatting>
  <conditionalFormatting sqref="AY25">
    <cfRule type="cellIs" dxfId="3" priority="1" operator="equal">
      <formula>"OK"</formula>
    </cfRule>
    <cfRule type="cellIs" dxfId="2" priority="2" operator="equal">
      <formula>"NG"</formula>
    </cfRule>
  </conditionalFormatting>
  <dataValidations count="1">
    <dataValidation type="list" allowBlank="1" showInputMessage="1" showErrorMessage="1" sqref="AS10:AS25 AY10:AY25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1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39" customWidth="1"/>
    <col min="2" max="65" width="3.69921875" style="39" customWidth="1"/>
    <col min="66" max="66" width="1.09765625" style="39" customWidth="1"/>
    <col min="67" max="16384" width="3.59765625" style="39"/>
  </cols>
  <sheetData>
    <row r="1" spans="1:66" ht="5.25" customHeight="1" thickBot="1" x14ac:dyDescent="0.5"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</row>
    <row r="2" spans="1:66" ht="20.100000000000001" customHeight="1" thickTop="1" x14ac:dyDescent="0.45">
      <c r="A2" s="41"/>
      <c r="B2" s="231" t="s">
        <v>0</v>
      </c>
      <c r="C2" s="232"/>
      <c r="D2" s="232"/>
      <c r="E2" s="232"/>
      <c r="F2" s="232"/>
      <c r="G2" s="232"/>
      <c r="H2" s="232" t="s">
        <v>40</v>
      </c>
      <c r="I2" s="232"/>
      <c r="J2" s="232"/>
      <c r="K2" s="232"/>
      <c r="L2" s="232" t="s">
        <v>41</v>
      </c>
      <c r="M2" s="232"/>
      <c r="N2" s="232"/>
      <c r="O2" s="232"/>
      <c r="P2" s="232"/>
      <c r="Q2" s="232"/>
      <c r="R2" s="232" t="s">
        <v>1</v>
      </c>
      <c r="S2" s="232"/>
      <c r="T2" s="232"/>
      <c r="U2" s="232"/>
      <c r="V2" s="232"/>
      <c r="W2" s="232"/>
      <c r="X2" s="233" t="s">
        <v>2</v>
      </c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5"/>
      <c r="AK2" s="233" t="s">
        <v>30</v>
      </c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5"/>
      <c r="AX2" s="232" t="s">
        <v>4</v>
      </c>
      <c r="AY2" s="232"/>
      <c r="AZ2" s="232"/>
      <c r="BA2" s="232"/>
      <c r="BB2" s="232" t="s">
        <v>3</v>
      </c>
      <c r="BC2" s="232"/>
      <c r="BD2" s="232"/>
      <c r="BE2" s="232"/>
      <c r="BF2" s="232" t="s">
        <v>5</v>
      </c>
      <c r="BG2" s="232"/>
      <c r="BH2" s="232"/>
      <c r="BI2" s="232"/>
      <c r="BJ2" s="232" t="s">
        <v>6</v>
      </c>
      <c r="BK2" s="232"/>
      <c r="BL2" s="232"/>
      <c r="BM2" s="246"/>
      <c r="BN2" s="44"/>
    </row>
    <row r="3" spans="1:66" ht="20.100000000000001" customHeight="1" x14ac:dyDescent="0.45">
      <c r="A3" s="41"/>
      <c r="B3" s="236" t="str">
        <f>変更履歴!B3</f>
        <v>受発注システム</v>
      </c>
      <c r="C3" s="237"/>
      <c r="D3" s="237"/>
      <c r="E3" s="237"/>
      <c r="F3" s="237"/>
      <c r="G3" s="237"/>
      <c r="H3" s="237" t="str">
        <f ca="1">変更履歴!H3</f>
        <v>統計</v>
      </c>
      <c r="I3" s="237"/>
      <c r="J3" s="237"/>
      <c r="K3" s="237"/>
      <c r="L3" s="237" t="str">
        <f>変更履歴!L3</f>
        <v>受発注</v>
      </c>
      <c r="M3" s="237"/>
      <c r="N3" s="237"/>
      <c r="O3" s="237"/>
      <c r="P3" s="237"/>
      <c r="Q3" s="237"/>
      <c r="R3" s="237" t="str">
        <f ca="1">変更履歴!R3</f>
        <v>結合試験項目</v>
      </c>
      <c r="S3" s="237"/>
      <c r="T3" s="237"/>
      <c r="U3" s="237"/>
      <c r="V3" s="237"/>
      <c r="W3" s="237"/>
      <c r="X3" s="241" t="str">
        <f ca="1">変更履歴!X3</f>
        <v>統計_顧客別施工金額実績表_結合試験項目</v>
      </c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I3" s="242"/>
      <c r="AJ3" s="238"/>
      <c r="AK3" s="241" t="str">
        <f ca="1">変更履歴!AK3</f>
        <v>顧客別施工金額実績表</v>
      </c>
      <c r="AL3" s="242"/>
      <c r="AM3" s="242"/>
      <c r="AN3" s="242"/>
      <c r="AO3" s="242"/>
      <c r="AP3" s="242"/>
      <c r="AQ3" s="242"/>
      <c r="AR3" s="242"/>
      <c r="AS3" s="242"/>
      <c r="AT3" s="242"/>
      <c r="AU3" s="242"/>
      <c r="AV3" s="242"/>
      <c r="AW3" s="238"/>
      <c r="AX3" s="248">
        <f>変更履歴!AX3</f>
        <v>45636</v>
      </c>
      <c r="AY3" s="248"/>
      <c r="AZ3" s="248"/>
      <c r="BA3" s="248"/>
      <c r="BB3" s="237" t="str">
        <f>変更履歴!BB3</f>
        <v>榎本</v>
      </c>
      <c r="BC3" s="237"/>
      <c r="BD3" s="237"/>
      <c r="BE3" s="237"/>
      <c r="BF3" s="248">
        <f>変更履歴!BF3</f>
        <v>45636</v>
      </c>
      <c r="BG3" s="248"/>
      <c r="BH3" s="248"/>
      <c r="BI3" s="248"/>
      <c r="BJ3" s="237" t="str">
        <f>変更履歴!BJ3</f>
        <v>榎本</v>
      </c>
      <c r="BK3" s="237"/>
      <c r="BL3" s="237"/>
      <c r="BM3" s="249"/>
      <c r="BN3" s="44"/>
    </row>
    <row r="4" spans="1:66" ht="20.100000000000001" customHeight="1" thickBot="1" x14ac:dyDescent="0.5">
      <c r="A4" s="41"/>
      <c r="B4" s="238"/>
      <c r="C4" s="239"/>
      <c r="D4" s="239"/>
      <c r="E4" s="239"/>
      <c r="F4" s="239"/>
      <c r="G4" s="239"/>
      <c r="H4" s="239"/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43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  <c r="AJ4" s="245"/>
      <c r="AK4" s="243"/>
      <c r="AL4" s="244"/>
      <c r="AM4" s="244"/>
      <c r="AN4" s="244"/>
      <c r="AO4" s="244"/>
      <c r="AP4" s="244"/>
      <c r="AQ4" s="244"/>
      <c r="AR4" s="244"/>
      <c r="AS4" s="244"/>
      <c r="AT4" s="244"/>
      <c r="AU4" s="244"/>
      <c r="AV4" s="244"/>
      <c r="AW4" s="245"/>
      <c r="AX4" s="279"/>
      <c r="AY4" s="279"/>
      <c r="AZ4" s="279"/>
      <c r="BA4" s="279"/>
      <c r="BB4" s="239"/>
      <c r="BC4" s="239"/>
      <c r="BD4" s="239"/>
      <c r="BE4" s="239"/>
      <c r="BF4" s="279"/>
      <c r="BG4" s="279"/>
      <c r="BH4" s="279"/>
      <c r="BI4" s="279"/>
      <c r="BJ4" s="239"/>
      <c r="BK4" s="239"/>
      <c r="BL4" s="239"/>
      <c r="BM4" s="241"/>
      <c r="BN4" s="44"/>
    </row>
    <row r="5" spans="1:66" ht="5.25" customHeight="1" thickTop="1" thickBot="1" x14ac:dyDescent="0.5">
      <c r="B5" s="45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</row>
    <row r="6" spans="1:66" ht="8.4" customHeight="1" thickTop="1" thickBot="1" x14ac:dyDescent="0.5">
      <c r="A6" s="41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4"/>
    </row>
    <row r="7" spans="1:66" ht="13.8" thickTop="1" thickBot="1" x14ac:dyDescent="0.5">
      <c r="A7" s="41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E7" s="280" t="s">
        <v>32</v>
      </c>
      <c r="BF7" s="281"/>
      <c r="BG7" s="284" t="s">
        <v>31</v>
      </c>
      <c r="BH7" s="284"/>
      <c r="BI7" s="285" t="s">
        <v>33</v>
      </c>
      <c r="BJ7" s="286"/>
      <c r="BK7" s="285" t="s">
        <v>34</v>
      </c>
      <c r="BL7" s="275"/>
      <c r="BM7" s="40"/>
      <c r="BN7" s="44"/>
    </row>
    <row r="8" spans="1:66" ht="13.8" thickTop="1" thickBot="1" x14ac:dyDescent="0.5">
      <c r="A8" s="41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L8" s="40"/>
      <c r="AM8" s="40"/>
      <c r="AO8" s="276" t="s">
        <v>35</v>
      </c>
      <c r="AP8" s="274"/>
      <c r="AQ8" s="274"/>
      <c r="AR8" s="274"/>
      <c r="AS8" s="274"/>
      <c r="AT8" s="275"/>
      <c r="AU8" s="276" t="s">
        <v>36</v>
      </c>
      <c r="AV8" s="274"/>
      <c r="AW8" s="274"/>
      <c r="AX8" s="274"/>
      <c r="AY8" s="274"/>
      <c r="AZ8" s="275"/>
      <c r="BE8" s="282"/>
      <c r="BF8" s="283"/>
      <c r="BG8" s="277">
        <f>COUNTA(C10:C38)</f>
        <v>29</v>
      </c>
      <c r="BH8" s="278"/>
      <c r="BI8" s="277">
        <f>COUNTIF(AS10:AT38,"OK")+COUNTIF(AY10:AZ38,"OK")</f>
        <v>29</v>
      </c>
      <c r="BJ8" s="278"/>
      <c r="BK8" s="277">
        <f>BG8-BI8</f>
        <v>0</v>
      </c>
      <c r="BL8" s="287"/>
      <c r="BM8" s="40"/>
      <c r="BN8" s="44"/>
    </row>
    <row r="9" spans="1:66" ht="20.100000000000001" customHeight="1" thickTop="1" x14ac:dyDescent="0.45">
      <c r="A9" s="41"/>
      <c r="B9" s="40"/>
      <c r="C9" s="46" t="s">
        <v>12</v>
      </c>
      <c r="D9" s="49" t="s">
        <v>21</v>
      </c>
      <c r="E9" s="50"/>
      <c r="F9" s="50"/>
      <c r="G9" s="50"/>
      <c r="H9" s="49" t="s">
        <v>22</v>
      </c>
      <c r="I9" s="50"/>
      <c r="J9" s="50"/>
      <c r="K9" s="51"/>
      <c r="L9" s="49" t="s">
        <v>23</v>
      </c>
      <c r="M9" s="50"/>
      <c r="N9" s="50"/>
      <c r="O9" s="50"/>
      <c r="P9" s="49" t="s">
        <v>37</v>
      </c>
      <c r="Q9" s="50"/>
      <c r="R9" s="50"/>
      <c r="S9" s="50"/>
      <c r="T9" s="50"/>
      <c r="U9" s="50"/>
      <c r="V9" s="50"/>
      <c r="W9" s="154"/>
      <c r="X9" s="153" t="s">
        <v>24</v>
      </c>
      <c r="Y9" s="50"/>
      <c r="Z9" s="50"/>
      <c r="AA9" s="50"/>
      <c r="AB9" s="50"/>
      <c r="AC9" s="50"/>
      <c r="AD9" s="50"/>
      <c r="AE9" s="50"/>
      <c r="AF9" s="49" t="s">
        <v>28</v>
      </c>
      <c r="AG9" s="50"/>
      <c r="AH9" s="50"/>
      <c r="AI9" s="50"/>
      <c r="AJ9" s="50"/>
      <c r="AK9" s="50"/>
      <c r="AL9" s="50"/>
      <c r="AM9" s="50"/>
      <c r="AN9" s="52"/>
      <c r="AO9" s="269" t="s">
        <v>25</v>
      </c>
      <c r="AP9" s="270"/>
      <c r="AQ9" s="271" t="s">
        <v>26</v>
      </c>
      <c r="AR9" s="270"/>
      <c r="AS9" s="271" t="s">
        <v>29</v>
      </c>
      <c r="AT9" s="272"/>
      <c r="AU9" s="269" t="s">
        <v>25</v>
      </c>
      <c r="AV9" s="270"/>
      <c r="AW9" s="271" t="s">
        <v>26</v>
      </c>
      <c r="AX9" s="270"/>
      <c r="AY9" s="271" t="s">
        <v>29</v>
      </c>
      <c r="AZ9" s="272"/>
      <c r="BA9" s="273" t="s">
        <v>27</v>
      </c>
      <c r="BB9" s="274"/>
      <c r="BC9" s="274"/>
      <c r="BD9" s="274"/>
      <c r="BE9" s="274"/>
      <c r="BF9" s="274"/>
      <c r="BG9" s="274"/>
      <c r="BH9" s="274"/>
      <c r="BI9" s="274"/>
      <c r="BJ9" s="274"/>
      <c r="BK9" s="274"/>
      <c r="BL9" s="275"/>
      <c r="BM9" s="44"/>
      <c r="BN9" s="44"/>
    </row>
    <row r="10" spans="1:66" s="198" customFormat="1" ht="27" customHeight="1" x14ac:dyDescent="0.45">
      <c r="A10" s="199"/>
      <c r="B10" s="199"/>
      <c r="C10" s="203">
        <v>1</v>
      </c>
      <c r="D10" s="298" t="s">
        <v>116</v>
      </c>
      <c r="E10" s="299"/>
      <c r="F10" s="299"/>
      <c r="G10" s="300"/>
      <c r="H10" s="260" t="s">
        <v>53</v>
      </c>
      <c r="I10" s="261"/>
      <c r="J10" s="261"/>
      <c r="K10" s="262"/>
      <c r="L10" s="260" t="s">
        <v>55</v>
      </c>
      <c r="M10" s="261"/>
      <c r="N10" s="261"/>
      <c r="O10" s="262"/>
      <c r="P10" s="261" t="s">
        <v>58</v>
      </c>
      <c r="Q10" s="261"/>
      <c r="R10" s="261"/>
      <c r="S10" s="261"/>
      <c r="T10" s="261"/>
      <c r="U10" s="261"/>
      <c r="V10" s="261"/>
      <c r="W10" s="262"/>
      <c r="X10" s="261" t="s">
        <v>59</v>
      </c>
      <c r="Y10" s="261"/>
      <c r="Z10" s="261"/>
      <c r="AA10" s="261"/>
      <c r="AB10" s="261"/>
      <c r="AC10" s="261"/>
      <c r="AD10" s="261"/>
      <c r="AE10" s="262"/>
      <c r="AF10" s="260" t="s">
        <v>115</v>
      </c>
      <c r="AG10" s="261"/>
      <c r="AH10" s="261"/>
      <c r="AI10" s="261"/>
      <c r="AJ10" s="261"/>
      <c r="AK10" s="261"/>
      <c r="AL10" s="261"/>
      <c r="AM10" s="261"/>
      <c r="AN10" s="291"/>
      <c r="AO10" s="257">
        <v>45674</v>
      </c>
      <c r="AP10" s="258"/>
      <c r="AQ10" s="256" t="s">
        <v>117</v>
      </c>
      <c r="AR10" s="252"/>
      <c r="AS10" s="256" t="s">
        <v>118</v>
      </c>
      <c r="AT10" s="259"/>
      <c r="AU10" s="209"/>
      <c r="AV10" s="210"/>
      <c r="AW10" s="201"/>
      <c r="AX10" s="202"/>
      <c r="AY10" s="201"/>
      <c r="AZ10" s="211"/>
      <c r="BA10" s="204"/>
      <c r="BB10" s="205"/>
      <c r="BC10" s="205"/>
      <c r="BD10" s="205"/>
      <c r="BE10" s="205"/>
      <c r="BF10" s="205"/>
      <c r="BG10" s="205"/>
      <c r="BH10" s="205"/>
      <c r="BI10" s="205"/>
      <c r="BJ10" s="205"/>
      <c r="BK10" s="205"/>
      <c r="BL10" s="206"/>
      <c r="BM10" s="200"/>
      <c r="BN10" s="200"/>
    </row>
    <row r="11" spans="1:66" ht="20.100000000000001" customHeight="1" x14ac:dyDescent="0.45">
      <c r="A11" s="41"/>
      <c r="B11" s="41"/>
      <c r="C11" s="203">
        <f t="shared" ref="C11:C38" si="0">ROW()-9</f>
        <v>2</v>
      </c>
      <c r="D11" s="53"/>
      <c r="E11" s="54"/>
      <c r="F11" s="54"/>
      <c r="G11" s="55"/>
      <c r="H11" s="38" t="s">
        <v>48</v>
      </c>
      <c r="K11" s="65"/>
      <c r="L11" s="217" t="s">
        <v>89</v>
      </c>
      <c r="M11" s="112"/>
      <c r="N11" s="112"/>
      <c r="O11" s="113"/>
      <c r="P11" s="260" t="s">
        <v>58</v>
      </c>
      <c r="Q11" s="261"/>
      <c r="R11" s="261"/>
      <c r="S11" s="261"/>
      <c r="T11" s="261"/>
      <c r="U11" s="261"/>
      <c r="V11" s="261"/>
      <c r="W11" s="262"/>
      <c r="X11" s="260" t="s">
        <v>46</v>
      </c>
      <c r="Y11" s="261"/>
      <c r="Z11" s="261"/>
      <c r="AA11" s="261"/>
      <c r="AB11" s="261"/>
      <c r="AC11" s="261"/>
      <c r="AD11" s="261"/>
      <c r="AE11" s="262"/>
      <c r="AF11" s="292"/>
      <c r="AG11" s="293"/>
      <c r="AH11" s="293"/>
      <c r="AI11" s="293"/>
      <c r="AJ11" s="293"/>
      <c r="AK11" s="293"/>
      <c r="AL11" s="293"/>
      <c r="AM11" s="293"/>
      <c r="AN11" s="294"/>
      <c r="AO11" s="257">
        <v>45674</v>
      </c>
      <c r="AP11" s="258"/>
      <c r="AQ11" s="256" t="s">
        <v>117</v>
      </c>
      <c r="AR11" s="252"/>
      <c r="AS11" s="256" t="s">
        <v>118</v>
      </c>
      <c r="AT11" s="259"/>
      <c r="AU11" s="63"/>
      <c r="AV11" s="64"/>
      <c r="AW11" s="47"/>
      <c r="AX11" s="48"/>
      <c r="AY11" s="47"/>
      <c r="AZ11" s="58"/>
      <c r="BA11" s="59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1"/>
      <c r="BM11" s="44"/>
      <c r="BN11" s="44"/>
    </row>
    <row r="12" spans="1:66" s="98" customFormat="1" ht="20.100000000000001" customHeight="1" x14ac:dyDescent="0.45">
      <c r="A12" s="99"/>
      <c r="B12" s="99"/>
      <c r="C12" s="203">
        <f t="shared" si="0"/>
        <v>3</v>
      </c>
      <c r="D12" s="103"/>
      <c r="E12" s="104"/>
      <c r="F12" s="104"/>
      <c r="G12" s="105"/>
      <c r="H12" s="97"/>
      <c r="K12" s="93"/>
      <c r="L12" s="217" t="s">
        <v>90</v>
      </c>
      <c r="M12" s="112"/>
      <c r="N12" s="112"/>
      <c r="O12" s="113"/>
      <c r="P12" s="260" t="s">
        <v>58</v>
      </c>
      <c r="Q12" s="261"/>
      <c r="R12" s="261"/>
      <c r="S12" s="261"/>
      <c r="T12" s="261"/>
      <c r="U12" s="261"/>
      <c r="V12" s="261"/>
      <c r="W12" s="262"/>
      <c r="X12" s="260" t="s">
        <v>46</v>
      </c>
      <c r="Y12" s="261"/>
      <c r="Z12" s="261"/>
      <c r="AA12" s="261"/>
      <c r="AB12" s="261"/>
      <c r="AC12" s="261"/>
      <c r="AD12" s="261"/>
      <c r="AE12" s="262"/>
      <c r="AF12" s="292"/>
      <c r="AG12" s="293"/>
      <c r="AH12" s="293"/>
      <c r="AI12" s="293"/>
      <c r="AJ12" s="293"/>
      <c r="AK12" s="293"/>
      <c r="AL12" s="293"/>
      <c r="AM12" s="293"/>
      <c r="AN12" s="294"/>
      <c r="AO12" s="257">
        <v>45674</v>
      </c>
      <c r="AP12" s="258"/>
      <c r="AQ12" s="256" t="s">
        <v>117</v>
      </c>
      <c r="AR12" s="252"/>
      <c r="AS12" s="256" t="s">
        <v>118</v>
      </c>
      <c r="AT12" s="259"/>
      <c r="AU12" s="110"/>
      <c r="AV12" s="111"/>
      <c r="AW12" s="101"/>
      <c r="AX12" s="102"/>
      <c r="AY12" s="101"/>
      <c r="AZ12" s="106"/>
      <c r="BA12" s="107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9"/>
      <c r="BM12" s="100"/>
      <c r="BN12" s="100"/>
    </row>
    <row r="13" spans="1:66" s="198" customFormat="1" ht="20.100000000000001" customHeight="1" x14ac:dyDescent="0.45">
      <c r="A13" s="199"/>
      <c r="B13" s="199"/>
      <c r="C13" s="203">
        <f t="shared" si="0"/>
        <v>4</v>
      </c>
      <c r="D13" s="212"/>
      <c r="E13" s="213"/>
      <c r="F13" s="213"/>
      <c r="G13" s="214"/>
      <c r="H13" s="97"/>
      <c r="K13" s="221"/>
      <c r="L13" s="217" t="s">
        <v>91</v>
      </c>
      <c r="M13" s="222"/>
      <c r="N13" s="222"/>
      <c r="O13" s="223"/>
      <c r="P13" s="260" t="s">
        <v>58</v>
      </c>
      <c r="Q13" s="261"/>
      <c r="R13" s="261"/>
      <c r="S13" s="261"/>
      <c r="T13" s="261"/>
      <c r="U13" s="261"/>
      <c r="V13" s="261"/>
      <c r="W13" s="262"/>
      <c r="X13" s="260" t="s">
        <v>46</v>
      </c>
      <c r="Y13" s="261"/>
      <c r="Z13" s="261"/>
      <c r="AA13" s="261"/>
      <c r="AB13" s="261"/>
      <c r="AC13" s="261"/>
      <c r="AD13" s="261"/>
      <c r="AE13" s="262"/>
      <c r="AF13" s="166"/>
      <c r="AG13" s="167"/>
      <c r="AH13" s="167"/>
      <c r="AI13" s="167"/>
      <c r="AJ13" s="167"/>
      <c r="AK13" s="167"/>
      <c r="AL13" s="167"/>
      <c r="AM13" s="167"/>
      <c r="AN13" s="168"/>
      <c r="AO13" s="257">
        <v>45674</v>
      </c>
      <c r="AP13" s="258"/>
      <c r="AQ13" s="256" t="s">
        <v>117</v>
      </c>
      <c r="AR13" s="252"/>
      <c r="AS13" s="256" t="s">
        <v>118</v>
      </c>
      <c r="AT13" s="259"/>
      <c r="AU13" s="209"/>
      <c r="AV13" s="210"/>
      <c r="AW13" s="201"/>
      <c r="AX13" s="202"/>
      <c r="AY13" s="201"/>
      <c r="AZ13" s="211"/>
      <c r="BA13" s="204"/>
      <c r="BB13" s="205"/>
      <c r="BC13" s="205"/>
      <c r="BD13" s="205"/>
      <c r="BE13" s="205"/>
      <c r="BF13" s="205"/>
      <c r="BG13" s="205"/>
      <c r="BH13" s="205"/>
      <c r="BI13" s="205"/>
      <c r="BJ13" s="205"/>
      <c r="BK13" s="205"/>
      <c r="BL13" s="206"/>
      <c r="BM13" s="200"/>
      <c r="BN13" s="200"/>
    </row>
    <row r="14" spans="1:66" s="198" customFormat="1" ht="20.100000000000001" customHeight="1" x14ac:dyDescent="0.45">
      <c r="A14" s="199"/>
      <c r="B14" s="199"/>
      <c r="C14" s="203">
        <f t="shared" si="0"/>
        <v>5</v>
      </c>
      <c r="D14" s="212"/>
      <c r="E14" s="213"/>
      <c r="F14" s="213"/>
      <c r="G14" s="214"/>
      <c r="H14" s="97"/>
      <c r="K14" s="221"/>
      <c r="L14" s="217" t="s">
        <v>92</v>
      </c>
      <c r="M14" s="222"/>
      <c r="N14" s="222"/>
      <c r="O14" s="223"/>
      <c r="P14" s="260" t="s">
        <v>58</v>
      </c>
      <c r="Q14" s="261"/>
      <c r="R14" s="261"/>
      <c r="S14" s="261"/>
      <c r="T14" s="261"/>
      <c r="U14" s="261"/>
      <c r="V14" s="261"/>
      <c r="W14" s="262"/>
      <c r="X14" s="260" t="s">
        <v>46</v>
      </c>
      <c r="Y14" s="261"/>
      <c r="Z14" s="261"/>
      <c r="AA14" s="261"/>
      <c r="AB14" s="261"/>
      <c r="AC14" s="261"/>
      <c r="AD14" s="261"/>
      <c r="AE14" s="262"/>
      <c r="AF14" s="166"/>
      <c r="AG14" s="167"/>
      <c r="AH14" s="167"/>
      <c r="AI14" s="167"/>
      <c r="AJ14" s="167"/>
      <c r="AK14" s="167"/>
      <c r="AL14" s="167"/>
      <c r="AM14" s="167"/>
      <c r="AN14" s="168"/>
      <c r="AO14" s="257">
        <v>45674</v>
      </c>
      <c r="AP14" s="258"/>
      <c r="AQ14" s="256" t="s">
        <v>117</v>
      </c>
      <c r="AR14" s="252"/>
      <c r="AS14" s="256" t="s">
        <v>118</v>
      </c>
      <c r="AT14" s="259"/>
      <c r="AU14" s="209"/>
      <c r="AV14" s="210"/>
      <c r="AW14" s="201"/>
      <c r="AX14" s="202"/>
      <c r="AY14" s="201"/>
      <c r="AZ14" s="211"/>
      <c r="BA14" s="204"/>
      <c r="BB14" s="205"/>
      <c r="BC14" s="205"/>
      <c r="BD14" s="205"/>
      <c r="BE14" s="205"/>
      <c r="BF14" s="205"/>
      <c r="BG14" s="205"/>
      <c r="BH14" s="205"/>
      <c r="BI14" s="205"/>
      <c r="BJ14" s="205"/>
      <c r="BK14" s="205"/>
      <c r="BL14" s="206"/>
      <c r="BM14" s="200"/>
      <c r="BN14" s="200"/>
    </row>
    <row r="15" spans="1:66" s="198" customFormat="1" ht="20.100000000000001" customHeight="1" x14ac:dyDescent="0.45">
      <c r="A15" s="199"/>
      <c r="B15" s="199"/>
      <c r="C15" s="203">
        <f t="shared" si="0"/>
        <v>6</v>
      </c>
      <c r="D15" s="212"/>
      <c r="E15" s="213"/>
      <c r="F15" s="213"/>
      <c r="G15" s="214"/>
      <c r="H15" s="97"/>
      <c r="K15" s="221"/>
      <c r="L15" s="217" t="s">
        <v>93</v>
      </c>
      <c r="M15" s="222"/>
      <c r="N15" s="222"/>
      <c r="O15" s="223"/>
      <c r="P15" s="260" t="s">
        <v>58</v>
      </c>
      <c r="Q15" s="261"/>
      <c r="R15" s="261"/>
      <c r="S15" s="261"/>
      <c r="T15" s="261"/>
      <c r="U15" s="261"/>
      <c r="V15" s="261"/>
      <c r="W15" s="262"/>
      <c r="X15" s="260" t="s">
        <v>46</v>
      </c>
      <c r="Y15" s="261"/>
      <c r="Z15" s="261"/>
      <c r="AA15" s="261"/>
      <c r="AB15" s="261"/>
      <c r="AC15" s="261"/>
      <c r="AD15" s="261"/>
      <c r="AE15" s="262"/>
      <c r="AF15" s="166"/>
      <c r="AG15" s="167"/>
      <c r="AH15" s="167"/>
      <c r="AI15" s="167"/>
      <c r="AJ15" s="167"/>
      <c r="AK15" s="167"/>
      <c r="AL15" s="167"/>
      <c r="AM15" s="167"/>
      <c r="AN15" s="168"/>
      <c r="AO15" s="257">
        <v>45674</v>
      </c>
      <c r="AP15" s="258"/>
      <c r="AQ15" s="256" t="s">
        <v>117</v>
      </c>
      <c r="AR15" s="252"/>
      <c r="AS15" s="256" t="s">
        <v>118</v>
      </c>
      <c r="AT15" s="259"/>
      <c r="AU15" s="209"/>
      <c r="AV15" s="210"/>
      <c r="AW15" s="201"/>
      <c r="AX15" s="202"/>
      <c r="AY15" s="201"/>
      <c r="AZ15" s="211"/>
      <c r="BA15" s="204"/>
      <c r="BB15" s="205"/>
      <c r="BC15" s="205"/>
      <c r="BD15" s="205"/>
      <c r="BE15" s="205"/>
      <c r="BF15" s="205"/>
      <c r="BG15" s="205"/>
      <c r="BH15" s="205"/>
      <c r="BI15" s="205"/>
      <c r="BJ15" s="205"/>
      <c r="BK15" s="205"/>
      <c r="BL15" s="206"/>
      <c r="BM15" s="200"/>
      <c r="BN15" s="200"/>
    </row>
    <row r="16" spans="1:66" s="198" customFormat="1" ht="20.100000000000001" customHeight="1" x14ac:dyDescent="0.45">
      <c r="A16" s="199"/>
      <c r="B16" s="199"/>
      <c r="C16" s="203">
        <f t="shared" si="0"/>
        <v>7</v>
      </c>
      <c r="D16" s="212"/>
      <c r="E16" s="213"/>
      <c r="F16" s="213"/>
      <c r="G16" s="214"/>
      <c r="H16" s="97"/>
      <c r="K16" s="221"/>
      <c r="L16" s="217" t="s">
        <v>94</v>
      </c>
      <c r="M16" s="222"/>
      <c r="N16" s="222"/>
      <c r="O16" s="223"/>
      <c r="P16" s="260" t="s">
        <v>58</v>
      </c>
      <c r="Q16" s="261"/>
      <c r="R16" s="261"/>
      <c r="S16" s="261"/>
      <c r="T16" s="261"/>
      <c r="U16" s="261"/>
      <c r="V16" s="261"/>
      <c r="W16" s="262"/>
      <c r="X16" s="260" t="s">
        <v>46</v>
      </c>
      <c r="Y16" s="261"/>
      <c r="Z16" s="261"/>
      <c r="AA16" s="261"/>
      <c r="AB16" s="261"/>
      <c r="AC16" s="261"/>
      <c r="AD16" s="261"/>
      <c r="AE16" s="262"/>
      <c r="AF16" s="166"/>
      <c r="AG16" s="167"/>
      <c r="AH16" s="167"/>
      <c r="AI16" s="167"/>
      <c r="AJ16" s="167"/>
      <c r="AK16" s="167"/>
      <c r="AL16" s="167"/>
      <c r="AM16" s="167"/>
      <c r="AN16" s="168"/>
      <c r="AO16" s="257">
        <v>45674</v>
      </c>
      <c r="AP16" s="258"/>
      <c r="AQ16" s="256" t="s">
        <v>117</v>
      </c>
      <c r="AR16" s="252"/>
      <c r="AS16" s="256" t="s">
        <v>118</v>
      </c>
      <c r="AT16" s="259"/>
      <c r="AU16" s="209"/>
      <c r="AV16" s="210"/>
      <c r="AW16" s="201"/>
      <c r="AX16" s="202"/>
      <c r="AY16" s="201"/>
      <c r="AZ16" s="211"/>
      <c r="BA16" s="204"/>
      <c r="BB16" s="205"/>
      <c r="BC16" s="205"/>
      <c r="BD16" s="205"/>
      <c r="BE16" s="205"/>
      <c r="BF16" s="205"/>
      <c r="BG16" s="205"/>
      <c r="BH16" s="205"/>
      <c r="BI16" s="205"/>
      <c r="BJ16" s="205"/>
      <c r="BK16" s="205"/>
      <c r="BL16" s="206"/>
      <c r="BM16" s="200"/>
      <c r="BN16" s="200"/>
    </row>
    <row r="17" spans="1:66" s="198" customFormat="1" ht="20.100000000000001" customHeight="1" x14ac:dyDescent="0.45">
      <c r="A17" s="199"/>
      <c r="B17" s="199"/>
      <c r="C17" s="203">
        <f t="shared" si="0"/>
        <v>8</v>
      </c>
      <c r="D17" s="212"/>
      <c r="E17" s="213"/>
      <c r="F17" s="213"/>
      <c r="G17" s="214"/>
      <c r="H17" s="97"/>
      <c r="K17" s="221"/>
      <c r="L17" s="217" t="s">
        <v>95</v>
      </c>
      <c r="M17" s="222"/>
      <c r="N17" s="222"/>
      <c r="O17" s="223"/>
      <c r="P17" s="260" t="s">
        <v>58</v>
      </c>
      <c r="Q17" s="261"/>
      <c r="R17" s="261"/>
      <c r="S17" s="261"/>
      <c r="T17" s="261"/>
      <c r="U17" s="261"/>
      <c r="V17" s="261"/>
      <c r="W17" s="262"/>
      <c r="X17" s="260" t="s">
        <v>46</v>
      </c>
      <c r="Y17" s="261"/>
      <c r="Z17" s="261"/>
      <c r="AA17" s="261"/>
      <c r="AB17" s="261"/>
      <c r="AC17" s="261"/>
      <c r="AD17" s="261"/>
      <c r="AE17" s="262"/>
      <c r="AF17" s="166"/>
      <c r="AG17" s="167"/>
      <c r="AH17" s="167"/>
      <c r="AI17" s="167"/>
      <c r="AJ17" s="167"/>
      <c r="AK17" s="167"/>
      <c r="AL17" s="167"/>
      <c r="AM17" s="167"/>
      <c r="AN17" s="168"/>
      <c r="AO17" s="257">
        <v>45674</v>
      </c>
      <c r="AP17" s="258"/>
      <c r="AQ17" s="256" t="s">
        <v>117</v>
      </c>
      <c r="AR17" s="252"/>
      <c r="AS17" s="256" t="s">
        <v>118</v>
      </c>
      <c r="AT17" s="259"/>
      <c r="AU17" s="209"/>
      <c r="AV17" s="210"/>
      <c r="AW17" s="201"/>
      <c r="AX17" s="202"/>
      <c r="AY17" s="201"/>
      <c r="AZ17" s="211"/>
      <c r="BA17" s="204"/>
      <c r="BB17" s="205"/>
      <c r="BC17" s="205"/>
      <c r="BD17" s="205"/>
      <c r="BE17" s="205"/>
      <c r="BF17" s="205"/>
      <c r="BG17" s="205"/>
      <c r="BH17" s="205"/>
      <c r="BI17" s="205"/>
      <c r="BJ17" s="205"/>
      <c r="BK17" s="205"/>
      <c r="BL17" s="206"/>
      <c r="BM17" s="200"/>
      <c r="BN17" s="200"/>
    </row>
    <row r="18" spans="1:66" s="198" customFormat="1" ht="20.100000000000001" customHeight="1" x14ac:dyDescent="0.45">
      <c r="A18" s="199"/>
      <c r="B18" s="199"/>
      <c r="C18" s="203">
        <f t="shared" si="0"/>
        <v>9</v>
      </c>
      <c r="D18" s="212"/>
      <c r="E18" s="213"/>
      <c r="F18" s="213"/>
      <c r="G18" s="214"/>
      <c r="H18" s="97"/>
      <c r="K18" s="221"/>
      <c r="L18" s="217" t="s">
        <v>96</v>
      </c>
      <c r="M18" s="222"/>
      <c r="N18" s="222"/>
      <c r="O18" s="223"/>
      <c r="P18" s="260" t="s">
        <v>58</v>
      </c>
      <c r="Q18" s="261"/>
      <c r="R18" s="261"/>
      <c r="S18" s="261"/>
      <c r="T18" s="261"/>
      <c r="U18" s="261"/>
      <c r="V18" s="261"/>
      <c r="W18" s="262"/>
      <c r="X18" s="260" t="s">
        <v>46</v>
      </c>
      <c r="Y18" s="261"/>
      <c r="Z18" s="261"/>
      <c r="AA18" s="261"/>
      <c r="AB18" s="261"/>
      <c r="AC18" s="261"/>
      <c r="AD18" s="261"/>
      <c r="AE18" s="262"/>
      <c r="AF18" s="166"/>
      <c r="AG18" s="167"/>
      <c r="AH18" s="167"/>
      <c r="AI18" s="167"/>
      <c r="AJ18" s="167"/>
      <c r="AK18" s="167"/>
      <c r="AL18" s="167"/>
      <c r="AM18" s="167"/>
      <c r="AN18" s="168"/>
      <c r="AO18" s="257">
        <v>45674</v>
      </c>
      <c r="AP18" s="258"/>
      <c r="AQ18" s="256" t="s">
        <v>117</v>
      </c>
      <c r="AR18" s="252"/>
      <c r="AS18" s="256" t="s">
        <v>118</v>
      </c>
      <c r="AT18" s="259"/>
      <c r="AU18" s="209"/>
      <c r="AV18" s="210"/>
      <c r="AW18" s="201"/>
      <c r="AX18" s="202"/>
      <c r="AY18" s="201"/>
      <c r="AZ18" s="211"/>
      <c r="BA18" s="204"/>
      <c r="BB18" s="205"/>
      <c r="BC18" s="205"/>
      <c r="BD18" s="205"/>
      <c r="BE18" s="205"/>
      <c r="BF18" s="205"/>
      <c r="BG18" s="205"/>
      <c r="BH18" s="205"/>
      <c r="BI18" s="205"/>
      <c r="BJ18" s="205"/>
      <c r="BK18" s="205"/>
      <c r="BL18" s="206"/>
      <c r="BM18" s="200"/>
      <c r="BN18" s="200"/>
    </row>
    <row r="19" spans="1:66" s="198" customFormat="1" ht="20.100000000000001" customHeight="1" x14ac:dyDescent="0.45">
      <c r="A19" s="199"/>
      <c r="B19" s="199"/>
      <c r="C19" s="203">
        <f t="shared" si="0"/>
        <v>10</v>
      </c>
      <c r="D19" s="212"/>
      <c r="E19" s="213"/>
      <c r="F19" s="213"/>
      <c r="G19" s="214"/>
      <c r="H19" s="97"/>
      <c r="K19" s="221"/>
      <c r="L19" s="217" t="s">
        <v>97</v>
      </c>
      <c r="M19" s="222"/>
      <c r="N19" s="222"/>
      <c r="O19" s="223"/>
      <c r="P19" s="260" t="s">
        <v>58</v>
      </c>
      <c r="Q19" s="261"/>
      <c r="R19" s="261"/>
      <c r="S19" s="261"/>
      <c r="T19" s="261"/>
      <c r="U19" s="261"/>
      <c r="V19" s="261"/>
      <c r="W19" s="262"/>
      <c r="X19" s="260" t="s">
        <v>46</v>
      </c>
      <c r="Y19" s="261"/>
      <c r="Z19" s="261"/>
      <c r="AA19" s="261"/>
      <c r="AB19" s="261"/>
      <c r="AC19" s="261"/>
      <c r="AD19" s="261"/>
      <c r="AE19" s="262"/>
      <c r="AF19" s="166"/>
      <c r="AG19" s="167"/>
      <c r="AH19" s="167"/>
      <c r="AI19" s="167"/>
      <c r="AJ19" s="167"/>
      <c r="AK19" s="167"/>
      <c r="AL19" s="167"/>
      <c r="AM19" s="167"/>
      <c r="AN19" s="168"/>
      <c r="AO19" s="257">
        <v>45674</v>
      </c>
      <c r="AP19" s="258"/>
      <c r="AQ19" s="256" t="s">
        <v>117</v>
      </c>
      <c r="AR19" s="252"/>
      <c r="AS19" s="256" t="s">
        <v>118</v>
      </c>
      <c r="AT19" s="259"/>
      <c r="AU19" s="209"/>
      <c r="AV19" s="210"/>
      <c r="AW19" s="201"/>
      <c r="AX19" s="202"/>
      <c r="AY19" s="201"/>
      <c r="AZ19" s="211"/>
      <c r="BA19" s="204"/>
      <c r="BB19" s="205"/>
      <c r="BC19" s="205"/>
      <c r="BD19" s="205"/>
      <c r="BE19" s="205"/>
      <c r="BF19" s="205"/>
      <c r="BG19" s="205"/>
      <c r="BH19" s="205"/>
      <c r="BI19" s="205"/>
      <c r="BJ19" s="205"/>
      <c r="BK19" s="205"/>
      <c r="BL19" s="206"/>
      <c r="BM19" s="200"/>
      <c r="BN19" s="200"/>
    </row>
    <row r="20" spans="1:66" s="198" customFormat="1" ht="20.100000000000001" customHeight="1" x14ac:dyDescent="0.45">
      <c r="A20" s="199"/>
      <c r="B20" s="199"/>
      <c r="C20" s="203">
        <f t="shared" si="0"/>
        <v>11</v>
      </c>
      <c r="D20" s="212"/>
      <c r="E20" s="213"/>
      <c r="F20" s="213"/>
      <c r="G20" s="214"/>
      <c r="H20" s="97"/>
      <c r="K20" s="221"/>
      <c r="L20" s="217" t="s">
        <v>98</v>
      </c>
      <c r="M20" s="222"/>
      <c r="N20" s="222"/>
      <c r="O20" s="223"/>
      <c r="P20" s="260" t="s">
        <v>58</v>
      </c>
      <c r="Q20" s="261"/>
      <c r="R20" s="261"/>
      <c r="S20" s="261"/>
      <c r="T20" s="261"/>
      <c r="U20" s="261"/>
      <c r="V20" s="261"/>
      <c r="W20" s="262"/>
      <c r="X20" s="260" t="s">
        <v>46</v>
      </c>
      <c r="Y20" s="261"/>
      <c r="Z20" s="261"/>
      <c r="AA20" s="261"/>
      <c r="AB20" s="261"/>
      <c r="AC20" s="261"/>
      <c r="AD20" s="261"/>
      <c r="AE20" s="262"/>
      <c r="AF20" s="166"/>
      <c r="AG20" s="167"/>
      <c r="AH20" s="167"/>
      <c r="AI20" s="167"/>
      <c r="AJ20" s="167"/>
      <c r="AK20" s="167"/>
      <c r="AL20" s="167"/>
      <c r="AM20" s="167"/>
      <c r="AN20" s="168"/>
      <c r="AO20" s="257">
        <v>45674</v>
      </c>
      <c r="AP20" s="258"/>
      <c r="AQ20" s="256" t="s">
        <v>117</v>
      </c>
      <c r="AR20" s="252"/>
      <c r="AS20" s="256" t="s">
        <v>118</v>
      </c>
      <c r="AT20" s="259"/>
      <c r="AU20" s="209"/>
      <c r="AV20" s="210"/>
      <c r="AW20" s="201"/>
      <c r="AX20" s="202"/>
      <c r="AY20" s="201"/>
      <c r="AZ20" s="211"/>
      <c r="BA20" s="204"/>
      <c r="BB20" s="205"/>
      <c r="BC20" s="205"/>
      <c r="BD20" s="205"/>
      <c r="BE20" s="205"/>
      <c r="BF20" s="205"/>
      <c r="BG20" s="205"/>
      <c r="BH20" s="205"/>
      <c r="BI20" s="205"/>
      <c r="BJ20" s="205"/>
      <c r="BK20" s="205"/>
      <c r="BL20" s="206"/>
      <c r="BM20" s="200"/>
      <c r="BN20" s="200"/>
    </row>
    <row r="21" spans="1:66" s="198" customFormat="1" ht="20.100000000000001" customHeight="1" x14ac:dyDescent="0.45">
      <c r="A21" s="199"/>
      <c r="B21" s="199"/>
      <c r="C21" s="203">
        <f t="shared" si="0"/>
        <v>12</v>
      </c>
      <c r="D21" s="212"/>
      <c r="E21" s="213"/>
      <c r="F21" s="213"/>
      <c r="G21" s="214"/>
      <c r="H21" s="97"/>
      <c r="K21" s="221"/>
      <c r="L21" s="217" t="s">
        <v>99</v>
      </c>
      <c r="M21" s="222"/>
      <c r="N21" s="222"/>
      <c r="O21" s="223"/>
      <c r="P21" s="260" t="s">
        <v>58</v>
      </c>
      <c r="Q21" s="261"/>
      <c r="R21" s="261"/>
      <c r="S21" s="261"/>
      <c r="T21" s="261"/>
      <c r="U21" s="261"/>
      <c r="V21" s="261"/>
      <c r="W21" s="262"/>
      <c r="X21" s="260" t="s">
        <v>46</v>
      </c>
      <c r="Y21" s="261"/>
      <c r="Z21" s="261"/>
      <c r="AA21" s="261"/>
      <c r="AB21" s="261"/>
      <c r="AC21" s="261"/>
      <c r="AD21" s="261"/>
      <c r="AE21" s="262"/>
      <c r="AF21" s="166"/>
      <c r="AG21" s="167"/>
      <c r="AH21" s="167"/>
      <c r="AI21" s="167"/>
      <c r="AJ21" s="167"/>
      <c r="AK21" s="167"/>
      <c r="AL21" s="167"/>
      <c r="AM21" s="167"/>
      <c r="AN21" s="168"/>
      <c r="AO21" s="257">
        <v>45674</v>
      </c>
      <c r="AP21" s="258"/>
      <c r="AQ21" s="256" t="s">
        <v>117</v>
      </c>
      <c r="AR21" s="252"/>
      <c r="AS21" s="256" t="s">
        <v>118</v>
      </c>
      <c r="AT21" s="259"/>
      <c r="AU21" s="209"/>
      <c r="AV21" s="210"/>
      <c r="AW21" s="201"/>
      <c r="AX21" s="202"/>
      <c r="AY21" s="201"/>
      <c r="AZ21" s="211"/>
      <c r="BA21" s="204"/>
      <c r="BB21" s="205"/>
      <c r="BC21" s="205"/>
      <c r="BD21" s="205"/>
      <c r="BE21" s="205"/>
      <c r="BF21" s="205"/>
      <c r="BG21" s="205"/>
      <c r="BH21" s="205"/>
      <c r="BI21" s="205"/>
      <c r="BJ21" s="205"/>
      <c r="BK21" s="205"/>
      <c r="BL21" s="206"/>
      <c r="BM21" s="200"/>
      <c r="BN21" s="200"/>
    </row>
    <row r="22" spans="1:66" s="198" customFormat="1" ht="20.100000000000001" customHeight="1" x14ac:dyDescent="0.45">
      <c r="A22" s="199"/>
      <c r="B22" s="199"/>
      <c r="C22" s="203">
        <f t="shared" si="0"/>
        <v>13</v>
      </c>
      <c r="D22" s="212"/>
      <c r="E22" s="213"/>
      <c r="F22" s="213"/>
      <c r="G22" s="214"/>
      <c r="H22" s="97"/>
      <c r="K22" s="221"/>
      <c r="L22" s="217" t="s">
        <v>100</v>
      </c>
      <c r="M22" s="222"/>
      <c r="N22" s="222"/>
      <c r="O22" s="223"/>
      <c r="P22" s="260" t="s">
        <v>58</v>
      </c>
      <c r="Q22" s="261"/>
      <c r="R22" s="261"/>
      <c r="S22" s="261"/>
      <c r="T22" s="261"/>
      <c r="U22" s="261"/>
      <c r="V22" s="261"/>
      <c r="W22" s="262"/>
      <c r="X22" s="260" t="s">
        <v>46</v>
      </c>
      <c r="Y22" s="261"/>
      <c r="Z22" s="261"/>
      <c r="AA22" s="261"/>
      <c r="AB22" s="261"/>
      <c r="AC22" s="261"/>
      <c r="AD22" s="261"/>
      <c r="AE22" s="262"/>
      <c r="AF22" s="166"/>
      <c r="AG22" s="167"/>
      <c r="AH22" s="167"/>
      <c r="AI22" s="167"/>
      <c r="AJ22" s="167"/>
      <c r="AK22" s="167"/>
      <c r="AL22" s="167"/>
      <c r="AM22" s="167"/>
      <c r="AN22" s="168"/>
      <c r="AO22" s="257">
        <v>45674</v>
      </c>
      <c r="AP22" s="258"/>
      <c r="AQ22" s="256" t="s">
        <v>117</v>
      </c>
      <c r="AR22" s="252"/>
      <c r="AS22" s="256" t="s">
        <v>118</v>
      </c>
      <c r="AT22" s="259"/>
      <c r="AU22" s="209"/>
      <c r="AV22" s="210"/>
      <c r="AW22" s="201"/>
      <c r="AX22" s="202"/>
      <c r="AY22" s="201"/>
      <c r="AZ22" s="211"/>
      <c r="BA22" s="204"/>
      <c r="BB22" s="205"/>
      <c r="BC22" s="205"/>
      <c r="BD22" s="205"/>
      <c r="BE22" s="205"/>
      <c r="BF22" s="205"/>
      <c r="BG22" s="205"/>
      <c r="BH22" s="205"/>
      <c r="BI22" s="205"/>
      <c r="BJ22" s="205"/>
      <c r="BK22" s="205"/>
      <c r="BL22" s="206"/>
      <c r="BM22" s="200"/>
      <c r="BN22" s="200"/>
    </row>
    <row r="23" spans="1:66" s="198" customFormat="1" ht="20.100000000000001" customHeight="1" x14ac:dyDescent="0.45">
      <c r="A23" s="199"/>
      <c r="B23" s="199"/>
      <c r="C23" s="203">
        <f t="shared" si="0"/>
        <v>14</v>
      </c>
      <c r="D23" s="212"/>
      <c r="E23" s="213"/>
      <c r="F23" s="213"/>
      <c r="G23" s="214"/>
      <c r="H23" s="97"/>
      <c r="K23" s="221"/>
      <c r="L23" s="217" t="s">
        <v>101</v>
      </c>
      <c r="M23" s="222"/>
      <c r="N23" s="222"/>
      <c r="O23" s="223"/>
      <c r="P23" s="260" t="s">
        <v>58</v>
      </c>
      <c r="Q23" s="261"/>
      <c r="R23" s="261"/>
      <c r="S23" s="261"/>
      <c r="T23" s="261"/>
      <c r="U23" s="261"/>
      <c r="V23" s="261"/>
      <c r="W23" s="262"/>
      <c r="X23" s="260" t="s">
        <v>46</v>
      </c>
      <c r="Y23" s="261"/>
      <c r="Z23" s="261"/>
      <c r="AA23" s="261"/>
      <c r="AB23" s="261"/>
      <c r="AC23" s="261"/>
      <c r="AD23" s="261"/>
      <c r="AE23" s="262"/>
      <c r="AF23" s="166"/>
      <c r="AG23" s="167"/>
      <c r="AH23" s="167"/>
      <c r="AI23" s="167"/>
      <c r="AJ23" s="167"/>
      <c r="AK23" s="167"/>
      <c r="AL23" s="167"/>
      <c r="AM23" s="167"/>
      <c r="AN23" s="168"/>
      <c r="AO23" s="257">
        <v>45674</v>
      </c>
      <c r="AP23" s="258"/>
      <c r="AQ23" s="256" t="s">
        <v>117</v>
      </c>
      <c r="AR23" s="252"/>
      <c r="AS23" s="256" t="s">
        <v>118</v>
      </c>
      <c r="AT23" s="259"/>
      <c r="AU23" s="209"/>
      <c r="AV23" s="210"/>
      <c r="AW23" s="201"/>
      <c r="AX23" s="202"/>
      <c r="AY23" s="201"/>
      <c r="AZ23" s="211"/>
      <c r="BA23" s="204"/>
      <c r="BB23" s="205"/>
      <c r="BC23" s="205"/>
      <c r="BD23" s="205"/>
      <c r="BE23" s="205"/>
      <c r="BF23" s="205"/>
      <c r="BG23" s="205"/>
      <c r="BH23" s="205"/>
      <c r="BI23" s="205"/>
      <c r="BJ23" s="205"/>
      <c r="BK23" s="205"/>
      <c r="BL23" s="206"/>
      <c r="BM23" s="200"/>
      <c r="BN23" s="200"/>
    </row>
    <row r="24" spans="1:66" s="198" customFormat="1" ht="20.100000000000001" customHeight="1" x14ac:dyDescent="0.45">
      <c r="A24" s="199"/>
      <c r="B24" s="199"/>
      <c r="C24" s="203">
        <f t="shared" si="0"/>
        <v>15</v>
      </c>
      <c r="D24" s="212"/>
      <c r="E24" s="213"/>
      <c r="F24" s="213"/>
      <c r="G24" s="214"/>
      <c r="H24" s="97"/>
      <c r="K24" s="221"/>
      <c r="L24" s="217" t="s">
        <v>102</v>
      </c>
      <c r="M24" s="222"/>
      <c r="N24" s="222"/>
      <c r="O24" s="223"/>
      <c r="P24" s="260" t="s">
        <v>58</v>
      </c>
      <c r="Q24" s="261"/>
      <c r="R24" s="261"/>
      <c r="S24" s="261"/>
      <c r="T24" s="261"/>
      <c r="U24" s="261"/>
      <c r="V24" s="261"/>
      <c r="W24" s="262"/>
      <c r="X24" s="260" t="s">
        <v>46</v>
      </c>
      <c r="Y24" s="261"/>
      <c r="Z24" s="261"/>
      <c r="AA24" s="261"/>
      <c r="AB24" s="261"/>
      <c r="AC24" s="261"/>
      <c r="AD24" s="261"/>
      <c r="AE24" s="262"/>
      <c r="AF24" s="166"/>
      <c r="AG24" s="167"/>
      <c r="AH24" s="167"/>
      <c r="AI24" s="167"/>
      <c r="AJ24" s="167"/>
      <c r="AK24" s="167"/>
      <c r="AL24" s="167"/>
      <c r="AM24" s="167"/>
      <c r="AN24" s="168"/>
      <c r="AO24" s="257">
        <v>45674</v>
      </c>
      <c r="AP24" s="258"/>
      <c r="AQ24" s="256" t="s">
        <v>117</v>
      </c>
      <c r="AR24" s="252"/>
      <c r="AS24" s="256" t="s">
        <v>118</v>
      </c>
      <c r="AT24" s="259"/>
      <c r="AU24" s="209"/>
      <c r="AV24" s="210"/>
      <c r="AW24" s="201"/>
      <c r="AX24" s="202"/>
      <c r="AY24" s="201"/>
      <c r="AZ24" s="211"/>
      <c r="BA24" s="204"/>
      <c r="BB24" s="205"/>
      <c r="BC24" s="205"/>
      <c r="BD24" s="205"/>
      <c r="BE24" s="205"/>
      <c r="BF24" s="205"/>
      <c r="BG24" s="205"/>
      <c r="BH24" s="205"/>
      <c r="BI24" s="205"/>
      <c r="BJ24" s="205"/>
      <c r="BK24" s="205"/>
      <c r="BL24" s="206"/>
      <c r="BM24" s="200"/>
      <c r="BN24" s="200"/>
    </row>
    <row r="25" spans="1:66" s="198" customFormat="1" ht="20.100000000000001" customHeight="1" x14ac:dyDescent="0.45">
      <c r="A25" s="199"/>
      <c r="B25" s="199"/>
      <c r="C25" s="203">
        <f t="shared" si="0"/>
        <v>16</v>
      </c>
      <c r="D25" s="212"/>
      <c r="E25" s="213"/>
      <c r="F25" s="213"/>
      <c r="G25" s="214"/>
      <c r="H25" s="97"/>
      <c r="K25" s="221"/>
      <c r="L25" s="217" t="s">
        <v>103</v>
      </c>
      <c r="M25" s="222"/>
      <c r="N25" s="222"/>
      <c r="O25" s="223"/>
      <c r="P25" s="260" t="s">
        <v>58</v>
      </c>
      <c r="Q25" s="261"/>
      <c r="R25" s="261"/>
      <c r="S25" s="261"/>
      <c r="T25" s="261"/>
      <c r="U25" s="261"/>
      <c r="V25" s="261"/>
      <c r="W25" s="262"/>
      <c r="X25" s="260" t="s">
        <v>46</v>
      </c>
      <c r="Y25" s="261"/>
      <c r="Z25" s="261"/>
      <c r="AA25" s="261"/>
      <c r="AB25" s="261"/>
      <c r="AC25" s="261"/>
      <c r="AD25" s="261"/>
      <c r="AE25" s="262"/>
      <c r="AF25" s="166"/>
      <c r="AG25" s="167"/>
      <c r="AH25" s="167"/>
      <c r="AI25" s="167"/>
      <c r="AJ25" s="167"/>
      <c r="AK25" s="167"/>
      <c r="AL25" s="167"/>
      <c r="AM25" s="167"/>
      <c r="AN25" s="168"/>
      <c r="AO25" s="257">
        <v>45674</v>
      </c>
      <c r="AP25" s="258"/>
      <c r="AQ25" s="256" t="s">
        <v>117</v>
      </c>
      <c r="AR25" s="252"/>
      <c r="AS25" s="256" t="s">
        <v>118</v>
      </c>
      <c r="AT25" s="259"/>
      <c r="AU25" s="209"/>
      <c r="AV25" s="210"/>
      <c r="AW25" s="201"/>
      <c r="AX25" s="202"/>
      <c r="AY25" s="201"/>
      <c r="AZ25" s="211"/>
      <c r="BA25" s="204"/>
      <c r="BB25" s="205"/>
      <c r="BC25" s="205"/>
      <c r="BD25" s="205"/>
      <c r="BE25" s="205"/>
      <c r="BF25" s="205"/>
      <c r="BG25" s="205"/>
      <c r="BH25" s="205"/>
      <c r="BI25" s="205"/>
      <c r="BJ25" s="205"/>
      <c r="BK25" s="205"/>
      <c r="BL25" s="206"/>
      <c r="BM25" s="200"/>
      <c r="BN25" s="200"/>
    </row>
    <row r="26" spans="1:66" s="198" customFormat="1" ht="20.100000000000001" customHeight="1" x14ac:dyDescent="0.45">
      <c r="A26" s="199"/>
      <c r="B26" s="199"/>
      <c r="C26" s="203">
        <f t="shared" si="0"/>
        <v>17</v>
      </c>
      <c r="D26" s="212"/>
      <c r="E26" s="213"/>
      <c r="F26" s="213"/>
      <c r="G26" s="214"/>
      <c r="H26" s="97"/>
      <c r="K26" s="221"/>
      <c r="L26" s="217" t="s">
        <v>104</v>
      </c>
      <c r="M26" s="222"/>
      <c r="N26" s="222"/>
      <c r="O26" s="223"/>
      <c r="P26" s="260" t="s">
        <v>58</v>
      </c>
      <c r="Q26" s="261"/>
      <c r="R26" s="261"/>
      <c r="S26" s="261"/>
      <c r="T26" s="261"/>
      <c r="U26" s="261"/>
      <c r="V26" s="261"/>
      <c r="W26" s="262"/>
      <c r="X26" s="260" t="s">
        <v>46</v>
      </c>
      <c r="Y26" s="261"/>
      <c r="Z26" s="261"/>
      <c r="AA26" s="261"/>
      <c r="AB26" s="261"/>
      <c r="AC26" s="261"/>
      <c r="AD26" s="261"/>
      <c r="AE26" s="262"/>
      <c r="AF26" s="166"/>
      <c r="AG26" s="167"/>
      <c r="AH26" s="167"/>
      <c r="AI26" s="167"/>
      <c r="AJ26" s="167"/>
      <c r="AK26" s="167"/>
      <c r="AL26" s="167"/>
      <c r="AM26" s="167"/>
      <c r="AN26" s="168"/>
      <c r="AO26" s="257">
        <v>45674</v>
      </c>
      <c r="AP26" s="258"/>
      <c r="AQ26" s="256" t="s">
        <v>117</v>
      </c>
      <c r="AR26" s="252"/>
      <c r="AS26" s="256" t="s">
        <v>118</v>
      </c>
      <c r="AT26" s="259"/>
      <c r="AU26" s="209"/>
      <c r="AV26" s="210"/>
      <c r="AW26" s="201"/>
      <c r="AX26" s="202"/>
      <c r="AY26" s="201"/>
      <c r="AZ26" s="211"/>
      <c r="BA26" s="204"/>
      <c r="BB26" s="205"/>
      <c r="BC26" s="205"/>
      <c r="BD26" s="205"/>
      <c r="BE26" s="205"/>
      <c r="BF26" s="205"/>
      <c r="BG26" s="205"/>
      <c r="BH26" s="205"/>
      <c r="BI26" s="205"/>
      <c r="BJ26" s="205"/>
      <c r="BK26" s="205"/>
      <c r="BL26" s="206"/>
      <c r="BM26" s="200"/>
      <c r="BN26" s="200"/>
    </row>
    <row r="27" spans="1:66" s="198" customFormat="1" ht="20.100000000000001" customHeight="1" x14ac:dyDescent="0.45">
      <c r="A27" s="199"/>
      <c r="B27" s="199"/>
      <c r="C27" s="203">
        <f t="shared" si="0"/>
        <v>18</v>
      </c>
      <c r="D27" s="212"/>
      <c r="E27" s="213"/>
      <c r="F27" s="213"/>
      <c r="G27" s="214"/>
      <c r="H27" s="97"/>
      <c r="K27" s="221"/>
      <c r="L27" s="217" t="s">
        <v>105</v>
      </c>
      <c r="M27" s="222"/>
      <c r="N27" s="222"/>
      <c r="O27" s="223"/>
      <c r="P27" s="260" t="s">
        <v>58</v>
      </c>
      <c r="Q27" s="261"/>
      <c r="R27" s="261"/>
      <c r="S27" s="261"/>
      <c r="T27" s="261"/>
      <c r="U27" s="261"/>
      <c r="V27" s="261"/>
      <c r="W27" s="262"/>
      <c r="X27" s="260" t="s">
        <v>46</v>
      </c>
      <c r="Y27" s="261"/>
      <c r="Z27" s="261"/>
      <c r="AA27" s="261"/>
      <c r="AB27" s="261"/>
      <c r="AC27" s="261"/>
      <c r="AD27" s="261"/>
      <c r="AE27" s="262"/>
      <c r="AF27" s="166"/>
      <c r="AG27" s="167"/>
      <c r="AH27" s="167"/>
      <c r="AI27" s="167"/>
      <c r="AJ27" s="167"/>
      <c r="AK27" s="167"/>
      <c r="AL27" s="167"/>
      <c r="AM27" s="167"/>
      <c r="AN27" s="168"/>
      <c r="AO27" s="257">
        <v>45674</v>
      </c>
      <c r="AP27" s="258"/>
      <c r="AQ27" s="256" t="s">
        <v>117</v>
      </c>
      <c r="AR27" s="252"/>
      <c r="AS27" s="256" t="s">
        <v>118</v>
      </c>
      <c r="AT27" s="259"/>
      <c r="AU27" s="209"/>
      <c r="AV27" s="210"/>
      <c r="AW27" s="201"/>
      <c r="AX27" s="202"/>
      <c r="AY27" s="201"/>
      <c r="AZ27" s="211"/>
      <c r="BA27" s="204"/>
      <c r="BB27" s="205"/>
      <c r="BC27" s="205"/>
      <c r="BD27" s="205"/>
      <c r="BE27" s="205"/>
      <c r="BF27" s="205"/>
      <c r="BG27" s="205"/>
      <c r="BH27" s="205"/>
      <c r="BI27" s="205"/>
      <c r="BJ27" s="205"/>
      <c r="BK27" s="205"/>
      <c r="BL27" s="206"/>
      <c r="BM27" s="200"/>
      <c r="BN27" s="200"/>
    </row>
    <row r="28" spans="1:66" s="198" customFormat="1" ht="20.100000000000001" customHeight="1" x14ac:dyDescent="0.45">
      <c r="A28" s="199"/>
      <c r="B28" s="199"/>
      <c r="C28" s="203">
        <f t="shared" si="0"/>
        <v>19</v>
      </c>
      <c r="D28" s="212"/>
      <c r="E28" s="213"/>
      <c r="F28" s="213"/>
      <c r="G28" s="214"/>
      <c r="H28" s="97"/>
      <c r="K28" s="221"/>
      <c r="L28" s="217" t="s">
        <v>106</v>
      </c>
      <c r="M28" s="222"/>
      <c r="N28" s="222"/>
      <c r="O28" s="223"/>
      <c r="P28" s="260" t="s">
        <v>58</v>
      </c>
      <c r="Q28" s="261"/>
      <c r="R28" s="261"/>
      <c r="S28" s="261"/>
      <c r="T28" s="261"/>
      <c r="U28" s="261"/>
      <c r="V28" s="261"/>
      <c r="W28" s="262"/>
      <c r="X28" s="260" t="s">
        <v>46</v>
      </c>
      <c r="Y28" s="261"/>
      <c r="Z28" s="261"/>
      <c r="AA28" s="261"/>
      <c r="AB28" s="261"/>
      <c r="AC28" s="261"/>
      <c r="AD28" s="261"/>
      <c r="AE28" s="262"/>
      <c r="AF28" s="166"/>
      <c r="AG28" s="167"/>
      <c r="AH28" s="167"/>
      <c r="AI28" s="167"/>
      <c r="AJ28" s="167"/>
      <c r="AK28" s="167"/>
      <c r="AL28" s="167"/>
      <c r="AM28" s="167"/>
      <c r="AN28" s="168"/>
      <c r="AO28" s="257">
        <v>45674</v>
      </c>
      <c r="AP28" s="258"/>
      <c r="AQ28" s="256" t="s">
        <v>117</v>
      </c>
      <c r="AR28" s="252"/>
      <c r="AS28" s="256" t="s">
        <v>118</v>
      </c>
      <c r="AT28" s="259"/>
      <c r="AU28" s="209"/>
      <c r="AV28" s="210"/>
      <c r="AW28" s="201"/>
      <c r="AX28" s="202"/>
      <c r="AY28" s="201"/>
      <c r="AZ28" s="211"/>
      <c r="BA28" s="204"/>
      <c r="BB28" s="205"/>
      <c r="BC28" s="205"/>
      <c r="BD28" s="205"/>
      <c r="BE28" s="205"/>
      <c r="BF28" s="205"/>
      <c r="BG28" s="205"/>
      <c r="BH28" s="205"/>
      <c r="BI28" s="205"/>
      <c r="BJ28" s="205"/>
      <c r="BK28" s="205"/>
      <c r="BL28" s="206"/>
      <c r="BM28" s="200"/>
      <c r="BN28" s="200"/>
    </row>
    <row r="29" spans="1:66" s="198" customFormat="1" ht="20.100000000000001" customHeight="1" x14ac:dyDescent="0.45">
      <c r="A29" s="199"/>
      <c r="B29" s="199"/>
      <c r="C29" s="203">
        <f t="shared" si="0"/>
        <v>20</v>
      </c>
      <c r="D29" s="212"/>
      <c r="E29" s="213"/>
      <c r="F29" s="213"/>
      <c r="G29" s="214"/>
      <c r="H29" s="97"/>
      <c r="K29" s="221"/>
      <c r="L29" s="217" t="s">
        <v>107</v>
      </c>
      <c r="M29" s="222"/>
      <c r="N29" s="222"/>
      <c r="O29" s="223"/>
      <c r="P29" s="260" t="s">
        <v>58</v>
      </c>
      <c r="Q29" s="261"/>
      <c r="R29" s="261"/>
      <c r="S29" s="261"/>
      <c r="T29" s="261"/>
      <c r="U29" s="261"/>
      <c r="V29" s="261"/>
      <c r="W29" s="262"/>
      <c r="X29" s="260" t="s">
        <v>46</v>
      </c>
      <c r="Y29" s="261"/>
      <c r="Z29" s="261"/>
      <c r="AA29" s="261"/>
      <c r="AB29" s="261"/>
      <c r="AC29" s="261"/>
      <c r="AD29" s="261"/>
      <c r="AE29" s="262"/>
      <c r="AF29" s="166"/>
      <c r="AG29" s="167"/>
      <c r="AH29" s="167"/>
      <c r="AI29" s="167"/>
      <c r="AJ29" s="167"/>
      <c r="AK29" s="167"/>
      <c r="AL29" s="167"/>
      <c r="AM29" s="167"/>
      <c r="AN29" s="168"/>
      <c r="AO29" s="257">
        <v>45674</v>
      </c>
      <c r="AP29" s="258"/>
      <c r="AQ29" s="256" t="s">
        <v>117</v>
      </c>
      <c r="AR29" s="252"/>
      <c r="AS29" s="256" t="s">
        <v>118</v>
      </c>
      <c r="AT29" s="259"/>
      <c r="AU29" s="209"/>
      <c r="AV29" s="210"/>
      <c r="AW29" s="201"/>
      <c r="AX29" s="202"/>
      <c r="AY29" s="201"/>
      <c r="AZ29" s="211"/>
      <c r="BA29" s="204"/>
      <c r="BB29" s="205"/>
      <c r="BC29" s="205"/>
      <c r="BD29" s="205"/>
      <c r="BE29" s="205"/>
      <c r="BF29" s="205"/>
      <c r="BG29" s="205"/>
      <c r="BH29" s="205"/>
      <c r="BI29" s="205"/>
      <c r="BJ29" s="205"/>
      <c r="BK29" s="205"/>
      <c r="BL29" s="206"/>
      <c r="BM29" s="200"/>
      <c r="BN29" s="200"/>
    </row>
    <row r="30" spans="1:66" s="198" customFormat="1" ht="20.100000000000001" customHeight="1" x14ac:dyDescent="0.45">
      <c r="A30" s="199"/>
      <c r="B30" s="199"/>
      <c r="C30" s="203">
        <f t="shared" si="0"/>
        <v>21</v>
      </c>
      <c r="D30" s="212"/>
      <c r="E30" s="213"/>
      <c r="F30" s="213"/>
      <c r="G30" s="214"/>
      <c r="H30" s="97"/>
      <c r="K30" s="221"/>
      <c r="L30" s="217" t="s">
        <v>108</v>
      </c>
      <c r="M30" s="222"/>
      <c r="N30" s="222"/>
      <c r="O30" s="223"/>
      <c r="P30" s="260" t="s">
        <v>58</v>
      </c>
      <c r="Q30" s="261"/>
      <c r="R30" s="261"/>
      <c r="S30" s="261"/>
      <c r="T30" s="261"/>
      <c r="U30" s="261"/>
      <c r="V30" s="261"/>
      <c r="W30" s="262"/>
      <c r="X30" s="260" t="s">
        <v>46</v>
      </c>
      <c r="Y30" s="261"/>
      <c r="Z30" s="261"/>
      <c r="AA30" s="261"/>
      <c r="AB30" s="261"/>
      <c r="AC30" s="261"/>
      <c r="AD30" s="261"/>
      <c r="AE30" s="262"/>
      <c r="AF30" s="166"/>
      <c r="AG30" s="167"/>
      <c r="AH30" s="167"/>
      <c r="AI30" s="167"/>
      <c r="AJ30" s="167"/>
      <c r="AK30" s="167"/>
      <c r="AL30" s="167"/>
      <c r="AM30" s="167"/>
      <c r="AN30" s="168"/>
      <c r="AO30" s="257">
        <v>45674</v>
      </c>
      <c r="AP30" s="258"/>
      <c r="AQ30" s="256" t="s">
        <v>117</v>
      </c>
      <c r="AR30" s="252"/>
      <c r="AS30" s="256" t="s">
        <v>118</v>
      </c>
      <c r="AT30" s="259"/>
      <c r="AU30" s="209"/>
      <c r="AV30" s="210"/>
      <c r="AW30" s="201"/>
      <c r="AX30" s="202"/>
      <c r="AY30" s="201"/>
      <c r="AZ30" s="211"/>
      <c r="BA30" s="204"/>
      <c r="BB30" s="205"/>
      <c r="BC30" s="205"/>
      <c r="BD30" s="205"/>
      <c r="BE30" s="205"/>
      <c r="BF30" s="205"/>
      <c r="BG30" s="205"/>
      <c r="BH30" s="205"/>
      <c r="BI30" s="205"/>
      <c r="BJ30" s="205"/>
      <c r="BK30" s="205"/>
      <c r="BL30" s="206"/>
      <c r="BM30" s="200"/>
      <c r="BN30" s="200"/>
    </row>
    <row r="31" spans="1:66" s="198" customFormat="1" ht="20.100000000000001" customHeight="1" x14ac:dyDescent="0.45">
      <c r="A31" s="199"/>
      <c r="B31" s="199"/>
      <c r="C31" s="203">
        <f t="shared" si="0"/>
        <v>22</v>
      </c>
      <c r="D31" s="212"/>
      <c r="E31" s="213"/>
      <c r="F31" s="213"/>
      <c r="G31" s="214"/>
      <c r="H31" s="97"/>
      <c r="K31" s="221"/>
      <c r="L31" s="217" t="s">
        <v>109</v>
      </c>
      <c r="M31" s="222"/>
      <c r="N31" s="222"/>
      <c r="O31" s="223"/>
      <c r="P31" s="260" t="s">
        <v>58</v>
      </c>
      <c r="Q31" s="261"/>
      <c r="R31" s="261"/>
      <c r="S31" s="261"/>
      <c r="T31" s="261"/>
      <c r="U31" s="261"/>
      <c r="V31" s="261"/>
      <c r="W31" s="262"/>
      <c r="X31" s="260" t="s">
        <v>46</v>
      </c>
      <c r="Y31" s="261"/>
      <c r="Z31" s="261"/>
      <c r="AA31" s="261"/>
      <c r="AB31" s="261"/>
      <c r="AC31" s="261"/>
      <c r="AD31" s="261"/>
      <c r="AE31" s="262"/>
      <c r="AF31" s="166"/>
      <c r="AG31" s="167"/>
      <c r="AH31" s="167"/>
      <c r="AI31" s="167"/>
      <c r="AJ31" s="167"/>
      <c r="AK31" s="167"/>
      <c r="AL31" s="167"/>
      <c r="AM31" s="167"/>
      <c r="AN31" s="168"/>
      <c r="AO31" s="257">
        <v>45674</v>
      </c>
      <c r="AP31" s="258"/>
      <c r="AQ31" s="256" t="s">
        <v>117</v>
      </c>
      <c r="AR31" s="252"/>
      <c r="AS31" s="256" t="s">
        <v>118</v>
      </c>
      <c r="AT31" s="259"/>
      <c r="AU31" s="209"/>
      <c r="AV31" s="210"/>
      <c r="AW31" s="201"/>
      <c r="AX31" s="202"/>
      <c r="AY31" s="201"/>
      <c r="AZ31" s="211"/>
      <c r="BA31" s="204"/>
      <c r="BB31" s="205"/>
      <c r="BC31" s="205"/>
      <c r="BD31" s="205"/>
      <c r="BE31" s="205"/>
      <c r="BF31" s="205"/>
      <c r="BG31" s="205"/>
      <c r="BH31" s="205"/>
      <c r="BI31" s="205"/>
      <c r="BJ31" s="205"/>
      <c r="BK31" s="205"/>
      <c r="BL31" s="206"/>
      <c r="BM31" s="200"/>
      <c r="BN31" s="200"/>
    </row>
    <row r="32" spans="1:66" s="198" customFormat="1" ht="20.100000000000001" customHeight="1" x14ac:dyDescent="0.45">
      <c r="A32" s="199"/>
      <c r="B32" s="199"/>
      <c r="C32" s="203">
        <f t="shared" si="0"/>
        <v>23</v>
      </c>
      <c r="D32" s="212"/>
      <c r="E32" s="213"/>
      <c r="F32" s="213"/>
      <c r="G32" s="214"/>
      <c r="H32" s="97"/>
      <c r="K32" s="221"/>
      <c r="L32" s="217" t="s">
        <v>110</v>
      </c>
      <c r="M32" s="222"/>
      <c r="N32" s="222"/>
      <c r="O32" s="223"/>
      <c r="P32" s="260" t="s">
        <v>58</v>
      </c>
      <c r="Q32" s="261"/>
      <c r="R32" s="261"/>
      <c r="S32" s="261"/>
      <c r="T32" s="261"/>
      <c r="U32" s="261"/>
      <c r="V32" s="261"/>
      <c r="W32" s="262"/>
      <c r="X32" s="260" t="s">
        <v>46</v>
      </c>
      <c r="Y32" s="261"/>
      <c r="Z32" s="261"/>
      <c r="AA32" s="261"/>
      <c r="AB32" s="261"/>
      <c r="AC32" s="261"/>
      <c r="AD32" s="261"/>
      <c r="AE32" s="262"/>
      <c r="AF32" s="166"/>
      <c r="AG32" s="167"/>
      <c r="AH32" s="167"/>
      <c r="AI32" s="167"/>
      <c r="AJ32" s="167"/>
      <c r="AK32" s="167"/>
      <c r="AL32" s="167"/>
      <c r="AM32" s="167"/>
      <c r="AN32" s="168"/>
      <c r="AO32" s="257">
        <v>45674</v>
      </c>
      <c r="AP32" s="258"/>
      <c r="AQ32" s="256" t="s">
        <v>117</v>
      </c>
      <c r="AR32" s="252"/>
      <c r="AS32" s="256" t="s">
        <v>118</v>
      </c>
      <c r="AT32" s="259"/>
      <c r="AU32" s="209"/>
      <c r="AV32" s="210"/>
      <c r="AW32" s="201"/>
      <c r="AX32" s="202"/>
      <c r="AY32" s="201"/>
      <c r="AZ32" s="211"/>
      <c r="BA32" s="204"/>
      <c r="BB32" s="205"/>
      <c r="BC32" s="205"/>
      <c r="BD32" s="205"/>
      <c r="BE32" s="205"/>
      <c r="BF32" s="205"/>
      <c r="BG32" s="205"/>
      <c r="BH32" s="205"/>
      <c r="BI32" s="205"/>
      <c r="BJ32" s="205"/>
      <c r="BK32" s="205"/>
      <c r="BL32" s="206"/>
      <c r="BM32" s="200"/>
      <c r="BN32" s="200"/>
    </row>
    <row r="33" spans="1:66" s="198" customFormat="1" ht="20.100000000000001" customHeight="1" x14ac:dyDescent="0.45">
      <c r="A33" s="199"/>
      <c r="B33" s="199"/>
      <c r="C33" s="203">
        <f t="shared" si="0"/>
        <v>24</v>
      </c>
      <c r="D33" s="212"/>
      <c r="E33" s="213"/>
      <c r="F33" s="213"/>
      <c r="G33" s="214"/>
      <c r="H33" s="97"/>
      <c r="K33" s="221"/>
      <c r="L33" s="217" t="s">
        <v>111</v>
      </c>
      <c r="M33" s="222"/>
      <c r="N33" s="222"/>
      <c r="O33" s="223"/>
      <c r="P33" s="260" t="s">
        <v>58</v>
      </c>
      <c r="Q33" s="261"/>
      <c r="R33" s="261"/>
      <c r="S33" s="261"/>
      <c r="T33" s="261"/>
      <c r="U33" s="261"/>
      <c r="V33" s="261"/>
      <c r="W33" s="262"/>
      <c r="X33" s="260" t="s">
        <v>46</v>
      </c>
      <c r="Y33" s="261"/>
      <c r="Z33" s="261"/>
      <c r="AA33" s="261"/>
      <c r="AB33" s="261"/>
      <c r="AC33" s="261"/>
      <c r="AD33" s="261"/>
      <c r="AE33" s="262"/>
      <c r="AF33" s="166"/>
      <c r="AG33" s="167"/>
      <c r="AH33" s="167"/>
      <c r="AI33" s="167"/>
      <c r="AJ33" s="167"/>
      <c r="AK33" s="167"/>
      <c r="AL33" s="167"/>
      <c r="AM33" s="167"/>
      <c r="AN33" s="168"/>
      <c r="AO33" s="257">
        <v>45674</v>
      </c>
      <c r="AP33" s="258"/>
      <c r="AQ33" s="256" t="s">
        <v>117</v>
      </c>
      <c r="AR33" s="252"/>
      <c r="AS33" s="256" t="s">
        <v>118</v>
      </c>
      <c r="AT33" s="259"/>
      <c r="AU33" s="209"/>
      <c r="AV33" s="210"/>
      <c r="AW33" s="201"/>
      <c r="AX33" s="202"/>
      <c r="AY33" s="201"/>
      <c r="AZ33" s="211"/>
      <c r="BA33" s="204"/>
      <c r="BB33" s="205"/>
      <c r="BC33" s="205"/>
      <c r="BD33" s="205"/>
      <c r="BE33" s="205"/>
      <c r="BF33" s="205"/>
      <c r="BG33" s="205"/>
      <c r="BH33" s="205"/>
      <c r="BI33" s="205"/>
      <c r="BJ33" s="205"/>
      <c r="BK33" s="205"/>
      <c r="BL33" s="206"/>
      <c r="BM33" s="200"/>
      <c r="BN33" s="200"/>
    </row>
    <row r="34" spans="1:66" s="198" customFormat="1" ht="20.100000000000001" customHeight="1" x14ac:dyDescent="0.45">
      <c r="A34" s="199"/>
      <c r="B34" s="199"/>
      <c r="C34" s="203">
        <f t="shared" si="0"/>
        <v>25</v>
      </c>
      <c r="D34" s="212"/>
      <c r="E34" s="213"/>
      <c r="F34" s="213"/>
      <c r="G34" s="214"/>
      <c r="H34" s="97"/>
      <c r="K34" s="221"/>
      <c r="L34" s="217" t="s">
        <v>112</v>
      </c>
      <c r="M34" s="222"/>
      <c r="N34" s="222"/>
      <c r="O34" s="223"/>
      <c r="P34" s="260" t="s">
        <v>58</v>
      </c>
      <c r="Q34" s="261"/>
      <c r="R34" s="261"/>
      <c r="S34" s="261"/>
      <c r="T34" s="261"/>
      <c r="U34" s="261"/>
      <c r="V34" s="261"/>
      <c r="W34" s="262"/>
      <c r="X34" s="260" t="s">
        <v>46</v>
      </c>
      <c r="Y34" s="261"/>
      <c r="Z34" s="261"/>
      <c r="AA34" s="261"/>
      <c r="AB34" s="261"/>
      <c r="AC34" s="261"/>
      <c r="AD34" s="261"/>
      <c r="AE34" s="262"/>
      <c r="AF34" s="166"/>
      <c r="AG34" s="167"/>
      <c r="AH34" s="167"/>
      <c r="AI34" s="167"/>
      <c r="AJ34" s="167"/>
      <c r="AK34" s="167"/>
      <c r="AL34" s="167"/>
      <c r="AM34" s="167"/>
      <c r="AN34" s="168"/>
      <c r="AO34" s="257">
        <v>45674</v>
      </c>
      <c r="AP34" s="258"/>
      <c r="AQ34" s="256" t="s">
        <v>117</v>
      </c>
      <c r="AR34" s="252"/>
      <c r="AS34" s="256" t="s">
        <v>118</v>
      </c>
      <c r="AT34" s="259"/>
      <c r="AU34" s="209"/>
      <c r="AV34" s="210"/>
      <c r="AW34" s="201"/>
      <c r="AX34" s="202"/>
      <c r="AY34" s="201"/>
      <c r="AZ34" s="211"/>
      <c r="BA34" s="204"/>
      <c r="BB34" s="205"/>
      <c r="BC34" s="205"/>
      <c r="BD34" s="205"/>
      <c r="BE34" s="205"/>
      <c r="BF34" s="205"/>
      <c r="BG34" s="205"/>
      <c r="BH34" s="205"/>
      <c r="BI34" s="205"/>
      <c r="BJ34" s="205"/>
      <c r="BK34" s="205"/>
      <c r="BL34" s="206"/>
      <c r="BM34" s="200"/>
      <c r="BN34" s="200"/>
    </row>
    <row r="35" spans="1:66" s="198" customFormat="1" ht="20.100000000000001" customHeight="1" x14ac:dyDescent="0.45">
      <c r="A35" s="199"/>
      <c r="B35" s="199"/>
      <c r="C35" s="203">
        <f t="shared" si="0"/>
        <v>26</v>
      </c>
      <c r="D35" s="212"/>
      <c r="E35" s="213"/>
      <c r="F35" s="213"/>
      <c r="G35" s="214"/>
      <c r="H35" s="97"/>
      <c r="K35" s="221"/>
      <c r="L35" s="217" t="s">
        <v>113</v>
      </c>
      <c r="M35" s="222"/>
      <c r="N35" s="222"/>
      <c r="O35" s="223"/>
      <c r="P35" s="260" t="s">
        <v>58</v>
      </c>
      <c r="Q35" s="261"/>
      <c r="R35" s="261"/>
      <c r="S35" s="261"/>
      <c r="T35" s="261"/>
      <c r="U35" s="261"/>
      <c r="V35" s="261"/>
      <c r="W35" s="262"/>
      <c r="X35" s="260" t="s">
        <v>46</v>
      </c>
      <c r="Y35" s="261"/>
      <c r="Z35" s="261"/>
      <c r="AA35" s="261"/>
      <c r="AB35" s="261"/>
      <c r="AC35" s="261"/>
      <c r="AD35" s="261"/>
      <c r="AE35" s="262"/>
      <c r="AF35" s="166"/>
      <c r="AG35" s="167"/>
      <c r="AH35" s="167"/>
      <c r="AI35" s="167"/>
      <c r="AJ35" s="167"/>
      <c r="AK35" s="167"/>
      <c r="AL35" s="167"/>
      <c r="AM35" s="167"/>
      <c r="AN35" s="168"/>
      <c r="AO35" s="257">
        <v>45674</v>
      </c>
      <c r="AP35" s="258"/>
      <c r="AQ35" s="256" t="s">
        <v>117</v>
      </c>
      <c r="AR35" s="252"/>
      <c r="AS35" s="256" t="s">
        <v>118</v>
      </c>
      <c r="AT35" s="259"/>
      <c r="AU35" s="209"/>
      <c r="AV35" s="210"/>
      <c r="AW35" s="201"/>
      <c r="AX35" s="202"/>
      <c r="AY35" s="201"/>
      <c r="AZ35" s="211"/>
      <c r="BA35" s="204"/>
      <c r="BB35" s="205"/>
      <c r="BC35" s="205"/>
      <c r="BD35" s="205"/>
      <c r="BE35" s="205"/>
      <c r="BF35" s="205"/>
      <c r="BG35" s="205"/>
      <c r="BH35" s="205"/>
      <c r="BI35" s="205"/>
      <c r="BJ35" s="205"/>
      <c r="BK35" s="205"/>
      <c r="BL35" s="206"/>
      <c r="BM35" s="200"/>
      <c r="BN35" s="200"/>
    </row>
    <row r="36" spans="1:66" s="98" customFormat="1" ht="20.100000000000001" customHeight="1" x14ac:dyDescent="0.45">
      <c r="A36" s="99"/>
      <c r="B36" s="99"/>
      <c r="C36" s="203">
        <f t="shared" si="0"/>
        <v>27</v>
      </c>
      <c r="D36" s="103"/>
      <c r="E36" s="104"/>
      <c r="F36" s="104"/>
      <c r="G36" s="105"/>
      <c r="H36" s="97"/>
      <c r="K36" s="93"/>
      <c r="L36" s="217" t="s">
        <v>114</v>
      </c>
      <c r="M36" s="112"/>
      <c r="N36" s="112"/>
      <c r="O36" s="113"/>
      <c r="P36" s="260" t="s">
        <v>58</v>
      </c>
      <c r="Q36" s="261"/>
      <c r="R36" s="261"/>
      <c r="S36" s="261"/>
      <c r="T36" s="261"/>
      <c r="U36" s="261"/>
      <c r="V36" s="261"/>
      <c r="W36" s="262"/>
      <c r="X36" s="260" t="s">
        <v>46</v>
      </c>
      <c r="Y36" s="261"/>
      <c r="Z36" s="261"/>
      <c r="AA36" s="261"/>
      <c r="AB36" s="261"/>
      <c r="AC36" s="261"/>
      <c r="AD36" s="261"/>
      <c r="AE36" s="262"/>
      <c r="AF36" s="292"/>
      <c r="AG36" s="293"/>
      <c r="AH36" s="293"/>
      <c r="AI36" s="293"/>
      <c r="AJ36" s="293"/>
      <c r="AK36" s="293"/>
      <c r="AL36" s="293"/>
      <c r="AM36" s="293"/>
      <c r="AN36" s="294"/>
      <c r="AO36" s="257">
        <v>45674</v>
      </c>
      <c r="AP36" s="258"/>
      <c r="AQ36" s="256" t="s">
        <v>117</v>
      </c>
      <c r="AR36" s="252"/>
      <c r="AS36" s="256" t="s">
        <v>118</v>
      </c>
      <c r="AT36" s="259"/>
      <c r="AU36" s="110"/>
      <c r="AV36" s="111"/>
      <c r="AW36" s="101"/>
      <c r="AX36" s="102"/>
      <c r="AY36" s="101"/>
      <c r="AZ36" s="106"/>
      <c r="BA36" s="107"/>
      <c r="BB36" s="108"/>
      <c r="BC36" s="108"/>
      <c r="BD36" s="108"/>
      <c r="BE36" s="108"/>
      <c r="BF36" s="108"/>
      <c r="BG36" s="108"/>
      <c r="BH36" s="108"/>
      <c r="BI36" s="108"/>
      <c r="BJ36" s="108"/>
      <c r="BK36" s="108"/>
      <c r="BL36" s="109"/>
      <c r="BM36" s="100"/>
      <c r="BN36" s="100"/>
    </row>
    <row r="37" spans="1:66" ht="20.100000000000001" customHeight="1" x14ac:dyDescent="0.45">
      <c r="A37" s="41"/>
      <c r="B37" s="41"/>
      <c r="C37" s="203">
        <f t="shared" si="0"/>
        <v>28</v>
      </c>
      <c r="D37" s="53"/>
      <c r="E37" s="54"/>
      <c r="F37" s="54"/>
      <c r="G37" s="55"/>
      <c r="H37" s="301" t="s">
        <v>49</v>
      </c>
      <c r="I37" s="302"/>
      <c r="J37" s="302"/>
      <c r="K37" s="303"/>
      <c r="L37" s="304" t="s">
        <v>50</v>
      </c>
      <c r="M37" s="305"/>
      <c r="N37" s="305"/>
      <c r="O37" s="306"/>
      <c r="P37" s="304" t="s">
        <v>60</v>
      </c>
      <c r="Q37" s="305"/>
      <c r="R37" s="305"/>
      <c r="S37" s="305"/>
      <c r="T37" s="305"/>
      <c r="U37" s="305"/>
      <c r="V37" s="305"/>
      <c r="W37" s="306"/>
      <c r="X37" s="304" t="s">
        <v>51</v>
      </c>
      <c r="Y37" s="305"/>
      <c r="Z37" s="305"/>
      <c r="AA37" s="305"/>
      <c r="AB37" s="305"/>
      <c r="AC37" s="305"/>
      <c r="AD37" s="305"/>
      <c r="AE37" s="307"/>
      <c r="AF37" s="56"/>
      <c r="AG37" s="57"/>
      <c r="AH37" s="57"/>
      <c r="AI37" s="57"/>
      <c r="AJ37" s="57"/>
      <c r="AK37" s="57"/>
      <c r="AL37" s="57"/>
      <c r="AM37" s="57"/>
      <c r="AN37" s="62"/>
      <c r="AO37" s="257">
        <v>45674</v>
      </c>
      <c r="AP37" s="258"/>
      <c r="AQ37" s="256" t="s">
        <v>117</v>
      </c>
      <c r="AR37" s="252"/>
      <c r="AS37" s="256" t="s">
        <v>118</v>
      </c>
      <c r="AT37" s="259"/>
      <c r="AU37" s="63"/>
      <c r="AV37" s="64"/>
      <c r="AW37" s="47"/>
      <c r="AX37" s="48"/>
      <c r="AY37" s="47"/>
      <c r="AZ37" s="58"/>
      <c r="BA37" s="59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1"/>
      <c r="BM37" s="44"/>
      <c r="BN37" s="44"/>
    </row>
    <row r="38" spans="1:66" ht="20.100000000000001" customHeight="1" thickBot="1" x14ac:dyDescent="0.5">
      <c r="A38" s="41"/>
      <c r="B38" s="41"/>
      <c r="C38" s="203">
        <f t="shared" si="0"/>
        <v>29</v>
      </c>
      <c r="D38" s="53"/>
      <c r="E38" s="54"/>
      <c r="F38" s="54"/>
      <c r="G38" s="55"/>
      <c r="H38" s="308"/>
      <c r="I38" s="309"/>
      <c r="J38" s="309"/>
      <c r="K38" s="310"/>
      <c r="L38" s="295" t="s">
        <v>52</v>
      </c>
      <c r="M38" s="296"/>
      <c r="N38" s="296"/>
      <c r="O38" s="311"/>
      <c r="P38" s="295" t="s">
        <v>61</v>
      </c>
      <c r="Q38" s="296"/>
      <c r="R38" s="296"/>
      <c r="S38" s="296"/>
      <c r="T38" s="296"/>
      <c r="U38" s="296"/>
      <c r="V38" s="296"/>
      <c r="W38" s="311"/>
      <c r="X38" s="295" t="s">
        <v>51</v>
      </c>
      <c r="Y38" s="296"/>
      <c r="Z38" s="296"/>
      <c r="AA38" s="296"/>
      <c r="AB38" s="296"/>
      <c r="AC38" s="296"/>
      <c r="AD38" s="296"/>
      <c r="AE38" s="297"/>
      <c r="AF38" s="56"/>
      <c r="AG38" s="57"/>
      <c r="AH38" s="57"/>
      <c r="AI38" s="57"/>
      <c r="AJ38" s="57"/>
      <c r="AK38" s="57"/>
      <c r="AL38" s="57"/>
      <c r="AM38" s="57"/>
      <c r="AN38" s="62"/>
      <c r="AO38" s="257">
        <v>45674</v>
      </c>
      <c r="AP38" s="258"/>
      <c r="AQ38" s="256" t="s">
        <v>117</v>
      </c>
      <c r="AR38" s="252"/>
      <c r="AS38" s="256" t="s">
        <v>118</v>
      </c>
      <c r="AT38" s="259"/>
      <c r="AU38" s="63"/>
      <c r="AV38" s="64"/>
      <c r="AW38" s="47"/>
      <c r="AX38" s="48"/>
      <c r="AY38" s="47"/>
      <c r="AZ38" s="58"/>
      <c r="BA38" s="59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1"/>
      <c r="BM38" s="44"/>
      <c r="BN38" s="44"/>
    </row>
    <row r="39" spans="1:66" ht="20.100000000000001" customHeight="1" thickTop="1" thickBot="1" x14ac:dyDescent="0.5">
      <c r="A39" s="41"/>
      <c r="B39" s="40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0"/>
      <c r="BN39" s="44"/>
    </row>
    <row r="40" spans="1:66" ht="5.0999999999999996" customHeight="1" thickTop="1" x14ac:dyDescent="0.45"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</row>
    <row r="41" spans="1:66" ht="20.100000000000001" customHeight="1" x14ac:dyDescent="0.45"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</row>
  </sheetData>
  <mergeCells count="192">
    <mergeCell ref="AS34:AT34"/>
    <mergeCell ref="AS35:AT35"/>
    <mergeCell ref="AS36:AT36"/>
    <mergeCell ref="AS37:AT37"/>
    <mergeCell ref="AS38:AT38"/>
    <mergeCell ref="AS25:AT25"/>
    <mergeCell ref="AS26:AT26"/>
    <mergeCell ref="AS27:AT27"/>
    <mergeCell ref="AS28:AT28"/>
    <mergeCell ref="AS29:AT29"/>
    <mergeCell ref="AS30:AT30"/>
    <mergeCell ref="AS31:AT31"/>
    <mergeCell ref="AS32:AT32"/>
    <mergeCell ref="AS33:AT33"/>
    <mergeCell ref="AS16:AT16"/>
    <mergeCell ref="AS17:AT17"/>
    <mergeCell ref="AS18:AT18"/>
    <mergeCell ref="AS19:AT19"/>
    <mergeCell ref="AS20:AT20"/>
    <mergeCell ref="AS21:AT21"/>
    <mergeCell ref="AS22:AT22"/>
    <mergeCell ref="AS23:AT23"/>
    <mergeCell ref="AS24:AT24"/>
    <mergeCell ref="H37:K37"/>
    <mergeCell ref="L37:O37"/>
    <mergeCell ref="P37:W37"/>
    <mergeCell ref="X37:AE37"/>
    <mergeCell ref="H38:K38"/>
    <mergeCell ref="L38:O38"/>
    <mergeCell ref="P38:W38"/>
    <mergeCell ref="BG7:BH7"/>
    <mergeCell ref="BI7:BJ7"/>
    <mergeCell ref="X34:AE34"/>
    <mergeCell ref="X35:AE35"/>
    <mergeCell ref="AF10:AN10"/>
    <mergeCell ref="P36:W36"/>
    <mergeCell ref="P28:W28"/>
    <mergeCell ref="P29:W29"/>
    <mergeCell ref="P20:W20"/>
    <mergeCell ref="P21:W21"/>
    <mergeCell ref="P22:W22"/>
    <mergeCell ref="P23:W23"/>
    <mergeCell ref="P24:W24"/>
    <mergeCell ref="P16:W16"/>
    <mergeCell ref="P17:W17"/>
    <mergeCell ref="P18:W18"/>
    <mergeCell ref="P19:W19"/>
    <mergeCell ref="BK7:BL7"/>
    <mergeCell ref="AX3:BA4"/>
    <mergeCell ref="BB3:BE4"/>
    <mergeCell ref="BF3:BI4"/>
    <mergeCell ref="AX2:BA2"/>
    <mergeCell ref="BB2:BE2"/>
    <mergeCell ref="X38:AE38"/>
    <mergeCell ref="B2:G2"/>
    <mergeCell ref="H2:K2"/>
    <mergeCell ref="L2:Q2"/>
    <mergeCell ref="D10:G10"/>
    <mergeCell ref="B3:G4"/>
    <mergeCell ref="H3:K4"/>
    <mergeCell ref="AF12:AN12"/>
    <mergeCell ref="AF36:AN36"/>
    <mergeCell ref="X11:AE11"/>
    <mergeCell ref="X10:AE10"/>
    <mergeCell ref="X36:AE36"/>
    <mergeCell ref="X28:AE28"/>
    <mergeCell ref="X29:AE29"/>
    <mergeCell ref="X30:AE30"/>
    <mergeCell ref="X31:AE31"/>
    <mergeCell ref="X32:AE32"/>
    <mergeCell ref="X33:AE33"/>
    <mergeCell ref="AK2:AW2"/>
    <mergeCell ref="R2:W2"/>
    <mergeCell ref="X2:AJ2"/>
    <mergeCell ref="BF2:BI2"/>
    <mergeCell ref="P12:W12"/>
    <mergeCell ref="X12:AE12"/>
    <mergeCell ref="H10:K10"/>
    <mergeCell ref="L10:O10"/>
    <mergeCell ref="AY9:AZ9"/>
    <mergeCell ref="BA9:BL9"/>
    <mergeCell ref="AO9:AP9"/>
    <mergeCell ref="AQ9:AR9"/>
    <mergeCell ref="AS9:AT9"/>
    <mergeCell ref="AU9:AV9"/>
    <mergeCell ref="AW9:AX9"/>
    <mergeCell ref="BJ2:BM2"/>
    <mergeCell ref="AO8:AT8"/>
    <mergeCell ref="AU8:AZ8"/>
    <mergeCell ref="BG8:BH8"/>
    <mergeCell ref="BI8:BJ8"/>
    <mergeCell ref="BK8:BL8"/>
    <mergeCell ref="BJ3:BM4"/>
    <mergeCell ref="BE7:BF8"/>
    <mergeCell ref="R3:W4"/>
    <mergeCell ref="X3:AJ4"/>
    <mergeCell ref="P11:W11"/>
    <mergeCell ref="P10:W10"/>
    <mergeCell ref="AF11:AN11"/>
    <mergeCell ref="L3:Q4"/>
    <mergeCell ref="AK3:AW4"/>
    <mergeCell ref="P13:W13"/>
    <mergeCell ref="P14:W14"/>
    <mergeCell ref="P15:W15"/>
    <mergeCell ref="AS10:AT10"/>
    <mergeCell ref="AS11:AT11"/>
    <mergeCell ref="AS12:AT12"/>
    <mergeCell ref="AS13:AT13"/>
    <mergeCell ref="AS14:AT14"/>
    <mergeCell ref="AS15:AT15"/>
    <mergeCell ref="AO10:AP10"/>
    <mergeCell ref="AQ10:AR10"/>
    <mergeCell ref="AO11:AP11"/>
    <mergeCell ref="AQ11:AR11"/>
    <mergeCell ref="AO12:AP12"/>
    <mergeCell ref="AQ12:AR12"/>
    <mergeCell ref="AO13:AP13"/>
    <mergeCell ref="AQ13:AR13"/>
    <mergeCell ref="AO14:AP14"/>
    <mergeCell ref="P35:W35"/>
    <mergeCell ref="X13:AE13"/>
    <mergeCell ref="X14:AE14"/>
    <mergeCell ref="X15:AE15"/>
    <mergeCell ref="X16:AE16"/>
    <mergeCell ref="X17:AE17"/>
    <mergeCell ref="X18:AE18"/>
    <mergeCell ref="X19:AE19"/>
    <mergeCell ref="X20:AE20"/>
    <mergeCell ref="X21:AE21"/>
    <mergeCell ref="X22:AE22"/>
    <mergeCell ref="X23:AE23"/>
    <mergeCell ref="X24:AE24"/>
    <mergeCell ref="X25:AE25"/>
    <mergeCell ref="X26:AE26"/>
    <mergeCell ref="X27:AE27"/>
    <mergeCell ref="P30:W30"/>
    <mergeCell ref="P31:W31"/>
    <mergeCell ref="P32:W32"/>
    <mergeCell ref="P33:W33"/>
    <mergeCell ref="P34:W34"/>
    <mergeCell ref="P25:W25"/>
    <mergeCell ref="P26:W26"/>
    <mergeCell ref="P27:W27"/>
    <mergeCell ref="AQ14:AR14"/>
    <mergeCell ref="AO15:AP15"/>
    <mergeCell ref="AQ15:AR15"/>
    <mergeCell ref="AO16:AP16"/>
    <mergeCell ref="AQ16:AR16"/>
    <mergeCell ref="AO17:AP17"/>
    <mergeCell ref="AQ17:AR17"/>
    <mergeCell ref="AO18:AP18"/>
    <mergeCell ref="AQ18:AR18"/>
    <mergeCell ref="AO19:AP19"/>
    <mergeCell ref="AQ19:AR19"/>
    <mergeCell ref="AO20:AP20"/>
    <mergeCell ref="AQ20:AR20"/>
    <mergeCell ref="AO21:AP21"/>
    <mergeCell ref="AQ21:AR21"/>
    <mergeCell ref="AO22:AP22"/>
    <mergeCell ref="AQ22:AR22"/>
    <mergeCell ref="AO23:AP23"/>
    <mergeCell ref="AQ23:AR23"/>
    <mergeCell ref="AO24:AP24"/>
    <mergeCell ref="AQ24:AR24"/>
    <mergeCell ref="AO25:AP25"/>
    <mergeCell ref="AQ25:AR25"/>
    <mergeCell ref="AO26:AP26"/>
    <mergeCell ref="AQ26:AR26"/>
    <mergeCell ref="AO27:AP27"/>
    <mergeCell ref="AQ27:AR27"/>
    <mergeCell ref="AO28:AP28"/>
    <mergeCell ref="AQ28:AR28"/>
    <mergeCell ref="AO29:AP29"/>
    <mergeCell ref="AQ29:AR29"/>
    <mergeCell ref="AO30:AP30"/>
    <mergeCell ref="AQ30:AR30"/>
    <mergeCell ref="AO31:AP31"/>
    <mergeCell ref="AQ31:AR31"/>
    <mergeCell ref="AO32:AP32"/>
    <mergeCell ref="AQ32:AR32"/>
    <mergeCell ref="AO33:AP33"/>
    <mergeCell ref="AQ33:AR33"/>
    <mergeCell ref="AO34:AP34"/>
    <mergeCell ref="AQ34:AR34"/>
    <mergeCell ref="AO35:AP35"/>
    <mergeCell ref="AQ35:AR35"/>
    <mergeCell ref="AO36:AP36"/>
    <mergeCell ref="AQ36:AR36"/>
    <mergeCell ref="AO37:AP37"/>
    <mergeCell ref="AQ37:AR37"/>
    <mergeCell ref="AO38:AP38"/>
    <mergeCell ref="AQ38:AR38"/>
  </mergeCells>
  <phoneticPr fontId="2"/>
  <conditionalFormatting sqref="AY10:AY38 AS10:AS38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38 AS10:AS38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NT-240014</cp:lastModifiedBy>
  <cp:lastPrinted>2021-08-19T04:42:28Z</cp:lastPrinted>
  <dcterms:created xsi:type="dcterms:W3CDTF">2021-04-12T04:47:05Z</dcterms:created>
  <dcterms:modified xsi:type="dcterms:W3CDTF">2025-02-24T04:54:45Z</dcterms:modified>
</cp:coreProperties>
</file>