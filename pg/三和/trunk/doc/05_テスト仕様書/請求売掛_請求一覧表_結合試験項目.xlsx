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プレビュー" sheetId="23" r:id="rId4"/>
    <sheet name="参照" sheetId="12" state="hidden" r:id="rId5"/>
  </sheets>
  <definedNames>
    <definedName name="_xlnm.Print_Area" localSheetId="3">プレビュー!$A$1:$BN$48</definedName>
    <definedName name="_xlnm.Print_Area" localSheetId="1">画面!$A$1:$BN$32</definedName>
    <definedName name="_xlnm.Print_Area" localSheetId="2">帳票!$A$1:$BN$48</definedName>
    <definedName name="_xlnm.Print_Area" localSheetId="0">変更履歴!$A$1:$BN$49</definedName>
    <definedName name="_xlnm.Print_Titles" localSheetId="3">プレビュー!$1:$5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5" i="19"/>
  <c r="C26" i="19"/>
  <c r="C27" i="19"/>
  <c r="C28" i="19"/>
  <c r="C29" i="19"/>
  <c r="C30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10" i="23" l="1"/>
  <c r="BI8" i="23"/>
  <c r="BJ3" i="23"/>
  <c r="BF3" i="23"/>
  <c r="BB3" i="23"/>
  <c r="AX3" i="23"/>
  <c r="L3" i="23"/>
  <c r="B3" i="23"/>
  <c r="BG8" i="23" l="1"/>
  <c r="BK8" i="23" s="1"/>
  <c r="C10" i="20" l="1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3" s="1"/>
  <c r="X3" i="20" l="1"/>
  <c r="BG8" i="19"/>
  <c r="BK8" i="19" s="1"/>
  <c r="X3" i="19"/>
  <c r="H3" i="1"/>
  <c r="H3" i="23" s="1"/>
  <c r="R3" i="1"/>
  <c r="R3" i="23" s="1"/>
  <c r="AK3" i="1"/>
  <c r="AK3" i="23" s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<sst xmlns="http://schemas.openxmlformats.org/spreadsheetml/2006/main" count="606" uniqueCount="153">
  <si>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</si>
  <si>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</si>
  <si>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</si>
  <si>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</si>
  <si>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</si>
  <si>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</si>
  <si>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</si>
  <si>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</si>
  <si>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</si>
  <si>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</si>
  <si>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</si>
  <si>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</si>
  <si>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</si>
  <si>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</si>
  <si>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</si>
  <si>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</si>
  <si>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</si>
  <si>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</si>
  <si>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</si>
  <si>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</si>
  <si>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</si>
  <si>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</si>
  <si>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</si>
  <si>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</si>
  <si>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</si>
  <si>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</si>
  <si>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</si>
  <si>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</si>
  <si>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</si>
  <si>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</si>
  <si>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</si>
  <si>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</si>
  <si>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</si>
  <si>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</si>
  <si>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</si>
  <si>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</si>
  <si>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</si>
  <si>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</si>
  <si>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</si>
  <si>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</si>
  <si>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</si>
  <si>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</si>
  <si>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</si>
  <si>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</si>
  <si>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 xml:space="preserve">入力欄が活性、かつ、今日日付が入力されていること       
</t>
    <rPh sb="10" eb="14">
      <t>キョウヒヅケ</t>
    </rPh>
    <rPh sb="15" eb="17">
      <t>ニュウリョク</t>
    </rPh>
    <phoneticPr fontId="2"/>
  </si>
  <si>
    <t xml:space="preserve">入力欄が活性、かつ、空欄であること       
</t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</si>
  <si>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</si>
  <si>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</si>
  <si>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設定ボタン</t>
    <rPh sb="0" eb="2">
      <t>セッテイ</t>
    </rPh>
    <phoneticPr fontId="2"/>
  </si>
  <si>
    <t>設定ボタンが表示されていないこと</t>
    <rPh sb="6" eb="8">
      <t>ヒョウジ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</si>
  <si>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</si>
  <si>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</si>
  <si>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</si>
  <si>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</si>
  <si>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</si>
  <si>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</si>
  <si>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</si>
  <si>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</si>
  <si>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</si>
  <si>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</si>
  <si>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</si>
  <si>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</si>
  <si>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</si>
  <si>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エラー確認</t>
    <phoneticPr fontId="2"/>
  </si>
  <si>
    <t>印刷ボタン</t>
    <rPh sb="0" eb="2">
      <t>インサツ</t>
    </rPh>
    <phoneticPr fontId="2"/>
  </si>
  <si>
    <t>メッセージが出力され、印刷されないこと</t>
    <rPh sb="6" eb="8">
      <t>シュツリョク</t>
    </rPh>
    <rPh sb="11" eb="13">
      <t>インサツ</t>
    </rPh>
    <phoneticPr fontId="2"/>
  </si>
  <si>
    <t>プレビューボタン</t>
    <phoneticPr fontId="2"/>
  </si>
  <si>
    <t>メッセージが出力され、プレビューが表示されないこと</t>
    <rPh sb="6" eb="8">
      <t>シュツリョク</t>
    </rPh>
    <rPh sb="17" eb="19">
      <t>ヒョウジ</t>
    </rPh>
    <phoneticPr fontId="2"/>
  </si>
  <si>
    <t>エラーメッセージが表示されること</t>
    <rPh sb="9" eb="11">
      <t>ヒョウジ</t>
    </rPh>
    <phoneticPr fontId="2"/>
  </si>
  <si>
    <t>該当するデータがない範囲を指定して印刷ボタンを押下する</t>
    <rPh sb="0" eb="2">
      <t>ガイトウ</t>
    </rPh>
    <rPh sb="10" eb="12">
      <t>ハンイ</t>
    </rPh>
    <rPh sb="13" eb="15">
      <t>シテイ</t>
    </rPh>
    <rPh sb="17" eb="19">
      <t>インサツ</t>
    </rPh>
    <rPh sb="23" eb="25">
      <t>オウカ</t>
    </rPh>
    <phoneticPr fontId="2"/>
  </si>
  <si>
    <t>該当するデータがない範囲を指定してプレビューボタンを押下する</t>
    <rPh sb="10" eb="12">
      <t>ハンイ</t>
    </rPh>
    <rPh sb="13" eb="15">
      <t>シテイ</t>
    </rPh>
    <rPh sb="26" eb="28">
      <t>オウカ</t>
    </rPh>
    <phoneticPr fontId="2"/>
  </si>
  <si>
    <t>プレビューボタンを押下する</t>
    <rPh sb="9" eb="11">
      <t>オウカ</t>
    </rPh>
    <phoneticPr fontId="2"/>
  </si>
  <si>
    <t>プレビューが表示されること</t>
    <rPh sb="6" eb="8">
      <t>ヒョウジ</t>
    </rPh>
    <phoneticPr fontId="2"/>
  </si>
  <si>
    <t>From,Toどちらにも値を入力して印刷ボタンを押下</t>
    <phoneticPr fontId="2"/>
  </si>
  <si>
    <t>現行システムと同じデータが出力されること</t>
  </si>
  <si>
    <t>得意先CD</t>
    <rPh sb="0" eb="3">
      <t>トクイサキ</t>
    </rPh>
    <phoneticPr fontId="2"/>
  </si>
  <si>
    <t>Fromにのみ値を入力して印刷ボタンを押下</t>
    <rPh sb="7" eb="8">
      <t>アタイ</t>
    </rPh>
    <rPh sb="13" eb="15">
      <t>インサツ</t>
    </rPh>
    <phoneticPr fontId="2"/>
  </si>
  <si>
    <t>Toにのみ値を入力して印刷ボタンを押下</t>
    <rPh sb="11" eb="13">
      <t>インサツ</t>
    </rPh>
    <phoneticPr fontId="2"/>
  </si>
  <si>
    <t>From,Toどちらにも値を入力せずに印刷ボタンを押下</t>
    <phoneticPr fontId="2"/>
  </si>
  <si>
    <t>出力バリエーション</t>
    <phoneticPr fontId="2"/>
  </si>
  <si>
    <t>出力種類</t>
    <phoneticPr fontId="2"/>
  </si>
  <si>
    <t>印刷ボタンを押下</t>
    <phoneticPr fontId="2"/>
  </si>
  <si>
    <t>PDFで帳票が印刷されること</t>
    <rPh sb="4" eb="6">
      <t>チョウヒョウ</t>
    </rPh>
    <rPh sb="7" eb="9">
      <t>インサツ</t>
    </rPh>
    <phoneticPr fontId="2"/>
  </si>
  <si>
    <t>作成日</t>
  </si>
  <si>
    <t>担当者名</t>
  </si>
  <si>
    <t>得意先CD</t>
  </si>
  <si>
    <t>得意先名1</t>
  </si>
  <si>
    <t>得意先名2</t>
  </si>
  <si>
    <t>入金金額</t>
  </si>
  <si>
    <t>From,Toどちらにも値を入力してプレビューボタンを押下</t>
  </si>
  <si>
    <t>Fromにのみ値を入力してプレビューボタンを押下</t>
    <rPh sb="7" eb="8">
      <t>アタイ</t>
    </rPh>
    <phoneticPr fontId="2"/>
  </si>
  <si>
    <t>Toにのみ値を入力してプレビューボタンを押下</t>
    <phoneticPr fontId="2"/>
  </si>
  <si>
    <t>From,Toどちらにも値を入力せずにプレビューボタンを押下</t>
  </si>
  <si>
    <t>プレビューボタンを押下</t>
  </si>
  <si>
    <t>PDFで帳票がプレビューされること</t>
    <rPh sb="4" eb="6">
      <t>チョウヒョウ</t>
    </rPh>
    <phoneticPr fontId="2"/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</si>
  <si>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</si>
  <si>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</si>
  <si>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出力内容</t>
    <rPh sb="0" eb="2">
      <t>シュツリョク</t>
    </rPh>
    <rPh sb="2" eb="4">
      <t>ナイヨウ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</si>
  <si>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</si>
  <si>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</si>
  <si>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</si>
  <si>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</si>
  <si>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</si>
  <si>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</si>
  <si>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</si>
  <si>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>メニューより請求一覧表を起動する</t>
    <phoneticPr fontId="2"/>
  </si>
  <si>
    <t>以下の項目が得意先入力前と同じであること
請求年月
得意先CD(To)</t>
    <rPh sb="6" eb="12">
      <t>トクイサキニュウリョクマエ</t>
    </rPh>
    <rPh sb="13" eb="14">
      <t>オナ</t>
    </rPh>
    <phoneticPr fontId="2"/>
  </si>
  <si>
    <t>以下の項目が得意先入力前と同じであること
請求年月
得意先CD(From)</t>
    <rPh sb="6" eb="12">
      <t>トクイサキニュウリョクマエ</t>
    </rPh>
    <rPh sb="13" eb="14">
      <t>オナ</t>
    </rPh>
    <phoneticPr fontId="2"/>
  </si>
  <si>
    <t>請求年月</t>
    <phoneticPr fontId="2"/>
  </si>
  <si>
    <t>請求日付</t>
  </si>
  <si>
    <t>開始CD</t>
  </si>
  <si>
    <t>終了CD</t>
  </si>
  <si>
    <t>前月残高</t>
  </si>
  <si>
    <t>調整金額</t>
  </si>
  <si>
    <t>差引繰越額</t>
  </si>
  <si>
    <t>売上金額</t>
  </si>
  <si>
    <t>返品金額</t>
  </si>
  <si>
    <t>訂正金額</t>
  </si>
  <si>
    <t>差引売上額</t>
  </si>
  <si>
    <t>消費税額</t>
  </si>
  <si>
    <t>当月残高</t>
  </si>
  <si>
    <t>入金予定日</t>
  </si>
  <si>
    <t>請求様式名</t>
  </si>
  <si>
    <t>前月残高計</t>
  </si>
  <si>
    <t>入金金額計</t>
  </si>
  <si>
    <t>調整金額計</t>
  </si>
  <si>
    <t>差引繰越額計</t>
  </si>
  <si>
    <t>売上金額計</t>
  </si>
  <si>
    <t>返品金額計</t>
  </si>
  <si>
    <t>訂正金額計</t>
  </si>
  <si>
    <t>差引売上額計</t>
  </si>
  <si>
    <t>消費税額計</t>
  </si>
  <si>
    <t>当月請求額計</t>
  </si>
  <si>
    <t>複数ページとならないデータでプレビューボタンを押下</t>
    <rPh sb="0" eb="2">
      <t>フクスウ</t>
    </rPh>
    <rPh sb="23" eb="25">
      <t>オウカ</t>
    </rPh>
    <phoneticPr fontId="2"/>
  </si>
  <si>
    <t>複数ページとなるデータでプレビューボタンを押下</t>
    <rPh sb="0" eb="2">
      <t>フクスウ</t>
    </rPh>
    <rPh sb="21" eb="23">
      <t>オウカ</t>
    </rPh>
    <phoneticPr fontId="2"/>
  </si>
  <si>
    <t>複数ページとならないデータで印刷ボタンを押下</t>
    <rPh sb="0" eb="2">
      <t>フクスウ</t>
    </rPh>
    <rPh sb="14" eb="16">
      <t>インサツ</t>
    </rPh>
    <rPh sb="20" eb="22">
      <t>オウカ</t>
    </rPh>
    <phoneticPr fontId="2"/>
  </si>
  <si>
    <t>複数ページとなるデータで印刷ボタンを押下</t>
    <rPh sb="0" eb="2">
      <t>フクスウ</t>
    </rPh>
    <rPh sb="12" eb="14">
      <t>インサツ</t>
    </rPh>
    <rPh sb="18" eb="20">
      <t>オウカ</t>
    </rPh>
    <phoneticPr fontId="2"/>
  </si>
  <si>
    <t>児玉</t>
    <rPh sb="0" eb="2">
      <t>コダマ</t>
    </rPh>
    <phoneticPr fontId="2"/>
  </si>
  <si>
    <t xml:space="preserve">詳細情報
SU0400_請求一覧表_帳票設計書.xlsx
</t>
    <phoneticPr fontId="2"/>
  </si>
  <si>
    <t>印刷ボタンを押下する</t>
    <phoneticPr fontId="2"/>
  </si>
  <si>
    <t>PDFで出力されること</t>
    <rPh sb="4" eb="6">
      <t>シュツリョク</t>
    </rPh>
    <phoneticPr fontId="2"/>
  </si>
  <si>
    <t>プレビュー</t>
    <phoneticPr fontId="2"/>
  </si>
  <si>
    <t>帳票</t>
    <phoneticPr fontId="2"/>
  </si>
  <si>
    <t>松村</t>
    <rPh sb="0" eb="2">
      <t>マツムラ</t>
    </rPh>
    <phoneticPr fontId="2"/>
  </si>
  <si>
    <t>OK</t>
    <phoneticPr fontId="2"/>
  </si>
  <si>
    <t>NG</t>
  </si>
  <si>
    <t>データを入力した後、再度起動すると前回のデータが残っている</t>
    <rPh sb="4" eb="6">
      <t>ニュウリョク</t>
    </rPh>
    <rPh sb="8" eb="9">
      <t>ノチ</t>
    </rPh>
    <rPh sb="10" eb="12">
      <t>サイド</t>
    </rPh>
    <rPh sb="12" eb="14">
      <t>キドウ</t>
    </rPh>
    <rPh sb="17" eb="19">
      <t>ゼンカイ</t>
    </rPh>
    <rPh sb="24" eb="25">
      <t>ノコ</t>
    </rPh>
    <phoneticPr fontId="2"/>
  </si>
  <si>
    <t>データを入力した後、再度起動すると前回のデータが残っている</t>
    <phoneticPr fontId="2"/>
  </si>
  <si>
    <t>プレビューボタンが表示されていない</t>
    <rPh sb="9" eb="11">
      <t>ヒョウジ</t>
    </rPh>
    <phoneticPr fontId="2"/>
  </si>
  <si>
    <t>児玉</t>
    <rPh sb="0" eb="2">
      <t>コダマ</t>
    </rPh>
    <phoneticPr fontId="2"/>
  </si>
  <si>
    <t>OK</t>
    <phoneticPr fontId="2"/>
  </si>
  <si>
    <t>実装なし</t>
    <rPh sb="0" eb="2">
      <t>ジッソウ</t>
    </rPh>
    <phoneticPr fontId="2"/>
  </si>
  <si>
    <t>ダイアログが終了すること</t>
    <rPh sb="6" eb="8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</si>
</sst>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20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81" t="s">
        <v>0</v>
      </c>
      <c r="C2" s="82"/>
      <c r="D2" s="82"/>
      <c r="E2" s="82"/>
      <c r="F2" s="82"/>
      <c r="G2" s="82"/>
      <c r="H2" s="82" t="s">
        <v>40</v>
      </c>
      <c r="I2" s="82"/>
      <c r="J2" s="82"/>
      <c r="K2" s="82"/>
      <c r="L2" s="82" t="s">
        <v>41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30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5"/>
    </row>
    <row r="3" spans="1:66" ht="20.100000000000001" customHeight="1" x14ac:dyDescent="0.45">
      <c r="A3" s="9"/>
      <c r="B3" s="86" t="s">
        <v>38</v>
      </c>
      <c r="C3" s="87"/>
      <c r="D3" s="87"/>
      <c r="E3" s="87"/>
      <c r="F3" s="87"/>
      <c r="G3" s="87"/>
      <c r="H3" s="87" t="str">
        <f ca="1">LEFT($X$3,FIND("_",$X$3)-1)</f>
        <v>請求売掛</v>
      </c>
      <c r="I3" s="87"/>
      <c r="J3" s="87"/>
      <c r="K3" s="87"/>
      <c r="L3" s="87" t="s">
        <v>39</v>
      </c>
      <c r="M3" s="87"/>
      <c r="N3" s="87"/>
      <c r="O3" s="87"/>
      <c r="P3" s="87"/>
      <c r="Q3" s="87"/>
      <c r="R3" s="90" t="str">
        <f ca="1">MID($X$3,FIND("_",$X$3,FIND("_",$X$3)+1)+1,LEN($X$3)-FIND("_",$X$3,FIND("_",$X$3)+1))</f>
        <v>結合試験項目</v>
      </c>
      <c r="S3" s="87"/>
      <c r="T3" s="87"/>
      <c r="U3" s="87"/>
      <c r="V3" s="87"/>
      <c r="W3" s="87"/>
      <c r="X3" s="91" t="str">
        <f ca="1">REPLACE(LEFT(CELL("filename",$B$2),FIND(".x",CELL("filename",$B$2))-1),1,FIND("[",CELL("filename",$B$2)),)</f>
        <v>請求売掛_請求一覧表_結合試験項目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MID($X$3,FIND("_",$X$3)+1,FIND("_",$X$3,FIND("_",$X$3)+1)-FIND("_",$X$3)-1)</f>
        <v>請求一覧表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v>45628</v>
      </c>
      <c r="AY3" s="87"/>
      <c r="AZ3" s="87"/>
      <c r="BA3" s="87"/>
      <c r="BB3" s="87" t="s">
        <v>137</v>
      </c>
      <c r="BC3" s="87"/>
      <c r="BD3" s="87"/>
      <c r="BE3" s="87"/>
      <c r="BF3" s="98">
        <v>45628</v>
      </c>
      <c r="BG3" s="87"/>
      <c r="BH3" s="87"/>
      <c r="BI3" s="87"/>
      <c r="BJ3" s="87" t="s">
        <v>137</v>
      </c>
      <c r="BK3" s="87"/>
      <c r="BL3" s="87"/>
      <c r="BM3" s="99"/>
      <c r="BN3" s="15"/>
    </row>
    <row r="4" spans="1:66" ht="20.100000000000001" customHeight="1" thickBot="1" x14ac:dyDescent="0.5">
      <c r="A4" s="9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89"/>
      <c r="AY4" s="89"/>
      <c r="AZ4" s="89"/>
      <c r="BA4" s="89"/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91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97" t="s">
        <v>7</v>
      </c>
      <c r="D8" s="97"/>
      <c r="E8" s="97"/>
      <c r="F8" s="97"/>
      <c r="G8" s="97" t="s">
        <v>8</v>
      </c>
      <c r="H8" s="97"/>
      <c r="I8" s="97"/>
      <c r="J8" s="97"/>
      <c r="K8" s="97" t="s">
        <v>9</v>
      </c>
      <c r="L8" s="97"/>
      <c r="M8" s="97"/>
      <c r="N8" s="97"/>
      <c r="O8" s="97" t="s">
        <v>10</v>
      </c>
      <c r="P8" s="97"/>
      <c r="Q8" s="97"/>
      <c r="R8" s="97"/>
      <c r="S8" s="97"/>
      <c r="T8" s="97"/>
      <c r="U8" s="97"/>
      <c r="V8" s="97"/>
      <c r="W8" s="97"/>
      <c r="X8" s="97"/>
      <c r="Y8" s="97" t="s">
        <v>11</v>
      </c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8"/>
      <c r="BN8" s="15"/>
    </row>
    <row r="9" spans="1:66" ht="20.100000000000001" customHeight="1" x14ac:dyDescent="0.45">
      <c r="A9" s="9"/>
      <c r="B9" s="8"/>
      <c r="C9" s="100">
        <v>45628</v>
      </c>
      <c r="D9" s="101"/>
      <c r="E9" s="101"/>
      <c r="F9" s="102"/>
      <c r="G9" s="103" t="s">
        <v>20</v>
      </c>
      <c r="H9" s="104"/>
      <c r="I9" s="104"/>
      <c r="J9" s="105"/>
      <c r="K9" s="106"/>
      <c r="L9" s="101"/>
      <c r="M9" s="101"/>
      <c r="N9" s="102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00"/>
      <c r="D10" s="101"/>
      <c r="E10" s="101"/>
      <c r="F10" s="102"/>
      <c r="G10" s="103"/>
      <c r="H10" s="104"/>
      <c r="I10" s="104"/>
      <c r="J10" s="105"/>
      <c r="K10" s="106"/>
      <c r="L10" s="101"/>
      <c r="M10" s="101"/>
      <c r="N10" s="102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00"/>
      <c r="D11" s="101"/>
      <c r="E11" s="101"/>
      <c r="F11" s="102"/>
      <c r="G11" s="103"/>
      <c r="H11" s="104"/>
      <c r="I11" s="104"/>
      <c r="J11" s="105"/>
      <c r="K11" s="106"/>
      <c r="L11" s="101"/>
      <c r="M11" s="101"/>
      <c r="N11" s="102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00"/>
      <c r="D36" s="101"/>
      <c r="E36" s="101"/>
      <c r="F36" s="102"/>
      <c r="G36" s="103"/>
      <c r="H36" s="104"/>
      <c r="I36" s="104"/>
      <c r="J36" s="105"/>
      <c r="K36" s="106"/>
      <c r="L36" s="101"/>
      <c r="M36" s="101"/>
      <c r="N36" s="102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00"/>
      <c r="D37" s="101"/>
      <c r="E37" s="101"/>
      <c r="F37" s="102"/>
      <c r="G37" s="103"/>
      <c r="H37" s="104"/>
      <c r="I37" s="104"/>
      <c r="J37" s="105"/>
      <c r="K37" s="106"/>
      <c r="L37" s="101"/>
      <c r="M37" s="101"/>
      <c r="N37" s="102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00"/>
      <c r="D38" s="101"/>
      <c r="E38" s="101"/>
      <c r="F38" s="102"/>
      <c r="G38" s="103"/>
      <c r="H38" s="104"/>
      <c r="I38" s="104"/>
      <c r="J38" s="105"/>
      <c r="K38" s="106"/>
      <c r="L38" s="101"/>
      <c r="M38" s="101"/>
      <c r="N38" s="102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00"/>
      <c r="D39" s="101"/>
      <c r="E39" s="101"/>
      <c r="F39" s="102"/>
      <c r="G39" s="103"/>
      <c r="H39" s="104"/>
      <c r="I39" s="104"/>
      <c r="J39" s="105"/>
      <c r="K39" s="106"/>
      <c r="L39" s="101"/>
      <c r="M39" s="101"/>
      <c r="N39" s="102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00"/>
      <c r="D40" s="101"/>
      <c r="E40" s="101"/>
      <c r="F40" s="102"/>
      <c r="G40" s="103"/>
      <c r="H40" s="104"/>
      <c r="I40" s="104"/>
      <c r="J40" s="105"/>
      <c r="K40" s="106"/>
      <c r="L40" s="101"/>
      <c r="M40" s="101"/>
      <c r="N40" s="102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00"/>
      <c r="D41" s="101"/>
      <c r="E41" s="101"/>
      <c r="F41" s="102"/>
      <c r="G41" s="103"/>
      <c r="H41" s="104"/>
      <c r="I41" s="104"/>
      <c r="J41" s="105"/>
      <c r="K41" s="106"/>
      <c r="L41" s="101"/>
      <c r="M41" s="101"/>
      <c r="N41" s="102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00"/>
      <c r="D42" s="101"/>
      <c r="E42" s="101"/>
      <c r="F42" s="102"/>
      <c r="G42" s="103"/>
      <c r="H42" s="104"/>
      <c r="I42" s="104"/>
      <c r="J42" s="105"/>
      <c r="K42" s="106"/>
      <c r="L42" s="101"/>
      <c r="M42" s="101"/>
      <c r="N42" s="102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00"/>
      <c r="D43" s="101"/>
      <c r="E43" s="101"/>
      <c r="F43" s="102"/>
      <c r="G43" s="103"/>
      <c r="H43" s="104"/>
      <c r="I43" s="104"/>
      <c r="J43" s="105"/>
      <c r="K43" s="106"/>
      <c r="L43" s="101"/>
      <c r="M43" s="101"/>
      <c r="N43" s="102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00"/>
      <c r="D44" s="101"/>
      <c r="E44" s="101"/>
      <c r="F44" s="102"/>
      <c r="G44" s="103"/>
      <c r="H44" s="104"/>
      <c r="I44" s="104"/>
      <c r="J44" s="105"/>
      <c r="K44" s="106"/>
      <c r="L44" s="101"/>
      <c r="M44" s="101"/>
      <c r="N44" s="102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00"/>
      <c r="D45" s="101"/>
      <c r="E45" s="101"/>
      <c r="F45" s="102"/>
      <c r="G45" s="103"/>
      <c r="H45" s="104"/>
      <c r="I45" s="104"/>
      <c r="J45" s="105"/>
      <c r="K45" s="106"/>
      <c r="L45" s="101"/>
      <c r="M45" s="101"/>
      <c r="N45" s="102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00"/>
      <c r="D46" s="101"/>
      <c r="E46" s="101"/>
      <c r="F46" s="102"/>
      <c r="G46" s="103"/>
      <c r="H46" s="104"/>
      <c r="I46" s="104"/>
      <c r="J46" s="105"/>
      <c r="K46" s="106"/>
      <c r="L46" s="101"/>
      <c r="M46" s="101"/>
      <c r="N46" s="102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00"/>
      <c r="D47" s="101"/>
      <c r="E47" s="101"/>
      <c r="F47" s="102"/>
      <c r="G47" s="103"/>
      <c r="H47" s="104"/>
      <c r="I47" s="104"/>
      <c r="J47" s="105"/>
      <c r="K47" s="106"/>
      <c r="L47" s="101"/>
      <c r="M47" s="101"/>
      <c r="N47" s="102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3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1" t="s">
        <v>0</v>
      </c>
      <c r="C2" s="82"/>
      <c r="D2" s="82"/>
      <c r="E2" s="82"/>
      <c r="F2" s="82"/>
      <c r="G2" s="82"/>
      <c r="H2" s="82" t="s">
        <v>40</v>
      </c>
      <c r="I2" s="82"/>
      <c r="J2" s="82"/>
      <c r="K2" s="82"/>
      <c r="L2" s="82" t="s">
        <v>41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30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6"/>
    </row>
    <row r="3" spans="1:66" ht="20.100000000000001" customHeight="1" x14ac:dyDescent="0.45">
      <c r="A3" s="10"/>
      <c r="B3" s="86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 t="str">
        <f ca="1">変更履歴!R3</f>
        <v>結合試験項目</v>
      </c>
      <c r="S3" s="87"/>
      <c r="T3" s="87"/>
      <c r="U3" s="87"/>
      <c r="V3" s="87"/>
      <c r="W3" s="87"/>
      <c r="X3" s="91" t="str">
        <f ca="1">変更履歴!X3</f>
        <v>請求売掛_請求一覧表_結合試験項目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変更履歴!AK3</f>
        <v>請求一覧表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f>変更履歴!AX3</f>
        <v>45628</v>
      </c>
      <c r="AY3" s="98"/>
      <c r="AZ3" s="98"/>
      <c r="BA3" s="98"/>
      <c r="BB3" s="87" t="str">
        <f>変更履歴!BB3</f>
        <v>児玉</v>
      </c>
      <c r="BC3" s="87"/>
      <c r="BD3" s="87"/>
      <c r="BE3" s="87"/>
      <c r="BF3" s="98">
        <f>変更履歴!BF3</f>
        <v>45628</v>
      </c>
      <c r="BG3" s="98"/>
      <c r="BH3" s="98"/>
      <c r="BI3" s="98"/>
      <c r="BJ3" s="87" t="str">
        <f>変更履歴!BJ3</f>
        <v>児玉</v>
      </c>
      <c r="BK3" s="87"/>
      <c r="BL3" s="87"/>
      <c r="BM3" s="99"/>
      <c r="BN3" s="16"/>
    </row>
    <row r="4" spans="1:66" ht="20.100000000000001" customHeight="1" thickBot="1" x14ac:dyDescent="0.5">
      <c r="A4" s="10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133"/>
      <c r="AY4" s="133"/>
      <c r="AZ4" s="133"/>
      <c r="BA4" s="133"/>
      <c r="BB4" s="89"/>
      <c r="BC4" s="89"/>
      <c r="BD4" s="89"/>
      <c r="BE4" s="89"/>
      <c r="BF4" s="133"/>
      <c r="BG4" s="133"/>
      <c r="BH4" s="133"/>
      <c r="BI4" s="133"/>
      <c r="BJ4" s="89"/>
      <c r="BK4" s="89"/>
      <c r="BL4" s="89"/>
      <c r="BM4" s="9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7" t="s">
        <v>32</v>
      </c>
      <c r="BF7" s="138"/>
      <c r="BG7" s="141" t="s">
        <v>31</v>
      </c>
      <c r="BH7" s="141"/>
      <c r="BI7" s="142" t="s">
        <v>33</v>
      </c>
      <c r="BJ7" s="143"/>
      <c r="BK7" s="142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4" t="s">
        <v>35</v>
      </c>
      <c r="AP8" s="135"/>
      <c r="AQ8" s="135"/>
      <c r="AR8" s="135"/>
      <c r="AS8" s="135"/>
      <c r="AT8" s="136"/>
      <c r="AU8" s="144" t="s">
        <v>36</v>
      </c>
      <c r="AV8" s="135"/>
      <c r="AW8" s="135"/>
      <c r="AX8" s="135"/>
      <c r="AY8" s="135"/>
      <c r="AZ8" s="136"/>
      <c r="BE8" s="139"/>
      <c r="BF8" s="140"/>
      <c r="BG8" s="145">
        <f>COUNTA(C10:C30)</f>
        <v>21</v>
      </c>
      <c r="BH8" s="146"/>
      <c r="BI8" s="145">
        <f>COUNTIF(AS10:AT30,"OK")+COUNTIF(AY10:AZ30,"OK")</f>
        <v>21</v>
      </c>
      <c r="BJ8" s="146"/>
      <c r="BK8" s="145">
        <f>BG8-BI8</f>
        <v>0</v>
      </c>
      <c r="BL8" s="14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9" t="s">
        <v>25</v>
      </c>
      <c r="AP9" s="130"/>
      <c r="AQ9" s="131" t="s">
        <v>26</v>
      </c>
      <c r="AR9" s="130"/>
      <c r="AS9" s="131" t="s">
        <v>29</v>
      </c>
      <c r="AT9" s="132"/>
      <c r="AU9" s="129" t="s">
        <v>25</v>
      </c>
      <c r="AV9" s="130"/>
      <c r="AW9" s="131" t="s">
        <v>26</v>
      </c>
      <c r="AX9" s="130"/>
      <c r="AY9" s="131" t="s">
        <v>29</v>
      </c>
      <c r="AZ9" s="132"/>
      <c r="BA9" s="134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17" t="s">
        <v>42</v>
      </c>
      <c r="E10" s="118"/>
      <c r="F10" s="118"/>
      <c r="G10" s="119"/>
      <c r="H10" s="117" t="s">
        <v>43</v>
      </c>
      <c r="I10" s="118"/>
      <c r="J10" s="118"/>
      <c r="K10" s="119"/>
      <c r="L10" s="110" t="s">
        <v>108</v>
      </c>
      <c r="M10" s="111"/>
      <c r="N10" s="111"/>
      <c r="O10" s="116"/>
      <c r="P10" s="110" t="s">
        <v>105</v>
      </c>
      <c r="Q10" s="111"/>
      <c r="R10" s="111"/>
      <c r="S10" s="111"/>
      <c r="T10" s="111"/>
      <c r="U10" s="111"/>
      <c r="V10" s="111"/>
      <c r="W10" s="116"/>
      <c r="X10" s="110" t="s">
        <v>44</v>
      </c>
      <c r="Y10" s="111"/>
      <c r="Z10" s="111"/>
      <c r="AA10" s="111"/>
      <c r="AB10" s="111"/>
      <c r="AC10" s="111"/>
      <c r="AD10" s="111"/>
      <c r="AE10" s="116"/>
      <c r="AF10" s="110"/>
      <c r="AG10" s="111"/>
      <c r="AH10" s="111"/>
      <c r="AI10" s="111"/>
      <c r="AJ10" s="111"/>
      <c r="AK10" s="111"/>
      <c r="AL10" s="111"/>
      <c r="AM10" s="111"/>
      <c r="AN10" s="112"/>
      <c r="AO10" s="107">
        <v>45664</v>
      </c>
      <c r="AP10" s="108"/>
      <c r="AQ10" s="106" t="s">
        <v>143</v>
      </c>
      <c r="AR10" s="102"/>
      <c r="AS10" s="106" t="s">
        <v>144</v>
      </c>
      <c r="AT10" s="109"/>
      <c r="AU10" s="107"/>
      <c r="AV10" s="108"/>
      <c r="AW10" s="106"/>
      <c r="AX10" s="102"/>
      <c r="AY10" s="106"/>
      <c r="AZ10" s="109"/>
      <c r="BA10" s="148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50"/>
      <c r="BM10" s="16"/>
      <c r="BN10" s="16"/>
    </row>
    <row r="11" spans="1:66" ht="20.100000000000001" customHeight="1" x14ac:dyDescent="0.45">
      <c r="A11" s="10"/>
      <c r="B11" s="10"/>
      <c r="C11" s="30">
        <f t="shared" ref="C11:C30" si="0">ROW()-9</f>
        <v>2</v>
      </c>
      <c r="D11" s="120"/>
      <c r="E11" s="121"/>
      <c r="F11" s="121"/>
      <c r="G11" s="122"/>
      <c r="H11" s="120"/>
      <c r="I11" s="121"/>
      <c r="J11" s="121"/>
      <c r="K11" s="122"/>
      <c r="L11" s="110" t="s">
        <v>46</v>
      </c>
      <c r="M11" s="111"/>
      <c r="N11" s="111"/>
      <c r="O11" s="116"/>
      <c r="P11" s="110" t="s">
        <v>105</v>
      </c>
      <c r="Q11" s="111"/>
      <c r="R11" s="111"/>
      <c r="S11" s="111"/>
      <c r="T11" s="111"/>
      <c r="U11" s="111"/>
      <c r="V11" s="111"/>
      <c r="W11" s="116"/>
      <c r="X11" s="110" t="s">
        <v>45</v>
      </c>
      <c r="Y11" s="111"/>
      <c r="Z11" s="111"/>
      <c r="AA11" s="111"/>
      <c r="AB11" s="111"/>
      <c r="AC11" s="111"/>
      <c r="AD11" s="111"/>
      <c r="AE11" s="116"/>
      <c r="AF11" s="110"/>
      <c r="AG11" s="111"/>
      <c r="AH11" s="111"/>
      <c r="AI11" s="111"/>
      <c r="AJ11" s="111"/>
      <c r="AK11" s="111"/>
      <c r="AL11" s="111"/>
      <c r="AM11" s="111"/>
      <c r="AN11" s="112"/>
      <c r="AO11" s="107">
        <v>45664</v>
      </c>
      <c r="AP11" s="108"/>
      <c r="AQ11" s="106" t="s">
        <v>143</v>
      </c>
      <c r="AR11" s="102"/>
      <c r="AS11" s="106" t="s">
        <v>145</v>
      </c>
      <c r="AT11" s="109"/>
      <c r="AU11" s="107">
        <v>45695</v>
      </c>
      <c r="AV11" s="108"/>
      <c r="AW11" s="106" t="s">
        <v>149</v>
      </c>
      <c r="AX11" s="102"/>
      <c r="AY11" s="106" t="s">
        <v>150</v>
      </c>
      <c r="AZ11" s="109"/>
      <c r="BA11" s="148" t="s">
        <v>146</v>
      </c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50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20"/>
      <c r="E12" s="121"/>
      <c r="F12" s="121"/>
      <c r="G12" s="122"/>
      <c r="H12" s="120"/>
      <c r="I12" s="121"/>
      <c r="J12" s="121"/>
      <c r="K12" s="122"/>
      <c r="L12" s="110" t="s">
        <v>47</v>
      </c>
      <c r="M12" s="111"/>
      <c r="N12" s="111"/>
      <c r="O12" s="116"/>
      <c r="P12" s="110" t="s">
        <v>105</v>
      </c>
      <c r="Q12" s="111"/>
      <c r="R12" s="111"/>
      <c r="S12" s="111"/>
      <c r="T12" s="111"/>
      <c r="U12" s="111"/>
      <c r="V12" s="111"/>
      <c r="W12" s="116"/>
      <c r="X12" s="110" t="s">
        <v>45</v>
      </c>
      <c r="Y12" s="111"/>
      <c r="Z12" s="111"/>
      <c r="AA12" s="111"/>
      <c r="AB12" s="111"/>
      <c r="AC12" s="111"/>
      <c r="AD12" s="111"/>
      <c r="AE12" s="116"/>
      <c r="AF12" s="110"/>
      <c r="AG12" s="111"/>
      <c r="AH12" s="111"/>
      <c r="AI12" s="111"/>
      <c r="AJ12" s="111"/>
      <c r="AK12" s="111"/>
      <c r="AL12" s="111"/>
      <c r="AM12" s="111"/>
      <c r="AN12" s="112"/>
      <c r="AO12" s="107">
        <v>45664</v>
      </c>
      <c r="AP12" s="108"/>
      <c r="AQ12" s="106" t="s">
        <v>143</v>
      </c>
      <c r="AR12" s="102"/>
      <c r="AS12" s="106" t="s">
        <v>145</v>
      </c>
      <c r="AT12" s="109"/>
      <c r="AU12" s="107">
        <v>45695</v>
      </c>
      <c r="AV12" s="108"/>
      <c r="AW12" s="106" t="s">
        <v>149</v>
      </c>
      <c r="AX12" s="102"/>
      <c r="AY12" s="106" t="s">
        <v>150</v>
      </c>
      <c r="AZ12" s="109"/>
      <c r="BA12" s="148" t="s">
        <v>147</v>
      </c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50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20"/>
      <c r="E13" s="121"/>
      <c r="F13" s="121"/>
      <c r="G13" s="122"/>
      <c r="H13" s="123"/>
      <c r="I13" s="124"/>
      <c r="J13" s="124"/>
      <c r="K13" s="125"/>
      <c r="L13" s="110" t="s">
        <v>48</v>
      </c>
      <c r="M13" s="111"/>
      <c r="N13" s="111"/>
      <c r="O13" s="116"/>
      <c r="P13" s="110" t="s">
        <v>105</v>
      </c>
      <c r="Q13" s="111"/>
      <c r="R13" s="111"/>
      <c r="S13" s="111"/>
      <c r="T13" s="111"/>
      <c r="U13" s="111"/>
      <c r="V13" s="111"/>
      <c r="W13" s="116"/>
      <c r="X13" s="110" t="s">
        <v>49</v>
      </c>
      <c r="Y13" s="111"/>
      <c r="Z13" s="111"/>
      <c r="AA13" s="111"/>
      <c r="AB13" s="111"/>
      <c r="AC13" s="111"/>
      <c r="AD13" s="111"/>
      <c r="AE13" s="116"/>
      <c r="AF13" s="110"/>
      <c r="AG13" s="111"/>
      <c r="AH13" s="111"/>
      <c r="AI13" s="111"/>
      <c r="AJ13" s="111"/>
      <c r="AK13" s="111"/>
      <c r="AL13" s="111"/>
      <c r="AM13" s="111"/>
      <c r="AN13" s="112"/>
      <c r="AO13" s="107">
        <v>45664</v>
      </c>
      <c r="AP13" s="108"/>
      <c r="AQ13" s="106" t="s">
        <v>143</v>
      </c>
      <c r="AR13" s="102"/>
      <c r="AS13" s="106" t="s">
        <v>144</v>
      </c>
      <c r="AT13" s="109"/>
      <c r="AU13" s="107"/>
      <c r="AV13" s="108"/>
      <c r="AW13" s="106"/>
      <c r="AX13" s="102"/>
      <c r="AY13" s="106"/>
      <c r="AZ13" s="109"/>
      <c r="BA13" s="148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50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20"/>
      <c r="E14" s="121"/>
      <c r="F14" s="121"/>
      <c r="G14" s="122"/>
      <c r="H14" s="120" t="s">
        <v>50</v>
      </c>
      <c r="I14" s="121"/>
      <c r="J14" s="121"/>
      <c r="K14" s="122"/>
      <c r="L14" s="117" t="s">
        <v>51</v>
      </c>
      <c r="M14" s="118"/>
      <c r="N14" s="118"/>
      <c r="O14" s="119"/>
      <c r="P14" s="110" t="s">
        <v>52</v>
      </c>
      <c r="Q14" s="111"/>
      <c r="R14" s="111"/>
      <c r="S14" s="111"/>
      <c r="T14" s="111"/>
      <c r="U14" s="111"/>
      <c r="V14" s="111"/>
      <c r="W14" s="116"/>
      <c r="X14" s="110" t="s">
        <v>53</v>
      </c>
      <c r="Y14" s="111"/>
      <c r="Z14" s="111"/>
      <c r="AA14" s="111"/>
      <c r="AB14" s="111"/>
      <c r="AC14" s="111"/>
      <c r="AD14" s="111"/>
      <c r="AE14" s="116"/>
      <c r="AF14" s="110"/>
      <c r="AG14" s="111"/>
      <c r="AH14" s="111"/>
      <c r="AI14" s="111"/>
      <c r="AJ14" s="111"/>
      <c r="AK14" s="111"/>
      <c r="AL14" s="111"/>
      <c r="AM14" s="111"/>
      <c r="AN14" s="112"/>
      <c r="AO14" s="107">
        <v>45664</v>
      </c>
      <c r="AP14" s="108"/>
      <c r="AQ14" s="106" t="s">
        <v>143</v>
      </c>
      <c r="AR14" s="102"/>
      <c r="AS14" s="106" t="s">
        <v>144</v>
      </c>
      <c r="AT14" s="109"/>
      <c r="AU14" s="107"/>
      <c r="AV14" s="108"/>
      <c r="AW14" s="106"/>
      <c r="AX14" s="102"/>
      <c r="AY14" s="106"/>
      <c r="AZ14" s="109"/>
      <c r="BA14" s="148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50"/>
      <c r="BM14" s="16"/>
      <c r="BN14" s="16"/>
    </row>
    <row r="15" spans="1:66" ht="42" customHeight="1" x14ac:dyDescent="0.45">
      <c r="A15" s="10"/>
      <c r="B15" s="10"/>
      <c r="C15" s="30">
        <f t="shared" si="0"/>
        <v>6</v>
      </c>
      <c r="D15" s="120"/>
      <c r="E15" s="121"/>
      <c r="F15" s="121"/>
      <c r="G15" s="122"/>
      <c r="H15" s="120"/>
      <c r="I15" s="121"/>
      <c r="J15" s="121"/>
      <c r="K15" s="122"/>
      <c r="L15" s="120"/>
      <c r="M15" s="121"/>
      <c r="N15" s="121"/>
      <c r="O15" s="122"/>
      <c r="P15" s="117" t="s">
        <v>54</v>
      </c>
      <c r="Q15" s="118"/>
      <c r="R15" s="118"/>
      <c r="S15" s="118"/>
      <c r="T15" s="118"/>
      <c r="U15" s="118"/>
      <c r="V15" s="118"/>
      <c r="W15" s="119"/>
      <c r="X15" s="110" t="s">
        <v>55</v>
      </c>
      <c r="Y15" s="111"/>
      <c r="Z15" s="111"/>
      <c r="AA15" s="111"/>
      <c r="AB15" s="111"/>
      <c r="AC15" s="111"/>
      <c r="AD15" s="111"/>
      <c r="AE15" s="116"/>
      <c r="AF15" s="110"/>
      <c r="AG15" s="111"/>
      <c r="AH15" s="111"/>
      <c r="AI15" s="111"/>
      <c r="AJ15" s="111"/>
      <c r="AK15" s="111"/>
      <c r="AL15" s="111"/>
      <c r="AM15" s="111"/>
      <c r="AN15" s="112"/>
      <c r="AO15" s="107">
        <v>45664</v>
      </c>
      <c r="AP15" s="108"/>
      <c r="AQ15" s="106" t="s">
        <v>143</v>
      </c>
      <c r="AR15" s="102"/>
      <c r="AS15" s="106" t="s">
        <v>144</v>
      </c>
      <c r="AT15" s="109"/>
      <c r="AU15" s="107"/>
      <c r="AV15" s="108"/>
      <c r="AW15" s="106"/>
      <c r="AX15" s="102"/>
      <c r="AY15" s="106"/>
      <c r="AZ15" s="109"/>
      <c r="BA15" s="148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50"/>
      <c r="BM15" s="16"/>
      <c r="BN15" s="16"/>
    </row>
    <row r="16" spans="1:66" ht="67.2" customHeight="1" x14ac:dyDescent="0.45">
      <c r="A16" s="10"/>
      <c r="B16" s="10"/>
      <c r="C16" s="30">
        <f t="shared" si="0"/>
        <v>7</v>
      </c>
      <c r="D16" s="120"/>
      <c r="E16" s="121"/>
      <c r="F16" s="121"/>
      <c r="G16" s="122"/>
      <c r="H16" s="120"/>
      <c r="I16" s="121"/>
      <c r="J16" s="121"/>
      <c r="K16" s="122"/>
      <c r="L16" s="123"/>
      <c r="M16" s="124"/>
      <c r="N16" s="124"/>
      <c r="O16" s="125"/>
      <c r="P16" s="123"/>
      <c r="Q16" s="124"/>
      <c r="R16" s="124"/>
      <c r="S16" s="124"/>
      <c r="T16" s="124"/>
      <c r="U16" s="124"/>
      <c r="V16" s="124"/>
      <c r="W16" s="125"/>
      <c r="X16" s="110" t="s">
        <v>106</v>
      </c>
      <c r="Y16" s="111"/>
      <c r="Z16" s="111"/>
      <c r="AA16" s="111"/>
      <c r="AB16" s="111"/>
      <c r="AC16" s="111"/>
      <c r="AD16" s="111"/>
      <c r="AE16" s="116"/>
      <c r="AF16" s="110"/>
      <c r="AG16" s="111"/>
      <c r="AH16" s="111"/>
      <c r="AI16" s="111"/>
      <c r="AJ16" s="111"/>
      <c r="AK16" s="111"/>
      <c r="AL16" s="111"/>
      <c r="AM16" s="111"/>
      <c r="AN16" s="112"/>
      <c r="AO16" s="107">
        <v>45664</v>
      </c>
      <c r="AP16" s="108"/>
      <c r="AQ16" s="106" t="s">
        <v>143</v>
      </c>
      <c r="AR16" s="102"/>
      <c r="AS16" s="106" t="s">
        <v>144</v>
      </c>
      <c r="AT16" s="109"/>
      <c r="AU16" s="107"/>
      <c r="AV16" s="108"/>
      <c r="AW16" s="106"/>
      <c r="AX16" s="102"/>
      <c r="AY16" s="106"/>
      <c r="AZ16" s="109"/>
      <c r="BA16" s="148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5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20"/>
      <c r="E17" s="121"/>
      <c r="F17" s="121"/>
      <c r="G17" s="122"/>
      <c r="H17" s="120"/>
      <c r="I17" s="121"/>
      <c r="J17" s="121"/>
      <c r="K17" s="122"/>
      <c r="L17" s="117" t="s">
        <v>56</v>
      </c>
      <c r="M17" s="118"/>
      <c r="N17" s="118"/>
      <c r="O17" s="119"/>
      <c r="P17" s="110" t="s">
        <v>52</v>
      </c>
      <c r="Q17" s="111"/>
      <c r="R17" s="111"/>
      <c r="S17" s="111"/>
      <c r="T17" s="111"/>
      <c r="U17" s="111"/>
      <c r="V17" s="111"/>
      <c r="W17" s="116"/>
      <c r="X17" s="110" t="s">
        <v>53</v>
      </c>
      <c r="Y17" s="111"/>
      <c r="Z17" s="111"/>
      <c r="AA17" s="111"/>
      <c r="AB17" s="111"/>
      <c r="AC17" s="111"/>
      <c r="AD17" s="111"/>
      <c r="AE17" s="116"/>
      <c r="AF17" s="110"/>
      <c r="AG17" s="111"/>
      <c r="AH17" s="111"/>
      <c r="AI17" s="111"/>
      <c r="AJ17" s="111"/>
      <c r="AK17" s="111"/>
      <c r="AL17" s="111"/>
      <c r="AM17" s="111"/>
      <c r="AN17" s="112"/>
      <c r="AO17" s="107">
        <v>45664</v>
      </c>
      <c r="AP17" s="108"/>
      <c r="AQ17" s="106" t="s">
        <v>143</v>
      </c>
      <c r="AR17" s="102"/>
      <c r="AS17" s="106" t="s">
        <v>144</v>
      </c>
      <c r="AT17" s="109"/>
      <c r="AU17" s="107"/>
      <c r="AV17" s="108"/>
      <c r="AW17" s="106"/>
      <c r="AX17" s="102"/>
      <c r="AY17" s="106"/>
      <c r="AZ17" s="109"/>
      <c r="BA17" s="148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50"/>
      <c r="BM17" s="16"/>
      <c r="BN17" s="16"/>
    </row>
    <row r="18" spans="1:66" ht="42" customHeight="1" x14ac:dyDescent="0.45">
      <c r="A18" s="10"/>
      <c r="B18" s="10"/>
      <c r="C18" s="30">
        <f t="shared" si="0"/>
        <v>9</v>
      </c>
      <c r="D18" s="120"/>
      <c r="E18" s="121"/>
      <c r="F18" s="121"/>
      <c r="G18" s="122"/>
      <c r="H18" s="120"/>
      <c r="I18" s="121"/>
      <c r="J18" s="121"/>
      <c r="K18" s="122"/>
      <c r="L18" s="120"/>
      <c r="M18" s="121"/>
      <c r="N18" s="121"/>
      <c r="O18" s="122"/>
      <c r="P18" s="117" t="s">
        <v>54</v>
      </c>
      <c r="Q18" s="118"/>
      <c r="R18" s="118"/>
      <c r="S18" s="118"/>
      <c r="T18" s="118"/>
      <c r="U18" s="118"/>
      <c r="V18" s="118"/>
      <c r="W18" s="119"/>
      <c r="X18" s="110" t="s">
        <v>57</v>
      </c>
      <c r="Y18" s="111"/>
      <c r="Z18" s="111"/>
      <c r="AA18" s="111"/>
      <c r="AB18" s="111"/>
      <c r="AC18" s="111"/>
      <c r="AD18" s="111"/>
      <c r="AE18" s="116"/>
      <c r="AF18" s="110"/>
      <c r="AG18" s="111"/>
      <c r="AH18" s="111"/>
      <c r="AI18" s="111"/>
      <c r="AJ18" s="111"/>
      <c r="AK18" s="111"/>
      <c r="AL18" s="111"/>
      <c r="AM18" s="111"/>
      <c r="AN18" s="112"/>
      <c r="AO18" s="107">
        <v>45664</v>
      </c>
      <c r="AP18" s="108"/>
      <c r="AQ18" s="106" t="s">
        <v>143</v>
      </c>
      <c r="AR18" s="102"/>
      <c r="AS18" s="106" t="s">
        <v>144</v>
      </c>
      <c r="AT18" s="109"/>
      <c r="AU18" s="107"/>
      <c r="AV18" s="108"/>
      <c r="AW18" s="106"/>
      <c r="AX18" s="102"/>
      <c r="AY18" s="106"/>
      <c r="AZ18" s="109"/>
      <c r="BA18" s="148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50"/>
      <c r="BM18" s="16"/>
      <c r="BN18" s="16"/>
    </row>
    <row r="19" spans="1:66" ht="42" customHeight="1" x14ac:dyDescent="0.45">
      <c r="A19" s="10"/>
      <c r="B19" s="10"/>
      <c r="C19" s="30">
        <f t="shared" si="0"/>
        <v>10</v>
      </c>
      <c r="D19" s="120"/>
      <c r="E19" s="121"/>
      <c r="F19" s="121"/>
      <c r="G19" s="122"/>
      <c r="H19" s="120"/>
      <c r="I19" s="121"/>
      <c r="J19" s="121"/>
      <c r="K19" s="122"/>
      <c r="L19" s="123"/>
      <c r="M19" s="124"/>
      <c r="N19" s="124"/>
      <c r="O19" s="125"/>
      <c r="P19" s="123"/>
      <c r="Q19" s="124"/>
      <c r="R19" s="124"/>
      <c r="S19" s="124"/>
      <c r="T19" s="124"/>
      <c r="U19" s="124"/>
      <c r="V19" s="124"/>
      <c r="W19" s="125"/>
      <c r="X19" s="110" t="s">
        <v>107</v>
      </c>
      <c r="Y19" s="111"/>
      <c r="Z19" s="111"/>
      <c r="AA19" s="111"/>
      <c r="AB19" s="111"/>
      <c r="AC19" s="111"/>
      <c r="AD19" s="111"/>
      <c r="AE19" s="116"/>
      <c r="AF19" s="110"/>
      <c r="AG19" s="111"/>
      <c r="AH19" s="111"/>
      <c r="AI19" s="111"/>
      <c r="AJ19" s="111"/>
      <c r="AK19" s="111"/>
      <c r="AL19" s="111"/>
      <c r="AM19" s="111"/>
      <c r="AN19" s="112"/>
      <c r="AO19" s="107">
        <v>45664</v>
      </c>
      <c r="AP19" s="108"/>
      <c r="AQ19" s="106" t="s">
        <v>143</v>
      </c>
      <c r="AR19" s="102"/>
      <c r="AS19" s="106" t="s">
        <v>144</v>
      </c>
      <c r="AT19" s="109"/>
      <c r="AU19" s="107"/>
      <c r="AV19" s="108"/>
      <c r="AW19" s="106"/>
      <c r="AX19" s="102"/>
      <c r="AY19" s="106"/>
      <c r="AZ19" s="109"/>
      <c r="BA19" s="148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50"/>
      <c r="BM19" s="16"/>
      <c r="BN19" s="16"/>
    </row>
    <row r="20" spans="1:66" ht="26.4" customHeight="1" x14ac:dyDescent="0.45">
      <c r="A20" s="10"/>
      <c r="B20" s="10"/>
      <c r="C20" s="30">
        <f t="shared" si="0"/>
        <v>11</v>
      </c>
      <c r="D20" s="120"/>
      <c r="E20" s="121"/>
      <c r="F20" s="121"/>
      <c r="G20" s="122"/>
      <c r="H20" s="120"/>
      <c r="I20" s="121"/>
      <c r="J20" s="121"/>
      <c r="K20" s="122"/>
      <c r="L20" s="117" t="s">
        <v>58</v>
      </c>
      <c r="M20" s="118"/>
      <c r="N20" s="118"/>
      <c r="O20" s="119"/>
      <c r="P20" s="117" t="s">
        <v>59</v>
      </c>
      <c r="Q20" s="118"/>
      <c r="R20" s="118"/>
      <c r="S20" s="118"/>
      <c r="T20" s="118"/>
      <c r="U20" s="118"/>
      <c r="V20" s="118"/>
      <c r="W20" s="119"/>
      <c r="X20" s="110" t="s">
        <v>60</v>
      </c>
      <c r="Y20" s="111"/>
      <c r="Z20" s="111"/>
      <c r="AA20" s="111"/>
      <c r="AB20" s="111"/>
      <c r="AC20" s="111"/>
      <c r="AD20" s="111"/>
      <c r="AE20" s="116"/>
      <c r="AF20" s="110"/>
      <c r="AG20" s="111"/>
      <c r="AH20" s="111"/>
      <c r="AI20" s="111"/>
      <c r="AJ20" s="111"/>
      <c r="AK20" s="111"/>
      <c r="AL20" s="111"/>
      <c r="AM20" s="111"/>
      <c r="AN20" s="112"/>
      <c r="AO20" s="107">
        <v>45664</v>
      </c>
      <c r="AP20" s="108"/>
      <c r="AQ20" s="106" t="s">
        <v>143</v>
      </c>
      <c r="AR20" s="102"/>
      <c r="AS20" s="106" t="s">
        <v>144</v>
      </c>
      <c r="AT20" s="109"/>
      <c r="AU20" s="107"/>
      <c r="AV20" s="108"/>
      <c r="AW20" s="106"/>
      <c r="AX20" s="102"/>
      <c r="AY20" s="106"/>
      <c r="AZ20" s="109"/>
      <c r="BA20" s="148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50"/>
      <c r="BM20" s="16"/>
      <c r="BN20" s="16"/>
    </row>
    <row r="21" spans="1:66" ht="42.6" customHeight="1" x14ac:dyDescent="0.45">
      <c r="A21" s="10"/>
      <c r="B21" s="10"/>
      <c r="C21" s="30">
        <f t="shared" si="0"/>
        <v>12</v>
      </c>
      <c r="D21" s="120"/>
      <c r="E21" s="121"/>
      <c r="F21" s="121"/>
      <c r="G21" s="122"/>
      <c r="H21" s="120"/>
      <c r="I21" s="121"/>
      <c r="J21" s="121"/>
      <c r="K21" s="122"/>
      <c r="L21" s="123"/>
      <c r="M21" s="124"/>
      <c r="N21" s="124"/>
      <c r="O21" s="125"/>
      <c r="P21" s="123"/>
      <c r="Q21" s="124"/>
      <c r="R21" s="124"/>
      <c r="S21" s="124"/>
      <c r="T21" s="124"/>
      <c r="U21" s="124"/>
      <c r="V21" s="124"/>
      <c r="W21" s="125"/>
      <c r="X21" s="110" t="s">
        <v>106</v>
      </c>
      <c r="Y21" s="111"/>
      <c r="Z21" s="111"/>
      <c r="AA21" s="111"/>
      <c r="AB21" s="111"/>
      <c r="AC21" s="111"/>
      <c r="AD21" s="111"/>
      <c r="AE21" s="116"/>
      <c r="AF21" s="110"/>
      <c r="AG21" s="111"/>
      <c r="AH21" s="111"/>
      <c r="AI21" s="111"/>
      <c r="AJ21" s="111"/>
      <c r="AK21" s="111"/>
      <c r="AL21" s="111"/>
      <c r="AM21" s="111"/>
      <c r="AN21" s="112"/>
      <c r="AO21" s="107">
        <v>45664</v>
      </c>
      <c r="AP21" s="108"/>
      <c r="AQ21" s="106" t="s">
        <v>143</v>
      </c>
      <c r="AR21" s="102"/>
      <c r="AS21" s="106" t="s">
        <v>144</v>
      </c>
      <c r="AT21" s="109"/>
      <c r="AU21" s="107"/>
      <c r="AV21" s="108"/>
      <c r="AW21" s="106"/>
      <c r="AX21" s="102"/>
      <c r="AY21" s="106"/>
      <c r="AZ21" s="109"/>
      <c r="BA21" s="148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50"/>
      <c r="BM21" s="16"/>
      <c r="BN21" s="16"/>
    </row>
    <row r="22" spans="1:66" ht="33" customHeight="1" x14ac:dyDescent="0.45">
      <c r="A22" s="10"/>
      <c r="B22" s="10"/>
      <c r="C22" s="30">
        <f t="shared" si="0"/>
        <v>13</v>
      </c>
      <c r="D22" s="120"/>
      <c r="E22" s="121"/>
      <c r="F22" s="121"/>
      <c r="G22" s="122"/>
      <c r="H22" s="120"/>
      <c r="I22" s="121"/>
      <c r="J22" s="121"/>
      <c r="K22" s="122"/>
      <c r="L22" s="117" t="s">
        <v>61</v>
      </c>
      <c r="M22" s="118"/>
      <c r="N22" s="118"/>
      <c r="O22" s="119"/>
      <c r="P22" s="117" t="s">
        <v>59</v>
      </c>
      <c r="Q22" s="118"/>
      <c r="R22" s="118"/>
      <c r="S22" s="118"/>
      <c r="T22" s="118"/>
      <c r="U22" s="118"/>
      <c r="V22" s="118"/>
      <c r="W22" s="119"/>
      <c r="X22" s="110" t="s">
        <v>62</v>
      </c>
      <c r="Y22" s="111"/>
      <c r="Z22" s="111"/>
      <c r="AA22" s="111"/>
      <c r="AB22" s="111"/>
      <c r="AC22" s="111"/>
      <c r="AD22" s="111"/>
      <c r="AE22" s="116"/>
      <c r="AF22" s="110"/>
      <c r="AG22" s="111"/>
      <c r="AH22" s="111"/>
      <c r="AI22" s="111"/>
      <c r="AJ22" s="111"/>
      <c r="AK22" s="111"/>
      <c r="AL22" s="111"/>
      <c r="AM22" s="111"/>
      <c r="AN22" s="112"/>
      <c r="AO22" s="107">
        <v>45664</v>
      </c>
      <c r="AP22" s="108"/>
      <c r="AQ22" s="106" t="s">
        <v>143</v>
      </c>
      <c r="AR22" s="102"/>
      <c r="AS22" s="106" t="s">
        <v>144</v>
      </c>
      <c r="AT22" s="109"/>
      <c r="AU22" s="107"/>
      <c r="AV22" s="108"/>
      <c r="AW22" s="106"/>
      <c r="AX22" s="102"/>
      <c r="AY22" s="106"/>
      <c r="AZ22" s="109"/>
      <c r="BA22" s="148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50"/>
      <c r="BM22" s="16"/>
      <c r="BN22" s="16"/>
    </row>
    <row r="23" spans="1:66" ht="41.4" customHeight="1" x14ac:dyDescent="0.45">
      <c r="A23" s="10"/>
      <c r="B23" s="10"/>
      <c r="C23" s="30">
        <f t="shared" si="0"/>
        <v>14</v>
      </c>
      <c r="D23" s="120"/>
      <c r="E23" s="121"/>
      <c r="F23" s="121"/>
      <c r="G23" s="122"/>
      <c r="H23" s="120"/>
      <c r="I23" s="121"/>
      <c r="J23" s="121"/>
      <c r="K23" s="122"/>
      <c r="L23" s="123"/>
      <c r="M23" s="124"/>
      <c r="N23" s="124"/>
      <c r="O23" s="125"/>
      <c r="P23" s="123"/>
      <c r="Q23" s="124"/>
      <c r="R23" s="124"/>
      <c r="S23" s="124"/>
      <c r="T23" s="124"/>
      <c r="U23" s="124"/>
      <c r="V23" s="124"/>
      <c r="W23" s="125"/>
      <c r="X23" s="110" t="s">
        <v>107</v>
      </c>
      <c r="Y23" s="111"/>
      <c r="Z23" s="111"/>
      <c r="AA23" s="111"/>
      <c r="AB23" s="111"/>
      <c r="AC23" s="111"/>
      <c r="AD23" s="111"/>
      <c r="AE23" s="116"/>
      <c r="AF23" s="110"/>
      <c r="AG23" s="111"/>
      <c r="AH23" s="111"/>
      <c r="AI23" s="111"/>
      <c r="AJ23" s="111"/>
      <c r="AK23" s="111"/>
      <c r="AL23" s="111"/>
      <c r="AM23" s="111"/>
      <c r="AN23" s="112"/>
      <c r="AO23" s="107">
        <v>45664</v>
      </c>
      <c r="AP23" s="108"/>
      <c r="AQ23" s="106" t="s">
        <v>143</v>
      </c>
      <c r="AR23" s="102"/>
      <c r="AS23" s="106" t="s">
        <v>144</v>
      </c>
      <c r="AT23" s="109"/>
      <c r="AU23" s="107"/>
      <c r="AV23" s="108"/>
      <c r="AW23" s="106"/>
      <c r="AX23" s="102"/>
      <c r="AY23" s="106"/>
      <c r="AZ23" s="109"/>
      <c r="BA23" s="148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50"/>
      <c r="BM23" s="16"/>
      <c r="BN23" s="16"/>
    </row>
    <row r="24" spans="1:66" ht="22.2" customHeight="1" x14ac:dyDescent="0.45">
      <c r="A24" s="10"/>
      <c r="B24" s="10"/>
      <c r="C24" s="30">
        <f t="shared" si="0"/>
        <v>15</v>
      </c>
      <c r="D24" s="74"/>
      <c r="E24" s="75"/>
      <c r="F24" s="75"/>
      <c r="G24" s="76"/>
      <c r="H24" s="74"/>
      <c r="I24" s="75"/>
      <c r="J24" s="75"/>
      <c r="K24" s="76"/>
      <c r="L24" s="126" t="s">
        <v>64</v>
      </c>
      <c r="M24" s="127"/>
      <c r="N24" s="127"/>
      <c r="O24" s="128"/>
      <c r="P24" s="110" t="s">
        <v>139</v>
      </c>
      <c r="Q24" s="111"/>
      <c r="R24" s="111"/>
      <c r="S24" s="111"/>
      <c r="T24" s="111"/>
      <c r="U24" s="111"/>
      <c r="V24" s="111"/>
      <c r="W24" s="116"/>
      <c r="X24" s="110" t="s">
        <v>140</v>
      </c>
      <c r="Y24" s="111"/>
      <c r="Z24" s="111"/>
      <c r="AA24" s="111"/>
      <c r="AB24" s="111"/>
      <c r="AC24" s="111"/>
      <c r="AD24" s="111"/>
      <c r="AE24" s="116"/>
      <c r="AF24" s="68"/>
      <c r="AG24" s="69"/>
      <c r="AH24" s="69"/>
      <c r="AI24" s="69"/>
      <c r="AJ24" s="69"/>
      <c r="AK24" s="69"/>
      <c r="AL24" s="69"/>
      <c r="AM24" s="69"/>
      <c r="AN24" s="70"/>
      <c r="AO24" s="107">
        <v>45664</v>
      </c>
      <c r="AP24" s="108"/>
      <c r="AQ24" s="106" t="s">
        <v>143</v>
      </c>
      <c r="AR24" s="102"/>
      <c r="AS24" s="106" t="s">
        <v>144</v>
      </c>
      <c r="AT24" s="109"/>
      <c r="AU24" s="71"/>
      <c r="AV24" s="72"/>
      <c r="AW24" s="67"/>
      <c r="AX24" s="66"/>
      <c r="AY24" s="67"/>
      <c r="AZ24" s="73"/>
      <c r="BA24" s="77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9"/>
      <c r="BM24" s="16"/>
      <c r="BN24" s="16"/>
    </row>
    <row r="25" spans="1:66" ht="41.4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10" t="s">
        <v>66</v>
      </c>
      <c r="M25" s="111"/>
      <c r="N25" s="111"/>
      <c r="O25" s="116"/>
      <c r="P25" s="110" t="s">
        <v>71</v>
      </c>
      <c r="Q25" s="111"/>
      <c r="R25" s="111"/>
      <c r="S25" s="111"/>
      <c r="T25" s="111"/>
      <c r="U25" s="111"/>
      <c r="V25" s="111"/>
      <c r="W25" s="116"/>
      <c r="X25" s="110" t="s">
        <v>72</v>
      </c>
      <c r="Y25" s="111"/>
      <c r="Z25" s="111"/>
      <c r="AA25" s="111"/>
      <c r="AB25" s="111"/>
      <c r="AC25" s="111"/>
      <c r="AD25" s="111"/>
      <c r="AE25" s="116"/>
      <c r="AF25" s="80" t="s">
        <v>151</v>
      </c>
      <c r="AG25" s="41"/>
      <c r="AH25" s="41"/>
      <c r="AI25" s="41"/>
      <c r="AJ25" s="41"/>
      <c r="AK25" s="41"/>
      <c r="AL25" s="41"/>
      <c r="AM25" s="41"/>
      <c r="AN25" s="42"/>
      <c r="AO25" s="107">
        <v>45664</v>
      </c>
      <c r="AP25" s="108"/>
      <c r="AQ25" s="106" t="s">
        <v>143</v>
      </c>
      <c r="AR25" s="102"/>
      <c r="AS25" s="106" t="s">
        <v>145</v>
      </c>
      <c r="AT25" s="109"/>
      <c r="AU25" s="107">
        <v>45695</v>
      </c>
      <c r="AV25" s="108"/>
      <c r="AW25" s="106" t="s">
        <v>149</v>
      </c>
      <c r="AX25" s="102"/>
      <c r="AY25" s="106" t="s">
        <v>150</v>
      </c>
      <c r="AZ25" s="109"/>
      <c r="BA25" s="37" t="s">
        <v>148</v>
      </c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4" customHeight="1" x14ac:dyDescent="0.45">
      <c r="A26" s="10"/>
      <c r="B26" s="10"/>
      <c r="C26" s="30">
        <f t="shared" si="0"/>
        <v>17</v>
      </c>
      <c r="D26" s="120"/>
      <c r="E26" s="121"/>
      <c r="F26" s="121"/>
      <c r="G26" s="122"/>
      <c r="H26" s="123"/>
      <c r="I26" s="124"/>
      <c r="J26" s="124"/>
      <c r="K26" s="125"/>
      <c r="L26" s="110" t="s">
        <v>95</v>
      </c>
      <c r="M26" s="111"/>
      <c r="N26" s="111"/>
      <c r="O26" s="116"/>
      <c r="P26" s="110" t="s">
        <v>96</v>
      </c>
      <c r="Q26" s="111"/>
      <c r="R26" s="111"/>
      <c r="S26" s="111"/>
      <c r="T26" s="111"/>
      <c r="U26" s="111"/>
      <c r="V26" s="111"/>
      <c r="W26" s="116"/>
      <c r="X26" s="110" t="s">
        <v>152</v>
      </c>
      <c r="Y26" s="111"/>
      <c r="Z26" s="111"/>
      <c r="AA26" s="111"/>
      <c r="AB26" s="111"/>
      <c r="AC26" s="111"/>
      <c r="AD26" s="111"/>
      <c r="AE26" s="116"/>
      <c r="AF26" s="110"/>
      <c r="AG26" s="111"/>
      <c r="AH26" s="111"/>
      <c r="AI26" s="111"/>
      <c r="AJ26" s="111"/>
      <c r="AK26" s="111"/>
      <c r="AL26" s="111"/>
      <c r="AM26" s="111"/>
      <c r="AN26" s="112"/>
      <c r="AO26" s="107">
        <v>45664</v>
      </c>
      <c r="AP26" s="108"/>
      <c r="AQ26" s="106" t="s">
        <v>143</v>
      </c>
      <c r="AR26" s="102"/>
      <c r="AS26" s="106" t="s">
        <v>144</v>
      </c>
      <c r="AT26" s="109"/>
      <c r="AU26" s="107"/>
      <c r="AV26" s="108"/>
      <c r="AW26" s="106"/>
      <c r="AX26" s="102"/>
      <c r="AY26" s="106"/>
      <c r="AZ26" s="109"/>
      <c r="BA26" s="148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50"/>
      <c r="BM26" s="16"/>
      <c r="BN26" s="16"/>
    </row>
    <row r="27" spans="1:66" ht="29.4" customHeight="1" x14ac:dyDescent="0.45">
      <c r="A27" s="10"/>
      <c r="B27" s="10"/>
      <c r="C27" s="30">
        <f t="shared" si="0"/>
        <v>18</v>
      </c>
      <c r="D27" s="120"/>
      <c r="E27" s="121"/>
      <c r="F27" s="121"/>
      <c r="G27" s="122"/>
      <c r="H27" s="120" t="s">
        <v>63</v>
      </c>
      <c r="I27" s="121"/>
      <c r="J27" s="121"/>
      <c r="K27" s="122"/>
      <c r="L27" s="117" t="s">
        <v>64</v>
      </c>
      <c r="M27" s="118"/>
      <c r="N27" s="118"/>
      <c r="O27" s="119"/>
      <c r="P27" s="110" t="s">
        <v>69</v>
      </c>
      <c r="Q27" s="111"/>
      <c r="R27" s="111"/>
      <c r="S27" s="111"/>
      <c r="T27" s="111"/>
      <c r="U27" s="111"/>
      <c r="V27" s="111"/>
      <c r="W27" s="116"/>
      <c r="X27" s="110" t="s">
        <v>65</v>
      </c>
      <c r="Y27" s="111"/>
      <c r="Z27" s="111"/>
      <c r="AA27" s="111"/>
      <c r="AB27" s="111"/>
      <c r="AC27" s="111"/>
      <c r="AD27" s="111"/>
      <c r="AE27" s="116"/>
      <c r="AF27" s="110"/>
      <c r="AG27" s="111"/>
      <c r="AH27" s="111"/>
      <c r="AI27" s="111"/>
      <c r="AJ27" s="111"/>
      <c r="AK27" s="111"/>
      <c r="AL27" s="111"/>
      <c r="AM27" s="111"/>
      <c r="AN27" s="112"/>
      <c r="AO27" s="107">
        <v>45664</v>
      </c>
      <c r="AP27" s="108"/>
      <c r="AQ27" s="106" t="s">
        <v>143</v>
      </c>
      <c r="AR27" s="102"/>
      <c r="AS27" s="106" t="s">
        <v>144</v>
      </c>
      <c r="AT27" s="109"/>
      <c r="AU27" s="107"/>
      <c r="AV27" s="108"/>
      <c r="AW27" s="106"/>
      <c r="AX27" s="102"/>
      <c r="AY27" s="106"/>
      <c r="AZ27" s="109"/>
      <c r="BA27" s="148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50"/>
      <c r="BM27" s="16"/>
      <c r="BN27" s="16"/>
    </row>
    <row r="28" spans="1:66" ht="29.4" customHeight="1" x14ac:dyDescent="0.45">
      <c r="A28" s="10"/>
      <c r="B28" s="10"/>
      <c r="C28" s="30">
        <f t="shared" si="0"/>
        <v>19</v>
      </c>
      <c r="D28" s="120"/>
      <c r="E28" s="121"/>
      <c r="F28" s="121"/>
      <c r="G28" s="122"/>
      <c r="H28" s="120"/>
      <c r="I28" s="121"/>
      <c r="J28" s="121"/>
      <c r="K28" s="122"/>
      <c r="L28" s="151" t="s">
        <v>66</v>
      </c>
      <c r="M28" s="152"/>
      <c r="N28" s="152"/>
      <c r="O28" s="153"/>
      <c r="P28" s="110" t="s">
        <v>70</v>
      </c>
      <c r="Q28" s="111"/>
      <c r="R28" s="111"/>
      <c r="S28" s="111"/>
      <c r="T28" s="111"/>
      <c r="U28" s="111"/>
      <c r="V28" s="111"/>
      <c r="W28" s="116"/>
      <c r="X28" s="110" t="s">
        <v>67</v>
      </c>
      <c r="Y28" s="111"/>
      <c r="Z28" s="111"/>
      <c r="AA28" s="111"/>
      <c r="AB28" s="111"/>
      <c r="AC28" s="111"/>
      <c r="AD28" s="111"/>
      <c r="AE28" s="116"/>
      <c r="AF28" s="110" t="s">
        <v>151</v>
      </c>
      <c r="AG28" s="111"/>
      <c r="AH28" s="111"/>
      <c r="AI28" s="111"/>
      <c r="AJ28" s="111"/>
      <c r="AK28" s="111"/>
      <c r="AL28" s="111"/>
      <c r="AM28" s="111"/>
      <c r="AN28" s="112"/>
      <c r="AO28" s="107">
        <v>45664</v>
      </c>
      <c r="AP28" s="108"/>
      <c r="AQ28" s="106" t="s">
        <v>143</v>
      </c>
      <c r="AR28" s="102"/>
      <c r="AS28" s="106" t="s">
        <v>145</v>
      </c>
      <c r="AT28" s="109"/>
      <c r="AU28" s="107">
        <v>45695</v>
      </c>
      <c r="AV28" s="108"/>
      <c r="AW28" s="106" t="s">
        <v>149</v>
      </c>
      <c r="AX28" s="102"/>
      <c r="AY28" s="106" t="s">
        <v>150</v>
      </c>
      <c r="AZ28" s="109"/>
      <c r="BA28" s="148" t="s">
        <v>148</v>
      </c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50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120"/>
      <c r="E29" s="121"/>
      <c r="F29" s="121"/>
      <c r="G29" s="122"/>
      <c r="H29" s="120"/>
      <c r="I29" s="121"/>
      <c r="J29" s="121"/>
      <c r="K29" s="122"/>
      <c r="L29" s="117" t="s">
        <v>108</v>
      </c>
      <c r="M29" s="118"/>
      <c r="N29" s="118"/>
      <c r="O29" s="119"/>
      <c r="P29" s="113" t="s">
        <v>102</v>
      </c>
      <c r="Q29" s="114"/>
      <c r="R29" s="114"/>
      <c r="S29" s="114"/>
      <c r="T29" s="114"/>
      <c r="U29" s="114"/>
      <c r="V29" s="114"/>
      <c r="W29" s="115"/>
      <c r="X29" s="110" t="s">
        <v>68</v>
      </c>
      <c r="Y29" s="111"/>
      <c r="Z29" s="111"/>
      <c r="AA29" s="111"/>
      <c r="AB29" s="111"/>
      <c r="AC29" s="111"/>
      <c r="AD29" s="111"/>
      <c r="AE29" s="116"/>
      <c r="AF29" s="110"/>
      <c r="AG29" s="111"/>
      <c r="AH29" s="111"/>
      <c r="AI29" s="111"/>
      <c r="AJ29" s="111"/>
      <c r="AK29" s="111"/>
      <c r="AL29" s="111"/>
      <c r="AM29" s="111"/>
      <c r="AN29" s="112"/>
      <c r="AO29" s="107">
        <v>45664</v>
      </c>
      <c r="AP29" s="108"/>
      <c r="AQ29" s="106" t="s">
        <v>143</v>
      </c>
      <c r="AR29" s="102"/>
      <c r="AS29" s="106" t="s">
        <v>144</v>
      </c>
      <c r="AT29" s="109"/>
      <c r="AU29" s="107"/>
      <c r="AV29" s="108"/>
      <c r="AW29" s="106"/>
      <c r="AX29" s="102"/>
      <c r="AY29" s="106"/>
      <c r="AZ29" s="109"/>
      <c r="BA29" s="148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50"/>
      <c r="BM29" s="16"/>
      <c r="BN29" s="16"/>
    </row>
    <row r="30" spans="1:66" ht="32.4" customHeight="1" thickBot="1" x14ac:dyDescent="0.5">
      <c r="A30" s="10"/>
      <c r="B30" s="10"/>
      <c r="C30" s="30">
        <f t="shared" si="0"/>
        <v>21</v>
      </c>
      <c r="D30" s="49"/>
      <c r="E30" s="50"/>
      <c r="F30" s="50"/>
      <c r="G30" s="51"/>
      <c r="H30" s="49"/>
      <c r="I30" s="50"/>
      <c r="J30" s="50"/>
      <c r="K30" s="51"/>
      <c r="L30" s="126" t="s">
        <v>104</v>
      </c>
      <c r="M30" s="127"/>
      <c r="N30" s="127"/>
      <c r="O30" s="128"/>
      <c r="P30" s="110" t="s">
        <v>103</v>
      </c>
      <c r="Q30" s="111"/>
      <c r="R30" s="111"/>
      <c r="S30" s="111"/>
      <c r="T30" s="111"/>
      <c r="U30" s="111"/>
      <c r="V30" s="111"/>
      <c r="W30" s="116"/>
      <c r="X30" s="110" t="s">
        <v>68</v>
      </c>
      <c r="Y30" s="111"/>
      <c r="Z30" s="111"/>
      <c r="AA30" s="111"/>
      <c r="AB30" s="111"/>
      <c r="AC30" s="111"/>
      <c r="AD30" s="111"/>
      <c r="AE30" s="116"/>
      <c r="AF30" s="40"/>
      <c r="AG30" s="41"/>
      <c r="AH30" s="41"/>
      <c r="AI30" s="41"/>
      <c r="AJ30" s="41"/>
      <c r="AK30" s="41"/>
      <c r="AL30" s="41"/>
      <c r="AM30" s="41"/>
      <c r="AN30" s="42"/>
      <c r="AO30" s="107">
        <v>45664</v>
      </c>
      <c r="AP30" s="108"/>
      <c r="AQ30" s="106" t="s">
        <v>143</v>
      </c>
      <c r="AR30" s="102"/>
      <c r="AS30" s="106" t="s">
        <v>144</v>
      </c>
      <c r="AT30" s="109"/>
      <c r="AU30" s="43"/>
      <c r="AV30" s="44"/>
      <c r="AW30" s="36"/>
      <c r="AX30" s="35"/>
      <c r="AY30" s="36"/>
      <c r="AZ30" s="45"/>
      <c r="BA30" s="37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9"/>
      <c r="BM30" s="16"/>
      <c r="BN30" s="16"/>
    </row>
    <row r="31" spans="1:66" ht="20.100000000000001" customHeight="1" thickTop="1" thickBot="1" x14ac:dyDescent="0.5">
      <c r="A31" s="10"/>
      <c r="B31" s="8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8"/>
      <c r="BN31" s="16"/>
    </row>
    <row r="32" spans="1:66" ht="5.0999999999999996" customHeight="1" thickTop="1" x14ac:dyDescent="0.4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</row>
    <row r="33" spans="4:61" ht="20.100000000000001" customHeight="1" x14ac:dyDescent="0.4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</sheetData>
  <mergeCells count="283">
    <mergeCell ref="AO30:AP30"/>
    <mergeCell ref="AQ30:AR30"/>
    <mergeCell ref="AS30:AT30"/>
    <mergeCell ref="L22:O22"/>
    <mergeCell ref="L25:O25"/>
    <mergeCell ref="D23:G23"/>
    <mergeCell ref="D27:G27"/>
    <mergeCell ref="D28:G28"/>
    <mergeCell ref="D29:G29"/>
    <mergeCell ref="H29:K29"/>
    <mergeCell ref="AS26:AT26"/>
    <mergeCell ref="P30:W30"/>
    <mergeCell ref="X30:AE30"/>
    <mergeCell ref="L30:O30"/>
    <mergeCell ref="P27:W27"/>
    <mergeCell ref="X27:AE27"/>
    <mergeCell ref="AF27:AN27"/>
    <mergeCell ref="AO27:AP27"/>
    <mergeCell ref="AQ27:AR27"/>
    <mergeCell ref="AS27:AT27"/>
    <mergeCell ref="L29:O29"/>
    <mergeCell ref="P28:W28"/>
    <mergeCell ref="X28:AE28"/>
    <mergeCell ref="AF26:AN26"/>
    <mergeCell ref="D20:G20"/>
    <mergeCell ref="D21:G21"/>
    <mergeCell ref="D22:G22"/>
    <mergeCell ref="H28:K28"/>
    <mergeCell ref="L17:O19"/>
    <mergeCell ref="L20:O21"/>
    <mergeCell ref="L27:O27"/>
    <mergeCell ref="L28:O28"/>
    <mergeCell ref="L23:O23"/>
    <mergeCell ref="H27:K27"/>
    <mergeCell ref="H17:K17"/>
    <mergeCell ref="H22:K22"/>
    <mergeCell ref="H23:K23"/>
    <mergeCell ref="H20:K20"/>
    <mergeCell ref="H21:K21"/>
    <mergeCell ref="D26:G26"/>
    <mergeCell ref="H26:K26"/>
    <mergeCell ref="L26:O26"/>
    <mergeCell ref="D11:G11"/>
    <mergeCell ref="D12:G12"/>
    <mergeCell ref="D13:G13"/>
    <mergeCell ref="D14:G14"/>
    <mergeCell ref="D15:G15"/>
    <mergeCell ref="D16:G16"/>
    <mergeCell ref="H18:K18"/>
    <mergeCell ref="H19:K19"/>
    <mergeCell ref="H14:K14"/>
    <mergeCell ref="H15:K15"/>
    <mergeCell ref="H16:K16"/>
    <mergeCell ref="H11:K11"/>
    <mergeCell ref="H12:K12"/>
    <mergeCell ref="H13:K13"/>
    <mergeCell ref="D17:G17"/>
    <mergeCell ref="D18:G18"/>
    <mergeCell ref="D19:G19"/>
    <mergeCell ref="BA29:BL29"/>
    <mergeCell ref="AO28:AP28"/>
    <mergeCell ref="AQ28:AR28"/>
    <mergeCell ref="AS28:AT28"/>
    <mergeCell ref="AU28:AV28"/>
    <mergeCell ref="AW28:AX28"/>
    <mergeCell ref="AY28:AZ28"/>
    <mergeCell ref="BA28:BL28"/>
    <mergeCell ref="AO29:AP29"/>
    <mergeCell ref="AQ29:AR29"/>
    <mergeCell ref="AS29:AT29"/>
    <mergeCell ref="AU29:AV29"/>
    <mergeCell ref="AW29:AX29"/>
    <mergeCell ref="BA27:BL27"/>
    <mergeCell ref="P23:W23"/>
    <mergeCell ref="X23:AE23"/>
    <mergeCell ref="AF23:AN23"/>
    <mergeCell ref="AO23:AP23"/>
    <mergeCell ref="AQ23:AR23"/>
    <mergeCell ref="AS23:AT23"/>
    <mergeCell ref="AU23:AV23"/>
    <mergeCell ref="AW23:AX23"/>
    <mergeCell ref="AY23:AZ23"/>
    <mergeCell ref="P25:W25"/>
    <mergeCell ref="X25:AE25"/>
    <mergeCell ref="AU26:AV26"/>
    <mergeCell ref="AW26:AX26"/>
    <mergeCell ref="AY26:AZ26"/>
    <mergeCell ref="BA26:BL26"/>
    <mergeCell ref="BA23:BL23"/>
    <mergeCell ref="AO24:AP24"/>
    <mergeCell ref="AQ24:AR24"/>
    <mergeCell ref="AS24:AT24"/>
    <mergeCell ref="AO25:AP25"/>
    <mergeCell ref="AS25:AT25"/>
    <mergeCell ref="P26:W26"/>
    <mergeCell ref="X26:AE26"/>
    <mergeCell ref="BA21:BL21"/>
    <mergeCell ref="P22:W22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BA19:BL19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17:BL17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5:BL15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AU11:AV11"/>
    <mergeCell ref="AW11:AX11"/>
    <mergeCell ref="AY11:AZ11"/>
    <mergeCell ref="BA10:BL10"/>
    <mergeCell ref="BA13:BL13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4:BL14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I8:BJ8"/>
    <mergeCell ref="BK8:BL8"/>
    <mergeCell ref="AK3:AW4"/>
    <mergeCell ref="AO8:AT8"/>
    <mergeCell ref="AU10:AV10"/>
    <mergeCell ref="AW10:AX10"/>
    <mergeCell ref="AY10:AZ10"/>
    <mergeCell ref="BA11:BL11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2:BL12"/>
    <mergeCell ref="P11:W11"/>
    <mergeCell ref="X11:AE11"/>
    <mergeCell ref="AF11:AN11"/>
    <mergeCell ref="AO11:AP11"/>
    <mergeCell ref="AQ11:AR11"/>
    <mergeCell ref="AS11:AT11"/>
    <mergeCell ref="AU9:AV9"/>
    <mergeCell ref="AW9:AX9"/>
    <mergeCell ref="B2:G2"/>
    <mergeCell ref="H2:K2"/>
    <mergeCell ref="L2:Q2"/>
    <mergeCell ref="R2:W2"/>
    <mergeCell ref="X2:AJ2"/>
    <mergeCell ref="AK2:AW2"/>
    <mergeCell ref="AX3:BA4"/>
    <mergeCell ref="AY9:AZ9"/>
    <mergeCell ref="BA9:BL9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AQ10:AR10"/>
    <mergeCell ref="AS10:AT10"/>
    <mergeCell ref="B3:G4"/>
    <mergeCell ref="H3:K4"/>
    <mergeCell ref="L3:Q4"/>
    <mergeCell ref="R3:W4"/>
    <mergeCell ref="X3:AJ4"/>
    <mergeCell ref="AO9:AP9"/>
    <mergeCell ref="AQ9:AR9"/>
    <mergeCell ref="AS9:AT9"/>
    <mergeCell ref="D10:G10"/>
    <mergeCell ref="H10:K10"/>
    <mergeCell ref="L10:O10"/>
    <mergeCell ref="L11:O11"/>
    <mergeCell ref="L12:O12"/>
    <mergeCell ref="L13:O13"/>
    <mergeCell ref="L14:O16"/>
    <mergeCell ref="P10:W10"/>
    <mergeCell ref="X10:AE10"/>
    <mergeCell ref="AF10:AN10"/>
    <mergeCell ref="AO10:AP10"/>
    <mergeCell ref="L24:O24"/>
    <mergeCell ref="P24:W24"/>
    <mergeCell ref="X24:AE24"/>
    <mergeCell ref="P15:W16"/>
    <mergeCell ref="P17:W17"/>
    <mergeCell ref="P18:W19"/>
    <mergeCell ref="P20:W21"/>
    <mergeCell ref="AO26:AP26"/>
    <mergeCell ref="AQ26:AR26"/>
    <mergeCell ref="AQ25:AR25"/>
    <mergeCell ref="AU25:AV25"/>
    <mergeCell ref="AW25:AX25"/>
    <mergeCell ref="AY25:AZ25"/>
    <mergeCell ref="AF28:AN28"/>
    <mergeCell ref="P29:W29"/>
    <mergeCell ref="X29:AE29"/>
    <mergeCell ref="AF29:AN29"/>
    <mergeCell ref="AU27:AV27"/>
    <mergeCell ref="AW27:AX27"/>
    <mergeCell ref="AY27:AZ27"/>
    <mergeCell ref="AY29:AZ29"/>
  </mergeCells>
  <phoneticPr fontId="2"/>
  <conditionalFormatting sqref="AS10 AY10 AY27 AS13 AY12:AY24 AY29:AY30">
    <cfRule type="cellIs" dxfId="203" priority="51" operator="equal">
      <formula>"OK"</formula>
    </cfRule>
    <cfRule type="cellIs" dxfId="202" priority="52" operator="equal">
      <formula>"NG"</formula>
    </cfRule>
  </conditionalFormatting>
  <conditionalFormatting sqref="AY26">
    <cfRule type="cellIs" dxfId="201" priority="45" operator="equal">
      <formula>"OK"</formula>
    </cfRule>
    <cfRule type="cellIs" dxfId="200" priority="46" operator="equal">
      <formula>"NG"</formula>
    </cfRule>
  </conditionalFormatting>
  <conditionalFormatting sqref="AS11">
    <cfRule type="cellIs" dxfId="199" priority="43" operator="equal">
      <formula>"OK"</formula>
    </cfRule>
    <cfRule type="cellIs" dxfId="198" priority="44" operator="equal">
      <formula>"NG"</formula>
    </cfRule>
  </conditionalFormatting>
  <conditionalFormatting sqref="AS12">
    <cfRule type="cellIs" dxfId="197" priority="41" operator="equal">
      <formula>"OK"</formula>
    </cfRule>
    <cfRule type="cellIs" dxfId="196" priority="42" operator="equal">
      <formula>"NG"</formula>
    </cfRule>
  </conditionalFormatting>
  <conditionalFormatting sqref="AS14">
    <cfRule type="cellIs" dxfId="195" priority="39" operator="equal">
      <formula>"OK"</formula>
    </cfRule>
    <cfRule type="cellIs" dxfId="194" priority="40" operator="equal">
      <formula>"NG"</formula>
    </cfRule>
  </conditionalFormatting>
  <conditionalFormatting sqref="AS15">
    <cfRule type="cellIs" dxfId="193" priority="37" operator="equal">
      <formula>"OK"</formula>
    </cfRule>
    <cfRule type="cellIs" dxfId="192" priority="38" operator="equal">
      <formula>"NG"</formula>
    </cfRule>
  </conditionalFormatting>
  <conditionalFormatting sqref="AS16">
    <cfRule type="cellIs" dxfId="191" priority="35" operator="equal">
      <formula>"OK"</formula>
    </cfRule>
    <cfRule type="cellIs" dxfId="190" priority="36" operator="equal">
      <formula>"NG"</formula>
    </cfRule>
  </conditionalFormatting>
  <conditionalFormatting sqref="AS17">
    <cfRule type="cellIs" dxfId="189" priority="33" operator="equal">
      <formula>"OK"</formula>
    </cfRule>
    <cfRule type="cellIs" dxfId="188" priority="34" operator="equal">
      <formula>"NG"</formula>
    </cfRule>
  </conditionalFormatting>
  <conditionalFormatting sqref="AS18">
    <cfRule type="cellIs" dxfId="187" priority="31" operator="equal">
      <formula>"OK"</formula>
    </cfRule>
    <cfRule type="cellIs" dxfId="186" priority="32" operator="equal">
      <formula>"NG"</formula>
    </cfRule>
  </conditionalFormatting>
  <conditionalFormatting sqref="AS19">
    <cfRule type="cellIs" dxfId="185" priority="29" operator="equal">
      <formula>"OK"</formula>
    </cfRule>
    <cfRule type="cellIs" dxfId="184" priority="30" operator="equal">
      <formula>"NG"</formula>
    </cfRule>
  </conditionalFormatting>
  <conditionalFormatting sqref="AS20">
    <cfRule type="cellIs" dxfId="183" priority="27" operator="equal">
      <formula>"OK"</formula>
    </cfRule>
    <cfRule type="cellIs" dxfId="182" priority="28" operator="equal">
      <formula>"NG"</formula>
    </cfRule>
  </conditionalFormatting>
  <conditionalFormatting sqref="AS21">
    <cfRule type="cellIs" dxfId="181" priority="25" operator="equal">
      <formula>"OK"</formula>
    </cfRule>
    <cfRule type="cellIs" dxfId="180" priority="26" operator="equal">
      <formula>"NG"</formula>
    </cfRule>
  </conditionalFormatting>
  <conditionalFormatting sqref="AS22">
    <cfRule type="cellIs" dxfId="179" priority="23" operator="equal">
      <formula>"OK"</formula>
    </cfRule>
    <cfRule type="cellIs" dxfId="178" priority="24" operator="equal">
      <formula>"NG"</formula>
    </cfRule>
  </conditionalFormatting>
  <conditionalFormatting sqref="AS23">
    <cfRule type="cellIs" dxfId="177" priority="21" operator="equal">
      <formula>"OK"</formula>
    </cfRule>
    <cfRule type="cellIs" dxfId="176" priority="22" operator="equal">
      <formula>"NG"</formula>
    </cfRule>
  </conditionalFormatting>
  <conditionalFormatting sqref="AS24">
    <cfRule type="cellIs" dxfId="175" priority="19" operator="equal">
      <formula>"OK"</formula>
    </cfRule>
    <cfRule type="cellIs" dxfId="174" priority="20" operator="equal">
      <formula>"NG"</formula>
    </cfRule>
  </conditionalFormatting>
  <conditionalFormatting sqref="AS25">
    <cfRule type="cellIs" dxfId="173" priority="17" operator="equal">
      <formula>"OK"</formula>
    </cfRule>
    <cfRule type="cellIs" dxfId="172" priority="18" operator="equal">
      <formula>"NG"</formula>
    </cfRule>
  </conditionalFormatting>
  <conditionalFormatting sqref="AS26">
    <cfRule type="cellIs" dxfId="171" priority="15" operator="equal">
      <formula>"OK"</formula>
    </cfRule>
    <cfRule type="cellIs" dxfId="170" priority="16" operator="equal">
      <formula>"NG"</formula>
    </cfRule>
  </conditionalFormatting>
  <conditionalFormatting sqref="AS27">
    <cfRule type="cellIs" dxfId="169" priority="13" operator="equal">
      <formula>"OK"</formula>
    </cfRule>
    <cfRule type="cellIs" dxfId="168" priority="14" operator="equal">
      <formula>"NG"</formula>
    </cfRule>
  </conditionalFormatting>
  <conditionalFormatting sqref="AS28">
    <cfRule type="cellIs" dxfId="167" priority="11" operator="equal">
      <formula>"OK"</formula>
    </cfRule>
    <cfRule type="cellIs" dxfId="166" priority="12" operator="equal">
      <formula>"NG"</formula>
    </cfRule>
  </conditionalFormatting>
  <conditionalFormatting sqref="AS29">
    <cfRule type="cellIs" dxfId="165" priority="9" operator="equal">
      <formula>"OK"</formula>
    </cfRule>
    <cfRule type="cellIs" dxfId="164" priority="10" operator="equal">
      <formula>"NG"</formula>
    </cfRule>
  </conditionalFormatting>
  <conditionalFormatting sqref="AS30">
    <cfRule type="cellIs" dxfId="163" priority="7" operator="equal">
      <formula>"OK"</formula>
    </cfRule>
    <cfRule type="cellIs" dxfId="162" priority="8" operator="equal">
      <formula>"NG"</formula>
    </cfRule>
  </conditionalFormatting>
  <conditionalFormatting sqref="AY11">
    <cfRule type="cellIs" dxfId="161" priority="5" operator="equal">
      <formula>"OK"</formula>
    </cfRule>
    <cfRule type="cellIs" dxfId="160" priority="6" operator="equal">
      <formula>"NG"</formula>
    </cfRule>
  </conditionalFormatting>
  <conditionalFormatting sqref="AY25">
    <cfRule type="cellIs" dxfId="159" priority="3" operator="equal">
      <formula>"OK"</formula>
    </cfRule>
    <cfRule type="cellIs" dxfId="158" priority="4" operator="equal">
      <formula>"NG"</formula>
    </cfRule>
  </conditionalFormatting>
  <conditionalFormatting sqref="AY28">
    <cfRule type="cellIs" dxfId="157" priority="1" operator="equal">
      <formula>"OK"</formula>
    </cfRule>
    <cfRule type="cellIs" dxfId="156" priority="2" operator="equal">
      <formula>"NG"</formula>
    </cfRule>
  </conditionalFormatting>
  <dataValidations count="1">
    <dataValidation type="list" allowBlank="1" showInputMessage="1" showErrorMessage="1" sqref="AS10:AS30 AY10:AY30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pane ySplit="9" topLeftCell="A28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1" t="s">
        <v>0</v>
      </c>
      <c r="C2" s="82"/>
      <c r="D2" s="82"/>
      <c r="E2" s="82"/>
      <c r="F2" s="82"/>
      <c r="G2" s="82"/>
      <c r="H2" s="82" t="s">
        <v>40</v>
      </c>
      <c r="I2" s="82"/>
      <c r="J2" s="82"/>
      <c r="K2" s="82"/>
      <c r="L2" s="82" t="s">
        <v>41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30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6"/>
    </row>
    <row r="3" spans="1:66" ht="20.100000000000001" customHeight="1" x14ac:dyDescent="0.45">
      <c r="A3" s="10"/>
      <c r="B3" s="86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 t="str">
        <f ca="1">変更履歴!R3</f>
        <v>結合試験項目</v>
      </c>
      <c r="S3" s="87"/>
      <c r="T3" s="87"/>
      <c r="U3" s="87"/>
      <c r="V3" s="87"/>
      <c r="W3" s="87"/>
      <c r="X3" s="91" t="str">
        <f ca="1">変更履歴!X3</f>
        <v>請求売掛_請求一覧表_結合試験項目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変更履歴!AK3</f>
        <v>請求一覧表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f>変更履歴!AX3</f>
        <v>45628</v>
      </c>
      <c r="AY3" s="98"/>
      <c r="AZ3" s="98"/>
      <c r="BA3" s="98"/>
      <c r="BB3" s="87" t="str">
        <f>変更履歴!BB3</f>
        <v>児玉</v>
      </c>
      <c r="BC3" s="87"/>
      <c r="BD3" s="87"/>
      <c r="BE3" s="87"/>
      <c r="BF3" s="98">
        <f>変更履歴!BF3</f>
        <v>45628</v>
      </c>
      <c r="BG3" s="98"/>
      <c r="BH3" s="98"/>
      <c r="BI3" s="98"/>
      <c r="BJ3" s="87" t="str">
        <f>変更履歴!BJ3</f>
        <v>児玉</v>
      </c>
      <c r="BK3" s="87"/>
      <c r="BL3" s="87"/>
      <c r="BM3" s="99"/>
      <c r="BN3" s="16"/>
    </row>
    <row r="4" spans="1:66" ht="20.100000000000001" customHeight="1" thickBot="1" x14ac:dyDescent="0.5">
      <c r="A4" s="10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133"/>
      <c r="AY4" s="133"/>
      <c r="AZ4" s="133"/>
      <c r="BA4" s="133"/>
      <c r="BB4" s="89"/>
      <c r="BC4" s="89"/>
      <c r="BD4" s="89"/>
      <c r="BE4" s="89"/>
      <c r="BF4" s="133"/>
      <c r="BG4" s="133"/>
      <c r="BH4" s="133"/>
      <c r="BI4" s="133"/>
      <c r="BJ4" s="89"/>
      <c r="BK4" s="89"/>
      <c r="BL4" s="89"/>
      <c r="BM4" s="9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7" t="s">
        <v>32</v>
      </c>
      <c r="BF7" s="138"/>
      <c r="BG7" s="141" t="s">
        <v>31</v>
      </c>
      <c r="BH7" s="141"/>
      <c r="BI7" s="142" t="s">
        <v>33</v>
      </c>
      <c r="BJ7" s="143"/>
      <c r="BK7" s="142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4" t="s">
        <v>35</v>
      </c>
      <c r="AP8" s="135"/>
      <c r="AQ8" s="135"/>
      <c r="AR8" s="135"/>
      <c r="AS8" s="135"/>
      <c r="AT8" s="136"/>
      <c r="AU8" s="144" t="s">
        <v>36</v>
      </c>
      <c r="AV8" s="135"/>
      <c r="AW8" s="135"/>
      <c r="AX8" s="135"/>
      <c r="AY8" s="135"/>
      <c r="AZ8" s="136"/>
      <c r="BE8" s="139"/>
      <c r="BF8" s="140"/>
      <c r="BG8" s="145">
        <f>COUNTA(C10:C46)</f>
        <v>37</v>
      </c>
      <c r="BH8" s="146"/>
      <c r="BI8" s="145">
        <f>COUNTIF(AS10:AT46,"OK")+COUNTIF(AY10:AZ46,"OK")</f>
        <v>37</v>
      </c>
      <c r="BJ8" s="146"/>
      <c r="BK8" s="145">
        <f>BG8-BI8</f>
        <v>0</v>
      </c>
      <c r="BL8" s="14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9" t="s">
        <v>25</v>
      </c>
      <c r="AP9" s="130"/>
      <c r="AQ9" s="131" t="s">
        <v>26</v>
      </c>
      <c r="AR9" s="130"/>
      <c r="AS9" s="131" t="s">
        <v>29</v>
      </c>
      <c r="AT9" s="132"/>
      <c r="AU9" s="129" t="s">
        <v>25</v>
      </c>
      <c r="AV9" s="130"/>
      <c r="AW9" s="131" t="s">
        <v>26</v>
      </c>
      <c r="AX9" s="130"/>
      <c r="AY9" s="131" t="s">
        <v>29</v>
      </c>
      <c r="AZ9" s="132"/>
      <c r="BA9" s="134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17" t="s">
        <v>142</v>
      </c>
      <c r="E10" s="118"/>
      <c r="F10" s="118"/>
      <c r="G10" s="119"/>
      <c r="H10" s="117" t="s">
        <v>79</v>
      </c>
      <c r="I10" s="118"/>
      <c r="J10" s="118"/>
      <c r="K10" s="119"/>
      <c r="L10" s="151" t="s">
        <v>75</v>
      </c>
      <c r="M10" s="152"/>
      <c r="N10" s="152"/>
      <c r="O10" s="153"/>
      <c r="P10" s="110" t="s">
        <v>76</v>
      </c>
      <c r="Q10" s="111"/>
      <c r="R10" s="111"/>
      <c r="S10" s="111"/>
      <c r="T10" s="111"/>
      <c r="U10" s="111"/>
      <c r="V10" s="111"/>
      <c r="W10" s="116"/>
      <c r="X10" s="110" t="s">
        <v>74</v>
      </c>
      <c r="Y10" s="111"/>
      <c r="Z10" s="111"/>
      <c r="AA10" s="111"/>
      <c r="AB10" s="111"/>
      <c r="AC10" s="111"/>
      <c r="AD10" s="111"/>
      <c r="AE10" s="116"/>
      <c r="AF10" s="110"/>
      <c r="AG10" s="111"/>
      <c r="AH10" s="111"/>
      <c r="AI10" s="111"/>
      <c r="AJ10" s="111"/>
      <c r="AK10" s="111"/>
      <c r="AL10" s="111"/>
      <c r="AM10" s="111"/>
      <c r="AN10" s="112"/>
      <c r="AO10" s="107">
        <v>45664</v>
      </c>
      <c r="AP10" s="108"/>
      <c r="AQ10" s="106" t="s">
        <v>143</v>
      </c>
      <c r="AR10" s="102"/>
      <c r="AS10" s="106" t="s">
        <v>144</v>
      </c>
      <c r="AT10" s="109"/>
      <c r="AU10" s="107"/>
      <c r="AV10" s="108"/>
      <c r="AW10" s="106"/>
      <c r="AX10" s="102"/>
      <c r="AY10" s="106"/>
      <c r="AZ10" s="109"/>
      <c r="BA10" s="148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50"/>
      <c r="BM10" s="16"/>
      <c r="BN10" s="16"/>
    </row>
    <row r="11" spans="1:66" ht="20.100000000000001" customHeight="1" x14ac:dyDescent="0.45">
      <c r="A11" s="10"/>
      <c r="B11" s="10"/>
      <c r="C11" s="30">
        <f t="shared" ref="C11:C46" si="0">ROW()-9</f>
        <v>2</v>
      </c>
      <c r="D11" s="120"/>
      <c r="E11" s="121"/>
      <c r="F11" s="121"/>
      <c r="G11" s="122"/>
      <c r="H11" s="120"/>
      <c r="I11" s="121"/>
      <c r="J11" s="121"/>
      <c r="K11" s="122"/>
      <c r="L11" s="160"/>
      <c r="M11" s="161"/>
      <c r="N11" s="161"/>
      <c r="O11" s="162"/>
      <c r="P11" s="110" t="s">
        <v>77</v>
      </c>
      <c r="Q11" s="111"/>
      <c r="R11" s="111"/>
      <c r="S11" s="111"/>
      <c r="T11" s="111"/>
      <c r="U11" s="111"/>
      <c r="V11" s="111"/>
      <c r="W11" s="116"/>
      <c r="X11" s="110" t="s">
        <v>74</v>
      </c>
      <c r="Y11" s="111"/>
      <c r="Z11" s="111"/>
      <c r="AA11" s="111"/>
      <c r="AB11" s="111"/>
      <c r="AC11" s="111"/>
      <c r="AD11" s="111"/>
      <c r="AE11" s="116"/>
      <c r="AF11" s="110"/>
      <c r="AG11" s="111"/>
      <c r="AH11" s="111"/>
      <c r="AI11" s="111"/>
      <c r="AJ11" s="111"/>
      <c r="AK11" s="111"/>
      <c r="AL11" s="111"/>
      <c r="AM11" s="111"/>
      <c r="AN11" s="112"/>
      <c r="AO11" s="107">
        <v>45664</v>
      </c>
      <c r="AP11" s="108"/>
      <c r="AQ11" s="106" t="s">
        <v>143</v>
      </c>
      <c r="AR11" s="102"/>
      <c r="AS11" s="106" t="s">
        <v>144</v>
      </c>
      <c r="AT11" s="109"/>
      <c r="AU11" s="107"/>
      <c r="AV11" s="108"/>
      <c r="AW11" s="106"/>
      <c r="AX11" s="102"/>
      <c r="AY11" s="106"/>
      <c r="AZ11" s="109"/>
      <c r="BA11" s="148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50"/>
      <c r="BM11" s="16"/>
      <c r="BN11" s="16"/>
    </row>
    <row r="12" spans="1:66" ht="30" customHeight="1" x14ac:dyDescent="0.45">
      <c r="A12" s="10"/>
      <c r="B12" s="10"/>
      <c r="C12" s="30">
        <f t="shared" si="0"/>
        <v>3</v>
      </c>
      <c r="D12" s="120"/>
      <c r="E12" s="121"/>
      <c r="F12" s="121"/>
      <c r="G12" s="122"/>
      <c r="H12" s="120"/>
      <c r="I12" s="121"/>
      <c r="J12" s="121"/>
      <c r="K12" s="122"/>
      <c r="L12" s="160"/>
      <c r="M12" s="161"/>
      <c r="N12" s="161"/>
      <c r="O12" s="162"/>
      <c r="P12" s="110" t="s">
        <v>73</v>
      </c>
      <c r="Q12" s="111"/>
      <c r="R12" s="111"/>
      <c r="S12" s="111"/>
      <c r="T12" s="111"/>
      <c r="U12" s="111"/>
      <c r="V12" s="111"/>
      <c r="W12" s="116"/>
      <c r="X12" s="110" t="s">
        <v>74</v>
      </c>
      <c r="Y12" s="111"/>
      <c r="Z12" s="111"/>
      <c r="AA12" s="111"/>
      <c r="AB12" s="111"/>
      <c r="AC12" s="111"/>
      <c r="AD12" s="111"/>
      <c r="AE12" s="116"/>
      <c r="AF12" s="110"/>
      <c r="AG12" s="111"/>
      <c r="AH12" s="111"/>
      <c r="AI12" s="111"/>
      <c r="AJ12" s="111"/>
      <c r="AK12" s="111"/>
      <c r="AL12" s="111"/>
      <c r="AM12" s="111"/>
      <c r="AN12" s="112"/>
      <c r="AO12" s="107">
        <v>45664</v>
      </c>
      <c r="AP12" s="108"/>
      <c r="AQ12" s="106" t="s">
        <v>143</v>
      </c>
      <c r="AR12" s="102"/>
      <c r="AS12" s="106" t="s">
        <v>144</v>
      </c>
      <c r="AT12" s="109"/>
      <c r="AU12" s="107"/>
      <c r="AV12" s="108"/>
      <c r="AW12" s="106"/>
      <c r="AX12" s="102"/>
      <c r="AY12" s="106"/>
      <c r="AZ12" s="109"/>
      <c r="BA12" s="148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50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20"/>
      <c r="E13" s="121"/>
      <c r="F13" s="121"/>
      <c r="G13" s="122"/>
      <c r="H13" s="120"/>
      <c r="I13" s="121"/>
      <c r="J13" s="121"/>
      <c r="K13" s="122"/>
      <c r="L13" s="163"/>
      <c r="M13" s="164"/>
      <c r="N13" s="164"/>
      <c r="O13" s="165"/>
      <c r="P13" s="110" t="s">
        <v>78</v>
      </c>
      <c r="Q13" s="111"/>
      <c r="R13" s="111"/>
      <c r="S13" s="111"/>
      <c r="T13" s="111"/>
      <c r="U13" s="111"/>
      <c r="V13" s="111"/>
      <c r="W13" s="116"/>
      <c r="X13" s="110" t="s">
        <v>74</v>
      </c>
      <c r="Y13" s="111"/>
      <c r="Z13" s="111"/>
      <c r="AA13" s="111"/>
      <c r="AB13" s="111"/>
      <c r="AC13" s="111"/>
      <c r="AD13" s="111"/>
      <c r="AE13" s="116"/>
      <c r="AF13" s="110"/>
      <c r="AG13" s="111"/>
      <c r="AH13" s="111"/>
      <c r="AI13" s="111"/>
      <c r="AJ13" s="111"/>
      <c r="AK13" s="111"/>
      <c r="AL13" s="111"/>
      <c r="AM13" s="111"/>
      <c r="AN13" s="112"/>
      <c r="AO13" s="107">
        <v>45664</v>
      </c>
      <c r="AP13" s="108"/>
      <c r="AQ13" s="106" t="s">
        <v>143</v>
      </c>
      <c r="AR13" s="102"/>
      <c r="AS13" s="106" t="s">
        <v>144</v>
      </c>
      <c r="AT13" s="109"/>
      <c r="AU13" s="107"/>
      <c r="AV13" s="108"/>
      <c r="AW13" s="106"/>
      <c r="AX13" s="102"/>
      <c r="AY13" s="106"/>
      <c r="AZ13" s="109"/>
      <c r="BA13" s="148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50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20"/>
      <c r="E14" s="121"/>
      <c r="F14" s="121"/>
      <c r="G14" s="122"/>
      <c r="H14" s="110" t="s">
        <v>80</v>
      </c>
      <c r="I14" s="111"/>
      <c r="J14" s="111"/>
      <c r="K14" s="116"/>
      <c r="L14" s="126" t="s">
        <v>64</v>
      </c>
      <c r="M14" s="127"/>
      <c r="N14" s="127"/>
      <c r="O14" s="128"/>
      <c r="P14" s="110" t="s">
        <v>81</v>
      </c>
      <c r="Q14" s="111"/>
      <c r="R14" s="111"/>
      <c r="S14" s="111"/>
      <c r="T14" s="111"/>
      <c r="U14" s="111"/>
      <c r="V14" s="111"/>
      <c r="W14" s="116"/>
      <c r="X14" s="110" t="s">
        <v>82</v>
      </c>
      <c r="Y14" s="111"/>
      <c r="Z14" s="111"/>
      <c r="AA14" s="111"/>
      <c r="AB14" s="111"/>
      <c r="AC14" s="111"/>
      <c r="AD14" s="111"/>
      <c r="AE14" s="116"/>
      <c r="AF14" s="110"/>
      <c r="AG14" s="111"/>
      <c r="AH14" s="111"/>
      <c r="AI14" s="111"/>
      <c r="AJ14" s="111"/>
      <c r="AK14" s="111"/>
      <c r="AL14" s="111"/>
      <c r="AM14" s="111"/>
      <c r="AN14" s="112"/>
      <c r="AO14" s="107">
        <v>45664</v>
      </c>
      <c r="AP14" s="108"/>
      <c r="AQ14" s="106" t="s">
        <v>143</v>
      </c>
      <c r="AR14" s="102"/>
      <c r="AS14" s="106" t="s">
        <v>144</v>
      </c>
      <c r="AT14" s="109"/>
      <c r="AU14" s="107"/>
      <c r="AV14" s="108"/>
      <c r="AW14" s="106"/>
      <c r="AX14" s="102"/>
      <c r="AY14" s="106"/>
      <c r="AZ14" s="109"/>
      <c r="BA14" s="148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50"/>
      <c r="BM14" s="16"/>
      <c r="BN14" s="16"/>
    </row>
    <row r="15" spans="1:66" ht="31.2" customHeight="1" x14ac:dyDescent="0.45">
      <c r="A15" s="10"/>
      <c r="B15" s="10"/>
      <c r="C15" s="30">
        <f t="shared" si="0"/>
        <v>6</v>
      </c>
      <c r="D15" s="120"/>
      <c r="E15" s="121"/>
      <c r="F15" s="121"/>
      <c r="G15" s="122"/>
      <c r="H15" s="120" t="s">
        <v>97</v>
      </c>
      <c r="I15" s="121"/>
      <c r="J15" s="121"/>
      <c r="K15" s="122"/>
      <c r="L15" s="110" t="s">
        <v>83</v>
      </c>
      <c r="M15" s="111"/>
      <c r="N15" s="111"/>
      <c r="O15" s="116"/>
      <c r="P15" s="110" t="s">
        <v>81</v>
      </c>
      <c r="Q15" s="111"/>
      <c r="R15" s="111"/>
      <c r="S15" s="111"/>
      <c r="T15" s="111"/>
      <c r="U15" s="111"/>
      <c r="V15" s="111"/>
      <c r="W15" s="116"/>
      <c r="X15" s="110" t="s">
        <v>74</v>
      </c>
      <c r="Y15" s="111"/>
      <c r="Z15" s="111"/>
      <c r="AA15" s="111"/>
      <c r="AB15" s="111"/>
      <c r="AC15" s="111"/>
      <c r="AD15" s="111"/>
      <c r="AE15" s="116"/>
      <c r="AF15" s="110" t="s">
        <v>138</v>
      </c>
      <c r="AG15" s="111"/>
      <c r="AH15" s="111"/>
      <c r="AI15" s="111"/>
      <c r="AJ15" s="111"/>
      <c r="AK15" s="111"/>
      <c r="AL15" s="111"/>
      <c r="AM15" s="111"/>
      <c r="AN15" s="112"/>
      <c r="AO15" s="107">
        <v>45664</v>
      </c>
      <c r="AP15" s="108"/>
      <c r="AQ15" s="106" t="s">
        <v>143</v>
      </c>
      <c r="AR15" s="102"/>
      <c r="AS15" s="106" t="s">
        <v>144</v>
      </c>
      <c r="AT15" s="109"/>
      <c r="AU15" s="107"/>
      <c r="AV15" s="108"/>
      <c r="AW15" s="106"/>
      <c r="AX15" s="102"/>
      <c r="AY15" s="106"/>
      <c r="AZ15" s="109"/>
      <c r="BA15" s="148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50"/>
      <c r="BM15" s="16"/>
      <c r="BN15" s="16"/>
    </row>
    <row r="16" spans="1:66" ht="18" customHeight="1" x14ac:dyDescent="0.45">
      <c r="A16" s="10"/>
      <c r="B16" s="10"/>
      <c r="C16" s="30">
        <f t="shared" si="0"/>
        <v>7</v>
      </c>
      <c r="D16" s="120"/>
      <c r="E16" s="121"/>
      <c r="F16" s="121"/>
      <c r="G16" s="122"/>
      <c r="H16" s="120"/>
      <c r="I16" s="121"/>
      <c r="J16" s="121"/>
      <c r="K16" s="122"/>
      <c r="L16" s="110" t="s">
        <v>109</v>
      </c>
      <c r="M16" s="111"/>
      <c r="N16" s="111"/>
      <c r="O16" s="116"/>
      <c r="P16" s="110" t="s">
        <v>81</v>
      </c>
      <c r="Q16" s="111"/>
      <c r="R16" s="111"/>
      <c r="S16" s="111"/>
      <c r="T16" s="111"/>
      <c r="U16" s="111"/>
      <c r="V16" s="111"/>
      <c r="W16" s="116"/>
      <c r="X16" s="110" t="s">
        <v>74</v>
      </c>
      <c r="Y16" s="111"/>
      <c r="Z16" s="111"/>
      <c r="AA16" s="111"/>
      <c r="AB16" s="111"/>
      <c r="AC16" s="111"/>
      <c r="AD16" s="111"/>
      <c r="AE16" s="116"/>
      <c r="AF16" s="110"/>
      <c r="AG16" s="111"/>
      <c r="AH16" s="111"/>
      <c r="AI16" s="111"/>
      <c r="AJ16" s="111"/>
      <c r="AK16" s="111"/>
      <c r="AL16" s="111"/>
      <c r="AM16" s="111"/>
      <c r="AN16" s="112"/>
      <c r="AO16" s="107">
        <v>45664</v>
      </c>
      <c r="AP16" s="108"/>
      <c r="AQ16" s="106" t="s">
        <v>143</v>
      </c>
      <c r="AR16" s="102"/>
      <c r="AS16" s="106" t="s">
        <v>144</v>
      </c>
      <c r="AT16" s="109"/>
      <c r="AU16" s="107"/>
      <c r="AV16" s="108"/>
      <c r="AW16" s="106"/>
      <c r="AX16" s="102"/>
      <c r="AY16" s="106"/>
      <c r="AZ16" s="109"/>
      <c r="BA16" s="148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5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20"/>
      <c r="E17" s="121"/>
      <c r="F17" s="121"/>
      <c r="G17" s="122"/>
      <c r="H17" s="120"/>
      <c r="I17" s="121"/>
      <c r="J17" s="121"/>
      <c r="K17" s="122"/>
      <c r="L17" s="110" t="s">
        <v>110</v>
      </c>
      <c r="M17" s="111"/>
      <c r="N17" s="111"/>
      <c r="O17" s="116"/>
      <c r="P17" s="110" t="s">
        <v>81</v>
      </c>
      <c r="Q17" s="111"/>
      <c r="R17" s="111"/>
      <c r="S17" s="111"/>
      <c r="T17" s="111"/>
      <c r="U17" s="111"/>
      <c r="V17" s="111"/>
      <c r="W17" s="116"/>
      <c r="X17" s="110" t="s">
        <v>74</v>
      </c>
      <c r="Y17" s="111"/>
      <c r="Z17" s="111"/>
      <c r="AA17" s="111"/>
      <c r="AB17" s="111"/>
      <c r="AC17" s="111"/>
      <c r="AD17" s="111"/>
      <c r="AE17" s="116"/>
      <c r="AF17" s="110"/>
      <c r="AG17" s="111"/>
      <c r="AH17" s="111"/>
      <c r="AI17" s="111"/>
      <c r="AJ17" s="111"/>
      <c r="AK17" s="111"/>
      <c r="AL17" s="111"/>
      <c r="AM17" s="111"/>
      <c r="AN17" s="112"/>
      <c r="AO17" s="107">
        <v>45664</v>
      </c>
      <c r="AP17" s="108"/>
      <c r="AQ17" s="106" t="s">
        <v>143</v>
      </c>
      <c r="AR17" s="102"/>
      <c r="AS17" s="106" t="s">
        <v>144</v>
      </c>
      <c r="AT17" s="109"/>
      <c r="AU17" s="107"/>
      <c r="AV17" s="108"/>
      <c r="AW17" s="106"/>
      <c r="AX17" s="102"/>
      <c r="AY17" s="106"/>
      <c r="AZ17" s="109"/>
      <c r="BA17" s="148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50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20"/>
      <c r="E18" s="121"/>
      <c r="F18" s="121"/>
      <c r="G18" s="122"/>
      <c r="H18" s="120"/>
      <c r="I18" s="121"/>
      <c r="J18" s="121"/>
      <c r="K18" s="122"/>
      <c r="L18" s="110" t="s">
        <v>111</v>
      </c>
      <c r="M18" s="111"/>
      <c r="N18" s="111"/>
      <c r="O18" s="116"/>
      <c r="P18" s="110" t="s">
        <v>81</v>
      </c>
      <c r="Q18" s="111"/>
      <c r="R18" s="111"/>
      <c r="S18" s="111"/>
      <c r="T18" s="111"/>
      <c r="U18" s="111"/>
      <c r="V18" s="111"/>
      <c r="W18" s="116"/>
      <c r="X18" s="110" t="s">
        <v>74</v>
      </c>
      <c r="Y18" s="111"/>
      <c r="Z18" s="111"/>
      <c r="AA18" s="111"/>
      <c r="AB18" s="111"/>
      <c r="AC18" s="111"/>
      <c r="AD18" s="111"/>
      <c r="AE18" s="116"/>
      <c r="AF18" s="110"/>
      <c r="AG18" s="111"/>
      <c r="AH18" s="111"/>
      <c r="AI18" s="111"/>
      <c r="AJ18" s="111"/>
      <c r="AK18" s="111"/>
      <c r="AL18" s="111"/>
      <c r="AM18" s="111"/>
      <c r="AN18" s="112"/>
      <c r="AO18" s="107">
        <v>45664</v>
      </c>
      <c r="AP18" s="108"/>
      <c r="AQ18" s="106" t="s">
        <v>143</v>
      </c>
      <c r="AR18" s="102"/>
      <c r="AS18" s="106" t="s">
        <v>144</v>
      </c>
      <c r="AT18" s="109"/>
      <c r="AU18" s="107"/>
      <c r="AV18" s="108"/>
      <c r="AW18" s="106"/>
      <c r="AX18" s="102"/>
      <c r="AY18" s="106"/>
      <c r="AZ18" s="109"/>
      <c r="BA18" s="148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50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20"/>
      <c r="E19" s="121"/>
      <c r="F19" s="121"/>
      <c r="G19" s="122"/>
      <c r="H19" s="120"/>
      <c r="I19" s="121"/>
      <c r="J19" s="121"/>
      <c r="K19" s="122"/>
      <c r="L19" s="110" t="s">
        <v>85</v>
      </c>
      <c r="M19" s="111"/>
      <c r="N19" s="111"/>
      <c r="O19" s="116"/>
      <c r="P19" s="110" t="s">
        <v>81</v>
      </c>
      <c r="Q19" s="111"/>
      <c r="R19" s="111"/>
      <c r="S19" s="111"/>
      <c r="T19" s="111"/>
      <c r="U19" s="111"/>
      <c r="V19" s="111"/>
      <c r="W19" s="116"/>
      <c r="X19" s="110" t="s">
        <v>74</v>
      </c>
      <c r="Y19" s="111"/>
      <c r="Z19" s="111"/>
      <c r="AA19" s="111"/>
      <c r="AB19" s="111"/>
      <c r="AC19" s="111"/>
      <c r="AD19" s="111"/>
      <c r="AE19" s="116"/>
      <c r="AF19" s="110"/>
      <c r="AG19" s="111"/>
      <c r="AH19" s="111"/>
      <c r="AI19" s="111"/>
      <c r="AJ19" s="111"/>
      <c r="AK19" s="111"/>
      <c r="AL19" s="111"/>
      <c r="AM19" s="111"/>
      <c r="AN19" s="112"/>
      <c r="AO19" s="107">
        <v>45664</v>
      </c>
      <c r="AP19" s="108"/>
      <c r="AQ19" s="106" t="s">
        <v>143</v>
      </c>
      <c r="AR19" s="102"/>
      <c r="AS19" s="106" t="s">
        <v>144</v>
      </c>
      <c r="AT19" s="109"/>
      <c r="AU19" s="107"/>
      <c r="AV19" s="108"/>
      <c r="AW19" s="106"/>
      <c r="AX19" s="102"/>
      <c r="AY19" s="106"/>
      <c r="AZ19" s="109"/>
      <c r="BA19" s="148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50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20"/>
      <c r="E20" s="121"/>
      <c r="F20" s="121"/>
      <c r="G20" s="122"/>
      <c r="H20" s="46"/>
      <c r="I20" s="47"/>
      <c r="J20" s="47"/>
      <c r="K20" s="48"/>
      <c r="L20" s="110" t="s">
        <v>86</v>
      </c>
      <c r="M20" s="111"/>
      <c r="N20" s="111"/>
      <c r="O20" s="116"/>
      <c r="P20" s="110" t="s">
        <v>81</v>
      </c>
      <c r="Q20" s="111"/>
      <c r="R20" s="111"/>
      <c r="S20" s="111"/>
      <c r="T20" s="111"/>
      <c r="U20" s="111"/>
      <c r="V20" s="111"/>
      <c r="W20" s="116"/>
      <c r="X20" s="110" t="s">
        <v>74</v>
      </c>
      <c r="Y20" s="111"/>
      <c r="Z20" s="111"/>
      <c r="AA20" s="111"/>
      <c r="AB20" s="111"/>
      <c r="AC20" s="111"/>
      <c r="AD20" s="111"/>
      <c r="AE20" s="116"/>
      <c r="AF20" s="110"/>
      <c r="AG20" s="111"/>
      <c r="AH20" s="111"/>
      <c r="AI20" s="111"/>
      <c r="AJ20" s="111"/>
      <c r="AK20" s="111"/>
      <c r="AL20" s="111"/>
      <c r="AM20" s="111"/>
      <c r="AN20" s="112"/>
      <c r="AO20" s="107">
        <v>45664</v>
      </c>
      <c r="AP20" s="108"/>
      <c r="AQ20" s="106" t="s">
        <v>143</v>
      </c>
      <c r="AR20" s="102"/>
      <c r="AS20" s="106" t="s">
        <v>144</v>
      </c>
      <c r="AT20" s="109"/>
      <c r="AU20" s="107"/>
      <c r="AV20" s="108"/>
      <c r="AW20" s="106"/>
      <c r="AX20" s="102"/>
      <c r="AY20" s="106"/>
      <c r="AZ20" s="109"/>
      <c r="BA20" s="148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50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110" t="s">
        <v>87</v>
      </c>
      <c r="M21" s="111"/>
      <c r="N21" s="111"/>
      <c r="O21" s="116"/>
      <c r="P21" s="110" t="s">
        <v>81</v>
      </c>
      <c r="Q21" s="111"/>
      <c r="R21" s="111"/>
      <c r="S21" s="111"/>
      <c r="T21" s="111"/>
      <c r="U21" s="111"/>
      <c r="V21" s="111"/>
      <c r="W21" s="116"/>
      <c r="X21" s="110" t="s">
        <v>74</v>
      </c>
      <c r="Y21" s="111"/>
      <c r="Z21" s="111"/>
      <c r="AA21" s="111"/>
      <c r="AB21" s="111"/>
      <c r="AC21" s="111"/>
      <c r="AD21" s="111"/>
      <c r="AE21" s="116"/>
      <c r="AF21" s="40"/>
      <c r="AG21" s="41"/>
      <c r="AH21" s="41"/>
      <c r="AI21" s="41"/>
      <c r="AJ21" s="41"/>
      <c r="AK21" s="41"/>
      <c r="AL21" s="41"/>
      <c r="AM21" s="41"/>
      <c r="AN21" s="42"/>
      <c r="AO21" s="107">
        <v>45664</v>
      </c>
      <c r="AP21" s="108"/>
      <c r="AQ21" s="106" t="s">
        <v>143</v>
      </c>
      <c r="AR21" s="102"/>
      <c r="AS21" s="106" t="s">
        <v>144</v>
      </c>
      <c r="AT21" s="109"/>
      <c r="AU21" s="43"/>
      <c r="AV21" s="44"/>
      <c r="AW21" s="36"/>
      <c r="AX21" s="35"/>
      <c r="AY21" s="36"/>
      <c r="AZ21" s="45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110" t="s">
        <v>112</v>
      </c>
      <c r="M22" s="111"/>
      <c r="N22" s="111"/>
      <c r="O22" s="116"/>
      <c r="P22" s="110" t="s">
        <v>81</v>
      </c>
      <c r="Q22" s="111"/>
      <c r="R22" s="111"/>
      <c r="S22" s="111"/>
      <c r="T22" s="111"/>
      <c r="U22" s="111"/>
      <c r="V22" s="111"/>
      <c r="W22" s="116"/>
      <c r="X22" s="110" t="s">
        <v>74</v>
      </c>
      <c r="Y22" s="111"/>
      <c r="Z22" s="111"/>
      <c r="AA22" s="111"/>
      <c r="AB22" s="111"/>
      <c r="AC22" s="111"/>
      <c r="AD22" s="111"/>
      <c r="AE22" s="116"/>
      <c r="AF22" s="40"/>
      <c r="AG22" s="41"/>
      <c r="AH22" s="41"/>
      <c r="AI22" s="41"/>
      <c r="AJ22" s="41"/>
      <c r="AK22" s="41"/>
      <c r="AL22" s="41"/>
      <c r="AM22" s="41"/>
      <c r="AN22" s="42"/>
      <c r="AO22" s="107">
        <v>45664</v>
      </c>
      <c r="AP22" s="108"/>
      <c r="AQ22" s="106" t="s">
        <v>143</v>
      </c>
      <c r="AR22" s="102"/>
      <c r="AS22" s="106" t="s">
        <v>144</v>
      </c>
      <c r="AT22" s="109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10" t="s">
        <v>88</v>
      </c>
      <c r="M23" s="111"/>
      <c r="N23" s="111"/>
      <c r="O23" s="116"/>
      <c r="P23" s="110" t="s">
        <v>81</v>
      </c>
      <c r="Q23" s="111"/>
      <c r="R23" s="111"/>
      <c r="S23" s="111"/>
      <c r="T23" s="111"/>
      <c r="U23" s="111"/>
      <c r="V23" s="111"/>
      <c r="W23" s="116"/>
      <c r="X23" s="110" t="s">
        <v>74</v>
      </c>
      <c r="Y23" s="111"/>
      <c r="Z23" s="111"/>
      <c r="AA23" s="111"/>
      <c r="AB23" s="111"/>
      <c r="AC23" s="111"/>
      <c r="AD23" s="111"/>
      <c r="AE23" s="116"/>
      <c r="AF23" s="40"/>
      <c r="AG23" s="41"/>
      <c r="AH23" s="41"/>
      <c r="AI23" s="41"/>
      <c r="AJ23" s="41"/>
      <c r="AK23" s="41"/>
      <c r="AL23" s="41"/>
      <c r="AM23" s="41"/>
      <c r="AN23" s="42"/>
      <c r="AO23" s="107">
        <v>45664</v>
      </c>
      <c r="AP23" s="108"/>
      <c r="AQ23" s="106" t="s">
        <v>143</v>
      </c>
      <c r="AR23" s="102"/>
      <c r="AS23" s="106" t="s">
        <v>144</v>
      </c>
      <c r="AT23" s="109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10" t="s">
        <v>113</v>
      </c>
      <c r="M24" s="111"/>
      <c r="N24" s="111"/>
      <c r="O24" s="116"/>
      <c r="P24" s="110" t="s">
        <v>81</v>
      </c>
      <c r="Q24" s="111"/>
      <c r="R24" s="111"/>
      <c r="S24" s="111"/>
      <c r="T24" s="111"/>
      <c r="U24" s="111"/>
      <c r="V24" s="111"/>
      <c r="W24" s="116"/>
      <c r="X24" s="110" t="s">
        <v>74</v>
      </c>
      <c r="Y24" s="111"/>
      <c r="Z24" s="111"/>
      <c r="AA24" s="111"/>
      <c r="AB24" s="111"/>
      <c r="AC24" s="111"/>
      <c r="AD24" s="111"/>
      <c r="AE24" s="116"/>
      <c r="AF24" s="40"/>
      <c r="AG24" s="41"/>
      <c r="AH24" s="41"/>
      <c r="AI24" s="41"/>
      <c r="AJ24" s="41"/>
      <c r="AK24" s="41"/>
      <c r="AL24" s="41"/>
      <c r="AM24" s="41"/>
      <c r="AN24" s="42"/>
      <c r="AO24" s="107">
        <v>45664</v>
      </c>
      <c r="AP24" s="108"/>
      <c r="AQ24" s="106" t="s">
        <v>143</v>
      </c>
      <c r="AR24" s="102"/>
      <c r="AS24" s="106" t="s">
        <v>144</v>
      </c>
      <c r="AT24" s="109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10" t="s">
        <v>114</v>
      </c>
      <c r="M25" s="111"/>
      <c r="N25" s="111"/>
      <c r="O25" s="116"/>
      <c r="P25" s="110" t="s">
        <v>81</v>
      </c>
      <c r="Q25" s="111"/>
      <c r="R25" s="111"/>
      <c r="S25" s="111"/>
      <c r="T25" s="111"/>
      <c r="U25" s="111"/>
      <c r="V25" s="111"/>
      <c r="W25" s="116"/>
      <c r="X25" s="110" t="s">
        <v>74</v>
      </c>
      <c r="Y25" s="111"/>
      <c r="Z25" s="111"/>
      <c r="AA25" s="111"/>
      <c r="AB25" s="111"/>
      <c r="AC25" s="111"/>
      <c r="AD25" s="111"/>
      <c r="AE25" s="116"/>
      <c r="AF25" s="40"/>
      <c r="AG25" s="41"/>
      <c r="AH25" s="41"/>
      <c r="AI25" s="41"/>
      <c r="AJ25" s="41"/>
      <c r="AK25" s="41"/>
      <c r="AL25" s="41"/>
      <c r="AM25" s="41"/>
      <c r="AN25" s="42"/>
      <c r="AO25" s="107">
        <v>45664</v>
      </c>
      <c r="AP25" s="108"/>
      <c r="AQ25" s="106" t="s">
        <v>143</v>
      </c>
      <c r="AR25" s="102"/>
      <c r="AS25" s="106" t="s">
        <v>144</v>
      </c>
      <c r="AT25" s="109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10" t="s">
        <v>115</v>
      </c>
      <c r="M26" s="111"/>
      <c r="N26" s="111"/>
      <c r="O26" s="116"/>
      <c r="P26" s="110" t="s">
        <v>81</v>
      </c>
      <c r="Q26" s="111"/>
      <c r="R26" s="111"/>
      <c r="S26" s="111"/>
      <c r="T26" s="111"/>
      <c r="U26" s="111"/>
      <c r="V26" s="111"/>
      <c r="W26" s="116"/>
      <c r="X26" s="110" t="s">
        <v>74</v>
      </c>
      <c r="Y26" s="111"/>
      <c r="Z26" s="111"/>
      <c r="AA26" s="111"/>
      <c r="AB26" s="111"/>
      <c r="AC26" s="111"/>
      <c r="AD26" s="111"/>
      <c r="AE26" s="116"/>
      <c r="AF26" s="40"/>
      <c r="AG26" s="41"/>
      <c r="AH26" s="41"/>
      <c r="AI26" s="41"/>
      <c r="AJ26" s="41"/>
      <c r="AK26" s="41"/>
      <c r="AL26" s="41"/>
      <c r="AM26" s="41"/>
      <c r="AN26" s="42"/>
      <c r="AO26" s="107">
        <v>45664</v>
      </c>
      <c r="AP26" s="108"/>
      <c r="AQ26" s="106" t="s">
        <v>143</v>
      </c>
      <c r="AR26" s="102"/>
      <c r="AS26" s="106" t="s">
        <v>144</v>
      </c>
      <c r="AT26" s="109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10" t="s">
        <v>116</v>
      </c>
      <c r="M27" s="111"/>
      <c r="N27" s="111"/>
      <c r="O27" s="116"/>
      <c r="P27" s="110" t="s">
        <v>81</v>
      </c>
      <c r="Q27" s="111"/>
      <c r="R27" s="111"/>
      <c r="S27" s="111"/>
      <c r="T27" s="111"/>
      <c r="U27" s="111"/>
      <c r="V27" s="111"/>
      <c r="W27" s="116"/>
      <c r="X27" s="110" t="s">
        <v>74</v>
      </c>
      <c r="Y27" s="111"/>
      <c r="Z27" s="111"/>
      <c r="AA27" s="111"/>
      <c r="AB27" s="111"/>
      <c r="AC27" s="111"/>
      <c r="AD27" s="111"/>
      <c r="AE27" s="116"/>
      <c r="AF27" s="40"/>
      <c r="AG27" s="41"/>
      <c r="AH27" s="41"/>
      <c r="AI27" s="41"/>
      <c r="AJ27" s="41"/>
      <c r="AK27" s="41"/>
      <c r="AL27" s="41"/>
      <c r="AM27" s="41"/>
      <c r="AN27" s="42"/>
      <c r="AO27" s="107">
        <v>45664</v>
      </c>
      <c r="AP27" s="108"/>
      <c r="AQ27" s="106" t="s">
        <v>143</v>
      </c>
      <c r="AR27" s="102"/>
      <c r="AS27" s="106" t="s">
        <v>144</v>
      </c>
      <c r="AT27" s="109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10" t="s">
        <v>117</v>
      </c>
      <c r="M28" s="111"/>
      <c r="N28" s="111"/>
      <c r="O28" s="116"/>
      <c r="P28" s="110" t="s">
        <v>81</v>
      </c>
      <c r="Q28" s="111"/>
      <c r="R28" s="111"/>
      <c r="S28" s="111"/>
      <c r="T28" s="111"/>
      <c r="U28" s="111"/>
      <c r="V28" s="111"/>
      <c r="W28" s="116"/>
      <c r="X28" s="110" t="s">
        <v>74</v>
      </c>
      <c r="Y28" s="111"/>
      <c r="Z28" s="111"/>
      <c r="AA28" s="111"/>
      <c r="AB28" s="111"/>
      <c r="AC28" s="111"/>
      <c r="AD28" s="111"/>
      <c r="AE28" s="116"/>
      <c r="AF28" s="40"/>
      <c r="AG28" s="41"/>
      <c r="AH28" s="41"/>
      <c r="AI28" s="41"/>
      <c r="AJ28" s="41"/>
      <c r="AK28" s="41"/>
      <c r="AL28" s="41"/>
      <c r="AM28" s="41"/>
      <c r="AN28" s="42"/>
      <c r="AO28" s="107">
        <v>45664</v>
      </c>
      <c r="AP28" s="108"/>
      <c r="AQ28" s="106" t="s">
        <v>143</v>
      </c>
      <c r="AR28" s="102"/>
      <c r="AS28" s="106" t="s">
        <v>144</v>
      </c>
      <c r="AT28" s="109"/>
      <c r="AU28" s="43"/>
      <c r="AV28" s="44"/>
      <c r="AW28" s="36"/>
      <c r="AX28" s="35"/>
      <c r="AY28" s="36"/>
      <c r="AZ28" s="45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46"/>
      <c r="E29" s="47"/>
      <c r="F29" s="47"/>
      <c r="G29" s="48"/>
      <c r="H29" s="46"/>
      <c r="I29" s="47"/>
      <c r="J29" s="47"/>
      <c r="K29" s="48"/>
      <c r="L29" s="110" t="s">
        <v>118</v>
      </c>
      <c r="M29" s="111"/>
      <c r="N29" s="111"/>
      <c r="O29" s="116"/>
      <c r="P29" s="110" t="s">
        <v>81</v>
      </c>
      <c r="Q29" s="111"/>
      <c r="R29" s="111"/>
      <c r="S29" s="111"/>
      <c r="T29" s="111"/>
      <c r="U29" s="111"/>
      <c r="V29" s="111"/>
      <c r="W29" s="116"/>
      <c r="X29" s="110" t="s">
        <v>74</v>
      </c>
      <c r="Y29" s="111"/>
      <c r="Z29" s="111"/>
      <c r="AA29" s="111"/>
      <c r="AB29" s="111"/>
      <c r="AC29" s="111"/>
      <c r="AD29" s="111"/>
      <c r="AE29" s="116"/>
      <c r="AF29" s="40"/>
      <c r="AG29" s="41"/>
      <c r="AH29" s="41"/>
      <c r="AI29" s="41"/>
      <c r="AJ29" s="41"/>
      <c r="AK29" s="41"/>
      <c r="AL29" s="41"/>
      <c r="AM29" s="41"/>
      <c r="AN29" s="42"/>
      <c r="AO29" s="107">
        <v>45664</v>
      </c>
      <c r="AP29" s="108"/>
      <c r="AQ29" s="106" t="s">
        <v>143</v>
      </c>
      <c r="AR29" s="102"/>
      <c r="AS29" s="106" t="s">
        <v>144</v>
      </c>
      <c r="AT29" s="109"/>
      <c r="AU29" s="43"/>
      <c r="AV29" s="44"/>
      <c r="AW29" s="36"/>
      <c r="AX29" s="35"/>
      <c r="AY29" s="36"/>
      <c r="AZ29" s="45"/>
      <c r="BA29" s="37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46"/>
      <c r="E30" s="47"/>
      <c r="F30" s="47"/>
      <c r="G30" s="48"/>
      <c r="H30" s="120"/>
      <c r="I30" s="121"/>
      <c r="J30" s="121"/>
      <c r="K30" s="122"/>
      <c r="L30" s="110" t="s">
        <v>119</v>
      </c>
      <c r="M30" s="111"/>
      <c r="N30" s="111"/>
      <c r="O30" s="116"/>
      <c r="P30" s="110" t="s">
        <v>81</v>
      </c>
      <c r="Q30" s="111"/>
      <c r="R30" s="111"/>
      <c r="S30" s="111"/>
      <c r="T30" s="111"/>
      <c r="U30" s="111"/>
      <c r="V30" s="111"/>
      <c r="W30" s="116"/>
      <c r="X30" s="110" t="s">
        <v>74</v>
      </c>
      <c r="Y30" s="111"/>
      <c r="Z30" s="111"/>
      <c r="AA30" s="111"/>
      <c r="AB30" s="111"/>
      <c r="AC30" s="111"/>
      <c r="AD30" s="111"/>
      <c r="AE30" s="116"/>
      <c r="AF30" s="40"/>
      <c r="AG30" s="41"/>
      <c r="AH30" s="41"/>
      <c r="AI30" s="41"/>
      <c r="AJ30" s="41"/>
      <c r="AK30" s="41"/>
      <c r="AL30" s="41"/>
      <c r="AM30" s="41"/>
      <c r="AN30" s="42"/>
      <c r="AO30" s="107">
        <v>45664</v>
      </c>
      <c r="AP30" s="108"/>
      <c r="AQ30" s="106" t="s">
        <v>143</v>
      </c>
      <c r="AR30" s="102"/>
      <c r="AS30" s="106" t="s">
        <v>144</v>
      </c>
      <c r="AT30" s="109"/>
      <c r="AU30" s="43"/>
      <c r="AV30" s="44"/>
      <c r="AW30" s="36"/>
      <c r="AX30" s="35"/>
      <c r="AY30" s="36"/>
      <c r="AZ30" s="45"/>
      <c r="BA30" s="37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20"/>
      <c r="E31" s="121"/>
      <c r="F31" s="121"/>
      <c r="G31" s="122"/>
      <c r="H31" s="120"/>
      <c r="I31" s="121"/>
      <c r="J31" s="121"/>
      <c r="K31" s="122"/>
      <c r="L31" s="110" t="s">
        <v>120</v>
      </c>
      <c r="M31" s="111"/>
      <c r="N31" s="111"/>
      <c r="O31" s="116"/>
      <c r="P31" s="110" t="s">
        <v>81</v>
      </c>
      <c r="Q31" s="111"/>
      <c r="R31" s="111"/>
      <c r="S31" s="111"/>
      <c r="T31" s="111"/>
      <c r="U31" s="111"/>
      <c r="V31" s="111"/>
      <c r="W31" s="116"/>
      <c r="X31" s="110" t="s">
        <v>74</v>
      </c>
      <c r="Y31" s="111"/>
      <c r="Z31" s="111"/>
      <c r="AA31" s="111"/>
      <c r="AB31" s="111"/>
      <c r="AC31" s="111"/>
      <c r="AD31" s="111"/>
      <c r="AE31" s="116"/>
      <c r="AF31" s="110"/>
      <c r="AG31" s="111"/>
      <c r="AH31" s="111"/>
      <c r="AI31" s="111"/>
      <c r="AJ31" s="111"/>
      <c r="AK31" s="111"/>
      <c r="AL31" s="111"/>
      <c r="AM31" s="111"/>
      <c r="AN31" s="112"/>
      <c r="AO31" s="107">
        <v>45664</v>
      </c>
      <c r="AP31" s="108"/>
      <c r="AQ31" s="106" t="s">
        <v>143</v>
      </c>
      <c r="AR31" s="102"/>
      <c r="AS31" s="106" t="s">
        <v>144</v>
      </c>
      <c r="AT31" s="109"/>
      <c r="AU31" s="107"/>
      <c r="AV31" s="108"/>
      <c r="AW31" s="106"/>
      <c r="AX31" s="102"/>
      <c r="AY31" s="106"/>
      <c r="AZ31" s="109"/>
      <c r="BA31" s="148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50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20"/>
      <c r="E32" s="121"/>
      <c r="F32" s="121"/>
      <c r="G32" s="122"/>
      <c r="H32" s="120"/>
      <c r="I32" s="121"/>
      <c r="J32" s="121"/>
      <c r="K32" s="122"/>
      <c r="L32" s="110" t="s">
        <v>121</v>
      </c>
      <c r="M32" s="111"/>
      <c r="N32" s="111"/>
      <c r="O32" s="116"/>
      <c r="P32" s="110" t="s">
        <v>81</v>
      </c>
      <c r="Q32" s="111"/>
      <c r="R32" s="111"/>
      <c r="S32" s="111"/>
      <c r="T32" s="111"/>
      <c r="U32" s="111"/>
      <c r="V32" s="111"/>
      <c r="W32" s="116"/>
      <c r="X32" s="110" t="s">
        <v>74</v>
      </c>
      <c r="Y32" s="111"/>
      <c r="Z32" s="111"/>
      <c r="AA32" s="111"/>
      <c r="AB32" s="111"/>
      <c r="AC32" s="111"/>
      <c r="AD32" s="111"/>
      <c r="AE32" s="116"/>
      <c r="AF32" s="110"/>
      <c r="AG32" s="111"/>
      <c r="AH32" s="111"/>
      <c r="AI32" s="111"/>
      <c r="AJ32" s="111"/>
      <c r="AK32" s="111"/>
      <c r="AL32" s="111"/>
      <c r="AM32" s="111"/>
      <c r="AN32" s="112"/>
      <c r="AO32" s="107">
        <v>45664</v>
      </c>
      <c r="AP32" s="108"/>
      <c r="AQ32" s="106" t="s">
        <v>143</v>
      </c>
      <c r="AR32" s="102"/>
      <c r="AS32" s="106" t="s">
        <v>144</v>
      </c>
      <c r="AT32" s="109"/>
      <c r="AU32" s="107"/>
      <c r="AV32" s="108"/>
      <c r="AW32" s="106"/>
      <c r="AX32" s="102"/>
      <c r="AY32" s="106"/>
      <c r="AZ32" s="109"/>
      <c r="BA32" s="148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50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20"/>
      <c r="E33" s="121"/>
      <c r="F33" s="121"/>
      <c r="G33" s="122"/>
      <c r="H33" s="120"/>
      <c r="I33" s="121"/>
      <c r="J33" s="121"/>
      <c r="K33" s="122"/>
      <c r="L33" s="110" t="s">
        <v>122</v>
      </c>
      <c r="M33" s="111"/>
      <c r="N33" s="111"/>
      <c r="O33" s="116"/>
      <c r="P33" s="110" t="s">
        <v>81</v>
      </c>
      <c r="Q33" s="111"/>
      <c r="R33" s="111"/>
      <c r="S33" s="111"/>
      <c r="T33" s="111"/>
      <c r="U33" s="111"/>
      <c r="V33" s="111"/>
      <c r="W33" s="116"/>
      <c r="X33" s="110" t="s">
        <v>74</v>
      </c>
      <c r="Y33" s="111"/>
      <c r="Z33" s="111"/>
      <c r="AA33" s="111"/>
      <c r="AB33" s="111"/>
      <c r="AC33" s="111"/>
      <c r="AD33" s="111"/>
      <c r="AE33" s="116"/>
      <c r="AF33" s="110"/>
      <c r="AG33" s="111"/>
      <c r="AH33" s="111"/>
      <c r="AI33" s="111"/>
      <c r="AJ33" s="111"/>
      <c r="AK33" s="111"/>
      <c r="AL33" s="111"/>
      <c r="AM33" s="111"/>
      <c r="AN33" s="112"/>
      <c r="AO33" s="107">
        <v>45664</v>
      </c>
      <c r="AP33" s="108"/>
      <c r="AQ33" s="106" t="s">
        <v>143</v>
      </c>
      <c r="AR33" s="102"/>
      <c r="AS33" s="106" t="s">
        <v>144</v>
      </c>
      <c r="AT33" s="109"/>
      <c r="AU33" s="107"/>
      <c r="AV33" s="108"/>
      <c r="AW33" s="106"/>
      <c r="AX33" s="102"/>
      <c r="AY33" s="106"/>
      <c r="AZ33" s="109"/>
      <c r="BA33" s="148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50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20"/>
      <c r="E34" s="121"/>
      <c r="F34" s="121"/>
      <c r="G34" s="122"/>
      <c r="H34" s="120"/>
      <c r="I34" s="121"/>
      <c r="J34" s="121"/>
      <c r="K34" s="122"/>
      <c r="L34" s="110" t="s">
        <v>84</v>
      </c>
      <c r="M34" s="111"/>
      <c r="N34" s="111"/>
      <c r="O34" s="116"/>
      <c r="P34" s="110" t="s">
        <v>81</v>
      </c>
      <c r="Q34" s="111"/>
      <c r="R34" s="111"/>
      <c r="S34" s="111"/>
      <c r="T34" s="111"/>
      <c r="U34" s="111"/>
      <c r="V34" s="111"/>
      <c r="W34" s="116"/>
      <c r="X34" s="110" t="s">
        <v>74</v>
      </c>
      <c r="Y34" s="111"/>
      <c r="Z34" s="111"/>
      <c r="AA34" s="111"/>
      <c r="AB34" s="111"/>
      <c r="AC34" s="111"/>
      <c r="AD34" s="111"/>
      <c r="AE34" s="116"/>
      <c r="AF34" s="110"/>
      <c r="AG34" s="111"/>
      <c r="AH34" s="111"/>
      <c r="AI34" s="111"/>
      <c r="AJ34" s="111"/>
      <c r="AK34" s="111"/>
      <c r="AL34" s="111"/>
      <c r="AM34" s="111"/>
      <c r="AN34" s="112"/>
      <c r="AO34" s="107">
        <v>45664</v>
      </c>
      <c r="AP34" s="108"/>
      <c r="AQ34" s="106" t="s">
        <v>143</v>
      </c>
      <c r="AR34" s="102"/>
      <c r="AS34" s="106" t="s">
        <v>144</v>
      </c>
      <c r="AT34" s="109"/>
      <c r="AU34" s="107"/>
      <c r="AV34" s="108"/>
      <c r="AW34" s="106"/>
      <c r="AX34" s="102"/>
      <c r="AY34" s="106"/>
      <c r="AZ34" s="109"/>
      <c r="BA34" s="148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50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20"/>
      <c r="E35" s="121"/>
      <c r="F35" s="121"/>
      <c r="G35" s="122"/>
      <c r="H35" s="120"/>
      <c r="I35" s="121"/>
      <c r="J35" s="121"/>
      <c r="K35" s="122"/>
      <c r="L35" s="110" t="s">
        <v>123</v>
      </c>
      <c r="M35" s="111"/>
      <c r="N35" s="111"/>
      <c r="O35" s="116"/>
      <c r="P35" s="110" t="s">
        <v>81</v>
      </c>
      <c r="Q35" s="111"/>
      <c r="R35" s="111"/>
      <c r="S35" s="111"/>
      <c r="T35" s="111"/>
      <c r="U35" s="111"/>
      <c r="V35" s="111"/>
      <c r="W35" s="116"/>
      <c r="X35" s="110" t="s">
        <v>74</v>
      </c>
      <c r="Y35" s="111"/>
      <c r="Z35" s="111"/>
      <c r="AA35" s="111"/>
      <c r="AB35" s="111"/>
      <c r="AC35" s="111"/>
      <c r="AD35" s="111"/>
      <c r="AE35" s="116"/>
      <c r="AF35" s="110"/>
      <c r="AG35" s="111"/>
      <c r="AH35" s="111"/>
      <c r="AI35" s="111"/>
      <c r="AJ35" s="111"/>
      <c r="AK35" s="111"/>
      <c r="AL35" s="111"/>
      <c r="AM35" s="111"/>
      <c r="AN35" s="112"/>
      <c r="AO35" s="107">
        <v>45664</v>
      </c>
      <c r="AP35" s="108"/>
      <c r="AQ35" s="106" t="s">
        <v>143</v>
      </c>
      <c r="AR35" s="102"/>
      <c r="AS35" s="106" t="s">
        <v>144</v>
      </c>
      <c r="AT35" s="109"/>
      <c r="AU35" s="107"/>
      <c r="AV35" s="108"/>
      <c r="AW35" s="106"/>
      <c r="AX35" s="102"/>
      <c r="AY35" s="106"/>
      <c r="AZ35" s="109"/>
      <c r="BA35" s="148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50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20"/>
      <c r="E36" s="121"/>
      <c r="F36" s="121"/>
      <c r="G36" s="122"/>
      <c r="H36" s="120"/>
      <c r="I36" s="121"/>
      <c r="J36" s="121"/>
      <c r="K36" s="122"/>
      <c r="L36" s="110" t="s">
        <v>124</v>
      </c>
      <c r="M36" s="111"/>
      <c r="N36" s="111"/>
      <c r="O36" s="116"/>
      <c r="P36" s="110" t="s">
        <v>81</v>
      </c>
      <c r="Q36" s="111"/>
      <c r="R36" s="111"/>
      <c r="S36" s="111"/>
      <c r="T36" s="111"/>
      <c r="U36" s="111"/>
      <c r="V36" s="111"/>
      <c r="W36" s="116"/>
      <c r="X36" s="110" t="s">
        <v>74</v>
      </c>
      <c r="Y36" s="111"/>
      <c r="Z36" s="111"/>
      <c r="AA36" s="111"/>
      <c r="AB36" s="111"/>
      <c r="AC36" s="111"/>
      <c r="AD36" s="111"/>
      <c r="AE36" s="116"/>
      <c r="AF36" s="110"/>
      <c r="AG36" s="111"/>
      <c r="AH36" s="111"/>
      <c r="AI36" s="111"/>
      <c r="AJ36" s="111"/>
      <c r="AK36" s="111"/>
      <c r="AL36" s="111"/>
      <c r="AM36" s="111"/>
      <c r="AN36" s="112"/>
      <c r="AO36" s="107">
        <v>45664</v>
      </c>
      <c r="AP36" s="108"/>
      <c r="AQ36" s="106" t="s">
        <v>143</v>
      </c>
      <c r="AR36" s="102"/>
      <c r="AS36" s="106" t="s">
        <v>144</v>
      </c>
      <c r="AT36" s="109"/>
      <c r="AU36" s="107"/>
      <c r="AV36" s="108"/>
      <c r="AW36" s="106"/>
      <c r="AX36" s="102"/>
      <c r="AY36" s="106"/>
      <c r="AZ36" s="109"/>
      <c r="BA36" s="148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50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120"/>
      <c r="E37" s="121"/>
      <c r="F37" s="121"/>
      <c r="G37" s="122"/>
      <c r="H37" s="120"/>
      <c r="I37" s="121"/>
      <c r="J37" s="121"/>
      <c r="K37" s="122"/>
      <c r="L37" s="110" t="s">
        <v>125</v>
      </c>
      <c r="M37" s="111"/>
      <c r="N37" s="111"/>
      <c r="O37" s="116"/>
      <c r="P37" s="110" t="s">
        <v>81</v>
      </c>
      <c r="Q37" s="111"/>
      <c r="R37" s="111"/>
      <c r="S37" s="111"/>
      <c r="T37" s="111"/>
      <c r="U37" s="111"/>
      <c r="V37" s="111"/>
      <c r="W37" s="116"/>
      <c r="X37" s="110" t="s">
        <v>74</v>
      </c>
      <c r="Y37" s="111"/>
      <c r="Z37" s="111"/>
      <c r="AA37" s="111"/>
      <c r="AB37" s="111"/>
      <c r="AC37" s="111"/>
      <c r="AD37" s="111"/>
      <c r="AE37" s="116"/>
      <c r="AF37" s="110"/>
      <c r="AG37" s="111"/>
      <c r="AH37" s="111"/>
      <c r="AI37" s="111"/>
      <c r="AJ37" s="111"/>
      <c r="AK37" s="111"/>
      <c r="AL37" s="111"/>
      <c r="AM37" s="111"/>
      <c r="AN37" s="112"/>
      <c r="AO37" s="107">
        <v>45664</v>
      </c>
      <c r="AP37" s="108"/>
      <c r="AQ37" s="106" t="s">
        <v>143</v>
      </c>
      <c r="AR37" s="102"/>
      <c r="AS37" s="106" t="s">
        <v>144</v>
      </c>
      <c r="AT37" s="109"/>
      <c r="AU37" s="107"/>
      <c r="AV37" s="108"/>
      <c r="AW37" s="106"/>
      <c r="AX37" s="102"/>
      <c r="AY37" s="106"/>
      <c r="AZ37" s="109"/>
      <c r="BA37" s="148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50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58"/>
      <c r="E38" s="59"/>
      <c r="F38" s="59"/>
      <c r="G38" s="60"/>
      <c r="H38" s="58"/>
      <c r="I38" s="59"/>
      <c r="J38" s="59"/>
      <c r="K38" s="60"/>
      <c r="L38" s="110" t="s">
        <v>126</v>
      </c>
      <c r="M38" s="111"/>
      <c r="N38" s="111"/>
      <c r="O38" s="116"/>
      <c r="P38" s="110" t="s">
        <v>81</v>
      </c>
      <c r="Q38" s="111"/>
      <c r="R38" s="111"/>
      <c r="S38" s="111"/>
      <c r="T38" s="111"/>
      <c r="U38" s="111"/>
      <c r="V38" s="111"/>
      <c r="W38" s="116"/>
      <c r="X38" s="110" t="s">
        <v>74</v>
      </c>
      <c r="Y38" s="111"/>
      <c r="Z38" s="111"/>
      <c r="AA38" s="111"/>
      <c r="AB38" s="111"/>
      <c r="AC38" s="111"/>
      <c r="AD38" s="111"/>
      <c r="AE38" s="116"/>
      <c r="AF38" s="61"/>
      <c r="AG38" s="62"/>
      <c r="AH38" s="62"/>
      <c r="AI38" s="62"/>
      <c r="AJ38" s="62"/>
      <c r="AK38" s="62"/>
      <c r="AL38" s="62"/>
      <c r="AM38" s="62"/>
      <c r="AN38" s="63"/>
      <c r="AO38" s="107">
        <v>45664</v>
      </c>
      <c r="AP38" s="108"/>
      <c r="AQ38" s="106" t="s">
        <v>143</v>
      </c>
      <c r="AR38" s="102"/>
      <c r="AS38" s="106" t="s">
        <v>144</v>
      </c>
      <c r="AT38" s="109"/>
      <c r="AU38" s="64"/>
      <c r="AV38" s="65"/>
      <c r="AW38" s="53"/>
      <c r="AX38" s="52"/>
      <c r="AY38" s="53"/>
      <c r="AZ38" s="54"/>
      <c r="BA38" s="55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7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58"/>
      <c r="E39" s="59"/>
      <c r="F39" s="59"/>
      <c r="G39" s="60"/>
      <c r="H39" s="58"/>
      <c r="I39" s="59"/>
      <c r="J39" s="59"/>
      <c r="K39" s="60"/>
      <c r="L39" s="110" t="s">
        <v>127</v>
      </c>
      <c r="M39" s="111"/>
      <c r="N39" s="111"/>
      <c r="O39" s="116"/>
      <c r="P39" s="110" t="s">
        <v>81</v>
      </c>
      <c r="Q39" s="111"/>
      <c r="R39" s="111"/>
      <c r="S39" s="111"/>
      <c r="T39" s="111"/>
      <c r="U39" s="111"/>
      <c r="V39" s="111"/>
      <c r="W39" s="116"/>
      <c r="X39" s="110" t="s">
        <v>74</v>
      </c>
      <c r="Y39" s="111"/>
      <c r="Z39" s="111"/>
      <c r="AA39" s="111"/>
      <c r="AB39" s="111"/>
      <c r="AC39" s="111"/>
      <c r="AD39" s="111"/>
      <c r="AE39" s="116"/>
      <c r="AF39" s="61"/>
      <c r="AG39" s="62"/>
      <c r="AH39" s="62"/>
      <c r="AI39" s="62"/>
      <c r="AJ39" s="62"/>
      <c r="AK39" s="62"/>
      <c r="AL39" s="62"/>
      <c r="AM39" s="62"/>
      <c r="AN39" s="63"/>
      <c r="AO39" s="107">
        <v>45664</v>
      </c>
      <c r="AP39" s="108"/>
      <c r="AQ39" s="106" t="s">
        <v>143</v>
      </c>
      <c r="AR39" s="102"/>
      <c r="AS39" s="106" t="s">
        <v>144</v>
      </c>
      <c r="AT39" s="109"/>
      <c r="AU39" s="64"/>
      <c r="AV39" s="65"/>
      <c r="AW39" s="53"/>
      <c r="AX39" s="52"/>
      <c r="AY39" s="53"/>
      <c r="AZ39" s="54"/>
      <c r="BA39" s="55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7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58"/>
      <c r="E40" s="59"/>
      <c r="F40" s="59"/>
      <c r="G40" s="60"/>
      <c r="H40" s="58"/>
      <c r="I40" s="59"/>
      <c r="J40" s="59"/>
      <c r="K40" s="60"/>
      <c r="L40" s="110" t="s">
        <v>128</v>
      </c>
      <c r="M40" s="111"/>
      <c r="N40" s="111"/>
      <c r="O40" s="116"/>
      <c r="P40" s="110" t="s">
        <v>81</v>
      </c>
      <c r="Q40" s="111"/>
      <c r="R40" s="111"/>
      <c r="S40" s="111"/>
      <c r="T40" s="111"/>
      <c r="U40" s="111"/>
      <c r="V40" s="111"/>
      <c r="W40" s="116"/>
      <c r="X40" s="110" t="s">
        <v>74</v>
      </c>
      <c r="Y40" s="111"/>
      <c r="Z40" s="111"/>
      <c r="AA40" s="111"/>
      <c r="AB40" s="111"/>
      <c r="AC40" s="111"/>
      <c r="AD40" s="111"/>
      <c r="AE40" s="116"/>
      <c r="AF40" s="61"/>
      <c r="AG40" s="62"/>
      <c r="AH40" s="62"/>
      <c r="AI40" s="62"/>
      <c r="AJ40" s="62"/>
      <c r="AK40" s="62"/>
      <c r="AL40" s="62"/>
      <c r="AM40" s="62"/>
      <c r="AN40" s="63"/>
      <c r="AO40" s="107">
        <v>45664</v>
      </c>
      <c r="AP40" s="108"/>
      <c r="AQ40" s="106" t="s">
        <v>143</v>
      </c>
      <c r="AR40" s="102"/>
      <c r="AS40" s="106" t="s">
        <v>144</v>
      </c>
      <c r="AT40" s="109"/>
      <c r="AU40" s="64"/>
      <c r="AV40" s="65"/>
      <c r="AW40" s="53"/>
      <c r="AX40" s="52"/>
      <c r="AY40" s="53"/>
      <c r="AZ40" s="54"/>
      <c r="BA40" s="55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7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58"/>
      <c r="E41" s="59"/>
      <c r="F41" s="59"/>
      <c r="G41" s="60"/>
      <c r="H41" s="58"/>
      <c r="I41" s="59"/>
      <c r="J41" s="59"/>
      <c r="K41" s="60"/>
      <c r="L41" s="110" t="s">
        <v>129</v>
      </c>
      <c r="M41" s="111"/>
      <c r="N41" s="111"/>
      <c r="O41" s="116"/>
      <c r="P41" s="110" t="s">
        <v>81</v>
      </c>
      <c r="Q41" s="111"/>
      <c r="R41" s="111"/>
      <c r="S41" s="111"/>
      <c r="T41" s="111"/>
      <c r="U41" s="111"/>
      <c r="V41" s="111"/>
      <c r="W41" s="116"/>
      <c r="X41" s="110" t="s">
        <v>74</v>
      </c>
      <c r="Y41" s="111"/>
      <c r="Z41" s="111"/>
      <c r="AA41" s="111"/>
      <c r="AB41" s="111"/>
      <c r="AC41" s="111"/>
      <c r="AD41" s="111"/>
      <c r="AE41" s="116"/>
      <c r="AF41" s="61"/>
      <c r="AG41" s="62"/>
      <c r="AH41" s="62"/>
      <c r="AI41" s="62"/>
      <c r="AJ41" s="62"/>
      <c r="AK41" s="62"/>
      <c r="AL41" s="62"/>
      <c r="AM41" s="62"/>
      <c r="AN41" s="63"/>
      <c r="AO41" s="107">
        <v>45664</v>
      </c>
      <c r="AP41" s="108"/>
      <c r="AQ41" s="106" t="s">
        <v>143</v>
      </c>
      <c r="AR41" s="102"/>
      <c r="AS41" s="106" t="s">
        <v>144</v>
      </c>
      <c r="AT41" s="109"/>
      <c r="AU41" s="64"/>
      <c r="AV41" s="65"/>
      <c r="AW41" s="53"/>
      <c r="AX41" s="52"/>
      <c r="AY41" s="53"/>
      <c r="AZ41" s="54"/>
      <c r="BA41" s="55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7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58"/>
      <c r="E42" s="59"/>
      <c r="F42" s="59"/>
      <c r="G42" s="60"/>
      <c r="H42" s="58"/>
      <c r="I42" s="59"/>
      <c r="J42" s="59"/>
      <c r="K42" s="60"/>
      <c r="L42" s="110" t="s">
        <v>130</v>
      </c>
      <c r="M42" s="111"/>
      <c r="N42" s="111"/>
      <c r="O42" s="116"/>
      <c r="P42" s="110" t="s">
        <v>81</v>
      </c>
      <c r="Q42" s="111"/>
      <c r="R42" s="111"/>
      <c r="S42" s="111"/>
      <c r="T42" s="111"/>
      <c r="U42" s="111"/>
      <c r="V42" s="111"/>
      <c r="W42" s="116"/>
      <c r="X42" s="110" t="s">
        <v>74</v>
      </c>
      <c r="Y42" s="111"/>
      <c r="Z42" s="111"/>
      <c r="AA42" s="111"/>
      <c r="AB42" s="111"/>
      <c r="AC42" s="111"/>
      <c r="AD42" s="111"/>
      <c r="AE42" s="116"/>
      <c r="AF42" s="61"/>
      <c r="AG42" s="62"/>
      <c r="AH42" s="62"/>
      <c r="AI42" s="62"/>
      <c r="AJ42" s="62"/>
      <c r="AK42" s="62"/>
      <c r="AL42" s="62"/>
      <c r="AM42" s="62"/>
      <c r="AN42" s="63"/>
      <c r="AO42" s="107">
        <v>45664</v>
      </c>
      <c r="AP42" s="108"/>
      <c r="AQ42" s="106" t="s">
        <v>143</v>
      </c>
      <c r="AR42" s="102"/>
      <c r="AS42" s="106" t="s">
        <v>144</v>
      </c>
      <c r="AT42" s="109"/>
      <c r="AU42" s="64"/>
      <c r="AV42" s="65"/>
      <c r="AW42" s="53"/>
      <c r="AX42" s="52"/>
      <c r="AY42" s="53"/>
      <c r="AZ42" s="54"/>
      <c r="BA42" s="55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7"/>
      <c r="BM42" s="16"/>
      <c r="BN42" s="16"/>
    </row>
    <row r="43" spans="1:66" ht="20.100000000000001" customHeight="1" x14ac:dyDescent="0.45">
      <c r="A43" s="10"/>
      <c r="B43" s="10"/>
      <c r="C43" s="30">
        <f t="shared" si="0"/>
        <v>34</v>
      </c>
      <c r="D43" s="58"/>
      <c r="E43" s="59"/>
      <c r="F43" s="59"/>
      <c r="G43" s="60"/>
      <c r="H43" s="58"/>
      <c r="I43" s="59"/>
      <c r="J43" s="59"/>
      <c r="K43" s="60"/>
      <c r="L43" s="110" t="s">
        <v>131</v>
      </c>
      <c r="M43" s="111"/>
      <c r="N43" s="111"/>
      <c r="O43" s="116"/>
      <c r="P43" s="110" t="s">
        <v>81</v>
      </c>
      <c r="Q43" s="111"/>
      <c r="R43" s="111"/>
      <c r="S43" s="111"/>
      <c r="T43" s="111"/>
      <c r="U43" s="111"/>
      <c r="V43" s="111"/>
      <c r="W43" s="116"/>
      <c r="X43" s="110" t="s">
        <v>74</v>
      </c>
      <c r="Y43" s="111"/>
      <c r="Z43" s="111"/>
      <c r="AA43" s="111"/>
      <c r="AB43" s="111"/>
      <c r="AC43" s="111"/>
      <c r="AD43" s="111"/>
      <c r="AE43" s="116"/>
      <c r="AF43" s="61"/>
      <c r="AG43" s="62"/>
      <c r="AH43" s="62"/>
      <c r="AI43" s="62"/>
      <c r="AJ43" s="62"/>
      <c r="AK43" s="62"/>
      <c r="AL43" s="62"/>
      <c r="AM43" s="62"/>
      <c r="AN43" s="63"/>
      <c r="AO43" s="107">
        <v>45664</v>
      </c>
      <c r="AP43" s="108"/>
      <c r="AQ43" s="106" t="s">
        <v>143</v>
      </c>
      <c r="AR43" s="102"/>
      <c r="AS43" s="106" t="s">
        <v>144</v>
      </c>
      <c r="AT43" s="109"/>
      <c r="AU43" s="64"/>
      <c r="AV43" s="65"/>
      <c r="AW43" s="53"/>
      <c r="AX43" s="52"/>
      <c r="AY43" s="53"/>
      <c r="AZ43" s="54"/>
      <c r="BA43" s="55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7"/>
      <c r="BM43" s="16"/>
      <c r="BN43" s="16"/>
    </row>
    <row r="44" spans="1:66" ht="20.100000000000001" customHeight="1" x14ac:dyDescent="0.45">
      <c r="A44" s="10"/>
      <c r="B44" s="10"/>
      <c r="C44" s="30">
        <f t="shared" si="0"/>
        <v>35</v>
      </c>
      <c r="D44" s="120"/>
      <c r="E44" s="121"/>
      <c r="F44" s="121"/>
      <c r="G44" s="122"/>
      <c r="H44" s="120"/>
      <c r="I44" s="121"/>
      <c r="J44" s="121"/>
      <c r="K44" s="122"/>
      <c r="L44" s="110" t="s">
        <v>132</v>
      </c>
      <c r="M44" s="111"/>
      <c r="N44" s="111"/>
      <c r="O44" s="116"/>
      <c r="P44" s="110" t="s">
        <v>81</v>
      </c>
      <c r="Q44" s="111"/>
      <c r="R44" s="111"/>
      <c r="S44" s="111"/>
      <c r="T44" s="111"/>
      <c r="U44" s="111"/>
      <c r="V44" s="111"/>
      <c r="W44" s="116"/>
      <c r="X44" s="110" t="s">
        <v>74</v>
      </c>
      <c r="Y44" s="111"/>
      <c r="Z44" s="111"/>
      <c r="AA44" s="111"/>
      <c r="AB44" s="111"/>
      <c r="AC44" s="111"/>
      <c r="AD44" s="111"/>
      <c r="AE44" s="116"/>
      <c r="AF44" s="110"/>
      <c r="AG44" s="111"/>
      <c r="AH44" s="111"/>
      <c r="AI44" s="111"/>
      <c r="AJ44" s="111"/>
      <c r="AK44" s="111"/>
      <c r="AL44" s="111"/>
      <c r="AM44" s="111"/>
      <c r="AN44" s="112"/>
      <c r="AO44" s="107">
        <v>45664</v>
      </c>
      <c r="AP44" s="108"/>
      <c r="AQ44" s="106" t="s">
        <v>143</v>
      </c>
      <c r="AR44" s="102"/>
      <c r="AS44" s="106" t="s">
        <v>144</v>
      </c>
      <c r="AT44" s="109"/>
      <c r="AU44" s="107"/>
      <c r="AV44" s="108"/>
      <c r="AW44" s="106"/>
      <c r="AX44" s="102"/>
      <c r="AY44" s="106"/>
      <c r="AZ44" s="109"/>
      <c r="BA44" s="148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50"/>
      <c r="BM44" s="16"/>
      <c r="BN44" s="16"/>
    </row>
    <row r="45" spans="1:66" ht="20.100000000000001" customHeight="1" x14ac:dyDescent="0.45">
      <c r="A45" s="10"/>
      <c r="B45" s="10"/>
      <c r="C45" s="30">
        <f t="shared" si="0"/>
        <v>36</v>
      </c>
      <c r="D45" s="120"/>
      <c r="E45" s="121"/>
      <c r="F45" s="121"/>
      <c r="G45" s="122"/>
      <c r="H45" s="154" t="s">
        <v>98</v>
      </c>
      <c r="I45" s="155"/>
      <c r="J45" s="155"/>
      <c r="K45" s="156"/>
      <c r="L45" s="110" t="s">
        <v>99</v>
      </c>
      <c r="M45" s="111"/>
      <c r="N45" s="111"/>
      <c r="O45" s="116"/>
      <c r="P45" s="110" t="s">
        <v>135</v>
      </c>
      <c r="Q45" s="111"/>
      <c r="R45" s="111"/>
      <c r="S45" s="111"/>
      <c r="T45" s="111"/>
      <c r="U45" s="111"/>
      <c r="V45" s="111"/>
      <c r="W45" s="116"/>
      <c r="X45" s="110" t="s">
        <v>100</v>
      </c>
      <c r="Y45" s="111"/>
      <c r="Z45" s="111"/>
      <c r="AA45" s="111"/>
      <c r="AB45" s="111"/>
      <c r="AC45" s="111"/>
      <c r="AD45" s="111"/>
      <c r="AE45" s="116"/>
      <c r="AF45" s="110"/>
      <c r="AG45" s="111"/>
      <c r="AH45" s="111"/>
      <c r="AI45" s="111"/>
      <c r="AJ45" s="111"/>
      <c r="AK45" s="111"/>
      <c r="AL45" s="111"/>
      <c r="AM45" s="111"/>
      <c r="AN45" s="112"/>
      <c r="AO45" s="107">
        <v>45664</v>
      </c>
      <c r="AP45" s="108"/>
      <c r="AQ45" s="106" t="s">
        <v>143</v>
      </c>
      <c r="AR45" s="102"/>
      <c r="AS45" s="106" t="s">
        <v>144</v>
      </c>
      <c r="AT45" s="109"/>
      <c r="AU45" s="107"/>
      <c r="AV45" s="108"/>
      <c r="AW45" s="106"/>
      <c r="AX45" s="102"/>
      <c r="AY45" s="106"/>
      <c r="AZ45" s="109"/>
      <c r="BA45" s="148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50"/>
      <c r="BM45" s="16"/>
      <c r="BN45" s="16"/>
    </row>
    <row r="46" spans="1:66" ht="20.100000000000001" customHeight="1" thickBot="1" x14ac:dyDescent="0.5">
      <c r="A46" s="10"/>
      <c r="B46" s="10"/>
      <c r="C46" s="30">
        <f t="shared" si="0"/>
        <v>37</v>
      </c>
      <c r="D46" s="120"/>
      <c r="E46" s="121"/>
      <c r="F46" s="121"/>
      <c r="G46" s="122"/>
      <c r="H46" s="157"/>
      <c r="I46" s="158"/>
      <c r="J46" s="158"/>
      <c r="K46" s="159"/>
      <c r="L46" s="110" t="s">
        <v>101</v>
      </c>
      <c r="M46" s="111"/>
      <c r="N46" s="111"/>
      <c r="O46" s="116"/>
      <c r="P46" s="110" t="s">
        <v>136</v>
      </c>
      <c r="Q46" s="111"/>
      <c r="R46" s="111"/>
      <c r="S46" s="111"/>
      <c r="T46" s="111"/>
      <c r="U46" s="111"/>
      <c r="V46" s="111"/>
      <c r="W46" s="116"/>
      <c r="X46" s="110" t="s">
        <v>100</v>
      </c>
      <c r="Y46" s="111"/>
      <c r="Z46" s="111"/>
      <c r="AA46" s="111"/>
      <c r="AB46" s="111"/>
      <c r="AC46" s="111"/>
      <c r="AD46" s="111"/>
      <c r="AE46" s="116"/>
      <c r="AF46" s="110"/>
      <c r="AG46" s="111"/>
      <c r="AH46" s="111"/>
      <c r="AI46" s="111"/>
      <c r="AJ46" s="111"/>
      <c r="AK46" s="111"/>
      <c r="AL46" s="111"/>
      <c r="AM46" s="111"/>
      <c r="AN46" s="112"/>
      <c r="AO46" s="107">
        <v>45664</v>
      </c>
      <c r="AP46" s="108"/>
      <c r="AQ46" s="106" t="s">
        <v>143</v>
      </c>
      <c r="AR46" s="102"/>
      <c r="AS46" s="106" t="s">
        <v>144</v>
      </c>
      <c r="AT46" s="109"/>
      <c r="AU46" s="107"/>
      <c r="AV46" s="108"/>
      <c r="AW46" s="106"/>
      <c r="AX46" s="102"/>
      <c r="AY46" s="106"/>
      <c r="AZ46" s="109"/>
      <c r="BA46" s="148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50"/>
      <c r="BM46" s="16"/>
      <c r="BN46" s="16"/>
    </row>
    <row r="47" spans="1:66" ht="20.100000000000001" customHeight="1" thickTop="1" thickBot="1" x14ac:dyDescent="0.5">
      <c r="A47" s="10"/>
      <c r="B47" s="8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8"/>
      <c r="BN47" s="16"/>
    </row>
    <row r="48" spans="1:66" ht="5.0999999999999996" customHeight="1" thickTop="1" x14ac:dyDescent="0.4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</row>
    <row r="49" spans="4:61" ht="20.100000000000001" customHeight="1" x14ac:dyDescent="0.45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</sheetData>
  <mergeCells count="402">
    <mergeCell ref="AO30:AP30"/>
    <mergeCell ref="AQ30:AR30"/>
    <mergeCell ref="AS30:AT30"/>
    <mergeCell ref="AO38:AP38"/>
    <mergeCell ref="AQ38:AR38"/>
    <mergeCell ref="AS38:AT38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Q31:AR31"/>
    <mergeCell ref="AS31:AT31"/>
    <mergeCell ref="AS33:AT3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BA11:BL11"/>
    <mergeCell ref="AS11:AT11"/>
    <mergeCell ref="AU11:AV11"/>
    <mergeCell ref="AW11:AX11"/>
    <mergeCell ref="D10:G10"/>
    <mergeCell ref="H10:K10"/>
    <mergeCell ref="AF10:AN10"/>
    <mergeCell ref="AO10:AP10"/>
    <mergeCell ref="AQ10:AR10"/>
    <mergeCell ref="AS10:AT10"/>
    <mergeCell ref="P11:W11"/>
    <mergeCell ref="X11:AE11"/>
    <mergeCell ref="AF11:AN11"/>
    <mergeCell ref="AO11:AP11"/>
    <mergeCell ref="AQ11:AR11"/>
    <mergeCell ref="AU10:AV10"/>
    <mergeCell ref="AO13:AP13"/>
    <mergeCell ref="AQ13:AR13"/>
    <mergeCell ref="AS12:AT12"/>
    <mergeCell ref="D11:G11"/>
    <mergeCell ref="H11:K11"/>
    <mergeCell ref="P10:W10"/>
    <mergeCell ref="X10:AE10"/>
    <mergeCell ref="AY11:AZ11"/>
    <mergeCell ref="AY12:AZ12"/>
    <mergeCell ref="BA12:BL12"/>
    <mergeCell ref="D13:G13"/>
    <mergeCell ref="H13:K13"/>
    <mergeCell ref="P12:W12"/>
    <mergeCell ref="X12:AE12"/>
    <mergeCell ref="AY13:AZ13"/>
    <mergeCell ref="BA13:BL13"/>
    <mergeCell ref="AS13:AT13"/>
    <mergeCell ref="AU13:AV13"/>
    <mergeCell ref="AW13:AX13"/>
    <mergeCell ref="D12:G12"/>
    <mergeCell ref="H12:K12"/>
    <mergeCell ref="P13:W13"/>
    <mergeCell ref="X13:AE13"/>
    <mergeCell ref="AF12:AN12"/>
    <mergeCell ref="AO12:AP12"/>
    <mergeCell ref="AQ12:AR12"/>
    <mergeCell ref="L10:O13"/>
    <mergeCell ref="AU12:AV12"/>
    <mergeCell ref="AW12:AX12"/>
    <mergeCell ref="AW10:AX10"/>
    <mergeCell ref="AY10:AZ10"/>
    <mergeCell ref="BA10:BL10"/>
    <mergeCell ref="AF13:AN13"/>
    <mergeCell ref="D15:G15"/>
    <mergeCell ref="H14:K14"/>
    <mergeCell ref="L14:O14"/>
    <mergeCell ref="P14:W14"/>
    <mergeCell ref="X14:AE14"/>
    <mergeCell ref="AY15:AZ15"/>
    <mergeCell ref="BA15:BL15"/>
    <mergeCell ref="AS15:AT15"/>
    <mergeCell ref="AU15:AV15"/>
    <mergeCell ref="AW15:AX15"/>
    <mergeCell ref="D14:G14"/>
    <mergeCell ref="H15:K15"/>
    <mergeCell ref="L15:O15"/>
    <mergeCell ref="P15:W15"/>
    <mergeCell ref="X15:AE15"/>
    <mergeCell ref="AF14:AN14"/>
    <mergeCell ref="AO14:AP14"/>
    <mergeCell ref="AQ14:AR14"/>
    <mergeCell ref="AS14:AT14"/>
    <mergeCell ref="AU14:AV14"/>
    <mergeCell ref="AY14:AZ14"/>
    <mergeCell ref="BA14:BL14"/>
    <mergeCell ref="AO16:AP16"/>
    <mergeCell ref="AQ16:AR16"/>
    <mergeCell ref="AF15:AN15"/>
    <mergeCell ref="AO15:AP15"/>
    <mergeCell ref="AQ15:AR15"/>
    <mergeCell ref="AS16:AT16"/>
    <mergeCell ref="AU16:AV16"/>
    <mergeCell ref="AW16:AX16"/>
    <mergeCell ref="AW14:AX14"/>
    <mergeCell ref="AF17:AN17"/>
    <mergeCell ref="AO17:AP17"/>
    <mergeCell ref="AQ17:AR17"/>
    <mergeCell ref="AS18:AT18"/>
    <mergeCell ref="AU18:AV18"/>
    <mergeCell ref="AW18:AX18"/>
    <mergeCell ref="AY16:AZ16"/>
    <mergeCell ref="BA16:BL16"/>
    <mergeCell ref="D17:G17"/>
    <mergeCell ref="H16:K16"/>
    <mergeCell ref="L16:O16"/>
    <mergeCell ref="P16:W16"/>
    <mergeCell ref="X16:AE16"/>
    <mergeCell ref="AY17:AZ17"/>
    <mergeCell ref="BA17:BL17"/>
    <mergeCell ref="AS17:AT17"/>
    <mergeCell ref="AU17:AV17"/>
    <mergeCell ref="AW17:AX17"/>
    <mergeCell ref="D16:G16"/>
    <mergeCell ref="H17:K17"/>
    <mergeCell ref="L17:O17"/>
    <mergeCell ref="P17:W17"/>
    <mergeCell ref="X17:AE17"/>
    <mergeCell ref="AF16:AN16"/>
    <mergeCell ref="AY18:AZ18"/>
    <mergeCell ref="BA18:BL18"/>
    <mergeCell ref="D19:G19"/>
    <mergeCell ref="H18:K18"/>
    <mergeCell ref="L18:O18"/>
    <mergeCell ref="P18:W18"/>
    <mergeCell ref="X18:AE18"/>
    <mergeCell ref="AY19:AZ19"/>
    <mergeCell ref="BA19:BL19"/>
    <mergeCell ref="AS19:AT19"/>
    <mergeCell ref="AU19:AV19"/>
    <mergeCell ref="AW19:AX19"/>
    <mergeCell ref="D18:G18"/>
    <mergeCell ref="H19:K19"/>
    <mergeCell ref="L19:O19"/>
    <mergeCell ref="P19:W19"/>
    <mergeCell ref="X19:AE19"/>
    <mergeCell ref="AF18:AN18"/>
    <mergeCell ref="AO18:AP18"/>
    <mergeCell ref="AQ18:AR18"/>
    <mergeCell ref="AF20:AN20"/>
    <mergeCell ref="AO20:AP20"/>
    <mergeCell ref="AQ20:AR20"/>
    <mergeCell ref="AF19:AN19"/>
    <mergeCell ref="AO19:AP19"/>
    <mergeCell ref="AQ19:AR19"/>
    <mergeCell ref="AW20:AX20"/>
    <mergeCell ref="AY20:AZ20"/>
    <mergeCell ref="BA20:BL20"/>
    <mergeCell ref="AS20:AT20"/>
    <mergeCell ref="AU20:AV20"/>
    <mergeCell ref="X30:AE30"/>
    <mergeCell ref="L24:O24"/>
    <mergeCell ref="L25:O25"/>
    <mergeCell ref="L26:O26"/>
    <mergeCell ref="L27:O27"/>
    <mergeCell ref="L28:O28"/>
    <mergeCell ref="L29:O29"/>
    <mergeCell ref="P26:W26"/>
    <mergeCell ref="P27:W27"/>
    <mergeCell ref="P28:W28"/>
    <mergeCell ref="P29:W29"/>
    <mergeCell ref="X26:AE26"/>
    <mergeCell ref="X27:AE27"/>
    <mergeCell ref="X28:AE28"/>
    <mergeCell ref="X29:AE29"/>
    <mergeCell ref="D20:G20"/>
    <mergeCell ref="AY32:AZ32"/>
    <mergeCell ref="BA32:BL32"/>
    <mergeCell ref="D33:G33"/>
    <mergeCell ref="H32:K32"/>
    <mergeCell ref="L32:O32"/>
    <mergeCell ref="P32:W32"/>
    <mergeCell ref="X32:AE32"/>
    <mergeCell ref="AY31:AZ31"/>
    <mergeCell ref="BA31:BL31"/>
    <mergeCell ref="D32:G32"/>
    <mergeCell ref="H31:K31"/>
    <mergeCell ref="L31:O31"/>
    <mergeCell ref="P31:W31"/>
    <mergeCell ref="X31:AE31"/>
    <mergeCell ref="AF32:AN32"/>
    <mergeCell ref="AO32:AP32"/>
    <mergeCell ref="AQ32:AR32"/>
    <mergeCell ref="AF31:AN31"/>
    <mergeCell ref="AO31:AP31"/>
    <mergeCell ref="D31:G31"/>
    <mergeCell ref="H30:K30"/>
    <mergeCell ref="L30:O30"/>
    <mergeCell ref="P30:W30"/>
    <mergeCell ref="AU31:AV31"/>
    <mergeCell ref="AW31:AX31"/>
    <mergeCell ref="AY34:AZ34"/>
    <mergeCell ref="BA34:BL34"/>
    <mergeCell ref="D35:G35"/>
    <mergeCell ref="H34:K34"/>
    <mergeCell ref="L34:O34"/>
    <mergeCell ref="P34:W34"/>
    <mergeCell ref="X34:AE34"/>
    <mergeCell ref="AY33:AZ33"/>
    <mergeCell ref="BA33:BL33"/>
    <mergeCell ref="D34:G34"/>
    <mergeCell ref="H33:K33"/>
    <mergeCell ref="L33:O33"/>
    <mergeCell ref="P33:W33"/>
    <mergeCell ref="X33:AE33"/>
    <mergeCell ref="AF34:AN34"/>
    <mergeCell ref="AO34:AP34"/>
    <mergeCell ref="AQ34:AR34"/>
    <mergeCell ref="AF33:AN33"/>
    <mergeCell ref="AO33:AP33"/>
    <mergeCell ref="AQ33:AR33"/>
    <mergeCell ref="AW32:AX32"/>
    <mergeCell ref="AU34:AV34"/>
    <mergeCell ref="H36:K36"/>
    <mergeCell ref="L36:O36"/>
    <mergeCell ref="P36:W36"/>
    <mergeCell ref="X36:AE36"/>
    <mergeCell ref="AY35:AZ35"/>
    <mergeCell ref="BA35:BL35"/>
    <mergeCell ref="D36:G36"/>
    <mergeCell ref="H35:K35"/>
    <mergeCell ref="L35:O35"/>
    <mergeCell ref="P35:W35"/>
    <mergeCell ref="X35:AE35"/>
    <mergeCell ref="AF36:AN36"/>
    <mergeCell ref="AO36:AP36"/>
    <mergeCell ref="AQ36:AR36"/>
    <mergeCell ref="AF35:AN35"/>
    <mergeCell ref="AO35:AP35"/>
    <mergeCell ref="AQ35:AR35"/>
    <mergeCell ref="AW35:AX35"/>
    <mergeCell ref="H44:K44"/>
    <mergeCell ref="L44:O44"/>
    <mergeCell ref="P44:W44"/>
    <mergeCell ref="X44:AE44"/>
    <mergeCell ref="AY37:AZ37"/>
    <mergeCell ref="BA37:BL37"/>
    <mergeCell ref="D44:G44"/>
    <mergeCell ref="H37:K37"/>
    <mergeCell ref="L37:O37"/>
    <mergeCell ref="P37:W37"/>
    <mergeCell ref="X37:AE37"/>
    <mergeCell ref="AF44:AN44"/>
    <mergeCell ref="AO44:AP44"/>
    <mergeCell ref="AQ44:AR44"/>
    <mergeCell ref="AF37:AN37"/>
    <mergeCell ref="AO37:AP37"/>
    <mergeCell ref="AQ37:AR37"/>
    <mergeCell ref="AS37:AT37"/>
    <mergeCell ref="L38:O38"/>
    <mergeCell ref="L39:O39"/>
    <mergeCell ref="L40:O40"/>
    <mergeCell ref="D37:G37"/>
    <mergeCell ref="L41:O41"/>
    <mergeCell ref="L42:O42"/>
    <mergeCell ref="L43:O43"/>
    <mergeCell ref="P38:W38"/>
    <mergeCell ref="X38:AE38"/>
    <mergeCell ref="P39:W39"/>
    <mergeCell ref="X39:AE39"/>
    <mergeCell ref="P40:W40"/>
    <mergeCell ref="AY44:AZ44"/>
    <mergeCell ref="P41:W41"/>
    <mergeCell ref="P42:W42"/>
    <mergeCell ref="P43:W43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F45:AN45"/>
    <mergeCell ref="AO45:AP45"/>
    <mergeCell ref="AQ45:AR45"/>
    <mergeCell ref="D46:G46"/>
    <mergeCell ref="L46:O46"/>
    <mergeCell ref="P46:W46"/>
    <mergeCell ref="H45:K45"/>
    <mergeCell ref="L45:O45"/>
    <mergeCell ref="P45:W45"/>
    <mergeCell ref="H46:K46"/>
    <mergeCell ref="X45:AE45"/>
    <mergeCell ref="AF46:AN46"/>
    <mergeCell ref="AO46:AP46"/>
    <mergeCell ref="AQ46:AR46"/>
    <mergeCell ref="X46:AE46"/>
    <mergeCell ref="D45:G45"/>
    <mergeCell ref="L20:O20"/>
    <mergeCell ref="L21:O21"/>
    <mergeCell ref="L22:O22"/>
    <mergeCell ref="L23:O23"/>
    <mergeCell ref="X24:AE24"/>
    <mergeCell ref="X25:AE25"/>
    <mergeCell ref="P20:W20"/>
    <mergeCell ref="P21:W21"/>
    <mergeCell ref="P22:W22"/>
    <mergeCell ref="P23:W23"/>
    <mergeCell ref="P24:W24"/>
    <mergeCell ref="P25:W25"/>
    <mergeCell ref="X20:AE20"/>
    <mergeCell ref="X21:AE21"/>
    <mergeCell ref="X22:AE22"/>
    <mergeCell ref="X23:AE23"/>
    <mergeCell ref="AY46:AZ46"/>
    <mergeCell ref="BA46:BL46"/>
    <mergeCell ref="BA45:BL45"/>
    <mergeCell ref="AS45:AT45"/>
    <mergeCell ref="AU45:AV45"/>
    <mergeCell ref="AW45:AX45"/>
    <mergeCell ref="AU37:AV37"/>
    <mergeCell ref="AW37:AX37"/>
    <mergeCell ref="AS35:AT35"/>
    <mergeCell ref="AU35:AV35"/>
    <mergeCell ref="AW46:AX46"/>
    <mergeCell ref="AS46:AT46"/>
    <mergeCell ref="AU46:AV46"/>
    <mergeCell ref="BA44:BL44"/>
    <mergeCell ref="AY45:AZ45"/>
    <mergeCell ref="AY36:AZ36"/>
    <mergeCell ref="BA36:BL36"/>
    <mergeCell ref="AS43:AT43"/>
    <mergeCell ref="AS44:AT44"/>
    <mergeCell ref="AU44:AV44"/>
    <mergeCell ref="AW44:AX44"/>
    <mergeCell ref="AS36:AT36"/>
    <mergeCell ref="AU36:AV36"/>
    <mergeCell ref="AW36:AX36"/>
    <mergeCell ref="X40:AE40"/>
    <mergeCell ref="X41:AE41"/>
    <mergeCell ref="X42:AE42"/>
    <mergeCell ref="X43:AE43"/>
    <mergeCell ref="AS32:AT32"/>
    <mergeCell ref="AU32:AV32"/>
    <mergeCell ref="AU33:AV33"/>
    <mergeCell ref="AW34:AX34"/>
    <mergeCell ref="AW33:AX33"/>
    <mergeCell ref="AS34:AT34"/>
  </mergeCells>
  <phoneticPr fontId="2"/>
  <conditionalFormatting sqref="AS10">
    <cfRule type="cellIs" dxfId="155" priority="77" operator="equal">
      <formula>"OK"</formula>
    </cfRule>
    <cfRule type="cellIs" dxfId="154" priority="78" operator="equal">
      <formula>"NG"</formula>
    </cfRule>
  </conditionalFormatting>
  <conditionalFormatting sqref="AY10:AY45">
    <cfRule type="cellIs" dxfId="153" priority="73" operator="equal">
      <formula>"OK"</formula>
    </cfRule>
    <cfRule type="cellIs" dxfId="152" priority="74" operator="equal">
      <formula>"NG"</formula>
    </cfRule>
  </conditionalFormatting>
  <conditionalFormatting sqref="AY46">
    <cfRule type="cellIs" dxfId="151" priority="71" operator="equal">
      <formula>"OK"</formula>
    </cfRule>
    <cfRule type="cellIs" dxfId="150" priority="72" operator="equal">
      <formula>"NG"</formula>
    </cfRule>
  </conditionalFormatting>
  <conditionalFormatting sqref="AS12">
    <cfRule type="cellIs" dxfId="149" priority="69" operator="equal">
      <formula>"OK"</formula>
    </cfRule>
    <cfRule type="cellIs" dxfId="148" priority="70" operator="equal">
      <formula>"NG"</formula>
    </cfRule>
  </conditionalFormatting>
  <conditionalFormatting sqref="AS13:AS14">
    <cfRule type="cellIs" dxfId="147" priority="67" operator="equal">
      <formula>"OK"</formula>
    </cfRule>
    <cfRule type="cellIs" dxfId="146" priority="68" operator="equal">
      <formula>"NG"</formula>
    </cfRule>
  </conditionalFormatting>
  <conditionalFormatting sqref="AS11">
    <cfRule type="cellIs" dxfId="145" priority="65" operator="equal">
      <formula>"OK"</formula>
    </cfRule>
    <cfRule type="cellIs" dxfId="144" priority="66" operator="equal">
      <formula>"NG"</formula>
    </cfRule>
  </conditionalFormatting>
  <conditionalFormatting sqref="AS15">
    <cfRule type="cellIs" dxfId="143" priority="63" operator="equal">
      <formula>"OK"</formula>
    </cfRule>
    <cfRule type="cellIs" dxfId="142" priority="64" operator="equal">
      <formula>"NG"</formula>
    </cfRule>
  </conditionalFormatting>
  <conditionalFormatting sqref="AS16">
    <cfRule type="cellIs" dxfId="141" priority="61" operator="equal">
      <formula>"OK"</formula>
    </cfRule>
    <cfRule type="cellIs" dxfId="140" priority="62" operator="equal">
      <formula>"NG"</formula>
    </cfRule>
  </conditionalFormatting>
  <conditionalFormatting sqref="AS17">
    <cfRule type="cellIs" dxfId="139" priority="59" operator="equal">
      <formula>"OK"</formula>
    </cfRule>
    <cfRule type="cellIs" dxfId="138" priority="60" operator="equal">
      <formula>"NG"</formula>
    </cfRule>
  </conditionalFormatting>
  <conditionalFormatting sqref="AS18">
    <cfRule type="cellIs" dxfId="137" priority="57" operator="equal">
      <formula>"OK"</formula>
    </cfRule>
    <cfRule type="cellIs" dxfId="136" priority="58" operator="equal">
      <formula>"NG"</formula>
    </cfRule>
  </conditionalFormatting>
  <conditionalFormatting sqref="AS19">
    <cfRule type="cellIs" dxfId="135" priority="55" operator="equal">
      <formula>"OK"</formula>
    </cfRule>
    <cfRule type="cellIs" dxfId="134" priority="56" operator="equal">
      <formula>"NG"</formula>
    </cfRule>
  </conditionalFormatting>
  <conditionalFormatting sqref="AS20">
    <cfRule type="cellIs" dxfId="133" priority="53" operator="equal">
      <formula>"OK"</formula>
    </cfRule>
    <cfRule type="cellIs" dxfId="132" priority="54" operator="equal">
      <formula>"NG"</formula>
    </cfRule>
  </conditionalFormatting>
  <conditionalFormatting sqref="AS21">
    <cfRule type="cellIs" dxfId="131" priority="51" operator="equal">
      <formula>"OK"</formula>
    </cfRule>
    <cfRule type="cellIs" dxfId="130" priority="52" operator="equal">
      <formula>"NG"</formula>
    </cfRule>
  </conditionalFormatting>
  <conditionalFormatting sqref="AS22">
    <cfRule type="cellIs" dxfId="129" priority="49" operator="equal">
      <formula>"OK"</formula>
    </cfRule>
    <cfRule type="cellIs" dxfId="128" priority="50" operator="equal">
      <formula>"NG"</formula>
    </cfRule>
  </conditionalFormatting>
  <conditionalFormatting sqref="AS23">
    <cfRule type="cellIs" dxfId="127" priority="47" operator="equal">
      <formula>"OK"</formula>
    </cfRule>
    <cfRule type="cellIs" dxfId="126" priority="48" operator="equal">
      <formula>"NG"</formula>
    </cfRule>
  </conditionalFormatting>
  <conditionalFormatting sqref="AS24">
    <cfRule type="cellIs" dxfId="125" priority="45" operator="equal">
      <formula>"OK"</formula>
    </cfRule>
    <cfRule type="cellIs" dxfId="124" priority="46" operator="equal">
      <formula>"NG"</formula>
    </cfRule>
  </conditionalFormatting>
  <conditionalFormatting sqref="AS25">
    <cfRule type="cellIs" dxfId="123" priority="43" operator="equal">
      <formula>"OK"</formula>
    </cfRule>
    <cfRule type="cellIs" dxfId="122" priority="44" operator="equal">
      <formula>"NG"</formula>
    </cfRule>
  </conditionalFormatting>
  <conditionalFormatting sqref="AS26">
    <cfRule type="cellIs" dxfId="121" priority="41" operator="equal">
      <formula>"OK"</formula>
    </cfRule>
    <cfRule type="cellIs" dxfId="120" priority="42" operator="equal">
      <formula>"NG"</formula>
    </cfRule>
  </conditionalFormatting>
  <conditionalFormatting sqref="AS27">
    <cfRule type="cellIs" dxfId="119" priority="39" operator="equal">
      <formula>"OK"</formula>
    </cfRule>
    <cfRule type="cellIs" dxfId="118" priority="40" operator="equal">
      <formula>"NG"</formula>
    </cfRule>
  </conditionalFormatting>
  <conditionalFormatting sqref="AS28">
    <cfRule type="cellIs" dxfId="117" priority="37" operator="equal">
      <formula>"OK"</formula>
    </cfRule>
    <cfRule type="cellIs" dxfId="116" priority="38" operator="equal">
      <formula>"NG"</formula>
    </cfRule>
  </conditionalFormatting>
  <conditionalFormatting sqref="AS29">
    <cfRule type="cellIs" dxfId="115" priority="35" operator="equal">
      <formula>"OK"</formula>
    </cfRule>
    <cfRule type="cellIs" dxfId="114" priority="36" operator="equal">
      <formula>"NG"</formula>
    </cfRule>
  </conditionalFormatting>
  <conditionalFormatting sqref="AS30">
    <cfRule type="cellIs" dxfId="113" priority="33" operator="equal">
      <formula>"OK"</formula>
    </cfRule>
    <cfRule type="cellIs" dxfId="112" priority="34" operator="equal">
      <formula>"NG"</formula>
    </cfRule>
  </conditionalFormatting>
  <conditionalFormatting sqref="AS31">
    <cfRule type="cellIs" dxfId="111" priority="31" operator="equal">
      <formula>"OK"</formula>
    </cfRule>
    <cfRule type="cellIs" dxfId="110" priority="32" operator="equal">
      <formula>"NG"</formula>
    </cfRule>
  </conditionalFormatting>
  <conditionalFormatting sqref="AS32">
    <cfRule type="cellIs" dxfId="109" priority="29" operator="equal">
      <formula>"OK"</formula>
    </cfRule>
    <cfRule type="cellIs" dxfId="108" priority="30" operator="equal">
      <formula>"NG"</formula>
    </cfRule>
  </conditionalFormatting>
  <conditionalFormatting sqref="AS33">
    <cfRule type="cellIs" dxfId="107" priority="27" operator="equal">
      <formula>"OK"</formula>
    </cfRule>
    <cfRule type="cellIs" dxfId="106" priority="28" operator="equal">
      <formula>"NG"</formula>
    </cfRule>
  </conditionalFormatting>
  <conditionalFormatting sqref="AS34">
    <cfRule type="cellIs" dxfId="105" priority="25" operator="equal">
      <formula>"OK"</formula>
    </cfRule>
    <cfRule type="cellIs" dxfId="104" priority="26" operator="equal">
      <formula>"NG"</formula>
    </cfRule>
  </conditionalFormatting>
  <conditionalFormatting sqref="AS35">
    <cfRule type="cellIs" dxfId="103" priority="23" operator="equal">
      <formula>"OK"</formula>
    </cfRule>
    <cfRule type="cellIs" dxfId="102" priority="24" operator="equal">
      <formula>"NG"</formula>
    </cfRule>
  </conditionalFormatting>
  <conditionalFormatting sqref="AS36">
    <cfRule type="cellIs" dxfId="101" priority="21" operator="equal">
      <formula>"OK"</formula>
    </cfRule>
    <cfRule type="cellIs" dxfId="100" priority="22" operator="equal">
      <formula>"NG"</formula>
    </cfRule>
  </conditionalFormatting>
  <conditionalFormatting sqref="AS37">
    <cfRule type="cellIs" dxfId="99" priority="19" operator="equal">
      <formula>"OK"</formula>
    </cfRule>
    <cfRule type="cellIs" dxfId="98" priority="20" operator="equal">
      <formula>"NG"</formula>
    </cfRule>
  </conditionalFormatting>
  <conditionalFormatting sqref="AS38">
    <cfRule type="cellIs" dxfId="97" priority="17" operator="equal">
      <formula>"OK"</formula>
    </cfRule>
    <cfRule type="cellIs" dxfId="96" priority="18" operator="equal">
      <formula>"NG"</formula>
    </cfRule>
  </conditionalFormatting>
  <conditionalFormatting sqref="AS39">
    <cfRule type="cellIs" dxfId="95" priority="15" operator="equal">
      <formula>"OK"</formula>
    </cfRule>
    <cfRule type="cellIs" dxfId="94" priority="16" operator="equal">
      <formula>"NG"</formula>
    </cfRule>
  </conditionalFormatting>
  <conditionalFormatting sqref="AS40">
    <cfRule type="cellIs" dxfId="93" priority="13" operator="equal">
      <formula>"OK"</formula>
    </cfRule>
    <cfRule type="cellIs" dxfId="92" priority="14" operator="equal">
      <formula>"NG"</formula>
    </cfRule>
  </conditionalFormatting>
  <conditionalFormatting sqref="AS41">
    <cfRule type="cellIs" dxfId="91" priority="11" operator="equal">
      <formula>"OK"</formula>
    </cfRule>
    <cfRule type="cellIs" dxfId="90" priority="12" operator="equal">
      <formula>"NG"</formula>
    </cfRule>
  </conditionalFormatting>
  <conditionalFormatting sqref="AS42">
    <cfRule type="cellIs" dxfId="89" priority="9" operator="equal">
      <formula>"OK"</formula>
    </cfRule>
    <cfRule type="cellIs" dxfId="88" priority="10" operator="equal">
      <formula>"NG"</formula>
    </cfRule>
  </conditionalFormatting>
  <conditionalFormatting sqref="AS43">
    <cfRule type="cellIs" dxfId="87" priority="7" operator="equal">
      <formula>"OK"</formula>
    </cfRule>
    <cfRule type="cellIs" dxfId="86" priority="8" operator="equal">
      <formula>"NG"</formula>
    </cfRule>
  </conditionalFormatting>
  <conditionalFormatting sqref="AS44">
    <cfRule type="cellIs" dxfId="85" priority="5" operator="equal">
      <formula>"OK"</formula>
    </cfRule>
    <cfRule type="cellIs" dxfId="84" priority="6" operator="equal">
      <formula>"NG"</formula>
    </cfRule>
  </conditionalFormatting>
  <conditionalFormatting sqref="AS45">
    <cfRule type="cellIs" dxfId="83" priority="3" operator="equal">
      <formula>"OK"</formula>
    </cfRule>
    <cfRule type="cellIs" dxfId="82" priority="4" operator="equal">
      <formula>"NG"</formula>
    </cfRule>
  </conditionalFormatting>
  <conditionalFormatting sqref="AS46">
    <cfRule type="cellIs" dxfId="81" priority="1" operator="equal">
      <formula>"OK"</formula>
    </cfRule>
    <cfRule type="cellIs" dxfId="80" priority="2" operator="equal">
      <formula>"NG"</formula>
    </cfRule>
  </conditionalFormatting>
  <dataValidations count="1">
    <dataValidation type="list" allowBlank="1" showInputMessage="1" showErrorMessage="1" sqref="AY10:AY46 AS10:AS4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1" t="s">
        <v>0</v>
      </c>
      <c r="C2" s="82"/>
      <c r="D2" s="82"/>
      <c r="E2" s="82"/>
      <c r="F2" s="82"/>
      <c r="G2" s="82"/>
      <c r="H2" s="82" t="s">
        <v>40</v>
      </c>
      <c r="I2" s="82"/>
      <c r="J2" s="82"/>
      <c r="K2" s="82"/>
      <c r="L2" s="82" t="s">
        <v>41</v>
      </c>
      <c r="M2" s="82"/>
      <c r="N2" s="82"/>
      <c r="O2" s="82"/>
      <c r="P2" s="82"/>
      <c r="Q2" s="82"/>
      <c r="R2" s="82" t="s">
        <v>1</v>
      </c>
      <c r="S2" s="82"/>
      <c r="T2" s="82"/>
      <c r="U2" s="82"/>
      <c r="V2" s="82"/>
      <c r="W2" s="82"/>
      <c r="X2" s="83" t="s">
        <v>2</v>
      </c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5"/>
      <c r="AK2" s="83" t="s">
        <v>30</v>
      </c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5"/>
      <c r="AX2" s="82" t="s">
        <v>4</v>
      </c>
      <c r="AY2" s="82"/>
      <c r="AZ2" s="82"/>
      <c r="BA2" s="82"/>
      <c r="BB2" s="82" t="s">
        <v>3</v>
      </c>
      <c r="BC2" s="82"/>
      <c r="BD2" s="82"/>
      <c r="BE2" s="82"/>
      <c r="BF2" s="82" t="s">
        <v>5</v>
      </c>
      <c r="BG2" s="82"/>
      <c r="BH2" s="82"/>
      <c r="BI2" s="82"/>
      <c r="BJ2" s="82" t="s">
        <v>6</v>
      </c>
      <c r="BK2" s="82"/>
      <c r="BL2" s="82"/>
      <c r="BM2" s="96"/>
      <c r="BN2" s="16"/>
    </row>
    <row r="3" spans="1:66" ht="20.100000000000001" customHeight="1" x14ac:dyDescent="0.45">
      <c r="A3" s="10"/>
      <c r="B3" s="86" t="str">
        <f>変更履歴!B3</f>
        <v>受発注システム</v>
      </c>
      <c r="C3" s="87"/>
      <c r="D3" s="87"/>
      <c r="E3" s="87"/>
      <c r="F3" s="87"/>
      <c r="G3" s="87"/>
      <c r="H3" s="87" t="str">
        <f ca="1">変更履歴!H3</f>
        <v>請求売掛</v>
      </c>
      <c r="I3" s="87"/>
      <c r="J3" s="87"/>
      <c r="K3" s="87"/>
      <c r="L3" s="87" t="str">
        <f>変更履歴!L3</f>
        <v>受発注</v>
      </c>
      <c r="M3" s="87"/>
      <c r="N3" s="87"/>
      <c r="O3" s="87"/>
      <c r="P3" s="87"/>
      <c r="Q3" s="87"/>
      <c r="R3" s="87" t="str">
        <f ca="1">変更履歴!R3</f>
        <v>結合試験項目</v>
      </c>
      <c r="S3" s="87"/>
      <c r="T3" s="87"/>
      <c r="U3" s="87"/>
      <c r="V3" s="87"/>
      <c r="W3" s="87"/>
      <c r="X3" s="91" t="str">
        <f ca="1">変更履歴!X3</f>
        <v>請求売掛_請求一覧表_結合試験項目</v>
      </c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88"/>
      <c r="AK3" s="91" t="str">
        <f ca="1">変更履歴!AK3</f>
        <v>請求一覧表</v>
      </c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88"/>
      <c r="AX3" s="98">
        <f>変更履歴!AX3</f>
        <v>45628</v>
      </c>
      <c r="AY3" s="98"/>
      <c r="AZ3" s="98"/>
      <c r="BA3" s="98"/>
      <c r="BB3" s="87" t="str">
        <f>変更履歴!BB3</f>
        <v>児玉</v>
      </c>
      <c r="BC3" s="87"/>
      <c r="BD3" s="87"/>
      <c r="BE3" s="87"/>
      <c r="BF3" s="98">
        <f>変更履歴!BF3</f>
        <v>45628</v>
      </c>
      <c r="BG3" s="98"/>
      <c r="BH3" s="98"/>
      <c r="BI3" s="98"/>
      <c r="BJ3" s="87" t="str">
        <f>変更履歴!BJ3</f>
        <v>児玉</v>
      </c>
      <c r="BK3" s="87"/>
      <c r="BL3" s="87"/>
      <c r="BM3" s="99"/>
      <c r="BN3" s="16"/>
    </row>
    <row r="4" spans="1:66" ht="20.100000000000001" customHeight="1" thickBot="1" x14ac:dyDescent="0.5">
      <c r="A4" s="10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3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5"/>
      <c r="AK4" s="93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5"/>
      <c r="AX4" s="133"/>
      <c r="AY4" s="133"/>
      <c r="AZ4" s="133"/>
      <c r="BA4" s="133"/>
      <c r="BB4" s="89"/>
      <c r="BC4" s="89"/>
      <c r="BD4" s="89"/>
      <c r="BE4" s="89"/>
      <c r="BF4" s="133"/>
      <c r="BG4" s="133"/>
      <c r="BH4" s="133"/>
      <c r="BI4" s="133"/>
      <c r="BJ4" s="89"/>
      <c r="BK4" s="89"/>
      <c r="BL4" s="89"/>
      <c r="BM4" s="9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7" t="s">
        <v>32</v>
      </c>
      <c r="BF7" s="138"/>
      <c r="BG7" s="141" t="s">
        <v>31</v>
      </c>
      <c r="BH7" s="141"/>
      <c r="BI7" s="142" t="s">
        <v>33</v>
      </c>
      <c r="BJ7" s="143"/>
      <c r="BK7" s="142" t="s">
        <v>34</v>
      </c>
      <c r="BL7" s="13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44" t="s">
        <v>35</v>
      </c>
      <c r="AP8" s="135"/>
      <c r="AQ8" s="135"/>
      <c r="AR8" s="135"/>
      <c r="AS8" s="135"/>
      <c r="AT8" s="136"/>
      <c r="AU8" s="144" t="s">
        <v>36</v>
      </c>
      <c r="AV8" s="135"/>
      <c r="AW8" s="135"/>
      <c r="AX8" s="135"/>
      <c r="AY8" s="135"/>
      <c r="AZ8" s="136"/>
      <c r="BE8" s="139"/>
      <c r="BF8" s="140"/>
      <c r="BG8" s="145">
        <f>COUNTA(C10:C46)</f>
        <v>37</v>
      </c>
      <c r="BH8" s="146"/>
      <c r="BI8" s="145">
        <f>COUNTIF(AS10:AT46,"OK")+COUNTIF(AY10:AZ46,"OK")</f>
        <v>37</v>
      </c>
      <c r="BJ8" s="146"/>
      <c r="BK8" s="145">
        <f>BG8-BI8</f>
        <v>0</v>
      </c>
      <c r="BL8" s="14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9" t="s">
        <v>25</v>
      </c>
      <c r="AP9" s="130"/>
      <c r="AQ9" s="131" t="s">
        <v>26</v>
      </c>
      <c r="AR9" s="130"/>
      <c r="AS9" s="131" t="s">
        <v>29</v>
      </c>
      <c r="AT9" s="132"/>
      <c r="AU9" s="129" t="s">
        <v>25</v>
      </c>
      <c r="AV9" s="130"/>
      <c r="AW9" s="131" t="s">
        <v>26</v>
      </c>
      <c r="AX9" s="130"/>
      <c r="AY9" s="131" t="s">
        <v>29</v>
      </c>
      <c r="AZ9" s="132"/>
      <c r="BA9" s="134" t="s">
        <v>27</v>
      </c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6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17" t="s">
        <v>141</v>
      </c>
      <c r="E10" s="118"/>
      <c r="F10" s="118"/>
      <c r="G10" s="119"/>
      <c r="H10" s="117" t="s">
        <v>79</v>
      </c>
      <c r="I10" s="118"/>
      <c r="J10" s="118"/>
      <c r="K10" s="119"/>
      <c r="L10" s="151" t="s">
        <v>75</v>
      </c>
      <c r="M10" s="152"/>
      <c r="N10" s="152"/>
      <c r="O10" s="153"/>
      <c r="P10" s="110" t="s">
        <v>90</v>
      </c>
      <c r="Q10" s="111"/>
      <c r="R10" s="111"/>
      <c r="S10" s="111"/>
      <c r="T10" s="111"/>
      <c r="U10" s="111"/>
      <c r="V10" s="111"/>
      <c r="W10" s="116"/>
      <c r="X10" s="110" t="s">
        <v>74</v>
      </c>
      <c r="Y10" s="111"/>
      <c r="Z10" s="111"/>
      <c r="AA10" s="111"/>
      <c r="AB10" s="111"/>
      <c r="AC10" s="111"/>
      <c r="AD10" s="111"/>
      <c r="AE10" s="116"/>
      <c r="AF10" s="110"/>
      <c r="AG10" s="111"/>
      <c r="AH10" s="111"/>
      <c r="AI10" s="111"/>
      <c r="AJ10" s="111"/>
      <c r="AK10" s="111"/>
      <c r="AL10" s="111"/>
      <c r="AM10" s="111"/>
      <c r="AN10" s="112"/>
      <c r="AO10" s="107">
        <v>45664</v>
      </c>
      <c r="AP10" s="108"/>
      <c r="AQ10" s="106" t="s">
        <v>143</v>
      </c>
      <c r="AR10" s="102"/>
      <c r="AS10" s="106" t="s">
        <v>144</v>
      </c>
      <c r="AT10" s="109"/>
      <c r="AU10" s="107"/>
      <c r="AV10" s="108"/>
      <c r="AW10" s="106"/>
      <c r="AX10" s="102"/>
      <c r="AY10" s="106"/>
      <c r="AZ10" s="109"/>
      <c r="BA10" s="148"/>
      <c r="BB10" s="149"/>
      <c r="BC10" s="149"/>
      <c r="BD10" s="149"/>
      <c r="BE10" s="149"/>
      <c r="BF10" s="149"/>
      <c r="BG10" s="149"/>
      <c r="BH10" s="149"/>
      <c r="BI10" s="149"/>
      <c r="BJ10" s="149"/>
      <c r="BK10" s="149"/>
      <c r="BL10" s="150"/>
      <c r="BM10" s="16"/>
      <c r="BN10" s="16"/>
    </row>
    <row r="11" spans="1:66" ht="20.100000000000001" customHeight="1" x14ac:dyDescent="0.45">
      <c r="A11" s="10"/>
      <c r="B11" s="10"/>
      <c r="C11" s="30">
        <f t="shared" ref="C11:C46" si="0">ROW()-9</f>
        <v>2</v>
      </c>
      <c r="D11" s="120"/>
      <c r="E11" s="121"/>
      <c r="F11" s="121"/>
      <c r="G11" s="122"/>
      <c r="H11" s="120"/>
      <c r="I11" s="121"/>
      <c r="J11" s="121"/>
      <c r="K11" s="122"/>
      <c r="L11" s="160"/>
      <c r="M11" s="161"/>
      <c r="N11" s="161"/>
      <c r="O11" s="162"/>
      <c r="P11" s="110" t="s">
        <v>91</v>
      </c>
      <c r="Q11" s="111"/>
      <c r="R11" s="111"/>
      <c r="S11" s="111"/>
      <c r="T11" s="111"/>
      <c r="U11" s="111"/>
      <c r="V11" s="111"/>
      <c r="W11" s="116"/>
      <c r="X11" s="110" t="s">
        <v>74</v>
      </c>
      <c r="Y11" s="111"/>
      <c r="Z11" s="111"/>
      <c r="AA11" s="111"/>
      <c r="AB11" s="111"/>
      <c r="AC11" s="111"/>
      <c r="AD11" s="111"/>
      <c r="AE11" s="116"/>
      <c r="AF11" s="110"/>
      <c r="AG11" s="111"/>
      <c r="AH11" s="111"/>
      <c r="AI11" s="111"/>
      <c r="AJ11" s="111"/>
      <c r="AK11" s="111"/>
      <c r="AL11" s="111"/>
      <c r="AM11" s="111"/>
      <c r="AN11" s="112"/>
      <c r="AO11" s="107">
        <v>45664</v>
      </c>
      <c r="AP11" s="108"/>
      <c r="AQ11" s="106" t="s">
        <v>143</v>
      </c>
      <c r="AR11" s="102"/>
      <c r="AS11" s="106" t="s">
        <v>144</v>
      </c>
      <c r="AT11" s="109"/>
      <c r="AU11" s="107"/>
      <c r="AV11" s="108"/>
      <c r="AW11" s="106"/>
      <c r="AX11" s="102"/>
      <c r="AY11" s="106"/>
      <c r="AZ11" s="109"/>
      <c r="BA11" s="148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50"/>
      <c r="BM11" s="16"/>
      <c r="BN11" s="16"/>
    </row>
    <row r="12" spans="1:66" ht="30" customHeight="1" x14ac:dyDescent="0.45">
      <c r="A12" s="10"/>
      <c r="B12" s="10"/>
      <c r="C12" s="30">
        <f t="shared" si="0"/>
        <v>3</v>
      </c>
      <c r="D12" s="120"/>
      <c r="E12" s="121"/>
      <c r="F12" s="121"/>
      <c r="G12" s="122"/>
      <c r="H12" s="120"/>
      <c r="I12" s="121"/>
      <c r="J12" s="121"/>
      <c r="K12" s="122"/>
      <c r="L12" s="160"/>
      <c r="M12" s="161"/>
      <c r="N12" s="161"/>
      <c r="O12" s="162"/>
      <c r="P12" s="110" t="s">
        <v>89</v>
      </c>
      <c r="Q12" s="111"/>
      <c r="R12" s="111"/>
      <c r="S12" s="111"/>
      <c r="T12" s="111"/>
      <c r="U12" s="111"/>
      <c r="V12" s="111"/>
      <c r="W12" s="116"/>
      <c r="X12" s="110" t="s">
        <v>74</v>
      </c>
      <c r="Y12" s="111"/>
      <c r="Z12" s="111"/>
      <c r="AA12" s="111"/>
      <c r="AB12" s="111"/>
      <c r="AC12" s="111"/>
      <c r="AD12" s="111"/>
      <c r="AE12" s="116"/>
      <c r="AF12" s="110"/>
      <c r="AG12" s="111"/>
      <c r="AH12" s="111"/>
      <c r="AI12" s="111"/>
      <c r="AJ12" s="111"/>
      <c r="AK12" s="111"/>
      <c r="AL12" s="111"/>
      <c r="AM12" s="111"/>
      <c r="AN12" s="112"/>
      <c r="AO12" s="107">
        <v>45664</v>
      </c>
      <c r="AP12" s="108"/>
      <c r="AQ12" s="106" t="s">
        <v>143</v>
      </c>
      <c r="AR12" s="102"/>
      <c r="AS12" s="106" t="s">
        <v>144</v>
      </c>
      <c r="AT12" s="109"/>
      <c r="AU12" s="107"/>
      <c r="AV12" s="108"/>
      <c r="AW12" s="106"/>
      <c r="AX12" s="102"/>
      <c r="AY12" s="106"/>
      <c r="AZ12" s="109"/>
      <c r="BA12" s="148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50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20"/>
      <c r="E13" s="121"/>
      <c r="F13" s="121"/>
      <c r="G13" s="122"/>
      <c r="H13" s="120"/>
      <c r="I13" s="121"/>
      <c r="J13" s="121"/>
      <c r="K13" s="122"/>
      <c r="L13" s="163"/>
      <c r="M13" s="164"/>
      <c r="N13" s="164"/>
      <c r="O13" s="165"/>
      <c r="P13" s="110" t="s">
        <v>92</v>
      </c>
      <c r="Q13" s="111"/>
      <c r="R13" s="111"/>
      <c r="S13" s="111"/>
      <c r="T13" s="111"/>
      <c r="U13" s="111"/>
      <c r="V13" s="111"/>
      <c r="W13" s="116"/>
      <c r="X13" s="110" t="s">
        <v>74</v>
      </c>
      <c r="Y13" s="111"/>
      <c r="Z13" s="111"/>
      <c r="AA13" s="111"/>
      <c r="AB13" s="111"/>
      <c r="AC13" s="111"/>
      <c r="AD13" s="111"/>
      <c r="AE13" s="116"/>
      <c r="AF13" s="110"/>
      <c r="AG13" s="111"/>
      <c r="AH13" s="111"/>
      <c r="AI13" s="111"/>
      <c r="AJ13" s="111"/>
      <c r="AK13" s="111"/>
      <c r="AL13" s="111"/>
      <c r="AM13" s="111"/>
      <c r="AN13" s="112"/>
      <c r="AO13" s="107">
        <v>45664</v>
      </c>
      <c r="AP13" s="108"/>
      <c r="AQ13" s="106" t="s">
        <v>143</v>
      </c>
      <c r="AR13" s="102"/>
      <c r="AS13" s="106" t="s">
        <v>144</v>
      </c>
      <c r="AT13" s="109"/>
      <c r="AU13" s="107"/>
      <c r="AV13" s="108"/>
      <c r="AW13" s="106"/>
      <c r="AX13" s="102"/>
      <c r="AY13" s="106"/>
      <c r="AZ13" s="109"/>
      <c r="BA13" s="148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50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20"/>
      <c r="E14" s="121"/>
      <c r="F14" s="121"/>
      <c r="G14" s="122"/>
      <c r="H14" s="110" t="s">
        <v>80</v>
      </c>
      <c r="I14" s="111"/>
      <c r="J14" s="111"/>
      <c r="K14" s="116"/>
      <c r="L14" s="126" t="s">
        <v>66</v>
      </c>
      <c r="M14" s="127"/>
      <c r="N14" s="127"/>
      <c r="O14" s="128"/>
      <c r="P14" s="110" t="s">
        <v>93</v>
      </c>
      <c r="Q14" s="111"/>
      <c r="R14" s="111"/>
      <c r="S14" s="111"/>
      <c r="T14" s="111"/>
      <c r="U14" s="111"/>
      <c r="V14" s="111"/>
      <c r="W14" s="116"/>
      <c r="X14" s="110" t="s">
        <v>94</v>
      </c>
      <c r="Y14" s="111"/>
      <c r="Z14" s="111"/>
      <c r="AA14" s="111"/>
      <c r="AB14" s="111"/>
      <c r="AC14" s="111"/>
      <c r="AD14" s="111"/>
      <c r="AE14" s="116"/>
      <c r="AF14" s="110"/>
      <c r="AG14" s="111"/>
      <c r="AH14" s="111"/>
      <c r="AI14" s="111"/>
      <c r="AJ14" s="111"/>
      <c r="AK14" s="111"/>
      <c r="AL14" s="111"/>
      <c r="AM14" s="111"/>
      <c r="AN14" s="112"/>
      <c r="AO14" s="107">
        <v>45664</v>
      </c>
      <c r="AP14" s="108"/>
      <c r="AQ14" s="106" t="s">
        <v>143</v>
      </c>
      <c r="AR14" s="102"/>
      <c r="AS14" s="106" t="s">
        <v>144</v>
      </c>
      <c r="AT14" s="109"/>
      <c r="AU14" s="107"/>
      <c r="AV14" s="108"/>
      <c r="AW14" s="106"/>
      <c r="AX14" s="102"/>
      <c r="AY14" s="106"/>
      <c r="AZ14" s="109"/>
      <c r="BA14" s="148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50"/>
      <c r="BM14" s="16"/>
      <c r="BN14" s="16"/>
    </row>
    <row r="15" spans="1:66" ht="30" customHeight="1" x14ac:dyDescent="0.45">
      <c r="A15" s="10"/>
      <c r="B15" s="10"/>
      <c r="C15" s="30">
        <f t="shared" si="0"/>
        <v>6</v>
      </c>
      <c r="D15" s="120"/>
      <c r="E15" s="121"/>
      <c r="F15" s="121"/>
      <c r="G15" s="122"/>
      <c r="H15" s="120" t="s">
        <v>97</v>
      </c>
      <c r="I15" s="121"/>
      <c r="J15" s="121"/>
      <c r="K15" s="122"/>
      <c r="L15" s="110" t="s">
        <v>83</v>
      </c>
      <c r="M15" s="111"/>
      <c r="N15" s="111"/>
      <c r="O15" s="116"/>
      <c r="P15" s="110" t="s">
        <v>93</v>
      </c>
      <c r="Q15" s="111"/>
      <c r="R15" s="111"/>
      <c r="S15" s="111"/>
      <c r="T15" s="111"/>
      <c r="U15" s="111"/>
      <c r="V15" s="111"/>
      <c r="W15" s="116"/>
      <c r="X15" s="110" t="s">
        <v>74</v>
      </c>
      <c r="Y15" s="111"/>
      <c r="Z15" s="111"/>
      <c r="AA15" s="111"/>
      <c r="AB15" s="111"/>
      <c r="AC15" s="111"/>
      <c r="AD15" s="111"/>
      <c r="AE15" s="116"/>
      <c r="AF15" s="110" t="s">
        <v>138</v>
      </c>
      <c r="AG15" s="111"/>
      <c r="AH15" s="111"/>
      <c r="AI15" s="111"/>
      <c r="AJ15" s="111"/>
      <c r="AK15" s="111"/>
      <c r="AL15" s="111"/>
      <c r="AM15" s="111"/>
      <c r="AN15" s="112"/>
      <c r="AO15" s="107">
        <v>45664</v>
      </c>
      <c r="AP15" s="108"/>
      <c r="AQ15" s="106" t="s">
        <v>143</v>
      </c>
      <c r="AR15" s="102"/>
      <c r="AS15" s="106" t="s">
        <v>144</v>
      </c>
      <c r="AT15" s="109"/>
      <c r="AU15" s="107"/>
      <c r="AV15" s="108"/>
      <c r="AW15" s="106"/>
      <c r="AX15" s="102"/>
      <c r="AY15" s="106"/>
      <c r="AZ15" s="109"/>
      <c r="BA15" s="148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50"/>
      <c r="BM15" s="16"/>
      <c r="BN15" s="16"/>
    </row>
    <row r="16" spans="1:66" ht="15.6" customHeight="1" x14ac:dyDescent="0.45">
      <c r="A16" s="10"/>
      <c r="B16" s="10"/>
      <c r="C16" s="30">
        <f t="shared" si="0"/>
        <v>7</v>
      </c>
      <c r="D16" s="120"/>
      <c r="E16" s="121"/>
      <c r="F16" s="121"/>
      <c r="G16" s="122"/>
      <c r="H16" s="120"/>
      <c r="I16" s="121"/>
      <c r="J16" s="121"/>
      <c r="K16" s="122"/>
      <c r="L16" s="110" t="s">
        <v>109</v>
      </c>
      <c r="M16" s="111"/>
      <c r="N16" s="111"/>
      <c r="O16" s="116"/>
      <c r="P16" s="110" t="s">
        <v>93</v>
      </c>
      <c r="Q16" s="111"/>
      <c r="R16" s="111"/>
      <c r="S16" s="111"/>
      <c r="T16" s="111"/>
      <c r="U16" s="111"/>
      <c r="V16" s="111"/>
      <c r="W16" s="116"/>
      <c r="X16" s="110" t="s">
        <v>74</v>
      </c>
      <c r="Y16" s="111"/>
      <c r="Z16" s="111"/>
      <c r="AA16" s="111"/>
      <c r="AB16" s="111"/>
      <c r="AC16" s="111"/>
      <c r="AD16" s="111"/>
      <c r="AE16" s="116"/>
      <c r="AF16" s="110"/>
      <c r="AG16" s="111"/>
      <c r="AH16" s="111"/>
      <c r="AI16" s="111"/>
      <c r="AJ16" s="111"/>
      <c r="AK16" s="111"/>
      <c r="AL16" s="111"/>
      <c r="AM16" s="111"/>
      <c r="AN16" s="112"/>
      <c r="AO16" s="107">
        <v>45664</v>
      </c>
      <c r="AP16" s="108"/>
      <c r="AQ16" s="106" t="s">
        <v>143</v>
      </c>
      <c r="AR16" s="102"/>
      <c r="AS16" s="106" t="s">
        <v>144</v>
      </c>
      <c r="AT16" s="109"/>
      <c r="AU16" s="107"/>
      <c r="AV16" s="108"/>
      <c r="AW16" s="106"/>
      <c r="AX16" s="102"/>
      <c r="AY16" s="106"/>
      <c r="AZ16" s="109"/>
      <c r="BA16" s="148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50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20"/>
      <c r="E17" s="121"/>
      <c r="F17" s="121"/>
      <c r="G17" s="122"/>
      <c r="H17" s="120"/>
      <c r="I17" s="121"/>
      <c r="J17" s="121"/>
      <c r="K17" s="122"/>
      <c r="L17" s="110" t="s">
        <v>110</v>
      </c>
      <c r="M17" s="111"/>
      <c r="N17" s="111"/>
      <c r="O17" s="116"/>
      <c r="P17" s="110" t="s">
        <v>93</v>
      </c>
      <c r="Q17" s="111"/>
      <c r="R17" s="111"/>
      <c r="S17" s="111"/>
      <c r="T17" s="111"/>
      <c r="U17" s="111"/>
      <c r="V17" s="111"/>
      <c r="W17" s="116"/>
      <c r="X17" s="110" t="s">
        <v>74</v>
      </c>
      <c r="Y17" s="111"/>
      <c r="Z17" s="111"/>
      <c r="AA17" s="111"/>
      <c r="AB17" s="111"/>
      <c r="AC17" s="111"/>
      <c r="AD17" s="111"/>
      <c r="AE17" s="116"/>
      <c r="AF17" s="110"/>
      <c r="AG17" s="111"/>
      <c r="AH17" s="111"/>
      <c r="AI17" s="111"/>
      <c r="AJ17" s="111"/>
      <c r="AK17" s="111"/>
      <c r="AL17" s="111"/>
      <c r="AM17" s="111"/>
      <c r="AN17" s="112"/>
      <c r="AO17" s="107">
        <v>45664</v>
      </c>
      <c r="AP17" s="108"/>
      <c r="AQ17" s="106" t="s">
        <v>143</v>
      </c>
      <c r="AR17" s="102"/>
      <c r="AS17" s="106" t="s">
        <v>144</v>
      </c>
      <c r="AT17" s="109"/>
      <c r="AU17" s="107"/>
      <c r="AV17" s="108"/>
      <c r="AW17" s="106"/>
      <c r="AX17" s="102"/>
      <c r="AY17" s="106"/>
      <c r="AZ17" s="109"/>
      <c r="BA17" s="148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50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120"/>
      <c r="E18" s="121"/>
      <c r="F18" s="121"/>
      <c r="G18" s="122"/>
      <c r="H18" s="120"/>
      <c r="I18" s="121"/>
      <c r="J18" s="121"/>
      <c r="K18" s="122"/>
      <c r="L18" s="110" t="s">
        <v>111</v>
      </c>
      <c r="M18" s="111"/>
      <c r="N18" s="111"/>
      <c r="O18" s="116"/>
      <c r="P18" s="110" t="s">
        <v>93</v>
      </c>
      <c r="Q18" s="111"/>
      <c r="R18" s="111"/>
      <c r="S18" s="111"/>
      <c r="T18" s="111"/>
      <c r="U18" s="111"/>
      <c r="V18" s="111"/>
      <c r="W18" s="116"/>
      <c r="X18" s="110" t="s">
        <v>74</v>
      </c>
      <c r="Y18" s="111"/>
      <c r="Z18" s="111"/>
      <c r="AA18" s="111"/>
      <c r="AB18" s="111"/>
      <c r="AC18" s="111"/>
      <c r="AD18" s="111"/>
      <c r="AE18" s="116"/>
      <c r="AF18" s="110"/>
      <c r="AG18" s="111"/>
      <c r="AH18" s="111"/>
      <c r="AI18" s="111"/>
      <c r="AJ18" s="111"/>
      <c r="AK18" s="111"/>
      <c r="AL18" s="111"/>
      <c r="AM18" s="111"/>
      <c r="AN18" s="112"/>
      <c r="AO18" s="107">
        <v>45664</v>
      </c>
      <c r="AP18" s="108"/>
      <c r="AQ18" s="106" t="s">
        <v>143</v>
      </c>
      <c r="AR18" s="102"/>
      <c r="AS18" s="106" t="s">
        <v>144</v>
      </c>
      <c r="AT18" s="109"/>
      <c r="AU18" s="107"/>
      <c r="AV18" s="108"/>
      <c r="AW18" s="106"/>
      <c r="AX18" s="102"/>
      <c r="AY18" s="106"/>
      <c r="AZ18" s="109"/>
      <c r="BA18" s="148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50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20"/>
      <c r="E19" s="121"/>
      <c r="F19" s="121"/>
      <c r="G19" s="122"/>
      <c r="H19" s="120"/>
      <c r="I19" s="121"/>
      <c r="J19" s="121"/>
      <c r="K19" s="122"/>
      <c r="L19" s="110" t="s">
        <v>85</v>
      </c>
      <c r="M19" s="111"/>
      <c r="N19" s="111"/>
      <c r="O19" s="116"/>
      <c r="P19" s="110" t="s">
        <v>93</v>
      </c>
      <c r="Q19" s="111"/>
      <c r="R19" s="111"/>
      <c r="S19" s="111"/>
      <c r="T19" s="111"/>
      <c r="U19" s="111"/>
      <c r="V19" s="111"/>
      <c r="W19" s="116"/>
      <c r="X19" s="110" t="s">
        <v>74</v>
      </c>
      <c r="Y19" s="111"/>
      <c r="Z19" s="111"/>
      <c r="AA19" s="111"/>
      <c r="AB19" s="111"/>
      <c r="AC19" s="111"/>
      <c r="AD19" s="111"/>
      <c r="AE19" s="116"/>
      <c r="AF19" s="110"/>
      <c r="AG19" s="111"/>
      <c r="AH19" s="111"/>
      <c r="AI19" s="111"/>
      <c r="AJ19" s="111"/>
      <c r="AK19" s="111"/>
      <c r="AL19" s="111"/>
      <c r="AM19" s="111"/>
      <c r="AN19" s="112"/>
      <c r="AO19" s="107">
        <v>45664</v>
      </c>
      <c r="AP19" s="108"/>
      <c r="AQ19" s="106" t="s">
        <v>143</v>
      </c>
      <c r="AR19" s="102"/>
      <c r="AS19" s="106" t="s">
        <v>144</v>
      </c>
      <c r="AT19" s="109"/>
      <c r="AU19" s="107"/>
      <c r="AV19" s="108"/>
      <c r="AW19" s="106"/>
      <c r="AX19" s="102"/>
      <c r="AY19" s="106"/>
      <c r="AZ19" s="109"/>
      <c r="BA19" s="148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50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20"/>
      <c r="E20" s="121"/>
      <c r="F20" s="121"/>
      <c r="G20" s="122"/>
      <c r="H20" s="58"/>
      <c r="I20" s="59"/>
      <c r="J20" s="59"/>
      <c r="K20" s="60"/>
      <c r="L20" s="110" t="s">
        <v>86</v>
      </c>
      <c r="M20" s="111"/>
      <c r="N20" s="111"/>
      <c r="O20" s="116"/>
      <c r="P20" s="110" t="s">
        <v>93</v>
      </c>
      <c r="Q20" s="111"/>
      <c r="R20" s="111"/>
      <c r="S20" s="111"/>
      <c r="T20" s="111"/>
      <c r="U20" s="111"/>
      <c r="V20" s="111"/>
      <c r="W20" s="116"/>
      <c r="X20" s="110" t="s">
        <v>74</v>
      </c>
      <c r="Y20" s="111"/>
      <c r="Z20" s="111"/>
      <c r="AA20" s="111"/>
      <c r="AB20" s="111"/>
      <c r="AC20" s="111"/>
      <c r="AD20" s="111"/>
      <c r="AE20" s="116"/>
      <c r="AF20" s="110"/>
      <c r="AG20" s="111"/>
      <c r="AH20" s="111"/>
      <c r="AI20" s="111"/>
      <c r="AJ20" s="111"/>
      <c r="AK20" s="111"/>
      <c r="AL20" s="111"/>
      <c r="AM20" s="111"/>
      <c r="AN20" s="112"/>
      <c r="AO20" s="107">
        <v>45664</v>
      </c>
      <c r="AP20" s="108"/>
      <c r="AQ20" s="106" t="s">
        <v>143</v>
      </c>
      <c r="AR20" s="102"/>
      <c r="AS20" s="106" t="s">
        <v>144</v>
      </c>
      <c r="AT20" s="109"/>
      <c r="AU20" s="107"/>
      <c r="AV20" s="108"/>
      <c r="AW20" s="106"/>
      <c r="AX20" s="102"/>
      <c r="AY20" s="106"/>
      <c r="AZ20" s="109"/>
      <c r="BA20" s="148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50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58"/>
      <c r="E21" s="59"/>
      <c r="F21" s="59"/>
      <c r="G21" s="60"/>
      <c r="H21" s="58"/>
      <c r="I21" s="59"/>
      <c r="J21" s="59"/>
      <c r="K21" s="60"/>
      <c r="L21" s="110" t="s">
        <v>87</v>
      </c>
      <c r="M21" s="111"/>
      <c r="N21" s="111"/>
      <c r="O21" s="116"/>
      <c r="P21" s="110" t="s">
        <v>93</v>
      </c>
      <c r="Q21" s="111"/>
      <c r="R21" s="111"/>
      <c r="S21" s="111"/>
      <c r="T21" s="111"/>
      <c r="U21" s="111"/>
      <c r="V21" s="111"/>
      <c r="W21" s="116"/>
      <c r="X21" s="110" t="s">
        <v>74</v>
      </c>
      <c r="Y21" s="111"/>
      <c r="Z21" s="111"/>
      <c r="AA21" s="111"/>
      <c r="AB21" s="111"/>
      <c r="AC21" s="111"/>
      <c r="AD21" s="111"/>
      <c r="AE21" s="116"/>
      <c r="AF21" s="61"/>
      <c r="AG21" s="62"/>
      <c r="AH21" s="62"/>
      <c r="AI21" s="62"/>
      <c r="AJ21" s="62"/>
      <c r="AK21" s="62"/>
      <c r="AL21" s="62"/>
      <c r="AM21" s="62"/>
      <c r="AN21" s="63"/>
      <c r="AO21" s="107">
        <v>45664</v>
      </c>
      <c r="AP21" s="108"/>
      <c r="AQ21" s="106" t="s">
        <v>143</v>
      </c>
      <c r="AR21" s="102"/>
      <c r="AS21" s="106" t="s">
        <v>144</v>
      </c>
      <c r="AT21" s="109"/>
      <c r="AU21" s="64"/>
      <c r="AV21" s="65"/>
      <c r="AW21" s="53"/>
      <c r="AX21" s="52"/>
      <c r="AY21" s="53"/>
      <c r="AZ21" s="54"/>
      <c r="BA21" s="55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7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58"/>
      <c r="E22" s="59"/>
      <c r="F22" s="59"/>
      <c r="G22" s="60"/>
      <c r="H22" s="58"/>
      <c r="I22" s="59"/>
      <c r="J22" s="59"/>
      <c r="K22" s="60"/>
      <c r="L22" s="110" t="s">
        <v>112</v>
      </c>
      <c r="M22" s="111"/>
      <c r="N22" s="111"/>
      <c r="O22" s="116"/>
      <c r="P22" s="110" t="s">
        <v>93</v>
      </c>
      <c r="Q22" s="111"/>
      <c r="R22" s="111"/>
      <c r="S22" s="111"/>
      <c r="T22" s="111"/>
      <c r="U22" s="111"/>
      <c r="V22" s="111"/>
      <c r="W22" s="116"/>
      <c r="X22" s="110" t="s">
        <v>74</v>
      </c>
      <c r="Y22" s="111"/>
      <c r="Z22" s="111"/>
      <c r="AA22" s="111"/>
      <c r="AB22" s="111"/>
      <c r="AC22" s="111"/>
      <c r="AD22" s="111"/>
      <c r="AE22" s="116"/>
      <c r="AF22" s="61"/>
      <c r="AG22" s="62"/>
      <c r="AH22" s="62"/>
      <c r="AI22" s="62"/>
      <c r="AJ22" s="62"/>
      <c r="AK22" s="62"/>
      <c r="AL22" s="62"/>
      <c r="AM22" s="62"/>
      <c r="AN22" s="63"/>
      <c r="AO22" s="107">
        <v>45664</v>
      </c>
      <c r="AP22" s="108"/>
      <c r="AQ22" s="106" t="s">
        <v>143</v>
      </c>
      <c r="AR22" s="102"/>
      <c r="AS22" s="106" t="s">
        <v>144</v>
      </c>
      <c r="AT22" s="109"/>
      <c r="AU22" s="64"/>
      <c r="AV22" s="65"/>
      <c r="AW22" s="53"/>
      <c r="AX22" s="52"/>
      <c r="AY22" s="53"/>
      <c r="AZ22" s="54"/>
      <c r="BA22" s="55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7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58"/>
      <c r="E23" s="59"/>
      <c r="F23" s="59"/>
      <c r="G23" s="60"/>
      <c r="H23" s="58"/>
      <c r="I23" s="59"/>
      <c r="J23" s="59"/>
      <c r="K23" s="60"/>
      <c r="L23" s="110" t="s">
        <v>88</v>
      </c>
      <c r="M23" s="111"/>
      <c r="N23" s="111"/>
      <c r="O23" s="116"/>
      <c r="P23" s="110" t="s">
        <v>93</v>
      </c>
      <c r="Q23" s="111"/>
      <c r="R23" s="111"/>
      <c r="S23" s="111"/>
      <c r="T23" s="111"/>
      <c r="U23" s="111"/>
      <c r="V23" s="111"/>
      <c r="W23" s="116"/>
      <c r="X23" s="110" t="s">
        <v>74</v>
      </c>
      <c r="Y23" s="111"/>
      <c r="Z23" s="111"/>
      <c r="AA23" s="111"/>
      <c r="AB23" s="111"/>
      <c r="AC23" s="111"/>
      <c r="AD23" s="111"/>
      <c r="AE23" s="116"/>
      <c r="AF23" s="61"/>
      <c r="AG23" s="62"/>
      <c r="AH23" s="62"/>
      <c r="AI23" s="62"/>
      <c r="AJ23" s="62"/>
      <c r="AK23" s="62"/>
      <c r="AL23" s="62"/>
      <c r="AM23" s="62"/>
      <c r="AN23" s="63"/>
      <c r="AO23" s="107">
        <v>45664</v>
      </c>
      <c r="AP23" s="108"/>
      <c r="AQ23" s="106" t="s">
        <v>143</v>
      </c>
      <c r="AR23" s="102"/>
      <c r="AS23" s="106" t="s">
        <v>144</v>
      </c>
      <c r="AT23" s="109"/>
      <c r="AU23" s="64"/>
      <c r="AV23" s="65"/>
      <c r="AW23" s="53"/>
      <c r="AX23" s="52"/>
      <c r="AY23" s="53"/>
      <c r="AZ23" s="54"/>
      <c r="BA23" s="55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7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58"/>
      <c r="E24" s="59"/>
      <c r="F24" s="59"/>
      <c r="G24" s="60"/>
      <c r="H24" s="58"/>
      <c r="I24" s="59"/>
      <c r="J24" s="59"/>
      <c r="K24" s="60"/>
      <c r="L24" s="110" t="s">
        <v>113</v>
      </c>
      <c r="M24" s="111"/>
      <c r="N24" s="111"/>
      <c r="O24" s="116"/>
      <c r="P24" s="110" t="s">
        <v>93</v>
      </c>
      <c r="Q24" s="111"/>
      <c r="R24" s="111"/>
      <c r="S24" s="111"/>
      <c r="T24" s="111"/>
      <c r="U24" s="111"/>
      <c r="V24" s="111"/>
      <c r="W24" s="116"/>
      <c r="X24" s="110" t="s">
        <v>74</v>
      </c>
      <c r="Y24" s="111"/>
      <c r="Z24" s="111"/>
      <c r="AA24" s="111"/>
      <c r="AB24" s="111"/>
      <c r="AC24" s="111"/>
      <c r="AD24" s="111"/>
      <c r="AE24" s="116"/>
      <c r="AF24" s="61"/>
      <c r="AG24" s="62"/>
      <c r="AH24" s="62"/>
      <c r="AI24" s="62"/>
      <c r="AJ24" s="62"/>
      <c r="AK24" s="62"/>
      <c r="AL24" s="62"/>
      <c r="AM24" s="62"/>
      <c r="AN24" s="63"/>
      <c r="AO24" s="107">
        <v>45664</v>
      </c>
      <c r="AP24" s="108"/>
      <c r="AQ24" s="106" t="s">
        <v>143</v>
      </c>
      <c r="AR24" s="102"/>
      <c r="AS24" s="106" t="s">
        <v>144</v>
      </c>
      <c r="AT24" s="109"/>
      <c r="AU24" s="64"/>
      <c r="AV24" s="65"/>
      <c r="AW24" s="53"/>
      <c r="AX24" s="52"/>
      <c r="AY24" s="53"/>
      <c r="AZ24" s="54"/>
      <c r="BA24" s="55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7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58"/>
      <c r="E25" s="59"/>
      <c r="F25" s="59"/>
      <c r="G25" s="60"/>
      <c r="H25" s="58"/>
      <c r="I25" s="59"/>
      <c r="J25" s="59"/>
      <c r="K25" s="60"/>
      <c r="L25" s="110" t="s">
        <v>114</v>
      </c>
      <c r="M25" s="111"/>
      <c r="N25" s="111"/>
      <c r="O25" s="116"/>
      <c r="P25" s="110" t="s">
        <v>93</v>
      </c>
      <c r="Q25" s="111"/>
      <c r="R25" s="111"/>
      <c r="S25" s="111"/>
      <c r="T25" s="111"/>
      <c r="U25" s="111"/>
      <c r="V25" s="111"/>
      <c r="W25" s="116"/>
      <c r="X25" s="110" t="s">
        <v>74</v>
      </c>
      <c r="Y25" s="111"/>
      <c r="Z25" s="111"/>
      <c r="AA25" s="111"/>
      <c r="AB25" s="111"/>
      <c r="AC25" s="111"/>
      <c r="AD25" s="111"/>
      <c r="AE25" s="116"/>
      <c r="AF25" s="61"/>
      <c r="AG25" s="62"/>
      <c r="AH25" s="62"/>
      <c r="AI25" s="62"/>
      <c r="AJ25" s="62"/>
      <c r="AK25" s="62"/>
      <c r="AL25" s="62"/>
      <c r="AM25" s="62"/>
      <c r="AN25" s="63"/>
      <c r="AO25" s="107">
        <v>45664</v>
      </c>
      <c r="AP25" s="108"/>
      <c r="AQ25" s="106" t="s">
        <v>143</v>
      </c>
      <c r="AR25" s="102"/>
      <c r="AS25" s="106" t="s">
        <v>144</v>
      </c>
      <c r="AT25" s="109"/>
      <c r="AU25" s="64"/>
      <c r="AV25" s="65"/>
      <c r="AW25" s="53"/>
      <c r="AX25" s="52"/>
      <c r="AY25" s="53"/>
      <c r="AZ25" s="54"/>
      <c r="BA25" s="55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7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58"/>
      <c r="E26" s="59"/>
      <c r="F26" s="59"/>
      <c r="G26" s="60"/>
      <c r="H26" s="58"/>
      <c r="I26" s="59"/>
      <c r="J26" s="59"/>
      <c r="K26" s="60"/>
      <c r="L26" s="110" t="s">
        <v>115</v>
      </c>
      <c r="M26" s="111"/>
      <c r="N26" s="111"/>
      <c r="O26" s="116"/>
      <c r="P26" s="110" t="s">
        <v>93</v>
      </c>
      <c r="Q26" s="111"/>
      <c r="R26" s="111"/>
      <c r="S26" s="111"/>
      <c r="T26" s="111"/>
      <c r="U26" s="111"/>
      <c r="V26" s="111"/>
      <c r="W26" s="116"/>
      <c r="X26" s="110" t="s">
        <v>74</v>
      </c>
      <c r="Y26" s="111"/>
      <c r="Z26" s="111"/>
      <c r="AA26" s="111"/>
      <c r="AB26" s="111"/>
      <c r="AC26" s="111"/>
      <c r="AD26" s="111"/>
      <c r="AE26" s="116"/>
      <c r="AF26" s="61"/>
      <c r="AG26" s="62"/>
      <c r="AH26" s="62"/>
      <c r="AI26" s="62"/>
      <c r="AJ26" s="62"/>
      <c r="AK26" s="62"/>
      <c r="AL26" s="62"/>
      <c r="AM26" s="62"/>
      <c r="AN26" s="63"/>
      <c r="AO26" s="107">
        <v>45664</v>
      </c>
      <c r="AP26" s="108"/>
      <c r="AQ26" s="106" t="s">
        <v>143</v>
      </c>
      <c r="AR26" s="102"/>
      <c r="AS26" s="106" t="s">
        <v>144</v>
      </c>
      <c r="AT26" s="109"/>
      <c r="AU26" s="64"/>
      <c r="AV26" s="65"/>
      <c r="AW26" s="53"/>
      <c r="AX26" s="52"/>
      <c r="AY26" s="53"/>
      <c r="AZ26" s="54"/>
      <c r="BA26" s="55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7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58"/>
      <c r="E27" s="59"/>
      <c r="F27" s="59"/>
      <c r="G27" s="60"/>
      <c r="H27" s="58"/>
      <c r="I27" s="59"/>
      <c r="J27" s="59"/>
      <c r="K27" s="60"/>
      <c r="L27" s="110" t="s">
        <v>116</v>
      </c>
      <c r="M27" s="111"/>
      <c r="N27" s="111"/>
      <c r="O27" s="116"/>
      <c r="P27" s="110" t="s">
        <v>93</v>
      </c>
      <c r="Q27" s="111"/>
      <c r="R27" s="111"/>
      <c r="S27" s="111"/>
      <c r="T27" s="111"/>
      <c r="U27" s="111"/>
      <c r="V27" s="111"/>
      <c r="W27" s="116"/>
      <c r="X27" s="110" t="s">
        <v>74</v>
      </c>
      <c r="Y27" s="111"/>
      <c r="Z27" s="111"/>
      <c r="AA27" s="111"/>
      <c r="AB27" s="111"/>
      <c r="AC27" s="111"/>
      <c r="AD27" s="111"/>
      <c r="AE27" s="116"/>
      <c r="AF27" s="61"/>
      <c r="AG27" s="62"/>
      <c r="AH27" s="62"/>
      <c r="AI27" s="62"/>
      <c r="AJ27" s="62"/>
      <c r="AK27" s="62"/>
      <c r="AL27" s="62"/>
      <c r="AM27" s="62"/>
      <c r="AN27" s="63"/>
      <c r="AO27" s="107">
        <v>45664</v>
      </c>
      <c r="AP27" s="108"/>
      <c r="AQ27" s="106" t="s">
        <v>143</v>
      </c>
      <c r="AR27" s="102"/>
      <c r="AS27" s="106" t="s">
        <v>144</v>
      </c>
      <c r="AT27" s="109"/>
      <c r="AU27" s="64"/>
      <c r="AV27" s="65"/>
      <c r="AW27" s="53"/>
      <c r="AX27" s="52"/>
      <c r="AY27" s="53"/>
      <c r="AZ27" s="54"/>
      <c r="BA27" s="55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7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58"/>
      <c r="E28" s="59"/>
      <c r="F28" s="59"/>
      <c r="G28" s="60"/>
      <c r="H28" s="58"/>
      <c r="I28" s="59"/>
      <c r="J28" s="59"/>
      <c r="K28" s="60"/>
      <c r="L28" s="110" t="s">
        <v>117</v>
      </c>
      <c r="M28" s="111"/>
      <c r="N28" s="111"/>
      <c r="O28" s="116"/>
      <c r="P28" s="110" t="s">
        <v>93</v>
      </c>
      <c r="Q28" s="111"/>
      <c r="R28" s="111"/>
      <c r="S28" s="111"/>
      <c r="T28" s="111"/>
      <c r="U28" s="111"/>
      <c r="V28" s="111"/>
      <c r="W28" s="116"/>
      <c r="X28" s="110" t="s">
        <v>74</v>
      </c>
      <c r="Y28" s="111"/>
      <c r="Z28" s="111"/>
      <c r="AA28" s="111"/>
      <c r="AB28" s="111"/>
      <c r="AC28" s="111"/>
      <c r="AD28" s="111"/>
      <c r="AE28" s="116"/>
      <c r="AF28" s="61"/>
      <c r="AG28" s="62"/>
      <c r="AH28" s="62"/>
      <c r="AI28" s="62"/>
      <c r="AJ28" s="62"/>
      <c r="AK28" s="62"/>
      <c r="AL28" s="62"/>
      <c r="AM28" s="62"/>
      <c r="AN28" s="63"/>
      <c r="AO28" s="107">
        <v>45664</v>
      </c>
      <c r="AP28" s="108"/>
      <c r="AQ28" s="106" t="s">
        <v>143</v>
      </c>
      <c r="AR28" s="102"/>
      <c r="AS28" s="106" t="s">
        <v>144</v>
      </c>
      <c r="AT28" s="109"/>
      <c r="AU28" s="64"/>
      <c r="AV28" s="65"/>
      <c r="AW28" s="53"/>
      <c r="AX28" s="52"/>
      <c r="AY28" s="53"/>
      <c r="AZ28" s="54"/>
      <c r="BA28" s="55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7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58"/>
      <c r="E29" s="59"/>
      <c r="F29" s="59"/>
      <c r="G29" s="60"/>
      <c r="H29" s="58"/>
      <c r="I29" s="59"/>
      <c r="J29" s="59"/>
      <c r="K29" s="60"/>
      <c r="L29" s="110" t="s">
        <v>118</v>
      </c>
      <c r="M29" s="111"/>
      <c r="N29" s="111"/>
      <c r="O29" s="116"/>
      <c r="P29" s="110" t="s">
        <v>93</v>
      </c>
      <c r="Q29" s="111"/>
      <c r="R29" s="111"/>
      <c r="S29" s="111"/>
      <c r="T29" s="111"/>
      <c r="U29" s="111"/>
      <c r="V29" s="111"/>
      <c r="W29" s="116"/>
      <c r="X29" s="110" t="s">
        <v>74</v>
      </c>
      <c r="Y29" s="111"/>
      <c r="Z29" s="111"/>
      <c r="AA29" s="111"/>
      <c r="AB29" s="111"/>
      <c r="AC29" s="111"/>
      <c r="AD29" s="111"/>
      <c r="AE29" s="116"/>
      <c r="AF29" s="61"/>
      <c r="AG29" s="62"/>
      <c r="AH29" s="62"/>
      <c r="AI29" s="62"/>
      <c r="AJ29" s="62"/>
      <c r="AK29" s="62"/>
      <c r="AL29" s="62"/>
      <c r="AM29" s="62"/>
      <c r="AN29" s="63"/>
      <c r="AO29" s="107">
        <v>45664</v>
      </c>
      <c r="AP29" s="108"/>
      <c r="AQ29" s="106" t="s">
        <v>143</v>
      </c>
      <c r="AR29" s="102"/>
      <c r="AS29" s="106" t="s">
        <v>144</v>
      </c>
      <c r="AT29" s="109"/>
      <c r="AU29" s="64"/>
      <c r="AV29" s="65"/>
      <c r="AW29" s="53"/>
      <c r="AX29" s="52"/>
      <c r="AY29" s="53"/>
      <c r="AZ29" s="54"/>
      <c r="BA29" s="55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7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58"/>
      <c r="E30" s="59"/>
      <c r="F30" s="59"/>
      <c r="G30" s="60"/>
      <c r="H30" s="120"/>
      <c r="I30" s="121"/>
      <c r="J30" s="121"/>
      <c r="K30" s="122"/>
      <c r="L30" s="110" t="s">
        <v>119</v>
      </c>
      <c r="M30" s="111"/>
      <c r="N30" s="111"/>
      <c r="O30" s="116"/>
      <c r="P30" s="110" t="s">
        <v>93</v>
      </c>
      <c r="Q30" s="111"/>
      <c r="R30" s="111"/>
      <c r="S30" s="111"/>
      <c r="T30" s="111"/>
      <c r="U30" s="111"/>
      <c r="V30" s="111"/>
      <c r="W30" s="116"/>
      <c r="X30" s="110" t="s">
        <v>74</v>
      </c>
      <c r="Y30" s="111"/>
      <c r="Z30" s="111"/>
      <c r="AA30" s="111"/>
      <c r="AB30" s="111"/>
      <c r="AC30" s="111"/>
      <c r="AD30" s="111"/>
      <c r="AE30" s="116"/>
      <c r="AF30" s="61"/>
      <c r="AG30" s="62"/>
      <c r="AH30" s="62"/>
      <c r="AI30" s="62"/>
      <c r="AJ30" s="62"/>
      <c r="AK30" s="62"/>
      <c r="AL30" s="62"/>
      <c r="AM30" s="62"/>
      <c r="AN30" s="63"/>
      <c r="AO30" s="107">
        <v>45664</v>
      </c>
      <c r="AP30" s="108"/>
      <c r="AQ30" s="106" t="s">
        <v>143</v>
      </c>
      <c r="AR30" s="102"/>
      <c r="AS30" s="106" t="s">
        <v>144</v>
      </c>
      <c r="AT30" s="109"/>
      <c r="AU30" s="64"/>
      <c r="AV30" s="65"/>
      <c r="AW30" s="53"/>
      <c r="AX30" s="52"/>
      <c r="AY30" s="53"/>
      <c r="AZ30" s="54"/>
      <c r="BA30" s="55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7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120"/>
      <c r="E31" s="121"/>
      <c r="F31" s="121"/>
      <c r="G31" s="122"/>
      <c r="H31" s="120"/>
      <c r="I31" s="121"/>
      <c r="J31" s="121"/>
      <c r="K31" s="122"/>
      <c r="L31" s="110" t="s">
        <v>120</v>
      </c>
      <c r="M31" s="111"/>
      <c r="N31" s="111"/>
      <c r="O31" s="116"/>
      <c r="P31" s="110" t="s">
        <v>93</v>
      </c>
      <c r="Q31" s="111"/>
      <c r="R31" s="111"/>
      <c r="S31" s="111"/>
      <c r="T31" s="111"/>
      <c r="U31" s="111"/>
      <c r="V31" s="111"/>
      <c r="W31" s="116"/>
      <c r="X31" s="110" t="s">
        <v>74</v>
      </c>
      <c r="Y31" s="111"/>
      <c r="Z31" s="111"/>
      <c r="AA31" s="111"/>
      <c r="AB31" s="111"/>
      <c r="AC31" s="111"/>
      <c r="AD31" s="111"/>
      <c r="AE31" s="116"/>
      <c r="AF31" s="110"/>
      <c r="AG31" s="111"/>
      <c r="AH31" s="111"/>
      <c r="AI31" s="111"/>
      <c r="AJ31" s="111"/>
      <c r="AK31" s="111"/>
      <c r="AL31" s="111"/>
      <c r="AM31" s="111"/>
      <c r="AN31" s="112"/>
      <c r="AO31" s="107">
        <v>45664</v>
      </c>
      <c r="AP31" s="108"/>
      <c r="AQ31" s="106" t="s">
        <v>143</v>
      </c>
      <c r="AR31" s="102"/>
      <c r="AS31" s="106" t="s">
        <v>144</v>
      </c>
      <c r="AT31" s="109"/>
      <c r="AU31" s="107"/>
      <c r="AV31" s="108"/>
      <c r="AW31" s="106"/>
      <c r="AX31" s="102"/>
      <c r="AY31" s="106"/>
      <c r="AZ31" s="109"/>
      <c r="BA31" s="148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50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20"/>
      <c r="E32" s="121"/>
      <c r="F32" s="121"/>
      <c r="G32" s="122"/>
      <c r="H32" s="120"/>
      <c r="I32" s="121"/>
      <c r="J32" s="121"/>
      <c r="K32" s="122"/>
      <c r="L32" s="110" t="s">
        <v>121</v>
      </c>
      <c r="M32" s="111"/>
      <c r="N32" s="111"/>
      <c r="O32" s="116"/>
      <c r="P32" s="110" t="s">
        <v>93</v>
      </c>
      <c r="Q32" s="111"/>
      <c r="R32" s="111"/>
      <c r="S32" s="111"/>
      <c r="T32" s="111"/>
      <c r="U32" s="111"/>
      <c r="V32" s="111"/>
      <c r="W32" s="116"/>
      <c r="X32" s="110" t="s">
        <v>74</v>
      </c>
      <c r="Y32" s="111"/>
      <c r="Z32" s="111"/>
      <c r="AA32" s="111"/>
      <c r="AB32" s="111"/>
      <c r="AC32" s="111"/>
      <c r="AD32" s="111"/>
      <c r="AE32" s="116"/>
      <c r="AF32" s="110"/>
      <c r="AG32" s="111"/>
      <c r="AH32" s="111"/>
      <c r="AI32" s="111"/>
      <c r="AJ32" s="111"/>
      <c r="AK32" s="111"/>
      <c r="AL32" s="111"/>
      <c r="AM32" s="111"/>
      <c r="AN32" s="112"/>
      <c r="AO32" s="107">
        <v>45664</v>
      </c>
      <c r="AP32" s="108"/>
      <c r="AQ32" s="106" t="s">
        <v>143</v>
      </c>
      <c r="AR32" s="102"/>
      <c r="AS32" s="106" t="s">
        <v>144</v>
      </c>
      <c r="AT32" s="109"/>
      <c r="AU32" s="107"/>
      <c r="AV32" s="108"/>
      <c r="AW32" s="106"/>
      <c r="AX32" s="102"/>
      <c r="AY32" s="106"/>
      <c r="AZ32" s="109"/>
      <c r="BA32" s="148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50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120"/>
      <c r="E33" s="121"/>
      <c r="F33" s="121"/>
      <c r="G33" s="122"/>
      <c r="H33" s="120"/>
      <c r="I33" s="121"/>
      <c r="J33" s="121"/>
      <c r="K33" s="122"/>
      <c r="L33" s="110" t="s">
        <v>122</v>
      </c>
      <c r="M33" s="111"/>
      <c r="N33" s="111"/>
      <c r="O33" s="116"/>
      <c r="P33" s="110" t="s">
        <v>93</v>
      </c>
      <c r="Q33" s="111"/>
      <c r="R33" s="111"/>
      <c r="S33" s="111"/>
      <c r="T33" s="111"/>
      <c r="U33" s="111"/>
      <c r="V33" s="111"/>
      <c r="W33" s="116"/>
      <c r="X33" s="110" t="s">
        <v>74</v>
      </c>
      <c r="Y33" s="111"/>
      <c r="Z33" s="111"/>
      <c r="AA33" s="111"/>
      <c r="AB33" s="111"/>
      <c r="AC33" s="111"/>
      <c r="AD33" s="111"/>
      <c r="AE33" s="116"/>
      <c r="AF33" s="110"/>
      <c r="AG33" s="111"/>
      <c r="AH33" s="111"/>
      <c r="AI33" s="111"/>
      <c r="AJ33" s="111"/>
      <c r="AK33" s="111"/>
      <c r="AL33" s="111"/>
      <c r="AM33" s="111"/>
      <c r="AN33" s="112"/>
      <c r="AO33" s="107">
        <v>45664</v>
      </c>
      <c r="AP33" s="108"/>
      <c r="AQ33" s="106" t="s">
        <v>143</v>
      </c>
      <c r="AR33" s="102"/>
      <c r="AS33" s="106" t="s">
        <v>144</v>
      </c>
      <c r="AT33" s="109"/>
      <c r="AU33" s="107"/>
      <c r="AV33" s="108"/>
      <c r="AW33" s="106"/>
      <c r="AX33" s="102"/>
      <c r="AY33" s="106"/>
      <c r="AZ33" s="109"/>
      <c r="BA33" s="148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50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120"/>
      <c r="E34" s="121"/>
      <c r="F34" s="121"/>
      <c r="G34" s="122"/>
      <c r="H34" s="120"/>
      <c r="I34" s="121"/>
      <c r="J34" s="121"/>
      <c r="K34" s="122"/>
      <c r="L34" s="110" t="s">
        <v>84</v>
      </c>
      <c r="M34" s="111"/>
      <c r="N34" s="111"/>
      <c r="O34" s="116"/>
      <c r="P34" s="110" t="s">
        <v>93</v>
      </c>
      <c r="Q34" s="111"/>
      <c r="R34" s="111"/>
      <c r="S34" s="111"/>
      <c r="T34" s="111"/>
      <c r="U34" s="111"/>
      <c r="V34" s="111"/>
      <c r="W34" s="116"/>
      <c r="X34" s="110" t="s">
        <v>74</v>
      </c>
      <c r="Y34" s="111"/>
      <c r="Z34" s="111"/>
      <c r="AA34" s="111"/>
      <c r="AB34" s="111"/>
      <c r="AC34" s="111"/>
      <c r="AD34" s="111"/>
      <c r="AE34" s="116"/>
      <c r="AF34" s="110"/>
      <c r="AG34" s="111"/>
      <c r="AH34" s="111"/>
      <c r="AI34" s="111"/>
      <c r="AJ34" s="111"/>
      <c r="AK34" s="111"/>
      <c r="AL34" s="111"/>
      <c r="AM34" s="111"/>
      <c r="AN34" s="112"/>
      <c r="AO34" s="107">
        <v>45664</v>
      </c>
      <c r="AP34" s="108"/>
      <c r="AQ34" s="106" t="s">
        <v>143</v>
      </c>
      <c r="AR34" s="102"/>
      <c r="AS34" s="106" t="s">
        <v>144</v>
      </c>
      <c r="AT34" s="109"/>
      <c r="AU34" s="107"/>
      <c r="AV34" s="108"/>
      <c r="AW34" s="106"/>
      <c r="AX34" s="102"/>
      <c r="AY34" s="106"/>
      <c r="AZ34" s="109"/>
      <c r="BA34" s="148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50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120"/>
      <c r="E35" s="121"/>
      <c r="F35" s="121"/>
      <c r="G35" s="122"/>
      <c r="H35" s="120"/>
      <c r="I35" s="121"/>
      <c r="J35" s="121"/>
      <c r="K35" s="122"/>
      <c r="L35" s="110" t="s">
        <v>123</v>
      </c>
      <c r="M35" s="111"/>
      <c r="N35" s="111"/>
      <c r="O35" s="116"/>
      <c r="P35" s="110" t="s">
        <v>93</v>
      </c>
      <c r="Q35" s="111"/>
      <c r="R35" s="111"/>
      <c r="S35" s="111"/>
      <c r="T35" s="111"/>
      <c r="U35" s="111"/>
      <c r="V35" s="111"/>
      <c r="W35" s="116"/>
      <c r="X35" s="110" t="s">
        <v>74</v>
      </c>
      <c r="Y35" s="111"/>
      <c r="Z35" s="111"/>
      <c r="AA35" s="111"/>
      <c r="AB35" s="111"/>
      <c r="AC35" s="111"/>
      <c r="AD35" s="111"/>
      <c r="AE35" s="116"/>
      <c r="AF35" s="110"/>
      <c r="AG35" s="111"/>
      <c r="AH35" s="111"/>
      <c r="AI35" s="111"/>
      <c r="AJ35" s="111"/>
      <c r="AK35" s="111"/>
      <c r="AL35" s="111"/>
      <c r="AM35" s="111"/>
      <c r="AN35" s="112"/>
      <c r="AO35" s="107">
        <v>45664</v>
      </c>
      <c r="AP35" s="108"/>
      <c r="AQ35" s="106" t="s">
        <v>143</v>
      </c>
      <c r="AR35" s="102"/>
      <c r="AS35" s="106" t="s">
        <v>144</v>
      </c>
      <c r="AT35" s="109"/>
      <c r="AU35" s="107"/>
      <c r="AV35" s="108"/>
      <c r="AW35" s="106"/>
      <c r="AX35" s="102"/>
      <c r="AY35" s="106"/>
      <c r="AZ35" s="109"/>
      <c r="BA35" s="148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50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120"/>
      <c r="E36" s="121"/>
      <c r="F36" s="121"/>
      <c r="G36" s="122"/>
      <c r="H36" s="120"/>
      <c r="I36" s="121"/>
      <c r="J36" s="121"/>
      <c r="K36" s="122"/>
      <c r="L36" s="110" t="s">
        <v>124</v>
      </c>
      <c r="M36" s="111"/>
      <c r="N36" s="111"/>
      <c r="O36" s="116"/>
      <c r="P36" s="110" t="s">
        <v>93</v>
      </c>
      <c r="Q36" s="111"/>
      <c r="R36" s="111"/>
      <c r="S36" s="111"/>
      <c r="T36" s="111"/>
      <c r="U36" s="111"/>
      <c r="V36" s="111"/>
      <c r="W36" s="116"/>
      <c r="X36" s="110" t="s">
        <v>74</v>
      </c>
      <c r="Y36" s="111"/>
      <c r="Z36" s="111"/>
      <c r="AA36" s="111"/>
      <c r="AB36" s="111"/>
      <c r="AC36" s="111"/>
      <c r="AD36" s="111"/>
      <c r="AE36" s="116"/>
      <c r="AF36" s="110"/>
      <c r="AG36" s="111"/>
      <c r="AH36" s="111"/>
      <c r="AI36" s="111"/>
      <c r="AJ36" s="111"/>
      <c r="AK36" s="111"/>
      <c r="AL36" s="111"/>
      <c r="AM36" s="111"/>
      <c r="AN36" s="112"/>
      <c r="AO36" s="107">
        <v>45664</v>
      </c>
      <c r="AP36" s="108"/>
      <c r="AQ36" s="106" t="s">
        <v>143</v>
      </c>
      <c r="AR36" s="102"/>
      <c r="AS36" s="106" t="s">
        <v>144</v>
      </c>
      <c r="AT36" s="109"/>
      <c r="AU36" s="107"/>
      <c r="AV36" s="108"/>
      <c r="AW36" s="106"/>
      <c r="AX36" s="102"/>
      <c r="AY36" s="106"/>
      <c r="AZ36" s="109"/>
      <c r="BA36" s="148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50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120"/>
      <c r="E37" s="121"/>
      <c r="F37" s="121"/>
      <c r="G37" s="122"/>
      <c r="H37" s="120"/>
      <c r="I37" s="121"/>
      <c r="J37" s="121"/>
      <c r="K37" s="122"/>
      <c r="L37" s="110" t="s">
        <v>125</v>
      </c>
      <c r="M37" s="111"/>
      <c r="N37" s="111"/>
      <c r="O37" s="116"/>
      <c r="P37" s="110" t="s">
        <v>93</v>
      </c>
      <c r="Q37" s="111"/>
      <c r="R37" s="111"/>
      <c r="S37" s="111"/>
      <c r="T37" s="111"/>
      <c r="U37" s="111"/>
      <c r="V37" s="111"/>
      <c r="W37" s="116"/>
      <c r="X37" s="110" t="s">
        <v>74</v>
      </c>
      <c r="Y37" s="111"/>
      <c r="Z37" s="111"/>
      <c r="AA37" s="111"/>
      <c r="AB37" s="111"/>
      <c r="AC37" s="111"/>
      <c r="AD37" s="111"/>
      <c r="AE37" s="116"/>
      <c r="AF37" s="110"/>
      <c r="AG37" s="111"/>
      <c r="AH37" s="111"/>
      <c r="AI37" s="111"/>
      <c r="AJ37" s="111"/>
      <c r="AK37" s="111"/>
      <c r="AL37" s="111"/>
      <c r="AM37" s="111"/>
      <c r="AN37" s="112"/>
      <c r="AO37" s="107">
        <v>45664</v>
      </c>
      <c r="AP37" s="108"/>
      <c r="AQ37" s="106" t="s">
        <v>143</v>
      </c>
      <c r="AR37" s="102"/>
      <c r="AS37" s="106" t="s">
        <v>144</v>
      </c>
      <c r="AT37" s="109"/>
      <c r="AU37" s="107"/>
      <c r="AV37" s="108"/>
      <c r="AW37" s="106"/>
      <c r="AX37" s="102"/>
      <c r="AY37" s="106"/>
      <c r="AZ37" s="109"/>
      <c r="BA37" s="148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50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58"/>
      <c r="E38" s="59"/>
      <c r="F38" s="59"/>
      <c r="G38" s="60"/>
      <c r="H38" s="58"/>
      <c r="I38" s="59"/>
      <c r="J38" s="59"/>
      <c r="K38" s="60"/>
      <c r="L38" s="110" t="s">
        <v>126</v>
      </c>
      <c r="M38" s="111"/>
      <c r="N38" s="111"/>
      <c r="O38" s="116"/>
      <c r="P38" s="110" t="s">
        <v>93</v>
      </c>
      <c r="Q38" s="111"/>
      <c r="R38" s="111"/>
      <c r="S38" s="111"/>
      <c r="T38" s="111"/>
      <c r="U38" s="111"/>
      <c r="V38" s="111"/>
      <c r="W38" s="116"/>
      <c r="X38" s="110" t="s">
        <v>74</v>
      </c>
      <c r="Y38" s="111"/>
      <c r="Z38" s="111"/>
      <c r="AA38" s="111"/>
      <c r="AB38" s="111"/>
      <c r="AC38" s="111"/>
      <c r="AD38" s="111"/>
      <c r="AE38" s="116"/>
      <c r="AF38" s="61"/>
      <c r="AG38" s="62"/>
      <c r="AH38" s="62"/>
      <c r="AI38" s="62"/>
      <c r="AJ38" s="62"/>
      <c r="AK38" s="62"/>
      <c r="AL38" s="62"/>
      <c r="AM38" s="62"/>
      <c r="AN38" s="63"/>
      <c r="AO38" s="107">
        <v>45664</v>
      </c>
      <c r="AP38" s="108"/>
      <c r="AQ38" s="106" t="s">
        <v>143</v>
      </c>
      <c r="AR38" s="102"/>
      <c r="AS38" s="106" t="s">
        <v>144</v>
      </c>
      <c r="AT38" s="109"/>
      <c r="AU38" s="64"/>
      <c r="AV38" s="65"/>
      <c r="AW38" s="53"/>
      <c r="AX38" s="52"/>
      <c r="AY38" s="53"/>
      <c r="AZ38" s="54"/>
      <c r="BA38" s="55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7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58"/>
      <c r="E39" s="59"/>
      <c r="F39" s="59"/>
      <c r="G39" s="60"/>
      <c r="H39" s="58"/>
      <c r="I39" s="59"/>
      <c r="J39" s="59"/>
      <c r="K39" s="60"/>
      <c r="L39" s="110" t="s">
        <v>127</v>
      </c>
      <c r="M39" s="111"/>
      <c r="N39" s="111"/>
      <c r="O39" s="116"/>
      <c r="P39" s="110" t="s">
        <v>93</v>
      </c>
      <c r="Q39" s="111"/>
      <c r="R39" s="111"/>
      <c r="S39" s="111"/>
      <c r="T39" s="111"/>
      <c r="U39" s="111"/>
      <c r="V39" s="111"/>
      <c r="W39" s="116"/>
      <c r="X39" s="110" t="s">
        <v>74</v>
      </c>
      <c r="Y39" s="111"/>
      <c r="Z39" s="111"/>
      <c r="AA39" s="111"/>
      <c r="AB39" s="111"/>
      <c r="AC39" s="111"/>
      <c r="AD39" s="111"/>
      <c r="AE39" s="116"/>
      <c r="AF39" s="61"/>
      <c r="AG39" s="62"/>
      <c r="AH39" s="62"/>
      <c r="AI39" s="62"/>
      <c r="AJ39" s="62"/>
      <c r="AK39" s="62"/>
      <c r="AL39" s="62"/>
      <c r="AM39" s="62"/>
      <c r="AN39" s="63"/>
      <c r="AO39" s="107">
        <v>45664</v>
      </c>
      <c r="AP39" s="108"/>
      <c r="AQ39" s="106" t="s">
        <v>143</v>
      </c>
      <c r="AR39" s="102"/>
      <c r="AS39" s="106" t="s">
        <v>144</v>
      </c>
      <c r="AT39" s="109"/>
      <c r="AU39" s="64"/>
      <c r="AV39" s="65"/>
      <c r="AW39" s="53"/>
      <c r="AX39" s="52"/>
      <c r="AY39" s="53"/>
      <c r="AZ39" s="54"/>
      <c r="BA39" s="55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7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58"/>
      <c r="E40" s="59"/>
      <c r="F40" s="59"/>
      <c r="G40" s="60"/>
      <c r="H40" s="58"/>
      <c r="I40" s="59"/>
      <c r="J40" s="59"/>
      <c r="K40" s="60"/>
      <c r="L40" s="110" t="s">
        <v>128</v>
      </c>
      <c r="M40" s="111"/>
      <c r="N40" s="111"/>
      <c r="O40" s="116"/>
      <c r="P40" s="110" t="s">
        <v>93</v>
      </c>
      <c r="Q40" s="111"/>
      <c r="R40" s="111"/>
      <c r="S40" s="111"/>
      <c r="T40" s="111"/>
      <c r="U40" s="111"/>
      <c r="V40" s="111"/>
      <c r="W40" s="116"/>
      <c r="X40" s="110" t="s">
        <v>74</v>
      </c>
      <c r="Y40" s="111"/>
      <c r="Z40" s="111"/>
      <c r="AA40" s="111"/>
      <c r="AB40" s="111"/>
      <c r="AC40" s="111"/>
      <c r="AD40" s="111"/>
      <c r="AE40" s="116"/>
      <c r="AF40" s="61"/>
      <c r="AG40" s="62"/>
      <c r="AH40" s="62"/>
      <c r="AI40" s="62"/>
      <c r="AJ40" s="62"/>
      <c r="AK40" s="62"/>
      <c r="AL40" s="62"/>
      <c r="AM40" s="62"/>
      <c r="AN40" s="63"/>
      <c r="AO40" s="107">
        <v>45664</v>
      </c>
      <c r="AP40" s="108"/>
      <c r="AQ40" s="106" t="s">
        <v>143</v>
      </c>
      <c r="AR40" s="102"/>
      <c r="AS40" s="106" t="s">
        <v>144</v>
      </c>
      <c r="AT40" s="109"/>
      <c r="AU40" s="64"/>
      <c r="AV40" s="65"/>
      <c r="AW40" s="53"/>
      <c r="AX40" s="52"/>
      <c r="AY40" s="53"/>
      <c r="AZ40" s="54"/>
      <c r="BA40" s="55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7"/>
      <c r="BM40" s="16"/>
      <c r="BN40" s="16"/>
    </row>
    <row r="41" spans="1:66" ht="20.100000000000001" customHeight="1" x14ac:dyDescent="0.45">
      <c r="A41" s="10"/>
      <c r="B41" s="10"/>
      <c r="C41" s="30">
        <f t="shared" si="0"/>
        <v>32</v>
      </c>
      <c r="D41" s="58"/>
      <c r="E41" s="59"/>
      <c r="F41" s="59"/>
      <c r="G41" s="60"/>
      <c r="H41" s="58"/>
      <c r="I41" s="59"/>
      <c r="J41" s="59"/>
      <c r="K41" s="60"/>
      <c r="L41" s="110" t="s">
        <v>129</v>
      </c>
      <c r="M41" s="111"/>
      <c r="N41" s="111"/>
      <c r="O41" s="116"/>
      <c r="P41" s="110" t="s">
        <v>93</v>
      </c>
      <c r="Q41" s="111"/>
      <c r="R41" s="111"/>
      <c r="S41" s="111"/>
      <c r="T41" s="111"/>
      <c r="U41" s="111"/>
      <c r="V41" s="111"/>
      <c r="W41" s="116"/>
      <c r="X41" s="110" t="s">
        <v>74</v>
      </c>
      <c r="Y41" s="111"/>
      <c r="Z41" s="111"/>
      <c r="AA41" s="111"/>
      <c r="AB41" s="111"/>
      <c r="AC41" s="111"/>
      <c r="AD41" s="111"/>
      <c r="AE41" s="116"/>
      <c r="AF41" s="61"/>
      <c r="AG41" s="62"/>
      <c r="AH41" s="62"/>
      <c r="AI41" s="62"/>
      <c r="AJ41" s="62"/>
      <c r="AK41" s="62"/>
      <c r="AL41" s="62"/>
      <c r="AM41" s="62"/>
      <c r="AN41" s="63"/>
      <c r="AO41" s="107">
        <v>45664</v>
      </c>
      <c r="AP41" s="108"/>
      <c r="AQ41" s="106" t="s">
        <v>143</v>
      </c>
      <c r="AR41" s="102"/>
      <c r="AS41" s="106" t="s">
        <v>144</v>
      </c>
      <c r="AT41" s="109"/>
      <c r="AU41" s="64"/>
      <c r="AV41" s="65"/>
      <c r="AW41" s="53"/>
      <c r="AX41" s="52"/>
      <c r="AY41" s="53"/>
      <c r="AZ41" s="54"/>
      <c r="BA41" s="55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7"/>
      <c r="BM41" s="16"/>
      <c r="BN41" s="16"/>
    </row>
    <row r="42" spans="1:66" ht="20.100000000000001" customHeight="1" x14ac:dyDescent="0.45">
      <c r="A42" s="10"/>
      <c r="B42" s="10"/>
      <c r="C42" s="30">
        <f t="shared" si="0"/>
        <v>33</v>
      </c>
      <c r="D42" s="58"/>
      <c r="E42" s="59"/>
      <c r="F42" s="59"/>
      <c r="G42" s="60"/>
      <c r="H42" s="58"/>
      <c r="I42" s="59"/>
      <c r="J42" s="59"/>
      <c r="K42" s="60"/>
      <c r="L42" s="110" t="s">
        <v>130</v>
      </c>
      <c r="M42" s="111"/>
      <c r="N42" s="111"/>
      <c r="O42" s="116"/>
      <c r="P42" s="110" t="s">
        <v>93</v>
      </c>
      <c r="Q42" s="111"/>
      <c r="R42" s="111"/>
      <c r="S42" s="111"/>
      <c r="T42" s="111"/>
      <c r="U42" s="111"/>
      <c r="V42" s="111"/>
      <c r="W42" s="116"/>
      <c r="X42" s="110" t="s">
        <v>74</v>
      </c>
      <c r="Y42" s="111"/>
      <c r="Z42" s="111"/>
      <c r="AA42" s="111"/>
      <c r="AB42" s="111"/>
      <c r="AC42" s="111"/>
      <c r="AD42" s="111"/>
      <c r="AE42" s="116"/>
      <c r="AF42" s="61"/>
      <c r="AG42" s="62"/>
      <c r="AH42" s="62"/>
      <c r="AI42" s="62"/>
      <c r="AJ42" s="62"/>
      <c r="AK42" s="62"/>
      <c r="AL42" s="62"/>
      <c r="AM42" s="62"/>
      <c r="AN42" s="63"/>
      <c r="AO42" s="107">
        <v>45664</v>
      </c>
      <c r="AP42" s="108"/>
      <c r="AQ42" s="106" t="s">
        <v>143</v>
      </c>
      <c r="AR42" s="102"/>
      <c r="AS42" s="106" t="s">
        <v>144</v>
      </c>
      <c r="AT42" s="109"/>
      <c r="AU42" s="64"/>
      <c r="AV42" s="65"/>
      <c r="AW42" s="53"/>
      <c r="AX42" s="52"/>
      <c r="AY42" s="53"/>
      <c r="AZ42" s="54"/>
      <c r="BA42" s="55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7"/>
      <c r="BM42" s="16"/>
      <c r="BN42" s="16"/>
    </row>
    <row r="43" spans="1:66" ht="20.100000000000001" customHeight="1" x14ac:dyDescent="0.45">
      <c r="A43" s="10"/>
      <c r="B43" s="10"/>
      <c r="C43" s="30">
        <f t="shared" si="0"/>
        <v>34</v>
      </c>
      <c r="D43" s="58"/>
      <c r="E43" s="59"/>
      <c r="F43" s="59"/>
      <c r="G43" s="60"/>
      <c r="H43" s="58"/>
      <c r="I43" s="59"/>
      <c r="J43" s="59"/>
      <c r="K43" s="60"/>
      <c r="L43" s="110" t="s">
        <v>131</v>
      </c>
      <c r="M43" s="111"/>
      <c r="N43" s="111"/>
      <c r="O43" s="116"/>
      <c r="P43" s="110" t="s">
        <v>93</v>
      </c>
      <c r="Q43" s="111"/>
      <c r="R43" s="111"/>
      <c r="S43" s="111"/>
      <c r="T43" s="111"/>
      <c r="U43" s="111"/>
      <c r="V43" s="111"/>
      <c r="W43" s="116"/>
      <c r="X43" s="110" t="s">
        <v>74</v>
      </c>
      <c r="Y43" s="111"/>
      <c r="Z43" s="111"/>
      <c r="AA43" s="111"/>
      <c r="AB43" s="111"/>
      <c r="AC43" s="111"/>
      <c r="AD43" s="111"/>
      <c r="AE43" s="116"/>
      <c r="AF43" s="61"/>
      <c r="AG43" s="62"/>
      <c r="AH43" s="62"/>
      <c r="AI43" s="62"/>
      <c r="AJ43" s="62"/>
      <c r="AK43" s="62"/>
      <c r="AL43" s="62"/>
      <c r="AM43" s="62"/>
      <c r="AN43" s="63"/>
      <c r="AO43" s="107">
        <v>45664</v>
      </c>
      <c r="AP43" s="108"/>
      <c r="AQ43" s="106" t="s">
        <v>143</v>
      </c>
      <c r="AR43" s="102"/>
      <c r="AS43" s="106" t="s">
        <v>144</v>
      </c>
      <c r="AT43" s="109"/>
      <c r="AU43" s="64"/>
      <c r="AV43" s="65"/>
      <c r="AW43" s="53"/>
      <c r="AX43" s="52"/>
      <c r="AY43" s="53"/>
      <c r="AZ43" s="54"/>
      <c r="BA43" s="55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7"/>
      <c r="BM43" s="16"/>
      <c r="BN43" s="16"/>
    </row>
    <row r="44" spans="1:66" ht="20.100000000000001" customHeight="1" x14ac:dyDescent="0.45">
      <c r="A44" s="10"/>
      <c r="B44" s="10"/>
      <c r="C44" s="30">
        <f t="shared" si="0"/>
        <v>35</v>
      </c>
      <c r="D44" s="120"/>
      <c r="E44" s="121"/>
      <c r="F44" s="121"/>
      <c r="G44" s="122"/>
      <c r="H44" s="120"/>
      <c r="I44" s="121"/>
      <c r="J44" s="121"/>
      <c r="K44" s="122"/>
      <c r="L44" s="110" t="s">
        <v>132</v>
      </c>
      <c r="M44" s="111"/>
      <c r="N44" s="111"/>
      <c r="O44" s="116"/>
      <c r="P44" s="110" t="s">
        <v>93</v>
      </c>
      <c r="Q44" s="111"/>
      <c r="R44" s="111"/>
      <c r="S44" s="111"/>
      <c r="T44" s="111"/>
      <c r="U44" s="111"/>
      <c r="V44" s="111"/>
      <c r="W44" s="116"/>
      <c r="X44" s="110" t="s">
        <v>74</v>
      </c>
      <c r="Y44" s="111"/>
      <c r="Z44" s="111"/>
      <c r="AA44" s="111"/>
      <c r="AB44" s="111"/>
      <c r="AC44" s="111"/>
      <c r="AD44" s="111"/>
      <c r="AE44" s="116"/>
      <c r="AF44" s="110"/>
      <c r="AG44" s="111"/>
      <c r="AH44" s="111"/>
      <c r="AI44" s="111"/>
      <c r="AJ44" s="111"/>
      <c r="AK44" s="111"/>
      <c r="AL44" s="111"/>
      <c r="AM44" s="111"/>
      <c r="AN44" s="112"/>
      <c r="AO44" s="107">
        <v>45664</v>
      </c>
      <c r="AP44" s="108"/>
      <c r="AQ44" s="106" t="s">
        <v>143</v>
      </c>
      <c r="AR44" s="102"/>
      <c r="AS44" s="106" t="s">
        <v>144</v>
      </c>
      <c r="AT44" s="109"/>
      <c r="AU44" s="107"/>
      <c r="AV44" s="108"/>
      <c r="AW44" s="106"/>
      <c r="AX44" s="102"/>
      <c r="AY44" s="106"/>
      <c r="AZ44" s="109"/>
      <c r="BA44" s="148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50"/>
      <c r="BM44" s="16"/>
      <c r="BN44" s="16"/>
    </row>
    <row r="45" spans="1:66" ht="20.100000000000001" customHeight="1" x14ac:dyDescent="0.45">
      <c r="A45" s="10"/>
      <c r="B45" s="10"/>
      <c r="C45" s="30">
        <f t="shared" si="0"/>
        <v>36</v>
      </c>
      <c r="D45" s="120"/>
      <c r="E45" s="121"/>
      <c r="F45" s="121"/>
      <c r="G45" s="122"/>
      <c r="H45" s="154" t="s">
        <v>98</v>
      </c>
      <c r="I45" s="155"/>
      <c r="J45" s="155"/>
      <c r="K45" s="156"/>
      <c r="L45" s="110" t="s">
        <v>99</v>
      </c>
      <c r="M45" s="111"/>
      <c r="N45" s="111"/>
      <c r="O45" s="116"/>
      <c r="P45" s="110" t="s">
        <v>133</v>
      </c>
      <c r="Q45" s="111"/>
      <c r="R45" s="111"/>
      <c r="S45" s="111"/>
      <c r="T45" s="111"/>
      <c r="U45" s="111"/>
      <c r="V45" s="111"/>
      <c r="W45" s="116"/>
      <c r="X45" s="110" t="s">
        <v>100</v>
      </c>
      <c r="Y45" s="111"/>
      <c r="Z45" s="111"/>
      <c r="AA45" s="111"/>
      <c r="AB45" s="111"/>
      <c r="AC45" s="111"/>
      <c r="AD45" s="111"/>
      <c r="AE45" s="116"/>
      <c r="AF45" s="110"/>
      <c r="AG45" s="111"/>
      <c r="AH45" s="111"/>
      <c r="AI45" s="111"/>
      <c r="AJ45" s="111"/>
      <c r="AK45" s="111"/>
      <c r="AL45" s="111"/>
      <c r="AM45" s="111"/>
      <c r="AN45" s="112"/>
      <c r="AO45" s="107">
        <v>45664</v>
      </c>
      <c r="AP45" s="108"/>
      <c r="AQ45" s="106" t="s">
        <v>143</v>
      </c>
      <c r="AR45" s="102"/>
      <c r="AS45" s="106" t="s">
        <v>144</v>
      </c>
      <c r="AT45" s="109"/>
      <c r="AU45" s="107"/>
      <c r="AV45" s="108"/>
      <c r="AW45" s="106"/>
      <c r="AX45" s="102"/>
      <c r="AY45" s="106"/>
      <c r="AZ45" s="109"/>
      <c r="BA45" s="148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50"/>
      <c r="BM45" s="16"/>
      <c r="BN45" s="16"/>
    </row>
    <row r="46" spans="1:66" ht="20.100000000000001" customHeight="1" thickBot="1" x14ac:dyDescent="0.5">
      <c r="A46" s="10"/>
      <c r="B46" s="10"/>
      <c r="C46" s="30">
        <f t="shared" si="0"/>
        <v>37</v>
      </c>
      <c r="D46" s="120"/>
      <c r="E46" s="121"/>
      <c r="F46" s="121"/>
      <c r="G46" s="122"/>
      <c r="H46" s="157"/>
      <c r="I46" s="158"/>
      <c r="J46" s="158"/>
      <c r="K46" s="159"/>
      <c r="L46" s="110" t="s">
        <v>101</v>
      </c>
      <c r="M46" s="111"/>
      <c r="N46" s="111"/>
      <c r="O46" s="116"/>
      <c r="P46" s="110" t="s">
        <v>134</v>
      </c>
      <c r="Q46" s="111"/>
      <c r="R46" s="111"/>
      <c r="S46" s="111"/>
      <c r="T46" s="111"/>
      <c r="U46" s="111"/>
      <c r="V46" s="111"/>
      <c r="W46" s="116"/>
      <c r="X46" s="110" t="s">
        <v>100</v>
      </c>
      <c r="Y46" s="111"/>
      <c r="Z46" s="111"/>
      <c r="AA46" s="111"/>
      <c r="AB46" s="111"/>
      <c r="AC46" s="111"/>
      <c r="AD46" s="111"/>
      <c r="AE46" s="116"/>
      <c r="AF46" s="110"/>
      <c r="AG46" s="111"/>
      <c r="AH46" s="111"/>
      <c r="AI46" s="111"/>
      <c r="AJ46" s="111"/>
      <c r="AK46" s="111"/>
      <c r="AL46" s="111"/>
      <c r="AM46" s="111"/>
      <c r="AN46" s="112"/>
      <c r="AO46" s="107">
        <v>45664</v>
      </c>
      <c r="AP46" s="108"/>
      <c r="AQ46" s="106" t="s">
        <v>143</v>
      </c>
      <c r="AR46" s="102"/>
      <c r="AS46" s="106" t="s">
        <v>144</v>
      </c>
      <c r="AT46" s="109"/>
      <c r="AU46" s="107"/>
      <c r="AV46" s="108"/>
      <c r="AW46" s="106"/>
      <c r="AX46" s="102"/>
      <c r="AY46" s="106"/>
      <c r="AZ46" s="109"/>
      <c r="BA46" s="148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50"/>
      <c r="BM46" s="16"/>
      <c r="BN46" s="16"/>
    </row>
    <row r="47" spans="1:66" ht="20.100000000000001" customHeight="1" thickTop="1" thickBot="1" x14ac:dyDescent="0.5">
      <c r="A47" s="10"/>
      <c r="B47" s="8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8"/>
      <c r="BN47" s="16"/>
    </row>
    <row r="48" spans="1:66" ht="5.0999999999999996" customHeight="1" thickTop="1" x14ac:dyDescent="0.4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</row>
    <row r="49" spans="4:61" ht="20.100000000000001" customHeight="1" x14ac:dyDescent="0.45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</sheetData>
  <mergeCells count="402">
    <mergeCell ref="AS40:AT4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29:AP29"/>
    <mergeCell ref="AQ29:AR29"/>
    <mergeCell ref="AS29:AT29"/>
    <mergeCell ref="AO30:AP30"/>
    <mergeCell ref="AQ30:AR30"/>
    <mergeCell ref="AS30:AT30"/>
    <mergeCell ref="AO38:AP38"/>
    <mergeCell ref="AQ38:AR38"/>
    <mergeCell ref="AS38:AT38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2:BA2"/>
    <mergeCell ref="BB2:BE2"/>
    <mergeCell ref="BF2:BI2"/>
    <mergeCell ref="BJ2:BM2"/>
    <mergeCell ref="AU8:AZ8"/>
    <mergeCell ref="BG8:BH8"/>
    <mergeCell ref="BI8:BJ8"/>
    <mergeCell ref="BK8:BL8"/>
    <mergeCell ref="AX3:BA4"/>
    <mergeCell ref="BB3:BE4"/>
    <mergeCell ref="BF3:BI4"/>
    <mergeCell ref="BJ3:BM4"/>
    <mergeCell ref="BE7:BF8"/>
    <mergeCell ref="BG7:BH7"/>
    <mergeCell ref="BI7:BJ7"/>
    <mergeCell ref="BK7:BL7"/>
    <mergeCell ref="AO9:AP9"/>
    <mergeCell ref="AQ9:AR9"/>
    <mergeCell ref="AS9:AT9"/>
    <mergeCell ref="AU9:AV9"/>
    <mergeCell ref="AW9:AX9"/>
    <mergeCell ref="AY9:AZ9"/>
    <mergeCell ref="BA9:BL9"/>
    <mergeCell ref="AO8:AT8"/>
    <mergeCell ref="AY10:AZ10"/>
    <mergeCell ref="BA10:BL10"/>
    <mergeCell ref="AU10:AV10"/>
    <mergeCell ref="AW10:AX10"/>
    <mergeCell ref="D11:G11"/>
    <mergeCell ref="H11:K11"/>
    <mergeCell ref="P11:W11"/>
    <mergeCell ref="X11:AE11"/>
    <mergeCell ref="AF11:AN11"/>
    <mergeCell ref="BA11:BL11"/>
    <mergeCell ref="D12:G12"/>
    <mergeCell ref="H12:K12"/>
    <mergeCell ref="D10:G10"/>
    <mergeCell ref="H10:K10"/>
    <mergeCell ref="L10:O13"/>
    <mergeCell ref="P10:W10"/>
    <mergeCell ref="X10:AE10"/>
    <mergeCell ref="AF10:AN10"/>
    <mergeCell ref="AO10:AP10"/>
    <mergeCell ref="AQ10:AR10"/>
    <mergeCell ref="AS10:AT10"/>
    <mergeCell ref="AQ13:AR13"/>
    <mergeCell ref="AS13:AT13"/>
    <mergeCell ref="P12:W12"/>
    <mergeCell ref="AO11:AP11"/>
    <mergeCell ref="X12:AE12"/>
    <mergeCell ref="AQ11:AR11"/>
    <mergeCell ref="AS11:AT11"/>
    <mergeCell ref="AU11:AV11"/>
    <mergeCell ref="AW11:AX11"/>
    <mergeCell ref="AY11:AZ11"/>
    <mergeCell ref="AW12:AX12"/>
    <mergeCell ref="AY12:AZ12"/>
    <mergeCell ref="AF14:AN14"/>
    <mergeCell ref="AO14:AP14"/>
    <mergeCell ref="AQ14:AR14"/>
    <mergeCell ref="AW13:AX13"/>
    <mergeCell ref="AY13:AZ13"/>
    <mergeCell ref="AF12:AN12"/>
    <mergeCell ref="AO12:AP12"/>
    <mergeCell ref="AQ12:AR12"/>
    <mergeCell ref="BA13:BL13"/>
    <mergeCell ref="AS12:AT12"/>
    <mergeCell ref="AU12:AV12"/>
    <mergeCell ref="D14:G14"/>
    <mergeCell ref="H14:K14"/>
    <mergeCell ref="L14:O14"/>
    <mergeCell ref="P14:W14"/>
    <mergeCell ref="X14:AE14"/>
    <mergeCell ref="AY14:AZ14"/>
    <mergeCell ref="BA14:BL14"/>
    <mergeCell ref="AS14:AT14"/>
    <mergeCell ref="AU14:AV14"/>
    <mergeCell ref="AW14:AX14"/>
    <mergeCell ref="D13:G13"/>
    <mergeCell ref="H13:K13"/>
    <mergeCell ref="P13:W13"/>
    <mergeCell ref="X13:AE13"/>
    <mergeCell ref="AF13:AN13"/>
    <mergeCell ref="AO13:AP13"/>
    <mergeCell ref="AU13:AV13"/>
    <mergeCell ref="BA12:BL12"/>
    <mergeCell ref="AO17:AP17"/>
    <mergeCell ref="AQ17:AR17"/>
    <mergeCell ref="AF16:AN16"/>
    <mergeCell ref="AO16:AP16"/>
    <mergeCell ref="AQ16:AR16"/>
    <mergeCell ref="AY15:AZ15"/>
    <mergeCell ref="D15:G15"/>
    <mergeCell ref="H15:K15"/>
    <mergeCell ref="L15:O15"/>
    <mergeCell ref="P15:W15"/>
    <mergeCell ref="X15:AE15"/>
    <mergeCell ref="AF15:AN15"/>
    <mergeCell ref="AO15:AP15"/>
    <mergeCell ref="AQ15:AR15"/>
    <mergeCell ref="BA15:BL15"/>
    <mergeCell ref="D16:G16"/>
    <mergeCell ref="H16:K16"/>
    <mergeCell ref="L16:O16"/>
    <mergeCell ref="P16:W16"/>
    <mergeCell ref="X16:AE16"/>
    <mergeCell ref="AY16:AZ16"/>
    <mergeCell ref="BA16:BL16"/>
    <mergeCell ref="AS16:AT16"/>
    <mergeCell ref="AU16:AV16"/>
    <mergeCell ref="AW16:AX16"/>
    <mergeCell ref="AS15:AT15"/>
    <mergeCell ref="AU15:AV15"/>
    <mergeCell ref="AW15:AX15"/>
    <mergeCell ref="AF18:AN18"/>
    <mergeCell ref="AO18:AP18"/>
    <mergeCell ref="AQ18:AR18"/>
    <mergeCell ref="AS17:AT17"/>
    <mergeCell ref="AU17:AV17"/>
    <mergeCell ref="AW17:AX17"/>
    <mergeCell ref="AY17:AZ17"/>
    <mergeCell ref="BA17:BL17"/>
    <mergeCell ref="D18:G18"/>
    <mergeCell ref="H18:K18"/>
    <mergeCell ref="L18:O18"/>
    <mergeCell ref="P18:W18"/>
    <mergeCell ref="X18:AE18"/>
    <mergeCell ref="AY18:AZ18"/>
    <mergeCell ref="BA18:BL18"/>
    <mergeCell ref="AS18:AT18"/>
    <mergeCell ref="AU18:AV18"/>
    <mergeCell ref="AW18:AX18"/>
    <mergeCell ref="D17:G17"/>
    <mergeCell ref="H17:K17"/>
    <mergeCell ref="L17:O17"/>
    <mergeCell ref="P17:W17"/>
    <mergeCell ref="X17:AE17"/>
    <mergeCell ref="AF17:AN17"/>
    <mergeCell ref="AS19:AT19"/>
    <mergeCell ref="AU19:AV19"/>
    <mergeCell ref="AW19:AX19"/>
    <mergeCell ref="AY19:AZ19"/>
    <mergeCell ref="BA19:BL19"/>
    <mergeCell ref="D20:G20"/>
    <mergeCell ref="L20:O20"/>
    <mergeCell ref="P20:W20"/>
    <mergeCell ref="X20:AE20"/>
    <mergeCell ref="AF20:AN20"/>
    <mergeCell ref="BA20:BL20"/>
    <mergeCell ref="AU20:AV20"/>
    <mergeCell ref="AW20:AX20"/>
    <mergeCell ref="AY20:AZ20"/>
    <mergeCell ref="D19:G19"/>
    <mergeCell ref="H19:K19"/>
    <mergeCell ref="L19:O19"/>
    <mergeCell ref="P19:W19"/>
    <mergeCell ref="X19:AE19"/>
    <mergeCell ref="AF19:AN19"/>
    <mergeCell ref="AO19:AP19"/>
    <mergeCell ref="AQ19:AR19"/>
    <mergeCell ref="L21:O21"/>
    <mergeCell ref="P21:W21"/>
    <mergeCell ref="X21:AE21"/>
    <mergeCell ref="L22:O22"/>
    <mergeCell ref="P22:W22"/>
    <mergeCell ref="X22:AE22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L25:O25"/>
    <mergeCell ref="P25:W25"/>
    <mergeCell ref="X25:AE25"/>
    <mergeCell ref="L26:O26"/>
    <mergeCell ref="P26:W26"/>
    <mergeCell ref="X26:AE26"/>
    <mergeCell ref="L23:O23"/>
    <mergeCell ref="P23:W23"/>
    <mergeCell ref="X23:AE23"/>
    <mergeCell ref="L24:O24"/>
    <mergeCell ref="P24:W24"/>
    <mergeCell ref="X24:AE24"/>
    <mergeCell ref="L29:O29"/>
    <mergeCell ref="P29:W29"/>
    <mergeCell ref="X29:AE29"/>
    <mergeCell ref="H30:K30"/>
    <mergeCell ref="L30:O30"/>
    <mergeCell ref="P30:W30"/>
    <mergeCell ref="X30:AE30"/>
    <mergeCell ref="L27:O27"/>
    <mergeCell ref="P27:W27"/>
    <mergeCell ref="X27:AE27"/>
    <mergeCell ref="L28:O28"/>
    <mergeCell ref="P28:W28"/>
    <mergeCell ref="X28:AE28"/>
    <mergeCell ref="BA31:BL31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S32:AT32"/>
    <mergeCell ref="AO31:AP31"/>
    <mergeCell ref="AQ31:AR31"/>
    <mergeCell ref="AS31:AT31"/>
    <mergeCell ref="AU31:AV31"/>
    <mergeCell ref="AW31:AX31"/>
    <mergeCell ref="AY31:AZ31"/>
    <mergeCell ref="D31:G31"/>
    <mergeCell ref="H31:K31"/>
    <mergeCell ref="L31:O31"/>
    <mergeCell ref="P31:W31"/>
    <mergeCell ref="X31:AE31"/>
    <mergeCell ref="AF31:AN31"/>
    <mergeCell ref="AU32:AV32"/>
    <mergeCell ref="AW32:AX32"/>
    <mergeCell ref="AQ34:AR34"/>
    <mergeCell ref="AS34:AT34"/>
    <mergeCell ref="AY32:AZ32"/>
    <mergeCell ref="BA32:BL32"/>
    <mergeCell ref="D33:G33"/>
    <mergeCell ref="H33:K33"/>
    <mergeCell ref="L33:O33"/>
    <mergeCell ref="P33:W33"/>
    <mergeCell ref="X33:AE33"/>
    <mergeCell ref="AF33:AN33"/>
    <mergeCell ref="BA33:BL33"/>
    <mergeCell ref="AO33:AP33"/>
    <mergeCell ref="AQ33:AR33"/>
    <mergeCell ref="AS33:AT33"/>
    <mergeCell ref="AU33:AV33"/>
    <mergeCell ref="AW33:AX33"/>
    <mergeCell ref="AY33:AZ33"/>
    <mergeCell ref="AU34:AV34"/>
    <mergeCell ref="AW34:AX34"/>
    <mergeCell ref="AY34:AZ34"/>
    <mergeCell ref="BA34:BL34"/>
    <mergeCell ref="D34:G34"/>
    <mergeCell ref="H34:K34"/>
    <mergeCell ref="L34:O34"/>
    <mergeCell ref="H35:K35"/>
    <mergeCell ref="L35:O35"/>
    <mergeCell ref="P35:W35"/>
    <mergeCell ref="X35:AE35"/>
    <mergeCell ref="AF35:AN35"/>
    <mergeCell ref="BA35:BL35"/>
    <mergeCell ref="AO35:AP35"/>
    <mergeCell ref="AQ35:AR35"/>
    <mergeCell ref="AS35:AT35"/>
    <mergeCell ref="AU35:AV35"/>
    <mergeCell ref="AW35:AX35"/>
    <mergeCell ref="AY35:AZ35"/>
    <mergeCell ref="P34:W34"/>
    <mergeCell ref="X34:AE34"/>
    <mergeCell ref="AF34:AN34"/>
    <mergeCell ref="AO34:AP34"/>
    <mergeCell ref="AU36:AV36"/>
    <mergeCell ref="AW36:AX36"/>
    <mergeCell ref="AY36:AZ36"/>
    <mergeCell ref="BA36:BL36"/>
    <mergeCell ref="D37:G37"/>
    <mergeCell ref="H37:K37"/>
    <mergeCell ref="L37:O37"/>
    <mergeCell ref="P37:W37"/>
    <mergeCell ref="X37:AE37"/>
    <mergeCell ref="AF37:AN37"/>
    <mergeCell ref="D36:G36"/>
    <mergeCell ref="H36:K36"/>
    <mergeCell ref="L36:O36"/>
    <mergeCell ref="P36:W36"/>
    <mergeCell ref="X36:AE36"/>
    <mergeCell ref="AF36:AN36"/>
    <mergeCell ref="AO36:AP36"/>
    <mergeCell ref="AQ36:AR36"/>
    <mergeCell ref="AS36:AT36"/>
    <mergeCell ref="D35:G35"/>
    <mergeCell ref="L40:O40"/>
    <mergeCell ref="P40:W40"/>
    <mergeCell ref="X40:AE40"/>
    <mergeCell ref="L41:O41"/>
    <mergeCell ref="P41:W41"/>
    <mergeCell ref="X41:AE41"/>
    <mergeCell ref="BA37:BL37"/>
    <mergeCell ref="L38:O38"/>
    <mergeCell ref="P38:W38"/>
    <mergeCell ref="X38:AE38"/>
    <mergeCell ref="L39:O39"/>
    <mergeCell ref="P39:W39"/>
    <mergeCell ref="X39:AE39"/>
    <mergeCell ref="AO37:AP37"/>
    <mergeCell ref="AQ37:AR37"/>
    <mergeCell ref="AS37:AT37"/>
    <mergeCell ref="AU37:AV37"/>
    <mergeCell ref="AW37:AX37"/>
    <mergeCell ref="AY37:AZ37"/>
    <mergeCell ref="AO39:AP39"/>
    <mergeCell ref="AQ39:AR39"/>
    <mergeCell ref="AS39:AT39"/>
    <mergeCell ref="AO40:AP40"/>
    <mergeCell ref="AQ40:AR40"/>
    <mergeCell ref="L44:O44"/>
    <mergeCell ref="P44:W44"/>
    <mergeCell ref="X44:AE44"/>
    <mergeCell ref="AF44:AN44"/>
    <mergeCell ref="L42:O42"/>
    <mergeCell ref="P42:W42"/>
    <mergeCell ref="X42:AE42"/>
    <mergeCell ref="L43:O43"/>
    <mergeCell ref="P43:W43"/>
    <mergeCell ref="X43:AE43"/>
    <mergeCell ref="D46:G46"/>
    <mergeCell ref="H46:K46"/>
    <mergeCell ref="L46:O46"/>
    <mergeCell ref="P46:W46"/>
    <mergeCell ref="X46:AE46"/>
    <mergeCell ref="AF46:AN46"/>
    <mergeCell ref="BA44:BL44"/>
    <mergeCell ref="D45:G45"/>
    <mergeCell ref="H45:K45"/>
    <mergeCell ref="L45:O45"/>
    <mergeCell ref="P45:W45"/>
    <mergeCell ref="X45:AE45"/>
    <mergeCell ref="AF45:AN45"/>
    <mergeCell ref="AO45:AP45"/>
    <mergeCell ref="AQ45:AR45"/>
    <mergeCell ref="AS45:AT45"/>
    <mergeCell ref="AO44:AP44"/>
    <mergeCell ref="AQ44:AR44"/>
    <mergeCell ref="AS44:AT44"/>
    <mergeCell ref="AU44:AV44"/>
    <mergeCell ref="AW44:AX44"/>
    <mergeCell ref="AY44:AZ44"/>
    <mergeCell ref="D44:G44"/>
    <mergeCell ref="H44:K44"/>
    <mergeCell ref="BA46:BL46"/>
    <mergeCell ref="AO46:AP46"/>
    <mergeCell ref="AQ46:AR46"/>
    <mergeCell ref="AS46:AT46"/>
    <mergeCell ref="AU46:AV46"/>
    <mergeCell ref="AW46:AX46"/>
    <mergeCell ref="AY46:AZ46"/>
    <mergeCell ref="AU45:AV45"/>
    <mergeCell ref="AW45:AX45"/>
    <mergeCell ref="AY45:AZ45"/>
    <mergeCell ref="BA45:BL45"/>
  </mergeCells>
  <phoneticPr fontId="2"/>
  <conditionalFormatting sqref="AY10:AY45">
    <cfRule type="cellIs" dxfId="75" priority="75" operator="equal">
      <formula>"OK"</formula>
    </cfRule>
    <cfRule type="cellIs" dxfId="74" priority="76" operator="equal">
      <formula>"NG"</formula>
    </cfRule>
  </conditionalFormatting>
  <conditionalFormatting sqref="AY46">
    <cfRule type="cellIs" dxfId="73" priority="73" operator="equal">
      <formula>"OK"</formula>
    </cfRule>
    <cfRule type="cellIs" dxfId="72" priority="74" operator="equal">
      <formula>"NG"</formula>
    </cfRule>
  </conditionalFormatting>
  <conditionalFormatting sqref="AS10">
    <cfRule type="cellIs" dxfId="71" priority="71" operator="equal">
      <formula>"OK"</formula>
    </cfRule>
    <cfRule type="cellIs" dxfId="70" priority="72" operator="equal">
      <formula>"NG"</formula>
    </cfRule>
  </conditionalFormatting>
  <conditionalFormatting sqref="AS12">
    <cfRule type="cellIs" dxfId="69" priority="69" operator="equal">
      <formula>"OK"</formula>
    </cfRule>
    <cfRule type="cellIs" dxfId="68" priority="70" operator="equal">
      <formula>"NG"</formula>
    </cfRule>
  </conditionalFormatting>
  <conditionalFormatting sqref="AS13:AS14">
    <cfRule type="cellIs" dxfId="67" priority="67" operator="equal">
      <formula>"OK"</formula>
    </cfRule>
    <cfRule type="cellIs" dxfId="66" priority="68" operator="equal">
      <formula>"NG"</formula>
    </cfRule>
  </conditionalFormatting>
  <conditionalFormatting sqref="AS11">
    <cfRule type="cellIs" dxfId="65" priority="65" operator="equal">
      <formula>"OK"</formula>
    </cfRule>
    <cfRule type="cellIs" dxfId="64" priority="66" operator="equal">
      <formula>"NG"</formula>
    </cfRule>
  </conditionalFormatting>
  <conditionalFormatting sqref="AS15">
    <cfRule type="cellIs" dxfId="63" priority="63" operator="equal">
      <formula>"OK"</formula>
    </cfRule>
    <cfRule type="cellIs" dxfId="62" priority="64" operator="equal">
      <formula>"NG"</formula>
    </cfRule>
  </conditionalFormatting>
  <conditionalFormatting sqref="AS16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S17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S18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S19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20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21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22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23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4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5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6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7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8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9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30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31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32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3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34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35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6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7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8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9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40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41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42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43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44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4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4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6 AS10:AS4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画面</vt:lpstr>
      <vt:lpstr>帳票</vt:lpstr>
      <vt:lpstr>プレビュー</vt:lpstr>
      <vt:lpstr>参照</vt:lpstr>
      <vt:lpstr>プレビュー!Print_Area</vt:lpstr>
      <vt:lpstr>画面!Print_Area</vt:lpstr>
      <vt:lpstr>帳票!Print_Area</vt:lpstr>
      <vt:lpstr>変更履歴!Print_Area</vt:lpstr>
      <vt:lpstr>プレビュー!Print_Titles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2025-02-27T03:27:18Z</dcterms:modified>
</cp:coreProperties>
</file>