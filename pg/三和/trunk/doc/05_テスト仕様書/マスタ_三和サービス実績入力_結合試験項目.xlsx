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新規更新共通" sheetId="22" r:id="rId2"/>
    <sheet name="新規登録画面" sheetId="20" r:id="rId3"/>
    <sheet name="更新画面" sheetId="21" r:id="rId4"/>
    <sheet name="参照" sheetId="12" state="hidden" r:id="rId5"/>
  </sheets>
  <definedNames>
    <definedName name="_xlnm.Print_Area" localSheetId="3">更新画面!$A$1:$BN$94</definedName>
    <definedName name="_xlnm.Print_Area" localSheetId="1">新規更新共通!$A$1:$BN$53</definedName>
    <definedName name="_xlnm.Print_Area" localSheetId="2">新規登録画面!$A$1:$BN$93</definedName>
    <definedName name="_xlnm.Print_Area" localSheetId="0">変更履歴!$A$1:$BN$49</definedName>
    <definedName name="_xlnm.Print_Titles" localSheetId="3">更新画面!$1:$5</definedName>
    <definedName name="_xlnm.Print_Titles" localSheetId="1">新規更新共通!$1:$5</definedName>
    <definedName name="_xlnm.Print_Titles" localSheetId="2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2" l="1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52" i="21"/>
  <c r="C53" i="21"/>
  <c r="C54" i="21"/>
  <c r="C55" i="21"/>
  <c r="C56" i="21"/>
  <c r="C57" i="21"/>
  <c r="C58" i="21"/>
  <c r="C59" i="21"/>
  <c r="C60" i="21"/>
  <c r="C61" i="21"/>
  <c r="C62" i="21"/>
  <c r="C41" i="21"/>
  <c r="C42" i="21"/>
  <c r="C43" i="21"/>
  <c r="C44" i="21"/>
  <c r="C45" i="21"/>
  <c r="C46" i="21"/>
  <c r="C84" i="20"/>
  <c r="C85" i="20"/>
  <c r="C86" i="20"/>
  <c r="C87" i="20"/>
  <c r="C88" i="20"/>
  <c r="C89" i="20"/>
  <c r="C43" i="20"/>
  <c r="C44" i="20"/>
  <c r="C45" i="20"/>
  <c r="C46" i="20"/>
  <c r="C47" i="20"/>
  <c r="C48" i="20"/>
  <c r="C49" i="20"/>
  <c r="C15" i="22" l="1"/>
  <c r="L3" i="20" l="1"/>
  <c r="L3" i="22"/>
  <c r="C11" i="22" l="1"/>
  <c r="C12" i="22"/>
  <c r="C13" i="22"/>
  <c r="C14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47" i="22"/>
  <c r="C48" i="22"/>
  <c r="C49" i="22"/>
  <c r="C50" i="22"/>
  <c r="C51" i="22"/>
  <c r="C10" i="22"/>
  <c r="BI8" i="22"/>
  <c r="BJ3" i="22"/>
  <c r="BF3" i="22"/>
  <c r="BB3" i="22"/>
  <c r="AX3" i="22"/>
  <c r="B3" i="22"/>
  <c r="BG8" i="22" l="1"/>
  <c r="BK8" i="22" s="1"/>
  <c r="C11" i="20" l="1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90" i="20"/>
  <c r="C91" i="20"/>
  <c r="L3" i="21"/>
  <c r="C92" i="21" l="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51" i="21"/>
  <c r="C50" i="21"/>
  <c r="C49" i="21"/>
  <c r="C48" i="21"/>
  <c r="C47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X3" i="1" l="1"/>
  <c r="X3" i="22" s="1"/>
  <c r="X3" i="20" l="1"/>
  <c r="X3" i="21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</calcChain>
</file>

<file path=xl/sharedStrings.xml><?xml version="1.0" encoding="utf-8"?>
<sst xmlns="http://schemas.openxmlformats.org/spreadsheetml/2006/main" count="1696" uniqueCount="114">
  <si>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</si>
  <si>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</si>
  <si>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</si>
  <si>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</si>
  <si>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</si>
  <si>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</si>
  <si>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</si>
  <si>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</si>
  <si>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</si>
  <si>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</si>
  <si>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</si>
  <si>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</si>
  <si>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</si>
  <si>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</si>
  <si>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</si>
  <si>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</si>
  <si>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</si>
  <si>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</si>
  <si>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</si>
  <si>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</si>
  <si>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</si>
  <si>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</si>
  <si>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</si>
  <si>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</si>
  <si>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</si>
  <si>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</si>
  <si>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</si>
  <si>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</si>
  <si>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</si>
  <si>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</si>
  <si>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</si>
  <si>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</si>
  <si>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</si>
  <si>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</si>
  <si>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</si>
  <si>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</si>
  <si>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</si>
  <si>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</si>
  <si>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</si>
  <si>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</si>
  <si>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</si>
  <si>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</si>
  <si>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</si>
  <si>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</si>
  <si>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</si>
  <si>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</si>
  <si>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</si>
  <si>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</si>
  <si>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</si>
  <si>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</si>
  <si>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</si>
  <si>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</si>
  <si>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</si>
  <si>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</si>
  <si>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</si>
  <si>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</si>
  <si>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</si>
  <si>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</si>
  <si>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</si>
  <si>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更新画面</t>
    <phoneticPr fontId="2"/>
  </si>
  <si>
    <t>実績日付</t>
    <rPh sb="0" eb="2">
      <t>ジッセキ</t>
    </rPh>
    <rPh sb="2" eb="4">
      <t>ヒヅケ</t>
    </rPh>
    <phoneticPr fontId="2"/>
  </si>
  <si>
    <t>【自車】売上税抜金額_三和商研</t>
    <rPh sb="1" eb="3">
      <t>ジシャ</t>
    </rPh>
    <rPh sb="4" eb="6">
      <t>ウリアゲ</t>
    </rPh>
    <rPh sb="6" eb="8">
      <t>ゼイヌキ</t>
    </rPh>
    <rPh sb="8" eb="10">
      <t>キンガク</t>
    </rPh>
    <rPh sb="11" eb="13">
      <t>サンワ</t>
    </rPh>
    <rPh sb="13" eb="15">
      <t>ショウケン</t>
    </rPh>
    <phoneticPr fontId="2"/>
  </si>
  <si>
    <t>【自車】売上税抜金額_店装技研</t>
    <rPh sb="1" eb="3">
      <t>ジシャ</t>
    </rPh>
    <rPh sb="4" eb="6">
      <t>ウリアゲ</t>
    </rPh>
    <rPh sb="6" eb="8">
      <t>ゼイヌキ</t>
    </rPh>
    <rPh sb="8" eb="10">
      <t>キンガク</t>
    </rPh>
    <rPh sb="11" eb="13">
      <t>テンソウ</t>
    </rPh>
    <rPh sb="13" eb="15">
      <t>ギケン</t>
    </rPh>
    <phoneticPr fontId="2"/>
  </si>
  <si>
    <t>【自車】売上税抜金額_サンワP</t>
    <rPh sb="1" eb="3">
      <t>ジシャ</t>
    </rPh>
    <rPh sb="4" eb="6">
      <t>ウリアゲ</t>
    </rPh>
    <rPh sb="6" eb="8">
      <t>ゼイヌキ</t>
    </rPh>
    <rPh sb="8" eb="10">
      <t>キンガク</t>
    </rPh>
    <phoneticPr fontId="2"/>
  </si>
  <si>
    <t>【自車】売上税抜金額_日本運輸荷造</t>
    <rPh sb="1" eb="3">
      <t>ジシャ</t>
    </rPh>
    <rPh sb="4" eb="6">
      <t>ウリアゲ</t>
    </rPh>
    <rPh sb="6" eb="8">
      <t>ゼイヌキ</t>
    </rPh>
    <rPh sb="8" eb="10">
      <t>キンガク</t>
    </rPh>
    <rPh sb="11" eb="13">
      <t>ニホン</t>
    </rPh>
    <rPh sb="13" eb="15">
      <t>ウンユ</t>
    </rPh>
    <rPh sb="15" eb="17">
      <t>ニヅクリ</t>
    </rPh>
    <phoneticPr fontId="2"/>
  </si>
  <si>
    <t>【自車】売上税抜金額_トランコム</t>
    <rPh sb="1" eb="3">
      <t>ジシャ</t>
    </rPh>
    <rPh sb="4" eb="6">
      <t>ウリアゲ</t>
    </rPh>
    <rPh sb="6" eb="8">
      <t>ゼイヌキ</t>
    </rPh>
    <rPh sb="8" eb="10">
      <t>キンガク</t>
    </rPh>
    <phoneticPr fontId="2"/>
  </si>
  <si>
    <t>【自車】売上税抜金額_その他</t>
    <rPh sb="1" eb="3">
      <t>ジシャ</t>
    </rPh>
    <rPh sb="4" eb="6">
      <t>ウリアゲ</t>
    </rPh>
    <rPh sb="6" eb="8">
      <t>ゼイヌキ</t>
    </rPh>
    <rPh sb="8" eb="10">
      <t>キンガク</t>
    </rPh>
    <rPh sb="13" eb="14">
      <t>タ</t>
    </rPh>
    <phoneticPr fontId="2"/>
  </si>
  <si>
    <t>【自車】売上税抜金額_事故</t>
    <rPh sb="1" eb="3">
      <t>ジシャ</t>
    </rPh>
    <rPh sb="4" eb="6">
      <t>ウリアゲ</t>
    </rPh>
    <rPh sb="6" eb="8">
      <t>ゼイヌキ</t>
    </rPh>
    <rPh sb="8" eb="10">
      <t>キンガク</t>
    </rPh>
    <rPh sb="11" eb="13">
      <t>ジコ</t>
    </rPh>
    <phoneticPr fontId="2"/>
  </si>
  <si>
    <t>【自車】原価税抜金額_三和商研</t>
    <rPh sb="1" eb="3">
      <t>ジシャ</t>
    </rPh>
    <rPh sb="4" eb="6">
      <t>ゲンカ</t>
    </rPh>
    <rPh sb="6" eb="8">
      <t>ゼイヌキ</t>
    </rPh>
    <rPh sb="8" eb="10">
      <t>キンガク</t>
    </rPh>
    <rPh sb="11" eb="13">
      <t>サンワ</t>
    </rPh>
    <rPh sb="13" eb="15">
      <t>ショウケン</t>
    </rPh>
    <phoneticPr fontId="2"/>
  </si>
  <si>
    <t>【自車】原価税抜金額_店装技研</t>
    <rPh sb="1" eb="3">
      <t>ジシャ</t>
    </rPh>
    <rPh sb="6" eb="8">
      <t>ゼイヌキ</t>
    </rPh>
    <rPh sb="8" eb="10">
      <t>キンガク</t>
    </rPh>
    <rPh sb="11" eb="13">
      <t>テンソウ</t>
    </rPh>
    <rPh sb="13" eb="15">
      <t>ギケン</t>
    </rPh>
    <phoneticPr fontId="2"/>
  </si>
  <si>
    <t>【自車】原価税抜金額_サンワP</t>
    <rPh sb="1" eb="3">
      <t>ジシャ</t>
    </rPh>
    <rPh sb="6" eb="8">
      <t>ゼイヌキ</t>
    </rPh>
    <rPh sb="8" eb="10">
      <t>キンガク</t>
    </rPh>
    <phoneticPr fontId="2"/>
  </si>
  <si>
    <t>【自車】原価税抜金額_日本運輸荷造</t>
    <rPh sb="1" eb="3">
      <t>ジシャ</t>
    </rPh>
    <rPh sb="6" eb="8">
      <t>ゼイヌキ</t>
    </rPh>
    <rPh sb="8" eb="10">
      <t>キンガク</t>
    </rPh>
    <rPh sb="11" eb="13">
      <t>ニホン</t>
    </rPh>
    <rPh sb="13" eb="15">
      <t>ウンユ</t>
    </rPh>
    <rPh sb="15" eb="17">
      <t>ニヅクリ</t>
    </rPh>
    <phoneticPr fontId="2"/>
  </si>
  <si>
    <t>【自車】原価税抜金額_トランコム</t>
    <rPh sb="1" eb="3">
      <t>ジシャ</t>
    </rPh>
    <rPh sb="6" eb="8">
      <t>ゼイヌキ</t>
    </rPh>
    <rPh sb="8" eb="10">
      <t>キンガク</t>
    </rPh>
    <phoneticPr fontId="2"/>
  </si>
  <si>
    <t>【自車】原価税抜金額_その他</t>
    <rPh sb="1" eb="3">
      <t>ジシャ</t>
    </rPh>
    <rPh sb="6" eb="8">
      <t>ゼイヌキ</t>
    </rPh>
    <rPh sb="8" eb="10">
      <t>キンガク</t>
    </rPh>
    <rPh sb="13" eb="14">
      <t>タ</t>
    </rPh>
    <phoneticPr fontId="2"/>
  </si>
  <si>
    <t>【自車】原価税抜金額_事故</t>
    <rPh sb="1" eb="3">
      <t>ジシャ</t>
    </rPh>
    <rPh sb="6" eb="8">
      <t>ゼイヌキ</t>
    </rPh>
    <rPh sb="8" eb="10">
      <t>キンガク</t>
    </rPh>
    <rPh sb="11" eb="13">
      <t>ジコ</t>
    </rPh>
    <phoneticPr fontId="2"/>
  </si>
  <si>
    <t>【庸車】売上税抜金額_三和商研</t>
    <rPh sb="1" eb="2">
      <t>ヨウ</t>
    </rPh>
    <rPh sb="2" eb="3">
      <t>クルマ</t>
    </rPh>
    <rPh sb="4" eb="6">
      <t>ウリアゲ</t>
    </rPh>
    <rPh sb="6" eb="8">
      <t>ゼイヌキ</t>
    </rPh>
    <rPh sb="8" eb="10">
      <t>キンガク</t>
    </rPh>
    <rPh sb="11" eb="13">
      <t>サンワ</t>
    </rPh>
    <rPh sb="13" eb="15">
      <t>ショウケン</t>
    </rPh>
    <phoneticPr fontId="2"/>
  </si>
  <si>
    <t>【庸車】売上税抜金額_店装技研</t>
    <rPh sb="4" eb="6">
      <t>ウリアゲ</t>
    </rPh>
    <rPh sb="6" eb="8">
      <t>ゼイヌキ</t>
    </rPh>
    <rPh sb="8" eb="10">
      <t>キンガク</t>
    </rPh>
    <rPh sb="11" eb="13">
      <t>テンソウ</t>
    </rPh>
    <rPh sb="13" eb="15">
      <t>ギケン</t>
    </rPh>
    <phoneticPr fontId="2"/>
  </si>
  <si>
    <t>【庸車】売上税抜金額_サンワP</t>
    <rPh sb="4" eb="6">
      <t>ウリアゲ</t>
    </rPh>
    <rPh sb="6" eb="8">
      <t>ゼイヌキ</t>
    </rPh>
    <rPh sb="8" eb="10">
      <t>キンガク</t>
    </rPh>
    <phoneticPr fontId="2"/>
  </si>
  <si>
    <t>【庸車】売上税抜金額_日本運輸荷造</t>
    <rPh sb="1" eb="2">
      <t>ヨウ</t>
    </rPh>
    <rPh sb="2" eb="3">
      <t>クルマ</t>
    </rPh>
    <rPh sb="4" eb="6">
      <t>ウリアゲ</t>
    </rPh>
    <rPh sb="6" eb="8">
      <t>ゼイヌキ</t>
    </rPh>
    <rPh sb="8" eb="10">
      <t>キンガク</t>
    </rPh>
    <rPh sb="11" eb="13">
      <t>ニホン</t>
    </rPh>
    <rPh sb="13" eb="15">
      <t>ウンユ</t>
    </rPh>
    <rPh sb="15" eb="17">
      <t>ニヅクリ</t>
    </rPh>
    <phoneticPr fontId="2"/>
  </si>
  <si>
    <t>【庸車】売上税抜金額_トランコム</t>
    <rPh sb="4" eb="6">
      <t>ウリアゲ</t>
    </rPh>
    <rPh sb="6" eb="8">
      <t>ゼイヌキ</t>
    </rPh>
    <rPh sb="8" eb="10">
      <t>キンガク</t>
    </rPh>
    <phoneticPr fontId="2"/>
  </si>
  <si>
    <t>【庸車】売上税抜金額_その他</t>
    <rPh sb="4" eb="6">
      <t>ウリアゲ</t>
    </rPh>
    <rPh sb="6" eb="8">
      <t>ゼイヌキ</t>
    </rPh>
    <rPh sb="8" eb="10">
      <t>キンガク</t>
    </rPh>
    <rPh sb="13" eb="14">
      <t>タ</t>
    </rPh>
    <phoneticPr fontId="2"/>
  </si>
  <si>
    <t>【庸車】売上税抜金額_事故</t>
    <rPh sb="4" eb="6">
      <t>ウリアゲ</t>
    </rPh>
    <rPh sb="6" eb="8">
      <t>ゼイヌキ</t>
    </rPh>
    <rPh sb="8" eb="10">
      <t>キンガク</t>
    </rPh>
    <rPh sb="11" eb="13">
      <t>ジコ</t>
    </rPh>
    <phoneticPr fontId="2"/>
  </si>
  <si>
    <t>【庸車】原価税抜金額_三和商研</t>
    <rPh sb="4" eb="6">
      <t>ゲンカ</t>
    </rPh>
    <rPh sb="6" eb="8">
      <t>ゼイヌキ</t>
    </rPh>
    <rPh sb="8" eb="10">
      <t>キンガク</t>
    </rPh>
    <rPh sb="11" eb="13">
      <t>サンワ</t>
    </rPh>
    <rPh sb="13" eb="15">
      <t>ショウケン</t>
    </rPh>
    <phoneticPr fontId="2"/>
  </si>
  <si>
    <t>【庸車】原価税抜金額_店装技研</t>
    <rPh sb="6" eb="8">
      <t>ゼイヌキ</t>
    </rPh>
    <rPh sb="8" eb="10">
      <t>キンガク</t>
    </rPh>
    <rPh sb="11" eb="13">
      <t>テンソウ</t>
    </rPh>
    <rPh sb="13" eb="15">
      <t>ギケン</t>
    </rPh>
    <phoneticPr fontId="2"/>
  </si>
  <si>
    <t>【庸車】原価税抜金額_サンワP</t>
    <rPh sb="6" eb="8">
      <t>ゼイヌキ</t>
    </rPh>
    <rPh sb="8" eb="10">
      <t>キンガク</t>
    </rPh>
    <phoneticPr fontId="2"/>
  </si>
  <si>
    <t>【庸車】原価税抜金額_日本運輸荷造</t>
    <rPh sb="6" eb="8">
      <t>ゼイヌキ</t>
    </rPh>
    <rPh sb="8" eb="10">
      <t>キンガク</t>
    </rPh>
    <rPh sb="11" eb="13">
      <t>ニホン</t>
    </rPh>
    <rPh sb="13" eb="15">
      <t>ウンユ</t>
    </rPh>
    <rPh sb="15" eb="17">
      <t>ニヅクリ</t>
    </rPh>
    <phoneticPr fontId="2"/>
  </si>
  <si>
    <t>【庸車】原価税抜金額_トランコム</t>
    <rPh sb="6" eb="8">
      <t>ゼイヌキ</t>
    </rPh>
    <rPh sb="8" eb="10">
      <t>キンガク</t>
    </rPh>
    <phoneticPr fontId="2"/>
  </si>
  <si>
    <t>【庸車】原価税抜金額_その他</t>
    <rPh sb="6" eb="8">
      <t>ゼイヌキ</t>
    </rPh>
    <rPh sb="8" eb="10">
      <t>キンガク</t>
    </rPh>
    <rPh sb="13" eb="14">
      <t>タ</t>
    </rPh>
    <phoneticPr fontId="2"/>
  </si>
  <si>
    <t>【庸車】原価税抜金額_事故</t>
    <rPh sb="6" eb="8">
      <t>ゼイヌキ</t>
    </rPh>
    <rPh sb="8" eb="10">
      <t>キンガク</t>
    </rPh>
    <rPh sb="11" eb="13">
      <t>ジコ</t>
    </rPh>
    <phoneticPr fontId="2"/>
  </si>
  <si>
    <t>人件一般費</t>
    <rPh sb="0" eb="1">
      <t>ヒト</t>
    </rPh>
    <rPh sb="1" eb="2">
      <t>ケン</t>
    </rPh>
    <rPh sb="2" eb="4">
      <t>イッパン</t>
    </rPh>
    <rPh sb="4" eb="5">
      <t>ヒ</t>
    </rPh>
    <phoneticPr fontId="2"/>
  </si>
  <si>
    <t>営業外費</t>
    <rPh sb="0" eb="3">
      <t>エイギョウガイ</t>
    </rPh>
    <rPh sb="3" eb="4">
      <t>ヒ</t>
    </rPh>
    <phoneticPr fontId="2"/>
  </si>
  <si>
    <t>売上税抜金額_ルートサービス</t>
    <phoneticPr fontId="2"/>
  </si>
  <si>
    <t>売上税抜金額_丸和運輸</t>
    <rPh sb="7" eb="9">
      <t>マルワ</t>
    </rPh>
    <rPh sb="9" eb="11">
      <t>ウンユ</t>
    </rPh>
    <phoneticPr fontId="2"/>
  </si>
  <si>
    <t>売上税抜金額_その他</t>
    <phoneticPr fontId="2"/>
  </si>
  <si>
    <t>売上税抜金額_事故</t>
    <rPh sb="7" eb="9">
      <t>ジコ</t>
    </rPh>
    <phoneticPr fontId="2"/>
  </si>
  <si>
    <t>原価税抜金額_ルートサービス</t>
    <rPh sb="0" eb="2">
      <t>ゲンカ</t>
    </rPh>
    <phoneticPr fontId="2"/>
  </si>
  <si>
    <t>原価税抜金額_丸和運輸</t>
    <rPh sb="7" eb="9">
      <t>マルワ</t>
    </rPh>
    <rPh sb="9" eb="11">
      <t>ウンユ</t>
    </rPh>
    <phoneticPr fontId="2"/>
  </si>
  <si>
    <t>原価税抜金額_その他</t>
    <phoneticPr fontId="2"/>
  </si>
  <si>
    <t>原価税抜金額_事故</t>
    <rPh sb="7" eb="9">
      <t>ジコ</t>
    </rPh>
    <phoneticPr fontId="2"/>
  </si>
  <si>
    <t>三和サービス実績入力より、データのない実績日付に新規追加する</t>
    <rPh sb="0" eb="2">
      <t>サンワ</t>
    </rPh>
    <rPh sb="6" eb="8">
      <t>ジッセキ</t>
    </rPh>
    <rPh sb="8" eb="10">
      <t>ニュウリョク</t>
    </rPh>
    <rPh sb="19" eb="21">
      <t>ジッセキ</t>
    </rPh>
    <rPh sb="21" eb="23">
      <t>ヒヅケ</t>
    </rPh>
    <rPh sb="24" eb="26">
      <t>シンキ</t>
    </rPh>
    <rPh sb="26" eb="28">
      <t>ツイカ</t>
    </rPh>
    <phoneticPr fontId="2"/>
  </si>
  <si>
    <t>入力欄が活性、かつ0が入力されていること。</t>
    <rPh sb="11" eb="13">
      <t>ニュウリョク</t>
    </rPh>
    <phoneticPr fontId="2"/>
  </si>
  <si>
    <t>TMサービス実績情報テーブルの項目と同じ値が表示されていること。</t>
    <rPh sb="15" eb="17">
      <t>コウモク</t>
    </rPh>
    <rPh sb="18" eb="19">
      <t>オナ</t>
    </rPh>
    <rPh sb="20" eb="21">
      <t>アタイ</t>
    </rPh>
    <rPh sb="22" eb="24">
      <t>ヒョウジ</t>
    </rPh>
    <phoneticPr fontId="2"/>
  </si>
  <si>
    <t>入力した値がTMサービス実績情報テーブルの項目に反映されること</t>
    <rPh sb="0" eb="2">
      <t>ニュウリョク</t>
    </rPh>
    <rPh sb="4" eb="5">
      <t>アタイ</t>
    </rPh>
    <rPh sb="24" eb="26">
      <t>ハンエイ</t>
    </rPh>
    <phoneticPr fontId="2"/>
  </si>
  <si>
    <t>TMサービス実績情報テーブルの対象レコードが削除されること。</t>
    <rPh sb="15" eb="17">
      <t>タイショウ</t>
    </rPh>
    <rPh sb="22" eb="24">
      <t>サクジョ</t>
    </rPh>
    <phoneticPr fontId="2"/>
  </si>
  <si>
    <t>三和サービス実績入力より、データが登録された実績日付を検索し、押下する</t>
    <rPh sb="0" eb="2">
      <t>サンワ</t>
    </rPh>
    <rPh sb="6" eb="8">
      <t>ジッセキ</t>
    </rPh>
    <rPh sb="8" eb="10">
      <t>ニュウリョク</t>
    </rPh>
    <rPh sb="17" eb="19">
      <t>トウロク</t>
    </rPh>
    <rPh sb="22" eb="24">
      <t>ジッセキ</t>
    </rPh>
    <rPh sb="24" eb="26">
      <t>ヒヅケ</t>
    </rPh>
    <rPh sb="27" eb="29">
      <t>ケンサク</t>
    </rPh>
    <rPh sb="31" eb="33">
      <t>オウカ</t>
    </rPh>
    <phoneticPr fontId="2"/>
  </si>
  <si>
    <t>三和サービス実績入力より新規作成画面を起動する</t>
    <rPh sb="12" eb="14">
      <t>シンキ</t>
    </rPh>
    <rPh sb="14" eb="16">
      <t>サクセイ</t>
    </rPh>
    <rPh sb="16" eb="18">
      <t>ガメン</t>
    </rPh>
    <rPh sb="19" eb="21">
      <t>キドウ</t>
    </rPh>
    <phoneticPr fontId="2"/>
  </si>
  <si>
    <t>数値のみで8桁まで入力できること</t>
    <rPh sb="0" eb="2">
      <t>スウチ</t>
    </rPh>
    <rPh sb="6" eb="7">
      <t>ケタ</t>
    </rPh>
    <rPh sb="9" eb="11">
      <t>ニュウリョク</t>
    </rPh>
    <phoneticPr fontId="2"/>
  </si>
  <si>
    <t>飯高</t>
    <rPh sb="0" eb="2">
      <t>イイダカ</t>
    </rPh>
    <phoneticPr fontId="2"/>
  </si>
  <si>
    <t>NG</t>
  </si>
  <si>
    <t>NG</t>
    <phoneticPr fontId="2"/>
  </si>
  <si>
    <t>OK</t>
  </si>
  <si>
    <t>8桁以上入力できる</t>
    <rPh sb="1" eb="4">
      <t>ケタイジョウ</t>
    </rPh>
    <rPh sb="4" eb="6">
      <t>ニュウリョク</t>
    </rPh>
    <phoneticPr fontId="2"/>
  </si>
  <si>
    <t>エラーメッセージが表示されない</t>
    <rPh sb="9" eb="11">
      <t>ヒョウジ</t>
    </rPh>
    <phoneticPr fontId="2"/>
  </si>
  <si>
    <t>TMサービス実績情報テーブルに登録されていない</t>
    <rPh sb="15" eb="17">
      <t>トウロク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</si>
</sst>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ck">
        <color auto="1"/>
      </bottom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7" xfId="0" applyFont="1" applyFill="1" applyBorder="1">
      <alignment vertical="center"/>
    </xf>
    <xf numFmtId="0" fontId="3" fillId="2" borderId="38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46" xfId="0" applyNumberFormat="1" applyFont="1" applyFill="1" applyBorder="1" applyAlignment="1">
      <alignment horizontal="center" vertical="center"/>
    </xf>
    <xf numFmtId="177" fontId="3" fillId="2" borderId="32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5" borderId="17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vertical="center" wrapText="1"/>
    </xf>
    <xf numFmtId="0" fontId="3" fillId="5" borderId="2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93" t="s">
        <v>0</v>
      </c>
      <c r="C2" s="94"/>
      <c r="D2" s="94"/>
      <c r="E2" s="94"/>
      <c r="F2" s="94"/>
      <c r="G2" s="94"/>
      <c r="H2" s="94" t="s">
        <v>40</v>
      </c>
      <c r="I2" s="94"/>
      <c r="J2" s="94"/>
      <c r="K2" s="94"/>
      <c r="L2" s="94" t="s">
        <v>41</v>
      </c>
      <c r="M2" s="94"/>
      <c r="N2" s="94"/>
      <c r="O2" s="94"/>
      <c r="P2" s="94"/>
      <c r="Q2" s="94"/>
      <c r="R2" s="94" t="s">
        <v>1</v>
      </c>
      <c r="S2" s="94"/>
      <c r="T2" s="94"/>
      <c r="U2" s="94"/>
      <c r="V2" s="94"/>
      <c r="W2" s="94"/>
      <c r="X2" s="95" t="s">
        <v>2</v>
      </c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7"/>
      <c r="AK2" s="95" t="s">
        <v>30</v>
      </c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7"/>
      <c r="AX2" s="94" t="s">
        <v>4</v>
      </c>
      <c r="AY2" s="94"/>
      <c r="AZ2" s="94"/>
      <c r="BA2" s="94"/>
      <c r="BB2" s="94" t="s">
        <v>3</v>
      </c>
      <c r="BC2" s="94"/>
      <c r="BD2" s="94"/>
      <c r="BE2" s="94"/>
      <c r="BF2" s="94" t="s">
        <v>5</v>
      </c>
      <c r="BG2" s="94"/>
      <c r="BH2" s="94"/>
      <c r="BI2" s="94"/>
      <c r="BJ2" s="94" t="s">
        <v>6</v>
      </c>
      <c r="BK2" s="94"/>
      <c r="BL2" s="94"/>
      <c r="BM2" s="108"/>
      <c r="BN2" s="13"/>
    </row>
    <row r="3" spans="1:66" ht="20.100000000000001" customHeight="1" x14ac:dyDescent="0.45">
      <c r="A3" s="8"/>
      <c r="B3" s="98" t="s">
        <v>38</v>
      </c>
      <c r="C3" s="99"/>
      <c r="D3" s="99"/>
      <c r="E3" s="99"/>
      <c r="F3" s="99"/>
      <c r="G3" s="99"/>
      <c r="H3" s="99" t="str">
        <f ca="1">LEFT($X$3,FIND("_",$X$3)-1)</f>
        <v>マスタ</v>
      </c>
      <c r="I3" s="99"/>
      <c r="J3" s="99"/>
      <c r="K3" s="99"/>
      <c r="L3" s="99" t="s">
        <v>39</v>
      </c>
      <c r="M3" s="99"/>
      <c r="N3" s="99"/>
      <c r="O3" s="99"/>
      <c r="P3" s="99"/>
      <c r="Q3" s="99"/>
      <c r="R3" s="102" t="str">
        <f ca="1">MID($X$3,FIND("_",$X$3,FIND("_",$X$3)+1)+1,LEN($X$3)-FIND("_",$X$3,FIND("_",$X$3)+1))</f>
        <v>結合試験項目</v>
      </c>
      <c r="S3" s="99"/>
      <c r="T3" s="99"/>
      <c r="U3" s="99"/>
      <c r="V3" s="99"/>
      <c r="W3" s="99"/>
      <c r="X3" s="103" t="str">
        <f ca="1">REPLACE(LEFT(CELL("filename",$B$2),FIND(".x",CELL("filename",$B$2))-1),1,FIND("[",CELL("filename",$B$2)),)</f>
        <v>マスタ_三和サービス実績入力_結合試験項目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0"/>
      <c r="AK3" s="103" t="str">
        <f ca="1">MID($X$3,FIND("_",$X$3)+1,FIND("_",$X$3,FIND("_",$X$3)+1)-FIND("_",$X$3)-1)</f>
        <v>三和サービス実績入力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0"/>
      <c r="AX3" s="110">
        <v>45636</v>
      </c>
      <c r="AY3" s="99"/>
      <c r="AZ3" s="99"/>
      <c r="BA3" s="99"/>
      <c r="BB3" s="99" t="s">
        <v>43</v>
      </c>
      <c r="BC3" s="99"/>
      <c r="BD3" s="99"/>
      <c r="BE3" s="99"/>
      <c r="BF3" s="110">
        <v>45636</v>
      </c>
      <c r="BG3" s="99"/>
      <c r="BH3" s="99"/>
      <c r="BI3" s="99"/>
      <c r="BJ3" s="99" t="s">
        <v>43</v>
      </c>
      <c r="BK3" s="99"/>
      <c r="BL3" s="99"/>
      <c r="BM3" s="111"/>
      <c r="BN3" s="13"/>
    </row>
    <row r="4" spans="1:66" ht="20.100000000000001" customHeight="1" thickBot="1" x14ac:dyDescent="0.5">
      <c r="A4" s="8"/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3"/>
      <c r="BN4" s="13"/>
    </row>
    <row r="5" spans="1:66" ht="5.25" customHeight="1" thickTop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3"/>
    </row>
    <row r="7" spans="1:66" ht="20.100000000000001" customHeight="1" x14ac:dyDescent="0.45">
      <c r="A7" s="8"/>
      <c r="B7" s="7"/>
      <c r="C7" s="17" t="s">
        <v>19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3"/>
    </row>
    <row r="8" spans="1:66" ht="20.100000000000001" customHeight="1" x14ac:dyDescent="0.45">
      <c r="A8" s="8"/>
      <c r="B8" s="7"/>
      <c r="C8" s="109" t="s">
        <v>7</v>
      </c>
      <c r="D8" s="109"/>
      <c r="E8" s="109"/>
      <c r="F8" s="109"/>
      <c r="G8" s="109" t="s">
        <v>8</v>
      </c>
      <c r="H8" s="109"/>
      <c r="I8" s="109"/>
      <c r="J8" s="109"/>
      <c r="K8" s="109" t="s">
        <v>9</v>
      </c>
      <c r="L8" s="109"/>
      <c r="M8" s="109"/>
      <c r="N8" s="109"/>
      <c r="O8" s="109" t="s">
        <v>10</v>
      </c>
      <c r="P8" s="109"/>
      <c r="Q8" s="109"/>
      <c r="R8" s="109"/>
      <c r="S8" s="109"/>
      <c r="T8" s="109"/>
      <c r="U8" s="109"/>
      <c r="V8" s="109"/>
      <c r="W8" s="109"/>
      <c r="X8" s="109"/>
      <c r="Y8" s="109" t="s">
        <v>11</v>
      </c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7"/>
      <c r="BN8" s="13"/>
    </row>
    <row r="9" spans="1:66" ht="20.100000000000001" customHeight="1" x14ac:dyDescent="0.45">
      <c r="A9" s="8"/>
      <c r="B9" s="7"/>
      <c r="C9" s="112">
        <v>45636</v>
      </c>
      <c r="D9" s="113"/>
      <c r="E9" s="113"/>
      <c r="F9" s="114"/>
      <c r="G9" s="115" t="s">
        <v>20</v>
      </c>
      <c r="H9" s="116"/>
      <c r="I9" s="116"/>
      <c r="J9" s="117"/>
      <c r="K9" s="118"/>
      <c r="L9" s="113"/>
      <c r="M9" s="113"/>
      <c r="N9" s="11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7"/>
      <c r="BN9" s="13"/>
    </row>
    <row r="10" spans="1:66" ht="20.100000000000001" customHeight="1" x14ac:dyDescent="0.45">
      <c r="A10" s="8"/>
      <c r="B10" s="7"/>
      <c r="C10" s="112"/>
      <c r="D10" s="113"/>
      <c r="E10" s="113"/>
      <c r="F10" s="114"/>
      <c r="G10" s="115"/>
      <c r="H10" s="116"/>
      <c r="I10" s="116"/>
      <c r="J10" s="117"/>
      <c r="K10" s="118"/>
      <c r="L10" s="113"/>
      <c r="M10" s="113"/>
      <c r="N10" s="11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7"/>
      <c r="BN10" s="13"/>
    </row>
    <row r="11" spans="1:66" ht="20.100000000000001" customHeight="1" x14ac:dyDescent="0.45">
      <c r="A11" s="8"/>
      <c r="B11" s="7"/>
      <c r="C11" s="112"/>
      <c r="D11" s="113"/>
      <c r="E11" s="113"/>
      <c r="F11" s="114"/>
      <c r="G11" s="115"/>
      <c r="H11" s="116"/>
      <c r="I11" s="116"/>
      <c r="J11" s="117"/>
      <c r="K11" s="118"/>
      <c r="L11" s="113"/>
      <c r="M11" s="113"/>
      <c r="N11" s="11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7"/>
      <c r="BN11" s="13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5"/>
      <c r="Q12" s="5"/>
      <c r="R12" s="5"/>
      <c r="S12" s="5"/>
      <c r="T12" s="5"/>
      <c r="U12" s="5"/>
      <c r="V12" s="5"/>
      <c r="W12" s="5"/>
      <c r="X12" s="26"/>
      <c r="Y12" s="2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6"/>
      <c r="BM12" s="7"/>
      <c r="BN12" s="13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5"/>
      <c r="Q13" s="5"/>
      <c r="R13" s="5"/>
      <c r="S13" s="5"/>
      <c r="T13" s="5"/>
      <c r="U13" s="5"/>
      <c r="V13" s="5"/>
      <c r="W13" s="5"/>
      <c r="X13" s="26"/>
      <c r="Y13" s="2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6"/>
      <c r="BM13" s="7"/>
      <c r="BN13" s="13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5"/>
      <c r="Q14" s="5"/>
      <c r="R14" s="5"/>
      <c r="S14" s="5"/>
      <c r="T14" s="5"/>
      <c r="U14" s="5"/>
      <c r="V14" s="5"/>
      <c r="W14" s="5"/>
      <c r="X14" s="26"/>
      <c r="Y14" s="2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6"/>
      <c r="BM14" s="7"/>
      <c r="BN14" s="13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5"/>
      <c r="Q15" s="5"/>
      <c r="R15" s="5"/>
      <c r="S15" s="5"/>
      <c r="T15" s="5"/>
      <c r="U15" s="5"/>
      <c r="V15" s="5"/>
      <c r="W15" s="5"/>
      <c r="X15" s="26"/>
      <c r="Y15" s="2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6"/>
      <c r="BM15" s="7"/>
      <c r="BN15" s="13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5"/>
      <c r="Q16" s="5"/>
      <c r="R16" s="5"/>
      <c r="S16" s="5"/>
      <c r="T16" s="5"/>
      <c r="U16" s="5"/>
      <c r="V16" s="5"/>
      <c r="W16" s="5"/>
      <c r="X16" s="26"/>
      <c r="Y16" s="2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6"/>
      <c r="BM16" s="7"/>
      <c r="BN16" s="13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5"/>
      <c r="Q17" s="5"/>
      <c r="R17" s="5"/>
      <c r="S17" s="5"/>
      <c r="T17" s="5"/>
      <c r="U17" s="5"/>
      <c r="V17" s="5"/>
      <c r="W17" s="5"/>
      <c r="X17" s="26"/>
      <c r="Y17" s="2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6"/>
      <c r="BM17" s="7"/>
      <c r="BN17" s="13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5"/>
      <c r="Q18" s="5"/>
      <c r="R18" s="5"/>
      <c r="S18" s="5"/>
      <c r="T18" s="5"/>
      <c r="U18" s="5"/>
      <c r="V18" s="5"/>
      <c r="W18" s="5"/>
      <c r="X18" s="26"/>
      <c r="Y18" s="2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6"/>
      <c r="BM18" s="7"/>
      <c r="BN18" s="13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5"/>
      <c r="Q19" s="5"/>
      <c r="R19" s="5"/>
      <c r="S19" s="5"/>
      <c r="T19" s="5"/>
      <c r="U19" s="5"/>
      <c r="V19" s="5"/>
      <c r="W19" s="5"/>
      <c r="X19" s="26"/>
      <c r="Y19" s="2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6"/>
      <c r="BM19" s="7"/>
      <c r="BN19" s="13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5"/>
      <c r="Q20" s="5"/>
      <c r="R20" s="5"/>
      <c r="S20" s="5"/>
      <c r="T20" s="5"/>
      <c r="U20" s="5"/>
      <c r="V20" s="5"/>
      <c r="W20" s="5"/>
      <c r="X20" s="26"/>
      <c r="Y20" s="2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6"/>
      <c r="BM20" s="7"/>
      <c r="BN20" s="13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5"/>
      <c r="Q21" s="5"/>
      <c r="R21" s="5"/>
      <c r="S21" s="5"/>
      <c r="T21" s="5"/>
      <c r="U21" s="5"/>
      <c r="V21" s="5"/>
      <c r="W21" s="5"/>
      <c r="X21" s="26"/>
      <c r="Y21" s="2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6"/>
      <c r="BM21" s="7"/>
      <c r="BN21" s="13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5"/>
      <c r="Q22" s="5"/>
      <c r="R22" s="5"/>
      <c r="S22" s="5"/>
      <c r="T22" s="5"/>
      <c r="U22" s="5"/>
      <c r="V22" s="5"/>
      <c r="W22" s="5"/>
      <c r="X22" s="26"/>
      <c r="Y22" s="2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6"/>
      <c r="BM22" s="7"/>
      <c r="BN22" s="13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5"/>
      <c r="Q23" s="5"/>
      <c r="R23" s="5"/>
      <c r="S23" s="5"/>
      <c r="T23" s="5"/>
      <c r="U23" s="5"/>
      <c r="V23" s="5"/>
      <c r="W23" s="5"/>
      <c r="X23" s="26"/>
      <c r="Y23" s="2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6"/>
      <c r="BM23" s="7"/>
      <c r="BN23" s="13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5"/>
      <c r="Q24" s="5"/>
      <c r="R24" s="5"/>
      <c r="S24" s="5"/>
      <c r="T24" s="5"/>
      <c r="U24" s="5"/>
      <c r="V24" s="5"/>
      <c r="W24" s="5"/>
      <c r="X24" s="26"/>
      <c r="Y24" s="2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6"/>
      <c r="BM24" s="7"/>
      <c r="BN24" s="13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5"/>
      <c r="Q25" s="5"/>
      <c r="R25" s="5"/>
      <c r="S25" s="5"/>
      <c r="T25" s="5"/>
      <c r="U25" s="5"/>
      <c r="V25" s="5"/>
      <c r="W25" s="5"/>
      <c r="X25" s="26"/>
      <c r="Y25" s="2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6"/>
      <c r="BM25" s="7"/>
      <c r="BN25" s="13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5"/>
      <c r="Q26" s="5"/>
      <c r="R26" s="5"/>
      <c r="S26" s="5"/>
      <c r="T26" s="5"/>
      <c r="U26" s="5"/>
      <c r="V26" s="5"/>
      <c r="W26" s="5"/>
      <c r="X26" s="26"/>
      <c r="Y26" s="2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6"/>
      <c r="BM26" s="7"/>
      <c r="BN26" s="13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5"/>
      <c r="Q27" s="5"/>
      <c r="R27" s="5"/>
      <c r="S27" s="5"/>
      <c r="T27" s="5"/>
      <c r="U27" s="5"/>
      <c r="V27" s="5"/>
      <c r="W27" s="5"/>
      <c r="X27" s="26"/>
      <c r="Y27" s="2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6"/>
      <c r="BM27" s="7"/>
      <c r="BN27" s="13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5"/>
      <c r="Q28" s="5"/>
      <c r="R28" s="5"/>
      <c r="S28" s="5"/>
      <c r="T28" s="5"/>
      <c r="U28" s="5"/>
      <c r="V28" s="5"/>
      <c r="W28" s="5"/>
      <c r="X28" s="26"/>
      <c r="Y28" s="2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6"/>
      <c r="BM28" s="7"/>
      <c r="BN28" s="13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5"/>
      <c r="Q29" s="5"/>
      <c r="R29" s="5"/>
      <c r="S29" s="5"/>
      <c r="T29" s="5"/>
      <c r="U29" s="5"/>
      <c r="V29" s="5"/>
      <c r="W29" s="5"/>
      <c r="X29" s="26"/>
      <c r="Y29" s="2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6"/>
      <c r="BM29" s="7"/>
      <c r="BN29" s="13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5"/>
      <c r="Q30" s="5"/>
      <c r="R30" s="5"/>
      <c r="S30" s="5"/>
      <c r="T30" s="5"/>
      <c r="U30" s="5"/>
      <c r="V30" s="5"/>
      <c r="W30" s="5"/>
      <c r="X30" s="26"/>
      <c r="Y30" s="2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6"/>
      <c r="BM30" s="7"/>
      <c r="BN30" s="13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5"/>
      <c r="Q31" s="5"/>
      <c r="R31" s="5"/>
      <c r="S31" s="5"/>
      <c r="T31" s="5"/>
      <c r="U31" s="5"/>
      <c r="V31" s="5"/>
      <c r="W31" s="5"/>
      <c r="X31" s="26"/>
      <c r="Y31" s="2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6"/>
      <c r="BM31" s="7"/>
      <c r="BN31" s="13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5"/>
      <c r="Q32" s="5"/>
      <c r="R32" s="5"/>
      <c r="S32" s="5"/>
      <c r="T32" s="5"/>
      <c r="U32" s="5"/>
      <c r="V32" s="5"/>
      <c r="W32" s="5"/>
      <c r="X32" s="26"/>
      <c r="Y32" s="2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6"/>
      <c r="BM32" s="7"/>
      <c r="BN32" s="13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5"/>
      <c r="Q33" s="5"/>
      <c r="R33" s="5"/>
      <c r="S33" s="5"/>
      <c r="T33" s="5"/>
      <c r="U33" s="5"/>
      <c r="V33" s="5"/>
      <c r="W33" s="5"/>
      <c r="X33" s="26"/>
      <c r="Y33" s="2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6"/>
      <c r="BM33" s="7"/>
      <c r="BN33" s="13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5"/>
      <c r="Q34" s="5"/>
      <c r="R34" s="5"/>
      <c r="S34" s="5"/>
      <c r="T34" s="5"/>
      <c r="U34" s="5"/>
      <c r="V34" s="5"/>
      <c r="W34" s="5"/>
      <c r="X34" s="26"/>
      <c r="Y34" s="2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6"/>
      <c r="BM34" s="7"/>
      <c r="BN34" s="13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5"/>
      <c r="Q35" s="5"/>
      <c r="R35" s="5"/>
      <c r="S35" s="5"/>
      <c r="T35" s="5"/>
      <c r="U35" s="5"/>
      <c r="V35" s="5"/>
      <c r="W35" s="5"/>
      <c r="X35" s="26"/>
      <c r="Y35" s="2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6"/>
      <c r="BM35" s="7"/>
      <c r="BN35" s="13"/>
    </row>
    <row r="36" spans="1:66" ht="20.100000000000001" customHeight="1" x14ac:dyDescent="0.45">
      <c r="A36" s="8"/>
      <c r="B36" s="7"/>
      <c r="C36" s="112"/>
      <c r="D36" s="113"/>
      <c r="E36" s="113"/>
      <c r="F36" s="114"/>
      <c r="G36" s="115"/>
      <c r="H36" s="116"/>
      <c r="I36" s="116"/>
      <c r="J36" s="117"/>
      <c r="K36" s="118"/>
      <c r="L36" s="113"/>
      <c r="M36" s="113"/>
      <c r="N36" s="11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7"/>
      <c r="BN36" s="13"/>
    </row>
    <row r="37" spans="1:66" ht="20.100000000000001" customHeight="1" x14ac:dyDescent="0.45">
      <c r="A37" s="8"/>
      <c r="B37" s="7"/>
      <c r="C37" s="112"/>
      <c r="D37" s="113"/>
      <c r="E37" s="113"/>
      <c r="F37" s="114"/>
      <c r="G37" s="115"/>
      <c r="H37" s="116"/>
      <c r="I37" s="116"/>
      <c r="J37" s="117"/>
      <c r="K37" s="118"/>
      <c r="L37" s="113"/>
      <c r="M37" s="113"/>
      <c r="N37" s="11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7"/>
      <c r="BN37" s="13"/>
    </row>
    <row r="38" spans="1:66" ht="20.100000000000001" customHeight="1" x14ac:dyDescent="0.45">
      <c r="A38" s="8"/>
      <c r="B38" s="7"/>
      <c r="C38" s="112"/>
      <c r="D38" s="113"/>
      <c r="E38" s="113"/>
      <c r="F38" s="114"/>
      <c r="G38" s="115"/>
      <c r="H38" s="116"/>
      <c r="I38" s="116"/>
      <c r="J38" s="117"/>
      <c r="K38" s="118"/>
      <c r="L38" s="113"/>
      <c r="M38" s="113"/>
      <c r="N38" s="11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7"/>
      <c r="BN38" s="13"/>
    </row>
    <row r="39" spans="1:66" ht="20.100000000000001" customHeight="1" x14ac:dyDescent="0.45">
      <c r="A39" s="8"/>
      <c r="B39" s="7"/>
      <c r="C39" s="112"/>
      <c r="D39" s="113"/>
      <c r="E39" s="113"/>
      <c r="F39" s="114"/>
      <c r="G39" s="115"/>
      <c r="H39" s="116"/>
      <c r="I39" s="116"/>
      <c r="J39" s="117"/>
      <c r="K39" s="118"/>
      <c r="L39" s="113"/>
      <c r="M39" s="113"/>
      <c r="N39" s="11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7"/>
      <c r="BN39" s="13"/>
    </row>
    <row r="40" spans="1:66" ht="20.100000000000001" customHeight="1" x14ac:dyDescent="0.45">
      <c r="A40" s="8"/>
      <c r="B40" s="7"/>
      <c r="C40" s="112"/>
      <c r="D40" s="113"/>
      <c r="E40" s="113"/>
      <c r="F40" s="114"/>
      <c r="G40" s="115"/>
      <c r="H40" s="116"/>
      <c r="I40" s="116"/>
      <c r="J40" s="117"/>
      <c r="K40" s="118"/>
      <c r="L40" s="113"/>
      <c r="M40" s="113"/>
      <c r="N40" s="11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7"/>
      <c r="BN40" s="13"/>
    </row>
    <row r="41" spans="1:66" ht="20.100000000000001" customHeight="1" x14ac:dyDescent="0.45">
      <c r="A41" s="8"/>
      <c r="B41" s="7"/>
      <c r="C41" s="112"/>
      <c r="D41" s="113"/>
      <c r="E41" s="113"/>
      <c r="F41" s="114"/>
      <c r="G41" s="115"/>
      <c r="H41" s="116"/>
      <c r="I41" s="116"/>
      <c r="J41" s="117"/>
      <c r="K41" s="118"/>
      <c r="L41" s="113"/>
      <c r="M41" s="113"/>
      <c r="N41" s="11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7"/>
      <c r="BN41" s="13"/>
    </row>
    <row r="42" spans="1:66" ht="20.100000000000001" customHeight="1" x14ac:dyDescent="0.45">
      <c r="A42" s="8"/>
      <c r="B42" s="7"/>
      <c r="C42" s="112"/>
      <c r="D42" s="113"/>
      <c r="E42" s="113"/>
      <c r="F42" s="114"/>
      <c r="G42" s="115"/>
      <c r="H42" s="116"/>
      <c r="I42" s="116"/>
      <c r="J42" s="117"/>
      <c r="K42" s="118"/>
      <c r="L42" s="113"/>
      <c r="M42" s="113"/>
      <c r="N42" s="11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7"/>
      <c r="BN42" s="13"/>
    </row>
    <row r="43" spans="1:66" ht="20.100000000000001" customHeight="1" x14ac:dyDescent="0.45">
      <c r="A43" s="8"/>
      <c r="B43" s="7"/>
      <c r="C43" s="112"/>
      <c r="D43" s="113"/>
      <c r="E43" s="113"/>
      <c r="F43" s="114"/>
      <c r="G43" s="115"/>
      <c r="H43" s="116"/>
      <c r="I43" s="116"/>
      <c r="J43" s="117"/>
      <c r="K43" s="118"/>
      <c r="L43" s="113"/>
      <c r="M43" s="113"/>
      <c r="N43" s="11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7"/>
      <c r="BN43" s="13"/>
    </row>
    <row r="44" spans="1:66" ht="20.100000000000001" customHeight="1" x14ac:dyDescent="0.45">
      <c r="A44" s="8"/>
      <c r="B44" s="7"/>
      <c r="C44" s="112"/>
      <c r="D44" s="113"/>
      <c r="E44" s="113"/>
      <c r="F44" s="114"/>
      <c r="G44" s="115"/>
      <c r="H44" s="116"/>
      <c r="I44" s="116"/>
      <c r="J44" s="117"/>
      <c r="K44" s="118"/>
      <c r="L44" s="113"/>
      <c r="M44" s="113"/>
      <c r="N44" s="11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7"/>
      <c r="BN44" s="13"/>
    </row>
    <row r="45" spans="1:66" ht="20.100000000000001" customHeight="1" x14ac:dyDescent="0.45">
      <c r="A45" s="8"/>
      <c r="B45" s="7"/>
      <c r="C45" s="112"/>
      <c r="D45" s="113"/>
      <c r="E45" s="113"/>
      <c r="F45" s="114"/>
      <c r="G45" s="115"/>
      <c r="H45" s="116"/>
      <c r="I45" s="116"/>
      <c r="J45" s="117"/>
      <c r="K45" s="118"/>
      <c r="L45" s="113"/>
      <c r="M45" s="113"/>
      <c r="N45" s="11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7"/>
      <c r="BN45" s="13"/>
    </row>
    <row r="46" spans="1:66" ht="20.100000000000001" customHeight="1" x14ac:dyDescent="0.45">
      <c r="A46" s="8"/>
      <c r="B46" s="7"/>
      <c r="C46" s="112"/>
      <c r="D46" s="113"/>
      <c r="E46" s="113"/>
      <c r="F46" s="114"/>
      <c r="G46" s="115"/>
      <c r="H46" s="116"/>
      <c r="I46" s="116"/>
      <c r="J46" s="117"/>
      <c r="K46" s="118"/>
      <c r="L46" s="113"/>
      <c r="M46" s="113"/>
      <c r="N46" s="11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7"/>
      <c r="BN46" s="13"/>
    </row>
    <row r="47" spans="1:66" ht="20.100000000000001" customHeight="1" x14ac:dyDescent="0.45">
      <c r="A47" s="8"/>
      <c r="B47" s="7"/>
      <c r="C47" s="112"/>
      <c r="D47" s="113"/>
      <c r="E47" s="113"/>
      <c r="F47" s="114"/>
      <c r="G47" s="115"/>
      <c r="H47" s="116"/>
      <c r="I47" s="116"/>
      <c r="J47" s="117"/>
      <c r="K47" s="118"/>
      <c r="L47" s="113"/>
      <c r="M47" s="113"/>
      <c r="N47" s="11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7"/>
      <c r="BN47" s="13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3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2" customWidth="1"/>
    <col min="2" max="65" width="3.69921875" style="32" customWidth="1"/>
    <col min="66" max="66" width="1.09765625" style="32" customWidth="1"/>
    <col min="67" max="16384" width="3.59765625" style="32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33"/>
      <c r="B2" s="93" t="s">
        <v>0</v>
      </c>
      <c r="C2" s="94"/>
      <c r="D2" s="94"/>
      <c r="E2" s="94"/>
      <c r="F2" s="94"/>
      <c r="G2" s="94"/>
      <c r="H2" s="94" t="s">
        <v>40</v>
      </c>
      <c r="I2" s="94"/>
      <c r="J2" s="94"/>
      <c r="K2" s="94"/>
      <c r="L2" s="94" t="s">
        <v>41</v>
      </c>
      <c r="M2" s="94"/>
      <c r="N2" s="94"/>
      <c r="O2" s="94"/>
      <c r="P2" s="94"/>
      <c r="Q2" s="94"/>
      <c r="R2" s="94" t="s">
        <v>1</v>
      </c>
      <c r="S2" s="94"/>
      <c r="T2" s="94"/>
      <c r="U2" s="94"/>
      <c r="V2" s="94"/>
      <c r="W2" s="94"/>
      <c r="X2" s="95" t="s">
        <v>2</v>
      </c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7"/>
      <c r="AK2" s="95" t="s">
        <v>30</v>
      </c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7"/>
      <c r="AX2" s="94" t="s">
        <v>4</v>
      </c>
      <c r="AY2" s="94"/>
      <c r="AZ2" s="94"/>
      <c r="BA2" s="94"/>
      <c r="BB2" s="94" t="s">
        <v>3</v>
      </c>
      <c r="BC2" s="94"/>
      <c r="BD2" s="94"/>
      <c r="BE2" s="94"/>
      <c r="BF2" s="94" t="s">
        <v>5</v>
      </c>
      <c r="BG2" s="94"/>
      <c r="BH2" s="94"/>
      <c r="BI2" s="94"/>
      <c r="BJ2" s="94" t="s">
        <v>6</v>
      </c>
      <c r="BK2" s="94"/>
      <c r="BL2" s="94"/>
      <c r="BM2" s="108"/>
      <c r="BN2" s="34"/>
    </row>
    <row r="3" spans="1:66" ht="20.100000000000001" customHeight="1" x14ac:dyDescent="0.45">
      <c r="A3" s="33"/>
      <c r="B3" s="98" t="str">
        <f>変更履歴!B3</f>
        <v>受発注システム</v>
      </c>
      <c r="C3" s="99"/>
      <c r="D3" s="99"/>
      <c r="E3" s="99"/>
      <c r="F3" s="99"/>
      <c r="G3" s="99"/>
      <c r="H3" s="99" t="str">
        <f ca="1">変更履歴!H3</f>
        <v>マスタ</v>
      </c>
      <c r="I3" s="99"/>
      <c r="J3" s="99"/>
      <c r="K3" s="99"/>
      <c r="L3" s="99" t="str">
        <f>変更履歴!L3</f>
        <v>受発注</v>
      </c>
      <c r="M3" s="99"/>
      <c r="N3" s="99"/>
      <c r="O3" s="99"/>
      <c r="P3" s="99"/>
      <c r="Q3" s="99"/>
      <c r="R3" s="99" t="str">
        <f ca="1">変更履歴!R3</f>
        <v>結合試験項目</v>
      </c>
      <c r="S3" s="99"/>
      <c r="T3" s="99"/>
      <c r="U3" s="99"/>
      <c r="V3" s="99"/>
      <c r="W3" s="99"/>
      <c r="X3" s="103" t="str">
        <f ca="1">変更履歴!X3</f>
        <v>マスタ_三和サービス実績入力_結合試験項目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0"/>
      <c r="AK3" s="103" t="str">
        <f ca="1">変更履歴!AK3</f>
        <v>三和サービス実績入力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0"/>
      <c r="AX3" s="110">
        <f>変更履歴!AX3</f>
        <v>45636</v>
      </c>
      <c r="AY3" s="110"/>
      <c r="AZ3" s="110"/>
      <c r="BA3" s="110"/>
      <c r="BB3" s="99" t="str">
        <f>変更履歴!BB3</f>
        <v>榎本</v>
      </c>
      <c r="BC3" s="99"/>
      <c r="BD3" s="99"/>
      <c r="BE3" s="99"/>
      <c r="BF3" s="110">
        <f>変更履歴!BF3</f>
        <v>45636</v>
      </c>
      <c r="BG3" s="110"/>
      <c r="BH3" s="110"/>
      <c r="BI3" s="110"/>
      <c r="BJ3" s="99" t="str">
        <f>変更履歴!BJ3</f>
        <v>榎本</v>
      </c>
      <c r="BK3" s="99"/>
      <c r="BL3" s="99"/>
      <c r="BM3" s="111"/>
      <c r="BN3" s="34"/>
    </row>
    <row r="4" spans="1:66" ht="20.100000000000001" customHeight="1" thickBot="1" x14ac:dyDescent="0.5">
      <c r="A4" s="33"/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37"/>
      <c r="AY4" s="137"/>
      <c r="AZ4" s="137"/>
      <c r="BA4" s="137"/>
      <c r="BB4" s="101"/>
      <c r="BC4" s="101"/>
      <c r="BD4" s="101"/>
      <c r="BE4" s="101"/>
      <c r="BF4" s="137"/>
      <c r="BG4" s="137"/>
      <c r="BH4" s="137"/>
      <c r="BI4" s="137"/>
      <c r="BJ4" s="101"/>
      <c r="BK4" s="101"/>
      <c r="BL4" s="101"/>
      <c r="BM4" s="103"/>
      <c r="BN4" s="3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8.4" customHeight="1" thickTop="1" thickBot="1" x14ac:dyDescent="0.5">
      <c r="A6" s="3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34"/>
    </row>
    <row r="7" spans="1:66" ht="13.8" thickTop="1" thickBot="1" x14ac:dyDescent="0.5">
      <c r="A7" s="3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E7" s="138" t="s">
        <v>32</v>
      </c>
      <c r="BF7" s="139"/>
      <c r="BG7" s="142" t="s">
        <v>31</v>
      </c>
      <c r="BH7" s="142"/>
      <c r="BI7" s="143" t="s">
        <v>33</v>
      </c>
      <c r="BJ7" s="144"/>
      <c r="BK7" s="143" t="s">
        <v>34</v>
      </c>
      <c r="BL7" s="136"/>
      <c r="BM7" s="7"/>
      <c r="BN7" s="34"/>
    </row>
    <row r="8" spans="1:66" ht="13.8" thickTop="1" thickBot="1" x14ac:dyDescent="0.5">
      <c r="A8" s="3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L8" s="7"/>
      <c r="AM8" s="7"/>
      <c r="AO8" s="134" t="s">
        <v>35</v>
      </c>
      <c r="AP8" s="135"/>
      <c r="AQ8" s="135"/>
      <c r="AR8" s="135"/>
      <c r="AS8" s="135"/>
      <c r="AT8" s="136"/>
      <c r="AU8" s="134" t="s">
        <v>36</v>
      </c>
      <c r="AV8" s="135"/>
      <c r="AW8" s="135"/>
      <c r="AX8" s="135"/>
      <c r="AY8" s="135"/>
      <c r="AZ8" s="136"/>
      <c r="BE8" s="140"/>
      <c r="BF8" s="141"/>
      <c r="BG8" s="124">
        <f>COUNTA(C10:C51)</f>
        <v>42</v>
      </c>
      <c r="BH8" s="125"/>
      <c r="BI8" s="124">
        <f>COUNTIF(AS10:AT51,"OK")+COUNTIF(AY10:AZ51,"OK")</f>
        <v>42</v>
      </c>
      <c r="BJ8" s="125"/>
      <c r="BK8" s="124">
        <f>BG8-BI8</f>
        <v>0</v>
      </c>
      <c r="BL8" s="145"/>
      <c r="BM8" s="7"/>
      <c r="BN8" s="34"/>
    </row>
    <row r="9" spans="1:66" ht="20.100000000000001" customHeight="1" thickTop="1" x14ac:dyDescent="0.45">
      <c r="A9" s="33"/>
      <c r="B9" s="7"/>
      <c r="C9" s="16" t="s">
        <v>12</v>
      </c>
      <c r="D9" s="27" t="s">
        <v>21</v>
      </c>
      <c r="E9" s="28"/>
      <c r="F9" s="28"/>
      <c r="G9" s="28"/>
      <c r="H9" s="27" t="s">
        <v>22</v>
      </c>
      <c r="I9" s="28"/>
      <c r="J9" s="28"/>
      <c r="K9" s="29"/>
      <c r="L9" s="159" t="s">
        <v>23</v>
      </c>
      <c r="M9" s="160"/>
      <c r="N9" s="160"/>
      <c r="O9" s="161"/>
      <c r="P9" s="27" t="s">
        <v>37</v>
      </c>
      <c r="Q9" s="28"/>
      <c r="R9" s="28"/>
      <c r="S9" s="28"/>
      <c r="T9" s="28"/>
      <c r="U9" s="28"/>
      <c r="V9" s="28"/>
      <c r="W9" s="28"/>
      <c r="X9" s="27" t="s">
        <v>24</v>
      </c>
      <c r="Y9" s="28"/>
      <c r="Z9" s="28"/>
      <c r="AA9" s="28"/>
      <c r="AB9" s="28"/>
      <c r="AC9" s="28"/>
      <c r="AD9" s="28"/>
      <c r="AE9" s="28"/>
      <c r="AF9" s="27" t="s">
        <v>28</v>
      </c>
      <c r="AG9" s="28"/>
      <c r="AH9" s="28"/>
      <c r="AI9" s="28"/>
      <c r="AJ9" s="28"/>
      <c r="AK9" s="28"/>
      <c r="AL9" s="28"/>
      <c r="AM9" s="28"/>
      <c r="AN9" s="30"/>
      <c r="AO9" s="152" t="s">
        <v>25</v>
      </c>
      <c r="AP9" s="153"/>
      <c r="AQ9" s="149" t="s">
        <v>26</v>
      </c>
      <c r="AR9" s="153"/>
      <c r="AS9" s="149" t="s">
        <v>29</v>
      </c>
      <c r="AT9" s="150"/>
      <c r="AU9" s="152" t="s">
        <v>25</v>
      </c>
      <c r="AV9" s="153"/>
      <c r="AW9" s="149" t="s">
        <v>26</v>
      </c>
      <c r="AX9" s="153"/>
      <c r="AY9" s="149" t="s">
        <v>29</v>
      </c>
      <c r="AZ9" s="150"/>
      <c r="BA9" s="151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34"/>
      <c r="BN9" s="34"/>
    </row>
    <row r="10" spans="1:66" ht="24" customHeight="1" x14ac:dyDescent="0.45">
      <c r="A10" s="33"/>
      <c r="B10" s="33"/>
      <c r="C10" s="38">
        <f>ROW()-9</f>
        <v>1</v>
      </c>
      <c r="D10" s="127" t="s">
        <v>55</v>
      </c>
      <c r="E10" s="128"/>
      <c r="F10" s="128"/>
      <c r="G10" s="129"/>
      <c r="H10" s="127" t="s">
        <v>56</v>
      </c>
      <c r="I10" s="128"/>
      <c r="J10" s="128"/>
      <c r="K10" s="129"/>
      <c r="L10" s="130" t="s">
        <v>60</v>
      </c>
      <c r="M10" s="131"/>
      <c r="N10" s="131"/>
      <c r="O10" s="132"/>
      <c r="P10" s="130" t="s">
        <v>57</v>
      </c>
      <c r="Q10" s="131"/>
      <c r="R10" s="131"/>
      <c r="S10" s="131"/>
      <c r="T10" s="131"/>
      <c r="U10" s="131"/>
      <c r="V10" s="131"/>
      <c r="W10" s="132"/>
      <c r="X10" s="130" t="s">
        <v>58</v>
      </c>
      <c r="Y10" s="131"/>
      <c r="Z10" s="131"/>
      <c r="AA10" s="131"/>
      <c r="AB10" s="131"/>
      <c r="AC10" s="131"/>
      <c r="AD10" s="131"/>
      <c r="AE10" s="132"/>
      <c r="AF10" s="130"/>
      <c r="AG10" s="131"/>
      <c r="AH10" s="131"/>
      <c r="AI10" s="131"/>
      <c r="AJ10" s="131"/>
      <c r="AK10" s="131"/>
      <c r="AL10" s="131"/>
      <c r="AM10" s="131"/>
      <c r="AN10" s="133"/>
      <c r="AO10" s="119">
        <v>45683</v>
      </c>
      <c r="AP10" s="120"/>
      <c r="AQ10" s="118" t="s">
        <v>107</v>
      </c>
      <c r="AR10" s="114"/>
      <c r="AS10" s="118" t="s">
        <v>110</v>
      </c>
      <c r="AT10" s="121"/>
      <c r="AU10" s="119"/>
      <c r="AV10" s="120"/>
      <c r="AW10" s="118"/>
      <c r="AX10" s="114"/>
      <c r="AY10" s="118"/>
      <c r="AZ10" s="121"/>
      <c r="BA10" s="146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8"/>
      <c r="BM10" s="34"/>
      <c r="BN10" s="34"/>
    </row>
    <row r="11" spans="1:66" ht="24" customHeight="1" x14ac:dyDescent="0.45">
      <c r="A11" s="33"/>
      <c r="B11" s="33"/>
      <c r="C11" s="38">
        <f t="shared" ref="C11:C50" si="0">ROW()-9</f>
        <v>2</v>
      </c>
      <c r="D11" s="35"/>
      <c r="E11" s="68"/>
      <c r="F11" s="68"/>
      <c r="G11" s="37"/>
      <c r="H11" s="68"/>
      <c r="I11" s="68"/>
      <c r="J11" s="68"/>
      <c r="K11" s="68"/>
      <c r="L11" s="130" t="s">
        <v>61</v>
      </c>
      <c r="M11" s="131"/>
      <c r="N11" s="131"/>
      <c r="O11" s="132"/>
      <c r="P11" s="130" t="s">
        <v>57</v>
      </c>
      <c r="Q11" s="131"/>
      <c r="R11" s="131"/>
      <c r="S11" s="131"/>
      <c r="T11" s="131"/>
      <c r="U11" s="131"/>
      <c r="V11" s="131"/>
      <c r="W11" s="132"/>
      <c r="X11" s="130" t="s">
        <v>106</v>
      </c>
      <c r="Y11" s="131"/>
      <c r="Z11" s="131"/>
      <c r="AA11" s="131"/>
      <c r="AB11" s="131"/>
      <c r="AC11" s="131"/>
      <c r="AD11" s="131"/>
      <c r="AE11" s="132"/>
      <c r="AF11" s="62"/>
      <c r="AG11" s="63"/>
      <c r="AH11" s="63"/>
      <c r="AI11" s="63"/>
      <c r="AJ11" s="63"/>
      <c r="AK11" s="63"/>
      <c r="AL11" s="63"/>
      <c r="AM11" s="63"/>
      <c r="AN11" s="67"/>
      <c r="AO11" s="119">
        <v>45683</v>
      </c>
      <c r="AP11" s="120"/>
      <c r="AQ11" s="118" t="s">
        <v>107</v>
      </c>
      <c r="AR11" s="114"/>
      <c r="AS11" s="118" t="s">
        <v>108</v>
      </c>
      <c r="AT11" s="121"/>
      <c r="AU11" s="119">
        <v>45688</v>
      </c>
      <c r="AV11" s="120"/>
      <c r="AW11" s="118" t="s">
        <v>107</v>
      </c>
      <c r="AX11" s="114"/>
      <c r="AY11" s="118" t="s">
        <v>110</v>
      </c>
      <c r="AZ11" s="121"/>
      <c r="BA11" s="64" t="s">
        <v>111</v>
      </c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6"/>
      <c r="BM11" s="34"/>
      <c r="BN11" s="34"/>
    </row>
    <row r="12" spans="1:66" ht="24" customHeight="1" x14ac:dyDescent="0.45">
      <c r="A12" s="33"/>
      <c r="B12" s="33"/>
      <c r="C12" s="38">
        <f t="shared" si="0"/>
        <v>3</v>
      </c>
      <c r="D12" s="35"/>
      <c r="E12" s="68"/>
      <c r="F12" s="68"/>
      <c r="G12" s="37"/>
      <c r="H12" s="68"/>
      <c r="I12" s="68"/>
      <c r="J12" s="68"/>
      <c r="K12" s="68"/>
      <c r="L12" s="130" t="s">
        <v>62</v>
      </c>
      <c r="M12" s="131"/>
      <c r="N12" s="131"/>
      <c r="O12" s="132"/>
      <c r="P12" s="130" t="s">
        <v>57</v>
      </c>
      <c r="Q12" s="131"/>
      <c r="R12" s="131"/>
      <c r="S12" s="131"/>
      <c r="T12" s="131"/>
      <c r="U12" s="131"/>
      <c r="V12" s="131"/>
      <c r="W12" s="132"/>
      <c r="X12" s="130" t="s">
        <v>106</v>
      </c>
      <c r="Y12" s="131"/>
      <c r="Z12" s="131"/>
      <c r="AA12" s="131"/>
      <c r="AB12" s="131"/>
      <c r="AC12" s="131"/>
      <c r="AD12" s="131"/>
      <c r="AE12" s="132"/>
      <c r="AF12" s="62"/>
      <c r="AG12" s="63"/>
      <c r="AH12" s="63"/>
      <c r="AI12" s="63"/>
      <c r="AJ12" s="63"/>
      <c r="AK12" s="63"/>
      <c r="AL12" s="63"/>
      <c r="AM12" s="63"/>
      <c r="AN12" s="67"/>
      <c r="AO12" s="119">
        <v>45683</v>
      </c>
      <c r="AP12" s="120"/>
      <c r="AQ12" s="118" t="s">
        <v>107</v>
      </c>
      <c r="AR12" s="114"/>
      <c r="AS12" s="118" t="s">
        <v>108</v>
      </c>
      <c r="AT12" s="121"/>
      <c r="AU12" s="119">
        <v>45688</v>
      </c>
      <c r="AV12" s="120"/>
      <c r="AW12" s="118" t="s">
        <v>107</v>
      </c>
      <c r="AX12" s="114"/>
      <c r="AY12" s="118" t="s">
        <v>110</v>
      </c>
      <c r="AZ12" s="121"/>
      <c r="BA12" s="90" t="s">
        <v>111</v>
      </c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6"/>
      <c r="BM12" s="34"/>
      <c r="BN12" s="34"/>
    </row>
    <row r="13" spans="1:66" ht="24" customHeight="1" x14ac:dyDescent="0.45">
      <c r="A13" s="33"/>
      <c r="B13" s="33"/>
      <c r="C13" s="38">
        <f t="shared" si="0"/>
        <v>4</v>
      </c>
      <c r="D13" s="35"/>
      <c r="E13" s="68"/>
      <c r="F13" s="68"/>
      <c r="G13" s="37"/>
      <c r="H13" s="68"/>
      <c r="I13" s="68"/>
      <c r="J13" s="68"/>
      <c r="K13" s="68"/>
      <c r="L13" s="130" t="s">
        <v>63</v>
      </c>
      <c r="M13" s="131"/>
      <c r="N13" s="131"/>
      <c r="O13" s="132"/>
      <c r="P13" s="130" t="s">
        <v>57</v>
      </c>
      <c r="Q13" s="131"/>
      <c r="R13" s="131"/>
      <c r="S13" s="131"/>
      <c r="T13" s="131"/>
      <c r="U13" s="131"/>
      <c r="V13" s="131"/>
      <c r="W13" s="132"/>
      <c r="X13" s="130" t="s">
        <v>106</v>
      </c>
      <c r="Y13" s="131"/>
      <c r="Z13" s="131"/>
      <c r="AA13" s="131"/>
      <c r="AB13" s="131"/>
      <c r="AC13" s="131"/>
      <c r="AD13" s="131"/>
      <c r="AE13" s="132"/>
      <c r="AF13" s="62"/>
      <c r="AG13" s="63"/>
      <c r="AH13" s="63"/>
      <c r="AI13" s="63"/>
      <c r="AJ13" s="63"/>
      <c r="AK13" s="63"/>
      <c r="AL13" s="63"/>
      <c r="AM13" s="63"/>
      <c r="AN13" s="67"/>
      <c r="AO13" s="119">
        <v>45683</v>
      </c>
      <c r="AP13" s="120"/>
      <c r="AQ13" s="118" t="s">
        <v>107</v>
      </c>
      <c r="AR13" s="114"/>
      <c r="AS13" s="118" t="s">
        <v>108</v>
      </c>
      <c r="AT13" s="121"/>
      <c r="AU13" s="119">
        <v>45688</v>
      </c>
      <c r="AV13" s="120"/>
      <c r="AW13" s="118" t="s">
        <v>107</v>
      </c>
      <c r="AX13" s="114"/>
      <c r="AY13" s="118" t="s">
        <v>110</v>
      </c>
      <c r="AZ13" s="121"/>
      <c r="BA13" s="90" t="s">
        <v>111</v>
      </c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6"/>
      <c r="BM13" s="34"/>
      <c r="BN13" s="34"/>
    </row>
    <row r="14" spans="1:66" ht="24" customHeight="1" x14ac:dyDescent="0.45">
      <c r="A14" s="33"/>
      <c r="B14" s="33"/>
      <c r="C14" s="38">
        <f t="shared" si="0"/>
        <v>5</v>
      </c>
      <c r="D14" s="35"/>
      <c r="E14" s="68"/>
      <c r="F14" s="68"/>
      <c r="G14" s="37"/>
      <c r="H14" s="68"/>
      <c r="I14" s="68"/>
      <c r="J14" s="68"/>
      <c r="K14" s="68"/>
      <c r="L14" s="130" t="s">
        <v>64</v>
      </c>
      <c r="M14" s="131"/>
      <c r="N14" s="131"/>
      <c r="O14" s="132"/>
      <c r="P14" s="130" t="s">
        <v>57</v>
      </c>
      <c r="Q14" s="131"/>
      <c r="R14" s="131"/>
      <c r="S14" s="131"/>
      <c r="T14" s="131"/>
      <c r="U14" s="131"/>
      <c r="V14" s="131"/>
      <c r="W14" s="132"/>
      <c r="X14" s="130" t="s">
        <v>106</v>
      </c>
      <c r="Y14" s="131"/>
      <c r="Z14" s="131"/>
      <c r="AA14" s="131"/>
      <c r="AB14" s="131"/>
      <c r="AC14" s="131"/>
      <c r="AD14" s="131"/>
      <c r="AE14" s="132"/>
      <c r="AF14" s="62"/>
      <c r="AG14" s="63"/>
      <c r="AH14" s="63"/>
      <c r="AI14" s="63"/>
      <c r="AJ14" s="63"/>
      <c r="AK14" s="63"/>
      <c r="AL14" s="63"/>
      <c r="AM14" s="63"/>
      <c r="AN14" s="67"/>
      <c r="AO14" s="119">
        <v>45683</v>
      </c>
      <c r="AP14" s="120"/>
      <c r="AQ14" s="118" t="s">
        <v>107</v>
      </c>
      <c r="AR14" s="114"/>
      <c r="AS14" s="118" t="s">
        <v>108</v>
      </c>
      <c r="AT14" s="121"/>
      <c r="AU14" s="119">
        <v>45688</v>
      </c>
      <c r="AV14" s="120"/>
      <c r="AW14" s="118" t="s">
        <v>107</v>
      </c>
      <c r="AX14" s="114"/>
      <c r="AY14" s="118" t="s">
        <v>110</v>
      </c>
      <c r="AZ14" s="121"/>
      <c r="BA14" s="90" t="s">
        <v>111</v>
      </c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6"/>
      <c r="BM14" s="34"/>
      <c r="BN14" s="34"/>
    </row>
    <row r="15" spans="1:66" ht="24" customHeight="1" x14ac:dyDescent="0.45">
      <c r="A15" s="33"/>
      <c r="B15" s="33"/>
      <c r="C15" s="38">
        <f t="shared" si="0"/>
        <v>6</v>
      </c>
      <c r="D15" s="35"/>
      <c r="E15" s="75"/>
      <c r="F15" s="75"/>
      <c r="G15" s="37"/>
      <c r="H15" s="75"/>
      <c r="I15" s="75"/>
      <c r="J15" s="75"/>
      <c r="K15" s="75"/>
      <c r="L15" s="130" t="s">
        <v>65</v>
      </c>
      <c r="M15" s="131"/>
      <c r="N15" s="131"/>
      <c r="O15" s="132"/>
      <c r="P15" s="130" t="s">
        <v>57</v>
      </c>
      <c r="Q15" s="131"/>
      <c r="R15" s="131"/>
      <c r="S15" s="131"/>
      <c r="T15" s="131"/>
      <c r="U15" s="131"/>
      <c r="V15" s="131"/>
      <c r="W15" s="132"/>
      <c r="X15" s="130" t="s">
        <v>106</v>
      </c>
      <c r="Y15" s="131"/>
      <c r="Z15" s="131"/>
      <c r="AA15" s="131"/>
      <c r="AB15" s="131"/>
      <c r="AC15" s="131"/>
      <c r="AD15" s="131"/>
      <c r="AE15" s="132"/>
      <c r="AF15" s="70"/>
      <c r="AG15" s="71"/>
      <c r="AH15" s="71"/>
      <c r="AI15" s="71"/>
      <c r="AJ15" s="71"/>
      <c r="AK15" s="71"/>
      <c r="AL15" s="71"/>
      <c r="AM15" s="71"/>
      <c r="AN15" s="74"/>
      <c r="AO15" s="119">
        <v>45683</v>
      </c>
      <c r="AP15" s="120"/>
      <c r="AQ15" s="118" t="s">
        <v>107</v>
      </c>
      <c r="AR15" s="114"/>
      <c r="AS15" s="118" t="s">
        <v>108</v>
      </c>
      <c r="AT15" s="121"/>
      <c r="AU15" s="119">
        <v>45688</v>
      </c>
      <c r="AV15" s="120"/>
      <c r="AW15" s="118" t="s">
        <v>107</v>
      </c>
      <c r="AX15" s="114"/>
      <c r="AY15" s="118" t="s">
        <v>110</v>
      </c>
      <c r="AZ15" s="121"/>
      <c r="BA15" s="90" t="s">
        <v>111</v>
      </c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3"/>
      <c r="BM15" s="34"/>
      <c r="BN15" s="34"/>
    </row>
    <row r="16" spans="1:66" ht="24" customHeight="1" x14ac:dyDescent="0.45">
      <c r="A16" s="33"/>
      <c r="B16" s="33"/>
      <c r="C16" s="38">
        <f t="shared" si="0"/>
        <v>7</v>
      </c>
      <c r="D16" s="35"/>
      <c r="E16" s="68"/>
      <c r="F16" s="68"/>
      <c r="G16" s="37"/>
      <c r="H16" s="68"/>
      <c r="I16" s="68"/>
      <c r="J16" s="68"/>
      <c r="K16" s="68"/>
      <c r="L16" s="130" t="s">
        <v>66</v>
      </c>
      <c r="M16" s="131"/>
      <c r="N16" s="131"/>
      <c r="O16" s="132"/>
      <c r="P16" s="130" t="s">
        <v>57</v>
      </c>
      <c r="Q16" s="131"/>
      <c r="R16" s="131"/>
      <c r="S16" s="131"/>
      <c r="T16" s="131"/>
      <c r="U16" s="131"/>
      <c r="V16" s="131"/>
      <c r="W16" s="132"/>
      <c r="X16" s="130" t="s">
        <v>106</v>
      </c>
      <c r="Y16" s="131"/>
      <c r="Z16" s="131"/>
      <c r="AA16" s="131"/>
      <c r="AB16" s="131"/>
      <c r="AC16" s="131"/>
      <c r="AD16" s="131"/>
      <c r="AE16" s="132"/>
      <c r="AF16" s="62"/>
      <c r="AG16" s="63"/>
      <c r="AH16" s="63"/>
      <c r="AI16" s="63"/>
      <c r="AJ16" s="63"/>
      <c r="AK16" s="63"/>
      <c r="AL16" s="63"/>
      <c r="AM16" s="63"/>
      <c r="AN16" s="67"/>
      <c r="AO16" s="119">
        <v>45683</v>
      </c>
      <c r="AP16" s="120"/>
      <c r="AQ16" s="118" t="s">
        <v>107</v>
      </c>
      <c r="AR16" s="114"/>
      <c r="AS16" s="118" t="s">
        <v>108</v>
      </c>
      <c r="AT16" s="121"/>
      <c r="AU16" s="119">
        <v>45688</v>
      </c>
      <c r="AV16" s="120"/>
      <c r="AW16" s="118" t="s">
        <v>107</v>
      </c>
      <c r="AX16" s="114"/>
      <c r="AY16" s="118" t="s">
        <v>110</v>
      </c>
      <c r="AZ16" s="121"/>
      <c r="BA16" s="90" t="s">
        <v>111</v>
      </c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6"/>
      <c r="BM16" s="34"/>
      <c r="BN16" s="34"/>
    </row>
    <row r="17" spans="1:66" ht="24" customHeight="1" x14ac:dyDescent="0.45">
      <c r="A17" s="33"/>
      <c r="B17" s="33"/>
      <c r="C17" s="38">
        <f t="shared" si="0"/>
        <v>8</v>
      </c>
      <c r="D17" s="35"/>
      <c r="E17" s="68"/>
      <c r="F17" s="68"/>
      <c r="G17" s="37"/>
      <c r="H17" s="68"/>
      <c r="I17" s="68"/>
      <c r="J17" s="68"/>
      <c r="K17" s="68"/>
      <c r="L17" s="130" t="s">
        <v>67</v>
      </c>
      <c r="M17" s="131"/>
      <c r="N17" s="131"/>
      <c r="O17" s="132"/>
      <c r="P17" s="130" t="s">
        <v>57</v>
      </c>
      <c r="Q17" s="131"/>
      <c r="R17" s="131"/>
      <c r="S17" s="131"/>
      <c r="T17" s="131"/>
      <c r="U17" s="131"/>
      <c r="V17" s="131"/>
      <c r="W17" s="132"/>
      <c r="X17" s="130" t="s">
        <v>106</v>
      </c>
      <c r="Y17" s="131"/>
      <c r="Z17" s="131"/>
      <c r="AA17" s="131"/>
      <c r="AB17" s="131"/>
      <c r="AC17" s="131"/>
      <c r="AD17" s="131"/>
      <c r="AE17" s="132"/>
      <c r="AF17" s="62"/>
      <c r="AG17" s="63"/>
      <c r="AH17" s="63"/>
      <c r="AI17" s="63"/>
      <c r="AJ17" s="63"/>
      <c r="AK17" s="63"/>
      <c r="AL17" s="63"/>
      <c r="AM17" s="63"/>
      <c r="AN17" s="67"/>
      <c r="AO17" s="119">
        <v>45683</v>
      </c>
      <c r="AP17" s="120"/>
      <c r="AQ17" s="118" t="s">
        <v>107</v>
      </c>
      <c r="AR17" s="114"/>
      <c r="AS17" s="118" t="s">
        <v>108</v>
      </c>
      <c r="AT17" s="121"/>
      <c r="AU17" s="119">
        <v>45688</v>
      </c>
      <c r="AV17" s="120"/>
      <c r="AW17" s="118" t="s">
        <v>107</v>
      </c>
      <c r="AX17" s="114"/>
      <c r="AY17" s="118" t="s">
        <v>110</v>
      </c>
      <c r="AZ17" s="121"/>
      <c r="BA17" s="90" t="s">
        <v>111</v>
      </c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6"/>
      <c r="BM17" s="34"/>
      <c r="BN17" s="34"/>
    </row>
    <row r="18" spans="1:66" ht="24" customHeight="1" x14ac:dyDescent="0.45">
      <c r="A18" s="33"/>
      <c r="B18" s="33"/>
      <c r="C18" s="38">
        <f t="shared" si="0"/>
        <v>9</v>
      </c>
      <c r="D18" s="35"/>
      <c r="E18" s="68"/>
      <c r="F18" s="68"/>
      <c r="G18" s="37"/>
      <c r="H18" s="68"/>
      <c r="I18" s="68"/>
      <c r="J18" s="68"/>
      <c r="K18" s="68"/>
      <c r="L18" s="162" t="s">
        <v>68</v>
      </c>
      <c r="M18" s="163"/>
      <c r="N18" s="163"/>
      <c r="O18" s="164"/>
      <c r="P18" s="130" t="s">
        <v>57</v>
      </c>
      <c r="Q18" s="131"/>
      <c r="R18" s="131"/>
      <c r="S18" s="131"/>
      <c r="T18" s="131"/>
      <c r="U18" s="131"/>
      <c r="V18" s="131"/>
      <c r="W18" s="132"/>
      <c r="X18" s="130" t="s">
        <v>106</v>
      </c>
      <c r="Y18" s="131"/>
      <c r="Z18" s="131"/>
      <c r="AA18" s="131"/>
      <c r="AB18" s="131"/>
      <c r="AC18" s="131"/>
      <c r="AD18" s="131"/>
      <c r="AE18" s="132"/>
      <c r="AF18" s="62"/>
      <c r="AG18" s="63"/>
      <c r="AH18" s="63"/>
      <c r="AI18" s="63"/>
      <c r="AJ18" s="63"/>
      <c r="AK18" s="63"/>
      <c r="AL18" s="63"/>
      <c r="AM18" s="63"/>
      <c r="AN18" s="67"/>
      <c r="AO18" s="119">
        <v>45683</v>
      </c>
      <c r="AP18" s="120"/>
      <c r="AQ18" s="118" t="s">
        <v>107</v>
      </c>
      <c r="AR18" s="114"/>
      <c r="AS18" s="118" t="s">
        <v>108</v>
      </c>
      <c r="AT18" s="121"/>
      <c r="AU18" s="119">
        <v>45688</v>
      </c>
      <c r="AV18" s="120"/>
      <c r="AW18" s="118" t="s">
        <v>107</v>
      </c>
      <c r="AX18" s="114"/>
      <c r="AY18" s="118" t="s">
        <v>110</v>
      </c>
      <c r="AZ18" s="121"/>
      <c r="BA18" s="90" t="s">
        <v>111</v>
      </c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6"/>
      <c r="BM18" s="34"/>
      <c r="BN18" s="34"/>
    </row>
    <row r="19" spans="1:66" ht="24" customHeight="1" x14ac:dyDescent="0.45">
      <c r="A19" s="33"/>
      <c r="B19" s="33"/>
      <c r="C19" s="38">
        <f t="shared" si="0"/>
        <v>10</v>
      </c>
      <c r="D19" s="35"/>
      <c r="E19" s="68"/>
      <c r="F19" s="68"/>
      <c r="G19" s="37"/>
      <c r="H19" s="68"/>
      <c r="I19" s="68"/>
      <c r="J19" s="68"/>
      <c r="K19" s="68"/>
      <c r="L19" s="130" t="s">
        <v>69</v>
      </c>
      <c r="M19" s="131"/>
      <c r="N19" s="131"/>
      <c r="O19" s="132"/>
      <c r="P19" s="130" t="s">
        <v>57</v>
      </c>
      <c r="Q19" s="131"/>
      <c r="R19" s="131"/>
      <c r="S19" s="131"/>
      <c r="T19" s="131"/>
      <c r="U19" s="131"/>
      <c r="V19" s="131"/>
      <c r="W19" s="132"/>
      <c r="X19" s="130" t="s">
        <v>106</v>
      </c>
      <c r="Y19" s="131"/>
      <c r="Z19" s="131"/>
      <c r="AA19" s="131"/>
      <c r="AB19" s="131"/>
      <c r="AC19" s="131"/>
      <c r="AD19" s="131"/>
      <c r="AE19" s="132"/>
      <c r="AF19" s="62"/>
      <c r="AG19" s="63"/>
      <c r="AH19" s="63"/>
      <c r="AI19" s="63"/>
      <c r="AJ19" s="63"/>
      <c r="AK19" s="63"/>
      <c r="AL19" s="63"/>
      <c r="AM19" s="63"/>
      <c r="AN19" s="67"/>
      <c r="AO19" s="119">
        <v>45683</v>
      </c>
      <c r="AP19" s="120"/>
      <c r="AQ19" s="118" t="s">
        <v>107</v>
      </c>
      <c r="AR19" s="114"/>
      <c r="AS19" s="118" t="s">
        <v>108</v>
      </c>
      <c r="AT19" s="121"/>
      <c r="AU19" s="119">
        <v>45688</v>
      </c>
      <c r="AV19" s="120"/>
      <c r="AW19" s="118" t="s">
        <v>107</v>
      </c>
      <c r="AX19" s="114"/>
      <c r="AY19" s="118" t="s">
        <v>110</v>
      </c>
      <c r="AZ19" s="121"/>
      <c r="BA19" s="90" t="s">
        <v>111</v>
      </c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6"/>
      <c r="BM19" s="34"/>
      <c r="BN19" s="34"/>
    </row>
    <row r="20" spans="1:66" ht="24" customHeight="1" x14ac:dyDescent="0.45">
      <c r="A20" s="33"/>
      <c r="B20" s="33"/>
      <c r="C20" s="38">
        <f t="shared" si="0"/>
        <v>11</v>
      </c>
      <c r="D20" s="35"/>
      <c r="E20" s="68"/>
      <c r="F20" s="68"/>
      <c r="G20" s="37"/>
      <c r="H20" s="68"/>
      <c r="I20" s="68"/>
      <c r="J20" s="68"/>
      <c r="K20" s="68"/>
      <c r="L20" s="130" t="s">
        <v>70</v>
      </c>
      <c r="M20" s="131"/>
      <c r="N20" s="131"/>
      <c r="O20" s="132"/>
      <c r="P20" s="130" t="s">
        <v>57</v>
      </c>
      <c r="Q20" s="131"/>
      <c r="R20" s="131"/>
      <c r="S20" s="131"/>
      <c r="T20" s="131"/>
      <c r="U20" s="131"/>
      <c r="V20" s="131"/>
      <c r="W20" s="132"/>
      <c r="X20" s="130" t="s">
        <v>106</v>
      </c>
      <c r="Y20" s="131"/>
      <c r="Z20" s="131"/>
      <c r="AA20" s="131"/>
      <c r="AB20" s="131"/>
      <c r="AC20" s="131"/>
      <c r="AD20" s="131"/>
      <c r="AE20" s="132"/>
      <c r="AF20" s="62"/>
      <c r="AG20" s="63"/>
      <c r="AH20" s="63"/>
      <c r="AI20" s="63"/>
      <c r="AJ20" s="63"/>
      <c r="AK20" s="63"/>
      <c r="AL20" s="63"/>
      <c r="AM20" s="63"/>
      <c r="AN20" s="67"/>
      <c r="AO20" s="119">
        <v>45683</v>
      </c>
      <c r="AP20" s="120"/>
      <c r="AQ20" s="118" t="s">
        <v>107</v>
      </c>
      <c r="AR20" s="114"/>
      <c r="AS20" s="118" t="s">
        <v>108</v>
      </c>
      <c r="AT20" s="121"/>
      <c r="AU20" s="119">
        <v>45688</v>
      </c>
      <c r="AV20" s="120"/>
      <c r="AW20" s="118" t="s">
        <v>107</v>
      </c>
      <c r="AX20" s="114"/>
      <c r="AY20" s="118" t="s">
        <v>110</v>
      </c>
      <c r="AZ20" s="121"/>
      <c r="BA20" s="90" t="s">
        <v>111</v>
      </c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6"/>
      <c r="BM20" s="34"/>
      <c r="BN20" s="34"/>
    </row>
    <row r="21" spans="1:66" ht="24" customHeight="1" x14ac:dyDescent="0.45">
      <c r="A21" s="33"/>
      <c r="B21" s="33"/>
      <c r="C21" s="38">
        <f t="shared" si="0"/>
        <v>12</v>
      </c>
      <c r="D21" s="35"/>
      <c r="E21" s="68"/>
      <c r="F21" s="68"/>
      <c r="G21" s="37"/>
      <c r="H21" s="68"/>
      <c r="I21" s="68"/>
      <c r="J21" s="68"/>
      <c r="K21" s="68"/>
      <c r="L21" s="130" t="s">
        <v>71</v>
      </c>
      <c r="M21" s="131"/>
      <c r="N21" s="131"/>
      <c r="O21" s="132"/>
      <c r="P21" s="130" t="s">
        <v>57</v>
      </c>
      <c r="Q21" s="131"/>
      <c r="R21" s="131"/>
      <c r="S21" s="131"/>
      <c r="T21" s="131"/>
      <c r="U21" s="131"/>
      <c r="V21" s="131"/>
      <c r="W21" s="132"/>
      <c r="X21" s="130" t="s">
        <v>106</v>
      </c>
      <c r="Y21" s="131"/>
      <c r="Z21" s="131"/>
      <c r="AA21" s="131"/>
      <c r="AB21" s="131"/>
      <c r="AC21" s="131"/>
      <c r="AD21" s="131"/>
      <c r="AE21" s="132"/>
      <c r="AF21" s="62"/>
      <c r="AG21" s="63"/>
      <c r="AH21" s="63"/>
      <c r="AI21" s="63"/>
      <c r="AJ21" s="63"/>
      <c r="AK21" s="63"/>
      <c r="AL21" s="63"/>
      <c r="AM21" s="63"/>
      <c r="AN21" s="67"/>
      <c r="AO21" s="119">
        <v>45683</v>
      </c>
      <c r="AP21" s="120"/>
      <c r="AQ21" s="118" t="s">
        <v>107</v>
      </c>
      <c r="AR21" s="114"/>
      <c r="AS21" s="118" t="s">
        <v>108</v>
      </c>
      <c r="AT21" s="121"/>
      <c r="AU21" s="119">
        <v>45688</v>
      </c>
      <c r="AV21" s="120"/>
      <c r="AW21" s="118" t="s">
        <v>107</v>
      </c>
      <c r="AX21" s="114"/>
      <c r="AY21" s="118" t="s">
        <v>110</v>
      </c>
      <c r="AZ21" s="121"/>
      <c r="BA21" s="90" t="s">
        <v>111</v>
      </c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6"/>
      <c r="BM21" s="34"/>
      <c r="BN21" s="34"/>
    </row>
    <row r="22" spans="1:66" ht="24" customHeight="1" x14ac:dyDescent="0.45">
      <c r="A22" s="33"/>
      <c r="B22" s="33"/>
      <c r="C22" s="38">
        <f t="shared" si="0"/>
        <v>13</v>
      </c>
      <c r="D22" s="35"/>
      <c r="E22" s="68"/>
      <c r="F22" s="68"/>
      <c r="G22" s="37"/>
      <c r="H22" s="68"/>
      <c r="I22" s="68"/>
      <c r="J22" s="68"/>
      <c r="K22" s="68"/>
      <c r="L22" s="130" t="s">
        <v>72</v>
      </c>
      <c r="M22" s="131"/>
      <c r="N22" s="131"/>
      <c r="O22" s="132"/>
      <c r="P22" s="130" t="s">
        <v>57</v>
      </c>
      <c r="Q22" s="131"/>
      <c r="R22" s="131"/>
      <c r="S22" s="131"/>
      <c r="T22" s="131"/>
      <c r="U22" s="131"/>
      <c r="V22" s="131"/>
      <c r="W22" s="132"/>
      <c r="X22" s="130" t="s">
        <v>106</v>
      </c>
      <c r="Y22" s="131"/>
      <c r="Z22" s="131"/>
      <c r="AA22" s="131"/>
      <c r="AB22" s="131"/>
      <c r="AC22" s="131"/>
      <c r="AD22" s="131"/>
      <c r="AE22" s="132"/>
      <c r="AF22" s="62"/>
      <c r="AG22" s="63"/>
      <c r="AH22" s="63"/>
      <c r="AI22" s="63"/>
      <c r="AJ22" s="63"/>
      <c r="AK22" s="63"/>
      <c r="AL22" s="63"/>
      <c r="AM22" s="63"/>
      <c r="AN22" s="67"/>
      <c r="AO22" s="119">
        <v>45683</v>
      </c>
      <c r="AP22" s="120"/>
      <c r="AQ22" s="118" t="s">
        <v>107</v>
      </c>
      <c r="AR22" s="114"/>
      <c r="AS22" s="118" t="s">
        <v>108</v>
      </c>
      <c r="AT22" s="121"/>
      <c r="AU22" s="119">
        <v>45688</v>
      </c>
      <c r="AV22" s="120"/>
      <c r="AW22" s="118" t="s">
        <v>107</v>
      </c>
      <c r="AX22" s="114"/>
      <c r="AY22" s="118" t="s">
        <v>110</v>
      </c>
      <c r="AZ22" s="121"/>
      <c r="BA22" s="90" t="s">
        <v>111</v>
      </c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6"/>
      <c r="BM22" s="34"/>
      <c r="BN22" s="34"/>
    </row>
    <row r="23" spans="1:66" ht="24" customHeight="1" x14ac:dyDescent="0.45">
      <c r="A23" s="33"/>
      <c r="B23" s="33"/>
      <c r="C23" s="38">
        <f t="shared" si="0"/>
        <v>14</v>
      </c>
      <c r="D23" s="35"/>
      <c r="E23" s="68"/>
      <c r="F23" s="68"/>
      <c r="G23" s="37"/>
      <c r="H23" s="68"/>
      <c r="I23" s="68"/>
      <c r="J23" s="68"/>
      <c r="K23" s="68"/>
      <c r="L23" s="130" t="s">
        <v>73</v>
      </c>
      <c r="M23" s="131"/>
      <c r="N23" s="131"/>
      <c r="O23" s="132"/>
      <c r="P23" s="130" t="s">
        <v>57</v>
      </c>
      <c r="Q23" s="131"/>
      <c r="R23" s="131"/>
      <c r="S23" s="131"/>
      <c r="T23" s="131"/>
      <c r="U23" s="131"/>
      <c r="V23" s="131"/>
      <c r="W23" s="132"/>
      <c r="X23" s="130" t="s">
        <v>106</v>
      </c>
      <c r="Y23" s="131"/>
      <c r="Z23" s="131"/>
      <c r="AA23" s="131"/>
      <c r="AB23" s="131"/>
      <c r="AC23" s="131"/>
      <c r="AD23" s="131"/>
      <c r="AE23" s="132"/>
      <c r="AF23" s="62"/>
      <c r="AG23" s="63"/>
      <c r="AH23" s="63"/>
      <c r="AI23" s="63"/>
      <c r="AJ23" s="63"/>
      <c r="AK23" s="63"/>
      <c r="AL23" s="63"/>
      <c r="AM23" s="63"/>
      <c r="AN23" s="67"/>
      <c r="AO23" s="119">
        <v>45683</v>
      </c>
      <c r="AP23" s="120"/>
      <c r="AQ23" s="118" t="s">
        <v>107</v>
      </c>
      <c r="AR23" s="114"/>
      <c r="AS23" s="118" t="s">
        <v>108</v>
      </c>
      <c r="AT23" s="121"/>
      <c r="AU23" s="119">
        <v>45688</v>
      </c>
      <c r="AV23" s="120"/>
      <c r="AW23" s="118" t="s">
        <v>107</v>
      </c>
      <c r="AX23" s="114"/>
      <c r="AY23" s="118" t="s">
        <v>110</v>
      </c>
      <c r="AZ23" s="121"/>
      <c r="BA23" s="90" t="s">
        <v>111</v>
      </c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6"/>
      <c r="BM23" s="34"/>
      <c r="BN23" s="34"/>
    </row>
    <row r="24" spans="1:66" ht="24" customHeight="1" x14ac:dyDescent="0.45">
      <c r="A24" s="33"/>
      <c r="B24" s="33"/>
      <c r="C24" s="38">
        <f t="shared" si="0"/>
        <v>15</v>
      </c>
      <c r="D24" s="35"/>
      <c r="E24" s="68"/>
      <c r="F24" s="68"/>
      <c r="G24" s="37"/>
      <c r="H24" s="54"/>
      <c r="I24" s="68"/>
      <c r="J24" s="68"/>
      <c r="K24" s="68"/>
      <c r="L24" s="130" t="s">
        <v>74</v>
      </c>
      <c r="M24" s="131"/>
      <c r="N24" s="131"/>
      <c r="O24" s="132"/>
      <c r="P24" s="130" t="s">
        <v>105</v>
      </c>
      <c r="Q24" s="131"/>
      <c r="R24" s="131"/>
      <c r="S24" s="131"/>
      <c r="T24" s="131"/>
      <c r="U24" s="131"/>
      <c r="V24" s="131"/>
      <c r="W24" s="132"/>
      <c r="X24" s="130" t="s">
        <v>106</v>
      </c>
      <c r="Y24" s="131"/>
      <c r="Z24" s="131"/>
      <c r="AA24" s="131"/>
      <c r="AB24" s="131"/>
      <c r="AC24" s="131"/>
      <c r="AD24" s="131"/>
      <c r="AE24" s="132"/>
      <c r="AF24" s="62"/>
      <c r="AG24" s="63"/>
      <c r="AH24" s="63"/>
      <c r="AI24" s="63"/>
      <c r="AJ24" s="63"/>
      <c r="AK24" s="63"/>
      <c r="AL24" s="63"/>
      <c r="AM24" s="63"/>
      <c r="AN24" s="67"/>
      <c r="AO24" s="119">
        <v>45683</v>
      </c>
      <c r="AP24" s="120"/>
      <c r="AQ24" s="118" t="s">
        <v>107</v>
      </c>
      <c r="AR24" s="114"/>
      <c r="AS24" s="118" t="s">
        <v>108</v>
      </c>
      <c r="AT24" s="121"/>
      <c r="AU24" s="119">
        <v>45688</v>
      </c>
      <c r="AV24" s="120"/>
      <c r="AW24" s="118" t="s">
        <v>107</v>
      </c>
      <c r="AX24" s="114"/>
      <c r="AY24" s="118" t="s">
        <v>110</v>
      </c>
      <c r="AZ24" s="121"/>
      <c r="BA24" s="90" t="s">
        <v>111</v>
      </c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6"/>
      <c r="BM24" s="34"/>
      <c r="BN24" s="34"/>
    </row>
    <row r="25" spans="1:66" ht="24" customHeight="1" x14ac:dyDescent="0.45">
      <c r="A25" s="33"/>
      <c r="B25" s="33"/>
      <c r="C25" s="38">
        <f t="shared" si="0"/>
        <v>16</v>
      </c>
      <c r="D25" s="35"/>
      <c r="E25" s="68"/>
      <c r="F25" s="68"/>
      <c r="G25" s="37"/>
      <c r="H25" s="54"/>
      <c r="I25" s="68"/>
      <c r="J25" s="68"/>
      <c r="K25" s="68"/>
      <c r="L25" s="130" t="s">
        <v>75</v>
      </c>
      <c r="M25" s="131"/>
      <c r="N25" s="131"/>
      <c r="O25" s="132"/>
      <c r="P25" s="130" t="s">
        <v>105</v>
      </c>
      <c r="Q25" s="131"/>
      <c r="R25" s="131"/>
      <c r="S25" s="131"/>
      <c r="T25" s="131"/>
      <c r="U25" s="131"/>
      <c r="V25" s="131"/>
      <c r="W25" s="132"/>
      <c r="X25" s="130" t="s">
        <v>106</v>
      </c>
      <c r="Y25" s="131"/>
      <c r="Z25" s="131"/>
      <c r="AA25" s="131"/>
      <c r="AB25" s="131"/>
      <c r="AC25" s="131"/>
      <c r="AD25" s="131"/>
      <c r="AE25" s="132"/>
      <c r="AF25" s="62"/>
      <c r="AG25" s="63"/>
      <c r="AH25" s="63"/>
      <c r="AI25" s="63"/>
      <c r="AJ25" s="63"/>
      <c r="AK25" s="63"/>
      <c r="AL25" s="63"/>
      <c r="AM25" s="63"/>
      <c r="AN25" s="67"/>
      <c r="AO25" s="119">
        <v>45683</v>
      </c>
      <c r="AP25" s="120"/>
      <c r="AQ25" s="118" t="s">
        <v>107</v>
      </c>
      <c r="AR25" s="114"/>
      <c r="AS25" s="118" t="s">
        <v>108</v>
      </c>
      <c r="AT25" s="121"/>
      <c r="AU25" s="119">
        <v>45688</v>
      </c>
      <c r="AV25" s="120"/>
      <c r="AW25" s="118" t="s">
        <v>107</v>
      </c>
      <c r="AX25" s="114"/>
      <c r="AY25" s="118" t="s">
        <v>110</v>
      </c>
      <c r="AZ25" s="121"/>
      <c r="BA25" s="90" t="s">
        <v>111</v>
      </c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6"/>
      <c r="BM25" s="34"/>
      <c r="BN25" s="34"/>
    </row>
    <row r="26" spans="1:66" ht="24" customHeight="1" x14ac:dyDescent="0.45">
      <c r="A26" s="33"/>
      <c r="B26" s="33"/>
      <c r="C26" s="38">
        <f t="shared" si="0"/>
        <v>17</v>
      </c>
      <c r="D26" s="35"/>
      <c r="E26" s="68"/>
      <c r="F26" s="68"/>
      <c r="G26" s="69"/>
      <c r="H26" s="35"/>
      <c r="I26" s="68"/>
      <c r="J26" s="68"/>
      <c r="K26" s="37"/>
      <c r="L26" s="130" t="s">
        <v>76</v>
      </c>
      <c r="M26" s="131"/>
      <c r="N26" s="131"/>
      <c r="O26" s="132"/>
      <c r="P26" s="130" t="s">
        <v>105</v>
      </c>
      <c r="Q26" s="131"/>
      <c r="R26" s="131"/>
      <c r="S26" s="131"/>
      <c r="T26" s="131"/>
      <c r="U26" s="131"/>
      <c r="V26" s="131"/>
      <c r="W26" s="132"/>
      <c r="X26" s="130" t="s">
        <v>106</v>
      </c>
      <c r="Y26" s="131"/>
      <c r="Z26" s="131"/>
      <c r="AA26" s="131"/>
      <c r="AB26" s="131"/>
      <c r="AC26" s="131"/>
      <c r="AD26" s="131"/>
      <c r="AE26" s="132"/>
      <c r="AF26" s="62"/>
      <c r="AG26" s="63"/>
      <c r="AH26" s="63"/>
      <c r="AI26" s="63"/>
      <c r="AJ26" s="63"/>
      <c r="AK26" s="63"/>
      <c r="AL26" s="63"/>
      <c r="AM26" s="63"/>
      <c r="AN26" s="67"/>
      <c r="AO26" s="119">
        <v>45683</v>
      </c>
      <c r="AP26" s="120"/>
      <c r="AQ26" s="118" t="s">
        <v>107</v>
      </c>
      <c r="AR26" s="114"/>
      <c r="AS26" s="118" t="s">
        <v>108</v>
      </c>
      <c r="AT26" s="121"/>
      <c r="AU26" s="119">
        <v>45688</v>
      </c>
      <c r="AV26" s="120"/>
      <c r="AW26" s="118" t="s">
        <v>107</v>
      </c>
      <c r="AX26" s="114"/>
      <c r="AY26" s="118" t="s">
        <v>110</v>
      </c>
      <c r="AZ26" s="121"/>
      <c r="BA26" s="90" t="s">
        <v>111</v>
      </c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6"/>
      <c r="BM26" s="34"/>
      <c r="BN26" s="34"/>
    </row>
    <row r="27" spans="1:66" ht="24" customHeight="1" x14ac:dyDescent="0.45">
      <c r="A27" s="33"/>
      <c r="B27" s="33"/>
      <c r="C27" s="38">
        <f t="shared" si="0"/>
        <v>18</v>
      </c>
      <c r="D27" s="35"/>
      <c r="E27" s="68"/>
      <c r="F27" s="68"/>
      <c r="G27" s="37"/>
      <c r="H27" s="76"/>
      <c r="I27" s="7"/>
      <c r="J27" s="7"/>
      <c r="K27" s="77"/>
      <c r="L27" s="130" t="s">
        <v>77</v>
      </c>
      <c r="M27" s="131"/>
      <c r="N27" s="131"/>
      <c r="O27" s="132"/>
      <c r="P27" s="130" t="s">
        <v>105</v>
      </c>
      <c r="Q27" s="131"/>
      <c r="R27" s="131"/>
      <c r="S27" s="131"/>
      <c r="T27" s="131"/>
      <c r="U27" s="131"/>
      <c r="V27" s="131"/>
      <c r="W27" s="132"/>
      <c r="X27" s="130" t="s">
        <v>106</v>
      </c>
      <c r="Y27" s="131"/>
      <c r="Z27" s="131"/>
      <c r="AA27" s="131"/>
      <c r="AB27" s="131"/>
      <c r="AC27" s="131"/>
      <c r="AD27" s="131"/>
      <c r="AE27" s="132"/>
      <c r="AF27" s="62"/>
      <c r="AG27" s="63"/>
      <c r="AH27" s="63"/>
      <c r="AI27" s="63"/>
      <c r="AJ27" s="63"/>
      <c r="AK27" s="63"/>
      <c r="AL27" s="63"/>
      <c r="AM27" s="63"/>
      <c r="AN27" s="67"/>
      <c r="AO27" s="119">
        <v>45683</v>
      </c>
      <c r="AP27" s="120"/>
      <c r="AQ27" s="118" t="s">
        <v>107</v>
      </c>
      <c r="AR27" s="114"/>
      <c r="AS27" s="118" t="s">
        <v>108</v>
      </c>
      <c r="AT27" s="121"/>
      <c r="AU27" s="119">
        <v>45688</v>
      </c>
      <c r="AV27" s="120"/>
      <c r="AW27" s="118" t="s">
        <v>107</v>
      </c>
      <c r="AX27" s="114"/>
      <c r="AY27" s="118" t="s">
        <v>110</v>
      </c>
      <c r="AZ27" s="121"/>
      <c r="BA27" s="90" t="s">
        <v>111</v>
      </c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6"/>
      <c r="BM27" s="34"/>
      <c r="BN27" s="34"/>
    </row>
    <row r="28" spans="1:66" ht="24" customHeight="1" x14ac:dyDescent="0.45">
      <c r="A28" s="33"/>
      <c r="B28" s="33"/>
      <c r="C28" s="38">
        <f t="shared" si="0"/>
        <v>19</v>
      </c>
      <c r="D28" s="35"/>
      <c r="E28" s="68"/>
      <c r="F28" s="68"/>
      <c r="G28" s="37"/>
      <c r="H28" s="68"/>
      <c r="I28" s="68"/>
      <c r="J28" s="68"/>
      <c r="K28" s="68"/>
      <c r="L28" s="130" t="s">
        <v>78</v>
      </c>
      <c r="M28" s="131"/>
      <c r="N28" s="131"/>
      <c r="O28" s="132"/>
      <c r="P28" s="130" t="s">
        <v>105</v>
      </c>
      <c r="Q28" s="131"/>
      <c r="R28" s="131"/>
      <c r="S28" s="131"/>
      <c r="T28" s="131"/>
      <c r="U28" s="131"/>
      <c r="V28" s="131"/>
      <c r="W28" s="132"/>
      <c r="X28" s="130" t="s">
        <v>106</v>
      </c>
      <c r="Y28" s="131"/>
      <c r="Z28" s="131"/>
      <c r="AA28" s="131"/>
      <c r="AB28" s="131"/>
      <c r="AC28" s="131"/>
      <c r="AD28" s="131"/>
      <c r="AE28" s="132"/>
      <c r="AF28" s="62"/>
      <c r="AG28" s="63"/>
      <c r="AH28" s="63"/>
      <c r="AI28" s="63"/>
      <c r="AJ28" s="63"/>
      <c r="AK28" s="63"/>
      <c r="AL28" s="63"/>
      <c r="AM28" s="63"/>
      <c r="AN28" s="67"/>
      <c r="AO28" s="119">
        <v>45683</v>
      </c>
      <c r="AP28" s="120"/>
      <c r="AQ28" s="118" t="s">
        <v>107</v>
      </c>
      <c r="AR28" s="114"/>
      <c r="AS28" s="118" t="s">
        <v>108</v>
      </c>
      <c r="AT28" s="121"/>
      <c r="AU28" s="119">
        <v>45688</v>
      </c>
      <c r="AV28" s="120"/>
      <c r="AW28" s="118" t="s">
        <v>107</v>
      </c>
      <c r="AX28" s="114"/>
      <c r="AY28" s="118" t="s">
        <v>110</v>
      </c>
      <c r="AZ28" s="121"/>
      <c r="BA28" s="90" t="s">
        <v>111</v>
      </c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6"/>
      <c r="BM28" s="34"/>
      <c r="BN28" s="34"/>
    </row>
    <row r="29" spans="1:66" ht="24" customHeight="1" x14ac:dyDescent="0.45">
      <c r="A29" s="33"/>
      <c r="B29" s="33"/>
      <c r="C29" s="38">
        <f t="shared" si="0"/>
        <v>20</v>
      </c>
      <c r="D29" s="35"/>
      <c r="E29" s="89"/>
      <c r="F29" s="89"/>
      <c r="G29" s="37"/>
      <c r="H29" s="89"/>
      <c r="I29" s="89"/>
      <c r="J29" s="89"/>
      <c r="K29" s="89"/>
      <c r="L29" s="130" t="s">
        <v>79</v>
      </c>
      <c r="M29" s="131"/>
      <c r="N29" s="131"/>
      <c r="O29" s="132"/>
      <c r="P29" s="130" t="s">
        <v>105</v>
      </c>
      <c r="Q29" s="131"/>
      <c r="R29" s="131"/>
      <c r="S29" s="131"/>
      <c r="T29" s="131"/>
      <c r="U29" s="131"/>
      <c r="V29" s="131"/>
      <c r="W29" s="132"/>
      <c r="X29" s="130" t="s">
        <v>106</v>
      </c>
      <c r="Y29" s="131"/>
      <c r="Z29" s="131"/>
      <c r="AA29" s="131"/>
      <c r="AB29" s="131"/>
      <c r="AC29" s="131"/>
      <c r="AD29" s="131"/>
      <c r="AE29" s="132"/>
      <c r="AF29" s="78"/>
      <c r="AG29" s="79"/>
      <c r="AH29" s="79"/>
      <c r="AI29" s="79"/>
      <c r="AJ29" s="79"/>
      <c r="AK29" s="79"/>
      <c r="AL29" s="79"/>
      <c r="AM29" s="79"/>
      <c r="AN29" s="81"/>
      <c r="AO29" s="119">
        <v>45683</v>
      </c>
      <c r="AP29" s="120"/>
      <c r="AQ29" s="118" t="s">
        <v>107</v>
      </c>
      <c r="AR29" s="114"/>
      <c r="AS29" s="118" t="s">
        <v>108</v>
      </c>
      <c r="AT29" s="121"/>
      <c r="AU29" s="119">
        <v>45688</v>
      </c>
      <c r="AV29" s="120"/>
      <c r="AW29" s="118" t="s">
        <v>107</v>
      </c>
      <c r="AX29" s="114"/>
      <c r="AY29" s="118" t="s">
        <v>110</v>
      </c>
      <c r="AZ29" s="121"/>
      <c r="BA29" s="90" t="s">
        <v>111</v>
      </c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  <c r="BM29" s="34"/>
      <c r="BN29" s="34"/>
    </row>
    <row r="30" spans="1:66" ht="24" customHeight="1" x14ac:dyDescent="0.45">
      <c r="A30" s="33"/>
      <c r="B30" s="33"/>
      <c r="C30" s="38">
        <f t="shared" si="0"/>
        <v>21</v>
      </c>
      <c r="D30" s="35"/>
      <c r="E30" s="89"/>
      <c r="F30" s="89"/>
      <c r="G30" s="37"/>
      <c r="H30" s="89"/>
      <c r="I30" s="89"/>
      <c r="J30" s="89"/>
      <c r="K30" s="89"/>
      <c r="L30" s="130" t="s">
        <v>80</v>
      </c>
      <c r="M30" s="131"/>
      <c r="N30" s="131"/>
      <c r="O30" s="132"/>
      <c r="P30" s="130" t="s">
        <v>105</v>
      </c>
      <c r="Q30" s="131"/>
      <c r="R30" s="131"/>
      <c r="S30" s="131"/>
      <c r="T30" s="131"/>
      <c r="U30" s="131"/>
      <c r="V30" s="131"/>
      <c r="W30" s="132"/>
      <c r="X30" s="130" t="s">
        <v>106</v>
      </c>
      <c r="Y30" s="131"/>
      <c r="Z30" s="131"/>
      <c r="AA30" s="131"/>
      <c r="AB30" s="131"/>
      <c r="AC30" s="131"/>
      <c r="AD30" s="131"/>
      <c r="AE30" s="132"/>
      <c r="AF30" s="78"/>
      <c r="AG30" s="79"/>
      <c r="AH30" s="79"/>
      <c r="AI30" s="79"/>
      <c r="AJ30" s="79"/>
      <c r="AK30" s="79"/>
      <c r="AL30" s="79"/>
      <c r="AM30" s="79"/>
      <c r="AN30" s="81"/>
      <c r="AO30" s="119">
        <v>45683</v>
      </c>
      <c r="AP30" s="120"/>
      <c r="AQ30" s="118" t="s">
        <v>107</v>
      </c>
      <c r="AR30" s="114"/>
      <c r="AS30" s="118" t="s">
        <v>108</v>
      </c>
      <c r="AT30" s="121"/>
      <c r="AU30" s="119">
        <v>45688</v>
      </c>
      <c r="AV30" s="120"/>
      <c r="AW30" s="118" t="s">
        <v>107</v>
      </c>
      <c r="AX30" s="114"/>
      <c r="AY30" s="118" t="s">
        <v>110</v>
      </c>
      <c r="AZ30" s="121"/>
      <c r="BA30" s="90" t="s">
        <v>111</v>
      </c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  <c r="BM30" s="34"/>
      <c r="BN30" s="34"/>
    </row>
    <row r="31" spans="1:66" ht="24" customHeight="1" x14ac:dyDescent="0.45">
      <c r="A31" s="33"/>
      <c r="B31" s="33"/>
      <c r="C31" s="38">
        <f t="shared" si="0"/>
        <v>22</v>
      </c>
      <c r="D31" s="35"/>
      <c r="E31" s="89"/>
      <c r="F31" s="89"/>
      <c r="G31" s="37"/>
      <c r="H31" s="89"/>
      <c r="I31" s="89"/>
      <c r="J31" s="89"/>
      <c r="K31" s="89"/>
      <c r="L31" s="130" t="s">
        <v>81</v>
      </c>
      <c r="M31" s="131"/>
      <c r="N31" s="131"/>
      <c r="O31" s="132"/>
      <c r="P31" s="130" t="s">
        <v>105</v>
      </c>
      <c r="Q31" s="131"/>
      <c r="R31" s="131"/>
      <c r="S31" s="131"/>
      <c r="T31" s="131"/>
      <c r="U31" s="131"/>
      <c r="V31" s="131"/>
      <c r="W31" s="132"/>
      <c r="X31" s="130" t="s">
        <v>106</v>
      </c>
      <c r="Y31" s="131"/>
      <c r="Z31" s="131"/>
      <c r="AA31" s="131"/>
      <c r="AB31" s="131"/>
      <c r="AC31" s="131"/>
      <c r="AD31" s="131"/>
      <c r="AE31" s="132"/>
      <c r="AF31" s="78"/>
      <c r="AG31" s="79"/>
      <c r="AH31" s="79"/>
      <c r="AI31" s="79"/>
      <c r="AJ31" s="79"/>
      <c r="AK31" s="79"/>
      <c r="AL31" s="79"/>
      <c r="AM31" s="79"/>
      <c r="AN31" s="81"/>
      <c r="AO31" s="119">
        <v>45683</v>
      </c>
      <c r="AP31" s="120"/>
      <c r="AQ31" s="118" t="s">
        <v>107</v>
      </c>
      <c r="AR31" s="114"/>
      <c r="AS31" s="118" t="s">
        <v>108</v>
      </c>
      <c r="AT31" s="121"/>
      <c r="AU31" s="119">
        <v>45688</v>
      </c>
      <c r="AV31" s="120"/>
      <c r="AW31" s="118" t="s">
        <v>107</v>
      </c>
      <c r="AX31" s="114"/>
      <c r="AY31" s="118" t="s">
        <v>110</v>
      </c>
      <c r="AZ31" s="121"/>
      <c r="BA31" s="90" t="s">
        <v>111</v>
      </c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BM31" s="34"/>
      <c r="BN31" s="34"/>
    </row>
    <row r="32" spans="1:66" ht="24" customHeight="1" x14ac:dyDescent="0.45">
      <c r="A32" s="33"/>
      <c r="B32" s="33"/>
      <c r="C32" s="38">
        <f t="shared" si="0"/>
        <v>23</v>
      </c>
      <c r="D32" s="35"/>
      <c r="E32" s="89"/>
      <c r="F32" s="89"/>
      <c r="G32" s="37"/>
      <c r="H32" s="89"/>
      <c r="I32" s="89"/>
      <c r="J32" s="89"/>
      <c r="K32" s="89"/>
      <c r="L32" s="162" t="s">
        <v>82</v>
      </c>
      <c r="M32" s="163"/>
      <c r="N32" s="163"/>
      <c r="O32" s="164"/>
      <c r="P32" s="130" t="s">
        <v>105</v>
      </c>
      <c r="Q32" s="131"/>
      <c r="R32" s="131"/>
      <c r="S32" s="131"/>
      <c r="T32" s="131"/>
      <c r="U32" s="131"/>
      <c r="V32" s="131"/>
      <c r="W32" s="132"/>
      <c r="X32" s="130" t="s">
        <v>106</v>
      </c>
      <c r="Y32" s="131"/>
      <c r="Z32" s="131"/>
      <c r="AA32" s="131"/>
      <c r="AB32" s="131"/>
      <c r="AC32" s="131"/>
      <c r="AD32" s="131"/>
      <c r="AE32" s="132"/>
      <c r="AF32" s="78"/>
      <c r="AG32" s="79"/>
      <c r="AH32" s="79"/>
      <c r="AI32" s="79"/>
      <c r="AJ32" s="79"/>
      <c r="AK32" s="79"/>
      <c r="AL32" s="79"/>
      <c r="AM32" s="79"/>
      <c r="AN32" s="81"/>
      <c r="AO32" s="119">
        <v>45683</v>
      </c>
      <c r="AP32" s="120"/>
      <c r="AQ32" s="118" t="s">
        <v>107</v>
      </c>
      <c r="AR32" s="114"/>
      <c r="AS32" s="118" t="s">
        <v>108</v>
      </c>
      <c r="AT32" s="121"/>
      <c r="AU32" s="119">
        <v>45688</v>
      </c>
      <c r="AV32" s="120"/>
      <c r="AW32" s="118" t="s">
        <v>107</v>
      </c>
      <c r="AX32" s="114"/>
      <c r="AY32" s="118" t="s">
        <v>110</v>
      </c>
      <c r="AZ32" s="121"/>
      <c r="BA32" s="90" t="s">
        <v>111</v>
      </c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4"/>
      <c r="BM32" s="34"/>
      <c r="BN32" s="34"/>
    </row>
    <row r="33" spans="1:66" ht="24" customHeight="1" x14ac:dyDescent="0.45">
      <c r="A33" s="33"/>
      <c r="B33" s="33"/>
      <c r="C33" s="38">
        <f t="shared" si="0"/>
        <v>24</v>
      </c>
      <c r="D33" s="35"/>
      <c r="E33" s="89"/>
      <c r="F33" s="89"/>
      <c r="G33" s="37"/>
      <c r="H33" s="89"/>
      <c r="I33" s="89"/>
      <c r="J33" s="89"/>
      <c r="K33" s="89"/>
      <c r="L33" s="130" t="s">
        <v>83</v>
      </c>
      <c r="M33" s="131"/>
      <c r="N33" s="131"/>
      <c r="O33" s="132"/>
      <c r="P33" s="130" t="s">
        <v>105</v>
      </c>
      <c r="Q33" s="131"/>
      <c r="R33" s="131"/>
      <c r="S33" s="131"/>
      <c r="T33" s="131"/>
      <c r="U33" s="131"/>
      <c r="V33" s="131"/>
      <c r="W33" s="132"/>
      <c r="X33" s="130" t="s">
        <v>106</v>
      </c>
      <c r="Y33" s="131"/>
      <c r="Z33" s="131"/>
      <c r="AA33" s="131"/>
      <c r="AB33" s="131"/>
      <c r="AC33" s="131"/>
      <c r="AD33" s="131"/>
      <c r="AE33" s="132"/>
      <c r="AF33" s="78"/>
      <c r="AG33" s="79"/>
      <c r="AH33" s="79"/>
      <c r="AI33" s="79"/>
      <c r="AJ33" s="79"/>
      <c r="AK33" s="79"/>
      <c r="AL33" s="79"/>
      <c r="AM33" s="79"/>
      <c r="AN33" s="81"/>
      <c r="AO33" s="119">
        <v>45683</v>
      </c>
      <c r="AP33" s="120"/>
      <c r="AQ33" s="118" t="s">
        <v>107</v>
      </c>
      <c r="AR33" s="114"/>
      <c r="AS33" s="118" t="s">
        <v>108</v>
      </c>
      <c r="AT33" s="121"/>
      <c r="AU33" s="119">
        <v>45688</v>
      </c>
      <c r="AV33" s="120"/>
      <c r="AW33" s="118" t="s">
        <v>107</v>
      </c>
      <c r="AX33" s="114"/>
      <c r="AY33" s="118" t="s">
        <v>110</v>
      </c>
      <c r="AZ33" s="121"/>
      <c r="BA33" s="90" t="s">
        <v>111</v>
      </c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  <c r="BM33" s="34"/>
      <c r="BN33" s="34"/>
    </row>
    <row r="34" spans="1:66" ht="24" customHeight="1" x14ac:dyDescent="0.45">
      <c r="A34" s="33"/>
      <c r="B34" s="33"/>
      <c r="C34" s="38">
        <f t="shared" si="0"/>
        <v>25</v>
      </c>
      <c r="D34" s="35"/>
      <c r="E34" s="89"/>
      <c r="F34" s="89"/>
      <c r="G34" s="37"/>
      <c r="H34" s="89"/>
      <c r="I34" s="89"/>
      <c r="J34" s="89"/>
      <c r="K34" s="89"/>
      <c r="L34" s="130" t="s">
        <v>84</v>
      </c>
      <c r="M34" s="131"/>
      <c r="N34" s="131"/>
      <c r="O34" s="132"/>
      <c r="P34" s="130" t="s">
        <v>105</v>
      </c>
      <c r="Q34" s="131"/>
      <c r="R34" s="131"/>
      <c r="S34" s="131"/>
      <c r="T34" s="131"/>
      <c r="U34" s="131"/>
      <c r="V34" s="131"/>
      <c r="W34" s="132"/>
      <c r="X34" s="130" t="s">
        <v>106</v>
      </c>
      <c r="Y34" s="131"/>
      <c r="Z34" s="131"/>
      <c r="AA34" s="131"/>
      <c r="AB34" s="131"/>
      <c r="AC34" s="131"/>
      <c r="AD34" s="131"/>
      <c r="AE34" s="132"/>
      <c r="AF34" s="78"/>
      <c r="AG34" s="79"/>
      <c r="AH34" s="79"/>
      <c r="AI34" s="79"/>
      <c r="AJ34" s="79"/>
      <c r="AK34" s="79"/>
      <c r="AL34" s="79"/>
      <c r="AM34" s="79"/>
      <c r="AN34" s="81"/>
      <c r="AO34" s="119">
        <v>45683</v>
      </c>
      <c r="AP34" s="120"/>
      <c r="AQ34" s="118" t="s">
        <v>107</v>
      </c>
      <c r="AR34" s="114"/>
      <c r="AS34" s="118" t="s">
        <v>108</v>
      </c>
      <c r="AT34" s="121"/>
      <c r="AU34" s="119">
        <v>45688</v>
      </c>
      <c r="AV34" s="120"/>
      <c r="AW34" s="118" t="s">
        <v>107</v>
      </c>
      <c r="AX34" s="114"/>
      <c r="AY34" s="118" t="s">
        <v>110</v>
      </c>
      <c r="AZ34" s="121"/>
      <c r="BA34" s="90" t="s">
        <v>111</v>
      </c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4"/>
      <c r="BM34" s="34"/>
      <c r="BN34" s="34"/>
    </row>
    <row r="35" spans="1:66" ht="24" customHeight="1" x14ac:dyDescent="0.45">
      <c r="A35" s="33"/>
      <c r="B35" s="33"/>
      <c r="C35" s="38">
        <f t="shared" si="0"/>
        <v>26</v>
      </c>
      <c r="D35" s="35"/>
      <c r="E35" s="89"/>
      <c r="F35" s="89"/>
      <c r="G35" s="37"/>
      <c r="H35" s="89"/>
      <c r="I35" s="89"/>
      <c r="J35" s="89"/>
      <c r="K35" s="89"/>
      <c r="L35" s="130" t="s">
        <v>85</v>
      </c>
      <c r="M35" s="131"/>
      <c r="N35" s="131"/>
      <c r="O35" s="132"/>
      <c r="P35" s="130" t="s">
        <v>105</v>
      </c>
      <c r="Q35" s="131"/>
      <c r="R35" s="131"/>
      <c r="S35" s="131"/>
      <c r="T35" s="131"/>
      <c r="U35" s="131"/>
      <c r="V35" s="131"/>
      <c r="W35" s="132"/>
      <c r="X35" s="130" t="s">
        <v>106</v>
      </c>
      <c r="Y35" s="131"/>
      <c r="Z35" s="131"/>
      <c r="AA35" s="131"/>
      <c r="AB35" s="131"/>
      <c r="AC35" s="131"/>
      <c r="AD35" s="131"/>
      <c r="AE35" s="132"/>
      <c r="AF35" s="78"/>
      <c r="AG35" s="79"/>
      <c r="AH35" s="79"/>
      <c r="AI35" s="79"/>
      <c r="AJ35" s="79"/>
      <c r="AK35" s="79"/>
      <c r="AL35" s="79"/>
      <c r="AM35" s="79"/>
      <c r="AN35" s="81"/>
      <c r="AO35" s="119">
        <v>45683</v>
      </c>
      <c r="AP35" s="120"/>
      <c r="AQ35" s="118" t="s">
        <v>107</v>
      </c>
      <c r="AR35" s="114"/>
      <c r="AS35" s="118" t="s">
        <v>108</v>
      </c>
      <c r="AT35" s="121"/>
      <c r="AU35" s="119">
        <v>45688</v>
      </c>
      <c r="AV35" s="120"/>
      <c r="AW35" s="118" t="s">
        <v>107</v>
      </c>
      <c r="AX35" s="114"/>
      <c r="AY35" s="118" t="s">
        <v>110</v>
      </c>
      <c r="AZ35" s="121"/>
      <c r="BA35" s="90" t="s">
        <v>111</v>
      </c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4"/>
      <c r="BM35" s="34"/>
      <c r="BN35" s="34"/>
    </row>
    <row r="36" spans="1:66" ht="24" customHeight="1" x14ac:dyDescent="0.45">
      <c r="A36" s="33"/>
      <c r="B36" s="33"/>
      <c r="C36" s="38">
        <f t="shared" si="0"/>
        <v>27</v>
      </c>
      <c r="D36" s="35"/>
      <c r="E36" s="89"/>
      <c r="F36" s="89"/>
      <c r="G36" s="37"/>
      <c r="H36" s="89"/>
      <c r="I36" s="89"/>
      <c r="J36" s="89"/>
      <c r="K36" s="89"/>
      <c r="L36" s="130" t="s">
        <v>86</v>
      </c>
      <c r="M36" s="131"/>
      <c r="N36" s="131"/>
      <c r="O36" s="132"/>
      <c r="P36" s="130" t="s">
        <v>105</v>
      </c>
      <c r="Q36" s="131"/>
      <c r="R36" s="131"/>
      <c r="S36" s="131"/>
      <c r="T36" s="131"/>
      <c r="U36" s="131"/>
      <c r="V36" s="131"/>
      <c r="W36" s="132"/>
      <c r="X36" s="130" t="s">
        <v>106</v>
      </c>
      <c r="Y36" s="131"/>
      <c r="Z36" s="131"/>
      <c r="AA36" s="131"/>
      <c r="AB36" s="131"/>
      <c r="AC36" s="131"/>
      <c r="AD36" s="131"/>
      <c r="AE36" s="132"/>
      <c r="AF36" s="78"/>
      <c r="AG36" s="79"/>
      <c r="AH36" s="79"/>
      <c r="AI36" s="79"/>
      <c r="AJ36" s="79"/>
      <c r="AK36" s="79"/>
      <c r="AL36" s="79"/>
      <c r="AM36" s="79"/>
      <c r="AN36" s="81"/>
      <c r="AO36" s="119">
        <v>45683</v>
      </c>
      <c r="AP36" s="120"/>
      <c r="AQ36" s="118" t="s">
        <v>107</v>
      </c>
      <c r="AR36" s="114"/>
      <c r="AS36" s="118" t="s">
        <v>108</v>
      </c>
      <c r="AT36" s="121"/>
      <c r="AU36" s="119">
        <v>45688</v>
      </c>
      <c r="AV36" s="120"/>
      <c r="AW36" s="118" t="s">
        <v>107</v>
      </c>
      <c r="AX36" s="114"/>
      <c r="AY36" s="118" t="s">
        <v>110</v>
      </c>
      <c r="AZ36" s="121"/>
      <c r="BA36" s="90" t="s">
        <v>111</v>
      </c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4"/>
      <c r="BM36" s="34"/>
      <c r="BN36" s="34"/>
    </row>
    <row r="37" spans="1:66" ht="24" customHeight="1" x14ac:dyDescent="0.45">
      <c r="A37" s="33"/>
      <c r="B37" s="33"/>
      <c r="C37" s="38">
        <f t="shared" si="0"/>
        <v>28</v>
      </c>
      <c r="D37" s="35"/>
      <c r="E37" s="89"/>
      <c r="F37" s="89"/>
      <c r="G37" s="37"/>
      <c r="H37" s="89"/>
      <c r="I37" s="89"/>
      <c r="J37" s="89"/>
      <c r="K37" s="89"/>
      <c r="L37" s="130" t="s">
        <v>87</v>
      </c>
      <c r="M37" s="131"/>
      <c r="N37" s="131"/>
      <c r="O37" s="132"/>
      <c r="P37" s="130" t="s">
        <v>105</v>
      </c>
      <c r="Q37" s="131"/>
      <c r="R37" s="131"/>
      <c r="S37" s="131"/>
      <c r="T37" s="131"/>
      <c r="U37" s="131"/>
      <c r="V37" s="131"/>
      <c r="W37" s="132"/>
      <c r="X37" s="130" t="s">
        <v>106</v>
      </c>
      <c r="Y37" s="131"/>
      <c r="Z37" s="131"/>
      <c r="AA37" s="131"/>
      <c r="AB37" s="131"/>
      <c r="AC37" s="131"/>
      <c r="AD37" s="131"/>
      <c r="AE37" s="132"/>
      <c r="AF37" s="78"/>
      <c r="AG37" s="79"/>
      <c r="AH37" s="79"/>
      <c r="AI37" s="79"/>
      <c r="AJ37" s="79"/>
      <c r="AK37" s="79"/>
      <c r="AL37" s="79"/>
      <c r="AM37" s="79"/>
      <c r="AN37" s="81"/>
      <c r="AO37" s="119">
        <v>45683</v>
      </c>
      <c r="AP37" s="120"/>
      <c r="AQ37" s="118" t="s">
        <v>107</v>
      </c>
      <c r="AR37" s="114"/>
      <c r="AS37" s="118" t="s">
        <v>108</v>
      </c>
      <c r="AT37" s="121"/>
      <c r="AU37" s="119">
        <v>45688</v>
      </c>
      <c r="AV37" s="120"/>
      <c r="AW37" s="118" t="s">
        <v>107</v>
      </c>
      <c r="AX37" s="114"/>
      <c r="AY37" s="118" t="s">
        <v>110</v>
      </c>
      <c r="AZ37" s="121"/>
      <c r="BA37" s="90" t="s">
        <v>111</v>
      </c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4"/>
      <c r="BM37" s="34"/>
      <c r="BN37" s="34"/>
    </row>
    <row r="38" spans="1:66" ht="24" customHeight="1" x14ac:dyDescent="0.45">
      <c r="A38" s="33"/>
      <c r="B38" s="33"/>
      <c r="C38" s="38">
        <f t="shared" si="0"/>
        <v>29</v>
      </c>
      <c r="D38" s="35"/>
      <c r="E38" s="89"/>
      <c r="F38" s="89"/>
      <c r="G38" s="37"/>
      <c r="H38" s="89"/>
      <c r="I38" s="89"/>
      <c r="J38" s="89"/>
      <c r="K38" s="89"/>
      <c r="L38" s="130" t="s">
        <v>88</v>
      </c>
      <c r="M38" s="131"/>
      <c r="N38" s="131"/>
      <c r="O38" s="132"/>
      <c r="P38" s="130" t="s">
        <v>105</v>
      </c>
      <c r="Q38" s="131"/>
      <c r="R38" s="131"/>
      <c r="S38" s="131"/>
      <c r="T38" s="131"/>
      <c r="U38" s="131"/>
      <c r="V38" s="131"/>
      <c r="W38" s="132"/>
      <c r="X38" s="130" t="s">
        <v>106</v>
      </c>
      <c r="Y38" s="131"/>
      <c r="Z38" s="131"/>
      <c r="AA38" s="131"/>
      <c r="AB38" s="131"/>
      <c r="AC38" s="131"/>
      <c r="AD38" s="131"/>
      <c r="AE38" s="132"/>
      <c r="AF38" s="78"/>
      <c r="AG38" s="79"/>
      <c r="AH38" s="79"/>
      <c r="AI38" s="79"/>
      <c r="AJ38" s="79"/>
      <c r="AK38" s="79"/>
      <c r="AL38" s="79"/>
      <c r="AM38" s="79"/>
      <c r="AN38" s="81"/>
      <c r="AO38" s="119">
        <v>45683</v>
      </c>
      <c r="AP38" s="120"/>
      <c r="AQ38" s="118" t="s">
        <v>107</v>
      </c>
      <c r="AR38" s="114"/>
      <c r="AS38" s="118" t="s">
        <v>108</v>
      </c>
      <c r="AT38" s="121"/>
      <c r="AU38" s="119">
        <v>45688</v>
      </c>
      <c r="AV38" s="120"/>
      <c r="AW38" s="118" t="s">
        <v>107</v>
      </c>
      <c r="AX38" s="114"/>
      <c r="AY38" s="118" t="s">
        <v>110</v>
      </c>
      <c r="AZ38" s="121"/>
      <c r="BA38" s="90" t="s">
        <v>111</v>
      </c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  <c r="BM38" s="34"/>
      <c r="BN38" s="34"/>
    </row>
    <row r="39" spans="1:66" ht="24" customHeight="1" x14ac:dyDescent="0.45">
      <c r="A39" s="33"/>
      <c r="B39" s="33"/>
      <c r="C39" s="38">
        <f t="shared" si="0"/>
        <v>30</v>
      </c>
      <c r="D39" s="35"/>
      <c r="E39" s="89"/>
      <c r="F39" s="89"/>
      <c r="G39" s="37"/>
      <c r="H39" s="89"/>
      <c r="I39" s="89"/>
      <c r="J39" s="89"/>
      <c r="K39" s="89"/>
      <c r="L39" s="130" t="s">
        <v>89</v>
      </c>
      <c r="M39" s="131"/>
      <c r="N39" s="131"/>
      <c r="O39" s="132"/>
      <c r="P39" s="130" t="s">
        <v>105</v>
      </c>
      <c r="Q39" s="131"/>
      <c r="R39" s="131"/>
      <c r="S39" s="131"/>
      <c r="T39" s="131"/>
      <c r="U39" s="131"/>
      <c r="V39" s="131"/>
      <c r="W39" s="132"/>
      <c r="X39" s="130" t="s">
        <v>106</v>
      </c>
      <c r="Y39" s="131"/>
      <c r="Z39" s="131"/>
      <c r="AA39" s="131"/>
      <c r="AB39" s="131"/>
      <c r="AC39" s="131"/>
      <c r="AD39" s="131"/>
      <c r="AE39" s="132"/>
      <c r="AF39" s="78"/>
      <c r="AG39" s="79"/>
      <c r="AH39" s="79"/>
      <c r="AI39" s="79"/>
      <c r="AJ39" s="79"/>
      <c r="AK39" s="79"/>
      <c r="AL39" s="79"/>
      <c r="AM39" s="79"/>
      <c r="AN39" s="81"/>
      <c r="AO39" s="119">
        <v>45683</v>
      </c>
      <c r="AP39" s="120"/>
      <c r="AQ39" s="118" t="s">
        <v>107</v>
      </c>
      <c r="AR39" s="114"/>
      <c r="AS39" s="118" t="s">
        <v>108</v>
      </c>
      <c r="AT39" s="121"/>
      <c r="AU39" s="119">
        <v>45688</v>
      </c>
      <c r="AV39" s="120"/>
      <c r="AW39" s="118" t="s">
        <v>107</v>
      </c>
      <c r="AX39" s="114"/>
      <c r="AY39" s="118" t="s">
        <v>110</v>
      </c>
      <c r="AZ39" s="121"/>
      <c r="BA39" s="90" t="s">
        <v>111</v>
      </c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  <c r="BM39" s="34"/>
      <c r="BN39" s="34"/>
    </row>
    <row r="40" spans="1:66" ht="24" customHeight="1" x14ac:dyDescent="0.45">
      <c r="A40" s="33"/>
      <c r="B40" s="33"/>
      <c r="C40" s="38">
        <f t="shared" si="0"/>
        <v>31</v>
      </c>
      <c r="D40" s="35"/>
      <c r="E40" s="89"/>
      <c r="F40" s="89"/>
      <c r="G40" s="37"/>
      <c r="H40" s="89"/>
      <c r="I40" s="89"/>
      <c r="J40" s="89"/>
      <c r="K40" s="89"/>
      <c r="L40" s="130" t="s">
        <v>90</v>
      </c>
      <c r="M40" s="131"/>
      <c r="N40" s="131"/>
      <c r="O40" s="132"/>
      <c r="P40" s="130" t="s">
        <v>105</v>
      </c>
      <c r="Q40" s="131"/>
      <c r="R40" s="131"/>
      <c r="S40" s="131"/>
      <c r="T40" s="131"/>
      <c r="U40" s="131"/>
      <c r="V40" s="131"/>
      <c r="W40" s="132"/>
      <c r="X40" s="130" t="s">
        <v>106</v>
      </c>
      <c r="Y40" s="131"/>
      <c r="Z40" s="131"/>
      <c r="AA40" s="131"/>
      <c r="AB40" s="131"/>
      <c r="AC40" s="131"/>
      <c r="AD40" s="131"/>
      <c r="AE40" s="132"/>
      <c r="AF40" s="78"/>
      <c r="AG40" s="79"/>
      <c r="AH40" s="79"/>
      <c r="AI40" s="79"/>
      <c r="AJ40" s="79"/>
      <c r="AK40" s="79"/>
      <c r="AL40" s="79"/>
      <c r="AM40" s="79"/>
      <c r="AN40" s="81"/>
      <c r="AO40" s="119">
        <v>45683</v>
      </c>
      <c r="AP40" s="120"/>
      <c r="AQ40" s="118" t="s">
        <v>107</v>
      </c>
      <c r="AR40" s="114"/>
      <c r="AS40" s="118" t="s">
        <v>108</v>
      </c>
      <c r="AT40" s="121"/>
      <c r="AU40" s="119">
        <v>45688</v>
      </c>
      <c r="AV40" s="120"/>
      <c r="AW40" s="118" t="s">
        <v>107</v>
      </c>
      <c r="AX40" s="114"/>
      <c r="AY40" s="118" t="s">
        <v>110</v>
      </c>
      <c r="AZ40" s="121"/>
      <c r="BA40" s="90" t="s">
        <v>111</v>
      </c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BM40" s="34"/>
      <c r="BN40" s="34"/>
    </row>
    <row r="41" spans="1:66" ht="24" customHeight="1" x14ac:dyDescent="0.45">
      <c r="A41" s="33"/>
      <c r="B41" s="33"/>
      <c r="C41" s="38">
        <f t="shared" si="0"/>
        <v>32</v>
      </c>
      <c r="D41" s="35"/>
      <c r="E41" s="89"/>
      <c r="F41" s="89"/>
      <c r="G41" s="37"/>
      <c r="H41" s="89"/>
      <c r="I41" s="89"/>
      <c r="J41" s="89"/>
      <c r="K41" s="89"/>
      <c r="L41" s="130" t="s">
        <v>91</v>
      </c>
      <c r="M41" s="131"/>
      <c r="N41" s="131"/>
      <c r="O41" s="132"/>
      <c r="P41" s="130" t="s">
        <v>105</v>
      </c>
      <c r="Q41" s="131"/>
      <c r="R41" s="131"/>
      <c r="S41" s="131"/>
      <c r="T41" s="131"/>
      <c r="U41" s="131"/>
      <c r="V41" s="131"/>
      <c r="W41" s="132"/>
      <c r="X41" s="130" t="s">
        <v>106</v>
      </c>
      <c r="Y41" s="131"/>
      <c r="Z41" s="131"/>
      <c r="AA41" s="131"/>
      <c r="AB41" s="131"/>
      <c r="AC41" s="131"/>
      <c r="AD41" s="131"/>
      <c r="AE41" s="132"/>
      <c r="AF41" s="78"/>
      <c r="AG41" s="79"/>
      <c r="AH41" s="79"/>
      <c r="AI41" s="79"/>
      <c r="AJ41" s="79"/>
      <c r="AK41" s="79"/>
      <c r="AL41" s="79"/>
      <c r="AM41" s="79"/>
      <c r="AN41" s="81"/>
      <c r="AO41" s="119">
        <v>45683</v>
      </c>
      <c r="AP41" s="120"/>
      <c r="AQ41" s="118" t="s">
        <v>107</v>
      </c>
      <c r="AR41" s="114"/>
      <c r="AS41" s="118" t="s">
        <v>108</v>
      </c>
      <c r="AT41" s="121"/>
      <c r="AU41" s="119">
        <v>45688</v>
      </c>
      <c r="AV41" s="120"/>
      <c r="AW41" s="118" t="s">
        <v>107</v>
      </c>
      <c r="AX41" s="114"/>
      <c r="AY41" s="118" t="s">
        <v>110</v>
      </c>
      <c r="AZ41" s="121"/>
      <c r="BA41" s="90" t="s">
        <v>111</v>
      </c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4"/>
      <c r="BM41" s="34"/>
      <c r="BN41" s="34"/>
    </row>
    <row r="42" spans="1:66" ht="24" customHeight="1" x14ac:dyDescent="0.45">
      <c r="A42" s="33"/>
      <c r="B42" s="33"/>
      <c r="C42" s="38">
        <f t="shared" si="0"/>
        <v>33</v>
      </c>
      <c r="D42" s="35"/>
      <c r="E42" s="89"/>
      <c r="F42" s="89"/>
      <c r="G42" s="37"/>
      <c r="H42" s="89"/>
      <c r="I42" s="89"/>
      <c r="J42" s="89"/>
      <c r="K42" s="89"/>
      <c r="L42" s="130" t="s">
        <v>92</v>
      </c>
      <c r="M42" s="131"/>
      <c r="N42" s="131"/>
      <c r="O42" s="132"/>
      <c r="P42" s="130" t="s">
        <v>105</v>
      </c>
      <c r="Q42" s="131"/>
      <c r="R42" s="131"/>
      <c r="S42" s="131"/>
      <c r="T42" s="131"/>
      <c r="U42" s="131"/>
      <c r="V42" s="131"/>
      <c r="W42" s="132"/>
      <c r="X42" s="130" t="s">
        <v>106</v>
      </c>
      <c r="Y42" s="131"/>
      <c r="Z42" s="131"/>
      <c r="AA42" s="131"/>
      <c r="AB42" s="131"/>
      <c r="AC42" s="131"/>
      <c r="AD42" s="131"/>
      <c r="AE42" s="132"/>
      <c r="AF42" s="78"/>
      <c r="AG42" s="79"/>
      <c r="AH42" s="79"/>
      <c r="AI42" s="79"/>
      <c r="AJ42" s="79"/>
      <c r="AK42" s="79"/>
      <c r="AL42" s="79"/>
      <c r="AM42" s="79"/>
      <c r="AN42" s="81"/>
      <c r="AO42" s="119">
        <v>45683</v>
      </c>
      <c r="AP42" s="120"/>
      <c r="AQ42" s="118" t="s">
        <v>107</v>
      </c>
      <c r="AR42" s="114"/>
      <c r="AS42" s="118" t="s">
        <v>108</v>
      </c>
      <c r="AT42" s="121"/>
      <c r="AU42" s="119">
        <v>45688</v>
      </c>
      <c r="AV42" s="120"/>
      <c r="AW42" s="118" t="s">
        <v>107</v>
      </c>
      <c r="AX42" s="114"/>
      <c r="AY42" s="118" t="s">
        <v>110</v>
      </c>
      <c r="AZ42" s="121"/>
      <c r="BA42" s="90" t="s">
        <v>111</v>
      </c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4"/>
      <c r="BM42" s="34"/>
      <c r="BN42" s="34"/>
    </row>
    <row r="43" spans="1:66" ht="24" customHeight="1" x14ac:dyDescent="0.45">
      <c r="A43" s="33"/>
      <c r="B43" s="33"/>
      <c r="C43" s="38">
        <f t="shared" si="0"/>
        <v>34</v>
      </c>
      <c r="D43" s="35"/>
      <c r="E43" s="89"/>
      <c r="F43" s="89"/>
      <c r="G43" s="37"/>
      <c r="H43" s="89"/>
      <c r="I43" s="89"/>
      <c r="J43" s="89"/>
      <c r="K43" s="89"/>
      <c r="L43" s="130" t="s">
        <v>93</v>
      </c>
      <c r="M43" s="131"/>
      <c r="N43" s="131"/>
      <c r="O43" s="132"/>
      <c r="P43" s="130" t="s">
        <v>105</v>
      </c>
      <c r="Q43" s="131"/>
      <c r="R43" s="131"/>
      <c r="S43" s="131"/>
      <c r="T43" s="131"/>
      <c r="U43" s="131"/>
      <c r="V43" s="131"/>
      <c r="W43" s="132"/>
      <c r="X43" s="130" t="s">
        <v>106</v>
      </c>
      <c r="Y43" s="131"/>
      <c r="Z43" s="131"/>
      <c r="AA43" s="131"/>
      <c r="AB43" s="131"/>
      <c r="AC43" s="131"/>
      <c r="AD43" s="131"/>
      <c r="AE43" s="132"/>
      <c r="AF43" s="78"/>
      <c r="AG43" s="79"/>
      <c r="AH43" s="79"/>
      <c r="AI43" s="79"/>
      <c r="AJ43" s="79"/>
      <c r="AK43" s="79"/>
      <c r="AL43" s="79"/>
      <c r="AM43" s="79"/>
      <c r="AN43" s="81"/>
      <c r="AO43" s="119">
        <v>45683</v>
      </c>
      <c r="AP43" s="120"/>
      <c r="AQ43" s="118" t="s">
        <v>107</v>
      </c>
      <c r="AR43" s="114"/>
      <c r="AS43" s="118" t="s">
        <v>108</v>
      </c>
      <c r="AT43" s="121"/>
      <c r="AU43" s="119">
        <v>45688</v>
      </c>
      <c r="AV43" s="120"/>
      <c r="AW43" s="118" t="s">
        <v>107</v>
      </c>
      <c r="AX43" s="114"/>
      <c r="AY43" s="118" t="s">
        <v>110</v>
      </c>
      <c r="AZ43" s="121"/>
      <c r="BA43" s="90" t="s">
        <v>111</v>
      </c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4"/>
      <c r="BM43" s="34"/>
      <c r="BN43" s="34"/>
    </row>
    <row r="44" spans="1:66" ht="24" customHeight="1" x14ac:dyDescent="0.45">
      <c r="A44" s="33"/>
      <c r="B44" s="33"/>
      <c r="C44" s="38">
        <f t="shared" si="0"/>
        <v>35</v>
      </c>
      <c r="D44" s="35"/>
      <c r="E44" s="89"/>
      <c r="F44" s="89"/>
      <c r="G44" s="37"/>
      <c r="H44" s="89"/>
      <c r="I44" s="89"/>
      <c r="J44" s="89"/>
      <c r="K44" s="89"/>
      <c r="L44" s="130" t="s">
        <v>94</v>
      </c>
      <c r="M44" s="131"/>
      <c r="N44" s="131"/>
      <c r="O44" s="132"/>
      <c r="P44" s="130" t="s">
        <v>105</v>
      </c>
      <c r="Q44" s="131"/>
      <c r="R44" s="131"/>
      <c r="S44" s="131"/>
      <c r="T44" s="131"/>
      <c r="U44" s="131"/>
      <c r="V44" s="131"/>
      <c r="W44" s="132"/>
      <c r="X44" s="130" t="s">
        <v>106</v>
      </c>
      <c r="Y44" s="131"/>
      <c r="Z44" s="131"/>
      <c r="AA44" s="131"/>
      <c r="AB44" s="131"/>
      <c r="AC44" s="131"/>
      <c r="AD44" s="131"/>
      <c r="AE44" s="132"/>
      <c r="AF44" s="78"/>
      <c r="AG44" s="79"/>
      <c r="AH44" s="79"/>
      <c r="AI44" s="79"/>
      <c r="AJ44" s="79"/>
      <c r="AK44" s="79"/>
      <c r="AL44" s="79"/>
      <c r="AM44" s="79"/>
      <c r="AN44" s="81"/>
      <c r="AO44" s="119">
        <v>45683</v>
      </c>
      <c r="AP44" s="120"/>
      <c r="AQ44" s="118" t="s">
        <v>107</v>
      </c>
      <c r="AR44" s="114"/>
      <c r="AS44" s="118" t="s">
        <v>108</v>
      </c>
      <c r="AT44" s="121"/>
      <c r="AU44" s="119">
        <v>45688</v>
      </c>
      <c r="AV44" s="120"/>
      <c r="AW44" s="118" t="s">
        <v>107</v>
      </c>
      <c r="AX44" s="114"/>
      <c r="AY44" s="118" t="s">
        <v>110</v>
      </c>
      <c r="AZ44" s="121"/>
      <c r="BA44" s="90" t="s">
        <v>111</v>
      </c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4"/>
      <c r="BM44" s="34"/>
      <c r="BN44" s="34"/>
    </row>
    <row r="45" spans="1:66" ht="24" customHeight="1" x14ac:dyDescent="0.45">
      <c r="A45" s="33"/>
      <c r="B45" s="33"/>
      <c r="C45" s="38">
        <f t="shared" si="0"/>
        <v>36</v>
      </c>
      <c r="D45" s="35"/>
      <c r="E45" s="68"/>
      <c r="F45" s="68"/>
      <c r="G45" s="37"/>
      <c r="H45" s="68"/>
      <c r="I45" s="68"/>
      <c r="J45" s="68"/>
      <c r="K45" s="68"/>
      <c r="L45" s="130" t="s">
        <v>95</v>
      </c>
      <c r="M45" s="131"/>
      <c r="N45" s="131"/>
      <c r="O45" s="132"/>
      <c r="P45" s="130" t="s">
        <v>105</v>
      </c>
      <c r="Q45" s="131"/>
      <c r="R45" s="131"/>
      <c r="S45" s="131"/>
      <c r="T45" s="131"/>
      <c r="U45" s="131"/>
      <c r="V45" s="131"/>
      <c r="W45" s="132"/>
      <c r="X45" s="130" t="s">
        <v>106</v>
      </c>
      <c r="Y45" s="131"/>
      <c r="Z45" s="131"/>
      <c r="AA45" s="131"/>
      <c r="AB45" s="131"/>
      <c r="AC45" s="131"/>
      <c r="AD45" s="131"/>
      <c r="AE45" s="132"/>
      <c r="AF45" s="62"/>
      <c r="AG45" s="63"/>
      <c r="AH45" s="63"/>
      <c r="AI45" s="63"/>
      <c r="AJ45" s="63"/>
      <c r="AK45" s="63"/>
      <c r="AL45" s="63"/>
      <c r="AM45" s="63"/>
      <c r="AN45" s="67"/>
      <c r="AO45" s="119">
        <v>45683</v>
      </c>
      <c r="AP45" s="120"/>
      <c r="AQ45" s="118" t="s">
        <v>107</v>
      </c>
      <c r="AR45" s="114"/>
      <c r="AS45" s="118" t="s">
        <v>108</v>
      </c>
      <c r="AT45" s="121"/>
      <c r="AU45" s="119">
        <v>45688</v>
      </c>
      <c r="AV45" s="120"/>
      <c r="AW45" s="118" t="s">
        <v>107</v>
      </c>
      <c r="AX45" s="114"/>
      <c r="AY45" s="118" t="s">
        <v>110</v>
      </c>
      <c r="AZ45" s="121"/>
      <c r="BA45" s="90" t="s">
        <v>111</v>
      </c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6"/>
      <c r="BM45" s="34"/>
      <c r="BN45" s="34"/>
    </row>
    <row r="46" spans="1:66" ht="24" customHeight="1" x14ac:dyDescent="0.45">
      <c r="A46" s="33"/>
      <c r="B46" s="33"/>
      <c r="C46" s="38">
        <f t="shared" si="0"/>
        <v>37</v>
      </c>
      <c r="D46" s="35"/>
      <c r="E46" s="68"/>
      <c r="F46" s="68"/>
      <c r="G46" s="37"/>
      <c r="H46" s="68"/>
      <c r="I46" s="68"/>
      <c r="J46" s="68"/>
      <c r="K46" s="68"/>
      <c r="L46" s="130" t="s">
        <v>96</v>
      </c>
      <c r="M46" s="131"/>
      <c r="N46" s="131"/>
      <c r="O46" s="132"/>
      <c r="P46" s="130" t="s">
        <v>105</v>
      </c>
      <c r="Q46" s="131"/>
      <c r="R46" s="131"/>
      <c r="S46" s="131"/>
      <c r="T46" s="131"/>
      <c r="U46" s="131"/>
      <c r="V46" s="131"/>
      <c r="W46" s="132"/>
      <c r="X46" s="130" t="s">
        <v>106</v>
      </c>
      <c r="Y46" s="131"/>
      <c r="Z46" s="131"/>
      <c r="AA46" s="131"/>
      <c r="AB46" s="131"/>
      <c r="AC46" s="131"/>
      <c r="AD46" s="131"/>
      <c r="AE46" s="132"/>
      <c r="AF46" s="62"/>
      <c r="AG46" s="63"/>
      <c r="AH46" s="63"/>
      <c r="AI46" s="63"/>
      <c r="AJ46" s="63"/>
      <c r="AK46" s="63"/>
      <c r="AL46" s="63"/>
      <c r="AM46" s="63"/>
      <c r="AN46" s="67"/>
      <c r="AO46" s="119">
        <v>45683</v>
      </c>
      <c r="AP46" s="120"/>
      <c r="AQ46" s="118" t="s">
        <v>107</v>
      </c>
      <c r="AR46" s="114"/>
      <c r="AS46" s="118" t="s">
        <v>108</v>
      </c>
      <c r="AT46" s="121"/>
      <c r="AU46" s="119">
        <v>45688</v>
      </c>
      <c r="AV46" s="120"/>
      <c r="AW46" s="118" t="s">
        <v>107</v>
      </c>
      <c r="AX46" s="114"/>
      <c r="AY46" s="118" t="s">
        <v>110</v>
      </c>
      <c r="AZ46" s="121"/>
      <c r="BA46" s="90" t="s">
        <v>111</v>
      </c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6"/>
      <c r="BM46" s="34"/>
      <c r="BN46" s="34"/>
    </row>
    <row r="47" spans="1:66" ht="24" customHeight="1" x14ac:dyDescent="0.45">
      <c r="A47" s="33"/>
      <c r="B47" s="33"/>
      <c r="C47" s="38">
        <f t="shared" si="0"/>
        <v>38</v>
      </c>
      <c r="D47" s="35"/>
      <c r="E47" s="68"/>
      <c r="F47" s="68"/>
      <c r="G47" s="37"/>
      <c r="H47" s="68"/>
      <c r="I47" s="68"/>
      <c r="J47" s="68"/>
      <c r="K47" s="68"/>
      <c r="L47" s="130" t="s">
        <v>97</v>
      </c>
      <c r="M47" s="131"/>
      <c r="N47" s="131"/>
      <c r="O47" s="132"/>
      <c r="P47" s="130" t="s">
        <v>105</v>
      </c>
      <c r="Q47" s="131"/>
      <c r="R47" s="131"/>
      <c r="S47" s="131"/>
      <c r="T47" s="131"/>
      <c r="U47" s="131"/>
      <c r="V47" s="131"/>
      <c r="W47" s="132"/>
      <c r="X47" s="130" t="s">
        <v>106</v>
      </c>
      <c r="Y47" s="131"/>
      <c r="Z47" s="131"/>
      <c r="AA47" s="131"/>
      <c r="AB47" s="131"/>
      <c r="AC47" s="131"/>
      <c r="AD47" s="131"/>
      <c r="AE47" s="132"/>
      <c r="AF47" s="62"/>
      <c r="AG47" s="63"/>
      <c r="AH47" s="63"/>
      <c r="AI47" s="63"/>
      <c r="AJ47" s="63"/>
      <c r="AK47" s="63"/>
      <c r="AL47" s="63"/>
      <c r="AM47" s="63"/>
      <c r="AN47" s="67"/>
      <c r="AO47" s="119">
        <v>45683</v>
      </c>
      <c r="AP47" s="120"/>
      <c r="AQ47" s="118" t="s">
        <v>107</v>
      </c>
      <c r="AR47" s="114"/>
      <c r="AS47" s="118" t="s">
        <v>108</v>
      </c>
      <c r="AT47" s="121"/>
      <c r="AU47" s="119">
        <v>45688</v>
      </c>
      <c r="AV47" s="120"/>
      <c r="AW47" s="118" t="s">
        <v>107</v>
      </c>
      <c r="AX47" s="114"/>
      <c r="AY47" s="118" t="s">
        <v>110</v>
      </c>
      <c r="AZ47" s="121"/>
      <c r="BA47" s="90" t="s">
        <v>111</v>
      </c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6"/>
      <c r="BM47" s="34"/>
      <c r="BN47" s="34"/>
    </row>
    <row r="48" spans="1:66" ht="24" customHeight="1" x14ac:dyDescent="0.45">
      <c r="A48" s="33"/>
      <c r="B48" s="33"/>
      <c r="C48" s="38">
        <f t="shared" si="0"/>
        <v>39</v>
      </c>
      <c r="D48" s="35"/>
      <c r="E48" s="68"/>
      <c r="F48" s="68"/>
      <c r="G48" s="37"/>
      <c r="H48" s="68"/>
      <c r="I48" s="68"/>
      <c r="J48" s="68"/>
      <c r="K48" s="68"/>
      <c r="L48" s="130" t="s">
        <v>98</v>
      </c>
      <c r="M48" s="131"/>
      <c r="N48" s="131"/>
      <c r="O48" s="132"/>
      <c r="P48" s="130" t="s">
        <v>105</v>
      </c>
      <c r="Q48" s="131"/>
      <c r="R48" s="131"/>
      <c r="S48" s="131"/>
      <c r="T48" s="131"/>
      <c r="U48" s="131"/>
      <c r="V48" s="131"/>
      <c r="W48" s="132"/>
      <c r="X48" s="130" t="s">
        <v>106</v>
      </c>
      <c r="Y48" s="131"/>
      <c r="Z48" s="131"/>
      <c r="AA48" s="131"/>
      <c r="AB48" s="131"/>
      <c r="AC48" s="131"/>
      <c r="AD48" s="131"/>
      <c r="AE48" s="132"/>
      <c r="AF48" s="62"/>
      <c r="AG48" s="63"/>
      <c r="AH48" s="63"/>
      <c r="AI48" s="63"/>
      <c r="AJ48" s="63"/>
      <c r="AK48" s="63"/>
      <c r="AL48" s="63"/>
      <c r="AM48" s="63"/>
      <c r="AN48" s="67"/>
      <c r="AO48" s="119">
        <v>45683</v>
      </c>
      <c r="AP48" s="120"/>
      <c r="AQ48" s="118" t="s">
        <v>107</v>
      </c>
      <c r="AR48" s="114"/>
      <c r="AS48" s="118" t="s">
        <v>108</v>
      </c>
      <c r="AT48" s="121"/>
      <c r="AU48" s="119">
        <v>45688</v>
      </c>
      <c r="AV48" s="120"/>
      <c r="AW48" s="118" t="s">
        <v>107</v>
      </c>
      <c r="AX48" s="114"/>
      <c r="AY48" s="118" t="s">
        <v>110</v>
      </c>
      <c r="AZ48" s="121"/>
      <c r="BA48" s="90" t="s">
        <v>111</v>
      </c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6"/>
      <c r="BM48" s="34"/>
      <c r="BN48" s="34"/>
    </row>
    <row r="49" spans="1:66" ht="24" customHeight="1" x14ac:dyDescent="0.45">
      <c r="A49" s="33"/>
      <c r="B49" s="33"/>
      <c r="C49" s="38">
        <f t="shared" si="0"/>
        <v>40</v>
      </c>
      <c r="D49" s="35"/>
      <c r="E49" s="68"/>
      <c r="F49" s="68"/>
      <c r="G49" s="37"/>
      <c r="H49" s="68"/>
      <c r="I49" s="68"/>
      <c r="J49" s="68"/>
      <c r="K49" s="68"/>
      <c r="L49" s="130" t="s">
        <v>89</v>
      </c>
      <c r="M49" s="131"/>
      <c r="N49" s="131"/>
      <c r="O49" s="132"/>
      <c r="P49" s="130" t="s">
        <v>105</v>
      </c>
      <c r="Q49" s="131"/>
      <c r="R49" s="131"/>
      <c r="S49" s="131"/>
      <c r="T49" s="131"/>
      <c r="U49" s="131"/>
      <c r="V49" s="131"/>
      <c r="W49" s="132"/>
      <c r="X49" s="130" t="s">
        <v>106</v>
      </c>
      <c r="Y49" s="131"/>
      <c r="Z49" s="131"/>
      <c r="AA49" s="131"/>
      <c r="AB49" s="131"/>
      <c r="AC49" s="131"/>
      <c r="AD49" s="131"/>
      <c r="AE49" s="132"/>
      <c r="AF49" s="62"/>
      <c r="AG49" s="63"/>
      <c r="AH49" s="63"/>
      <c r="AI49" s="63"/>
      <c r="AJ49" s="63"/>
      <c r="AK49" s="63"/>
      <c r="AL49" s="63"/>
      <c r="AM49" s="63"/>
      <c r="AN49" s="67"/>
      <c r="AO49" s="119">
        <v>45683</v>
      </c>
      <c r="AP49" s="120"/>
      <c r="AQ49" s="118" t="s">
        <v>107</v>
      </c>
      <c r="AR49" s="114"/>
      <c r="AS49" s="118" t="s">
        <v>108</v>
      </c>
      <c r="AT49" s="121"/>
      <c r="AU49" s="119">
        <v>45688</v>
      </c>
      <c r="AV49" s="120"/>
      <c r="AW49" s="118" t="s">
        <v>107</v>
      </c>
      <c r="AX49" s="114"/>
      <c r="AY49" s="118" t="s">
        <v>110</v>
      </c>
      <c r="AZ49" s="121"/>
      <c r="BA49" s="90" t="s">
        <v>111</v>
      </c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6"/>
      <c r="BM49" s="34"/>
      <c r="BN49" s="34"/>
    </row>
    <row r="50" spans="1:66" ht="24" customHeight="1" x14ac:dyDescent="0.45">
      <c r="A50" s="33"/>
      <c r="B50" s="33"/>
      <c r="C50" s="38">
        <f t="shared" si="0"/>
        <v>41</v>
      </c>
      <c r="D50" s="35"/>
      <c r="E50" s="68"/>
      <c r="F50" s="68"/>
      <c r="G50" s="37"/>
      <c r="H50" s="55"/>
      <c r="I50" s="56"/>
      <c r="J50" s="56"/>
      <c r="K50" s="57"/>
      <c r="L50" s="130" t="s">
        <v>90</v>
      </c>
      <c r="M50" s="131"/>
      <c r="N50" s="131"/>
      <c r="O50" s="132"/>
      <c r="P50" s="130" t="s">
        <v>105</v>
      </c>
      <c r="Q50" s="131"/>
      <c r="R50" s="131"/>
      <c r="S50" s="131"/>
      <c r="T50" s="131"/>
      <c r="U50" s="131"/>
      <c r="V50" s="131"/>
      <c r="W50" s="132"/>
      <c r="X50" s="130" t="s">
        <v>106</v>
      </c>
      <c r="Y50" s="131"/>
      <c r="Z50" s="131"/>
      <c r="AA50" s="131"/>
      <c r="AB50" s="131"/>
      <c r="AC50" s="131"/>
      <c r="AD50" s="131"/>
      <c r="AE50" s="132"/>
      <c r="AF50" s="62"/>
      <c r="AG50" s="63"/>
      <c r="AH50" s="63"/>
      <c r="AI50" s="63"/>
      <c r="AJ50" s="63"/>
      <c r="AK50" s="63"/>
      <c r="AL50" s="63"/>
      <c r="AM50" s="63"/>
      <c r="AN50" s="67"/>
      <c r="AO50" s="119">
        <v>45683</v>
      </c>
      <c r="AP50" s="120"/>
      <c r="AQ50" s="118" t="s">
        <v>107</v>
      </c>
      <c r="AR50" s="114"/>
      <c r="AS50" s="118" t="s">
        <v>108</v>
      </c>
      <c r="AT50" s="121"/>
      <c r="AU50" s="119">
        <v>45688</v>
      </c>
      <c r="AV50" s="120"/>
      <c r="AW50" s="118" t="s">
        <v>107</v>
      </c>
      <c r="AX50" s="114"/>
      <c r="AY50" s="118" t="s">
        <v>110</v>
      </c>
      <c r="AZ50" s="121"/>
      <c r="BA50" s="90" t="s">
        <v>111</v>
      </c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6"/>
      <c r="BM50" s="34"/>
      <c r="BN50" s="34"/>
    </row>
    <row r="51" spans="1:66" ht="24" customHeight="1" thickBot="1" x14ac:dyDescent="0.5">
      <c r="A51" s="33"/>
      <c r="B51" s="33"/>
      <c r="C51" s="38">
        <f t="shared" ref="C51" si="1">ROW()-9</f>
        <v>42</v>
      </c>
      <c r="D51" s="35"/>
      <c r="E51" s="68"/>
      <c r="F51" s="68"/>
      <c r="G51" s="37"/>
      <c r="H51" s="54" t="s">
        <v>47</v>
      </c>
      <c r="I51" s="68"/>
      <c r="J51" s="68"/>
      <c r="K51" s="68"/>
      <c r="L51" s="154" t="s">
        <v>60</v>
      </c>
      <c r="M51" s="155"/>
      <c r="N51" s="155"/>
      <c r="O51" s="156"/>
      <c r="P51" s="157" t="s">
        <v>48</v>
      </c>
      <c r="Q51" s="157"/>
      <c r="R51" s="157"/>
      <c r="S51" s="157"/>
      <c r="T51" s="157"/>
      <c r="U51" s="157"/>
      <c r="V51" s="157"/>
      <c r="W51" s="158"/>
      <c r="X51" s="131" t="s">
        <v>49</v>
      </c>
      <c r="Y51" s="131"/>
      <c r="Z51" s="131"/>
      <c r="AA51" s="131"/>
      <c r="AB51" s="131"/>
      <c r="AC51" s="131"/>
      <c r="AD51" s="131"/>
      <c r="AE51" s="132"/>
      <c r="AF51" s="62"/>
      <c r="AG51" s="63"/>
      <c r="AH51" s="63"/>
      <c r="AI51" s="63"/>
      <c r="AJ51" s="63"/>
      <c r="AK51" s="63"/>
      <c r="AL51" s="63"/>
      <c r="AM51" s="63"/>
      <c r="AN51" s="67"/>
      <c r="AO51" s="122">
        <v>45681</v>
      </c>
      <c r="AP51" s="123"/>
      <c r="AQ51" s="124" t="s">
        <v>107</v>
      </c>
      <c r="AR51" s="125"/>
      <c r="AS51" s="124" t="s">
        <v>109</v>
      </c>
      <c r="AT51" s="126"/>
      <c r="AU51" s="119">
        <v>45688</v>
      </c>
      <c r="AV51" s="120"/>
      <c r="AW51" s="118" t="s">
        <v>107</v>
      </c>
      <c r="AX51" s="114"/>
      <c r="AY51" s="118" t="s">
        <v>110</v>
      </c>
      <c r="AZ51" s="121"/>
      <c r="BA51" s="64" t="s">
        <v>112</v>
      </c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6"/>
      <c r="BM51" s="34"/>
      <c r="BN51" s="34"/>
    </row>
    <row r="52" spans="1:66" ht="20.100000000000001" customHeight="1" thickTop="1" thickBot="1" x14ac:dyDescent="0.5">
      <c r="A52" s="33"/>
      <c r="B52" s="7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5"/>
      <c r="Q52" s="15"/>
      <c r="R52" s="15"/>
      <c r="S52" s="15"/>
      <c r="T52" s="15"/>
      <c r="U52" s="15"/>
      <c r="V52" s="15"/>
      <c r="W52" s="15"/>
      <c r="X52" s="15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7"/>
      <c r="BN52" s="34"/>
    </row>
    <row r="53" spans="1:66" ht="5.0999999999999996" customHeight="1" thickTop="1" x14ac:dyDescent="0.4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spans="1:66" ht="20.100000000000001" customHeight="1" x14ac:dyDescent="0.45"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</sheetData>
  <mergeCells count="419">
    <mergeCell ref="AU50:AV50"/>
    <mergeCell ref="AW50:AX50"/>
    <mergeCell ref="AY50:AZ50"/>
    <mergeCell ref="AU51:AV51"/>
    <mergeCell ref="AW51:AX51"/>
    <mergeCell ref="AY51:AZ51"/>
    <mergeCell ref="AU47:AV47"/>
    <mergeCell ref="AW47:AX47"/>
    <mergeCell ref="AY47:AZ47"/>
    <mergeCell ref="AU48:AV48"/>
    <mergeCell ref="AW48:AX48"/>
    <mergeCell ref="AY48:AZ48"/>
    <mergeCell ref="AU49:AV49"/>
    <mergeCell ref="AW49:AX49"/>
    <mergeCell ref="AY49:AZ49"/>
    <mergeCell ref="AU44:AV44"/>
    <mergeCell ref="AW44:AX44"/>
    <mergeCell ref="AY44:AZ44"/>
    <mergeCell ref="AU45:AV45"/>
    <mergeCell ref="AW45:AX45"/>
    <mergeCell ref="AY45:AZ45"/>
    <mergeCell ref="AU46:AV46"/>
    <mergeCell ref="AW46:AX46"/>
    <mergeCell ref="AY46:AZ46"/>
    <mergeCell ref="AU41:AV41"/>
    <mergeCell ref="AW41:AX41"/>
    <mergeCell ref="AY41:AZ41"/>
    <mergeCell ref="AU42:AV42"/>
    <mergeCell ref="AW42:AX42"/>
    <mergeCell ref="AY42:AZ42"/>
    <mergeCell ref="AU43:AV43"/>
    <mergeCell ref="AW43:AX43"/>
    <mergeCell ref="AY43:AZ43"/>
    <mergeCell ref="AU38:AV38"/>
    <mergeCell ref="AW38:AX38"/>
    <mergeCell ref="AY38:AZ38"/>
    <mergeCell ref="AU39:AV39"/>
    <mergeCell ref="AW39:AX39"/>
    <mergeCell ref="AY39:AZ39"/>
    <mergeCell ref="AU40:AV40"/>
    <mergeCell ref="AW40:AX40"/>
    <mergeCell ref="AY40:AZ40"/>
    <mergeCell ref="AU35:AV35"/>
    <mergeCell ref="AW35:AX35"/>
    <mergeCell ref="AY35:AZ35"/>
    <mergeCell ref="AU36:AV36"/>
    <mergeCell ref="AW36:AX36"/>
    <mergeCell ref="AY36:AZ36"/>
    <mergeCell ref="AU37:AV37"/>
    <mergeCell ref="AW37:AX37"/>
    <mergeCell ref="AY37:AZ37"/>
    <mergeCell ref="AU32:AV32"/>
    <mergeCell ref="AW32:AX32"/>
    <mergeCell ref="AY32:AZ32"/>
    <mergeCell ref="AU33:AV33"/>
    <mergeCell ref="AW33:AX33"/>
    <mergeCell ref="AY33:AZ33"/>
    <mergeCell ref="AU34:AV34"/>
    <mergeCell ref="AW34:AX34"/>
    <mergeCell ref="AY34:AZ34"/>
    <mergeCell ref="AU29:AV29"/>
    <mergeCell ref="AW29:AX29"/>
    <mergeCell ref="AY29:AZ29"/>
    <mergeCell ref="AU30:AV30"/>
    <mergeCell ref="AW30:AX30"/>
    <mergeCell ref="AY30:AZ30"/>
    <mergeCell ref="AU31:AV31"/>
    <mergeCell ref="AW31:AX31"/>
    <mergeCell ref="AY31:AZ31"/>
    <mergeCell ref="AU26:AV26"/>
    <mergeCell ref="AW26:AX26"/>
    <mergeCell ref="AY26:AZ26"/>
    <mergeCell ref="AU27:AV27"/>
    <mergeCell ref="AW27:AX27"/>
    <mergeCell ref="AY27:AZ27"/>
    <mergeCell ref="AU28:AV28"/>
    <mergeCell ref="AW28:AX28"/>
    <mergeCell ref="AY28:AZ28"/>
    <mergeCell ref="AU23:AV23"/>
    <mergeCell ref="AW23:AX23"/>
    <mergeCell ref="AY23:AZ23"/>
    <mergeCell ref="AU24:AV24"/>
    <mergeCell ref="AW24:AX24"/>
    <mergeCell ref="AY24:AZ24"/>
    <mergeCell ref="AU25:AV25"/>
    <mergeCell ref="AW25:AX25"/>
    <mergeCell ref="AY25:AZ25"/>
    <mergeCell ref="AU20:AV20"/>
    <mergeCell ref="AW20:AX20"/>
    <mergeCell ref="AY20:AZ20"/>
    <mergeCell ref="AU21:AV21"/>
    <mergeCell ref="AW21:AX21"/>
    <mergeCell ref="AY21:AZ21"/>
    <mergeCell ref="AU22:AV22"/>
    <mergeCell ref="AW22:AX22"/>
    <mergeCell ref="AY22:AZ22"/>
    <mergeCell ref="AU17:AV17"/>
    <mergeCell ref="AW17:AX17"/>
    <mergeCell ref="AY17:AZ17"/>
    <mergeCell ref="AU18:AV18"/>
    <mergeCell ref="AW18:AX18"/>
    <mergeCell ref="AY18:AZ18"/>
    <mergeCell ref="AU19:AV19"/>
    <mergeCell ref="AW19:AX19"/>
    <mergeCell ref="AY19:AZ19"/>
    <mergeCell ref="AU14:AV14"/>
    <mergeCell ref="AW14:AX14"/>
    <mergeCell ref="AY14:AZ14"/>
    <mergeCell ref="AU15:AV15"/>
    <mergeCell ref="AW15:AX15"/>
    <mergeCell ref="AY15:AZ15"/>
    <mergeCell ref="AU16:AV16"/>
    <mergeCell ref="AW16:AX16"/>
    <mergeCell ref="AY16:AZ16"/>
    <mergeCell ref="L46:O46"/>
    <mergeCell ref="L47:O47"/>
    <mergeCell ref="L48:O48"/>
    <mergeCell ref="L49:O49"/>
    <mergeCell ref="L50:O50"/>
    <mergeCell ref="X29:AE29"/>
    <mergeCell ref="X30:AE30"/>
    <mergeCell ref="X31:AE31"/>
    <mergeCell ref="X32:AE32"/>
    <mergeCell ref="X33:AE33"/>
    <mergeCell ref="X34:AE34"/>
    <mergeCell ref="P36:W36"/>
    <mergeCell ref="L29:O29"/>
    <mergeCell ref="L30:O30"/>
    <mergeCell ref="L31:O31"/>
    <mergeCell ref="L32:O32"/>
    <mergeCell ref="L33:O33"/>
    <mergeCell ref="L34:O34"/>
    <mergeCell ref="L35:O35"/>
    <mergeCell ref="L40:O40"/>
    <mergeCell ref="L36:O36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P22:W22"/>
    <mergeCell ref="P23:W23"/>
    <mergeCell ref="X26:AE26"/>
    <mergeCell ref="X22:AE22"/>
    <mergeCell ref="X23:AE23"/>
    <mergeCell ref="P50:W50"/>
    <mergeCell ref="X50:AE50"/>
    <mergeCell ref="P49:W49"/>
    <mergeCell ref="X49:AE49"/>
    <mergeCell ref="P48:W48"/>
    <mergeCell ref="X48:AE48"/>
    <mergeCell ref="P46:W46"/>
    <mergeCell ref="X46:AE46"/>
    <mergeCell ref="X36:AE36"/>
    <mergeCell ref="P37:W37"/>
    <mergeCell ref="X37:AE37"/>
    <mergeCell ref="P39:W39"/>
    <mergeCell ref="X39:AE39"/>
    <mergeCell ref="X35:AE35"/>
    <mergeCell ref="P47:W47"/>
    <mergeCell ref="X47:AE47"/>
    <mergeCell ref="P11:W11"/>
    <mergeCell ref="P12:W12"/>
    <mergeCell ref="P13:W13"/>
    <mergeCell ref="P14:W14"/>
    <mergeCell ref="P16:W16"/>
    <mergeCell ref="P17:W17"/>
    <mergeCell ref="P18:W18"/>
    <mergeCell ref="P19:W19"/>
    <mergeCell ref="X21:AE21"/>
    <mergeCell ref="X14:AE14"/>
    <mergeCell ref="X16:AE16"/>
    <mergeCell ref="X17:AE17"/>
    <mergeCell ref="X18:AE18"/>
    <mergeCell ref="X19:AE19"/>
    <mergeCell ref="X20:AE20"/>
    <mergeCell ref="P15:W15"/>
    <mergeCell ref="X15:AE15"/>
    <mergeCell ref="P20:W20"/>
    <mergeCell ref="P21:W21"/>
    <mergeCell ref="L51:O51"/>
    <mergeCell ref="P51:W51"/>
    <mergeCell ref="X51:AE51"/>
    <mergeCell ref="L37:O37"/>
    <mergeCell ref="L38:O38"/>
    <mergeCell ref="X38:AE38"/>
    <mergeCell ref="L39:O39"/>
    <mergeCell ref="P38:W38"/>
    <mergeCell ref="P35:W35"/>
    <mergeCell ref="P40:W40"/>
    <mergeCell ref="P41:W41"/>
    <mergeCell ref="P42:W42"/>
    <mergeCell ref="P43:W43"/>
    <mergeCell ref="P44:W44"/>
    <mergeCell ref="L41:O41"/>
    <mergeCell ref="L42:O42"/>
    <mergeCell ref="L43:O43"/>
    <mergeCell ref="L44:O44"/>
    <mergeCell ref="L45:O45"/>
    <mergeCell ref="X43:AE43"/>
    <mergeCell ref="X44:AE44"/>
    <mergeCell ref="X40:AE40"/>
    <mergeCell ref="X41:AE41"/>
    <mergeCell ref="X42:AE42"/>
    <mergeCell ref="P28:W28"/>
    <mergeCell ref="X28:AE28"/>
    <mergeCell ref="X45:AE45"/>
    <mergeCell ref="P45:W45"/>
    <mergeCell ref="P26:W26"/>
    <mergeCell ref="P27:W27"/>
    <mergeCell ref="P24:W24"/>
    <mergeCell ref="P25:W25"/>
    <mergeCell ref="X25:AE25"/>
    <mergeCell ref="X24:AE24"/>
    <mergeCell ref="P29:W29"/>
    <mergeCell ref="P30:W30"/>
    <mergeCell ref="P31:W31"/>
    <mergeCell ref="P32:W32"/>
    <mergeCell ref="P33:W33"/>
    <mergeCell ref="P34:W34"/>
    <mergeCell ref="X27:AE27"/>
    <mergeCell ref="AU10:AV10"/>
    <mergeCell ref="AW10:AX10"/>
    <mergeCell ref="AY10:AZ10"/>
    <mergeCell ref="BA10:BL10"/>
    <mergeCell ref="X11:AE11"/>
    <mergeCell ref="X12:AE12"/>
    <mergeCell ref="X13:AE13"/>
    <mergeCell ref="AY9:AZ9"/>
    <mergeCell ref="BA9:BL9"/>
    <mergeCell ref="AO9:AP9"/>
    <mergeCell ref="AQ9:AR9"/>
    <mergeCell ref="AS9:AT9"/>
    <mergeCell ref="AU9:AV9"/>
    <mergeCell ref="AW9:AX9"/>
    <mergeCell ref="AU11:AV11"/>
    <mergeCell ref="AW11:AX11"/>
    <mergeCell ref="AY11:AZ11"/>
    <mergeCell ref="AU12:AV12"/>
    <mergeCell ref="AW12:AX12"/>
    <mergeCell ref="AY12:AZ12"/>
    <mergeCell ref="AU13:AV13"/>
    <mergeCell ref="AW13:AX13"/>
    <mergeCell ref="AY13:AZ13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8:AT8"/>
    <mergeCell ref="AS10:AT10"/>
    <mergeCell ref="L9:O9"/>
    <mergeCell ref="AO51:AP51"/>
    <mergeCell ref="AQ51:AR51"/>
    <mergeCell ref="AS51:AT51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3:AT33"/>
    <mergeCell ref="AS34:AT34"/>
    <mergeCell ref="AS35:AT35"/>
    <mergeCell ref="AS36:AT36"/>
    <mergeCell ref="AS37:AT37"/>
    <mergeCell ref="AS38:AT38"/>
    <mergeCell ref="AS39:AT39"/>
    <mergeCell ref="AS40:AT40"/>
    <mergeCell ref="AS41:AT41"/>
    <mergeCell ref="AS42:AT42"/>
    <mergeCell ref="AS43:AT43"/>
    <mergeCell ref="AS44:AT44"/>
    <mergeCell ref="AS45:AT45"/>
    <mergeCell ref="AS46:AT46"/>
    <mergeCell ref="AS47:AT47"/>
    <mergeCell ref="AS48:AT48"/>
    <mergeCell ref="AS49:AT49"/>
    <mergeCell ref="AS50:AT50"/>
    <mergeCell ref="AO11:AP11"/>
    <mergeCell ref="AQ11:AR11"/>
    <mergeCell ref="AO12:AP12"/>
    <mergeCell ref="AQ12:AR12"/>
    <mergeCell ref="AO13:AP13"/>
    <mergeCell ref="AQ13:AR13"/>
    <mergeCell ref="AO14:AP14"/>
    <mergeCell ref="AQ14:AR14"/>
    <mergeCell ref="AO15:AP15"/>
    <mergeCell ref="AQ15:AR15"/>
    <mergeCell ref="AO16:AP16"/>
    <mergeCell ref="AQ16:AR16"/>
    <mergeCell ref="AO17:AP17"/>
    <mergeCell ref="AQ17:AR17"/>
    <mergeCell ref="AO18:AP18"/>
    <mergeCell ref="AQ18:AR18"/>
    <mergeCell ref="AO19:AP19"/>
    <mergeCell ref="AQ19:AR19"/>
    <mergeCell ref="AO20:AP20"/>
    <mergeCell ref="AQ20:AR20"/>
    <mergeCell ref="AO21:AP21"/>
    <mergeCell ref="AQ21:AR21"/>
    <mergeCell ref="AO22:AP22"/>
    <mergeCell ref="AQ22:AR22"/>
    <mergeCell ref="AO23:AP23"/>
    <mergeCell ref="AQ23:AR23"/>
    <mergeCell ref="AO24:AP24"/>
    <mergeCell ref="AQ24:AR24"/>
    <mergeCell ref="AO25:AP25"/>
    <mergeCell ref="AQ25:AR25"/>
    <mergeCell ref="AO26:AP26"/>
    <mergeCell ref="AQ26:AR26"/>
    <mergeCell ref="AO27:AP27"/>
    <mergeCell ref="AQ27:AR27"/>
    <mergeCell ref="AO28:AP28"/>
    <mergeCell ref="AQ28:AR28"/>
    <mergeCell ref="AO29:AP29"/>
    <mergeCell ref="AQ29:AR29"/>
    <mergeCell ref="AO30:AP30"/>
    <mergeCell ref="AQ30:AR30"/>
    <mergeCell ref="AO31:AP31"/>
    <mergeCell ref="AQ31:AR31"/>
    <mergeCell ref="AO32:AP32"/>
    <mergeCell ref="AQ32:AR32"/>
    <mergeCell ref="AO33:AP33"/>
    <mergeCell ref="AQ33:AR33"/>
    <mergeCell ref="AO34:AP34"/>
    <mergeCell ref="AQ34:AR34"/>
    <mergeCell ref="AO35:AP35"/>
    <mergeCell ref="AQ35:AR35"/>
    <mergeCell ref="AO36:AP36"/>
    <mergeCell ref="AQ36:AR36"/>
    <mergeCell ref="AO37:AP37"/>
    <mergeCell ref="AQ37:AR37"/>
    <mergeCell ref="AO38:AP38"/>
    <mergeCell ref="AQ38:AR38"/>
    <mergeCell ref="AO39:AP39"/>
    <mergeCell ref="AQ39:AR39"/>
    <mergeCell ref="AO40:AP40"/>
    <mergeCell ref="AQ40:AR40"/>
    <mergeCell ref="AO41:AP41"/>
    <mergeCell ref="AQ41:AR41"/>
    <mergeCell ref="AO47:AP47"/>
    <mergeCell ref="AQ47:AR47"/>
    <mergeCell ref="AO48:AP48"/>
    <mergeCell ref="AQ48:AR48"/>
    <mergeCell ref="AO49:AP49"/>
    <mergeCell ref="AQ49:AR49"/>
    <mergeCell ref="AO50:AP50"/>
    <mergeCell ref="AQ50:AR50"/>
    <mergeCell ref="AO42:AP42"/>
    <mergeCell ref="AQ42:AR42"/>
    <mergeCell ref="AO43:AP43"/>
    <mergeCell ref="AQ43:AR43"/>
    <mergeCell ref="AO44:AP44"/>
    <mergeCell ref="AQ44:AR44"/>
    <mergeCell ref="AO45:AP45"/>
    <mergeCell ref="AQ45:AR45"/>
    <mergeCell ref="AO46:AP46"/>
    <mergeCell ref="AQ46:AR46"/>
  </mergeCells>
  <phoneticPr fontId="2"/>
  <conditionalFormatting sqref="AY10 AS10:AS51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Y11">
    <cfRule type="cellIs" dxfId="7" priority="3" operator="equal">
      <formula>"OK"</formula>
    </cfRule>
    <cfRule type="cellIs" dxfId="6" priority="4" operator="equal">
      <formula>"NG"</formula>
    </cfRule>
  </conditionalFormatting>
  <conditionalFormatting sqref="AY12:AY51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S10:AS51 AY10:AY5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94"/>
  <sheetViews>
    <sheetView showGridLines="0" view="pageBreakPreview" zoomScaleNormal="100" zoomScaleSheetLayoutView="100" workbookViewId="0">
      <pane ySplit="9" topLeftCell="A82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2" customWidth="1"/>
    <col min="2" max="65" width="3.69921875" style="32" customWidth="1"/>
    <col min="66" max="66" width="1.09765625" style="32" customWidth="1"/>
    <col min="67" max="16384" width="3.59765625" style="32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33"/>
      <c r="B2" s="93" t="s">
        <v>0</v>
      </c>
      <c r="C2" s="94"/>
      <c r="D2" s="94"/>
      <c r="E2" s="94"/>
      <c r="F2" s="94"/>
      <c r="G2" s="94"/>
      <c r="H2" s="94" t="s">
        <v>40</v>
      </c>
      <c r="I2" s="94"/>
      <c r="J2" s="94"/>
      <c r="K2" s="94"/>
      <c r="L2" s="94" t="s">
        <v>41</v>
      </c>
      <c r="M2" s="94"/>
      <c r="N2" s="94"/>
      <c r="O2" s="94"/>
      <c r="P2" s="94"/>
      <c r="Q2" s="94"/>
      <c r="R2" s="94" t="s">
        <v>1</v>
      </c>
      <c r="S2" s="94"/>
      <c r="T2" s="94"/>
      <c r="U2" s="94"/>
      <c r="V2" s="94"/>
      <c r="W2" s="94"/>
      <c r="X2" s="95" t="s">
        <v>2</v>
      </c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7"/>
      <c r="AK2" s="95" t="s">
        <v>30</v>
      </c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7"/>
      <c r="AX2" s="94" t="s">
        <v>4</v>
      </c>
      <c r="AY2" s="94"/>
      <c r="AZ2" s="94"/>
      <c r="BA2" s="94"/>
      <c r="BB2" s="94" t="s">
        <v>3</v>
      </c>
      <c r="BC2" s="94"/>
      <c r="BD2" s="94"/>
      <c r="BE2" s="94"/>
      <c r="BF2" s="94" t="s">
        <v>5</v>
      </c>
      <c r="BG2" s="94"/>
      <c r="BH2" s="94"/>
      <c r="BI2" s="94"/>
      <c r="BJ2" s="94" t="s">
        <v>6</v>
      </c>
      <c r="BK2" s="94"/>
      <c r="BL2" s="94"/>
      <c r="BM2" s="108"/>
      <c r="BN2" s="34"/>
    </row>
    <row r="3" spans="1:66" ht="20.100000000000001" customHeight="1" x14ac:dyDescent="0.45">
      <c r="A3" s="33"/>
      <c r="B3" s="98" t="str">
        <f>変更履歴!B3</f>
        <v>受発注システム</v>
      </c>
      <c r="C3" s="99"/>
      <c r="D3" s="99"/>
      <c r="E3" s="99"/>
      <c r="F3" s="99"/>
      <c r="G3" s="99"/>
      <c r="H3" s="99" t="str">
        <f ca="1">変更履歴!H3</f>
        <v>マスタ</v>
      </c>
      <c r="I3" s="99"/>
      <c r="J3" s="99"/>
      <c r="K3" s="99"/>
      <c r="L3" s="99" t="str">
        <f>変更履歴!L3</f>
        <v>受発注</v>
      </c>
      <c r="M3" s="99"/>
      <c r="N3" s="99"/>
      <c r="O3" s="99"/>
      <c r="P3" s="99"/>
      <c r="Q3" s="99"/>
      <c r="R3" s="99" t="str">
        <f ca="1">変更履歴!R3</f>
        <v>結合試験項目</v>
      </c>
      <c r="S3" s="99"/>
      <c r="T3" s="99"/>
      <c r="U3" s="99"/>
      <c r="V3" s="99"/>
      <c r="W3" s="99"/>
      <c r="X3" s="103" t="str">
        <f ca="1">変更履歴!X3</f>
        <v>マスタ_三和サービス実績入力_結合試験項目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0"/>
      <c r="AK3" s="103" t="str">
        <f ca="1">変更履歴!AK3</f>
        <v>三和サービス実績入力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0"/>
      <c r="AX3" s="110">
        <f>変更履歴!AX3</f>
        <v>45636</v>
      </c>
      <c r="AY3" s="110"/>
      <c r="AZ3" s="110"/>
      <c r="BA3" s="110"/>
      <c r="BB3" s="99" t="str">
        <f>変更履歴!BB3</f>
        <v>榎本</v>
      </c>
      <c r="BC3" s="99"/>
      <c r="BD3" s="99"/>
      <c r="BE3" s="99"/>
      <c r="BF3" s="110">
        <f>変更履歴!BF3</f>
        <v>45636</v>
      </c>
      <c r="BG3" s="110"/>
      <c r="BH3" s="110"/>
      <c r="BI3" s="110"/>
      <c r="BJ3" s="99" t="str">
        <f>変更履歴!BJ3</f>
        <v>榎本</v>
      </c>
      <c r="BK3" s="99"/>
      <c r="BL3" s="99"/>
      <c r="BM3" s="111"/>
      <c r="BN3" s="34"/>
    </row>
    <row r="4" spans="1:66" ht="20.100000000000001" customHeight="1" thickBot="1" x14ac:dyDescent="0.5">
      <c r="A4" s="33"/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37"/>
      <c r="AY4" s="137"/>
      <c r="AZ4" s="137"/>
      <c r="BA4" s="137"/>
      <c r="BB4" s="101"/>
      <c r="BC4" s="101"/>
      <c r="BD4" s="101"/>
      <c r="BE4" s="101"/>
      <c r="BF4" s="137"/>
      <c r="BG4" s="137"/>
      <c r="BH4" s="137"/>
      <c r="BI4" s="137"/>
      <c r="BJ4" s="101"/>
      <c r="BK4" s="101"/>
      <c r="BL4" s="101"/>
      <c r="BM4" s="103"/>
      <c r="BN4" s="3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8.4" customHeight="1" thickTop="1" thickBot="1" x14ac:dyDescent="0.5">
      <c r="A6" s="3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34"/>
    </row>
    <row r="7" spans="1:66" ht="13.8" thickTop="1" thickBot="1" x14ac:dyDescent="0.5">
      <c r="A7" s="3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E7" s="138" t="s">
        <v>32</v>
      </c>
      <c r="BF7" s="139"/>
      <c r="BG7" s="142" t="s">
        <v>31</v>
      </c>
      <c r="BH7" s="142"/>
      <c r="BI7" s="143" t="s">
        <v>33</v>
      </c>
      <c r="BJ7" s="144"/>
      <c r="BK7" s="143" t="s">
        <v>34</v>
      </c>
      <c r="BL7" s="136"/>
      <c r="BM7" s="7"/>
      <c r="BN7" s="34"/>
    </row>
    <row r="8" spans="1:66" ht="13.8" thickTop="1" thickBot="1" x14ac:dyDescent="0.5">
      <c r="A8" s="3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L8" s="7"/>
      <c r="AM8" s="7"/>
      <c r="AO8" s="134" t="s">
        <v>35</v>
      </c>
      <c r="AP8" s="135"/>
      <c r="AQ8" s="135"/>
      <c r="AR8" s="135"/>
      <c r="AS8" s="135"/>
      <c r="AT8" s="136"/>
      <c r="AU8" s="134" t="s">
        <v>36</v>
      </c>
      <c r="AV8" s="135"/>
      <c r="AW8" s="135"/>
      <c r="AX8" s="135"/>
      <c r="AY8" s="135"/>
      <c r="AZ8" s="136"/>
      <c r="BE8" s="140"/>
      <c r="BF8" s="141"/>
      <c r="BG8" s="124">
        <f>COUNTA(C10:C91)</f>
        <v>82</v>
      </c>
      <c r="BH8" s="125"/>
      <c r="BI8" s="124">
        <f>COUNTIF(AS10:AT91,"OK")+COUNTIF(AY10:AZ91,"OK")</f>
        <v>82</v>
      </c>
      <c r="BJ8" s="125"/>
      <c r="BK8" s="124">
        <f>BG8-BI8</f>
        <v>0</v>
      </c>
      <c r="BL8" s="145"/>
      <c r="BM8" s="7"/>
      <c r="BN8" s="34"/>
    </row>
    <row r="9" spans="1:66" ht="20.100000000000001" customHeight="1" thickTop="1" x14ac:dyDescent="0.45">
      <c r="A9" s="33"/>
      <c r="B9" s="7"/>
      <c r="C9" s="16" t="s">
        <v>12</v>
      </c>
      <c r="D9" s="27" t="s">
        <v>21</v>
      </c>
      <c r="E9" s="28"/>
      <c r="F9" s="28"/>
      <c r="G9" s="28"/>
      <c r="H9" s="27" t="s">
        <v>22</v>
      </c>
      <c r="I9" s="28"/>
      <c r="J9" s="28"/>
      <c r="K9" s="29"/>
      <c r="L9" s="27" t="s">
        <v>23</v>
      </c>
      <c r="M9" s="28"/>
      <c r="N9" s="28"/>
      <c r="O9" s="28"/>
      <c r="P9" s="27" t="s">
        <v>37</v>
      </c>
      <c r="Q9" s="28"/>
      <c r="R9" s="28"/>
      <c r="S9" s="28"/>
      <c r="T9" s="28"/>
      <c r="U9" s="28"/>
      <c r="V9" s="28"/>
      <c r="W9" s="28"/>
      <c r="X9" s="27" t="s">
        <v>24</v>
      </c>
      <c r="Y9" s="28"/>
      <c r="Z9" s="28"/>
      <c r="AA9" s="28"/>
      <c r="AB9" s="28"/>
      <c r="AC9" s="28"/>
      <c r="AD9" s="28"/>
      <c r="AE9" s="28"/>
      <c r="AF9" s="27" t="s">
        <v>28</v>
      </c>
      <c r="AG9" s="28"/>
      <c r="AH9" s="28"/>
      <c r="AI9" s="28"/>
      <c r="AJ9" s="28"/>
      <c r="AK9" s="28"/>
      <c r="AL9" s="28"/>
      <c r="AM9" s="28"/>
      <c r="AN9" s="30"/>
      <c r="AO9" s="152" t="s">
        <v>25</v>
      </c>
      <c r="AP9" s="153"/>
      <c r="AQ9" s="149" t="s">
        <v>26</v>
      </c>
      <c r="AR9" s="153"/>
      <c r="AS9" s="149" t="s">
        <v>29</v>
      </c>
      <c r="AT9" s="150"/>
      <c r="AU9" s="152" t="s">
        <v>25</v>
      </c>
      <c r="AV9" s="153"/>
      <c r="AW9" s="149" t="s">
        <v>26</v>
      </c>
      <c r="AX9" s="153"/>
      <c r="AY9" s="149" t="s">
        <v>29</v>
      </c>
      <c r="AZ9" s="150"/>
      <c r="BA9" s="151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34"/>
      <c r="BN9" s="34"/>
    </row>
    <row r="10" spans="1:66" ht="24" customHeight="1" x14ac:dyDescent="0.45">
      <c r="A10" s="33"/>
      <c r="B10" s="33"/>
      <c r="C10" s="38">
        <f>ROW()-9</f>
        <v>1</v>
      </c>
      <c r="D10" s="127" t="s">
        <v>55</v>
      </c>
      <c r="E10" s="128"/>
      <c r="F10" s="128"/>
      <c r="G10" s="129"/>
      <c r="H10" s="127" t="s">
        <v>42</v>
      </c>
      <c r="I10" s="128"/>
      <c r="J10" s="128"/>
      <c r="K10" s="129"/>
      <c r="L10" s="165" t="s">
        <v>60</v>
      </c>
      <c r="M10" s="147"/>
      <c r="N10" s="147"/>
      <c r="O10" s="166"/>
      <c r="P10" s="130" t="s">
        <v>99</v>
      </c>
      <c r="Q10" s="131"/>
      <c r="R10" s="131"/>
      <c r="S10" s="131"/>
      <c r="T10" s="131"/>
      <c r="U10" s="131"/>
      <c r="V10" s="131"/>
      <c r="W10" s="132"/>
      <c r="X10" s="130" t="s">
        <v>46</v>
      </c>
      <c r="Y10" s="131"/>
      <c r="Z10" s="131"/>
      <c r="AA10" s="131"/>
      <c r="AB10" s="131"/>
      <c r="AC10" s="131"/>
      <c r="AD10" s="131"/>
      <c r="AE10" s="132"/>
      <c r="AF10" s="130"/>
      <c r="AG10" s="131"/>
      <c r="AH10" s="131"/>
      <c r="AI10" s="131"/>
      <c r="AJ10" s="131"/>
      <c r="AK10" s="131"/>
      <c r="AL10" s="131"/>
      <c r="AM10" s="131"/>
      <c r="AN10" s="133"/>
      <c r="AO10" s="119">
        <v>45683</v>
      </c>
      <c r="AP10" s="120"/>
      <c r="AQ10" s="118" t="s">
        <v>107</v>
      </c>
      <c r="AR10" s="114"/>
      <c r="AS10" s="118" t="s">
        <v>110</v>
      </c>
      <c r="AT10" s="121"/>
      <c r="AU10" s="119"/>
      <c r="AV10" s="120"/>
      <c r="AW10" s="118"/>
      <c r="AX10" s="114"/>
      <c r="AY10" s="118"/>
      <c r="AZ10" s="121"/>
      <c r="BA10" s="146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8"/>
      <c r="BM10" s="34"/>
      <c r="BN10" s="34"/>
    </row>
    <row r="11" spans="1:66" ht="24" customHeight="1" x14ac:dyDescent="0.45">
      <c r="A11" s="33"/>
      <c r="B11" s="33"/>
      <c r="C11" s="38">
        <f t="shared" ref="C11:C72" si="0">ROW()-9</f>
        <v>2</v>
      </c>
      <c r="D11" s="35"/>
      <c r="E11" s="36"/>
      <c r="F11" s="36"/>
      <c r="G11" s="37"/>
      <c r="H11" s="35"/>
      <c r="I11" s="36"/>
      <c r="J11" s="36"/>
      <c r="K11" s="37"/>
      <c r="L11" s="86" t="s">
        <v>61</v>
      </c>
      <c r="M11" s="83"/>
      <c r="N11" s="83"/>
      <c r="O11" s="87"/>
      <c r="P11" s="130" t="s">
        <v>99</v>
      </c>
      <c r="Q11" s="131"/>
      <c r="R11" s="131"/>
      <c r="S11" s="131"/>
      <c r="T11" s="131"/>
      <c r="U11" s="131"/>
      <c r="V11" s="131"/>
      <c r="W11" s="132"/>
      <c r="X11" s="130" t="s">
        <v>100</v>
      </c>
      <c r="Y11" s="131"/>
      <c r="Z11" s="131"/>
      <c r="AA11" s="131"/>
      <c r="AB11" s="131"/>
      <c r="AC11" s="131"/>
      <c r="AD11" s="131"/>
      <c r="AE11" s="132"/>
      <c r="AF11" s="31"/>
      <c r="AG11" s="40"/>
      <c r="AH11" s="40"/>
      <c r="AI11" s="40"/>
      <c r="AJ11" s="40"/>
      <c r="AK11" s="40"/>
      <c r="AL11" s="40"/>
      <c r="AM11" s="40"/>
      <c r="AN11" s="44"/>
      <c r="AO11" s="119">
        <v>45683</v>
      </c>
      <c r="AP11" s="120"/>
      <c r="AQ11" s="118" t="s">
        <v>107</v>
      </c>
      <c r="AR11" s="114"/>
      <c r="AS11" s="118" t="s">
        <v>108</v>
      </c>
      <c r="AT11" s="121"/>
      <c r="AU11" s="119">
        <v>45688</v>
      </c>
      <c r="AV11" s="120"/>
      <c r="AW11" s="118" t="s">
        <v>107</v>
      </c>
      <c r="AX11" s="114"/>
      <c r="AY11" s="118" t="s">
        <v>110</v>
      </c>
      <c r="AZ11" s="121"/>
      <c r="BA11" s="41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3"/>
      <c r="BM11" s="34"/>
      <c r="BN11" s="34"/>
    </row>
    <row r="12" spans="1:66" ht="24" customHeight="1" x14ac:dyDescent="0.45">
      <c r="A12" s="33"/>
      <c r="B12" s="33"/>
      <c r="C12" s="38">
        <f t="shared" si="0"/>
        <v>3</v>
      </c>
      <c r="D12" s="35"/>
      <c r="E12" s="36"/>
      <c r="F12" s="36"/>
      <c r="G12" s="37"/>
      <c r="H12" s="35"/>
      <c r="I12" s="36"/>
      <c r="J12" s="36"/>
      <c r="K12" s="37"/>
      <c r="L12" s="86" t="s">
        <v>62</v>
      </c>
      <c r="M12" s="83"/>
      <c r="N12" s="83"/>
      <c r="O12" s="87"/>
      <c r="P12" s="130" t="s">
        <v>99</v>
      </c>
      <c r="Q12" s="131"/>
      <c r="R12" s="131"/>
      <c r="S12" s="131"/>
      <c r="T12" s="131"/>
      <c r="U12" s="131"/>
      <c r="V12" s="131"/>
      <c r="W12" s="132"/>
      <c r="X12" s="130" t="s">
        <v>100</v>
      </c>
      <c r="Y12" s="131"/>
      <c r="Z12" s="131"/>
      <c r="AA12" s="131"/>
      <c r="AB12" s="131"/>
      <c r="AC12" s="131"/>
      <c r="AD12" s="131"/>
      <c r="AE12" s="132"/>
      <c r="AF12" s="39"/>
      <c r="AG12" s="40"/>
      <c r="AH12" s="40"/>
      <c r="AI12" s="40"/>
      <c r="AJ12" s="40"/>
      <c r="AK12" s="40"/>
      <c r="AL12" s="40"/>
      <c r="AM12" s="40"/>
      <c r="AN12" s="44"/>
      <c r="AO12" s="119">
        <v>45683</v>
      </c>
      <c r="AP12" s="120"/>
      <c r="AQ12" s="118" t="s">
        <v>107</v>
      </c>
      <c r="AR12" s="114"/>
      <c r="AS12" s="118" t="s">
        <v>108</v>
      </c>
      <c r="AT12" s="121"/>
      <c r="AU12" s="119">
        <v>45688</v>
      </c>
      <c r="AV12" s="120"/>
      <c r="AW12" s="118" t="s">
        <v>107</v>
      </c>
      <c r="AX12" s="114"/>
      <c r="AY12" s="118" t="s">
        <v>110</v>
      </c>
      <c r="AZ12" s="121"/>
      <c r="BA12" s="41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3"/>
      <c r="BM12" s="34"/>
      <c r="BN12" s="34"/>
    </row>
    <row r="13" spans="1:66" ht="24" customHeight="1" x14ac:dyDescent="0.45">
      <c r="A13" s="33"/>
      <c r="B13" s="33"/>
      <c r="C13" s="38">
        <f t="shared" si="0"/>
        <v>4</v>
      </c>
      <c r="D13" s="35"/>
      <c r="E13" s="36"/>
      <c r="F13" s="36"/>
      <c r="G13" s="37"/>
      <c r="H13" s="35"/>
      <c r="I13" s="36"/>
      <c r="J13" s="36"/>
      <c r="K13" s="37"/>
      <c r="L13" s="86" t="s">
        <v>63</v>
      </c>
      <c r="M13" s="83"/>
      <c r="N13" s="83"/>
      <c r="O13" s="87"/>
      <c r="P13" s="130" t="s">
        <v>99</v>
      </c>
      <c r="Q13" s="131"/>
      <c r="R13" s="131"/>
      <c r="S13" s="131"/>
      <c r="T13" s="131"/>
      <c r="U13" s="131"/>
      <c r="V13" s="131"/>
      <c r="W13" s="132"/>
      <c r="X13" s="130" t="s">
        <v>100</v>
      </c>
      <c r="Y13" s="131"/>
      <c r="Z13" s="131"/>
      <c r="AA13" s="131"/>
      <c r="AB13" s="131"/>
      <c r="AC13" s="131"/>
      <c r="AD13" s="131"/>
      <c r="AE13" s="132"/>
      <c r="AF13" s="39"/>
      <c r="AG13" s="40"/>
      <c r="AH13" s="40"/>
      <c r="AI13" s="40"/>
      <c r="AJ13" s="40"/>
      <c r="AK13" s="40"/>
      <c r="AL13" s="40"/>
      <c r="AM13" s="40"/>
      <c r="AN13" s="44"/>
      <c r="AO13" s="119">
        <v>45683</v>
      </c>
      <c r="AP13" s="120"/>
      <c r="AQ13" s="118" t="s">
        <v>107</v>
      </c>
      <c r="AR13" s="114"/>
      <c r="AS13" s="118" t="s">
        <v>108</v>
      </c>
      <c r="AT13" s="121"/>
      <c r="AU13" s="119">
        <v>45688</v>
      </c>
      <c r="AV13" s="120"/>
      <c r="AW13" s="118" t="s">
        <v>107</v>
      </c>
      <c r="AX13" s="114"/>
      <c r="AY13" s="118" t="s">
        <v>110</v>
      </c>
      <c r="AZ13" s="121"/>
      <c r="BA13" s="41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3"/>
      <c r="BM13" s="34"/>
      <c r="BN13" s="34"/>
    </row>
    <row r="14" spans="1:66" ht="24" customHeight="1" x14ac:dyDescent="0.45">
      <c r="A14" s="33"/>
      <c r="B14" s="33"/>
      <c r="C14" s="38">
        <f t="shared" si="0"/>
        <v>5</v>
      </c>
      <c r="D14" s="35"/>
      <c r="E14" s="36"/>
      <c r="F14" s="36"/>
      <c r="G14" s="37"/>
      <c r="H14" s="35"/>
      <c r="I14" s="36"/>
      <c r="J14" s="36"/>
      <c r="K14" s="37"/>
      <c r="L14" s="86" t="s">
        <v>64</v>
      </c>
      <c r="M14" s="83"/>
      <c r="N14" s="83"/>
      <c r="O14" s="87"/>
      <c r="P14" s="130" t="s">
        <v>99</v>
      </c>
      <c r="Q14" s="131"/>
      <c r="R14" s="131"/>
      <c r="S14" s="131"/>
      <c r="T14" s="131"/>
      <c r="U14" s="131"/>
      <c r="V14" s="131"/>
      <c r="W14" s="132"/>
      <c r="X14" s="130" t="s">
        <v>100</v>
      </c>
      <c r="Y14" s="131"/>
      <c r="Z14" s="131"/>
      <c r="AA14" s="131"/>
      <c r="AB14" s="131"/>
      <c r="AC14" s="131"/>
      <c r="AD14" s="131"/>
      <c r="AE14" s="132"/>
      <c r="AF14" s="39"/>
      <c r="AG14" s="40"/>
      <c r="AH14" s="40"/>
      <c r="AI14" s="40"/>
      <c r="AJ14" s="40"/>
      <c r="AK14" s="40"/>
      <c r="AL14" s="40"/>
      <c r="AM14" s="40"/>
      <c r="AN14" s="44"/>
      <c r="AO14" s="119">
        <v>45683</v>
      </c>
      <c r="AP14" s="120"/>
      <c r="AQ14" s="118" t="s">
        <v>107</v>
      </c>
      <c r="AR14" s="114"/>
      <c r="AS14" s="118" t="s">
        <v>108</v>
      </c>
      <c r="AT14" s="121"/>
      <c r="AU14" s="119">
        <v>45688</v>
      </c>
      <c r="AV14" s="120"/>
      <c r="AW14" s="118" t="s">
        <v>107</v>
      </c>
      <c r="AX14" s="114"/>
      <c r="AY14" s="118" t="s">
        <v>110</v>
      </c>
      <c r="AZ14" s="121"/>
      <c r="BA14" s="41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3"/>
      <c r="BM14" s="34"/>
      <c r="BN14" s="34"/>
    </row>
    <row r="15" spans="1:66" ht="24" customHeight="1" x14ac:dyDescent="0.45">
      <c r="A15" s="33"/>
      <c r="B15" s="33"/>
      <c r="C15" s="38">
        <f t="shared" si="0"/>
        <v>6</v>
      </c>
      <c r="D15" s="35"/>
      <c r="E15" s="36"/>
      <c r="F15" s="36"/>
      <c r="G15" s="45"/>
      <c r="H15" s="36"/>
      <c r="I15" s="36"/>
      <c r="J15" s="36"/>
      <c r="K15" s="45"/>
      <c r="L15" s="86" t="s">
        <v>65</v>
      </c>
      <c r="M15" s="83"/>
      <c r="N15" s="83"/>
      <c r="O15" s="87"/>
      <c r="P15" s="130" t="s">
        <v>99</v>
      </c>
      <c r="Q15" s="131"/>
      <c r="R15" s="131"/>
      <c r="S15" s="131"/>
      <c r="T15" s="131"/>
      <c r="U15" s="131"/>
      <c r="V15" s="131"/>
      <c r="W15" s="132"/>
      <c r="X15" s="130" t="s">
        <v>100</v>
      </c>
      <c r="Y15" s="131"/>
      <c r="Z15" s="131"/>
      <c r="AA15" s="131"/>
      <c r="AB15" s="131"/>
      <c r="AC15" s="131"/>
      <c r="AD15" s="131"/>
      <c r="AE15" s="132"/>
      <c r="AF15" s="39"/>
      <c r="AG15" s="40"/>
      <c r="AH15" s="40"/>
      <c r="AI15" s="40"/>
      <c r="AJ15" s="40"/>
      <c r="AK15" s="40"/>
      <c r="AL15" s="40"/>
      <c r="AM15" s="40"/>
      <c r="AN15" s="44"/>
      <c r="AO15" s="119">
        <v>45683</v>
      </c>
      <c r="AP15" s="120"/>
      <c r="AQ15" s="118" t="s">
        <v>107</v>
      </c>
      <c r="AR15" s="114"/>
      <c r="AS15" s="118" t="s">
        <v>108</v>
      </c>
      <c r="AT15" s="121"/>
      <c r="AU15" s="119">
        <v>45688</v>
      </c>
      <c r="AV15" s="120"/>
      <c r="AW15" s="118" t="s">
        <v>107</v>
      </c>
      <c r="AX15" s="114"/>
      <c r="AY15" s="118" t="s">
        <v>110</v>
      </c>
      <c r="AZ15" s="121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3"/>
      <c r="BM15" s="34"/>
      <c r="BN15" s="34"/>
    </row>
    <row r="16" spans="1:66" ht="24" customHeight="1" x14ac:dyDescent="0.45">
      <c r="A16" s="33"/>
      <c r="B16" s="33"/>
      <c r="C16" s="38">
        <f t="shared" si="0"/>
        <v>7</v>
      </c>
      <c r="D16" s="35"/>
      <c r="E16" s="36"/>
      <c r="F16" s="36"/>
      <c r="G16" s="37"/>
      <c r="H16" s="36"/>
      <c r="I16" s="36"/>
      <c r="J16" s="36"/>
      <c r="K16" s="36"/>
      <c r="L16" s="86" t="s">
        <v>66</v>
      </c>
      <c r="M16" s="83"/>
      <c r="N16" s="83"/>
      <c r="O16" s="87"/>
      <c r="P16" s="130" t="s">
        <v>99</v>
      </c>
      <c r="Q16" s="131"/>
      <c r="R16" s="131"/>
      <c r="S16" s="131"/>
      <c r="T16" s="131"/>
      <c r="U16" s="131"/>
      <c r="V16" s="131"/>
      <c r="W16" s="132"/>
      <c r="X16" s="130" t="s">
        <v>100</v>
      </c>
      <c r="Y16" s="131"/>
      <c r="Z16" s="131"/>
      <c r="AA16" s="131"/>
      <c r="AB16" s="131"/>
      <c r="AC16" s="131"/>
      <c r="AD16" s="131"/>
      <c r="AE16" s="132"/>
      <c r="AF16" s="130"/>
      <c r="AG16" s="131"/>
      <c r="AH16" s="131"/>
      <c r="AI16" s="131"/>
      <c r="AJ16" s="131"/>
      <c r="AK16" s="131"/>
      <c r="AL16" s="131"/>
      <c r="AM16" s="131"/>
      <c r="AN16" s="133"/>
      <c r="AO16" s="119">
        <v>45683</v>
      </c>
      <c r="AP16" s="120"/>
      <c r="AQ16" s="118" t="s">
        <v>107</v>
      </c>
      <c r="AR16" s="114"/>
      <c r="AS16" s="118" t="s">
        <v>108</v>
      </c>
      <c r="AT16" s="121"/>
      <c r="AU16" s="119">
        <v>45688</v>
      </c>
      <c r="AV16" s="120"/>
      <c r="AW16" s="118" t="s">
        <v>107</v>
      </c>
      <c r="AX16" s="114"/>
      <c r="AY16" s="118" t="s">
        <v>110</v>
      </c>
      <c r="AZ16" s="121"/>
      <c r="BA16" s="41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3"/>
      <c r="BM16" s="34"/>
      <c r="BN16" s="34"/>
    </row>
    <row r="17" spans="1:66" ht="24" customHeight="1" x14ac:dyDescent="0.45">
      <c r="A17" s="33"/>
      <c r="B17" s="33"/>
      <c r="C17" s="38">
        <f t="shared" si="0"/>
        <v>8</v>
      </c>
      <c r="D17" s="35"/>
      <c r="E17" s="36"/>
      <c r="F17" s="36"/>
      <c r="G17" s="37"/>
      <c r="H17" s="36"/>
      <c r="I17" s="36"/>
      <c r="J17" s="36"/>
      <c r="K17" s="36"/>
      <c r="L17" s="86" t="s">
        <v>67</v>
      </c>
      <c r="M17" s="83"/>
      <c r="N17" s="83"/>
      <c r="O17" s="87"/>
      <c r="P17" s="130" t="s">
        <v>99</v>
      </c>
      <c r="Q17" s="131"/>
      <c r="R17" s="131"/>
      <c r="S17" s="131"/>
      <c r="T17" s="131"/>
      <c r="U17" s="131"/>
      <c r="V17" s="131"/>
      <c r="W17" s="132"/>
      <c r="X17" s="130" t="s">
        <v>100</v>
      </c>
      <c r="Y17" s="131"/>
      <c r="Z17" s="131"/>
      <c r="AA17" s="131"/>
      <c r="AB17" s="131"/>
      <c r="AC17" s="131"/>
      <c r="AD17" s="131"/>
      <c r="AE17" s="132"/>
      <c r="AF17" s="130"/>
      <c r="AG17" s="131"/>
      <c r="AH17" s="131"/>
      <c r="AI17" s="131"/>
      <c r="AJ17" s="131"/>
      <c r="AK17" s="131"/>
      <c r="AL17" s="131"/>
      <c r="AM17" s="131"/>
      <c r="AN17" s="133"/>
      <c r="AO17" s="119">
        <v>45683</v>
      </c>
      <c r="AP17" s="120"/>
      <c r="AQ17" s="118" t="s">
        <v>107</v>
      </c>
      <c r="AR17" s="114"/>
      <c r="AS17" s="118" t="s">
        <v>108</v>
      </c>
      <c r="AT17" s="121"/>
      <c r="AU17" s="119">
        <v>45688</v>
      </c>
      <c r="AV17" s="120"/>
      <c r="AW17" s="118" t="s">
        <v>107</v>
      </c>
      <c r="AX17" s="114"/>
      <c r="AY17" s="118" t="s">
        <v>110</v>
      </c>
      <c r="AZ17" s="121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3"/>
      <c r="BM17" s="34"/>
      <c r="BN17" s="34"/>
    </row>
    <row r="18" spans="1:66" ht="24" customHeight="1" x14ac:dyDescent="0.45">
      <c r="A18" s="33"/>
      <c r="B18" s="33"/>
      <c r="C18" s="38">
        <f t="shared" si="0"/>
        <v>9</v>
      </c>
      <c r="D18" s="35"/>
      <c r="E18" s="36"/>
      <c r="F18" s="36"/>
      <c r="G18" s="37"/>
      <c r="H18" s="36"/>
      <c r="I18" s="36"/>
      <c r="J18" s="36"/>
      <c r="K18" s="36"/>
      <c r="L18" s="25" t="s">
        <v>68</v>
      </c>
      <c r="M18" s="83"/>
      <c r="N18" s="83"/>
      <c r="O18" s="87"/>
      <c r="P18" s="130" t="s">
        <v>99</v>
      </c>
      <c r="Q18" s="131"/>
      <c r="R18" s="131"/>
      <c r="S18" s="131"/>
      <c r="T18" s="131"/>
      <c r="U18" s="131"/>
      <c r="V18" s="131"/>
      <c r="W18" s="132"/>
      <c r="X18" s="130" t="s">
        <v>100</v>
      </c>
      <c r="Y18" s="131"/>
      <c r="Z18" s="131"/>
      <c r="AA18" s="131"/>
      <c r="AB18" s="131"/>
      <c r="AC18" s="131"/>
      <c r="AD18" s="131"/>
      <c r="AE18" s="132"/>
      <c r="AF18" s="130"/>
      <c r="AG18" s="131"/>
      <c r="AH18" s="131"/>
      <c r="AI18" s="131"/>
      <c r="AJ18" s="131"/>
      <c r="AK18" s="131"/>
      <c r="AL18" s="131"/>
      <c r="AM18" s="131"/>
      <c r="AN18" s="133"/>
      <c r="AO18" s="119">
        <v>45683</v>
      </c>
      <c r="AP18" s="120"/>
      <c r="AQ18" s="118" t="s">
        <v>107</v>
      </c>
      <c r="AR18" s="114"/>
      <c r="AS18" s="118" t="s">
        <v>108</v>
      </c>
      <c r="AT18" s="121"/>
      <c r="AU18" s="119">
        <v>45688</v>
      </c>
      <c r="AV18" s="120"/>
      <c r="AW18" s="118" t="s">
        <v>107</v>
      </c>
      <c r="AX18" s="114"/>
      <c r="AY18" s="118" t="s">
        <v>110</v>
      </c>
      <c r="AZ18" s="121"/>
      <c r="BA18" s="41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3"/>
      <c r="BM18" s="34"/>
      <c r="BN18" s="34"/>
    </row>
    <row r="19" spans="1:66" ht="24" customHeight="1" x14ac:dyDescent="0.45">
      <c r="A19" s="33"/>
      <c r="B19" s="33"/>
      <c r="C19" s="38">
        <f t="shared" si="0"/>
        <v>10</v>
      </c>
      <c r="D19" s="35"/>
      <c r="E19" s="36"/>
      <c r="F19" s="36"/>
      <c r="G19" s="37"/>
      <c r="H19" s="36"/>
      <c r="I19" s="36"/>
      <c r="J19" s="36"/>
      <c r="K19" s="36"/>
      <c r="L19" s="86" t="s">
        <v>69</v>
      </c>
      <c r="M19" s="83"/>
      <c r="N19" s="83"/>
      <c r="O19" s="87"/>
      <c r="P19" s="130" t="s">
        <v>99</v>
      </c>
      <c r="Q19" s="131"/>
      <c r="R19" s="131"/>
      <c r="S19" s="131"/>
      <c r="T19" s="131"/>
      <c r="U19" s="131"/>
      <c r="V19" s="131"/>
      <c r="W19" s="132"/>
      <c r="X19" s="130" t="s">
        <v>100</v>
      </c>
      <c r="Y19" s="131"/>
      <c r="Z19" s="131"/>
      <c r="AA19" s="131"/>
      <c r="AB19" s="131"/>
      <c r="AC19" s="131"/>
      <c r="AD19" s="131"/>
      <c r="AE19" s="132"/>
      <c r="AF19" s="130"/>
      <c r="AG19" s="131"/>
      <c r="AH19" s="131"/>
      <c r="AI19" s="131"/>
      <c r="AJ19" s="131"/>
      <c r="AK19" s="131"/>
      <c r="AL19" s="131"/>
      <c r="AM19" s="131"/>
      <c r="AN19" s="133"/>
      <c r="AO19" s="119">
        <v>45683</v>
      </c>
      <c r="AP19" s="120"/>
      <c r="AQ19" s="118" t="s">
        <v>107</v>
      </c>
      <c r="AR19" s="114"/>
      <c r="AS19" s="118" t="s">
        <v>108</v>
      </c>
      <c r="AT19" s="121"/>
      <c r="AU19" s="119">
        <v>45688</v>
      </c>
      <c r="AV19" s="120"/>
      <c r="AW19" s="118" t="s">
        <v>107</v>
      </c>
      <c r="AX19" s="114"/>
      <c r="AY19" s="118" t="s">
        <v>110</v>
      </c>
      <c r="AZ19" s="121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3"/>
      <c r="BM19" s="34"/>
      <c r="BN19" s="34"/>
    </row>
    <row r="20" spans="1:66" ht="24" customHeight="1" x14ac:dyDescent="0.45">
      <c r="A20" s="33"/>
      <c r="B20" s="33"/>
      <c r="C20" s="38">
        <f t="shared" si="0"/>
        <v>11</v>
      </c>
      <c r="D20" s="35"/>
      <c r="E20" s="36"/>
      <c r="F20" s="36"/>
      <c r="G20" s="37"/>
      <c r="H20" s="36"/>
      <c r="I20" s="36"/>
      <c r="J20" s="36"/>
      <c r="K20" s="36"/>
      <c r="L20" s="86" t="s">
        <v>70</v>
      </c>
      <c r="M20" s="83"/>
      <c r="N20" s="83"/>
      <c r="O20" s="87"/>
      <c r="P20" s="130" t="s">
        <v>99</v>
      </c>
      <c r="Q20" s="131"/>
      <c r="R20" s="131"/>
      <c r="S20" s="131"/>
      <c r="T20" s="131"/>
      <c r="U20" s="131"/>
      <c r="V20" s="131"/>
      <c r="W20" s="132"/>
      <c r="X20" s="130" t="s">
        <v>100</v>
      </c>
      <c r="Y20" s="131"/>
      <c r="Z20" s="131"/>
      <c r="AA20" s="131"/>
      <c r="AB20" s="131"/>
      <c r="AC20" s="131"/>
      <c r="AD20" s="131"/>
      <c r="AE20" s="132"/>
      <c r="AF20" s="130"/>
      <c r="AG20" s="131"/>
      <c r="AH20" s="131"/>
      <c r="AI20" s="131"/>
      <c r="AJ20" s="131"/>
      <c r="AK20" s="131"/>
      <c r="AL20" s="131"/>
      <c r="AM20" s="131"/>
      <c r="AN20" s="133"/>
      <c r="AO20" s="119">
        <v>45683</v>
      </c>
      <c r="AP20" s="120"/>
      <c r="AQ20" s="118" t="s">
        <v>107</v>
      </c>
      <c r="AR20" s="114"/>
      <c r="AS20" s="118" t="s">
        <v>108</v>
      </c>
      <c r="AT20" s="121"/>
      <c r="AU20" s="119">
        <v>45688</v>
      </c>
      <c r="AV20" s="120"/>
      <c r="AW20" s="118" t="s">
        <v>107</v>
      </c>
      <c r="AX20" s="114"/>
      <c r="AY20" s="118" t="s">
        <v>110</v>
      </c>
      <c r="AZ20" s="121"/>
      <c r="BA20" s="41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3"/>
      <c r="BM20" s="34"/>
      <c r="BN20" s="34"/>
    </row>
    <row r="21" spans="1:66" ht="24" customHeight="1" x14ac:dyDescent="0.45">
      <c r="A21" s="33"/>
      <c r="B21" s="33"/>
      <c r="C21" s="38">
        <f t="shared" si="0"/>
        <v>12</v>
      </c>
      <c r="D21" s="35"/>
      <c r="E21" s="36"/>
      <c r="F21" s="36"/>
      <c r="G21" s="37"/>
      <c r="H21" s="36"/>
      <c r="I21" s="36"/>
      <c r="J21" s="36"/>
      <c r="K21" s="36"/>
      <c r="L21" s="86" t="s">
        <v>71</v>
      </c>
      <c r="M21" s="83"/>
      <c r="N21" s="83"/>
      <c r="O21" s="87"/>
      <c r="P21" s="130" t="s">
        <v>99</v>
      </c>
      <c r="Q21" s="131"/>
      <c r="R21" s="131"/>
      <c r="S21" s="131"/>
      <c r="T21" s="131"/>
      <c r="U21" s="131"/>
      <c r="V21" s="131"/>
      <c r="W21" s="132"/>
      <c r="X21" s="130" t="s">
        <v>100</v>
      </c>
      <c r="Y21" s="131"/>
      <c r="Z21" s="131"/>
      <c r="AA21" s="131"/>
      <c r="AB21" s="131"/>
      <c r="AC21" s="131"/>
      <c r="AD21" s="131"/>
      <c r="AE21" s="132"/>
      <c r="AF21" s="130"/>
      <c r="AG21" s="131"/>
      <c r="AH21" s="131"/>
      <c r="AI21" s="131"/>
      <c r="AJ21" s="131"/>
      <c r="AK21" s="131"/>
      <c r="AL21" s="131"/>
      <c r="AM21" s="131"/>
      <c r="AN21" s="133"/>
      <c r="AO21" s="119">
        <v>45683</v>
      </c>
      <c r="AP21" s="120"/>
      <c r="AQ21" s="118" t="s">
        <v>107</v>
      </c>
      <c r="AR21" s="114"/>
      <c r="AS21" s="118" t="s">
        <v>108</v>
      </c>
      <c r="AT21" s="121"/>
      <c r="AU21" s="119">
        <v>45688</v>
      </c>
      <c r="AV21" s="120"/>
      <c r="AW21" s="118" t="s">
        <v>107</v>
      </c>
      <c r="AX21" s="114"/>
      <c r="AY21" s="118" t="s">
        <v>110</v>
      </c>
      <c r="AZ21" s="121"/>
      <c r="BA21" s="41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3"/>
      <c r="BM21" s="34"/>
      <c r="BN21" s="34"/>
    </row>
    <row r="22" spans="1:66" ht="24" customHeight="1" x14ac:dyDescent="0.45">
      <c r="A22" s="33"/>
      <c r="B22" s="33"/>
      <c r="C22" s="38">
        <f t="shared" si="0"/>
        <v>13</v>
      </c>
      <c r="D22" s="35"/>
      <c r="E22" s="36"/>
      <c r="F22" s="36"/>
      <c r="G22" s="37"/>
      <c r="H22" s="36"/>
      <c r="I22" s="36"/>
      <c r="J22" s="36"/>
      <c r="K22" s="36"/>
      <c r="L22" s="86" t="s">
        <v>72</v>
      </c>
      <c r="M22" s="83"/>
      <c r="N22" s="83"/>
      <c r="O22" s="87"/>
      <c r="P22" s="130" t="s">
        <v>99</v>
      </c>
      <c r="Q22" s="131"/>
      <c r="R22" s="131"/>
      <c r="S22" s="131"/>
      <c r="T22" s="131"/>
      <c r="U22" s="131"/>
      <c r="V22" s="131"/>
      <c r="W22" s="132"/>
      <c r="X22" s="130" t="s">
        <v>100</v>
      </c>
      <c r="Y22" s="131"/>
      <c r="Z22" s="131"/>
      <c r="AA22" s="131"/>
      <c r="AB22" s="131"/>
      <c r="AC22" s="131"/>
      <c r="AD22" s="131"/>
      <c r="AE22" s="132"/>
      <c r="AF22" s="130"/>
      <c r="AG22" s="131"/>
      <c r="AH22" s="131"/>
      <c r="AI22" s="131"/>
      <c r="AJ22" s="131"/>
      <c r="AK22" s="131"/>
      <c r="AL22" s="131"/>
      <c r="AM22" s="131"/>
      <c r="AN22" s="133"/>
      <c r="AO22" s="119">
        <v>45683</v>
      </c>
      <c r="AP22" s="120"/>
      <c r="AQ22" s="118" t="s">
        <v>107</v>
      </c>
      <c r="AR22" s="114"/>
      <c r="AS22" s="118" t="s">
        <v>108</v>
      </c>
      <c r="AT22" s="121"/>
      <c r="AU22" s="119">
        <v>45688</v>
      </c>
      <c r="AV22" s="120"/>
      <c r="AW22" s="118" t="s">
        <v>107</v>
      </c>
      <c r="AX22" s="114"/>
      <c r="AY22" s="118" t="s">
        <v>110</v>
      </c>
      <c r="AZ22" s="121"/>
      <c r="BA22" s="41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3"/>
      <c r="BM22" s="34"/>
      <c r="BN22" s="34"/>
    </row>
    <row r="23" spans="1:66" ht="24" customHeight="1" x14ac:dyDescent="0.45">
      <c r="A23" s="33"/>
      <c r="B23" s="33"/>
      <c r="C23" s="38">
        <f t="shared" si="0"/>
        <v>14</v>
      </c>
      <c r="D23" s="35"/>
      <c r="E23" s="36"/>
      <c r="F23" s="36"/>
      <c r="G23" s="37"/>
      <c r="H23" s="36"/>
      <c r="I23" s="36"/>
      <c r="J23" s="36"/>
      <c r="K23" s="36"/>
      <c r="L23" s="86" t="s">
        <v>73</v>
      </c>
      <c r="M23" s="83"/>
      <c r="N23" s="83"/>
      <c r="O23" s="87"/>
      <c r="P23" s="130" t="s">
        <v>99</v>
      </c>
      <c r="Q23" s="131"/>
      <c r="R23" s="131"/>
      <c r="S23" s="131"/>
      <c r="T23" s="131"/>
      <c r="U23" s="131"/>
      <c r="V23" s="131"/>
      <c r="W23" s="132"/>
      <c r="X23" s="130" t="s">
        <v>100</v>
      </c>
      <c r="Y23" s="131"/>
      <c r="Z23" s="131"/>
      <c r="AA23" s="131"/>
      <c r="AB23" s="131"/>
      <c r="AC23" s="131"/>
      <c r="AD23" s="131"/>
      <c r="AE23" s="132"/>
      <c r="AF23" s="130"/>
      <c r="AG23" s="131"/>
      <c r="AH23" s="131"/>
      <c r="AI23" s="131"/>
      <c r="AJ23" s="131"/>
      <c r="AK23" s="131"/>
      <c r="AL23" s="131"/>
      <c r="AM23" s="131"/>
      <c r="AN23" s="133"/>
      <c r="AO23" s="119">
        <v>45683</v>
      </c>
      <c r="AP23" s="120"/>
      <c r="AQ23" s="118" t="s">
        <v>107</v>
      </c>
      <c r="AR23" s="114"/>
      <c r="AS23" s="118" t="s">
        <v>108</v>
      </c>
      <c r="AT23" s="121"/>
      <c r="AU23" s="119">
        <v>45688</v>
      </c>
      <c r="AV23" s="120"/>
      <c r="AW23" s="118" t="s">
        <v>107</v>
      </c>
      <c r="AX23" s="114"/>
      <c r="AY23" s="118" t="s">
        <v>110</v>
      </c>
      <c r="AZ23" s="121"/>
      <c r="BA23" s="41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3"/>
      <c r="BM23" s="34"/>
      <c r="BN23" s="34"/>
    </row>
    <row r="24" spans="1:66" ht="24" customHeight="1" x14ac:dyDescent="0.45">
      <c r="A24" s="33"/>
      <c r="B24" s="33"/>
      <c r="C24" s="38">
        <f t="shared" si="0"/>
        <v>15</v>
      </c>
      <c r="D24" s="35"/>
      <c r="E24" s="36"/>
      <c r="F24" s="36"/>
      <c r="G24" s="37"/>
      <c r="H24" s="36"/>
      <c r="I24" s="36"/>
      <c r="J24" s="36"/>
      <c r="K24" s="36"/>
      <c r="L24" s="86" t="s">
        <v>74</v>
      </c>
      <c r="M24" s="83"/>
      <c r="N24" s="83"/>
      <c r="O24" s="87"/>
      <c r="P24" s="130" t="s">
        <v>99</v>
      </c>
      <c r="Q24" s="131"/>
      <c r="R24" s="131"/>
      <c r="S24" s="131"/>
      <c r="T24" s="131"/>
      <c r="U24" s="131"/>
      <c r="V24" s="131"/>
      <c r="W24" s="132"/>
      <c r="X24" s="130" t="s">
        <v>100</v>
      </c>
      <c r="Y24" s="131"/>
      <c r="Z24" s="131"/>
      <c r="AA24" s="131"/>
      <c r="AB24" s="131"/>
      <c r="AC24" s="131"/>
      <c r="AD24" s="131"/>
      <c r="AE24" s="132"/>
      <c r="AF24" s="130"/>
      <c r="AG24" s="131"/>
      <c r="AH24" s="131"/>
      <c r="AI24" s="131"/>
      <c r="AJ24" s="131"/>
      <c r="AK24" s="131"/>
      <c r="AL24" s="131"/>
      <c r="AM24" s="131"/>
      <c r="AN24" s="133"/>
      <c r="AO24" s="119">
        <v>45683</v>
      </c>
      <c r="AP24" s="120"/>
      <c r="AQ24" s="118" t="s">
        <v>107</v>
      </c>
      <c r="AR24" s="114"/>
      <c r="AS24" s="118" t="s">
        <v>108</v>
      </c>
      <c r="AT24" s="121"/>
      <c r="AU24" s="119">
        <v>45688</v>
      </c>
      <c r="AV24" s="120"/>
      <c r="AW24" s="118" t="s">
        <v>107</v>
      </c>
      <c r="AX24" s="114"/>
      <c r="AY24" s="118" t="s">
        <v>110</v>
      </c>
      <c r="AZ24" s="121"/>
      <c r="BA24" s="41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3"/>
      <c r="BM24" s="34"/>
      <c r="BN24" s="34"/>
    </row>
    <row r="25" spans="1:66" ht="24" customHeight="1" x14ac:dyDescent="0.45">
      <c r="A25" s="33"/>
      <c r="B25" s="33"/>
      <c r="C25" s="38">
        <f t="shared" si="0"/>
        <v>16</v>
      </c>
      <c r="D25" s="35"/>
      <c r="E25" s="36"/>
      <c r="F25" s="36"/>
      <c r="G25" s="37"/>
      <c r="H25" s="36"/>
      <c r="I25" s="36"/>
      <c r="J25" s="36"/>
      <c r="K25" s="36"/>
      <c r="L25" s="86" t="s">
        <v>75</v>
      </c>
      <c r="M25" s="83"/>
      <c r="N25" s="83"/>
      <c r="O25" s="87"/>
      <c r="P25" s="130" t="s">
        <v>99</v>
      </c>
      <c r="Q25" s="131"/>
      <c r="R25" s="131"/>
      <c r="S25" s="131"/>
      <c r="T25" s="131"/>
      <c r="U25" s="131"/>
      <c r="V25" s="131"/>
      <c r="W25" s="132"/>
      <c r="X25" s="130" t="s">
        <v>100</v>
      </c>
      <c r="Y25" s="131"/>
      <c r="Z25" s="131"/>
      <c r="AA25" s="131"/>
      <c r="AB25" s="131"/>
      <c r="AC25" s="131"/>
      <c r="AD25" s="131"/>
      <c r="AE25" s="132"/>
      <c r="AF25" s="130"/>
      <c r="AG25" s="131"/>
      <c r="AH25" s="131"/>
      <c r="AI25" s="131"/>
      <c r="AJ25" s="131"/>
      <c r="AK25" s="131"/>
      <c r="AL25" s="131"/>
      <c r="AM25" s="131"/>
      <c r="AN25" s="133"/>
      <c r="AO25" s="119">
        <v>45683</v>
      </c>
      <c r="AP25" s="120"/>
      <c r="AQ25" s="118" t="s">
        <v>107</v>
      </c>
      <c r="AR25" s="114"/>
      <c r="AS25" s="118" t="s">
        <v>108</v>
      </c>
      <c r="AT25" s="121"/>
      <c r="AU25" s="119">
        <v>45688</v>
      </c>
      <c r="AV25" s="120"/>
      <c r="AW25" s="118" t="s">
        <v>107</v>
      </c>
      <c r="AX25" s="114"/>
      <c r="AY25" s="118" t="s">
        <v>110</v>
      </c>
      <c r="AZ25" s="121"/>
      <c r="BA25" s="41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3"/>
      <c r="BM25" s="34"/>
      <c r="BN25" s="34"/>
    </row>
    <row r="26" spans="1:66" ht="24" customHeight="1" x14ac:dyDescent="0.45">
      <c r="A26" s="33"/>
      <c r="B26" s="33"/>
      <c r="C26" s="38">
        <f t="shared" si="0"/>
        <v>17</v>
      </c>
      <c r="D26" s="35"/>
      <c r="E26" s="36"/>
      <c r="F26" s="36"/>
      <c r="G26" s="37"/>
      <c r="H26" s="36"/>
      <c r="I26" s="36"/>
      <c r="J26" s="36"/>
      <c r="K26" s="36"/>
      <c r="L26" s="86" t="s">
        <v>76</v>
      </c>
      <c r="M26" s="83"/>
      <c r="N26" s="83"/>
      <c r="O26" s="87"/>
      <c r="P26" s="130" t="s">
        <v>99</v>
      </c>
      <c r="Q26" s="131"/>
      <c r="R26" s="131"/>
      <c r="S26" s="131"/>
      <c r="T26" s="131"/>
      <c r="U26" s="131"/>
      <c r="V26" s="131"/>
      <c r="W26" s="132"/>
      <c r="X26" s="130" t="s">
        <v>100</v>
      </c>
      <c r="Y26" s="131"/>
      <c r="Z26" s="131"/>
      <c r="AA26" s="131"/>
      <c r="AB26" s="131"/>
      <c r="AC26" s="131"/>
      <c r="AD26" s="131"/>
      <c r="AE26" s="132"/>
      <c r="AF26" s="130"/>
      <c r="AG26" s="131"/>
      <c r="AH26" s="131"/>
      <c r="AI26" s="131"/>
      <c r="AJ26" s="131"/>
      <c r="AK26" s="131"/>
      <c r="AL26" s="131"/>
      <c r="AM26" s="131"/>
      <c r="AN26" s="133"/>
      <c r="AO26" s="119">
        <v>45683</v>
      </c>
      <c r="AP26" s="120"/>
      <c r="AQ26" s="118" t="s">
        <v>107</v>
      </c>
      <c r="AR26" s="114"/>
      <c r="AS26" s="118" t="s">
        <v>108</v>
      </c>
      <c r="AT26" s="121"/>
      <c r="AU26" s="119">
        <v>45688</v>
      </c>
      <c r="AV26" s="120"/>
      <c r="AW26" s="118" t="s">
        <v>107</v>
      </c>
      <c r="AX26" s="114"/>
      <c r="AY26" s="118" t="s">
        <v>110</v>
      </c>
      <c r="AZ26" s="121"/>
      <c r="BA26" s="41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3"/>
      <c r="BM26" s="34"/>
      <c r="BN26" s="34"/>
    </row>
    <row r="27" spans="1:66" ht="24" customHeight="1" x14ac:dyDescent="0.45">
      <c r="A27" s="33"/>
      <c r="B27" s="33"/>
      <c r="C27" s="38">
        <f t="shared" si="0"/>
        <v>18</v>
      </c>
      <c r="D27" s="35"/>
      <c r="E27" s="36"/>
      <c r="F27" s="36"/>
      <c r="G27" s="37"/>
      <c r="H27" s="36"/>
      <c r="I27" s="36"/>
      <c r="J27" s="36"/>
      <c r="K27" s="36"/>
      <c r="L27" s="86" t="s">
        <v>77</v>
      </c>
      <c r="M27" s="83"/>
      <c r="N27" s="83"/>
      <c r="O27" s="87"/>
      <c r="P27" s="130" t="s">
        <v>99</v>
      </c>
      <c r="Q27" s="131"/>
      <c r="R27" s="131"/>
      <c r="S27" s="131"/>
      <c r="T27" s="131"/>
      <c r="U27" s="131"/>
      <c r="V27" s="131"/>
      <c r="W27" s="132"/>
      <c r="X27" s="130" t="s">
        <v>100</v>
      </c>
      <c r="Y27" s="131"/>
      <c r="Z27" s="131"/>
      <c r="AA27" s="131"/>
      <c r="AB27" s="131"/>
      <c r="AC27" s="131"/>
      <c r="AD27" s="131"/>
      <c r="AE27" s="132"/>
      <c r="AF27" s="130"/>
      <c r="AG27" s="131"/>
      <c r="AH27" s="131"/>
      <c r="AI27" s="131"/>
      <c r="AJ27" s="131"/>
      <c r="AK27" s="131"/>
      <c r="AL27" s="131"/>
      <c r="AM27" s="131"/>
      <c r="AN27" s="133"/>
      <c r="AO27" s="119">
        <v>45683</v>
      </c>
      <c r="AP27" s="120"/>
      <c r="AQ27" s="118" t="s">
        <v>107</v>
      </c>
      <c r="AR27" s="114"/>
      <c r="AS27" s="118" t="s">
        <v>108</v>
      </c>
      <c r="AT27" s="121"/>
      <c r="AU27" s="119">
        <v>45688</v>
      </c>
      <c r="AV27" s="120"/>
      <c r="AW27" s="118" t="s">
        <v>107</v>
      </c>
      <c r="AX27" s="114"/>
      <c r="AY27" s="118" t="s">
        <v>110</v>
      </c>
      <c r="AZ27" s="121"/>
      <c r="BA27" s="41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3"/>
      <c r="BM27" s="34"/>
      <c r="BN27" s="34"/>
    </row>
    <row r="28" spans="1:66" ht="24" customHeight="1" x14ac:dyDescent="0.45">
      <c r="A28" s="33"/>
      <c r="B28" s="33"/>
      <c r="C28" s="38">
        <f t="shared" si="0"/>
        <v>19</v>
      </c>
      <c r="D28" s="35"/>
      <c r="E28" s="36"/>
      <c r="F28" s="36"/>
      <c r="G28" s="37"/>
      <c r="H28" s="36"/>
      <c r="I28" s="36"/>
      <c r="J28" s="36"/>
      <c r="K28" s="36"/>
      <c r="L28" s="86" t="s">
        <v>78</v>
      </c>
      <c r="M28" s="83"/>
      <c r="N28" s="83"/>
      <c r="O28" s="87"/>
      <c r="P28" s="130" t="s">
        <v>99</v>
      </c>
      <c r="Q28" s="131"/>
      <c r="R28" s="131"/>
      <c r="S28" s="131"/>
      <c r="T28" s="131"/>
      <c r="U28" s="131"/>
      <c r="V28" s="131"/>
      <c r="W28" s="132"/>
      <c r="X28" s="130" t="s">
        <v>100</v>
      </c>
      <c r="Y28" s="131"/>
      <c r="Z28" s="131"/>
      <c r="AA28" s="131"/>
      <c r="AB28" s="131"/>
      <c r="AC28" s="131"/>
      <c r="AD28" s="131"/>
      <c r="AE28" s="132"/>
      <c r="AF28" s="130"/>
      <c r="AG28" s="131"/>
      <c r="AH28" s="131"/>
      <c r="AI28" s="131"/>
      <c r="AJ28" s="131"/>
      <c r="AK28" s="131"/>
      <c r="AL28" s="131"/>
      <c r="AM28" s="131"/>
      <c r="AN28" s="133"/>
      <c r="AO28" s="119">
        <v>45683</v>
      </c>
      <c r="AP28" s="120"/>
      <c r="AQ28" s="118" t="s">
        <v>107</v>
      </c>
      <c r="AR28" s="114"/>
      <c r="AS28" s="118" t="s">
        <v>108</v>
      </c>
      <c r="AT28" s="121"/>
      <c r="AU28" s="119">
        <v>45688</v>
      </c>
      <c r="AV28" s="120"/>
      <c r="AW28" s="118" t="s">
        <v>107</v>
      </c>
      <c r="AX28" s="114"/>
      <c r="AY28" s="118" t="s">
        <v>110</v>
      </c>
      <c r="AZ28" s="121"/>
      <c r="BA28" s="41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3"/>
      <c r="BM28" s="34"/>
      <c r="BN28" s="34"/>
    </row>
    <row r="29" spans="1:66" ht="24" customHeight="1" x14ac:dyDescent="0.45">
      <c r="A29" s="33"/>
      <c r="B29" s="33"/>
      <c r="C29" s="38">
        <f t="shared" si="0"/>
        <v>20</v>
      </c>
      <c r="D29" s="35"/>
      <c r="E29" s="36"/>
      <c r="F29" s="36"/>
      <c r="G29" s="37"/>
      <c r="H29" s="36"/>
      <c r="I29" s="36"/>
      <c r="J29" s="36"/>
      <c r="K29" s="36"/>
      <c r="L29" s="86" t="s">
        <v>79</v>
      </c>
      <c r="M29" s="83"/>
      <c r="N29" s="83"/>
      <c r="O29" s="87"/>
      <c r="P29" s="130" t="s">
        <v>99</v>
      </c>
      <c r="Q29" s="131"/>
      <c r="R29" s="131"/>
      <c r="S29" s="131"/>
      <c r="T29" s="131"/>
      <c r="U29" s="131"/>
      <c r="V29" s="131"/>
      <c r="W29" s="132"/>
      <c r="X29" s="130" t="s">
        <v>100</v>
      </c>
      <c r="Y29" s="131"/>
      <c r="Z29" s="131"/>
      <c r="AA29" s="131"/>
      <c r="AB29" s="131"/>
      <c r="AC29" s="131"/>
      <c r="AD29" s="131"/>
      <c r="AE29" s="132"/>
      <c r="AF29" s="130"/>
      <c r="AG29" s="131"/>
      <c r="AH29" s="131"/>
      <c r="AI29" s="131"/>
      <c r="AJ29" s="131"/>
      <c r="AK29" s="131"/>
      <c r="AL29" s="131"/>
      <c r="AM29" s="131"/>
      <c r="AN29" s="133"/>
      <c r="AO29" s="119">
        <v>45683</v>
      </c>
      <c r="AP29" s="120"/>
      <c r="AQ29" s="118" t="s">
        <v>107</v>
      </c>
      <c r="AR29" s="114"/>
      <c r="AS29" s="118" t="s">
        <v>108</v>
      </c>
      <c r="AT29" s="121"/>
      <c r="AU29" s="119">
        <v>45688</v>
      </c>
      <c r="AV29" s="120"/>
      <c r="AW29" s="118" t="s">
        <v>107</v>
      </c>
      <c r="AX29" s="114"/>
      <c r="AY29" s="118" t="s">
        <v>110</v>
      </c>
      <c r="AZ29" s="121"/>
      <c r="BA29" s="41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3"/>
      <c r="BM29" s="34"/>
      <c r="BN29" s="34"/>
    </row>
    <row r="30" spans="1:66" ht="24" customHeight="1" x14ac:dyDescent="0.45">
      <c r="A30" s="33"/>
      <c r="B30" s="33"/>
      <c r="C30" s="38">
        <f t="shared" si="0"/>
        <v>21</v>
      </c>
      <c r="D30" s="35"/>
      <c r="E30" s="36"/>
      <c r="F30" s="36"/>
      <c r="G30" s="37"/>
      <c r="H30" s="36"/>
      <c r="I30" s="36"/>
      <c r="J30" s="36"/>
      <c r="K30" s="36"/>
      <c r="L30" s="86" t="s">
        <v>80</v>
      </c>
      <c r="M30" s="83"/>
      <c r="N30" s="83"/>
      <c r="O30" s="87"/>
      <c r="P30" s="130" t="s">
        <v>99</v>
      </c>
      <c r="Q30" s="131"/>
      <c r="R30" s="131"/>
      <c r="S30" s="131"/>
      <c r="T30" s="131"/>
      <c r="U30" s="131"/>
      <c r="V30" s="131"/>
      <c r="W30" s="132"/>
      <c r="X30" s="130" t="s">
        <v>100</v>
      </c>
      <c r="Y30" s="131"/>
      <c r="Z30" s="131"/>
      <c r="AA30" s="131"/>
      <c r="AB30" s="131"/>
      <c r="AC30" s="131"/>
      <c r="AD30" s="131"/>
      <c r="AE30" s="132"/>
      <c r="AF30" s="130"/>
      <c r="AG30" s="131"/>
      <c r="AH30" s="131"/>
      <c r="AI30" s="131"/>
      <c r="AJ30" s="131"/>
      <c r="AK30" s="131"/>
      <c r="AL30" s="131"/>
      <c r="AM30" s="131"/>
      <c r="AN30" s="133"/>
      <c r="AO30" s="119">
        <v>45683</v>
      </c>
      <c r="AP30" s="120"/>
      <c r="AQ30" s="118" t="s">
        <v>107</v>
      </c>
      <c r="AR30" s="114"/>
      <c r="AS30" s="118" t="s">
        <v>108</v>
      </c>
      <c r="AT30" s="121"/>
      <c r="AU30" s="119">
        <v>45688</v>
      </c>
      <c r="AV30" s="120"/>
      <c r="AW30" s="118" t="s">
        <v>107</v>
      </c>
      <c r="AX30" s="114"/>
      <c r="AY30" s="118" t="s">
        <v>110</v>
      </c>
      <c r="AZ30" s="121"/>
      <c r="BA30" s="41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3"/>
      <c r="BM30" s="34"/>
      <c r="BN30" s="34"/>
    </row>
    <row r="31" spans="1:66" ht="24" customHeight="1" x14ac:dyDescent="0.45">
      <c r="A31" s="33"/>
      <c r="B31" s="33"/>
      <c r="C31" s="38">
        <f t="shared" si="0"/>
        <v>22</v>
      </c>
      <c r="D31" s="35"/>
      <c r="E31" s="36"/>
      <c r="F31" s="36"/>
      <c r="G31" s="37"/>
      <c r="H31" s="36"/>
      <c r="I31" s="36"/>
      <c r="J31" s="36"/>
      <c r="K31" s="36"/>
      <c r="L31" s="86" t="s">
        <v>81</v>
      </c>
      <c r="M31" s="83"/>
      <c r="N31" s="83"/>
      <c r="O31" s="87"/>
      <c r="P31" s="130" t="s">
        <v>99</v>
      </c>
      <c r="Q31" s="131"/>
      <c r="R31" s="131"/>
      <c r="S31" s="131"/>
      <c r="T31" s="131"/>
      <c r="U31" s="131"/>
      <c r="V31" s="131"/>
      <c r="W31" s="132"/>
      <c r="X31" s="130" t="s">
        <v>100</v>
      </c>
      <c r="Y31" s="131"/>
      <c r="Z31" s="131"/>
      <c r="AA31" s="131"/>
      <c r="AB31" s="131"/>
      <c r="AC31" s="131"/>
      <c r="AD31" s="131"/>
      <c r="AE31" s="132"/>
      <c r="AF31" s="130"/>
      <c r="AG31" s="131"/>
      <c r="AH31" s="131"/>
      <c r="AI31" s="131"/>
      <c r="AJ31" s="131"/>
      <c r="AK31" s="131"/>
      <c r="AL31" s="131"/>
      <c r="AM31" s="131"/>
      <c r="AN31" s="133"/>
      <c r="AO31" s="119">
        <v>45683</v>
      </c>
      <c r="AP31" s="120"/>
      <c r="AQ31" s="118" t="s">
        <v>107</v>
      </c>
      <c r="AR31" s="114"/>
      <c r="AS31" s="118" t="s">
        <v>108</v>
      </c>
      <c r="AT31" s="121"/>
      <c r="AU31" s="119">
        <v>45688</v>
      </c>
      <c r="AV31" s="120"/>
      <c r="AW31" s="118" t="s">
        <v>107</v>
      </c>
      <c r="AX31" s="114"/>
      <c r="AY31" s="118" t="s">
        <v>110</v>
      </c>
      <c r="AZ31" s="121"/>
      <c r="BA31" s="41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3"/>
      <c r="BM31" s="34"/>
      <c r="BN31" s="34"/>
    </row>
    <row r="32" spans="1:66" ht="24" customHeight="1" x14ac:dyDescent="0.45">
      <c r="A32" s="33"/>
      <c r="B32" s="33"/>
      <c r="C32" s="38">
        <f t="shared" si="0"/>
        <v>23</v>
      </c>
      <c r="D32" s="35"/>
      <c r="E32" s="36"/>
      <c r="F32" s="36"/>
      <c r="G32" s="37"/>
      <c r="H32" s="36"/>
      <c r="I32" s="36"/>
      <c r="J32" s="36"/>
      <c r="K32" s="36"/>
      <c r="L32" s="25" t="s">
        <v>82</v>
      </c>
      <c r="M32" s="83"/>
      <c r="N32" s="83"/>
      <c r="O32" s="87"/>
      <c r="P32" s="130" t="s">
        <v>99</v>
      </c>
      <c r="Q32" s="131"/>
      <c r="R32" s="131"/>
      <c r="S32" s="131"/>
      <c r="T32" s="131"/>
      <c r="U32" s="131"/>
      <c r="V32" s="131"/>
      <c r="W32" s="132"/>
      <c r="X32" s="130" t="s">
        <v>100</v>
      </c>
      <c r="Y32" s="131"/>
      <c r="Z32" s="131"/>
      <c r="AA32" s="131"/>
      <c r="AB32" s="131"/>
      <c r="AC32" s="131"/>
      <c r="AD32" s="131"/>
      <c r="AE32" s="132"/>
      <c r="AF32" s="130"/>
      <c r="AG32" s="131"/>
      <c r="AH32" s="131"/>
      <c r="AI32" s="131"/>
      <c r="AJ32" s="131"/>
      <c r="AK32" s="131"/>
      <c r="AL32" s="131"/>
      <c r="AM32" s="131"/>
      <c r="AN32" s="133"/>
      <c r="AO32" s="119">
        <v>45683</v>
      </c>
      <c r="AP32" s="120"/>
      <c r="AQ32" s="118" t="s">
        <v>107</v>
      </c>
      <c r="AR32" s="114"/>
      <c r="AS32" s="118" t="s">
        <v>108</v>
      </c>
      <c r="AT32" s="121"/>
      <c r="AU32" s="119">
        <v>45688</v>
      </c>
      <c r="AV32" s="120"/>
      <c r="AW32" s="118" t="s">
        <v>107</v>
      </c>
      <c r="AX32" s="114"/>
      <c r="AY32" s="118" t="s">
        <v>110</v>
      </c>
      <c r="AZ32" s="121"/>
      <c r="BA32" s="41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3"/>
      <c r="BM32" s="34"/>
      <c r="BN32" s="34"/>
    </row>
    <row r="33" spans="1:66" ht="24" customHeight="1" x14ac:dyDescent="0.45">
      <c r="A33" s="33"/>
      <c r="B33" s="33"/>
      <c r="C33" s="38">
        <f t="shared" si="0"/>
        <v>24</v>
      </c>
      <c r="D33" s="35"/>
      <c r="E33" s="36"/>
      <c r="F33" s="36"/>
      <c r="G33" s="37"/>
      <c r="H33" s="36"/>
      <c r="I33" s="36"/>
      <c r="J33" s="36"/>
      <c r="K33" s="36"/>
      <c r="L33" s="86" t="s">
        <v>83</v>
      </c>
      <c r="M33" s="83"/>
      <c r="N33" s="83"/>
      <c r="O33" s="87"/>
      <c r="P33" s="130" t="s">
        <v>99</v>
      </c>
      <c r="Q33" s="131"/>
      <c r="R33" s="131"/>
      <c r="S33" s="131"/>
      <c r="T33" s="131"/>
      <c r="U33" s="131"/>
      <c r="V33" s="131"/>
      <c r="W33" s="132"/>
      <c r="X33" s="130" t="s">
        <v>100</v>
      </c>
      <c r="Y33" s="131"/>
      <c r="Z33" s="131"/>
      <c r="AA33" s="131"/>
      <c r="AB33" s="131"/>
      <c r="AC33" s="131"/>
      <c r="AD33" s="131"/>
      <c r="AE33" s="132"/>
      <c r="AF33" s="130"/>
      <c r="AG33" s="131"/>
      <c r="AH33" s="131"/>
      <c r="AI33" s="131"/>
      <c r="AJ33" s="131"/>
      <c r="AK33" s="131"/>
      <c r="AL33" s="131"/>
      <c r="AM33" s="131"/>
      <c r="AN33" s="133"/>
      <c r="AO33" s="119">
        <v>45683</v>
      </c>
      <c r="AP33" s="120"/>
      <c r="AQ33" s="118" t="s">
        <v>107</v>
      </c>
      <c r="AR33" s="114"/>
      <c r="AS33" s="118" t="s">
        <v>108</v>
      </c>
      <c r="AT33" s="121"/>
      <c r="AU33" s="119">
        <v>45688</v>
      </c>
      <c r="AV33" s="120"/>
      <c r="AW33" s="118" t="s">
        <v>107</v>
      </c>
      <c r="AX33" s="114"/>
      <c r="AY33" s="118" t="s">
        <v>110</v>
      </c>
      <c r="AZ33" s="121"/>
      <c r="BA33" s="41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3"/>
      <c r="BM33" s="34"/>
      <c r="BN33" s="34"/>
    </row>
    <row r="34" spans="1:66" ht="24" customHeight="1" x14ac:dyDescent="0.45">
      <c r="A34" s="33"/>
      <c r="B34" s="33"/>
      <c r="C34" s="38">
        <f t="shared" si="0"/>
        <v>25</v>
      </c>
      <c r="D34" s="35"/>
      <c r="E34" s="36"/>
      <c r="F34" s="36"/>
      <c r="G34" s="37"/>
      <c r="H34" s="36"/>
      <c r="I34" s="36"/>
      <c r="J34" s="36"/>
      <c r="K34" s="36"/>
      <c r="L34" s="86" t="s">
        <v>84</v>
      </c>
      <c r="M34" s="83"/>
      <c r="N34" s="83"/>
      <c r="O34" s="87"/>
      <c r="P34" s="130" t="s">
        <v>99</v>
      </c>
      <c r="Q34" s="131"/>
      <c r="R34" s="131"/>
      <c r="S34" s="131"/>
      <c r="T34" s="131"/>
      <c r="U34" s="131"/>
      <c r="V34" s="131"/>
      <c r="W34" s="132"/>
      <c r="X34" s="130" t="s">
        <v>100</v>
      </c>
      <c r="Y34" s="131"/>
      <c r="Z34" s="131"/>
      <c r="AA34" s="131"/>
      <c r="AB34" s="131"/>
      <c r="AC34" s="131"/>
      <c r="AD34" s="131"/>
      <c r="AE34" s="132"/>
      <c r="AF34" s="130"/>
      <c r="AG34" s="131"/>
      <c r="AH34" s="131"/>
      <c r="AI34" s="131"/>
      <c r="AJ34" s="131"/>
      <c r="AK34" s="131"/>
      <c r="AL34" s="131"/>
      <c r="AM34" s="131"/>
      <c r="AN34" s="133"/>
      <c r="AO34" s="119">
        <v>45683</v>
      </c>
      <c r="AP34" s="120"/>
      <c r="AQ34" s="118" t="s">
        <v>107</v>
      </c>
      <c r="AR34" s="114"/>
      <c r="AS34" s="118" t="s">
        <v>108</v>
      </c>
      <c r="AT34" s="121"/>
      <c r="AU34" s="119">
        <v>45688</v>
      </c>
      <c r="AV34" s="120"/>
      <c r="AW34" s="118" t="s">
        <v>107</v>
      </c>
      <c r="AX34" s="114"/>
      <c r="AY34" s="118" t="s">
        <v>110</v>
      </c>
      <c r="AZ34" s="121"/>
      <c r="BA34" s="41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3"/>
      <c r="BM34" s="34"/>
      <c r="BN34" s="34"/>
    </row>
    <row r="35" spans="1:66" ht="24" customHeight="1" x14ac:dyDescent="0.45">
      <c r="A35" s="33"/>
      <c r="B35" s="33"/>
      <c r="C35" s="38">
        <f t="shared" si="0"/>
        <v>26</v>
      </c>
      <c r="D35" s="35"/>
      <c r="E35" s="36"/>
      <c r="F35" s="36"/>
      <c r="G35" s="37"/>
      <c r="H35" s="36"/>
      <c r="I35" s="36"/>
      <c r="J35" s="36"/>
      <c r="K35" s="36"/>
      <c r="L35" s="86" t="s">
        <v>85</v>
      </c>
      <c r="M35" s="83"/>
      <c r="N35" s="83"/>
      <c r="O35" s="87"/>
      <c r="P35" s="130" t="s">
        <v>99</v>
      </c>
      <c r="Q35" s="131"/>
      <c r="R35" s="131"/>
      <c r="S35" s="131"/>
      <c r="T35" s="131"/>
      <c r="U35" s="131"/>
      <c r="V35" s="131"/>
      <c r="W35" s="132"/>
      <c r="X35" s="130" t="s">
        <v>100</v>
      </c>
      <c r="Y35" s="131"/>
      <c r="Z35" s="131"/>
      <c r="AA35" s="131"/>
      <c r="AB35" s="131"/>
      <c r="AC35" s="131"/>
      <c r="AD35" s="131"/>
      <c r="AE35" s="132"/>
      <c r="AF35" s="130"/>
      <c r="AG35" s="131"/>
      <c r="AH35" s="131"/>
      <c r="AI35" s="131"/>
      <c r="AJ35" s="131"/>
      <c r="AK35" s="131"/>
      <c r="AL35" s="131"/>
      <c r="AM35" s="131"/>
      <c r="AN35" s="133"/>
      <c r="AO35" s="119">
        <v>45683</v>
      </c>
      <c r="AP35" s="120"/>
      <c r="AQ35" s="118" t="s">
        <v>107</v>
      </c>
      <c r="AR35" s="114"/>
      <c r="AS35" s="118" t="s">
        <v>108</v>
      </c>
      <c r="AT35" s="121"/>
      <c r="AU35" s="119">
        <v>45688</v>
      </c>
      <c r="AV35" s="120"/>
      <c r="AW35" s="118" t="s">
        <v>107</v>
      </c>
      <c r="AX35" s="114"/>
      <c r="AY35" s="118" t="s">
        <v>110</v>
      </c>
      <c r="AZ35" s="121"/>
      <c r="BA35" s="41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3"/>
      <c r="BM35" s="34"/>
      <c r="BN35" s="34"/>
    </row>
    <row r="36" spans="1:66" ht="24" customHeight="1" x14ac:dyDescent="0.45">
      <c r="A36" s="33"/>
      <c r="B36" s="33"/>
      <c r="C36" s="38">
        <f t="shared" si="0"/>
        <v>27</v>
      </c>
      <c r="D36" s="35"/>
      <c r="E36" s="36"/>
      <c r="F36" s="36"/>
      <c r="G36" s="37"/>
      <c r="H36" s="36"/>
      <c r="I36" s="36"/>
      <c r="J36" s="36"/>
      <c r="K36" s="36"/>
      <c r="L36" s="86" t="s">
        <v>86</v>
      </c>
      <c r="M36" s="83"/>
      <c r="N36" s="83"/>
      <c r="O36" s="87"/>
      <c r="P36" s="130" t="s">
        <v>99</v>
      </c>
      <c r="Q36" s="131"/>
      <c r="R36" s="131"/>
      <c r="S36" s="131"/>
      <c r="T36" s="131"/>
      <c r="U36" s="131"/>
      <c r="V36" s="131"/>
      <c r="W36" s="132"/>
      <c r="X36" s="130" t="s">
        <v>100</v>
      </c>
      <c r="Y36" s="131"/>
      <c r="Z36" s="131"/>
      <c r="AA36" s="131"/>
      <c r="AB36" s="131"/>
      <c r="AC36" s="131"/>
      <c r="AD36" s="131"/>
      <c r="AE36" s="132"/>
      <c r="AF36" s="130"/>
      <c r="AG36" s="131"/>
      <c r="AH36" s="131"/>
      <c r="AI36" s="131"/>
      <c r="AJ36" s="131"/>
      <c r="AK36" s="131"/>
      <c r="AL36" s="131"/>
      <c r="AM36" s="131"/>
      <c r="AN36" s="133"/>
      <c r="AO36" s="119">
        <v>45683</v>
      </c>
      <c r="AP36" s="120"/>
      <c r="AQ36" s="118" t="s">
        <v>107</v>
      </c>
      <c r="AR36" s="114"/>
      <c r="AS36" s="118" t="s">
        <v>108</v>
      </c>
      <c r="AT36" s="121"/>
      <c r="AU36" s="119">
        <v>45688</v>
      </c>
      <c r="AV36" s="120"/>
      <c r="AW36" s="118" t="s">
        <v>107</v>
      </c>
      <c r="AX36" s="114"/>
      <c r="AY36" s="118" t="s">
        <v>110</v>
      </c>
      <c r="AZ36" s="121"/>
      <c r="BA36" s="41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3"/>
      <c r="BM36" s="34"/>
      <c r="BN36" s="34"/>
    </row>
    <row r="37" spans="1:66" ht="24" customHeight="1" x14ac:dyDescent="0.45">
      <c r="A37" s="33"/>
      <c r="B37" s="33"/>
      <c r="C37" s="38">
        <f t="shared" si="0"/>
        <v>28</v>
      </c>
      <c r="D37" s="35"/>
      <c r="E37" s="36"/>
      <c r="F37" s="36"/>
      <c r="G37" s="37"/>
      <c r="H37" s="36"/>
      <c r="I37" s="36"/>
      <c r="J37" s="36"/>
      <c r="K37" s="36"/>
      <c r="L37" s="86" t="s">
        <v>87</v>
      </c>
      <c r="M37" s="83"/>
      <c r="N37" s="83"/>
      <c r="O37" s="87"/>
      <c r="P37" s="130" t="s">
        <v>99</v>
      </c>
      <c r="Q37" s="131"/>
      <c r="R37" s="131"/>
      <c r="S37" s="131"/>
      <c r="T37" s="131"/>
      <c r="U37" s="131"/>
      <c r="V37" s="131"/>
      <c r="W37" s="132"/>
      <c r="X37" s="130" t="s">
        <v>100</v>
      </c>
      <c r="Y37" s="131"/>
      <c r="Z37" s="131"/>
      <c r="AA37" s="131"/>
      <c r="AB37" s="131"/>
      <c r="AC37" s="131"/>
      <c r="AD37" s="131"/>
      <c r="AE37" s="132"/>
      <c r="AF37" s="130"/>
      <c r="AG37" s="131"/>
      <c r="AH37" s="131"/>
      <c r="AI37" s="131"/>
      <c r="AJ37" s="131"/>
      <c r="AK37" s="131"/>
      <c r="AL37" s="131"/>
      <c r="AM37" s="131"/>
      <c r="AN37" s="133"/>
      <c r="AO37" s="119">
        <v>45683</v>
      </c>
      <c r="AP37" s="120"/>
      <c r="AQ37" s="118" t="s">
        <v>107</v>
      </c>
      <c r="AR37" s="114"/>
      <c r="AS37" s="118" t="s">
        <v>108</v>
      </c>
      <c r="AT37" s="121"/>
      <c r="AU37" s="119">
        <v>45688</v>
      </c>
      <c r="AV37" s="120"/>
      <c r="AW37" s="118" t="s">
        <v>107</v>
      </c>
      <c r="AX37" s="114"/>
      <c r="AY37" s="118" t="s">
        <v>110</v>
      </c>
      <c r="AZ37" s="121"/>
      <c r="BA37" s="41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3"/>
      <c r="BM37" s="34"/>
      <c r="BN37" s="34"/>
    </row>
    <row r="38" spans="1:66" ht="24" customHeight="1" x14ac:dyDescent="0.45">
      <c r="A38" s="33"/>
      <c r="B38" s="33"/>
      <c r="C38" s="38">
        <f t="shared" si="0"/>
        <v>29</v>
      </c>
      <c r="D38" s="35"/>
      <c r="E38" s="36"/>
      <c r="F38" s="36"/>
      <c r="G38" s="37"/>
      <c r="H38" s="36"/>
      <c r="I38" s="36"/>
      <c r="J38" s="36"/>
      <c r="K38" s="36"/>
      <c r="L38" s="86" t="s">
        <v>88</v>
      </c>
      <c r="M38" s="91"/>
      <c r="N38" s="91"/>
      <c r="O38" s="92"/>
      <c r="P38" s="130" t="s">
        <v>99</v>
      </c>
      <c r="Q38" s="131"/>
      <c r="R38" s="131"/>
      <c r="S38" s="131"/>
      <c r="T38" s="131"/>
      <c r="U38" s="131"/>
      <c r="V38" s="131"/>
      <c r="W38" s="132"/>
      <c r="X38" s="130" t="s">
        <v>100</v>
      </c>
      <c r="Y38" s="131"/>
      <c r="Z38" s="131"/>
      <c r="AA38" s="131"/>
      <c r="AB38" s="131"/>
      <c r="AC38" s="131"/>
      <c r="AD38" s="131"/>
      <c r="AE38" s="132"/>
      <c r="AF38" s="130"/>
      <c r="AG38" s="131"/>
      <c r="AH38" s="131"/>
      <c r="AI38" s="131"/>
      <c r="AJ38" s="131"/>
      <c r="AK38" s="131"/>
      <c r="AL38" s="131"/>
      <c r="AM38" s="131"/>
      <c r="AN38" s="133"/>
      <c r="AO38" s="119">
        <v>45683</v>
      </c>
      <c r="AP38" s="120"/>
      <c r="AQ38" s="118" t="s">
        <v>107</v>
      </c>
      <c r="AR38" s="114"/>
      <c r="AS38" s="118" t="s">
        <v>108</v>
      </c>
      <c r="AT38" s="121"/>
      <c r="AU38" s="119">
        <v>45688</v>
      </c>
      <c r="AV38" s="120"/>
      <c r="AW38" s="118" t="s">
        <v>107</v>
      </c>
      <c r="AX38" s="114"/>
      <c r="AY38" s="118" t="s">
        <v>110</v>
      </c>
      <c r="AZ38" s="121"/>
      <c r="BA38" s="41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3"/>
      <c r="BM38" s="34"/>
      <c r="BN38" s="34"/>
    </row>
    <row r="39" spans="1:66" ht="24" customHeight="1" x14ac:dyDescent="0.45">
      <c r="A39" s="33"/>
      <c r="B39" s="33"/>
      <c r="C39" s="38">
        <f t="shared" si="0"/>
        <v>30</v>
      </c>
      <c r="D39" s="35"/>
      <c r="E39" s="36"/>
      <c r="F39" s="36"/>
      <c r="G39" s="37"/>
      <c r="H39" s="36"/>
      <c r="I39" s="36"/>
      <c r="J39" s="36"/>
      <c r="K39" s="36"/>
      <c r="L39" s="86" t="s">
        <v>89</v>
      </c>
      <c r="M39" s="91"/>
      <c r="N39" s="91"/>
      <c r="O39" s="92"/>
      <c r="P39" s="130" t="s">
        <v>99</v>
      </c>
      <c r="Q39" s="131"/>
      <c r="R39" s="131"/>
      <c r="S39" s="131"/>
      <c r="T39" s="131"/>
      <c r="U39" s="131"/>
      <c r="V39" s="131"/>
      <c r="W39" s="132"/>
      <c r="X39" s="130" t="s">
        <v>100</v>
      </c>
      <c r="Y39" s="131"/>
      <c r="Z39" s="131"/>
      <c r="AA39" s="131"/>
      <c r="AB39" s="131"/>
      <c r="AC39" s="131"/>
      <c r="AD39" s="131"/>
      <c r="AE39" s="132"/>
      <c r="AF39" s="130"/>
      <c r="AG39" s="131"/>
      <c r="AH39" s="131"/>
      <c r="AI39" s="131"/>
      <c r="AJ39" s="131"/>
      <c r="AK39" s="131"/>
      <c r="AL39" s="131"/>
      <c r="AM39" s="131"/>
      <c r="AN39" s="133"/>
      <c r="AO39" s="119">
        <v>45683</v>
      </c>
      <c r="AP39" s="120"/>
      <c r="AQ39" s="118" t="s">
        <v>107</v>
      </c>
      <c r="AR39" s="114"/>
      <c r="AS39" s="118" t="s">
        <v>108</v>
      </c>
      <c r="AT39" s="121"/>
      <c r="AU39" s="119">
        <v>45688</v>
      </c>
      <c r="AV39" s="120"/>
      <c r="AW39" s="118" t="s">
        <v>107</v>
      </c>
      <c r="AX39" s="114"/>
      <c r="AY39" s="118" t="s">
        <v>110</v>
      </c>
      <c r="AZ39" s="121"/>
      <c r="BA39" s="41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3"/>
      <c r="BM39" s="34"/>
      <c r="BN39" s="34"/>
    </row>
    <row r="40" spans="1:66" ht="24" customHeight="1" x14ac:dyDescent="0.45">
      <c r="A40" s="33"/>
      <c r="B40" s="33"/>
      <c r="C40" s="38">
        <f t="shared" si="0"/>
        <v>31</v>
      </c>
      <c r="D40" s="35"/>
      <c r="E40" s="36"/>
      <c r="F40" s="36"/>
      <c r="G40" s="37"/>
      <c r="H40" s="36"/>
      <c r="I40" s="36"/>
      <c r="J40" s="36"/>
      <c r="K40" s="36"/>
      <c r="L40" s="86" t="s">
        <v>90</v>
      </c>
      <c r="M40" s="91"/>
      <c r="N40" s="91"/>
      <c r="O40" s="92"/>
      <c r="P40" s="130" t="s">
        <v>99</v>
      </c>
      <c r="Q40" s="131"/>
      <c r="R40" s="131"/>
      <c r="S40" s="131"/>
      <c r="T40" s="131"/>
      <c r="U40" s="131"/>
      <c r="V40" s="131"/>
      <c r="W40" s="132"/>
      <c r="X40" s="130" t="s">
        <v>100</v>
      </c>
      <c r="Y40" s="131"/>
      <c r="Z40" s="131"/>
      <c r="AA40" s="131"/>
      <c r="AB40" s="131"/>
      <c r="AC40" s="131"/>
      <c r="AD40" s="131"/>
      <c r="AE40" s="132"/>
      <c r="AF40" s="130"/>
      <c r="AG40" s="131"/>
      <c r="AH40" s="131"/>
      <c r="AI40" s="131"/>
      <c r="AJ40" s="131"/>
      <c r="AK40" s="131"/>
      <c r="AL40" s="131"/>
      <c r="AM40" s="131"/>
      <c r="AN40" s="133"/>
      <c r="AO40" s="119">
        <v>45683</v>
      </c>
      <c r="AP40" s="120"/>
      <c r="AQ40" s="118" t="s">
        <v>107</v>
      </c>
      <c r="AR40" s="114"/>
      <c r="AS40" s="118" t="s">
        <v>108</v>
      </c>
      <c r="AT40" s="121"/>
      <c r="AU40" s="119">
        <v>45688</v>
      </c>
      <c r="AV40" s="120"/>
      <c r="AW40" s="118" t="s">
        <v>107</v>
      </c>
      <c r="AX40" s="114"/>
      <c r="AY40" s="118" t="s">
        <v>110</v>
      </c>
      <c r="AZ40" s="121"/>
      <c r="BA40" s="41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3"/>
      <c r="BM40" s="34"/>
      <c r="BN40" s="34"/>
    </row>
    <row r="41" spans="1:66" ht="24" customHeight="1" x14ac:dyDescent="0.45">
      <c r="A41" s="33"/>
      <c r="B41" s="33"/>
      <c r="C41" s="38">
        <f t="shared" si="0"/>
        <v>32</v>
      </c>
      <c r="D41" s="35"/>
      <c r="E41" s="36"/>
      <c r="F41" s="36"/>
      <c r="G41" s="37"/>
      <c r="H41" s="36"/>
      <c r="I41" s="36"/>
      <c r="J41" s="36"/>
      <c r="K41" s="36"/>
      <c r="L41" s="86" t="s">
        <v>91</v>
      </c>
      <c r="M41" s="91"/>
      <c r="N41" s="91"/>
      <c r="O41" s="92"/>
      <c r="P41" s="130" t="s">
        <v>99</v>
      </c>
      <c r="Q41" s="131"/>
      <c r="R41" s="131"/>
      <c r="S41" s="131"/>
      <c r="T41" s="131"/>
      <c r="U41" s="131"/>
      <c r="V41" s="131"/>
      <c r="W41" s="132"/>
      <c r="X41" s="130" t="s">
        <v>100</v>
      </c>
      <c r="Y41" s="131"/>
      <c r="Z41" s="131"/>
      <c r="AA41" s="131"/>
      <c r="AB41" s="131"/>
      <c r="AC41" s="131"/>
      <c r="AD41" s="131"/>
      <c r="AE41" s="132"/>
      <c r="AF41" s="130"/>
      <c r="AG41" s="131"/>
      <c r="AH41" s="131"/>
      <c r="AI41" s="131"/>
      <c r="AJ41" s="131"/>
      <c r="AK41" s="131"/>
      <c r="AL41" s="131"/>
      <c r="AM41" s="131"/>
      <c r="AN41" s="133"/>
      <c r="AO41" s="119">
        <v>45683</v>
      </c>
      <c r="AP41" s="120"/>
      <c r="AQ41" s="118" t="s">
        <v>107</v>
      </c>
      <c r="AR41" s="114"/>
      <c r="AS41" s="118" t="s">
        <v>108</v>
      </c>
      <c r="AT41" s="121"/>
      <c r="AU41" s="119">
        <v>45688</v>
      </c>
      <c r="AV41" s="120"/>
      <c r="AW41" s="118" t="s">
        <v>107</v>
      </c>
      <c r="AX41" s="114"/>
      <c r="AY41" s="118" t="s">
        <v>110</v>
      </c>
      <c r="AZ41" s="121"/>
      <c r="BA41" s="41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3"/>
      <c r="BM41" s="34"/>
      <c r="BN41" s="34"/>
    </row>
    <row r="42" spans="1:66" ht="24" customHeight="1" x14ac:dyDescent="0.45">
      <c r="A42" s="33"/>
      <c r="B42" s="33"/>
      <c r="C42" s="38">
        <f t="shared" si="0"/>
        <v>33</v>
      </c>
      <c r="D42" s="35"/>
      <c r="E42" s="36"/>
      <c r="F42" s="36"/>
      <c r="G42" s="37"/>
      <c r="H42" s="36"/>
      <c r="I42" s="36"/>
      <c r="J42" s="36"/>
      <c r="K42" s="36"/>
      <c r="L42" s="86" t="s">
        <v>92</v>
      </c>
      <c r="M42" s="91"/>
      <c r="N42" s="91"/>
      <c r="O42" s="92"/>
      <c r="P42" s="130" t="s">
        <v>99</v>
      </c>
      <c r="Q42" s="131"/>
      <c r="R42" s="131"/>
      <c r="S42" s="131"/>
      <c r="T42" s="131"/>
      <c r="U42" s="131"/>
      <c r="V42" s="131"/>
      <c r="W42" s="132"/>
      <c r="X42" s="130" t="s">
        <v>100</v>
      </c>
      <c r="Y42" s="131"/>
      <c r="Z42" s="131"/>
      <c r="AA42" s="131"/>
      <c r="AB42" s="131"/>
      <c r="AC42" s="131"/>
      <c r="AD42" s="131"/>
      <c r="AE42" s="132"/>
      <c r="AF42" s="130"/>
      <c r="AG42" s="131"/>
      <c r="AH42" s="131"/>
      <c r="AI42" s="131"/>
      <c r="AJ42" s="131"/>
      <c r="AK42" s="131"/>
      <c r="AL42" s="131"/>
      <c r="AM42" s="131"/>
      <c r="AN42" s="133"/>
      <c r="AO42" s="119">
        <v>45683</v>
      </c>
      <c r="AP42" s="120"/>
      <c r="AQ42" s="118" t="s">
        <v>107</v>
      </c>
      <c r="AR42" s="114"/>
      <c r="AS42" s="118" t="s">
        <v>108</v>
      </c>
      <c r="AT42" s="121"/>
      <c r="AU42" s="119">
        <v>45688</v>
      </c>
      <c r="AV42" s="120"/>
      <c r="AW42" s="118" t="s">
        <v>107</v>
      </c>
      <c r="AX42" s="114"/>
      <c r="AY42" s="118" t="s">
        <v>110</v>
      </c>
      <c r="AZ42" s="121"/>
      <c r="BA42" s="41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3"/>
      <c r="BM42" s="34"/>
      <c r="BN42" s="34"/>
    </row>
    <row r="43" spans="1:66" ht="24" customHeight="1" x14ac:dyDescent="0.45">
      <c r="A43" s="33"/>
      <c r="B43" s="33"/>
      <c r="C43" s="38">
        <f t="shared" si="0"/>
        <v>34</v>
      </c>
      <c r="D43" s="35"/>
      <c r="E43" s="89"/>
      <c r="F43" s="89"/>
      <c r="G43" s="37"/>
      <c r="H43" s="89"/>
      <c r="I43" s="89"/>
      <c r="J43" s="89"/>
      <c r="K43" s="89"/>
      <c r="L43" s="86" t="s">
        <v>93</v>
      </c>
      <c r="M43" s="91"/>
      <c r="N43" s="91"/>
      <c r="O43" s="92"/>
      <c r="P43" s="130" t="s">
        <v>99</v>
      </c>
      <c r="Q43" s="131"/>
      <c r="R43" s="131"/>
      <c r="S43" s="131"/>
      <c r="T43" s="131"/>
      <c r="U43" s="131"/>
      <c r="V43" s="131"/>
      <c r="W43" s="132"/>
      <c r="X43" s="130" t="s">
        <v>100</v>
      </c>
      <c r="Y43" s="131"/>
      <c r="Z43" s="131"/>
      <c r="AA43" s="131"/>
      <c r="AB43" s="131"/>
      <c r="AC43" s="131"/>
      <c r="AD43" s="131"/>
      <c r="AE43" s="132"/>
      <c r="AF43" s="78"/>
      <c r="AG43" s="79"/>
      <c r="AH43" s="79"/>
      <c r="AI43" s="79"/>
      <c r="AJ43" s="79"/>
      <c r="AK43" s="79"/>
      <c r="AL43" s="79"/>
      <c r="AM43" s="79"/>
      <c r="AN43" s="81"/>
      <c r="AO43" s="119">
        <v>45683</v>
      </c>
      <c r="AP43" s="120"/>
      <c r="AQ43" s="118" t="s">
        <v>107</v>
      </c>
      <c r="AR43" s="114"/>
      <c r="AS43" s="118" t="s">
        <v>108</v>
      </c>
      <c r="AT43" s="121"/>
      <c r="AU43" s="119">
        <v>45688</v>
      </c>
      <c r="AV43" s="120"/>
      <c r="AW43" s="118" t="s">
        <v>107</v>
      </c>
      <c r="AX43" s="114"/>
      <c r="AY43" s="118" t="s">
        <v>110</v>
      </c>
      <c r="AZ43" s="121"/>
      <c r="BA43" s="82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4"/>
      <c r="BM43" s="34"/>
      <c r="BN43" s="34"/>
    </row>
    <row r="44" spans="1:66" ht="24" customHeight="1" x14ac:dyDescent="0.45">
      <c r="A44" s="33"/>
      <c r="B44" s="33"/>
      <c r="C44" s="38">
        <f t="shared" si="0"/>
        <v>35</v>
      </c>
      <c r="D44" s="35"/>
      <c r="E44" s="89"/>
      <c r="F44" s="89"/>
      <c r="G44" s="37"/>
      <c r="H44" s="89"/>
      <c r="I44" s="89"/>
      <c r="J44" s="89"/>
      <c r="K44" s="89"/>
      <c r="L44" s="86" t="s">
        <v>94</v>
      </c>
      <c r="M44" s="91"/>
      <c r="N44" s="91"/>
      <c r="O44" s="92"/>
      <c r="P44" s="130" t="s">
        <v>99</v>
      </c>
      <c r="Q44" s="131"/>
      <c r="R44" s="131"/>
      <c r="S44" s="131"/>
      <c r="T44" s="131"/>
      <c r="U44" s="131"/>
      <c r="V44" s="131"/>
      <c r="W44" s="132"/>
      <c r="X44" s="130" t="s">
        <v>100</v>
      </c>
      <c r="Y44" s="131"/>
      <c r="Z44" s="131"/>
      <c r="AA44" s="131"/>
      <c r="AB44" s="131"/>
      <c r="AC44" s="131"/>
      <c r="AD44" s="131"/>
      <c r="AE44" s="132"/>
      <c r="AF44" s="78"/>
      <c r="AG44" s="79"/>
      <c r="AH44" s="79"/>
      <c r="AI44" s="79"/>
      <c r="AJ44" s="79"/>
      <c r="AK44" s="79"/>
      <c r="AL44" s="79"/>
      <c r="AM44" s="79"/>
      <c r="AN44" s="81"/>
      <c r="AO44" s="119">
        <v>45683</v>
      </c>
      <c r="AP44" s="120"/>
      <c r="AQ44" s="118" t="s">
        <v>107</v>
      </c>
      <c r="AR44" s="114"/>
      <c r="AS44" s="118" t="s">
        <v>108</v>
      </c>
      <c r="AT44" s="121"/>
      <c r="AU44" s="119">
        <v>45688</v>
      </c>
      <c r="AV44" s="120"/>
      <c r="AW44" s="118" t="s">
        <v>107</v>
      </c>
      <c r="AX44" s="114"/>
      <c r="AY44" s="118" t="s">
        <v>110</v>
      </c>
      <c r="AZ44" s="121"/>
      <c r="BA44" s="82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4"/>
      <c r="BM44" s="34"/>
      <c r="BN44" s="34"/>
    </row>
    <row r="45" spans="1:66" ht="24" customHeight="1" x14ac:dyDescent="0.45">
      <c r="A45" s="33"/>
      <c r="B45" s="33"/>
      <c r="C45" s="38">
        <f t="shared" si="0"/>
        <v>36</v>
      </c>
      <c r="D45" s="35"/>
      <c r="E45" s="89"/>
      <c r="F45" s="89"/>
      <c r="G45" s="37"/>
      <c r="H45" s="89"/>
      <c r="I45" s="89"/>
      <c r="J45" s="89"/>
      <c r="K45" s="89"/>
      <c r="L45" s="86" t="s">
        <v>95</v>
      </c>
      <c r="M45" s="91"/>
      <c r="N45" s="91"/>
      <c r="O45" s="92"/>
      <c r="P45" s="130" t="s">
        <v>99</v>
      </c>
      <c r="Q45" s="131"/>
      <c r="R45" s="131"/>
      <c r="S45" s="131"/>
      <c r="T45" s="131"/>
      <c r="U45" s="131"/>
      <c r="V45" s="131"/>
      <c r="W45" s="132"/>
      <c r="X45" s="130" t="s">
        <v>100</v>
      </c>
      <c r="Y45" s="131"/>
      <c r="Z45" s="131"/>
      <c r="AA45" s="131"/>
      <c r="AB45" s="131"/>
      <c r="AC45" s="131"/>
      <c r="AD45" s="131"/>
      <c r="AE45" s="132"/>
      <c r="AF45" s="78"/>
      <c r="AG45" s="79"/>
      <c r="AH45" s="79"/>
      <c r="AI45" s="79"/>
      <c r="AJ45" s="79"/>
      <c r="AK45" s="79"/>
      <c r="AL45" s="79"/>
      <c r="AM45" s="79"/>
      <c r="AN45" s="81"/>
      <c r="AO45" s="119">
        <v>45683</v>
      </c>
      <c r="AP45" s="120"/>
      <c r="AQ45" s="118" t="s">
        <v>107</v>
      </c>
      <c r="AR45" s="114"/>
      <c r="AS45" s="118" t="s">
        <v>108</v>
      </c>
      <c r="AT45" s="121"/>
      <c r="AU45" s="119">
        <v>45688</v>
      </c>
      <c r="AV45" s="120"/>
      <c r="AW45" s="118" t="s">
        <v>107</v>
      </c>
      <c r="AX45" s="114"/>
      <c r="AY45" s="118" t="s">
        <v>110</v>
      </c>
      <c r="AZ45" s="121"/>
      <c r="BA45" s="82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4"/>
      <c r="BM45" s="34"/>
      <c r="BN45" s="34"/>
    </row>
    <row r="46" spans="1:66" ht="24" customHeight="1" x14ac:dyDescent="0.45">
      <c r="A46" s="33"/>
      <c r="B46" s="33"/>
      <c r="C46" s="38">
        <f t="shared" si="0"/>
        <v>37</v>
      </c>
      <c r="D46" s="35"/>
      <c r="E46" s="89"/>
      <c r="F46" s="89"/>
      <c r="G46" s="37"/>
      <c r="H46" s="89"/>
      <c r="I46" s="89"/>
      <c r="J46" s="89"/>
      <c r="K46" s="89"/>
      <c r="L46" s="86" t="s">
        <v>96</v>
      </c>
      <c r="M46" s="91"/>
      <c r="N46" s="91"/>
      <c r="O46" s="92"/>
      <c r="P46" s="130" t="s">
        <v>99</v>
      </c>
      <c r="Q46" s="131"/>
      <c r="R46" s="131"/>
      <c r="S46" s="131"/>
      <c r="T46" s="131"/>
      <c r="U46" s="131"/>
      <c r="V46" s="131"/>
      <c r="W46" s="132"/>
      <c r="X46" s="130" t="s">
        <v>100</v>
      </c>
      <c r="Y46" s="131"/>
      <c r="Z46" s="131"/>
      <c r="AA46" s="131"/>
      <c r="AB46" s="131"/>
      <c r="AC46" s="131"/>
      <c r="AD46" s="131"/>
      <c r="AE46" s="132"/>
      <c r="AF46" s="78"/>
      <c r="AG46" s="79"/>
      <c r="AH46" s="79"/>
      <c r="AI46" s="79"/>
      <c r="AJ46" s="79"/>
      <c r="AK46" s="79"/>
      <c r="AL46" s="79"/>
      <c r="AM46" s="79"/>
      <c r="AN46" s="81"/>
      <c r="AO46" s="119">
        <v>45683</v>
      </c>
      <c r="AP46" s="120"/>
      <c r="AQ46" s="118" t="s">
        <v>107</v>
      </c>
      <c r="AR46" s="114"/>
      <c r="AS46" s="118" t="s">
        <v>108</v>
      </c>
      <c r="AT46" s="121"/>
      <c r="AU46" s="119">
        <v>45688</v>
      </c>
      <c r="AV46" s="120"/>
      <c r="AW46" s="118" t="s">
        <v>107</v>
      </c>
      <c r="AX46" s="114"/>
      <c r="AY46" s="118" t="s">
        <v>110</v>
      </c>
      <c r="AZ46" s="121"/>
      <c r="BA46" s="82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4"/>
      <c r="BM46" s="34"/>
      <c r="BN46" s="34"/>
    </row>
    <row r="47" spans="1:66" ht="24" customHeight="1" x14ac:dyDescent="0.45">
      <c r="A47" s="33"/>
      <c r="B47" s="33"/>
      <c r="C47" s="38">
        <f t="shared" si="0"/>
        <v>38</v>
      </c>
      <c r="D47" s="35"/>
      <c r="E47" s="89"/>
      <c r="F47" s="89"/>
      <c r="G47" s="37"/>
      <c r="H47" s="89"/>
      <c r="I47" s="89"/>
      <c r="J47" s="89"/>
      <c r="K47" s="89"/>
      <c r="L47" s="86" t="s">
        <v>97</v>
      </c>
      <c r="M47" s="91"/>
      <c r="N47" s="91"/>
      <c r="O47" s="92"/>
      <c r="P47" s="130" t="s">
        <v>99</v>
      </c>
      <c r="Q47" s="131"/>
      <c r="R47" s="131"/>
      <c r="S47" s="131"/>
      <c r="T47" s="131"/>
      <c r="U47" s="131"/>
      <c r="V47" s="131"/>
      <c r="W47" s="132"/>
      <c r="X47" s="130" t="s">
        <v>100</v>
      </c>
      <c r="Y47" s="131"/>
      <c r="Z47" s="131"/>
      <c r="AA47" s="131"/>
      <c r="AB47" s="131"/>
      <c r="AC47" s="131"/>
      <c r="AD47" s="131"/>
      <c r="AE47" s="132"/>
      <c r="AF47" s="78"/>
      <c r="AG47" s="79"/>
      <c r="AH47" s="79"/>
      <c r="AI47" s="79"/>
      <c r="AJ47" s="79"/>
      <c r="AK47" s="79"/>
      <c r="AL47" s="79"/>
      <c r="AM47" s="79"/>
      <c r="AN47" s="81"/>
      <c r="AO47" s="119">
        <v>45683</v>
      </c>
      <c r="AP47" s="120"/>
      <c r="AQ47" s="118" t="s">
        <v>107</v>
      </c>
      <c r="AR47" s="114"/>
      <c r="AS47" s="118" t="s">
        <v>108</v>
      </c>
      <c r="AT47" s="121"/>
      <c r="AU47" s="119">
        <v>45688</v>
      </c>
      <c r="AV47" s="120"/>
      <c r="AW47" s="118" t="s">
        <v>107</v>
      </c>
      <c r="AX47" s="114"/>
      <c r="AY47" s="118" t="s">
        <v>110</v>
      </c>
      <c r="AZ47" s="121"/>
      <c r="BA47" s="82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4"/>
      <c r="BM47" s="34"/>
      <c r="BN47" s="34"/>
    </row>
    <row r="48" spans="1:66" ht="24" customHeight="1" x14ac:dyDescent="0.45">
      <c r="A48" s="33"/>
      <c r="B48" s="33"/>
      <c r="C48" s="38">
        <f t="shared" si="0"/>
        <v>39</v>
      </c>
      <c r="D48" s="35"/>
      <c r="E48" s="89"/>
      <c r="F48" s="89"/>
      <c r="G48" s="37"/>
      <c r="H48" s="89"/>
      <c r="I48" s="89"/>
      <c r="J48" s="89"/>
      <c r="K48" s="89"/>
      <c r="L48" s="86" t="s">
        <v>98</v>
      </c>
      <c r="M48" s="91"/>
      <c r="N48" s="91"/>
      <c r="O48" s="92"/>
      <c r="P48" s="130" t="s">
        <v>99</v>
      </c>
      <c r="Q48" s="131"/>
      <c r="R48" s="131"/>
      <c r="S48" s="131"/>
      <c r="T48" s="131"/>
      <c r="U48" s="131"/>
      <c r="V48" s="131"/>
      <c r="W48" s="132"/>
      <c r="X48" s="130" t="s">
        <v>100</v>
      </c>
      <c r="Y48" s="131"/>
      <c r="Z48" s="131"/>
      <c r="AA48" s="131"/>
      <c r="AB48" s="131"/>
      <c r="AC48" s="131"/>
      <c r="AD48" s="131"/>
      <c r="AE48" s="132"/>
      <c r="AF48" s="78"/>
      <c r="AG48" s="79"/>
      <c r="AH48" s="79"/>
      <c r="AI48" s="79"/>
      <c r="AJ48" s="79"/>
      <c r="AK48" s="79"/>
      <c r="AL48" s="79"/>
      <c r="AM48" s="79"/>
      <c r="AN48" s="81"/>
      <c r="AO48" s="119">
        <v>45683</v>
      </c>
      <c r="AP48" s="120"/>
      <c r="AQ48" s="118" t="s">
        <v>107</v>
      </c>
      <c r="AR48" s="114"/>
      <c r="AS48" s="118" t="s">
        <v>108</v>
      </c>
      <c r="AT48" s="121"/>
      <c r="AU48" s="119">
        <v>45688</v>
      </c>
      <c r="AV48" s="120"/>
      <c r="AW48" s="118" t="s">
        <v>107</v>
      </c>
      <c r="AX48" s="114"/>
      <c r="AY48" s="118" t="s">
        <v>110</v>
      </c>
      <c r="AZ48" s="121"/>
      <c r="BA48" s="82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4"/>
      <c r="BM48" s="34"/>
      <c r="BN48" s="34"/>
    </row>
    <row r="49" spans="1:66" ht="24" customHeight="1" x14ac:dyDescent="0.45">
      <c r="A49" s="33"/>
      <c r="B49" s="33"/>
      <c r="C49" s="38">
        <f t="shared" si="0"/>
        <v>40</v>
      </c>
      <c r="D49" s="35"/>
      <c r="E49" s="36"/>
      <c r="F49" s="36"/>
      <c r="G49" s="37"/>
      <c r="H49" s="36"/>
      <c r="I49" s="36"/>
      <c r="J49" s="36"/>
      <c r="K49" s="36"/>
      <c r="L49" s="86" t="s">
        <v>89</v>
      </c>
      <c r="M49" s="91"/>
      <c r="N49" s="91"/>
      <c r="O49" s="92"/>
      <c r="P49" s="130" t="s">
        <v>99</v>
      </c>
      <c r="Q49" s="131"/>
      <c r="R49" s="131"/>
      <c r="S49" s="131"/>
      <c r="T49" s="131"/>
      <c r="U49" s="131"/>
      <c r="V49" s="131"/>
      <c r="W49" s="132"/>
      <c r="X49" s="130" t="s">
        <v>100</v>
      </c>
      <c r="Y49" s="131"/>
      <c r="Z49" s="131"/>
      <c r="AA49" s="131"/>
      <c r="AB49" s="131"/>
      <c r="AC49" s="131"/>
      <c r="AD49" s="131"/>
      <c r="AE49" s="132"/>
      <c r="AF49" s="130"/>
      <c r="AG49" s="131"/>
      <c r="AH49" s="131"/>
      <c r="AI49" s="131"/>
      <c r="AJ49" s="131"/>
      <c r="AK49" s="131"/>
      <c r="AL49" s="131"/>
      <c r="AM49" s="131"/>
      <c r="AN49" s="133"/>
      <c r="AO49" s="119">
        <v>45683</v>
      </c>
      <c r="AP49" s="120"/>
      <c r="AQ49" s="118" t="s">
        <v>107</v>
      </c>
      <c r="AR49" s="114"/>
      <c r="AS49" s="118" t="s">
        <v>108</v>
      </c>
      <c r="AT49" s="121"/>
      <c r="AU49" s="119">
        <v>45688</v>
      </c>
      <c r="AV49" s="120"/>
      <c r="AW49" s="118" t="s">
        <v>107</v>
      </c>
      <c r="AX49" s="114"/>
      <c r="AY49" s="118" t="s">
        <v>110</v>
      </c>
      <c r="AZ49" s="121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1"/>
      <c r="BM49" s="34"/>
      <c r="BN49" s="34"/>
    </row>
    <row r="50" spans="1:66" ht="24" customHeight="1" x14ac:dyDescent="0.45">
      <c r="A50" s="33"/>
      <c r="B50" s="33"/>
      <c r="C50" s="38">
        <f t="shared" si="0"/>
        <v>41</v>
      </c>
      <c r="D50" s="35"/>
      <c r="E50" s="36"/>
      <c r="F50" s="36"/>
      <c r="G50" s="37"/>
      <c r="H50" s="55"/>
      <c r="I50" s="56"/>
      <c r="J50" s="56"/>
      <c r="K50" s="57"/>
      <c r="L50" s="86" t="s">
        <v>90</v>
      </c>
      <c r="M50" s="91"/>
      <c r="N50" s="91"/>
      <c r="O50" s="92"/>
      <c r="P50" s="130" t="s">
        <v>99</v>
      </c>
      <c r="Q50" s="131"/>
      <c r="R50" s="131"/>
      <c r="S50" s="131"/>
      <c r="T50" s="131"/>
      <c r="U50" s="131"/>
      <c r="V50" s="131"/>
      <c r="W50" s="132"/>
      <c r="X50" s="130" t="s">
        <v>100</v>
      </c>
      <c r="Y50" s="131"/>
      <c r="Z50" s="131"/>
      <c r="AA50" s="131"/>
      <c r="AB50" s="131"/>
      <c r="AC50" s="131"/>
      <c r="AD50" s="131"/>
      <c r="AE50" s="132"/>
      <c r="AF50" s="130"/>
      <c r="AG50" s="131"/>
      <c r="AH50" s="131"/>
      <c r="AI50" s="131"/>
      <c r="AJ50" s="131"/>
      <c r="AK50" s="131"/>
      <c r="AL50" s="131"/>
      <c r="AM50" s="131"/>
      <c r="AN50" s="133"/>
      <c r="AO50" s="119">
        <v>45683</v>
      </c>
      <c r="AP50" s="120"/>
      <c r="AQ50" s="118" t="s">
        <v>107</v>
      </c>
      <c r="AR50" s="114"/>
      <c r="AS50" s="118" t="s">
        <v>108</v>
      </c>
      <c r="AT50" s="121"/>
      <c r="AU50" s="119">
        <v>45688</v>
      </c>
      <c r="AV50" s="120"/>
      <c r="AW50" s="118" t="s">
        <v>107</v>
      </c>
      <c r="AX50" s="114"/>
      <c r="AY50" s="118" t="s">
        <v>110</v>
      </c>
      <c r="AZ50" s="121"/>
      <c r="BA50" s="41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3"/>
      <c r="BM50" s="34"/>
      <c r="BN50" s="34"/>
    </row>
    <row r="51" spans="1:66" ht="24" customHeight="1" x14ac:dyDescent="0.45">
      <c r="A51" s="33"/>
      <c r="B51" s="33"/>
      <c r="C51" s="38">
        <f t="shared" si="0"/>
        <v>42</v>
      </c>
      <c r="D51" s="35"/>
      <c r="E51" s="36"/>
      <c r="F51" s="36"/>
      <c r="G51" s="37"/>
      <c r="H51" s="54" t="s">
        <v>44</v>
      </c>
      <c r="I51" s="36"/>
      <c r="J51" s="36"/>
      <c r="K51" s="36"/>
      <c r="L51" s="165" t="s">
        <v>60</v>
      </c>
      <c r="M51" s="147"/>
      <c r="N51" s="147"/>
      <c r="O51" s="166"/>
      <c r="P51" s="31" t="s">
        <v>45</v>
      </c>
      <c r="Q51" s="47"/>
      <c r="R51" s="47"/>
      <c r="S51" s="47"/>
      <c r="T51" s="47"/>
      <c r="U51" s="47"/>
      <c r="V51" s="47"/>
      <c r="W51" s="48"/>
      <c r="X51" s="130" t="s">
        <v>102</v>
      </c>
      <c r="Y51" s="131"/>
      <c r="Z51" s="131"/>
      <c r="AA51" s="131"/>
      <c r="AB51" s="131"/>
      <c r="AC51" s="131"/>
      <c r="AD51" s="131"/>
      <c r="AE51" s="132"/>
      <c r="AF51" s="130"/>
      <c r="AG51" s="131"/>
      <c r="AH51" s="131"/>
      <c r="AI51" s="131"/>
      <c r="AJ51" s="131"/>
      <c r="AK51" s="131"/>
      <c r="AL51" s="131"/>
      <c r="AM51" s="131"/>
      <c r="AN51" s="133"/>
      <c r="AO51" s="119">
        <v>45683</v>
      </c>
      <c r="AP51" s="120"/>
      <c r="AQ51" s="118" t="s">
        <v>107</v>
      </c>
      <c r="AR51" s="114"/>
      <c r="AS51" s="118" t="s">
        <v>108</v>
      </c>
      <c r="AT51" s="121"/>
      <c r="AU51" s="119">
        <v>45688</v>
      </c>
      <c r="AV51" s="120"/>
      <c r="AW51" s="118" t="s">
        <v>107</v>
      </c>
      <c r="AX51" s="114"/>
      <c r="AY51" s="118" t="s">
        <v>110</v>
      </c>
      <c r="AZ51" s="121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1"/>
      <c r="BM51" s="34"/>
      <c r="BN51" s="34"/>
    </row>
    <row r="52" spans="1:66" ht="24" customHeight="1" x14ac:dyDescent="0.45">
      <c r="A52" s="33"/>
      <c r="B52" s="33"/>
      <c r="C52" s="38">
        <f t="shared" si="0"/>
        <v>43</v>
      </c>
      <c r="D52" s="35"/>
      <c r="E52" s="36"/>
      <c r="F52" s="36"/>
      <c r="G52" s="37"/>
      <c r="H52" s="36"/>
      <c r="I52" s="36"/>
      <c r="J52" s="36"/>
      <c r="K52" s="36"/>
      <c r="L52" s="86" t="s">
        <v>61</v>
      </c>
      <c r="M52" s="83"/>
      <c r="N52" s="83"/>
      <c r="O52" s="87"/>
      <c r="P52" s="58" t="s">
        <v>45</v>
      </c>
      <c r="Q52" s="36"/>
      <c r="R52" s="36"/>
      <c r="S52" s="36"/>
      <c r="T52" s="36"/>
      <c r="U52" s="36"/>
      <c r="V52" s="36"/>
      <c r="W52" s="36"/>
      <c r="X52" s="130" t="s">
        <v>102</v>
      </c>
      <c r="Y52" s="131"/>
      <c r="Z52" s="131"/>
      <c r="AA52" s="131"/>
      <c r="AB52" s="131"/>
      <c r="AC52" s="131"/>
      <c r="AD52" s="131"/>
      <c r="AE52" s="132"/>
      <c r="AF52" s="130"/>
      <c r="AG52" s="131"/>
      <c r="AH52" s="131"/>
      <c r="AI52" s="131"/>
      <c r="AJ52" s="131"/>
      <c r="AK52" s="131"/>
      <c r="AL52" s="131"/>
      <c r="AM52" s="131"/>
      <c r="AN52" s="133"/>
      <c r="AO52" s="119">
        <v>45683</v>
      </c>
      <c r="AP52" s="120"/>
      <c r="AQ52" s="118" t="s">
        <v>107</v>
      </c>
      <c r="AR52" s="114"/>
      <c r="AS52" s="118" t="s">
        <v>108</v>
      </c>
      <c r="AT52" s="121"/>
      <c r="AU52" s="119">
        <v>45688</v>
      </c>
      <c r="AV52" s="120"/>
      <c r="AW52" s="118" t="s">
        <v>107</v>
      </c>
      <c r="AX52" s="114"/>
      <c r="AY52" s="118" t="s">
        <v>110</v>
      </c>
      <c r="AZ52" s="121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1"/>
      <c r="BM52" s="34"/>
      <c r="BN52" s="34"/>
    </row>
    <row r="53" spans="1:66" ht="24" customHeight="1" x14ac:dyDescent="0.45">
      <c r="A53" s="33"/>
      <c r="B53" s="33"/>
      <c r="C53" s="38">
        <f t="shared" si="0"/>
        <v>44</v>
      </c>
      <c r="D53" s="35"/>
      <c r="E53" s="36"/>
      <c r="F53" s="36"/>
      <c r="G53" s="37"/>
      <c r="H53" s="36"/>
      <c r="I53" s="36"/>
      <c r="J53" s="36"/>
      <c r="K53" s="36"/>
      <c r="L53" s="86" t="s">
        <v>62</v>
      </c>
      <c r="M53" s="83"/>
      <c r="N53" s="83"/>
      <c r="O53" s="87"/>
      <c r="P53" s="31" t="s">
        <v>45</v>
      </c>
      <c r="Q53" s="47"/>
      <c r="R53" s="47"/>
      <c r="S53" s="47"/>
      <c r="T53" s="47"/>
      <c r="U53" s="47"/>
      <c r="V53" s="47"/>
      <c r="W53" s="48"/>
      <c r="X53" s="130" t="s">
        <v>102</v>
      </c>
      <c r="Y53" s="131"/>
      <c r="Z53" s="131"/>
      <c r="AA53" s="131"/>
      <c r="AB53" s="131"/>
      <c r="AC53" s="131"/>
      <c r="AD53" s="131"/>
      <c r="AE53" s="132"/>
      <c r="AF53" s="130"/>
      <c r="AG53" s="131"/>
      <c r="AH53" s="131"/>
      <c r="AI53" s="131"/>
      <c r="AJ53" s="131"/>
      <c r="AK53" s="131"/>
      <c r="AL53" s="131"/>
      <c r="AM53" s="131"/>
      <c r="AN53" s="133"/>
      <c r="AO53" s="119">
        <v>45683</v>
      </c>
      <c r="AP53" s="120"/>
      <c r="AQ53" s="118" t="s">
        <v>107</v>
      </c>
      <c r="AR53" s="114"/>
      <c r="AS53" s="118" t="s">
        <v>108</v>
      </c>
      <c r="AT53" s="121"/>
      <c r="AU53" s="119">
        <v>45688</v>
      </c>
      <c r="AV53" s="120"/>
      <c r="AW53" s="118" t="s">
        <v>107</v>
      </c>
      <c r="AX53" s="114"/>
      <c r="AY53" s="118" t="s">
        <v>110</v>
      </c>
      <c r="AZ53" s="121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1"/>
      <c r="BM53" s="34"/>
      <c r="BN53" s="34"/>
    </row>
    <row r="54" spans="1:66" ht="24" customHeight="1" x14ac:dyDescent="0.45">
      <c r="A54" s="33"/>
      <c r="B54" s="33"/>
      <c r="C54" s="38">
        <f t="shared" si="0"/>
        <v>45</v>
      </c>
      <c r="D54" s="35"/>
      <c r="E54" s="36"/>
      <c r="F54" s="36"/>
      <c r="G54" s="37"/>
      <c r="H54" s="36"/>
      <c r="I54" s="36"/>
      <c r="J54" s="36"/>
      <c r="K54" s="36"/>
      <c r="L54" s="86" t="s">
        <v>63</v>
      </c>
      <c r="M54" s="83"/>
      <c r="N54" s="83"/>
      <c r="O54" s="87"/>
      <c r="P54" s="60" t="s">
        <v>45</v>
      </c>
      <c r="Q54" s="36"/>
      <c r="R54" s="36"/>
      <c r="S54" s="36"/>
      <c r="T54" s="36"/>
      <c r="U54" s="36"/>
      <c r="V54" s="36"/>
      <c r="W54" s="36"/>
      <c r="X54" s="130" t="s">
        <v>102</v>
      </c>
      <c r="Y54" s="131"/>
      <c r="Z54" s="131"/>
      <c r="AA54" s="131"/>
      <c r="AB54" s="131"/>
      <c r="AC54" s="131"/>
      <c r="AD54" s="131"/>
      <c r="AE54" s="132"/>
      <c r="AF54" s="130"/>
      <c r="AG54" s="131"/>
      <c r="AH54" s="131"/>
      <c r="AI54" s="131"/>
      <c r="AJ54" s="131"/>
      <c r="AK54" s="131"/>
      <c r="AL54" s="131"/>
      <c r="AM54" s="131"/>
      <c r="AN54" s="133"/>
      <c r="AO54" s="119">
        <v>45683</v>
      </c>
      <c r="AP54" s="120"/>
      <c r="AQ54" s="118" t="s">
        <v>107</v>
      </c>
      <c r="AR54" s="114"/>
      <c r="AS54" s="118" t="s">
        <v>108</v>
      </c>
      <c r="AT54" s="121"/>
      <c r="AU54" s="119">
        <v>45688</v>
      </c>
      <c r="AV54" s="120"/>
      <c r="AW54" s="118" t="s">
        <v>107</v>
      </c>
      <c r="AX54" s="114"/>
      <c r="AY54" s="118" t="s">
        <v>110</v>
      </c>
      <c r="AZ54" s="121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1"/>
      <c r="BM54" s="34"/>
      <c r="BN54" s="34"/>
    </row>
    <row r="55" spans="1:66" ht="24" customHeight="1" x14ac:dyDescent="0.45">
      <c r="A55" s="33"/>
      <c r="B55" s="33"/>
      <c r="C55" s="38">
        <f t="shared" si="0"/>
        <v>46</v>
      </c>
      <c r="D55" s="35"/>
      <c r="E55" s="36"/>
      <c r="F55" s="36"/>
      <c r="G55" s="37"/>
      <c r="H55" s="36"/>
      <c r="I55" s="36"/>
      <c r="J55" s="36"/>
      <c r="K55" s="36"/>
      <c r="L55" s="86" t="s">
        <v>64</v>
      </c>
      <c r="M55" s="83"/>
      <c r="N55" s="83"/>
      <c r="O55" s="87"/>
      <c r="P55" s="31" t="s">
        <v>45</v>
      </c>
      <c r="Q55" s="47"/>
      <c r="R55" s="47"/>
      <c r="S55" s="47"/>
      <c r="T55" s="47"/>
      <c r="U55" s="47"/>
      <c r="V55" s="47"/>
      <c r="W55" s="48"/>
      <c r="X55" s="130" t="s">
        <v>102</v>
      </c>
      <c r="Y55" s="131"/>
      <c r="Z55" s="131"/>
      <c r="AA55" s="131"/>
      <c r="AB55" s="131"/>
      <c r="AC55" s="131"/>
      <c r="AD55" s="131"/>
      <c r="AE55" s="132"/>
      <c r="AF55" s="130"/>
      <c r="AG55" s="131"/>
      <c r="AH55" s="131"/>
      <c r="AI55" s="131"/>
      <c r="AJ55" s="131"/>
      <c r="AK55" s="131"/>
      <c r="AL55" s="131"/>
      <c r="AM55" s="131"/>
      <c r="AN55" s="133"/>
      <c r="AO55" s="119">
        <v>45683</v>
      </c>
      <c r="AP55" s="120"/>
      <c r="AQ55" s="118" t="s">
        <v>107</v>
      </c>
      <c r="AR55" s="114"/>
      <c r="AS55" s="118" t="s">
        <v>108</v>
      </c>
      <c r="AT55" s="121"/>
      <c r="AU55" s="119">
        <v>45688</v>
      </c>
      <c r="AV55" s="120"/>
      <c r="AW55" s="118" t="s">
        <v>107</v>
      </c>
      <c r="AX55" s="114"/>
      <c r="AY55" s="118" t="s">
        <v>110</v>
      </c>
      <c r="AZ55" s="121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1"/>
      <c r="BM55" s="34"/>
      <c r="BN55" s="34"/>
    </row>
    <row r="56" spans="1:66" ht="24" customHeight="1" x14ac:dyDescent="0.45">
      <c r="A56" s="33"/>
      <c r="B56" s="33"/>
      <c r="C56" s="38">
        <f t="shared" si="0"/>
        <v>47</v>
      </c>
      <c r="D56" s="35"/>
      <c r="E56" s="36"/>
      <c r="F56" s="36"/>
      <c r="G56" s="37"/>
      <c r="H56" s="36"/>
      <c r="I56" s="36"/>
      <c r="J56" s="36"/>
      <c r="K56" s="36"/>
      <c r="L56" s="86" t="s">
        <v>65</v>
      </c>
      <c r="M56" s="83"/>
      <c r="N56" s="83"/>
      <c r="O56" s="87"/>
      <c r="P56" s="31" t="s">
        <v>45</v>
      </c>
      <c r="Q56" s="47"/>
      <c r="R56" s="47"/>
      <c r="S56" s="47"/>
      <c r="T56" s="47"/>
      <c r="U56" s="47"/>
      <c r="V56" s="47"/>
      <c r="W56" s="48"/>
      <c r="X56" s="130" t="s">
        <v>102</v>
      </c>
      <c r="Y56" s="131"/>
      <c r="Z56" s="131"/>
      <c r="AA56" s="131"/>
      <c r="AB56" s="131"/>
      <c r="AC56" s="131"/>
      <c r="AD56" s="131"/>
      <c r="AE56" s="132"/>
      <c r="AF56" s="46"/>
      <c r="AG56" s="47"/>
      <c r="AH56" s="47"/>
      <c r="AI56" s="47"/>
      <c r="AJ56" s="47"/>
      <c r="AK56" s="47"/>
      <c r="AL56" s="47"/>
      <c r="AM56" s="47"/>
      <c r="AN56" s="52"/>
      <c r="AO56" s="119">
        <v>45683</v>
      </c>
      <c r="AP56" s="120"/>
      <c r="AQ56" s="118" t="s">
        <v>107</v>
      </c>
      <c r="AR56" s="114"/>
      <c r="AS56" s="118" t="s">
        <v>108</v>
      </c>
      <c r="AT56" s="121"/>
      <c r="AU56" s="119">
        <v>45688</v>
      </c>
      <c r="AV56" s="120"/>
      <c r="AW56" s="118" t="s">
        <v>107</v>
      </c>
      <c r="AX56" s="114"/>
      <c r="AY56" s="118" t="s">
        <v>110</v>
      </c>
      <c r="AZ56" s="121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1"/>
      <c r="BM56" s="34"/>
      <c r="BN56" s="34"/>
    </row>
    <row r="57" spans="1:66" ht="24" customHeight="1" x14ac:dyDescent="0.45">
      <c r="A57" s="33"/>
      <c r="B57" s="33"/>
      <c r="C57" s="38">
        <f t="shared" si="0"/>
        <v>48</v>
      </c>
      <c r="D57" s="35"/>
      <c r="E57" s="36"/>
      <c r="F57" s="36"/>
      <c r="G57" s="37"/>
      <c r="H57" s="36"/>
      <c r="I57" s="36"/>
      <c r="J57" s="36"/>
      <c r="K57" s="36"/>
      <c r="L57" s="86" t="s">
        <v>66</v>
      </c>
      <c r="M57" s="83"/>
      <c r="N57" s="83"/>
      <c r="O57" s="87"/>
      <c r="P57" s="59" t="s">
        <v>45</v>
      </c>
      <c r="Q57" s="47"/>
      <c r="R57" s="47"/>
      <c r="S57" s="47"/>
      <c r="T57" s="47"/>
      <c r="U57" s="47"/>
      <c r="V57" s="47"/>
      <c r="W57" s="48"/>
      <c r="X57" s="130" t="s">
        <v>102</v>
      </c>
      <c r="Y57" s="131"/>
      <c r="Z57" s="131"/>
      <c r="AA57" s="131"/>
      <c r="AB57" s="131"/>
      <c r="AC57" s="131"/>
      <c r="AD57" s="131"/>
      <c r="AE57" s="132"/>
      <c r="AF57" s="46"/>
      <c r="AG57" s="47"/>
      <c r="AH57" s="47"/>
      <c r="AI57" s="47"/>
      <c r="AJ57" s="47"/>
      <c r="AK57" s="47"/>
      <c r="AL57" s="47"/>
      <c r="AM57" s="47"/>
      <c r="AN57" s="52"/>
      <c r="AO57" s="119">
        <v>45683</v>
      </c>
      <c r="AP57" s="120"/>
      <c r="AQ57" s="118" t="s">
        <v>107</v>
      </c>
      <c r="AR57" s="114"/>
      <c r="AS57" s="118" t="s">
        <v>108</v>
      </c>
      <c r="AT57" s="121"/>
      <c r="AU57" s="119">
        <v>45688</v>
      </c>
      <c r="AV57" s="120"/>
      <c r="AW57" s="118" t="s">
        <v>107</v>
      </c>
      <c r="AX57" s="114"/>
      <c r="AY57" s="118" t="s">
        <v>110</v>
      </c>
      <c r="AZ57" s="121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1"/>
      <c r="BM57" s="34"/>
      <c r="BN57" s="34"/>
    </row>
    <row r="58" spans="1:66" ht="24" customHeight="1" x14ac:dyDescent="0.45">
      <c r="A58" s="33"/>
      <c r="B58" s="33"/>
      <c r="C58" s="38">
        <f t="shared" si="0"/>
        <v>49</v>
      </c>
      <c r="D58" s="35"/>
      <c r="E58" s="36"/>
      <c r="F58" s="36"/>
      <c r="G58" s="37"/>
      <c r="H58" s="36"/>
      <c r="I58" s="36"/>
      <c r="J58" s="36"/>
      <c r="K58" s="36"/>
      <c r="L58" s="86" t="s">
        <v>67</v>
      </c>
      <c r="M58" s="83"/>
      <c r="N58" s="83"/>
      <c r="O58" s="87"/>
      <c r="P58" s="31" t="s">
        <v>45</v>
      </c>
      <c r="Q58" s="47"/>
      <c r="R58" s="47"/>
      <c r="S58" s="47"/>
      <c r="T58" s="47"/>
      <c r="U58" s="47"/>
      <c r="V58" s="47"/>
      <c r="W58" s="48"/>
      <c r="X58" s="130" t="s">
        <v>102</v>
      </c>
      <c r="Y58" s="131"/>
      <c r="Z58" s="131"/>
      <c r="AA58" s="131"/>
      <c r="AB58" s="131"/>
      <c r="AC58" s="131"/>
      <c r="AD58" s="131"/>
      <c r="AE58" s="132"/>
      <c r="AF58" s="46"/>
      <c r="AG58" s="47"/>
      <c r="AH58" s="47"/>
      <c r="AI58" s="47"/>
      <c r="AJ58" s="47"/>
      <c r="AK58" s="47"/>
      <c r="AL58" s="47"/>
      <c r="AM58" s="47"/>
      <c r="AN58" s="52"/>
      <c r="AO58" s="119">
        <v>45683</v>
      </c>
      <c r="AP58" s="120"/>
      <c r="AQ58" s="118" t="s">
        <v>107</v>
      </c>
      <c r="AR58" s="114"/>
      <c r="AS58" s="118" t="s">
        <v>108</v>
      </c>
      <c r="AT58" s="121"/>
      <c r="AU58" s="119">
        <v>45688</v>
      </c>
      <c r="AV58" s="120"/>
      <c r="AW58" s="118" t="s">
        <v>107</v>
      </c>
      <c r="AX58" s="114"/>
      <c r="AY58" s="118" t="s">
        <v>110</v>
      </c>
      <c r="AZ58" s="121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1"/>
      <c r="BM58" s="34"/>
      <c r="BN58" s="34"/>
    </row>
    <row r="59" spans="1:66" ht="24" customHeight="1" x14ac:dyDescent="0.45">
      <c r="A59" s="33"/>
      <c r="B59" s="33"/>
      <c r="C59" s="38">
        <f t="shared" si="0"/>
        <v>50</v>
      </c>
      <c r="D59" s="35"/>
      <c r="E59" s="36"/>
      <c r="F59" s="36"/>
      <c r="G59" s="37"/>
      <c r="H59" s="36"/>
      <c r="I59" s="36"/>
      <c r="J59" s="36"/>
      <c r="K59" s="36"/>
      <c r="L59" s="25" t="s">
        <v>68</v>
      </c>
      <c r="M59" s="83"/>
      <c r="N59" s="83"/>
      <c r="O59" s="87"/>
      <c r="P59" s="31" t="s">
        <v>45</v>
      </c>
      <c r="Q59" s="36"/>
      <c r="R59" s="36"/>
      <c r="S59" s="36"/>
      <c r="T59" s="36"/>
      <c r="U59" s="36"/>
      <c r="V59" s="36"/>
      <c r="W59" s="36"/>
      <c r="X59" s="130" t="s">
        <v>102</v>
      </c>
      <c r="Y59" s="131"/>
      <c r="Z59" s="131"/>
      <c r="AA59" s="131"/>
      <c r="AB59" s="131"/>
      <c r="AC59" s="131"/>
      <c r="AD59" s="131"/>
      <c r="AE59" s="132"/>
      <c r="AF59" s="46"/>
      <c r="AG59" s="47"/>
      <c r="AH59" s="47"/>
      <c r="AI59" s="47"/>
      <c r="AJ59" s="47"/>
      <c r="AK59" s="47"/>
      <c r="AL59" s="47"/>
      <c r="AM59" s="47"/>
      <c r="AN59" s="52"/>
      <c r="AO59" s="119">
        <v>45683</v>
      </c>
      <c r="AP59" s="120"/>
      <c r="AQ59" s="118" t="s">
        <v>107</v>
      </c>
      <c r="AR59" s="114"/>
      <c r="AS59" s="118" t="s">
        <v>108</v>
      </c>
      <c r="AT59" s="121"/>
      <c r="AU59" s="119">
        <v>45688</v>
      </c>
      <c r="AV59" s="120"/>
      <c r="AW59" s="118" t="s">
        <v>107</v>
      </c>
      <c r="AX59" s="114"/>
      <c r="AY59" s="118" t="s">
        <v>110</v>
      </c>
      <c r="AZ59" s="121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1"/>
      <c r="BM59" s="34"/>
      <c r="BN59" s="34"/>
    </row>
    <row r="60" spans="1:66" ht="24" customHeight="1" x14ac:dyDescent="0.45">
      <c r="A60" s="33"/>
      <c r="B60" s="33"/>
      <c r="C60" s="38">
        <f t="shared" si="0"/>
        <v>51</v>
      </c>
      <c r="D60" s="35"/>
      <c r="E60" s="36"/>
      <c r="F60" s="36"/>
      <c r="G60" s="37"/>
      <c r="H60" s="36"/>
      <c r="I60" s="36"/>
      <c r="J60" s="36"/>
      <c r="K60" s="36"/>
      <c r="L60" s="86" t="s">
        <v>69</v>
      </c>
      <c r="M60" s="83"/>
      <c r="N60" s="83"/>
      <c r="O60" s="87"/>
      <c r="P60" s="31" t="s">
        <v>45</v>
      </c>
      <c r="Q60" s="46"/>
      <c r="R60" s="47"/>
      <c r="S60" s="47"/>
      <c r="T60" s="47"/>
      <c r="U60" s="47"/>
      <c r="V60" s="47"/>
      <c r="W60" s="48"/>
      <c r="X60" s="130" t="s">
        <v>102</v>
      </c>
      <c r="Y60" s="131"/>
      <c r="Z60" s="131"/>
      <c r="AA60" s="131"/>
      <c r="AB60" s="131"/>
      <c r="AC60" s="131"/>
      <c r="AD60" s="131"/>
      <c r="AE60" s="132"/>
      <c r="AF60" s="46"/>
      <c r="AG60" s="47"/>
      <c r="AH60" s="47"/>
      <c r="AI60" s="47"/>
      <c r="AJ60" s="47"/>
      <c r="AK60" s="47"/>
      <c r="AL60" s="47"/>
      <c r="AM60" s="47"/>
      <c r="AN60" s="52"/>
      <c r="AO60" s="119">
        <v>45683</v>
      </c>
      <c r="AP60" s="120"/>
      <c r="AQ60" s="118" t="s">
        <v>107</v>
      </c>
      <c r="AR60" s="114"/>
      <c r="AS60" s="118" t="s">
        <v>108</v>
      </c>
      <c r="AT60" s="121"/>
      <c r="AU60" s="119">
        <v>45688</v>
      </c>
      <c r="AV60" s="120"/>
      <c r="AW60" s="118" t="s">
        <v>107</v>
      </c>
      <c r="AX60" s="114"/>
      <c r="AY60" s="118" t="s">
        <v>110</v>
      </c>
      <c r="AZ60" s="121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1"/>
      <c r="BM60" s="34"/>
      <c r="BN60" s="34"/>
    </row>
    <row r="61" spans="1:66" ht="24" customHeight="1" x14ac:dyDescent="0.45">
      <c r="A61" s="33"/>
      <c r="B61" s="33"/>
      <c r="C61" s="38">
        <f t="shared" si="0"/>
        <v>52</v>
      </c>
      <c r="D61" s="35"/>
      <c r="E61" s="36"/>
      <c r="F61" s="36"/>
      <c r="G61" s="37"/>
      <c r="H61" s="36"/>
      <c r="I61" s="36"/>
      <c r="J61" s="36"/>
      <c r="K61" s="36"/>
      <c r="L61" s="86" t="s">
        <v>70</v>
      </c>
      <c r="M61" s="83"/>
      <c r="N61" s="83"/>
      <c r="O61" s="87"/>
      <c r="P61" s="31" t="s">
        <v>45</v>
      </c>
      <c r="Q61" s="47"/>
      <c r="R61" s="47"/>
      <c r="S61" s="47"/>
      <c r="T61" s="47"/>
      <c r="U61" s="47"/>
      <c r="V61" s="47"/>
      <c r="W61" s="48"/>
      <c r="X61" s="130" t="s">
        <v>102</v>
      </c>
      <c r="Y61" s="131"/>
      <c r="Z61" s="131"/>
      <c r="AA61" s="131"/>
      <c r="AB61" s="131"/>
      <c r="AC61" s="131"/>
      <c r="AD61" s="131"/>
      <c r="AE61" s="132"/>
      <c r="AF61" s="46"/>
      <c r="AG61" s="47"/>
      <c r="AH61" s="47"/>
      <c r="AI61" s="47"/>
      <c r="AJ61" s="47"/>
      <c r="AK61" s="47"/>
      <c r="AL61" s="47"/>
      <c r="AM61" s="47"/>
      <c r="AN61" s="52"/>
      <c r="AO61" s="119">
        <v>45683</v>
      </c>
      <c r="AP61" s="120"/>
      <c r="AQ61" s="118" t="s">
        <v>107</v>
      </c>
      <c r="AR61" s="114"/>
      <c r="AS61" s="118" t="s">
        <v>108</v>
      </c>
      <c r="AT61" s="121"/>
      <c r="AU61" s="119">
        <v>45688</v>
      </c>
      <c r="AV61" s="120"/>
      <c r="AW61" s="118" t="s">
        <v>107</v>
      </c>
      <c r="AX61" s="114"/>
      <c r="AY61" s="118" t="s">
        <v>110</v>
      </c>
      <c r="AZ61" s="121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1"/>
      <c r="BM61" s="34"/>
      <c r="BN61" s="34"/>
    </row>
    <row r="62" spans="1:66" ht="24" customHeight="1" x14ac:dyDescent="0.45">
      <c r="A62" s="33"/>
      <c r="B62" s="33"/>
      <c r="C62" s="38">
        <f t="shared" si="0"/>
        <v>53</v>
      </c>
      <c r="D62" s="35"/>
      <c r="E62" s="36"/>
      <c r="F62" s="36"/>
      <c r="G62" s="37"/>
      <c r="H62" s="36"/>
      <c r="I62" s="36"/>
      <c r="J62" s="36"/>
      <c r="K62" s="36"/>
      <c r="L62" s="86" t="s">
        <v>71</v>
      </c>
      <c r="M62" s="83"/>
      <c r="N62" s="83"/>
      <c r="O62" s="87"/>
      <c r="P62" s="31" t="s">
        <v>45</v>
      </c>
      <c r="Q62" s="36"/>
      <c r="R62" s="36"/>
      <c r="S62" s="36"/>
      <c r="T62" s="36"/>
      <c r="U62" s="36"/>
      <c r="V62" s="36"/>
      <c r="W62" s="36"/>
      <c r="X62" s="130" t="s">
        <v>102</v>
      </c>
      <c r="Y62" s="131"/>
      <c r="Z62" s="131"/>
      <c r="AA62" s="131"/>
      <c r="AB62" s="131"/>
      <c r="AC62" s="131"/>
      <c r="AD62" s="131"/>
      <c r="AE62" s="132"/>
      <c r="AF62" s="46"/>
      <c r="AG62" s="47"/>
      <c r="AH62" s="47"/>
      <c r="AI62" s="47"/>
      <c r="AJ62" s="47"/>
      <c r="AK62" s="47"/>
      <c r="AL62" s="47"/>
      <c r="AM62" s="47"/>
      <c r="AN62" s="52"/>
      <c r="AO62" s="119">
        <v>45683</v>
      </c>
      <c r="AP62" s="120"/>
      <c r="AQ62" s="118" t="s">
        <v>107</v>
      </c>
      <c r="AR62" s="114"/>
      <c r="AS62" s="118" t="s">
        <v>108</v>
      </c>
      <c r="AT62" s="121"/>
      <c r="AU62" s="119">
        <v>45688</v>
      </c>
      <c r="AV62" s="120"/>
      <c r="AW62" s="118" t="s">
        <v>107</v>
      </c>
      <c r="AX62" s="114"/>
      <c r="AY62" s="118" t="s">
        <v>110</v>
      </c>
      <c r="AZ62" s="121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1"/>
      <c r="BM62" s="34"/>
      <c r="BN62" s="34"/>
    </row>
    <row r="63" spans="1:66" ht="24" customHeight="1" x14ac:dyDescent="0.45">
      <c r="A63" s="33"/>
      <c r="B63" s="33"/>
      <c r="C63" s="38">
        <f t="shared" si="0"/>
        <v>54</v>
      </c>
      <c r="D63" s="35"/>
      <c r="E63" s="36"/>
      <c r="F63" s="36"/>
      <c r="G63" s="37"/>
      <c r="H63" s="36"/>
      <c r="I63" s="36"/>
      <c r="J63" s="36"/>
      <c r="K63" s="36"/>
      <c r="L63" s="86" t="s">
        <v>72</v>
      </c>
      <c r="M63" s="83"/>
      <c r="N63" s="83"/>
      <c r="O63" s="87"/>
      <c r="P63" s="31" t="s">
        <v>45</v>
      </c>
      <c r="Q63" s="46"/>
      <c r="R63" s="47"/>
      <c r="S63" s="47"/>
      <c r="T63" s="47"/>
      <c r="U63" s="47"/>
      <c r="V63" s="47"/>
      <c r="W63" s="48"/>
      <c r="X63" s="130" t="s">
        <v>102</v>
      </c>
      <c r="Y63" s="131"/>
      <c r="Z63" s="131"/>
      <c r="AA63" s="131"/>
      <c r="AB63" s="131"/>
      <c r="AC63" s="131"/>
      <c r="AD63" s="131"/>
      <c r="AE63" s="132"/>
      <c r="AF63" s="46"/>
      <c r="AG63" s="47"/>
      <c r="AH63" s="47"/>
      <c r="AI63" s="47"/>
      <c r="AJ63" s="47"/>
      <c r="AK63" s="47"/>
      <c r="AL63" s="47"/>
      <c r="AM63" s="47"/>
      <c r="AN63" s="52"/>
      <c r="AO63" s="119">
        <v>45683</v>
      </c>
      <c r="AP63" s="120"/>
      <c r="AQ63" s="118" t="s">
        <v>107</v>
      </c>
      <c r="AR63" s="114"/>
      <c r="AS63" s="118" t="s">
        <v>108</v>
      </c>
      <c r="AT63" s="121"/>
      <c r="AU63" s="119">
        <v>45688</v>
      </c>
      <c r="AV63" s="120"/>
      <c r="AW63" s="118" t="s">
        <v>107</v>
      </c>
      <c r="AX63" s="114"/>
      <c r="AY63" s="118" t="s">
        <v>110</v>
      </c>
      <c r="AZ63" s="121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1"/>
      <c r="BM63" s="34"/>
      <c r="BN63" s="34"/>
    </row>
    <row r="64" spans="1:66" ht="24" customHeight="1" x14ac:dyDescent="0.45">
      <c r="A64" s="33"/>
      <c r="B64" s="33"/>
      <c r="C64" s="38">
        <f t="shared" si="0"/>
        <v>55</v>
      </c>
      <c r="D64" s="35"/>
      <c r="E64" s="36"/>
      <c r="F64" s="36"/>
      <c r="G64" s="37"/>
      <c r="H64" s="36"/>
      <c r="I64" s="36"/>
      <c r="J64" s="36"/>
      <c r="K64" s="36"/>
      <c r="L64" s="86" t="s">
        <v>73</v>
      </c>
      <c r="M64" s="83"/>
      <c r="N64" s="83"/>
      <c r="O64" s="87"/>
      <c r="P64" s="31" t="s">
        <v>45</v>
      </c>
      <c r="Q64" s="47"/>
      <c r="R64" s="47"/>
      <c r="S64" s="47"/>
      <c r="T64" s="47"/>
      <c r="U64" s="47"/>
      <c r="V64" s="47"/>
      <c r="W64" s="48"/>
      <c r="X64" s="130" t="s">
        <v>102</v>
      </c>
      <c r="Y64" s="131"/>
      <c r="Z64" s="131"/>
      <c r="AA64" s="131"/>
      <c r="AB64" s="131"/>
      <c r="AC64" s="131"/>
      <c r="AD64" s="131"/>
      <c r="AE64" s="132"/>
      <c r="AF64" s="46"/>
      <c r="AG64" s="47"/>
      <c r="AH64" s="47"/>
      <c r="AI64" s="47"/>
      <c r="AJ64" s="47"/>
      <c r="AK64" s="47"/>
      <c r="AL64" s="47"/>
      <c r="AM64" s="47"/>
      <c r="AN64" s="52"/>
      <c r="AO64" s="119">
        <v>45683</v>
      </c>
      <c r="AP64" s="120"/>
      <c r="AQ64" s="118" t="s">
        <v>107</v>
      </c>
      <c r="AR64" s="114"/>
      <c r="AS64" s="118" t="s">
        <v>108</v>
      </c>
      <c r="AT64" s="121"/>
      <c r="AU64" s="119">
        <v>45688</v>
      </c>
      <c r="AV64" s="120"/>
      <c r="AW64" s="118" t="s">
        <v>107</v>
      </c>
      <c r="AX64" s="114"/>
      <c r="AY64" s="118" t="s">
        <v>110</v>
      </c>
      <c r="AZ64" s="121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1"/>
      <c r="BM64" s="34"/>
      <c r="BN64" s="34"/>
    </row>
    <row r="65" spans="1:66" ht="24" customHeight="1" x14ac:dyDescent="0.45">
      <c r="A65" s="33"/>
      <c r="B65" s="33"/>
      <c r="C65" s="38">
        <f t="shared" si="0"/>
        <v>56</v>
      </c>
      <c r="D65" s="35"/>
      <c r="E65" s="36"/>
      <c r="F65" s="36"/>
      <c r="G65" s="37"/>
      <c r="H65" s="36"/>
      <c r="I65" s="36"/>
      <c r="J65" s="36"/>
      <c r="K65" s="36"/>
      <c r="L65" s="86" t="s">
        <v>74</v>
      </c>
      <c r="M65" s="83"/>
      <c r="N65" s="83"/>
      <c r="O65" s="87"/>
      <c r="P65" s="59" t="s">
        <v>45</v>
      </c>
      <c r="Q65" s="47"/>
      <c r="R65" s="47"/>
      <c r="S65" s="47"/>
      <c r="T65" s="47"/>
      <c r="U65" s="47"/>
      <c r="V65" s="47"/>
      <c r="W65" s="48"/>
      <c r="X65" s="130" t="s">
        <v>102</v>
      </c>
      <c r="Y65" s="131"/>
      <c r="Z65" s="131"/>
      <c r="AA65" s="131"/>
      <c r="AB65" s="131"/>
      <c r="AC65" s="131"/>
      <c r="AD65" s="131"/>
      <c r="AE65" s="132"/>
      <c r="AF65" s="46"/>
      <c r="AG65" s="47"/>
      <c r="AH65" s="47"/>
      <c r="AI65" s="47"/>
      <c r="AJ65" s="47"/>
      <c r="AK65" s="47"/>
      <c r="AL65" s="47"/>
      <c r="AM65" s="47"/>
      <c r="AN65" s="52"/>
      <c r="AO65" s="119">
        <v>45683</v>
      </c>
      <c r="AP65" s="120"/>
      <c r="AQ65" s="118" t="s">
        <v>107</v>
      </c>
      <c r="AR65" s="114"/>
      <c r="AS65" s="118" t="s">
        <v>108</v>
      </c>
      <c r="AT65" s="121"/>
      <c r="AU65" s="119">
        <v>45688</v>
      </c>
      <c r="AV65" s="120"/>
      <c r="AW65" s="118" t="s">
        <v>107</v>
      </c>
      <c r="AX65" s="114"/>
      <c r="AY65" s="118" t="s">
        <v>110</v>
      </c>
      <c r="AZ65" s="121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1"/>
      <c r="BM65" s="34"/>
      <c r="BN65" s="34"/>
    </row>
    <row r="66" spans="1:66" ht="24" customHeight="1" x14ac:dyDescent="0.45">
      <c r="A66" s="33"/>
      <c r="B66" s="33"/>
      <c r="C66" s="38">
        <f t="shared" si="0"/>
        <v>57</v>
      </c>
      <c r="D66" s="35"/>
      <c r="E66" s="36"/>
      <c r="F66" s="36"/>
      <c r="G66" s="37"/>
      <c r="H66" s="36"/>
      <c r="I66" s="36"/>
      <c r="J66" s="36"/>
      <c r="K66" s="36"/>
      <c r="L66" s="86" t="s">
        <v>75</v>
      </c>
      <c r="M66" s="83"/>
      <c r="N66" s="83"/>
      <c r="O66" s="87"/>
      <c r="P66" s="59" t="s">
        <v>45</v>
      </c>
      <c r="Q66" s="47"/>
      <c r="R66" s="47"/>
      <c r="S66" s="47"/>
      <c r="T66" s="47"/>
      <c r="U66" s="47"/>
      <c r="V66" s="47"/>
      <c r="W66" s="48"/>
      <c r="X66" s="130" t="s">
        <v>102</v>
      </c>
      <c r="Y66" s="131"/>
      <c r="Z66" s="131"/>
      <c r="AA66" s="131"/>
      <c r="AB66" s="131"/>
      <c r="AC66" s="131"/>
      <c r="AD66" s="131"/>
      <c r="AE66" s="132"/>
      <c r="AF66" s="46"/>
      <c r="AG66" s="47"/>
      <c r="AH66" s="47"/>
      <c r="AI66" s="47"/>
      <c r="AJ66" s="47"/>
      <c r="AK66" s="47"/>
      <c r="AL66" s="47"/>
      <c r="AM66" s="47"/>
      <c r="AN66" s="52"/>
      <c r="AO66" s="119">
        <v>45683</v>
      </c>
      <c r="AP66" s="120"/>
      <c r="AQ66" s="118" t="s">
        <v>107</v>
      </c>
      <c r="AR66" s="114"/>
      <c r="AS66" s="118" t="s">
        <v>108</v>
      </c>
      <c r="AT66" s="121"/>
      <c r="AU66" s="119">
        <v>45688</v>
      </c>
      <c r="AV66" s="120"/>
      <c r="AW66" s="118" t="s">
        <v>107</v>
      </c>
      <c r="AX66" s="114"/>
      <c r="AY66" s="118" t="s">
        <v>110</v>
      </c>
      <c r="AZ66" s="121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1"/>
      <c r="BM66" s="34"/>
      <c r="BN66" s="34"/>
    </row>
    <row r="67" spans="1:66" ht="24" customHeight="1" x14ac:dyDescent="0.45">
      <c r="A67" s="33"/>
      <c r="B67" s="33"/>
      <c r="C67" s="38">
        <f t="shared" si="0"/>
        <v>58</v>
      </c>
      <c r="D67" s="35"/>
      <c r="E67" s="36"/>
      <c r="F67" s="36"/>
      <c r="G67" s="37"/>
      <c r="H67" s="36"/>
      <c r="I67" s="36"/>
      <c r="J67" s="36"/>
      <c r="K67" s="36"/>
      <c r="L67" s="86" t="s">
        <v>76</v>
      </c>
      <c r="M67" s="83"/>
      <c r="N67" s="83"/>
      <c r="O67" s="87"/>
      <c r="P67" s="59" t="s">
        <v>45</v>
      </c>
      <c r="Q67" s="47"/>
      <c r="R67" s="47"/>
      <c r="S67" s="47"/>
      <c r="T67" s="47"/>
      <c r="U67" s="47"/>
      <c r="V67" s="47"/>
      <c r="W67" s="48"/>
      <c r="X67" s="130" t="s">
        <v>102</v>
      </c>
      <c r="Y67" s="131"/>
      <c r="Z67" s="131"/>
      <c r="AA67" s="131"/>
      <c r="AB67" s="131"/>
      <c r="AC67" s="131"/>
      <c r="AD67" s="131"/>
      <c r="AE67" s="132"/>
      <c r="AF67" s="46"/>
      <c r="AG67" s="47"/>
      <c r="AH67" s="47"/>
      <c r="AI67" s="47"/>
      <c r="AJ67" s="47"/>
      <c r="AK67" s="47"/>
      <c r="AL67" s="47"/>
      <c r="AM67" s="47"/>
      <c r="AN67" s="52"/>
      <c r="AO67" s="119">
        <v>45683</v>
      </c>
      <c r="AP67" s="120"/>
      <c r="AQ67" s="118" t="s">
        <v>107</v>
      </c>
      <c r="AR67" s="114"/>
      <c r="AS67" s="118" t="s">
        <v>108</v>
      </c>
      <c r="AT67" s="121"/>
      <c r="AU67" s="119">
        <v>45688</v>
      </c>
      <c r="AV67" s="120"/>
      <c r="AW67" s="118" t="s">
        <v>107</v>
      </c>
      <c r="AX67" s="114"/>
      <c r="AY67" s="118" t="s">
        <v>110</v>
      </c>
      <c r="AZ67" s="121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1"/>
      <c r="BM67" s="34"/>
      <c r="BN67" s="34"/>
    </row>
    <row r="68" spans="1:66" ht="24" customHeight="1" x14ac:dyDescent="0.45">
      <c r="A68" s="33"/>
      <c r="B68" s="33"/>
      <c r="C68" s="38">
        <f t="shared" si="0"/>
        <v>59</v>
      </c>
      <c r="D68" s="35"/>
      <c r="E68" s="36"/>
      <c r="F68" s="36"/>
      <c r="G68" s="37"/>
      <c r="H68" s="36"/>
      <c r="I68" s="36"/>
      <c r="J68" s="36"/>
      <c r="K68" s="36"/>
      <c r="L68" s="86" t="s">
        <v>77</v>
      </c>
      <c r="M68" s="83"/>
      <c r="N68" s="83"/>
      <c r="O68" s="87"/>
      <c r="P68" s="59" t="s">
        <v>45</v>
      </c>
      <c r="Q68" s="47"/>
      <c r="R68" s="47"/>
      <c r="S68" s="47"/>
      <c r="T68" s="47"/>
      <c r="U68" s="47"/>
      <c r="V68" s="47"/>
      <c r="W68" s="48"/>
      <c r="X68" s="130" t="s">
        <v>102</v>
      </c>
      <c r="Y68" s="131"/>
      <c r="Z68" s="131"/>
      <c r="AA68" s="131"/>
      <c r="AB68" s="131"/>
      <c r="AC68" s="131"/>
      <c r="AD68" s="131"/>
      <c r="AE68" s="132"/>
      <c r="AF68" s="46"/>
      <c r="AG68" s="47"/>
      <c r="AH68" s="47"/>
      <c r="AI68" s="47"/>
      <c r="AJ68" s="47"/>
      <c r="AK68" s="47"/>
      <c r="AL68" s="47"/>
      <c r="AM68" s="47"/>
      <c r="AN68" s="52"/>
      <c r="AO68" s="119">
        <v>45683</v>
      </c>
      <c r="AP68" s="120"/>
      <c r="AQ68" s="118" t="s">
        <v>107</v>
      </c>
      <c r="AR68" s="114"/>
      <c r="AS68" s="118" t="s">
        <v>108</v>
      </c>
      <c r="AT68" s="121"/>
      <c r="AU68" s="119">
        <v>45688</v>
      </c>
      <c r="AV68" s="120"/>
      <c r="AW68" s="118" t="s">
        <v>107</v>
      </c>
      <c r="AX68" s="114"/>
      <c r="AY68" s="118" t="s">
        <v>110</v>
      </c>
      <c r="AZ68" s="121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1"/>
      <c r="BM68" s="34"/>
      <c r="BN68" s="34"/>
    </row>
    <row r="69" spans="1:66" ht="24" customHeight="1" x14ac:dyDescent="0.45">
      <c r="A69" s="33"/>
      <c r="B69" s="33"/>
      <c r="C69" s="38">
        <f t="shared" si="0"/>
        <v>60</v>
      </c>
      <c r="D69" s="35"/>
      <c r="E69" s="36"/>
      <c r="F69" s="36"/>
      <c r="G69" s="37"/>
      <c r="H69" s="36"/>
      <c r="I69" s="36"/>
      <c r="J69" s="36"/>
      <c r="K69" s="36"/>
      <c r="L69" s="86" t="s">
        <v>78</v>
      </c>
      <c r="M69" s="83"/>
      <c r="N69" s="83"/>
      <c r="O69" s="87"/>
      <c r="P69" s="59" t="s">
        <v>45</v>
      </c>
      <c r="Q69" s="47"/>
      <c r="R69" s="47"/>
      <c r="S69" s="47"/>
      <c r="T69" s="47"/>
      <c r="U69" s="47"/>
      <c r="V69" s="47"/>
      <c r="W69" s="48"/>
      <c r="X69" s="130" t="s">
        <v>102</v>
      </c>
      <c r="Y69" s="131"/>
      <c r="Z69" s="131"/>
      <c r="AA69" s="131"/>
      <c r="AB69" s="131"/>
      <c r="AC69" s="131"/>
      <c r="AD69" s="131"/>
      <c r="AE69" s="132"/>
      <c r="AF69" s="46"/>
      <c r="AG69" s="47"/>
      <c r="AH69" s="47"/>
      <c r="AI69" s="47"/>
      <c r="AJ69" s="47"/>
      <c r="AK69" s="47"/>
      <c r="AL69" s="47"/>
      <c r="AM69" s="47"/>
      <c r="AN69" s="52"/>
      <c r="AO69" s="119">
        <v>45683</v>
      </c>
      <c r="AP69" s="120"/>
      <c r="AQ69" s="118" t="s">
        <v>107</v>
      </c>
      <c r="AR69" s="114"/>
      <c r="AS69" s="118" t="s">
        <v>108</v>
      </c>
      <c r="AT69" s="121"/>
      <c r="AU69" s="119">
        <v>45688</v>
      </c>
      <c r="AV69" s="120"/>
      <c r="AW69" s="118" t="s">
        <v>107</v>
      </c>
      <c r="AX69" s="114"/>
      <c r="AY69" s="118" t="s">
        <v>110</v>
      </c>
      <c r="AZ69" s="121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1"/>
      <c r="BM69" s="34"/>
      <c r="BN69" s="34"/>
    </row>
    <row r="70" spans="1:66" ht="24" customHeight="1" x14ac:dyDescent="0.45">
      <c r="A70" s="33"/>
      <c r="B70" s="33"/>
      <c r="C70" s="38">
        <f t="shared" si="0"/>
        <v>61</v>
      </c>
      <c r="D70" s="35"/>
      <c r="E70" s="36"/>
      <c r="F70" s="36"/>
      <c r="G70" s="37"/>
      <c r="H70" s="36"/>
      <c r="I70" s="36"/>
      <c r="J70" s="36"/>
      <c r="K70" s="36"/>
      <c r="L70" s="86" t="s">
        <v>79</v>
      </c>
      <c r="M70" s="83"/>
      <c r="N70" s="83"/>
      <c r="O70" s="87"/>
      <c r="P70" s="59" t="s">
        <v>45</v>
      </c>
      <c r="Q70" s="47"/>
      <c r="R70" s="47"/>
      <c r="S70" s="47"/>
      <c r="T70" s="47"/>
      <c r="U70" s="47"/>
      <c r="V70" s="47"/>
      <c r="W70" s="48"/>
      <c r="X70" s="130" t="s">
        <v>102</v>
      </c>
      <c r="Y70" s="131"/>
      <c r="Z70" s="131"/>
      <c r="AA70" s="131"/>
      <c r="AB70" s="131"/>
      <c r="AC70" s="131"/>
      <c r="AD70" s="131"/>
      <c r="AE70" s="132"/>
      <c r="AF70" s="46"/>
      <c r="AG70" s="47"/>
      <c r="AH70" s="47"/>
      <c r="AI70" s="47"/>
      <c r="AJ70" s="47"/>
      <c r="AK70" s="47"/>
      <c r="AL70" s="47"/>
      <c r="AM70" s="47"/>
      <c r="AN70" s="52"/>
      <c r="AO70" s="119">
        <v>45683</v>
      </c>
      <c r="AP70" s="120"/>
      <c r="AQ70" s="118" t="s">
        <v>107</v>
      </c>
      <c r="AR70" s="114"/>
      <c r="AS70" s="118" t="s">
        <v>108</v>
      </c>
      <c r="AT70" s="121"/>
      <c r="AU70" s="119">
        <v>45688</v>
      </c>
      <c r="AV70" s="120"/>
      <c r="AW70" s="118" t="s">
        <v>107</v>
      </c>
      <c r="AX70" s="114"/>
      <c r="AY70" s="118" t="s">
        <v>110</v>
      </c>
      <c r="AZ70" s="121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1"/>
      <c r="BM70" s="34"/>
      <c r="BN70" s="34"/>
    </row>
    <row r="71" spans="1:66" ht="24" customHeight="1" x14ac:dyDescent="0.45">
      <c r="A71" s="33"/>
      <c r="B71" s="33"/>
      <c r="C71" s="38">
        <f t="shared" si="0"/>
        <v>62</v>
      </c>
      <c r="D71" s="35"/>
      <c r="E71" s="36"/>
      <c r="F71" s="36"/>
      <c r="G71" s="37"/>
      <c r="H71" s="36"/>
      <c r="I71" s="36"/>
      <c r="J71" s="36"/>
      <c r="K71" s="36"/>
      <c r="L71" s="86" t="s">
        <v>80</v>
      </c>
      <c r="M71" s="83"/>
      <c r="N71" s="83"/>
      <c r="O71" s="87"/>
      <c r="P71" s="59" t="s">
        <v>45</v>
      </c>
      <c r="Q71" s="47"/>
      <c r="R71" s="47"/>
      <c r="S71" s="47"/>
      <c r="T71" s="47"/>
      <c r="U71" s="47"/>
      <c r="V71" s="47"/>
      <c r="W71" s="48"/>
      <c r="X71" s="130" t="s">
        <v>102</v>
      </c>
      <c r="Y71" s="131"/>
      <c r="Z71" s="131"/>
      <c r="AA71" s="131"/>
      <c r="AB71" s="131"/>
      <c r="AC71" s="131"/>
      <c r="AD71" s="131"/>
      <c r="AE71" s="132"/>
      <c r="AF71" s="46"/>
      <c r="AG71" s="47"/>
      <c r="AH71" s="47"/>
      <c r="AI71" s="47"/>
      <c r="AJ71" s="47"/>
      <c r="AK71" s="47"/>
      <c r="AL71" s="47"/>
      <c r="AM71" s="47"/>
      <c r="AN71" s="52"/>
      <c r="AO71" s="119">
        <v>45683</v>
      </c>
      <c r="AP71" s="120"/>
      <c r="AQ71" s="118" t="s">
        <v>107</v>
      </c>
      <c r="AR71" s="114"/>
      <c r="AS71" s="118" t="s">
        <v>108</v>
      </c>
      <c r="AT71" s="121"/>
      <c r="AU71" s="119">
        <v>45688</v>
      </c>
      <c r="AV71" s="120"/>
      <c r="AW71" s="118" t="s">
        <v>107</v>
      </c>
      <c r="AX71" s="114"/>
      <c r="AY71" s="118" t="s">
        <v>110</v>
      </c>
      <c r="AZ71" s="121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1"/>
      <c r="BM71" s="34"/>
      <c r="BN71" s="34"/>
    </row>
    <row r="72" spans="1:66" ht="24" customHeight="1" x14ac:dyDescent="0.45">
      <c r="A72" s="33"/>
      <c r="B72" s="33"/>
      <c r="C72" s="38">
        <f t="shared" si="0"/>
        <v>63</v>
      </c>
      <c r="D72" s="35"/>
      <c r="E72" s="36"/>
      <c r="F72" s="36"/>
      <c r="G72" s="37"/>
      <c r="H72" s="36"/>
      <c r="I72" s="36"/>
      <c r="J72" s="36"/>
      <c r="K72" s="36"/>
      <c r="L72" s="86" t="s">
        <v>81</v>
      </c>
      <c r="M72" s="83"/>
      <c r="N72" s="83"/>
      <c r="O72" s="87"/>
      <c r="P72" s="59" t="s">
        <v>45</v>
      </c>
      <c r="Q72" s="47"/>
      <c r="R72" s="47"/>
      <c r="S72" s="47"/>
      <c r="T72" s="47"/>
      <c r="U72" s="47"/>
      <c r="V72" s="47"/>
      <c r="W72" s="48"/>
      <c r="X72" s="130" t="s">
        <v>102</v>
      </c>
      <c r="Y72" s="131"/>
      <c r="Z72" s="131"/>
      <c r="AA72" s="131"/>
      <c r="AB72" s="131"/>
      <c r="AC72" s="131"/>
      <c r="AD72" s="131"/>
      <c r="AE72" s="132"/>
      <c r="AF72" s="46"/>
      <c r="AG72" s="47"/>
      <c r="AH72" s="47"/>
      <c r="AI72" s="47"/>
      <c r="AJ72" s="47"/>
      <c r="AK72" s="47"/>
      <c r="AL72" s="47"/>
      <c r="AM72" s="47"/>
      <c r="AN72" s="52"/>
      <c r="AO72" s="119">
        <v>45683</v>
      </c>
      <c r="AP72" s="120"/>
      <c r="AQ72" s="118" t="s">
        <v>107</v>
      </c>
      <c r="AR72" s="114"/>
      <c r="AS72" s="118" t="s">
        <v>108</v>
      </c>
      <c r="AT72" s="121"/>
      <c r="AU72" s="119">
        <v>45688</v>
      </c>
      <c r="AV72" s="120"/>
      <c r="AW72" s="118" t="s">
        <v>107</v>
      </c>
      <c r="AX72" s="114"/>
      <c r="AY72" s="118" t="s">
        <v>110</v>
      </c>
      <c r="AZ72" s="121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1"/>
      <c r="BM72" s="34"/>
      <c r="BN72" s="34"/>
    </row>
    <row r="73" spans="1:66" ht="24" customHeight="1" x14ac:dyDescent="0.45">
      <c r="A73" s="33"/>
      <c r="B73" s="33"/>
      <c r="C73" s="38">
        <f t="shared" ref="C73:C91" si="1">ROW()-9</f>
        <v>64</v>
      </c>
      <c r="D73" s="35"/>
      <c r="E73" s="36"/>
      <c r="F73" s="36"/>
      <c r="G73" s="37"/>
      <c r="H73" s="36"/>
      <c r="I73" s="36"/>
      <c r="J73" s="36"/>
      <c r="K73" s="36"/>
      <c r="L73" s="25" t="s">
        <v>82</v>
      </c>
      <c r="M73" s="83"/>
      <c r="N73" s="83"/>
      <c r="O73" s="87"/>
      <c r="P73" s="59" t="s">
        <v>45</v>
      </c>
      <c r="Q73" s="47"/>
      <c r="R73" s="47"/>
      <c r="S73" s="47"/>
      <c r="T73" s="47"/>
      <c r="U73" s="47"/>
      <c r="V73" s="47"/>
      <c r="W73" s="48"/>
      <c r="X73" s="130" t="s">
        <v>102</v>
      </c>
      <c r="Y73" s="131"/>
      <c r="Z73" s="131"/>
      <c r="AA73" s="131"/>
      <c r="AB73" s="131"/>
      <c r="AC73" s="131"/>
      <c r="AD73" s="131"/>
      <c r="AE73" s="132"/>
      <c r="AF73" s="46"/>
      <c r="AG73" s="47"/>
      <c r="AH73" s="47"/>
      <c r="AI73" s="47"/>
      <c r="AJ73" s="47"/>
      <c r="AK73" s="47"/>
      <c r="AL73" s="47"/>
      <c r="AM73" s="47"/>
      <c r="AN73" s="52"/>
      <c r="AO73" s="119">
        <v>45683</v>
      </c>
      <c r="AP73" s="120"/>
      <c r="AQ73" s="118" t="s">
        <v>107</v>
      </c>
      <c r="AR73" s="114"/>
      <c r="AS73" s="118" t="s">
        <v>108</v>
      </c>
      <c r="AT73" s="121"/>
      <c r="AU73" s="119">
        <v>45688</v>
      </c>
      <c r="AV73" s="120"/>
      <c r="AW73" s="118" t="s">
        <v>107</v>
      </c>
      <c r="AX73" s="114"/>
      <c r="AY73" s="118" t="s">
        <v>110</v>
      </c>
      <c r="AZ73" s="121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1"/>
      <c r="BM73" s="34"/>
      <c r="BN73" s="34"/>
    </row>
    <row r="74" spans="1:66" ht="24" customHeight="1" x14ac:dyDescent="0.45">
      <c r="A74" s="33"/>
      <c r="B74" s="33"/>
      <c r="C74" s="38">
        <f t="shared" si="1"/>
        <v>65</v>
      </c>
      <c r="D74" s="35"/>
      <c r="E74" s="36"/>
      <c r="F74" s="36"/>
      <c r="G74" s="37"/>
      <c r="H74" s="36"/>
      <c r="I74" s="36"/>
      <c r="J74" s="36"/>
      <c r="K74" s="36"/>
      <c r="L74" s="86" t="s">
        <v>83</v>
      </c>
      <c r="M74" s="83"/>
      <c r="N74" s="83"/>
      <c r="O74" s="87"/>
      <c r="P74" s="59" t="s">
        <v>45</v>
      </c>
      <c r="Q74" s="47"/>
      <c r="R74" s="47"/>
      <c r="S74" s="47"/>
      <c r="T74" s="47"/>
      <c r="U74" s="47"/>
      <c r="V74" s="47"/>
      <c r="W74" s="48"/>
      <c r="X74" s="130" t="s">
        <v>102</v>
      </c>
      <c r="Y74" s="131"/>
      <c r="Z74" s="131"/>
      <c r="AA74" s="131"/>
      <c r="AB74" s="131"/>
      <c r="AC74" s="131"/>
      <c r="AD74" s="131"/>
      <c r="AE74" s="132"/>
      <c r="AF74" s="46"/>
      <c r="AG74" s="47"/>
      <c r="AH74" s="47"/>
      <c r="AI74" s="47"/>
      <c r="AJ74" s="47"/>
      <c r="AK74" s="47"/>
      <c r="AL74" s="47"/>
      <c r="AM74" s="47"/>
      <c r="AN74" s="52"/>
      <c r="AO74" s="119">
        <v>45683</v>
      </c>
      <c r="AP74" s="120"/>
      <c r="AQ74" s="118" t="s">
        <v>107</v>
      </c>
      <c r="AR74" s="114"/>
      <c r="AS74" s="118" t="s">
        <v>108</v>
      </c>
      <c r="AT74" s="121"/>
      <c r="AU74" s="119">
        <v>45688</v>
      </c>
      <c r="AV74" s="120"/>
      <c r="AW74" s="118" t="s">
        <v>107</v>
      </c>
      <c r="AX74" s="114"/>
      <c r="AY74" s="118" t="s">
        <v>110</v>
      </c>
      <c r="AZ74" s="121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1"/>
      <c r="BM74" s="34"/>
      <c r="BN74" s="34"/>
    </row>
    <row r="75" spans="1:66" ht="24" customHeight="1" x14ac:dyDescent="0.45">
      <c r="A75" s="33"/>
      <c r="B75" s="33"/>
      <c r="C75" s="38">
        <f t="shared" si="1"/>
        <v>66</v>
      </c>
      <c r="D75" s="35"/>
      <c r="E75" s="36"/>
      <c r="F75" s="36"/>
      <c r="G75" s="37"/>
      <c r="H75" s="36"/>
      <c r="I75" s="36"/>
      <c r="J75" s="36"/>
      <c r="K75" s="36"/>
      <c r="L75" s="86" t="s">
        <v>84</v>
      </c>
      <c r="M75" s="83"/>
      <c r="N75" s="83"/>
      <c r="O75" s="87"/>
      <c r="P75" s="59" t="s">
        <v>45</v>
      </c>
      <c r="Q75" s="47"/>
      <c r="R75" s="47"/>
      <c r="S75" s="47"/>
      <c r="T75" s="47"/>
      <c r="U75" s="47"/>
      <c r="V75" s="47"/>
      <c r="W75" s="48"/>
      <c r="X75" s="130" t="s">
        <v>102</v>
      </c>
      <c r="Y75" s="131"/>
      <c r="Z75" s="131"/>
      <c r="AA75" s="131"/>
      <c r="AB75" s="131"/>
      <c r="AC75" s="131"/>
      <c r="AD75" s="131"/>
      <c r="AE75" s="132"/>
      <c r="AF75" s="46"/>
      <c r="AG75" s="47"/>
      <c r="AH75" s="47"/>
      <c r="AI75" s="47"/>
      <c r="AJ75" s="47"/>
      <c r="AK75" s="47"/>
      <c r="AL75" s="47"/>
      <c r="AM75" s="47"/>
      <c r="AN75" s="52"/>
      <c r="AO75" s="119">
        <v>45683</v>
      </c>
      <c r="AP75" s="120"/>
      <c r="AQ75" s="118" t="s">
        <v>107</v>
      </c>
      <c r="AR75" s="114"/>
      <c r="AS75" s="118" t="s">
        <v>108</v>
      </c>
      <c r="AT75" s="121"/>
      <c r="AU75" s="119">
        <v>45688</v>
      </c>
      <c r="AV75" s="120"/>
      <c r="AW75" s="118" t="s">
        <v>107</v>
      </c>
      <c r="AX75" s="114"/>
      <c r="AY75" s="118" t="s">
        <v>110</v>
      </c>
      <c r="AZ75" s="121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1"/>
      <c r="BM75" s="34"/>
      <c r="BN75" s="34"/>
    </row>
    <row r="76" spans="1:66" ht="24" customHeight="1" x14ac:dyDescent="0.45">
      <c r="A76" s="33"/>
      <c r="B76" s="33"/>
      <c r="C76" s="38">
        <f t="shared" si="1"/>
        <v>67</v>
      </c>
      <c r="D76" s="35"/>
      <c r="E76" s="36"/>
      <c r="F76" s="36"/>
      <c r="G76" s="37"/>
      <c r="H76" s="36"/>
      <c r="I76" s="36"/>
      <c r="J76" s="36"/>
      <c r="K76" s="36"/>
      <c r="L76" s="86" t="s">
        <v>85</v>
      </c>
      <c r="M76" s="83"/>
      <c r="N76" s="83"/>
      <c r="O76" s="87"/>
      <c r="P76" s="59" t="s">
        <v>45</v>
      </c>
      <c r="Q76" s="47"/>
      <c r="R76" s="47"/>
      <c r="S76" s="47"/>
      <c r="T76" s="47"/>
      <c r="U76" s="47"/>
      <c r="V76" s="47"/>
      <c r="W76" s="48"/>
      <c r="X76" s="130" t="s">
        <v>102</v>
      </c>
      <c r="Y76" s="131"/>
      <c r="Z76" s="131"/>
      <c r="AA76" s="131"/>
      <c r="AB76" s="131"/>
      <c r="AC76" s="131"/>
      <c r="AD76" s="131"/>
      <c r="AE76" s="132"/>
      <c r="AF76" s="46"/>
      <c r="AG76" s="47"/>
      <c r="AH76" s="47"/>
      <c r="AI76" s="47"/>
      <c r="AJ76" s="47"/>
      <c r="AK76" s="47"/>
      <c r="AL76" s="47"/>
      <c r="AM76" s="47"/>
      <c r="AN76" s="52"/>
      <c r="AO76" s="119">
        <v>45683</v>
      </c>
      <c r="AP76" s="120"/>
      <c r="AQ76" s="118" t="s">
        <v>107</v>
      </c>
      <c r="AR76" s="114"/>
      <c r="AS76" s="118" t="s">
        <v>108</v>
      </c>
      <c r="AT76" s="121"/>
      <c r="AU76" s="119">
        <v>45688</v>
      </c>
      <c r="AV76" s="120"/>
      <c r="AW76" s="118" t="s">
        <v>107</v>
      </c>
      <c r="AX76" s="114"/>
      <c r="AY76" s="118" t="s">
        <v>110</v>
      </c>
      <c r="AZ76" s="121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1"/>
      <c r="BM76" s="34"/>
      <c r="BN76" s="34"/>
    </row>
    <row r="77" spans="1:66" ht="24" customHeight="1" x14ac:dyDescent="0.45">
      <c r="A77" s="33"/>
      <c r="B77" s="33"/>
      <c r="C77" s="38">
        <f t="shared" si="1"/>
        <v>68</v>
      </c>
      <c r="D77" s="35"/>
      <c r="E77" s="36"/>
      <c r="F77" s="36"/>
      <c r="G77" s="37"/>
      <c r="H77" s="36"/>
      <c r="I77" s="36"/>
      <c r="J77" s="36"/>
      <c r="K77" s="36"/>
      <c r="L77" s="86" t="s">
        <v>86</v>
      </c>
      <c r="M77" s="83"/>
      <c r="N77" s="83"/>
      <c r="O77" s="87"/>
      <c r="P77" s="59" t="s">
        <v>45</v>
      </c>
      <c r="Q77" s="47"/>
      <c r="R77" s="47"/>
      <c r="S77" s="47"/>
      <c r="T77" s="47"/>
      <c r="U77" s="47"/>
      <c r="V77" s="47"/>
      <c r="W77" s="48"/>
      <c r="X77" s="130" t="s">
        <v>102</v>
      </c>
      <c r="Y77" s="131"/>
      <c r="Z77" s="131"/>
      <c r="AA77" s="131"/>
      <c r="AB77" s="131"/>
      <c r="AC77" s="131"/>
      <c r="AD77" s="131"/>
      <c r="AE77" s="132"/>
      <c r="AF77" s="46"/>
      <c r="AG77" s="47"/>
      <c r="AH77" s="47"/>
      <c r="AI77" s="47"/>
      <c r="AJ77" s="47"/>
      <c r="AK77" s="47"/>
      <c r="AL77" s="47"/>
      <c r="AM77" s="47"/>
      <c r="AN77" s="52"/>
      <c r="AO77" s="119">
        <v>45683</v>
      </c>
      <c r="AP77" s="120"/>
      <c r="AQ77" s="118" t="s">
        <v>107</v>
      </c>
      <c r="AR77" s="114"/>
      <c r="AS77" s="118" t="s">
        <v>108</v>
      </c>
      <c r="AT77" s="121"/>
      <c r="AU77" s="119">
        <v>45688</v>
      </c>
      <c r="AV77" s="120"/>
      <c r="AW77" s="118" t="s">
        <v>107</v>
      </c>
      <c r="AX77" s="114"/>
      <c r="AY77" s="118" t="s">
        <v>110</v>
      </c>
      <c r="AZ77" s="121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1"/>
      <c r="BM77" s="34"/>
      <c r="BN77" s="34"/>
    </row>
    <row r="78" spans="1:66" ht="24" customHeight="1" x14ac:dyDescent="0.45">
      <c r="A78" s="33"/>
      <c r="B78" s="33"/>
      <c r="C78" s="38">
        <f t="shared" si="1"/>
        <v>69</v>
      </c>
      <c r="D78" s="35"/>
      <c r="E78" s="36"/>
      <c r="F78" s="36"/>
      <c r="G78" s="37"/>
      <c r="H78" s="36"/>
      <c r="I78" s="36"/>
      <c r="J78" s="36"/>
      <c r="K78" s="36"/>
      <c r="L78" s="86" t="s">
        <v>87</v>
      </c>
      <c r="M78" s="83"/>
      <c r="N78" s="83"/>
      <c r="O78" s="87"/>
      <c r="P78" s="59" t="s">
        <v>45</v>
      </c>
      <c r="Q78" s="47"/>
      <c r="R78" s="47"/>
      <c r="S78" s="47"/>
      <c r="T78" s="47"/>
      <c r="U78" s="47"/>
      <c r="V78" s="47"/>
      <c r="W78" s="48"/>
      <c r="X78" s="130" t="s">
        <v>102</v>
      </c>
      <c r="Y78" s="131"/>
      <c r="Z78" s="131"/>
      <c r="AA78" s="131"/>
      <c r="AB78" s="131"/>
      <c r="AC78" s="131"/>
      <c r="AD78" s="131"/>
      <c r="AE78" s="132"/>
      <c r="AF78" s="46"/>
      <c r="AG78" s="47"/>
      <c r="AH78" s="47"/>
      <c r="AI78" s="47"/>
      <c r="AJ78" s="47"/>
      <c r="AK78" s="47"/>
      <c r="AL78" s="47"/>
      <c r="AM78" s="47"/>
      <c r="AN78" s="52"/>
      <c r="AO78" s="119">
        <v>45683</v>
      </c>
      <c r="AP78" s="120"/>
      <c r="AQ78" s="118" t="s">
        <v>107</v>
      </c>
      <c r="AR78" s="114"/>
      <c r="AS78" s="118" t="s">
        <v>108</v>
      </c>
      <c r="AT78" s="121"/>
      <c r="AU78" s="119">
        <v>45688</v>
      </c>
      <c r="AV78" s="120"/>
      <c r="AW78" s="118" t="s">
        <v>107</v>
      </c>
      <c r="AX78" s="114"/>
      <c r="AY78" s="118" t="s">
        <v>110</v>
      </c>
      <c r="AZ78" s="121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1"/>
      <c r="BM78" s="34"/>
      <c r="BN78" s="34"/>
    </row>
    <row r="79" spans="1:66" ht="24" customHeight="1" x14ac:dyDescent="0.45">
      <c r="A79" s="33"/>
      <c r="B79" s="33"/>
      <c r="C79" s="38">
        <f t="shared" si="1"/>
        <v>70</v>
      </c>
      <c r="D79" s="35"/>
      <c r="E79" s="36"/>
      <c r="F79" s="36"/>
      <c r="G79" s="37"/>
      <c r="H79" s="36"/>
      <c r="I79" s="36"/>
      <c r="J79" s="36"/>
      <c r="K79" s="36"/>
      <c r="L79" s="86" t="s">
        <v>88</v>
      </c>
      <c r="M79" s="91"/>
      <c r="N79" s="91"/>
      <c r="O79" s="92"/>
      <c r="P79" s="59" t="s">
        <v>45</v>
      </c>
      <c r="Q79" s="47"/>
      <c r="R79" s="47"/>
      <c r="S79" s="47"/>
      <c r="T79" s="47"/>
      <c r="U79" s="47"/>
      <c r="V79" s="47"/>
      <c r="W79" s="48"/>
      <c r="X79" s="130" t="s">
        <v>102</v>
      </c>
      <c r="Y79" s="131"/>
      <c r="Z79" s="131"/>
      <c r="AA79" s="131"/>
      <c r="AB79" s="131"/>
      <c r="AC79" s="131"/>
      <c r="AD79" s="131"/>
      <c r="AE79" s="132"/>
      <c r="AF79" s="46"/>
      <c r="AG79" s="47"/>
      <c r="AH79" s="47"/>
      <c r="AI79" s="47"/>
      <c r="AJ79" s="47"/>
      <c r="AK79" s="47"/>
      <c r="AL79" s="47"/>
      <c r="AM79" s="47"/>
      <c r="AN79" s="52"/>
      <c r="AO79" s="119">
        <v>45683</v>
      </c>
      <c r="AP79" s="120"/>
      <c r="AQ79" s="118" t="s">
        <v>107</v>
      </c>
      <c r="AR79" s="114"/>
      <c r="AS79" s="118" t="s">
        <v>108</v>
      </c>
      <c r="AT79" s="121"/>
      <c r="AU79" s="119">
        <v>45688</v>
      </c>
      <c r="AV79" s="120"/>
      <c r="AW79" s="118" t="s">
        <v>107</v>
      </c>
      <c r="AX79" s="114"/>
      <c r="AY79" s="118" t="s">
        <v>110</v>
      </c>
      <c r="AZ79" s="121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1"/>
      <c r="BM79" s="34"/>
      <c r="BN79" s="34"/>
    </row>
    <row r="80" spans="1:66" ht="24" customHeight="1" x14ac:dyDescent="0.45">
      <c r="A80" s="33"/>
      <c r="B80" s="33"/>
      <c r="C80" s="38">
        <f t="shared" si="1"/>
        <v>71</v>
      </c>
      <c r="D80" s="35"/>
      <c r="E80" s="36"/>
      <c r="F80" s="36"/>
      <c r="G80" s="37"/>
      <c r="H80" s="36"/>
      <c r="I80" s="36"/>
      <c r="J80" s="36"/>
      <c r="K80" s="36"/>
      <c r="L80" s="86" t="s">
        <v>89</v>
      </c>
      <c r="M80" s="91"/>
      <c r="N80" s="91"/>
      <c r="O80" s="92"/>
      <c r="P80" s="59" t="s">
        <v>45</v>
      </c>
      <c r="Q80" s="47"/>
      <c r="R80" s="47"/>
      <c r="S80" s="47"/>
      <c r="T80" s="47"/>
      <c r="U80" s="47"/>
      <c r="V80" s="47"/>
      <c r="W80" s="48"/>
      <c r="X80" s="130" t="s">
        <v>102</v>
      </c>
      <c r="Y80" s="131"/>
      <c r="Z80" s="131"/>
      <c r="AA80" s="131"/>
      <c r="AB80" s="131"/>
      <c r="AC80" s="131"/>
      <c r="AD80" s="131"/>
      <c r="AE80" s="132"/>
      <c r="AF80" s="46"/>
      <c r="AG80" s="47"/>
      <c r="AH80" s="47"/>
      <c r="AI80" s="47"/>
      <c r="AJ80" s="47"/>
      <c r="AK80" s="47"/>
      <c r="AL80" s="47"/>
      <c r="AM80" s="47"/>
      <c r="AN80" s="52"/>
      <c r="AO80" s="119">
        <v>45683</v>
      </c>
      <c r="AP80" s="120"/>
      <c r="AQ80" s="118" t="s">
        <v>107</v>
      </c>
      <c r="AR80" s="114"/>
      <c r="AS80" s="118" t="s">
        <v>108</v>
      </c>
      <c r="AT80" s="121"/>
      <c r="AU80" s="119">
        <v>45688</v>
      </c>
      <c r="AV80" s="120"/>
      <c r="AW80" s="118" t="s">
        <v>107</v>
      </c>
      <c r="AX80" s="114"/>
      <c r="AY80" s="118" t="s">
        <v>110</v>
      </c>
      <c r="AZ80" s="121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1"/>
      <c r="BM80" s="34"/>
      <c r="BN80" s="34"/>
    </row>
    <row r="81" spans="1:66" ht="24" customHeight="1" x14ac:dyDescent="0.45">
      <c r="A81" s="33"/>
      <c r="B81" s="33"/>
      <c r="C81" s="38">
        <f t="shared" si="1"/>
        <v>72</v>
      </c>
      <c r="D81" s="35"/>
      <c r="E81" s="36"/>
      <c r="F81" s="36"/>
      <c r="G81" s="37"/>
      <c r="H81" s="36"/>
      <c r="I81" s="36"/>
      <c r="J81" s="36"/>
      <c r="K81" s="36"/>
      <c r="L81" s="86" t="s">
        <v>90</v>
      </c>
      <c r="M81" s="91"/>
      <c r="N81" s="91"/>
      <c r="O81" s="92"/>
      <c r="P81" s="59" t="s">
        <v>45</v>
      </c>
      <c r="Q81" s="47"/>
      <c r="R81" s="47"/>
      <c r="S81" s="47"/>
      <c r="T81" s="47"/>
      <c r="U81" s="47"/>
      <c r="V81" s="47"/>
      <c r="W81" s="48"/>
      <c r="X81" s="130" t="s">
        <v>102</v>
      </c>
      <c r="Y81" s="131"/>
      <c r="Z81" s="131"/>
      <c r="AA81" s="131"/>
      <c r="AB81" s="131"/>
      <c r="AC81" s="131"/>
      <c r="AD81" s="131"/>
      <c r="AE81" s="132"/>
      <c r="AF81" s="46"/>
      <c r="AG81" s="47"/>
      <c r="AH81" s="47"/>
      <c r="AI81" s="47"/>
      <c r="AJ81" s="47"/>
      <c r="AK81" s="47"/>
      <c r="AL81" s="47"/>
      <c r="AM81" s="47"/>
      <c r="AN81" s="52"/>
      <c r="AO81" s="119">
        <v>45683</v>
      </c>
      <c r="AP81" s="120"/>
      <c r="AQ81" s="118" t="s">
        <v>107</v>
      </c>
      <c r="AR81" s="114"/>
      <c r="AS81" s="118" t="s">
        <v>108</v>
      </c>
      <c r="AT81" s="121"/>
      <c r="AU81" s="119">
        <v>45688</v>
      </c>
      <c r="AV81" s="120"/>
      <c r="AW81" s="118" t="s">
        <v>107</v>
      </c>
      <c r="AX81" s="114"/>
      <c r="AY81" s="118" t="s">
        <v>110</v>
      </c>
      <c r="AZ81" s="121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1"/>
      <c r="BM81" s="34"/>
      <c r="BN81" s="34"/>
    </row>
    <row r="82" spans="1:66" ht="24" customHeight="1" x14ac:dyDescent="0.45">
      <c r="A82" s="33"/>
      <c r="B82" s="33"/>
      <c r="C82" s="38">
        <f t="shared" si="1"/>
        <v>73</v>
      </c>
      <c r="D82" s="35"/>
      <c r="E82" s="36"/>
      <c r="F82" s="36"/>
      <c r="G82" s="37"/>
      <c r="H82" s="36"/>
      <c r="I82" s="36"/>
      <c r="J82" s="36"/>
      <c r="K82" s="36"/>
      <c r="L82" s="86" t="s">
        <v>91</v>
      </c>
      <c r="M82" s="91"/>
      <c r="N82" s="91"/>
      <c r="O82" s="92"/>
      <c r="P82" s="59" t="s">
        <v>45</v>
      </c>
      <c r="Q82" s="47"/>
      <c r="R82" s="47"/>
      <c r="S82" s="47"/>
      <c r="T82" s="47"/>
      <c r="U82" s="47"/>
      <c r="V82" s="47"/>
      <c r="W82" s="48"/>
      <c r="X82" s="130" t="s">
        <v>102</v>
      </c>
      <c r="Y82" s="131"/>
      <c r="Z82" s="131"/>
      <c r="AA82" s="131"/>
      <c r="AB82" s="131"/>
      <c r="AC82" s="131"/>
      <c r="AD82" s="131"/>
      <c r="AE82" s="132"/>
      <c r="AF82" s="46"/>
      <c r="AG82" s="47"/>
      <c r="AH82" s="47"/>
      <c r="AI82" s="47"/>
      <c r="AJ82" s="47"/>
      <c r="AK82" s="47"/>
      <c r="AL82" s="47"/>
      <c r="AM82" s="47"/>
      <c r="AN82" s="52"/>
      <c r="AO82" s="119">
        <v>45683</v>
      </c>
      <c r="AP82" s="120"/>
      <c r="AQ82" s="118" t="s">
        <v>107</v>
      </c>
      <c r="AR82" s="114"/>
      <c r="AS82" s="118" t="s">
        <v>108</v>
      </c>
      <c r="AT82" s="121"/>
      <c r="AU82" s="119">
        <v>45688</v>
      </c>
      <c r="AV82" s="120"/>
      <c r="AW82" s="118" t="s">
        <v>107</v>
      </c>
      <c r="AX82" s="114"/>
      <c r="AY82" s="118" t="s">
        <v>110</v>
      </c>
      <c r="AZ82" s="121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1"/>
      <c r="BM82" s="34"/>
      <c r="BN82" s="34"/>
    </row>
    <row r="83" spans="1:66" ht="24" customHeight="1" x14ac:dyDescent="0.45">
      <c r="A83" s="33"/>
      <c r="B83" s="33"/>
      <c r="C83" s="38">
        <f t="shared" si="1"/>
        <v>74</v>
      </c>
      <c r="D83" s="35"/>
      <c r="E83" s="36"/>
      <c r="F83" s="36"/>
      <c r="G83" s="37"/>
      <c r="H83" s="36"/>
      <c r="I83" s="36"/>
      <c r="J83" s="36"/>
      <c r="K83" s="36"/>
      <c r="L83" s="86" t="s">
        <v>92</v>
      </c>
      <c r="M83" s="91"/>
      <c r="N83" s="91"/>
      <c r="O83" s="92"/>
      <c r="P83" s="59" t="s">
        <v>45</v>
      </c>
      <c r="Q83" s="47"/>
      <c r="R83" s="47"/>
      <c r="S83" s="47"/>
      <c r="T83" s="47"/>
      <c r="U83" s="47"/>
      <c r="V83" s="47"/>
      <c r="W83" s="48"/>
      <c r="X83" s="130" t="s">
        <v>102</v>
      </c>
      <c r="Y83" s="131"/>
      <c r="Z83" s="131"/>
      <c r="AA83" s="131"/>
      <c r="AB83" s="131"/>
      <c r="AC83" s="131"/>
      <c r="AD83" s="131"/>
      <c r="AE83" s="132"/>
      <c r="AF83" s="46"/>
      <c r="AG83" s="47"/>
      <c r="AH83" s="47"/>
      <c r="AI83" s="47"/>
      <c r="AJ83" s="47"/>
      <c r="AK83" s="47"/>
      <c r="AL83" s="47"/>
      <c r="AM83" s="47"/>
      <c r="AN83" s="52"/>
      <c r="AO83" s="119">
        <v>45683</v>
      </c>
      <c r="AP83" s="120"/>
      <c r="AQ83" s="118" t="s">
        <v>107</v>
      </c>
      <c r="AR83" s="114"/>
      <c r="AS83" s="118" t="s">
        <v>108</v>
      </c>
      <c r="AT83" s="121"/>
      <c r="AU83" s="119">
        <v>45688</v>
      </c>
      <c r="AV83" s="120"/>
      <c r="AW83" s="118" t="s">
        <v>107</v>
      </c>
      <c r="AX83" s="114"/>
      <c r="AY83" s="118" t="s">
        <v>110</v>
      </c>
      <c r="AZ83" s="121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1"/>
      <c r="BM83" s="34"/>
      <c r="BN83" s="34"/>
    </row>
    <row r="84" spans="1:66" ht="24" customHeight="1" x14ac:dyDescent="0.45">
      <c r="A84" s="33"/>
      <c r="B84" s="33"/>
      <c r="C84" s="38">
        <f t="shared" si="1"/>
        <v>75</v>
      </c>
      <c r="D84" s="35"/>
      <c r="E84" s="89"/>
      <c r="F84" s="89"/>
      <c r="G84" s="37"/>
      <c r="H84" s="89"/>
      <c r="I84" s="89"/>
      <c r="J84" s="89"/>
      <c r="K84" s="89"/>
      <c r="L84" s="86" t="s">
        <v>93</v>
      </c>
      <c r="M84" s="91"/>
      <c r="N84" s="91"/>
      <c r="O84" s="92"/>
      <c r="P84" s="85" t="s">
        <v>45</v>
      </c>
      <c r="Q84" s="79"/>
      <c r="R84" s="79"/>
      <c r="S84" s="79"/>
      <c r="T84" s="79"/>
      <c r="U84" s="79"/>
      <c r="V84" s="79"/>
      <c r="W84" s="80"/>
      <c r="X84" s="130" t="s">
        <v>102</v>
      </c>
      <c r="Y84" s="131"/>
      <c r="Z84" s="131"/>
      <c r="AA84" s="131"/>
      <c r="AB84" s="131"/>
      <c r="AC84" s="131"/>
      <c r="AD84" s="131"/>
      <c r="AE84" s="132"/>
      <c r="AF84" s="78"/>
      <c r="AG84" s="79"/>
      <c r="AH84" s="79"/>
      <c r="AI84" s="79"/>
      <c r="AJ84" s="79"/>
      <c r="AK84" s="79"/>
      <c r="AL84" s="79"/>
      <c r="AM84" s="79"/>
      <c r="AN84" s="81"/>
      <c r="AO84" s="119">
        <v>45683</v>
      </c>
      <c r="AP84" s="120"/>
      <c r="AQ84" s="118" t="s">
        <v>107</v>
      </c>
      <c r="AR84" s="114"/>
      <c r="AS84" s="118" t="s">
        <v>108</v>
      </c>
      <c r="AT84" s="121"/>
      <c r="AU84" s="119">
        <v>45688</v>
      </c>
      <c r="AV84" s="120"/>
      <c r="AW84" s="118" t="s">
        <v>107</v>
      </c>
      <c r="AX84" s="114"/>
      <c r="AY84" s="118" t="s">
        <v>110</v>
      </c>
      <c r="AZ84" s="121"/>
      <c r="BA84" s="82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4"/>
      <c r="BM84" s="34"/>
      <c r="BN84" s="34"/>
    </row>
    <row r="85" spans="1:66" ht="24" customHeight="1" x14ac:dyDescent="0.45">
      <c r="A85" s="33"/>
      <c r="B85" s="33"/>
      <c r="C85" s="38">
        <f t="shared" si="1"/>
        <v>76</v>
      </c>
      <c r="D85" s="35"/>
      <c r="E85" s="89"/>
      <c r="F85" s="89"/>
      <c r="G85" s="37"/>
      <c r="H85" s="89"/>
      <c r="I85" s="89"/>
      <c r="J85" s="89"/>
      <c r="K85" s="89"/>
      <c r="L85" s="86" t="s">
        <v>94</v>
      </c>
      <c r="M85" s="91"/>
      <c r="N85" s="91"/>
      <c r="O85" s="92"/>
      <c r="P85" s="85" t="s">
        <v>45</v>
      </c>
      <c r="Q85" s="79"/>
      <c r="R85" s="79"/>
      <c r="S85" s="79"/>
      <c r="T85" s="79"/>
      <c r="U85" s="79"/>
      <c r="V85" s="79"/>
      <c r="W85" s="80"/>
      <c r="X85" s="130" t="s">
        <v>102</v>
      </c>
      <c r="Y85" s="131"/>
      <c r="Z85" s="131"/>
      <c r="AA85" s="131"/>
      <c r="AB85" s="131"/>
      <c r="AC85" s="131"/>
      <c r="AD85" s="131"/>
      <c r="AE85" s="132"/>
      <c r="AF85" s="78"/>
      <c r="AG85" s="79"/>
      <c r="AH85" s="79"/>
      <c r="AI85" s="79"/>
      <c r="AJ85" s="79"/>
      <c r="AK85" s="79"/>
      <c r="AL85" s="79"/>
      <c r="AM85" s="79"/>
      <c r="AN85" s="81"/>
      <c r="AO85" s="119">
        <v>45683</v>
      </c>
      <c r="AP85" s="120"/>
      <c r="AQ85" s="118" t="s">
        <v>107</v>
      </c>
      <c r="AR85" s="114"/>
      <c r="AS85" s="118" t="s">
        <v>108</v>
      </c>
      <c r="AT85" s="121"/>
      <c r="AU85" s="119">
        <v>45688</v>
      </c>
      <c r="AV85" s="120"/>
      <c r="AW85" s="118" t="s">
        <v>107</v>
      </c>
      <c r="AX85" s="114"/>
      <c r="AY85" s="118" t="s">
        <v>110</v>
      </c>
      <c r="AZ85" s="121"/>
      <c r="BA85" s="82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4"/>
      <c r="BM85" s="34"/>
      <c r="BN85" s="34"/>
    </row>
    <row r="86" spans="1:66" ht="24" customHeight="1" x14ac:dyDescent="0.45">
      <c r="A86" s="33"/>
      <c r="B86" s="33"/>
      <c r="C86" s="38">
        <f t="shared" si="1"/>
        <v>77</v>
      </c>
      <c r="D86" s="35"/>
      <c r="E86" s="89"/>
      <c r="F86" s="89"/>
      <c r="G86" s="37"/>
      <c r="H86" s="89"/>
      <c r="I86" s="89"/>
      <c r="J86" s="89"/>
      <c r="K86" s="89"/>
      <c r="L86" s="86" t="s">
        <v>95</v>
      </c>
      <c r="M86" s="91"/>
      <c r="N86" s="91"/>
      <c r="O86" s="92"/>
      <c r="P86" s="85" t="s">
        <v>45</v>
      </c>
      <c r="Q86" s="79"/>
      <c r="R86" s="79"/>
      <c r="S86" s="79"/>
      <c r="T86" s="79"/>
      <c r="U86" s="79"/>
      <c r="V86" s="79"/>
      <c r="W86" s="80"/>
      <c r="X86" s="130" t="s">
        <v>102</v>
      </c>
      <c r="Y86" s="131"/>
      <c r="Z86" s="131"/>
      <c r="AA86" s="131"/>
      <c r="AB86" s="131"/>
      <c r="AC86" s="131"/>
      <c r="AD86" s="131"/>
      <c r="AE86" s="132"/>
      <c r="AF86" s="78"/>
      <c r="AG86" s="79"/>
      <c r="AH86" s="79"/>
      <c r="AI86" s="79"/>
      <c r="AJ86" s="79"/>
      <c r="AK86" s="79"/>
      <c r="AL86" s="79"/>
      <c r="AM86" s="79"/>
      <c r="AN86" s="81"/>
      <c r="AO86" s="119">
        <v>45683</v>
      </c>
      <c r="AP86" s="120"/>
      <c r="AQ86" s="118" t="s">
        <v>107</v>
      </c>
      <c r="AR86" s="114"/>
      <c r="AS86" s="118" t="s">
        <v>108</v>
      </c>
      <c r="AT86" s="121"/>
      <c r="AU86" s="119">
        <v>45688</v>
      </c>
      <c r="AV86" s="120"/>
      <c r="AW86" s="118" t="s">
        <v>107</v>
      </c>
      <c r="AX86" s="114"/>
      <c r="AY86" s="118" t="s">
        <v>110</v>
      </c>
      <c r="AZ86" s="121"/>
      <c r="BA86" s="82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4"/>
      <c r="BM86" s="34"/>
      <c r="BN86" s="34"/>
    </row>
    <row r="87" spans="1:66" ht="24" customHeight="1" x14ac:dyDescent="0.45">
      <c r="A87" s="33"/>
      <c r="B87" s="33"/>
      <c r="C87" s="38">
        <f t="shared" si="1"/>
        <v>78</v>
      </c>
      <c r="D87" s="35"/>
      <c r="E87" s="89"/>
      <c r="F87" s="89"/>
      <c r="G87" s="37"/>
      <c r="H87" s="89"/>
      <c r="I87" s="89"/>
      <c r="J87" s="89"/>
      <c r="K87" s="89"/>
      <c r="L87" s="86" t="s">
        <v>96</v>
      </c>
      <c r="M87" s="91"/>
      <c r="N87" s="91"/>
      <c r="O87" s="92"/>
      <c r="P87" s="85" t="s">
        <v>45</v>
      </c>
      <c r="Q87" s="79"/>
      <c r="R87" s="79"/>
      <c r="S87" s="79"/>
      <c r="T87" s="79"/>
      <c r="U87" s="79"/>
      <c r="V87" s="79"/>
      <c r="W87" s="80"/>
      <c r="X87" s="130" t="s">
        <v>102</v>
      </c>
      <c r="Y87" s="131"/>
      <c r="Z87" s="131"/>
      <c r="AA87" s="131"/>
      <c r="AB87" s="131"/>
      <c r="AC87" s="131"/>
      <c r="AD87" s="131"/>
      <c r="AE87" s="132"/>
      <c r="AF87" s="78"/>
      <c r="AG87" s="79"/>
      <c r="AH87" s="79"/>
      <c r="AI87" s="79"/>
      <c r="AJ87" s="79"/>
      <c r="AK87" s="79"/>
      <c r="AL87" s="79"/>
      <c r="AM87" s="79"/>
      <c r="AN87" s="81"/>
      <c r="AO87" s="119">
        <v>45683</v>
      </c>
      <c r="AP87" s="120"/>
      <c r="AQ87" s="118" t="s">
        <v>107</v>
      </c>
      <c r="AR87" s="114"/>
      <c r="AS87" s="118" t="s">
        <v>108</v>
      </c>
      <c r="AT87" s="121"/>
      <c r="AU87" s="119">
        <v>45688</v>
      </c>
      <c r="AV87" s="120"/>
      <c r="AW87" s="118" t="s">
        <v>107</v>
      </c>
      <c r="AX87" s="114"/>
      <c r="AY87" s="118" t="s">
        <v>110</v>
      </c>
      <c r="AZ87" s="121"/>
      <c r="BA87" s="82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4"/>
      <c r="BM87" s="34"/>
      <c r="BN87" s="34"/>
    </row>
    <row r="88" spans="1:66" ht="24" customHeight="1" x14ac:dyDescent="0.45">
      <c r="A88" s="33"/>
      <c r="B88" s="33"/>
      <c r="C88" s="38">
        <f t="shared" si="1"/>
        <v>79</v>
      </c>
      <c r="D88" s="35"/>
      <c r="E88" s="89"/>
      <c r="F88" s="89"/>
      <c r="G88" s="37"/>
      <c r="H88" s="89"/>
      <c r="I88" s="89"/>
      <c r="J88" s="89"/>
      <c r="K88" s="89"/>
      <c r="L88" s="86" t="s">
        <v>97</v>
      </c>
      <c r="M88" s="91"/>
      <c r="N88" s="91"/>
      <c r="O88" s="92"/>
      <c r="P88" s="85" t="s">
        <v>45</v>
      </c>
      <c r="Q88" s="79"/>
      <c r="R88" s="79"/>
      <c r="S88" s="79"/>
      <c r="T88" s="79"/>
      <c r="U88" s="79"/>
      <c r="V88" s="79"/>
      <c r="W88" s="80"/>
      <c r="X88" s="130" t="s">
        <v>102</v>
      </c>
      <c r="Y88" s="131"/>
      <c r="Z88" s="131"/>
      <c r="AA88" s="131"/>
      <c r="AB88" s="131"/>
      <c r="AC88" s="131"/>
      <c r="AD88" s="131"/>
      <c r="AE88" s="132"/>
      <c r="AF88" s="78"/>
      <c r="AG88" s="79"/>
      <c r="AH88" s="79"/>
      <c r="AI88" s="79"/>
      <c r="AJ88" s="79"/>
      <c r="AK88" s="79"/>
      <c r="AL88" s="79"/>
      <c r="AM88" s="79"/>
      <c r="AN88" s="81"/>
      <c r="AO88" s="119">
        <v>45683</v>
      </c>
      <c r="AP88" s="120"/>
      <c r="AQ88" s="118" t="s">
        <v>107</v>
      </c>
      <c r="AR88" s="114"/>
      <c r="AS88" s="118" t="s">
        <v>108</v>
      </c>
      <c r="AT88" s="121"/>
      <c r="AU88" s="119">
        <v>45688</v>
      </c>
      <c r="AV88" s="120"/>
      <c r="AW88" s="118" t="s">
        <v>107</v>
      </c>
      <c r="AX88" s="114"/>
      <c r="AY88" s="118" t="s">
        <v>110</v>
      </c>
      <c r="AZ88" s="121"/>
      <c r="BA88" s="82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4"/>
      <c r="BM88" s="34"/>
      <c r="BN88" s="34"/>
    </row>
    <row r="89" spans="1:66" ht="24" customHeight="1" x14ac:dyDescent="0.45">
      <c r="A89" s="33"/>
      <c r="B89" s="33"/>
      <c r="C89" s="38">
        <f t="shared" si="1"/>
        <v>80</v>
      </c>
      <c r="D89" s="35"/>
      <c r="E89" s="89"/>
      <c r="F89" s="89"/>
      <c r="G89" s="37"/>
      <c r="H89" s="89"/>
      <c r="I89" s="89"/>
      <c r="J89" s="89"/>
      <c r="K89" s="89"/>
      <c r="L89" s="86" t="s">
        <v>98</v>
      </c>
      <c r="M89" s="91"/>
      <c r="N89" s="91"/>
      <c r="O89" s="92"/>
      <c r="P89" s="85" t="s">
        <v>45</v>
      </c>
      <c r="Q89" s="79"/>
      <c r="R89" s="79"/>
      <c r="S89" s="79"/>
      <c r="T89" s="79"/>
      <c r="U89" s="79"/>
      <c r="V89" s="79"/>
      <c r="W89" s="80"/>
      <c r="X89" s="130" t="s">
        <v>102</v>
      </c>
      <c r="Y89" s="131"/>
      <c r="Z89" s="131"/>
      <c r="AA89" s="131"/>
      <c r="AB89" s="131"/>
      <c r="AC89" s="131"/>
      <c r="AD89" s="131"/>
      <c r="AE89" s="132"/>
      <c r="AF89" s="78"/>
      <c r="AG89" s="79"/>
      <c r="AH89" s="79"/>
      <c r="AI89" s="79"/>
      <c r="AJ89" s="79"/>
      <c r="AK89" s="79"/>
      <c r="AL89" s="79"/>
      <c r="AM89" s="79"/>
      <c r="AN89" s="81"/>
      <c r="AO89" s="119">
        <v>45683</v>
      </c>
      <c r="AP89" s="120"/>
      <c r="AQ89" s="118" t="s">
        <v>107</v>
      </c>
      <c r="AR89" s="114"/>
      <c r="AS89" s="118" t="s">
        <v>108</v>
      </c>
      <c r="AT89" s="121"/>
      <c r="AU89" s="119">
        <v>45688</v>
      </c>
      <c r="AV89" s="120"/>
      <c r="AW89" s="118" t="s">
        <v>107</v>
      </c>
      <c r="AX89" s="114"/>
      <c r="AY89" s="118" t="s">
        <v>110</v>
      </c>
      <c r="AZ89" s="121"/>
      <c r="BA89" s="82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4"/>
      <c r="BM89" s="34"/>
      <c r="BN89" s="34"/>
    </row>
    <row r="90" spans="1:66" ht="24" customHeight="1" x14ac:dyDescent="0.45">
      <c r="A90" s="33"/>
      <c r="B90" s="33"/>
      <c r="C90" s="38">
        <f t="shared" si="1"/>
        <v>81</v>
      </c>
      <c r="D90" s="35"/>
      <c r="E90" s="36"/>
      <c r="F90" s="36"/>
      <c r="G90" s="37"/>
      <c r="H90" s="36"/>
      <c r="I90" s="36"/>
      <c r="J90" s="36"/>
      <c r="K90" s="36"/>
      <c r="L90" s="86" t="s">
        <v>89</v>
      </c>
      <c r="M90" s="91"/>
      <c r="N90" s="91"/>
      <c r="O90" s="92"/>
      <c r="P90" s="85" t="s">
        <v>45</v>
      </c>
      <c r="Q90" s="47"/>
      <c r="R90" s="47"/>
      <c r="S90" s="47"/>
      <c r="T90" s="47"/>
      <c r="U90" s="47"/>
      <c r="V90" s="47"/>
      <c r="W90" s="48"/>
      <c r="X90" s="130" t="s">
        <v>102</v>
      </c>
      <c r="Y90" s="131"/>
      <c r="Z90" s="131"/>
      <c r="AA90" s="131"/>
      <c r="AB90" s="131"/>
      <c r="AC90" s="131"/>
      <c r="AD90" s="131"/>
      <c r="AE90" s="132"/>
      <c r="AF90" s="46"/>
      <c r="AG90" s="47"/>
      <c r="AH90" s="47"/>
      <c r="AI90" s="47"/>
      <c r="AJ90" s="47"/>
      <c r="AK90" s="47"/>
      <c r="AL90" s="47"/>
      <c r="AM90" s="47"/>
      <c r="AN90" s="52"/>
      <c r="AO90" s="119">
        <v>45683</v>
      </c>
      <c r="AP90" s="120"/>
      <c r="AQ90" s="118" t="s">
        <v>107</v>
      </c>
      <c r="AR90" s="114"/>
      <c r="AS90" s="118" t="s">
        <v>108</v>
      </c>
      <c r="AT90" s="121"/>
      <c r="AU90" s="119">
        <v>45688</v>
      </c>
      <c r="AV90" s="120"/>
      <c r="AW90" s="118" t="s">
        <v>107</v>
      </c>
      <c r="AX90" s="114"/>
      <c r="AY90" s="118" t="s">
        <v>110</v>
      </c>
      <c r="AZ90" s="121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1"/>
      <c r="BM90" s="34"/>
      <c r="BN90" s="34"/>
    </row>
    <row r="91" spans="1:66" ht="24" customHeight="1" thickBot="1" x14ac:dyDescent="0.5">
      <c r="A91" s="33"/>
      <c r="B91" s="33"/>
      <c r="C91" s="38">
        <f t="shared" si="1"/>
        <v>82</v>
      </c>
      <c r="D91" s="35"/>
      <c r="E91" s="36"/>
      <c r="F91" s="36"/>
      <c r="G91" s="37"/>
      <c r="H91" s="55"/>
      <c r="I91" s="56"/>
      <c r="J91" s="56"/>
      <c r="K91" s="57"/>
      <c r="L91" s="86" t="s">
        <v>90</v>
      </c>
      <c r="M91" s="91"/>
      <c r="N91" s="91"/>
      <c r="O91" s="92"/>
      <c r="P91" s="59" t="s">
        <v>45</v>
      </c>
      <c r="Q91" s="47"/>
      <c r="R91" s="47"/>
      <c r="S91" s="47"/>
      <c r="T91" s="47"/>
      <c r="U91" s="47"/>
      <c r="V91" s="47"/>
      <c r="W91" s="48"/>
      <c r="X91" s="130" t="s">
        <v>102</v>
      </c>
      <c r="Y91" s="131"/>
      <c r="Z91" s="131"/>
      <c r="AA91" s="131"/>
      <c r="AB91" s="131"/>
      <c r="AC91" s="131"/>
      <c r="AD91" s="131"/>
      <c r="AE91" s="132"/>
      <c r="AF91" s="46"/>
      <c r="AG91" s="47"/>
      <c r="AH91" s="47"/>
      <c r="AI91" s="47"/>
      <c r="AJ91" s="47"/>
      <c r="AK91" s="47"/>
      <c r="AL91" s="47"/>
      <c r="AM91" s="47"/>
      <c r="AN91" s="52"/>
      <c r="AO91" s="119">
        <v>45683</v>
      </c>
      <c r="AP91" s="120"/>
      <c r="AQ91" s="118" t="s">
        <v>107</v>
      </c>
      <c r="AR91" s="114"/>
      <c r="AS91" s="118" t="s">
        <v>108</v>
      </c>
      <c r="AT91" s="121"/>
      <c r="AU91" s="119">
        <v>45688</v>
      </c>
      <c r="AV91" s="120"/>
      <c r="AW91" s="118" t="s">
        <v>107</v>
      </c>
      <c r="AX91" s="114"/>
      <c r="AY91" s="118" t="s">
        <v>110</v>
      </c>
      <c r="AZ91" s="121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1"/>
      <c r="BM91" s="34"/>
      <c r="BN91" s="34"/>
    </row>
    <row r="92" spans="1:66" ht="20.100000000000001" customHeight="1" thickTop="1" thickBot="1" x14ac:dyDescent="0.5">
      <c r="A92" s="33"/>
      <c r="B92" s="7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7"/>
      <c r="BN92" s="34"/>
    </row>
    <row r="93" spans="1:66" ht="5.0999999999999996" customHeight="1" thickTop="1" x14ac:dyDescent="0.4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</row>
    <row r="94" spans="1:66" ht="20.100000000000001" customHeight="1" x14ac:dyDescent="0.45"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</row>
  </sheetData>
  <mergeCells count="691">
    <mergeCell ref="AU90:AV90"/>
    <mergeCell ref="AW90:AX90"/>
    <mergeCell ref="AY90:AZ90"/>
    <mergeCell ref="AU91:AV91"/>
    <mergeCell ref="AW91:AX91"/>
    <mergeCell ref="AY91:AZ91"/>
    <mergeCell ref="AU87:AV87"/>
    <mergeCell ref="AW87:AX87"/>
    <mergeCell ref="AY87:AZ87"/>
    <mergeCell ref="AU88:AV88"/>
    <mergeCell ref="AW88:AX88"/>
    <mergeCell ref="AY88:AZ88"/>
    <mergeCell ref="AU89:AV89"/>
    <mergeCell ref="AW89:AX89"/>
    <mergeCell ref="AY89:AZ89"/>
    <mergeCell ref="AU84:AV84"/>
    <mergeCell ref="AW84:AX84"/>
    <mergeCell ref="AY84:AZ84"/>
    <mergeCell ref="AU85:AV85"/>
    <mergeCell ref="AW85:AX85"/>
    <mergeCell ref="AY85:AZ85"/>
    <mergeCell ref="AU86:AV86"/>
    <mergeCell ref="AW86:AX86"/>
    <mergeCell ref="AY86:AZ86"/>
    <mergeCell ref="AU81:AV81"/>
    <mergeCell ref="AW81:AX81"/>
    <mergeCell ref="AY81:AZ81"/>
    <mergeCell ref="AU82:AV82"/>
    <mergeCell ref="AW82:AX82"/>
    <mergeCell ref="AY82:AZ82"/>
    <mergeCell ref="AU83:AV83"/>
    <mergeCell ref="AW83:AX83"/>
    <mergeCell ref="AY83:AZ83"/>
    <mergeCell ref="AU78:AV78"/>
    <mergeCell ref="AW78:AX78"/>
    <mergeCell ref="AY78:AZ78"/>
    <mergeCell ref="AU79:AV79"/>
    <mergeCell ref="AW79:AX79"/>
    <mergeCell ref="AY79:AZ79"/>
    <mergeCell ref="AU80:AV80"/>
    <mergeCell ref="AW80:AX80"/>
    <mergeCell ref="AY80:AZ80"/>
    <mergeCell ref="AU75:AV75"/>
    <mergeCell ref="AW75:AX75"/>
    <mergeCell ref="AY75:AZ75"/>
    <mergeCell ref="AU76:AV76"/>
    <mergeCell ref="AW76:AX76"/>
    <mergeCell ref="AY76:AZ76"/>
    <mergeCell ref="AU77:AV77"/>
    <mergeCell ref="AW77:AX77"/>
    <mergeCell ref="AY77:AZ77"/>
    <mergeCell ref="AU72:AV72"/>
    <mergeCell ref="AW72:AX72"/>
    <mergeCell ref="AY72:AZ72"/>
    <mergeCell ref="AU73:AV73"/>
    <mergeCell ref="AW73:AX73"/>
    <mergeCell ref="AY73:AZ73"/>
    <mergeCell ref="AU74:AV74"/>
    <mergeCell ref="AW74:AX74"/>
    <mergeCell ref="AY74:AZ74"/>
    <mergeCell ref="AU69:AV69"/>
    <mergeCell ref="AW69:AX69"/>
    <mergeCell ref="AY69:AZ69"/>
    <mergeCell ref="AU70:AV70"/>
    <mergeCell ref="AW70:AX70"/>
    <mergeCell ref="AY70:AZ70"/>
    <mergeCell ref="AU71:AV71"/>
    <mergeCell ref="AW71:AX71"/>
    <mergeCell ref="AY71:AZ71"/>
    <mergeCell ref="AU66:AV66"/>
    <mergeCell ref="AW66:AX66"/>
    <mergeCell ref="AY66:AZ66"/>
    <mergeCell ref="AU67:AV67"/>
    <mergeCell ref="AW67:AX67"/>
    <mergeCell ref="AY67:AZ67"/>
    <mergeCell ref="AU68:AV68"/>
    <mergeCell ref="AW68:AX68"/>
    <mergeCell ref="AY68:AZ68"/>
    <mergeCell ref="AU63:AV63"/>
    <mergeCell ref="AW63:AX63"/>
    <mergeCell ref="AY63:AZ63"/>
    <mergeCell ref="AU64:AV64"/>
    <mergeCell ref="AW64:AX64"/>
    <mergeCell ref="AY64:AZ64"/>
    <mergeCell ref="AU65:AV65"/>
    <mergeCell ref="AW65:AX65"/>
    <mergeCell ref="AY65:AZ65"/>
    <mergeCell ref="AU60:AV60"/>
    <mergeCell ref="AW60:AX60"/>
    <mergeCell ref="AY60:AZ60"/>
    <mergeCell ref="AU61:AV61"/>
    <mergeCell ref="AW61:AX61"/>
    <mergeCell ref="AY61:AZ61"/>
    <mergeCell ref="AU62:AV62"/>
    <mergeCell ref="AW62:AX62"/>
    <mergeCell ref="AY62:AZ62"/>
    <mergeCell ref="AU57:AV57"/>
    <mergeCell ref="AW57:AX57"/>
    <mergeCell ref="AY57:AZ57"/>
    <mergeCell ref="AU58:AV58"/>
    <mergeCell ref="AW58:AX58"/>
    <mergeCell ref="AY58:AZ58"/>
    <mergeCell ref="AU59:AV59"/>
    <mergeCell ref="AW59:AX59"/>
    <mergeCell ref="AY59:AZ59"/>
    <mergeCell ref="AU54:AV54"/>
    <mergeCell ref="AW54:AX54"/>
    <mergeCell ref="AY54:AZ54"/>
    <mergeCell ref="AU55:AV55"/>
    <mergeCell ref="AW55:AX55"/>
    <mergeCell ref="AY55:AZ55"/>
    <mergeCell ref="AU56:AV56"/>
    <mergeCell ref="AW56:AX56"/>
    <mergeCell ref="AY56:AZ56"/>
    <mergeCell ref="AU51:AV51"/>
    <mergeCell ref="AW51:AX51"/>
    <mergeCell ref="AY51:AZ51"/>
    <mergeCell ref="AU52:AV52"/>
    <mergeCell ref="AW52:AX52"/>
    <mergeCell ref="AY52:AZ52"/>
    <mergeCell ref="AU53:AV53"/>
    <mergeCell ref="AW53:AX53"/>
    <mergeCell ref="AY53:AZ53"/>
    <mergeCell ref="AU48:AV48"/>
    <mergeCell ref="AW48:AX48"/>
    <mergeCell ref="AY48:AZ48"/>
    <mergeCell ref="AU49:AV49"/>
    <mergeCell ref="AW49:AX49"/>
    <mergeCell ref="AY49:AZ49"/>
    <mergeCell ref="AU50:AV50"/>
    <mergeCell ref="AW50:AX50"/>
    <mergeCell ref="AY50:AZ50"/>
    <mergeCell ref="AU45:AV45"/>
    <mergeCell ref="AW45:AX45"/>
    <mergeCell ref="AY45:AZ45"/>
    <mergeCell ref="AU46:AV46"/>
    <mergeCell ref="AW46:AX46"/>
    <mergeCell ref="AY46:AZ46"/>
    <mergeCell ref="AU47:AV47"/>
    <mergeCell ref="AW47:AX47"/>
    <mergeCell ref="AY47:AZ47"/>
    <mergeCell ref="AU42:AV42"/>
    <mergeCell ref="AW42:AX42"/>
    <mergeCell ref="AY42:AZ42"/>
    <mergeCell ref="AU43:AV43"/>
    <mergeCell ref="AW43:AX43"/>
    <mergeCell ref="AY43:AZ43"/>
    <mergeCell ref="AU44:AV44"/>
    <mergeCell ref="AW44:AX44"/>
    <mergeCell ref="AY44:AZ44"/>
    <mergeCell ref="AU39:AV39"/>
    <mergeCell ref="AW39:AX39"/>
    <mergeCell ref="AY39:AZ39"/>
    <mergeCell ref="AU40:AV40"/>
    <mergeCell ref="AW40:AX40"/>
    <mergeCell ref="AY40:AZ40"/>
    <mergeCell ref="AU41:AV41"/>
    <mergeCell ref="AW41:AX41"/>
    <mergeCell ref="AY41:AZ41"/>
    <mergeCell ref="AU36:AV36"/>
    <mergeCell ref="AW36:AX36"/>
    <mergeCell ref="AY36:AZ36"/>
    <mergeCell ref="AU37:AV37"/>
    <mergeCell ref="AW37:AX37"/>
    <mergeCell ref="AY37:AZ37"/>
    <mergeCell ref="AU38:AV38"/>
    <mergeCell ref="AW38:AX38"/>
    <mergeCell ref="AY38:AZ38"/>
    <mergeCell ref="AU33:AV33"/>
    <mergeCell ref="AW33:AX33"/>
    <mergeCell ref="AY33:AZ33"/>
    <mergeCell ref="AU34:AV34"/>
    <mergeCell ref="AW34:AX34"/>
    <mergeCell ref="AY34:AZ34"/>
    <mergeCell ref="AU35:AV35"/>
    <mergeCell ref="AW35:AX35"/>
    <mergeCell ref="AY35:AZ35"/>
    <mergeCell ref="AU30:AV30"/>
    <mergeCell ref="AW30:AX30"/>
    <mergeCell ref="AY30:AZ30"/>
    <mergeCell ref="AU31:AV31"/>
    <mergeCell ref="AW31:AX31"/>
    <mergeCell ref="AY31:AZ31"/>
    <mergeCell ref="AU32:AV32"/>
    <mergeCell ref="AW32:AX32"/>
    <mergeCell ref="AY32:AZ32"/>
    <mergeCell ref="AU27:AV27"/>
    <mergeCell ref="AW27:AX27"/>
    <mergeCell ref="AY27:AZ27"/>
    <mergeCell ref="AU28:AV28"/>
    <mergeCell ref="AW28:AX28"/>
    <mergeCell ref="AY28:AZ28"/>
    <mergeCell ref="AU29:AV29"/>
    <mergeCell ref="AW29:AX29"/>
    <mergeCell ref="AY29:AZ29"/>
    <mergeCell ref="AU24:AV24"/>
    <mergeCell ref="AW24:AX24"/>
    <mergeCell ref="AY24:AZ24"/>
    <mergeCell ref="AU25:AV25"/>
    <mergeCell ref="AW25:AX25"/>
    <mergeCell ref="AY25:AZ25"/>
    <mergeCell ref="AU26:AV26"/>
    <mergeCell ref="AW26:AX26"/>
    <mergeCell ref="AY26:AZ26"/>
    <mergeCell ref="AU21:AV21"/>
    <mergeCell ref="AW21:AX21"/>
    <mergeCell ref="AY21:AZ21"/>
    <mergeCell ref="AU22:AV22"/>
    <mergeCell ref="AW22:AX22"/>
    <mergeCell ref="AY22:AZ22"/>
    <mergeCell ref="AU23:AV23"/>
    <mergeCell ref="AW23:AX23"/>
    <mergeCell ref="AY23:AZ23"/>
    <mergeCell ref="AU18:AV18"/>
    <mergeCell ref="AW18:AX18"/>
    <mergeCell ref="AY18:AZ18"/>
    <mergeCell ref="AU19:AV19"/>
    <mergeCell ref="AW19:AX19"/>
    <mergeCell ref="AY19:AZ19"/>
    <mergeCell ref="AU20:AV20"/>
    <mergeCell ref="AW20:AX20"/>
    <mergeCell ref="AY20:AZ20"/>
    <mergeCell ref="AW14:AX14"/>
    <mergeCell ref="AY14:AZ14"/>
    <mergeCell ref="AU15:AV15"/>
    <mergeCell ref="AW15:AX15"/>
    <mergeCell ref="AY15:AZ15"/>
    <mergeCell ref="AU16:AV16"/>
    <mergeCell ref="AW16:AX16"/>
    <mergeCell ref="AY16:AZ16"/>
    <mergeCell ref="AU17:AV17"/>
    <mergeCell ref="AW17:AX17"/>
    <mergeCell ref="AY17:AZ17"/>
    <mergeCell ref="X89:AE89"/>
    <mergeCell ref="P43:W43"/>
    <mergeCell ref="P44:W44"/>
    <mergeCell ref="P45:W45"/>
    <mergeCell ref="P46:W46"/>
    <mergeCell ref="P47:W47"/>
    <mergeCell ref="P48:W48"/>
    <mergeCell ref="X43:AE43"/>
    <mergeCell ref="X44:AE44"/>
    <mergeCell ref="X45:AE45"/>
    <mergeCell ref="X46:AE46"/>
    <mergeCell ref="X47:AE47"/>
    <mergeCell ref="X48:AE48"/>
    <mergeCell ref="X81:AE81"/>
    <mergeCell ref="X82:AE82"/>
    <mergeCell ref="X83:AE83"/>
    <mergeCell ref="X63:AE63"/>
    <mergeCell ref="X58:AE58"/>
    <mergeCell ref="X59:AE59"/>
    <mergeCell ref="AF55:AN55"/>
    <mergeCell ref="AF36:AN36"/>
    <mergeCell ref="AF37:AN37"/>
    <mergeCell ref="AF38:AN38"/>
    <mergeCell ref="AF39:AN39"/>
    <mergeCell ref="AF40:AN40"/>
    <mergeCell ref="AF41:AN41"/>
    <mergeCell ref="AF42:AN42"/>
    <mergeCell ref="AF49:AN49"/>
    <mergeCell ref="AF50:AN50"/>
    <mergeCell ref="AF31:AN31"/>
    <mergeCell ref="AF32:AN32"/>
    <mergeCell ref="AF33:AN33"/>
    <mergeCell ref="AF34:AN34"/>
    <mergeCell ref="AF35:AN35"/>
    <mergeCell ref="AF51:AN51"/>
    <mergeCell ref="AF52:AN52"/>
    <mergeCell ref="AF53:AN53"/>
    <mergeCell ref="AF54:AN54"/>
    <mergeCell ref="X90:AE90"/>
    <mergeCell ref="X91:AE91"/>
    <mergeCell ref="X64:AE64"/>
    <mergeCell ref="X65:AE65"/>
    <mergeCell ref="X66:AE66"/>
    <mergeCell ref="X67:AE67"/>
    <mergeCell ref="X68:AE68"/>
    <mergeCell ref="X69:AE69"/>
    <mergeCell ref="X70:AE70"/>
    <mergeCell ref="X71:AE71"/>
    <mergeCell ref="X72:AE72"/>
    <mergeCell ref="X73:AE73"/>
    <mergeCell ref="X74:AE74"/>
    <mergeCell ref="X75:AE75"/>
    <mergeCell ref="X76:AE76"/>
    <mergeCell ref="X77:AE77"/>
    <mergeCell ref="X78:AE78"/>
    <mergeCell ref="X79:AE79"/>
    <mergeCell ref="X80:AE80"/>
    <mergeCell ref="X84:AE84"/>
    <mergeCell ref="X85:AE85"/>
    <mergeCell ref="X86:AE86"/>
    <mergeCell ref="X87:AE87"/>
    <mergeCell ref="X88:AE88"/>
    <mergeCell ref="L51:O51"/>
    <mergeCell ref="P49:W49"/>
    <mergeCell ref="X51:AE51"/>
    <mergeCell ref="X52:AE52"/>
    <mergeCell ref="X53:AE53"/>
    <mergeCell ref="X54:AE54"/>
    <mergeCell ref="X55:AE55"/>
    <mergeCell ref="X56:AE56"/>
    <mergeCell ref="X57:AE57"/>
    <mergeCell ref="P50:W50"/>
    <mergeCell ref="X50:AE50"/>
    <mergeCell ref="X49:AE49"/>
    <mergeCell ref="B2:G2"/>
    <mergeCell ref="H2:K2"/>
    <mergeCell ref="L2:Q2"/>
    <mergeCell ref="R2:W2"/>
    <mergeCell ref="X2:AJ2"/>
    <mergeCell ref="AK2:AW2"/>
    <mergeCell ref="X60:AE60"/>
    <mergeCell ref="X61:AE61"/>
    <mergeCell ref="X62:AE62"/>
    <mergeCell ref="AF16:AN16"/>
    <mergeCell ref="AF17:AN17"/>
    <mergeCell ref="AF18:AN18"/>
    <mergeCell ref="AF19:AN19"/>
    <mergeCell ref="AF20:AN20"/>
    <mergeCell ref="AF21:AN21"/>
    <mergeCell ref="AF22:AN22"/>
    <mergeCell ref="AF23:AN23"/>
    <mergeCell ref="AF24:AN24"/>
    <mergeCell ref="AF25:AN25"/>
    <mergeCell ref="AF26:AN26"/>
    <mergeCell ref="AF27:AN27"/>
    <mergeCell ref="AF28:AN28"/>
    <mergeCell ref="AF29:AN29"/>
    <mergeCell ref="AF30:AN3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B3:G4"/>
    <mergeCell ref="H3:K4"/>
    <mergeCell ref="L3:Q4"/>
    <mergeCell ref="R3:W4"/>
    <mergeCell ref="X3:AJ4"/>
    <mergeCell ref="AO8:AT8"/>
    <mergeCell ref="AS10:AT10"/>
    <mergeCell ref="AU10:AV10"/>
    <mergeCell ref="AW10:AX10"/>
    <mergeCell ref="AO9:AP9"/>
    <mergeCell ref="AQ9:AR9"/>
    <mergeCell ref="AS9:AT9"/>
    <mergeCell ref="AU9:AV9"/>
    <mergeCell ref="AW9:AX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P12:W12"/>
    <mergeCell ref="X12:AE12"/>
    <mergeCell ref="P13:W13"/>
    <mergeCell ref="X13:AE13"/>
    <mergeCell ref="P14:W14"/>
    <mergeCell ref="X14:AE14"/>
    <mergeCell ref="P11:W11"/>
    <mergeCell ref="X11:AE11"/>
    <mergeCell ref="AY9:AZ9"/>
    <mergeCell ref="AY10:AZ10"/>
    <mergeCell ref="AO11:AP11"/>
    <mergeCell ref="AO12:AP12"/>
    <mergeCell ref="AO13:AP13"/>
    <mergeCell ref="AO14:AP14"/>
    <mergeCell ref="AU11:AV11"/>
    <mergeCell ref="AW11:AX11"/>
    <mergeCell ref="AY11:AZ11"/>
    <mergeCell ref="AU12:AV12"/>
    <mergeCell ref="AW12:AX12"/>
    <mergeCell ref="AY12:AZ12"/>
    <mergeCell ref="AU13:AV13"/>
    <mergeCell ref="AW13:AX13"/>
    <mergeCell ref="AY13:AZ13"/>
    <mergeCell ref="AU14:AV14"/>
    <mergeCell ref="P18:W18"/>
    <mergeCell ref="X18:AE18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P23:W23"/>
    <mergeCell ref="X23:AE23"/>
    <mergeCell ref="P24:W24"/>
    <mergeCell ref="X24:AE24"/>
    <mergeCell ref="P25:W25"/>
    <mergeCell ref="X25:AE25"/>
    <mergeCell ref="P21:W21"/>
    <mergeCell ref="X21:AE21"/>
    <mergeCell ref="P22:W22"/>
    <mergeCell ref="X22:AE22"/>
    <mergeCell ref="P29:W29"/>
    <mergeCell ref="X29:AE29"/>
    <mergeCell ref="P30:W30"/>
    <mergeCell ref="X30:AE30"/>
    <mergeCell ref="P31:W31"/>
    <mergeCell ref="X31:AE31"/>
    <mergeCell ref="P26:W26"/>
    <mergeCell ref="X26:AE26"/>
    <mergeCell ref="P27:W27"/>
    <mergeCell ref="X27:AE27"/>
    <mergeCell ref="P28:W28"/>
    <mergeCell ref="X28:AE28"/>
    <mergeCell ref="P35:W35"/>
    <mergeCell ref="X35:AE35"/>
    <mergeCell ref="P36:W36"/>
    <mergeCell ref="X36:AE36"/>
    <mergeCell ref="P37:W37"/>
    <mergeCell ref="X37:AE37"/>
    <mergeCell ref="P32:W32"/>
    <mergeCell ref="X32:AE32"/>
    <mergeCell ref="P33:W33"/>
    <mergeCell ref="X33:AE33"/>
    <mergeCell ref="P34:W34"/>
    <mergeCell ref="X34:AE34"/>
    <mergeCell ref="X40:AE40"/>
    <mergeCell ref="P40:W40"/>
    <mergeCell ref="X39:AE39"/>
    <mergeCell ref="P39:W39"/>
    <mergeCell ref="P41:W41"/>
    <mergeCell ref="X41:AE41"/>
    <mergeCell ref="P42:W42"/>
    <mergeCell ref="X42:AE42"/>
    <mergeCell ref="P38:W38"/>
    <mergeCell ref="X38:AE38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Q11:AR11"/>
    <mergeCell ref="AS11:AT11"/>
    <mergeCell ref="AQ12:AR12"/>
    <mergeCell ref="AS12:AT12"/>
    <mergeCell ref="AQ13:AR13"/>
    <mergeCell ref="AS13:AT13"/>
    <mergeCell ref="AQ14:AR14"/>
    <mergeCell ref="AS14:AT14"/>
    <mergeCell ref="AQ15:AR15"/>
    <mergeCell ref="AS15:AT15"/>
    <mergeCell ref="AQ16:AR16"/>
    <mergeCell ref="AS16:AT16"/>
    <mergeCell ref="AQ17:AR17"/>
    <mergeCell ref="AS17:AT17"/>
    <mergeCell ref="AQ18:AR18"/>
    <mergeCell ref="AS18:AT18"/>
    <mergeCell ref="AQ19:AR19"/>
    <mergeCell ref="AS19:AT19"/>
    <mergeCell ref="AQ20:AR20"/>
    <mergeCell ref="AS20:AT20"/>
    <mergeCell ref="AQ21:AR21"/>
    <mergeCell ref="AS21:AT21"/>
    <mergeCell ref="AQ22:AR22"/>
    <mergeCell ref="AS22:AT22"/>
    <mergeCell ref="AQ23:AR23"/>
    <mergeCell ref="AS23:AT23"/>
    <mergeCell ref="AQ24:AR24"/>
    <mergeCell ref="AS24:AT24"/>
    <mergeCell ref="AQ25:AR25"/>
    <mergeCell ref="AS25:AT25"/>
    <mergeCell ref="AQ26:AR26"/>
    <mergeCell ref="AS26:AT26"/>
    <mergeCell ref="AQ27:AR27"/>
    <mergeCell ref="AS27:AT27"/>
    <mergeCell ref="AQ28:AR28"/>
    <mergeCell ref="AS28:AT28"/>
    <mergeCell ref="AQ29:AR29"/>
    <mergeCell ref="AS29:AT29"/>
    <mergeCell ref="AQ30:AR30"/>
    <mergeCell ref="AS30:AT30"/>
    <mergeCell ref="AQ31:AR31"/>
    <mergeCell ref="AS31:AT31"/>
    <mergeCell ref="AQ32:AR32"/>
    <mergeCell ref="AS32:AT32"/>
    <mergeCell ref="AQ33:AR33"/>
    <mergeCell ref="AS33:AT33"/>
    <mergeCell ref="AQ34:AR34"/>
    <mergeCell ref="AS34:AT34"/>
    <mergeCell ref="AQ35:AR35"/>
    <mergeCell ref="AS35:AT35"/>
    <mergeCell ref="AQ36:AR36"/>
    <mergeCell ref="AS36:AT36"/>
    <mergeCell ref="AQ37:AR37"/>
    <mergeCell ref="AS37:AT37"/>
    <mergeCell ref="AQ38:AR38"/>
    <mergeCell ref="AS38:AT38"/>
    <mergeCell ref="AQ39:AR39"/>
    <mergeCell ref="AS39:AT39"/>
    <mergeCell ref="AQ40:AR40"/>
    <mergeCell ref="AS40:AT40"/>
    <mergeCell ref="AQ41:AR41"/>
    <mergeCell ref="AS41:AT41"/>
    <mergeCell ref="AQ42:AR42"/>
    <mergeCell ref="AS42:AT42"/>
    <mergeCell ref="AQ43:AR43"/>
    <mergeCell ref="AS43:AT43"/>
    <mergeCell ref="AQ44:AR44"/>
    <mergeCell ref="AS44:AT44"/>
    <mergeCell ref="AQ45:AR45"/>
    <mergeCell ref="AS45:AT45"/>
    <mergeCell ref="AQ46:AR46"/>
    <mergeCell ref="AS46:AT46"/>
    <mergeCell ref="AQ47:AR47"/>
    <mergeCell ref="AS47:AT47"/>
    <mergeCell ref="AQ48:AR48"/>
    <mergeCell ref="AS48:AT48"/>
    <mergeCell ref="AQ49:AR49"/>
    <mergeCell ref="AS49:AT49"/>
    <mergeCell ref="AQ50:AR50"/>
    <mergeCell ref="AS50:AT50"/>
    <mergeCell ref="AQ51:AR51"/>
    <mergeCell ref="AS51:AT51"/>
    <mergeCell ref="AQ52:AR52"/>
    <mergeCell ref="AS52:AT52"/>
    <mergeCell ref="AQ53:AR53"/>
    <mergeCell ref="AS53:AT53"/>
    <mergeCell ref="AQ54:AR54"/>
    <mergeCell ref="AS54:AT54"/>
    <mergeCell ref="AQ55:AR55"/>
    <mergeCell ref="AS55:AT55"/>
    <mergeCell ref="AQ56:AR56"/>
    <mergeCell ref="AS56:AT56"/>
    <mergeCell ref="AQ57:AR57"/>
    <mergeCell ref="AS57:AT57"/>
    <mergeCell ref="AQ58:AR58"/>
    <mergeCell ref="AS58:AT58"/>
    <mergeCell ref="AQ59:AR59"/>
    <mergeCell ref="AS59:AT59"/>
    <mergeCell ref="AQ60:AR60"/>
    <mergeCell ref="AS60:AT60"/>
    <mergeCell ref="AQ61:AR61"/>
    <mergeCell ref="AS61:AT61"/>
    <mergeCell ref="AQ62:AR62"/>
    <mergeCell ref="AS62:AT62"/>
    <mergeCell ref="AQ63:AR63"/>
    <mergeCell ref="AS63:AT63"/>
    <mergeCell ref="AQ64:AR64"/>
    <mergeCell ref="AS64:AT64"/>
    <mergeCell ref="AQ65:AR65"/>
    <mergeCell ref="AS65:AT65"/>
    <mergeCell ref="AQ66:AR66"/>
    <mergeCell ref="AS66:AT66"/>
    <mergeCell ref="AQ67:AR67"/>
    <mergeCell ref="AS67:AT67"/>
    <mergeCell ref="AQ68:AR68"/>
    <mergeCell ref="AS68:AT68"/>
    <mergeCell ref="AQ69:AR69"/>
    <mergeCell ref="AS69:AT69"/>
    <mergeCell ref="AQ70:AR70"/>
    <mergeCell ref="AS70:AT70"/>
    <mergeCell ref="AQ71:AR71"/>
    <mergeCell ref="AS71:AT71"/>
    <mergeCell ref="AQ72:AR72"/>
    <mergeCell ref="AS72:AT72"/>
    <mergeCell ref="AQ73:AR73"/>
    <mergeCell ref="AS73:AT73"/>
    <mergeCell ref="AQ74:AR74"/>
    <mergeCell ref="AS74:AT74"/>
    <mergeCell ref="AQ75:AR75"/>
    <mergeCell ref="AS75:AT75"/>
    <mergeCell ref="AQ76:AR76"/>
    <mergeCell ref="AS76:AT76"/>
    <mergeCell ref="AQ77:AR77"/>
    <mergeCell ref="AS77:AT77"/>
    <mergeCell ref="AQ78:AR78"/>
    <mergeCell ref="AS78:AT78"/>
    <mergeCell ref="AQ79:AR79"/>
    <mergeCell ref="AS79:AT79"/>
    <mergeCell ref="AQ80:AR80"/>
    <mergeCell ref="AS80:AT80"/>
    <mergeCell ref="AQ81:AR81"/>
    <mergeCell ref="AS81:AT81"/>
    <mergeCell ref="AQ82:AR82"/>
    <mergeCell ref="AS82:AT82"/>
    <mergeCell ref="AQ83:AR83"/>
    <mergeCell ref="AS83:AT83"/>
    <mergeCell ref="AQ84:AR84"/>
    <mergeCell ref="AS84:AT84"/>
    <mergeCell ref="AQ90:AR90"/>
    <mergeCell ref="AS90:AT90"/>
    <mergeCell ref="AQ91:AR91"/>
    <mergeCell ref="AS91:AT91"/>
    <mergeCell ref="AQ85:AR85"/>
    <mergeCell ref="AS85:AT85"/>
    <mergeCell ref="AQ86:AR86"/>
    <mergeCell ref="AS86:AT86"/>
    <mergeCell ref="AQ87:AR87"/>
    <mergeCell ref="AS87:AT87"/>
    <mergeCell ref="AQ88:AR88"/>
    <mergeCell ref="AS88:AT88"/>
    <mergeCell ref="AQ89:AR89"/>
    <mergeCell ref="AS89:AT89"/>
  </mergeCells>
  <phoneticPr fontId="2"/>
  <conditionalFormatting sqref="AY10 AS10:AS91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Y11:AY91">
    <cfRule type="cellIs" dxfId="3" priority="1" operator="equal">
      <formula>"OK"</formula>
    </cfRule>
    <cfRule type="cellIs" dxfId="2" priority="2" operator="equal">
      <formula>"NG"</formula>
    </cfRule>
  </conditionalFormatting>
  <dataValidations count="1">
    <dataValidation type="list" allowBlank="1" showInputMessage="1" showErrorMessage="1" sqref="AS10:AS91 AY10:AY9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9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2" customWidth="1"/>
    <col min="2" max="65" width="3.69921875" style="32" customWidth="1"/>
    <col min="66" max="66" width="1.09765625" style="32" customWidth="1"/>
    <col min="67" max="16384" width="3.59765625" style="32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33"/>
      <c r="B2" s="93" t="s">
        <v>0</v>
      </c>
      <c r="C2" s="94"/>
      <c r="D2" s="94"/>
      <c r="E2" s="94"/>
      <c r="F2" s="94"/>
      <c r="G2" s="94"/>
      <c r="H2" s="94" t="s">
        <v>40</v>
      </c>
      <c r="I2" s="94"/>
      <c r="J2" s="94"/>
      <c r="K2" s="94"/>
      <c r="L2" s="94" t="s">
        <v>41</v>
      </c>
      <c r="M2" s="94"/>
      <c r="N2" s="94"/>
      <c r="O2" s="94"/>
      <c r="P2" s="94"/>
      <c r="Q2" s="94"/>
      <c r="R2" s="94" t="s">
        <v>1</v>
      </c>
      <c r="S2" s="94"/>
      <c r="T2" s="94"/>
      <c r="U2" s="94"/>
      <c r="V2" s="94"/>
      <c r="W2" s="94"/>
      <c r="X2" s="95" t="s">
        <v>2</v>
      </c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7"/>
      <c r="AK2" s="95" t="s">
        <v>30</v>
      </c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7"/>
      <c r="AX2" s="94" t="s">
        <v>4</v>
      </c>
      <c r="AY2" s="94"/>
      <c r="AZ2" s="94"/>
      <c r="BA2" s="94"/>
      <c r="BB2" s="94" t="s">
        <v>3</v>
      </c>
      <c r="BC2" s="94"/>
      <c r="BD2" s="94"/>
      <c r="BE2" s="94"/>
      <c r="BF2" s="94" t="s">
        <v>5</v>
      </c>
      <c r="BG2" s="94"/>
      <c r="BH2" s="94"/>
      <c r="BI2" s="94"/>
      <c r="BJ2" s="94" t="s">
        <v>6</v>
      </c>
      <c r="BK2" s="94"/>
      <c r="BL2" s="94"/>
      <c r="BM2" s="108"/>
      <c r="BN2" s="34"/>
    </row>
    <row r="3" spans="1:66" ht="20.100000000000001" customHeight="1" x14ac:dyDescent="0.45">
      <c r="A3" s="33"/>
      <c r="B3" s="98" t="str">
        <f>変更履歴!B3</f>
        <v>受発注システム</v>
      </c>
      <c r="C3" s="99"/>
      <c r="D3" s="99"/>
      <c r="E3" s="99"/>
      <c r="F3" s="99"/>
      <c r="G3" s="99"/>
      <c r="H3" s="99" t="str">
        <f ca="1">変更履歴!H3</f>
        <v>マスタ</v>
      </c>
      <c r="I3" s="99"/>
      <c r="J3" s="99"/>
      <c r="K3" s="99"/>
      <c r="L3" s="99" t="str">
        <f>変更履歴!L3</f>
        <v>受発注</v>
      </c>
      <c r="M3" s="99"/>
      <c r="N3" s="99"/>
      <c r="O3" s="99"/>
      <c r="P3" s="99"/>
      <c r="Q3" s="99"/>
      <c r="R3" s="99" t="str">
        <f ca="1">変更履歴!R3</f>
        <v>結合試験項目</v>
      </c>
      <c r="S3" s="99"/>
      <c r="T3" s="99"/>
      <c r="U3" s="99"/>
      <c r="V3" s="99"/>
      <c r="W3" s="99"/>
      <c r="X3" s="103" t="str">
        <f ca="1">変更履歴!X3</f>
        <v>マスタ_三和サービス実績入力_結合試験項目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0"/>
      <c r="AK3" s="103" t="str">
        <f ca="1">変更履歴!AK3</f>
        <v>三和サービス実績入力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0"/>
      <c r="AX3" s="110">
        <f>変更履歴!AX3</f>
        <v>45636</v>
      </c>
      <c r="AY3" s="110"/>
      <c r="AZ3" s="110"/>
      <c r="BA3" s="110"/>
      <c r="BB3" s="99" t="str">
        <f>変更履歴!BB3</f>
        <v>榎本</v>
      </c>
      <c r="BC3" s="99"/>
      <c r="BD3" s="99"/>
      <c r="BE3" s="99"/>
      <c r="BF3" s="110">
        <f>変更履歴!BF3</f>
        <v>45636</v>
      </c>
      <c r="BG3" s="110"/>
      <c r="BH3" s="110"/>
      <c r="BI3" s="110"/>
      <c r="BJ3" s="99" t="str">
        <f>変更履歴!BJ3</f>
        <v>榎本</v>
      </c>
      <c r="BK3" s="99"/>
      <c r="BL3" s="99"/>
      <c r="BM3" s="111"/>
      <c r="BN3" s="34"/>
    </row>
    <row r="4" spans="1:66" ht="20.100000000000001" customHeight="1" thickBot="1" x14ac:dyDescent="0.5">
      <c r="A4" s="33"/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37"/>
      <c r="AY4" s="137"/>
      <c r="AZ4" s="137"/>
      <c r="BA4" s="137"/>
      <c r="BB4" s="101"/>
      <c r="BC4" s="101"/>
      <c r="BD4" s="101"/>
      <c r="BE4" s="101"/>
      <c r="BF4" s="137"/>
      <c r="BG4" s="137"/>
      <c r="BH4" s="137"/>
      <c r="BI4" s="137"/>
      <c r="BJ4" s="101"/>
      <c r="BK4" s="101"/>
      <c r="BL4" s="101"/>
      <c r="BM4" s="103"/>
      <c r="BN4" s="3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8.4" customHeight="1" thickTop="1" thickBot="1" x14ac:dyDescent="0.5">
      <c r="A6" s="3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34"/>
    </row>
    <row r="7" spans="1:66" ht="13.8" thickTop="1" thickBot="1" x14ac:dyDescent="0.5">
      <c r="A7" s="3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E7" s="138" t="s">
        <v>32</v>
      </c>
      <c r="BF7" s="139"/>
      <c r="BG7" s="142" t="s">
        <v>31</v>
      </c>
      <c r="BH7" s="142"/>
      <c r="BI7" s="143" t="s">
        <v>33</v>
      </c>
      <c r="BJ7" s="144"/>
      <c r="BK7" s="143" t="s">
        <v>34</v>
      </c>
      <c r="BL7" s="136"/>
      <c r="BM7" s="7"/>
      <c r="BN7" s="34"/>
    </row>
    <row r="8" spans="1:66" ht="13.8" thickTop="1" thickBot="1" x14ac:dyDescent="0.5">
      <c r="A8" s="3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L8" s="7"/>
      <c r="AM8" s="7"/>
      <c r="AO8" s="134" t="s">
        <v>35</v>
      </c>
      <c r="AP8" s="135"/>
      <c r="AQ8" s="135"/>
      <c r="AR8" s="135"/>
      <c r="AS8" s="135"/>
      <c r="AT8" s="136"/>
      <c r="AU8" s="134" t="s">
        <v>36</v>
      </c>
      <c r="AV8" s="135"/>
      <c r="AW8" s="135"/>
      <c r="AX8" s="135"/>
      <c r="AY8" s="135"/>
      <c r="AZ8" s="136"/>
      <c r="BE8" s="140"/>
      <c r="BF8" s="141"/>
      <c r="BG8" s="124">
        <f>COUNTA(C10:C92)</f>
        <v>83</v>
      </c>
      <c r="BH8" s="125"/>
      <c r="BI8" s="124">
        <f>COUNTIF(AS10:AT92,"OK")+COUNTIF(AY10:AZ92,"OK")</f>
        <v>83</v>
      </c>
      <c r="BJ8" s="125"/>
      <c r="BK8" s="124">
        <f>BG8-BI8</f>
        <v>0</v>
      </c>
      <c r="BL8" s="145"/>
      <c r="BM8" s="7"/>
      <c r="BN8" s="34"/>
    </row>
    <row r="9" spans="1:66" ht="20.100000000000001" customHeight="1" thickTop="1" x14ac:dyDescent="0.45">
      <c r="A9" s="33"/>
      <c r="B9" s="7"/>
      <c r="C9" s="16" t="s">
        <v>12</v>
      </c>
      <c r="D9" s="27" t="s">
        <v>21</v>
      </c>
      <c r="E9" s="28"/>
      <c r="F9" s="28"/>
      <c r="G9" s="28"/>
      <c r="H9" s="27" t="s">
        <v>22</v>
      </c>
      <c r="I9" s="28"/>
      <c r="J9" s="28"/>
      <c r="K9" s="29"/>
      <c r="L9" s="27" t="s">
        <v>23</v>
      </c>
      <c r="M9" s="28"/>
      <c r="N9" s="28"/>
      <c r="O9" s="28"/>
      <c r="P9" s="27" t="s">
        <v>37</v>
      </c>
      <c r="Q9" s="28"/>
      <c r="R9" s="28"/>
      <c r="S9" s="28"/>
      <c r="T9" s="28"/>
      <c r="U9" s="28"/>
      <c r="V9" s="28"/>
      <c r="W9" s="28"/>
      <c r="X9" s="27" t="s">
        <v>24</v>
      </c>
      <c r="Y9" s="28"/>
      <c r="Z9" s="28"/>
      <c r="AA9" s="28"/>
      <c r="AB9" s="28"/>
      <c r="AC9" s="28"/>
      <c r="AD9" s="28"/>
      <c r="AE9" s="28"/>
      <c r="AF9" s="27" t="s">
        <v>28</v>
      </c>
      <c r="AG9" s="28"/>
      <c r="AH9" s="28"/>
      <c r="AI9" s="28"/>
      <c r="AJ9" s="28"/>
      <c r="AK9" s="28"/>
      <c r="AL9" s="28"/>
      <c r="AM9" s="28"/>
      <c r="AN9" s="30"/>
      <c r="AO9" s="152" t="s">
        <v>25</v>
      </c>
      <c r="AP9" s="153"/>
      <c r="AQ9" s="149" t="s">
        <v>26</v>
      </c>
      <c r="AR9" s="153"/>
      <c r="AS9" s="149" t="s">
        <v>29</v>
      </c>
      <c r="AT9" s="150"/>
      <c r="AU9" s="152" t="s">
        <v>25</v>
      </c>
      <c r="AV9" s="153"/>
      <c r="AW9" s="149" t="s">
        <v>26</v>
      </c>
      <c r="AX9" s="153"/>
      <c r="AY9" s="149" t="s">
        <v>29</v>
      </c>
      <c r="AZ9" s="150"/>
      <c r="BA9" s="151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34"/>
      <c r="BN9" s="34"/>
    </row>
    <row r="10" spans="1:66" ht="24" customHeight="1" x14ac:dyDescent="0.45">
      <c r="A10" s="33"/>
      <c r="B10" s="33"/>
      <c r="C10" s="38">
        <f>ROW()-9</f>
        <v>1</v>
      </c>
      <c r="D10" s="127" t="s">
        <v>59</v>
      </c>
      <c r="E10" s="128"/>
      <c r="F10" s="128"/>
      <c r="G10" s="129"/>
      <c r="H10" s="127" t="s">
        <v>42</v>
      </c>
      <c r="I10" s="128"/>
      <c r="J10" s="128"/>
      <c r="K10" s="129"/>
      <c r="L10" s="130" t="s">
        <v>60</v>
      </c>
      <c r="M10" s="131"/>
      <c r="N10" s="131"/>
      <c r="O10" s="132"/>
      <c r="P10" s="130" t="s">
        <v>104</v>
      </c>
      <c r="Q10" s="131"/>
      <c r="R10" s="131"/>
      <c r="S10" s="131"/>
      <c r="T10" s="131"/>
      <c r="U10" s="131"/>
      <c r="V10" s="131"/>
      <c r="W10" s="132"/>
      <c r="X10" s="130" t="s">
        <v>101</v>
      </c>
      <c r="Y10" s="131"/>
      <c r="Z10" s="131"/>
      <c r="AA10" s="131"/>
      <c r="AB10" s="131"/>
      <c r="AC10" s="131"/>
      <c r="AD10" s="131"/>
      <c r="AE10" s="132"/>
      <c r="AF10" s="130"/>
      <c r="AG10" s="131"/>
      <c r="AH10" s="131"/>
      <c r="AI10" s="131"/>
      <c r="AJ10" s="131"/>
      <c r="AK10" s="131"/>
      <c r="AL10" s="131"/>
      <c r="AM10" s="131"/>
      <c r="AN10" s="133"/>
      <c r="AO10" s="119">
        <v>45683</v>
      </c>
      <c r="AP10" s="120"/>
      <c r="AQ10" s="118" t="s">
        <v>107</v>
      </c>
      <c r="AR10" s="114"/>
      <c r="AS10" s="118" t="s">
        <v>108</v>
      </c>
      <c r="AT10" s="121"/>
      <c r="AU10" s="119">
        <v>45688</v>
      </c>
      <c r="AV10" s="120"/>
      <c r="AW10" s="118" t="s">
        <v>107</v>
      </c>
      <c r="AX10" s="114"/>
      <c r="AY10" s="118" t="s">
        <v>110</v>
      </c>
      <c r="AZ10" s="121"/>
      <c r="BA10" s="146" t="s">
        <v>113</v>
      </c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8"/>
      <c r="BM10" s="34"/>
      <c r="BN10" s="34"/>
    </row>
    <row r="11" spans="1:66" ht="24" customHeight="1" x14ac:dyDescent="0.45">
      <c r="A11" s="33"/>
      <c r="B11" s="33"/>
      <c r="C11" s="38">
        <f t="shared" ref="C11:C92" si="0">ROW()-9</f>
        <v>2</v>
      </c>
      <c r="D11" s="35"/>
      <c r="E11" s="36"/>
      <c r="F11" s="36"/>
      <c r="G11" s="37"/>
      <c r="H11" s="35"/>
      <c r="I11" s="36"/>
      <c r="J11" s="36"/>
      <c r="K11" s="37"/>
      <c r="L11" s="130" t="s">
        <v>61</v>
      </c>
      <c r="M11" s="131"/>
      <c r="N11" s="131"/>
      <c r="O11" s="132"/>
      <c r="P11" s="130" t="s">
        <v>104</v>
      </c>
      <c r="Q11" s="131"/>
      <c r="R11" s="131"/>
      <c r="S11" s="131"/>
      <c r="T11" s="131"/>
      <c r="U11" s="131"/>
      <c r="V11" s="131"/>
      <c r="W11" s="132"/>
      <c r="X11" s="130" t="s">
        <v>101</v>
      </c>
      <c r="Y11" s="131"/>
      <c r="Z11" s="131"/>
      <c r="AA11" s="131"/>
      <c r="AB11" s="131"/>
      <c r="AC11" s="131"/>
      <c r="AD11" s="131"/>
      <c r="AE11" s="132"/>
      <c r="AF11" s="31"/>
      <c r="AG11" s="47"/>
      <c r="AH11" s="47"/>
      <c r="AI11" s="47"/>
      <c r="AJ11" s="47"/>
      <c r="AK11" s="47"/>
      <c r="AL11" s="47"/>
      <c r="AM11" s="47"/>
      <c r="AN11" s="52"/>
      <c r="AO11" s="119">
        <v>45683</v>
      </c>
      <c r="AP11" s="120"/>
      <c r="AQ11" s="118" t="s">
        <v>107</v>
      </c>
      <c r="AR11" s="114"/>
      <c r="AS11" s="118" t="s">
        <v>108</v>
      </c>
      <c r="AT11" s="121"/>
      <c r="AU11" s="119">
        <v>45688</v>
      </c>
      <c r="AV11" s="120"/>
      <c r="AW11" s="118" t="s">
        <v>107</v>
      </c>
      <c r="AX11" s="114"/>
      <c r="AY11" s="118" t="s">
        <v>110</v>
      </c>
      <c r="AZ11" s="121"/>
      <c r="BA11" s="146" t="s">
        <v>113</v>
      </c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8"/>
      <c r="BM11" s="34"/>
      <c r="BN11" s="34"/>
    </row>
    <row r="12" spans="1:66" ht="24" customHeight="1" x14ac:dyDescent="0.45">
      <c r="A12" s="33"/>
      <c r="B12" s="33"/>
      <c r="C12" s="38">
        <f t="shared" si="0"/>
        <v>3</v>
      </c>
      <c r="D12" s="35"/>
      <c r="E12" s="36"/>
      <c r="F12" s="36"/>
      <c r="G12" s="37"/>
      <c r="H12" s="35"/>
      <c r="I12" s="36"/>
      <c r="J12" s="36"/>
      <c r="K12" s="37"/>
      <c r="L12" s="130" t="s">
        <v>62</v>
      </c>
      <c r="M12" s="131"/>
      <c r="N12" s="131"/>
      <c r="O12" s="132"/>
      <c r="P12" s="130" t="s">
        <v>104</v>
      </c>
      <c r="Q12" s="131"/>
      <c r="R12" s="131"/>
      <c r="S12" s="131"/>
      <c r="T12" s="131"/>
      <c r="U12" s="131"/>
      <c r="V12" s="131"/>
      <c r="W12" s="132"/>
      <c r="X12" s="130" t="s">
        <v>101</v>
      </c>
      <c r="Y12" s="131"/>
      <c r="Z12" s="131"/>
      <c r="AA12" s="131"/>
      <c r="AB12" s="131"/>
      <c r="AC12" s="131"/>
      <c r="AD12" s="131"/>
      <c r="AE12" s="132"/>
      <c r="AF12" s="46"/>
      <c r="AG12" s="47"/>
      <c r="AH12" s="47"/>
      <c r="AI12" s="47"/>
      <c r="AJ12" s="47"/>
      <c r="AK12" s="47"/>
      <c r="AL12" s="47"/>
      <c r="AM12" s="47"/>
      <c r="AN12" s="52"/>
      <c r="AO12" s="119">
        <v>45683</v>
      </c>
      <c r="AP12" s="120"/>
      <c r="AQ12" s="118" t="s">
        <v>107</v>
      </c>
      <c r="AR12" s="114"/>
      <c r="AS12" s="118" t="s">
        <v>108</v>
      </c>
      <c r="AT12" s="121"/>
      <c r="AU12" s="119">
        <v>45688</v>
      </c>
      <c r="AV12" s="120"/>
      <c r="AW12" s="118" t="s">
        <v>107</v>
      </c>
      <c r="AX12" s="114"/>
      <c r="AY12" s="118" t="s">
        <v>110</v>
      </c>
      <c r="AZ12" s="121"/>
      <c r="BA12" s="146" t="s">
        <v>113</v>
      </c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8"/>
      <c r="BM12" s="34"/>
      <c r="BN12" s="34"/>
    </row>
    <row r="13" spans="1:66" ht="24" customHeight="1" x14ac:dyDescent="0.45">
      <c r="A13" s="33"/>
      <c r="B13" s="33"/>
      <c r="C13" s="38">
        <f t="shared" si="0"/>
        <v>4</v>
      </c>
      <c r="D13" s="35"/>
      <c r="E13" s="36"/>
      <c r="F13" s="36"/>
      <c r="G13" s="37"/>
      <c r="H13" s="35"/>
      <c r="I13" s="36"/>
      <c r="J13" s="36"/>
      <c r="K13" s="37"/>
      <c r="L13" s="130" t="s">
        <v>63</v>
      </c>
      <c r="M13" s="131"/>
      <c r="N13" s="131"/>
      <c r="O13" s="132"/>
      <c r="P13" s="130" t="s">
        <v>104</v>
      </c>
      <c r="Q13" s="131"/>
      <c r="R13" s="131"/>
      <c r="S13" s="131"/>
      <c r="T13" s="131"/>
      <c r="U13" s="131"/>
      <c r="V13" s="131"/>
      <c r="W13" s="132"/>
      <c r="X13" s="130" t="s">
        <v>101</v>
      </c>
      <c r="Y13" s="131"/>
      <c r="Z13" s="131"/>
      <c r="AA13" s="131"/>
      <c r="AB13" s="131"/>
      <c r="AC13" s="131"/>
      <c r="AD13" s="131"/>
      <c r="AE13" s="132"/>
      <c r="AF13" s="46"/>
      <c r="AG13" s="47"/>
      <c r="AH13" s="47"/>
      <c r="AI13" s="47"/>
      <c r="AJ13" s="47"/>
      <c r="AK13" s="47"/>
      <c r="AL13" s="47"/>
      <c r="AM13" s="47"/>
      <c r="AN13" s="52"/>
      <c r="AO13" s="119">
        <v>45683</v>
      </c>
      <c r="AP13" s="120"/>
      <c r="AQ13" s="118" t="s">
        <v>107</v>
      </c>
      <c r="AR13" s="114"/>
      <c r="AS13" s="118" t="s">
        <v>108</v>
      </c>
      <c r="AT13" s="121"/>
      <c r="AU13" s="119">
        <v>45688</v>
      </c>
      <c r="AV13" s="120"/>
      <c r="AW13" s="118" t="s">
        <v>107</v>
      </c>
      <c r="AX13" s="114"/>
      <c r="AY13" s="118" t="s">
        <v>110</v>
      </c>
      <c r="AZ13" s="121"/>
      <c r="BA13" s="146" t="s">
        <v>113</v>
      </c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8"/>
      <c r="BM13" s="34"/>
      <c r="BN13" s="34"/>
    </row>
    <row r="14" spans="1:66" ht="24" customHeight="1" x14ac:dyDescent="0.45">
      <c r="A14" s="33"/>
      <c r="B14" s="33"/>
      <c r="C14" s="38">
        <f>ROW()-9</f>
        <v>5</v>
      </c>
      <c r="D14" s="35"/>
      <c r="E14" s="36"/>
      <c r="F14" s="36"/>
      <c r="G14" s="37"/>
      <c r="H14" s="35"/>
      <c r="I14" s="36"/>
      <c r="J14" s="36"/>
      <c r="K14" s="37"/>
      <c r="L14" s="130" t="s">
        <v>64</v>
      </c>
      <c r="M14" s="131"/>
      <c r="N14" s="131"/>
      <c r="O14" s="132"/>
      <c r="P14" s="130" t="s">
        <v>104</v>
      </c>
      <c r="Q14" s="131"/>
      <c r="R14" s="131"/>
      <c r="S14" s="131"/>
      <c r="T14" s="131"/>
      <c r="U14" s="131"/>
      <c r="V14" s="131"/>
      <c r="W14" s="132"/>
      <c r="X14" s="130" t="s">
        <v>101</v>
      </c>
      <c r="Y14" s="131"/>
      <c r="Z14" s="131"/>
      <c r="AA14" s="131"/>
      <c r="AB14" s="131"/>
      <c r="AC14" s="131"/>
      <c r="AD14" s="131"/>
      <c r="AE14" s="132"/>
      <c r="AF14" s="46"/>
      <c r="AG14" s="47"/>
      <c r="AH14" s="47"/>
      <c r="AI14" s="47"/>
      <c r="AJ14" s="47"/>
      <c r="AK14" s="47"/>
      <c r="AL14" s="47"/>
      <c r="AM14" s="47"/>
      <c r="AN14" s="52"/>
      <c r="AO14" s="119">
        <v>45683</v>
      </c>
      <c r="AP14" s="120"/>
      <c r="AQ14" s="118" t="s">
        <v>107</v>
      </c>
      <c r="AR14" s="114"/>
      <c r="AS14" s="118" t="s">
        <v>108</v>
      </c>
      <c r="AT14" s="121"/>
      <c r="AU14" s="119">
        <v>45688</v>
      </c>
      <c r="AV14" s="120"/>
      <c r="AW14" s="118" t="s">
        <v>107</v>
      </c>
      <c r="AX14" s="114"/>
      <c r="AY14" s="118" t="s">
        <v>110</v>
      </c>
      <c r="AZ14" s="121"/>
      <c r="BA14" s="146" t="s">
        <v>113</v>
      </c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8"/>
      <c r="BM14" s="34"/>
      <c r="BN14" s="34"/>
    </row>
    <row r="15" spans="1:66" ht="24" customHeight="1" x14ac:dyDescent="0.45">
      <c r="A15" s="33"/>
      <c r="B15" s="33"/>
      <c r="C15" s="38">
        <f t="shared" si="0"/>
        <v>6</v>
      </c>
      <c r="D15" s="35"/>
      <c r="E15" s="36"/>
      <c r="F15" s="36"/>
      <c r="G15" s="45"/>
      <c r="H15" s="36"/>
      <c r="I15" s="36"/>
      <c r="J15" s="36"/>
      <c r="K15" s="45"/>
      <c r="L15" s="167" t="s">
        <v>65</v>
      </c>
      <c r="M15" s="131"/>
      <c r="N15" s="131"/>
      <c r="O15" s="132"/>
      <c r="P15" s="130" t="s">
        <v>104</v>
      </c>
      <c r="Q15" s="131"/>
      <c r="R15" s="131"/>
      <c r="S15" s="131"/>
      <c r="T15" s="131"/>
      <c r="U15" s="131"/>
      <c r="V15" s="131"/>
      <c r="W15" s="132"/>
      <c r="X15" s="130" t="s">
        <v>101</v>
      </c>
      <c r="Y15" s="131"/>
      <c r="Z15" s="131"/>
      <c r="AA15" s="131"/>
      <c r="AB15" s="131"/>
      <c r="AC15" s="131"/>
      <c r="AD15" s="131"/>
      <c r="AE15" s="132"/>
      <c r="AF15" s="46"/>
      <c r="AG15" s="47"/>
      <c r="AH15" s="47"/>
      <c r="AI15" s="47"/>
      <c r="AJ15" s="47"/>
      <c r="AK15" s="47"/>
      <c r="AL15" s="47"/>
      <c r="AM15" s="47"/>
      <c r="AN15" s="52"/>
      <c r="AO15" s="119">
        <v>45683</v>
      </c>
      <c r="AP15" s="120"/>
      <c r="AQ15" s="118" t="s">
        <v>107</v>
      </c>
      <c r="AR15" s="114"/>
      <c r="AS15" s="118" t="s">
        <v>108</v>
      </c>
      <c r="AT15" s="121"/>
      <c r="AU15" s="119">
        <v>45688</v>
      </c>
      <c r="AV15" s="120"/>
      <c r="AW15" s="118" t="s">
        <v>107</v>
      </c>
      <c r="AX15" s="114"/>
      <c r="AY15" s="118" t="s">
        <v>110</v>
      </c>
      <c r="AZ15" s="121"/>
      <c r="BA15" s="146" t="s">
        <v>113</v>
      </c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8"/>
      <c r="BM15" s="34"/>
      <c r="BN15" s="34"/>
    </row>
    <row r="16" spans="1:66" ht="24" customHeight="1" x14ac:dyDescent="0.45">
      <c r="A16" s="33"/>
      <c r="B16" s="33"/>
      <c r="C16" s="38">
        <f t="shared" si="0"/>
        <v>7</v>
      </c>
      <c r="D16" s="35"/>
      <c r="E16" s="36"/>
      <c r="F16" s="36"/>
      <c r="G16" s="37"/>
      <c r="H16" s="36"/>
      <c r="I16" s="36"/>
      <c r="J16" s="36"/>
      <c r="K16" s="36"/>
      <c r="L16" s="130" t="s">
        <v>66</v>
      </c>
      <c r="M16" s="131"/>
      <c r="N16" s="131"/>
      <c r="O16" s="132"/>
      <c r="P16" s="130" t="s">
        <v>104</v>
      </c>
      <c r="Q16" s="131"/>
      <c r="R16" s="131"/>
      <c r="S16" s="131"/>
      <c r="T16" s="131"/>
      <c r="U16" s="131"/>
      <c r="V16" s="131"/>
      <c r="W16" s="132"/>
      <c r="X16" s="130" t="s">
        <v>101</v>
      </c>
      <c r="Y16" s="131"/>
      <c r="Z16" s="131"/>
      <c r="AA16" s="131"/>
      <c r="AB16" s="131"/>
      <c r="AC16" s="131"/>
      <c r="AD16" s="131"/>
      <c r="AE16" s="132"/>
      <c r="AF16" s="46"/>
      <c r="AG16" s="47"/>
      <c r="AH16" s="47"/>
      <c r="AI16" s="47"/>
      <c r="AJ16" s="47"/>
      <c r="AK16" s="47"/>
      <c r="AL16" s="47"/>
      <c r="AM16" s="47"/>
      <c r="AN16" s="52"/>
      <c r="AO16" s="119">
        <v>45683</v>
      </c>
      <c r="AP16" s="120"/>
      <c r="AQ16" s="118" t="s">
        <v>107</v>
      </c>
      <c r="AR16" s="114"/>
      <c r="AS16" s="118" t="s">
        <v>108</v>
      </c>
      <c r="AT16" s="121"/>
      <c r="AU16" s="119">
        <v>45688</v>
      </c>
      <c r="AV16" s="120"/>
      <c r="AW16" s="118" t="s">
        <v>107</v>
      </c>
      <c r="AX16" s="114"/>
      <c r="AY16" s="118" t="s">
        <v>110</v>
      </c>
      <c r="AZ16" s="121"/>
      <c r="BA16" s="146" t="s">
        <v>113</v>
      </c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8"/>
      <c r="BM16" s="34"/>
      <c r="BN16" s="34"/>
    </row>
    <row r="17" spans="1:66" ht="24" customHeight="1" x14ac:dyDescent="0.45">
      <c r="A17" s="33"/>
      <c r="B17" s="33"/>
      <c r="C17" s="38">
        <f t="shared" si="0"/>
        <v>8</v>
      </c>
      <c r="D17" s="35"/>
      <c r="E17" s="36"/>
      <c r="F17" s="36"/>
      <c r="G17" s="37"/>
      <c r="H17" s="36"/>
      <c r="I17" s="36"/>
      <c r="J17" s="36"/>
      <c r="K17" s="36"/>
      <c r="L17" s="130" t="s">
        <v>67</v>
      </c>
      <c r="M17" s="131"/>
      <c r="N17" s="131"/>
      <c r="O17" s="132"/>
      <c r="P17" s="130" t="s">
        <v>104</v>
      </c>
      <c r="Q17" s="131"/>
      <c r="R17" s="131"/>
      <c r="S17" s="131"/>
      <c r="T17" s="131"/>
      <c r="U17" s="131"/>
      <c r="V17" s="131"/>
      <c r="W17" s="132"/>
      <c r="X17" s="130" t="s">
        <v>101</v>
      </c>
      <c r="Y17" s="131"/>
      <c r="Z17" s="131"/>
      <c r="AA17" s="131"/>
      <c r="AB17" s="131"/>
      <c r="AC17" s="131"/>
      <c r="AD17" s="131"/>
      <c r="AE17" s="132"/>
      <c r="AF17" s="46"/>
      <c r="AG17" s="47"/>
      <c r="AH17" s="47"/>
      <c r="AI17" s="47"/>
      <c r="AJ17" s="47"/>
      <c r="AK17" s="47"/>
      <c r="AL17" s="47"/>
      <c r="AM17" s="47"/>
      <c r="AN17" s="52"/>
      <c r="AO17" s="119">
        <v>45683</v>
      </c>
      <c r="AP17" s="120"/>
      <c r="AQ17" s="118" t="s">
        <v>107</v>
      </c>
      <c r="AR17" s="114"/>
      <c r="AS17" s="118" t="s">
        <v>108</v>
      </c>
      <c r="AT17" s="121"/>
      <c r="AU17" s="119">
        <v>45688</v>
      </c>
      <c r="AV17" s="120"/>
      <c r="AW17" s="118" t="s">
        <v>107</v>
      </c>
      <c r="AX17" s="114"/>
      <c r="AY17" s="118" t="s">
        <v>110</v>
      </c>
      <c r="AZ17" s="121"/>
      <c r="BA17" s="146" t="s">
        <v>113</v>
      </c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8"/>
      <c r="BM17" s="34"/>
      <c r="BN17" s="34"/>
    </row>
    <row r="18" spans="1:66" ht="24" customHeight="1" x14ac:dyDescent="0.45">
      <c r="A18" s="33"/>
      <c r="B18" s="33"/>
      <c r="C18" s="38">
        <f t="shared" si="0"/>
        <v>9</v>
      </c>
      <c r="D18" s="35"/>
      <c r="E18" s="36"/>
      <c r="F18" s="36"/>
      <c r="G18" s="37"/>
      <c r="H18" s="36"/>
      <c r="I18" s="36"/>
      <c r="J18" s="36"/>
      <c r="K18" s="36"/>
      <c r="L18" s="162" t="s">
        <v>68</v>
      </c>
      <c r="M18" s="163"/>
      <c r="N18" s="163"/>
      <c r="O18" s="164"/>
      <c r="P18" s="130" t="s">
        <v>104</v>
      </c>
      <c r="Q18" s="131"/>
      <c r="R18" s="131"/>
      <c r="S18" s="131"/>
      <c r="T18" s="131"/>
      <c r="U18" s="131"/>
      <c r="V18" s="131"/>
      <c r="W18" s="132"/>
      <c r="X18" s="130" t="s">
        <v>101</v>
      </c>
      <c r="Y18" s="131"/>
      <c r="Z18" s="131"/>
      <c r="AA18" s="131"/>
      <c r="AB18" s="131"/>
      <c r="AC18" s="131"/>
      <c r="AD18" s="131"/>
      <c r="AE18" s="132"/>
      <c r="AF18" s="46"/>
      <c r="AG18" s="47"/>
      <c r="AH18" s="47"/>
      <c r="AI18" s="47"/>
      <c r="AJ18" s="47"/>
      <c r="AK18" s="47"/>
      <c r="AL18" s="47"/>
      <c r="AM18" s="47"/>
      <c r="AN18" s="52"/>
      <c r="AO18" s="119">
        <v>45683</v>
      </c>
      <c r="AP18" s="120"/>
      <c r="AQ18" s="118" t="s">
        <v>107</v>
      </c>
      <c r="AR18" s="114"/>
      <c r="AS18" s="118" t="s">
        <v>108</v>
      </c>
      <c r="AT18" s="121"/>
      <c r="AU18" s="119">
        <v>45688</v>
      </c>
      <c r="AV18" s="120"/>
      <c r="AW18" s="118" t="s">
        <v>107</v>
      </c>
      <c r="AX18" s="114"/>
      <c r="AY18" s="118" t="s">
        <v>110</v>
      </c>
      <c r="AZ18" s="121"/>
      <c r="BA18" s="146" t="s">
        <v>113</v>
      </c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8"/>
      <c r="BM18" s="34"/>
      <c r="BN18" s="34"/>
    </row>
    <row r="19" spans="1:66" ht="24" customHeight="1" x14ac:dyDescent="0.45">
      <c r="A19" s="33"/>
      <c r="B19" s="33"/>
      <c r="C19" s="38">
        <f t="shared" si="0"/>
        <v>10</v>
      </c>
      <c r="D19" s="35"/>
      <c r="E19" s="36"/>
      <c r="F19" s="36"/>
      <c r="G19" s="37"/>
      <c r="H19" s="36"/>
      <c r="I19" s="36"/>
      <c r="J19" s="36"/>
      <c r="K19" s="36"/>
      <c r="L19" s="130" t="s">
        <v>69</v>
      </c>
      <c r="M19" s="131"/>
      <c r="N19" s="131"/>
      <c r="O19" s="132"/>
      <c r="P19" s="130" t="s">
        <v>104</v>
      </c>
      <c r="Q19" s="131"/>
      <c r="R19" s="131"/>
      <c r="S19" s="131"/>
      <c r="T19" s="131"/>
      <c r="U19" s="131"/>
      <c r="V19" s="131"/>
      <c r="W19" s="132"/>
      <c r="X19" s="130" t="s">
        <v>101</v>
      </c>
      <c r="Y19" s="131"/>
      <c r="Z19" s="131"/>
      <c r="AA19" s="131"/>
      <c r="AB19" s="131"/>
      <c r="AC19" s="131"/>
      <c r="AD19" s="131"/>
      <c r="AE19" s="132"/>
      <c r="AF19" s="46"/>
      <c r="AG19" s="47"/>
      <c r="AH19" s="47"/>
      <c r="AI19" s="47"/>
      <c r="AJ19" s="47"/>
      <c r="AK19" s="47"/>
      <c r="AL19" s="47"/>
      <c r="AM19" s="47"/>
      <c r="AN19" s="52"/>
      <c r="AO19" s="119">
        <v>45683</v>
      </c>
      <c r="AP19" s="120"/>
      <c r="AQ19" s="118" t="s">
        <v>107</v>
      </c>
      <c r="AR19" s="114"/>
      <c r="AS19" s="118" t="s">
        <v>108</v>
      </c>
      <c r="AT19" s="121"/>
      <c r="AU19" s="119">
        <v>45688</v>
      </c>
      <c r="AV19" s="120"/>
      <c r="AW19" s="118" t="s">
        <v>107</v>
      </c>
      <c r="AX19" s="114"/>
      <c r="AY19" s="118" t="s">
        <v>110</v>
      </c>
      <c r="AZ19" s="121"/>
      <c r="BA19" s="146" t="s">
        <v>113</v>
      </c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8"/>
      <c r="BM19" s="34"/>
      <c r="BN19" s="34"/>
    </row>
    <row r="20" spans="1:66" ht="24" customHeight="1" x14ac:dyDescent="0.45">
      <c r="A20" s="33"/>
      <c r="B20" s="33"/>
      <c r="C20" s="38">
        <f t="shared" si="0"/>
        <v>11</v>
      </c>
      <c r="D20" s="35"/>
      <c r="E20" s="36"/>
      <c r="F20" s="36"/>
      <c r="G20" s="37"/>
      <c r="H20" s="36"/>
      <c r="I20" s="36"/>
      <c r="J20" s="36"/>
      <c r="K20" s="36"/>
      <c r="L20" s="130" t="s">
        <v>70</v>
      </c>
      <c r="M20" s="131"/>
      <c r="N20" s="131"/>
      <c r="O20" s="132"/>
      <c r="P20" s="130" t="s">
        <v>104</v>
      </c>
      <c r="Q20" s="131"/>
      <c r="R20" s="131"/>
      <c r="S20" s="131"/>
      <c r="T20" s="131"/>
      <c r="U20" s="131"/>
      <c r="V20" s="131"/>
      <c r="W20" s="132"/>
      <c r="X20" s="130" t="s">
        <v>101</v>
      </c>
      <c r="Y20" s="131"/>
      <c r="Z20" s="131"/>
      <c r="AA20" s="131"/>
      <c r="AB20" s="131"/>
      <c r="AC20" s="131"/>
      <c r="AD20" s="131"/>
      <c r="AE20" s="132"/>
      <c r="AF20" s="46"/>
      <c r="AG20" s="47"/>
      <c r="AH20" s="47"/>
      <c r="AI20" s="47"/>
      <c r="AJ20" s="47"/>
      <c r="AK20" s="47"/>
      <c r="AL20" s="47"/>
      <c r="AM20" s="47"/>
      <c r="AN20" s="52"/>
      <c r="AO20" s="119">
        <v>45683</v>
      </c>
      <c r="AP20" s="120"/>
      <c r="AQ20" s="118" t="s">
        <v>107</v>
      </c>
      <c r="AR20" s="114"/>
      <c r="AS20" s="118" t="s">
        <v>108</v>
      </c>
      <c r="AT20" s="121"/>
      <c r="AU20" s="119">
        <v>45688</v>
      </c>
      <c r="AV20" s="120"/>
      <c r="AW20" s="118" t="s">
        <v>107</v>
      </c>
      <c r="AX20" s="114"/>
      <c r="AY20" s="118" t="s">
        <v>110</v>
      </c>
      <c r="AZ20" s="121"/>
      <c r="BA20" s="146" t="s">
        <v>113</v>
      </c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8"/>
      <c r="BM20" s="34"/>
      <c r="BN20" s="34"/>
    </row>
    <row r="21" spans="1:66" ht="24" customHeight="1" x14ac:dyDescent="0.45">
      <c r="A21" s="33"/>
      <c r="B21" s="33"/>
      <c r="C21" s="38">
        <f t="shared" si="0"/>
        <v>12</v>
      </c>
      <c r="D21" s="35"/>
      <c r="E21" s="36"/>
      <c r="F21" s="36"/>
      <c r="G21" s="37"/>
      <c r="H21" s="36"/>
      <c r="I21" s="36"/>
      <c r="J21" s="36"/>
      <c r="K21" s="36"/>
      <c r="L21" s="130" t="s">
        <v>71</v>
      </c>
      <c r="M21" s="131"/>
      <c r="N21" s="131"/>
      <c r="O21" s="132"/>
      <c r="P21" s="130" t="s">
        <v>104</v>
      </c>
      <c r="Q21" s="131"/>
      <c r="R21" s="131"/>
      <c r="S21" s="131"/>
      <c r="T21" s="131"/>
      <c r="U21" s="131"/>
      <c r="V21" s="131"/>
      <c r="W21" s="132"/>
      <c r="X21" s="130" t="s">
        <v>101</v>
      </c>
      <c r="Y21" s="131"/>
      <c r="Z21" s="131"/>
      <c r="AA21" s="131"/>
      <c r="AB21" s="131"/>
      <c r="AC21" s="131"/>
      <c r="AD21" s="131"/>
      <c r="AE21" s="132"/>
      <c r="AF21" s="46"/>
      <c r="AG21" s="47"/>
      <c r="AH21" s="47"/>
      <c r="AI21" s="47"/>
      <c r="AJ21" s="47"/>
      <c r="AK21" s="47"/>
      <c r="AL21" s="47"/>
      <c r="AM21" s="47"/>
      <c r="AN21" s="52"/>
      <c r="AO21" s="119">
        <v>45683</v>
      </c>
      <c r="AP21" s="120"/>
      <c r="AQ21" s="118" t="s">
        <v>107</v>
      </c>
      <c r="AR21" s="114"/>
      <c r="AS21" s="118" t="s">
        <v>108</v>
      </c>
      <c r="AT21" s="121"/>
      <c r="AU21" s="119">
        <v>45688</v>
      </c>
      <c r="AV21" s="120"/>
      <c r="AW21" s="118" t="s">
        <v>107</v>
      </c>
      <c r="AX21" s="114"/>
      <c r="AY21" s="118" t="s">
        <v>110</v>
      </c>
      <c r="AZ21" s="121"/>
      <c r="BA21" s="146" t="s">
        <v>113</v>
      </c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8"/>
      <c r="BM21" s="34"/>
      <c r="BN21" s="34"/>
    </row>
    <row r="22" spans="1:66" ht="24" customHeight="1" x14ac:dyDescent="0.45">
      <c r="A22" s="33"/>
      <c r="B22" s="33"/>
      <c r="C22" s="38">
        <f t="shared" si="0"/>
        <v>13</v>
      </c>
      <c r="D22" s="35"/>
      <c r="E22" s="36"/>
      <c r="F22" s="36"/>
      <c r="G22" s="37"/>
      <c r="H22" s="36"/>
      <c r="I22" s="36"/>
      <c r="J22" s="36"/>
      <c r="K22" s="36"/>
      <c r="L22" s="130" t="s">
        <v>72</v>
      </c>
      <c r="M22" s="131"/>
      <c r="N22" s="131"/>
      <c r="O22" s="132"/>
      <c r="P22" s="130" t="s">
        <v>104</v>
      </c>
      <c r="Q22" s="131"/>
      <c r="R22" s="131"/>
      <c r="S22" s="131"/>
      <c r="T22" s="131"/>
      <c r="U22" s="131"/>
      <c r="V22" s="131"/>
      <c r="W22" s="132"/>
      <c r="X22" s="130" t="s">
        <v>101</v>
      </c>
      <c r="Y22" s="131"/>
      <c r="Z22" s="131"/>
      <c r="AA22" s="131"/>
      <c r="AB22" s="131"/>
      <c r="AC22" s="131"/>
      <c r="AD22" s="131"/>
      <c r="AE22" s="132"/>
      <c r="AF22" s="46"/>
      <c r="AG22" s="47"/>
      <c r="AH22" s="47"/>
      <c r="AI22" s="47"/>
      <c r="AJ22" s="47"/>
      <c r="AK22" s="47"/>
      <c r="AL22" s="47"/>
      <c r="AM22" s="47"/>
      <c r="AN22" s="52"/>
      <c r="AO22" s="119">
        <v>45683</v>
      </c>
      <c r="AP22" s="120"/>
      <c r="AQ22" s="118" t="s">
        <v>107</v>
      </c>
      <c r="AR22" s="114"/>
      <c r="AS22" s="118" t="s">
        <v>108</v>
      </c>
      <c r="AT22" s="121"/>
      <c r="AU22" s="119">
        <v>45688</v>
      </c>
      <c r="AV22" s="120"/>
      <c r="AW22" s="118" t="s">
        <v>107</v>
      </c>
      <c r="AX22" s="114"/>
      <c r="AY22" s="118" t="s">
        <v>110</v>
      </c>
      <c r="AZ22" s="121"/>
      <c r="BA22" s="146" t="s">
        <v>113</v>
      </c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8"/>
      <c r="BM22" s="34"/>
      <c r="BN22" s="34"/>
    </row>
    <row r="23" spans="1:66" ht="24" customHeight="1" x14ac:dyDescent="0.45">
      <c r="A23" s="33"/>
      <c r="B23" s="33"/>
      <c r="C23" s="38">
        <f t="shared" si="0"/>
        <v>14</v>
      </c>
      <c r="D23" s="35"/>
      <c r="E23" s="36"/>
      <c r="F23" s="36"/>
      <c r="G23" s="37"/>
      <c r="H23" s="36"/>
      <c r="I23" s="36"/>
      <c r="J23" s="36"/>
      <c r="K23" s="36"/>
      <c r="L23" s="130" t="s">
        <v>73</v>
      </c>
      <c r="M23" s="131"/>
      <c r="N23" s="131"/>
      <c r="O23" s="132"/>
      <c r="P23" s="130" t="s">
        <v>104</v>
      </c>
      <c r="Q23" s="131"/>
      <c r="R23" s="131"/>
      <c r="S23" s="131"/>
      <c r="T23" s="131"/>
      <c r="U23" s="131"/>
      <c r="V23" s="131"/>
      <c r="W23" s="132"/>
      <c r="X23" s="130" t="s">
        <v>101</v>
      </c>
      <c r="Y23" s="131"/>
      <c r="Z23" s="131"/>
      <c r="AA23" s="131"/>
      <c r="AB23" s="131"/>
      <c r="AC23" s="131"/>
      <c r="AD23" s="131"/>
      <c r="AE23" s="132"/>
      <c r="AF23" s="46"/>
      <c r="AG23" s="47"/>
      <c r="AH23" s="47"/>
      <c r="AI23" s="47"/>
      <c r="AJ23" s="47"/>
      <c r="AK23" s="47"/>
      <c r="AL23" s="47"/>
      <c r="AM23" s="47"/>
      <c r="AN23" s="52"/>
      <c r="AO23" s="119">
        <v>45683</v>
      </c>
      <c r="AP23" s="120"/>
      <c r="AQ23" s="118" t="s">
        <v>107</v>
      </c>
      <c r="AR23" s="114"/>
      <c r="AS23" s="118" t="s">
        <v>108</v>
      </c>
      <c r="AT23" s="121"/>
      <c r="AU23" s="119">
        <v>45688</v>
      </c>
      <c r="AV23" s="120"/>
      <c r="AW23" s="118" t="s">
        <v>107</v>
      </c>
      <c r="AX23" s="114"/>
      <c r="AY23" s="118" t="s">
        <v>110</v>
      </c>
      <c r="AZ23" s="121"/>
      <c r="BA23" s="146" t="s">
        <v>113</v>
      </c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8"/>
      <c r="BM23" s="34"/>
      <c r="BN23" s="34"/>
    </row>
    <row r="24" spans="1:66" ht="24" customHeight="1" x14ac:dyDescent="0.45">
      <c r="A24" s="33"/>
      <c r="B24" s="33"/>
      <c r="C24" s="38">
        <f t="shared" si="0"/>
        <v>15</v>
      </c>
      <c r="D24" s="35"/>
      <c r="E24" s="36"/>
      <c r="F24" s="36"/>
      <c r="G24" s="37"/>
      <c r="H24" s="36"/>
      <c r="I24" s="36"/>
      <c r="J24" s="36"/>
      <c r="K24" s="36"/>
      <c r="L24" s="130" t="s">
        <v>74</v>
      </c>
      <c r="M24" s="131"/>
      <c r="N24" s="131"/>
      <c r="O24" s="132"/>
      <c r="P24" s="130" t="s">
        <v>104</v>
      </c>
      <c r="Q24" s="131"/>
      <c r="R24" s="131"/>
      <c r="S24" s="131"/>
      <c r="T24" s="131"/>
      <c r="U24" s="131"/>
      <c r="V24" s="131"/>
      <c r="W24" s="132"/>
      <c r="X24" s="130" t="s">
        <v>101</v>
      </c>
      <c r="Y24" s="131"/>
      <c r="Z24" s="131"/>
      <c r="AA24" s="131"/>
      <c r="AB24" s="131"/>
      <c r="AC24" s="131"/>
      <c r="AD24" s="131"/>
      <c r="AE24" s="132"/>
      <c r="AF24" s="46"/>
      <c r="AG24" s="47"/>
      <c r="AH24" s="47"/>
      <c r="AI24" s="47"/>
      <c r="AJ24" s="47"/>
      <c r="AK24" s="47"/>
      <c r="AL24" s="47"/>
      <c r="AM24" s="47"/>
      <c r="AN24" s="52"/>
      <c r="AO24" s="119">
        <v>45683</v>
      </c>
      <c r="AP24" s="120"/>
      <c r="AQ24" s="118" t="s">
        <v>107</v>
      </c>
      <c r="AR24" s="114"/>
      <c r="AS24" s="118" t="s">
        <v>108</v>
      </c>
      <c r="AT24" s="121"/>
      <c r="AU24" s="119">
        <v>45688</v>
      </c>
      <c r="AV24" s="120"/>
      <c r="AW24" s="118" t="s">
        <v>107</v>
      </c>
      <c r="AX24" s="114"/>
      <c r="AY24" s="118" t="s">
        <v>110</v>
      </c>
      <c r="AZ24" s="121"/>
      <c r="BA24" s="146" t="s">
        <v>113</v>
      </c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8"/>
      <c r="BM24" s="34"/>
      <c r="BN24" s="34"/>
    </row>
    <row r="25" spans="1:66" ht="24" customHeight="1" x14ac:dyDescent="0.45">
      <c r="A25" s="33"/>
      <c r="B25" s="33"/>
      <c r="C25" s="38">
        <f t="shared" si="0"/>
        <v>16</v>
      </c>
      <c r="D25" s="35"/>
      <c r="E25" s="36"/>
      <c r="F25" s="36"/>
      <c r="G25" s="37"/>
      <c r="H25" s="36"/>
      <c r="I25" s="36"/>
      <c r="J25" s="36"/>
      <c r="K25" s="36"/>
      <c r="L25" s="130" t="s">
        <v>75</v>
      </c>
      <c r="M25" s="131"/>
      <c r="N25" s="131"/>
      <c r="O25" s="132"/>
      <c r="P25" s="130" t="s">
        <v>104</v>
      </c>
      <c r="Q25" s="131"/>
      <c r="R25" s="131"/>
      <c r="S25" s="131"/>
      <c r="T25" s="131"/>
      <c r="U25" s="131"/>
      <c r="V25" s="131"/>
      <c r="W25" s="132"/>
      <c r="X25" s="130" t="s">
        <v>101</v>
      </c>
      <c r="Y25" s="131"/>
      <c r="Z25" s="131"/>
      <c r="AA25" s="131"/>
      <c r="AB25" s="131"/>
      <c r="AC25" s="131"/>
      <c r="AD25" s="131"/>
      <c r="AE25" s="132"/>
      <c r="AF25" s="46"/>
      <c r="AG25" s="47"/>
      <c r="AH25" s="47"/>
      <c r="AI25" s="47"/>
      <c r="AJ25" s="47"/>
      <c r="AK25" s="47"/>
      <c r="AL25" s="47"/>
      <c r="AM25" s="47"/>
      <c r="AN25" s="52"/>
      <c r="AO25" s="119">
        <v>45683</v>
      </c>
      <c r="AP25" s="120"/>
      <c r="AQ25" s="118" t="s">
        <v>107</v>
      </c>
      <c r="AR25" s="114"/>
      <c r="AS25" s="118" t="s">
        <v>108</v>
      </c>
      <c r="AT25" s="121"/>
      <c r="AU25" s="119">
        <v>45688</v>
      </c>
      <c r="AV25" s="120"/>
      <c r="AW25" s="118" t="s">
        <v>107</v>
      </c>
      <c r="AX25" s="114"/>
      <c r="AY25" s="118" t="s">
        <v>110</v>
      </c>
      <c r="AZ25" s="121"/>
      <c r="BA25" s="146" t="s">
        <v>113</v>
      </c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8"/>
      <c r="BM25" s="34"/>
      <c r="BN25" s="34"/>
    </row>
    <row r="26" spans="1:66" ht="24" customHeight="1" x14ac:dyDescent="0.45">
      <c r="A26" s="33"/>
      <c r="B26" s="33"/>
      <c r="C26" s="38">
        <f t="shared" si="0"/>
        <v>17</v>
      </c>
      <c r="D26" s="35"/>
      <c r="E26" s="36"/>
      <c r="F26" s="36"/>
      <c r="G26" s="37"/>
      <c r="H26" s="36"/>
      <c r="I26" s="36"/>
      <c r="J26" s="36"/>
      <c r="K26" s="36"/>
      <c r="L26" s="130" t="s">
        <v>76</v>
      </c>
      <c r="M26" s="131"/>
      <c r="N26" s="131"/>
      <c r="O26" s="132"/>
      <c r="P26" s="130" t="s">
        <v>104</v>
      </c>
      <c r="Q26" s="131"/>
      <c r="R26" s="131"/>
      <c r="S26" s="131"/>
      <c r="T26" s="131"/>
      <c r="U26" s="131"/>
      <c r="V26" s="131"/>
      <c r="W26" s="132"/>
      <c r="X26" s="130" t="s">
        <v>101</v>
      </c>
      <c r="Y26" s="131"/>
      <c r="Z26" s="131"/>
      <c r="AA26" s="131"/>
      <c r="AB26" s="131"/>
      <c r="AC26" s="131"/>
      <c r="AD26" s="131"/>
      <c r="AE26" s="132"/>
      <c r="AF26" s="46"/>
      <c r="AG26" s="47"/>
      <c r="AH26" s="47"/>
      <c r="AI26" s="47"/>
      <c r="AJ26" s="47"/>
      <c r="AK26" s="47"/>
      <c r="AL26" s="47"/>
      <c r="AM26" s="47"/>
      <c r="AN26" s="52"/>
      <c r="AO26" s="119">
        <v>45683</v>
      </c>
      <c r="AP26" s="120"/>
      <c r="AQ26" s="118" t="s">
        <v>107</v>
      </c>
      <c r="AR26" s="114"/>
      <c r="AS26" s="118" t="s">
        <v>108</v>
      </c>
      <c r="AT26" s="121"/>
      <c r="AU26" s="119">
        <v>45688</v>
      </c>
      <c r="AV26" s="120"/>
      <c r="AW26" s="118" t="s">
        <v>107</v>
      </c>
      <c r="AX26" s="114"/>
      <c r="AY26" s="118" t="s">
        <v>110</v>
      </c>
      <c r="AZ26" s="121"/>
      <c r="BA26" s="146" t="s">
        <v>113</v>
      </c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8"/>
      <c r="BM26" s="34"/>
      <c r="BN26" s="34"/>
    </row>
    <row r="27" spans="1:66" ht="24" customHeight="1" x14ac:dyDescent="0.45">
      <c r="A27" s="33"/>
      <c r="B27" s="33"/>
      <c r="C27" s="38">
        <f t="shared" si="0"/>
        <v>18</v>
      </c>
      <c r="D27" s="35"/>
      <c r="E27" s="36"/>
      <c r="F27" s="36"/>
      <c r="G27" s="37"/>
      <c r="H27" s="36"/>
      <c r="I27" s="36"/>
      <c r="J27" s="36"/>
      <c r="K27" s="36"/>
      <c r="L27" s="130" t="s">
        <v>77</v>
      </c>
      <c r="M27" s="131"/>
      <c r="N27" s="131"/>
      <c r="O27" s="132"/>
      <c r="P27" s="130" t="s">
        <v>104</v>
      </c>
      <c r="Q27" s="131"/>
      <c r="R27" s="131"/>
      <c r="S27" s="131"/>
      <c r="T27" s="131"/>
      <c r="U27" s="131"/>
      <c r="V27" s="131"/>
      <c r="W27" s="132"/>
      <c r="X27" s="130" t="s">
        <v>101</v>
      </c>
      <c r="Y27" s="131"/>
      <c r="Z27" s="131"/>
      <c r="AA27" s="131"/>
      <c r="AB27" s="131"/>
      <c r="AC27" s="131"/>
      <c r="AD27" s="131"/>
      <c r="AE27" s="132"/>
      <c r="AF27" s="46"/>
      <c r="AG27" s="47"/>
      <c r="AH27" s="47"/>
      <c r="AI27" s="47"/>
      <c r="AJ27" s="47"/>
      <c r="AK27" s="47"/>
      <c r="AL27" s="47"/>
      <c r="AM27" s="47"/>
      <c r="AN27" s="52"/>
      <c r="AO27" s="119">
        <v>45683</v>
      </c>
      <c r="AP27" s="120"/>
      <c r="AQ27" s="118" t="s">
        <v>107</v>
      </c>
      <c r="AR27" s="114"/>
      <c r="AS27" s="118" t="s">
        <v>108</v>
      </c>
      <c r="AT27" s="121"/>
      <c r="AU27" s="119">
        <v>45688</v>
      </c>
      <c r="AV27" s="120"/>
      <c r="AW27" s="118" t="s">
        <v>107</v>
      </c>
      <c r="AX27" s="114"/>
      <c r="AY27" s="118" t="s">
        <v>110</v>
      </c>
      <c r="AZ27" s="121"/>
      <c r="BA27" s="146" t="s">
        <v>113</v>
      </c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8"/>
      <c r="BM27" s="34"/>
      <c r="BN27" s="34"/>
    </row>
    <row r="28" spans="1:66" ht="24" customHeight="1" x14ac:dyDescent="0.45">
      <c r="A28" s="33"/>
      <c r="B28" s="33"/>
      <c r="C28" s="38">
        <f t="shared" si="0"/>
        <v>19</v>
      </c>
      <c r="D28" s="35"/>
      <c r="E28" s="36"/>
      <c r="F28" s="36"/>
      <c r="G28" s="37"/>
      <c r="H28" s="36"/>
      <c r="I28" s="36"/>
      <c r="J28" s="36"/>
      <c r="K28" s="36"/>
      <c r="L28" s="130" t="s">
        <v>78</v>
      </c>
      <c r="M28" s="131"/>
      <c r="N28" s="131"/>
      <c r="O28" s="132"/>
      <c r="P28" s="130" t="s">
        <v>104</v>
      </c>
      <c r="Q28" s="131"/>
      <c r="R28" s="131"/>
      <c r="S28" s="131"/>
      <c r="T28" s="131"/>
      <c r="U28" s="131"/>
      <c r="V28" s="131"/>
      <c r="W28" s="132"/>
      <c r="X28" s="130" t="s">
        <v>101</v>
      </c>
      <c r="Y28" s="131"/>
      <c r="Z28" s="131"/>
      <c r="AA28" s="131"/>
      <c r="AB28" s="131"/>
      <c r="AC28" s="131"/>
      <c r="AD28" s="131"/>
      <c r="AE28" s="132"/>
      <c r="AF28" s="46"/>
      <c r="AG28" s="47"/>
      <c r="AH28" s="47"/>
      <c r="AI28" s="47"/>
      <c r="AJ28" s="47"/>
      <c r="AK28" s="47"/>
      <c r="AL28" s="47"/>
      <c r="AM28" s="47"/>
      <c r="AN28" s="52"/>
      <c r="AO28" s="119">
        <v>45683</v>
      </c>
      <c r="AP28" s="120"/>
      <c r="AQ28" s="118" t="s">
        <v>107</v>
      </c>
      <c r="AR28" s="114"/>
      <c r="AS28" s="118" t="s">
        <v>108</v>
      </c>
      <c r="AT28" s="121"/>
      <c r="AU28" s="119">
        <v>45688</v>
      </c>
      <c r="AV28" s="120"/>
      <c r="AW28" s="118" t="s">
        <v>107</v>
      </c>
      <c r="AX28" s="114"/>
      <c r="AY28" s="118" t="s">
        <v>110</v>
      </c>
      <c r="AZ28" s="121"/>
      <c r="BA28" s="146" t="s">
        <v>113</v>
      </c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8"/>
      <c r="BM28" s="34"/>
      <c r="BN28" s="34"/>
    </row>
    <row r="29" spans="1:66" ht="24" customHeight="1" x14ac:dyDescent="0.45">
      <c r="A29" s="33"/>
      <c r="B29" s="33"/>
      <c r="C29" s="38">
        <f t="shared" si="0"/>
        <v>20</v>
      </c>
      <c r="D29" s="35"/>
      <c r="E29" s="36"/>
      <c r="F29" s="36"/>
      <c r="G29" s="37"/>
      <c r="H29" s="36"/>
      <c r="I29" s="36"/>
      <c r="J29" s="36"/>
      <c r="K29" s="36"/>
      <c r="L29" s="130" t="s">
        <v>79</v>
      </c>
      <c r="M29" s="131"/>
      <c r="N29" s="131"/>
      <c r="O29" s="132"/>
      <c r="P29" s="130" t="s">
        <v>104</v>
      </c>
      <c r="Q29" s="131"/>
      <c r="R29" s="131"/>
      <c r="S29" s="131"/>
      <c r="T29" s="131"/>
      <c r="U29" s="131"/>
      <c r="V29" s="131"/>
      <c r="W29" s="132"/>
      <c r="X29" s="130" t="s">
        <v>101</v>
      </c>
      <c r="Y29" s="131"/>
      <c r="Z29" s="131"/>
      <c r="AA29" s="131"/>
      <c r="AB29" s="131"/>
      <c r="AC29" s="131"/>
      <c r="AD29" s="131"/>
      <c r="AE29" s="132"/>
      <c r="AF29" s="46"/>
      <c r="AG29" s="47"/>
      <c r="AH29" s="47"/>
      <c r="AI29" s="47"/>
      <c r="AJ29" s="47"/>
      <c r="AK29" s="47"/>
      <c r="AL29" s="47"/>
      <c r="AM29" s="47"/>
      <c r="AN29" s="52"/>
      <c r="AO29" s="119">
        <v>45683</v>
      </c>
      <c r="AP29" s="120"/>
      <c r="AQ29" s="118" t="s">
        <v>107</v>
      </c>
      <c r="AR29" s="114"/>
      <c r="AS29" s="118" t="s">
        <v>108</v>
      </c>
      <c r="AT29" s="121"/>
      <c r="AU29" s="119">
        <v>45688</v>
      </c>
      <c r="AV29" s="120"/>
      <c r="AW29" s="118" t="s">
        <v>107</v>
      </c>
      <c r="AX29" s="114"/>
      <c r="AY29" s="118" t="s">
        <v>110</v>
      </c>
      <c r="AZ29" s="121"/>
      <c r="BA29" s="146" t="s">
        <v>113</v>
      </c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8"/>
      <c r="BM29" s="34"/>
      <c r="BN29" s="34"/>
    </row>
    <row r="30" spans="1:66" ht="24" customHeight="1" x14ac:dyDescent="0.45">
      <c r="A30" s="33"/>
      <c r="B30" s="33"/>
      <c r="C30" s="38">
        <f t="shared" si="0"/>
        <v>21</v>
      </c>
      <c r="D30" s="35"/>
      <c r="E30" s="36"/>
      <c r="F30" s="36"/>
      <c r="G30" s="37"/>
      <c r="H30" s="36"/>
      <c r="I30" s="36"/>
      <c r="J30" s="36"/>
      <c r="K30" s="36"/>
      <c r="L30" s="130" t="s">
        <v>80</v>
      </c>
      <c r="M30" s="131"/>
      <c r="N30" s="131"/>
      <c r="O30" s="132"/>
      <c r="P30" s="130" t="s">
        <v>104</v>
      </c>
      <c r="Q30" s="131"/>
      <c r="R30" s="131"/>
      <c r="S30" s="131"/>
      <c r="T30" s="131"/>
      <c r="U30" s="131"/>
      <c r="V30" s="131"/>
      <c r="W30" s="132"/>
      <c r="X30" s="130" t="s">
        <v>101</v>
      </c>
      <c r="Y30" s="131"/>
      <c r="Z30" s="131"/>
      <c r="AA30" s="131"/>
      <c r="AB30" s="131"/>
      <c r="AC30" s="131"/>
      <c r="AD30" s="131"/>
      <c r="AE30" s="132"/>
      <c r="AF30" s="46"/>
      <c r="AG30" s="47"/>
      <c r="AH30" s="47"/>
      <c r="AI30" s="47"/>
      <c r="AJ30" s="47"/>
      <c r="AK30" s="47"/>
      <c r="AL30" s="47"/>
      <c r="AM30" s="47"/>
      <c r="AN30" s="52"/>
      <c r="AO30" s="119">
        <v>45683</v>
      </c>
      <c r="AP30" s="120"/>
      <c r="AQ30" s="118" t="s">
        <v>107</v>
      </c>
      <c r="AR30" s="114"/>
      <c r="AS30" s="118" t="s">
        <v>108</v>
      </c>
      <c r="AT30" s="121"/>
      <c r="AU30" s="119">
        <v>45688</v>
      </c>
      <c r="AV30" s="120"/>
      <c r="AW30" s="118" t="s">
        <v>107</v>
      </c>
      <c r="AX30" s="114"/>
      <c r="AY30" s="118" t="s">
        <v>110</v>
      </c>
      <c r="AZ30" s="121"/>
      <c r="BA30" s="146" t="s">
        <v>113</v>
      </c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8"/>
      <c r="BM30" s="34"/>
      <c r="BN30" s="34"/>
    </row>
    <row r="31" spans="1:66" ht="24" customHeight="1" x14ac:dyDescent="0.45">
      <c r="A31" s="33"/>
      <c r="B31" s="33"/>
      <c r="C31" s="38">
        <f t="shared" si="0"/>
        <v>22</v>
      </c>
      <c r="D31" s="35"/>
      <c r="E31" s="36"/>
      <c r="F31" s="36"/>
      <c r="G31" s="37"/>
      <c r="H31" s="36"/>
      <c r="I31" s="36"/>
      <c r="J31" s="36"/>
      <c r="K31" s="36"/>
      <c r="L31" s="130" t="s">
        <v>81</v>
      </c>
      <c r="M31" s="131"/>
      <c r="N31" s="131"/>
      <c r="O31" s="132"/>
      <c r="P31" s="130" t="s">
        <v>104</v>
      </c>
      <c r="Q31" s="131"/>
      <c r="R31" s="131"/>
      <c r="S31" s="131"/>
      <c r="T31" s="131"/>
      <c r="U31" s="131"/>
      <c r="V31" s="131"/>
      <c r="W31" s="132"/>
      <c r="X31" s="130" t="s">
        <v>101</v>
      </c>
      <c r="Y31" s="131"/>
      <c r="Z31" s="131"/>
      <c r="AA31" s="131"/>
      <c r="AB31" s="131"/>
      <c r="AC31" s="131"/>
      <c r="AD31" s="131"/>
      <c r="AE31" s="132"/>
      <c r="AF31" s="46"/>
      <c r="AG31" s="47"/>
      <c r="AH31" s="47"/>
      <c r="AI31" s="47"/>
      <c r="AJ31" s="47"/>
      <c r="AK31" s="47"/>
      <c r="AL31" s="47"/>
      <c r="AM31" s="47"/>
      <c r="AN31" s="52"/>
      <c r="AO31" s="119">
        <v>45683</v>
      </c>
      <c r="AP31" s="120"/>
      <c r="AQ31" s="118" t="s">
        <v>107</v>
      </c>
      <c r="AR31" s="114"/>
      <c r="AS31" s="118" t="s">
        <v>108</v>
      </c>
      <c r="AT31" s="121"/>
      <c r="AU31" s="119">
        <v>45688</v>
      </c>
      <c r="AV31" s="120"/>
      <c r="AW31" s="118" t="s">
        <v>107</v>
      </c>
      <c r="AX31" s="114"/>
      <c r="AY31" s="118" t="s">
        <v>110</v>
      </c>
      <c r="AZ31" s="121"/>
      <c r="BA31" s="146" t="s">
        <v>113</v>
      </c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8"/>
      <c r="BM31" s="34"/>
      <c r="BN31" s="34"/>
    </row>
    <row r="32" spans="1:66" ht="24" customHeight="1" x14ac:dyDescent="0.45">
      <c r="A32" s="33"/>
      <c r="B32" s="33"/>
      <c r="C32" s="38">
        <f t="shared" si="0"/>
        <v>23</v>
      </c>
      <c r="D32" s="35"/>
      <c r="E32" s="36"/>
      <c r="F32" s="36"/>
      <c r="G32" s="37"/>
      <c r="H32" s="36"/>
      <c r="I32" s="36"/>
      <c r="J32" s="36"/>
      <c r="K32" s="36"/>
      <c r="L32" s="162" t="s">
        <v>82</v>
      </c>
      <c r="M32" s="163"/>
      <c r="N32" s="163"/>
      <c r="O32" s="164"/>
      <c r="P32" s="130" t="s">
        <v>104</v>
      </c>
      <c r="Q32" s="131"/>
      <c r="R32" s="131"/>
      <c r="S32" s="131"/>
      <c r="T32" s="131"/>
      <c r="U32" s="131"/>
      <c r="V32" s="131"/>
      <c r="W32" s="132"/>
      <c r="X32" s="130" t="s">
        <v>101</v>
      </c>
      <c r="Y32" s="131"/>
      <c r="Z32" s="131"/>
      <c r="AA32" s="131"/>
      <c r="AB32" s="131"/>
      <c r="AC32" s="131"/>
      <c r="AD32" s="131"/>
      <c r="AE32" s="132"/>
      <c r="AF32" s="46"/>
      <c r="AG32" s="47"/>
      <c r="AH32" s="47"/>
      <c r="AI32" s="47"/>
      <c r="AJ32" s="47"/>
      <c r="AK32" s="47"/>
      <c r="AL32" s="47"/>
      <c r="AM32" s="47"/>
      <c r="AN32" s="52"/>
      <c r="AO32" s="119">
        <v>45683</v>
      </c>
      <c r="AP32" s="120"/>
      <c r="AQ32" s="118" t="s">
        <v>107</v>
      </c>
      <c r="AR32" s="114"/>
      <c r="AS32" s="118" t="s">
        <v>108</v>
      </c>
      <c r="AT32" s="121"/>
      <c r="AU32" s="119">
        <v>45688</v>
      </c>
      <c r="AV32" s="120"/>
      <c r="AW32" s="118" t="s">
        <v>107</v>
      </c>
      <c r="AX32" s="114"/>
      <c r="AY32" s="118" t="s">
        <v>110</v>
      </c>
      <c r="AZ32" s="121"/>
      <c r="BA32" s="146" t="s">
        <v>113</v>
      </c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8"/>
      <c r="BM32" s="34"/>
      <c r="BN32" s="34"/>
    </row>
    <row r="33" spans="1:66" ht="24" customHeight="1" x14ac:dyDescent="0.45">
      <c r="A33" s="33"/>
      <c r="B33" s="33"/>
      <c r="C33" s="38">
        <f t="shared" si="0"/>
        <v>24</v>
      </c>
      <c r="D33" s="35"/>
      <c r="E33" s="36"/>
      <c r="F33" s="36"/>
      <c r="G33" s="37"/>
      <c r="H33" s="36"/>
      <c r="I33" s="36"/>
      <c r="J33" s="36"/>
      <c r="K33" s="36"/>
      <c r="L33" s="130" t="s">
        <v>83</v>
      </c>
      <c r="M33" s="131"/>
      <c r="N33" s="131"/>
      <c r="O33" s="132"/>
      <c r="P33" s="130" t="s">
        <v>104</v>
      </c>
      <c r="Q33" s="131"/>
      <c r="R33" s="131"/>
      <c r="S33" s="131"/>
      <c r="T33" s="131"/>
      <c r="U33" s="131"/>
      <c r="V33" s="131"/>
      <c r="W33" s="132"/>
      <c r="X33" s="130" t="s">
        <v>101</v>
      </c>
      <c r="Y33" s="131"/>
      <c r="Z33" s="131"/>
      <c r="AA33" s="131"/>
      <c r="AB33" s="131"/>
      <c r="AC33" s="131"/>
      <c r="AD33" s="131"/>
      <c r="AE33" s="132"/>
      <c r="AF33" s="46"/>
      <c r="AG33" s="47"/>
      <c r="AH33" s="47"/>
      <c r="AI33" s="47"/>
      <c r="AJ33" s="47"/>
      <c r="AK33" s="47"/>
      <c r="AL33" s="47"/>
      <c r="AM33" s="47"/>
      <c r="AN33" s="52"/>
      <c r="AO33" s="119">
        <v>45683</v>
      </c>
      <c r="AP33" s="120"/>
      <c r="AQ33" s="118" t="s">
        <v>107</v>
      </c>
      <c r="AR33" s="114"/>
      <c r="AS33" s="118" t="s">
        <v>108</v>
      </c>
      <c r="AT33" s="121"/>
      <c r="AU33" s="119">
        <v>45688</v>
      </c>
      <c r="AV33" s="120"/>
      <c r="AW33" s="118" t="s">
        <v>107</v>
      </c>
      <c r="AX33" s="114"/>
      <c r="AY33" s="118" t="s">
        <v>110</v>
      </c>
      <c r="AZ33" s="121"/>
      <c r="BA33" s="146" t="s">
        <v>113</v>
      </c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8"/>
      <c r="BM33" s="34"/>
      <c r="BN33" s="34"/>
    </row>
    <row r="34" spans="1:66" ht="24" customHeight="1" x14ac:dyDescent="0.45">
      <c r="A34" s="33"/>
      <c r="B34" s="33"/>
      <c r="C34" s="38">
        <f t="shared" si="0"/>
        <v>25</v>
      </c>
      <c r="D34" s="35"/>
      <c r="E34" s="36"/>
      <c r="F34" s="36"/>
      <c r="G34" s="37"/>
      <c r="H34" s="36"/>
      <c r="I34" s="36"/>
      <c r="J34" s="36"/>
      <c r="K34" s="36"/>
      <c r="L34" s="130" t="s">
        <v>84</v>
      </c>
      <c r="M34" s="131"/>
      <c r="N34" s="131"/>
      <c r="O34" s="132"/>
      <c r="P34" s="130" t="s">
        <v>104</v>
      </c>
      <c r="Q34" s="131"/>
      <c r="R34" s="131"/>
      <c r="S34" s="131"/>
      <c r="T34" s="131"/>
      <c r="U34" s="131"/>
      <c r="V34" s="131"/>
      <c r="W34" s="132"/>
      <c r="X34" s="130" t="s">
        <v>101</v>
      </c>
      <c r="Y34" s="131"/>
      <c r="Z34" s="131"/>
      <c r="AA34" s="131"/>
      <c r="AB34" s="131"/>
      <c r="AC34" s="131"/>
      <c r="AD34" s="131"/>
      <c r="AE34" s="132"/>
      <c r="AF34" s="46"/>
      <c r="AG34" s="47"/>
      <c r="AH34" s="47"/>
      <c r="AI34" s="47"/>
      <c r="AJ34" s="47"/>
      <c r="AK34" s="47"/>
      <c r="AL34" s="47"/>
      <c r="AM34" s="47"/>
      <c r="AN34" s="52"/>
      <c r="AO34" s="119">
        <v>45683</v>
      </c>
      <c r="AP34" s="120"/>
      <c r="AQ34" s="118" t="s">
        <v>107</v>
      </c>
      <c r="AR34" s="114"/>
      <c r="AS34" s="118" t="s">
        <v>108</v>
      </c>
      <c r="AT34" s="121"/>
      <c r="AU34" s="119">
        <v>45688</v>
      </c>
      <c r="AV34" s="120"/>
      <c r="AW34" s="118" t="s">
        <v>107</v>
      </c>
      <c r="AX34" s="114"/>
      <c r="AY34" s="118" t="s">
        <v>110</v>
      </c>
      <c r="AZ34" s="121"/>
      <c r="BA34" s="146" t="s">
        <v>113</v>
      </c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8"/>
      <c r="BM34" s="34"/>
      <c r="BN34" s="34"/>
    </row>
    <row r="35" spans="1:66" ht="24" customHeight="1" x14ac:dyDescent="0.45">
      <c r="A35" s="33"/>
      <c r="B35" s="33"/>
      <c r="C35" s="38">
        <f t="shared" si="0"/>
        <v>26</v>
      </c>
      <c r="D35" s="35"/>
      <c r="E35" s="36"/>
      <c r="F35" s="36"/>
      <c r="G35" s="37"/>
      <c r="H35" s="36"/>
      <c r="I35" s="36"/>
      <c r="J35" s="36"/>
      <c r="K35" s="36"/>
      <c r="L35" s="130" t="s">
        <v>85</v>
      </c>
      <c r="M35" s="131"/>
      <c r="N35" s="131"/>
      <c r="O35" s="132"/>
      <c r="P35" s="130" t="s">
        <v>104</v>
      </c>
      <c r="Q35" s="131"/>
      <c r="R35" s="131"/>
      <c r="S35" s="131"/>
      <c r="T35" s="131"/>
      <c r="U35" s="131"/>
      <c r="V35" s="131"/>
      <c r="W35" s="132"/>
      <c r="X35" s="130" t="s">
        <v>101</v>
      </c>
      <c r="Y35" s="131"/>
      <c r="Z35" s="131"/>
      <c r="AA35" s="131"/>
      <c r="AB35" s="131"/>
      <c r="AC35" s="131"/>
      <c r="AD35" s="131"/>
      <c r="AE35" s="132"/>
      <c r="AF35" s="46"/>
      <c r="AG35" s="47"/>
      <c r="AH35" s="47"/>
      <c r="AI35" s="47"/>
      <c r="AJ35" s="47"/>
      <c r="AK35" s="47"/>
      <c r="AL35" s="47"/>
      <c r="AM35" s="47"/>
      <c r="AN35" s="52"/>
      <c r="AO35" s="119">
        <v>45683</v>
      </c>
      <c r="AP35" s="120"/>
      <c r="AQ35" s="118" t="s">
        <v>107</v>
      </c>
      <c r="AR35" s="114"/>
      <c r="AS35" s="118" t="s">
        <v>108</v>
      </c>
      <c r="AT35" s="121"/>
      <c r="AU35" s="119">
        <v>45688</v>
      </c>
      <c r="AV35" s="120"/>
      <c r="AW35" s="118" t="s">
        <v>107</v>
      </c>
      <c r="AX35" s="114"/>
      <c r="AY35" s="118" t="s">
        <v>110</v>
      </c>
      <c r="AZ35" s="121"/>
      <c r="BA35" s="146" t="s">
        <v>113</v>
      </c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8"/>
      <c r="BM35" s="34"/>
      <c r="BN35" s="34"/>
    </row>
    <row r="36" spans="1:66" ht="24" customHeight="1" x14ac:dyDescent="0.45">
      <c r="A36" s="33"/>
      <c r="B36" s="33"/>
      <c r="C36" s="38">
        <f t="shared" si="0"/>
        <v>27</v>
      </c>
      <c r="D36" s="35"/>
      <c r="E36" s="36"/>
      <c r="F36" s="36"/>
      <c r="G36" s="37"/>
      <c r="H36" s="36"/>
      <c r="I36" s="36"/>
      <c r="J36" s="36"/>
      <c r="K36" s="36"/>
      <c r="L36" s="130" t="s">
        <v>86</v>
      </c>
      <c r="M36" s="131"/>
      <c r="N36" s="131"/>
      <c r="O36" s="132"/>
      <c r="P36" s="130" t="s">
        <v>104</v>
      </c>
      <c r="Q36" s="131"/>
      <c r="R36" s="131"/>
      <c r="S36" s="131"/>
      <c r="T36" s="131"/>
      <c r="U36" s="131"/>
      <c r="V36" s="131"/>
      <c r="W36" s="132"/>
      <c r="X36" s="130" t="s">
        <v>101</v>
      </c>
      <c r="Y36" s="131"/>
      <c r="Z36" s="131"/>
      <c r="AA36" s="131"/>
      <c r="AB36" s="131"/>
      <c r="AC36" s="131"/>
      <c r="AD36" s="131"/>
      <c r="AE36" s="132"/>
      <c r="AF36" s="46"/>
      <c r="AG36" s="47"/>
      <c r="AH36" s="47"/>
      <c r="AI36" s="47"/>
      <c r="AJ36" s="47"/>
      <c r="AK36" s="47"/>
      <c r="AL36" s="47"/>
      <c r="AM36" s="47"/>
      <c r="AN36" s="52"/>
      <c r="AO36" s="119">
        <v>45683</v>
      </c>
      <c r="AP36" s="120"/>
      <c r="AQ36" s="118" t="s">
        <v>107</v>
      </c>
      <c r="AR36" s="114"/>
      <c r="AS36" s="118" t="s">
        <v>108</v>
      </c>
      <c r="AT36" s="121"/>
      <c r="AU36" s="119">
        <v>45688</v>
      </c>
      <c r="AV36" s="120"/>
      <c r="AW36" s="118" t="s">
        <v>107</v>
      </c>
      <c r="AX36" s="114"/>
      <c r="AY36" s="118" t="s">
        <v>110</v>
      </c>
      <c r="AZ36" s="121"/>
      <c r="BA36" s="146" t="s">
        <v>113</v>
      </c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8"/>
      <c r="BM36" s="34"/>
      <c r="BN36" s="34"/>
    </row>
    <row r="37" spans="1:66" ht="24" customHeight="1" x14ac:dyDescent="0.45">
      <c r="A37" s="33"/>
      <c r="B37" s="33"/>
      <c r="C37" s="38">
        <f t="shared" si="0"/>
        <v>28</v>
      </c>
      <c r="D37" s="35"/>
      <c r="E37" s="36"/>
      <c r="F37" s="36"/>
      <c r="G37" s="37"/>
      <c r="H37" s="36"/>
      <c r="I37" s="36"/>
      <c r="J37" s="36"/>
      <c r="K37" s="36"/>
      <c r="L37" s="130" t="s">
        <v>87</v>
      </c>
      <c r="M37" s="131"/>
      <c r="N37" s="131"/>
      <c r="O37" s="132"/>
      <c r="P37" s="130" t="s">
        <v>104</v>
      </c>
      <c r="Q37" s="131"/>
      <c r="R37" s="131"/>
      <c r="S37" s="131"/>
      <c r="T37" s="131"/>
      <c r="U37" s="131"/>
      <c r="V37" s="131"/>
      <c r="W37" s="132"/>
      <c r="X37" s="130" t="s">
        <v>101</v>
      </c>
      <c r="Y37" s="131"/>
      <c r="Z37" s="131"/>
      <c r="AA37" s="131"/>
      <c r="AB37" s="131"/>
      <c r="AC37" s="131"/>
      <c r="AD37" s="131"/>
      <c r="AE37" s="132"/>
      <c r="AF37" s="46"/>
      <c r="AG37" s="47"/>
      <c r="AH37" s="47"/>
      <c r="AI37" s="47"/>
      <c r="AJ37" s="47"/>
      <c r="AK37" s="47"/>
      <c r="AL37" s="47"/>
      <c r="AM37" s="47"/>
      <c r="AN37" s="52"/>
      <c r="AO37" s="119">
        <v>45683</v>
      </c>
      <c r="AP37" s="120"/>
      <c r="AQ37" s="118" t="s">
        <v>107</v>
      </c>
      <c r="AR37" s="114"/>
      <c r="AS37" s="118" t="s">
        <v>108</v>
      </c>
      <c r="AT37" s="121"/>
      <c r="AU37" s="119">
        <v>45688</v>
      </c>
      <c r="AV37" s="120"/>
      <c r="AW37" s="118" t="s">
        <v>107</v>
      </c>
      <c r="AX37" s="114"/>
      <c r="AY37" s="118" t="s">
        <v>110</v>
      </c>
      <c r="AZ37" s="121"/>
      <c r="BA37" s="146" t="s">
        <v>113</v>
      </c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8"/>
      <c r="BM37" s="34"/>
      <c r="BN37" s="34"/>
    </row>
    <row r="38" spans="1:66" ht="24" customHeight="1" x14ac:dyDescent="0.45">
      <c r="A38" s="33"/>
      <c r="B38" s="33"/>
      <c r="C38" s="38">
        <f t="shared" si="0"/>
        <v>29</v>
      </c>
      <c r="D38" s="35"/>
      <c r="E38" s="36"/>
      <c r="F38" s="36"/>
      <c r="G38" s="37"/>
      <c r="H38" s="36"/>
      <c r="I38" s="36"/>
      <c r="J38" s="36"/>
      <c r="K38" s="36"/>
      <c r="L38" s="130" t="s">
        <v>88</v>
      </c>
      <c r="M38" s="131"/>
      <c r="N38" s="131"/>
      <c r="O38" s="132"/>
      <c r="P38" s="130" t="s">
        <v>104</v>
      </c>
      <c r="Q38" s="131"/>
      <c r="R38" s="131"/>
      <c r="S38" s="131"/>
      <c r="T38" s="131"/>
      <c r="U38" s="131"/>
      <c r="V38" s="131"/>
      <c r="W38" s="132"/>
      <c r="X38" s="130" t="s">
        <v>101</v>
      </c>
      <c r="Y38" s="131"/>
      <c r="Z38" s="131"/>
      <c r="AA38" s="131"/>
      <c r="AB38" s="131"/>
      <c r="AC38" s="131"/>
      <c r="AD38" s="131"/>
      <c r="AE38" s="132"/>
      <c r="AF38" s="46"/>
      <c r="AG38" s="47"/>
      <c r="AH38" s="47"/>
      <c r="AI38" s="47"/>
      <c r="AJ38" s="47"/>
      <c r="AK38" s="47"/>
      <c r="AL38" s="47"/>
      <c r="AM38" s="47"/>
      <c r="AN38" s="52"/>
      <c r="AO38" s="119">
        <v>45683</v>
      </c>
      <c r="AP38" s="120"/>
      <c r="AQ38" s="118" t="s">
        <v>107</v>
      </c>
      <c r="AR38" s="114"/>
      <c r="AS38" s="118" t="s">
        <v>108</v>
      </c>
      <c r="AT38" s="121"/>
      <c r="AU38" s="119">
        <v>45688</v>
      </c>
      <c r="AV38" s="120"/>
      <c r="AW38" s="118" t="s">
        <v>107</v>
      </c>
      <c r="AX38" s="114"/>
      <c r="AY38" s="118" t="s">
        <v>110</v>
      </c>
      <c r="AZ38" s="121"/>
      <c r="BA38" s="146" t="s">
        <v>113</v>
      </c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8"/>
      <c r="BM38" s="34"/>
      <c r="BN38" s="34"/>
    </row>
    <row r="39" spans="1:66" ht="24" customHeight="1" x14ac:dyDescent="0.45">
      <c r="A39" s="33"/>
      <c r="B39" s="33"/>
      <c r="C39" s="38">
        <f t="shared" si="0"/>
        <v>30</v>
      </c>
      <c r="D39" s="35"/>
      <c r="E39" s="36"/>
      <c r="F39" s="36"/>
      <c r="G39" s="37"/>
      <c r="H39" s="36"/>
      <c r="I39" s="36"/>
      <c r="J39" s="36"/>
      <c r="K39" s="36"/>
      <c r="L39" s="130" t="s">
        <v>89</v>
      </c>
      <c r="M39" s="131"/>
      <c r="N39" s="131"/>
      <c r="O39" s="132"/>
      <c r="P39" s="130" t="s">
        <v>104</v>
      </c>
      <c r="Q39" s="131"/>
      <c r="R39" s="131"/>
      <c r="S39" s="131"/>
      <c r="T39" s="131"/>
      <c r="U39" s="131"/>
      <c r="V39" s="131"/>
      <c r="W39" s="132"/>
      <c r="X39" s="130" t="s">
        <v>101</v>
      </c>
      <c r="Y39" s="131"/>
      <c r="Z39" s="131"/>
      <c r="AA39" s="131"/>
      <c r="AB39" s="131"/>
      <c r="AC39" s="131"/>
      <c r="AD39" s="131"/>
      <c r="AE39" s="132"/>
      <c r="AF39" s="46"/>
      <c r="AG39" s="47"/>
      <c r="AH39" s="47"/>
      <c r="AI39" s="47"/>
      <c r="AJ39" s="47"/>
      <c r="AK39" s="47"/>
      <c r="AL39" s="47"/>
      <c r="AM39" s="47"/>
      <c r="AN39" s="52"/>
      <c r="AO39" s="119">
        <v>45683</v>
      </c>
      <c r="AP39" s="120"/>
      <c r="AQ39" s="118" t="s">
        <v>107</v>
      </c>
      <c r="AR39" s="114"/>
      <c r="AS39" s="118" t="s">
        <v>108</v>
      </c>
      <c r="AT39" s="121"/>
      <c r="AU39" s="119">
        <v>45688</v>
      </c>
      <c r="AV39" s="120"/>
      <c r="AW39" s="118" t="s">
        <v>107</v>
      </c>
      <c r="AX39" s="114"/>
      <c r="AY39" s="118" t="s">
        <v>110</v>
      </c>
      <c r="AZ39" s="121"/>
      <c r="BA39" s="146" t="s">
        <v>113</v>
      </c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8"/>
      <c r="BM39" s="34"/>
      <c r="BN39" s="34"/>
    </row>
    <row r="40" spans="1:66" ht="24" customHeight="1" x14ac:dyDescent="0.45">
      <c r="A40" s="33"/>
      <c r="B40" s="33"/>
      <c r="C40" s="38">
        <f t="shared" si="0"/>
        <v>31</v>
      </c>
      <c r="D40" s="35"/>
      <c r="E40" s="36"/>
      <c r="F40" s="36"/>
      <c r="G40" s="37"/>
      <c r="H40" s="36"/>
      <c r="I40" s="36"/>
      <c r="J40" s="36"/>
      <c r="K40" s="36"/>
      <c r="L40" s="130" t="s">
        <v>90</v>
      </c>
      <c r="M40" s="131"/>
      <c r="N40" s="131"/>
      <c r="O40" s="132"/>
      <c r="P40" s="130" t="s">
        <v>104</v>
      </c>
      <c r="Q40" s="131"/>
      <c r="R40" s="131"/>
      <c r="S40" s="131"/>
      <c r="T40" s="131"/>
      <c r="U40" s="131"/>
      <c r="V40" s="131"/>
      <c r="W40" s="132"/>
      <c r="X40" s="130" t="s">
        <v>101</v>
      </c>
      <c r="Y40" s="131"/>
      <c r="Z40" s="131"/>
      <c r="AA40" s="131"/>
      <c r="AB40" s="131"/>
      <c r="AC40" s="131"/>
      <c r="AD40" s="131"/>
      <c r="AE40" s="132"/>
      <c r="AF40" s="46"/>
      <c r="AG40" s="47"/>
      <c r="AH40" s="47"/>
      <c r="AI40" s="47"/>
      <c r="AJ40" s="47"/>
      <c r="AK40" s="47"/>
      <c r="AL40" s="47"/>
      <c r="AM40" s="47"/>
      <c r="AN40" s="52"/>
      <c r="AO40" s="119">
        <v>45683</v>
      </c>
      <c r="AP40" s="120"/>
      <c r="AQ40" s="118" t="s">
        <v>107</v>
      </c>
      <c r="AR40" s="114"/>
      <c r="AS40" s="118" t="s">
        <v>108</v>
      </c>
      <c r="AT40" s="121"/>
      <c r="AU40" s="119">
        <v>45688</v>
      </c>
      <c r="AV40" s="120"/>
      <c r="AW40" s="118" t="s">
        <v>107</v>
      </c>
      <c r="AX40" s="114"/>
      <c r="AY40" s="118" t="s">
        <v>110</v>
      </c>
      <c r="AZ40" s="121"/>
      <c r="BA40" s="146" t="s">
        <v>113</v>
      </c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8"/>
      <c r="BM40" s="34"/>
      <c r="BN40" s="34"/>
    </row>
    <row r="41" spans="1:66" ht="24" customHeight="1" x14ac:dyDescent="0.45">
      <c r="A41" s="33"/>
      <c r="B41" s="33"/>
      <c r="C41" s="38">
        <f t="shared" si="0"/>
        <v>32</v>
      </c>
      <c r="D41" s="35"/>
      <c r="E41" s="89"/>
      <c r="F41" s="89"/>
      <c r="G41" s="37"/>
      <c r="H41" s="89"/>
      <c r="I41" s="89"/>
      <c r="J41" s="89"/>
      <c r="K41" s="89"/>
      <c r="L41" s="130" t="s">
        <v>91</v>
      </c>
      <c r="M41" s="131"/>
      <c r="N41" s="131"/>
      <c r="O41" s="132"/>
      <c r="P41" s="130" t="s">
        <v>104</v>
      </c>
      <c r="Q41" s="131"/>
      <c r="R41" s="131"/>
      <c r="S41" s="131"/>
      <c r="T41" s="131"/>
      <c r="U41" s="131"/>
      <c r="V41" s="131"/>
      <c r="W41" s="132"/>
      <c r="X41" s="130" t="s">
        <v>101</v>
      </c>
      <c r="Y41" s="131"/>
      <c r="Z41" s="131"/>
      <c r="AA41" s="131"/>
      <c r="AB41" s="131"/>
      <c r="AC41" s="131"/>
      <c r="AD41" s="131"/>
      <c r="AE41" s="132"/>
      <c r="AF41" s="78"/>
      <c r="AG41" s="79"/>
      <c r="AH41" s="79"/>
      <c r="AI41" s="79"/>
      <c r="AJ41" s="79"/>
      <c r="AK41" s="79"/>
      <c r="AL41" s="79"/>
      <c r="AM41" s="79"/>
      <c r="AN41" s="81"/>
      <c r="AO41" s="119">
        <v>45683</v>
      </c>
      <c r="AP41" s="120"/>
      <c r="AQ41" s="118" t="s">
        <v>107</v>
      </c>
      <c r="AR41" s="114"/>
      <c r="AS41" s="118" t="s">
        <v>108</v>
      </c>
      <c r="AT41" s="121"/>
      <c r="AU41" s="119">
        <v>45688</v>
      </c>
      <c r="AV41" s="120"/>
      <c r="AW41" s="118" t="s">
        <v>107</v>
      </c>
      <c r="AX41" s="114"/>
      <c r="AY41" s="118" t="s">
        <v>110</v>
      </c>
      <c r="AZ41" s="121"/>
      <c r="BA41" s="146" t="s">
        <v>113</v>
      </c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8"/>
      <c r="BM41" s="34"/>
      <c r="BN41" s="34"/>
    </row>
    <row r="42" spans="1:66" ht="24" customHeight="1" x14ac:dyDescent="0.45">
      <c r="A42" s="33"/>
      <c r="B42" s="33"/>
      <c r="C42" s="38">
        <f t="shared" si="0"/>
        <v>33</v>
      </c>
      <c r="D42" s="35"/>
      <c r="E42" s="89"/>
      <c r="F42" s="89"/>
      <c r="G42" s="37"/>
      <c r="H42" s="89"/>
      <c r="I42" s="89"/>
      <c r="J42" s="89"/>
      <c r="K42" s="89"/>
      <c r="L42" s="130" t="s">
        <v>92</v>
      </c>
      <c r="M42" s="131"/>
      <c r="N42" s="131"/>
      <c r="O42" s="132"/>
      <c r="P42" s="130" t="s">
        <v>104</v>
      </c>
      <c r="Q42" s="131"/>
      <c r="R42" s="131"/>
      <c r="S42" s="131"/>
      <c r="T42" s="131"/>
      <c r="U42" s="131"/>
      <c r="V42" s="131"/>
      <c r="W42" s="132"/>
      <c r="X42" s="130" t="s">
        <v>101</v>
      </c>
      <c r="Y42" s="131"/>
      <c r="Z42" s="131"/>
      <c r="AA42" s="131"/>
      <c r="AB42" s="131"/>
      <c r="AC42" s="131"/>
      <c r="AD42" s="131"/>
      <c r="AE42" s="132"/>
      <c r="AF42" s="78"/>
      <c r="AG42" s="79"/>
      <c r="AH42" s="79"/>
      <c r="AI42" s="79"/>
      <c r="AJ42" s="79"/>
      <c r="AK42" s="79"/>
      <c r="AL42" s="79"/>
      <c r="AM42" s="79"/>
      <c r="AN42" s="81"/>
      <c r="AO42" s="119">
        <v>45683</v>
      </c>
      <c r="AP42" s="120"/>
      <c r="AQ42" s="118" t="s">
        <v>107</v>
      </c>
      <c r="AR42" s="114"/>
      <c r="AS42" s="118" t="s">
        <v>108</v>
      </c>
      <c r="AT42" s="121"/>
      <c r="AU42" s="119">
        <v>45688</v>
      </c>
      <c r="AV42" s="120"/>
      <c r="AW42" s="118" t="s">
        <v>107</v>
      </c>
      <c r="AX42" s="114"/>
      <c r="AY42" s="118" t="s">
        <v>110</v>
      </c>
      <c r="AZ42" s="121"/>
      <c r="BA42" s="146" t="s">
        <v>113</v>
      </c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8"/>
      <c r="BM42" s="34"/>
      <c r="BN42" s="34"/>
    </row>
    <row r="43" spans="1:66" ht="24" customHeight="1" x14ac:dyDescent="0.45">
      <c r="A43" s="33"/>
      <c r="B43" s="33"/>
      <c r="C43" s="38">
        <f t="shared" si="0"/>
        <v>34</v>
      </c>
      <c r="D43" s="35"/>
      <c r="E43" s="89"/>
      <c r="F43" s="89"/>
      <c r="G43" s="37"/>
      <c r="H43" s="89"/>
      <c r="I43" s="89"/>
      <c r="J43" s="89"/>
      <c r="K43" s="89"/>
      <c r="L43" s="130" t="s">
        <v>93</v>
      </c>
      <c r="M43" s="131"/>
      <c r="N43" s="131"/>
      <c r="O43" s="132"/>
      <c r="P43" s="130" t="s">
        <v>104</v>
      </c>
      <c r="Q43" s="131"/>
      <c r="R43" s="131"/>
      <c r="S43" s="131"/>
      <c r="T43" s="131"/>
      <c r="U43" s="131"/>
      <c r="V43" s="131"/>
      <c r="W43" s="132"/>
      <c r="X43" s="130" t="s">
        <v>101</v>
      </c>
      <c r="Y43" s="131"/>
      <c r="Z43" s="131"/>
      <c r="AA43" s="131"/>
      <c r="AB43" s="131"/>
      <c r="AC43" s="131"/>
      <c r="AD43" s="131"/>
      <c r="AE43" s="132"/>
      <c r="AF43" s="78"/>
      <c r="AG43" s="79"/>
      <c r="AH43" s="79"/>
      <c r="AI43" s="79"/>
      <c r="AJ43" s="79"/>
      <c r="AK43" s="79"/>
      <c r="AL43" s="79"/>
      <c r="AM43" s="79"/>
      <c r="AN43" s="81"/>
      <c r="AO43" s="119">
        <v>45683</v>
      </c>
      <c r="AP43" s="120"/>
      <c r="AQ43" s="118" t="s">
        <v>107</v>
      </c>
      <c r="AR43" s="114"/>
      <c r="AS43" s="118" t="s">
        <v>108</v>
      </c>
      <c r="AT43" s="121"/>
      <c r="AU43" s="119">
        <v>45688</v>
      </c>
      <c r="AV43" s="120"/>
      <c r="AW43" s="118" t="s">
        <v>107</v>
      </c>
      <c r="AX43" s="114"/>
      <c r="AY43" s="118" t="s">
        <v>110</v>
      </c>
      <c r="AZ43" s="121"/>
      <c r="BA43" s="146" t="s">
        <v>113</v>
      </c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8"/>
      <c r="BM43" s="34"/>
      <c r="BN43" s="34"/>
    </row>
    <row r="44" spans="1:66" ht="24" customHeight="1" x14ac:dyDescent="0.45">
      <c r="A44" s="33"/>
      <c r="B44" s="33"/>
      <c r="C44" s="38">
        <f t="shared" si="0"/>
        <v>35</v>
      </c>
      <c r="D44" s="35"/>
      <c r="E44" s="89"/>
      <c r="F44" s="89"/>
      <c r="G44" s="37"/>
      <c r="H44" s="89"/>
      <c r="I44" s="89"/>
      <c r="J44" s="89"/>
      <c r="K44" s="89"/>
      <c r="L44" s="130" t="s">
        <v>94</v>
      </c>
      <c r="M44" s="131"/>
      <c r="N44" s="131"/>
      <c r="O44" s="132"/>
      <c r="P44" s="130" t="s">
        <v>104</v>
      </c>
      <c r="Q44" s="131"/>
      <c r="R44" s="131"/>
      <c r="S44" s="131"/>
      <c r="T44" s="131"/>
      <c r="U44" s="131"/>
      <c r="V44" s="131"/>
      <c r="W44" s="132"/>
      <c r="X44" s="130" t="s">
        <v>101</v>
      </c>
      <c r="Y44" s="131"/>
      <c r="Z44" s="131"/>
      <c r="AA44" s="131"/>
      <c r="AB44" s="131"/>
      <c r="AC44" s="131"/>
      <c r="AD44" s="131"/>
      <c r="AE44" s="132"/>
      <c r="AF44" s="78"/>
      <c r="AG44" s="79"/>
      <c r="AH44" s="79"/>
      <c r="AI44" s="79"/>
      <c r="AJ44" s="79"/>
      <c r="AK44" s="79"/>
      <c r="AL44" s="79"/>
      <c r="AM44" s="79"/>
      <c r="AN44" s="81"/>
      <c r="AO44" s="119">
        <v>45683</v>
      </c>
      <c r="AP44" s="120"/>
      <c r="AQ44" s="118" t="s">
        <v>107</v>
      </c>
      <c r="AR44" s="114"/>
      <c r="AS44" s="118" t="s">
        <v>108</v>
      </c>
      <c r="AT44" s="121"/>
      <c r="AU44" s="119">
        <v>45688</v>
      </c>
      <c r="AV44" s="120"/>
      <c r="AW44" s="118" t="s">
        <v>107</v>
      </c>
      <c r="AX44" s="114"/>
      <c r="AY44" s="118" t="s">
        <v>110</v>
      </c>
      <c r="AZ44" s="121"/>
      <c r="BA44" s="146" t="s">
        <v>113</v>
      </c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8"/>
      <c r="BM44" s="34"/>
      <c r="BN44" s="34"/>
    </row>
    <row r="45" spans="1:66" ht="24" customHeight="1" x14ac:dyDescent="0.45">
      <c r="A45" s="33"/>
      <c r="B45" s="33"/>
      <c r="C45" s="38">
        <f t="shared" si="0"/>
        <v>36</v>
      </c>
      <c r="D45" s="35"/>
      <c r="E45" s="89"/>
      <c r="F45" s="89"/>
      <c r="G45" s="37"/>
      <c r="H45" s="89"/>
      <c r="I45" s="89"/>
      <c r="J45" s="89"/>
      <c r="K45" s="89"/>
      <c r="L45" s="130" t="s">
        <v>95</v>
      </c>
      <c r="M45" s="131"/>
      <c r="N45" s="131"/>
      <c r="O45" s="132"/>
      <c r="P45" s="130" t="s">
        <v>104</v>
      </c>
      <c r="Q45" s="131"/>
      <c r="R45" s="131"/>
      <c r="S45" s="131"/>
      <c r="T45" s="131"/>
      <c r="U45" s="131"/>
      <c r="V45" s="131"/>
      <c r="W45" s="132"/>
      <c r="X45" s="130" t="s">
        <v>101</v>
      </c>
      <c r="Y45" s="131"/>
      <c r="Z45" s="131"/>
      <c r="AA45" s="131"/>
      <c r="AB45" s="131"/>
      <c r="AC45" s="131"/>
      <c r="AD45" s="131"/>
      <c r="AE45" s="132"/>
      <c r="AF45" s="78"/>
      <c r="AG45" s="79"/>
      <c r="AH45" s="79"/>
      <c r="AI45" s="79"/>
      <c r="AJ45" s="79"/>
      <c r="AK45" s="79"/>
      <c r="AL45" s="79"/>
      <c r="AM45" s="79"/>
      <c r="AN45" s="81"/>
      <c r="AO45" s="119">
        <v>45683</v>
      </c>
      <c r="AP45" s="120"/>
      <c r="AQ45" s="118" t="s">
        <v>107</v>
      </c>
      <c r="AR45" s="114"/>
      <c r="AS45" s="118" t="s">
        <v>108</v>
      </c>
      <c r="AT45" s="121"/>
      <c r="AU45" s="119">
        <v>45688</v>
      </c>
      <c r="AV45" s="120"/>
      <c r="AW45" s="118" t="s">
        <v>107</v>
      </c>
      <c r="AX45" s="114"/>
      <c r="AY45" s="118" t="s">
        <v>110</v>
      </c>
      <c r="AZ45" s="121"/>
      <c r="BA45" s="146" t="s">
        <v>113</v>
      </c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8"/>
      <c r="BM45" s="34"/>
      <c r="BN45" s="34"/>
    </row>
    <row r="46" spans="1:66" ht="24" customHeight="1" x14ac:dyDescent="0.45">
      <c r="A46" s="33"/>
      <c r="B46" s="33"/>
      <c r="C46" s="38">
        <f t="shared" si="0"/>
        <v>37</v>
      </c>
      <c r="D46" s="35"/>
      <c r="E46" s="89"/>
      <c r="F46" s="89"/>
      <c r="G46" s="37"/>
      <c r="H46" s="89"/>
      <c r="I46" s="89"/>
      <c r="J46" s="89"/>
      <c r="K46" s="89"/>
      <c r="L46" s="130" t="s">
        <v>96</v>
      </c>
      <c r="M46" s="131"/>
      <c r="N46" s="131"/>
      <c r="O46" s="132"/>
      <c r="P46" s="130" t="s">
        <v>104</v>
      </c>
      <c r="Q46" s="131"/>
      <c r="R46" s="131"/>
      <c r="S46" s="131"/>
      <c r="T46" s="131"/>
      <c r="U46" s="131"/>
      <c r="V46" s="131"/>
      <c r="W46" s="132"/>
      <c r="X46" s="130" t="s">
        <v>101</v>
      </c>
      <c r="Y46" s="131"/>
      <c r="Z46" s="131"/>
      <c r="AA46" s="131"/>
      <c r="AB46" s="131"/>
      <c r="AC46" s="131"/>
      <c r="AD46" s="131"/>
      <c r="AE46" s="132"/>
      <c r="AF46" s="78"/>
      <c r="AG46" s="79"/>
      <c r="AH46" s="79"/>
      <c r="AI46" s="79"/>
      <c r="AJ46" s="79"/>
      <c r="AK46" s="79"/>
      <c r="AL46" s="79"/>
      <c r="AM46" s="79"/>
      <c r="AN46" s="81"/>
      <c r="AO46" s="119">
        <v>45683</v>
      </c>
      <c r="AP46" s="120"/>
      <c r="AQ46" s="118" t="s">
        <v>107</v>
      </c>
      <c r="AR46" s="114"/>
      <c r="AS46" s="118" t="s">
        <v>108</v>
      </c>
      <c r="AT46" s="121"/>
      <c r="AU46" s="119">
        <v>45688</v>
      </c>
      <c r="AV46" s="120"/>
      <c r="AW46" s="118" t="s">
        <v>107</v>
      </c>
      <c r="AX46" s="114"/>
      <c r="AY46" s="118" t="s">
        <v>110</v>
      </c>
      <c r="AZ46" s="121"/>
      <c r="BA46" s="146" t="s">
        <v>113</v>
      </c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8"/>
      <c r="BM46" s="34"/>
      <c r="BN46" s="34"/>
    </row>
    <row r="47" spans="1:66" ht="24" customHeight="1" x14ac:dyDescent="0.45">
      <c r="A47" s="33"/>
      <c r="B47" s="33"/>
      <c r="C47" s="38">
        <f t="shared" si="0"/>
        <v>38</v>
      </c>
      <c r="D47" s="35"/>
      <c r="E47" s="36"/>
      <c r="F47" s="36"/>
      <c r="G47" s="37"/>
      <c r="H47" s="36"/>
      <c r="I47" s="36"/>
      <c r="J47" s="36"/>
      <c r="K47" s="36"/>
      <c r="L47" s="130" t="s">
        <v>97</v>
      </c>
      <c r="M47" s="131"/>
      <c r="N47" s="131"/>
      <c r="O47" s="132"/>
      <c r="P47" s="130" t="s">
        <v>104</v>
      </c>
      <c r="Q47" s="131"/>
      <c r="R47" s="131"/>
      <c r="S47" s="131"/>
      <c r="T47" s="131"/>
      <c r="U47" s="131"/>
      <c r="V47" s="131"/>
      <c r="W47" s="132"/>
      <c r="X47" s="130" t="s">
        <v>101</v>
      </c>
      <c r="Y47" s="131"/>
      <c r="Z47" s="131"/>
      <c r="AA47" s="131"/>
      <c r="AB47" s="131"/>
      <c r="AC47" s="131"/>
      <c r="AD47" s="131"/>
      <c r="AE47" s="132"/>
      <c r="AF47" s="46"/>
      <c r="AG47" s="47"/>
      <c r="AH47" s="47"/>
      <c r="AI47" s="47"/>
      <c r="AJ47" s="47"/>
      <c r="AK47" s="47"/>
      <c r="AL47" s="47"/>
      <c r="AM47" s="47"/>
      <c r="AN47" s="52"/>
      <c r="AO47" s="119">
        <v>45683</v>
      </c>
      <c r="AP47" s="120"/>
      <c r="AQ47" s="118" t="s">
        <v>107</v>
      </c>
      <c r="AR47" s="114"/>
      <c r="AS47" s="118" t="s">
        <v>108</v>
      </c>
      <c r="AT47" s="121"/>
      <c r="AU47" s="119">
        <v>45688</v>
      </c>
      <c r="AV47" s="120"/>
      <c r="AW47" s="118" t="s">
        <v>107</v>
      </c>
      <c r="AX47" s="114"/>
      <c r="AY47" s="118" t="s">
        <v>110</v>
      </c>
      <c r="AZ47" s="121"/>
      <c r="BA47" s="146" t="s">
        <v>113</v>
      </c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8"/>
      <c r="BM47" s="34"/>
      <c r="BN47" s="34"/>
    </row>
    <row r="48" spans="1:66" ht="24" customHeight="1" x14ac:dyDescent="0.45">
      <c r="A48" s="33"/>
      <c r="B48" s="33"/>
      <c r="C48" s="38">
        <f t="shared" si="0"/>
        <v>39</v>
      </c>
      <c r="D48" s="35"/>
      <c r="E48" s="36"/>
      <c r="F48" s="36"/>
      <c r="G48" s="37"/>
      <c r="H48" s="36"/>
      <c r="I48" s="36"/>
      <c r="J48" s="36"/>
      <c r="K48" s="36"/>
      <c r="L48" s="130" t="s">
        <v>98</v>
      </c>
      <c r="M48" s="131"/>
      <c r="N48" s="131"/>
      <c r="O48" s="132"/>
      <c r="P48" s="130" t="s">
        <v>104</v>
      </c>
      <c r="Q48" s="131"/>
      <c r="R48" s="131"/>
      <c r="S48" s="131"/>
      <c r="T48" s="131"/>
      <c r="U48" s="131"/>
      <c r="V48" s="131"/>
      <c r="W48" s="132"/>
      <c r="X48" s="130" t="s">
        <v>101</v>
      </c>
      <c r="Y48" s="131"/>
      <c r="Z48" s="131"/>
      <c r="AA48" s="131"/>
      <c r="AB48" s="131"/>
      <c r="AC48" s="131"/>
      <c r="AD48" s="131"/>
      <c r="AE48" s="132"/>
      <c r="AF48" s="46"/>
      <c r="AG48" s="47"/>
      <c r="AH48" s="47"/>
      <c r="AI48" s="47"/>
      <c r="AJ48" s="47"/>
      <c r="AK48" s="47"/>
      <c r="AL48" s="47"/>
      <c r="AM48" s="47"/>
      <c r="AN48" s="52"/>
      <c r="AO48" s="119">
        <v>45683</v>
      </c>
      <c r="AP48" s="120"/>
      <c r="AQ48" s="118" t="s">
        <v>107</v>
      </c>
      <c r="AR48" s="114"/>
      <c r="AS48" s="118" t="s">
        <v>108</v>
      </c>
      <c r="AT48" s="121"/>
      <c r="AU48" s="119">
        <v>45688</v>
      </c>
      <c r="AV48" s="120"/>
      <c r="AW48" s="118" t="s">
        <v>107</v>
      </c>
      <c r="AX48" s="114"/>
      <c r="AY48" s="118" t="s">
        <v>110</v>
      </c>
      <c r="AZ48" s="121"/>
      <c r="BA48" s="146" t="s">
        <v>113</v>
      </c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8"/>
      <c r="BM48" s="34"/>
      <c r="BN48" s="34"/>
    </row>
    <row r="49" spans="1:66" ht="24" customHeight="1" x14ac:dyDescent="0.45">
      <c r="A49" s="33"/>
      <c r="B49" s="33"/>
      <c r="C49" s="38">
        <f t="shared" si="0"/>
        <v>40</v>
      </c>
      <c r="D49" s="35"/>
      <c r="E49" s="36"/>
      <c r="F49" s="36"/>
      <c r="G49" s="37"/>
      <c r="H49" s="36"/>
      <c r="I49" s="36"/>
      <c r="J49" s="36"/>
      <c r="K49" s="36"/>
      <c r="L49" s="130" t="s">
        <v>89</v>
      </c>
      <c r="M49" s="131"/>
      <c r="N49" s="131"/>
      <c r="O49" s="132"/>
      <c r="P49" s="130" t="s">
        <v>104</v>
      </c>
      <c r="Q49" s="131"/>
      <c r="R49" s="131"/>
      <c r="S49" s="131"/>
      <c r="T49" s="131"/>
      <c r="U49" s="131"/>
      <c r="V49" s="131"/>
      <c r="W49" s="132"/>
      <c r="X49" s="130" t="s">
        <v>101</v>
      </c>
      <c r="Y49" s="131"/>
      <c r="Z49" s="131"/>
      <c r="AA49" s="131"/>
      <c r="AB49" s="131"/>
      <c r="AC49" s="131"/>
      <c r="AD49" s="131"/>
      <c r="AE49" s="132"/>
      <c r="AF49" s="46"/>
      <c r="AG49" s="47"/>
      <c r="AH49" s="47"/>
      <c r="AI49" s="47"/>
      <c r="AJ49" s="47"/>
      <c r="AK49" s="47"/>
      <c r="AL49" s="47"/>
      <c r="AM49" s="47"/>
      <c r="AN49" s="52"/>
      <c r="AO49" s="119">
        <v>45683</v>
      </c>
      <c r="AP49" s="120"/>
      <c r="AQ49" s="118" t="s">
        <v>107</v>
      </c>
      <c r="AR49" s="114"/>
      <c r="AS49" s="118" t="s">
        <v>108</v>
      </c>
      <c r="AT49" s="121"/>
      <c r="AU49" s="119">
        <v>45688</v>
      </c>
      <c r="AV49" s="120"/>
      <c r="AW49" s="118" t="s">
        <v>107</v>
      </c>
      <c r="AX49" s="114"/>
      <c r="AY49" s="118" t="s">
        <v>110</v>
      </c>
      <c r="AZ49" s="121"/>
      <c r="BA49" s="146" t="s">
        <v>113</v>
      </c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8"/>
      <c r="BM49" s="34"/>
      <c r="BN49" s="34"/>
    </row>
    <row r="50" spans="1:66" ht="24" customHeight="1" x14ac:dyDescent="0.45">
      <c r="A50" s="33"/>
      <c r="B50" s="33"/>
      <c r="C50" s="38">
        <f t="shared" si="0"/>
        <v>41</v>
      </c>
      <c r="D50" s="35"/>
      <c r="E50" s="36"/>
      <c r="F50" s="36"/>
      <c r="G50" s="37"/>
      <c r="H50" s="55"/>
      <c r="I50" s="56"/>
      <c r="J50" s="56"/>
      <c r="K50" s="57"/>
      <c r="L50" s="130" t="s">
        <v>90</v>
      </c>
      <c r="M50" s="131"/>
      <c r="N50" s="131"/>
      <c r="O50" s="132"/>
      <c r="P50" s="130" t="s">
        <v>104</v>
      </c>
      <c r="Q50" s="131"/>
      <c r="R50" s="131"/>
      <c r="S50" s="131"/>
      <c r="T50" s="131"/>
      <c r="U50" s="131"/>
      <c r="V50" s="131"/>
      <c r="W50" s="132"/>
      <c r="X50" s="130" t="s">
        <v>101</v>
      </c>
      <c r="Y50" s="131"/>
      <c r="Z50" s="131"/>
      <c r="AA50" s="131"/>
      <c r="AB50" s="131"/>
      <c r="AC50" s="131"/>
      <c r="AD50" s="131"/>
      <c r="AE50" s="132"/>
      <c r="AF50" s="46"/>
      <c r="AG50" s="47"/>
      <c r="AH50" s="47"/>
      <c r="AI50" s="47"/>
      <c r="AJ50" s="47"/>
      <c r="AK50" s="47"/>
      <c r="AL50" s="47"/>
      <c r="AM50" s="47"/>
      <c r="AN50" s="52"/>
      <c r="AO50" s="119">
        <v>45683</v>
      </c>
      <c r="AP50" s="120"/>
      <c r="AQ50" s="118" t="s">
        <v>107</v>
      </c>
      <c r="AR50" s="114"/>
      <c r="AS50" s="118" t="s">
        <v>108</v>
      </c>
      <c r="AT50" s="121"/>
      <c r="AU50" s="119">
        <v>45688</v>
      </c>
      <c r="AV50" s="120"/>
      <c r="AW50" s="118" t="s">
        <v>107</v>
      </c>
      <c r="AX50" s="114"/>
      <c r="AY50" s="118" t="s">
        <v>110</v>
      </c>
      <c r="AZ50" s="121"/>
      <c r="BA50" s="146" t="s">
        <v>113</v>
      </c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8"/>
      <c r="BM50" s="34"/>
      <c r="BN50" s="34"/>
    </row>
    <row r="51" spans="1:66" ht="24" customHeight="1" x14ac:dyDescent="0.45">
      <c r="A51" s="33"/>
      <c r="B51" s="33"/>
      <c r="C51" s="38">
        <f t="shared" si="0"/>
        <v>42</v>
      </c>
      <c r="D51" s="35"/>
      <c r="E51" s="36"/>
      <c r="F51" s="36"/>
      <c r="G51" s="37"/>
      <c r="H51" s="54" t="s">
        <v>51</v>
      </c>
      <c r="I51" s="36"/>
      <c r="J51" s="36"/>
      <c r="K51" s="36"/>
      <c r="L51" s="130" t="s">
        <v>60</v>
      </c>
      <c r="M51" s="131"/>
      <c r="N51" s="131"/>
      <c r="O51" s="132"/>
      <c r="P51" s="31" t="s">
        <v>50</v>
      </c>
      <c r="Q51" s="47"/>
      <c r="R51" s="47"/>
      <c r="S51" s="47"/>
      <c r="T51" s="47"/>
      <c r="U51" s="47"/>
      <c r="V51" s="47"/>
      <c r="W51" s="48"/>
      <c r="X51" s="130" t="s">
        <v>102</v>
      </c>
      <c r="Y51" s="131"/>
      <c r="Z51" s="131"/>
      <c r="AA51" s="131"/>
      <c r="AB51" s="131"/>
      <c r="AC51" s="131"/>
      <c r="AD51" s="131"/>
      <c r="AE51" s="132"/>
      <c r="AF51" s="46"/>
      <c r="AG51" s="47"/>
      <c r="AH51" s="47"/>
      <c r="AI51" s="47"/>
      <c r="AJ51" s="47"/>
      <c r="AK51" s="47"/>
      <c r="AL51" s="47"/>
      <c r="AM51" s="47"/>
      <c r="AN51" s="52"/>
      <c r="AO51" s="119">
        <v>45683</v>
      </c>
      <c r="AP51" s="120"/>
      <c r="AQ51" s="118" t="s">
        <v>107</v>
      </c>
      <c r="AR51" s="114"/>
      <c r="AS51" s="118" t="s">
        <v>108</v>
      </c>
      <c r="AT51" s="121"/>
      <c r="AU51" s="119">
        <v>45688</v>
      </c>
      <c r="AV51" s="120"/>
      <c r="AW51" s="118" t="s">
        <v>107</v>
      </c>
      <c r="AX51" s="114"/>
      <c r="AY51" s="118" t="s">
        <v>110</v>
      </c>
      <c r="AZ51" s="121"/>
      <c r="BA51" s="146" t="s">
        <v>113</v>
      </c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8"/>
      <c r="BM51" s="34"/>
      <c r="BN51" s="34"/>
    </row>
    <row r="52" spans="1:66" ht="24" customHeight="1" x14ac:dyDescent="0.45">
      <c r="A52" s="33"/>
      <c r="B52" s="33"/>
      <c r="C52" s="38">
        <f t="shared" si="0"/>
        <v>43</v>
      </c>
      <c r="D52" s="35"/>
      <c r="E52" s="89"/>
      <c r="F52" s="89"/>
      <c r="G52" s="37"/>
      <c r="H52" s="88"/>
      <c r="I52" s="89"/>
      <c r="J52" s="89"/>
      <c r="K52" s="89"/>
      <c r="L52" s="130" t="s">
        <v>61</v>
      </c>
      <c r="M52" s="131"/>
      <c r="N52" s="131"/>
      <c r="O52" s="132"/>
      <c r="P52" s="86" t="s">
        <v>50</v>
      </c>
      <c r="Q52" s="79"/>
      <c r="R52" s="79"/>
      <c r="S52" s="79"/>
      <c r="T52" s="79"/>
      <c r="U52" s="79"/>
      <c r="V52" s="79"/>
      <c r="W52" s="80"/>
      <c r="X52" s="130" t="s">
        <v>102</v>
      </c>
      <c r="Y52" s="131"/>
      <c r="Z52" s="131"/>
      <c r="AA52" s="131"/>
      <c r="AB52" s="131"/>
      <c r="AC52" s="131"/>
      <c r="AD52" s="131"/>
      <c r="AE52" s="132"/>
      <c r="AF52" s="78"/>
      <c r="AG52" s="79"/>
      <c r="AH52" s="79"/>
      <c r="AI52" s="79"/>
      <c r="AJ52" s="79"/>
      <c r="AK52" s="79"/>
      <c r="AL52" s="79"/>
      <c r="AM52" s="79"/>
      <c r="AN52" s="81"/>
      <c r="AO52" s="119">
        <v>45683</v>
      </c>
      <c r="AP52" s="120"/>
      <c r="AQ52" s="118" t="s">
        <v>107</v>
      </c>
      <c r="AR52" s="114"/>
      <c r="AS52" s="118" t="s">
        <v>108</v>
      </c>
      <c r="AT52" s="121"/>
      <c r="AU52" s="119">
        <v>45688</v>
      </c>
      <c r="AV52" s="120"/>
      <c r="AW52" s="118" t="s">
        <v>107</v>
      </c>
      <c r="AX52" s="114"/>
      <c r="AY52" s="118" t="s">
        <v>110</v>
      </c>
      <c r="AZ52" s="121"/>
      <c r="BA52" s="146" t="s">
        <v>113</v>
      </c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8"/>
      <c r="BM52" s="34"/>
      <c r="BN52" s="34"/>
    </row>
    <row r="53" spans="1:66" ht="24" customHeight="1" x14ac:dyDescent="0.45">
      <c r="A53" s="33"/>
      <c r="B53" s="33"/>
      <c r="C53" s="38">
        <f t="shared" si="0"/>
        <v>44</v>
      </c>
      <c r="D53" s="35"/>
      <c r="E53" s="89"/>
      <c r="F53" s="89"/>
      <c r="G53" s="37"/>
      <c r="H53" s="88"/>
      <c r="I53" s="89"/>
      <c r="J53" s="89"/>
      <c r="K53" s="89"/>
      <c r="L53" s="130" t="s">
        <v>62</v>
      </c>
      <c r="M53" s="131"/>
      <c r="N53" s="131"/>
      <c r="O53" s="132"/>
      <c r="P53" s="86" t="s">
        <v>50</v>
      </c>
      <c r="Q53" s="79"/>
      <c r="R53" s="79"/>
      <c r="S53" s="79"/>
      <c r="T53" s="79"/>
      <c r="U53" s="79"/>
      <c r="V53" s="79"/>
      <c r="W53" s="80"/>
      <c r="X53" s="130" t="s">
        <v>102</v>
      </c>
      <c r="Y53" s="131"/>
      <c r="Z53" s="131"/>
      <c r="AA53" s="131"/>
      <c r="AB53" s="131"/>
      <c r="AC53" s="131"/>
      <c r="AD53" s="131"/>
      <c r="AE53" s="132"/>
      <c r="AF53" s="78"/>
      <c r="AG53" s="79"/>
      <c r="AH53" s="79"/>
      <c r="AI53" s="79"/>
      <c r="AJ53" s="79"/>
      <c r="AK53" s="79"/>
      <c r="AL53" s="79"/>
      <c r="AM53" s="79"/>
      <c r="AN53" s="81"/>
      <c r="AO53" s="119">
        <v>45683</v>
      </c>
      <c r="AP53" s="120"/>
      <c r="AQ53" s="118" t="s">
        <v>107</v>
      </c>
      <c r="AR53" s="114"/>
      <c r="AS53" s="118" t="s">
        <v>108</v>
      </c>
      <c r="AT53" s="121"/>
      <c r="AU53" s="119">
        <v>45688</v>
      </c>
      <c r="AV53" s="120"/>
      <c r="AW53" s="118" t="s">
        <v>107</v>
      </c>
      <c r="AX53" s="114"/>
      <c r="AY53" s="118" t="s">
        <v>110</v>
      </c>
      <c r="AZ53" s="121"/>
      <c r="BA53" s="146" t="s">
        <v>113</v>
      </c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8"/>
      <c r="BM53" s="34"/>
      <c r="BN53" s="34"/>
    </row>
    <row r="54" spans="1:66" ht="24" customHeight="1" x14ac:dyDescent="0.45">
      <c r="A54" s="33"/>
      <c r="B54" s="33"/>
      <c r="C54" s="38">
        <f t="shared" si="0"/>
        <v>45</v>
      </c>
      <c r="D54" s="35"/>
      <c r="E54" s="89"/>
      <c r="F54" s="89"/>
      <c r="G54" s="37"/>
      <c r="H54" s="88"/>
      <c r="I54" s="89"/>
      <c r="J54" s="89"/>
      <c r="K54" s="89"/>
      <c r="L54" s="130" t="s">
        <v>63</v>
      </c>
      <c r="M54" s="131"/>
      <c r="N54" s="131"/>
      <c r="O54" s="132"/>
      <c r="P54" s="86" t="s">
        <v>50</v>
      </c>
      <c r="Q54" s="79"/>
      <c r="R54" s="79"/>
      <c r="S54" s="79"/>
      <c r="T54" s="79"/>
      <c r="U54" s="79"/>
      <c r="V54" s="79"/>
      <c r="W54" s="80"/>
      <c r="X54" s="130" t="s">
        <v>102</v>
      </c>
      <c r="Y54" s="131"/>
      <c r="Z54" s="131"/>
      <c r="AA54" s="131"/>
      <c r="AB54" s="131"/>
      <c r="AC54" s="131"/>
      <c r="AD54" s="131"/>
      <c r="AE54" s="132"/>
      <c r="AF54" s="78"/>
      <c r="AG54" s="79"/>
      <c r="AH54" s="79"/>
      <c r="AI54" s="79"/>
      <c r="AJ54" s="79"/>
      <c r="AK54" s="79"/>
      <c r="AL54" s="79"/>
      <c r="AM54" s="79"/>
      <c r="AN54" s="81"/>
      <c r="AO54" s="119">
        <v>45683</v>
      </c>
      <c r="AP54" s="120"/>
      <c r="AQ54" s="118" t="s">
        <v>107</v>
      </c>
      <c r="AR54" s="114"/>
      <c r="AS54" s="118" t="s">
        <v>108</v>
      </c>
      <c r="AT54" s="121"/>
      <c r="AU54" s="119">
        <v>45688</v>
      </c>
      <c r="AV54" s="120"/>
      <c r="AW54" s="118" t="s">
        <v>107</v>
      </c>
      <c r="AX54" s="114"/>
      <c r="AY54" s="118" t="s">
        <v>110</v>
      </c>
      <c r="AZ54" s="121"/>
      <c r="BA54" s="146" t="s">
        <v>113</v>
      </c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8"/>
      <c r="BM54" s="34"/>
      <c r="BN54" s="34"/>
    </row>
    <row r="55" spans="1:66" ht="24" customHeight="1" x14ac:dyDescent="0.45">
      <c r="A55" s="33"/>
      <c r="B55" s="33"/>
      <c r="C55" s="38">
        <f t="shared" si="0"/>
        <v>46</v>
      </c>
      <c r="D55" s="35"/>
      <c r="E55" s="89"/>
      <c r="F55" s="89"/>
      <c r="G55" s="37"/>
      <c r="H55" s="88"/>
      <c r="I55" s="89"/>
      <c r="J55" s="89"/>
      <c r="K55" s="89"/>
      <c r="L55" s="130" t="s">
        <v>64</v>
      </c>
      <c r="M55" s="131"/>
      <c r="N55" s="131"/>
      <c r="O55" s="132"/>
      <c r="P55" s="86" t="s">
        <v>50</v>
      </c>
      <c r="Q55" s="79"/>
      <c r="R55" s="79"/>
      <c r="S55" s="79"/>
      <c r="T55" s="79"/>
      <c r="U55" s="79"/>
      <c r="V55" s="79"/>
      <c r="W55" s="80"/>
      <c r="X55" s="130" t="s">
        <v>102</v>
      </c>
      <c r="Y55" s="131"/>
      <c r="Z55" s="131"/>
      <c r="AA55" s="131"/>
      <c r="AB55" s="131"/>
      <c r="AC55" s="131"/>
      <c r="AD55" s="131"/>
      <c r="AE55" s="132"/>
      <c r="AF55" s="78"/>
      <c r="AG55" s="79"/>
      <c r="AH55" s="79"/>
      <c r="AI55" s="79"/>
      <c r="AJ55" s="79"/>
      <c r="AK55" s="79"/>
      <c r="AL55" s="79"/>
      <c r="AM55" s="79"/>
      <c r="AN55" s="81"/>
      <c r="AO55" s="119">
        <v>45683</v>
      </c>
      <c r="AP55" s="120"/>
      <c r="AQ55" s="118" t="s">
        <v>107</v>
      </c>
      <c r="AR55" s="114"/>
      <c r="AS55" s="118" t="s">
        <v>108</v>
      </c>
      <c r="AT55" s="121"/>
      <c r="AU55" s="119">
        <v>45688</v>
      </c>
      <c r="AV55" s="120"/>
      <c r="AW55" s="118" t="s">
        <v>107</v>
      </c>
      <c r="AX55" s="114"/>
      <c r="AY55" s="118" t="s">
        <v>110</v>
      </c>
      <c r="AZ55" s="121"/>
      <c r="BA55" s="146" t="s">
        <v>113</v>
      </c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8"/>
      <c r="BM55" s="34"/>
      <c r="BN55" s="34"/>
    </row>
    <row r="56" spans="1:66" ht="24" customHeight="1" x14ac:dyDescent="0.45">
      <c r="A56" s="33"/>
      <c r="B56" s="33"/>
      <c r="C56" s="38">
        <f t="shared" si="0"/>
        <v>47</v>
      </c>
      <c r="D56" s="35"/>
      <c r="E56" s="89"/>
      <c r="F56" s="89"/>
      <c r="G56" s="37"/>
      <c r="H56" s="88"/>
      <c r="I56" s="89"/>
      <c r="J56" s="89"/>
      <c r="K56" s="89"/>
      <c r="L56" s="130" t="s">
        <v>65</v>
      </c>
      <c r="M56" s="131"/>
      <c r="N56" s="131"/>
      <c r="O56" s="132"/>
      <c r="P56" s="86" t="s">
        <v>50</v>
      </c>
      <c r="Q56" s="79"/>
      <c r="R56" s="79"/>
      <c r="S56" s="79"/>
      <c r="T56" s="79"/>
      <c r="U56" s="79"/>
      <c r="V56" s="79"/>
      <c r="W56" s="80"/>
      <c r="X56" s="130" t="s">
        <v>102</v>
      </c>
      <c r="Y56" s="131"/>
      <c r="Z56" s="131"/>
      <c r="AA56" s="131"/>
      <c r="AB56" s="131"/>
      <c r="AC56" s="131"/>
      <c r="AD56" s="131"/>
      <c r="AE56" s="132"/>
      <c r="AF56" s="78"/>
      <c r="AG56" s="79"/>
      <c r="AH56" s="79"/>
      <c r="AI56" s="79"/>
      <c r="AJ56" s="79"/>
      <c r="AK56" s="79"/>
      <c r="AL56" s="79"/>
      <c r="AM56" s="79"/>
      <c r="AN56" s="81"/>
      <c r="AO56" s="119">
        <v>45683</v>
      </c>
      <c r="AP56" s="120"/>
      <c r="AQ56" s="118" t="s">
        <v>107</v>
      </c>
      <c r="AR56" s="114"/>
      <c r="AS56" s="118" t="s">
        <v>108</v>
      </c>
      <c r="AT56" s="121"/>
      <c r="AU56" s="119">
        <v>45688</v>
      </c>
      <c r="AV56" s="120"/>
      <c r="AW56" s="118" t="s">
        <v>107</v>
      </c>
      <c r="AX56" s="114"/>
      <c r="AY56" s="118" t="s">
        <v>110</v>
      </c>
      <c r="AZ56" s="121"/>
      <c r="BA56" s="146" t="s">
        <v>113</v>
      </c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8"/>
      <c r="BM56" s="34"/>
      <c r="BN56" s="34"/>
    </row>
    <row r="57" spans="1:66" ht="24" customHeight="1" x14ac:dyDescent="0.45">
      <c r="A57" s="33"/>
      <c r="B57" s="33"/>
      <c r="C57" s="38">
        <f t="shared" si="0"/>
        <v>48</v>
      </c>
      <c r="D57" s="35"/>
      <c r="E57" s="89"/>
      <c r="F57" s="89"/>
      <c r="G57" s="37"/>
      <c r="H57" s="88"/>
      <c r="I57" s="89"/>
      <c r="J57" s="89"/>
      <c r="K57" s="89"/>
      <c r="L57" s="130" t="s">
        <v>66</v>
      </c>
      <c r="M57" s="131"/>
      <c r="N57" s="131"/>
      <c r="O57" s="132"/>
      <c r="P57" s="86" t="s">
        <v>50</v>
      </c>
      <c r="Q57" s="79"/>
      <c r="R57" s="79"/>
      <c r="S57" s="79"/>
      <c r="T57" s="79"/>
      <c r="U57" s="79"/>
      <c r="V57" s="79"/>
      <c r="W57" s="80"/>
      <c r="X57" s="130" t="s">
        <v>102</v>
      </c>
      <c r="Y57" s="131"/>
      <c r="Z57" s="131"/>
      <c r="AA57" s="131"/>
      <c r="AB57" s="131"/>
      <c r="AC57" s="131"/>
      <c r="AD57" s="131"/>
      <c r="AE57" s="132"/>
      <c r="AF57" s="78"/>
      <c r="AG57" s="79"/>
      <c r="AH57" s="79"/>
      <c r="AI57" s="79"/>
      <c r="AJ57" s="79"/>
      <c r="AK57" s="79"/>
      <c r="AL57" s="79"/>
      <c r="AM57" s="79"/>
      <c r="AN57" s="81"/>
      <c r="AO57" s="119">
        <v>45683</v>
      </c>
      <c r="AP57" s="120"/>
      <c r="AQ57" s="118" t="s">
        <v>107</v>
      </c>
      <c r="AR57" s="114"/>
      <c r="AS57" s="118" t="s">
        <v>108</v>
      </c>
      <c r="AT57" s="121"/>
      <c r="AU57" s="119">
        <v>45688</v>
      </c>
      <c r="AV57" s="120"/>
      <c r="AW57" s="118" t="s">
        <v>107</v>
      </c>
      <c r="AX57" s="114"/>
      <c r="AY57" s="118" t="s">
        <v>110</v>
      </c>
      <c r="AZ57" s="121"/>
      <c r="BA57" s="146" t="s">
        <v>113</v>
      </c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8"/>
      <c r="BM57" s="34"/>
      <c r="BN57" s="34"/>
    </row>
    <row r="58" spans="1:66" ht="24" customHeight="1" x14ac:dyDescent="0.45">
      <c r="A58" s="33"/>
      <c r="B58" s="33"/>
      <c r="C58" s="38">
        <f t="shared" si="0"/>
        <v>49</v>
      </c>
      <c r="D58" s="35"/>
      <c r="E58" s="36"/>
      <c r="F58" s="36"/>
      <c r="G58" s="37"/>
      <c r="H58" s="36"/>
      <c r="I58" s="36"/>
      <c r="J58" s="36"/>
      <c r="K58" s="36"/>
      <c r="L58" s="130" t="s">
        <v>67</v>
      </c>
      <c r="M58" s="131"/>
      <c r="N58" s="131"/>
      <c r="O58" s="132"/>
      <c r="P58" s="31" t="s">
        <v>50</v>
      </c>
      <c r="Q58" s="47"/>
      <c r="R58" s="47"/>
      <c r="S58" s="47"/>
      <c r="T58" s="47"/>
      <c r="U58" s="47"/>
      <c r="V58" s="47"/>
      <c r="W58" s="48"/>
      <c r="X58" s="130" t="s">
        <v>102</v>
      </c>
      <c r="Y58" s="131"/>
      <c r="Z58" s="131"/>
      <c r="AA58" s="131"/>
      <c r="AB58" s="131"/>
      <c r="AC58" s="131"/>
      <c r="AD58" s="131"/>
      <c r="AE58" s="132"/>
      <c r="AF58" s="46"/>
      <c r="AG58" s="47"/>
      <c r="AH58" s="47"/>
      <c r="AI58" s="47"/>
      <c r="AJ58" s="47"/>
      <c r="AK58" s="47"/>
      <c r="AL58" s="47"/>
      <c r="AM58" s="47"/>
      <c r="AN58" s="52"/>
      <c r="AO58" s="119">
        <v>45683</v>
      </c>
      <c r="AP58" s="120"/>
      <c r="AQ58" s="118" t="s">
        <v>107</v>
      </c>
      <c r="AR58" s="114"/>
      <c r="AS58" s="118" t="s">
        <v>108</v>
      </c>
      <c r="AT58" s="121"/>
      <c r="AU58" s="119">
        <v>45688</v>
      </c>
      <c r="AV58" s="120"/>
      <c r="AW58" s="118" t="s">
        <v>107</v>
      </c>
      <c r="AX58" s="114"/>
      <c r="AY58" s="118" t="s">
        <v>110</v>
      </c>
      <c r="AZ58" s="121"/>
      <c r="BA58" s="146" t="s">
        <v>113</v>
      </c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8"/>
      <c r="BM58" s="34"/>
      <c r="BN58" s="34"/>
    </row>
    <row r="59" spans="1:66" ht="24" customHeight="1" x14ac:dyDescent="0.45">
      <c r="A59" s="33"/>
      <c r="B59" s="33"/>
      <c r="C59" s="38">
        <f t="shared" si="0"/>
        <v>50</v>
      </c>
      <c r="D59" s="35"/>
      <c r="E59" s="36"/>
      <c r="F59" s="36"/>
      <c r="G59" s="37"/>
      <c r="H59" s="36"/>
      <c r="I59" s="36"/>
      <c r="J59" s="36"/>
      <c r="K59" s="36"/>
      <c r="L59" s="162" t="s">
        <v>68</v>
      </c>
      <c r="M59" s="163"/>
      <c r="N59" s="163"/>
      <c r="O59" s="164"/>
      <c r="P59" s="31" t="s">
        <v>50</v>
      </c>
      <c r="Q59" s="47"/>
      <c r="R59" s="47"/>
      <c r="S59" s="47"/>
      <c r="T59" s="47"/>
      <c r="U59" s="47"/>
      <c r="V59" s="47"/>
      <c r="W59" s="48"/>
      <c r="X59" s="130" t="s">
        <v>102</v>
      </c>
      <c r="Y59" s="131"/>
      <c r="Z59" s="131"/>
      <c r="AA59" s="131"/>
      <c r="AB59" s="131"/>
      <c r="AC59" s="131"/>
      <c r="AD59" s="131"/>
      <c r="AE59" s="132"/>
      <c r="AF59" s="46"/>
      <c r="AG59" s="47"/>
      <c r="AH59" s="47"/>
      <c r="AI59" s="47"/>
      <c r="AJ59" s="47"/>
      <c r="AK59" s="47"/>
      <c r="AL59" s="47"/>
      <c r="AM59" s="47"/>
      <c r="AN59" s="52"/>
      <c r="AO59" s="119">
        <v>45683</v>
      </c>
      <c r="AP59" s="120"/>
      <c r="AQ59" s="118" t="s">
        <v>107</v>
      </c>
      <c r="AR59" s="114"/>
      <c r="AS59" s="118" t="s">
        <v>108</v>
      </c>
      <c r="AT59" s="121"/>
      <c r="AU59" s="119">
        <v>45688</v>
      </c>
      <c r="AV59" s="120"/>
      <c r="AW59" s="118" t="s">
        <v>107</v>
      </c>
      <c r="AX59" s="114"/>
      <c r="AY59" s="118" t="s">
        <v>110</v>
      </c>
      <c r="AZ59" s="121"/>
      <c r="BA59" s="146" t="s">
        <v>113</v>
      </c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8"/>
      <c r="BM59" s="34"/>
      <c r="BN59" s="34"/>
    </row>
    <row r="60" spans="1:66" ht="24" customHeight="1" x14ac:dyDescent="0.45">
      <c r="A60" s="33"/>
      <c r="B60" s="33"/>
      <c r="C60" s="38">
        <f t="shared" si="0"/>
        <v>51</v>
      </c>
      <c r="D60" s="35"/>
      <c r="E60" s="36"/>
      <c r="F60" s="36"/>
      <c r="G60" s="37"/>
      <c r="H60" s="36"/>
      <c r="I60" s="36"/>
      <c r="J60" s="36"/>
      <c r="K60" s="36"/>
      <c r="L60" s="130" t="s">
        <v>69</v>
      </c>
      <c r="M60" s="131"/>
      <c r="N60" s="131"/>
      <c r="O60" s="132"/>
      <c r="P60" s="31" t="s">
        <v>50</v>
      </c>
      <c r="Q60" s="47"/>
      <c r="R60" s="47"/>
      <c r="S60" s="47"/>
      <c r="T60" s="47"/>
      <c r="U60" s="47"/>
      <c r="V60" s="47"/>
      <c r="W60" s="48"/>
      <c r="X60" s="130" t="s">
        <v>102</v>
      </c>
      <c r="Y60" s="131"/>
      <c r="Z60" s="131"/>
      <c r="AA60" s="131"/>
      <c r="AB60" s="131"/>
      <c r="AC60" s="131"/>
      <c r="AD60" s="131"/>
      <c r="AE60" s="132"/>
      <c r="AF60" s="46"/>
      <c r="AG60" s="47"/>
      <c r="AH60" s="47"/>
      <c r="AI60" s="47"/>
      <c r="AJ60" s="47"/>
      <c r="AK60" s="47"/>
      <c r="AL60" s="47"/>
      <c r="AM60" s="47"/>
      <c r="AN60" s="52"/>
      <c r="AO60" s="119">
        <v>45683</v>
      </c>
      <c r="AP60" s="120"/>
      <c r="AQ60" s="118" t="s">
        <v>107</v>
      </c>
      <c r="AR60" s="114"/>
      <c r="AS60" s="118" t="s">
        <v>108</v>
      </c>
      <c r="AT60" s="121"/>
      <c r="AU60" s="119">
        <v>45688</v>
      </c>
      <c r="AV60" s="120"/>
      <c r="AW60" s="118" t="s">
        <v>107</v>
      </c>
      <c r="AX60" s="114"/>
      <c r="AY60" s="118" t="s">
        <v>110</v>
      </c>
      <c r="AZ60" s="121"/>
      <c r="BA60" s="146" t="s">
        <v>113</v>
      </c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8"/>
      <c r="BM60" s="34"/>
      <c r="BN60" s="34"/>
    </row>
    <row r="61" spans="1:66" ht="24" customHeight="1" x14ac:dyDescent="0.45">
      <c r="A61" s="33"/>
      <c r="B61" s="33"/>
      <c r="C61" s="38">
        <f t="shared" si="0"/>
        <v>52</v>
      </c>
      <c r="D61" s="35"/>
      <c r="E61" s="36"/>
      <c r="F61" s="36"/>
      <c r="G61" s="37"/>
      <c r="H61" s="36"/>
      <c r="I61" s="36"/>
      <c r="J61" s="36"/>
      <c r="K61" s="36"/>
      <c r="L61" s="130" t="s">
        <v>70</v>
      </c>
      <c r="M61" s="131"/>
      <c r="N61" s="131"/>
      <c r="O61" s="132"/>
      <c r="P61" s="31" t="s">
        <v>50</v>
      </c>
      <c r="Q61" s="47"/>
      <c r="R61" s="47"/>
      <c r="S61" s="47"/>
      <c r="T61" s="47"/>
      <c r="U61" s="47"/>
      <c r="V61" s="47"/>
      <c r="W61" s="48"/>
      <c r="X61" s="130" t="s">
        <v>102</v>
      </c>
      <c r="Y61" s="131"/>
      <c r="Z61" s="131"/>
      <c r="AA61" s="131"/>
      <c r="AB61" s="131"/>
      <c r="AC61" s="131"/>
      <c r="AD61" s="131"/>
      <c r="AE61" s="132"/>
      <c r="AF61" s="46"/>
      <c r="AG61" s="47"/>
      <c r="AH61" s="47"/>
      <c r="AI61" s="47"/>
      <c r="AJ61" s="47"/>
      <c r="AK61" s="47"/>
      <c r="AL61" s="47"/>
      <c r="AM61" s="47"/>
      <c r="AN61" s="52"/>
      <c r="AO61" s="119">
        <v>45683</v>
      </c>
      <c r="AP61" s="120"/>
      <c r="AQ61" s="118" t="s">
        <v>107</v>
      </c>
      <c r="AR61" s="114"/>
      <c r="AS61" s="118" t="s">
        <v>108</v>
      </c>
      <c r="AT61" s="121"/>
      <c r="AU61" s="119">
        <v>45688</v>
      </c>
      <c r="AV61" s="120"/>
      <c r="AW61" s="118" t="s">
        <v>107</v>
      </c>
      <c r="AX61" s="114"/>
      <c r="AY61" s="118" t="s">
        <v>110</v>
      </c>
      <c r="AZ61" s="121"/>
      <c r="BA61" s="146" t="s">
        <v>113</v>
      </c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8"/>
      <c r="BM61" s="34"/>
      <c r="BN61" s="34"/>
    </row>
    <row r="62" spans="1:66" ht="24" customHeight="1" x14ac:dyDescent="0.45">
      <c r="A62" s="33"/>
      <c r="B62" s="33"/>
      <c r="C62" s="38">
        <f t="shared" si="0"/>
        <v>53</v>
      </c>
      <c r="D62" s="35"/>
      <c r="E62" s="36"/>
      <c r="F62" s="36"/>
      <c r="G62" s="37"/>
      <c r="H62" s="36"/>
      <c r="I62" s="36"/>
      <c r="J62" s="36"/>
      <c r="K62" s="36"/>
      <c r="L62" s="130" t="s">
        <v>71</v>
      </c>
      <c r="M62" s="131"/>
      <c r="N62" s="131"/>
      <c r="O62" s="132"/>
      <c r="P62" s="31" t="s">
        <v>50</v>
      </c>
      <c r="Q62" s="47"/>
      <c r="R62" s="47"/>
      <c r="S62" s="47"/>
      <c r="T62" s="47"/>
      <c r="U62" s="47"/>
      <c r="V62" s="47"/>
      <c r="W62" s="48"/>
      <c r="X62" s="130" t="s">
        <v>102</v>
      </c>
      <c r="Y62" s="131"/>
      <c r="Z62" s="131"/>
      <c r="AA62" s="131"/>
      <c r="AB62" s="131"/>
      <c r="AC62" s="131"/>
      <c r="AD62" s="131"/>
      <c r="AE62" s="132"/>
      <c r="AF62" s="46"/>
      <c r="AG62" s="47"/>
      <c r="AH62" s="47"/>
      <c r="AI62" s="47"/>
      <c r="AJ62" s="47"/>
      <c r="AK62" s="47"/>
      <c r="AL62" s="47"/>
      <c r="AM62" s="47"/>
      <c r="AN62" s="52"/>
      <c r="AO62" s="119">
        <v>45683</v>
      </c>
      <c r="AP62" s="120"/>
      <c r="AQ62" s="118" t="s">
        <v>107</v>
      </c>
      <c r="AR62" s="114"/>
      <c r="AS62" s="118" t="s">
        <v>108</v>
      </c>
      <c r="AT62" s="121"/>
      <c r="AU62" s="119">
        <v>45688</v>
      </c>
      <c r="AV62" s="120"/>
      <c r="AW62" s="118" t="s">
        <v>107</v>
      </c>
      <c r="AX62" s="114"/>
      <c r="AY62" s="118" t="s">
        <v>110</v>
      </c>
      <c r="AZ62" s="121"/>
      <c r="BA62" s="146" t="s">
        <v>113</v>
      </c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8"/>
      <c r="BM62" s="34"/>
      <c r="BN62" s="34"/>
    </row>
    <row r="63" spans="1:66" ht="24" customHeight="1" x14ac:dyDescent="0.45">
      <c r="A63" s="33"/>
      <c r="B63" s="33"/>
      <c r="C63" s="38">
        <f t="shared" si="0"/>
        <v>54</v>
      </c>
      <c r="D63" s="35"/>
      <c r="E63" s="36"/>
      <c r="F63" s="36"/>
      <c r="G63" s="37"/>
      <c r="H63" s="36"/>
      <c r="I63" s="36"/>
      <c r="J63" s="36"/>
      <c r="K63" s="36"/>
      <c r="L63" s="130" t="s">
        <v>72</v>
      </c>
      <c r="M63" s="131"/>
      <c r="N63" s="131"/>
      <c r="O63" s="132"/>
      <c r="P63" s="31" t="s">
        <v>50</v>
      </c>
      <c r="Q63" s="47"/>
      <c r="R63" s="47"/>
      <c r="S63" s="47"/>
      <c r="T63" s="47"/>
      <c r="U63" s="47"/>
      <c r="V63" s="47"/>
      <c r="W63" s="48"/>
      <c r="X63" s="130" t="s">
        <v>102</v>
      </c>
      <c r="Y63" s="131"/>
      <c r="Z63" s="131"/>
      <c r="AA63" s="131"/>
      <c r="AB63" s="131"/>
      <c r="AC63" s="131"/>
      <c r="AD63" s="131"/>
      <c r="AE63" s="132"/>
      <c r="AF63" s="46"/>
      <c r="AG63" s="47"/>
      <c r="AH63" s="47"/>
      <c r="AI63" s="47"/>
      <c r="AJ63" s="47"/>
      <c r="AK63" s="47"/>
      <c r="AL63" s="47"/>
      <c r="AM63" s="47"/>
      <c r="AN63" s="52"/>
      <c r="AO63" s="119">
        <v>45683</v>
      </c>
      <c r="AP63" s="120"/>
      <c r="AQ63" s="118" t="s">
        <v>107</v>
      </c>
      <c r="AR63" s="114"/>
      <c r="AS63" s="118" t="s">
        <v>108</v>
      </c>
      <c r="AT63" s="121"/>
      <c r="AU63" s="119">
        <v>45688</v>
      </c>
      <c r="AV63" s="120"/>
      <c r="AW63" s="118" t="s">
        <v>107</v>
      </c>
      <c r="AX63" s="114"/>
      <c r="AY63" s="118" t="s">
        <v>110</v>
      </c>
      <c r="AZ63" s="121"/>
      <c r="BA63" s="146" t="s">
        <v>113</v>
      </c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8"/>
      <c r="BM63" s="34"/>
      <c r="BN63" s="34"/>
    </row>
    <row r="64" spans="1:66" ht="24" customHeight="1" x14ac:dyDescent="0.45">
      <c r="A64" s="33"/>
      <c r="B64" s="33"/>
      <c r="C64" s="38">
        <f t="shared" si="0"/>
        <v>55</v>
      </c>
      <c r="D64" s="35"/>
      <c r="E64" s="36"/>
      <c r="F64" s="36"/>
      <c r="G64" s="37"/>
      <c r="H64" s="36"/>
      <c r="I64" s="36"/>
      <c r="J64" s="36"/>
      <c r="K64" s="36"/>
      <c r="L64" s="130" t="s">
        <v>73</v>
      </c>
      <c r="M64" s="131"/>
      <c r="N64" s="131"/>
      <c r="O64" s="132"/>
      <c r="P64" s="31" t="s">
        <v>50</v>
      </c>
      <c r="Q64" s="47"/>
      <c r="R64" s="47"/>
      <c r="S64" s="47"/>
      <c r="T64" s="47"/>
      <c r="U64" s="47"/>
      <c r="V64" s="47"/>
      <c r="W64" s="48"/>
      <c r="X64" s="130" t="s">
        <v>102</v>
      </c>
      <c r="Y64" s="131"/>
      <c r="Z64" s="131"/>
      <c r="AA64" s="131"/>
      <c r="AB64" s="131"/>
      <c r="AC64" s="131"/>
      <c r="AD64" s="131"/>
      <c r="AE64" s="132"/>
      <c r="AF64" s="46"/>
      <c r="AG64" s="47"/>
      <c r="AH64" s="47"/>
      <c r="AI64" s="47"/>
      <c r="AJ64" s="47"/>
      <c r="AK64" s="47"/>
      <c r="AL64" s="47"/>
      <c r="AM64" s="47"/>
      <c r="AN64" s="52"/>
      <c r="AO64" s="119">
        <v>45683</v>
      </c>
      <c r="AP64" s="120"/>
      <c r="AQ64" s="118" t="s">
        <v>107</v>
      </c>
      <c r="AR64" s="114"/>
      <c r="AS64" s="118" t="s">
        <v>108</v>
      </c>
      <c r="AT64" s="121"/>
      <c r="AU64" s="119">
        <v>45688</v>
      </c>
      <c r="AV64" s="120"/>
      <c r="AW64" s="118" t="s">
        <v>107</v>
      </c>
      <c r="AX64" s="114"/>
      <c r="AY64" s="118" t="s">
        <v>110</v>
      </c>
      <c r="AZ64" s="121"/>
      <c r="BA64" s="146" t="s">
        <v>113</v>
      </c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8"/>
      <c r="BM64" s="34"/>
      <c r="BN64" s="34"/>
    </row>
    <row r="65" spans="1:66" ht="24" customHeight="1" x14ac:dyDescent="0.45">
      <c r="A65" s="33"/>
      <c r="B65" s="33"/>
      <c r="C65" s="38">
        <f t="shared" si="0"/>
        <v>56</v>
      </c>
      <c r="D65" s="35"/>
      <c r="E65" s="36"/>
      <c r="F65" s="36"/>
      <c r="G65" s="37"/>
      <c r="H65" s="36"/>
      <c r="I65" s="36"/>
      <c r="J65" s="36"/>
      <c r="K65" s="36"/>
      <c r="L65" s="130" t="s">
        <v>74</v>
      </c>
      <c r="M65" s="131"/>
      <c r="N65" s="131"/>
      <c r="O65" s="132"/>
      <c r="P65" s="31" t="s">
        <v>50</v>
      </c>
      <c r="Q65" s="47"/>
      <c r="R65" s="47"/>
      <c r="S65" s="47"/>
      <c r="T65" s="47"/>
      <c r="U65" s="47"/>
      <c r="V65" s="47"/>
      <c r="W65" s="48"/>
      <c r="X65" s="130" t="s">
        <v>102</v>
      </c>
      <c r="Y65" s="131"/>
      <c r="Z65" s="131"/>
      <c r="AA65" s="131"/>
      <c r="AB65" s="131"/>
      <c r="AC65" s="131"/>
      <c r="AD65" s="131"/>
      <c r="AE65" s="132"/>
      <c r="AF65" s="46"/>
      <c r="AG65" s="47"/>
      <c r="AH65" s="47"/>
      <c r="AI65" s="47"/>
      <c r="AJ65" s="47"/>
      <c r="AK65" s="47"/>
      <c r="AL65" s="47"/>
      <c r="AM65" s="47"/>
      <c r="AN65" s="52"/>
      <c r="AO65" s="119">
        <v>45683</v>
      </c>
      <c r="AP65" s="120"/>
      <c r="AQ65" s="118" t="s">
        <v>107</v>
      </c>
      <c r="AR65" s="114"/>
      <c r="AS65" s="118" t="s">
        <v>108</v>
      </c>
      <c r="AT65" s="121"/>
      <c r="AU65" s="119">
        <v>45688</v>
      </c>
      <c r="AV65" s="120"/>
      <c r="AW65" s="118" t="s">
        <v>107</v>
      </c>
      <c r="AX65" s="114"/>
      <c r="AY65" s="118" t="s">
        <v>110</v>
      </c>
      <c r="AZ65" s="121"/>
      <c r="BA65" s="146" t="s">
        <v>113</v>
      </c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8"/>
      <c r="BM65" s="34"/>
      <c r="BN65" s="34"/>
    </row>
    <row r="66" spans="1:66" ht="24" customHeight="1" x14ac:dyDescent="0.45">
      <c r="A66" s="33"/>
      <c r="B66" s="33"/>
      <c r="C66" s="38">
        <f t="shared" si="0"/>
        <v>57</v>
      </c>
      <c r="D66" s="35"/>
      <c r="E66" s="36"/>
      <c r="F66" s="36"/>
      <c r="G66" s="37"/>
      <c r="H66" s="36"/>
      <c r="I66" s="36"/>
      <c r="J66" s="36"/>
      <c r="K66" s="36"/>
      <c r="L66" s="130" t="s">
        <v>75</v>
      </c>
      <c r="M66" s="131"/>
      <c r="N66" s="131"/>
      <c r="O66" s="132"/>
      <c r="P66" s="31" t="s">
        <v>50</v>
      </c>
      <c r="Q66" s="47"/>
      <c r="R66" s="47"/>
      <c r="S66" s="47"/>
      <c r="T66" s="47"/>
      <c r="U66" s="47"/>
      <c r="V66" s="47"/>
      <c r="W66" s="48"/>
      <c r="X66" s="130" t="s">
        <v>102</v>
      </c>
      <c r="Y66" s="131"/>
      <c r="Z66" s="131"/>
      <c r="AA66" s="131"/>
      <c r="AB66" s="131"/>
      <c r="AC66" s="131"/>
      <c r="AD66" s="131"/>
      <c r="AE66" s="132"/>
      <c r="AF66" s="46"/>
      <c r="AG66" s="47"/>
      <c r="AH66" s="47"/>
      <c r="AI66" s="47"/>
      <c r="AJ66" s="47"/>
      <c r="AK66" s="47"/>
      <c r="AL66" s="47"/>
      <c r="AM66" s="47"/>
      <c r="AN66" s="52"/>
      <c r="AO66" s="119">
        <v>45683</v>
      </c>
      <c r="AP66" s="120"/>
      <c r="AQ66" s="118" t="s">
        <v>107</v>
      </c>
      <c r="AR66" s="114"/>
      <c r="AS66" s="118" t="s">
        <v>108</v>
      </c>
      <c r="AT66" s="121"/>
      <c r="AU66" s="119">
        <v>45688</v>
      </c>
      <c r="AV66" s="120"/>
      <c r="AW66" s="118" t="s">
        <v>107</v>
      </c>
      <c r="AX66" s="114"/>
      <c r="AY66" s="118" t="s">
        <v>110</v>
      </c>
      <c r="AZ66" s="121"/>
      <c r="BA66" s="146" t="s">
        <v>113</v>
      </c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8"/>
      <c r="BM66" s="34"/>
      <c r="BN66" s="34"/>
    </row>
    <row r="67" spans="1:66" ht="24" customHeight="1" x14ac:dyDescent="0.45">
      <c r="A67" s="33"/>
      <c r="B67" s="33"/>
      <c r="C67" s="38">
        <f t="shared" si="0"/>
        <v>58</v>
      </c>
      <c r="D67" s="35"/>
      <c r="E67" s="36"/>
      <c r="F67" s="36"/>
      <c r="G67" s="37"/>
      <c r="H67" s="36"/>
      <c r="I67" s="36"/>
      <c r="J67" s="36"/>
      <c r="K67" s="36"/>
      <c r="L67" s="130" t="s">
        <v>76</v>
      </c>
      <c r="M67" s="131"/>
      <c r="N67" s="131"/>
      <c r="O67" s="132"/>
      <c r="P67" s="31" t="s">
        <v>50</v>
      </c>
      <c r="Q67" s="47"/>
      <c r="R67" s="47"/>
      <c r="S67" s="47"/>
      <c r="T67" s="47"/>
      <c r="U67" s="47"/>
      <c r="V67" s="47"/>
      <c r="W67" s="48"/>
      <c r="X67" s="130" t="s">
        <v>102</v>
      </c>
      <c r="Y67" s="131"/>
      <c r="Z67" s="131"/>
      <c r="AA67" s="131"/>
      <c r="AB67" s="131"/>
      <c r="AC67" s="131"/>
      <c r="AD67" s="131"/>
      <c r="AE67" s="132"/>
      <c r="AF67" s="46"/>
      <c r="AG67" s="47"/>
      <c r="AH67" s="47"/>
      <c r="AI67" s="47"/>
      <c r="AJ67" s="47"/>
      <c r="AK67" s="47"/>
      <c r="AL67" s="47"/>
      <c r="AM67" s="47"/>
      <c r="AN67" s="52"/>
      <c r="AO67" s="119">
        <v>45683</v>
      </c>
      <c r="AP67" s="120"/>
      <c r="AQ67" s="118" t="s">
        <v>107</v>
      </c>
      <c r="AR67" s="114"/>
      <c r="AS67" s="118" t="s">
        <v>108</v>
      </c>
      <c r="AT67" s="121"/>
      <c r="AU67" s="119">
        <v>45688</v>
      </c>
      <c r="AV67" s="120"/>
      <c r="AW67" s="118" t="s">
        <v>107</v>
      </c>
      <c r="AX67" s="114"/>
      <c r="AY67" s="118" t="s">
        <v>110</v>
      </c>
      <c r="AZ67" s="121"/>
      <c r="BA67" s="146" t="s">
        <v>113</v>
      </c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8"/>
      <c r="BM67" s="34"/>
      <c r="BN67" s="34"/>
    </row>
    <row r="68" spans="1:66" ht="24" customHeight="1" x14ac:dyDescent="0.45">
      <c r="A68" s="33"/>
      <c r="B68" s="33"/>
      <c r="C68" s="38">
        <f t="shared" si="0"/>
        <v>59</v>
      </c>
      <c r="D68" s="35"/>
      <c r="E68" s="36"/>
      <c r="F68" s="36"/>
      <c r="G68" s="37"/>
      <c r="H68" s="36"/>
      <c r="I68" s="36"/>
      <c r="J68" s="36"/>
      <c r="K68" s="36"/>
      <c r="L68" s="130" t="s">
        <v>77</v>
      </c>
      <c r="M68" s="131"/>
      <c r="N68" s="131"/>
      <c r="O68" s="132"/>
      <c r="P68" s="31" t="s">
        <v>50</v>
      </c>
      <c r="Q68" s="47"/>
      <c r="R68" s="47"/>
      <c r="S68" s="47"/>
      <c r="T68" s="47"/>
      <c r="U68" s="47"/>
      <c r="V68" s="47"/>
      <c r="W68" s="48"/>
      <c r="X68" s="130" t="s">
        <v>102</v>
      </c>
      <c r="Y68" s="131"/>
      <c r="Z68" s="131"/>
      <c r="AA68" s="131"/>
      <c r="AB68" s="131"/>
      <c r="AC68" s="131"/>
      <c r="AD68" s="131"/>
      <c r="AE68" s="132"/>
      <c r="AF68" s="46"/>
      <c r="AG68" s="47"/>
      <c r="AH68" s="47"/>
      <c r="AI68" s="47"/>
      <c r="AJ68" s="47"/>
      <c r="AK68" s="47"/>
      <c r="AL68" s="47"/>
      <c r="AM68" s="47"/>
      <c r="AN68" s="52"/>
      <c r="AO68" s="119">
        <v>45683</v>
      </c>
      <c r="AP68" s="120"/>
      <c r="AQ68" s="118" t="s">
        <v>107</v>
      </c>
      <c r="AR68" s="114"/>
      <c r="AS68" s="118" t="s">
        <v>108</v>
      </c>
      <c r="AT68" s="121"/>
      <c r="AU68" s="119">
        <v>45688</v>
      </c>
      <c r="AV68" s="120"/>
      <c r="AW68" s="118" t="s">
        <v>107</v>
      </c>
      <c r="AX68" s="114"/>
      <c r="AY68" s="118" t="s">
        <v>110</v>
      </c>
      <c r="AZ68" s="121"/>
      <c r="BA68" s="146" t="s">
        <v>113</v>
      </c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8"/>
      <c r="BM68" s="34"/>
      <c r="BN68" s="34"/>
    </row>
    <row r="69" spans="1:66" ht="24" customHeight="1" x14ac:dyDescent="0.45">
      <c r="A69" s="33"/>
      <c r="B69" s="33"/>
      <c r="C69" s="38">
        <f t="shared" si="0"/>
        <v>60</v>
      </c>
      <c r="D69" s="35"/>
      <c r="E69" s="36"/>
      <c r="F69" s="36"/>
      <c r="G69" s="37"/>
      <c r="H69" s="36"/>
      <c r="I69" s="36"/>
      <c r="J69" s="36"/>
      <c r="K69" s="36"/>
      <c r="L69" s="130" t="s">
        <v>78</v>
      </c>
      <c r="M69" s="131"/>
      <c r="N69" s="131"/>
      <c r="O69" s="132"/>
      <c r="P69" s="31" t="s">
        <v>50</v>
      </c>
      <c r="Q69" s="47"/>
      <c r="R69" s="47"/>
      <c r="S69" s="47"/>
      <c r="T69" s="47"/>
      <c r="U69" s="47"/>
      <c r="V69" s="47"/>
      <c r="W69" s="48"/>
      <c r="X69" s="130" t="s">
        <v>102</v>
      </c>
      <c r="Y69" s="131"/>
      <c r="Z69" s="131"/>
      <c r="AA69" s="131"/>
      <c r="AB69" s="131"/>
      <c r="AC69" s="131"/>
      <c r="AD69" s="131"/>
      <c r="AE69" s="132"/>
      <c r="AF69" s="46"/>
      <c r="AG69" s="47"/>
      <c r="AH69" s="47"/>
      <c r="AI69" s="47"/>
      <c r="AJ69" s="47"/>
      <c r="AK69" s="47"/>
      <c r="AL69" s="47"/>
      <c r="AM69" s="47"/>
      <c r="AN69" s="52"/>
      <c r="AO69" s="119">
        <v>45683</v>
      </c>
      <c r="AP69" s="120"/>
      <c r="AQ69" s="118" t="s">
        <v>107</v>
      </c>
      <c r="AR69" s="114"/>
      <c r="AS69" s="118" t="s">
        <v>108</v>
      </c>
      <c r="AT69" s="121"/>
      <c r="AU69" s="119">
        <v>45688</v>
      </c>
      <c r="AV69" s="120"/>
      <c r="AW69" s="118" t="s">
        <v>107</v>
      </c>
      <c r="AX69" s="114"/>
      <c r="AY69" s="118" t="s">
        <v>110</v>
      </c>
      <c r="AZ69" s="121"/>
      <c r="BA69" s="146" t="s">
        <v>113</v>
      </c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8"/>
      <c r="BM69" s="34"/>
      <c r="BN69" s="34"/>
    </row>
    <row r="70" spans="1:66" ht="24" customHeight="1" x14ac:dyDescent="0.45">
      <c r="A70" s="33"/>
      <c r="B70" s="33"/>
      <c r="C70" s="38">
        <f t="shared" si="0"/>
        <v>61</v>
      </c>
      <c r="D70" s="35"/>
      <c r="E70" s="36"/>
      <c r="F70" s="36"/>
      <c r="G70" s="37"/>
      <c r="H70" s="36"/>
      <c r="I70" s="36"/>
      <c r="J70" s="36"/>
      <c r="K70" s="36"/>
      <c r="L70" s="130" t="s">
        <v>79</v>
      </c>
      <c r="M70" s="131"/>
      <c r="N70" s="131"/>
      <c r="O70" s="132"/>
      <c r="P70" s="31" t="s">
        <v>50</v>
      </c>
      <c r="Q70" s="47"/>
      <c r="R70" s="47"/>
      <c r="S70" s="47"/>
      <c r="T70" s="47"/>
      <c r="U70" s="47"/>
      <c r="V70" s="47"/>
      <c r="W70" s="48"/>
      <c r="X70" s="130" t="s">
        <v>102</v>
      </c>
      <c r="Y70" s="131"/>
      <c r="Z70" s="131"/>
      <c r="AA70" s="131"/>
      <c r="AB70" s="131"/>
      <c r="AC70" s="131"/>
      <c r="AD70" s="131"/>
      <c r="AE70" s="132"/>
      <c r="AF70" s="46"/>
      <c r="AG70" s="47"/>
      <c r="AH70" s="47"/>
      <c r="AI70" s="47"/>
      <c r="AJ70" s="47"/>
      <c r="AK70" s="47"/>
      <c r="AL70" s="47"/>
      <c r="AM70" s="47"/>
      <c r="AN70" s="52"/>
      <c r="AO70" s="119">
        <v>45683</v>
      </c>
      <c r="AP70" s="120"/>
      <c r="AQ70" s="118" t="s">
        <v>107</v>
      </c>
      <c r="AR70" s="114"/>
      <c r="AS70" s="118" t="s">
        <v>108</v>
      </c>
      <c r="AT70" s="121"/>
      <c r="AU70" s="119">
        <v>45688</v>
      </c>
      <c r="AV70" s="120"/>
      <c r="AW70" s="118" t="s">
        <v>107</v>
      </c>
      <c r="AX70" s="114"/>
      <c r="AY70" s="118" t="s">
        <v>110</v>
      </c>
      <c r="AZ70" s="121"/>
      <c r="BA70" s="146" t="s">
        <v>113</v>
      </c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8"/>
      <c r="BM70" s="34"/>
      <c r="BN70" s="34"/>
    </row>
    <row r="71" spans="1:66" ht="24" customHeight="1" x14ac:dyDescent="0.45">
      <c r="A71" s="33"/>
      <c r="B71" s="33"/>
      <c r="C71" s="38">
        <f t="shared" si="0"/>
        <v>62</v>
      </c>
      <c r="D71" s="35"/>
      <c r="E71" s="36"/>
      <c r="F71" s="36"/>
      <c r="G71" s="37"/>
      <c r="H71" s="36"/>
      <c r="I71" s="36"/>
      <c r="J71" s="36"/>
      <c r="K71" s="36"/>
      <c r="L71" s="130" t="s">
        <v>80</v>
      </c>
      <c r="M71" s="131"/>
      <c r="N71" s="131"/>
      <c r="O71" s="132"/>
      <c r="P71" s="31" t="s">
        <v>50</v>
      </c>
      <c r="Q71" s="47"/>
      <c r="R71" s="47"/>
      <c r="S71" s="47"/>
      <c r="T71" s="47"/>
      <c r="U71" s="47"/>
      <c r="V71" s="47"/>
      <c r="W71" s="48"/>
      <c r="X71" s="130" t="s">
        <v>102</v>
      </c>
      <c r="Y71" s="131"/>
      <c r="Z71" s="131"/>
      <c r="AA71" s="131"/>
      <c r="AB71" s="131"/>
      <c r="AC71" s="131"/>
      <c r="AD71" s="131"/>
      <c r="AE71" s="132"/>
      <c r="AF71" s="46"/>
      <c r="AG71" s="47"/>
      <c r="AH71" s="47"/>
      <c r="AI71" s="47"/>
      <c r="AJ71" s="47"/>
      <c r="AK71" s="47"/>
      <c r="AL71" s="47"/>
      <c r="AM71" s="47"/>
      <c r="AN71" s="52"/>
      <c r="AO71" s="119">
        <v>45683</v>
      </c>
      <c r="AP71" s="120"/>
      <c r="AQ71" s="118" t="s">
        <v>107</v>
      </c>
      <c r="AR71" s="114"/>
      <c r="AS71" s="118" t="s">
        <v>108</v>
      </c>
      <c r="AT71" s="121"/>
      <c r="AU71" s="119">
        <v>45688</v>
      </c>
      <c r="AV71" s="120"/>
      <c r="AW71" s="118" t="s">
        <v>107</v>
      </c>
      <c r="AX71" s="114"/>
      <c r="AY71" s="118" t="s">
        <v>110</v>
      </c>
      <c r="AZ71" s="121"/>
      <c r="BA71" s="146" t="s">
        <v>113</v>
      </c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8"/>
      <c r="BM71" s="34"/>
      <c r="BN71" s="34"/>
    </row>
    <row r="72" spans="1:66" ht="24" customHeight="1" x14ac:dyDescent="0.45">
      <c r="A72" s="33"/>
      <c r="B72" s="33"/>
      <c r="C72" s="38">
        <f t="shared" si="0"/>
        <v>63</v>
      </c>
      <c r="D72" s="35"/>
      <c r="E72" s="36"/>
      <c r="F72" s="36"/>
      <c r="G72" s="37"/>
      <c r="H72" s="36"/>
      <c r="I72" s="36"/>
      <c r="J72" s="36"/>
      <c r="K72" s="36"/>
      <c r="L72" s="130" t="s">
        <v>81</v>
      </c>
      <c r="M72" s="131"/>
      <c r="N72" s="131"/>
      <c r="O72" s="132"/>
      <c r="P72" s="31" t="s">
        <v>50</v>
      </c>
      <c r="Q72" s="47"/>
      <c r="R72" s="47"/>
      <c r="S72" s="47"/>
      <c r="T72" s="47"/>
      <c r="U72" s="47"/>
      <c r="V72" s="47"/>
      <c r="W72" s="48"/>
      <c r="X72" s="130" t="s">
        <v>102</v>
      </c>
      <c r="Y72" s="131"/>
      <c r="Z72" s="131"/>
      <c r="AA72" s="131"/>
      <c r="AB72" s="131"/>
      <c r="AC72" s="131"/>
      <c r="AD72" s="131"/>
      <c r="AE72" s="132"/>
      <c r="AF72" s="46"/>
      <c r="AG72" s="47"/>
      <c r="AH72" s="47"/>
      <c r="AI72" s="47"/>
      <c r="AJ72" s="47"/>
      <c r="AK72" s="47"/>
      <c r="AL72" s="47"/>
      <c r="AM72" s="47"/>
      <c r="AN72" s="52"/>
      <c r="AO72" s="119">
        <v>45683</v>
      </c>
      <c r="AP72" s="120"/>
      <c r="AQ72" s="118" t="s">
        <v>107</v>
      </c>
      <c r="AR72" s="114"/>
      <c r="AS72" s="118" t="s">
        <v>108</v>
      </c>
      <c r="AT72" s="121"/>
      <c r="AU72" s="119">
        <v>45688</v>
      </c>
      <c r="AV72" s="120"/>
      <c r="AW72" s="118" t="s">
        <v>107</v>
      </c>
      <c r="AX72" s="114"/>
      <c r="AY72" s="118" t="s">
        <v>110</v>
      </c>
      <c r="AZ72" s="121"/>
      <c r="BA72" s="146" t="s">
        <v>113</v>
      </c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8"/>
      <c r="BM72" s="34"/>
      <c r="BN72" s="34"/>
    </row>
    <row r="73" spans="1:66" ht="24" customHeight="1" x14ac:dyDescent="0.45">
      <c r="A73" s="33"/>
      <c r="B73" s="33"/>
      <c r="C73" s="38">
        <f t="shared" si="0"/>
        <v>64</v>
      </c>
      <c r="D73" s="35"/>
      <c r="E73" s="36"/>
      <c r="F73" s="36"/>
      <c r="G73" s="37"/>
      <c r="H73" s="36"/>
      <c r="I73" s="36"/>
      <c r="J73" s="36"/>
      <c r="K73" s="36"/>
      <c r="L73" s="162" t="s">
        <v>82</v>
      </c>
      <c r="M73" s="163"/>
      <c r="N73" s="163"/>
      <c r="O73" s="164"/>
      <c r="P73" s="31" t="s">
        <v>50</v>
      </c>
      <c r="Q73" s="47"/>
      <c r="R73" s="47"/>
      <c r="S73" s="47"/>
      <c r="T73" s="47"/>
      <c r="U73" s="47"/>
      <c r="V73" s="47"/>
      <c r="W73" s="48"/>
      <c r="X73" s="130" t="s">
        <v>102</v>
      </c>
      <c r="Y73" s="131"/>
      <c r="Z73" s="131"/>
      <c r="AA73" s="131"/>
      <c r="AB73" s="131"/>
      <c r="AC73" s="131"/>
      <c r="AD73" s="131"/>
      <c r="AE73" s="132"/>
      <c r="AF73" s="46"/>
      <c r="AG73" s="47"/>
      <c r="AH73" s="47"/>
      <c r="AI73" s="47"/>
      <c r="AJ73" s="47"/>
      <c r="AK73" s="47"/>
      <c r="AL73" s="47"/>
      <c r="AM73" s="47"/>
      <c r="AN73" s="52"/>
      <c r="AO73" s="119">
        <v>45683</v>
      </c>
      <c r="AP73" s="120"/>
      <c r="AQ73" s="118" t="s">
        <v>107</v>
      </c>
      <c r="AR73" s="114"/>
      <c r="AS73" s="118" t="s">
        <v>108</v>
      </c>
      <c r="AT73" s="121"/>
      <c r="AU73" s="119">
        <v>45688</v>
      </c>
      <c r="AV73" s="120"/>
      <c r="AW73" s="118" t="s">
        <v>107</v>
      </c>
      <c r="AX73" s="114"/>
      <c r="AY73" s="118" t="s">
        <v>110</v>
      </c>
      <c r="AZ73" s="121"/>
      <c r="BA73" s="146" t="s">
        <v>113</v>
      </c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8"/>
      <c r="BM73" s="34"/>
      <c r="BN73" s="34"/>
    </row>
    <row r="74" spans="1:66" ht="24" customHeight="1" x14ac:dyDescent="0.45">
      <c r="A74" s="33"/>
      <c r="B74" s="33"/>
      <c r="C74" s="38">
        <f t="shared" si="0"/>
        <v>65</v>
      </c>
      <c r="D74" s="35"/>
      <c r="E74" s="36"/>
      <c r="F74" s="36"/>
      <c r="G74" s="37"/>
      <c r="H74" s="36"/>
      <c r="I74" s="36"/>
      <c r="J74" s="36"/>
      <c r="K74" s="36"/>
      <c r="L74" s="130" t="s">
        <v>83</v>
      </c>
      <c r="M74" s="131"/>
      <c r="N74" s="131"/>
      <c r="O74" s="132"/>
      <c r="P74" s="31" t="s">
        <v>50</v>
      </c>
      <c r="Q74" s="47"/>
      <c r="R74" s="47"/>
      <c r="S74" s="47"/>
      <c r="T74" s="47"/>
      <c r="U74" s="47"/>
      <c r="V74" s="47"/>
      <c r="W74" s="48"/>
      <c r="X74" s="130" t="s">
        <v>102</v>
      </c>
      <c r="Y74" s="131"/>
      <c r="Z74" s="131"/>
      <c r="AA74" s="131"/>
      <c r="AB74" s="131"/>
      <c r="AC74" s="131"/>
      <c r="AD74" s="131"/>
      <c r="AE74" s="132"/>
      <c r="AF74" s="46"/>
      <c r="AG74" s="47"/>
      <c r="AH74" s="47"/>
      <c r="AI74" s="47"/>
      <c r="AJ74" s="47"/>
      <c r="AK74" s="47"/>
      <c r="AL74" s="47"/>
      <c r="AM74" s="47"/>
      <c r="AN74" s="52"/>
      <c r="AO74" s="119">
        <v>45683</v>
      </c>
      <c r="AP74" s="120"/>
      <c r="AQ74" s="118" t="s">
        <v>107</v>
      </c>
      <c r="AR74" s="114"/>
      <c r="AS74" s="118" t="s">
        <v>108</v>
      </c>
      <c r="AT74" s="121"/>
      <c r="AU74" s="119">
        <v>45688</v>
      </c>
      <c r="AV74" s="120"/>
      <c r="AW74" s="118" t="s">
        <v>107</v>
      </c>
      <c r="AX74" s="114"/>
      <c r="AY74" s="118" t="s">
        <v>110</v>
      </c>
      <c r="AZ74" s="121"/>
      <c r="BA74" s="146" t="s">
        <v>113</v>
      </c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8"/>
      <c r="BM74" s="34"/>
      <c r="BN74" s="34"/>
    </row>
    <row r="75" spans="1:66" ht="24" customHeight="1" x14ac:dyDescent="0.45">
      <c r="A75" s="33"/>
      <c r="B75" s="33"/>
      <c r="C75" s="38">
        <f t="shared" si="0"/>
        <v>66</v>
      </c>
      <c r="D75" s="35"/>
      <c r="E75" s="36"/>
      <c r="F75" s="36"/>
      <c r="G75" s="37"/>
      <c r="H75" s="36"/>
      <c r="I75" s="36"/>
      <c r="J75" s="36"/>
      <c r="K75" s="36"/>
      <c r="L75" s="130" t="s">
        <v>84</v>
      </c>
      <c r="M75" s="131"/>
      <c r="N75" s="131"/>
      <c r="O75" s="132"/>
      <c r="P75" s="31" t="s">
        <v>50</v>
      </c>
      <c r="Q75" s="47"/>
      <c r="R75" s="47"/>
      <c r="S75" s="47"/>
      <c r="T75" s="47"/>
      <c r="U75" s="47"/>
      <c r="V75" s="47"/>
      <c r="W75" s="48"/>
      <c r="X75" s="130" t="s">
        <v>102</v>
      </c>
      <c r="Y75" s="131"/>
      <c r="Z75" s="131"/>
      <c r="AA75" s="131"/>
      <c r="AB75" s="131"/>
      <c r="AC75" s="131"/>
      <c r="AD75" s="131"/>
      <c r="AE75" s="132"/>
      <c r="AF75" s="46"/>
      <c r="AG75" s="47"/>
      <c r="AH75" s="47"/>
      <c r="AI75" s="47"/>
      <c r="AJ75" s="47"/>
      <c r="AK75" s="47"/>
      <c r="AL75" s="47"/>
      <c r="AM75" s="47"/>
      <c r="AN75" s="52"/>
      <c r="AO75" s="119">
        <v>45683</v>
      </c>
      <c r="AP75" s="120"/>
      <c r="AQ75" s="118" t="s">
        <v>107</v>
      </c>
      <c r="AR75" s="114"/>
      <c r="AS75" s="118" t="s">
        <v>108</v>
      </c>
      <c r="AT75" s="121"/>
      <c r="AU75" s="119">
        <v>45688</v>
      </c>
      <c r="AV75" s="120"/>
      <c r="AW75" s="118" t="s">
        <v>107</v>
      </c>
      <c r="AX75" s="114"/>
      <c r="AY75" s="118" t="s">
        <v>110</v>
      </c>
      <c r="AZ75" s="121"/>
      <c r="BA75" s="146" t="s">
        <v>113</v>
      </c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8"/>
      <c r="BM75" s="34"/>
      <c r="BN75" s="34"/>
    </row>
    <row r="76" spans="1:66" ht="24" customHeight="1" x14ac:dyDescent="0.45">
      <c r="A76" s="33"/>
      <c r="B76" s="33"/>
      <c r="C76" s="38">
        <f t="shared" si="0"/>
        <v>67</v>
      </c>
      <c r="D76" s="35"/>
      <c r="E76" s="36"/>
      <c r="F76" s="36"/>
      <c r="G76" s="37"/>
      <c r="H76" s="36"/>
      <c r="I76" s="36"/>
      <c r="J76" s="36"/>
      <c r="K76" s="36"/>
      <c r="L76" s="130" t="s">
        <v>85</v>
      </c>
      <c r="M76" s="131"/>
      <c r="N76" s="131"/>
      <c r="O76" s="132"/>
      <c r="P76" s="31" t="s">
        <v>50</v>
      </c>
      <c r="Q76" s="47"/>
      <c r="R76" s="47"/>
      <c r="S76" s="47"/>
      <c r="T76" s="47"/>
      <c r="U76" s="47"/>
      <c r="V76" s="47"/>
      <c r="W76" s="48"/>
      <c r="X76" s="130" t="s">
        <v>102</v>
      </c>
      <c r="Y76" s="131"/>
      <c r="Z76" s="131"/>
      <c r="AA76" s="131"/>
      <c r="AB76" s="131"/>
      <c r="AC76" s="131"/>
      <c r="AD76" s="131"/>
      <c r="AE76" s="132"/>
      <c r="AF76" s="46"/>
      <c r="AG76" s="47"/>
      <c r="AH76" s="47"/>
      <c r="AI76" s="47"/>
      <c r="AJ76" s="47"/>
      <c r="AK76" s="47"/>
      <c r="AL76" s="47"/>
      <c r="AM76" s="47"/>
      <c r="AN76" s="52"/>
      <c r="AO76" s="119">
        <v>45683</v>
      </c>
      <c r="AP76" s="120"/>
      <c r="AQ76" s="118" t="s">
        <v>107</v>
      </c>
      <c r="AR76" s="114"/>
      <c r="AS76" s="118" t="s">
        <v>108</v>
      </c>
      <c r="AT76" s="121"/>
      <c r="AU76" s="119">
        <v>45688</v>
      </c>
      <c r="AV76" s="120"/>
      <c r="AW76" s="118" t="s">
        <v>107</v>
      </c>
      <c r="AX76" s="114"/>
      <c r="AY76" s="118" t="s">
        <v>110</v>
      </c>
      <c r="AZ76" s="121"/>
      <c r="BA76" s="146" t="s">
        <v>113</v>
      </c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8"/>
      <c r="BM76" s="34"/>
      <c r="BN76" s="34"/>
    </row>
    <row r="77" spans="1:66" ht="24" customHeight="1" x14ac:dyDescent="0.45">
      <c r="A77" s="33"/>
      <c r="B77" s="33"/>
      <c r="C77" s="38">
        <f t="shared" si="0"/>
        <v>68</v>
      </c>
      <c r="D77" s="35"/>
      <c r="E77" s="36"/>
      <c r="F77" s="36"/>
      <c r="G77" s="37"/>
      <c r="H77" s="36"/>
      <c r="I77" s="36"/>
      <c r="J77" s="36"/>
      <c r="K77" s="36"/>
      <c r="L77" s="130" t="s">
        <v>86</v>
      </c>
      <c r="M77" s="131"/>
      <c r="N77" s="131"/>
      <c r="O77" s="132"/>
      <c r="P77" s="31" t="s">
        <v>50</v>
      </c>
      <c r="Q77" s="47"/>
      <c r="R77" s="47"/>
      <c r="S77" s="47"/>
      <c r="T77" s="47"/>
      <c r="U77" s="47"/>
      <c r="V77" s="47"/>
      <c r="W77" s="48"/>
      <c r="X77" s="130" t="s">
        <v>102</v>
      </c>
      <c r="Y77" s="131"/>
      <c r="Z77" s="131"/>
      <c r="AA77" s="131"/>
      <c r="AB77" s="131"/>
      <c r="AC77" s="131"/>
      <c r="AD77" s="131"/>
      <c r="AE77" s="132"/>
      <c r="AF77" s="46"/>
      <c r="AG77" s="47"/>
      <c r="AH77" s="47"/>
      <c r="AI77" s="47"/>
      <c r="AJ77" s="47"/>
      <c r="AK77" s="47"/>
      <c r="AL77" s="47"/>
      <c r="AM77" s="47"/>
      <c r="AN77" s="52"/>
      <c r="AO77" s="119">
        <v>45683</v>
      </c>
      <c r="AP77" s="120"/>
      <c r="AQ77" s="118" t="s">
        <v>107</v>
      </c>
      <c r="AR77" s="114"/>
      <c r="AS77" s="118" t="s">
        <v>108</v>
      </c>
      <c r="AT77" s="121"/>
      <c r="AU77" s="119">
        <v>45688</v>
      </c>
      <c r="AV77" s="120"/>
      <c r="AW77" s="118" t="s">
        <v>107</v>
      </c>
      <c r="AX77" s="114"/>
      <c r="AY77" s="118" t="s">
        <v>110</v>
      </c>
      <c r="AZ77" s="121"/>
      <c r="BA77" s="146" t="s">
        <v>113</v>
      </c>
      <c r="BB77" s="147"/>
      <c r="BC77" s="147"/>
      <c r="BD77" s="147"/>
      <c r="BE77" s="147"/>
      <c r="BF77" s="147"/>
      <c r="BG77" s="147"/>
      <c r="BH77" s="147"/>
      <c r="BI77" s="147"/>
      <c r="BJ77" s="147"/>
      <c r="BK77" s="147"/>
      <c r="BL77" s="148"/>
      <c r="BM77" s="34"/>
      <c r="BN77" s="34"/>
    </row>
    <row r="78" spans="1:66" ht="24" customHeight="1" x14ac:dyDescent="0.45">
      <c r="A78" s="33"/>
      <c r="B78" s="33"/>
      <c r="C78" s="38">
        <f t="shared" si="0"/>
        <v>69</v>
      </c>
      <c r="D78" s="35"/>
      <c r="E78" s="36"/>
      <c r="F78" s="36"/>
      <c r="G78" s="37"/>
      <c r="H78" s="36"/>
      <c r="I78" s="36"/>
      <c r="J78" s="36"/>
      <c r="K78" s="36"/>
      <c r="L78" s="130" t="s">
        <v>87</v>
      </c>
      <c r="M78" s="131"/>
      <c r="N78" s="131"/>
      <c r="O78" s="132"/>
      <c r="P78" s="31" t="s">
        <v>50</v>
      </c>
      <c r="Q78" s="47"/>
      <c r="R78" s="47"/>
      <c r="S78" s="47"/>
      <c r="T78" s="47"/>
      <c r="U78" s="47"/>
      <c r="V78" s="47"/>
      <c r="W78" s="48"/>
      <c r="X78" s="130" t="s">
        <v>102</v>
      </c>
      <c r="Y78" s="131"/>
      <c r="Z78" s="131"/>
      <c r="AA78" s="131"/>
      <c r="AB78" s="131"/>
      <c r="AC78" s="131"/>
      <c r="AD78" s="131"/>
      <c r="AE78" s="132"/>
      <c r="AF78" s="46"/>
      <c r="AG78" s="47"/>
      <c r="AH78" s="47"/>
      <c r="AI78" s="47"/>
      <c r="AJ78" s="47"/>
      <c r="AK78" s="47"/>
      <c r="AL78" s="47"/>
      <c r="AM78" s="47"/>
      <c r="AN78" s="52"/>
      <c r="AO78" s="119">
        <v>45683</v>
      </c>
      <c r="AP78" s="120"/>
      <c r="AQ78" s="118" t="s">
        <v>107</v>
      </c>
      <c r="AR78" s="114"/>
      <c r="AS78" s="118" t="s">
        <v>108</v>
      </c>
      <c r="AT78" s="121"/>
      <c r="AU78" s="119">
        <v>45688</v>
      </c>
      <c r="AV78" s="120"/>
      <c r="AW78" s="118" t="s">
        <v>107</v>
      </c>
      <c r="AX78" s="114"/>
      <c r="AY78" s="118" t="s">
        <v>110</v>
      </c>
      <c r="AZ78" s="121"/>
      <c r="BA78" s="146" t="s">
        <v>113</v>
      </c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8"/>
      <c r="BM78" s="34"/>
      <c r="BN78" s="34"/>
    </row>
    <row r="79" spans="1:66" ht="24" customHeight="1" x14ac:dyDescent="0.45">
      <c r="A79" s="33"/>
      <c r="B79" s="33"/>
      <c r="C79" s="38">
        <f t="shared" si="0"/>
        <v>70</v>
      </c>
      <c r="D79" s="35"/>
      <c r="E79" s="36"/>
      <c r="F79" s="36"/>
      <c r="G79" s="37"/>
      <c r="H79" s="36"/>
      <c r="I79" s="36"/>
      <c r="J79" s="36"/>
      <c r="K79" s="36"/>
      <c r="L79" s="130" t="s">
        <v>88</v>
      </c>
      <c r="M79" s="131"/>
      <c r="N79" s="131"/>
      <c r="O79" s="132"/>
      <c r="P79" s="31" t="s">
        <v>50</v>
      </c>
      <c r="Q79" s="47"/>
      <c r="R79" s="47"/>
      <c r="S79" s="47"/>
      <c r="T79" s="47"/>
      <c r="U79" s="47"/>
      <c r="V79" s="47"/>
      <c r="W79" s="48"/>
      <c r="X79" s="130" t="s">
        <v>102</v>
      </c>
      <c r="Y79" s="131"/>
      <c r="Z79" s="131"/>
      <c r="AA79" s="131"/>
      <c r="AB79" s="131"/>
      <c r="AC79" s="131"/>
      <c r="AD79" s="131"/>
      <c r="AE79" s="132"/>
      <c r="AF79" s="46"/>
      <c r="AG79" s="47"/>
      <c r="AH79" s="47"/>
      <c r="AI79" s="47"/>
      <c r="AJ79" s="47"/>
      <c r="AK79" s="47"/>
      <c r="AL79" s="47"/>
      <c r="AM79" s="47"/>
      <c r="AN79" s="52"/>
      <c r="AO79" s="119">
        <v>45683</v>
      </c>
      <c r="AP79" s="120"/>
      <c r="AQ79" s="118" t="s">
        <v>107</v>
      </c>
      <c r="AR79" s="114"/>
      <c r="AS79" s="118" t="s">
        <v>108</v>
      </c>
      <c r="AT79" s="121"/>
      <c r="AU79" s="119">
        <v>45688</v>
      </c>
      <c r="AV79" s="120"/>
      <c r="AW79" s="118" t="s">
        <v>107</v>
      </c>
      <c r="AX79" s="114"/>
      <c r="AY79" s="118" t="s">
        <v>110</v>
      </c>
      <c r="AZ79" s="121"/>
      <c r="BA79" s="146" t="s">
        <v>113</v>
      </c>
      <c r="BB79" s="147"/>
      <c r="BC79" s="147"/>
      <c r="BD79" s="147"/>
      <c r="BE79" s="147"/>
      <c r="BF79" s="147"/>
      <c r="BG79" s="147"/>
      <c r="BH79" s="147"/>
      <c r="BI79" s="147"/>
      <c r="BJ79" s="147"/>
      <c r="BK79" s="147"/>
      <c r="BL79" s="148"/>
      <c r="BM79" s="34"/>
      <c r="BN79" s="34"/>
    </row>
    <row r="80" spans="1:66" ht="24" customHeight="1" x14ac:dyDescent="0.45">
      <c r="A80" s="33"/>
      <c r="B80" s="33"/>
      <c r="C80" s="38">
        <f t="shared" si="0"/>
        <v>71</v>
      </c>
      <c r="D80" s="35"/>
      <c r="E80" s="36"/>
      <c r="F80" s="36"/>
      <c r="G80" s="37"/>
      <c r="H80" s="36"/>
      <c r="I80" s="36"/>
      <c r="J80" s="36"/>
      <c r="K80" s="36"/>
      <c r="L80" s="130" t="s">
        <v>89</v>
      </c>
      <c r="M80" s="131"/>
      <c r="N80" s="131"/>
      <c r="O80" s="132"/>
      <c r="P80" s="31" t="s">
        <v>50</v>
      </c>
      <c r="Q80" s="47"/>
      <c r="R80" s="47"/>
      <c r="S80" s="47"/>
      <c r="T80" s="47"/>
      <c r="U80" s="47"/>
      <c r="V80" s="47"/>
      <c r="W80" s="48"/>
      <c r="X80" s="130" t="s">
        <v>102</v>
      </c>
      <c r="Y80" s="131"/>
      <c r="Z80" s="131"/>
      <c r="AA80" s="131"/>
      <c r="AB80" s="131"/>
      <c r="AC80" s="131"/>
      <c r="AD80" s="131"/>
      <c r="AE80" s="132"/>
      <c r="AF80" s="46"/>
      <c r="AG80" s="47"/>
      <c r="AH80" s="47"/>
      <c r="AI80" s="47"/>
      <c r="AJ80" s="47"/>
      <c r="AK80" s="47"/>
      <c r="AL80" s="47"/>
      <c r="AM80" s="47"/>
      <c r="AN80" s="52"/>
      <c r="AO80" s="119">
        <v>45683</v>
      </c>
      <c r="AP80" s="120"/>
      <c r="AQ80" s="118" t="s">
        <v>107</v>
      </c>
      <c r="AR80" s="114"/>
      <c r="AS80" s="118" t="s">
        <v>108</v>
      </c>
      <c r="AT80" s="121"/>
      <c r="AU80" s="119">
        <v>45688</v>
      </c>
      <c r="AV80" s="120"/>
      <c r="AW80" s="118" t="s">
        <v>107</v>
      </c>
      <c r="AX80" s="114"/>
      <c r="AY80" s="118" t="s">
        <v>110</v>
      </c>
      <c r="AZ80" s="121"/>
      <c r="BA80" s="146" t="s">
        <v>113</v>
      </c>
      <c r="BB80" s="147"/>
      <c r="BC80" s="147"/>
      <c r="BD80" s="147"/>
      <c r="BE80" s="147"/>
      <c r="BF80" s="147"/>
      <c r="BG80" s="147"/>
      <c r="BH80" s="147"/>
      <c r="BI80" s="147"/>
      <c r="BJ80" s="147"/>
      <c r="BK80" s="147"/>
      <c r="BL80" s="148"/>
      <c r="BM80" s="34"/>
      <c r="BN80" s="34"/>
    </row>
    <row r="81" spans="1:66" ht="24" customHeight="1" x14ac:dyDescent="0.45">
      <c r="A81" s="33"/>
      <c r="B81" s="33"/>
      <c r="C81" s="38">
        <f t="shared" si="0"/>
        <v>72</v>
      </c>
      <c r="D81" s="35"/>
      <c r="E81" s="36"/>
      <c r="F81" s="36"/>
      <c r="G81" s="37"/>
      <c r="H81" s="36"/>
      <c r="I81" s="36"/>
      <c r="J81" s="36"/>
      <c r="K81" s="36"/>
      <c r="L81" s="130" t="s">
        <v>90</v>
      </c>
      <c r="M81" s="131"/>
      <c r="N81" s="131"/>
      <c r="O81" s="132"/>
      <c r="P81" s="31" t="s">
        <v>50</v>
      </c>
      <c r="Q81" s="47"/>
      <c r="R81" s="47"/>
      <c r="S81" s="47"/>
      <c r="T81" s="47"/>
      <c r="U81" s="47"/>
      <c r="V81" s="47"/>
      <c r="W81" s="48"/>
      <c r="X81" s="130" t="s">
        <v>102</v>
      </c>
      <c r="Y81" s="131"/>
      <c r="Z81" s="131"/>
      <c r="AA81" s="131"/>
      <c r="AB81" s="131"/>
      <c r="AC81" s="131"/>
      <c r="AD81" s="131"/>
      <c r="AE81" s="132"/>
      <c r="AF81" s="46"/>
      <c r="AG81" s="47"/>
      <c r="AH81" s="47"/>
      <c r="AI81" s="47"/>
      <c r="AJ81" s="47"/>
      <c r="AK81" s="47"/>
      <c r="AL81" s="47"/>
      <c r="AM81" s="47"/>
      <c r="AN81" s="52"/>
      <c r="AO81" s="119">
        <v>45683</v>
      </c>
      <c r="AP81" s="120"/>
      <c r="AQ81" s="118" t="s">
        <v>107</v>
      </c>
      <c r="AR81" s="114"/>
      <c r="AS81" s="118" t="s">
        <v>108</v>
      </c>
      <c r="AT81" s="121"/>
      <c r="AU81" s="119">
        <v>45688</v>
      </c>
      <c r="AV81" s="120"/>
      <c r="AW81" s="118" t="s">
        <v>107</v>
      </c>
      <c r="AX81" s="114"/>
      <c r="AY81" s="118" t="s">
        <v>110</v>
      </c>
      <c r="AZ81" s="121"/>
      <c r="BA81" s="146" t="s">
        <v>113</v>
      </c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8"/>
      <c r="BM81" s="34"/>
      <c r="BN81" s="34"/>
    </row>
    <row r="82" spans="1:66" ht="24" customHeight="1" x14ac:dyDescent="0.45">
      <c r="A82" s="33"/>
      <c r="B82" s="33"/>
      <c r="C82" s="38">
        <f t="shared" si="0"/>
        <v>73</v>
      </c>
      <c r="D82" s="35"/>
      <c r="E82" s="36"/>
      <c r="F82" s="36"/>
      <c r="G82" s="37"/>
      <c r="H82" s="36"/>
      <c r="I82" s="36"/>
      <c r="J82" s="36"/>
      <c r="K82" s="36"/>
      <c r="L82" s="130" t="s">
        <v>91</v>
      </c>
      <c r="M82" s="131"/>
      <c r="N82" s="131"/>
      <c r="O82" s="132"/>
      <c r="P82" s="31" t="s">
        <v>50</v>
      </c>
      <c r="Q82" s="47"/>
      <c r="R82" s="47"/>
      <c r="S82" s="47"/>
      <c r="T82" s="47"/>
      <c r="U82" s="47"/>
      <c r="V82" s="47"/>
      <c r="W82" s="48"/>
      <c r="X82" s="130" t="s">
        <v>102</v>
      </c>
      <c r="Y82" s="131"/>
      <c r="Z82" s="131"/>
      <c r="AA82" s="131"/>
      <c r="AB82" s="131"/>
      <c r="AC82" s="131"/>
      <c r="AD82" s="131"/>
      <c r="AE82" s="132"/>
      <c r="AF82" s="46"/>
      <c r="AG82" s="47"/>
      <c r="AH82" s="47"/>
      <c r="AI82" s="47"/>
      <c r="AJ82" s="47"/>
      <c r="AK82" s="47"/>
      <c r="AL82" s="47"/>
      <c r="AM82" s="47"/>
      <c r="AN82" s="52"/>
      <c r="AO82" s="119">
        <v>45683</v>
      </c>
      <c r="AP82" s="120"/>
      <c r="AQ82" s="118" t="s">
        <v>107</v>
      </c>
      <c r="AR82" s="114"/>
      <c r="AS82" s="118" t="s">
        <v>108</v>
      </c>
      <c r="AT82" s="121"/>
      <c r="AU82" s="119">
        <v>45688</v>
      </c>
      <c r="AV82" s="120"/>
      <c r="AW82" s="118" t="s">
        <v>107</v>
      </c>
      <c r="AX82" s="114"/>
      <c r="AY82" s="118" t="s">
        <v>110</v>
      </c>
      <c r="AZ82" s="121"/>
      <c r="BA82" s="146" t="s">
        <v>113</v>
      </c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8"/>
      <c r="BM82" s="34"/>
      <c r="BN82" s="34"/>
    </row>
    <row r="83" spans="1:66" ht="24" customHeight="1" x14ac:dyDescent="0.45">
      <c r="A83" s="33"/>
      <c r="B83" s="33"/>
      <c r="C83" s="38">
        <f t="shared" si="0"/>
        <v>74</v>
      </c>
      <c r="D83" s="35"/>
      <c r="E83" s="36"/>
      <c r="F83" s="36"/>
      <c r="G83" s="37"/>
      <c r="H83" s="36"/>
      <c r="I83" s="36"/>
      <c r="J83" s="36"/>
      <c r="K83" s="36"/>
      <c r="L83" s="130" t="s">
        <v>92</v>
      </c>
      <c r="M83" s="131"/>
      <c r="N83" s="131"/>
      <c r="O83" s="132"/>
      <c r="P83" s="31" t="s">
        <v>50</v>
      </c>
      <c r="Q83" s="47"/>
      <c r="R83" s="47"/>
      <c r="S83" s="47"/>
      <c r="T83" s="47"/>
      <c r="U83" s="47"/>
      <c r="V83" s="47"/>
      <c r="W83" s="48"/>
      <c r="X83" s="130" t="s">
        <v>102</v>
      </c>
      <c r="Y83" s="131"/>
      <c r="Z83" s="131"/>
      <c r="AA83" s="131"/>
      <c r="AB83" s="131"/>
      <c r="AC83" s="131"/>
      <c r="AD83" s="131"/>
      <c r="AE83" s="132"/>
      <c r="AF83" s="46"/>
      <c r="AG83" s="47"/>
      <c r="AH83" s="47"/>
      <c r="AI83" s="47"/>
      <c r="AJ83" s="47"/>
      <c r="AK83" s="47"/>
      <c r="AL83" s="47"/>
      <c r="AM83" s="47"/>
      <c r="AN83" s="52"/>
      <c r="AO83" s="119">
        <v>45683</v>
      </c>
      <c r="AP83" s="120"/>
      <c r="AQ83" s="118" t="s">
        <v>107</v>
      </c>
      <c r="AR83" s="114"/>
      <c r="AS83" s="118" t="s">
        <v>108</v>
      </c>
      <c r="AT83" s="121"/>
      <c r="AU83" s="119">
        <v>45688</v>
      </c>
      <c r="AV83" s="120"/>
      <c r="AW83" s="118" t="s">
        <v>107</v>
      </c>
      <c r="AX83" s="114"/>
      <c r="AY83" s="118" t="s">
        <v>110</v>
      </c>
      <c r="AZ83" s="121"/>
      <c r="BA83" s="146" t="s">
        <v>113</v>
      </c>
      <c r="BB83" s="147"/>
      <c r="BC83" s="147"/>
      <c r="BD83" s="147"/>
      <c r="BE83" s="147"/>
      <c r="BF83" s="147"/>
      <c r="BG83" s="147"/>
      <c r="BH83" s="147"/>
      <c r="BI83" s="147"/>
      <c r="BJ83" s="147"/>
      <c r="BK83" s="147"/>
      <c r="BL83" s="148"/>
      <c r="BM83" s="34"/>
      <c r="BN83" s="34"/>
    </row>
    <row r="84" spans="1:66" ht="24" customHeight="1" x14ac:dyDescent="0.45">
      <c r="A84" s="33"/>
      <c r="B84" s="33"/>
      <c r="C84" s="38">
        <f t="shared" si="0"/>
        <v>75</v>
      </c>
      <c r="D84" s="35"/>
      <c r="E84" s="36"/>
      <c r="F84" s="36"/>
      <c r="G84" s="37"/>
      <c r="H84" s="36"/>
      <c r="I84" s="36"/>
      <c r="J84" s="36"/>
      <c r="K84" s="36"/>
      <c r="L84" s="130" t="s">
        <v>93</v>
      </c>
      <c r="M84" s="131"/>
      <c r="N84" s="131"/>
      <c r="O84" s="132"/>
      <c r="P84" s="31" t="s">
        <v>50</v>
      </c>
      <c r="Q84" s="47"/>
      <c r="R84" s="47"/>
      <c r="S84" s="47"/>
      <c r="T84" s="47"/>
      <c r="U84" s="47"/>
      <c r="V84" s="47"/>
      <c r="W84" s="48"/>
      <c r="X84" s="130" t="s">
        <v>102</v>
      </c>
      <c r="Y84" s="131"/>
      <c r="Z84" s="131"/>
      <c r="AA84" s="131"/>
      <c r="AB84" s="131"/>
      <c r="AC84" s="131"/>
      <c r="AD84" s="131"/>
      <c r="AE84" s="132"/>
      <c r="AF84" s="46"/>
      <c r="AG84" s="47"/>
      <c r="AH84" s="47"/>
      <c r="AI84" s="47"/>
      <c r="AJ84" s="47"/>
      <c r="AK84" s="47"/>
      <c r="AL84" s="47"/>
      <c r="AM84" s="47"/>
      <c r="AN84" s="52"/>
      <c r="AO84" s="119">
        <v>45683</v>
      </c>
      <c r="AP84" s="120"/>
      <c r="AQ84" s="118" t="s">
        <v>107</v>
      </c>
      <c r="AR84" s="114"/>
      <c r="AS84" s="118" t="s">
        <v>108</v>
      </c>
      <c r="AT84" s="121"/>
      <c r="AU84" s="119">
        <v>45688</v>
      </c>
      <c r="AV84" s="120"/>
      <c r="AW84" s="118" t="s">
        <v>107</v>
      </c>
      <c r="AX84" s="114"/>
      <c r="AY84" s="118" t="s">
        <v>110</v>
      </c>
      <c r="AZ84" s="121"/>
      <c r="BA84" s="146" t="s">
        <v>113</v>
      </c>
      <c r="BB84" s="147"/>
      <c r="BC84" s="147"/>
      <c r="BD84" s="147"/>
      <c r="BE84" s="147"/>
      <c r="BF84" s="147"/>
      <c r="BG84" s="147"/>
      <c r="BH84" s="147"/>
      <c r="BI84" s="147"/>
      <c r="BJ84" s="147"/>
      <c r="BK84" s="147"/>
      <c r="BL84" s="148"/>
      <c r="BM84" s="34"/>
      <c r="BN84" s="34"/>
    </row>
    <row r="85" spans="1:66" ht="24" customHeight="1" x14ac:dyDescent="0.45">
      <c r="A85" s="33"/>
      <c r="B85" s="33"/>
      <c r="C85" s="38">
        <f t="shared" si="0"/>
        <v>76</v>
      </c>
      <c r="D85" s="35"/>
      <c r="E85" s="36"/>
      <c r="F85" s="36"/>
      <c r="G85" s="37"/>
      <c r="H85" s="36"/>
      <c r="I85" s="36"/>
      <c r="J85" s="36"/>
      <c r="K85" s="36"/>
      <c r="L85" s="130" t="s">
        <v>94</v>
      </c>
      <c r="M85" s="131"/>
      <c r="N85" s="131"/>
      <c r="O85" s="132"/>
      <c r="P85" s="31" t="s">
        <v>50</v>
      </c>
      <c r="Q85" s="47"/>
      <c r="R85" s="47"/>
      <c r="S85" s="47"/>
      <c r="T85" s="47"/>
      <c r="U85" s="47"/>
      <c r="V85" s="47"/>
      <c r="W85" s="48"/>
      <c r="X85" s="130" t="s">
        <v>102</v>
      </c>
      <c r="Y85" s="131"/>
      <c r="Z85" s="131"/>
      <c r="AA85" s="131"/>
      <c r="AB85" s="131"/>
      <c r="AC85" s="131"/>
      <c r="AD85" s="131"/>
      <c r="AE85" s="132"/>
      <c r="AF85" s="46"/>
      <c r="AG85" s="47"/>
      <c r="AH85" s="47"/>
      <c r="AI85" s="47"/>
      <c r="AJ85" s="47"/>
      <c r="AK85" s="47"/>
      <c r="AL85" s="47"/>
      <c r="AM85" s="47"/>
      <c r="AN85" s="52"/>
      <c r="AO85" s="119">
        <v>45683</v>
      </c>
      <c r="AP85" s="120"/>
      <c r="AQ85" s="118" t="s">
        <v>107</v>
      </c>
      <c r="AR85" s="114"/>
      <c r="AS85" s="118" t="s">
        <v>108</v>
      </c>
      <c r="AT85" s="121"/>
      <c r="AU85" s="119">
        <v>45688</v>
      </c>
      <c r="AV85" s="120"/>
      <c r="AW85" s="118" t="s">
        <v>107</v>
      </c>
      <c r="AX85" s="114"/>
      <c r="AY85" s="118" t="s">
        <v>110</v>
      </c>
      <c r="AZ85" s="121"/>
      <c r="BA85" s="146" t="s">
        <v>113</v>
      </c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8"/>
      <c r="BM85" s="34"/>
      <c r="BN85" s="34"/>
    </row>
    <row r="86" spans="1:66" ht="24" customHeight="1" x14ac:dyDescent="0.45">
      <c r="A86" s="33"/>
      <c r="B86" s="33"/>
      <c r="C86" s="38">
        <f t="shared" si="0"/>
        <v>77</v>
      </c>
      <c r="D86" s="35"/>
      <c r="E86" s="36"/>
      <c r="F86" s="36"/>
      <c r="G86" s="37"/>
      <c r="H86" s="36"/>
      <c r="I86" s="36"/>
      <c r="J86" s="36"/>
      <c r="K86" s="36"/>
      <c r="L86" s="130" t="s">
        <v>95</v>
      </c>
      <c r="M86" s="131"/>
      <c r="N86" s="131"/>
      <c r="O86" s="132"/>
      <c r="P86" s="31" t="s">
        <v>50</v>
      </c>
      <c r="Q86" s="47"/>
      <c r="R86" s="47"/>
      <c r="S86" s="47"/>
      <c r="T86" s="47"/>
      <c r="U86" s="47"/>
      <c r="V86" s="47"/>
      <c r="W86" s="48"/>
      <c r="X86" s="130" t="s">
        <v>102</v>
      </c>
      <c r="Y86" s="131"/>
      <c r="Z86" s="131"/>
      <c r="AA86" s="131"/>
      <c r="AB86" s="131"/>
      <c r="AC86" s="131"/>
      <c r="AD86" s="131"/>
      <c r="AE86" s="132"/>
      <c r="AF86" s="46"/>
      <c r="AG86" s="47"/>
      <c r="AH86" s="47"/>
      <c r="AI86" s="47"/>
      <c r="AJ86" s="47"/>
      <c r="AK86" s="47"/>
      <c r="AL86" s="47"/>
      <c r="AM86" s="47"/>
      <c r="AN86" s="52"/>
      <c r="AO86" s="119">
        <v>45683</v>
      </c>
      <c r="AP86" s="120"/>
      <c r="AQ86" s="118" t="s">
        <v>107</v>
      </c>
      <c r="AR86" s="114"/>
      <c r="AS86" s="118" t="s">
        <v>108</v>
      </c>
      <c r="AT86" s="121"/>
      <c r="AU86" s="119">
        <v>45688</v>
      </c>
      <c r="AV86" s="120"/>
      <c r="AW86" s="118" t="s">
        <v>107</v>
      </c>
      <c r="AX86" s="114"/>
      <c r="AY86" s="118" t="s">
        <v>110</v>
      </c>
      <c r="AZ86" s="121"/>
      <c r="BA86" s="146" t="s">
        <v>113</v>
      </c>
      <c r="BB86" s="147"/>
      <c r="BC86" s="147"/>
      <c r="BD86" s="147"/>
      <c r="BE86" s="147"/>
      <c r="BF86" s="147"/>
      <c r="BG86" s="147"/>
      <c r="BH86" s="147"/>
      <c r="BI86" s="147"/>
      <c r="BJ86" s="147"/>
      <c r="BK86" s="147"/>
      <c r="BL86" s="148"/>
      <c r="BM86" s="34"/>
      <c r="BN86" s="34"/>
    </row>
    <row r="87" spans="1:66" ht="24" customHeight="1" x14ac:dyDescent="0.45">
      <c r="A87" s="33"/>
      <c r="B87" s="33"/>
      <c r="C87" s="38">
        <f t="shared" si="0"/>
        <v>78</v>
      </c>
      <c r="D87" s="35"/>
      <c r="E87" s="36"/>
      <c r="F87" s="36"/>
      <c r="G87" s="37"/>
      <c r="H87" s="36"/>
      <c r="I87" s="36"/>
      <c r="J87" s="36"/>
      <c r="K87" s="36"/>
      <c r="L87" s="130" t="s">
        <v>96</v>
      </c>
      <c r="M87" s="131"/>
      <c r="N87" s="131"/>
      <c r="O87" s="132"/>
      <c r="P87" s="31" t="s">
        <v>50</v>
      </c>
      <c r="Q87" s="47"/>
      <c r="R87" s="47"/>
      <c r="S87" s="47"/>
      <c r="T87" s="47"/>
      <c r="U87" s="47"/>
      <c r="V87" s="47"/>
      <c r="W87" s="48"/>
      <c r="X87" s="130" t="s">
        <v>102</v>
      </c>
      <c r="Y87" s="131"/>
      <c r="Z87" s="131"/>
      <c r="AA87" s="131"/>
      <c r="AB87" s="131"/>
      <c r="AC87" s="131"/>
      <c r="AD87" s="131"/>
      <c r="AE87" s="132"/>
      <c r="AF87" s="46"/>
      <c r="AG87" s="47"/>
      <c r="AH87" s="47"/>
      <c r="AI87" s="47"/>
      <c r="AJ87" s="47"/>
      <c r="AK87" s="47"/>
      <c r="AL87" s="47"/>
      <c r="AM87" s="47"/>
      <c r="AN87" s="52"/>
      <c r="AO87" s="119">
        <v>45683</v>
      </c>
      <c r="AP87" s="120"/>
      <c r="AQ87" s="118" t="s">
        <v>107</v>
      </c>
      <c r="AR87" s="114"/>
      <c r="AS87" s="118" t="s">
        <v>108</v>
      </c>
      <c r="AT87" s="121"/>
      <c r="AU87" s="119">
        <v>45688</v>
      </c>
      <c r="AV87" s="120"/>
      <c r="AW87" s="118" t="s">
        <v>107</v>
      </c>
      <c r="AX87" s="114"/>
      <c r="AY87" s="118" t="s">
        <v>110</v>
      </c>
      <c r="AZ87" s="121"/>
      <c r="BA87" s="146" t="s">
        <v>113</v>
      </c>
      <c r="BB87" s="147"/>
      <c r="BC87" s="147"/>
      <c r="BD87" s="147"/>
      <c r="BE87" s="147"/>
      <c r="BF87" s="147"/>
      <c r="BG87" s="147"/>
      <c r="BH87" s="147"/>
      <c r="BI87" s="147"/>
      <c r="BJ87" s="147"/>
      <c r="BK87" s="147"/>
      <c r="BL87" s="148"/>
      <c r="BM87" s="34"/>
      <c r="BN87" s="34"/>
    </row>
    <row r="88" spans="1:66" ht="24" customHeight="1" x14ac:dyDescent="0.45">
      <c r="A88" s="33"/>
      <c r="B88" s="33"/>
      <c r="C88" s="38">
        <f t="shared" si="0"/>
        <v>79</v>
      </c>
      <c r="D88" s="35"/>
      <c r="E88" s="36"/>
      <c r="F88" s="36"/>
      <c r="G88" s="37"/>
      <c r="H88" s="36"/>
      <c r="I88" s="36"/>
      <c r="J88" s="36"/>
      <c r="K88" s="36"/>
      <c r="L88" s="130" t="s">
        <v>97</v>
      </c>
      <c r="M88" s="131"/>
      <c r="N88" s="131"/>
      <c r="O88" s="132"/>
      <c r="P88" s="31" t="s">
        <v>50</v>
      </c>
      <c r="Q88" s="47"/>
      <c r="R88" s="47"/>
      <c r="S88" s="47"/>
      <c r="T88" s="47"/>
      <c r="U88" s="47"/>
      <c r="V88" s="47"/>
      <c r="W88" s="48"/>
      <c r="X88" s="130" t="s">
        <v>102</v>
      </c>
      <c r="Y88" s="131"/>
      <c r="Z88" s="131"/>
      <c r="AA88" s="131"/>
      <c r="AB88" s="131"/>
      <c r="AC88" s="131"/>
      <c r="AD88" s="131"/>
      <c r="AE88" s="132"/>
      <c r="AF88" s="46"/>
      <c r="AG88" s="47"/>
      <c r="AH88" s="47"/>
      <c r="AI88" s="47"/>
      <c r="AJ88" s="47"/>
      <c r="AK88" s="47"/>
      <c r="AL88" s="47"/>
      <c r="AM88" s="47"/>
      <c r="AN88" s="52"/>
      <c r="AO88" s="119">
        <v>45683</v>
      </c>
      <c r="AP88" s="120"/>
      <c r="AQ88" s="118" t="s">
        <v>107</v>
      </c>
      <c r="AR88" s="114"/>
      <c r="AS88" s="118" t="s">
        <v>108</v>
      </c>
      <c r="AT88" s="121"/>
      <c r="AU88" s="119">
        <v>45688</v>
      </c>
      <c r="AV88" s="120"/>
      <c r="AW88" s="118" t="s">
        <v>107</v>
      </c>
      <c r="AX88" s="114"/>
      <c r="AY88" s="118" t="s">
        <v>110</v>
      </c>
      <c r="AZ88" s="121"/>
      <c r="BA88" s="146" t="s">
        <v>113</v>
      </c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8"/>
      <c r="BM88" s="34"/>
      <c r="BN88" s="34"/>
    </row>
    <row r="89" spans="1:66" ht="24" customHeight="1" x14ac:dyDescent="0.45">
      <c r="A89" s="33"/>
      <c r="B89" s="33"/>
      <c r="C89" s="38">
        <f t="shared" si="0"/>
        <v>80</v>
      </c>
      <c r="D89" s="35"/>
      <c r="E89" s="36"/>
      <c r="F89" s="36"/>
      <c r="G89" s="37"/>
      <c r="H89" s="36"/>
      <c r="I89" s="36"/>
      <c r="J89" s="36"/>
      <c r="K89" s="36"/>
      <c r="L89" s="130" t="s">
        <v>98</v>
      </c>
      <c r="M89" s="131"/>
      <c r="N89" s="131"/>
      <c r="O89" s="132"/>
      <c r="P89" s="31" t="s">
        <v>50</v>
      </c>
      <c r="Q89" s="47"/>
      <c r="R89" s="47"/>
      <c r="S89" s="47"/>
      <c r="T89" s="47"/>
      <c r="U89" s="47"/>
      <c r="V89" s="47"/>
      <c r="W89" s="48"/>
      <c r="X89" s="130" t="s">
        <v>102</v>
      </c>
      <c r="Y89" s="131"/>
      <c r="Z89" s="131"/>
      <c r="AA89" s="131"/>
      <c r="AB89" s="131"/>
      <c r="AC89" s="131"/>
      <c r="AD89" s="131"/>
      <c r="AE89" s="132"/>
      <c r="AF89" s="46"/>
      <c r="AG89" s="47"/>
      <c r="AH89" s="47"/>
      <c r="AI89" s="47"/>
      <c r="AJ89" s="47"/>
      <c r="AK89" s="47"/>
      <c r="AL89" s="47"/>
      <c r="AM89" s="47"/>
      <c r="AN89" s="52"/>
      <c r="AO89" s="119">
        <v>45683</v>
      </c>
      <c r="AP89" s="120"/>
      <c r="AQ89" s="118" t="s">
        <v>107</v>
      </c>
      <c r="AR89" s="114"/>
      <c r="AS89" s="118" t="s">
        <v>108</v>
      </c>
      <c r="AT89" s="121"/>
      <c r="AU89" s="119">
        <v>45688</v>
      </c>
      <c r="AV89" s="120"/>
      <c r="AW89" s="118" t="s">
        <v>107</v>
      </c>
      <c r="AX89" s="114"/>
      <c r="AY89" s="118" t="s">
        <v>110</v>
      </c>
      <c r="AZ89" s="121"/>
      <c r="BA89" s="146" t="s">
        <v>113</v>
      </c>
      <c r="BB89" s="147"/>
      <c r="BC89" s="147"/>
      <c r="BD89" s="147"/>
      <c r="BE89" s="147"/>
      <c r="BF89" s="147"/>
      <c r="BG89" s="147"/>
      <c r="BH89" s="147"/>
      <c r="BI89" s="147"/>
      <c r="BJ89" s="147"/>
      <c r="BK89" s="147"/>
      <c r="BL89" s="148"/>
      <c r="BM89" s="34"/>
      <c r="BN89" s="34"/>
    </row>
    <row r="90" spans="1:66" ht="24" customHeight="1" x14ac:dyDescent="0.45">
      <c r="A90" s="33"/>
      <c r="B90" s="33"/>
      <c r="C90" s="38">
        <f t="shared" si="0"/>
        <v>81</v>
      </c>
      <c r="D90" s="35"/>
      <c r="E90" s="36"/>
      <c r="F90" s="36"/>
      <c r="G90" s="37"/>
      <c r="H90" s="36"/>
      <c r="I90" s="36"/>
      <c r="J90" s="36"/>
      <c r="K90" s="36"/>
      <c r="L90" s="130" t="s">
        <v>89</v>
      </c>
      <c r="M90" s="131"/>
      <c r="N90" s="131"/>
      <c r="O90" s="132"/>
      <c r="P90" s="31" t="s">
        <v>50</v>
      </c>
      <c r="Q90" s="47"/>
      <c r="R90" s="47"/>
      <c r="S90" s="47"/>
      <c r="T90" s="47"/>
      <c r="U90" s="47"/>
      <c r="V90" s="47"/>
      <c r="W90" s="48"/>
      <c r="X90" s="130" t="s">
        <v>102</v>
      </c>
      <c r="Y90" s="131"/>
      <c r="Z90" s="131"/>
      <c r="AA90" s="131"/>
      <c r="AB90" s="131"/>
      <c r="AC90" s="131"/>
      <c r="AD90" s="131"/>
      <c r="AE90" s="132"/>
      <c r="AF90" s="46"/>
      <c r="AG90" s="47"/>
      <c r="AH90" s="47"/>
      <c r="AI90" s="47"/>
      <c r="AJ90" s="47"/>
      <c r="AK90" s="47"/>
      <c r="AL90" s="47"/>
      <c r="AM90" s="47"/>
      <c r="AN90" s="52"/>
      <c r="AO90" s="119">
        <v>45683</v>
      </c>
      <c r="AP90" s="120"/>
      <c r="AQ90" s="118" t="s">
        <v>107</v>
      </c>
      <c r="AR90" s="114"/>
      <c r="AS90" s="118" t="s">
        <v>108</v>
      </c>
      <c r="AT90" s="121"/>
      <c r="AU90" s="119">
        <v>45688</v>
      </c>
      <c r="AV90" s="120"/>
      <c r="AW90" s="118" t="s">
        <v>107</v>
      </c>
      <c r="AX90" s="114"/>
      <c r="AY90" s="118" t="s">
        <v>110</v>
      </c>
      <c r="AZ90" s="121"/>
      <c r="BA90" s="146" t="s">
        <v>113</v>
      </c>
      <c r="BB90" s="147"/>
      <c r="BC90" s="147"/>
      <c r="BD90" s="147"/>
      <c r="BE90" s="147"/>
      <c r="BF90" s="147"/>
      <c r="BG90" s="147"/>
      <c r="BH90" s="147"/>
      <c r="BI90" s="147"/>
      <c r="BJ90" s="147"/>
      <c r="BK90" s="147"/>
      <c r="BL90" s="148"/>
      <c r="BM90" s="34"/>
      <c r="BN90" s="34"/>
    </row>
    <row r="91" spans="1:66" ht="24" customHeight="1" x14ac:dyDescent="0.45">
      <c r="A91" s="33"/>
      <c r="B91" s="33"/>
      <c r="C91" s="38">
        <f t="shared" si="0"/>
        <v>82</v>
      </c>
      <c r="D91" s="35"/>
      <c r="E91" s="36"/>
      <c r="F91" s="36"/>
      <c r="G91" s="37"/>
      <c r="H91" s="55"/>
      <c r="I91" s="56"/>
      <c r="J91" s="56"/>
      <c r="K91" s="57"/>
      <c r="L91" s="130" t="s">
        <v>90</v>
      </c>
      <c r="M91" s="131"/>
      <c r="N91" s="131"/>
      <c r="O91" s="132"/>
      <c r="P91" s="31" t="s">
        <v>50</v>
      </c>
      <c r="Q91" s="47"/>
      <c r="R91" s="47"/>
      <c r="S91" s="47"/>
      <c r="T91" s="47"/>
      <c r="U91" s="47"/>
      <c r="V91" s="47"/>
      <c r="W91" s="48"/>
      <c r="X91" s="130" t="s">
        <v>102</v>
      </c>
      <c r="Y91" s="131"/>
      <c r="Z91" s="131"/>
      <c r="AA91" s="131"/>
      <c r="AB91" s="131"/>
      <c r="AC91" s="131"/>
      <c r="AD91" s="131"/>
      <c r="AE91" s="132"/>
      <c r="AF91" s="46"/>
      <c r="AG91" s="47"/>
      <c r="AH91" s="47"/>
      <c r="AI91" s="47"/>
      <c r="AJ91" s="47"/>
      <c r="AK91" s="47"/>
      <c r="AL91" s="47"/>
      <c r="AM91" s="47"/>
      <c r="AN91" s="52"/>
      <c r="AO91" s="119">
        <v>45683</v>
      </c>
      <c r="AP91" s="120"/>
      <c r="AQ91" s="118" t="s">
        <v>107</v>
      </c>
      <c r="AR91" s="114"/>
      <c r="AS91" s="118" t="s">
        <v>108</v>
      </c>
      <c r="AT91" s="121"/>
      <c r="AU91" s="119">
        <v>45688</v>
      </c>
      <c r="AV91" s="120"/>
      <c r="AW91" s="118" t="s">
        <v>107</v>
      </c>
      <c r="AX91" s="114"/>
      <c r="AY91" s="118" t="s">
        <v>110</v>
      </c>
      <c r="AZ91" s="121"/>
      <c r="BA91" s="146" t="s">
        <v>113</v>
      </c>
      <c r="BB91" s="147"/>
      <c r="BC91" s="147"/>
      <c r="BD91" s="147"/>
      <c r="BE91" s="147"/>
      <c r="BF91" s="147"/>
      <c r="BG91" s="147"/>
      <c r="BH91" s="147"/>
      <c r="BI91" s="147"/>
      <c r="BJ91" s="147"/>
      <c r="BK91" s="147"/>
      <c r="BL91" s="148"/>
      <c r="BM91" s="34"/>
      <c r="BN91" s="34"/>
    </row>
    <row r="92" spans="1:66" ht="24" customHeight="1" thickBot="1" x14ac:dyDescent="0.5">
      <c r="A92" s="33"/>
      <c r="B92" s="33"/>
      <c r="C92" s="38">
        <f t="shared" si="0"/>
        <v>83</v>
      </c>
      <c r="D92" s="35"/>
      <c r="E92" s="36"/>
      <c r="F92" s="36"/>
      <c r="G92" s="37"/>
      <c r="H92" s="31" t="s">
        <v>54</v>
      </c>
      <c r="I92" s="50"/>
      <c r="J92" s="50"/>
      <c r="K92" s="53"/>
      <c r="L92" s="154" t="s">
        <v>52</v>
      </c>
      <c r="M92" s="155"/>
      <c r="N92" s="155"/>
      <c r="O92" s="156"/>
      <c r="P92" s="54" t="s">
        <v>53</v>
      </c>
      <c r="Q92" s="54"/>
      <c r="R92" s="36"/>
      <c r="S92" s="36"/>
      <c r="T92" s="36"/>
      <c r="U92" s="36"/>
      <c r="V92" s="36"/>
      <c r="W92" s="61"/>
      <c r="X92" s="130" t="s">
        <v>103</v>
      </c>
      <c r="Y92" s="131"/>
      <c r="Z92" s="131"/>
      <c r="AA92" s="131"/>
      <c r="AB92" s="131"/>
      <c r="AC92" s="131"/>
      <c r="AD92" s="131"/>
      <c r="AE92" s="132"/>
      <c r="AF92" s="46"/>
      <c r="AG92" s="47"/>
      <c r="AH92" s="47"/>
      <c r="AI92" s="47"/>
      <c r="AJ92" s="47"/>
      <c r="AK92" s="47"/>
      <c r="AL92" s="47"/>
      <c r="AM92" s="47"/>
      <c r="AN92" s="52"/>
      <c r="AO92" s="119">
        <v>45683</v>
      </c>
      <c r="AP92" s="120"/>
      <c r="AQ92" s="118" t="s">
        <v>107</v>
      </c>
      <c r="AR92" s="114"/>
      <c r="AS92" s="118" t="s">
        <v>108</v>
      </c>
      <c r="AT92" s="121"/>
      <c r="AU92" s="119">
        <v>45688</v>
      </c>
      <c r="AV92" s="120"/>
      <c r="AW92" s="118" t="s">
        <v>107</v>
      </c>
      <c r="AX92" s="114"/>
      <c r="AY92" s="118" t="s">
        <v>110</v>
      </c>
      <c r="AZ92" s="121"/>
      <c r="BA92" s="146" t="s">
        <v>113</v>
      </c>
      <c r="BB92" s="147"/>
      <c r="BC92" s="147"/>
      <c r="BD92" s="147"/>
      <c r="BE92" s="147"/>
      <c r="BF92" s="147"/>
      <c r="BG92" s="147"/>
      <c r="BH92" s="147"/>
      <c r="BI92" s="147"/>
      <c r="BJ92" s="147"/>
      <c r="BK92" s="147"/>
      <c r="BL92" s="148"/>
      <c r="BM92" s="34"/>
      <c r="BN92" s="34"/>
    </row>
    <row r="93" spans="1:66" ht="20.100000000000001" customHeight="1" thickTop="1" thickBot="1" x14ac:dyDescent="0.5">
      <c r="A93" s="33"/>
      <c r="B93" s="7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7"/>
      <c r="BN93" s="34"/>
    </row>
    <row r="94" spans="1:66" ht="5.0999999999999996" customHeight="1" thickTop="1" x14ac:dyDescent="0.4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</row>
    <row r="95" spans="1:66" ht="20.100000000000001" customHeight="1" x14ac:dyDescent="0.45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</row>
  </sheetData>
  <mergeCells count="827">
    <mergeCell ref="AU90:AV90"/>
    <mergeCell ref="AW90:AX90"/>
    <mergeCell ref="AY90:AZ90"/>
    <mergeCell ref="AU91:AV91"/>
    <mergeCell ref="AW91:AX91"/>
    <mergeCell ref="AY91:AZ91"/>
    <mergeCell ref="AU92:AV92"/>
    <mergeCell ref="AW92:AX92"/>
    <mergeCell ref="AY92:AZ92"/>
    <mergeCell ref="AU87:AV87"/>
    <mergeCell ref="AW87:AX87"/>
    <mergeCell ref="AY87:AZ87"/>
    <mergeCell ref="AU88:AV88"/>
    <mergeCell ref="AW88:AX88"/>
    <mergeCell ref="AY88:AZ88"/>
    <mergeCell ref="AU89:AV89"/>
    <mergeCell ref="AW89:AX89"/>
    <mergeCell ref="AY89:AZ89"/>
    <mergeCell ref="AU84:AV84"/>
    <mergeCell ref="AW84:AX84"/>
    <mergeCell ref="AY84:AZ84"/>
    <mergeCell ref="AU85:AV85"/>
    <mergeCell ref="AW85:AX85"/>
    <mergeCell ref="AY85:AZ85"/>
    <mergeCell ref="AU86:AV86"/>
    <mergeCell ref="AW86:AX86"/>
    <mergeCell ref="AY86:AZ86"/>
    <mergeCell ref="AU81:AV81"/>
    <mergeCell ref="AW81:AX81"/>
    <mergeCell ref="AY81:AZ81"/>
    <mergeCell ref="AU82:AV82"/>
    <mergeCell ref="AW82:AX82"/>
    <mergeCell ref="AY82:AZ82"/>
    <mergeCell ref="AU83:AV83"/>
    <mergeCell ref="AW83:AX83"/>
    <mergeCell ref="AY83:AZ83"/>
    <mergeCell ref="AU78:AV78"/>
    <mergeCell ref="AW78:AX78"/>
    <mergeCell ref="AY78:AZ78"/>
    <mergeCell ref="AU79:AV79"/>
    <mergeCell ref="AW79:AX79"/>
    <mergeCell ref="AY79:AZ79"/>
    <mergeCell ref="AU80:AV80"/>
    <mergeCell ref="AW80:AX80"/>
    <mergeCell ref="AY80:AZ80"/>
    <mergeCell ref="AU75:AV75"/>
    <mergeCell ref="AW75:AX75"/>
    <mergeCell ref="AY75:AZ75"/>
    <mergeCell ref="AU76:AV76"/>
    <mergeCell ref="AW76:AX76"/>
    <mergeCell ref="AY76:AZ76"/>
    <mergeCell ref="AU77:AV77"/>
    <mergeCell ref="AW77:AX77"/>
    <mergeCell ref="AY77:AZ77"/>
    <mergeCell ref="AU72:AV72"/>
    <mergeCell ref="AW72:AX72"/>
    <mergeCell ref="AY72:AZ72"/>
    <mergeCell ref="AU73:AV73"/>
    <mergeCell ref="AW73:AX73"/>
    <mergeCell ref="AY73:AZ73"/>
    <mergeCell ref="AU74:AV74"/>
    <mergeCell ref="AW74:AX74"/>
    <mergeCell ref="AY74:AZ74"/>
    <mergeCell ref="AU69:AV69"/>
    <mergeCell ref="AW69:AX69"/>
    <mergeCell ref="AY69:AZ69"/>
    <mergeCell ref="AU70:AV70"/>
    <mergeCell ref="AW70:AX70"/>
    <mergeCell ref="AY70:AZ70"/>
    <mergeCell ref="AU71:AV71"/>
    <mergeCell ref="AW71:AX71"/>
    <mergeCell ref="AY71:AZ71"/>
    <mergeCell ref="AU66:AV66"/>
    <mergeCell ref="AW66:AX66"/>
    <mergeCell ref="AY66:AZ66"/>
    <mergeCell ref="AU67:AV67"/>
    <mergeCell ref="AW67:AX67"/>
    <mergeCell ref="AY67:AZ67"/>
    <mergeCell ref="AU68:AV68"/>
    <mergeCell ref="AW68:AX68"/>
    <mergeCell ref="AY68:AZ68"/>
    <mergeCell ref="AU63:AV63"/>
    <mergeCell ref="AW63:AX63"/>
    <mergeCell ref="AY63:AZ63"/>
    <mergeCell ref="AU64:AV64"/>
    <mergeCell ref="AW64:AX64"/>
    <mergeCell ref="AY64:AZ64"/>
    <mergeCell ref="AU65:AV65"/>
    <mergeCell ref="AW65:AX65"/>
    <mergeCell ref="AY65:AZ65"/>
    <mergeCell ref="AU60:AV60"/>
    <mergeCell ref="AW60:AX60"/>
    <mergeCell ref="AY60:AZ60"/>
    <mergeCell ref="AU61:AV61"/>
    <mergeCell ref="AW61:AX61"/>
    <mergeCell ref="AY61:AZ61"/>
    <mergeCell ref="AU62:AV62"/>
    <mergeCell ref="AW62:AX62"/>
    <mergeCell ref="AY62:AZ62"/>
    <mergeCell ref="AU57:AV57"/>
    <mergeCell ref="AW57:AX57"/>
    <mergeCell ref="AY57:AZ57"/>
    <mergeCell ref="AU58:AV58"/>
    <mergeCell ref="AW58:AX58"/>
    <mergeCell ref="AY58:AZ58"/>
    <mergeCell ref="AU59:AV59"/>
    <mergeCell ref="AW59:AX59"/>
    <mergeCell ref="AY59:AZ59"/>
    <mergeCell ref="AU54:AV54"/>
    <mergeCell ref="AW54:AX54"/>
    <mergeCell ref="AY54:AZ54"/>
    <mergeCell ref="AU55:AV55"/>
    <mergeCell ref="AW55:AX55"/>
    <mergeCell ref="AY55:AZ55"/>
    <mergeCell ref="AU56:AV56"/>
    <mergeCell ref="AW56:AX56"/>
    <mergeCell ref="AY56:AZ56"/>
    <mergeCell ref="AU51:AV51"/>
    <mergeCell ref="AW51:AX51"/>
    <mergeCell ref="AY51:AZ51"/>
    <mergeCell ref="AU52:AV52"/>
    <mergeCell ref="AW52:AX52"/>
    <mergeCell ref="AY52:AZ52"/>
    <mergeCell ref="AU53:AV53"/>
    <mergeCell ref="AW53:AX53"/>
    <mergeCell ref="AY53:AZ53"/>
    <mergeCell ref="AU48:AV48"/>
    <mergeCell ref="AW48:AX48"/>
    <mergeCell ref="AY48:AZ48"/>
    <mergeCell ref="AU49:AV49"/>
    <mergeCell ref="AW49:AX49"/>
    <mergeCell ref="AY49:AZ49"/>
    <mergeCell ref="AU50:AV50"/>
    <mergeCell ref="AW50:AX50"/>
    <mergeCell ref="AY50:AZ50"/>
    <mergeCell ref="AU45:AV45"/>
    <mergeCell ref="AW45:AX45"/>
    <mergeCell ref="AY45:AZ45"/>
    <mergeCell ref="AU46:AV46"/>
    <mergeCell ref="AW46:AX46"/>
    <mergeCell ref="AY46:AZ46"/>
    <mergeCell ref="AU47:AV47"/>
    <mergeCell ref="AW47:AX47"/>
    <mergeCell ref="AY47:AZ47"/>
    <mergeCell ref="AU42:AV42"/>
    <mergeCell ref="AW42:AX42"/>
    <mergeCell ref="AY42:AZ42"/>
    <mergeCell ref="AU43:AV43"/>
    <mergeCell ref="AW43:AX43"/>
    <mergeCell ref="AY43:AZ43"/>
    <mergeCell ref="AU44:AV44"/>
    <mergeCell ref="AW44:AX44"/>
    <mergeCell ref="AY44:AZ44"/>
    <mergeCell ref="AU39:AV39"/>
    <mergeCell ref="AW39:AX39"/>
    <mergeCell ref="AY39:AZ39"/>
    <mergeCell ref="AU40:AV40"/>
    <mergeCell ref="AW40:AX40"/>
    <mergeCell ref="AY40:AZ40"/>
    <mergeCell ref="AU41:AV41"/>
    <mergeCell ref="AW41:AX41"/>
    <mergeCell ref="AY41:AZ41"/>
    <mergeCell ref="AU36:AV36"/>
    <mergeCell ref="AW36:AX36"/>
    <mergeCell ref="AY36:AZ36"/>
    <mergeCell ref="AU37:AV37"/>
    <mergeCell ref="AW37:AX37"/>
    <mergeCell ref="AY37:AZ37"/>
    <mergeCell ref="AU38:AV38"/>
    <mergeCell ref="AW38:AX38"/>
    <mergeCell ref="AY38:AZ38"/>
    <mergeCell ref="AU33:AV33"/>
    <mergeCell ref="AW33:AX33"/>
    <mergeCell ref="AY33:AZ33"/>
    <mergeCell ref="AU34:AV34"/>
    <mergeCell ref="AW34:AX34"/>
    <mergeCell ref="AY34:AZ34"/>
    <mergeCell ref="AU35:AV35"/>
    <mergeCell ref="AW35:AX35"/>
    <mergeCell ref="AY35:AZ35"/>
    <mergeCell ref="AU30:AV30"/>
    <mergeCell ref="AW30:AX30"/>
    <mergeCell ref="AY30:AZ30"/>
    <mergeCell ref="AU31:AV31"/>
    <mergeCell ref="AW31:AX31"/>
    <mergeCell ref="AY31:AZ31"/>
    <mergeCell ref="AU32:AV32"/>
    <mergeCell ref="AW32:AX32"/>
    <mergeCell ref="AY32:AZ32"/>
    <mergeCell ref="AU27:AV27"/>
    <mergeCell ref="AW27:AX27"/>
    <mergeCell ref="AY27:AZ27"/>
    <mergeCell ref="AU28:AV28"/>
    <mergeCell ref="AW28:AX28"/>
    <mergeCell ref="AY28:AZ28"/>
    <mergeCell ref="AU29:AV29"/>
    <mergeCell ref="AW29:AX29"/>
    <mergeCell ref="AY29:AZ29"/>
    <mergeCell ref="AU24:AV24"/>
    <mergeCell ref="AW24:AX24"/>
    <mergeCell ref="AY24:AZ24"/>
    <mergeCell ref="AU25:AV25"/>
    <mergeCell ref="AW25:AX25"/>
    <mergeCell ref="AY25:AZ25"/>
    <mergeCell ref="AU26:AV26"/>
    <mergeCell ref="AW26:AX26"/>
    <mergeCell ref="AY26:AZ26"/>
    <mergeCell ref="AU21:AV21"/>
    <mergeCell ref="AW21:AX21"/>
    <mergeCell ref="AY21:AZ21"/>
    <mergeCell ref="AU22:AV22"/>
    <mergeCell ref="AW22:AX22"/>
    <mergeCell ref="AY22:AZ22"/>
    <mergeCell ref="AU23:AV23"/>
    <mergeCell ref="AW23:AX23"/>
    <mergeCell ref="AY23:AZ23"/>
    <mergeCell ref="AU18:AV18"/>
    <mergeCell ref="AW18:AX18"/>
    <mergeCell ref="AY18:AZ18"/>
    <mergeCell ref="AU19:AV19"/>
    <mergeCell ref="AW19:AX19"/>
    <mergeCell ref="AY19:AZ19"/>
    <mergeCell ref="AU20:AV20"/>
    <mergeCell ref="AW20:AX20"/>
    <mergeCell ref="AY20:AZ20"/>
    <mergeCell ref="AU15:AV15"/>
    <mergeCell ref="AW15:AX15"/>
    <mergeCell ref="AY15:AZ15"/>
    <mergeCell ref="AU16:AV16"/>
    <mergeCell ref="AW16:AX16"/>
    <mergeCell ref="AY16:AZ16"/>
    <mergeCell ref="AU17:AV17"/>
    <mergeCell ref="AW17:AX17"/>
    <mergeCell ref="AY17:AZ17"/>
    <mergeCell ref="AU12:AV12"/>
    <mergeCell ref="AW12:AX12"/>
    <mergeCell ref="AY12:AZ12"/>
    <mergeCell ref="AU13:AV13"/>
    <mergeCell ref="AW13:AX13"/>
    <mergeCell ref="AY13:AZ13"/>
    <mergeCell ref="AU14:AV14"/>
    <mergeCell ref="AW14:AX14"/>
    <mergeCell ref="AY14:AZ14"/>
    <mergeCell ref="L87:O87"/>
    <mergeCell ref="L88:O88"/>
    <mergeCell ref="L89:O89"/>
    <mergeCell ref="L90:O90"/>
    <mergeCell ref="L91:O91"/>
    <mergeCell ref="L92:O92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L69:O69"/>
    <mergeCell ref="L70:O70"/>
    <mergeCell ref="L71:O71"/>
    <mergeCell ref="L72:O72"/>
    <mergeCell ref="L73:O73"/>
    <mergeCell ref="L74:O74"/>
    <mergeCell ref="L75:O75"/>
    <mergeCell ref="L76:O76"/>
    <mergeCell ref="L77:O77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45:O45"/>
    <mergeCell ref="L46:O46"/>
    <mergeCell ref="L47:O47"/>
    <mergeCell ref="L48:O48"/>
    <mergeCell ref="L49:O49"/>
    <mergeCell ref="L50:O50"/>
    <mergeCell ref="L52:O52"/>
    <mergeCell ref="L53:O53"/>
    <mergeCell ref="L54:O54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P46:W46"/>
    <mergeCell ref="X46:AE46"/>
    <mergeCell ref="X52:AE52"/>
    <mergeCell ref="X53:AE53"/>
    <mergeCell ref="X54:AE54"/>
    <mergeCell ref="X55:AE55"/>
    <mergeCell ref="X56:AE56"/>
    <mergeCell ref="X57:AE57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P41:W41"/>
    <mergeCell ref="X41:AE41"/>
    <mergeCell ref="P42:W42"/>
    <mergeCell ref="X42:AE42"/>
    <mergeCell ref="P43:W43"/>
    <mergeCell ref="X43:AE43"/>
    <mergeCell ref="P44:W44"/>
    <mergeCell ref="X44:AE44"/>
    <mergeCell ref="P45:W45"/>
    <mergeCell ref="X45:AE45"/>
    <mergeCell ref="X92:AE92"/>
    <mergeCell ref="X86:AE86"/>
    <mergeCell ref="X87:AE87"/>
    <mergeCell ref="X88:AE88"/>
    <mergeCell ref="X89:AE89"/>
    <mergeCell ref="X90:AE90"/>
    <mergeCell ref="X91:AE91"/>
    <mergeCell ref="X80:AE80"/>
    <mergeCell ref="X81:AE81"/>
    <mergeCell ref="X82:AE82"/>
    <mergeCell ref="X83:AE83"/>
    <mergeCell ref="X84:AE84"/>
    <mergeCell ref="X85:AE85"/>
    <mergeCell ref="X74:AE74"/>
    <mergeCell ref="X75:AE75"/>
    <mergeCell ref="X76:AE76"/>
    <mergeCell ref="X77:AE77"/>
    <mergeCell ref="X78:AE78"/>
    <mergeCell ref="X79:AE79"/>
    <mergeCell ref="X70:AE70"/>
    <mergeCell ref="X71:AE71"/>
    <mergeCell ref="X72:AE72"/>
    <mergeCell ref="X73:AE73"/>
    <mergeCell ref="X66:AE66"/>
    <mergeCell ref="X67:AE67"/>
    <mergeCell ref="X68:AE68"/>
    <mergeCell ref="X69:AE69"/>
    <mergeCell ref="X60:AE60"/>
    <mergeCell ref="X61:AE61"/>
    <mergeCell ref="X62:AE62"/>
    <mergeCell ref="X63:AE63"/>
    <mergeCell ref="X64:AE64"/>
    <mergeCell ref="X65:AE65"/>
    <mergeCell ref="P50:W50"/>
    <mergeCell ref="X50:AE50"/>
    <mergeCell ref="L51:O51"/>
    <mergeCell ref="X51:AE51"/>
    <mergeCell ref="X58:AE58"/>
    <mergeCell ref="X59:AE59"/>
    <mergeCell ref="P47:W47"/>
    <mergeCell ref="X47:AE47"/>
    <mergeCell ref="P48:W48"/>
    <mergeCell ref="X48:AE48"/>
    <mergeCell ref="P49:W49"/>
    <mergeCell ref="X49:AE49"/>
    <mergeCell ref="L55:O55"/>
    <mergeCell ref="L56:O56"/>
    <mergeCell ref="L57:O57"/>
    <mergeCell ref="L58:O58"/>
    <mergeCell ref="L59:O59"/>
    <mergeCell ref="P38:W38"/>
    <mergeCell ref="X38:AE38"/>
    <mergeCell ref="P39:W39"/>
    <mergeCell ref="X39:AE39"/>
    <mergeCell ref="P40:W40"/>
    <mergeCell ref="X40:AE40"/>
    <mergeCell ref="P35:W35"/>
    <mergeCell ref="X35:AE35"/>
    <mergeCell ref="P36:W36"/>
    <mergeCell ref="X36:AE36"/>
    <mergeCell ref="P37:W37"/>
    <mergeCell ref="X37:AE37"/>
    <mergeCell ref="P32:W32"/>
    <mergeCell ref="X32:AE32"/>
    <mergeCell ref="P33:W33"/>
    <mergeCell ref="X33:AE33"/>
    <mergeCell ref="P34:W34"/>
    <mergeCell ref="X34:AE34"/>
    <mergeCell ref="P29:W29"/>
    <mergeCell ref="X29:AE29"/>
    <mergeCell ref="P30:W30"/>
    <mergeCell ref="X30:AE30"/>
    <mergeCell ref="P31:W31"/>
    <mergeCell ref="X31:AE31"/>
    <mergeCell ref="P26:W26"/>
    <mergeCell ref="X26:AE26"/>
    <mergeCell ref="P27:W27"/>
    <mergeCell ref="X27:AE27"/>
    <mergeCell ref="P28:W28"/>
    <mergeCell ref="X28:AE28"/>
    <mergeCell ref="P23:W23"/>
    <mergeCell ref="X23:AE23"/>
    <mergeCell ref="P24:W24"/>
    <mergeCell ref="X24:AE24"/>
    <mergeCell ref="P25:W25"/>
    <mergeCell ref="X25:AE25"/>
    <mergeCell ref="P21:W21"/>
    <mergeCell ref="X21:AE21"/>
    <mergeCell ref="P22:W22"/>
    <mergeCell ref="X22:AE22"/>
    <mergeCell ref="P18:W18"/>
    <mergeCell ref="X18:AE18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P12:W12"/>
    <mergeCell ref="X12:AE12"/>
    <mergeCell ref="P13:W13"/>
    <mergeCell ref="X13:AE13"/>
    <mergeCell ref="P14:W14"/>
    <mergeCell ref="X14:AE14"/>
    <mergeCell ref="BA10:BL10"/>
    <mergeCell ref="BE7:BF8"/>
    <mergeCell ref="BG7:BH7"/>
    <mergeCell ref="BI7:BJ7"/>
    <mergeCell ref="BK7:BL7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O11:AP11"/>
    <mergeCell ref="BA11:BL11"/>
    <mergeCell ref="AQ11:AR11"/>
    <mergeCell ref="AS11:AT11"/>
    <mergeCell ref="AU11:AV11"/>
    <mergeCell ref="AW11:AX11"/>
    <mergeCell ref="AY11:AZ11"/>
    <mergeCell ref="AU8:AZ8"/>
    <mergeCell ref="BG8:BH8"/>
    <mergeCell ref="BI8:BJ8"/>
    <mergeCell ref="BK8:BL8"/>
    <mergeCell ref="AK3:AW4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X3:BA4"/>
    <mergeCell ref="B3:G4"/>
    <mergeCell ref="H3:K4"/>
    <mergeCell ref="L3:Q4"/>
    <mergeCell ref="R3:W4"/>
    <mergeCell ref="X3:AJ4"/>
    <mergeCell ref="AO8:AT8"/>
    <mergeCell ref="AS10:AT10"/>
    <mergeCell ref="AU10:AV10"/>
    <mergeCell ref="AW10:AX10"/>
    <mergeCell ref="AY10:AZ10"/>
    <mergeCell ref="B2:G2"/>
    <mergeCell ref="H2:K2"/>
    <mergeCell ref="L2:Q2"/>
    <mergeCell ref="R2:W2"/>
    <mergeCell ref="X2:AJ2"/>
    <mergeCell ref="AK2:AW2"/>
    <mergeCell ref="BB3:BE4"/>
    <mergeCell ref="BF3:BI4"/>
    <mergeCell ref="BJ3:BM4"/>
    <mergeCell ref="AX2:BA2"/>
    <mergeCell ref="BB2:BE2"/>
    <mergeCell ref="BF2:BI2"/>
    <mergeCell ref="BJ2:BM2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O92:AP92"/>
    <mergeCell ref="BA12:BL12"/>
    <mergeCell ref="BA13:BL13"/>
    <mergeCell ref="BA14:BL14"/>
    <mergeCell ref="BA15:BL15"/>
    <mergeCell ref="BA16:BL16"/>
    <mergeCell ref="BA17:BL17"/>
    <mergeCell ref="BA18:BL18"/>
    <mergeCell ref="BA19:BL19"/>
    <mergeCell ref="BA20:BL20"/>
    <mergeCell ref="BA21:BL21"/>
    <mergeCell ref="BA22:BL22"/>
    <mergeCell ref="BA23:BL23"/>
    <mergeCell ref="BA24:BL24"/>
    <mergeCell ref="BA25:BL25"/>
    <mergeCell ref="BA26:BL26"/>
    <mergeCell ref="BA27:BL27"/>
    <mergeCell ref="BA28:BL28"/>
    <mergeCell ref="BA29:BL29"/>
    <mergeCell ref="BA30:BL30"/>
    <mergeCell ref="BA31:BL31"/>
    <mergeCell ref="BA32:BL32"/>
    <mergeCell ref="BA33:BL33"/>
    <mergeCell ref="BA34:BL34"/>
    <mergeCell ref="BA35:BL35"/>
    <mergeCell ref="BA36:BL36"/>
    <mergeCell ref="BA37:BL37"/>
    <mergeCell ref="BA38:BL38"/>
    <mergeCell ref="BA39:BL39"/>
    <mergeCell ref="BA40:BL40"/>
    <mergeCell ref="BA41:BL41"/>
    <mergeCell ref="BA42:BL42"/>
    <mergeCell ref="BA43:BL43"/>
    <mergeCell ref="BA44:BL44"/>
    <mergeCell ref="BA45:BL45"/>
    <mergeCell ref="BA46:BL46"/>
    <mergeCell ref="BA47:BL47"/>
    <mergeCell ref="BA48:BL48"/>
    <mergeCell ref="BA49:BL49"/>
    <mergeCell ref="BA50:BL50"/>
    <mergeCell ref="BA51:BL51"/>
    <mergeCell ref="BA52:BL52"/>
    <mergeCell ref="BA53:BL53"/>
    <mergeCell ref="BA54:BL54"/>
    <mergeCell ref="BA55:BL55"/>
    <mergeCell ref="BA56:BL56"/>
    <mergeCell ref="BA57:BL57"/>
    <mergeCell ref="BA58:BL58"/>
    <mergeCell ref="BA59:BL59"/>
    <mergeCell ref="BA60:BL60"/>
    <mergeCell ref="BA61:BL61"/>
    <mergeCell ref="BA62:BL62"/>
    <mergeCell ref="BA63:BL63"/>
    <mergeCell ref="BA64:BL64"/>
    <mergeCell ref="BA65:BL65"/>
    <mergeCell ref="BA66:BL66"/>
    <mergeCell ref="BA67:BL67"/>
    <mergeCell ref="BA68:BL68"/>
    <mergeCell ref="BA69:BL69"/>
    <mergeCell ref="BA70:BL70"/>
    <mergeCell ref="BA71:BL71"/>
    <mergeCell ref="BA72:BL72"/>
    <mergeCell ref="BA73:BL73"/>
    <mergeCell ref="BA74:BL74"/>
    <mergeCell ref="BA75:BL75"/>
    <mergeCell ref="BA76:BL76"/>
    <mergeCell ref="BA77:BL77"/>
    <mergeCell ref="BA78:BL78"/>
    <mergeCell ref="BA79:BL79"/>
    <mergeCell ref="BA80:BL80"/>
    <mergeCell ref="BA81:BL81"/>
    <mergeCell ref="BA82:BL82"/>
    <mergeCell ref="BA83:BL83"/>
    <mergeCell ref="BA84:BL84"/>
    <mergeCell ref="BA85:BL85"/>
    <mergeCell ref="BA86:BL86"/>
    <mergeCell ref="BA87:BL87"/>
    <mergeCell ref="BA88:BL88"/>
    <mergeCell ref="BA89:BL89"/>
    <mergeCell ref="BA90:BL90"/>
    <mergeCell ref="BA91:BL91"/>
    <mergeCell ref="BA92:BL92"/>
    <mergeCell ref="AQ12:AR12"/>
    <mergeCell ref="AS12:AT12"/>
    <mergeCell ref="AQ13:AR13"/>
    <mergeCell ref="AS13:AT13"/>
    <mergeCell ref="AQ14:AR14"/>
    <mergeCell ref="AS14:AT14"/>
    <mergeCell ref="AQ15:AR15"/>
    <mergeCell ref="AS15:AT15"/>
    <mergeCell ref="AQ16:AR16"/>
    <mergeCell ref="AS16:AT16"/>
    <mergeCell ref="AQ17:AR17"/>
    <mergeCell ref="AS17:AT17"/>
    <mergeCell ref="AQ18:AR18"/>
    <mergeCell ref="AS18:AT18"/>
    <mergeCell ref="AQ19:AR19"/>
    <mergeCell ref="AS19:AT19"/>
    <mergeCell ref="AQ20:AR20"/>
    <mergeCell ref="AS20:AT20"/>
    <mergeCell ref="AQ21:AR21"/>
    <mergeCell ref="AS21:AT21"/>
    <mergeCell ref="AQ22:AR22"/>
    <mergeCell ref="AS22:AT22"/>
    <mergeCell ref="AQ23:AR23"/>
    <mergeCell ref="AS23:AT23"/>
    <mergeCell ref="AQ24:AR24"/>
    <mergeCell ref="AS24:AT24"/>
    <mergeCell ref="AQ25:AR25"/>
    <mergeCell ref="AS25:AT25"/>
    <mergeCell ref="AQ26:AR26"/>
    <mergeCell ref="AS26:AT26"/>
    <mergeCell ref="AQ27:AR27"/>
    <mergeCell ref="AS27:AT27"/>
    <mergeCell ref="AQ28:AR28"/>
    <mergeCell ref="AS28:AT28"/>
    <mergeCell ref="AQ29:AR29"/>
    <mergeCell ref="AS29:AT29"/>
    <mergeCell ref="AQ30:AR30"/>
    <mergeCell ref="AS30:AT30"/>
    <mergeCell ref="AQ31:AR31"/>
    <mergeCell ref="AS31:AT31"/>
    <mergeCell ref="AQ32:AR32"/>
    <mergeCell ref="AS32:AT32"/>
    <mergeCell ref="AQ33:AR33"/>
    <mergeCell ref="AS33:AT33"/>
    <mergeCell ref="AQ34:AR34"/>
    <mergeCell ref="AS34:AT34"/>
    <mergeCell ref="AQ35:AR35"/>
    <mergeCell ref="AS35:AT35"/>
    <mergeCell ref="AQ36:AR36"/>
    <mergeCell ref="AS36:AT36"/>
    <mergeCell ref="AQ37:AR37"/>
    <mergeCell ref="AS37:AT37"/>
    <mergeCell ref="AQ38:AR38"/>
    <mergeCell ref="AS38:AT38"/>
    <mergeCell ref="AQ39:AR39"/>
    <mergeCell ref="AS39:AT39"/>
    <mergeCell ref="AQ40:AR40"/>
    <mergeCell ref="AS40:AT40"/>
    <mergeCell ref="AQ41:AR41"/>
    <mergeCell ref="AS41:AT41"/>
    <mergeCell ref="AQ42:AR42"/>
    <mergeCell ref="AS42:AT42"/>
    <mergeCell ref="AQ43:AR43"/>
    <mergeCell ref="AS43:AT43"/>
    <mergeCell ref="AQ44:AR44"/>
    <mergeCell ref="AS44:AT44"/>
    <mergeCell ref="AQ45:AR45"/>
    <mergeCell ref="AS45:AT45"/>
    <mergeCell ref="AQ46:AR46"/>
    <mergeCell ref="AS46:AT46"/>
    <mergeCell ref="AQ47:AR47"/>
    <mergeCell ref="AS47:AT47"/>
    <mergeCell ref="AQ48:AR48"/>
    <mergeCell ref="AS48:AT48"/>
    <mergeCell ref="AQ49:AR49"/>
    <mergeCell ref="AS49:AT49"/>
    <mergeCell ref="AQ50:AR50"/>
    <mergeCell ref="AS50:AT50"/>
    <mergeCell ref="AQ51:AR51"/>
    <mergeCell ref="AS51:AT51"/>
    <mergeCell ref="AQ52:AR52"/>
    <mergeCell ref="AS52:AT52"/>
    <mergeCell ref="AQ53:AR53"/>
    <mergeCell ref="AS53:AT53"/>
    <mergeCell ref="AQ54:AR54"/>
    <mergeCell ref="AS54:AT54"/>
    <mergeCell ref="AQ55:AR55"/>
    <mergeCell ref="AS55:AT55"/>
    <mergeCell ref="AQ56:AR56"/>
    <mergeCell ref="AS56:AT56"/>
    <mergeCell ref="AQ57:AR57"/>
    <mergeCell ref="AS57:AT57"/>
    <mergeCell ref="AQ58:AR58"/>
    <mergeCell ref="AS58:AT58"/>
    <mergeCell ref="AQ59:AR59"/>
    <mergeCell ref="AS59:AT59"/>
    <mergeCell ref="AQ60:AR60"/>
    <mergeCell ref="AS60:AT60"/>
    <mergeCell ref="AQ61:AR61"/>
    <mergeCell ref="AS61:AT61"/>
    <mergeCell ref="AQ62:AR62"/>
    <mergeCell ref="AS62:AT62"/>
    <mergeCell ref="AQ63:AR63"/>
    <mergeCell ref="AS63:AT63"/>
    <mergeCell ref="AQ64:AR64"/>
    <mergeCell ref="AS64:AT64"/>
    <mergeCell ref="AQ65:AR65"/>
    <mergeCell ref="AS65:AT65"/>
    <mergeCell ref="AQ66:AR66"/>
    <mergeCell ref="AS66:AT66"/>
    <mergeCell ref="AQ67:AR67"/>
    <mergeCell ref="AS67:AT67"/>
    <mergeCell ref="AQ68:AR68"/>
    <mergeCell ref="AS68:AT68"/>
    <mergeCell ref="AQ69:AR69"/>
    <mergeCell ref="AS69:AT69"/>
    <mergeCell ref="AQ70:AR70"/>
    <mergeCell ref="AS70:AT70"/>
    <mergeCell ref="AQ71:AR71"/>
    <mergeCell ref="AS71:AT71"/>
    <mergeCell ref="AQ72:AR72"/>
    <mergeCell ref="AS72:AT72"/>
    <mergeCell ref="AQ73:AR73"/>
    <mergeCell ref="AS73:AT73"/>
    <mergeCell ref="AQ74:AR74"/>
    <mergeCell ref="AS74:AT74"/>
    <mergeCell ref="AQ75:AR75"/>
    <mergeCell ref="AS75:AT75"/>
    <mergeCell ref="AQ76:AR76"/>
    <mergeCell ref="AS76:AT76"/>
    <mergeCell ref="AQ77:AR77"/>
    <mergeCell ref="AS77:AT77"/>
    <mergeCell ref="AQ78:AR78"/>
    <mergeCell ref="AS78:AT78"/>
    <mergeCell ref="AQ79:AR79"/>
    <mergeCell ref="AS79:AT79"/>
    <mergeCell ref="AQ80:AR80"/>
    <mergeCell ref="AS80:AT80"/>
    <mergeCell ref="AQ81:AR81"/>
    <mergeCell ref="AS81:AT81"/>
    <mergeCell ref="AQ82:AR82"/>
    <mergeCell ref="AS82:AT82"/>
    <mergeCell ref="AQ83:AR83"/>
    <mergeCell ref="AS83:AT83"/>
    <mergeCell ref="AQ84:AR84"/>
    <mergeCell ref="AS84:AT84"/>
    <mergeCell ref="AQ85:AR85"/>
    <mergeCell ref="AS85:AT85"/>
    <mergeCell ref="AQ86:AR86"/>
    <mergeCell ref="AS86:AT86"/>
    <mergeCell ref="AQ92:AR92"/>
    <mergeCell ref="AS92:AT92"/>
    <mergeCell ref="AQ87:AR87"/>
    <mergeCell ref="AS87:AT87"/>
    <mergeCell ref="AQ88:AR88"/>
    <mergeCell ref="AS88:AT88"/>
    <mergeCell ref="AQ89:AR89"/>
    <mergeCell ref="AS89:AT89"/>
    <mergeCell ref="AQ90:AR90"/>
    <mergeCell ref="AS90:AT90"/>
    <mergeCell ref="AQ91:AR91"/>
    <mergeCell ref="AS91:AT91"/>
  </mergeCells>
  <phoneticPr fontId="2"/>
  <conditionalFormatting sqref="AS10:AS92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Y10:AY9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92 AY10:AY9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新規更新共通</vt:lpstr>
      <vt:lpstr>新規登録画面</vt:lpstr>
      <vt:lpstr>更新画面</vt:lpstr>
      <vt:lpstr>参照</vt:lpstr>
      <vt:lpstr>更新画面!Print_Area</vt:lpstr>
      <vt:lpstr>新規更新共通!Print_Area</vt:lpstr>
      <vt:lpstr>新規登録画面!Print_Area</vt:lpstr>
      <vt:lpstr>変更履歴!Print_Area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2025-02-27T05:53:22Z</dcterms:modified>
</cp:coreProperties>
</file>