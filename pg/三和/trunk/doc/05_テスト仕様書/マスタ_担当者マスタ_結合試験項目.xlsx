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19" r:id="rId2"/>
    <sheet name="新規更新共通" sheetId="22" r:id="rId3"/>
    <sheet name="新規登録画面" sheetId="20" r:id="rId4"/>
    <sheet name="更新画面" sheetId="21" r:id="rId5"/>
    <sheet name="参照" sheetId="12" state="hidden" r:id="rId6"/>
  </sheets>
  <definedNames>
    <definedName name="_xlnm.Print_Area" localSheetId="1">一覧画面!$A$1:$BN$28</definedName>
    <definedName name="_xlnm.Print_Area" localSheetId="4">更新画面!$A$1:$BN$26</definedName>
    <definedName name="_xlnm.Print_Area" localSheetId="2">新規更新共通!$A$1:$BN$24</definedName>
    <definedName name="_xlnm.Print_Area" localSheetId="3">新規登録画面!$A$1:$BN$25</definedName>
    <definedName name="_xlnm.Print_Area" localSheetId="0">変更履歴!$A$1:$BN$49</definedName>
    <definedName name="_xlnm.Print_Titles" localSheetId="1">一覧画面!$1:$5</definedName>
    <definedName name="_xlnm.Print_Titles" localSheetId="4">更新画面!$1:$5</definedName>
    <definedName name="_xlnm.Print_Titles" localSheetId="2">新規更新共通!$1:$5</definedName>
    <definedName name="_xlnm.Print_Titles" localSheetId="3">新規登録画面!$1:$5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9" l="1"/>
  <c r="C25" i="19"/>
  <c r="C24" i="19"/>
  <c r="C19" i="19" l="1"/>
  <c r="C20" i="19"/>
  <c r="C21" i="19"/>
  <c r="C22" i="19"/>
  <c r="C23" i="19"/>
  <c r="C13" i="22" l="1"/>
  <c r="C15" i="19"/>
  <c r="L3" i="20" l="1"/>
  <c r="L3" i="22"/>
  <c r="L3" i="19"/>
  <c r="C18" i="19"/>
  <c r="C17" i="19"/>
  <c r="C16" i="22" l="1"/>
  <c r="C17" i="22"/>
  <c r="C18" i="22"/>
  <c r="C19" i="22"/>
  <c r="C11" i="22"/>
  <c r="C12" i="22"/>
  <c r="C14" i="22"/>
  <c r="C22" i="22"/>
  <c r="C21" i="22"/>
  <c r="C20" i="22"/>
  <c r="C15" i="22"/>
  <c r="C10" i="22"/>
  <c r="BI8" i="22"/>
  <c r="BJ3" i="22"/>
  <c r="BF3" i="22"/>
  <c r="BB3" i="22"/>
  <c r="AX3" i="22"/>
  <c r="B3" i="22"/>
  <c r="BG8" i="22" l="1"/>
  <c r="BK8" i="22" s="1"/>
  <c r="C11" i="19" l="1"/>
  <c r="C12" i="19"/>
  <c r="C13" i="19"/>
  <c r="C14" i="19"/>
  <c r="C16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L3" i="21"/>
  <c r="C24" i="21" l="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B3" i="21"/>
  <c r="BG8" i="21" l="1"/>
  <c r="BK8" i="21" s="1"/>
  <c r="C10" i="20"/>
  <c r="BI8" i="20"/>
  <c r="BJ3" i="20"/>
  <c r="BF3" i="20"/>
  <c r="BB3" i="20"/>
  <c r="AX3" i="20"/>
  <c r="B3" i="20"/>
  <c r="BG8" i="20" l="1"/>
  <c r="BK8" i="20" s="1"/>
  <c r="C10" i="19" l="1"/>
  <c r="BI8" i="19"/>
  <c r="BJ3" i="19"/>
  <c r="BF3" i="19"/>
  <c r="BB3" i="19"/>
  <c r="AX3" i="19"/>
  <c r="B3" i="19"/>
  <c r="X3" i="1" l="1"/>
  <c r="X3" i="22" s="1"/>
  <c r="X3" i="20" l="1"/>
  <c r="X3" i="21"/>
  <c r="BG8" i="19"/>
  <c r="BK8" i="19" s="1"/>
  <c r="X3" i="19"/>
  <c r="H3" i="1"/>
  <c r="H3" i="22" s="1"/>
  <c r="R3" i="1"/>
  <c r="R3" i="22" s="1"/>
  <c r="AK3" i="1"/>
  <c r="AK3" i="22" s="1"/>
  <c r="R3" i="20" l="1"/>
  <c r="R3" i="21"/>
  <c r="AK3" i="20"/>
  <c r="AK3" i="21"/>
  <c r="H3" i="20"/>
  <c r="H3" i="21"/>
  <c r="AK3" i="19"/>
  <c r="R3" i="19"/>
  <c r="H3" i="19"/>
</calcChain>
</file>

<file path=xl/sharedStrings.xml><?xml version="1.0" encoding="utf-8"?>
<sst xmlns="http://schemas.openxmlformats.org/spreadsheetml/2006/main" count="453" uniqueCount="108">
  <si>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</si>
  <si>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</si>
  <si>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</si>
  <si>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</si>
  <si>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</si>
  <si>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</si>
  <si>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</si>
  <si>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</si>
  <si>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</si>
  <si>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</si>
  <si>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</si>
  <si>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</si>
  <si>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</si>
  <si>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</si>
  <si>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</si>
  <si>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</si>
  <si>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</si>
  <si>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</si>
  <si>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</si>
  <si>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</si>
  <si>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</si>
  <si>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</si>
  <si>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</si>
  <si>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</si>
  <si>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</si>
  <si>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</si>
  <si>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</si>
  <si>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</si>
  <si>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</si>
  <si>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</si>
  <si>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</si>
  <si>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</si>
  <si>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</si>
  <si>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</si>
  <si>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</si>
  <si>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</si>
  <si>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</si>
  <si>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</si>
  <si>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</si>
  <si>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</si>
  <si>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</si>
  <si>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</si>
  <si>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2">
      <t>ショキ</t>
    </rPh>
    <rPh sb="2" eb="4">
      <t>ヒョウジ</t>
    </rPh>
    <phoneticPr fontId="2"/>
  </si>
  <si>
    <t>榎本</t>
    <rPh sb="0" eb="2">
      <t>エノモト</t>
    </rPh>
    <phoneticPr fontId="2"/>
  </si>
  <si>
    <t>担当者CD</t>
    <rPh sb="0" eb="3">
      <t>タントウシャ</t>
    </rPh>
    <phoneticPr fontId="2"/>
  </si>
  <si>
    <t>担当者名</t>
    <rPh sb="0" eb="3">
      <t>タントウシャ</t>
    </rPh>
    <rPh sb="3" eb="4">
      <t>メイ</t>
    </rPh>
    <phoneticPr fontId="2"/>
  </si>
  <si>
    <t>一覧画面</t>
    <rPh sb="0" eb="2">
      <t>イチラン</t>
    </rPh>
    <rPh sb="2" eb="4">
      <t>ガメン</t>
    </rPh>
    <phoneticPr fontId="2"/>
  </si>
  <si>
    <t>入力欄が活性、かつ空欄であること。</t>
    <rPh sb="9" eb="11">
      <t>クウラン</t>
    </rPh>
    <phoneticPr fontId="2"/>
  </si>
  <si>
    <t>新規登録</t>
    <rPh sb="0" eb="2">
      <t>シンキ</t>
    </rPh>
    <rPh sb="2" eb="4">
      <t>トウロク</t>
    </rPh>
    <phoneticPr fontId="2"/>
  </si>
  <si>
    <t>値を入力して作成ボタンを押下する</t>
    <rPh sb="0" eb="1">
      <t>アタイ</t>
    </rPh>
    <rPh sb="2" eb="4">
      <t>ニュウリョク</t>
    </rPh>
    <rPh sb="6" eb="8">
      <t>サクセイ</t>
    </rPh>
    <rPh sb="12" eb="14">
      <t>オウカ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</si>
  <si>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</si>
  <si>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入力欄が活性、かつ空欄で必須項目であること。</t>
    <rPh sb="9" eb="11">
      <t>クウラン</t>
    </rPh>
    <rPh sb="12" eb="16">
      <t>ヒッスコウモク</t>
    </rPh>
    <phoneticPr fontId="2"/>
  </si>
  <si>
    <t>エラー確認</t>
    <rPh sb="3" eb="5">
      <t>カクニン</t>
    </rPh>
    <phoneticPr fontId="2"/>
  </si>
  <si>
    <t>未入力で作成ボタンを押下する。</t>
    <rPh sb="0" eb="3">
      <t>ミニュウリョク</t>
    </rPh>
    <rPh sb="4" eb="6">
      <t>サクセイ</t>
    </rPh>
    <rPh sb="10" eb="12">
      <t>オウカ</t>
    </rPh>
    <phoneticPr fontId="2"/>
  </si>
  <si>
    <t>エラーメッセージが出力され、作成できないこと</t>
    <rPh sb="9" eb="11">
      <t>シュツリョク</t>
    </rPh>
    <rPh sb="14" eb="16">
      <t>サクセイ</t>
    </rPh>
    <phoneticPr fontId="2"/>
  </si>
  <si>
    <t>値を入力して更新ボタンを押下する</t>
    <rPh sb="0" eb="1">
      <t>アタイ</t>
    </rPh>
    <rPh sb="2" eb="4">
      <t>ニュウリョク</t>
    </rPh>
    <rPh sb="6" eb="8">
      <t>コウシン</t>
    </rPh>
    <rPh sb="12" eb="14">
      <t>オウカ</t>
    </rPh>
    <phoneticPr fontId="2"/>
  </si>
  <si>
    <t>更新</t>
    <rPh sb="0" eb="2">
      <t>コウシン</t>
    </rPh>
    <phoneticPr fontId="2"/>
  </si>
  <si>
    <t>削除ボタン</t>
    <rPh sb="0" eb="2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</si>
  <si>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</si>
  <si>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削除</t>
    <rPh sb="0" eb="2">
      <t>サクジョ</t>
    </rPh>
    <phoneticPr fontId="2"/>
  </si>
  <si>
    <t>新規登録画面</t>
    <rPh sb="0" eb="2">
      <t>シンキ</t>
    </rPh>
    <rPh sb="2" eb="4">
      <t>トウロク</t>
    </rPh>
    <rPh sb="4" eb="6">
      <t>ガメン</t>
    </rPh>
    <phoneticPr fontId="2"/>
  </si>
  <si>
    <t>入力制御確認</t>
    <rPh sb="0" eb="2">
      <t>ニュウリョク</t>
    </rPh>
    <rPh sb="2" eb="4">
      <t>セイギョ</t>
    </rPh>
    <rPh sb="4" eb="6">
      <t>カクニン</t>
    </rPh>
    <phoneticPr fontId="2"/>
  </si>
  <si>
    <t>値を入力する</t>
    <rPh sb="0" eb="1">
      <t>アタイ</t>
    </rPh>
    <rPh sb="2" eb="4">
      <t>ニュウリョク</t>
    </rPh>
    <phoneticPr fontId="2"/>
  </si>
  <si>
    <t>更新画面</t>
    <phoneticPr fontId="2"/>
  </si>
  <si>
    <t>検索条件</t>
    <rPh sb="0" eb="2">
      <t>ケンサク</t>
    </rPh>
    <rPh sb="2" eb="4">
      <t>ジョウケン</t>
    </rPh>
    <phoneticPr fontId="2"/>
  </si>
  <si>
    <t>検索項目に入力する</t>
    <rPh sb="0" eb="2">
      <t>ケンサク</t>
    </rPh>
    <rPh sb="2" eb="4">
      <t>コウモク</t>
    </rPh>
    <rPh sb="5" eb="7">
      <t>ニュウリョク</t>
    </rPh>
    <phoneticPr fontId="2"/>
  </si>
  <si>
    <t>レコードに入力された値のフィルタが適応されること</t>
    <rPh sb="5" eb="7">
      <t>ニュウリョク</t>
    </rPh>
    <rPh sb="10" eb="11">
      <t>アタイ</t>
    </rPh>
    <rPh sb="17" eb="19">
      <t>テキオウ</t>
    </rPh>
    <phoneticPr fontId="2"/>
  </si>
  <si>
    <t>動作確認</t>
    <rPh sb="0" eb="2">
      <t>ドウサ</t>
    </rPh>
    <rPh sb="2" eb="4">
      <t>カクニン</t>
    </rPh>
    <phoneticPr fontId="2"/>
  </si>
  <si>
    <t>メールアドレス</t>
    <phoneticPr fontId="2"/>
  </si>
  <si>
    <t>部署CD</t>
    <rPh sb="0" eb="2">
      <t>ブショ</t>
    </rPh>
    <phoneticPr fontId="2"/>
  </si>
  <si>
    <t>部署名</t>
    <rPh sb="0" eb="3">
      <t>ブショメイ</t>
    </rPh>
    <phoneticPr fontId="2"/>
  </si>
  <si>
    <t>問い合わせ先</t>
    <rPh sb="0" eb="1">
      <t>ト</t>
    </rPh>
    <rPh sb="2" eb="3">
      <t>ア</t>
    </rPh>
    <rPh sb="5" eb="6">
      <t>サキ</t>
    </rPh>
    <phoneticPr fontId="2"/>
  </si>
  <si>
    <t>順序</t>
    <rPh sb="0" eb="2">
      <t>ジュンジョ</t>
    </rPh>
    <phoneticPr fontId="2"/>
  </si>
  <si>
    <t>メニューより担当者マスタを起動する</t>
    <rPh sb="13" eb="15">
      <t>キドウ</t>
    </rPh>
    <phoneticPr fontId="2"/>
  </si>
  <si>
    <t>TM担当者マスタテーブルの項目と同じ値が表示されていること。</t>
    <rPh sb="13" eb="15">
      <t>コウモク</t>
    </rPh>
    <rPh sb="16" eb="17">
      <t>オナ</t>
    </rPh>
    <rPh sb="18" eb="19">
      <t>アタイ</t>
    </rPh>
    <rPh sb="20" eb="22">
      <t>ヒョウジ</t>
    </rPh>
    <phoneticPr fontId="2"/>
  </si>
  <si>
    <t>担当者マスタより新規作成画面を起動する</t>
    <rPh sb="8" eb="10">
      <t>シンキ</t>
    </rPh>
    <rPh sb="10" eb="12">
      <t>サクセイ</t>
    </rPh>
    <rPh sb="12" eb="14">
      <t>ガメン</t>
    </rPh>
    <rPh sb="15" eb="17">
      <t>キドウ</t>
    </rPh>
    <phoneticPr fontId="2"/>
  </si>
  <si>
    <t>入力した値がTM担当者マスタテーブルの項目に反映されること</t>
    <rPh sb="0" eb="2">
      <t>ニュウリョク</t>
    </rPh>
    <rPh sb="4" eb="5">
      <t>アタイ</t>
    </rPh>
    <rPh sb="22" eb="24">
      <t>ハンエイ</t>
    </rPh>
    <phoneticPr fontId="2"/>
  </si>
  <si>
    <t>担当者マスタより対象のレコードを押下する</t>
    <rPh sb="8" eb="10">
      <t>タイショウ</t>
    </rPh>
    <rPh sb="16" eb="18">
      <t>オウカ</t>
    </rPh>
    <phoneticPr fontId="2"/>
  </si>
  <si>
    <t>TM担当者マスタテーブルの対象レコードが削除されること。</t>
    <rPh sb="13" eb="15">
      <t>タイショウ</t>
    </rPh>
    <rPh sb="20" eb="22">
      <t>サクジョ</t>
    </rPh>
    <phoneticPr fontId="2"/>
  </si>
  <si>
    <t>部署CD</t>
    <phoneticPr fontId="2"/>
  </si>
  <si>
    <t>部署CD項目を押下する</t>
    <rPh sb="4" eb="6">
      <t>コウモク</t>
    </rPh>
    <rPh sb="7" eb="9">
      <t>オウカ</t>
    </rPh>
    <phoneticPr fontId="2"/>
  </si>
  <si>
    <t>部署CD検索のダイアログが立ち上がること。</t>
    <rPh sb="4" eb="6">
      <t>ケンサク</t>
    </rPh>
    <rPh sb="13" eb="14">
      <t>タ</t>
    </rPh>
    <rPh sb="15" eb="16">
      <t>ア</t>
    </rPh>
    <phoneticPr fontId="2"/>
  </si>
  <si>
    <t>部署CD検索画面で部署CDを検索し、部署CDを選択する。</t>
    <rPh sb="4" eb="6">
      <t>ケンサク</t>
    </rPh>
    <rPh sb="6" eb="8">
      <t>ガメン</t>
    </rPh>
    <rPh sb="14" eb="16">
      <t>ケンサク</t>
    </rPh>
    <rPh sb="23" eb="25">
      <t>センタク</t>
    </rPh>
    <phoneticPr fontId="2"/>
  </si>
  <si>
    <t>部署CD項目を削除する</t>
    <rPh sb="4" eb="6">
      <t>コウモク</t>
    </rPh>
    <rPh sb="7" eb="9">
      <t>サクジョ</t>
    </rPh>
    <phoneticPr fontId="2"/>
  </si>
  <si>
    <t xml:space="preserve">以下の項目に選択した部署CDの該当情報が削除されること
部署CD   
部署名  </t>
  </si>
  <si>
    <t xml:space="preserve">以下の項目が部署CD選択前と同じであること
担当者CD   
担当者名   
メールアドレス   
問い合わせ先   
順序   </t>
    <phoneticPr fontId="2"/>
  </si>
  <si>
    <t xml:space="preserve">以下の項目に選択した部署CDの該当情報が表示されること
部署CD   
部署名   </t>
    <phoneticPr fontId="2"/>
  </si>
  <si>
    <t xml:space="preserve">以下の項目が部署CD削除前と同じであること
担当者CD   
担当者名   
メールアドレス   
問い合わせ先   
順序   </t>
    <phoneticPr fontId="2"/>
  </si>
  <si>
    <t>数字のみで3字まで入力できること</t>
    <rPh sb="0" eb="2">
      <t>スウジ</t>
    </rPh>
    <rPh sb="6" eb="7">
      <t>ジ</t>
    </rPh>
    <rPh sb="9" eb="11">
      <t>ニュウリョク</t>
    </rPh>
    <phoneticPr fontId="2"/>
  </si>
  <si>
    <t>16字まで入力できること</t>
    <phoneticPr fontId="2"/>
  </si>
  <si>
    <t>30字まで入力できること</t>
    <phoneticPr fontId="2"/>
  </si>
  <si>
    <t>数字のみで2字まで入力できること</t>
    <rPh sb="0" eb="2">
      <t>スウジ</t>
    </rPh>
    <rPh sb="6" eb="7">
      <t>ジ</t>
    </rPh>
    <rPh sb="9" eb="11">
      <t>ニュウリョク</t>
    </rPh>
    <phoneticPr fontId="2"/>
  </si>
  <si>
    <t>児玉</t>
    <rPh sb="0" eb="2">
      <t>コダマ</t>
    </rPh>
    <phoneticPr fontId="2"/>
  </si>
  <si>
    <t>OK</t>
    <phoneticPr fontId="2"/>
  </si>
  <si>
    <t>児玉</t>
    <rPh sb="0" eb="2">
      <t>コダマ</t>
    </rPh>
    <phoneticPr fontId="2"/>
  </si>
  <si>
    <t>OK</t>
    <phoneticPr fontId="2"/>
  </si>
  <si>
    <t>一括削除</t>
    <rPh sb="0" eb="4">
      <t>イッカツサクジョ</t>
    </rPh>
    <phoneticPr fontId="2"/>
  </si>
  <si>
    <t>一括削除ボタンを押下する</t>
    <rPh sb="0" eb="2">
      <t>イッカツ</t>
    </rPh>
    <rPh sb="2" eb="4">
      <t>サクジョ</t>
    </rPh>
    <rPh sb="8" eb="10">
      <t>オウカ</t>
    </rPh>
    <phoneticPr fontId="2"/>
  </si>
  <si>
    <t>インポート</t>
    <phoneticPr fontId="2"/>
  </si>
  <si>
    <t>インポートボタン</t>
    <phoneticPr fontId="2"/>
  </si>
  <si>
    <t>インポートボタンを押下する</t>
    <rPh sb="9" eb="11">
      <t>オウカ</t>
    </rPh>
    <phoneticPr fontId="2"/>
  </si>
  <si>
    <t>CSVに入力された値がインポートされること</t>
    <rPh sb="4" eb="6">
      <t>ニュウリョク</t>
    </rPh>
    <rPh sb="9" eb="10">
      <t>アタイ</t>
    </rPh>
    <phoneticPr fontId="2"/>
  </si>
  <si>
    <t>エクスポート</t>
    <phoneticPr fontId="2"/>
  </si>
  <si>
    <t>エクスポートボタン</t>
    <phoneticPr fontId="2"/>
  </si>
  <si>
    <t>エクスポートボタンを押下する</t>
    <rPh sb="10" eb="12">
      <t>オウカ</t>
    </rPh>
    <phoneticPr fontId="2"/>
  </si>
  <si>
    <t>レコードに入力された値がエクスポートされること</t>
    <rPh sb="5" eb="7">
      <t>ニュウリョク</t>
    </rPh>
    <rPh sb="10" eb="11">
      <t>アタイ</t>
    </rPh>
    <phoneticPr fontId="2"/>
  </si>
  <si>
    <t>TM担当者の対象レコードが削除されること。</t>
    <rPh sb="6" eb="8">
      <t>タイショウ</t>
    </rPh>
    <rPh sb="13" eb="15">
      <t>サクジョ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</si>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</sst>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indexed="64"/>
      </top>
      <bottom style="thick">
        <color auto="1"/>
      </bottom>
      <diagonal/>
    </border>
    <border>
      <left/>
      <right/>
      <top style="double">
        <color theme="1"/>
      </top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5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0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4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4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49" xfId="0" applyFont="1" applyFill="1" applyBorder="1">
      <alignment vertical="center"/>
    </xf>
    <xf numFmtId="0" fontId="3" fillId="2" borderId="50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51" xfId="0" applyFont="1" applyFill="1" applyBorder="1" applyAlignment="1">
      <alignment vertical="top"/>
    </xf>
    <xf numFmtId="0" fontId="3" fillId="2" borderId="52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48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left" vertical="top" wrapText="1"/>
    </xf>
    <xf numFmtId="0" fontId="3" fillId="2" borderId="4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42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43" xfId="0" applyFont="1" applyFill="1" applyBorder="1" applyAlignment="1">
      <alignment horizontal="left" vertical="top" wrapText="1"/>
    </xf>
    <xf numFmtId="0" fontId="3" fillId="2" borderId="44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9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15"/>
    </row>
    <row r="3" spans="1:66" ht="20.100000000000001" customHeight="1" x14ac:dyDescent="0.45">
      <c r="A3" s="9"/>
      <c r="B3" s="198" t="s">
        <v>38</v>
      </c>
      <c r="C3" s="186"/>
      <c r="D3" s="186"/>
      <c r="E3" s="186"/>
      <c r="F3" s="186"/>
      <c r="G3" s="186"/>
      <c r="H3" s="186" t="str">
        <f ca="1">LEFT($X$3,FIND("_",$X$3)-1)</f>
        <v>マスタ</v>
      </c>
      <c r="I3" s="186"/>
      <c r="J3" s="186"/>
      <c r="K3" s="186"/>
      <c r="L3" s="186" t="s">
        <v>39</v>
      </c>
      <c r="M3" s="186"/>
      <c r="N3" s="186"/>
      <c r="O3" s="186"/>
      <c r="P3" s="186"/>
      <c r="Q3" s="186"/>
      <c r="R3" s="199" t="str">
        <f ca="1">MID($X$3,FIND("_",$X$3,FIND("_",$X$3)+1)+1,LEN($X$3)-FIND("_",$X$3,FIND("_",$X$3)+1))</f>
        <v>結合試験項目</v>
      </c>
      <c r="S3" s="186"/>
      <c r="T3" s="186"/>
      <c r="U3" s="186"/>
      <c r="V3" s="186"/>
      <c r="W3" s="186"/>
      <c r="X3" s="189" t="str">
        <f ca="1">REPLACE(LEFT(CELL("filename",$B$2),FIND(".x",CELL("filename",$B$2))-1),1,FIND("[",CELL("filename",$B$2)),)</f>
        <v>マスタ_担当者マスタ_結合試験項目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MID($X$3,FIND("_",$X$3)+1,FIND("_",$X$3,FIND("_",$X$3)+1)-FIND("_",$X$3)-1)</f>
        <v>担当者マスタ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v>45636</v>
      </c>
      <c r="AY3" s="186"/>
      <c r="AZ3" s="186"/>
      <c r="BA3" s="186"/>
      <c r="BB3" s="186" t="s">
        <v>43</v>
      </c>
      <c r="BC3" s="186"/>
      <c r="BD3" s="186"/>
      <c r="BE3" s="186"/>
      <c r="BF3" s="185">
        <v>45636</v>
      </c>
      <c r="BG3" s="186"/>
      <c r="BH3" s="186"/>
      <c r="BI3" s="186"/>
      <c r="BJ3" s="186" t="s">
        <v>43</v>
      </c>
      <c r="BK3" s="186"/>
      <c r="BL3" s="186"/>
      <c r="BM3" s="188"/>
      <c r="BN3" s="15"/>
    </row>
    <row r="4" spans="1:66" ht="20.100000000000001" customHeight="1" thickBot="1" x14ac:dyDescent="0.5">
      <c r="A4" s="9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82" t="s">
        <v>7</v>
      </c>
      <c r="D8" s="182"/>
      <c r="E8" s="182"/>
      <c r="F8" s="182"/>
      <c r="G8" s="182" t="s">
        <v>8</v>
      </c>
      <c r="H8" s="182"/>
      <c r="I8" s="182"/>
      <c r="J8" s="182"/>
      <c r="K8" s="182" t="s">
        <v>9</v>
      </c>
      <c r="L8" s="182"/>
      <c r="M8" s="182"/>
      <c r="N8" s="182"/>
      <c r="O8" s="182" t="s">
        <v>10</v>
      </c>
      <c r="P8" s="182"/>
      <c r="Q8" s="182"/>
      <c r="R8" s="182"/>
      <c r="S8" s="182"/>
      <c r="T8" s="182"/>
      <c r="U8" s="182"/>
      <c r="V8" s="182"/>
      <c r="W8" s="182"/>
      <c r="X8" s="182"/>
      <c r="Y8" s="182" t="s">
        <v>11</v>
      </c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8"/>
      <c r="BN8" s="15"/>
    </row>
    <row r="9" spans="1:66" ht="20.100000000000001" customHeight="1" x14ac:dyDescent="0.45">
      <c r="A9" s="9"/>
      <c r="B9" s="8"/>
      <c r="C9" s="181">
        <v>45636</v>
      </c>
      <c r="D9" s="179"/>
      <c r="E9" s="179"/>
      <c r="F9" s="180"/>
      <c r="G9" s="175" t="s">
        <v>20</v>
      </c>
      <c r="H9" s="176"/>
      <c r="I9" s="176"/>
      <c r="J9" s="177"/>
      <c r="K9" s="178"/>
      <c r="L9" s="179"/>
      <c r="M9" s="179"/>
      <c r="N9" s="18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81"/>
      <c r="D10" s="179"/>
      <c r="E10" s="179"/>
      <c r="F10" s="180"/>
      <c r="G10" s="175"/>
      <c r="H10" s="176"/>
      <c r="I10" s="176"/>
      <c r="J10" s="177"/>
      <c r="K10" s="178"/>
      <c r="L10" s="179"/>
      <c r="M10" s="179"/>
      <c r="N10" s="18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81"/>
      <c r="D11" s="179"/>
      <c r="E11" s="179"/>
      <c r="F11" s="180"/>
      <c r="G11" s="175"/>
      <c r="H11" s="176"/>
      <c r="I11" s="176"/>
      <c r="J11" s="177"/>
      <c r="K11" s="178"/>
      <c r="L11" s="179"/>
      <c r="M11" s="179"/>
      <c r="N11" s="18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81"/>
      <c r="D36" s="179"/>
      <c r="E36" s="179"/>
      <c r="F36" s="180"/>
      <c r="G36" s="175"/>
      <c r="H36" s="176"/>
      <c r="I36" s="176"/>
      <c r="J36" s="177"/>
      <c r="K36" s="178"/>
      <c r="L36" s="179"/>
      <c r="M36" s="179"/>
      <c r="N36" s="18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81"/>
      <c r="D37" s="179"/>
      <c r="E37" s="179"/>
      <c r="F37" s="180"/>
      <c r="G37" s="175"/>
      <c r="H37" s="176"/>
      <c r="I37" s="176"/>
      <c r="J37" s="177"/>
      <c r="K37" s="178"/>
      <c r="L37" s="179"/>
      <c r="M37" s="179"/>
      <c r="N37" s="18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81"/>
      <c r="D38" s="179"/>
      <c r="E38" s="179"/>
      <c r="F38" s="180"/>
      <c r="G38" s="175"/>
      <c r="H38" s="176"/>
      <c r="I38" s="176"/>
      <c r="J38" s="177"/>
      <c r="K38" s="178"/>
      <c r="L38" s="179"/>
      <c r="M38" s="179"/>
      <c r="N38" s="18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81"/>
      <c r="D39" s="179"/>
      <c r="E39" s="179"/>
      <c r="F39" s="180"/>
      <c r="G39" s="175"/>
      <c r="H39" s="176"/>
      <c r="I39" s="176"/>
      <c r="J39" s="177"/>
      <c r="K39" s="178"/>
      <c r="L39" s="179"/>
      <c r="M39" s="179"/>
      <c r="N39" s="18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81"/>
      <c r="D40" s="179"/>
      <c r="E40" s="179"/>
      <c r="F40" s="180"/>
      <c r="G40" s="175"/>
      <c r="H40" s="176"/>
      <c r="I40" s="176"/>
      <c r="J40" s="177"/>
      <c r="K40" s="178"/>
      <c r="L40" s="179"/>
      <c r="M40" s="179"/>
      <c r="N40" s="18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81"/>
      <c r="D41" s="179"/>
      <c r="E41" s="179"/>
      <c r="F41" s="180"/>
      <c r="G41" s="175"/>
      <c r="H41" s="176"/>
      <c r="I41" s="176"/>
      <c r="J41" s="177"/>
      <c r="K41" s="178"/>
      <c r="L41" s="179"/>
      <c r="M41" s="179"/>
      <c r="N41" s="18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81"/>
      <c r="D42" s="179"/>
      <c r="E42" s="179"/>
      <c r="F42" s="180"/>
      <c r="G42" s="175"/>
      <c r="H42" s="176"/>
      <c r="I42" s="176"/>
      <c r="J42" s="177"/>
      <c r="K42" s="178"/>
      <c r="L42" s="179"/>
      <c r="M42" s="179"/>
      <c r="N42" s="18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81"/>
      <c r="D43" s="179"/>
      <c r="E43" s="179"/>
      <c r="F43" s="180"/>
      <c r="G43" s="175"/>
      <c r="H43" s="176"/>
      <c r="I43" s="176"/>
      <c r="J43" s="177"/>
      <c r="K43" s="178"/>
      <c r="L43" s="179"/>
      <c r="M43" s="179"/>
      <c r="N43" s="18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81"/>
      <c r="D44" s="179"/>
      <c r="E44" s="179"/>
      <c r="F44" s="180"/>
      <c r="G44" s="175"/>
      <c r="H44" s="176"/>
      <c r="I44" s="176"/>
      <c r="J44" s="177"/>
      <c r="K44" s="178"/>
      <c r="L44" s="179"/>
      <c r="M44" s="179"/>
      <c r="N44" s="18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81"/>
      <c r="D45" s="179"/>
      <c r="E45" s="179"/>
      <c r="F45" s="180"/>
      <c r="G45" s="175"/>
      <c r="H45" s="176"/>
      <c r="I45" s="176"/>
      <c r="J45" s="177"/>
      <c r="K45" s="178"/>
      <c r="L45" s="179"/>
      <c r="M45" s="179"/>
      <c r="N45" s="18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81"/>
      <c r="D46" s="179"/>
      <c r="E46" s="179"/>
      <c r="F46" s="180"/>
      <c r="G46" s="175"/>
      <c r="H46" s="176"/>
      <c r="I46" s="176"/>
      <c r="J46" s="177"/>
      <c r="K46" s="178"/>
      <c r="L46" s="179"/>
      <c r="M46" s="179"/>
      <c r="N46" s="18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81"/>
      <c r="D47" s="179"/>
      <c r="E47" s="179"/>
      <c r="F47" s="180"/>
      <c r="G47" s="175"/>
      <c r="H47" s="176"/>
      <c r="I47" s="176"/>
      <c r="J47" s="177"/>
      <c r="K47" s="178"/>
      <c r="L47" s="179"/>
      <c r="M47" s="179"/>
      <c r="N47" s="18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16"/>
    </row>
    <row r="3" spans="1:66" ht="20.100000000000001" customHeight="1" x14ac:dyDescent="0.45">
      <c r="A3" s="10"/>
      <c r="B3" s="19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マスタ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結合試験項目</v>
      </c>
      <c r="S3" s="186"/>
      <c r="T3" s="186"/>
      <c r="U3" s="186"/>
      <c r="V3" s="186"/>
      <c r="W3" s="186"/>
      <c r="X3" s="189" t="str">
        <f ca="1">変更履歴!X3</f>
        <v>マスタ_担当者マスタ_結合試験項目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変更履歴!AK3</f>
        <v>担当者マスタ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f>変更履歴!AX3</f>
        <v>45636</v>
      </c>
      <c r="AY3" s="185"/>
      <c r="AZ3" s="185"/>
      <c r="BA3" s="185"/>
      <c r="BB3" s="186" t="str">
        <f>変更履歴!BB3</f>
        <v>榎本</v>
      </c>
      <c r="BC3" s="186"/>
      <c r="BD3" s="186"/>
      <c r="BE3" s="186"/>
      <c r="BF3" s="185">
        <f>変更履歴!BF3</f>
        <v>45636</v>
      </c>
      <c r="BG3" s="185"/>
      <c r="BH3" s="185"/>
      <c r="BI3" s="185"/>
      <c r="BJ3" s="186" t="str">
        <f>変更履歴!BJ3</f>
        <v>榎本</v>
      </c>
      <c r="BK3" s="186"/>
      <c r="BL3" s="186"/>
      <c r="BM3" s="188"/>
      <c r="BN3" s="16"/>
    </row>
    <row r="4" spans="1:66" ht="20.100000000000001" customHeight="1" thickBot="1" x14ac:dyDescent="0.5">
      <c r="A4" s="10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27"/>
      <c r="AY4" s="227"/>
      <c r="AZ4" s="227"/>
      <c r="BA4" s="227"/>
      <c r="BB4" s="187"/>
      <c r="BC4" s="187"/>
      <c r="BD4" s="187"/>
      <c r="BE4" s="187"/>
      <c r="BF4" s="227"/>
      <c r="BG4" s="227"/>
      <c r="BH4" s="227"/>
      <c r="BI4" s="227"/>
      <c r="BJ4" s="187"/>
      <c r="BK4" s="187"/>
      <c r="BL4" s="187"/>
      <c r="BM4" s="18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28" t="s">
        <v>33</v>
      </c>
      <c r="BJ7" s="238"/>
      <c r="BK7" s="228" t="s">
        <v>34</v>
      </c>
      <c r="BL7" s="22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1" t="s">
        <v>35</v>
      </c>
      <c r="AP8" s="222"/>
      <c r="AQ8" s="222"/>
      <c r="AR8" s="222"/>
      <c r="AS8" s="222"/>
      <c r="AT8" s="223"/>
      <c r="AU8" s="231" t="s">
        <v>36</v>
      </c>
      <c r="AV8" s="222"/>
      <c r="AW8" s="222"/>
      <c r="AX8" s="222"/>
      <c r="AY8" s="222"/>
      <c r="AZ8" s="223"/>
      <c r="BE8" s="235"/>
      <c r="BF8" s="236"/>
      <c r="BG8" s="229">
        <f>COUNTA(C10:C16)</f>
        <v>7</v>
      </c>
      <c r="BH8" s="232"/>
      <c r="BI8" s="229">
        <f>COUNTIF(AS10:AT16,"OK")+COUNTIF(AY10:AZ16,"OK")</f>
        <v>7</v>
      </c>
      <c r="BJ8" s="232"/>
      <c r="BK8" s="229">
        <f>BG8-BI8</f>
        <v>0</v>
      </c>
      <c r="BL8" s="230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9" t="s">
        <v>25</v>
      </c>
      <c r="AP9" s="220"/>
      <c r="AQ9" s="217" t="s">
        <v>26</v>
      </c>
      <c r="AR9" s="220"/>
      <c r="AS9" s="217" t="s">
        <v>29</v>
      </c>
      <c r="AT9" s="218"/>
      <c r="AU9" s="219" t="s">
        <v>25</v>
      </c>
      <c r="AV9" s="220"/>
      <c r="AW9" s="217" t="s">
        <v>26</v>
      </c>
      <c r="AX9" s="220"/>
      <c r="AY9" s="217" t="s">
        <v>29</v>
      </c>
      <c r="AZ9" s="218"/>
      <c r="BA9" s="221" t="s">
        <v>27</v>
      </c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02" t="s">
        <v>46</v>
      </c>
      <c r="E10" s="203"/>
      <c r="F10" s="203"/>
      <c r="G10" s="204"/>
      <c r="H10" s="202" t="s">
        <v>42</v>
      </c>
      <c r="I10" s="203"/>
      <c r="J10" s="203"/>
      <c r="K10" s="204"/>
      <c r="L10" s="213" t="s">
        <v>44</v>
      </c>
      <c r="M10" s="214"/>
      <c r="N10" s="214"/>
      <c r="O10" s="215"/>
      <c r="P10" s="207" t="s">
        <v>73</v>
      </c>
      <c r="Q10" s="205"/>
      <c r="R10" s="205"/>
      <c r="S10" s="205"/>
      <c r="T10" s="205"/>
      <c r="U10" s="205"/>
      <c r="V10" s="205"/>
      <c r="W10" s="206"/>
      <c r="X10" s="207" t="s">
        <v>74</v>
      </c>
      <c r="Y10" s="205"/>
      <c r="Z10" s="205"/>
      <c r="AA10" s="205"/>
      <c r="AB10" s="205"/>
      <c r="AC10" s="205"/>
      <c r="AD10" s="205"/>
      <c r="AE10" s="206"/>
      <c r="AF10" s="207"/>
      <c r="AG10" s="205"/>
      <c r="AH10" s="205"/>
      <c r="AI10" s="205"/>
      <c r="AJ10" s="205"/>
      <c r="AK10" s="205"/>
      <c r="AL10" s="205"/>
      <c r="AM10" s="205"/>
      <c r="AN10" s="226"/>
      <c r="AO10" s="208">
        <v>45702</v>
      </c>
      <c r="AP10" s="209"/>
      <c r="AQ10" s="178" t="s">
        <v>94</v>
      </c>
      <c r="AR10" s="180"/>
      <c r="AS10" s="178" t="s">
        <v>95</v>
      </c>
      <c r="AT10" s="201"/>
      <c r="AU10" s="208"/>
      <c r="AV10" s="209"/>
      <c r="AW10" s="178"/>
      <c r="AX10" s="180"/>
      <c r="AY10" s="178"/>
      <c r="AZ10" s="201"/>
      <c r="BA10" s="22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25"/>
      <c r="BM10" s="16"/>
      <c r="BN10" s="16"/>
    </row>
    <row r="11" spans="1:66" s="37" customFormat="1" ht="24" customHeight="1" x14ac:dyDescent="0.45">
      <c r="A11" s="38"/>
      <c r="B11" s="38"/>
      <c r="C11" s="72">
        <f t="shared" ref="C11:C26" si="0">ROW()-9</f>
        <v>2</v>
      </c>
      <c r="D11" s="51"/>
      <c r="E11" s="52"/>
      <c r="F11" s="52"/>
      <c r="G11" s="53"/>
      <c r="H11" s="51"/>
      <c r="I11" s="52"/>
      <c r="J11" s="52"/>
      <c r="K11" s="53"/>
      <c r="L11" s="154" t="s">
        <v>45</v>
      </c>
      <c r="M11" s="147"/>
      <c r="N11" s="147"/>
      <c r="O11" s="155"/>
      <c r="P11" s="207" t="s">
        <v>73</v>
      </c>
      <c r="Q11" s="205"/>
      <c r="R11" s="205"/>
      <c r="S11" s="205"/>
      <c r="T11" s="205"/>
      <c r="U11" s="205"/>
      <c r="V11" s="205"/>
      <c r="W11" s="206"/>
      <c r="X11" s="207" t="s">
        <v>74</v>
      </c>
      <c r="Y11" s="205"/>
      <c r="Z11" s="205"/>
      <c r="AA11" s="205"/>
      <c r="AB11" s="205"/>
      <c r="AC11" s="205"/>
      <c r="AD11" s="205"/>
      <c r="AE11" s="206"/>
      <c r="AF11" s="35"/>
      <c r="AG11" s="43"/>
      <c r="AH11" s="43"/>
      <c r="AI11" s="43"/>
      <c r="AJ11" s="43"/>
      <c r="AK11" s="43"/>
      <c r="AL11" s="43"/>
      <c r="AM11" s="43"/>
      <c r="AN11" s="47"/>
      <c r="AO11" s="208">
        <v>45702</v>
      </c>
      <c r="AP11" s="209"/>
      <c r="AQ11" s="178" t="s">
        <v>94</v>
      </c>
      <c r="AR11" s="180"/>
      <c r="AS11" s="178" t="s">
        <v>95</v>
      </c>
      <c r="AT11" s="201"/>
      <c r="AU11" s="48"/>
      <c r="AV11" s="49"/>
      <c r="AW11" s="40"/>
      <c r="AX11" s="41"/>
      <c r="AY11" s="40"/>
      <c r="AZ11" s="50"/>
      <c r="BA11" s="44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6"/>
      <c r="BM11" s="39"/>
      <c r="BN11" s="39"/>
    </row>
    <row r="12" spans="1:66" s="37" customFormat="1" ht="24" customHeight="1" x14ac:dyDescent="0.45">
      <c r="A12" s="38"/>
      <c r="B12" s="38"/>
      <c r="C12" s="72">
        <f t="shared" si="0"/>
        <v>3</v>
      </c>
      <c r="D12" s="51"/>
      <c r="E12" s="52"/>
      <c r="F12" s="52"/>
      <c r="G12" s="53"/>
      <c r="H12" s="51"/>
      <c r="I12" s="52"/>
      <c r="J12" s="52"/>
      <c r="K12" s="53"/>
      <c r="L12" s="154" t="s">
        <v>68</v>
      </c>
      <c r="M12" s="147"/>
      <c r="N12" s="147"/>
      <c r="O12" s="155"/>
      <c r="P12" s="207" t="s">
        <v>73</v>
      </c>
      <c r="Q12" s="205"/>
      <c r="R12" s="205"/>
      <c r="S12" s="205"/>
      <c r="T12" s="205"/>
      <c r="U12" s="205"/>
      <c r="V12" s="205"/>
      <c r="W12" s="206"/>
      <c r="X12" s="207" t="s">
        <v>74</v>
      </c>
      <c r="Y12" s="205"/>
      <c r="Z12" s="205"/>
      <c r="AA12" s="205"/>
      <c r="AB12" s="205"/>
      <c r="AC12" s="205"/>
      <c r="AD12" s="205"/>
      <c r="AE12" s="206"/>
      <c r="AF12" s="42"/>
      <c r="AG12" s="43"/>
      <c r="AH12" s="43"/>
      <c r="AI12" s="43"/>
      <c r="AJ12" s="43"/>
      <c r="AK12" s="43"/>
      <c r="AL12" s="43"/>
      <c r="AM12" s="43"/>
      <c r="AN12" s="47"/>
      <c r="AO12" s="208">
        <v>45702</v>
      </c>
      <c r="AP12" s="209"/>
      <c r="AQ12" s="178" t="s">
        <v>94</v>
      </c>
      <c r="AR12" s="180"/>
      <c r="AS12" s="178" t="s">
        <v>95</v>
      </c>
      <c r="AT12" s="201"/>
      <c r="AU12" s="48"/>
      <c r="AV12" s="49"/>
      <c r="AW12" s="40"/>
      <c r="AX12" s="41"/>
      <c r="AY12" s="40"/>
      <c r="AZ12" s="50"/>
      <c r="BA12" s="44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6"/>
      <c r="BM12" s="39"/>
      <c r="BN12" s="39"/>
    </row>
    <row r="13" spans="1:66" s="37" customFormat="1" ht="24" customHeight="1" x14ac:dyDescent="0.45">
      <c r="A13" s="38"/>
      <c r="B13" s="38"/>
      <c r="C13" s="72">
        <f t="shared" si="0"/>
        <v>4</v>
      </c>
      <c r="D13" s="51"/>
      <c r="E13" s="52"/>
      <c r="F13" s="52"/>
      <c r="G13" s="53"/>
      <c r="H13" s="51"/>
      <c r="I13" s="52"/>
      <c r="J13" s="52"/>
      <c r="K13" s="53"/>
      <c r="L13" s="154" t="s">
        <v>69</v>
      </c>
      <c r="M13" s="147"/>
      <c r="N13" s="147"/>
      <c r="O13" s="155"/>
      <c r="P13" s="207" t="s">
        <v>73</v>
      </c>
      <c r="Q13" s="205"/>
      <c r="R13" s="205"/>
      <c r="S13" s="205"/>
      <c r="T13" s="205"/>
      <c r="U13" s="205"/>
      <c r="V13" s="205"/>
      <c r="W13" s="206"/>
      <c r="X13" s="207" t="s">
        <v>74</v>
      </c>
      <c r="Y13" s="205"/>
      <c r="Z13" s="205"/>
      <c r="AA13" s="205"/>
      <c r="AB13" s="205"/>
      <c r="AC13" s="205"/>
      <c r="AD13" s="205"/>
      <c r="AE13" s="206"/>
      <c r="AF13" s="42"/>
      <c r="AG13" s="43"/>
      <c r="AH13" s="43"/>
      <c r="AI13" s="43"/>
      <c r="AJ13" s="43"/>
      <c r="AK13" s="43"/>
      <c r="AL13" s="43"/>
      <c r="AM13" s="43"/>
      <c r="AN13" s="47"/>
      <c r="AO13" s="208">
        <v>45702</v>
      </c>
      <c r="AP13" s="209"/>
      <c r="AQ13" s="178" t="s">
        <v>94</v>
      </c>
      <c r="AR13" s="180"/>
      <c r="AS13" s="178" t="s">
        <v>95</v>
      </c>
      <c r="AT13" s="201"/>
      <c r="AU13" s="48"/>
      <c r="AV13" s="49"/>
      <c r="AW13" s="40"/>
      <c r="AX13" s="41"/>
      <c r="AY13" s="40"/>
      <c r="AZ13" s="50"/>
      <c r="BA13" s="44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6"/>
      <c r="BM13" s="39"/>
      <c r="BN13" s="39"/>
    </row>
    <row r="14" spans="1:66" s="54" customFormat="1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54" t="s">
        <v>70</v>
      </c>
      <c r="M14" s="147"/>
      <c r="N14" s="147"/>
      <c r="O14" s="155"/>
      <c r="P14" s="207" t="s">
        <v>73</v>
      </c>
      <c r="Q14" s="205"/>
      <c r="R14" s="205"/>
      <c r="S14" s="205"/>
      <c r="T14" s="205"/>
      <c r="U14" s="205"/>
      <c r="V14" s="205"/>
      <c r="W14" s="206"/>
      <c r="X14" s="207" t="s">
        <v>74</v>
      </c>
      <c r="Y14" s="205"/>
      <c r="Z14" s="205"/>
      <c r="AA14" s="205"/>
      <c r="AB14" s="205"/>
      <c r="AC14" s="205"/>
      <c r="AD14" s="205"/>
      <c r="AE14" s="206"/>
      <c r="AF14" s="62"/>
      <c r="AG14" s="63"/>
      <c r="AH14" s="63"/>
      <c r="AI14" s="63"/>
      <c r="AJ14" s="63"/>
      <c r="AK14" s="63"/>
      <c r="AL14" s="63"/>
      <c r="AM14" s="63"/>
      <c r="AN14" s="68"/>
      <c r="AO14" s="208">
        <v>45702</v>
      </c>
      <c r="AP14" s="209"/>
      <c r="AQ14" s="178" t="s">
        <v>94</v>
      </c>
      <c r="AR14" s="180"/>
      <c r="AS14" s="178" t="s">
        <v>95</v>
      </c>
      <c r="AT14" s="201"/>
      <c r="AU14" s="69"/>
      <c r="AV14" s="70"/>
      <c r="AW14" s="57"/>
      <c r="AX14" s="58"/>
      <c r="AY14" s="57"/>
      <c r="AZ14" s="64"/>
      <c r="BA14" s="65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7"/>
      <c r="BM14" s="56"/>
      <c r="BN14" s="56"/>
    </row>
    <row r="15" spans="1:66" s="54" customFormat="1" ht="24" customHeight="1" x14ac:dyDescent="0.45">
      <c r="A15" s="55"/>
      <c r="B15" s="55"/>
      <c r="C15" s="72">
        <f t="shared" si="0"/>
        <v>6</v>
      </c>
      <c r="D15" s="59"/>
      <c r="E15" s="140"/>
      <c r="F15" s="140"/>
      <c r="G15" s="61"/>
      <c r="H15" s="59"/>
      <c r="I15" s="140"/>
      <c r="J15" s="140"/>
      <c r="K15" s="61"/>
      <c r="L15" s="213" t="s">
        <v>71</v>
      </c>
      <c r="M15" s="214"/>
      <c r="N15" s="214"/>
      <c r="O15" s="215"/>
      <c r="P15" s="207" t="s">
        <v>73</v>
      </c>
      <c r="Q15" s="205"/>
      <c r="R15" s="205"/>
      <c r="S15" s="205"/>
      <c r="T15" s="205"/>
      <c r="U15" s="205"/>
      <c r="V15" s="205"/>
      <c r="W15" s="206"/>
      <c r="X15" s="207" t="s">
        <v>74</v>
      </c>
      <c r="Y15" s="205"/>
      <c r="Z15" s="205"/>
      <c r="AA15" s="205"/>
      <c r="AB15" s="205"/>
      <c r="AC15" s="205"/>
      <c r="AD15" s="205"/>
      <c r="AE15" s="206"/>
      <c r="AF15" s="131"/>
      <c r="AG15" s="132"/>
      <c r="AH15" s="132"/>
      <c r="AI15" s="132"/>
      <c r="AJ15" s="132"/>
      <c r="AK15" s="132"/>
      <c r="AL15" s="132"/>
      <c r="AM15" s="132"/>
      <c r="AN15" s="136"/>
      <c r="AO15" s="208">
        <v>45702</v>
      </c>
      <c r="AP15" s="209"/>
      <c r="AQ15" s="178" t="s">
        <v>94</v>
      </c>
      <c r="AR15" s="180"/>
      <c r="AS15" s="178" t="s">
        <v>95</v>
      </c>
      <c r="AT15" s="201"/>
      <c r="AU15" s="137"/>
      <c r="AV15" s="138"/>
      <c r="AW15" s="130"/>
      <c r="AX15" s="129"/>
      <c r="AY15" s="130"/>
      <c r="AZ15" s="139"/>
      <c r="BA15" s="133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5"/>
      <c r="BM15" s="56"/>
      <c r="BN15" s="56"/>
    </row>
    <row r="16" spans="1:66" s="54" customFormat="1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95"/>
      <c r="H16" s="60"/>
      <c r="I16" s="60"/>
      <c r="J16" s="60"/>
      <c r="K16" s="95"/>
      <c r="L16" s="154" t="s">
        <v>72</v>
      </c>
      <c r="M16" s="147"/>
      <c r="N16" s="147"/>
      <c r="O16" s="155"/>
      <c r="P16" s="207" t="s">
        <v>73</v>
      </c>
      <c r="Q16" s="205"/>
      <c r="R16" s="205"/>
      <c r="S16" s="205"/>
      <c r="T16" s="205"/>
      <c r="U16" s="205"/>
      <c r="V16" s="205"/>
      <c r="W16" s="206"/>
      <c r="X16" s="207" t="s">
        <v>74</v>
      </c>
      <c r="Y16" s="205"/>
      <c r="Z16" s="205"/>
      <c r="AA16" s="205"/>
      <c r="AB16" s="205"/>
      <c r="AC16" s="205"/>
      <c r="AD16" s="205"/>
      <c r="AE16" s="206"/>
      <c r="AF16" s="76"/>
      <c r="AG16" s="75"/>
      <c r="AH16" s="75"/>
      <c r="AI16" s="75"/>
      <c r="AJ16" s="75"/>
      <c r="AK16" s="75"/>
      <c r="AL16" s="75"/>
      <c r="AM16" s="75"/>
      <c r="AN16" s="80"/>
      <c r="AO16" s="208">
        <v>45702</v>
      </c>
      <c r="AP16" s="209"/>
      <c r="AQ16" s="178" t="s">
        <v>94</v>
      </c>
      <c r="AR16" s="180"/>
      <c r="AS16" s="178" t="s">
        <v>95</v>
      </c>
      <c r="AT16" s="201"/>
      <c r="AU16" s="81"/>
      <c r="AV16" s="82"/>
      <c r="AW16" s="73"/>
      <c r="AX16" s="74"/>
      <c r="AY16" s="73"/>
      <c r="AZ16" s="83"/>
      <c r="BA16" s="77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9"/>
      <c r="BM16" s="56"/>
      <c r="BN16" s="56"/>
    </row>
    <row r="17" spans="1:66" s="54" customFormat="1" ht="24" customHeight="1" x14ac:dyDescent="0.45">
      <c r="A17" s="55"/>
      <c r="B17" s="55"/>
      <c r="C17" s="72">
        <f t="shared" si="0"/>
        <v>8</v>
      </c>
      <c r="D17" s="59"/>
      <c r="E17" s="127"/>
      <c r="F17" s="127"/>
      <c r="G17" s="61"/>
      <c r="H17" s="202" t="s">
        <v>64</v>
      </c>
      <c r="I17" s="203"/>
      <c r="J17" s="203"/>
      <c r="K17" s="216"/>
      <c r="L17" s="213" t="s">
        <v>44</v>
      </c>
      <c r="M17" s="214"/>
      <c r="N17" s="214"/>
      <c r="O17" s="215"/>
      <c r="P17" s="205" t="s">
        <v>65</v>
      </c>
      <c r="Q17" s="205"/>
      <c r="R17" s="205"/>
      <c r="S17" s="205"/>
      <c r="T17" s="205"/>
      <c r="U17" s="205"/>
      <c r="V17" s="205"/>
      <c r="W17" s="206"/>
      <c r="X17" s="207" t="s">
        <v>66</v>
      </c>
      <c r="Y17" s="205"/>
      <c r="Z17" s="205"/>
      <c r="AA17" s="205"/>
      <c r="AB17" s="205"/>
      <c r="AC17" s="205"/>
      <c r="AD17" s="205"/>
      <c r="AE17" s="206"/>
      <c r="AF17" s="120"/>
      <c r="AG17" s="117"/>
      <c r="AH17" s="117"/>
      <c r="AI17" s="117"/>
      <c r="AJ17" s="117"/>
      <c r="AK17" s="117"/>
      <c r="AL17" s="117"/>
      <c r="AM17" s="117"/>
      <c r="AN17" s="122"/>
      <c r="AO17" s="208">
        <v>45702</v>
      </c>
      <c r="AP17" s="209"/>
      <c r="AQ17" s="178" t="s">
        <v>94</v>
      </c>
      <c r="AR17" s="180"/>
      <c r="AS17" s="178" t="s">
        <v>95</v>
      </c>
      <c r="AT17" s="201"/>
      <c r="AU17" s="123"/>
      <c r="AV17" s="124"/>
      <c r="AW17" s="114"/>
      <c r="AX17" s="115"/>
      <c r="AY17" s="114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56"/>
      <c r="BN17" s="56"/>
    </row>
    <row r="18" spans="1:66" s="54" customFormat="1" ht="24" customHeight="1" x14ac:dyDescent="0.45">
      <c r="A18" s="55"/>
      <c r="B18" s="55"/>
      <c r="C18" s="72">
        <f t="shared" si="0"/>
        <v>9</v>
      </c>
      <c r="D18" s="59"/>
      <c r="E18" s="127"/>
      <c r="F18" s="127"/>
      <c r="G18" s="61"/>
      <c r="H18" s="59"/>
      <c r="I18" s="127"/>
      <c r="J18" s="127"/>
      <c r="K18" s="128"/>
      <c r="L18" s="154" t="s">
        <v>45</v>
      </c>
      <c r="M18" s="147"/>
      <c r="N18" s="147"/>
      <c r="O18" s="155"/>
      <c r="P18" s="205" t="s">
        <v>65</v>
      </c>
      <c r="Q18" s="205"/>
      <c r="R18" s="205"/>
      <c r="S18" s="205"/>
      <c r="T18" s="205"/>
      <c r="U18" s="205"/>
      <c r="V18" s="205"/>
      <c r="W18" s="206"/>
      <c r="X18" s="207" t="s">
        <v>66</v>
      </c>
      <c r="Y18" s="205"/>
      <c r="Z18" s="205"/>
      <c r="AA18" s="205"/>
      <c r="AB18" s="205"/>
      <c r="AC18" s="205"/>
      <c r="AD18" s="205"/>
      <c r="AE18" s="206"/>
      <c r="AF18" s="120"/>
      <c r="AG18" s="117"/>
      <c r="AH18" s="117"/>
      <c r="AI18" s="117"/>
      <c r="AJ18" s="117"/>
      <c r="AK18" s="117"/>
      <c r="AL18" s="117"/>
      <c r="AM18" s="117"/>
      <c r="AN18" s="122"/>
      <c r="AO18" s="208">
        <v>45702</v>
      </c>
      <c r="AP18" s="209"/>
      <c r="AQ18" s="178" t="s">
        <v>94</v>
      </c>
      <c r="AR18" s="180"/>
      <c r="AS18" s="178" t="s">
        <v>95</v>
      </c>
      <c r="AT18" s="201"/>
      <c r="AU18" s="123"/>
      <c r="AV18" s="124"/>
      <c r="AW18" s="114"/>
      <c r="AX18" s="115"/>
      <c r="AY18" s="114"/>
      <c r="AZ18" s="118"/>
      <c r="BA18" s="119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1"/>
      <c r="BM18" s="56"/>
      <c r="BN18" s="56"/>
    </row>
    <row r="19" spans="1:66" s="54" customFormat="1" ht="24" customHeight="1" x14ac:dyDescent="0.45">
      <c r="A19" s="55"/>
      <c r="B19" s="55"/>
      <c r="C19" s="72">
        <f t="shared" si="0"/>
        <v>10</v>
      </c>
      <c r="D19" s="59"/>
      <c r="E19" s="156"/>
      <c r="F19" s="156"/>
      <c r="G19" s="61"/>
      <c r="H19" s="59"/>
      <c r="I19" s="156"/>
      <c r="J19" s="156"/>
      <c r="K19" s="157"/>
      <c r="L19" s="154" t="s">
        <v>68</v>
      </c>
      <c r="M19" s="147"/>
      <c r="N19" s="147"/>
      <c r="O19" s="155"/>
      <c r="P19" s="205" t="s">
        <v>65</v>
      </c>
      <c r="Q19" s="205"/>
      <c r="R19" s="205"/>
      <c r="S19" s="205"/>
      <c r="T19" s="205"/>
      <c r="U19" s="205"/>
      <c r="V19" s="205"/>
      <c r="W19" s="206"/>
      <c r="X19" s="207" t="s">
        <v>66</v>
      </c>
      <c r="Y19" s="205"/>
      <c r="Z19" s="205"/>
      <c r="AA19" s="205"/>
      <c r="AB19" s="205"/>
      <c r="AC19" s="205"/>
      <c r="AD19" s="205"/>
      <c r="AE19" s="206"/>
      <c r="AF19" s="147"/>
      <c r="AG19" s="143"/>
      <c r="AH19" s="143"/>
      <c r="AI19" s="143"/>
      <c r="AJ19" s="143"/>
      <c r="AK19" s="143"/>
      <c r="AL19" s="143"/>
      <c r="AM19" s="143"/>
      <c r="AN19" s="144"/>
      <c r="AO19" s="208">
        <v>45702</v>
      </c>
      <c r="AP19" s="209"/>
      <c r="AQ19" s="178" t="s">
        <v>94</v>
      </c>
      <c r="AR19" s="180"/>
      <c r="AS19" s="178" t="s">
        <v>95</v>
      </c>
      <c r="AT19" s="201"/>
      <c r="AU19" s="149"/>
      <c r="AV19" s="150"/>
      <c r="AW19" s="141"/>
      <c r="AX19" s="142"/>
      <c r="AY19" s="141"/>
      <c r="AZ19" s="151"/>
      <c r="BA19" s="146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8"/>
      <c r="BM19" s="56"/>
      <c r="BN19" s="56"/>
    </row>
    <row r="20" spans="1:66" s="54" customFormat="1" ht="24" customHeight="1" x14ac:dyDescent="0.45">
      <c r="A20" s="55"/>
      <c r="B20" s="55"/>
      <c r="C20" s="72">
        <f t="shared" si="0"/>
        <v>11</v>
      </c>
      <c r="D20" s="59"/>
      <c r="E20" s="156"/>
      <c r="F20" s="156"/>
      <c r="G20" s="61"/>
      <c r="H20" s="59"/>
      <c r="I20" s="156"/>
      <c r="J20" s="156"/>
      <c r="K20" s="157"/>
      <c r="L20" s="154" t="s">
        <v>69</v>
      </c>
      <c r="M20" s="147"/>
      <c r="N20" s="147"/>
      <c r="O20" s="155"/>
      <c r="P20" s="205" t="s">
        <v>65</v>
      </c>
      <c r="Q20" s="205"/>
      <c r="R20" s="205"/>
      <c r="S20" s="205"/>
      <c r="T20" s="205"/>
      <c r="U20" s="205"/>
      <c r="V20" s="205"/>
      <c r="W20" s="206"/>
      <c r="X20" s="207" t="s">
        <v>66</v>
      </c>
      <c r="Y20" s="205"/>
      <c r="Z20" s="205"/>
      <c r="AA20" s="205"/>
      <c r="AB20" s="205"/>
      <c r="AC20" s="205"/>
      <c r="AD20" s="205"/>
      <c r="AE20" s="206"/>
      <c r="AF20" s="147"/>
      <c r="AG20" s="143"/>
      <c r="AH20" s="143"/>
      <c r="AI20" s="143"/>
      <c r="AJ20" s="143"/>
      <c r="AK20" s="143"/>
      <c r="AL20" s="143"/>
      <c r="AM20" s="143"/>
      <c r="AN20" s="144"/>
      <c r="AO20" s="208">
        <v>45702</v>
      </c>
      <c r="AP20" s="209"/>
      <c r="AQ20" s="178" t="s">
        <v>94</v>
      </c>
      <c r="AR20" s="180"/>
      <c r="AS20" s="178" t="s">
        <v>95</v>
      </c>
      <c r="AT20" s="201"/>
      <c r="AU20" s="149"/>
      <c r="AV20" s="150"/>
      <c r="AW20" s="141"/>
      <c r="AX20" s="142"/>
      <c r="AY20" s="141"/>
      <c r="AZ20" s="151"/>
      <c r="BA20" s="146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8"/>
      <c r="BM20" s="56"/>
      <c r="BN20" s="56"/>
    </row>
    <row r="21" spans="1:66" s="54" customFormat="1" ht="24" customHeight="1" x14ac:dyDescent="0.45">
      <c r="A21" s="55"/>
      <c r="B21" s="55"/>
      <c r="C21" s="72">
        <f t="shared" si="0"/>
        <v>12</v>
      </c>
      <c r="D21" s="59"/>
      <c r="E21" s="156"/>
      <c r="F21" s="156"/>
      <c r="G21" s="61"/>
      <c r="H21" s="59"/>
      <c r="I21" s="156"/>
      <c r="J21" s="156"/>
      <c r="K21" s="157"/>
      <c r="L21" s="154" t="s">
        <v>70</v>
      </c>
      <c r="M21" s="147"/>
      <c r="N21" s="147"/>
      <c r="O21" s="155"/>
      <c r="P21" s="205" t="s">
        <v>65</v>
      </c>
      <c r="Q21" s="205"/>
      <c r="R21" s="205"/>
      <c r="S21" s="205"/>
      <c r="T21" s="205"/>
      <c r="U21" s="205"/>
      <c r="V21" s="205"/>
      <c r="W21" s="206"/>
      <c r="X21" s="207" t="s">
        <v>66</v>
      </c>
      <c r="Y21" s="205"/>
      <c r="Z21" s="205"/>
      <c r="AA21" s="205"/>
      <c r="AB21" s="205"/>
      <c r="AC21" s="205"/>
      <c r="AD21" s="205"/>
      <c r="AE21" s="206"/>
      <c r="AF21" s="147"/>
      <c r="AG21" s="143"/>
      <c r="AH21" s="143"/>
      <c r="AI21" s="143"/>
      <c r="AJ21" s="143"/>
      <c r="AK21" s="143"/>
      <c r="AL21" s="143"/>
      <c r="AM21" s="143"/>
      <c r="AN21" s="144"/>
      <c r="AO21" s="208">
        <v>45702</v>
      </c>
      <c r="AP21" s="209"/>
      <c r="AQ21" s="178" t="s">
        <v>94</v>
      </c>
      <c r="AR21" s="180"/>
      <c r="AS21" s="178" t="s">
        <v>95</v>
      </c>
      <c r="AT21" s="201"/>
      <c r="AU21" s="149"/>
      <c r="AV21" s="150"/>
      <c r="AW21" s="141"/>
      <c r="AX21" s="142"/>
      <c r="AY21" s="141"/>
      <c r="AZ21" s="151"/>
      <c r="BA21" s="146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8"/>
      <c r="BM21" s="56"/>
      <c r="BN21" s="56"/>
    </row>
    <row r="22" spans="1:66" s="54" customFormat="1" ht="24" customHeight="1" x14ac:dyDescent="0.45">
      <c r="A22" s="55"/>
      <c r="B22" s="55"/>
      <c r="C22" s="72">
        <f t="shared" si="0"/>
        <v>13</v>
      </c>
      <c r="D22" s="59"/>
      <c r="E22" s="156"/>
      <c r="F22" s="156"/>
      <c r="G22" s="61"/>
      <c r="H22" s="59"/>
      <c r="I22" s="156"/>
      <c r="J22" s="156"/>
      <c r="K22" s="157"/>
      <c r="L22" s="213" t="s">
        <v>71</v>
      </c>
      <c r="M22" s="214"/>
      <c r="N22" s="214"/>
      <c r="O22" s="215"/>
      <c r="P22" s="205" t="s">
        <v>65</v>
      </c>
      <c r="Q22" s="205"/>
      <c r="R22" s="205"/>
      <c r="S22" s="205"/>
      <c r="T22" s="205"/>
      <c r="U22" s="205"/>
      <c r="V22" s="205"/>
      <c r="W22" s="206"/>
      <c r="X22" s="207" t="s">
        <v>66</v>
      </c>
      <c r="Y22" s="205"/>
      <c r="Z22" s="205"/>
      <c r="AA22" s="205"/>
      <c r="AB22" s="205"/>
      <c r="AC22" s="205"/>
      <c r="AD22" s="205"/>
      <c r="AE22" s="206"/>
      <c r="AF22" s="147"/>
      <c r="AG22" s="143"/>
      <c r="AH22" s="143"/>
      <c r="AI22" s="143"/>
      <c r="AJ22" s="143"/>
      <c r="AK22" s="143"/>
      <c r="AL22" s="143"/>
      <c r="AM22" s="143"/>
      <c r="AN22" s="144"/>
      <c r="AO22" s="208">
        <v>45702</v>
      </c>
      <c r="AP22" s="209"/>
      <c r="AQ22" s="178" t="s">
        <v>94</v>
      </c>
      <c r="AR22" s="180"/>
      <c r="AS22" s="178" t="s">
        <v>95</v>
      </c>
      <c r="AT22" s="201"/>
      <c r="AU22" s="149"/>
      <c r="AV22" s="150"/>
      <c r="AW22" s="141"/>
      <c r="AX22" s="142"/>
      <c r="AY22" s="141"/>
      <c r="AZ22" s="151"/>
      <c r="BA22" s="146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8"/>
      <c r="BM22" s="56"/>
      <c r="BN22" s="56"/>
    </row>
    <row r="23" spans="1:66" s="54" customFormat="1" ht="24" customHeight="1" x14ac:dyDescent="0.45">
      <c r="A23" s="55"/>
      <c r="B23" s="55"/>
      <c r="C23" s="72">
        <f t="shared" si="0"/>
        <v>14</v>
      </c>
      <c r="D23" s="59"/>
      <c r="E23" s="156"/>
      <c r="F23" s="156"/>
      <c r="G23" s="61"/>
      <c r="H23" s="59"/>
      <c r="I23" s="156"/>
      <c r="J23" s="156"/>
      <c r="K23" s="157"/>
      <c r="L23" s="154" t="s">
        <v>72</v>
      </c>
      <c r="M23" s="147"/>
      <c r="N23" s="147"/>
      <c r="O23" s="155"/>
      <c r="P23" s="205" t="s">
        <v>65</v>
      </c>
      <c r="Q23" s="205"/>
      <c r="R23" s="205"/>
      <c r="S23" s="205"/>
      <c r="T23" s="205"/>
      <c r="U23" s="205"/>
      <c r="V23" s="205"/>
      <c r="W23" s="206"/>
      <c r="X23" s="207" t="s">
        <v>66</v>
      </c>
      <c r="Y23" s="205"/>
      <c r="Z23" s="205"/>
      <c r="AA23" s="205"/>
      <c r="AB23" s="205"/>
      <c r="AC23" s="205"/>
      <c r="AD23" s="205"/>
      <c r="AE23" s="206"/>
      <c r="AF23" s="147"/>
      <c r="AG23" s="143"/>
      <c r="AH23" s="143"/>
      <c r="AI23" s="143"/>
      <c r="AJ23" s="143"/>
      <c r="AK23" s="143"/>
      <c r="AL23" s="143"/>
      <c r="AM23" s="143"/>
      <c r="AN23" s="144"/>
      <c r="AO23" s="208">
        <v>45702</v>
      </c>
      <c r="AP23" s="209"/>
      <c r="AQ23" s="178" t="s">
        <v>94</v>
      </c>
      <c r="AR23" s="180"/>
      <c r="AS23" s="178" t="s">
        <v>95</v>
      </c>
      <c r="AT23" s="201"/>
      <c r="AU23" s="149"/>
      <c r="AV23" s="150"/>
      <c r="AW23" s="141"/>
      <c r="AX23" s="142"/>
      <c r="AY23" s="141"/>
      <c r="AZ23" s="151"/>
      <c r="BA23" s="146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8"/>
      <c r="BM23" s="56"/>
      <c r="BN23" s="56"/>
    </row>
    <row r="24" spans="1:66" s="54" customFormat="1" ht="24" customHeight="1" x14ac:dyDescent="0.45">
      <c r="A24" s="55"/>
      <c r="B24" s="8"/>
      <c r="C24" s="170">
        <f t="shared" si="0"/>
        <v>15</v>
      </c>
      <c r="D24" s="59"/>
      <c r="E24" s="156"/>
      <c r="F24" s="156"/>
      <c r="G24" s="61"/>
      <c r="H24" s="202" t="s">
        <v>96</v>
      </c>
      <c r="I24" s="203"/>
      <c r="J24" s="203"/>
      <c r="K24" s="204"/>
      <c r="L24" s="169" t="s">
        <v>57</v>
      </c>
      <c r="M24" s="160"/>
      <c r="N24" s="160"/>
      <c r="O24" s="161"/>
      <c r="P24" s="205" t="s">
        <v>97</v>
      </c>
      <c r="Q24" s="205"/>
      <c r="R24" s="205"/>
      <c r="S24" s="205"/>
      <c r="T24" s="205"/>
      <c r="U24" s="205"/>
      <c r="V24" s="205"/>
      <c r="W24" s="206"/>
      <c r="X24" s="210" t="s">
        <v>106</v>
      </c>
      <c r="Y24" s="211"/>
      <c r="Z24" s="211"/>
      <c r="AA24" s="211"/>
      <c r="AB24" s="211"/>
      <c r="AC24" s="211"/>
      <c r="AD24" s="211"/>
      <c r="AE24" s="212"/>
      <c r="AF24" s="160"/>
      <c r="AG24" s="162"/>
      <c r="AH24" s="162"/>
      <c r="AI24" s="162"/>
      <c r="AJ24" s="162"/>
      <c r="AK24" s="162"/>
      <c r="AL24" s="162"/>
      <c r="AM24" s="162"/>
      <c r="AN24" s="165"/>
      <c r="AO24" s="208">
        <v>45715</v>
      </c>
      <c r="AP24" s="209"/>
      <c r="AQ24" s="178" t="s">
        <v>107</v>
      </c>
      <c r="AR24" s="180"/>
      <c r="AS24" s="178" t="s">
        <v>93</v>
      </c>
      <c r="AT24" s="201"/>
      <c r="AU24" s="166"/>
      <c r="AV24" s="167"/>
      <c r="AW24" s="158"/>
      <c r="AX24" s="159"/>
      <c r="AY24" s="158"/>
      <c r="AZ24" s="168"/>
      <c r="BA24" s="163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4"/>
      <c r="BM24" s="8"/>
      <c r="BN24" s="56"/>
    </row>
    <row r="25" spans="1:66" s="54" customFormat="1" ht="24" customHeight="1" x14ac:dyDescent="0.45">
      <c r="A25" s="55"/>
      <c r="B25" s="8"/>
      <c r="C25" s="170">
        <f t="shared" si="0"/>
        <v>16</v>
      </c>
      <c r="D25" s="59"/>
      <c r="E25" s="156"/>
      <c r="F25" s="156"/>
      <c r="G25" s="61"/>
      <c r="H25" s="202" t="s">
        <v>98</v>
      </c>
      <c r="I25" s="203"/>
      <c r="J25" s="203"/>
      <c r="K25" s="204"/>
      <c r="L25" s="171" t="s">
        <v>99</v>
      </c>
      <c r="M25" s="172"/>
      <c r="N25" s="172"/>
      <c r="O25" s="173"/>
      <c r="P25" s="205" t="s">
        <v>100</v>
      </c>
      <c r="Q25" s="205"/>
      <c r="R25" s="205"/>
      <c r="S25" s="205"/>
      <c r="T25" s="205"/>
      <c r="U25" s="205"/>
      <c r="V25" s="205"/>
      <c r="W25" s="206"/>
      <c r="X25" s="207" t="s">
        <v>101</v>
      </c>
      <c r="Y25" s="205"/>
      <c r="Z25" s="205"/>
      <c r="AA25" s="205"/>
      <c r="AB25" s="205"/>
      <c r="AC25" s="205"/>
      <c r="AD25" s="205"/>
      <c r="AE25" s="206"/>
      <c r="AF25" s="160"/>
      <c r="AG25" s="162"/>
      <c r="AH25" s="162"/>
      <c r="AI25" s="162"/>
      <c r="AJ25" s="162"/>
      <c r="AK25" s="162"/>
      <c r="AL25" s="162"/>
      <c r="AM25" s="162"/>
      <c r="AN25" s="165"/>
      <c r="AO25" s="208">
        <v>45715</v>
      </c>
      <c r="AP25" s="209"/>
      <c r="AQ25" s="178" t="s">
        <v>107</v>
      </c>
      <c r="AR25" s="180"/>
      <c r="AS25" s="178" t="s">
        <v>93</v>
      </c>
      <c r="AT25" s="201"/>
      <c r="AU25" s="166"/>
      <c r="AV25" s="167"/>
      <c r="AW25" s="158"/>
      <c r="AX25" s="159"/>
      <c r="AY25" s="158"/>
      <c r="AZ25" s="168"/>
      <c r="BA25" s="163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4"/>
      <c r="BM25" s="8"/>
      <c r="BN25" s="56"/>
    </row>
    <row r="26" spans="1:66" s="54" customFormat="1" ht="24" customHeight="1" thickBot="1" x14ac:dyDescent="0.5">
      <c r="A26" s="55"/>
      <c r="B26" s="8"/>
      <c r="C26" s="174">
        <f t="shared" si="0"/>
        <v>17</v>
      </c>
      <c r="D26" s="59"/>
      <c r="E26" s="156"/>
      <c r="F26" s="156"/>
      <c r="G26" s="61"/>
      <c r="H26" s="202" t="s">
        <v>102</v>
      </c>
      <c r="I26" s="203"/>
      <c r="J26" s="203"/>
      <c r="K26" s="204"/>
      <c r="L26" s="171" t="s">
        <v>103</v>
      </c>
      <c r="M26" s="172"/>
      <c r="N26" s="172"/>
      <c r="O26" s="173"/>
      <c r="P26" s="205" t="s">
        <v>104</v>
      </c>
      <c r="Q26" s="205"/>
      <c r="R26" s="205"/>
      <c r="S26" s="205"/>
      <c r="T26" s="205"/>
      <c r="U26" s="205"/>
      <c r="V26" s="205"/>
      <c r="W26" s="206"/>
      <c r="X26" s="207" t="s">
        <v>105</v>
      </c>
      <c r="Y26" s="205"/>
      <c r="Z26" s="205"/>
      <c r="AA26" s="205"/>
      <c r="AB26" s="205"/>
      <c r="AC26" s="205"/>
      <c r="AD26" s="205"/>
      <c r="AE26" s="206"/>
      <c r="AF26" s="160"/>
      <c r="AG26" s="162"/>
      <c r="AH26" s="162"/>
      <c r="AI26" s="162"/>
      <c r="AJ26" s="162"/>
      <c r="AK26" s="162"/>
      <c r="AL26" s="162"/>
      <c r="AM26" s="162"/>
      <c r="AN26" s="165"/>
      <c r="AO26" s="208">
        <v>45702</v>
      </c>
      <c r="AP26" s="209"/>
      <c r="AQ26" s="178" t="s">
        <v>94</v>
      </c>
      <c r="AR26" s="180"/>
      <c r="AS26" s="178" t="s">
        <v>95</v>
      </c>
      <c r="AT26" s="201"/>
      <c r="AU26" s="166"/>
      <c r="AV26" s="167"/>
      <c r="AW26" s="158"/>
      <c r="AX26" s="159"/>
      <c r="AY26" s="158"/>
      <c r="AZ26" s="168"/>
      <c r="BA26" s="163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4"/>
      <c r="BM26" s="8"/>
      <c r="BN26" s="56"/>
    </row>
    <row r="27" spans="1:66" ht="20.100000000000001" customHeight="1" thickTop="1" thickBot="1" x14ac:dyDescent="0.5">
      <c r="A27" s="10"/>
      <c r="B27" s="8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36"/>
      <c r="Q27" s="36"/>
      <c r="R27" s="36"/>
      <c r="S27" s="36"/>
      <c r="T27" s="36"/>
      <c r="U27" s="71"/>
      <c r="V27" s="71"/>
      <c r="W27" s="71"/>
      <c r="X27" s="36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8"/>
      <c r="BN27" s="16"/>
    </row>
    <row r="28" spans="1:66" ht="5.0999999999999996" customHeight="1" thickTop="1" x14ac:dyDescent="0.4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</row>
    <row r="29" spans="1:66" ht="20.100000000000001" customHeight="1" x14ac:dyDescent="0.45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</sheetData>
  <mergeCells count="136">
    <mergeCell ref="D10:G10"/>
    <mergeCell ref="L10:O10"/>
    <mergeCell ref="H10:K10"/>
    <mergeCell ref="P10:W10"/>
    <mergeCell ref="R3:W4"/>
    <mergeCell ref="AO24:AP24"/>
    <mergeCell ref="AQ24:AR24"/>
    <mergeCell ref="AS24:AT24"/>
    <mergeCell ref="AO25:AP25"/>
    <mergeCell ref="AQ25:AR25"/>
    <mergeCell ref="AS25:AT25"/>
    <mergeCell ref="B2:G2"/>
    <mergeCell ref="H2:K2"/>
    <mergeCell ref="L2:Q2"/>
    <mergeCell ref="R2:W2"/>
    <mergeCell ref="X2:AJ2"/>
    <mergeCell ref="X3:AJ4"/>
    <mergeCell ref="B3:G4"/>
    <mergeCell ref="H3:K4"/>
    <mergeCell ref="L3:Q4"/>
    <mergeCell ref="BK7:BL7"/>
    <mergeCell ref="BK8:BL8"/>
    <mergeCell ref="AO8:AT8"/>
    <mergeCell ref="AU8:AZ8"/>
    <mergeCell ref="BG8:BH8"/>
    <mergeCell ref="BI8:BJ8"/>
    <mergeCell ref="BE7:BF8"/>
    <mergeCell ref="BG7:BH7"/>
    <mergeCell ref="BI7:BJ7"/>
    <mergeCell ref="AK2:AW2"/>
    <mergeCell ref="AK3:AW4"/>
    <mergeCell ref="BB3:BE4"/>
    <mergeCell ref="BF3:BI4"/>
    <mergeCell ref="BJ3:BM4"/>
    <mergeCell ref="AX2:BA2"/>
    <mergeCell ref="BB2:BE2"/>
    <mergeCell ref="BF2:BI2"/>
    <mergeCell ref="BJ2:BM2"/>
    <mergeCell ref="AX3:BA4"/>
    <mergeCell ref="X11:AE11"/>
    <mergeCell ref="P11:W11"/>
    <mergeCell ref="AO9:AP9"/>
    <mergeCell ref="X16:AE16"/>
    <mergeCell ref="AQ9:AR9"/>
    <mergeCell ref="X10:AE10"/>
    <mergeCell ref="X15:AE15"/>
    <mergeCell ref="X12:AE12"/>
    <mergeCell ref="X13:AE13"/>
    <mergeCell ref="X14:AE14"/>
    <mergeCell ref="P12:W12"/>
    <mergeCell ref="P13:W13"/>
    <mergeCell ref="P14:W14"/>
    <mergeCell ref="AO11:AP11"/>
    <mergeCell ref="AQ11:AR11"/>
    <mergeCell ref="AO14:AP14"/>
    <mergeCell ref="AS9:AT9"/>
    <mergeCell ref="AU9:AV9"/>
    <mergeCell ref="AW9:AX9"/>
    <mergeCell ref="AY9:AZ9"/>
    <mergeCell ref="BA9:BL9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17:AE17"/>
    <mergeCell ref="P18:W18"/>
    <mergeCell ref="X18:AE18"/>
    <mergeCell ref="P23:W23"/>
    <mergeCell ref="X22:AE22"/>
    <mergeCell ref="X23:AE23"/>
    <mergeCell ref="X19:AE19"/>
    <mergeCell ref="X20:AE20"/>
    <mergeCell ref="X21:AE21"/>
    <mergeCell ref="L15:O15"/>
    <mergeCell ref="L22:O22"/>
    <mergeCell ref="P19:W19"/>
    <mergeCell ref="P20:W20"/>
    <mergeCell ref="P21:W21"/>
    <mergeCell ref="P22:W22"/>
    <mergeCell ref="P16:W16"/>
    <mergeCell ref="P15:W15"/>
    <mergeCell ref="H17:K17"/>
    <mergeCell ref="L17:O17"/>
    <mergeCell ref="P17:W17"/>
    <mergeCell ref="AQ14:AR14"/>
    <mergeCell ref="AS14:AT14"/>
    <mergeCell ref="AO15:AP15"/>
    <mergeCell ref="AQ15:AR15"/>
    <mergeCell ref="AS15:AT15"/>
    <mergeCell ref="AS11:AT11"/>
    <mergeCell ref="AO12:AP12"/>
    <mergeCell ref="AQ12:AR12"/>
    <mergeCell ref="AS12:AT12"/>
    <mergeCell ref="AO13:AP13"/>
    <mergeCell ref="AQ13:AR13"/>
    <mergeCell ref="AS13:AT13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AO22:AP22"/>
    <mergeCell ref="AQ22:AR22"/>
    <mergeCell ref="AS22:AT22"/>
    <mergeCell ref="AO23:AP23"/>
    <mergeCell ref="AQ23:AR23"/>
    <mergeCell ref="AS23:AT23"/>
    <mergeCell ref="AO20:AP20"/>
    <mergeCell ref="AQ20:AR20"/>
    <mergeCell ref="AS20:AT20"/>
    <mergeCell ref="AO21:AP21"/>
    <mergeCell ref="AQ21:AR21"/>
    <mergeCell ref="AS21:AT21"/>
    <mergeCell ref="AS26:AT26"/>
    <mergeCell ref="H26:K26"/>
    <mergeCell ref="P26:W26"/>
    <mergeCell ref="X26:AE26"/>
    <mergeCell ref="AO26:AP26"/>
    <mergeCell ref="AQ26:AR26"/>
    <mergeCell ref="H24:K24"/>
    <mergeCell ref="P24:W24"/>
    <mergeCell ref="X24:AE24"/>
    <mergeCell ref="H25:K25"/>
    <mergeCell ref="P25:W25"/>
    <mergeCell ref="X25:AE25"/>
  </mergeCells>
  <phoneticPr fontId="2"/>
  <conditionalFormatting sqref="AS10 AY10:AY14 AY16">
    <cfRule type="cellIs" dxfId="89" priority="45" operator="equal">
      <formula>"OK"</formula>
    </cfRule>
    <cfRule type="cellIs" dxfId="88" priority="46" operator="equal">
      <formula>"NG"</formula>
    </cfRule>
  </conditionalFormatting>
  <conditionalFormatting sqref="AY17:AY23">
    <cfRule type="cellIs" dxfId="87" priority="39" operator="equal">
      <formula>"OK"</formula>
    </cfRule>
    <cfRule type="cellIs" dxfId="86" priority="40" operator="equal">
      <formula>"NG"</formula>
    </cfRule>
  </conditionalFormatting>
  <conditionalFormatting sqref="AY15">
    <cfRule type="cellIs" dxfId="85" priority="35" operator="equal">
      <formula>"OK"</formula>
    </cfRule>
    <cfRule type="cellIs" dxfId="84" priority="36" operator="equal">
      <formula>"NG"</formula>
    </cfRule>
  </conditionalFormatting>
  <conditionalFormatting sqref="AS11">
    <cfRule type="cellIs" dxfId="83" priority="33" operator="equal">
      <formula>"OK"</formula>
    </cfRule>
    <cfRule type="cellIs" dxfId="82" priority="34" operator="equal">
      <formula>"NG"</formula>
    </cfRule>
  </conditionalFormatting>
  <conditionalFormatting sqref="AS12">
    <cfRule type="cellIs" dxfId="81" priority="31" operator="equal">
      <formula>"OK"</formula>
    </cfRule>
    <cfRule type="cellIs" dxfId="80" priority="32" operator="equal">
      <formula>"NG"</formula>
    </cfRule>
  </conditionalFormatting>
  <conditionalFormatting sqref="AS13">
    <cfRule type="cellIs" dxfId="79" priority="29" operator="equal">
      <formula>"OK"</formula>
    </cfRule>
    <cfRule type="cellIs" dxfId="78" priority="30" operator="equal">
      <formula>"NG"</formula>
    </cfRule>
  </conditionalFormatting>
  <conditionalFormatting sqref="AS14">
    <cfRule type="cellIs" dxfId="77" priority="27" operator="equal">
      <formula>"OK"</formula>
    </cfRule>
    <cfRule type="cellIs" dxfId="76" priority="28" operator="equal">
      <formula>"NG"</formula>
    </cfRule>
  </conditionalFormatting>
  <conditionalFormatting sqref="AS15">
    <cfRule type="cellIs" dxfId="75" priority="25" operator="equal">
      <formula>"OK"</formula>
    </cfRule>
    <cfRule type="cellIs" dxfId="74" priority="26" operator="equal">
      <formula>"NG"</formula>
    </cfRule>
  </conditionalFormatting>
  <conditionalFormatting sqref="AS16">
    <cfRule type="cellIs" dxfId="73" priority="23" operator="equal">
      <formula>"OK"</formula>
    </cfRule>
    <cfRule type="cellIs" dxfId="72" priority="24" operator="equal">
      <formula>"NG"</formula>
    </cfRule>
  </conditionalFormatting>
  <conditionalFormatting sqref="AS17">
    <cfRule type="cellIs" dxfId="71" priority="21" operator="equal">
      <formula>"OK"</formula>
    </cfRule>
    <cfRule type="cellIs" dxfId="70" priority="22" operator="equal">
      <formula>"NG"</formula>
    </cfRule>
  </conditionalFormatting>
  <conditionalFormatting sqref="AS18">
    <cfRule type="cellIs" dxfId="69" priority="19" operator="equal">
      <formula>"OK"</formula>
    </cfRule>
    <cfRule type="cellIs" dxfId="68" priority="20" operator="equal">
      <formula>"NG"</formula>
    </cfRule>
  </conditionalFormatting>
  <conditionalFormatting sqref="AS19">
    <cfRule type="cellIs" dxfId="67" priority="17" operator="equal">
      <formula>"OK"</formula>
    </cfRule>
    <cfRule type="cellIs" dxfId="66" priority="18" operator="equal">
      <formula>"NG"</formula>
    </cfRule>
  </conditionalFormatting>
  <conditionalFormatting sqref="AS20">
    <cfRule type="cellIs" dxfId="65" priority="15" operator="equal">
      <formula>"OK"</formula>
    </cfRule>
    <cfRule type="cellIs" dxfId="64" priority="16" operator="equal">
      <formula>"NG"</formula>
    </cfRule>
  </conditionalFormatting>
  <conditionalFormatting sqref="AS21">
    <cfRule type="cellIs" dxfId="63" priority="13" operator="equal">
      <formula>"OK"</formula>
    </cfRule>
    <cfRule type="cellIs" dxfId="62" priority="14" operator="equal">
      <formula>"NG"</formula>
    </cfRule>
  </conditionalFormatting>
  <conditionalFormatting sqref="AS22">
    <cfRule type="cellIs" dxfId="61" priority="11" operator="equal">
      <formula>"OK"</formula>
    </cfRule>
    <cfRule type="cellIs" dxfId="60" priority="12" operator="equal">
      <formula>"NG"</formula>
    </cfRule>
  </conditionalFormatting>
  <conditionalFormatting sqref="AS23">
    <cfRule type="cellIs" dxfId="59" priority="9" operator="equal">
      <formula>"OK"</formula>
    </cfRule>
    <cfRule type="cellIs" dxfId="58" priority="10" operator="equal">
      <formula>"NG"</formula>
    </cfRule>
  </conditionalFormatting>
  <conditionalFormatting sqref="AY24:AY26">
    <cfRule type="cellIs" dxfId="57" priority="7" operator="equal">
      <formula>"OK"</formula>
    </cfRule>
    <cfRule type="cellIs" dxfId="56" priority="8" operator="equal">
      <formula>"NG"</formula>
    </cfRule>
  </conditionalFormatting>
  <conditionalFormatting sqref="AS26">
    <cfRule type="cellIs" dxfId="55" priority="5" operator="equal">
      <formula>"OK"</formula>
    </cfRule>
    <cfRule type="cellIs" dxfId="54" priority="6" operator="equal">
      <formula>"NG"</formula>
    </cfRule>
  </conditionalFormatting>
  <conditionalFormatting sqref="AS24">
    <cfRule type="cellIs" dxfId="9" priority="3" operator="equal">
      <formula>"OK"</formula>
    </cfRule>
    <cfRule type="cellIs" dxfId="8" priority="4" operator="equal">
      <formula>"NG"</formula>
    </cfRule>
  </conditionalFormatting>
  <conditionalFormatting sqref="AS25">
    <cfRule type="cellIs" dxfId="7" priority="1" operator="equal">
      <formula>"OK"</formula>
    </cfRule>
    <cfRule type="cellIs" dxfId="6" priority="2" operator="equal">
      <formula>"NG"</formula>
    </cfRule>
  </conditionalFormatting>
  <dataValidations count="1">
    <dataValidation type="list" allowBlank="1" showInputMessage="1" showErrorMessage="1" sqref="AY10:AY26 AS10:AS2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5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56"/>
    </row>
    <row r="3" spans="1:66" ht="20.100000000000001" customHeight="1" x14ac:dyDescent="0.45">
      <c r="A3" s="55"/>
      <c r="B3" s="19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マスタ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結合試験項目</v>
      </c>
      <c r="S3" s="186"/>
      <c r="T3" s="186"/>
      <c r="U3" s="186"/>
      <c r="V3" s="186"/>
      <c r="W3" s="186"/>
      <c r="X3" s="189" t="str">
        <f ca="1">変更履歴!X3</f>
        <v>マスタ_担当者マスタ_結合試験項目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変更履歴!AK3</f>
        <v>担当者マスタ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f>変更履歴!AX3</f>
        <v>45636</v>
      </c>
      <c r="AY3" s="185"/>
      <c r="AZ3" s="185"/>
      <c r="BA3" s="185"/>
      <c r="BB3" s="186" t="str">
        <f>変更履歴!BB3</f>
        <v>榎本</v>
      </c>
      <c r="BC3" s="186"/>
      <c r="BD3" s="186"/>
      <c r="BE3" s="186"/>
      <c r="BF3" s="185">
        <f>変更履歴!BF3</f>
        <v>45636</v>
      </c>
      <c r="BG3" s="185"/>
      <c r="BH3" s="185"/>
      <c r="BI3" s="185"/>
      <c r="BJ3" s="186" t="str">
        <f>変更履歴!BJ3</f>
        <v>榎本</v>
      </c>
      <c r="BK3" s="186"/>
      <c r="BL3" s="186"/>
      <c r="BM3" s="188"/>
      <c r="BN3" s="56"/>
    </row>
    <row r="4" spans="1:66" ht="20.100000000000001" customHeight="1" thickBot="1" x14ac:dyDescent="0.5">
      <c r="A4" s="55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27"/>
      <c r="AY4" s="227"/>
      <c r="AZ4" s="227"/>
      <c r="BA4" s="227"/>
      <c r="BB4" s="187"/>
      <c r="BC4" s="187"/>
      <c r="BD4" s="187"/>
      <c r="BE4" s="187"/>
      <c r="BF4" s="227"/>
      <c r="BG4" s="227"/>
      <c r="BH4" s="227"/>
      <c r="BI4" s="227"/>
      <c r="BJ4" s="187"/>
      <c r="BK4" s="187"/>
      <c r="BL4" s="187"/>
      <c r="BM4" s="18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28" t="s">
        <v>33</v>
      </c>
      <c r="BJ7" s="238"/>
      <c r="BK7" s="228" t="s">
        <v>34</v>
      </c>
      <c r="BL7" s="22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1" t="s">
        <v>35</v>
      </c>
      <c r="AP8" s="222"/>
      <c r="AQ8" s="222"/>
      <c r="AR8" s="222"/>
      <c r="AS8" s="222"/>
      <c r="AT8" s="223"/>
      <c r="AU8" s="231" t="s">
        <v>36</v>
      </c>
      <c r="AV8" s="222"/>
      <c r="AW8" s="222"/>
      <c r="AX8" s="222"/>
      <c r="AY8" s="222"/>
      <c r="AZ8" s="223"/>
      <c r="BE8" s="235"/>
      <c r="BF8" s="236"/>
      <c r="BG8" s="229">
        <f>COUNTA(C10:C22)</f>
        <v>13</v>
      </c>
      <c r="BH8" s="232"/>
      <c r="BI8" s="229">
        <f>COUNTIF(AS10:AT22,"OK")+COUNTIF(AY10:AZ22,"OK")</f>
        <v>13</v>
      </c>
      <c r="BJ8" s="232"/>
      <c r="BK8" s="229">
        <f>BG8-BI8</f>
        <v>0</v>
      </c>
      <c r="BL8" s="23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9" t="s">
        <v>25</v>
      </c>
      <c r="AP9" s="220"/>
      <c r="AQ9" s="217" t="s">
        <v>26</v>
      </c>
      <c r="AR9" s="220"/>
      <c r="AS9" s="217" t="s">
        <v>29</v>
      </c>
      <c r="AT9" s="218"/>
      <c r="AU9" s="219" t="s">
        <v>25</v>
      </c>
      <c r="AV9" s="220"/>
      <c r="AW9" s="217" t="s">
        <v>26</v>
      </c>
      <c r="AX9" s="220"/>
      <c r="AY9" s="217" t="s">
        <v>29</v>
      </c>
      <c r="AZ9" s="218"/>
      <c r="BA9" s="221" t="s">
        <v>27</v>
      </c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02" t="s">
        <v>60</v>
      </c>
      <c r="E10" s="203"/>
      <c r="F10" s="203"/>
      <c r="G10" s="204"/>
      <c r="H10" s="202" t="s">
        <v>61</v>
      </c>
      <c r="I10" s="203"/>
      <c r="J10" s="203"/>
      <c r="K10" s="204"/>
      <c r="L10" s="213" t="s">
        <v>44</v>
      </c>
      <c r="M10" s="214"/>
      <c r="N10" s="214"/>
      <c r="O10" s="215"/>
      <c r="P10" s="207" t="s">
        <v>62</v>
      </c>
      <c r="Q10" s="205"/>
      <c r="R10" s="205"/>
      <c r="S10" s="205"/>
      <c r="T10" s="205"/>
      <c r="U10" s="205"/>
      <c r="V10" s="205"/>
      <c r="W10" s="206"/>
      <c r="X10" s="207" t="s">
        <v>88</v>
      </c>
      <c r="Y10" s="205"/>
      <c r="Z10" s="205"/>
      <c r="AA10" s="205"/>
      <c r="AB10" s="205"/>
      <c r="AC10" s="205"/>
      <c r="AD10" s="205"/>
      <c r="AE10" s="206"/>
      <c r="AF10" s="207"/>
      <c r="AG10" s="205"/>
      <c r="AH10" s="205"/>
      <c r="AI10" s="205"/>
      <c r="AJ10" s="205"/>
      <c r="AK10" s="205"/>
      <c r="AL10" s="205"/>
      <c r="AM10" s="205"/>
      <c r="AN10" s="226"/>
      <c r="AO10" s="208">
        <v>45681</v>
      </c>
      <c r="AP10" s="209"/>
      <c r="AQ10" s="178" t="s">
        <v>92</v>
      </c>
      <c r="AR10" s="180"/>
      <c r="AS10" s="178" t="s">
        <v>93</v>
      </c>
      <c r="AT10" s="201"/>
      <c r="AU10" s="208"/>
      <c r="AV10" s="209"/>
      <c r="AW10" s="178"/>
      <c r="AX10" s="180"/>
      <c r="AY10" s="178"/>
      <c r="AZ10" s="201"/>
      <c r="BA10" s="22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25"/>
      <c r="BM10" s="56"/>
      <c r="BN10" s="56"/>
    </row>
    <row r="11" spans="1:66" ht="24" customHeight="1" x14ac:dyDescent="0.45">
      <c r="A11" s="55"/>
      <c r="B11" s="55"/>
      <c r="C11" s="72">
        <f t="shared" ref="C11:C14" si="0">ROW()-9</f>
        <v>2</v>
      </c>
      <c r="D11" s="59"/>
      <c r="E11" s="127"/>
      <c r="F11" s="127"/>
      <c r="G11" s="61"/>
      <c r="H11" s="127"/>
      <c r="I11" s="127"/>
      <c r="J11" s="127"/>
      <c r="K11" s="127"/>
      <c r="L11" s="154" t="s">
        <v>45</v>
      </c>
      <c r="M11" s="147"/>
      <c r="N11" s="147"/>
      <c r="O11" s="155"/>
      <c r="P11" s="207" t="s">
        <v>62</v>
      </c>
      <c r="Q11" s="205"/>
      <c r="R11" s="205"/>
      <c r="S11" s="205"/>
      <c r="T11" s="205"/>
      <c r="U11" s="205"/>
      <c r="V11" s="205"/>
      <c r="W11" s="206"/>
      <c r="X11" s="207" t="s">
        <v>89</v>
      </c>
      <c r="Y11" s="205"/>
      <c r="Z11" s="205"/>
      <c r="AA11" s="205"/>
      <c r="AB11" s="205"/>
      <c r="AC11" s="205"/>
      <c r="AD11" s="205"/>
      <c r="AE11" s="206"/>
      <c r="AF11" s="116"/>
      <c r="AG11" s="117"/>
      <c r="AH11" s="117"/>
      <c r="AI11" s="117"/>
      <c r="AJ11" s="117"/>
      <c r="AK11" s="117"/>
      <c r="AL11" s="117"/>
      <c r="AM11" s="117"/>
      <c r="AN11" s="122"/>
      <c r="AO11" s="208">
        <v>45681</v>
      </c>
      <c r="AP11" s="209"/>
      <c r="AQ11" s="178" t="s">
        <v>92</v>
      </c>
      <c r="AR11" s="180"/>
      <c r="AS11" s="178" t="s">
        <v>93</v>
      </c>
      <c r="AT11" s="201"/>
      <c r="AU11" s="123"/>
      <c r="AV11" s="124"/>
      <c r="AW11" s="114"/>
      <c r="AX11" s="115"/>
      <c r="AY11" s="114"/>
      <c r="AZ11" s="118"/>
      <c r="BA11" s="119"/>
      <c r="BB11" s="120"/>
      <c r="BC11" s="120"/>
      <c r="BD11" s="120"/>
      <c r="BE11" s="120"/>
      <c r="BF11" s="120"/>
      <c r="BG11" s="120"/>
      <c r="BH11" s="120"/>
      <c r="BI11" s="120"/>
      <c r="BJ11" s="120"/>
      <c r="BK11" s="120"/>
      <c r="BL11" s="121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127"/>
      <c r="F12" s="127"/>
      <c r="G12" s="61"/>
      <c r="H12" s="127"/>
      <c r="I12" s="127"/>
      <c r="J12" s="127"/>
      <c r="K12" s="127"/>
      <c r="L12" s="154" t="s">
        <v>68</v>
      </c>
      <c r="M12" s="147"/>
      <c r="N12" s="147"/>
      <c r="O12" s="155"/>
      <c r="P12" s="207" t="s">
        <v>62</v>
      </c>
      <c r="Q12" s="205"/>
      <c r="R12" s="205"/>
      <c r="S12" s="205"/>
      <c r="T12" s="205"/>
      <c r="U12" s="205"/>
      <c r="V12" s="205"/>
      <c r="W12" s="206"/>
      <c r="X12" s="207" t="s">
        <v>90</v>
      </c>
      <c r="Y12" s="205"/>
      <c r="Z12" s="205"/>
      <c r="AA12" s="205"/>
      <c r="AB12" s="205"/>
      <c r="AC12" s="205"/>
      <c r="AD12" s="205"/>
      <c r="AE12" s="206"/>
      <c r="AF12" s="116"/>
      <c r="AG12" s="117"/>
      <c r="AH12" s="117"/>
      <c r="AI12" s="117"/>
      <c r="AJ12" s="117"/>
      <c r="AK12" s="117"/>
      <c r="AL12" s="117"/>
      <c r="AM12" s="117"/>
      <c r="AN12" s="122"/>
      <c r="AO12" s="208">
        <v>45681</v>
      </c>
      <c r="AP12" s="209"/>
      <c r="AQ12" s="178" t="s">
        <v>92</v>
      </c>
      <c r="AR12" s="180"/>
      <c r="AS12" s="178" t="s">
        <v>93</v>
      </c>
      <c r="AT12" s="201"/>
      <c r="AU12" s="123"/>
      <c r="AV12" s="124"/>
      <c r="AW12" s="114"/>
      <c r="AX12" s="115"/>
      <c r="AY12" s="114"/>
      <c r="AZ12" s="118"/>
      <c r="BA12" s="119"/>
      <c r="BB12" s="120"/>
      <c r="BC12" s="120"/>
      <c r="BD12" s="120"/>
      <c r="BE12" s="120"/>
      <c r="BF12" s="120"/>
      <c r="BG12" s="120"/>
      <c r="BH12" s="120"/>
      <c r="BI12" s="120"/>
      <c r="BJ12" s="120"/>
      <c r="BK12" s="120"/>
      <c r="BL12" s="121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140"/>
      <c r="F13" s="140"/>
      <c r="G13" s="61"/>
      <c r="H13" s="140"/>
      <c r="I13" s="140"/>
      <c r="J13" s="140"/>
      <c r="K13" s="140"/>
      <c r="L13" s="213" t="s">
        <v>71</v>
      </c>
      <c r="M13" s="214"/>
      <c r="N13" s="214"/>
      <c r="O13" s="215"/>
      <c r="P13" s="207" t="s">
        <v>62</v>
      </c>
      <c r="Q13" s="205"/>
      <c r="R13" s="205"/>
      <c r="S13" s="205"/>
      <c r="T13" s="205"/>
      <c r="U13" s="205"/>
      <c r="V13" s="205"/>
      <c r="W13" s="206"/>
      <c r="X13" s="207" t="s">
        <v>89</v>
      </c>
      <c r="Y13" s="205"/>
      <c r="Z13" s="205"/>
      <c r="AA13" s="205"/>
      <c r="AB13" s="205"/>
      <c r="AC13" s="205"/>
      <c r="AD13" s="205"/>
      <c r="AE13" s="206"/>
      <c r="AF13" s="131"/>
      <c r="AG13" s="132"/>
      <c r="AH13" s="132"/>
      <c r="AI13" s="132"/>
      <c r="AJ13" s="132"/>
      <c r="AK13" s="132"/>
      <c r="AL13" s="132"/>
      <c r="AM13" s="132"/>
      <c r="AN13" s="136"/>
      <c r="AO13" s="208">
        <v>45681</v>
      </c>
      <c r="AP13" s="209"/>
      <c r="AQ13" s="178" t="s">
        <v>92</v>
      </c>
      <c r="AR13" s="180"/>
      <c r="AS13" s="178" t="s">
        <v>93</v>
      </c>
      <c r="AT13" s="201"/>
      <c r="AU13" s="137"/>
      <c r="AV13" s="138"/>
      <c r="AW13" s="130"/>
      <c r="AX13" s="129"/>
      <c r="AY13" s="130"/>
      <c r="AZ13" s="139"/>
      <c r="BA13" s="133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5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127"/>
      <c r="F14" s="127"/>
      <c r="G14" s="61"/>
      <c r="H14" s="127"/>
      <c r="I14" s="127"/>
      <c r="J14" s="127"/>
      <c r="K14" s="127"/>
      <c r="L14" s="154" t="s">
        <v>72</v>
      </c>
      <c r="M14" s="147"/>
      <c r="N14" s="147"/>
      <c r="O14" s="155"/>
      <c r="P14" s="207" t="s">
        <v>62</v>
      </c>
      <c r="Q14" s="205"/>
      <c r="R14" s="205"/>
      <c r="S14" s="205"/>
      <c r="T14" s="205"/>
      <c r="U14" s="205"/>
      <c r="V14" s="205"/>
      <c r="W14" s="206"/>
      <c r="X14" s="207" t="s">
        <v>91</v>
      </c>
      <c r="Y14" s="205"/>
      <c r="Z14" s="205"/>
      <c r="AA14" s="205"/>
      <c r="AB14" s="205"/>
      <c r="AC14" s="205"/>
      <c r="AD14" s="205"/>
      <c r="AE14" s="206"/>
      <c r="AF14" s="116"/>
      <c r="AG14" s="117"/>
      <c r="AH14" s="117"/>
      <c r="AI14" s="117"/>
      <c r="AJ14" s="117"/>
      <c r="AK14" s="117"/>
      <c r="AL14" s="117"/>
      <c r="AM14" s="117"/>
      <c r="AN14" s="122"/>
      <c r="AO14" s="208">
        <v>45681</v>
      </c>
      <c r="AP14" s="209"/>
      <c r="AQ14" s="178" t="s">
        <v>92</v>
      </c>
      <c r="AR14" s="180"/>
      <c r="AS14" s="178" t="s">
        <v>93</v>
      </c>
      <c r="AT14" s="201"/>
      <c r="AU14" s="123"/>
      <c r="AV14" s="124"/>
      <c r="AW14" s="114"/>
      <c r="AX14" s="115"/>
      <c r="AY14" s="114"/>
      <c r="AZ14" s="118"/>
      <c r="BA14" s="119"/>
      <c r="BB14" s="120"/>
      <c r="BC14" s="120"/>
      <c r="BD14" s="120"/>
      <c r="BE14" s="120"/>
      <c r="BF14" s="120"/>
      <c r="BG14" s="120"/>
      <c r="BH14" s="120"/>
      <c r="BI14" s="120"/>
      <c r="BJ14" s="120"/>
      <c r="BK14" s="120"/>
      <c r="BL14" s="121"/>
      <c r="BM14" s="56"/>
      <c r="BN14" s="56"/>
    </row>
    <row r="15" spans="1:66" ht="24" customHeight="1" x14ac:dyDescent="0.45">
      <c r="A15" s="55"/>
      <c r="B15" s="55"/>
      <c r="C15" s="72">
        <f t="shared" ref="C15:C19" si="1">ROW()-9</f>
        <v>6</v>
      </c>
      <c r="D15" s="59"/>
      <c r="E15" s="127"/>
      <c r="F15" s="127"/>
      <c r="G15" s="61"/>
      <c r="H15" s="202" t="s">
        <v>67</v>
      </c>
      <c r="I15" s="203"/>
      <c r="J15" s="203"/>
      <c r="K15" s="204"/>
      <c r="L15" s="241" t="s">
        <v>79</v>
      </c>
      <c r="M15" s="242"/>
      <c r="N15" s="242"/>
      <c r="O15" s="243"/>
      <c r="P15" s="110" t="s">
        <v>80</v>
      </c>
      <c r="Q15" s="125"/>
      <c r="R15" s="125"/>
      <c r="S15" s="125"/>
      <c r="T15" s="125"/>
      <c r="U15" s="125"/>
      <c r="V15" s="125"/>
      <c r="W15" s="126"/>
      <c r="X15" s="205" t="s">
        <v>81</v>
      </c>
      <c r="Y15" s="205"/>
      <c r="Z15" s="205"/>
      <c r="AA15" s="205"/>
      <c r="AB15" s="205"/>
      <c r="AC15" s="205"/>
      <c r="AD15" s="205"/>
      <c r="AE15" s="206"/>
      <c r="AF15" s="116"/>
      <c r="AG15" s="117"/>
      <c r="AH15" s="117"/>
      <c r="AI15" s="117"/>
      <c r="AJ15" s="117"/>
      <c r="AK15" s="117"/>
      <c r="AL15" s="117"/>
      <c r="AM15" s="117"/>
      <c r="AN15" s="122"/>
      <c r="AO15" s="208">
        <v>45681</v>
      </c>
      <c r="AP15" s="209"/>
      <c r="AQ15" s="178" t="s">
        <v>92</v>
      </c>
      <c r="AR15" s="180"/>
      <c r="AS15" s="178" t="s">
        <v>93</v>
      </c>
      <c r="AT15" s="201"/>
      <c r="AU15" s="123"/>
      <c r="AV15" s="124"/>
      <c r="AW15" s="114"/>
      <c r="AX15" s="115"/>
      <c r="AY15" s="114"/>
      <c r="AZ15" s="118"/>
      <c r="BA15" s="119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1"/>
      <c r="BM15" s="56"/>
      <c r="BN15" s="56"/>
    </row>
    <row r="16" spans="1:66" ht="55.2" customHeight="1" x14ac:dyDescent="0.45">
      <c r="A16" s="55"/>
      <c r="B16" s="55"/>
      <c r="C16" s="72">
        <f t="shared" si="1"/>
        <v>7</v>
      </c>
      <c r="D16" s="59"/>
      <c r="E16" s="127"/>
      <c r="F16" s="127"/>
      <c r="G16" s="61"/>
      <c r="H16" s="127"/>
      <c r="I16" s="127"/>
      <c r="J16" s="127"/>
      <c r="K16" s="127"/>
      <c r="L16" s="244"/>
      <c r="M16" s="245"/>
      <c r="N16" s="245"/>
      <c r="O16" s="246"/>
      <c r="P16" s="250" t="s">
        <v>82</v>
      </c>
      <c r="Q16" s="251"/>
      <c r="R16" s="251"/>
      <c r="S16" s="251"/>
      <c r="T16" s="251"/>
      <c r="U16" s="251"/>
      <c r="V16" s="251"/>
      <c r="W16" s="252"/>
      <c r="X16" s="205" t="s">
        <v>86</v>
      </c>
      <c r="Y16" s="205"/>
      <c r="Z16" s="205"/>
      <c r="AA16" s="205"/>
      <c r="AB16" s="205"/>
      <c r="AC16" s="205"/>
      <c r="AD16" s="205"/>
      <c r="AE16" s="206"/>
      <c r="AF16" s="116"/>
      <c r="AG16" s="117"/>
      <c r="AH16" s="117"/>
      <c r="AI16" s="117"/>
      <c r="AJ16" s="117"/>
      <c r="AK16" s="117"/>
      <c r="AL16" s="117"/>
      <c r="AM16" s="117"/>
      <c r="AN16" s="122"/>
      <c r="AO16" s="208">
        <v>45681</v>
      </c>
      <c r="AP16" s="209"/>
      <c r="AQ16" s="178" t="s">
        <v>92</v>
      </c>
      <c r="AR16" s="180"/>
      <c r="AS16" s="178" t="s">
        <v>93</v>
      </c>
      <c r="AT16" s="201"/>
      <c r="AU16" s="123"/>
      <c r="AV16" s="124"/>
      <c r="AW16" s="114"/>
      <c r="AX16" s="115"/>
      <c r="AY16" s="114"/>
      <c r="AZ16" s="118"/>
      <c r="BA16" s="119"/>
      <c r="BB16" s="120"/>
      <c r="BC16" s="120"/>
      <c r="BD16" s="120"/>
      <c r="BE16" s="120"/>
      <c r="BF16" s="120"/>
      <c r="BG16" s="120"/>
      <c r="BH16" s="120"/>
      <c r="BI16" s="120"/>
      <c r="BJ16" s="120"/>
      <c r="BK16" s="120"/>
      <c r="BL16" s="121"/>
      <c r="BM16" s="56"/>
      <c r="BN16" s="56"/>
    </row>
    <row r="17" spans="1:66" ht="79.8" customHeight="1" x14ac:dyDescent="0.45">
      <c r="A17" s="55"/>
      <c r="B17" s="55"/>
      <c r="C17" s="72">
        <f t="shared" si="1"/>
        <v>8</v>
      </c>
      <c r="D17" s="59"/>
      <c r="E17" s="127"/>
      <c r="F17" s="127"/>
      <c r="G17" s="61"/>
      <c r="H17" s="127"/>
      <c r="I17" s="127"/>
      <c r="J17" s="127"/>
      <c r="K17" s="127"/>
      <c r="L17" s="244"/>
      <c r="M17" s="245"/>
      <c r="N17" s="245"/>
      <c r="O17" s="246"/>
      <c r="P17" s="253"/>
      <c r="Q17" s="254"/>
      <c r="R17" s="254"/>
      <c r="S17" s="254"/>
      <c r="T17" s="254"/>
      <c r="U17" s="254"/>
      <c r="V17" s="254"/>
      <c r="W17" s="255"/>
      <c r="X17" s="205" t="s">
        <v>85</v>
      </c>
      <c r="Y17" s="205"/>
      <c r="Z17" s="205"/>
      <c r="AA17" s="205"/>
      <c r="AB17" s="205"/>
      <c r="AC17" s="205"/>
      <c r="AD17" s="205"/>
      <c r="AE17" s="206"/>
      <c r="AF17" s="116"/>
      <c r="AG17" s="117"/>
      <c r="AH17" s="117"/>
      <c r="AI17" s="117"/>
      <c r="AJ17" s="117"/>
      <c r="AK17" s="117"/>
      <c r="AL17" s="117"/>
      <c r="AM17" s="117"/>
      <c r="AN17" s="122"/>
      <c r="AO17" s="208">
        <v>45681</v>
      </c>
      <c r="AP17" s="209"/>
      <c r="AQ17" s="178" t="s">
        <v>92</v>
      </c>
      <c r="AR17" s="180"/>
      <c r="AS17" s="178" t="s">
        <v>93</v>
      </c>
      <c r="AT17" s="201"/>
      <c r="AU17" s="123"/>
      <c r="AV17" s="124"/>
      <c r="AW17" s="114"/>
      <c r="AX17" s="115"/>
      <c r="AY17" s="114"/>
      <c r="AZ17" s="118"/>
      <c r="BA17" s="119"/>
      <c r="BB17" s="120"/>
      <c r="BC17" s="120"/>
      <c r="BD17" s="120"/>
      <c r="BE17" s="120"/>
      <c r="BF17" s="120"/>
      <c r="BG17" s="120"/>
      <c r="BH17" s="120"/>
      <c r="BI17" s="120"/>
      <c r="BJ17" s="120"/>
      <c r="BK17" s="120"/>
      <c r="BL17" s="121"/>
      <c r="BM17" s="56"/>
      <c r="BN17" s="56"/>
    </row>
    <row r="18" spans="1:66" ht="53.4" customHeight="1" x14ac:dyDescent="0.45">
      <c r="A18" s="55"/>
      <c r="B18" s="55"/>
      <c r="C18" s="72">
        <f t="shared" si="1"/>
        <v>9</v>
      </c>
      <c r="D18" s="59"/>
      <c r="E18" s="127"/>
      <c r="F18" s="127"/>
      <c r="G18" s="61"/>
      <c r="H18" s="127"/>
      <c r="I18" s="127"/>
      <c r="J18" s="127"/>
      <c r="K18" s="127"/>
      <c r="L18" s="244"/>
      <c r="M18" s="245"/>
      <c r="N18" s="245"/>
      <c r="O18" s="246"/>
      <c r="P18" s="241" t="s">
        <v>83</v>
      </c>
      <c r="Q18" s="242"/>
      <c r="R18" s="242"/>
      <c r="S18" s="242"/>
      <c r="T18" s="242"/>
      <c r="U18" s="242"/>
      <c r="V18" s="242"/>
      <c r="W18" s="243"/>
      <c r="X18" s="205" t="s">
        <v>84</v>
      </c>
      <c r="Y18" s="205"/>
      <c r="Z18" s="205"/>
      <c r="AA18" s="205"/>
      <c r="AB18" s="205"/>
      <c r="AC18" s="205"/>
      <c r="AD18" s="205"/>
      <c r="AE18" s="206"/>
      <c r="AF18" s="116"/>
      <c r="AG18" s="117"/>
      <c r="AH18" s="117"/>
      <c r="AI18" s="117"/>
      <c r="AJ18" s="117"/>
      <c r="AK18" s="117"/>
      <c r="AL18" s="117"/>
      <c r="AM18" s="117"/>
      <c r="AN18" s="122"/>
      <c r="AO18" s="208">
        <v>45681</v>
      </c>
      <c r="AP18" s="209"/>
      <c r="AQ18" s="178" t="s">
        <v>92</v>
      </c>
      <c r="AR18" s="180"/>
      <c r="AS18" s="178" t="s">
        <v>93</v>
      </c>
      <c r="AT18" s="201"/>
      <c r="AU18" s="123"/>
      <c r="AV18" s="124"/>
      <c r="AW18" s="114"/>
      <c r="AX18" s="115"/>
      <c r="AY18" s="114"/>
      <c r="AZ18" s="118"/>
      <c r="BA18" s="119"/>
      <c r="BB18" s="120"/>
      <c r="BC18" s="120"/>
      <c r="BD18" s="120"/>
      <c r="BE18" s="120"/>
      <c r="BF18" s="120"/>
      <c r="BG18" s="120"/>
      <c r="BH18" s="120"/>
      <c r="BI18" s="120"/>
      <c r="BJ18" s="120"/>
      <c r="BK18" s="120"/>
      <c r="BL18" s="121"/>
      <c r="BM18" s="56"/>
      <c r="BN18" s="56"/>
    </row>
    <row r="19" spans="1:66" ht="84.6" customHeight="1" x14ac:dyDescent="0.45">
      <c r="A19" s="55"/>
      <c r="B19" s="55"/>
      <c r="C19" s="72">
        <f t="shared" si="1"/>
        <v>10</v>
      </c>
      <c r="D19" s="59"/>
      <c r="E19" s="127"/>
      <c r="F19" s="127"/>
      <c r="G19" s="61"/>
      <c r="H19" s="127"/>
      <c r="I19" s="127"/>
      <c r="J19" s="127"/>
      <c r="K19" s="127"/>
      <c r="L19" s="247"/>
      <c r="M19" s="248"/>
      <c r="N19" s="248"/>
      <c r="O19" s="249"/>
      <c r="P19" s="247"/>
      <c r="Q19" s="248"/>
      <c r="R19" s="248"/>
      <c r="S19" s="248"/>
      <c r="T19" s="248"/>
      <c r="U19" s="248"/>
      <c r="V19" s="248"/>
      <c r="W19" s="249"/>
      <c r="X19" s="205" t="s">
        <v>87</v>
      </c>
      <c r="Y19" s="205"/>
      <c r="Z19" s="205"/>
      <c r="AA19" s="205"/>
      <c r="AB19" s="205"/>
      <c r="AC19" s="205"/>
      <c r="AD19" s="205"/>
      <c r="AE19" s="206"/>
      <c r="AF19" s="116"/>
      <c r="AG19" s="117"/>
      <c r="AH19" s="117"/>
      <c r="AI19" s="117"/>
      <c r="AJ19" s="117"/>
      <c r="AK19" s="117"/>
      <c r="AL19" s="117"/>
      <c r="AM19" s="117"/>
      <c r="AN19" s="122"/>
      <c r="AO19" s="208">
        <v>45681</v>
      </c>
      <c r="AP19" s="209"/>
      <c r="AQ19" s="178" t="s">
        <v>92</v>
      </c>
      <c r="AR19" s="180"/>
      <c r="AS19" s="178" t="s">
        <v>93</v>
      </c>
      <c r="AT19" s="201"/>
      <c r="AU19" s="123"/>
      <c r="AV19" s="124"/>
      <c r="AW19" s="114"/>
      <c r="AX19" s="115"/>
      <c r="AY19" s="114"/>
      <c r="AZ19" s="118"/>
      <c r="BA19" s="119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1"/>
      <c r="BM19" s="56"/>
      <c r="BN19" s="56"/>
    </row>
    <row r="20" spans="1:66" ht="24" customHeight="1" x14ac:dyDescent="0.45">
      <c r="A20" s="55"/>
      <c r="B20" s="55"/>
      <c r="C20" s="72">
        <f t="shared" ref="C20:C22" si="2">ROW()-9</f>
        <v>11</v>
      </c>
      <c r="D20" s="59"/>
      <c r="E20" s="127"/>
      <c r="F20" s="127"/>
      <c r="G20" s="61"/>
      <c r="H20" s="153" t="s">
        <v>52</v>
      </c>
      <c r="I20" s="145"/>
      <c r="J20" s="145"/>
      <c r="K20" s="152"/>
      <c r="L20" s="213" t="s">
        <v>44</v>
      </c>
      <c r="M20" s="214"/>
      <c r="N20" s="214"/>
      <c r="O20" s="215"/>
      <c r="P20" s="256" t="s">
        <v>53</v>
      </c>
      <c r="Q20" s="256"/>
      <c r="R20" s="256"/>
      <c r="S20" s="256"/>
      <c r="T20" s="256"/>
      <c r="U20" s="256"/>
      <c r="V20" s="256"/>
      <c r="W20" s="257"/>
      <c r="X20" s="205" t="s">
        <v>54</v>
      </c>
      <c r="Y20" s="205"/>
      <c r="Z20" s="205"/>
      <c r="AA20" s="205"/>
      <c r="AB20" s="205"/>
      <c r="AC20" s="205"/>
      <c r="AD20" s="205"/>
      <c r="AE20" s="206"/>
      <c r="AF20" s="116"/>
      <c r="AG20" s="117"/>
      <c r="AH20" s="117"/>
      <c r="AI20" s="117"/>
      <c r="AJ20" s="117"/>
      <c r="AK20" s="117"/>
      <c r="AL20" s="117"/>
      <c r="AM20" s="117"/>
      <c r="AN20" s="122"/>
      <c r="AO20" s="208">
        <v>45681</v>
      </c>
      <c r="AP20" s="209"/>
      <c r="AQ20" s="178" t="s">
        <v>92</v>
      </c>
      <c r="AR20" s="180"/>
      <c r="AS20" s="178" t="s">
        <v>93</v>
      </c>
      <c r="AT20" s="201"/>
      <c r="AU20" s="123"/>
      <c r="AV20" s="124"/>
      <c r="AW20" s="114"/>
      <c r="AX20" s="115"/>
      <c r="AY20" s="114"/>
      <c r="AZ20" s="118"/>
      <c r="BA20" s="119"/>
      <c r="BB20" s="120"/>
      <c r="BC20" s="120"/>
      <c r="BD20" s="120"/>
      <c r="BE20" s="120"/>
      <c r="BF20" s="120"/>
      <c r="BG20" s="120"/>
      <c r="BH20" s="120"/>
      <c r="BI20" s="120"/>
      <c r="BJ20" s="120"/>
      <c r="BK20" s="120"/>
      <c r="BL20" s="121"/>
      <c r="BM20" s="56"/>
      <c r="BN20" s="56"/>
    </row>
    <row r="21" spans="1:66" ht="24" customHeight="1" x14ac:dyDescent="0.45">
      <c r="A21" s="55"/>
      <c r="B21" s="55"/>
      <c r="C21" s="72">
        <f t="shared" si="2"/>
        <v>12</v>
      </c>
      <c r="D21" s="59"/>
      <c r="E21" s="127"/>
      <c r="F21" s="127"/>
      <c r="G21" s="61"/>
      <c r="H21" s="127"/>
      <c r="I21" s="127"/>
      <c r="J21" s="127"/>
      <c r="K21" s="127"/>
      <c r="L21" s="154" t="s">
        <v>45</v>
      </c>
      <c r="M21" s="147"/>
      <c r="N21" s="147"/>
      <c r="O21" s="155"/>
      <c r="P21" s="239" t="s">
        <v>53</v>
      </c>
      <c r="Q21" s="239"/>
      <c r="R21" s="239"/>
      <c r="S21" s="239"/>
      <c r="T21" s="239"/>
      <c r="U21" s="239"/>
      <c r="V21" s="239"/>
      <c r="W21" s="240"/>
      <c r="X21" s="205" t="s">
        <v>54</v>
      </c>
      <c r="Y21" s="205"/>
      <c r="Z21" s="205"/>
      <c r="AA21" s="205"/>
      <c r="AB21" s="205"/>
      <c r="AC21" s="205"/>
      <c r="AD21" s="205"/>
      <c r="AE21" s="206"/>
      <c r="AF21" s="116"/>
      <c r="AG21" s="117"/>
      <c r="AH21" s="117"/>
      <c r="AI21" s="117"/>
      <c r="AJ21" s="117"/>
      <c r="AK21" s="117"/>
      <c r="AL21" s="117"/>
      <c r="AM21" s="117"/>
      <c r="AN21" s="122"/>
      <c r="AO21" s="208">
        <v>45681</v>
      </c>
      <c r="AP21" s="209"/>
      <c r="AQ21" s="178" t="s">
        <v>92</v>
      </c>
      <c r="AR21" s="180"/>
      <c r="AS21" s="178" t="s">
        <v>93</v>
      </c>
      <c r="AT21" s="201"/>
      <c r="AU21" s="123"/>
      <c r="AV21" s="124"/>
      <c r="AW21" s="114"/>
      <c r="AX21" s="115"/>
      <c r="AY21" s="114"/>
      <c r="AZ21" s="118"/>
      <c r="BA21" s="119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1"/>
      <c r="BM21" s="56"/>
      <c r="BN21" s="56"/>
    </row>
    <row r="22" spans="1:66" ht="24" customHeight="1" thickBot="1" x14ac:dyDescent="0.5">
      <c r="A22" s="55"/>
      <c r="B22" s="55"/>
      <c r="C22" s="72">
        <f t="shared" si="2"/>
        <v>13</v>
      </c>
      <c r="D22" s="59"/>
      <c r="E22" s="127"/>
      <c r="F22" s="127"/>
      <c r="G22" s="61"/>
      <c r="H22" s="127"/>
      <c r="I22" s="127"/>
      <c r="J22" s="127"/>
      <c r="K22" s="127"/>
      <c r="L22" s="213" t="s">
        <v>69</v>
      </c>
      <c r="M22" s="214"/>
      <c r="N22" s="214"/>
      <c r="O22" s="215"/>
      <c r="P22" s="205" t="s">
        <v>53</v>
      </c>
      <c r="Q22" s="205"/>
      <c r="R22" s="205"/>
      <c r="S22" s="205"/>
      <c r="T22" s="205"/>
      <c r="U22" s="205"/>
      <c r="V22" s="205"/>
      <c r="W22" s="206"/>
      <c r="X22" s="205" t="s">
        <v>54</v>
      </c>
      <c r="Y22" s="205"/>
      <c r="Z22" s="205"/>
      <c r="AA22" s="205"/>
      <c r="AB22" s="205"/>
      <c r="AC22" s="205"/>
      <c r="AD22" s="205"/>
      <c r="AE22" s="206"/>
      <c r="AF22" s="116"/>
      <c r="AG22" s="117"/>
      <c r="AH22" s="117"/>
      <c r="AI22" s="117"/>
      <c r="AJ22" s="117"/>
      <c r="AK22" s="117"/>
      <c r="AL22" s="117"/>
      <c r="AM22" s="117"/>
      <c r="AN22" s="122"/>
      <c r="AO22" s="208">
        <v>45681</v>
      </c>
      <c r="AP22" s="209"/>
      <c r="AQ22" s="178" t="s">
        <v>92</v>
      </c>
      <c r="AR22" s="180"/>
      <c r="AS22" s="178" t="s">
        <v>93</v>
      </c>
      <c r="AT22" s="201"/>
      <c r="AU22" s="123"/>
      <c r="AV22" s="124"/>
      <c r="AW22" s="114"/>
      <c r="AX22" s="115"/>
      <c r="AY22" s="114"/>
      <c r="AZ22" s="118"/>
      <c r="BA22" s="119"/>
      <c r="BB22" s="120"/>
      <c r="BC22" s="120"/>
      <c r="BD22" s="120"/>
      <c r="BE22" s="120"/>
      <c r="BF22" s="120"/>
      <c r="BG22" s="120"/>
      <c r="BH22" s="120"/>
      <c r="BI22" s="120"/>
      <c r="BJ22" s="120"/>
      <c r="BK22" s="120"/>
      <c r="BL22" s="121"/>
      <c r="BM22" s="56"/>
      <c r="BN22" s="56"/>
    </row>
    <row r="23" spans="1:66" ht="20.100000000000001" customHeight="1" thickTop="1" thickBot="1" x14ac:dyDescent="0.5">
      <c r="A23" s="55"/>
      <c r="B23" s="8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8"/>
      <c r="Q23" s="18"/>
      <c r="R23" s="18"/>
      <c r="S23" s="18"/>
      <c r="T23" s="18"/>
      <c r="U23" s="18"/>
      <c r="V23" s="18"/>
      <c r="W23" s="18"/>
      <c r="X23" s="18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8"/>
      <c r="BN23" s="56"/>
    </row>
    <row r="24" spans="1:66" ht="5.0999999999999996" customHeight="1" thickTop="1" x14ac:dyDescent="0.4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</row>
    <row r="25" spans="1:66" ht="20.100000000000001" customHeight="1" x14ac:dyDescent="0.4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</row>
  </sheetData>
  <mergeCells count="111">
    <mergeCell ref="AO22:AP22"/>
    <mergeCell ref="AQ22:AR22"/>
    <mergeCell ref="AS22:AT22"/>
    <mergeCell ref="AO20:AP20"/>
    <mergeCell ref="AQ20:AR20"/>
    <mergeCell ref="AS20:AT20"/>
    <mergeCell ref="AO21:AP21"/>
    <mergeCell ref="AQ21:AR21"/>
    <mergeCell ref="AS21:AT21"/>
    <mergeCell ref="AQ13:AR13"/>
    <mergeCell ref="AS13:AT13"/>
    <mergeCell ref="AO18:AP18"/>
    <mergeCell ref="AQ18:AR18"/>
    <mergeCell ref="AS18:AT18"/>
    <mergeCell ref="AO19:AP19"/>
    <mergeCell ref="AQ19:AR19"/>
    <mergeCell ref="AS19:AT19"/>
    <mergeCell ref="AO16:AP16"/>
    <mergeCell ref="AQ16:AR16"/>
    <mergeCell ref="AS16:AT16"/>
    <mergeCell ref="AO17:AP17"/>
    <mergeCell ref="AQ17:AR17"/>
    <mergeCell ref="AS17:AT17"/>
    <mergeCell ref="H15:K15"/>
    <mergeCell ref="P13:W13"/>
    <mergeCell ref="X11:AE11"/>
    <mergeCell ref="X10:AE10"/>
    <mergeCell ref="AF10:AN10"/>
    <mergeCell ref="AO10:AP10"/>
    <mergeCell ref="AQ10:AR10"/>
    <mergeCell ref="AS10:AT10"/>
    <mergeCell ref="AO11:AP11"/>
    <mergeCell ref="AQ11:AR11"/>
    <mergeCell ref="AS11:AT11"/>
    <mergeCell ref="P11:W11"/>
    <mergeCell ref="P12:W12"/>
    <mergeCell ref="P14:W14"/>
    <mergeCell ref="X13:AE13"/>
    <mergeCell ref="X14:AE14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B3:G4"/>
    <mergeCell ref="H3:K4"/>
    <mergeCell ref="L3:Q4"/>
    <mergeCell ref="R3:W4"/>
    <mergeCell ref="D10:G10"/>
    <mergeCell ref="H10:K10"/>
    <mergeCell ref="L10:O10"/>
    <mergeCell ref="P10:W10"/>
    <mergeCell ref="B2:G2"/>
    <mergeCell ref="H2:K2"/>
    <mergeCell ref="L2:Q2"/>
    <mergeCell ref="R2:W2"/>
    <mergeCell ref="X2:AJ2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X3:AJ4"/>
    <mergeCell ref="AK3:AW4"/>
    <mergeCell ref="AO8:AT8"/>
    <mergeCell ref="P22:W22"/>
    <mergeCell ref="X22:AE22"/>
    <mergeCell ref="L20:O20"/>
    <mergeCell ref="P20:W20"/>
    <mergeCell ref="X20:AE20"/>
    <mergeCell ref="L22:O22"/>
    <mergeCell ref="AY9:AZ9"/>
    <mergeCell ref="BA9:BL9"/>
    <mergeCell ref="BJ3:BM4"/>
    <mergeCell ref="BE7:BF8"/>
    <mergeCell ref="BG7:BH7"/>
    <mergeCell ref="BI7:BJ7"/>
    <mergeCell ref="BK7:BL7"/>
    <mergeCell ref="AU10:AV10"/>
    <mergeCell ref="AW10:AX10"/>
    <mergeCell ref="AY10:AZ10"/>
    <mergeCell ref="BA10:BL10"/>
    <mergeCell ref="AO9:AP9"/>
    <mergeCell ref="AQ9:AR9"/>
    <mergeCell ref="AS9:AT9"/>
    <mergeCell ref="AU9:AV9"/>
    <mergeCell ref="AW9:AX9"/>
    <mergeCell ref="AS12:AT12"/>
    <mergeCell ref="AO13:AP13"/>
    <mergeCell ref="X12:AE12"/>
    <mergeCell ref="L13:O13"/>
    <mergeCell ref="P21:W21"/>
    <mergeCell ref="L15:O19"/>
    <mergeCell ref="P16:W17"/>
    <mergeCell ref="P18:W19"/>
    <mergeCell ref="X17:AE17"/>
    <mergeCell ref="X18:AE18"/>
    <mergeCell ref="X19:AE19"/>
    <mergeCell ref="X15:AE15"/>
    <mergeCell ref="X16:AE16"/>
    <mergeCell ref="X21:AE21"/>
  </mergeCells>
  <phoneticPr fontId="2"/>
  <conditionalFormatting sqref="AS10 AY10:AY22">
    <cfRule type="cellIs" dxfId="53" priority="25" operator="equal">
      <formula>"OK"</formula>
    </cfRule>
    <cfRule type="cellIs" dxfId="52" priority="26" operator="equal">
      <formula>"NG"</formula>
    </cfRule>
  </conditionalFormatting>
  <conditionalFormatting sqref="AS11">
    <cfRule type="cellIs" dxfId="51" priority="23" operator="equal">
      <formula>"OK"</formula>
    </cfRule>
    <cfRule type="cellIs" dxfId="50" priority="24" operator="equal">
      <formula>"NG"</formula>
    </cfRule>
  </conditionalFormatting>
  <conditionalFormatting sqref="AS12">
    <cfRule type="cellIs" dxfId="49" priority="21" operator="equal">
      <formula>"OK"</formula>
    </cfRule>
    <cfRule type="cellIs" dxfId="48" priority="22" operator="equal">
      <formula>"NG"</formula>
    </cfRule>
  </conditionalFormatting>
  <conditionalFormatting sqref="AS13">
    <cfRule type="cellIs" dxfId="47" priority="19" operator="equal">
      <formula>"OK"</formula>
    </cfRule>
    <cfRule type="cellIs" dxfId="46" priority="20" operator="equal">
      <formula>"NG"</formula>
    </cfRule>
  </conditionalFormatting>
  <conditionalFormatting sqref="AS14">
    <cfRule type="cellIs" dxfId="45" priority="17" operator="equal">
      <formula>"OK"</formula>
    </cfRule>
    <cfRule type="cellIs" dxfId="44" priority="18" operator="equal">
      <formula>"NG"</formula>
    </cfRule>
  </conditionalFormatting>
  <conditionalFormatting sqref="AS15">
    <cfRule type="cellIs" dxfId="43" priority="15" operator="equal">
      <formula>"OK"</formula>
    </cfRule>
    <cfRule type="cellIs" dxfId="42" priority="16" operator="equal">
      <formula>"NG"</formula>
    </cfRule>
  </conditionalFormatting>
  <conditionalFormatting sqref="AS16">
    <cfRule type="cellIs" dxfId="41" priority="13" operator="equal">
      <formula>"OK"</formula>
    </cfRule>
    <cfRule type="cellIs" dxfId="40" priority="14" operator="equal">
      <formula>"NG"</formula>
    </cfRule>
  </conditionalFormatting>
  <conditionalFormatting sqref="AS17">
    <cfRule type="cellIs" dxfId="39" priority="11" operator="equal">
      <formula>"OK"</formula>
    </cfRule>
    <cfRule type="cellIs" dxfId="38" priority="12" operator="equal">
      <formula>"NG"</formula>
    </cfRule>
  </conditionalFormatting>
  <conditionalFormatting sqref="AS18">
    <cfRule type="cellIs" dxfId="37" priority="9" operator="equal">
      <formula>"OK"</formula>
    </cfRule>
    <cfRule type="cellIs" dxfId="36" priority="10" operator="equal">
      <formula>"NG"</formula>
    </cfRule>
  </conditionalFormatting>
  <conditionalFormatting sqref="AS19">
    <cfRule type="cellIs" dxfId="35" priority="7" operator="equal">
      <formula>"OK"</formula>
    </cfRule>
    <cfRule type="cellIs" dxfId="34" priority="8" operator="equal">
      <formula>"NG"</formula>
    </cfRule>
  </conditionalFormatting>
  <conditionalFormatting sqref="AS20">
    <cfRule type="cellIs" dxfId="33" priority="5" operator="equal">
      <formula>"OK"</formula>
    </cfRule>
    <cfRule type="cellIs" dxfId="32" priority="6" operator="equal">
      <formula>"NG"</formula>
    </cfRule>
  </conditionalFormatting>
  <conditionalFormatting sqref="AS21">
    <cfRule type="cellIs" dxfId="31" priority="3" operator="equal">
      <formula>"OK"</formula>
    </cfRule>
    <cfRule type="cellIs" dxfId="30" priority="4" operator="equal">
      <formula>"NG"</formula>
    </cfRule>
  </conditionalFormatting>
  <conditionalFormatting sqref="AS22">
    <cfRule type="cellIs" dxfId="29" priority="1" operator="equal">
      <formula>"OK"</formula>
    </cfRule>
    <cfRule type="cellIs" dxfId="28" priority="2" operator="equal">
      <formula>"NG"</formula>
    </cfRule>
  </conditionalFormatting>
  <dataValidations count="1">
    <dataValidation type="list" allowBlank="1" showInputMessage="1" showErrorMessage="1" sqref="AY10:AY22 AS10:AS2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56"/>
    </row>
    <row r="3" spans="1:66" ht="20.100000000000001" customHeight="1" x14ac:dyDescent="0.45">
      <c r="A3" s="55"/>
      <c r="B3" s="19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マスタ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結合試験項目</v>
      </c>
      <c r="S3" s="186"/>
      <c r="T3" s="186"/>
      <c r="U3" s="186"/>
      <c r="V3" s="186"/>
      <c r="W3" s="186"/>
      <c r="X3" s="189" t="str">
        <f ca="1">変更履歴!X3</f>
        <v>マスタ_担当者マスタ_結合試験項目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変更履歴!AK3</f>
        <v>担当者マスタ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f>変更履歴!AX3</f>
        <v>45636</v>
      </c>
      <c r="AY3" s="185"/>
      <c r="AZ3" s="185"/>
      <c r="BA3" s="185"/>
      <c r="BB3" s="186" t="str">
        <f>変更履歴!BB3</f>
        <v>榎本</v>
      </c>
      <c r="BC3" s="186"/>
      <c r="BD3" s="186"/>
      <c r="BE3" s="186"/>
      <c r="BF3" s="185">
        <f>変更履歴!BF3</f>
        <v>45636</v>
      </c>
      <c r="BG3" s="185"/>
      <c r="BH3" s="185"/>
      <c r="BI3" s="185"/>
      <c r="BJ3" s="186" t="str">
        <f>変更履歴!BJ3</f>
        <v>榎本</v>
      </c>
      <c r="BK3" s="186"/>
      <c r="BL3" s="186"/>
      <c r="BM3" s="188"/>
      <c r="BN3" s="56"/>
    </row>
    <row r="4" spans="1:66" ht="20.100000000000001" customHeight="1" thickBot="1" x14ac:dyDescent="0.5">
      <c r="A4" s="55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27"/>
      <c r="AY4" s="227"/>
      <c r="AZ4" s="227"/>
      <c r="BA4" s="227"/>
      <c r="BB4" s="187"/>
      <c r="BC4" s="187"/>
      <c r="BD4" s="187"/>
      <c r="BE4" s="187"/>
      <c r="BF4" s="227"/>
      <c r="BG4" s="227"/>
      <c r="BH4" s="227"/>
      <c r="BI4" s="227"/>
      <c r="BJ4" s="187"/>
      <c r="BK4" s="187"/>
      <c r="BL4" s="187"/>
      <c r="BM4" s="18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28" t="s">
        <v>33</v>
      </c>
      <c r="BJ7" s="238"/>
      <c r="BK7" s="228" t="s">
        <v>34</v>
      </c>
      <c r="BL7" s="22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1" t="s">
        <v>35</v>
      </c>
      <c r="AP8" s="222"/>
      <c r="AQ8" s="222"/>
      <c r="AR8" s="222"/>
      <c r="AS8" s="222"/>
      <c r="AT8" s="223"/>
      <c r="AU8" s="231" t="s">
        <v>36</v>
      </c>
      <c r="AV8" s="222"/>
      <c r="AW8" s="222"/>
      <c r="AX8" s="222"/>
      <c r="AY8" s="222"/>
      <c r="AZ8" s="223"/>
      <c r="BE8" s="235"/>
      <c r="BF8" s="236"/>
      <c r="BG8" s="229">
        <f>COUNTA(C10:C23)</f>
        <v>14</v>
      </c>
      <c r="BH8" s="232"/>
      <c r="BI8" s="229">
        <f>COUNTIF(AS10:AT23,"OK")+COUNTIF(AY10:AZ23,"OK")</f>
        <v>14</v>
      </c>
      <c r="BJ8" s="232"/>
      <c r="BK8" s="229">
        <f>BG8-BI8</f>
        <v>0</v>
      </c>
      <c r="BL8" s="23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9" t="s">
        <v>25</v>
      </c>
      <c r="AP9" s="220"/>
      <c r="AQ9" s="217" t="s">
        <v>26</v>
      </c>
      <c r="AR9" s="220"/>
      <c r="AS9" s="217" t="s">
        <v>29</v>
      </c>
      <c r="AT9" s="218"/>
      <c r="AU9" s="219" t="s">
        <v>25</v>
      </c>
      <c r="AV9" s="220"/>
      <c r="AW9" s="217" t="s">
        <v>26</v>
      </c>
      <c r="AX9" s="220"/>
      <c r="AY9" s="217" t="s">
        <v>29</v>
      </c>
      <c r="AZ9" s="218"/>
      <c r="BA9" s="221" t="s">
        <v>27</v>
      </c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02" t="s">
        <v>60</v>
      </c>
      <c r="E10" s="203"/>
      <c r="F10" s="203"/>
      <c r="G10" s="204"/>
      <c r="H10" s="202" t="s">
        <v>42</v>
      </c>
      <c r="I10" s="203"/>
      <c r="J10" s="203"/>
      <c r="K10" s="204"/>
      <c r="L10" s="213" t="s">
        <v>44</v>
      </c>
      <c r="M10" s="214"/>
      <c r="N10" s="214"/>
      <c r="O10" s="215"/>
      <c r="P10" s="207" t="s">
        <v>75</v>
      </c>
      <c r="Q10" s="205"/>
      <c r="R10" s="205"/>
      <c r="S10" s="205"/>
      <c r="T10" s="205"/>
      <c r="U10" s="205"/>
      <c r="V10" s="205"/>
      <c r="W10" s="206"/>
      <c r="X10" s="207" t="s">
        <v>51</v>
      </c>
      <c r="Y10" s="205"/>
      <c r="Z10" s="205"/>
      <c r="AA10" s="205"/>
      <c r="AB10" s="205"/>
      <c r="AC10" s="205"/>
      <c r="AD10" s="205"/>
      <c r="AE10" s="206"/>
      <c r="AF10" s="207"/>
      <c r="AG10" s="205"/>
      <c r="AH10" s="205"/>
      <c r="AI10" s="205"/>
      <c r="AJ10" s="205"/>
      <c r="AK10" s="205"/>
      <c r="AL10" s="205"/>
      <c r="AM10" s="205"/>
      <c r="AN10" s="226"/>
      <c r="AO10" s="208">
        <v>45681</v>
      </c>
      <c r="AP10" s="209"/>
      <c r="AQ10" s="178" t="s">
        <v>92</v>
      </c>
      <c r="AR10" s="180"/>
      <c r="AS10" s="178" t="s">
        <v>93</v>
      </c>
      <c r="AT10" s="201"/>
      <c r="AU10" s="208"/>
      <c r="AV10" s="209"/>
      <c r="AW10" s="178"/>
      <c r="AX10" s="180"/>
      <c r="AY10" s="178"/>
      <c r="AZ10" s="201"/>
      <c r="BA10" s="22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25"/>
      <c r="BM10" s="56"/>
      <c r="BN10" s="56"/>
    </row>
    <row r="11" spans="1:66" ht="24" customHeight="1" x14ac:dyDescent="0.45">
      <c r="A11" s="55"/>
      <c r="B11" s="55"/>
      <c r="C11" s="72">
        <f t="shared" ref="C11:C23" si="0">ROW()-9</f>
        <v>2</v>
      </c>
      <c r="D11" s="59"/>
      <c r="E11" s="60"/>
      <c r="F11" s="60"/>
      <c r="G11" s="61"/>
      <c r="H11" s="59"/>
      <c r="I11" s="60"/>
      <c r="J11" s="60"/>
      <c r="K11" s="61"/>
      <c r="L11" s="154" t="s">
        <v>45</v>
      </c>
      <c r="M11" s="147"/>
      <c r="N11" s="147"/>
      <c r="O11" s="155"/>
      <c r="P11" s="207" t="s">
        <v>75</v>
      </c>
      <c r="Q11" s="205"/>
      <c r="R11" s="205"/>
      <c r="S11" s="205"/>
      <c r="T11" s="205"/>
      <c r="U11" s="205"/>
      <c r="V11" s="205"/>
      <c r="W11" s="206"/>
      <c r="X11" s="207" t="s">
        <v>51</v>
      </c>
      <c r="Y11" s="205"/>
      <c r="Z11" s="205"/>
      <c r="AA11" s="205"/>
      <c r="AB11" s="205"/>
      <c r="AC11" s="205"/>
      <c r="AD11" s="205"/>
      <c r="AE11" s="206"/>
      <c r="AF11" s="35"/>
      <c r="AG11" s="87"/>
      <c r="AH11" s="87"/>
      <c r="AI11" s="87"/>
      <c r="AJ11" s="87"/>
      <c r="AK11" s="87"/>
      <c r="AL11" s="87"/>
      <c r="AM11" s="87"/>
      <c r="AN11" s="91"/>
      <c r="AO11" s="208">
        <v>45681</v>
      </c>
      <c r="AP11" s="209"/>
      <c r="AQ11" s="178" t="s">
        <v>92</v>
      </c>
      <c r="AR11" s="180"/>
      <c r="AS11" s="178" t="s">
        <v>93</v>
      </c>
      <c r="AT11" s="201"/>
      <c r="AU11" s="92"/>
      <c r="AV11" s="93"/>
      <c r="AW11" s="85"/>
      <c r="AX11" s="84"/>
      <c r="AY11" s="85"/>
      <c r="AZ11" s="94"/>
      <c r="BA11" s="88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90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54" t="s">
        <v>68</v>
      </c>
      <c r="M12" s="147"/>
      <c r="N12" s="147"/>
      <c r="O12" s="155"/>
      <c r="P12" s="207" t="s">
        <v>75</v>
      </c>
      <c r="Q12" s="205"/>
      <c r="R12" s="205"/>
      <c r="S12" s="205"/>
      <c r="T12" s="205"/>
      <c r="U12" s="205"/>
      <c r="V12" s="205"/>
      <c r="W12" s="206"/>
      <c r="X12" s="207" t="s">
        <v>47</v>
      </c>
      <c r="Y12" s="205"/>
      <c r="Z12" s="205"/>
      <c r="AA12" s="205"/>
      <c r="AB12" s="205"/>
      <c r="AC12" s="205"/>
      <c r="AD12" s="205"/>
      <c r="AE12" s="206"/>
      <c r="AF12" s="86"/>
      <c r="AG12" s="87"/>
      <c r="AH12" s="87"/>
      <c r="AI12" s="87"/>
      <c r="AJ12" s="87"/>
      <c r="AK12" s="87"/>
      <c r="AL12" s="87"/>
      <c r="AM12" s="87"/>
      <c r="AN12" s="91"/>
      <c r="AO12" s="208">
        <v>45681</v>
      </c>
      <c r="AP12" s="209"/>
      <c r="AQ12" s="178" t="s">
        <v>92</v>
      </c>
      <c r="AR12" s="180"/>
      <c r="AS12" s="178" t="s">
        <v>93</v>
      </c>
      <c r="AT12" s="201"/>
      <c r="AU12" s="92"/>
      <c r="AV12" s="93"/>
      <c r="AW12" s="85"/>
      <c r="AX12" s="84"/>
      <c r="AY12" s="85"/>
      <c r="AZ12" s="94"/>
      <c r="BA12" s="88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90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54" t="s">
        <v>69</v>
      </c>
      <c r="M13" s="147"/>
      <c r="N13" s="147"/>
      <c r="O13" s="155"/>
      <c r="P13" s="207" t="s">
        <v>75</v>
      </c>
      <c r="Q13" s="205"/>
      <c r="R13" s="205"/>
      <c r="S13" s="205"/>
      <c r="T13" s="205"/>
      <c r="U13" s="205"/>
      <c r="V13" s="205"/>
      <c r="W13" s="206"/>
      <c r="X13" s="207" t="s">
        <v>51</v>
      </c>
      <c r="Y13" s="205"/>
      <c r="Z13" s="205"/>
      <c r="AA13" s="205"/>
      <c r="AB13" s="205"/>
      <c r="AC13" s="205"/>
      <c r="AD13" s="205"/>
      <c r="AE13" s="206"/>
      <c r="AF13" s="86"/>
      <c r="AG13" s="87"/>
      <c r="AH13" s="87"/>
      <c r="AI13" s="87"/>
      <c r="AJ13" s="87"/>
      <c r="AK13" s="87"/>
      <c r="AL13" s="87"/>
      <c r="AM13" s="87"/>
      <c r="AN13" s="91"/>
      <c r="AO13" s="208">
        <v>45681</v>
      </c>
      <c r="AP13" s="209"/>
      <c r="AQ13" s="178" t="s">
        <v>92</v>
      </c>
      <c r="AR13" s="180"/>
      <c r="AS13" s="178" t="s">
        <v>93</v>
      </c>
      <c r="AT13" s="201"/>
      <c r="AU13" s="92"/>
      <c r="AV13" s="93"/>
      <c r="AW13" s="85"/>
      <c r="AX13" s="84"/>
      <c r="AY13" s="85"/>
      <c r="AZ13" s="94"/>
      <c r="BA13" s="88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90"/>
      <c r="BM13" s="56"/>
      <c r="BN13" s="56"/>
    </row>
    <row r="14" spans="1:66" ht="24" customHeight="1" x14ac:dyDescent="0.45">
      <c r="A14" s="55"/>
      <c r="B14" s="55"/>
      <c r="C14" s="72">
        <f t="shared" si="0"/>
        <v>5</v>
      </c>
      <c r="D14" s="59"/>
      <c r="E14" s="60"/>
      <c r="F14" s="60"/>
      <c r="G14" s="61"/>
      <c r="H14" s="59"/>
      <c r="I14" s="60"/>
      <c r="J14" s="60"/>
      <c r="K14" s="61"/>
      <c r="L14" s="154" t="s">
        <v>70</v>
      </c>
      <c r="M14" s="147"/>
      <c r="N14" s="147"/>
      <c r="O14" s="155"/>
      <c r="P14" s="207" t="s">
        <v>75</v>
      </c>
      <c r="Q14" s="205"/>
      <c r="R14" s="205"/>
      <c r="S14" s="205"/>
      <c r="T14" s="205"/>
      <c r="U14" s="205"/>
      <c r="V14" s="205"/>
      <c r="W14" s="206"/>
      <c r="X14" s="207" t="s">
        <v>50</v>
      </c>
      <c r="Y14" s="205"/>
      <c r="Z14" s="205"/>
      <c r="AA14" s="205"/>
      <c r="AB14" s="205"/>
      <c r="AC14" s="205"/>
      <c r="AD14" s="205"/>
      <c r="AE14" s="206"/>
      <c r="AF14" s="86"/>
      <c r="AG14" s="87"/>
      <c r="AH14" s="87"/>
      <c r="AI14" s="87"/>
      <c r="AJ14" s="87"/>
      <c r="AK14" s="87"/>
      <c r="AL14" s="87"/>
      <c r="AM14" s="87"/>
      <c r="AN14" s="91"/>
      <c r="AO14" s="208">
        <v>45681</v>
      </c>
      <c r="AP14" s="209"/>
      <c r="AQ14" s="178" t="s">
        <v>92</v>
      </c>
      <c r="AR14" s="180"/>
      <c r="AS14" s="178" t="s">
        <v>93</v>
      </c>
      <c r="AT14" s="201"/>
      <c r="AU14" s="92"/>
      <c r="AV14" s="93"/>
      <c r="AW14" s="85"/>
      <c r="AX14" s="84"/>
      <c r="AY14" s="85"/>
      <c r="AZ14" s="94"/>
      <c r="BA14" s="88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90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213" t="s">
        <v>71</v>
      </c>
      <c r="M15" s="214"/>
      <c r="N15" s="214"/>
      <c r="O15" s="215"/>
      <c r="P15" s="207" t="s">
        <v>75</v>
      </c>
      <c r="Q15" s="205"/>
      <c r="R15" s="205"/>
      <c r="S15" s="205"/>
      <c r="T15" s="205"/>
      <c r="U15" s="205"/>
      <c r="V15" s="205"/>
      <c r="W15" s="206"/>
      <c r="X15" s="207" t="s">
        <v>47</v>
      </c>
      <c r="Y15" s="205"/>
      <c r="Z15" s="205"/>
      <c r="AA15" s="205"/>
      <c r="AB15" s="205"/>
      <c r="AC15" s="205"/>
      <c r="AD15" s="205"/>
      <c r="AE15" s="206"/>
      <c r="AF15" s="86"/>
      <c r="AG15" s="87"/>
      <c r="AH15" s="87"/>
      <c r="AI15" s="87"/>
      <c r="AJ15" s="87"/>
      <c r="AK15" s="87"/>
      <c r="AL15" s="87"/>
      <c r="AM15" s="87"/>
      <c r="AN15" s="91"/>
      <c r="AO15" s="208">
        <v>45681</v>
      </c>
      <c r="AP15" s="209"/>
      <c r="AQ15" s="178" t="s">
        <v>92</v>
      </c>
      <c r="AR15" s="180"/>
      <c r="AS15" s="178" t="s">
        <v>93</v>
      </c>
      <c r="AT15" s="201"/>
      <c r="AU15" s="92"/>
      <c r="AV15" s="93"/>
      <c r="AW15" s="85"/>
      <c r="AX15" s="84"/>
      <c r="AY15" s="85"/>
      <c r="AZ15" s="94"/>
      <c r="BA15" s="88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90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54" t="s">
        <v>72</v>
      </c>
      <c r="M16" s="147"/>
      <c r="N16" s="147"/>
      <c r="O16" s="155"/>
      <c r="P16" s="207" t="s">
        <v>75</v>
      </c>
      <c r="Q16" s="205"/>
      <c r="R16" s="205"/>
      <c r="S16" s="205"/>
      <c r="T16" s="205"/>
      <c r="U16" s="205"/>
      <c r="V16" s="205"/>
      <c r="W16" s="206"/>
      <c r="X16" s="207" t="s">
        <v>47</v>
      </c>
      <c r="Y16" s="205"/>
      <c r="Z16" s="205"/>
      <c r="AA16" s="205"/>
      <c r="AB16" s="205"/>
      <c r="AC16" s="205"/>
      <c r="AD16" s="205"/>
      <c r="AE16" s="206"/>
      <c r="AF16" s="207"/>
      <c r="AG16" s="205"/>
      <c r="AH16" s="205"/>
      <c r="AI16" s="205"/>
      <c r="AJ16" s="205"/>
      <c r="AK16" s="205"/>
      <c r="AL16" s="205"/>
      <c r="AM16" s="205"/>
      <c r="AN16" s="226"/>
      <c r="AO16" s="208">
        <v>45681</v>
      </c>
      <c r="AP16" s="209"/>
      <c r="AQ16" s="178" t="s">
        <v>92</v>
      </c>
      <c r="AR16" s="180"/>
      <c r="AS16" s="178" t="s">
        <v>93</v>
      </c>
      <c r="AT16" s="201"/>
      <c r="AU16" s="92"/>
      <c r="AV16" s="93"/>
      <c r="AW16" s="85"/>
      <c r="AX16" s="84"/>
      <c r="AY16" s="85"/>
      <c r="AZ16" s="94"/>
      <c r="BA16" s="88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90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153" t="s">
        <v>48</v>
      </c>
      <c r="I17" s="145"/>
      <c r="J17" s="145"/>
      <c r="K17" s="152"/>
      <c r="L17" s="213" t="s">
        <v>44</v>
      </c>
      <c r="M17" s="214"/>
      <c r="N17" s="214"/>
      <c r="O17" s="215"/>
      <c r="P17" s="35" t="s">
        <v>49</v>
      </c>
      <c r="Q17" s="99"/>
      <c r="R17" s="99"/>
      <c r="S17" s="99"/>
      <c r="T17" s="99"/>
      <c r="U17" s="99"/>
      <c r="V17" s="99"/>
      <c r="W17" s="100"/>
      <c r="X17" s="207" t="s">
        <v>76</v>
      </c>
      <c r="Y17" s="205"/>
      <c r="Z17" s="205"/>
      <c r="AA17" s="205"/>
      <c r="AB17" s="205"/>
      <c r="AC17" s="205"/>
      <c r="AD17" s="205"/>
      <c r="AE17" s="206"/>
      <c r="AF17" s="207"/>
      <c r="AG17" s="205"/>
      <c r="AH17" s="205"/>
      <c r="AI17" s="205"/>
      <c r="AJ17" s="205"/>
      <c r="AK17" s="205"/>
      <c r="AL17" s="205"/>
      <c r="AM17" s="205"/>
      <c r="AN17" s="226"/>
      <c r="AO17" s="208">
        <v>45715</v>
      </c>
      <c r="AP17" s="209"/>
      <c r="AQ17" s="178" t="s">
        <v>107</v>
      </c>
      <c r="AR17" s="180"/>
      <c r="AS17" s="178" t="s">
        <v>93</v>
      </c>
      <c r="AT17" s="201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54" t="s">
        <v>45</v>
      </c>
      <c r="M18" s="147"/>
      <c r="N18" s="147"/>
      <c r="O18" s="155"/>
      <c r="P18" s="110" t="s">
        <v>49</v>
      </c>
      <c r="Q18" s="60"/>
      <c r="R18" s="60"/>
      <c r="S18" s="60"/>
      <c r="T18" s="60"/>
      <c r="U18" s="60"/>
      <c r="V18" s="60"/>
      <c r="W18" s="60"/>
      <c r="X18" s="207" t="s">
        <v>76</v>
      </c>
      <c r="Y18" s="205"/>
      <c r="Z18" s="205"/>
      <c r="AA18" s="205"/>
      <c r="AB18" s="205"/>
      <c r="AC18" s="205"/>
      <c r="AD18" s="205"/>
      <c r="AE18" s="206"/>
      <c r="AF18" s="207"/>
      <c r="AG18" s="205"/>
      <c r="AH18" s="205"/>
      <c r="AI18" s="205"/>
      <c r="AJ18" s="205"/>
      <c r="AK18" s="205"/>
      <c r="AL18" s="205"/>
      <c r="AM18" s="205"/>
      <c r="AN18" s="226"/>
      <c r="AO18" s="208">
        <v>45715</v>
      </c>
      <c r="AP18" s="209"/>
      <c r="AQ18" s="178" t="s">
        <v>107</v>
      </c>
      <c r="AR18" s="180"/>
      <c r="AS18" s="178" t="s">
        <v>93</v>
      </c>
      <c r="AT18" s="201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54" t="s">
        <v>68</v>
      </c>
      <c r="M19" s="147"/>
      <c r="N19" s="147"/>
      <c r="O19" s="155"/>
      <c r="P19" s="35" t="s">
        <v>49</v>
      </c>
      <c r="Q19" s="99"/>
      <c r="R19" s="99"/>
      <c r="S19" s="99"/>
      <c r="T19" s="99"/>
      <c r="U19" s="99"/>
      <c r="V19" s="99"/>
      <c r="W19" s="100"/>
      <c r="X19" s="207" t="s">
        <v>76</v>
      </c>
      <c r="Y19" s="205"/>
      <c r="Z19" s="205"/>
      <c r="AA19" s="205"/>
      <c r="AB19" s="205"/>
      <c r="AC19" s="205"/>
      <c r="AD19" s="205"/>
      <c r="AE19" s="206"/>
      <c r="AF19" s="207"/>
      <c r="AG19" s="205"/>
      <c r="AH19" s="205"/>
      <c r="AI19" s="205"/>
      <c r="AJ19" s="205"/>
      <c r="AK19" s="205"/>
      <c r="AL19" s="205"/>
      <c r="AM19" s="205"/>
      <c r="AN19" s="226"/>
      <c r="AO19" s="208">
        <v>45715</v>
      </c>
      <c r="AP19" s="209"/>
      <c r="AQ19" s="178" t="s">
        <v>107</v>
      </c>
      <c r="AR19" s="180"/>
      <c r="AS19" s="178" t="s">
        <v>93</v>
      </c>
      <c r="AT19" s="201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54" t="s">
        <v>69</v>
      </c>
      <c r="M20" s="147"/>
      <c r="N20" s="147"/>
      <c r="O20" s="155"/>
      <c r="P20" s="112" t="s">
        <v>49</v>
      </c>
      <c r="Q20" s="60"/>
      <c r="R20" s="60"/>
      <c r="S20" s="60"/>
      <c r="T20" s="60"/>
      <c r="U20" s="60"/>
      <c r="V20" s="60"/>
      <c r="W20" s="60"/>
      <c r="X20" s="207" t="s">
        <v>76</v>
      </c>
      <c r="Y20" s="205"/>
      <c r="Z20" s="205"/>
      <c r="AA20" s="205"/>
      <c r="AB20" s="205"/>
      <c r="AC20" s="205"/>
      <c r="AD20" s="205"/>
      <c r="AE20" s="206"/>
      <c r="AF20" s="207"/>
      <c r="AG20" s="205"/>
      <c r="AH20" s="205"/>
      <c r="AI20" s="205"/>
      <c r="AJ20" s="205"/>
      <c r="AK20" s="205"/>
      <c r="AL20" s="205"/>
      <c r="AM20" s="205"/>
      <c r="AN20" s="226"/>
      <c r="AO20" s="208">
        <v>45715</v>
      </c>
      <c r="AP20" s="209"/>
      <c r="AQ20" s="178" t="s">
        <v>107</v>
      </c>
      <c r="AR20" s="180"/>
      <c r="AS20" s="178" t="s">
        <v>93</v>
      </c>
      <c r="AT20" s="201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54" t="s">
        <v>70</v>
      </c>
      <c r="M21" s="147"/>
      <c r="N21" s="147"/>
      <c r="O21" s="155"/>
      <c r="P21" s="35" t="s">
        <v>49</v>
      </c>
      <c r="Q21" s="99"/>
      <c r="R21" s="99"/>
      <c r="S21" s="99"/>
      <c r="T21" s="99"/>
      <c r="U21" s="99"/>
      <c r="V21" s="99"/>
      <c r="W21" s="100"/>
      <c r="X21" s="207" t="s">
        <v>76</v>
      </c>
      <c r="Y21" s="205"/>
      <c r="Z21" s="205"/>
      <c r="AA21" s="205"/>
      <c r="AB21" s="205"/>
      <c r="AC21" s="205"/>
      <c r="AD21" s="205"/>
      <c r="AE21" s="206"/>
      <c r="AF21" s="207"/>
      <c r="AG21" s="205"/>
      <c r="AH21" s="205"/>
      <c r="AI21" s="205"/>
      <c r="AJ21" s="205"/>
      <c r="AK21" s="205"/>
      <c r="AL21" s="205"/>
      <c r="AM21" s="205"/>
      <c r="AN21" s="226"/>
      <c r="AO21" s="208">
        <v>45715</v>
      </c>
      <c r="AP21" s="209"/>
      <c r="AQ21" s="178" t="s">
        <v>107</v>
      </c>
      <c r="AR21" s="180"/>
      <c r="AS21" s="178" t="s">
        <v>93</v>
      </c>
      <c r="AT21" s="201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213" t="s">
        <v>71</v>
      </c>
      <c r="M22" s="214"/>
      <c r="N22" s="214"/>
      <c r="O22" s="215"/>
      <c r="P22" s="35" t="s">
        <v>49</v>
      </c>
      <c r="Q22" s="99"/>
      <c r="R22" s="99"/>
      <c r="S22" s="99"/>
      <c r="T22" s="99"/>
      <c r="U22" s="99"/>
      <c r="V22" s="99"/>
      <c r="W22" s="100"/>
      <c r="X22" s="207" t="s">
        <v>76</v>
      </c>
      <c r="Y22" s="205"/>
      <c r="Z22" s="205"/>
      <c r="AA22" s="205"/>
      <c r="AB22" s="205"/>
      <c r="AC22" s="205"/>
      <c r="AD22" s="205"/>
      <c r="AE22" s="206"/>
      <c r="AF22" s="98"/>
      <c r="AG22" s="99"/>
      <c r="AH22" s="99"/>
      <c r="AI22" s="99"/>
      <c r="AJ22" s="99"/>
      <c r="AK22" s="99"/>
      <c r="AL22" s="99"/>
      <c r="AM22" s="99"/>
      <c r="AN22" s="104"/>
      <c r="AO22" s="208">
        <v>45715</v>
      </c>
      <c r="AP22" s="209"/>
      <c r="AQ22" s="178" t="s">
        <v>107</v>
      </c>
      <c r="AR22" s="180"/>
      <c r="AS22" s="178" t="s">
        <v>93</v>
      </c>
      <c r="AT22" s="201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thickBot="1" x14ac:dyDescent="0.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4" t="s">
        <v>72</v>
      </c>
      <c r="M23" s="147"/>
      <c r="N23" s="147"/>
      <c r="O23" s="155"/>
      <c r="P23" s="111" t="s">
        <v>49</v>
      </c>
      <c r="Q23" s="99"/>
      <c r="R23" s="99"/>
      <c r="S23" s="99"/>
      <c r="T23" s="99"/>
      <c r="U23" s="99"/>
      <c r="V23" s="99"/>
      <c r="W23" s="100"/>
      <c r="X23" s="207" t="s">
        <v>76</v>
      </c>
      <c r="Y23" s="205"/>
      <c r="Z23" s="205"/>
      <c r="AA23" s="205"/>
      <c r="AB23" s="205"/>
      <c r="AC23" s="205"/>
      <c r="AD23" s="205"/>
      <c r="AE23" s="206"/>
      <c r="AF23" s="98"/>
      <c r="AG23" s="99"/>
      <c r="AH23" s="99"/>
      <c r="AI23" s="99"/>
      <c r="AJ23" s="99"/>
      <c r="AK23" s="99"/>
      <c r="AL23" s="99"/>
      <c r="AM23" s="99"/>
      <c r="AN23" s="104"/>
      <c r="AO23" s="208">
        <v>45715</v>
      </c>
      <c r="AP23" s="209"/>
      <c r="AQ23" s="178" t="s">
        <v>107</v>
      </c>
      <c r="AR23" s="180"/>
      <c r="AS23" s="178" t="s">
        <v>93</v>
      </c>
      <c r="AT23" s="201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0.100000000000001" customHeight="1" thickTop="1" thickBot="1" x14ac:dyDescent="0.5">
      <c r="A24" s="55"/>
      <c r="B24" s="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8"/>
      <c r="Q24" s="18"/>
      <c r="R24" s="18"/>
      <c r="S24" s="18"/>
      <c r="T24" s="18"/>
      <c r="U24" s="18"/>
      <c r="V24" s="18"/>
      <c r="W24" s="18"/>
      <c r="X24" s="18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8"/>
      <c r="BN24" s="56"/>
    </row>
    <row r="25" spans="1:66" ht="5.0999999999999996" customHeight="1" thickTop="1" x14ac:dyDescent="0.4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</row>
    <row r="26" spans="1:66" ht="20.100000000000001" customHeight="1" x14ac:dyDescent="0.4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</row>
  </sheetData>
  <mergeCells count="116">
    <mergeCell ref="AO23:AP23"/>
    <mergeCell ref="AQ23:AR23"/>
    <mergeCell ref="AS23:AT23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AO16:AP16"/>
    <mergeCell ref="AQ16:AR16"/>
    <mergeCell ref="AS16:AT16"/>
    <mergeCell ref="P16:W16"/>
    <mergeCell ref="X16:AE16"/>
    <mergeCell ref="AF16:AN16"/>
    <mergeCell ref="AS11:AT11"/>
    <mergeCell ref="AO12:AP12"/>
    <mergeCell ref="AQ12:AR12"/>
    <mergeCell ref="AS12:AT12"/>
    <mergeCell ref="AS15:AT15"/>
    <mergeCell ref="AO15:AP15"/>
    <mergeCell ref="AQ15:AR15"/>
    <mergeCell ref="AY9:AZ9"/>
    <mergeCell ref="AY10:AZ10"/>
    <mergeCell ref="P13:W13"/>
    <mergeCell ref="X13:AE13"/>
    <mergeCell ref="P14:W14"/>
    <mergeCell ref="X14:AE14"/>
    <mergeCell ref="P11:W11"/>
    <mergeCell ref="X11:AE11"/>
    <mergeCell ref="AO13:AP13"/>
    <mergeCell ref="AQ13:AR13"/>
    <mergeCell ref="AS13:AT13"/>
    <mergeCell ref="AO14:AP14"/>
    <mergeCell ref="AQ14:AR14"/>
    <mergeCell ref="AS14:AT14"/>
    <mergeCell ref="AO11:AP11"/>
    <mergeCell ref="AQ11:AR11"/>
    <mergeCell ref="BA10:BL10"/>
    <mergeCell ref="BB3:BE4"/>
    <mergeCell ref="BF3:BI4"/>
    <mergeCell ref="BJ3:BM4"/>
    <mergeCell ref="BE7:BF8"/>
    <mergeCell ref="BG7:BH7"/>
    <mergeCell ref="BI7:BJ7"/>
    <mergeCell ref="BK7:BL7"/>
    <mergeCell ref="BA9:BL9"/>
    <mergeCell ref="BJ2:BM2"/>
    <mergeCell ref="AU8:AZ8"/>
    <mergeCell ref="BG8:BH8"/>
    <mergeCell ref="BI8:BJ8"/>
    <mergeCell ref="BK8:BL8"/>
    <mergeCell ref="AK3:AW4"/>
    <mergeCell ref="AX3:BA4"/>
    <mergeCell ref="AO8:AT8"/>
    <mergeCell ref="AK2:AW2"/>
    <mergeCell ref="AX2:BA2"/>
    <mergeCell ref="BB2:BE2"/>
    <mergeCell ref="BF2:BI2"/>
    <mergeCell ref="X3:AJ4"/>
    <mergeCell ref="AS10:AT10"/>
    <mergeCell ref="AU10:AV10"/>
    <mergeCell ref="AW10:AX10"/>
    <mergeCell ref="AO9:AP9"/>
    <mergeCell ref="AQ9:AR9"/>
    <mergeCell ref="AS9:AT9"/>
    <mergeCell ref="AU9:AV9"/>
    <mergeCell ref="AW9:AX9"/>
    <mergeCell ref="X10:AE10"/>
    <mergeCell ref="AF10:AN10"/>
    <mergeCell ref="AO10:AP10"/>
    <mergeCell ref="AQ10:AR10"/>
    <mergeCell ref="X23:AE23"/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D10:G10"/>
    <mergeCell ref="H10:K10"/>
    <mergeCell ref="L10:O10"/>
    <mergeCell ref="P10:W10"/>
    <mergeCell ref="P12:W12"/>
    <mergeCell ref="X12:AE12"/>
    <mergeCell ref="L15:O15"/>
    <mergeCell ref="L22:O22"/>
    <mergeCell ref="AF21:AN21"/>
    <mergeCell ref="AF17:AN17"/>
    <mergeCell ref="AF18:AN18"/>
    <mergeCell ref="AF19:AN19"/>
    <mergeCell ref="AF20:AN20"/>
    <mergeCell ref="L17:O17"/>
    <mergeCell ref="X17:AE17"/>
    <mergeCell ref="X18:AE18"/>
    <mergeCell ref="X19:AE19"/>
    <mergeCell ref="X20:AE20"/>
    <mergeCell ref="X21:AE21"/>
    <mergeCell ref="X22:AE22"/>
    <mergeCell ref="P15:W15"/>
    <mergeCell ref="X15:AE15"/>
  </mergeCells>
  <phoneticPr fontId="2"/>
  <conditionalFormatting sqref="AY10:AY23">
    <cfRule type="cellIs" dxfId="27" priority="17" operator="equal">
      <formula>"OK"</formula>
    </cfRule>
    <cfRule type="cellIs" dxfId="26" priority="18" operator="equal">
      <formula>"NG"</formula>
    </cfRule>
  </conditionalFormatting>
  <conditionalFormatting sqref="AS10">
    <cfRule type="cellIs" dxfId="25" priority="15" operator="equal">
      <formula>"OK"</formula>
    </cfRule>
    <cfRule type="cellIs" dxfId="24" priority="16" operator="equal">
      <formula>"NG"</formula>
    </cfRule>
  </conditionalFormatting>
  <conditionalFormatting sqref="AS11">
    <cfRule type="cellIs" dxfId="23" priority="13" operator="equal">
      <formula>"OK"</formula>
    </cfRule>
    <cfRule type="cellIs" dxfId="22" priority="14" operator="equal">
      <formula>"NG"</formula>
    </cfRule>
  </conditionalFormatting>
  <conditionalFormatting sqref="AS12">
    <cfRule type="cellIs" dxfId="21" priority="11" operator="equal">
      <formula>"OK"</formula>
    </cfRule>
    <cfRule type="cellIs" dxfId="20" priority="12" operator="equal">
      <formula>"NG"</formula>
    </cfRule>
  </conditionalFormatting>
  <conditionalFormatting sqref="AS13">
    <cfRule type="cellIs" dxfId="19" priority="9" operator="equal">
      <formula>"OK"</formula>
    </cfRule>
    <cfRule type="cellIs" dxfId="18" priority="10" operator="equal">
      <formula>"NG"</formula>
    </cfRule>
  </conditionalFormatting>
  <conditionalFormatting sqref="AS14">
    <cfRule type="cellIs" dxfId="17" priority="7" operator="equal">
      <formula>"OK"</formula>
    </cfRule>
    <cfRule type="cellIs" dxfId="16" priority="8" operator="equal">
      <formula>"NG"</formula>
    </cfRule>
  </conditionalFormatting>
  <conditionalFormatting sqref="AS15">
    <cfRule type="cellIs" dxfId="15" priority="5" operator="equal">
      <formula>"OK"</formula>
    </cfRule>
    <cfRule type="cellIs" dxfId="14" priority="6" operator="equal">
      <formula>"NG"</formula>
    </cfRule>
  </conditionalFormatting>
  <conditionalFormatting sqref="AS16">
    <cfRule type="cellIs" dxfId="13" priority="3" operator="equal">
      <formula>"OK"</formula>
    </cfRule>
    <cfRule type="cellIs" dxfId="12" priority="4" operator="equal">
      <formula>"NG"</formula>
    </cfRule>
  </conditionalFormatting>
  <conditionalFormatting sqref="AS17:AS23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Y10:AY23 AS10:AS2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54" customWidth="1"/>
    <col min="2" max="65" width="3.69921875" style="54" customWidth="1"/>
    <col min="66" max="66" width="1.09765625" style="54" customWidth="1"/>
    <col min="67" max="16384" width="3.59765625" style="54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55"/>
      <c r="B2" s="200" t="s">
        <v>0</v>
      </c>
      <c r="C2" s="183"/>
      <c r="D2" s="183"/>
      <c r="E2" s="183"/>
      <c r="F2" s="183"/>
      <c r="G2" s="183"/>
      <c r="H2" s="183" t="s">
        <v>40</v>
      </c>
      <c r="I2" s="183"/>
      <c r="J2" s="183"/>
      <c r="K2" s="183"/>
      <c r="L2" s="183" t="s">
        <v>41</v>
      </c>
      <c r="M2" s="183"/>
      <c r="N2" s="183"/>
      <c r="O2" s="183"/>
      <c r="P2" s="183"/>
      <c r="Q2" s="183"/>
      <c r="R2" s="183" t="s">
        <v>1</v>
      </c>
      <c r="S2" s="183"/>
      <c r="T2" s="183"/>
      <c r="U2" s="183"/>
      <c r="V2" s="183"/>
      <c r="W2" s="183"/>
      <c r="X2" s="195" t="s">
        <v>2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30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83" t="s">
        <v>4</v>
      </c>
      <c r="AY2" s="183"/>
      <c r="AZ2" s="183"/>
      <c r="BA2" s="183"/>
      <c r="BB2" s="183" t="s">
        <v>3</v>
      </c>
      <c r="BC2" s="183"/>
      <c r="BD2" s="183"/>
      <c r="BE2" s="183"/>
      <c r="BF2" s="183" t="s">
        <v>5</v>
      </c>
      <c r="BG2" s="183"/>
      <c r="BH2" s="183"/>
      <c r="BI2" s="183"/>
      <c r="BJ2" s="183" t="s">
        <v>6</v>
      </c>
      <c r="BK2" s="183"/>
      <c r="BL2" s="183"/>
      <c r="BM2" s="184"/>
      <c r="BN2" s="56"/>
    </row>
    <row r="3" spans="1:66" ht="20.100000000000001" customHeight="1" x14ac:dyDescent="0.45">
      <c r="A3" s="55"/>
      <c r="B3" s="198" t="str">
        <f>変更履歴!B3</f>
        <v>受発注システム</v>
      </c>
      <c r="C3" s="186"/>
      <c r="D3" s="186"/>
      <c r="E3" s="186"/>
      <c r="F3" s="186"/>
      <c r="G3" s="186"/>
      <c r="H3" s="186" t="str">
        <f ca="1">変更履歴!H3</f>
        <v>マスタ</v>
      </c>
      <c r="I3" s="186"/>
      <c r="J3" s="186"/>
      <c r="K3" s="186"/>
      <c r="L3" s="186" t="str">
        <f>変更履歴!L3</f>
        <v>受発注</v>
      </c>
      <c r="M3" s="186"/>
      <c r="N3" s="186"/>
      <c r="O3" s="186"/>
      <c r="P3" s="186"/>
      <c r="Q3" s="186"/>
      <c r="R3" s="186" t="str">
        <f ca="1">変更履歴!R3</f>
        <v>結合試験項目</v>
      </c>
      <c r="S3" s="186"/>
      <c r="T3" s="186"/>
      <c r="U3" s="186"/>
      <c r="V3" s="186"/>
      <c r="W3" s="186"/>
      <c r="X3" s="189" t="str">
        <f ca="1">変更履歴!X3</f>
        <v>マスタ_担当者マスタ_結合試験項目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89" t="str">
        <f ca="1">変更履歴!AK3</f>
        <v>担当者マスタ</v>
      </c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1"/>
      <c r="AX3" s="185">
        <f>変更履歴!AX3</f>
        <v>45636</v>
      </c>
      <c r="AY3" s="185"/>
      <c r="AZ3" s="185"/>
      <c r="BA3" s="185"/>
      <c r="BB3" s="186" t="str">
        <f>変更履歴!BB3</f>
        <v>榎本</v>
      </c>
      <c r="BC3" s="186"/>
      <c r="BD3" s="186"/>
      <c r="BE3" s="186"/>
      <c r="BF3" s="185">
        <f>変更履歴!BF3</f>
        <v>45636</v>
      </c>
      <c r="BG3" s="185"/>
      <c r="BH3" s="185"/>
      <c r="BI3" s="185"/>
      <c r="BJ3" s="186" t="str">
        <f>変更履歴!BJ3</f>
        <v>榎本</v>
      </c>
      <c r="BK3" s="186"/>
      <c r="BL3" s="186"/>
      <c r="BM3" s="188"/>
      <c r="BN3" s="56"/>
    </row>
    <row r="4" spans="1:66" ht="20.100000000000001" customHeight="1" thickBot="1" x14ac:dyDescent="0.5">
      <c r="A4" s="55"/>
      <c r="B4" s="191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92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4"/>
      <c r="AK4" s="192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4"/>
      <c r="AX4" s="227"/>
      <c r="AY4" s="227"/>
      <c r="AZ4" s="227"/>
      <c r="BA4" s="227"/>
      <c r="BB4" s="187"/>
      <c r="BC4" s="187"/>
      <c r="BD4" s="187"/>
      <c r="BE4" s="187"/>
      <c r="BF4" s="227"/>
      <c r="BG4" s="227"/>
      <c r="BH4" s="227"/>
      <c r="BI4" s="227"/>
      <c r="BJ4" s="187"/>
      <c r="BK4" s="187"/>
      <c r="BL4" s="187"/>
      <c r="BM4" s="189"/>
      <c r="BN4" s="5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5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56"/>
    </row>
    <row r="7" spans="1:66" ht="13.8" thickTop="1" thickBot="1" x14ac:dyDescent="0.5">
      <c r="A7" s="55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33" t="s">
        <v>32</v>
      </c>
      <c r="BF7" s="234"/>
      <c r="BG7" s="237" t="s">
        <v>31</v>
      </c>
      <c r="BH7" s="237"/>
      <c r="BI7" s="228" t="s">
        <v>33</v>
      </c>
      <c r="BJ7" s="238"/>
      <c r="BK7" s="228" t="s">
        <v>34</v>
      </c>
      <c r="BL7" s="223"/>
      <c r="BM7" s="8"/>
      <c r="BN7" s="56"/>
    </row>
    <row r="8" spans="1:66" ht="13.8" thickTop="1" thickBot="1" x14ac:dyDescent="0.5">
      <c r="A8" s="55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31" t="s">
        <v>35</v>
      </c>
      <c r="AP8" s="222"/>
      <c r="AQ8" s="222"/>
      <c r="AR8" s="222"/>
      <c r="AS8" s="222"/>
      <c r="AT8" s="223"/>
      <c r="AU8" s="231" t="s">
        <v>36</v>
      </c>
      <c r="AV8" s="222"/>
      <c r="AW8" s="222"/>
      <c r="AX8" s="222"/>
      <c r="AY8" s="222"/>
      <c r="AZ8" s="223"/>
      <c r="BE8" s="235"/>
      <c r="BF8" s="236"/>
      <c r="BG8" s="229">
        <f>COUNTA(C10:C24)</f>
        <v>15</v>
      </c>
      <c r="BH8" s="232"/>
      <c r="BI8" s="229">
        <f>COUNTIF(AS10:AT24,"OK")+COUNTIF(AY10:AZ24,"OK")</f>
        <v>15</v>
      </c>
      <c r="BJ8" s="232"/>
      <c r="BK8" s="229">
        <f>BG8-BI8</f>
        <v>0</v>
      </c>
      <c r="BL8" s="230"/>
      <c r="BM8" s="8"/>
      <c r="BN8" s="56"/>
    </row>
    <row r="9" spans="1:66" ht="20.100000000000001" customHeight="1" thickTop="1" x14ac:dyDescent="0.45">
      <c r="A9" s="55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19" t="s">
        <v>25</v>
      </c>
      <c r="AP9" s="220"/>
      <c r="AQ9" s="217" t="s">
        <v>26</v>
      </c>
      <c r="AR9" s="220"/>
      <c r="AS9" s="217" t="s">
        <v>29</v>
      </c>
      <c r="AT9" s="218"/>
      <c r="AU9" s="219" t="s">
        <v>25</v>
      </c>
      <c r="AV9" s="220"/>
      <c r="AW9" s="217" t="s">
        <v>26</v>
      </c>
      <c r="AX9" s="220"/>
      <c r="AY9" s="217" t="s">
        <v>29</v>
      </c>
      <c r="AZ9" s="218"/>
      <c r="BA9" s="221" t="s">
        <v>27</v>
      </c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3"/>
      <c r="BM9" s="56"/>
      <c r="BN9" s="56"/>
    </row>
    <row r="10" spans="1:66" ht="24" customHeight="1" x14ac:dyDescent="0.45">
      <c r="A10" s="55"/>
      <c r="B10" s="55"/>
      <c r="C10" s="72">
        <f>ROW()-9</f>
        <v>1</v>
      </c>
      <c r="D10" s="202" t="s">
        <v>63</v>
      </c>
      <c r="E10" s="203"/>
      <c r="F10" s="203"/>
      <c r="G10" s="204"/>
      <c r="H10" s="202" t="s">
        <v>42</v>
      </c>
      <c r="I10" s="203"/>
      <c r="J10" s="203"/>
      <c r="K10" s="204"/>
      <c r="L10" s="213" t="s">
        <v>44</v>
      </c>
      <c r="M10" s="214"/>
      <c r="N10" s="214"/>
      <c r="O10" s="215"/>
      <c r="P10" s="207" t="s">
        <v>77</v>
      </c>
      <c r="Q10" s="205"/>
      <c r="R10" s="205"/>
      <c r="S10" s="205"/>
      <c r="T10" s="205"/>
      <c r="U10" s="205"/>
      <c r="V10" s="205"/>
      <c r="W10" s="206"/>
      <c r="X10" s="207" t="s">
        <v>74</v>
      </c>
      <c r="Y10" s="205"/>
      <c r="Z10" s="205"/>
      <c r="AA10" s="205"/>
      <c r="AB10" s="205"/>
      <c r="AC10" s="205"/>
      <c r="AD10" s="205"/>
      <c r="AE10" s="206"/>
      <c r="AF10" s="207"/>
      <c r="AG10" s="205"/>
      <c r="AH10" s="205"/>
      <c r="AI10" s="205"/>
      <c r="AJ10" s="205"/>
      <c r="AK10" s="205"/>
      <c r="AL10" s="205"/>
      <c r="AM10" s="205"/>
      <c r="AN10" s="226"/>
      <c r="AO10" s="208">
        <v>45681</v>
      </c>
      <c r="AP10" s="209"/>
      <c r="AQ10" s="178" t="s">
        <v>92</v>
      </c>
      <c r="AR10" s="180"/>
      <c r="AS10" s="178" t="s">
        <v>93</v>
      </c>
      <c r="AT10" s="201"/>
      <c r="AU10" s="208"/>
      <c r="AV10" s="209"/>
      <c r="AW10" s="178"/>
      <c r="AX10" s="180"/>
      <c r="AY10" s="178"/>
      <c r="AZ10" s="201"/>
      <c r="BA10" s="22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25"/>
      <c r="BM10" s="56"/>
      <c r="BN10" s="56"/>
    </row>
    <row r="11" spans="1:66" ht="24" customHeight="1" x14ac:dyDescent="0.45">
      <c r="A11" s="55"/>
      <c r="B11" s="55"/>
      <c r="C11" s="72">
        <f t="shared" ref="C11:C24" si="0">ROW()-9</f>
        <v>2</v>
      </c>
      <c r="D11" s="59"/>
      <c r="E11" s="60"/>
      <c r="F11" s="60"/>
      <c r="G11" s="61"/>
      <c r="H11" s="59"/>
      <c r="I11" s="60"/>
      <c r="J11" s="60"/>
      <c r="K11" s="61"/>
      <c r="L11" s="154" t="s">
        <v>45</v>
      </c>
      <c r="M11" s="147"/>
      <c r="N11" s="147"/>
      <c r="O11" s="155"/>
      <c r="P11" s="207" t="s">
        <v>77</v>
      </c>
      <c r="Q11" s="205"/>
      <c r="R11" s="205"/>
      <c r="S11" s="205"/>
      <c r="T11" s="205"/>
      <c r="U11" s="205"/>
      <c r="V11" s="205"/>
      <c r="W11" s="206"/>
      <c r="X11" s="207" t="s">
        <v>74</v>
      </c>
      <c r="Y11" s="205"/>
      <c r="Z11" s="205"/>
      <c r="AA11" s="205"/>
      <c r="AB11" s="205"/>
      <c r="AC11" s="205"/>
      <c r="AD11" s="205"/>
      <c r="AE11" s="206"/>
      <c r="AF11" s="35"/>
      <c r="AG11" s="99"/>
      <c r="AH11" s="99"/>
      <c r="AI11" s="99"/>
      <c r="AJ11" s="99"/>
      <c r="AK11" s="99"/>
      <c r="AL11" s="99"/>
      <c r="AM11" s="99"/>
      <c r="AN11" s="104"/>
      <c r="AO11" s="208">
        <v>45681</v>
      </c>
      <c r="AP11" s="209"/>
      <c r="AQ11" s="178" t="s">
        <v>92</v>
      </c>
      <c r="AR11" s="180"/>
      <c r="AS11" s="178" t="s">
        <v>93</v>
      </c>
      <c r="AT11" s="201"/>
      <c r="AU11" s="105"/>
      <c r="AV11" s="106"/>
      <c r="AW11" s="96"/>
      <c r="AX11" s="97"/>
      <c r="AY11" s="96"/>
      <c r="AZ11" s="107"/>
      <c r="BA11" s="101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3"/>
      <c r="BM11" s="56"/>
      <c r="BN11" s="56"/>
    </row>
    <row r="12" spans="1:66" ht="24" customHeight="1" x14ac:dyDescent="0.45">
      <c r="A12" s="55"/>
      <c r="B12" s="55"/>
      <c r="C12" s="72">
        <f t="shared" si="0"/>
        <v>3</v>
      </c>
      <c r="D12" s="59"/>
      <c r="E12" s="60"/>
      <c r="F12" s="60"/>
      <c r="G12" s="61"/>
      <c r="H12" s="59"/>
      <c r="I12" s="60"/>
      <c r="J12" s="60"/>
      <c r="K12" s="61"/>
      <c r="L12" s="154" t="s">
        <v>68</v>
      </c>
      <c r="M12" s="147"/>
      <c r="N12" s="147"/>
      <c r="O12" s="155"/>
      <c r="P12" s="207" t="s">
        <v>77</v>
      </c>
      <c r="Q12" s="205"/>
      <c r="R12" s="205"/>
      <c r="S12" s="205"/>
      <c r="T12" s="205"/>
      <c r="U12" s="205"/>
      <c r="V12" s="205"/>
      <c r="W12" s="206"/>
      <c r="X12" s="207" t="s">
        <v>74</v>
      </c>
      <c r="Y12" s="205"/>
      <c r="Z12" s="205"/>
      <c r="AA12" s="205"/>
      <c r="AB12" s="205"/>
      <c r="AC12" s="205"/>
      <c r="AD12" s="205"/>
      <c r="AE12" s="206"/>
      <c r="AF12" s="98"/>
      <c r="AG12" s="99"/>
      <c r="AH12" s="99"/>
      <c r="AI12" s="99"/>
      <c r="AJ12" s="99"/>
      <c r="AK12" s="99"/>
      <c r="AL12" s="99"/>
      <c r="AM12" s="99"/>
      <c r="AN12" s="104"/>
      <c r="AO12" s="208">
        <v>45681</v>
      </c>
      <c r="AP12" s="209"/>
      <c r="AQ12" s="178" t="s">
        <v>92</v>
      </c>
      <c r="AR12" s="180"/>
      <c r="AS12" s="178" t="s">
        <v>93</v>
      </c>
      <c r="AT12" s="201"/>
      <c r="AU12" s="105"/>
      <c r="AV12" s="106"/>
      <c r="AW12" s="96"/>
      <c r="AX12" s="97"/>
      <c r="AY12" s="96"/>
      <c r="AZ12" s="107"/>
      <c r="BA12" s="101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3"/>
      <c r="BM12" s="56"/>
      <c r="BN12" s="56"/>
    </row>
    <row r="13" spans="1:66" ht="24" customHeight="1" x14ac:dyDescent="0.45">
      <c r="A13" s="55"/>
      <c r="B13" s="55"/>
      <c r="C13" s="72">
        <f t="shared" si="0"/>
        <v>4</v>
      </c>
      <c r="D13" s="59"/>
      <c r="E13" s="60"/>
      <c r="F13" s="60"/>
      <c r="G13" s="61"/>
      <c r="H13" s="59"/>
      <c r="I13" s="60"/>
      <c r="J13" s="60"/>
      <c r="K13" s="61"/>
      <c r="L13" s="154" t="s">
        <v>69</v>
      </c>
      <c r="M13" s="147"/>
      <c r="N13" s="147"/>
      <c r="O13" s="155"/>
      <c r="P13" s="207" t="s">
        <v>77</v>
      </c>
      <c r="Q13" s="205"/>
      <c r="R13" s="205"/>
      <c r="S13" s="205"/>
      <c r="T13" s="205"/>
      <c r="U13" s="205"/>
      <c r="V13" s="205"/>
      <c r="W13" s="206"/>
      <c r="X13" s="207" t="s">
        <v>74</v>
      </c>
      <c r="Y13" s="205"/>
      <c r="Z13" s="205"/>
      <c r="AA13" s="205"/>
      <c r="AB13" s="205"/>
      <c r="AC13" s="205"/>
      <c r="AD13" s="205"/>
      <c r="AE13" s="206"/>
      <c r="AF13" s="98"/>
      <c r="AG13" s="99"/>
      <c r="AH13" s="99"/>
      <c r="AI13" s="99"/>
      <c r="AJ13" s="99"/>
      <c r="AK13" s="99"/>
      <c r="AL13" s="99"/>
      <c r="AM13" s="99"/>
      <c r="AN13" s="104"/>
      <c r="AO13" s="208">
        <v>45681</v>
      </c>
      <c r="AP13" s="209"/>
      <c r="AQ13" s="178" t="s">
        <v>92</v>
      </c>
      <c r="AR13" s="180"/>
      <c r="AS13" s="178" t="s">
        <v>93</v>
      </c>
      <c r="AT13" s="201"/>
      <c r="AU13" s="105"/>
      <c r="AV13" s="106"/>
      <c r="AW13" s="96"/>
      <c r="AX13" s="97"/>
      <c r="AY13" s="96"/>
      <c r="AZ13" s="107"/>
      <c r="BA13" s="101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3"/>
      <c r="BM13" s="56"/>
      <c r="BN13" s="56"/>
    </row>
    <row r="14" spans="1:66" ht="24" customHeight="1" x14ac:dyDescent="0.45">
      <c r="A14" s="55"/>
      <c r="B14" s="55"/>
      <c r="C14" s="72">
        <f>ROW()-9</f>
        <v>5</v>
      </c>
      <c r="D14" s="59"/>
      <c r="E14" s="60"/>
      <c r="F14" s="60"/>
      <c r="G14" s="61"/>
      <c r="H14" s="59"/>
      <c r="I14" s="60"/>
      <c r="J14" s="60"/>
      <c r="K14" s="61"/>
      <c r="L14" s="154" t="s">
        <v>70</v>
      </c>
      <c r="M14" s="147"/>
      <c r="N14" s="147"/>
      <c r="O14" s="155"/>
      <c r="P14" s="207" t="s">
        <v>77</v>
      </c>
      <c r="Q14" s="205"/>
      <c r="R14" s="205"/>
      <c r="S14" s="205"/>
      <c r="T14" s="205"/>
      <c r="U14" s="205"/>
      <c r="V14" s="205"/>
      <c r="W14" s="206"/>
      <c r="X14" s="207" t="s">
        <v>74</v>
      </c>
      <c r="Y14" s="205"/>
      <c r="Z14" s="205"/>
      <c r="AA14" s="205"/>
      <c r="AB14" s="205"/>
      <c r="AC14" s="205"/>
      <c r="AD14" s="205"/>
      <c r="AE14" s="206"/>
      <c r="AF14" s="98"/>
      <c r="AG14" s="99"/>
      <c r="AH14" s="99"/>
      <c r="AI14" s="99"/>
      <c r="AJ14" s="99"/>
      <c r="AK14" s="99"/>
      <c r="AL14" s="99"/>
      <c r="AM14" s="99"/>
      <c r="AN14" s="104"/>
      <c r="AO14" s="208">
        <v>45681</v>
      </c>
      <c r="AP14" s="209"/>
      <c r="AQ14" s="178" t="s">
        <v>92</v>
      </c>
      <c r="AR14" s="180"/>
      <c r="AS14" s="178" t="s">
        <v>93</v>
      </c>
      <c r="AT14" s="201"/>
      <c r="AU14" s="105"/>
      <c r="AV14" s="106"/>
      <c r="AW14" s="96"/>
      <c r="AX14" s="97"/>
      <c r="AY14" s="96"/>
      <c r="AZ14" s="107"/>
      <c r="BA14" s="101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3"/>
      <c r="BM14" s="56"/>
      <c r="BN14" s="56"/>
    </row>
    <row r="15" spans="1:66" ht="24" customHeight="1" x14ac:dyDescent="0.45">
      <c r="A15" s="55"/>
      <c r="B15" s="55"/>
      <c r="C15" s="72">
        <f t="shared" si="0"/>
        <v>6</v>
      </c>
      <c r="D15" s="59"/>
      <c r="E15" s="60"/>
      <c r="F15" s="60"/>
      <c r="G15" s="95"/>
      <c r="H15" s="60"/>
      <c r="I15" s="60"/>
      <c r="J15" s="60"/>
      <c r="K15" s="95"/>
      <c r="L15" s="213" t="s">
        <v>71</v>
      </c>
      <c r="M15" s="214"/>
      <c r="N15" s="214"/>
      <c r="O15" s="215"/>
      <c r="P15" s="207" t="s">
        <v>77</v>
      </c>
      <c r="Q15" s="205"/>
      <c r="R15" s="205"/>
      <c r="S15" s="205"/>
      <c r="T15" s="205"/>
      <c r="U15" s="205"/>
      <c r="V15" s="205"/>
      <c r="W15" s="206"/>
      <c r="X15" s="207" t="s">
        <v>74</v>
      </c>
      <c r="Y15" s="205"/>
      <c r="Z15" s="205"/>
      <c r="AA15" s="205"/>
      <c r="AB15" s="205"/>
      <c r="AC15" s="205"/>
      <c r="AD15" s="205"/>
      <c r="AE15" s="206"/>
      <c r="AF15" s="98"/>
      <c r="AG15" s="99"/>
      <c r="AH15" s="99"/>
      <c r="AI15" s="99"/>
      <c r="AJ15" s="99"/>
      <c r="AK15" s="99"/>
      <c r="AL15" s="99"/>
      <c r="AM15" s="99"/>
      <c r="AN15" s="104"/>
      <c r="AO15" s="208">
        <v>45681</v>
      </c>
      <c r="AP15" s="209"/>
      <c r="AQ15" s="178" t="s">
        <v>92</v>
      </c>
      <c r="AR15" s="180"/>
      <c r="AS15" s="178" t="s">
        <v>93</v>
      </c>
      <c r="AT15" s="201"/>
      <c r="AU15" s="105"/>
      <c r="AV15" s="106"/>
      <c r="AW15" s="96"/>
      <c r="AX15" s="97"/>
      <c r="AY15" s="96"/>
      <c r="AZ15" s="107"/>
      <c r="BA15" s="101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3"/>
      <c r="BM15" s="56"/>
      <c r="BN15" s="56"/>
    </row>
    <row r="16" spans="1:66" ht="24" customHeight="1" x14ac:dyDescent="0.45">
      <c r="A16" s="55"/>
      <c r="B16" s="55"/>
      <c r="C16" s="72">
        <f t="shared" si="0"/>
        <v>7</v>
      </c>
      <c r="D16" s="59"/>
      <c r="E16" s="60"/>
      <c r="F16" s="60"/>
      <c r="G16" s="61"/>
      <c r="H16" s="60"/>
      <c r="I16" s="60"/>
      <c r="J16" s="60"/>
      <c r="K16" s="60"/>
      <c r="L16" s="154" t="s">
        <v>72</v>
      </c>
      <c r="M16" s="147"/>
      <c r="N16" s="147"/>
      <c r="O16" s="155"/>
      <c r="P16" s="207" t="s">
        <v>77</v>
      </c>
      <c r="Q16" s="205"/>
      <c r="R16" s="205"/>
      <c r="S16" s="205"/>
      <c r="T16" s="205"/>
      <c r="U16" s="205"/>
      <c r="V16" s="205"/>
      <c r="W16" s="206"/>
      <c r="X16" s="207" t="s">
        <v>74</v>
      </c>
      <c r="Y16" s="205"/>
      <c r="Z16" s="205"/>
      <c r="AA16" s="205"/>
      <c r="AB16" s="205"/>
      <c r="AC16" s="205"/>
      <c r="AD16" s="205"/>
      <c r="AE16" s="206"/>
      <c r="AF16" s="98"/>
      <c r="AG16" s="99"/>
      <c r="AH16" s="99"/>
      <c r="AI16" s="99"/>
      <c r="AJ16" s="99"/>
      <c r="AK16" s="99"/>
      <c r="AL16" s="99"/>
      <c r="AM16" s="99"/>
      <c r="AN16" s="104"/>
      <c r="AO16" s="208">
        <v>45681</v>
      </c>
      <c r="AP16" s="209"/>
      <c r="AQ16" s="178" t="s">
        <v>92</v>
      </c>
      <c r="AR16" s="180"/>
      <c r="AS16" s="178" t="s">
        <v>93</v>
      </c>
      <c r="AT16" s="201"/>
      <c r="AU16" s="105"/>
      <c r="AV16" s="106"/>
      <c r="AW16" s="96"/>
      <c r="AX16" s="97"/>
      <c r="AY16" s="96"/>
      <c r="AZ16" s="107"/>
      <c r="BA16" s="101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3"/>
      <c r="BM16" s="56"/>
      <c r="BN16" s="56"/>
    </row>
    <row r="17" spans="1:66" ht="24" customHeight="1" x14ac:dyDescent="0.45">
      <c r="A17" s="55"/>
      <c r="B17" s="55"/>
      <c r="C17" s="72">
        <f t="shared" si="0"/>
        <v>8</v>
      </c>
      <c r="D17" s="59"/>
      <c r="E17" s="60"/>
      <c r="F17" s="60"/>
      <c r="G17" s="61"/>
      <c r="H17" s="153" t="s">
        <v>56</v>
      </c>
      <c r="I17" s="145"/>
      <c r="J17" s="145"/>
      <c r="K17" s="152"/>
      <c r="L17" s="213" t="s">
        <v>44</v>
      </c>
      <c r="M17" s="214"/>
      <c r="N17" s="214"/>
      <c r="O17" s="215"/>
      <c r="P17" s="35" t="s">
        <v>55</v>
      </c>
      <c r="Q17" s="99"/>
      <c r="R17" s="99"/>
      <c r="S17" s="99"/>
      <c r="T17" s="99"/>
      <c r="U17" s="99"/>
      <c r="V17" s="99"/>
      <c r="W17" s="100"/>
      <c r="X17" s="207" t="s">
        <v>76</v>
      </c>
      <c r="Y17" s="205"/>
      <c r="Z17" s="205"/>
      <c r="AA17" s="205"/>
      <c r="AB17" s="205"/>
      <c r="AC17" s="205"/>
      <c r="AD17" s="205"/>
      <c r="AE17" s="206"/>
      <c r="AF17" s="98"/>
      <c r="AG17" s="99"/>
      <c r="AH17" s="99"/>
      <c r="AI17" s="99"/>
      <c r="AJ17" s="99"/>
      <c r="AK17" s="99"/>
      <c r="AL17" s="99"/>
      <c r="AM17" s="99"/>
      <c r="AN17" s="104"/>
      <c r="AO17" s="208">
        <v>45715</v>
      </c>
      <c r="AP17" s="209"/>
      <c r="AQ17" s="178" t="s">
        <v>107</v>
      </c>
      <c r="AR17" s="180"/>
      <c r="AS17" s="178" t="s">
        <v>93</v>
      </c>
      <c r="AT17" s="201"/>
      <c r="AU17" s="105"/>
      <c r="AV17" s="106"/>
      <c r="AW17" s="96"/>
      <c r="AX17" s="97"/>
      <c r="AY17" s="96"/>
      <c r="AZ17" s="107"/>
      <c r="BA17" s="101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3"/>
      <c r="BM17" s="56"/>
      <c r="BN17" s="56"/>
    </row>
    <row r="18" spans="1:66" ht="24" customHeight="1" x14ac:dyDescent="0.45">
      <c r="A18" s="55"/>
      <c r="B18" s="55"/>
      <c r="C18" s="72">
        <f t="shared" si="0"/>
        <v>9</v>
      </c>
      <c r="D18" s="59"/>
      <c r="E18" s="60"/>
      <c r="F18" s="60"/>
      <c r="G18" s="61"/>
      <c r="H18" s="60"/>
      <c r="I18" s="60"/>
      <c r="J18" s="60"/>
      <c r="K18" s="60"/>
      <c r="L18" s="154" t="s">
        <v>45</v>
      </c>
      <c r="M18" s="147"/>
      <c r="N18" s="147"/>
      <c r="O18" s="155"/>
      <c r="P18" s="35" t="s">
        <v>55</v>
      </c>
      <c r="Q18" s="99"/>
      <c r="R18" s="99"/>
      <c r="S18" s="99"/>
      <c r="T18" s="99"/>
      <c r="U18" s="99"/>
      <c r="V18" s="99"/>
      <c r="W18" s="100"/>
      <c r="X18" s="207" t="s">
        <v>76</v>
      </c>
      <c r="Y18" s="205"/>
      <c r="Z18" s="205"/>
      <c r="AA18" s="205"/>
      <c r="AB18" s="205"/>
      <c r="AC18" s="205"/>
      <c r="AD18" s="205"/>
      <c r="AE18" s="206"/>
      <c r="AF18" s="98"/>
      <c r="AG18" s="99"/>
      <c r="AH18" s="99"/>
      <c r="AI18" s="99"/>
      <c r="AJ18" s="99"/>
      <c r="AK18" s="99"/>
      <c r="AL18" s="99"/>
      <c r="AM18" s="99"/>
      <c r="AN18" s="104"/>
      <c r="AO18" s="208">
        <v>45715</v>
      </c>
      <c r="AP18" s="209"/>
      <c r="AQ18" s="178" t="s">
        <v>107</v>
      </c>
      <c r="AR18" s="180"/>
      <c r="AS18" s="178" t="s">
        <v>93</v>
      </c>
      <c r="AT18" s="201"/>
      <c r="AU18" s="105"/>
      <c r="AV18" s="106"/>
      <c r="AW18" s="96"/>
      <c r="AX18" s="97"/>
      <c r="AY18" s="96"/>
      <c r="AZ18" s="107"/>
      <c r="BA18" s="101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3"/>
      <c r="BM18" s="56"/>
      <c r="BN18" s="56"/>
    </row>
    <row r="19" spans="1:66" ht="24" customHeight="1" x14ac:dyDescent="0.45">
      <c r="A19" s="55"/>
      <c r="B19" s="55"/>
      <c r="C19" s="72">
        <f t="shared" si="0"/>
        <v>10</v>
      </c>
      <c r="D19" s="59"/>
      <c r="E19" s="60"/>
      <c r="F19" s="60"/>
      <c r="G19" s="61"/>
      <c r="H19" s="60"/>
      <c r="I19" s="60"/>
      <c r="J19" s="60"/>
      <c r="K19" s="60"/>
      <c r="L19" s="154" t="s">
        <v>68</v>
      </c>
      <c r="M19" s="147"/>
      <c r="N19" s="147"/>
      <c r="O19" s="155"/>
      <c r="P19" s="35" t="s">
        <v>55</v>
      </c>
      <c r="Q19" s="99"/>
      <c r="R19" s="99"/>
      <c r="S19" s="99"/>
      <c r="T19" s="99"/>
      <c r="U19" s="99"/>
      <c r="V19" s="99"/>
      <c r="W19" s="100"/>
      <c r="X19" s="207" t="s">
        <v>76</v>
      </c>
      <c r="Y19" s="205"/>
      <c r="Z19" s="205"/>
      <c r="AA19" s="205"/>
      <c r="AB19" s="205"/>
      <c r="AC19" s="205"/>
      <c r="AD19" s="205"/>
      <c r="AE19" s="206"/>
      <c r="AF19" s="98"/>
      <c r="AG19" s="99"/>
      <c r="AH19" s="99"/>
      <c r="AI19" s="99"/>
      <c r="AJ19" s="99"/>
      <c r="AK19" s="99"/>
      <c r="AL19" s="99"/>
      <c r="AM19" s="99"/>
      <c r="AN19" s="104"/>
      <c r="AO19" s="208">
        <v>45715</v>
      </c>
      <c r="AP19" s="209"/>
      <c r="AQ19" s="178" t="s">
        <v>107</v>
      </c>
      <c r="AR19" s="180"/>
      <c r="AS19" s="178" t="s">
        <v>93</v>
      </c>
      <c r="AT19" s="201"/>
      <c r="AU19" s="105"/>
      <c r="AV19" s="106"/>
      <c r="AW19" s="96"/>
      <c r="AX19" s="97"/>
      <c r="AY19" s="96"/>
      <c r="AZ19" s="107"/>
      <c r="BA19" s="101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3"/>
      <c r="BM19" s="56"/>
      <c r="BN19" s="56"/>
    </row>
    <row r="20" spans="1:66" ht="24" customHeight="1" x14ac:dyDescent="0.45">
      <c r="A20" s="55"/>
      <c r="B20" s="55"/>
      <c r="C20" s="72">
        <f t="shared" si="0"/>
        <v>11</v>
      </c>
      <c r="D20" s="59"/>
      <c r="E20" s="60"/>
      <c r="F20" s="60"/>
      <c r="G20" s="61"/>
      <c r="H20" s="60"/>
      <c r="I20" s="60"/>
      <c r="J20" s="60"/>
      <c r="K20" s="60"/>
      <c r="L20" s="154" t="s">
        <v>69</v>
      </c>
      <c r="M20" s="147"/>
      <c r="N20" s="147"/>
      <c r="O20" s="155"/>
      <c r="P20" s="35" t="s">
        <v>55</v>
      </c>
      <c r="Q20" s="99"/>
      <c r="R20" s="99"/>
      <c r="S20" s="99"/>
      <c r="T20" s="99"/>
      <c r="U20" s="99"/>
      <c r="V20" s="99"/>
      <c r="W20" s="100"/>
      <c r="X20" s="207" t="s">
        <v>76</v>
      </c>
      <c r="Y20" s="205"/>
      <c r="Z20" s="205"/>
      <c r="AA20" s="205"/>
      <c r="AB20" s="205"/>
      <c r="AC20" s="205"/>
      <c r="AD20" s="205"/>
      <c r="AE20" s="206"/>
      <c r="AF20" s="98"/>
      <c r="AG20" s="99"/>
      <c r="AH20" s="99"/>
      <c r="AI20" s="99"/>
      <c r="AJ20" s="99"/>
      <c r="AK20" s="99"/>
      <c r="AL20" s="99"/>
      <c r="AM20" s="99"/>
      <c r="AN20" s="104"/>
      <c r="AO20" s="208">
        <v>45715</v>
      </c>
      <c r="AP20" s="209"/>
      <c r="AQ20" s="178" t="s">
        <v>107</v>
      </c>
      <c r="AR20" s="180"/>
      <c r="AS20" s="178" t="s">
        <v>93</v>
      </c>
      <c r="AT20" s="201"/>
      <c r="AU20" s="105"/>
      <c r="AV20" s="106"/>
      <c r="AW20" s="96"/>
      <c r="AX20" s="97"/>
      <c r="AY20" s="96"/>
      <c r="AZ20" s="107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6"/>
      <c r="BN20" s="56"/>
    </row>
    <row r="21" spans="1:66" ht="24" customHeight="1" x14ac:dyDescent="0.45">
      <c r="A21" s="55"/>
      <c r="B21" s="55"/>
      <c r="C21" s="72">
        <f t="shared" si="0"/>
        <v>12</v>
      </c>
      <c r="D21" s="59"/>
      <c r="E21" s="60"/>
      <c r="F21" s="60"/>
      <c r="G21" s="61"/>
      <c r="H21" s="60"/>
      <c r="I21" s="60"/>
      <c r="J21" s="60"/>
      <c r="K21" s="60"/>
      <c r="L21" s="154" t="s">
        <v>70</v>
      </c>
      <c r="M21" s="147"/>
      <c r="N21" s="147"/>
      <c r="O21" s="155"/>
      <c r="P21" s="35" t="s">
        <v>55</v>
      </c>
      <c r="Q21" s="99"/>
      <c r="R21" s="99"/>
      <c r="S21" s="99"/>
      <c r="T21" s="99"/>
      <c r="U21" s="99"/>
      <c r="V21" s="99"/>
      <c r="W21" s="100"/>
      <c r="X21" s="207" t="s">
        <v>76</v>
      </c>
      <c r="Y21" s="205"/>
      <c r="Z21" s="205"/>
      <c r="AA21" s="205"/>
      <c r="AB21" s="205"/>
      <c r="AC21" s="205"/>
      <c r="AD21" s="205"/>
      <c r="AE21" s="206"/>
      <c r="AF21" s="98"/>
      <c r="AG21" s="99"/>
      <c r="AH21" s="99"/>
      <c r="AI21" s="99"/>
      <c r="AJ21" s="99"/>
      <c r="AK21" s="99"/>
      <c r="AL21" s="99"/>
      <c r="AM21" s="99"/>
      <c r="AN21" s="104"/>
      <c r="AO21" s="208">
        <v>45715</v>
      </c>
      <c r="AP21" s="209"/>
      <c r="AQ21" s="178" t="s">
        <v>107</v>
      </c>
      <c r="AR21" s="180"/>
      <c r="AS21" s="178" t="s">
        <v>93</v>
      </c>
      <c r="AT21" s="201"/>
      <c r="AU21" s="105"/>
      <c r="AV21" s="106"/>
      <c r="AW21" s="96"/>
      <c r="AX21" s="97"/>
      <c r="AY21" s="96"/>
      <c r="AZ21" s="107"/>
      <c r="BA21" s="101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3"/>
      <c r="BM21" s="56"/>
      <c r="BN21" s="56"/>
    </row>
    <row r="22" spans="1:66" ht="24" customHeight="1" x14ac:dyDescent="0.45">
      <c r="A22" s="55"/>
      <c r="B22" s="55"/>
      <c r="C22" s="72">
        <f t="shared" si="0"/>
        <v>13</v>
      </c>
      <c r="D22" s="59"/>
      <c r="E22" s="60"/>
      <c r="F22" s="60"/>
      <c r="G22" s="61"/>
      <c r="H22" s="60"/>
      <c r="I22" s="60"/>
      <c r="J22" s="60"/>
      <c r="K22" s="60"/>
      <c r="L22" s="213" t="s">
        <v>71</v>
      </c>
      <c r="M22" s="214"/>
      <c r="N22" s="214"/>
      <c r="O22" s="215"/>
      <c r="P22" s="35" t="s">
        <v>55</v>
      </c>
      <c r="Q22" s="99"/>
      <c r="R22" s="99"/>
      <c r="S22" s="99"/>
      <c r="T22" s="99"/>
      <c r="U22" s="99"/>
      <c r="V22" s="99"/>
      <c r="W22" s="100"/>
      <c r="X22" s="207" t="s">
        <v>76</v>
      </c>
      <c r="Y22" s="205"/>
      <c r="Z22" s="205"/>
      <c r="AA22" s="205"/>
      <c r="AB22" s="205"/>
      <c r="AC22" s="205"/>
      <c r="AD22" s="205"/>
      <c r="AE22" s="206"/>
      <c r="AF22" s="98"/>
      <c r="AG22" s="99"/>
      <c r="AH22" s="99"/>
      <c r="AI22" s="99"/>
      <c r="AJ22" s="99"/>
      <c r="AK22" s="99"/>
      <c r="AL22" s="99"/>
      <c r="AM22" s="99"/>
      <c r="AN22" s="104"/>
      <c r="AO22" s="208">
        <v>45715</v>
      </c>
      <c r="AP22" s="209"/>
      <c r="AQ22" s="178" t="s">
        <v>107</v>
      </c>
      <c r="AR22" s="180"/>
      <c r="AS22" s="178" t="s">
        <v>93</v>
      </c>
      <c r="AT22" s="201"/>
      <c r="AU22" s="105"/>
      <c r="AV22" s="106"/>
      <c r="AW22" s="96"/>
      <c r="AX22" s="97"/>
      <c r="AY22" s="96"/>
      <c r="AZ22" s="107"/>
      <c r="BA22" s="101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6"/>
      <c r="BN22" s="56"/>
    </row>
    <row r="23" spans="1:66" ht="24" customHeight="1" x14ac:dyDescent="0.45">
      <c r="A23" s="55"/>
      <c r="B23" s="55"/>
      <c r="C23" s="72">
        <f t="shared" si="0"/>
        <v>14</v>
      </c>
      <c r="D23" s="59"/>
      <c r="E23" s="60"/>
      <c r="F23" s="60"/>
      <c r="G23" s="61"/>
      <c r="H23" s="60"/>
      <c r="I23" s="60"/>
      <c r="J23" s="60"/>
      <c r="K23" s="60"/>
      <c r="L23" s="154" t="s">
        <v>72</v>
      </c>
      <c r="M23" s="147"/>
      <c r="N23" s="147"/>
      <c r="O23" s="155"/>
      <c r="P23" s="35" t="s">
        <v>55</v>
      </c>
      <c r="Q23" s="99"/>
      <c r="R23" s="99"/>
      <c r="S23" s="99"/>
      <c r="T23" s="99"/>
      <c r="U23" s="99"/>
      <c r="V23" s="99"/>
      <c r="W23" s="100"/>
      <c r="X23" s="207" t="s">
        <v>76</v>
      </c>
      <c r="Y23" s="205"/>
      <c r="Z23" s="205"/>
      <c r="AA23" s="205"/>
      <c r="AB23" s="205"/>
      <c r="AC23" s="205"/>
      <c r="AD23" s="205"/>
      <c r="AE23" s="206"/>
      <c r="AF23" s="98"/>
      <c r="AG23" s="99"/>
      <c r="AH23" s="99"/>
      <c r="AI23" s="99"/>
      <c r="AJ23" s="99"/>
      <c r="AK23" s="99"/>
      <c r="AL23" s="99"/>
      <c r="AM23" s="99"/>
      <c r="AN23" s="104"/>
      <c r="AO23" s="208">
        <v>45715</v>
      </c>
      <c r="AP23" s="209"/>
      <c r="AQ23" s="178" t="s">
        <v>107</v>
      </c>
      <c r="AR23" s="180"/>
      <c r="AS23" s="178" t="s">
        <v>93</v>
      </c>
      <c r="AT23" s="201"/>
      <c r="AU23" s="105"/>
      <c r="AV23" s="106"/>
      <c r="AW23" s="96"/>
      <c r="AX23" s="97"/>
      <c r="AY23" s="96"/>
      <c r="AZ23" s="107"/>
      <c r="BA23" s="101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6"/>
      <c r="BN23" s="56"/>
    </row>
    <row r="24" spans="1:66" ht="24" customHeight="1" thickBot="1" x14ac:dyDescent="0.5">
      <c r="A24" s="55"/>
      <c r="B24" s="55"/>
      <c r="C24" s="72">
        <f t="shared" si="0"/>
        <v>15</v>
      </c>
      <c r="D24" s="59"/>
      <c r="E24" s="60"/>
      <c r="F24" s="60"/>
      <c r="G24" s="61"/>
      <c r="H24" s="35" t="s">
        <v>59</v>
      </c>
      <c r="I24" s="102"/>
      <c r="J24" s="102"/>
      <c r="K24" s="108"/>
      <c r="L24" s="109" t="s">
        <v>57</v>
      </c>
      <c r="M24" s="102"/>
      <c r="N24" s="102"/>
      <c r="O24" s="108"/>
      <c r="P24" s="109" t="s">
        <v>58</v>
      </c>
      <c r="Q24" s="109"/>
      <c r="R24" s="60"/>
      <c r="S24" s="60"/>
      <c r="T24" s="60"/>
      <c r="U24" s="60"/>
      <c r="V24" s="60"/>
      <c r="W24" s="113"/>
      <c r="X24" s="207" t="s">
        <v>78</v>
      </c>
      <c r="Y24" s="205"/>
      <c r="Z24" s="205"/>
      <c r="AA24" s="205"/>
      <c r="AB24" s="205"/>
      <c r="AC24" s="205"/>
      <c r="AD24" s="205"/>
      <c r="AE24" s="206"/>
      <c r="AF24" s="98"/>
      <c r="AG24" s="99"/>
      <c r="AH24" s="99"/>
      <c r="AI24" s="99"/>
      <c r="AJ24" s="99"/>
      <c r="AK24" s="99"/>
      <c r="AL24" s="99"/>
      <c r="AM24" s="99"/>
      <c r="AN24" s="104"/>
      <c r="AO24" s="208">
        <v>45715</v>
      </c>
      <c r="AP24" s="209"/>
      <c r="AQ24" s="178" t="s">
        <v>107</v>
      </c>
      <c r="AR24" s="180"/>
      <c r="AS24" s="178" t="s">
        <v>93</v>
      </c>
      <c r="AT24" s="201"/>
      <c r="AU24" s="105"/>
      <c r="AV24" s="106"/>
      <c r="AW24" s="96"/>
      <c r="AX24" s="97"/>
      <c r="AY24" s="96"/>
      <c r="AZ24" s="107"/>
      <c r="BA24" s="101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6"/>
      <c r="BN24" s="56"/>
    </row>
    <row r="25" spans="1:66" ht="20.100000000000001" customHeight="1" thickTop="1" thickBot="1" x14ac:dyDescent="0.5">
      <c r="A25" s="55"/>
      <c r="B25" s="8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8"/>
      <c r="Q25" s="18"/>
      <c r="R25" s="18"/>
      <c r="S25" s="18"/>
      <c r="T25" s="18"/>
      <c r="U25" s="18"/>
      <c r="V25" s="18"/>
      <c r="W25" s="18"/>
      <c r="X25" s="18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8"/>
      <c r="BN25" s="56"/>
    </row>
    <row r="26" spans="1:66" ht="5.0999999999999996" customHeight="1" thickTop="1" x14ac:dyDescent="0.4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</row>
    <row r="27" spans="1:66" ht="20.100000000000001" customHeight="1" x14ac:dyDescent="0.4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</sheetData>
  <mergeCells count="114">
    <mergeCell ref="AO16:AP16"/>
    <mergeCell ref="AQ16:AR16"/>
    <mergeCell ref="AS16:AT16"/>
    <mergeCell ref="AO14:AP14"/>
    <mergeCell ref="AQ14:AR14"/>
    <mergeCell ref="AS14:AT14"/>
    <mergeCell ref="AO15:AP15"/>
    <mergeCell ref="AQ15:AR15"/>
    <mergeCell ref="AS15:AT15"/>
    <mergeCell ref="AO12:AP12"/>
    <mergeCell ref="AQ12:AR12"/>
    <mergeCell ref="AS12:AT12"/>
    <mergeCell ref="AO13:AP13"/>
    <mergeCell ref="AQ13:AR13"/>
    <mergeCell ref="AS13:AT13"/>
    <mergeCell ref="AO23:AP23"/>
    <mergeCell ref="AQ23:AR23"/>
    <mergeCell ref="AS23:AT23"/>
    <mergeCell ref="AO24:AP24"/>
    <mergeCell ref="AQ24:AR24"/>
    <mergeCell ref="AS24:AT24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17:AP17"/>
    <mergeCell ref="AQ17:AR17"/>
    <mergeCell ref="AS17:AT17"/>
    <mergeCell ref="AO18:AP18"/>
    <mergeCell ref="AQ18:AR18"/>
    <mergeCell ref="AS18:AT18"/>
    <mergeCell ref="BJ3:BM4"/>
    <mergeCell ref="B2:G2"/>
    <mergeCell ref="H2:K2"/>
    <mergeCell ref="L2:Q2"/>
    <mergeCell ref="R2:W2"/>
    <mergeCell ref="X2:AJ2"/>
    <mergeCell ref="AX3:BA4"/>
    <mergeCell ref="B3:G4"/>
    <mergeCell ref="H3:K4"/>
    <mergeCell ref="L3:Q4"/>
    <mergeCell ref="R3:W4"/>
    <mergeCell ref="X3:AJ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K3:AW4"/>
    <mergeCell ref="AK2:AW2"/>
    <mergeCell ref="BB3:BE4"/>
    <mergeCell ref="BF3:BI4"/>
    <mergeCell ref="AO8:AT8"/>
    <mergeCell ref="AS10:AT10"/>
    <mergeCell ref="AU10:AV10"/>
    <mergeCell ref="AW10:AX10"/>
    <mergeCell ref="AY10:AZ10"/>
    <mergeCell ref="D10:G10"/>
    <mergeCell ref="H10:K10"/>
    <mergeCell ref="L10:O10"/>
    <mergeCell ref="P10:W10"/>
    <mergeCell ref="X10:AE10"/>
    <mergeCell ref="P11:W11"/>
    <mergeCell ref="X11:AE11"/>
    <mergeCell ref="AY9:AZ9"/>
    <mergeCell ref="BA9:BL9"/>
    <mergeCell ref="AO9:AP9"/>
    <mergeCell ref="AQ9:AR9"/>
    <mergeCell ref="AS9:AT9"/>
    <mergeCell ref="AU9:AV9"/>
    <mergeCell ref="AW9:AX9"/>
    <mergeCell ref="AF10:AN10"/>
    <mergeCell ref="AO10:AP10"/>
    <mergeCell ref="AQ10:AR10"/>
    <mergeCell ref="BA10:BL10"/>
    <mergeCell ref="AO11:AP11"/>
    <mergeCell ref="AQ11:AR11"/>
    <mergeCell ref="AS11:AT11"/>
    <mergeCell ref="P12:W12"/>
    <mergeCell ref="X12:AE12"/>
    <mergeCell ref="P13:W13"/>
    <mergeCell ref="X13:AE13"/>
    <mergeCell ref="P14:W14"/>
    <mergeCell ref="X14:AE14"/>
    <mergeCell ref="L15:O15"/>
    <mergeCell ref="L22:O22"/>
    <mergeCell ref="X24:AE24"/>
    <mergeCell ref="X20:AE20"/>
    <mergeCell ref="X21:AE21"/>
    <mergeCell ref="X22:AE22"/>
    <mergeCell ref="X23:AE23"/>
    <mergeCell ref="L17:O17"/>
    <mergeCell ref="X17:AE17"/>
    <mergeCell ref="X18:AE18"/>
    <mergeCell ref="X19:AE19"/>
    <mergeCell ref="P15:W15"/>
    <mergeCell ref="X15:AE15"/>
    <mergeCell ref="P16:W16"/>
    <mergeCell ref="X16:AE16"/>
  </mergeCells>
  <phoneticPr fontId="2"/>
  <conditionalFormatting sqref="AY10:AY24">
    <cfRule type="cellIs" dxfId="11" priority="5" operator="equal">
      <formula>"OK"</formula>
    </cfRule>
    <cfRule type="cellIs" dxfId="10" priority="6" operator="equal">
      <formula>"NG"</formula>
    </cfRule>
  </conditionalFormatting>
  <conditionalFormatting sqref="AS17:AS2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0:AS1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24 AS10:AS2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一覧画面</vt:lpstr>
      <vt:lpstr>新規更新共通</vt:lpstr>
      <vt:lpstr>新規登録画面</vt:lpstr>
      <vt:lpstr>更新画面</vt:lpstr>
      <vt:lpstr>参照</vt:lpstr>
      <vt:lpstr>一覧画面!Print_Area</vt:lpstr>
      <vt:lpstr>更新画面!Print_Area</vt:lpstr>
      <vt:lpstr>新規更新共通!Print_Area</vt:lpstr>
      <vt:lpstr>新規登録画面!Print_Area</vt:lpstr>
      <vt:lpstr>変更履歴!Print_Area</vt:lpstr>
      <vt:lpstr>一覧画面!Print_Titles</vt:lpstr>
      <vt:lpstr>更新画面!Print_Titles</vt:lpstr>
      <vt:lpstr>新規更新共通!Print_Titles</vt:lpstr>
      <vt:lpstr>新規登録画面!Print_Titles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2025-02-27T04:06:03Z</dcterms:modified>
</cp:coreProperties>
</file>