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4" r:id="rId3"/>
    <sheet name="プレビュー" sheetId="25" r:id="rId4"/>
    <sheet name="参照" sheetId="12" state="hidden" r:id="rId5"/>
  </sheets>
  <definedNames>
    <definedName name="_xlnm.Print_Area" localSheetId="3">プレビュー!$A$1:$BN$46</definedName>
    <definedName name="_xlnm.Print_Area" localSheetId="1">画面!$A$1:$BN$37</definedName>
    <definedName name="_xlnm.Print_Area" localSheetId="2">帳票!$A$1:$BN$46</definedName>
    <definedName name="_xlnm.Print_Area" localSheetId="0">変更履歴!$A$1:$BN$49</definedName>
    <definedName name="_xlnm.Print_Titles" localSheetId="3">プレビュー!$1:$5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5" l="1"/>
  <c r="BG8" i="24"/>
  <c r="C25" i="19" l="1"/>
  <c r="C34" i="19" l="1"/>
  <c r="C32" i="19"/>
  <c r="C19" i="19" l="1"/>
  <c r="C18" i="19"/>
  <c r="C33" i="25" l="1"/>
  <c r="C34" i="25"/>
  <c r="C35" i="25"/>
  <c r="C36" i="25"/>
  <c r="C37" i="25"/>
  <c r="C38" i="25"/>
  <c r="C39" i="25"/>
  <c r="C40" i="25"/>
  <c r="C41" i="25"/>
  <c r="C33" i="24"/>
  <c r="C34" i="24"/>
  <c r="C35" i="24"/>
  <c r="C36" i="24"/>
  <c r="C37" i="24"/>
  <c r="C38" i="24"/>
  <c r="C39" i="24"/>
  <c r="C40" i="24"/>
  <c r="C41" i="24"/>
  <c r="C42" i="24"/>
  <c r="C43" i="24"/>
  <c r="C44" i="24"/>
  <c r="C13" i="19"/>
  <c r="C14" i="19"/>
  <c r="C15" i="19"/>
  <c r="C16" i="19"/>
  <c r="C17" i="19"/>
  <c r="C20" i="19"/>
  <c r="C21" i="19"/>
  <c r="C22" i="19"/>
  <c r="C23" i="19"/>
  <c r="C24" i="19"/>
  <c r="C26" i="19"/>
  <c r="C27" i="19"/>
  <c r="C28" i="19"/>
  <c r="C29" i="19"/>
  <c r="C30" i="19"/>
  <c r="C31" i="19"/>
  <c r="C33" i="19"/>
  <c r="C35" i="19"/>
  <c r="C44" i="25" l="1"/>
  <c r="C43" i="25"/>
  <c r="C42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BI8" i="25"/>
  <c r="BJ3" i="25"/>
  <c r="BF3" i="25"/>
  <c r="BB3" i="25"/>
  <c r="AX3" i="25"/>
  <c r="L3" i="25"/>
  <c r="B3" i="25"/>
  <c r="C11" i="24"/>
  <c r="C12" i="24"/>
  <c r="C13" i="24"/>
  <c r="C14" i="24"/>
  <c r="C10" i="24"/>
  <c r="BK8" i="25" l="1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BI8" i="24"/>
  <c r="BJ3" i="24"/>
  <c r="BF3" i="24"/>
  <c r="BB3" i="24"/>
  <c r="AX3" i="24"/>
  <c r="L3" i="24"/>
  <c r="B3" i="24"/>
  <c r="BK8" i="24" l="1"/>
  <c r="C12" i="19" l="1"/>
  <c r="C11" i="19" l="1"/>
  <c r="C10" i="19" l="1"/>
  <c r="BI8" i="19"/>
  <c r="BJ3" i="19"/>
  <c r="BF3" i="19"/>
  <c r="BB3" i="19"/>
  <c r="AX3" i="19"/>
  <c r="L3" i="19"/>
  <c r="B3" i="19"/>
  <c r="X3" i="1" l="1"/>
  <c r="X3" i="24" l="1"/>
  <c r="X3" i="25"/>
  <c r="BG8" i="19"/>
  <c r="BK8" i="19" s="1"/>
  <c r="X3" i="19"/>
  <c r="H3" i="1"/>
  <c r="R3" i="1"/>
  <c r="AK3" i="1"/>
  <c r="AK3" i="24" l="1"/>
  <c r="AK3" i="25"/>
  <c r="H3" i="24"/>
  <c r="H3" i="25"/>
  <c r="R3" i="24"/>
  <c r="R3" i="25"/>
  <c r="AK3" i="19"/>
  <c r="R3" i="19"/>
  <c r="H3" i="19"/>
</calcChain>
</file>

<file path=xl/sharedStrings.xml><?xml version="1.0" encoding="utf-8"?>
<sst xmlns="http://schemas.openxmlformats.org/spreadsheetml/2006/main" count="626" uniqueCount="161">
  <si>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</si>
  <si>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</si>
  <si>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</si>
  <si>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</si>
  <si>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</si>
  <si>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</si>
  <si>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</si>
  <si>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</si>
  <si>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</si>
  <si>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</si>
  <si>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</si>
  <si>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</si>
  <si>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</si>
  <si>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</si>
  <si>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</si>
  <si>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</si>
  <si>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</si>
  <si>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</si>
  <si>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</si>
  <si>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</si>
  <si>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</si>
  <si>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</si>
  <si>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</si>
  <si>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</si>
  <si>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</si>
  <si>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</si>
  <si>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</si>
  <si>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</si>
  <si>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</si>
  <si>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</si>
  <si>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</si>
  <si>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</si>
  <si>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</si>
  <si>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</si>
  <si>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</si>
  <si>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</si>
  <si>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</si>
  <si>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</si>
  <si>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</si>
  <si>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</si>
  <si>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</si>
  <si>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</si>
  <si>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</si>
  <si>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</si>
  <si>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入力欄が活性、かつ空欄であること。</t>
    <rPh sb="0" eb="2">
      <t>ニュウリョク</t>
    </rPh>
    <rPh sb="2" eb="3">
      <t>ラン</t>
    </rPh>
    <rPh sb="4" eb="6">
      <t>カッセイ</t>
    </rPh>
    <rPh sb="9" eb="11">
      <t>クウラン</t>
    </rPh>
    <phoneticPr fontId="2"/>
  </si>
  <si>
    <t>動作確認</t>
    <rPh sb="0" eb="2">
      <t>ドウサ</t>
    </rPh>
    <rPh sb="2" eb="4">
      <t>カクニン</t>
    </rPh>
    <phoneticPr fontId="2"/>
  </si>
  <si>
    <t>現行システムと同じデータが出力されること。</t>
    <phoneticPr fontId="2"/>
  </si>
  <si>
    <t>エラー確認</t>
    <rPh sb="3" eb="5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</si>
  <si>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</si>
  <si>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</si>
  <si>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終了ボタン押下</t>
    <rPh sb="0" eb="2">
      <t>シュウリョウ</t>
    </rPh>
    <rPh sb="5" eb="7">
      <t>オウカ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</si>
  <si>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</si>
  <si>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</si>
  <si>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W</t>
  </si>
  <si>
    <t>D</t>
  </si>
  <si>
    <t>H</t>
  </si>
  <si>
    <t>ページ確認</t>
  </si>
  <si>
    <t>単ページ</t>
  </si>
  <si>
    <t>複数ページとならないデータで出力ボタンを押下</t>
  </si>
  <si>
    <t>現行システムと同じデータが出力されること</t>
  </si>
  <si>
    <t>複数ページ</t>
  </si>
  <si>
    <t>複数ページとなるデータで出力ボタンを押下</t>
  </si>
  <si>
    <t>単位名</t>
  </si>
  <si>
    <t>仕入日付</t>
  </si>
  <si>
    <t>支払日付</t>
  </si>
  <si>
    <t>メニューより仕入日計表を起動する</t>
    <rPh sb="6" eb="8">
      <t>シイレ</t>
    </rPh>
    <rPh sb="8" eb="11">
      <t>ニッケイヒョウ</t>
    </rPh>
    <rPh sb="12" eb="14">
      <t>キドウ</t>
    </rPh>
    <phoneticPr fontId="2"/>
  </si>
  <si>
    <t>仕入日付(ラジオボタン)</t>
    <rPh sb="0" eb="2">
      <t>シイレ</t>
    </rPh>
    <rPh sb="2" eb="4">
      <t>ヒヅケ</t>
    </rPh>
    <phoneticPr fontId="2"/>
  </si>
  <si>
    <t>支払日付(ラジオボタン)</t>
    <rPh sb="0" eb="2">
      <t>シハライ</t>
    </rPh>
    <rPh sb="2" eb="4">
      <t>ヒヅケ</t>
    </rPh>
    <phoneticPr fontId="2"/>
  </si>
  <si>
    <t>入力欄が活性、かつ空欄であること。</t>
  </si>
  <si>
    <t>仕入日付from</t>
    <rPh sb="0" eb="2">
      <t>シイレ</t>
    </rPh>
    <rPh sb="2" eb="4">
      <t>ヒヅケ</t>
    </rPh>
    <phoneticPr fontId="2"/>
  </si>
  <si>
    <t>仕入日付to</t>
    <rPh sb="0" eb="2">
      <t>シイレ</t>
    </rPh>
    <rPh sb="2" eb="4">
      <t>ヒヅケ</t>
    </rPh>
    <phoneticPr fontId="2"/>
  </si>
  <si>
    <t>仕入先CDfrom</t>
    <rPh sb="0" eb="2">
      <t>シイレ</t>
    </rPh>
    <rPh sb="2" eb="3">
      <t>サキ</t>
    </rPh>
    <phoneticPr fontId="2"/>
  </si>
  <si>
    <t>仕入先CDto</t>
    <phoneticPr fontId="2"/>
  </si>
  <si>
    <t>入力欄が活性、かつ当日の日付が入力されていること。</t>
    <rPh sb="0" eb="2">
      <t>ニュウリョク</t>
    </rPh>
    <rPh sb="2" eb="3">
      <t>ラン</t>
    </rPh>
    <rPh sb="4" eb="6">
      <t>カッセイ</t>
    </rPh>
    <rPh sb="9" eb="11">
      <t>トウジツ</t>
    </rPh>
    <rPh sb="12" eb="14">
      <t>ヒヅケ</t>
    </rPh>
    <rPh sb="15" eb="17">
      <t>ニュウリョク</t>
    </rPh>
    <phoneticPr fontId="2"/>
  </si>
  <si>
    <t>仕入先CDfrom　
虫眼鏡</t>
    <rPh sb="0" eb="2">
      <t>シイレ</t>
    </rPh>
    <rPh sb="2" eb="3">
      <t>サキ</t>
    </rPh>
    <rPh sb="11" eb="14">
      <t>ムシメガネ</t>
    </rPh>
    <phoneticPr fontId="2"/>
  </si>
  <si>
    <t>虫眼鏡を押下する</t>
    <rPh sb="0" eb="3">
      <t>ムシメガネ</t>
    </rPh>
    <rPh sb="4" eb="6">
      <t>オウカ</t>
    </rPh>
    <phoneticPr fontId="2"/>
  </si>
  <si>
    <t>支払日付from</t>
    <rPh sb="0" eb="2">
      <t>シハライ</t>
    </rPh>
    <rPh sb="2" eb="4">
      <t>ヒヅケ</t>
    </rPh>
    <phoneticPr fontId="2"/>
  </si>
  <si>
    <t>支払日付to</t>
    <rPh sb="0" eb="2">
      <t>シハライ</t>
    </rPh>
    <rPh sb="2" eb="4">
      <t>ヒヅケ</t>
    </rPh>
    <phoneticPr fontId="2"/>
  </si>
  <si>
    <t>入力欄が活性、チェックがされていること。</t>
    <rPh sb="0" eb="2">
      <t>ニュウリョク</t>
    </rPh>
    <rPh sb="2" eb="3">
      <t>ラン</t>
    </rPh>
    <rPh sb="4" eb="6">
      <t>カッセイ</t>
    </rPh>
    <phoneticPr fontId="2"/>
  </si>
  <si>
    <t>入力欄が活性、チェックがされていないこと。</t>
    <rPh sb="0" eb="2">
      <t>ニュウリョク</t>
    </rPh>
    <rPh sb="2" eb="3">
      <t>ラン</t>
    </rPh>
    <rPh sb="4" eb="6">
      <t>カッセイ</t>
    </rPh>
    <phoneticPr fontId="2"/>
  </si>
  <si>
    <t xml:space="preserve">仕入先CDのダイアログが立ち上がること
見積番号(活性）
見積件名(非活性）
受注先(非活性）
納期(非活性）
現場名(非活性）
</t>
    <rPh sb="0" eb="2">
      <t>シイレ</t>
    </rPh>
    <rPh sb="2" eb="3">
      <t>サキ</t>
    </rPh>
    <rPh sb="12" eb="13">
      <t>タ</t>
    </rPh>
    <rPh sb="14" eb="15">
      <t>ア</t>
    </rPh>
    <phoneticPr fontId="2"/>
  </si>
  <si>
    <t>仕入先CD検索欄で仕入先を検索し仕入先を選択する</t>
    <rPh sb="0" eb="3">
      <t>シイレサキ</t>
    </rPh>
    <rPh sb="5" eb="7">
      <t>ケンサク</t>
    </rPh>
    <rPh sb="7" eb="8">
      <t>ラン</t>
    </rPh>
    <rPh sb="9" eb="11">
      <t>シイ</t>
    </rPh>
    <rPh sb="11" eb="12">
      <t>サキ</t>
    </rPh>
    <rPh sb="13" eb="15">
      <t>ケンサク</t>
    </rPh>
    <rPh sb="16" eb="19">
      <t>シイレサキ</t>
    </rPh>
    <rPh sb="20" eb="22">
      <t>センタク</t>
    </rPh>
    <phoneticPr fontId="2"/>
  </si>
  <si>
    <t>仕入先CDfromに選択した仕入先CDが表示されること。</t>
    <rPh sb="0" eb="2">
      <t>シイレ</t>
    </rPh>
    <rPh sb="2" eb="3">
      <t>サキ</t>
    </rPh>
    <rPh sb="10" eb="12">
      <t>センタク</t>
    </rPh>
    <rPh sb="14" eb="17">
      <t>シイレサキ</t>
    </rPh>
    <rPh sb="20" eb="22">
      <t>ヒョウジ</t>
    </rPh>
    <phoneticPr fontId="2"/>
  </si>
  <si>
    <t>仕入先Cdfrom　×ボタン</t>
    <rPh sb="0" eb="2">
      <t>シイレ</t>
    </rPh>
    <rPh sb="2" eb="3">
      <t>サキ</t>
    </rPh>
    <phoneticPr fontId="2"/>
  </si>
  <si>
    <t>仕入先CD欄に仕入先CDが選択されている状態で仕入先CDfromの×ボタンを押下</t>
    <rPh sb="0" eb="3">
      <t>シイレサキ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8" eb="40">
      <t>オウカ</t>
    </rPh>
    <phoneticPr fontId="2"/>
  </si>
  <si>
    <t>仕入先CDfromが空欄になること</t>
    <rPh sb="0" eb="3">
      <t>シイレサキ</t>
    </rPh>
    <rPh sb="10" eb="12">
      <t>クウラン</t>
    </rPh>
    <phoneticPr fontId="2"/>
  </si>
  <si>
    <t>仕入先CDto　
虫眼鏡</t>
    <phoneticPr fontId="2"/>
  </si>
  <si>
    <t xml:space="preserve">仕入先CDのダイアログが立ち上がること
受注先(非活性）
納期(非活性）
現場名(非活性）
</t>
    <rPh sb="0" eb="2">
      <t>シイレ</t>
    </rPh>
    <rPh sb="2" eb="3">
      <t>サキ</t>
    </rPh>
    <rPh sb="12" eb="13">
      <t>タ</t>
    </rPh>
    <rPh sb="14" eb="15">
      <t>ア</t>
    </rPh>
    <phoneticPr fontId="2"/>
  </si>
  <si>
    <t>仕入先CDto　×ボタン</t>
    <phoneticPr fontId="2"/>
  </si>
  <si>
    <t>プレビュー</t>
    <phoneticPr fontId="2"/>
  </si>
  <si>
    <t>プレビューボタンを押下する</t>
    <rPh sb="9" eb="11">
      <t>オウカ</t>
    </rPh>
    <phoneticPr fontId="2"/>
  </si>
  <si>
    <t>設定</t>
    <rPh sb="0" eb="2">
      <t>セッテイ</t>
    </rPh>
    <phoneticPr fontId="2"/>
  </si>
  <si>
    <t>設定ボタン</t>
    <rPh sb="0" eb="2">
      <t>セッテイ</t>
    </rPh>
    <phoneticPr fontId="2"/>
  </si>
  <si>
    <t>設定ボタンがないこと</t>
    <rPh sb="0" eb="2">
      <t>セッテイ</t>
    </rPh>
    <phoneticPr fontId="2"/>
  </si>
  <si>
    <t>印刷ボタン押下</t>
    <rPh sb="0" eb="2">
      <t>インサツ</t>
    </rPh>
    <rPh sb="5" eb="7">
      <t>オウカ</t>
    </rPh>
    <phoneticPr fontId="2"/>
  </si>
  <si>
    <t>現行システムと同じデータが表示されること。</t>
    <rPh sb="13" eb="15">
      <t>ヒョウジ</t>
    </rPh>
    <phoneticPr fontId="2"/>
  </si>
  <si>
    <t>未入力で印刷ボタンを押下する。</t>
    <rPh sb="4" eb="6">
      <t>インサツ</t>
    </rPh>
    <phoneticPr fontId="2"/>
  </si>
  <si>
    <t>エラーメッセージが出力され、帳票が出力されないこと</t>
  </si>
  <si>
    <t>仕入日付from</t>
    <rPh sb="0" eb="2">
      <t>シイレ</t>
    </rPh>
    <rPh sb="2" eb="4">
      <t>ヒヅケ</t>
    </rPh>
    <phoneticPr fontId="2"/>
  </si>
  <si>
    <t>仕入日付to</t>
    <rPh sb="0" eb="2">
      <t>シイレ</t>
    </rPh>
    <phoneticPr fontId="2"/>
  </si>
  <si>
    <t>支払日付from</t>
    <rPh sb="0" eb="2">
      <t>シハライ</t>
    </rPh>
    <phoneticPr fontId="2"/>
  </si>
  <si>
    <t>支払日付to</t>
    <rPh sb="0" eb="2">
      <t>シハライ</t>
    </rPh>
    <phoneticPr fontId="2"/>
  </si>
  <si>
    <t>PDFで帳票がDLされること</t>
    <phoneticPr fontId="2"/>
  </si>
  <si>
    <t>出力バリエーション</t>
  </si>
  <si>
    <t>仕入日計表</t>
    <rPh sb="0" eb="2">
      <t>シイレ</t>
    </rPh>
    <rPh sb="2" eb="5">
      <t>ニッケイヒョウ</t>
    </rPh>
    <phoneticPr fontId="2"/>
  </si>
  <si>
    <t>印刷</t>
    <rPh sb="0" eb="2">
      <t>インサツ</t>
    </rPh>
    <phoneticPr fontId="2"/>
  </si>
  <si>
    <t>印刷ボタン押下</t>
    <rPh sb="0" eb="2">
      <t>インサツ</t>
    </rPh>
    <phoneticPr fontId="2"/>
  </si>
  <si>
    <t>現行システムと同じデータが出力されること</t>
    <phoneticPr fontId="2"/>
  </si>
  <si>
    <t>作成日</t>
  </si>
  <si>
    <t>開始仕入先</t>
  </si>
  <si>
    <t>終了仕入先</t>
  </si>
  <si>
    <t>開始日付</t>
  </si>
  <si>
    <t>終了日付</t>
  </si>
  <si>
    <t>仕入先CD</t>
  </si>
  <si>
    <t>仕入先名1</t>
  </si>
  <si>
    <t>仕入先名2</t>
  </si>
  <si>
    <t>伝票番号</t>
  </si>
  <si>
    <t>製品NO</t>
  </si>
  <si>
    <t>仕様NO</t>
  </si>
  <si>
    <t>製品名</t>
  </si>
  <si>
    <t>仕入数量</t>
  </si>
  <si>
    <t>仕入単価</t>
  </si>
  <si>
    <t>仕入金額</t>
  </si>
  <si>
    <t>伝票区分</t>
  </si>
  <si>
    <t>仕分名称</t>
  </si>
  <si>
    <t>締日</t>
  </si>
  <si>
    <t>消費税</t>
  </si>
  <si>
    <t>見積件名</t>
  </si>
  <si>
    <t>合計金額</t>
  </si>
  <si>
    <t>仕入先計</t>
  </si>
  <si>
    <t>※詳細は「SS0300_仕入日計表_帳票設計書.xlsx」を参照</t>
    <rPh sb="1" eb="3">
      <t>ショウサイ</t>
    </rPh>
    <rPh sb="30" eb="32">
      <t>サンショウ</t>
    </rPh>
    <phoneticPr fontId="2"/>
  </si>
  <si>
    <t>現行システムと同じデータがPDFで出力されること。</t>
    <phoneticPr fontId="2"/>
  </si>
  <si>
    <t>プレビュー</t>
    <phoneticPr fontId="2"/>
  </si>
  <si>
    <t>出力種類</t>
    <rPh sb="0" eb="2">
      <t>シュツリョク</t>
    </rPh>
    <rPh sb="2" eb="4">
      <t>シュルイ</t>
    </rPh>
    <phoneticPr fontId="2"/>
  </si>
  <si>
    <t>プレビューボタン押下</t>
    <phoneticPr fontId="2"/>
  </si>
  <si>
    <t>複数ページとならないデータでプレビューボタンを押下</t>
    <phoneticPr fontId="2"/>
  </si>
  <si>
    <t>複数ページとなるデータでプレビューボタンを押下</t>
    <phoneticPr fontId="2"/>
  </si>
  <si>
    <t>表示されていないこと</t>
    <rPh sb="0" eb="2">
      <t>ヒョウジ</t>
    </rPh>
    <phoneticPr fontId="2"/>
  </si>
  <si>
    <t>ラジオボタンを選択する</t>
    <rPh sb="7" eb="9">
      <t>センタク</t>
    </rPh>
    <phoneticPr fontId="2"/>
  </si>
  <si>
    <t>範囲指定の支払日付が仕入日付になること。</t>
    <rPh sb="0" eb="2">
      <t>ハンイ</t>
    </rPh>
    <rPh sb="2" eb="4">
      <t>シテイ</t>
    </rPh>
    <rPh sb="5" eb="7">
      <t>シハラ</t>
    </rPh>
    <rPh sb="7" eb="9">
      <t>ヒヅケ</t>
    </rPh>
    <rPh sb="10" eb="12">
      <t>シイ</t>
    </rPh>
    <rPh sb="12" eb="14">
      <t>ヒヅケ</t>
    </rPh>
    <phoneticPr fontId="2"/>
  </si>
  <si>
    <t>範囲指定の仕入日付が支払日付になること。</t>
    <rPh sb="0" eb="2">
      <t>ハンイ</t>
    </rPh>
    <rPh sb="2" eb="4">
      <t>シテイ</t>
    </rPh>
    <rPh sb="5" eb="7">
      <t>シイ</t>
    </rPh>
    <rPh sb="7" eb="9">
      <t>ヒヅケ</t>
    </rPh>
    <rPh sb="10" eb="12">
      <t>シハライ</t>
    </rPh>
    <rPh sb="12" eb="14">
      <t>ヒヅケ</t>
    </rPh>
    <phoneticPr fontId="2"/>
  </si>
  <si>
    <t>仕入日付(ラジオボタン)を選択し
値を入力して印刷ボタン押下</t>
    <rPh sb="13" eb="15">
      <t>センタク</t>
    </rPh>
    <rPh sb="23" eb="25">
      <t>インサツ</t>
    </rPh>
    <phoneticPr fontId="2"/>
  </si>
  <si>
    <t>仕入日付(ラジオボタン)を選択し
値を入力して印刷ボタン押下</t>
    <rPh sb="23" eb="25">
      <t>インサツ</t>
    </rPh>
    <phoneticPr fontId="2"/>
  </si>
  <si>
    <t>支払日付(ラジオボタン)を選択し
値を入力して印刷ボタン押下</t>
    <rPh sb="0" eb="2">
      <t>シハライ</t>
    </rPh>
    <rPh sb="23" eb="25">
      <t>インサツ</t>
    </rPh>
    <phoneticPr fontId="2"/>
  </si>
  <si>
    <t>支払日付(ラジオボタン)を選択し
値を入力してプレビューボタン押下</t>
    <rPh sb="0" eb="2">
      <t>シハライ</t>
    </rPh>
    <phoneticPr fontId="2"/>
  </si>
  <si>
    <t>仕入日付(ラジオボタン)を選択し
値を入力してプレビューボタン押下</t>
    <phoneticPr fontId="2"/>
  </si>
  <si>
    <t>仕入日付(ラジオボタン)を選択し
値を入力してプレビューボタン押下</t>
    <rPh sb="13" eb="15">
      <t>センタク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</si>
  <si>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</si>
  <si>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支払日付(From)・支払日付(To)</t>
    <rPh sb="11" eb="13">
      <t>シハライ</t>
    </rPh>
    <rPh sb="13" eb="15">
      <t>ヒヅケ</t>
    </rPh>
    <phoneticPr fontId="2"/>
  </si>
  <si>
    <t>支払日付(From)の値が支払日付(To)より大きい値を入力する</t>
    <rPh sb="0" eb="2">
      <t>シハライ</t>
    </rPh>
    <rPh sb="2" eb="4">
      <t>ヒヅケ</t>
    </rPh>
    <rPh sb="11" eb="12">
      <t>アタイ</t>
    </rPh>
    <rPh sb="23" eb="24">
      <t>オオ</t>
    </rPh>
    <rPh sb="26" eb="27">
      <t>アタイ</t>
    </rPh>
    <rPh sb="28" eb="30">
      <t>ニュウリョク</t>
    </rPh>
    <phoneticPr fontId="2"/>
  </si>
  <si>
    <t>仕入日付(From)の値が仕入日付(To)より大きい値を入力する</t>
    <rPh sb="0" eb="2">
      <t>シイレ</t>
    </rPh>
    <rPh sb="2" eb="4">
      <t>ヒヅケ</t>
    </rPh>
    <rPh sb="11" eb="12">
      <t>アタイ</t>
    </rPh>
    <rPh sb="23" eb="24">
      <t>オオ</t>
    </rPh>
    <rPh sb="26" eb="27">
      <t>アタイ</t>
    </rPh>
    <rPh sb="28" eb="30">
      <t>ニュウリョク</t>
    </rPh>
    <phoneticPr fontId="2"/>
  </si>
  <si>
    <t>仕入日付(From)・仕入日付(To)</t>
    <rPh sb="3" eb="4">
      <t>ツケ</t>
    </rPh>
    <rPh sb="11" eb="13">
      <t>シイレ</t>
    </rPh>
    <rPh sb="13" eb="15">
      <t>ヒヅケ</t>
    </rPh>
    <phoneticPr fontId="2"/>
  </si>
  <si>
    <t>出力されていないこと</t>
    <rPh sb="0" eb="2">
      <t>シュツリョク</t>
    </rPh>
    <phoneticPr fontId="2"/>
  </si>
  <si>
    <t>PDF印刷</t>
    <rPh sb="3" eb="5">
      <t>インサツ</t>
    </rPh>
    <phoneticPr fontId="2"/>
  </si>
  <si>
    <t>OK</t>
  </si>
  <si>
    <t>NG</t>
  </si>
  <si>
    <t>飯高</t>
    <rPh sb="0" eb="2">
      <t>イイダカ</t>
    </rPh>
    <phoneticPr fontId="2"/>
  </si>
  <si>
    <t>大谷</t>
    <rPh sb="0" eb="2">
      <t>オオタニ</t>
    </rPh>
    <phoneticPr fontId="2"/>
  </si>
  <si>
    <t>前日の日付が入る
⇒当日の日付が入っていることを確認</t>
    <rPh sb="0" eb="2">
      <t>ゼンジツ</t>
    </rPh>
    <rPh sb="3" eb="5">
      <t>ヒヅケ</t>
    </rPh>
    <rPh sb="6" eb="7">
      <t>ハイ</t>
    </rPh>
    <rPh sb="10" eb="12">
      <t>トウジツ</t>
    </rPh>
    <rPh sb="13" eb="15">
      <t>ヒヅケ</t>
    </rPh>
    <rPh sb="16" eb="17">
      <t>ハイ</t>
    </rPh>
    <rPh sb="24" eb="26">
      <t>カクニン</t>
    </rPh>
    <phoneticPr fontId="2"/>
  </si>
  <si>
    <t>プレビューボタンがない
⇒現行システムでは実装しない</t>
    <rPh sb="13" eb="15">
      <t>ゲンコウ</t>
    </rPh>
    <rPh sb="21" eb="23">
      <t>ジッソウ</t>
    </rPh>
    <phoneticPr fontId="2"/>
  </si>
  <si>
    <t>エラーメッセージが表示されない
⇒該当データなしで正常終了する、現行通りの動きのため問題ないなし</t>
    <rPh sb="9" eb="11">
      <t>ヒョウジ</t>
    </rPh>
    <rPh sb="17" eb="19">
      <t>ガイトウ</t>
    </rPh>
    <rPh sb="25" eb="29">
      <t>セイジョウシュウリョウ</t>
    </rPh>
    <rPh sb="32" eb="35">
      <t>ゲンコウドオ</t>
    </rPh>
    <rPh sb="37" eb="38">
      <t>ウゴ</t>
    </rPh>
    <rPh sb="42" eb="44">
      <t>モンダイ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</si>
</sst>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0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2" borderId="37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177" fontId="3" fillId="2" borderId="5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2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21" t="s">
        <v>0</v>
      </c>
      <c r="C2" s="222"/>
      <c r="D2" s="222"/>
      <c r="E2" s="222"/>
      <c r="F2" s="222"/>
      <c r="G2" s="222"/>
      <c r="H2" s="222" t="s">
        <v>40</v>
      </c>
      <c r="I2" s="222"/>
      <c r="J2" s="222"/>
      <c r="K2" s="222"/>
      <c r="L2" s="222" t="s">
        <v>41</v>
      </c>
      <c r="M2" s="222"/>
      <c r="N2" s="222"/>
      <c r="O2" s="222"/>
      <c r="P2" s="222"/>
      <c r="Q2" s="222"/>
      <c r="R2" s="222" t="s">
        <v>1</v>
      </c>
      <c r="S2" s="222"/>
      <c r="T2" s="222"/>
      <c r="U2" s="222"/>
      <c r="V2" s="222"/>
      <c r="W2" s="222"/>
      <c r="X2" s="223" t="s">
        <v>2</v>
      </c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5"/>
      <c r="AK2" s="223" t="s">
        <v>30</v>
      </c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5"/>
      <c r="AX2" s="222" t="s">
        <v>4</v>
      </c>
      <c r="AY2" s="222"/>
      <c r="AZ2" s="222"/>
      <c r="BA2" s="222"/>
      <c r="BB2" s="222" t="s">
        <v>3</v>
      </c>
      <c r="BC2" s="222"/>
      <c r="BD2" s="222"/>
      <c r="BE2" s="222"/>
      <c r="BF2" s="222" t="s">
        <v>5</v>
      </c>
      <c r="BG2" s="222"/>
      <c r="BH2" s="222"/>
      <c r="BI2" s="222"/>
      <c r="BJ2" s="222" t="s">
        <v>6</v>
      </c>
      <c r="BK2" s="222"/>
      <c r="BL2" s="222"/>
      <c r="BM2" s="236"/>
      <c r="BN2" s="15"/>
    </row>
    <row r="3" spans="1:66" ht="20.100000000000001" customHeight="1" x14ac:dyDescent="0.45">
      <c r="A3" s="9"/>
      <c r="B3" s="226" t="s">
        <v>38</v>
      </c>
      <c r="C3" s="227"/>
      <c r="D3" s="227"/>
      <c r="E3" s="227"/>
      <c r="F3" s="227"/>
      <c r="G3" s="227"/>
      <c r="H3" s="227" t="str">
        <f ca="1">LEFT($X$3,FIND("_",$X$3)-1)</f>
        <v>仕入支払</v>
      </c>
      <c r="I3" s="227"/>
      <c r="J3" s="227"/>
      <c r="K3" s="227"/>
      <c r="L3" s="227" t="s">
        <v>39</v>
      </c>
      <c r="M3" s="227"/>
      <c r="N3" s="227"/>
      <c r="O3" s="227"/>
      <c r="P3" s="227"/>
      <c r="Q3" s="227"/>
      <c r="R3" s="230" t="str">
        <f ca="1">MID($X$3,FIND("_",$X$3,FIND("_",$X$3)+1)+1,LEN($X$3)-FIND("_",$X$3,FIND("_",$X$3)+1))</f>
        <v>結合試験項目</v>
      </c>
      <c r="S3" s="227"/>
      <c r="T3" s="227"/>
      <c r="U3" s="227"/>
      <c r="V3" s="227"/>
      <c r="W3" s="227"/>
      <c r="X3" s="231" t="str">
        <f ca="1">REPLACE(LEFT(CELL("filename",$B$2),FIND(".x",CELL("filename",$B$2))-1),1,FIND("[",CELL("filename",$B$2)),)</f>
        <v>仕入支払_仕入日計表_結合試験項目</v>
      </c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28"/>
      <c r="AK3" s="231" t="str">
        <f ca="1">MID($X$3,FIND("_",$X$3)+1,FIND("_",$X$3,FIND("_",$X$3)+1)-FIND("_",$X$3)-1)</f>
        <v>仕入日計表</v>
      </c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28"/>
      <c r="AX3" s="238">
        <v>45635</v>
      </c>
      <c r="AY3" s="227"/>
      <c r="AZ3" s="227"/>
      <c r="BA3" s="227"/>
      <c r="BB3" s="227" t="s">
        <v>48</v>
      </c>
      <c r="BC3" s="227"/>
      <c r="BD3" s="227"/>
      <c r="BE3" s="227"/>
      <c r="BF3" s="238">
        <v>45635</v>
      </c>
      <c r="BG3" s="227"/>
      <c r="BH3" s="227"/>
      <c r="BI3" s="227"/>
      <c r="BJ3" s="227" t="s">
        <v>48</v>
      </c>
      <c r="BK3" s="227"/>
      <c r="BL3" s="227"/>
      <c r="BM3" s="239"/>
      <c r="BN3" s="15"/>
    </row>
    <row r="4" spans="1:66" ht="20.100000000000001" customHeight="1" thickBot="1" x14ac:dyDescent="0.5">
      <c r="A4" s="9"/>
      <c r="B4" s="228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33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5"/>
      <c r="AK4" s="233"/>
      <c r="AL4" s="234"/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5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31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37" t="s">
        <v>7</v>
      </c>
      <c r="D8" s="237"/>
      <c r="E8" s="237"/>
      <c r="F8" s="237"/>
      <c r="G8" s="237" t="s">
        <v>8</v>
      </c>
      <c r="H8" s="237"/>
      <c r="I8" s="237"/>
      <c r="J8" s="237"/>
      <c r="K8" s="237" t="s">
        <v>9</v>
      </c>
      <c r="L8" s="237"/>
      <c r="M8" s="237"/>
      <c r="N8" s="237"/>
      <c r="O8" s="237" t="s">
        <v>10</v>
      </c>
      <c r="P8" s="237"/>
      <c r="Q8" s="237"/>
      <c r="R8" s="237"/>
      <c r="S8" s="237"/>
      <c r="T8" s="237"/>
      <c r="U8" s="237"/>
      <c r="V8" s="237"/>
      <c r="W8" s="237"/>
      <c r="X8" s="237"/>
      <c r="Y8" s="237" t="s">
        <v>11</v>
      </c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M8" s="237"/>
      <c r="AN8" s="237"/>
      <c r="AO8" s="237"/>
      <c r="AP8" s="237"/>
      <c r="AQ8" s="237"/>
      <c r="AR8" s="237"/>
      <c r="AS8" s="237"/>
      <c r="AT8" s="237"/>
      <c r="AU8" s="237"/>
      <c r="AV8" s="237"/>
      <c r="AW8" s="237"/>
      <c r="AX8" s="237"/>
      <c r="AY8" s="237"/>
      <c r="AZ8" s="237"/>
      <c r="BA8" s="237"/>
      <c r="BB8" s="237"/>
      <c r="BC8" s="237"/>
      <c r="BD8" s="237"/>
      <c r="BE8" s="237"/>
      <c r="BF8" s="237"/>
      <c r="BG8" s="237"/>
      <c r="BH8" s="237"/>
      <c r="BI8" s="237"/>
      <c r="BJ8" s="237"/>
      <c r="BK8" s="237"/>
      <c r="BL8" s="237"/>
      <c r="BM8" s="8"/>
      <c r="BN8" s="15"/>
    </row>
    <row r="9" spans="1:66" ht="20.100000000000001" customHeight="1" x14ac:dyDescent="0.45">
      <c r="A9" s="9"/>
      <c r="B9" s="8"/>
      <c r="C9" s="240">
        <v>45635</v>
      </c>
      <c r="D9" s="241"/>
      <c r="E9" s="241"/>
      <c r="F9" s="242"/>
      <c r="G9" s="243" t="s">
        <v>20</v>
      </c>
      <c r="H9" s="244"/>
      <c r="I9" s="244"/>
      <c r="J9" s="245"/>
      <c r="K9" s="246"/>
      <c r="L9" s="241"/>
      <c r="M9" s="241"/>
      <c r="N9" s="242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40"/>
      <c r="D10" s="241"/>
      <c r="E10" s="241"/>
      <c r="F10" s="242"/>
      <c r="G10" s="243"/>
      <c r="H10" s="244"/>
      <c r="I10" s="244"/>
      <c r="J10" s="245"/>
      <c r="K10" s="246"/>
      <c r="L10" s="241"/>
      <c r="M10" s="241"/>
      <c r="N10" s="242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40"/>
      <c r="D11" s="241"/>
      <c r="E11" s="241"/>
      <c r="F11" s="242"/>
      <c r="G11" s="243"/>
      <c r="H11" s="244"/>
      <c r="I11" s="244"/>
      <c r="J11" s="245"/>
      <c r="K11" s="246"/>
      <c r="L11" s="241"/>
      <c r="M11" s="241"/>
      <c r="N11" s="242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40"/>
      <c r="D36" s="241"/>
      <c r="E36" s="241"/>
      <c r="F36" s="242"/>
      <c r="G36" s="243"/>
      <c r="H36" s="244"/>
      <c r="I36" s="244"/>
      <c r="J36" s="245"/>
      <c r="K36" s="246"/>
      <c r="L36" s="241"/>
      <c r="M36" s="241"/>
      <c r="N36" s="242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40"/>
      <c r="D37" s="241"/>
      <c r="E37" s="241"/>
      <c r="F37" s="242"/>
      <c r="G37" s="243"/>
      <c r="H37" s="244"/>
      <c r="I37" s="244"/>
      <c r="J37" s="245"/>
      <c r="K37" s="246"/>
      <c r="L37" s="241"/>
      <c r="M37" s="241"/>
      <c r="N37" s="242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40"/>
      <c r="D38" s="241"/>
      <c r="E38" s="241"/>
      <c r="F38" s="242"/>
      <c r="G38" s="243"/>
      <c r="H38" s="244"/>
      <c r="I38" s="244"/>
      <c r="J38" s="245"/>
      <c r="K38" s="246"/>
      <c r="L38" s="241"/>
      <c r="M38" s="241"/>
      <c r="N38" s="242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40"/>
      <c r="D39" s="241"/>
      <c r="E39" s="241"/>
      <c r="F39" s="242"/>
      <c r="G39" s="243"/>
      <c r="H39" s="244"/>
      <c r="I39" s="244"/>
      <c r="J39" s="245"/>
      <c r="K39" s="246"/>
      <c r="L39" s="241"/>
      <c r="M39" s="241"/>
      <c r="N39" s="242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40"/>
      <c r="D40" s="241"/>
      <c r="E40" s="241"/>
      <c r="F40" s="242"/>
      <c r="G40" s="243"/>
      <c r="H40" s="244"/>
      <c r="I40" s="244"/>
      <c r="J40" s="245"/>
      <c r="K40" s="246"/>
      <c r="L40" s="241"/>
      <c r="M40" s="241"/>
      <c r="N40" s="242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40"/>
      <c r="D41" s="241"/>
      <c r="E41" s="241"/>
      <c r="F41" s="242"/>
      <c r="G41" s="243"/>
      <c r="H41" s="244"/>
      <c r="I41" s="244"/>
      <c r="J41" s="245"/>
      <c r="K41" s="246"/>
      <c r="L41" s="241"/>
      <c r="M41" s="241"/>
      <c r="N41" s="242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40"/>
      <c r="D42" s="241"/>
      <c r="E42" s="241"/>
      <c r="F42" s="242"/>
      <c r="G42" s="243"/>
      <c r="H42" s="244"/>
      <c r="I42" s="244"/>
      <c r="J42" s="245"/>
      <c r="K42" s="246"/>
      <c r="L42" s="241"/>
      <c r="M42" s="241"/>
      <c r="N42" s="242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40"/>
      <c r="D43" s="241"/>
      <c r="E43" s="241"/>
      <c r="F43" s="242"/>
      <c r="G43" s="243"/>
      <c r="H43" s="244"/>
      <c r="I43" s="244"/>
      <c r="J43" s="245"/>
      <c r="K43" s="246"/>
      <c r="L43" s="241"/>
      <c r="M43" s="241"/>
      <c r="N43" s="242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40"/>
      <c r="D44" s="241"/>
      <c r="E44" s="241"/>
      <c r="F44" s="242"/>
      <c r="G44" s="243"/>
      <c r="H44" s="244"/>
      <c r="I44" s="244"/>
      <c r="J44" s="245"/>
      <c r="K44" s="246"/>
      <c r="L44" s="241"/>
      <c r="M44" s="241"/>
      <c r="N44" s="242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40"/>
      <c r="D45" s="241"/>
      <c r="E45" s="241"/>
      <c r="F45" s="242"/>
      <c r="G45" s="243"/>
      <c r="H45" s="244"/>
      <c r="I45" s="244"/>
      <c r="J45" s="245"/>
      <c r="K45" s="246"/>
      <c r="L45" s="241"/>
      <c r="M45" s="241"/>
      <c r="N45" s="242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40"/>
      <c r="D46" s="241"/>
      <c r="E46" s="241"/>
      <c r="F46" s="242"/>
      <c r="G46" s="243"/>
      <c r="H46" s="244"/>
      <c r="I46" s="244"/>
      <c r="J46" s="245"/>
      <c r="K46" s="246"/>
      <c r="L46" s="241"/>
      <c r="M46" s="241"/>
      <c r="N46" s="242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40"/>
      <c r="D47" s="241"/>
      <c r="E47" s="241"/>
      <c r="F47" s="242"/>
      <c r="G47" s="243"/>
      <c r="H47" s="244"/>
      <c r="I47" s="244"/>
      <c r="J47" s="245"/>
      <c r="K47" s="246"/>
      <c r="L47" s="241"/>
      <c r="M47" s="241"/>
      <c r="N47" s="242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21" t="s">
        <v>0</v>
      </c>
      <c r="C2" s="222"/>
      <c r="D2" s="222"/>
      <c r="E2" s="222"/>
      <c r="F2" s="222"/>
      <c r="G2" s="222"/>
      <c r="H2" s="222" t="s">
        <v>40</v>
      </c>
      <c r="I2" s="222"/>
      <c r="J2" s="222"/>
      <c r="K2" s="222"/>
      <c r="L2" s="222" t="s">
        <v>41</v>
      </c>
      <c r="M2" s="222"/>
      <c r="N2" s="222"/>
      <c r="O2" s="222"/>
      <c r="P2" s="222"/>
      <c r="Q2" s="222"/>
      <c r="R2" s="222" t="s">
        <v>1</v>
      </c>
      <c r="S2" s="222"/>
      <c r="T2" s="222"/>
      <c r="U2" s="222"/>
      <c r="V2" s="222"/>
      <c r="W2" s="222"/>
      <c r="X2" s="223" t="s">
        <v>2</v>
      </c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5"/>
      <c r="AK2" s="223" t="s">
        <v>30</v>
      </c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5"/>
      <c r="AX2" s="222" t="s">
        <v>4</v>
      </c>
      <c r="AY2" s="222"/>
      <c r="AZ2" s="222"/>
      <c r="BA2" s="222"/>
      <c r="BB2" s="222" t="s">
        <v>3</v>
      </c>
      <c r="BC2" s="222"/>
      <c r="BD2" s="222"/>
      <c r="BE2" s="222"/>
      <c r="BF2" s="222" t="s">
        <v>5</v>
      </c>
      <c r="BG2" s="222"/>
      <c r="BH2" s="222"/>
      <c r="BI2" s="222"/>
      <c r="BJ2" s="222" t="s">
        <v>6</v>
      </c>
      <c r="BK2" s="222"/>
      <c r="BL2" s="222"/>
      <c r="BM2" s="236"/>
      <c r="BN2" s="16"/>
    </row>
    <row r="3" spans="1:66" ht="20.100000000000001" customHeight="1" x14ac:dyDescent="0.45">
      <c r="A3" s="10"/>
      <c r="B3" s="226" t="str">
        <f>変更履歴!B3</f>
        <v>受発注システム</v>
      </c>
      <c r="C3" s="227"/>
      <c r="D3" s="227"/>
      <c r="E3" s="227"/>
      <c r="F3" s="227"/>
      <c r="G3" s="227"/>
      <c r="H3" s="227" t="str">
        <f ca="1">変更履歴!H3</f>
        <v>仕入支払</v>
      </c>
      <c r="I3" s="227"/>
      <c r="J3" s="227"/>
      <c r="K3" s="227"/>
      <c r="L3" s="227" t="str">
        <f>変更履歴!L3</f>
        <v>受発注</v>
      </c>
      <c r="M3" s="227"/>
      <c r="N3" s="227"/>
      <c r="O3" s="227"/>
      <c r="P3" s="227"/>
      <c r="Q3" s="227"/>
      <c r="R3" s="227" t="str">
        <f ca="1">変更履歴!R3</f>
        <v>結合試験項目</v>
      </c>
      <c r="S3" s="227"/>
      <c r="T3" s="227"/>
      <c r="U3" s="227"/>
      <c r="V3" s="227"/>
      <c r="W3" s="227"/>
      <c r="X3" s="231" t="str">
        <f ca="1">変更履歴!X3</f>
        <v>仕入支払_仕入日計表_結合試験項目</v>
      </c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28"/>
      <c r="AK3" s="231" t="str">
        <f ca="1">変更履歴!AK3</f>
        <v>仕入日計表</v>
      </c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28"/>
      <c r="AX3" s="238">
        <f>変更履歴!AX3</f>
        <v>45635</v>
      </c>
      <c r="AY3" s="238"/>
      <c r="AZ3" s="238"/>
      <c r="BA3" s="238"/>
      <c r="BB3" s="227" t="str">
        <f>変更履歴!BB3</f>
        <v>榎本</v>
      </c>
      <c r="BC3" s="227"/>
      <c r="BD3" s="227"/>
      <c r="BE3" s="227"/>
      <c r="BF3" s="238">
        <f>変更履歴!BF3</f>
        <v>45635</v>
      </c>
      <c r="BG3" s="238"/>
      <c r="BH3" s="238"/>
      <c r="BI3" s="238"/>
      <c r="BJ3" s="227" t="str">
        <f>変更履歴!BJ3</f>
        <v>榎本</v>
      </c>
      <c r="BK3" s="227"/>
      <c r="BL3" s="227"/>
      <c r="BM3" s="239"/>
      <c r="BN3" s="16"/>
    </row>
    <row r="4" spans="1:66" ht="20.100000000000001" customHeight="1" thickBot="1" x14ac:dyDescent="0.5">
      <c r="A4" s="10"/>
      <c r="B4" s="228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33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5"/>
      <c r="AK4" s="233"/>
      <c r="AL4" s="234"/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5"/>
      <c r="AX4" s="269"/>
      <c r="AY4" s="269"/>
      <c r="AZ4" s="269"/>
      <c r="BA4" s="269"/>
      <c r="BB4" s="229"/>
      <c r="BC4" s="229"/>
      <c r="BD4" s="229"/>
      <c r="BE4" s="229"/>
      <c r="BF4" s="269"/>
      <c r="BG4" s="269"/>
      <c r="BH4" s="269"/>
      <c r="BI4" s="269"/>
      <c r="BJ4" s="229"/>
      <c r="BK4" s="229"/>
      <c r="BL4" s="229"/>
      <c r="BM4" s="23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0" t="s">
        <v>32</v>
      </c>
      <c r="BF7" s="271"/>
      <c r="BG7" s="274" t="s">
        <v>31</v>
      </c>
      <c r="BH7" s="274"/>
      <c r="BI7" s="275" t="s">
        <v>33</v>
      </c>
      <c r="BJ7" s="276"/>
      <c r="BK7" s="275" t="s">
        <v>34</v>
      </c>
      <c r="BL7" s="27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8" t="s">
        <v>35</v>
      </c>
      <c r="AP8" s="279"/>
      <c r="AQ8" s="279"/>
      <c r="AR8" s="279"/>
      <c r="AS8" s="279"/>
      <c r="AT8" s="277"/>
      <c r="AU8" s="278" t="s">
        <v>36</v>
      </c>
      <c r="AV8" s="279"/>
      <c r="AW8" s="279"/>
      <c r="AX8" s="279"/>
      <c r="AY8" s="279"/>
      <c r="AZ8" s="277"/>
      <c r="BE8" s="272"/>
      <c r="BF8" s="273"/>
      <c r="BG8" s="280">
        <f>COUNTA(C10:C35)</f>
        <v>26</v>
      </c>
      <c r="BH8" s="281"/>
      <c r="BI8" s="280">
        <f>COUNTIF(AS10:AT35,"OK")+COUNTIF(AY10:AZ35,"OK")</f>
        <v>26</v>
      </c>
      <c r="BJ8" s="281"/>
      <c r="BK8" s="280">
        <f>BG8-BI8</f>
        <v>0</v>
      </c>
      <c r="BL8" s="28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83" t="s">
        <v>25</v>
      </c>
      <c r="AP9" s="284"/>
      <c r="AQ9" s="285" t="s">
        <v>26</v>
      </c>
      <c r="AR9" s="284"/>
      <c r="AS9" s="285" t="s">
        <v>29</v>
      </c>
      <c r="AT9" s="286"/>
      <c r="AU9" s="283" t="s">
        <v>25</v>
      </c>
      <c r="AV9" s="284"/>
      <c r="AW9" s="285" t="s">
        <v>26</v>
      </c>
      <c r="AX9" s="284"/>
      <c r="AY9" s="285" t="s">
        <v>29</v>
      </c>
      <c r="AZ9" s="286"/>
      <c r="BA9" s="287" t="s">
        <v>27</v>
      </c>
      <c r="BB9" s="279"/>
      <c r="BC9" s="279"/>
      <c r="BD9" s="279"/>
      <c r="BE9" s="279"/>
      <c r="BF9" s="279"/>
      <c r="BG9" s="279"/>
      <c r="BH9" s="279"/>
      <c r="BI9" s="279"/>
      <c r="BJ9" s="279"/>
      <c r="BK9" s="279"/>
      <c r="BL9" s="277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66" t="s">
        <v>42</v>
      </c>
      <c r="E10" s="267"/>
      <c r="F10" s="267"/>
      <c r="G10" s="268"/>
      <c r="H10" s="266" t="s">
        <v>43</v>
      </c>
      <c r="I10" s="267"/>
      <c r="J10" s="267"/>
      <c r="K10" s="268"/>
      <c r="L10" s="256" t="s">
        <v>66</v>
      </c>
      <c r="M10" s="257"/>
      <c r="N10" s="257"/>
      <c r="O10" s="258"/>
      <c r="P10" s="256" t="s">
        <v>65</v>
      </c>
      <c r="Q10" s="257"/>
      <c r="R10" s="257"/>
      <c r="S10" s="257"/>
      <c r="T10" s="257"/>
      <c r="U10" s="257"/>
      <c r="V10" s="257"/>
      <c r="W10" s="258"/>
      <c r="X10" s="256" t="s">
        <v>78</v>
      </c>
      <c r="Y10" s="257"/>
      <c r="Z10" s="257"/>
      <c r="AA10" s="257"/>
      <c r="AB10" s="257"/>
      <c r="AC10" s="257"/>
      <c r="AD10" s="257"/>
      <c r="AE10" s="258"/>
      <c r="AF10" s="256"/>
      <c r="AG10" s="257"/>
      <c r="AH10" s="257"/>
      <c r="AI10" s="257"/>
      <c r="AJ10" s="257"/>
      <c r="AK10" s="257"/>
      <c r="AL10" s="257"/>
      <c r="AM10" s="257"/>
      <c r="AN10" s="259"/>
      <c r="AO10" s="247">
        <v>45681</v>
      </c>
      <c r="AP10" s="248"/>
      <c r="AQ10" s="246" t="s">
        <v>156</v>
      </c>
      <c r="AR10" s="242"/>
      <c r="AS10" s="246" t="s">
        <v>154</v>
      </c>
      <c r="AT10" s="249"/>
      <c r="AU10" s="247"/>
      <c r="AV10" s="248"/>
      <c r="AW10" s="246"/>
      <c r="AX10" s="242"/>
      <c r="AY10" s="246"/>
      <c r="AZ10" s="249"/>
      <c r="BA10" s="288"/>
      <c r="BB10" s="251"/>
      <c r="BC10" s="251"/>
      <c r="BD10" s="251"/>
      <c r="BE10" s="251"/>
      <c r="BF10" s="251"/>
      <c r="BG10" s="251"/>
      <c r="BH10" s="251"/>
      <c r="BI10" s="251"/>
      <c r="BJ10" s="251"/>
      <c r="BK10" s="251"/>
      <c r="BL10" s="252"/>
      <c r="BM10" s="16"/>
      <c r="BN10" s="16"/>
    </row>
    <row r="11" spans="1:66" ht="24" customHeight="1" x14ac:dyDescent="0.45">
      <c r="A11" s="10"/>
      <c r="B11" s="10"/>
      <c r="C11" s="30">
        <f t="shared" ref="C11:C35" si="0">ROW()-9</f>
        <v>2</v>
      </c>
      <c r="D11" s="46"/>
      <c r="E11" s="47"/>
      <c r="F11" s="47"/>
      <c r="G11" s="48"/>
      <c r="H11" s="46"/>
      <c r="I11" s="47"/>
      <c r="J11" s="47"/>
      <c r="K11" s="48"/>
      <c r="L11" s="256" t="s">
        <v>67</v>
      </c>
      <c r="M11" s="257"/>
      <c r="N11" s="257"/>
      <c r="O11" s="258"/>
      <c r="P11" s="256" t="s">
        <v>65</v>
      </c>
      <c r="Q11" s="257"/>
      <c r="R11" s="257"/>
      <c r="S11" s="257"/>
      <c r="T11" s="257"/>
      <c r="U11" s="257"/>
      <c r="V11" s="257"/>
      <c r="W11" s="258"/>
      <c r="X11" s="256" t="s">
        <v>79</v>
      </c>
      <c r="Y11" s="257"/>
      <c r="Z11" s="257"/>
      <c r="AA11" s="257"/>
      <c r="AB11" s="257"/>
      <c r="AC11" s="257"/>
      <c r="AD11" s="257"/>
      <c r="AE11" s="258"/>
      <c r="AF11" s="40"/>
      <c r="AG11" s="41"/>
      <c r="AH11" s="41"/>
      <c r="AI11" s="41"/>
      <c r="AJ11" s="41"/>
      <c r="AK11" s="41"/>
      <c r="AL11" s="41"/>
      <c r="AM11" s="41"/>
      <c r="AN11" s="42"/>
      <c r="AO11" s="247">
        <v>45681</v>
      </c>
      <c r="AP11" s="248"/>
      <c r="AQ11" s="246" t="s">
        <v>156</v>
      </c>
      <c r="AR11" s="242"/>
      <c r="AS11" s="246" t="s">
        <v>154</v>
      </c>
      <c r="AT11" s="249"/>
      <c r="AU11" s="43"/>
      <c r="AV11" s="44"/>
      <c r="AW11" s="36"/>
      <c r="AX11" s="35"/>
      <c r="AY11" s="36"/>
      <c r="AZ11" s="45"/>
      <c r="BA11" s="37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9"/>
      <c r="BM11" s="16"/>
      <c r="BN11" s="16"/>
    </row>
    <row r="12" spans="1:66" ht="24" customHeight="1" x14ac:dyDescent="0.45">
      <c r="A12" s="10"/>
      <c r="B12" s="10"/>
      <c r="C12" s="77">
        <f t="shared" si="0"/>
        <v>3</v>
      </c>
      <c r="D12" s="253"/>
      <c r="E12" s="254"/>
      <c r="F12" s="254"/>
      <c r="G12" s="255"/>
      <c r="H12" s="253"/>
      <c r="I12" s="254"/>
      <c r="J12" s="254"/>
      <c r="K12" s="255"/>
      <c r="L12" s="256" t="s">
        <v>69</v>
      </c>
      <c r="M12" s="257"/>
      <c r="N12" s="257"/>
      <c r="O12" s="258"/>
      <c r="P12" s="256" t="s">
        <v>65</v>
      </c>
      <c r="Q12" s="257"/>
      <c r="R12" s="257"/>
      <c r="S12" s="257"/>
      <c r="T12" s="257"/>
      <c r="U12" s="257"/>
      <c r="V12" s="257"/>
      <c r="W12" s="258"/>
      <c r="X12" s="256" t="s">
        <v>73</v>
      </c>
      <c r="Y12" s="257"/>
      <c r="Z12" s="257"/>
      <c r="AA12" s="257"/>
      <c r="AB12" s="257"/>
      <c r="AC12" s="257"/>
      <c r="AD12" s="257"/>
      <c r="AE12" s="258"/>
      <c r="AF12" s="256"/>
      <c r="AG12" s="257"/>
      <c r="AH12" s="257"/>
      <c r="AI12" s="257"/>
      <c r="AJ12" s="257"/>
      <c r="AK12" s="257"/>
      <c r="AL12" s="257"/>
      <c r="AM12" s="257"/>
      <c r="AN12" s="259"/>
      <c r="AO12" s="247">
        <v>45681</v>
      </c>
      <c r="AP12" s="248"/>
      <c r="AQ12" s="246" t="s">
        <v>156</v>
      </c>
      <c r="AR12" s="242"/>
      <c r="AS12" s="246" t="s">
        <v>155</v>
      </c>
      <c r="AT12" s="249"/>
      <c r="AU12" s="247">
        <v>45702</v>
      </c>
      <c r="AV12" s="248"/>
      <c r="AW12" s="246" t="s">
        <v>157</v>
      </c>
      <c r="AX12" s="242"/>
      <c r="AY12" s="246" t="s">
        <v>154</v>
      </c>
      <c r="AZ12" s="249"/>
      <c r="BA12" s="250" t="s">
        <v>158</v>
      </c>
      <c r="BB12" s="251"/>
      <c r="BC12" s="251"/>
      <c r="BD12" s="251"/>
      <c r="BE12" s="251"/>
      <c r="BF12" s="251"/>
      <c r="BG12" s="251"/>
      <c r="BH12" s="251"/>
      <c r="BI12" s="251"/>
      <c r="BJ12" s="251"/>
      <c r="BK12" s="251"/>
      <c r="BL12" s="252"/>
      <c r="BM12" s="16"/>
      <c r="BN12" s="16"/>
    </row>
    <row r="13" spans="1:66" ht="24" customHeight="1" x14ac:dyDescent="0.45">
      <c r="A13" s="10"/>
      <c r="B13" s="10"/>
      <c r="C13" s="177">
        <f t="shared" si="0"/>
        <v>4</v>
      </c>
      <c r="D13" s="46"/>
      <c r="E13" s="47"/>
      <c r="F13" s="47"/>
      <c r="G13" s="48"/>
      <c r="H13" s="46"/>
      <c r="I13" s="47"/>
      <c r="J13" s="47"/>
      <c r="K13" s="48"/>
      <c r="L13" s="256" t="s">
        <v>70</v>
      </c>
      <c r="M13" s="257"/>
      <c r="N13" s="257"/>
      <c r="O13" s="258"/>
      <c r="P13" s="256" t="s">
        <v>65</v>
      </c>
      <c r="Q13" s="257"/>
      <c r="R13" s="257"/>
      <c r="S13" s="257"/>
      <c r="T13" s="257"/>
      <c r="U13" s="257"/>
      <c r="V13" s="257"/>
      <c r="W13" s="258"/>
      <c r="X13" s="256" t="s">
        <v>73</v>
      </c>
      <c r="Y13" s="257"/>
      <c r="Z13" s="257"/>
      <c r="AA13" s="257"/>
      <c r="AB13" s="257"/>
      <c r="AC13" s="257"/>
      <c r="AD13" s="257"/>
      <c r="AE13" s="258"/>
      <c r="AF13" s="256"/>
      <c r="AG13" s="257"/>
      <c r="AH13" s="257"/>
      <c r="AI13" s="257"/>
      <c r="AJ13" s="257"/>
      <c r="AK13" s="257"/>
      <c r="AL13" s="257"/>
      <c r="AM13" s="257"/>
      <c r="AN13" s="259"/>
      <c r="AO13" s="247">
        <v>45681</v>
      </c>
      <c r="AP13" s="248"/>
      <c r="AQ13" s="246" t="s">
        <v>156</v>
      </c>
      <c r="AR13" s="242"/>
      <c r="AS13" s="246" t="s">
        <v>155</v>
      </c>
      <c r="AT13" s="249"/>
      <c r="AU13" s="247">
        <v>45702</v>
      </c>
      <c r="AV13" s="248"/>
      <c r="AW13" s="246" t="s">
        <v>157</v>
      </c>
      <c r="AX13" s="242"/>
      <c r="AY13" s="246" t="s">
        <v>154</v>
      </c>
      <c r="AZ13" s="249"/>
      <c r="BA13" s="250" t="s">
        <v>158</v>
      </c>
      <c r="BB13" s="251"/>
      <c r="BC13" s="251"/>
      <c r="BD13" s="251"/>
      <c r="BE13" s="251"/>
      <c r="BF13" s="251"/>
      <c r="BG13" s="251"/>
      <c r="BH13" s="251"/>
      <c r="BI13" s="251"/>
      <c r="BJ13" s="251"/>
      <c r="BK13" s="251"/>
      <c r="BL13" s="252"/>
      <c r="BM13" s="16"/>
      <c r="BN13" s="16"/>
    </row>
    <row r="14" spans="1:66" s="127" customFormat="1" ht="24" customHeight="1" x14ac:dyDescent="0.45">
      <c r="A14" s="128"/>
      <c r="B14" s="128"/>
      <c r="C14" s="177">
        <f t="shared" si="0"/>
        <v>5</v>
      </c>
      <c r="D14" s="141"/>
      <c r="E14" s="142"/>
      <c r="F14" s="142"/>
      <c r="G14" s="143"/>
      <c r="H14" s="141"/>
      <c r="I14" s="142"/>
      <c r="J14" s="142"/>
      <c r="K14" s="143"/>
      <c r="L14" s="256" t="s">
        <v>76</v>
      </c>
      <c r="M14" s="257"/>
      <c r="N14" s="257"/>
      <c r="O14" s="258"/>
      <c r="P14" s="256" t="s">
        <v>65</v>
      </c>
      <c r="Q14" s="257"/>
      <c r="R14" s="257"/>
      <c r="S14" s="257"/>
      <c r="T14" s="257"/>
      <c r="U14" s="257"/>
      <c r="V14" s="257"/>
      <c r="W14" s="258"/>
      <c r="X14" s="256" t="s">
        <v>137</v>
      </c>
      <c r="Y14" s="257"/>
      <c r="Z14" s="257"/>
      <c r="AA14" s="257"/>
      <c r="AB14" s="257"/>
      <c r="AC14" s="257"/>
      <c r="AD14" s="257"/>
      <c r="AE14" s="258"/>
      <c r="AF14" s="135"/>
      <c r="AG14" s="136"/>
      <c r="AH14" s="136"/>
      <c r="AI14" s="136"/>
      <c r="AJ14" s="136"/>
      <c r="AK14" s="136"/>
      <c r="AL14" s="136"/>
      <c r="AM14" s="136"/>
      <c r="AN14" s="137"/>
      <c r="AO14" s="247">
        <v>45681</v>
      </c>
      <c r="AP14" s="248"/>
      <c r="AQ14" s="246" t="s">
        <v>156</v>
      </c>
      <c r="AR14" s="242"/>
      <c r="AS14" s="246" t="s">
        <v>154</v>
      </c>
      <c r="AT14" s="249"/>
      <c r="AU14" s="138"/>
      <c r="AV14" s="139"/>
      <c r="AW14" s="130"/>
      <c r="AX14" s="131"/>
      <c r="AY14" s="130"/>
      <c r="AZ14" s="140"/>
      <c r="BA14" s="132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4"/>
      <c r="BM14" s="129"/>
      <c r="BN14" s="129"/>
    </row>
    <row r="15" spans="1:66" s="127" customFormat="1" ht="24" customHeight="1" x14ac:dyDescent="0.45">
      <c r="A15" s="128"/>
      <c r="B15" s="128"/>
      <c r="C15" s="177">
        <f t="shared" si="0"/>
        <v>6</v>
      </c>
      <c r="D15" s="141"/>
      <c r="E15" s="142"/>
      <c r="F15" s="142"/>
      <c r="G15" s="143"/>
      <c r="H15" s="141"/>
      <c r="I15" s="142"/>
      <c r="J15" s="142"/>
      <c r="K15" s="143"/>
      <c r="L15" s="256" t="s">
        <v>77</v>
      </c>
      <c r="M15" s="257"/>
      <c r="N15" s="257"/>
      <c r="O15" s="258"/>
      <c r="P15" s="256" t="s">
        <v>65</v>
      </c>
      <c r="Q15" s="257"/>
      <c r="R15" s="257"/>
      <c r="S15" s="257"/>
      <c r="T15" s="257"/>
      <c r="U15" s="257"/>
      <c r="V15" s="257"/>
      <c r="W15" s="258"/>
      <c r="X15" s="256" t="s">
        <v>137</v>
      </c>
      <c r="Y15" s="257"/>
      <c r="Z15" s="257"/>
      <c r="AA15" s="257"/>
      <c r="AB15" s="257"/>
      <c r="AC15" s="257"/>
      <c r="AD15" s="257"/>
      <c r="AE15" s="258"/>
      <c r="AF15" s="135"/>
      <c r="AG15" s="136"/>
      <c r="AH15" s="136"/>
      <c r="AI15" s="136"/>
      <c r="AJ15" s="136"/>
      <c r="AK15" s="136"/>
      <c r="AL15" s="136"/>
      <c r="AM15" s="136"/>
      <c r="AN15" s="137"/>
      <c r="AO15" s="247">
        <v>45681</v>
      </c>
      <c r="AP15" s="248"/>
      <c r="AQ15" s="246" t="s">
        <v>156</v>
      </c>
      <c r="AR15" s="242"/>
      <c r="AS15" s="246" t="s">
        <v>154</v>
      </c>
      <c r="AT15" s="249"/>
      <c r="AU15" s="138"/>
      <c r="AV15" s="139"/>
      <c r="AW15" s="130"/>
      <c r="AX15" s="131"/>
      <c r="AY15" s="130"/>
      <c r="AZ15" s="140"/>
      <c r="BA15" s="132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4"/>
      <c r="BM15" s="129"/>
      <c r="BN15" s="129"/>
    </row>
    <row r="16" spans="1:66" s="127" customFormat="1" ht="24" customHeight="1" x14ac:dyDescent="0.45">
      <c r="A16" s="128"/>
      <c r="B16" s="128"/>
      <c r="C16" s="177">
        <f t="shared" si="0"/>
        <v>7</v>
      </c>
      <c r="D16" s="141"/>
      <c r="E16" s="142"/>
      <c r="F16" s="142"/>
      <c r="G16" s="143"/>
      <c r="H16" s="141"/>
      <c r="I16" s="142"/>
      <c r="J16" s="142"/>
      <c r="K16" s="143"/>
      <c r="L16" s="76" t="s">
        <v>71</v>
      </c>
      <c r="M16" s="136"/>
      <c r="N16" s="136"/>
      <c r="O16" s="144"/>
      <c r="P16" s="256" t="s">
        <v>65</v>
      </c>
      <c r="Q16" s="257"/>
      <c r="R16" s="257"/>
      <c r="S16" s="257"/>
      <c r="T16" s="257"/>
      <c r="U16" s="257"/>
      <c r="V16" s="257"/>
      <c r="W16" s="258"/>
      <c r="X16" s="76" t="s">
        <v>68</v>
      </c>
      <c r="Y16" s="136"/>
      <c r="Z16" s="136"/>
      <c r="AA16" s="136"/>
      <c r="AB16" s="136"/>
      <c r="AC16" s="136"/>
      <c r="AD16" s="136"/>
      <c r="AE16" s="144"/>
      <c r="AF16" s="135"/>
      <c r="AG16" s="136"/>
      <c r="AH16" s="136"/>
      <c r="AI16" s="136"/>
      <c r="AJ16" s="136"/>
      <c r="AK16" s="136"/>
      <c r="AL16" s="136"/>
      <c r="AM16" s="136"/>
      <c r="AN16" s="137"/>
      <c r="AO16" s="247">
        <v>45681</v>
      </c>
      <c r="AP16" s="248"/>
      <c r="AQ16" s="246" t="s">
        <v>156</v>
      </c>
      <c r="AR16" s="242"/>
      <c r="AS16" s="246" t="s">
        <v>154</v>
      </c>
      <c r="AT16" s="249"/>
      <c r="AU16" s="138"/>
      <c r="AV16" s="139"/>
      <c r="AW16" s="130"/>
      <c r="AX16" s="131"/>
      <c r="AY16" s="130"/>
      <c r="AZ16" s="140"/>
      <c r="BA16" s="132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4"/>
      <c r="BM16" s="129"/>
      <c r="BN16" s="129"/>
    </row>
    <row r="17" spans="1:66" ht="24" customHeight="1" x14ac:dyDescent="0.45">
      <c r="A17" s="10"/>
      <c r="B17" s="10"/>
      <c r="C17" s="177">
        <f t="shared" si="0"/>
        <v>8</v>
      </c>
      <c r="D17" s="253"/>
      <c r="E17" s="254"/>
      <c r="F17" s="254"/>
      <c r="G17" s="255"/>
      <c r="H17" s="263"/>
      <c r="I17" s="264"/>
      <c r="J17" s="264"/>
      <c r="K17" s="265"/>
      <c r="L17" s="256" t="s">
        <v>72</v>
      </c>
      <c r="M17" s="257"/>
      <c r="N17" s="257"/>
      <c r="O17" s="258"/>
      <c r="P17" s="256" t="s">
        <v>65</v>
      </c>
      <c r="Q17" s="257"/>
      <c r="R17" s="257"/>
      <c r="S17" s="257"/>
      <c r="T17" s="257"/>
      <c r="U17" s="257"/>
      <c r="V17" s="257"/>
      <c r="W17" s="258"/>
      <c r="X17" s="256" t="s">
        <v>44</v>
      </c>
      <c r="Y17" s="257"/>
      <c r="Z17" s="257"/>
      <c r="AA17" s="257"/>
      <c r="AB17" s="257"/>
      <c r="AC17" s="257"/>
      <c r="AD17" s="257"/>
      <c r="AE17" s="258"/>
      <c r="AF17" s="256"/>
      <c r="AG17" s="257"/>
      <c r="AH17" s="257"/>
      <c r="AI17" s="257"/>
      <c r="AJ17" s="257"/>
      <c r="AK17" s="257"/>
      <c r="AL17" s="257"/>
      <c r="AM17" s="257"/>
      <c r="AN17" s="259"/>
      <c r="AO17" s="247">
        <v>45681</v>
      </c>
      <c r="AP17" s="248"/>
      <c r="AQ17" s="246" t="s">
        <v>156</v>
      </c>
      <c r="AR17" s="242"/>
      <c r="AS17" s="246" t="s">
        <v>154</v>
      </c>
      <c r="AT17" s="249"/>
      <c r="AU17" s="247"/>
      <c r="AV17" s="248"/>
      <c r="AW17" s="246"/>
      <c r="AX17" s="242"/>
      <c r="AY17" s="246"/>
      <c r="AZ17" s="249"/>
      <c r="BA17" s="288"/>
      <c r="BB17" s="251"/>
      <c r="BC17" s="251"/>
      <c r="BD17" s="251"/>
      <c r="BE17" s="251"/>
      <c r="BF17" s="251"/>
      <c r="BG17" s="251"/>
      <c r="BH17" s="251"/>
      <c r="BI17" s="251"/>
      <c r="BJ17" s="251"/>
      <c r="BK17" s="251"/>
      <c r="BL17" s="252"/>
      <c r="BM17" s="16"/>
      <c r="BN17" s="16"/>
    </row>
    <row r="18" spans="1:66" s="167" customFormat="1" ht="15" customHeight="1" x14ac:dyDescent="0.45">
      <c r="A18" s="169"/>
      <c r="B18" s="169"/>
      <c r="C18" s="177">
        <f t="shared" si="0"/>
        <v>9</v>
      </c>
      <c r="D18" s="253"/>
      <c r="E18" s="254"/>
      <c r="F18" s="254"/>
      <c r="G18" s="255"/>
      <c r="H18" s="253" t="s">
        <v>45</v>
      </c>
      <c r="I18" s="254"/>
      <c r="J18" s="254"/>
      <c r="K18" s="255"/>
      <c r="L18" s="256" t="s">
        <v>66</v>
      </c>
      <c r="M18" s="257"/>
      <c r="N18" s="257"/>
      <c r="O18" s="258"/>
      <c r="P18" s="256" t="s">
        <v>138</v>
      </c>
      <c r="Q18" s="257"/>
      <c r="R18" s="257"/>
      <c r="S18" s="257"/>
      <c r="T18" s="257"/>
      <c r="U18" s="257"/>
      <c r="V18" s="257"/>
      <c r="W18" s="258"/>
      <c r="X18" s="256" t="s">
        <v>139</v>
      </c>
      <c r="Y18" s="257"/>
      <c r="Z18" s="257"/>
      <c r="AA18" s="257"/>
      <c r="AB18" s="257"/>
      <c r="AC18" s="257"/>
      <c r="AD18" s="257"/>
      <c r="AE18" s="258"/>
      <c r="AF18" s="256"/>
      <c r="AG18" s="257"/>
      <c r="AH18" s="257"/>
      <c r="AI18" s="257"/>
      <c r="AJ18" s="257"/>
      <c r="AK18" s="257"/>
      <c r="AL18" s="257"/>
      <c r="AM18" s="257"/>
      <c r="AN18" s="259"/>
      <c r="AO18" s="247">
        <v>45681</v>
      </c>
      <c r="AP18" s="248"/>
      <c r="AQ18" s="246" t="s">
        <v>156</v>
      </c>
      <c r="AR18" s="242"/>
      <c r="AS18" s="246" t="s">
        <v>154</v>
      </c>
      <c r="AT18" s="249"/>
      <c r="AU18" s="247"/>
      <c r="AV18" s="248"/>
      <c r="AW18" s="246"/>
      <c r="AX18" s="242"/>
      <c r="AY18" s="246"/>
      <c r="AZ18" s="249"/>
      <c r="BA18" s="288"/>
      <c r="BB18" s="251"/>
      <c r="BC18" s="251"/>
      <c r="BD18" s="251"/>
      <c r="BE18" s="251"/>
      <c r="BF18" s="251"/>
      <c r="BG18" s="251"/>
      <c r="BH18" s="251"/>
      <c r="BI18" s="251"/>
      <c r="BJ18" s="251"/>
      <c r="BK18" s="251"/>
      <c r="BL18" s="252"/>
      <c r="BM18" s="172"/>
      <c r="BN18" s="172"/>
    </row>
    <row r="19" spans="1:66" s="167" customFormat="1" ht="15" customHeight="1" x14ac:dyDescent="0.45">
      <c r="A19" s="169"/>
      <c r="B19" s="169"/>
      <c r="C19" s="177">
        <f t="shared" si="0"/>
        <v>10</v>
      </c>
      <c r="D19" s="253"/>
      <c r="E19" s="254"/>
      <c r="F19" s="254"/>
      <c r="G19" s="255"/>
      <c r="H19" s="253"/>
      <c r="I19" s="254"/>
      <c r="J19" s="254"/>
      <c r="K19" s="255"/>
      <c r="L19" s="256" t="s">
        <v>67</v>
      </c>
      <c r="M19" s="257"/>
      <c r="N19" s="257"/>
      <c r="O19" s="258"/>
      <c r="P19" s="256" t="s">
        <v>138</v>
      </c>
      <c r="Q19" s="257"/>
      <c r="R19" s="257"/>
      <c r="S19" s="257"/>
      <c r="T19" s="257"/>
      <c r="U19" s="257"/>
      <c r="V19" s="257"/>
      <c r="W19" s="258"/>
      <c r="X19" s="256" t="s">
        <v>140</v>
      </c>
      <c r="Y19" s="257"/>
      <c r="Z19" s="257"/>
      <c r="AA19" s="257"/>
      <c r="AB19" s="257"/>
      <c r="AC19" s="257"/>
      <c r="AD19" s="257"/>
      <c r="AE19" s="258"/>
      <c r="AF19" s="256"/>
      <c r="AG19" s="257"/>
      <c r="AH19" s="257"/>
      <c r="AI19" s="257"/>
      <c r="AJ19" s="257"/>
      <c r="AK19" s="257"/>
      <c r="AL19" s="257"/>
      <c r="AM19" s="257"/>
      <c r="AN19" s="259"/>
      <c r="AO19" s="247">
        <v>45681</v>
      </c>
      <c r="AP19" s="248"/>
      <c r="AQ19" s="246" t="s">
        <v>156</v>
      </c>
      <c r="AR19" s="242"/>
      <c r="AS19" s="246" t="s">
        <v>154</v>
      </c>
      <c r="AT19" s="249"/>
      <c r="AU19" s="247"/>
      <c r="AV19" s="248"/>
      <c r="AW19" s="246"/>
      <c r="AX19" s="242"/>
      <c r="AY19" s="246"/>
      <c r="AZ19" s="249"/>
      <c r="BA19" s="288"/>
      <c r="BB19" s="251"/>
      <c r="BC19" s="251"/>
      <c r="BD19" s="251"/>
      <c r="BE19" s="251"/>
      <c r="BF19" s="251"/>
      <c r="BG19" s="251"/>
      <c r="BH19" s="251"/>
      <c r="BI19" s="251"/>
      <c r="BJ19" s="251"/>
      <c r="BK19" s="251"/>
      <c r="BL19" s="252"/>
      <c r="BM19" s="172"/>
      <c r="BN19" s="172"/>
    </row>
    <row r="20" spans="1:66" ht="15" customHeight="1" x14ac:dyDescent="0.45">
      <c r="A20" s="10"/>
      <c r="B20" s="10"/>
      <c r="C20" s="177">
        <f t="shared" si="0"/>
        <v>11</v>
      </c>
      <c r="D20" s="253"/>
      <c r="E20" s="254"/>
      <c r="F20" s="254"/>
      <c r="G20" s="255"/>
      <c r="H20" s="253"/>
      <c r="I20" s="254"/>
      <c r="J20" s="254"/>
      <c r="K20" s="255"/>
      <c r="L20" s="266" t="s">
        <v>74</v>
      </c>
      <c r="M20" s="267"/>
      <c r="N20" s="267"/>
      <c r="O20" s="268"/>
      <c r="P20" s="256" t="s">
        <v>75</v>
      </c>
      <c r="Q20" s="257"/>
      <c r="R20" s="257"/>
      <c r="S20" s="257"/>
      <c r="T20" s="257"/>
      <c r="U20" s="257"/>
      <c r="V20" s="257"/>
      <c r="W20" s="258"/>
      <c r="X20" s="256" t="s">
        <v>80</v>
      </c>
      <c r="Y20" s="257"/>
      <c r="Z20" s="257"/>
      <c r="AA20" s="257"/>
      <c r="AB20" s="257"/>
      <c r="AC20" s="257"/>
      <c r="AD20" s="257"/>
      <c r="AE20" s="258"/>
      <c r="AF20" s="256"/>
      <c r="AG20" s="257"/>
      <c r="AH20" s="257"/>
      <c r="AI20" s="257"/>
      <c r="AJ20" s="257"/>
      <c r="AK20" s="257"/>
      <c r="AL20" s="257"/>
      <c r="AM20" s="257"/>
      <c r="AN20" s="259"/>
      <c r="AO20" s="247">
        <v>45681</v>
      </c>
      <c r="AP20" s="248"/>
      <c r="AQ20" s="246" t="s">
        <v>156</v>
      </c>
      <c r="AR20" s="242"/>
      <c r="AS20" s="246" t="s">
        <v>154</v>
      </c>
      <c r="AT20" s="249"/>
      <c r="AU20" s="247"/>
      <c r="AV20" s="248"/>
      <c r="AW20" s="246"/>
      <c r="AX20" s="242"/>
      <c r="AY20" s="246"/>
      <c r="AZ20" s="249"/>
      <c r="BA20" s="288"/>
      <c r="BB20" s="251"/>
      <c r="BC20" s="251"/>
      <c r="BD20" s="251"/>
      <c r="BE20" s="251"/>
      <c r="BF20" s="251"/>
      <c r="BG20" s="251"/>
      <c r="BH20" s="251"/>
      <c r="BI20" s="251"/>
      <c r="BJ20" s="251"/>
      <c r="BK20" s="251"/>
      <c r="BL20" s="252"/>
      <c r="BM20" s="16"/>
      <c r="BN20" s="16"/>
    </row>
    <row r="21" spans="1:66" ht="26.4" customHeight="1" x14ac:dyDescent="0.45">
      <c r="A21" s="10"/>
      <c r="B21" s="10"/>
      <c r="C21" s="177">
        <f t="shared" si="0"/>
        <v>12</v>
      </c>
      <c r="D21" s="253"/>
      <c r="E21" s="254"/>
      <c r="F21" s="254"/>
      <c r="G21" s="255"/>
      <c r="H21" s="253"/>
      <c r="I21" s="254"/>
      <c r="J21" s="254"/>
      <c r="K21" s="255"/>
      <c r="L21" s="253"/>
      <c r="M21" s="254"/>
      <c r="N21" s="254"/>
      <c r="O21" s="255"/>
      <c r="P21" s="263" t="s">
        <v>81</v>
      </c>
      <c r="Q21" s="264"/>
      <c r="R21" s="264"/>
      <c r="S21" s="264"/>
      <c r="T21" s="264"/>
      <c r="U21" s="264"/>
      <c r="V21" s="264"/>
      <c r="W21" s="265"/>
      <c r="X21" s="256" t="s">
        <v>82</v>
      </c>
      <c r="Y21" s="257"/>
      <c r="Z21" s="257"/>
      <c r="AA21" s="257"/>
      <c r="AB21" s="257"/>
      <c r="AC21" s="257"/>
      <c r="AD21" s="257"/>
      <c r="AE21" s="258"/>
      <c r="AF21" s="256"/>
      <c r="AG21" s="257"/>
      <c r="AH21" s="257"/>
      <c r="AI21" s="257"/>
      <c r="AJ21" s="257"/>
      <c r="AK21" s="257"/>
      <c r="AL21" s="257"/>
      <c r="AM21" s="257"/>
      <c r="AN21" s="259"/>
      <c r="AO21" s="247">
        <v>45681</v>
      </c>
      <c r="AP21" s="248"/>
      <c r="AQ21" s="246" t="s">
        <v>156</v>
      </c>
      <c r="AR21" s="242"/>
      <c r="AS21" s="246" t="s">
        <v>154</v>
      </c>
      <c r="AT21" s="249"/>
      <c r="AU21" s="247"/>
      <c r="AV21" s="248"/>
      <c r="AW21" s="246"/>
      <c r="AX21" s="242"/>
      <c r="AY21" s="246"/>
      <c r="AZ21" s="249"/>
      <c r="BA21" s="288"/>
      <c r="BB21" s="251"/>
      <c r="BC21" s="251"/>
      <c r="BD21" s="251"/>
      <c r="BE21" s="251"/>
      <c r="BF21" s="251"/>
      <c r="BG21" s="251"/>
      <c r="BH21" s="251"/>
      <c r="BI21" s="251"/>
      <c r="BJ21" s="251"/>
      <c r="BK21" s="251"/>
      <c r="BL21" s="252"/>
      <c r="BM21" s="16"/>
      <c r="BN21" s="16"/>
    </row>
    <row r="22" spans="1:66" ht="42.6" customHeight="1" x14ac:dyDescent="0.45">
      <c r="A22" s="10"/>
      <c r="B22" s="10"/>
      <c r="C22" s="177">
        <f t="shared" si="0"/>
        <v>13</v>
      </c>
      <c r="D22" s="51"/>
      <c r="E22" s="52"/>
      <c r="F22" s="52"/>
      <c r="G22" s="53"/>
      <c r="H22" s="51"/>
      <c r="I22" s="52"/>
      <c r="J22" s="52"/>
      <c r="K22" s="53"/>
      <c r="L22" s="256" t="s">
        <v>83</v>
      </c>
      <c r="M22" s="257"/>
      <c r="N22" s="257"/>
      <c r="O22" s="258"/>
      <c r="P22" s="256" t="s">
        <v>84</v>
      </c>
      <c r="Q22" s="257"/>
      <c r="R22" s="257"/>
      <c r="S22" s="257"/>
      <c r="T22" s="257"/>
      <c r="U22" s="257"/>
      <c r="V22" s="257"/>
      <c r="W22" s="258"/>
      <c r="X22" s="256" t="s">
        <v>85</v>
      </c>
      <c r="Y22" s="257"/>
      <c r="Z22" s="257"/>
      <c r="AA22" s="257"/>
      <c r="AB22" s="257"/>
      <c r="AC22" s="257"/>
      <c r="AD22" s="257"/>
      <c r="AE22" s="258"/>
      <c r="AF22" s="145"/>
      <c r="AG22" s="55"/>
      <c r="AH22" s="55"/>
      <c r="AI22" s="55"/>
      <c r="AJ22" s="55"/>
      <c r="AK22" s="55"/>
      <c r="AL22" s="55"/>
      <c r="AM22" s="55"/>
      <c r="AN22" s="60"/>
      <c r="AO22" s="247">
        <v>45681</v>
      </c>
      <c r="AP22" s="248"/>
      <c r="AQ22" s="246" t="s">
        <v>156</v>
      </c>
      <c r="AR22" s="242"/>
      <c r="AS22" s="246" t="s">
        <v>154</v>
      </c>
      <c r="AT22" s="249"/>
      <c r="AU22" s="61"/>
      <c r="AV22" s="62"/>
      <c r="AW22" s="49"/>
      <c r="AX22" s="50"/>
      <c r="AY22" s="49"/>
      <c r="AZ22" s="56"/>
      <c r="BA22" s="57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9"/>
      <c r="BM22" s="16"/>
      <c r="BN22" s="16"/>
    </row>
    <row r="23" spans="1:66" ht="34.200000000000003" customHeight="1" x14ac:dyDescent="0.45">
      <c r="A23" s="10"/>
      <c r="B23" s="10"/>
      <c r="C23" s="177">
        <f t="shared" si="0"/>
        <v>14</v>
      </c>
      <c r="D23" s="51"/>
      <c r="E23" s="52"/>
      <c r="F23" s="52"/>
      <c r="G23" s="53"/>
      <c r="H23" s="51"/>
      <c r="I23" s="52"/>
      <c r="J23" s="52"/>
      <c r="K23" s="53"/>
      <c r="L23" s="253" t="s">
        <v>86</v>
      </c>
      <c r="M23" s="254"/>
      <c r="N23" s="254"/>
      <c r="O23" s="255"/>
      <c r="P23" s="263" t="s">
        <v>75</v>
      </c>
      <c r="Q23" s="264"/>
      <c r="R23" s="264"/>
      <c r="S23" s="264"/>
      <c r="T23" s="264"/>
      <c r="U23" s="264"/>
      <c r="V23" s="264"/>
      <c r="W23" s="265"/>
      <c r="X23" s="256" t="s">
        <v>87</v>
      </c>
      <c r="Y23" s="257"/>
      <c r="Z23" s="257"/>
      <c r="AA23" s="257"/>
      <c r="AB23" s="257"/>
      <c r="AC23" s="257"/>
      <c r="AD23" s="257"/>
      <c r="AE23" s="258"/>
      <c r="AF23" s="54"/>
      <c r="AG23" s="55"/>
      <c r="AH23" s="55"/>
      <c r="AI23" s="55"/>
      <c r="AJ23" s="55"/>
      <c r="AK23" s="55"/>
      <c r="AL23" s="55"/>
      <c r="AM23" s="55"/>
      <c r="AN23" s="60"/>
      <c r="AO23" s="247">
        <v>45681</v>
      </c>
      <c r="AP23" s="248"/>
      <c r="AQ23" s="246" t="s">
        <v>156</v>
      </c>
      <c r="AR23" s="242"/>
      <c r="AS23" s="246" t="s">
        <v>154</v>
      </c>
      <c r="AT23" s="249"/>
      <c r="AU23" s="61"/>
      <c r="AV23" s="62"/>
      <c r="AW23" s="49"/>
      <c r="AX23" s="50"/>
      <c r="AY23" s="49"/>
      <c r="AZ23" s="56"/>
      <c r="BA23" s="57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9"/>
      <c r="BM23" s="16"/>
      <c r="BN23" s="16"/>
    </row>
    <row r="24" spans="1:66" ht="25.2" customHeight="1" x14ac:dyDescent="0.45">
      <c r="A24" s="10"/>
      <c r="B24" s="10"/>
      <c r="C24" s="177">
        <f t="shared" si="0"/>
        <v>15</v>
      </c>
      <c r="D24" s="51"/>
      <c r="E24" s="52"/>
      <c r="F24" s="52"/>
      <c r="G24" s="53"/>
      <c r="H24" s="51"/>
      <c r="I24" s="52"/>
      <c r="J24" s="52"/>
      <c r="K24" s="53"/>
      <c r="L24" s="263"/>
      <c r="M24" s="264"/>
      <c r="N24" s="264"/>
      <c r="O24" s="265"/>
      <c r="P24" s="263" t="s">
        <v>81</v>
      </c>
      <c r="Q24" s="264"/>
      <c r="R24" s="264"/>
      <c r="S24" s="264"/>
      <c r="T24" s="264"/>
      <c r="U24" s="264"/>
      <c r="V24" s="264"/>
      <c r="W24" s="265"/>
      <c r="X24" s="256" t="s">
        <v>82</v>
      </c>
      <c r="Y24" s="257"/>
      <c r="Z24" s="257"/>
      <c r="AA24" s="257"/>
      <c r="AB24" s="257"/>
      <c r="AC24" s="257"/>
      <c r="AD24" s="257"/>
      <c r="AE24" s="258"/>
      <c r="AF24" s="54"/>
      <c r="AG24" s="55"/>
      <c r="AH24" s="55"/>
      <c r="AI24" s="55"/>
      <c r="AJ24" s="55"/>
      <c r="AK24" s="55"/>
      <c r="AL24" s="55"/>
      <c r="AM24" s="55"/>
      <c r="AN24" s="60"/>
      <c r="AO24" s="247">
        <v>45681</v>
      </c>
      <c r="AP24" s="248"/>
      <c r="AQ24" s="246" t="s">
        <v>156</v>
      </c>
      <c r="AR24" s="242"/>
      <c r="AS24" s="246" t="s">
        <v>154</v>
      </c>
      <c r="AT24" s="249"/>
      <c r="AU24" s="61"/>
      <c r="AV24" s="62"/>
      <c r="AW24" s="49"/>
      <c r="AX24" s="50"/>
      <c r="AY24" s="49"/>
      <c r="AZ24" s="56"/>
      <c r="BA24" s="57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9"/>
      <c r="BM24" s="16"/>
      <c r="BN24" s="16"/>
    </row>
    <row r="25" spans="1:66" s="167" customFormat="1" ht="25.2" customHeight="1" x14ac:dyDescent="0.45">
      <c r="A25" s="169"/>
      <c r="B25" s="169"/>
      <c r="C25" s="177">
        <f t="shared" si="0"/>
        <v>16</v>
      </c>
      <c r="D25" s="206"/>
      <c r="E25" s="207"/>
      <c r="F25" s="207"/>
      <c r="G25" s="208"/>
      <c r="H25" s="206"/>
      <c r="I25" s="207"/>
      <c r="J25" s="207"/>
      <c r="K25" s="208"/>
      <c r="L25" s="260" t="s">
        <v>88</v>
      </c>
      <c r="M25" s="261"/>
      <c r="N25" s="261"/>
      <c r="O25" s="262"/>
      <c r="P25" s="256" t="s">
        <v>84</v>
      </c>
      <c r="Q25" s="257"/>
      <c r="R25" s="257"/>
      <c r="S25" s="257"/>
      <c r="T25" s="257"/>
      <c r="U25" s="257"/>
      <c r="V25" s="257"/>
      <c r="W25" s="258"/>
      <c r="X25" s="256" t="s">
        <v>85</v>
      </c>
      <c r="Y25" s="257"/>
      <c r="Z25" s="257"/>
      <c r="AA25" s="257"/>
      <c r="AB25" s="257"/>
      <c r="AC25" s="257"/>
      <c r="AD25" s="257"/>
      <c r="AE25" s="258"/>
      <c r="AF25" s="197"/>
      <c r="AG25" s="198"/>
      <c r="AH25" s="198"/>
      <c r="AI25" s="198"/>
      <c r="AJ25" s="198"/>
      <c r="AK25" s="198"/>
      <c r="AL25" s="198"/>
      <c r="AM25" s="198"/>
      <c r="AN25" s="202"/>
      <c r="AO25" s="247">
        <v>45681</v>
      </c>
      <c r="AP25" s="248"/>
      <c r="AQ25" s="246" t="s">
        <v>156</v>
      </c>
      <c r="AR25" s="242"/>
      <c r="AS25" s="246" t="s">
        <v>154</v>
      </c>
      <c r="AT25" s="249"/>
      <c r="AU25" s="203"/>
      <c r="AV25" s="204"/>
      <c r="AW25" s="196"/>
      <c r="AX25" s="195"/>
      <c r="AY25" s="196"/>
      <c r="AZ25" s="205"/>
      <c r="BA25" s="199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1"/>
      <c r="BM25" s="172"/>
      <c r="BN25" s="172"/>
    </row>
    <row r="26" spans="1:66" s="146" customFormat="1" ht="27.6" customHeight="1" x14ac:dyDescent="0.45">
      <c r="A26" s="147"/>
      <c r="B26" s="147"/>
      <c r="C26" s="177">
        <f t="shared" si="0"/>
        <v>17</v>
      </c>
      <c r="D26" s="159"/>
      <c r="E26" s="160"/>
      <c r="F26" s="160"/>
      <c r="G26" s="161"/>
      <c r="H26" s="159"/>
      <c r="I26" s="160"/>
      <c r="J26" s="160"/>
      <c r="K26" s="161"/>
      <c r="L26" s="164" t="s">
        <v>89</v>
      </c>
      <c r="M26" s="165"/>
      <c r="N26" s="165"/>
      <c r="O26" s="166"/>
      <c r="P26" s="164" t="s">
        <v>90</v>
      </c>
      <c r="Q26" s="154"/>
      <c r="R26" s="154"/>
      <c r="S26" s="154"/>
      <c r="T26" s="154"/>
      <c r="U26" s="154"/>
      <c r="V26" s="154"/>
      <c r="W26" s="162"/>
      <c r="X26" s="256" t="s">
        <v>95</v>
      </c>
      <c r="Y26" s="257"/>
      <c r="Z26" s="257"/>
      <c r="AA26" s="257"/>
      <c r="AB26" s="257"/>
      <c r="AC26" s="257"/>
      <c r="AD26" s="257"/>
      <c r="AE26" s="258"/>
      <c r="AF26" s="153"/>
      <c r="AG26" s="154"/>
      <c r="AH26" s="154"/>
      <c r="AI26" s="154"/>
      <c r="AJ26" s="154"/>
      <c r="AK26" s="154"/>
      <c r="AL26" s="154"/>
      <c r="AM26" s="154"/>
      <c r="AN26" s="155"/>
      <c r="AO26" s="247">
        <v>45681</v>
      </c>
      <c r="AP26" s="248"/>
      <c r="AQ26" s="246" t="s">
        <v>156</v>
      </c>
      <c r="AR26" s="242"/>
      <c r="AS26" s="246" t="s">
        <v>155</v>
      </c>
      <c r="AT26" s="249"/>
      <c r="AU26" s="247">
        <v>45702</v>
      </c>
      <c r="AV26" s="248"/>
      <c r="AW26" s="246" t="s">
        <v>157</v>
      </c>
      <c r="AX26" s="242"/>
      <c r="AY26" s="246" t="s">
        <v>154</v>
      </c>
      <c r="AZ26" s="249"/>
      <c r="BA26" s="250" t="s">
        <v>159</v>
      </c>
      <c r="BB26" s="251"/>
      <c r="BC26" s="251"/>
      <c r="BD26" s="251"/>
      <c r="BE26" s="251"/>
      <c r="BF26" s="251"/>
      <c r="BG26" s="251"/>
      <c r="BH26" s="251"/>
      <c r="BI26" s="251"/>
      <c r="BJ26" s="251"/>
      <c r="BK26" s="251"/>
      <c r="BL26" s="252"/>
      <c r="BM26" s="148"/>
      <c r="BN26" s="148"/>
    </row>
    <row r="27" spans="1:66" s="146" customFormat="1" ht="27.6" customHeight="1" x14ac:dyDescent="0.45">
      <c r="A27" s="147"/>
      <c r="B27" s="147"/>
      <c r="C27" s="177">
        <f t="shared" si="0"/>
        <v>18</v>
      </c>
      <c r="D27" s="159"/>
      <c r="E27" s="160"/>
      <c r="F27" s="160"/>
      <c r="G27" s="161"/>
      <c r="H27" s="159"/>
      <c r="I27" s="160"/>
      <c r="J27" s="160"/>
      <c r="K27" s="161"/>
      <c r="L27" s="163" t="s">
        <v>91</v>
      </c>
      <c r="M27" s="125"/>
      <c r="N27" s="125"/>
      <c r="O27" s="126"/>
      <c r="P27" s="76" t="s">
        <v>92</v>
      </c>
      <c r="Q27" s="154"/>
      <c r="R27" s="154"/>
      <c r="S27" s="154"/>
      <c r="T27" s="154"/>
      <c r="U27" s="154"/>
      <c r="V27" s="154"/>
      <c r="W27" s="162"/>
      <c r="X27" s="76" t="s">
        <v>93</v>
      </c>
      <c r="Y27" s="154"/>
      <c r="Z27" s="154"/>
      <c r="AA27" s="154"/>
      <c r="AB27" s="154"/>
      <c r="AC27" s="154"/>
      <c r="AD27" s="154"/>
      <c r="AE27" s="162"/>
      <c r="AF27" s="153"/>
      <c r="AG27" s="154"/>
      <c r="AH27" s="154"/>
      <c r="AI27" s="154"/>
      <c r="AJ27" s="154"/>
      <c r="AK27" s="154"/>
      <c r="AL27" s="154"/>
      <c r="AM27" s="154"/>
      <c r="AN27" s="155"/>
      <c r="AO27" s="247">
        <v>45681</v>
      </c>
      <c r="AP27" s="248"/>
      <c r="AQ27" s="246" t="s">
        <v>156</v>
      </c>
      <c r="AR27" s="242"/>
      <c r="AS27" s="246" t="s">
        <v>154</v>
      </c>
      <c r="AT27" s="249"/>
      <c r="AU27" s="156"/>
      <c r="AV27" s="157"/>
      <c r="AW27" s="149"/>
      <c r="AX27" s="150"/>
      <c r="AY27" s="149"/>
      <c r="AZ27" s="158"/>
      <c r="BA27" s="22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148"/>
      <c r="BN27" s="148"/>
    </row>
    <row r="28" spans="1:66" s="146" customFormat="1" ht="27.6" customHeight="1" x14ac:dyDescent="0.45">
      <c r="A28" s="147"/>
      <c r="B28" s="147"/>
      <c r="C28" s="177">
        <f t="shared" si="0"/>
        <v>19</v>
      </c>
      <c r="D28" s="159"/>
      <c r="E28" s="160"/>
      <c r="F28" s="160"/>
      <c r="G28" s="161"/>
      <c r="H28" s="159"/>
      <c r="I28" s="160"/>
      <c r="J28" s="160"/>
      <c r="K28" s="161"/>
      <c r="L28" s="164" t="s">
        <v>153</v>
      </c>
      <c r="M28" s="165"/>
      <c r="N28" s="165"/>
      <c r="O28" s="166"/>
      <c r="P28" s="76" t="s">
        <v>94</v>
      </c>
      <c r="Q28" s="154"/>
      <c r="R28" s="154"/>
      <c r="S28" s="154"/>
      <c r="T28" s="154"/>
      <c r="U28" s="154"/>
      <c r="V28" s="154"/>
      <c r="W28" s="162"/>
      <c r="X28" s="256" t="s">
        <v>131</v>
      </c>
      <c r="Y28" s="257"/>
      <c r="Z28" s="257"/>
      <c r="AA28" s="257"/>
      <c r="AB28" s="257"/>
      <c r="AC28" s="257"/>
      <c r="AD28" s="257"/>
      <c r="AE28" s="258"/>
      <c r="AF28" s="153"/>
      <c r="AG28" s="154"/>
      <c r="AH28" s="154"/>
      <c r="AI28" s="154"/>
      <c r="AJ28" s="154"/>
      <c r="AK28" s="154"/>
      <c r="AL28" s="154"/>
      <c r="AM28" s="154"/>
      <c r="AN28" s="155"/>
      <c r="AO28" s="247">
        <v>45681</v>
      </c>
      <c r="AP28" s="248"/>
      <c r="AQ28" s="246" t="s">
        <v>156</v>
      </c>
      <c r="AR28" s="242"/>
      <c r="AS28" s="246" t="s">
        <v>154</v>
      </c>
      <c r="AT28" s="249"/>
      <c r="AU28" s="156"/>
      <c r="AV28" s="157"/>
      <c r="AW28" s="149"/>
      <c r="AX28" s="150"/>
      <c r="AY28" s="149"/>
      <c r="AZ28" s="158"/>
      <c r="BA28" s="250"/>
      <c r="BB28" s="251"/>
      <c r="BC28" s="251"/>
      <c r="BD28" s="251"/>
      <c r="BE28" s="251"/>
      <c r="BF28" s="251"/>
      <c r="BG28" s="251"/>
      <c r="BH28" s="251"/>
      <c r="BI28" s="251"/>
      <c r="BJ28" s="251"/>
      <c r="BK28" s="251"/>
      <c r="BL28" s="252"/>
      <c r="BM28" s="148"/>
      <c r="BN28" s="148"/>
    </row>
    <row r="29" spans="1:66" ht="27.6" customHeight="1" x14ac:dyDescent="0.45">
      <c r="A29" s="10"/>
      <c r="B29" s="10"/>
      <c r="C29" s="177">
        <f t="shared" si="0"/>
        <v>20</v>
      </c>
      <c r="D29" s="67"/>
      <c r="E29" s="68"/>
      <c r="F29" s="68"/>
      <c r="G29" s="69"/>
      <c r="H29" s="79"/>
      <c r="I29" s="80"/>
      <c r="J29" s="80"/>
      <c r="K29" s="81"/>
      <c r="L29" s="78" t="s">
        <v>33</v>
      </c>
      <c r="M29" s="74"/>
      <c r="N29" s="74"/>
      <c r="O29" s="75"/>
      <c r="P29" s="76" t="s">
        <v>50</v>
      </c>
      <c r="Q29" s="74"/>
      <c r="R29" s="74"/>
      <c r="S29" s="74"/>
      <c r="T29" s="74"/>
      <c r="U29" s="74"/>
      <c r="V29" s="74"/>
      <c r="W29" s="75"/>
      <c r="X29" s="76" t="s">
        <v>51</v>
      </c>
      <c r="Y29" s="74"/>
      <c r="Z29" s="74"/>
      <c r="AA29" s="74"/>
      <c r="AB29" s="74"/>
      <c r="AC29" s="74"/>
      <c r="AD29" s="74"/>
      <c r="AE29" s="75"/>
      <c r="AF29" s="65"/>
      <c r="AG29" s="66"/>
      <c r="AH29" s="66"/>
      <c r="AI29" s="66"/>
      <c r="AJ29" s="66"/>
      <c r="AK29" s="66"/>
      <c r="AL29" s="66"/>
      <c r="AM29" s="66"/>
      <c r="AN29" s="70"/>
      <c r="AO29" s="247">
        <v>45681</v>
      </c>
      <c r="AP29" s="248"/>
      <c r="AQ29" s="246" t="s">
        <v>156</v>
      </c>
      <c r="AR29" s="242"/>
      <c r="AS29" s="246" t="s">
        <v>154</v>
      </c>
      <c r="AT29" s="249"/>
      <c r="AU29" s="71"/>
      <c r="AV29" s="72"/>
      <c r="AW29" s="63"/>
      <c r="AX29" s="64"/>
      <c r="AY29" s="63"/>
      <c r="AZ29" s="73"/>
      <c r="BA29" s="250"/>
      <c r="BB29" s="251"/>
      <c r="BC29" s="251"/>
      <c r="BD29" s="251"/>
      <c r="BE29" s="251"/>
      <c r="BF29" s="251"/>
      <c r="BG29" s="251"/>
      <c r="BH29" s="251"/>
      <c r="BI29" s="251"/>
      <c r="BJ29" s="251"/>
      <c r="BK29" s="251"/>
      <c r="BL29" s="252"/>
      <c r="BM29" s="16"/>
      <c r="BN29" s="16"/>
    </row>
    <row r="30" spans="1:66" s="167" customFormat="1" ht="27.6" customHeight="1" x14ac:dyDescent="0.45">
      <c r="A30" s="169"/>
      <c r="B30" s="169"/>
      <c r="C30" s="177">
        <f t="shared" si="0"/>
        <v>21</v>
      </c>
      <c r="D30" s="191"/>
      <c r="E30" s="192"/>
      <c r="F30" s="192"/>
      <c r="G30" s="193"/>
      <c r="H30" s="253" t="s">
        <v>47</v>
      </c>
      <c r="I30" s="254"/>
      <c r="J30" s="254"/>
      <c r="K30" s="255"/>
      <c r="L30" s="256" t="s">
        <v>98</v>
      </c>
      <c r="M30" s="257"/>
      <c r="N30" s="257"/>
      <c r="O30" s="258"/>
      <c r="P30" s="256" t="s">
        <v>96</v>
      </c>
      <c r="Q30" s="257"/>
      <c r="R30" s="257"/>
      <c r="S30" s="257"/>
      <c r="T30" s="257"/>
      <c r="U30" s="257"/>
      <c r="V30" s="257"/>
      <c r="W30" s="258"/>
      <c r="X30" s="256" t="s">
        <v>97</v>
      </c>
      <c r="Y30" s="257"/>
      <c r="Z30" s="257"/>
      <c r="AA30" s="257"/>
      <c r="AB30" s="257"/>
      <c r="AC30" s="257"/>
      <c r="AD30" s="257"/>
      <c r="AE30" s="258"/>
      <c r="AF30" s="185"/>
      <c r="AG30" s="186"/>
      <c r="AH30" s="186"/>
      <c r="AI30" s="186"/>
      <c r="AJ30" s="186"/>
      <c r="AK30" s="186"/>
      <c r="AL30" s="186"/>
      <c r="AM30" s="186"/>
      <c r="AN30" s="187"/>
      <c r="AO30" s="247">
        <v>45681</v>
      </c>
      <c r="AP30" s="248"/>
      <c r="AQ30" s="246" t="s">
        <v>156</v>
      </c>
      <c r="AR30" s="242"/>
      <c r="AS30" s="246" t="s">
        <v>154</v>
      </c>
      <c r="AT30" s="249"/>
      <c r="AU30" s="188"/>
      <c r="AV30" s="189"/>
      <c r="AW30" s="175"/>
      <c r="AX30" s="176"/>
      <c r="AY30" s="175"/>
      <c r="AZ30" s="190"/>
      <c r="BA30" s="250"/>
      <c r="BB30" s="251"/>
      <c r="BC30" s="251"/>
      <c r="BD30" s="251"/>
      <c r="BE30" s="251"/>
      <c r="BF30" s="251"/>
      <c r="BG30" s="251"/>
      <c r="BH30" s="251"/>
      <c r="BI30" s="251"/>
      <c r="BJ30" s="251"/>
      <c r="BK30" s="251"/>
      <c r="BL30" s="252"/>
      <c r="BM30" s="172"/>
      <c r="BN30" s="172"/>
    </row>
    <row r="31" spans="1:66" s="167" customFormat="1" ht="27.6" customHeight="1" x14ac:dyDescent="0.45">
      <c r="A31" s="169"/>
      <c r="B31" s="169"/>
      <c r="C31" s="177">
        <f t="shared" si="0"/>
        <v>22</v>
      </c>
      <c r="D31" s="191"/>
      <c r="E31" s="192"/>
      <c r="F31" s="192"/>
      <c r="G31" s="193"/>
      <c r="H31" s="191"/>
      <c r="I31" s="192"/>
      <c r="J31" s="192"/>
      <c r="K31" s="193"/>
      <c r="L31" s="256" t="s">
        <v>99</v>
      </c>
      <c r="M31" s="257"/>
      <c r="N31" s="257"/>
      <c r="O31" s="258"/>
      <c r="P31" s="256" t="s">
        <v>96</v>
      </c>
      <c r="Q31" s="257"/>
      <c r="R31" s="257"/>
      <c r="S31" s="257"/>
      <c r="T31" s="257"/>
      <c r="U31" s="257"/>
      <c r="V31" s="257"/>
      <c r="W31" s="258"/>
      <c r="X31" s="256" t="s">
        <v>97</v>
      </c>
      <c r="Y31" s="257"/>
      <c r="Z31" s="257"/>
      <c r="AA31" s="257"/>
      <c r="AB31" s="257"/>
      <c r="AC31" s="257"/>
      <c r="AD31" s="257"/>
      <c r="AE31" s="258"/>
      <c r="AF31" s="185"/>
      <c r="AG31" s="186"/>
      <c r="AH31" s="186"/>
      <c r="AI31" s="186"/>
      <c r="AJ31" s="186"/>
      <c r="AK31" s="186"/>
      <c r="AL31" s="186"/>
      <c r="AM31" s="186"/>
      <c r="AN31" s="187"/>
      <c r="AO31" s="247">
        <v>45681</v>
      </c>
      <c r="AP31" s="248"/>
      <c r="AQ31" s="246" t="s">
        <v>156</v>
      </c>
      <c r="AR31" s="242"/>
      <c r="AS31" s="246" t="s">
        <v>154</v>
      </c>
      <c r="AT31" s="249"/>
      <c r="AU31" s="188"/>
      <c r="AV31" s="189"/>
      <c r="AW31" s="175"/>
      <c r="AX31" s="176"/>
      <c r="AY31" s="175"/>
      <c r="AZ31" s="190"/>
      <c r="BA31" s="250"/>
      <c r="BB31" s="251"/>
      <c r="BC31" s="251"/>
      <c r="BD31" s="251"/>
      <c r="BE31" s="251"/>
      <c r="BF31" s="251"/>
      <c r="BG31" s="251"/>
      <c r="BH31" s="251"/>
      <c r="BI31" s="251"/>
      <c r="BJ31" s="251"/>
      <c r="BK31" s="251"/>
      <c r="BL31" s="252"/>
      <c r="BM31" s="172"/>
      <c r="BN31" s="172"/>
    </row>
    <row r="32" spans="1:66" s="167" customFormat="1" ht="27.6" customHeight="1" x14ac:dyDescent="0.45">
      <c r="A32" s="169"/>
      <c r="B32" s="169"/>
      <c r="C32" s="177">
        <f t="shared" si="0"/>
        <v>23</v>
      </c>
      <c r="D32" s="217"/>
      <c r="E32" s="218"/>
      <c r="F32" s="218"/>
      <c r="G32" s="219"/>
      <c r="L32" s="256" t="s">
        <v>151</v>
      </c>
      <c r="M32" s="257"/>
      <c r="N32" s="257"/>
      <c r="O32" s="258"/>
      <c r="P32" s="256" t="s">
        <v>150</v>
      </c>
      <c r="Q32" s="257"/>
      <c r="R32" s="257"/>
      <c r="S32" s="257"/>
      <c r="T32" s="257"/>
      <c r="U32" s="257"/>
      <c r="V32" s="257"/>
      <c r="W32" s="258"/>
      <c r="X32" s="256" t="s">
        <v>97</v>
      </c>
      <c r="Y32" s="257"/>
      <c r="Z32" s="257"/>
      <c r="AA32" s="257"/>
      <c r="AB32" s="257"/>
      <c r="AC32" s="257"/>
      <c r="AD32" s="257"/>
      <c r="AE32" s="258"/>
      <c r="AF32" s="211"/>
      <c r="AG32" s="212"/>
      <c r="AH32" s="212"/>
      <c r="AI32" s="212"/>
      <c r="AJ32" s="212"/>
      <c r="AK32" s="212"/>
      <c r="AL32" s="212"/>
      <c r="AM32" s="212"/>
      <c r="AN32" s="213"/>
      <c r="AO32" s="247">
        <v>45681</v>
      </c>
      <c r="AP32" s="248"/>
      <c r="AQ32" s="246" t="s">
        <v>156</v>
      </c>
      <c r="AR32" s="242"/>
      <c r="AS32" s="246" t="s">
        <v>155</v>
      </c>
      <c r="AT32" s="249"/>
      <c r="AU32" s="247">
        <v>45702</v>
      </c>
      <c r="AV32" s="248"/>
      <c r="AW32" s="246" t="s">
        <v>157</v>
      </c>
      <c r="AX32" s="242"/>
      <c r="AY32" s="246" t="s">
        <v>154</v>
      </c>
      <c r="AZ32" s="249"/>
      <c r="BA32" s="250" t="s">
        <v>160</v>
      </c>
      <c r="BB32" s="251"/>
      <c r="BC32" s="251"/>
      <c r="BD32" s="251"/>
      <c r="BE32" s="251"/>
      <c r="BF32" s="251"/>
      <c r="BG32" s="251"/>
      <c r="BH32" s="251"/>
      <c r="BI32" s="251"/>
      <c r="BJ32" s="251"/>
      <c r="BK32" s="251"/>
      <c r="BL32" s="252"/>
      <c r="BM32" s="172"/>
      <c r="BN32" s="172"/>
    </row>
    <row r="33" spans="1:66" ht="27.6" customHeight="1" x14ac:dyDescent="0.45">
      <c r="A33" s="10"/>
      <c r="B33" s="10"/>
      <c r="C33" s="177">
        <f t="shared" si="0"/>
        <v>24</v>
      </c>
      <c r="D33" s="67"/>
      <c r="E33" s="68"/>
      <c r="F33" s="68"/>
      <c r="G33" s="69"/>
      <c r="L33" s="256" t="s">
        <v>100</v>
      </c>
      <c r="M33" s="257"/>
      <c r="N33" s="257"/>
      <c r="O33" s="258"/>
      <c r="P33" s="256" t="s">
        <v>96</v>
      </c>
      <c r="Q33" s="257"/>
      <c r="R33" s="257"/>
      <c r="S33" s="257"/>
      <c r="T33" s="257"/>
      <c r="U33" s="257"/>
      <c r="V33" s="257"/>
      <c r="W33" s="258"/>
      <c r="X33" s="256" t="s">
        <v>97</v>
      </c>
      <c r="Y33" s="257"/>
      <c r="Z33" s="257"/>
      <c r="AA33" s="257"/>
      <c r="AB33" s="257"/>
      <c r="AC33" s="257"/>
      <c r="AD33" s="257"/>
      <c r="AE33" s="258"/>
      <c r="AF33" s="65"/>
      <c r="AG33" s="66"/>
      <c r="AH33" s="66"/>
      <c r="AI33" s="66"/>
      <c r="AJ33" s="66"/>
      <c r="AK33" s="66"/>
      <c r="AL33" s="66"/>
      <c r="AM33" s="66"/>
      <c r="AN33" s="70"/>
      <c r="AO33" s="247">
        <v>45681</v>
      </c>
      <c r="AP33" s="248"/>
      <c r="AQ33" s="246" t="s">
        <v>156</v>
      </c>
      <c r="AR33" s="242"/>
      <c r="AS33" s="246" t="s">
        <v>154</v>
      </c>
      <c r="AT33" s="249"/>
      <c r="AU33" s="71"/>
      <c r="AV33" s="72"/>
      <c r="AW33" s="63"/>
      <c r="AX33" s="64"/>
      <c r="AY33" s="63"/>
      <c r="AZ33" s="73"/>
      <c r="BA33" s="250"/>
      <c r="BB33" s="251"/>
      <c r="BC33" s="251"/>
      <c r="BD33" s="251"/>
      <c r="BE33" s="251"/>
      <c r="BF33" s="251"/>
      <c r="BG33" s="251"/>
      <c r="BH33" s="251"/>
      <c r="BI33" s="251"/>
      <c r="BJ33" s="251"/>
      <c r="BK33" s="251"/>
      <c r="BL33" s="252"/>
      <c r="BM33" s="16"/>
      <c r="BN33" s="16"/>
    </row>
    <row r="34" spans="1:66" s="167" customFormat="1" ht="27.6" customHeight="1" x14ac:dyDescent="0.45">
      <c r="A34" s="169"/>
      <c r="B34" s="169"/>
      <c r="C34" s="177">
        <f t="shared" si="0"/>
        <v>25</v>
      </c>
      <c r="D34" s="217"/>
      <c r="E34" s="218"/>
      <c r="F34" s="218"/>
      <c r="G34" s="219"/>
      <c r="H34" s="217"/>
      <c r="I34" s="218"/>
      <c r="J34" s="218"/>
      <c r="K34" s="219"/>
      <c r="L34" s="256" t="s">
        <v>101</v>
      </c>
      <c r="M34" s="257"/>
      <c r="N34" s="257"/>
      <c r="O34" s="258"/>
      <c r="P34" s="256" t="s">
        <v>96</v>
      </c>
      <c r="Q34" s="257"/>
      <c r="R34" s="257"/>
      <c r="S34" s="257"/>
      <c r="T34" s="257"/>
      <c r="U34" s="257"/>
      <c r="V34" s="257"/>
      <c r="W34" s="258"/>
      <c r="X34" s="256" t="s">
        <v>97</v>
      </c>
      <c r="Y34" s="257"/>
      <c r="Z34" s="257"/>
      <c r="AA34" s="257"/>
      <c r="AB34" s="257"/>
      <c r="AC34" s="257"/>
      <c r="AD34" s="257"/>
      <c r="AE34" s="258"/>
      <c r="AF34" s="211"/>
      <c r="AG34" s="212"/>
      <c r="AH34" s="212"/>
      <c r="AI34" s="212"/>
      <c r="AJ34" s="212"/>
      <c r="AK34" s="212"/>
      <c r="AL34" s="212"/>
      <c r="AM34" s="212"/>
      <c r="AN34" s="213"/>
      <c r="AO34" s="247">
        <v>45681</v>
      </c>
      <c r="AP34" s="248"/>
      <c r="AQ34" s="246" t="s">
        <v>156</v>
      </c>
      <c r="AR34" s="242"/>
      <c r="AS34" s="246" t="s">
        <v>154</v>
      </c>
      <c r="AT34" s="249"/>
      <c r="AU34" s="214"/>
      <c r="AV34" s="215"/>
      <c r="AW34" s="210"/>
      <c r="AX34" s="209"/>
      <c r="AY34" s="210"/>
      <c r="AZ34" s="216"/>
      <c r="BA34" s="250"/>
      <c r="BB34" s="251"/>
      <c r="BC34" s="251"/>
      <c r="BD34" s="251"/>
      <c r="BE34" s="251"/>
      <c r="BF34" s="251"/>
      <c r="BG34" s="251"/>
      <c r="BH34" s="251"/>
      <c r="BI34" s="251"/>
      <c r="BJ34" s="251"/>
      <c r="BK34" s="251"/>
      <c r="BL34" s="252"/>
      <c r="BM34" s="172"/>
      <c r="BN34" s="172"/>
    </row>
    <row r="35" spans="1:66" ht="27.6" customHeight="1" thickBot="1" x14ac:dyDescent="0.5">
      <c r="A35" s="10"/>
      <c r="B35" s="10"/>
      <c r="C35" s="177">
        <f t="shared" si="0"/>
        <v>26</v>
      </c>
      <c r="D35" s="51"/>
      <c r="E35" s="52"/>
      <c r="F35" s="52"/>
      <c r="G35" s="53"/>
      <c r="H35" s="51"/>
      <c r="I35" s="52"/>
      <c r="J35" s="52"/>
      <c r="K35" s="53"/>
      <c r="L35" s="256" t="s">
        <v>148</v>
      </c>
      <c r="M35" s="257"/>
      <c r="N35" s="257"/>
      <c r="O35" s="258"/>
      <c r="P35" s="256" t="s">
        <v>149</v>
      </c>
      <c r="Q35" s="257"/>
      <c r="R35" s="257"/>
      <c r="S35" s="257"/>
      <c r="T35" s="257"/>
      <c r="U35" s="257"/>
      <c r="V35" s="257"/>
      <c r="W35" s="258"/>
      <c r="X35" s="256" t="s">
        <v>147</v>
      </c>
      <c r="Y35" s="257"/>
      <c r="Z35" s="257"/>
      <c r="AA35" s="257"/>
      <c r="AB35" s="257"/>
      <c r="AC35" s="257"/>
      <c r="AD35" s="257"/>
      <c r="AE35" s="258"/>
      <c r="AF35" s="54"/>
      <c r="AG35" s="55"/>
      <c r="AH35" s="55"/>
      <c r="AI35" s="55"/>
      <c r="AJ35" s="55"/>
      <c r="AK35" s="55"/>
      <c r="AL35" s="55"/>
      <c r="AM35" s="55"/>
      <c r="AN35" s="60"/>
      <c r="AO35" s="247">
        <v>45681</v>
      </c>
      <c r="AP35" s="248"/>
      <c r="AQ35" s="246" t="s">
        <v>156</v>
      </c>
      <c r="AR35" s="242"/>
      <c r="AS35" s="246" t="s">
        <v>155</v>
      </c>
      <c r="AT35" s="249"/>
      <c r="AU35" s="247">
        <v>45702</v>
      </c>
      <c r="AV35" s="248"/>
      <c r="AW35" s="246" t="s">
        <v>157</v>
      </c>
      <c r="AX35" s="242"/>
      <c r="AY35" s="246" t="s">
        <v>154</v>
      </c>
      <c r="AZ35" s="249"/>
      <c r="BA35" s="250" t="s">
        <v>160</v>
      </c>
      <c r="BB35" s="251"/>
      <c r="BC35" s="251"/>
      <c r="BD35" s="251"/>
      <c r="BE35" s="251"/>
      <c r="BF35" s="251"/>
      <c r="BG35" s="251"/>
      <c r="BH35" s="251"/>
      <c r="BI35" s="251"/>
      <c r="BJ35" s="251"/>
      <c r="BK35" s="251"/>
      <c r="BL35" s="252"/>
      <c r="BM35" s="16"/>
      <c r="BN35" s="16"/>
    </row>
    <row r="36" spans="1:66" ht="20.100000000000001" customHeight="1" thickTop="1" thickBot="1" x14ac:dyDescent="0.5">
      <c r="A36" s="1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8"/>
      <c r="BN36" s="16"/>
    </row>
    <row r="37" spans="1:66" ht="5.0999999999999996" customHeight="1" thickTop="1" x14ac:dyDescent="0.4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</row>
    <row r="38" spans="1:66" ht="20.100000000000001" customHeight="1" x14ac:dyDescent="0.45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</sheetData>
  <mergeCells count="251">
    <mergeCell ref="AO31:AP31"/>
    <mergeCell ref="AQ31:AR31"/>
    <mergeCell ref="AS31:AT31"/>
    <mergeCell ref="AO35:AP35"/>
    <mergeCell ref="AQ35:AR35"/>
    <mergeCell ref="AS35:AT35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Q14:AR14"/>
    <mergeCell ref="AS14:AT14"/>
    <mergeCell ref="AQ15:AR15"/>
    <mergeCell ref="AS15:AT15"/>
    <mergeCell ref="AS16:AT16"/>
    <mergeCell ref="AQ16:AR16"/>
    <mergeCell ref="AQ22:AR22"/>
    <mergeCell ref="AS22:AT22"/>
    <mergeCell ref="AQ17:AR17"/>
    <mergeCell ref="AS17:AT17"/>
    <mergeCell ref="X15:AE15"/>
    <mergeCell ref="X23:AE23"/>
    <mergeCell ref="P23:W23"/>
    <mergeCell ref="P22:W22"/>
    <mergeCell ref="X22:AE22"/>
    <mergeCell ref="L23:O24"/>
    <mergeCell ref="P16:W16"/>
    <mergeCell ref="AO11:AP11"/>
    <mergeCell ref="AO14:AP14"/>
    <mergeCell ref="AO15:AP15"/>
    <mergeCell ref="AO16:AP16"/>
    <mergeCell ref="AO22:AP22"/>
    <mergeCell ref="AO23:AP23"/>
    <mergeCell ref="AO24:AP24"/>
    <mergeCell ref="AF17:AN17"/>
    <mergeCell ref="X21:AE21"/>
    <mergeCell ref="AO17:AP17"/>
    <mergeCell ref="L10:O10"/>
    <mergeCell ref="L12:O12"/>
    <mergeCell ref="L13:O13"/>
    <mergeCell ref="L17:O17"/>
    <mergeCell ref="L11:O11"/>
    <mergeCell ref="L14:O14"/>
    <mergeCell ref="L15:O15"/>
    <mergeCell ref="L22:O22"/>
    <mergeCell ref="L20:O21"/>
    <mergeCell ref="L18:O18"/>
    <mergeCell ref="L19:O19"/>
    <mergeCell ref="BA18:BL18"/>
    <mergeCell ref="H10:K10"/>
    <mergeCell ref="H12:K12"/>
    <mergeCell ref="H17:K17"/>
    <mergeCell ref="P15:W15"/>
    <mergeCell ref="P24:W24"/>
    <mergeCell ref="BA20:BL20"/>
    <mergeCell ref="AF21:AN21"/>
    <mergeCell ref="AO21:AP21"/>
    <mergeCell ref="AQ21:AR21"/>
    <mergeCell ref="AS21:AT21"/>
    <mergeCell ref="AU21:AV21"/>
    <mergeCell ref="AW21:AX21"/>
    <mergeCell ref="AY21:AZ21"/>
    <mergeCell ref="BA21:BL21"/>
    <mergeCell ref="AF20:AN20"/>
    <mergeCell ref="AO20:AP20"/>
    <mergeCell ref="AQ20:AR20"/>
    <mergeCell ref="AS20:AT20"/>
    <mergeCell ref="AU20:AV20"/>
    <mergeCell ref="AW20:AX20"/>
    <mergeCell ref="AY20:AZ20"/>
    <mergeCell ref="BA13:BL13"/>
    <mergeCell ref="P17:W17"/>
    <mergeCell ref="AW19:AX19"/>
    <mergeCell ref="AY19:AZ19"/>
    <mergeCell ref="BA19:BL19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P14:W14"/>
    <mergeCell ref="X14:AE14"/>
    <mergeCell ref="AS19:AT19"/>
    <mergeCell ref="AU19:AV19"/>
    <mergeCell ref="AU17:AV17"/>
    <mergeCell ref="AW17:AX17"/>
    <mergeCell ref="AY17:AZ17"/>
    <mergeCell ref="BA17:BL17"/>
    <mergeCell ref="AS18:AT18"/>
    <mergeCell ref="AU18:AV18"/>
    <mergeCell ref="AW18:AX18"/>
    <mergeCell ref="AY18:AZ18"/>
    <mergeCell ref="BA10:BL10"/>
    <mergeCell ref="P12:W12"/>
    <mergeCell ref="AF12:AN12"/>
    <mergeCell ref="AO12:AP12"/>
    <mergeCell ref="AQ12:AR12"/>
    <mergeCell ref="AS12:AT12"/>
    <mergeCell ref="AU12:AV12"/>
    <mergeCell ref="AW12:AX12"/>
    <mergeCell ref="AY12:AZ12"/>
    <mergeCell ref="BA12:BL12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P11:W11"/>
    <mergeCell ref="X11:AE11"/>
    <mergeCell ref="X12:AE12"/>
    <mergeCell ref="AS11:AT11"/>
    <mergeCell ref="AQ11:AR11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L34:O34"/>
    <mergeCell ref="P34:W34"/>
    <mergeCell ref="X34:AE34"/>
    <mergeCell ref="L35:O35"/>
    <mergeCell ref="P35:W35"/>
    <mergeCell ref="X35:AE35"/>
    <mergeCell ref="B3:G4"/>
    <mergeCell ref="H3:K4"/>
    <mergeCell ref="L3:Q4"/>
    <mergeCell ref="R3:W4"/>
    <mergeCell ref="X3:AJ4"/>
    <mergeCell ref="H20:K20"/>
    <mergeCell ref="H21:K21"/>
    <mergeCell ref="P21:W21"/>
    <mergeCell ref="X20:AE20"/>
    <mergeCell ref="P20:W20"/>
    <mergeCell ref="D10:G10"/>
    <mergeCell ref="D12:G12"/>
    <mergeCell ref="D17:G17"/>
    <mergeCell ref="H30:K30"/>
    <mergeCell ref="D20:G20"/>
    <mergeCell ref="D21:G21"/>
    <mergeCell ref="L30:O30"/>
    <mergeCell ref="X17:AE17"/>
    <mergeCell ref="AQ24:AR24"/>
    <mergeCell ref="AS24:AT24"/>
    <mergeCell ref="AQ25:AR25"/>
    <mergeCell ref="AS25:AT25"/>
    <mergeCell ref="AO25:AP25"/>
    <mergeCell ref="X24:AE24"/>
    <mergeCell ref="X28:AE28"/>
    <mergeCell ref="L33:O33"/>
    <mergeCell ref="P33:W33"/>
    <mergeCell ref="X33:AE33"/>
    <mergeCell ref="P30:W30"/>
    <mergeCell ref="X30:AE30"/>
    <mergeCell ref="P31:W31"/>
    <mergeCell ref="X31:AE31"/>
    <mergeCell ref="L31:O31"/>
    <mergeCell ref="L32:O32"/>
    <mergeCell ref="P32:W32"/>
    <mergeCell ref="X32:AE32"/>
    <mergeCell ref="AO26:AP26"/>
    <mergeCell ref="AQ26:AR26"/>
    <mergeCell ref="AS26:AT26"/>
    <mergeCell ref="AO27:AP27"/>
    <mergeCell ref="AQ27:AR27"/>
    <mergeCell ref="AS27:AT27"/>
    <mergeCell ref="AU26:AV26"/>
    <mergeCell ref="AW26:AX26"/>
    <mergeCell ref="AY26:AZ26"/>
    <mergeCell ref="BA26:BL26"/>
    <mergeCell ref="D18:G18"/>
    <mergeCell ref="H18:K18"/>
    <mergeCell ref="P18:W18"/>
    <mergeCell ref="X18:AE18"/>
    <mergeCell ref="AF18:AN18"/>
    <mergeCell ref="AO18:AP18"/>
    <mergeCell ref="AQ18:AR18"/>
    <mergeCell ref="D19:G19"/>
    <mergeCell ref="H19:K19"/>
    <mergeCell ref="P19:W19"/>
    <mergeCell ref="X19:AE19"/>
    <mergeCell ref="AF19:AN19"/>
    <mergeCell ref="AO19:AP19"/>
    <mergeCell ref="AQ19:AR19"/>
    <mergeCell ref="X26:AE26"/>
    <mergeCell ref="L25:O25"/>
    <mergeCell ref="P25:W25"/>
    <mergeCell ref="X25:AE25"/>
    <mergeCell ref="AQ23:AR23"/>
    <mergeCell ref="AS23:AT23"/>
    <mergeCell ref="AU32:AV32"/>
    <mergeCell ref="AW32:AX32"/>
    <mergeCell ref="AY32:AZ32"/>
    <mergeCell ref="AU35:AV35"/>
    <mergeCell ref="AW35:AX35"/>
    <mergeCell ref="AY35:AZ35"/>
    <mergeCell ref="BA28:BL28"/>
    <mergeCell ref="BA29:BL29"/>
    <mergeCell ref="BA30:BL30"/>
    <mergeCell ref="BA31:BL31"/>
    <mergeCell ref="BA32:BL32"/>
    <mergeCell ref="BA33:BL33"/>
    <mergeCell ref="BA34:BL34"/>
    <mergeCell ref="BA35:BL35"/>
  </mergeCells>
  <phoneticPr fontId="2"/>
  <conditionalFormatting sqref="AY10:AY12 AY20:AY25 AY33 AY14:AY17 AY27:AY31 AS10:AS27">
    <cfRule type="cellIs" dxfId="27" priority="25" operator="equal">
      <formula>"OK"</formula>
    </cfRule>
    <cfRule type="cellIs" dxfId="26" priority="26" operator="equal">
      <formula>"NG"</formula>
    </cfRule>
  </conditionalFormatting>
  <conditionalFormatting sqref="AY18:AY19">
    <cfRule type="cellIs" dxfId="25" priority="19" operator="equal">
      <formula>"OK"</formula>
    </cfRule>
    <cfRule type="cellIs" dxfId="24" priority="20" operator="equal">
      <formula>"NG"</formula>
    </cfRule>
  </conditionalFormatting>
  <conditionalFormatting sqref="AY34">
    <cfRule type="cellIs" dxfId="23" priority="15" operator="equal">
      <formula>"OK"</formula>
    </cfRule>
    <cfRule type="cellIs" dxfId="22" priority="16" operator="equal">
      <formula>"NG"</formula>
    </cfRule>
  </conditionalFormatting>
  <conditionalFormatting sqref="AS28:AS35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Y13">
    <cfRule type="cellIs" dxfId="19" priority="7" operator="equal">
      <formula>"OK"</formula>
    </cfRule>
    <cfRule type="cellIs" dxfId="18" priority="8" operator="equal">
      <formula>"NG"</formula>
    </cfRule>
  </conditionalFormatting>
  <conditionalFormatting sqref="AY26">
    <cfRule type="cellIs" dxfId="17" priority="5" operator="equal">
      <formula>"OK"</formula>
    </cfRule>
    <cfRule type="cellIs" dxfId="16" priority="6" operator="equal">
      <formula>"NG"</formula>
    </cfRule>
  </conditionalFormatting>
  <conditionalFormatting sqref="AY32">
    <cfRule type="cellIs" dxfId="15" priority="3" operator="equal">
      <formula>"OK"</formula>
    </cfRule>
    <cfRule type="cellIs" dxfId="14" priority="4" operator="equal">
      <formula>"NG"</formula>
    </cfRule>
  </conditionalFormatting>
  <conditionalFormatting sqref="AY35">
    <cfRule type="cellIs" dxfId="13" priority="1" operator="equal">
      <formula>"OK"</formula>
    </cfRule>
    <cfRule type="cellIs" dxfId="12" priority="2" operator="equal">
      <formula>"NG"</formula>
    </cfRule>
  </conditionalFormatting>
  <dataValidations count="1">
    <dataValidation type="list" allowBlank="1" showInputMessage="1" showErrorMessage="1" sqref="AS10:AS35 AY10:AY3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7"/>
  <sheetViews>
    <sheetView showGridLines="0" view="pageBreakPreview" zoomScaleNormal="100" zoomScaleSheetLayoutView="100" workbookViewId="0">
      <pane ySplit="9" topLeftCell="A10" activePane="bottomLeft" state="frozen"/>
      <selection pane="bottomLeft" activeCell="AW12" sqref="AW12"/>
    </sheetView>
  </sheetViews>
  <sheetFormatPr defaultColWidth="3.59765625" defaultRowHeight="20.100000000000001" customHeight="1" x14ac:dyDescent="0.45"/>
  <cols>
    <col min="1" max="1" width="1.09765625" style="91" customWidth="1"/>
    <col min="2" max="65" width="3.69921875" style="91" customWidth="1"/>
    <col min="66" max="66" width="1.09765625" style="91" customWidth="1"/>
    <col min="67" max="16384" width="3.59765625" style="91"/>
  </cols>
  <sheetData>
    <row r="1" spans="1:66" ht="5.25" customHeight="1" thickBot="1" x14ac:dyDescent="0.5"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</row>
    <row r="2" spans="1:66" ht="20.100000000000001" customHeight="1" thickTop="1" x14ac:dyDescent="0.45">
      <c r="A2" s="93"/>
      <c r="B2" s="221" t="s">
        <v>0</v>
      </c>
      <c r="C2" s="222"/>
      <c r="D2" s="222"/>
      <c r="E2" s="222"/>
      <c r="F2" s="222"/>
      <c r="G2" s="222"/>
      <c r="H2" s="222" t="s">
        <v>40</v>
      </c>
      <c r="I2" s="222"/>
      <c r="J2" s="222"/>
      <c r="K2" s="222"/>
      <c r="L2" s="222" t="s">
        <v>41</v>
      </c>
      <c r="M2" s="222"/>
      <c r="N2" s="222"/>
      <c r="O2" s="222"/>
      <c r="P2" s="222"/>
      <c r="Q2" s="222"/>
      <c r="R2" s="222" t="s">
        <v>1</v>
      </c>
      <c r="S2" s="222"/>
      <c r="T2" s="222"/>
      <c r="U2" s="222"/>
      <c r="V2" s="222"/>
      <c r="W2" s="222"/>
      <c r="X2" s="223" t="s">
        <v>2</v>
      </c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5"/>
      <c r="AK2" s="223" t="s">
        <v>30</v>
      </c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5"/>
      <c r="AX2" s="222" t="s">
        <v>4</v>
      </c>
      <c r="AY2" s="222"/>
      <c r="AZ2" s="222"/>
      <c r="BA2" s="222"/>
      <c r="BB2" s="222" t="s">
        <v>3</v>
      </c>
      <c r="BC2" s="222"/>
      <c r="BD2" s="222"/>
      <c r="BE2" s="222"/>
      <c r="BF2" s="222" t="s">
        <v>5</v>
      </c>
      <c r="BG2" s="222"/>
      <c r="BH2" s="222"/>
      <c r="BI2" s="222"/>
      <c r="BJ2" s="222" t="s">
        <v>6</v>
      </c>
      <c r="BK2" s="222"/>
      <c r="BL2" s="222"/>
      <c r="BM2" s="236"/>
      <c r="BN2" s="96"/>
    </row>
    <row r="3" spans="1:66" ht="20.100000000000001" customHeight="1" x14ac:dyDescent="0.45">
      <c r="A3" s="93"/>
      <c r="B3" s="226" t="str">
        <f>変更履歴!B3</f>
        <v>受発注システム</v>
      </c>
      <c r="C3" s="227"/>
      <c r="D3" s="227"/>
      <c r="E3" s="227"/>
      <c r="F3" s="227"/>
      <c r="G3" s="227"/>
      <c r="H3" s="227" t="str">
        <f ca="1">変更履歴!H3</f>
        <v>仕入支払</v>
      </c>
      <c r="I3" s="227"/>
      <c r="J3" s="227"/>
      <c r="K3" s="227"/>
      <c r="L3" s="227" t="str">
        <f>変更履歴!L3</f>
        <v>受発注</v>
      </c>
      <c r="M3" s="227"/>
      <c r="N3" s="227"/>
      <c r="O3" s="227"/>
      <c r="P3" s="227"/>
      <c r="Q3" s="227"/>
      <c r="R3" s="227" t="str">
        <f ca="1">変更履歴!R3</f>
        <v>結合試験項目</v>
      </c>
      <c r="S3" s="227"/>
      <c r="T3" s="227"/>
      <c r="U3" s="227"/>
      <c r="V3" s="227"/>
      <c r="W3" s="227"/>
      <c r="X3" s="231" t="str">
        <f ca="1">変更履歴!X3</f>
        <v>仕入支払_仕入日計表_結合試験項目</v>
      </c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28"/>
      <c r="AK3" s="231" t="str">
        <f ca="1">変更履歴!AK3</f>
        <v>仕入日計表</v>
      </c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28"/>
      <c r="AX3" s="238">
        <f>変更履歴!AX3</f>
        <v>45635</v>
      </c>
      <c r="AY3" s="238"/>
      <c r="AZ3" s="238"/>
      <c r="BA3" s="238"/>
      <c r="BB3" s="227" t="str">
        <f>変更履歴!BB3</f>
        <v>榎本</v>
      </c>
      <c r="BC3" s="227"/>
      <c r="BD3" s="227"/>
      <c r="BE3" s="227"/>
      <c r="BF3" s="238">
        <f>変更履歴!BF3</f>
        <v>45635</v>
      </c>
      <c r="BG3" s="238"/>
      <c r="BH3" s="238"/>
      <c r="BI3" s="238"/>
      <c r="BJ3" s="227" t="str">
        <f>変更履歴!BJ3</f>
        <v>榎本</v>
      </c>
      <c r="BK3" s="227"/>
      <c r="BL3" s="227"/>
      <c r="BM3" s="239"/>
      <c r="BN3" s="96"/>
    </row>
    <row r="4" spans="1:66" ht="20.100000000000001" customHeight="1" thickBot="1" x14ac:dyDescent="0.5">
      <c r="A4" s="93"/>
      <c r="B4" s="228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33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5"/>
      <c r="AK4" s="233"/>
      <c r="AL4" s="234"/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5"/>
      <c r="AX4" s="269"/>
      <c r="AY4" s="269"/>
      <c r="AZ4" s="269"/>
      <c r="BA4" s="269"/>
      <c r="BB4" s="229"/>
      <c r="BC4" s="229"/>
      <c r="BD4" s="229"/>
      <c r="BE4" s="229"/>
      <c r="BF4" s="269"/>
      <c r="BG4" s="269"/>
      <c r="BH4" s="269"/>
      <c r="BI4" s="269"/>
      <c r="BJ4" s="229"/>
      <c r="BK4" s="229"/>
      <c r="BL4" s="229"/>
      <c r="BM4" s="231"/>
      <c r="BN4" s="96"/>
    </row>
    <row r="5" spans="1:66" ht="5.25" customHeight="1" thickTop="1" thickBot="1" x14ac:dyDescent="0.5"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</row>
    <row r="6" spans="1:66" ht="8.4" customHeight="1" thickTop="1" thickBot="1" x14ac:dyDescent="0.5">
      <c r="A6" s="93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6"/>
    </row>
    <row r="7" spans="1:66" ht="13.8" thickTop="1" thickBot="1" x14ac:dyDescent="0.5">
      <c r="A7" s="93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E7" s="270" t="s">
        <v>32</v>
      </c>
      <c r="BF7" s="271"/>
      <c r="BG7" s="274" t="s">
        <v>31</v>
      </c>
      <c r="BH7" s="274"/>
      <c r="BI7" s="275" t="s">
        <v>33</v>
      </c>
      <c r="BJ7" s="276"/>
      <c r="BK7" s="275" t="s">
        <v>34</v>
      </c>
      <c r="BL7" s="277"/>
      <c r="BM7" s="92"/>
      <c r="BN7" s="96"/>
    </row>
    <row r="8" spans="1:66" ht="13.8" thickTop="1" thickBot="1" x14ac:dyDescent="0.5">
      <c r="A8" s="93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L8" s="92"/>
      <c r="AM8" s="92"/>
      <c r="AO8" s="278" t="s">
        <v>35</v>
      </c>
      <c r="AP8" s="279"/>
      <c r="AQ8" s="279"/>
      <c r="AR8" s="279"/>
      <c r="AS8" s="279"/>
      <c r="AT8" s="277"/>
      <c r="AU8" s="278" t="s">
        <v>36</v>
      </c>
      <c r="AV8" s="279"/>
      <c r="AW8" s="279"/>
      <c r="AX8" s="279"/>
      <c r="AY8" s="279"/>
      <c r="AZ8" s="277"/>
      <c r="BE8" s="272"/>
      <c r="BF8" s="273"/>
      <c r="BG8" s="280">
        <f>COUNTA(C10:C44)</f>
        <v>35</v>
      </c>
      <c r="BH8" s="281"/>
      <c r="BI8" s="280">
        <f>COUNTIF(AS10:AT44,"OK")+COUNTIF(AY10:AZ44,"OK")</f>
        <v>35</v>
      </c>
      <c r="BJ8" s="281"/>
      <c r="BK8" s="280">
        <f>BG8-BI8</f>
        <v>0</v>
      </c>
      <c r="BL8" s="282"/>
      <c r="BM8" s="92"/>
      <c r="BN8" s="96"/>
    </row>
    <row r="9" spans="1:66" ht="20.100000000000001" customHeight="1" thickTop="1" x14ac:dyDescent="0.45">
      <c r="A9" s="93"/>
      <c r="B9" s="92"/>
      <c r="C9" s="98" t="s">
        <v>12</v>
      </c>
      <c r="D9" s="102" t="s">
        <v>21</v>
      </c>
      <c r="E9" s="103"/>
      <c r="F9" s="103"/>
      <c r="G9" s="103"/>
      <c r="H9" s="102" t="s">
        <v>22</v>
      </c>
      <c r="I9" s="103"/>
      <c r="J9" s="103"/>
      <c r="K9" s="104"/>
      <c r="L9" s="102" t="s">
        <v>23</v>
      </c>
      <c r="M9" s="103"/>
      <c r="N9" s="103"/>
      <c r="O9" s="103"/>
      <c r="P9" s="102" t="s">
        <v>37</v>
      </c>
      <c r="Q9" s="103"/>
      <c r="R9" s="103"/>
      <c r="S9" s="103"/>
      <c r="T9" s="103"/>
      <c r="U9" s="103"/>
      <c r="V9" s="103"/>
      <c r="W9" s="103"/>
      <c r="X9" s="102" t="s">
        <v>24</v>
      </c>
      <c r="Y9" s="103"/>
      <c r="Z9" s="103"/>
      <c r="AA9" s="103"/>
      <c r="AB9" s="103"/>
      <c r="AC9" s="103"/>
      <c r="AD9" s="103"/>
      <c r="AE9" s="103"/>
      <c r="AF9" s="102" t="s">
        <v>28</v>
      </c>
      <c r="AG9" s="103"/>
      <c r="AH9" s="103"/>
      <c r="AI9" s="103"/>
      <c r="AJ9" s="103"/>
      <c r="AK9" s="103"/>
      <c r="AL9" s="103"/>
      <c r="AM9" s="103"/>
      <c r="AN9" s="105"/>
      <c r="AO9" s="283" t="s">
        <v>25</v>
      </c>
      <c r="AP9" s="284"/>
      <c r="AQ9" s="285" t="s">
        <v>26</v>
      </c>
      <c r="AR9" s="284"/>
      <c r="AS9" s="285" t="s">
        <v>29</v>
      </c>
      <c r="AT9" s="286"/>
      <c r="AU9" s="283" t="s">
        <v>25</v>
      </c>
      <c r="AV9" s="284"/>
      <c r="AW9" s="285" t="s">
        <v>26</v>
      </c>
      <c r="AX9" s="284"/>
      <c r="AY9" s="285" t="s">
        <v>29</v>
      </c>
      <c r="AZ9" s="286"/>
      <c r="BA9" s="287" t="s">
        <v>27</v>
      </c>
      <c r="BB9" s="279"/>
      <c r="BC9" s="279"/>
      <c r="BD9" s="279"/>
      <c r="BE9" s="279"/>
      <c r="BF9" s="279"/>
      <c r="BG9" s="279"/>
      <c r="BH9" s="279"/>
      <c r="BI9" s="279"/>
      <c r="BJ9" s="279"/>
      <c r="BK9" s="279"/>
      <c r="BL9" s="277"/>
      <c r="BM9" s="96"/>
      <c r="BN9" s="96"/>
    </row>
    <row r="10" spans="1:66" ht="27" customHeight="1" x14ac:dyDescent="0.45">
      <c r="A10" s="93"/>
      <c r="B10" s="93"/>
      <c r="C10" s="177">
        <f>ROW()-9</f>
        <v>1</v>
      </c>
      <c r="D10" s="167" t="s">
        <v>104</v>
      </c>
      <c r="G10" s="121"/>
      <c r="H10" s="167" t="s">
        <v>103</v>
      </c>
      <c r="L10" s="256" t="s">
        <v>98</v>
      </c>
      <c r="M10" s="257"/>
      <c r="N10" s="257"/>
      <c r="O10" s="258"/>
      <c r="P10" s="256" t="s">
        <v>141</v>
      </c>
      <c r="Q10" s="257"/>
      <c r="R10" s="257"/>
      <c r="S10" s="257"/>
      <c r="T10" s="257"/>
      <c r="U10" s="257"/>
      <c r="V10" s="257"/>
      <c r="W10" s="258"/>
      <c r="X10" s="256" t="s">
        <v>107</v>
      </c>
      <c r="Y10" s="257"/>
      <c r="Z10" s="257"/>
      <c r="AA10" s="257"/>
      <c r="AB10" s="257"/>
      <c r="AC10" s="257"/>
      <c r="AD10" s="257"/>
      <c r="AE10" s="258"/>
      <c r="AO10" s="289">
        <v>45681</v>
      </c>
      <c r="AP10" s="248"/>
      <c r="AQ10" s="246" t="s">
        <v>156</v>
      </c>
      <c r="AR10" s="242"/>
      <c r="AS10" s="246" t="s">
        <v>154</v>
      </c>
      <c r="AT10" s="249"/>
      <c r="AU10" s="247"/>
      <c r="AV10" s="248"/>
      <c r="AW10" s="246"/>
      <c r="AX10" s="242"/>
      <c r="AY10" s="246"/>
      <c r="AZ10" s="249"/>
      <c r="BA10" s="288"/>
      <c r="BB10" s="251"/>
      <c r="BC10" s="251"/>
      <c r="BD10" s="251"/>
      <c r="BE10" s="251"/>
      <c r="BF10" s="251"/>
      <c r="BG10" s="251"/>
      <c r="BH10" s="251"/>
      <c r="BI10" s="251"/>
      <c r="BJ10" s="251"/>
      <c r="BK10" s="251"/>
      <c r="BL10" s="252"/>
      <c r="BM10" s="96"/>
      <c r="BN10" s="96"/>
    </row>
    <row r="11" spans="1:66" s="167" customFormat="1" ht="27" customHeight="1" x14ac:dyDescent="0.45">
      <c r="A11" s="169"/>
      <c r="B11" s="169"/>
      <c r="C11" s="177">
        <f t="shared" ref="C11:C14" si="0">ROW()-9</f>
        <v>2</v>
      </c>
      <c r="G11" s="90"/>
      <c r="L11" s="256" t="s">
        <v>99</v>
      </c>
      <c r="M11" s="257"/>
      <c r="N11" s="257"/>
      <c r="O11" s="258"/>
      <c r="P11" s="256" t="s">
        <v>142</v>
      </c>
      <c r="Q11" s="257"/>
      <c r="R11" s="257"/>
      <c r="S11" s="257"/>
      <c r="T11" s="257"/>
      <c r="U11" s="257"/>
      <c r="V11" s="257"/>
      <c r="W11" s="258"/>
      <c r="X11" s="256" t="s">
        <v>107</v>
      </c>
      <c r="Y11" s="257"/>
      <c r="Z11" s="257"/>
      <c r="AA11" s="257"/>
      <c r="AB11" s="257"/>
      <c r="AC11" s="257"/>
      <c r="AD11" s="257"/>
      <c r="AE11" s="258"/>
      <c r="AF11" s="194"/>
      <c r="AG11" s="122"/>
      <c r="AH11" s="122"/>
      <c r="AI11" s="122"/>
      <c r="AJ11" s="122"/>
      <c r="AK11" s="122"/>
      <c r="AL11" s="122"/>
      <c r="AM11" s="122"/>
      <c r="AN11" s="123"/>
      <c r="AO11" s="289">
        <v>45681</v>
      </c>
      <c r="AP11" s="248"/>
      <c r="AQ11" s="246" t="s">
        <v>156</v>
      </c>
      <c r="AR11" s="242"/>
      <c r="AS11" s="246" t="s">
        <v>154</v>
      </c>
      <c r="AT11" s="249"/>
      <c r="AU11" s="188"/>
      <c r="AV11" s="189"/>
      <c r="AW11" s="175"/>
      <c r="AX11" s="176"/>
      <c r="AY11" s="175"/>
      <c r="AZ11" s="190"/>
      <c r="BA11" s="182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4"/>
      <c r="BM11" s="172"/>
      <c r="BN11" s="172"/>
    </row>
    <row r="12" spans="1:66" s="167" customFormat="1" ht="27" customHeight="1" x14ac:dyDescent="0.45">
      <c r="A12" s="169"/>
      <c r="B12" s="169"/>
      <c r="C12" s="177">
        <f t="shared" si="0"/>
        <v>3</v>
      </c>
      <c r="G12" s="90"/>
      <c r="L12" s="256" t="s">
        <v>100</v>
      </c>
      <c r="M12" s="257"/>
      <c r="N12" s="257"/>
      <c r="O12" s="258"/>
      <c r="P12" s="256" t="s">
        <v>143</v>
      </c>
      <c r="Q12" s="257"/>
      <c r="R12" s="257"/>
      <c r="S12" s="257"/>
      <c r="T12" s="257"/>
      <c r="U12" s="257"/>
      <c r="V12" s="257"/>
      <c r="W12" s="258"/>
      <c r="X12" s="256" t="s">
        <v>107</v>
      </c>
      <c r="Y12" s="257"/>
      <c r="Z12" s="257"/>
      <c r="AA12" s="257"/>
      <c r="AB12" s="257"/>
      <c r="AC12" s="257"/>
      <c r="AD12" s="257"/>
      <c r="AE12" s="258"/>
      <c r="AO12" s="289">
        <v>45681</v>
      </c>
      <c r="AP12" s="248"/>
      <c r="AQ12" s="246" t="s">
        <v>156</v>
      </c>
      <c r="AR12" s="242"/>
      <c r="AS12" s="246" t="s">
        <v>154</v>
      </c>
      <c r="AT12" s="249"/>
      <c r="AU12" s="188"/>
      <c r="AV12" s="189"/>
      <c r="AW12" s="175"/>
      <c r="AX12" s="176"/>
      <c r="AY12" s="175"/>
      <c r="AZ12" s="190"/>
      <c r="BA12" s="182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4"/>
      <c r="BM12" s="172"/>
      <c r="BN12" s="172"/>
    </row>
    <row r="13" spans="1:66" s="167" customFormat="1" ht="27" customHeight="1" x14ac:dyDescent="0.45">
      <c r="A13" s="169"/>
      <c r="B13" s="169"/>
      <c r="C13" s="177">
        <f t="shared" si="0"/>
        <v>4</v>
      </c>
      <c r="G13" s="90"/>
      <c r="L13" s="266" t="s">
        <v>101</v>
      </c>
      <c r="M13" s="257"/>
      <c r="N13" s="257"/>
      <c r="O13" s="258"/>
      <c r="P13" s="256" t="s">
        <v>143</v>
      </c>
      <c r="Q13" s="257"/>
      <c r="R13" s="257"/>
      <c r="S13" s="257"/>
      <c r="T13" s="257"/>
      <c r="U13" s="257"/>
      <c r="V13" s="257"/>
      <c r="W13" s="258"/>
      <c r="X13" s="256" t="s">
        <v>107</v>
      </c>
      <c r="Y13" s="257"/>
      <c r="Z13" s="257"/>
      <c r="AA13" s="257"/>
      <c r="AB13" s="257"/>
      <c r="AC13" s="257"/>
      <c r="AD13" s="257"/>
      <c r="AE13" s="258"/>
      <c r="AF13" s="122"/>
      <c r="AG13" s="122"/>
      <c r="AH13" s="122"/>
      <c r="AI13" s="122"/>
      <c r="AJ13" s="122"/>
      <c r="AK13" s="122"/>
      <c r="AL13" s="122"/>
      <c r="AM13" s="122"/>
      <c r="AN13" s="123"/>
      <c r="AO13" s="289">
        <v>45681</v>
      </c>
      <c r="AP13" s="248"/>
      <c r="AQ13" s="246" t="s">
        <v>156</v>
      </c>
      <c r="AR13" s="242"/>
      <c r="AS13" s="246" t="s">
        <v>154</v>
      </c>
      <c r="AT13" s="249"/>
      <c r="AU13" s="188"/>
      <c r="AV13" s="189"/>
      <c r="AW13" s="175"/>
      <c r="AX13" s="176"/>
      <c r="AY13" s="175"/>
      <c r="AZ13" s="190"/>
      <c r="BA13" s="182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4"/>
      <c r="BM13" s="172"/>
      <c r="BN13" s="172"/>
    </row>
    <row r="14" spans="1:66" s="167" customFormat="1" ht="27" customHeight="1" x14ac:dyDescent="0.45">
      <c r="A14" s="169"/>
      <c r="B14" s="169"/>
      <c r="C14" s="177">
        <f t="shared" si="0"/>
        <v>5</v>
      </c>
      <c r="D14" s="253"/>
      <c r="E14" s="254"/>
      <c r="F14" s="254"/>
      <c r="G14" s="255"/>
      <c r="H14" s="256" t="s">
        <v>133</v>
      </c>
      <c r="I14" s="257"/>
      <c r="J14" s="257"/>
      <c r="K14" s="258"/>
      <c r="L14" s="256" t="s">
        <v>105</v>
      </c>
      <c r="M14" s="257"/>
      <c r="N14" s="257"/>
      <c r="O14" s="258"/>
      <c r="P14" s="256" t="s">
        <v>106</v>
      </c>
      <c r="Q14" s="257"/>
      <c r="R14" s="257"/>
      <c r="S14" s="257"/>
      <c r="T14" s="257"/>
      <c r="U14" s="257"/>
      <c r="V14" s="257"/>
      <c r="W14" s="258"/>
      <c r="X14" s="256" t="s">
        <v>102</v>
      </c>
      <c r="Y14" s="257"/>
      <c r="Z14" s="257"/>
      <c r="AA14" s="257"/>
      <c r="AB14" s="257"/>
      <c r="AC14" s="257"/>
      <c r="AD14" s="257"/>
      <c r="AE14" s="258"/>
      <c r="AF14" s="256" t="s">
        <v>130</v>
      </c>
      <c r="AG14" s="257"/>
      <c r="AH14" s="257"/>
      <c r="AI14" s="257"/>
      <c r="AJ14" s="257"/>
      <c r="AK14" s="257"/>
      <c r="AL14" s="257"/>
      <c r="AM14" s="257"/>
      <c r="AN14" s="259"/>
      <c r="AO14" s="289">
        <v>45681</v>
      </c>
      <c r="AP14" s="248"/>
      <c r="AQ14" s="246" t="s">
        <v>156</v>
      </c>
      <c r="AR14" s="242"/>
      <c r="AS14" s="246" t="s">
        <v>154</v>
      </c>
      <c r="AT14" s="249"/>
      <c r="AU14" s="188"/>
      <c r="AV14" s="189"/>
      <c r="AW14" s="175"/>
      <c r="AX14" s="176"/>
      <c r="AY14" s="175"/>
      <c r="AZ14" s="190"/>
      <c r="BA14" s="182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4"/>
      <c r="BM14" s="172"/>
      <c r="BN14" s="172"/>
    </row>
    <row r="15" spans="1:66" ht="20.100000000000001" customHeight="1" x14ac:dyDescent="0.45">
      <c r="A15" s="93"/>
      <c r="B15" s="93"/>
      <c r="C15" s="101">
        <f t="shared" ref="C15:C44" si="1">ROW()-9</f>
        <v>6</v>
      </c>
      <c r="D15" s="106"/>
      <c r="E15" s="107"/>
      <c r="F15" s="107"/>
      <c r="G15" s="108"/>
      <c r="H15" s="89" t="s">
        <v>52</v>
      </c>
      <c r="K15" s="121"/>
      <c r="L15" s="167" t="s">
        <v>108</v>
      </c>
      <c r="N15" s="122"/>
      <c r="O15" s="123"/>
      <c r="P15" s="256" t="s">
        <v>106</v>
      </c>
      <c r="Q15" s="257"/>
      <c r="R15" s="257"/>
      <c r="S15" s="257"/>
      <c r="T15" s="257"/>
      <c r="U15" s="257"/>
      <c r="V15" s="257"/>
      <c r="W15" s="258"/>
      <c r="X15" s="256" t="s">
        <v>49</v>
      </c>
      <c r="Y15" s="257"/>
      <c r="Z15" s="257"/>
      <c r="AA15" s="257"/>
      <c r="AB15" s="257"/>
      <c r="AC15" s="257"/>
      <c r="AD15" s="257"/>
      <c r="AE15" s="258"/>
      <c r="AF15" s="109"/>
      <c r="AG15" s="110"/>
      <c r="AH15" s="110"/>
      <c r="AI15" s="110"/>
      <c r="AJ15" s="110"/>
      <c r="AK15" s="110"/>
      <c r="AL15" s="110"/>
      <c r="AM15" s="110"/>
      <c r="AN15" s="115"/>
      <c r="AO15" s="289">
        <v>45681</v>
      </c>
      <c r="AP15" s="248"/>
      <c r="AQ15" s="246" t="s">
        <v>156</v>
      </c>
      <c r="AR15" s="242"/>
      <c r="AS15" s="246" t="s">
        <v>154</v>
      </c>
      <c r="AT15" s="249"/>
      <c r="AU15" s="116"/>
      <c r="AV15" s="117"/>
      <c r="AW15" s="99"/>
      <c r="AX15" s="100"/>
      <c r="AY15" s="99"/>
      <c r="AZ15" s="111"/>
      <c r="BA15" s="112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4"/>
      <c r="BM15" s="96"/>
      <c r="BN15" s="96"/>
    </row>
    <row r="16" spans="1:66" ht="18.600000000000001" customHeight="1" x14ac:dyDescent="0.45">
      <c r="A16" s="93"/>
      <c r="B16" s="93"/>
      <c r="C16" s="101">
        <f t="shared" si="1"/>
        <v>7</v>
      </c>
      <c r="D16" s="106"/>
      <c r="E16" s="107"/>
      <c r="F16" s="107"/>
      <c r="G16" s="108"/>
      <c r="I16" s="107"/>
      <c r="J16" s="107"/>
      <c r="K16" s="108"/>
      <c r="L16" s="85" t="s">
        <v>109</v>
      </c>
      <c r="M16" s="84"/>
      <c r="N16" s="82"/>
      <c r="O16" s="83"/>
      <c r="P16" s="256" t="s">
        <v>106</v>
      </c>
      <c r="Q16" s="257"/>
      <c r="R16" s="257"/>
      <c r="S16" s="257"/>
      <c r="T16" s="257"/>
      <c r="U16" s="257"/>
      <c r="V16" s="257"/>
      <c r="W16" s="258"/>
      <c r="X16" s="256" t="s">
        <v>49</v>
      </c>
      <c r="Y16" s="257"/>
      <c r="Z16" s="257"/>
      <c r="AA16" s="257"/>
      <c r="AB16" s="257"/>
      <c r="AC16" s="257"/>
      <c r="AD16" s="257"/>
      <c r="AE16" s="258"/>
      <c r="AO16" s="289">
        <v>45681</v>
      </c>
      <c r="AP16" s="248"/>
      <c r="AQ16" s="246" t="s">
        <v>156</v>
      </c>
      <c r="AR16" s="242"/>
      <c r="AS16" s="246" t="s">
        <v>154</v>
      </c>
      <c r="AT16" s="249"/>
      <c r="AU16" s="116"/>
      <c r="AV16" s="117"/>
      <c r="AW16" s="99"/>
      <c r="AX16" s="100"/>
      <c r="AY16" s="99"/>
      <c r="AZ16" s="111"/>
      <c r="BA16" s="112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4"/>
      <c r="BM16" s="96"/>
      <c r="BN16" s="96"/>
    </row>
    <row r="17" spans="1:66" ht="20.100000000000001" customHeight="1" x14ac:dyDescent="0.45">
      <c r="A17" s="93"/>
      <c r="B17" s="93"/>
      <c r="C17" s="101">
        <f t="shared" si="1"/>
        <v>8</v>
      </c>
      <c r="D17" s="106"/>
      <c r="E17" s="107"/>
      <c r="F17" s="107"/>
      <c r="G17" s="108"/>
      <c r="H17" s="106"/>
      <c r="I17" s="107"/>
      <c r="J17" s="107"/>
      <c r="K17" s="108"/>
      <c r="L17" s="120" t="s">
        <v>110</v>
      </c>
      <c r="M17" s="118"/>
      <c r="N17" s="118"/>
      <c r="O17" s="119"/>
      <c r="P17" s="256" t="s">
        <v>106</v>
      </c>
      <c r="Q17" s="257"/>
      <c r="R17" s="257"/>
      <c r="S17" s="257"/>
      <c r="T17" s="257"/>
      <c r="U17" s="257"/>
      <c r="V17" s="257"/>
      <c r="W17" s="258"/>
      <c r="X17" s="256" t="s">
        <v>49</v>
      </c>
      <c r="Y17" s="257"/>
      <c r="Z17" s="257"/>
      <c r="AA17" s="257"/>
      <c r="AB17" s="257"/>
      <c r="AC17" s="257"/>
      <c r="AD17" s="257"/>
      <c r="AE17" s="258"/>
      <c r="AF17" s="109"/>
      <c r="AG17" s="110"/>
      <c r="AH17" s="110"/>
      <c r="AI17" s="110"/>
      <c r="AJ17" s="110"/>
      <c r="AK17" s="110"/>
      <c r="AL17" s="110"/>
      <c r="AM17" s="110"/>
      <c r="AN17" s="115"/>
      <c r="AO17" s="289">
        <v>45681</v>
      </c>
      <c r="AP17" s="248"/>
      <c r="AQ17" s="246" t="s">
        <v>156</v>
      </c>
      <c r="AR17" s="242"/>
      <c r="AS17" s="246" t="s">
        <v>154</v>
      </c>
      <c r="AT17" s="249"/>
      <c r="AU17" s="116"/>
      <c r="AV17" s="117"/>
      <c r="AW17" s="99"/>
      <c r="AX17" s="100"/>
      <c r="AY17" s="99"/>
      <c r="AZ17" s="111"/>
      <c r="BA17" s="112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4"/>
      <c r="BM17" s="96"/>
      <c r="BN17" s="96"/>
    </row>
    <row r="18" spans="1:66" ht="20.100000000000001" customHeight="1" x14ac:dyDescent="0.45">
      <c r="A18" s="93"/>
      <c r="B18" s="93"/>
      <c r="C18" s="101">
        <f t="shared" si="1"/>
        <v>9</v>
      </c>
      <c r="D18" s="253"/>
      <c r="E18" s="254"/>
      <c r="F18" s="254"/>
      <c r="G18" s="255"/>
      <c r="H18" s="253"/>
      <c r="I18" s="254"/>
      <c r="J18" s="254"/>
      <c r="K18" s="255"/>
      <c r="L18" s="86" t="s">
        <v>111</v>
      </c>
      <c r="M18" s="82"/>
      <c r="N18" s="82"/>
      <c r="O18" s="83"/>
      <c r="P18" s="256" t="s">
        <v>106</v>
      </c>
      <c r="Q18" s="257"/>
      <c r="R18" s="257"/>
      <c r="S18" s="257"/>
      <c r="T18" s="257"/>
      <c r="U18" s="257"/>
      <c r="V18" s="257"/>
      <c r="W18" s="258"/>
      <c r="X18" s="256" t="s">
        <v>49</v>
      </c>
      <c r="Y18" s="257"/>
      <c r="Z18" s="257"/>
      <c r="AA18" s="257"/>
      <c r="AB18" s="257"/>
      <c r="AC18" s="257"/>
      <c r="AD18" s="257"/>
      <c r="AE18" s="258"/>
      <c r="AF18" s="256"/>
      <c r="AG18" s="257"/>
      <c r="AH18" s="257"/>
      <c r="AI18" s="257"/>
      <c r="AJ18" s="257"/>
      <c r="AK18" s="257"/>
      <c r="AL18" s="257"/>
      <c r="AM18" s="257"/>
      <c r="AN18" s="259"/>
      <c r="AO18" s="289">
        <v>45681</v>
      </c>
      <c r="AP18" s="248"/>
      <c r="AQ18" s="246" t="s">
        <v>156</v>
      </c>
      <c r="AR18" s="242"/>
      <c r="AS18" s="246" t="s">
        <v>154</v>
      </c>
      <c r="AT18" s="249"/>
      <c r="AU18" s="247"/>
      <c r="AV18" s="248"/>
      <c r="AW18" s="246"/>
      <c r="AX18" s="242"/>
      <c r="AY18" s="246"/>
      <c r="AZ18" s="249"/>
      <c r="BA18" s="288"/>
      <c r="BB18" s="251"/>
      <c r="BC18" s="251"/>
      <c r="BD18" s="251"/>
      <c r="BE18" s="251"/>
      <c r="BF18" s="251"/>
      <c r="BG18" s="251"/>
      <c r="BH18" s="251"/>
      <c r="BI18" s="251"/>
      <c r="BJ18" s="251"/>
      <c r="BK18" s="251"/>
      <c r="BL18" s="252"/>
      <c r="BM18" s="96"/>
      <c r="BN18" s="96"/>
    </row>
    <row r="19" spans="1:66" ht="21" customHeight="1" x14ac:dyDescent="0.45">
      <c r="A19" s="93"/>
      <c r="B19" s="93"/>
      <c r="C19" s="101">
        <f t="shared" si="1"/>
        <v>10</v>
      </c>
      <c r="D19" s="106"/>
      <c r="E19" s="107"/>
      <c r="F19" s="107"/>
      <c r="G19" s="108"/>
      <c r="L19" s="120" t="s">
        <v>112</v>
      </c>
      <c r="M19" s="118"/>
      <c r="N19" s="118"/>
      <c r="O19" s="119"/>
      <c r="P19" s="256" t="s">
        <v>106</v>
      </c>
      <c r="Q19" s="257"/>
      <c r="R19" s="257"/>
      <c r="S19" s="257"/>
      <c r="T19" s="257"/>
      <c r="U19" s="257"/>
      <c r="V19" s="257"/>
      <c r="W19" s="258"/>
      <c r="X19" s="256" t="s">
        <v>49</v>
      </c>
      <c r="Y19" s="257"/>
      <c r="Z19" s="257"/>
      <c r="AA19" s="257"/>
      <c r="AB19" s="257"/>
      <c r="AC19" s="257"/>
      <c r="AD19" s="257"/>
      <c r="AE19" s="258"/>
      <c r="AF19" s="256"/>
      <c r="AG19" s="257"/>
      <c r="AH19" s="257"/>
      <c r="AI19" s="257"/>
      <c r="AJ19" s="257"/>
      <c r="AK19" s="257"/>
      <c r="AL19" s="257"/>
      <c r="AM19" s="257"/>
      <c r="AN19" s="259"/>
      <c r="AO19" s="289">
        <v>45681</v>
      </c>
      <c r="AP19" s="248"/>
      <c r="AQ19" s="246" t="s">
        <v>156</v>
      </c>
      <c r="AR19" s="242"/>
      <c r="AS19" s="246" t="s">
        <v>154</v>
      </c>
      <c r="AT19" s="249"/>
      <c r="AU19" s="247"/>
      <c r="AV19" s="248"/>
      <c r="AW19" s="246"/>
      <c r="AX19" s="242"/>
      <c r="AY19" s="246"/>
      <c r="AZ19" s="249"/>
      <c r="BA19" s="288"/>
      <c r="BB19" s="251"/>
      <c r="BC19" s="251"/>
      <c r="BD19" s="251"/>
      <c r="BE19" s="251"/>
      <c r="BF19" s="251"/>
      <c r="BG19" s="251"/>
      <c r="BH19" s="251"/>
      <c r="BI19" s="251"/>
      <c r="BJ19" s="251"/>
      <c r="BK19" s="251"/>
      <c r="BL19" s="252"/>
      <c r="BM19" s="96"/>
      <c r="BN19" s="96"/>
    </row>
    <row r="20" spans="1:66" ht="20.100000000000001" customHeight="1" x14ac:dyDescent="0.45">
      <c r="A20" s="93"/>
      <c r="B20" s="93"/>
      <c r="C20" s="101">
        <f t="shared" si="1"/>
        <v>11</v>
      </c>
      <c r="D20" s="106"/>
      <c r="E20" s="107"/>
      <c r="F20" s="107"/>
      <c r="G20" s="108"/>
      <c r="K20" s="90"/>
      <c r="L20" s="167" t="s">
        <v>113</v>
      </c>
      <c r="P20" s="256" t="s">
        <v>106</v>
      </c>
      <c r="Q20" s="257"/>
      <c r="R20" s="257"/>
      <c r="S20" s="257"/>
      <c r="T20" s="257"/>
      <c r="U20" s="257"/>
      <c r="V20" s="257"/>
      <c r="W20" s="258"/>
      <c r="X20" s="256" t="s">
        <v>49</v>
      </c>
      <c r="Y20" s="257"/>
      <c r="Z20" s="257"/>
      <c r="AA20" s="257"/>
      <c r="AB20" s="257"/>
      <c r="AC20" s="257"/>
      <c r="AD20" s="257"/>
      <c r="AE20" s="258"/>
      <c r="AF20" s="109"/>
      <c r="AG20" s="110"/>
      <c r="AH20" s="110"/>
      <c r="AI20" s="110"/>
      <c r="AJ20" s="110"/>
      <c r="AK20" s="110"/>
      <c r="AL20" s="110"/>
      <c r="AM20" s="110"/>
      <c r="AN20" s="115"/>
      <c r="AO20" s="289">
        <v>45681</v>
      </c>
      <c r="AP20" s="248"/>
      <c r="AQ20" s="246" t="s">
        <v>156</v>
      </c>
      <c r="AR20" s="242"/>
      <c r="AS20" s="246" t="s">
        <v>154</v>
      </c>
      <c r="AT20" s="249"/>
      <c r="AU20" s="116"/>
      <c r="AV20" s="117"/>
      <c r="AW20" s="99"/>
      <c r="AX20" s="100"/>
      <c r="AY20" s="99"/>
      <c r="AZ20" s="111"/>
      <c r="BA20" s="112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4"/>
      <c r="BM20" s="96"/>
      <c r="BN20" s="96"/>
    </row>
    <row r="21" spans="1:66" ht="20.100000000000001" customHeight="1" x14ac:dyDescent="0.45">
      <c r="A21" s="93"/>
      <c r="B21" s="93"/>
      <c r="C21" s="101">
        <f t="shared" si="1"/>
        <v>12</v>
      </c>
      <c r="D21" s="106"/>
      <c r="E21" s="107"/>
      <c r="F21" s="107"/>
      <c r="G21" s="108"/>
      <c r="I21" s="107"/>
      <c r="J21" s="107"/>
      <c r="K21" s="108"/>
      <c r="L21" s="120" t="s">
        <v>114</v>
      </c>
      <c r="M21" s="87"/>
      <c r="N21" s="87"/>
      <c r="O21" s="88"/>
      <c r="P21" s="256" t="s">
        <v>106</v>
      </c>
      <c r="Q21" s="257"/>
      <c r="R21" s="257"/>
      <c r="S21" s="257"/>
      <c r="T21" s="257"/>
      <c r="U21" s="257"/>
      <c r="V21" s="257"/>
      <c r="W21" s="258"/>
      <c r="X21" s="256" t="s">
        <v>46</v>
      </c>
      <c r="Y21" s="257"/>
      <c r="Z21" s="257"/>
      <c r="AA21" s="257"/>
      <c r="AB21" s="257"/>
      <c r="AC21" s="257"/>
      <c r="AD21" s="257"/>
      <c r="AE21" s="258"/>
      <c r="AF21" s="109"/>
      <c r="AG21" s="110"/>
      <c r="AH21" s="110"/>
      <c r="AI21" s="110"/>
      <c r="AJ21" s="110"/>
      <c r="AK21" s="110"/>
      <c r="AL21" s="110"/>
      <c r="AM21" s="110"/>
      <c r="AN21" s="115"/>
      <c r="AO21" s="289">
        <v>45681</v>
      </c>
      <c r="AP21" s="248"/>
      <c r="AQ21" s="246" t="s">
        <v>156</v>
      </c>
      <c r="AR21" s="242"/>
      <c r="AS21" s="246" t="s">
        <v>154</v>
      </c>
      <c r="AT21" s="249"/>
      <c r="AU21" s="116"/>
      <c r="AV21" s="117"/>
      <c r="AW21" s="99"/>
      <c r="AX21" s="100"/>
      <c r="AY21" s="99"/>
      <c r="AZ21" s="111"/>
      <c r="BA21" s="112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4"/>
      <c r="BM21" s="96"/>
      <c r="BN21" s="96"/>
    </row>
    <row r="22" spans="1:66" ht="20.100000000000001" customHeight="1" x14ac:dyDescent="0.45">
      <c r="A22" s="93"/>
      <c r="B22" s="93"/>
      <c r="C22" s="101">
        <f t="shared" si="1"/>
        <v>13</v>
      </c>
      <c r="D22" s="106"/>
      <c r="E22" s="107"/>
      <c r="F22" s="107"/>
      <c r="G22" s="108"/>
      <c r="H22" s="106"/>
      <c r="I22" s="107"/>
      <c r="J22" s="107"/>
      <c r="K22" s="108"/>
      <c r="L22" s="120" t="s">
        <v>115</v>
      </c>
      <c r="M22" s="87"/>
      <c r="N22" s="87"/>
      <c r="O22" s="88"/>
      <c r="P22" s="256" t="s">
        <v>106</v>
      </c>
      <c r="Q22" s="257"/>
      <c r="R22" s="257"/>
      <c r="S22" s="257"/>
      <c r="T22" s="257"/>
      <c r="U22" s="257"/>
      <c r="V22" s="257"/>
      <c r="W22" s="258"/>
      <c r="X22" s="256" t="s">
        <v>46</v>
      </c>
      <c r="Y22" s="257"/>
      <c r="Z22" s="257"/>
      <c r="AA22" s="257"/>
      <c r="AB22" s="257"/>
      <c r="AC22" s="257"/>
      <c r="AD22" s="257"/>
      <c r="AE22" s="258"/>
      <c r="AF22" s="109"/>
      <c r="AG22" s="110"/>
      <c r="AH22" s="110"/>
      <c r="AI22" s="110"/>
      <c r="AJ22" s="110"/>
      <c r="AK22" s="110"/>
      <c r="AL22" s="110"/>
      <c r="AM22" s="110"/>
      <c r="AN22" s="115"/>
      <c r="AO22" s="289">
        <v>45681</v>
      </c>
      <c r="AP22" s="248"/>
      <c r="AQ22" s="246" t="s">
        <v>156</v>
      </c>
      <c r="AR22" s="242"/>
      <c r="AS22" s="246" t="s">
        <v>154</v>
      </c>
      <c r="AT22" s="249"/>
      <c r="AU22" s="116"/>
      <c r="AV22" s="117"/>
      <c r="AW22" s="99"/>
      <c r="AX22" s="100"/>
      <c r="AY22" s="99"/>
      <c r="AZ22" s="111"/>
      <c r="BA22" s="112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4"/>
      <c r="BM22" s="96"/>
      <c r="BN22" s="96"/>
    </row>
    <row r="23" spans="1:66" ht="20.100000000000001" customHeight="1" x14ac:dyDescent="0.45">
      <c r="A23" s="93"/>
      <c r="B23" s="93"/>
      <c r="C23" s="101">
        <f t="shared" si="1"/>
        <v>14</v>
      </c>
      <c r="D23" s="106"/>
      <c r="E23" s="107"/>
      <c r="F23" s="107"/>
      <c r="G23" s="108"/>
      <c r="H23" s="106"/>
      <c r="I23" s="107"/>
      <c r="J23" s="107"/>
      <c r="K23" s="108"/>
      <c r="L23" s="120" t="s">
        <v>63</v>
      </c>
      <c r="M23" s="87"/>
      <c r="N23" s="87"/>
      <c r="O23" s="88"/>
      <c r="P23" s="256" t="s">
        <v>106</v>
      </c>
      <c r="Q23" s="257"/>
      <c r="R23" s="257"/>
      <c r="S23" s="257"/>
      <c r="T23" s="257"/>
      <c r="U23" s="257"/>
      <c r="V23" s="257"/>
      <c r="W23" s="258"/>
      <c r="X23" s="256" t="s">
        <v>46</v>
      </c>
      <c r="Y23" s="257"/>
      <c r="Z23" s="257"/>
      <c r="AA23" s="257"/>
      <c r="AB23" s="257"/>
      <c r="AC23" s="257"/>
      <c r="AD23" s="257"/>
      <c r="AE23" s="258"/>
      <c r="AF23" s="109"/>
      <c r="AG23" s="110"/>
      <c r="AH23" s="110"/>
      <c r="AI23" s="110"/>
      <c r="AJ23" s="110"/>
      <c r="AK23" s="110"/>
      <c r="AL23" s="110"/>
      <c r="AM23" s="110"/>
      <c r="AN23" s="115"/>
      <c r="AO23" s="289">
        <v>45681</v>
      </c>
      <c r="AP23" s="248"/>
      <c r="AQ23" s="246" t="s">
        <v>156</v>
      </c>
      <c r="AR23" s="242"/>
      <c r="AS23" s="246" t="s">
        <v>154</v>
      </c>
      <c r="AT23" s="249"/>
      <c r="AU23" s="116"/>
      <c r="AV23" s="117"/>
      <c r="AW23" s="99"/>
      <c r="AX23" s="100"/>
      <c r="AY23" s="99"/>
      <c r="AZ23" s="111"/>
      <c r="BA23" s="112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4"/>
      <c r="BM23" s="96"/>
      <c r="BN23" s="96"/>
    </row>
    <row r="24" spans="1:66" ht="20.100000000000001" customHeight="1" x14ac:dyDescent="0.45">
      <c r="A24" s="93"/>
      <c r="B24" s="93"/>
      <c r="C24" s="101">
        <f t="shared" si="1"/>
        <v>15</v>
      </c>
      <c r="D24" s="106"/>
      <c r="E24" s="107"/>
      <c r="F24" s="107"/>
      <c r="G24" s="108"/>
      <c r="H24" s="106"/>
      <c r="I24" s="107"/>
      <c r="J24" s="107"/>
      <c r="K24" s="108"/>
      <c r="L24" s="120" t="s">
        <v>64</v>
      </c>
      <c r="M24" s="87"/>
      <c r="N24" s="87"/>
      <c r="O24" s="88"/>
      <c r="P24" s="256" t="s">
        <v>106</v>
      </c>
      <c r="Q24" s="257"/>
      <c r="R24" s="257"/>
      <c r="S24" s="257"/>
      <c r="T24" s="257"/>
      <c r="U24" s="257"/>
      <c r="V24" s="257"/>
      <c r="W24" s="258"/>
      <c r="X24" s="256" t="s">
        <v>46</v>
      </c>
      <c r="Y24" s="257"/>
      <c r="Z24" s="257"/>
      <c r="AA24" s="257"/>
      <c r="AB24" s="257"/>
      <c r="AC24" s="257"/>
      <c r="AD24" s="257"/>
      <c r="AE24" s="258"/>
      <c r="AF24" s="109"/>
      <c r="AG24" s="110"/>
      <c r="AH24" s="110"/>
      <c r="AI24" s="110"/>
      <c r="AJ24" s="110"/>
      <c r="AK24" s="110"/>
      <c r="AL24" s="110"/>
      <c r="AM24" s="110"/>
      <c r="AN24" s="115"/>
      <c r="AO24" s="289">
        <v>45681</v>
      </c>
      <c r="AP24" s="248"/>
      <c r="AQ24" s="246" t="s">
        <v>156</v>
      </c>
      <c r="AR24" s="242"/>
      <c r="AS24" s="246" t="s">
        <v>154</v>
      </c>
      <c r="AT24" s="249"/>
      <c r="AU24" s="116"/>
      <c r="AV24" s="117"/>
      <c r="AW24" s="99"/>
      <c r="AX24" s="100"/>
      <c r="AY24" s="99"/>
      <c r="AZ24" s="111"/>
      <c r="BA24" s="112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4"/>
      <c r="BM24" s="96"/>
      <c r="BN24" s="96"/>
    </row>
    <row r="25" spans="1:66" ht="20.100000000000001" customHeight="1" x14ac:dyDescent="0.45">
      <c r="A25" s="93"/>
      <c r="B25" s="93"/>
      <c r="C25" s="101">
        <f t="shared" si="1"/>
        <v>16</v>
      </c>
      <c r="D25" s="106"/>
      <c r="E25" s="107"/>
      <c r="F25" s="107"/>
      <c r="G25" s="108"/>
      <c r="H25" s="106"/>
      <c r="I25" s="107"/>
      <c r="J25" s="107"/>
      <c r="K25" s="108"/>
      <c r="L25" s="120" t="s">
        <v>116</v>
      </c>
      <c r="M25" s="87"/>
      <c r="N25" s="87"/>
      <c r="O25" s="88"/>
      <c r="P25" s="256" t="s">
        <v>106</v>
      </c>
      <c r="Q25" s="257"/>
      <c r="R25" s="257"/>
      <c r="S25" s="257"/>
      <c r="T25" s="257"/>
      <c r="U25" s="257"/>
      <c r="V25" s="257"/>
      <c r="W25" s="258"/>
      <c r="X25" s="256" t="s">
        <v>46</v>
      </c>
      <c r="Y25" s="257"/>
      <c r="Z25" s="257"/>
      <c r="AA25" s="257"/>
      <c r="AB25" s="257"/>
      <c r="AC25" s="257"/>
      <c r="AD25" s="257"/>
      <c r="AE25" s="258"/>
      <c r="AF25" s="109"/>
      <c r="AG25" s="110"/>
      <c r="AH25" s="110"/>
      <c r="AI25" s="110"/>
      <c r="AJ25" s="110"/>
      <c r="AK25" s="110"/>
      <c r="AL25" s="110"/>
      <c r="AM25" s="110"/>
      <c r="AN25" s="115"/>
      <c r="AO25" s="289">
        <v>45681</v>
      </c>
      <c r="AP25" s="248"/>
      <c r="AQ25" s="246" t="s">
        <v>156</v>
      </c>
      <c r="AR25" s="242"/>
      <c r="AS25" s="246" t="s">
        <v>154</v>
      </c>
      <c r="AT25" s="249"/>
      <c r="AU25" s="116"/>
      <c r="AV25" s="117"/>
      <c r="AW25" s="99"/>
      <c r="AX25" s="100"/>
      <c r="AY25" s="99"/>
      <c r="AZ25" s="111"/>
      <c r="BA25" s="112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4"/>
      <c r="BM25" s="96"/>
      <c r="BN25" s="96"/>
    </row>
    <row r="26" spans="1:66" ht="20.100000000000001" customHeight="1" x14ac:dyDescent="0.45">
      <c r="A26" s="93"/>
      <c r="B26" s="93"/>
      <c r="C26" s="101">
        <f t="shared" si="1"/>
        <v>17</v>
      </c>
      <c r="D26" s="106"/>
      <c r="E26" s="107"/>
      <c r="F26" s="107"/>
      <c r="G26" s="108"/>
      <c r="H26" s="106"/>
      <c r="I26" s="107"/>
      <c r="J26" s="107"/>
      <c r="K26" s="108"/>
      <c r="L26" s="120" t="s">
        <v>117</v>
      </c>
      <c r="M26" s="87"/>
      <c r="N26" s="87"/>
      <c r="O26" s="88"/>
      <c r="P26" s="256" t="s">
        <v>106</v>
      </c>
      <c r="Q26" s="257"/>
      <c r="R26" s="257"/>
      <c r="S26" s="257"/>
      <c r="T26" s="257"/>
      <c r="U26" s="257"/>
      <c r="V26" s="257"/>
      <c r="W26" s="258"/>
      <c r="X26" s="256" t="s">
        <v>46</v>
      </c>
      <c r="Y26" s="257"/>
      <c r="Z26" s="257"/>
      <c r="AA26" s="257"/>
      <c r="AB26" s="257"/>
      <c r="AC26" s="257"/>
      <c r="AD26" s="257"/>
      <c r="AE26" s="258"/>
      <c r="AF26" s="109"/>
      <c r="AG26" s="110"/>
      <c r="AH26" s="110"/>
      <c r="AI26" s="110"/>
      <c r="AJ26" s="110"/>
      <c r="AK26" s="110"/>
      <c r="AL26" s="110"/>
      <c r="AM26" s="110"/>
      <c r="AN26" s="115"/>
      <c r="AO26" s="289">
        <v>45681</v>
      </c>
      <c r="AP26" s="248"/>
      <c r="AQ26" s="246" t="s">
        <v>156</v>
      </c>
      <c r="AR26" s="242"/>
      <c r="AS26" s="246" t="s">
        <v>154</v>
      </c>
      <c r="AT26" s="249"/>
      <c r="AU26" s="116"/>
      <c r="AV26" s="117"/>
      <c r="AW26" s="99"/>
      <c r="AX26" s="100"/>
      <c r="AY26" s="99"/>
      <c r="AZ26" s="111"/>
      <c r="BA26" s="112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4"/>
      <c r="BM26" s="96"/>
      <c r="BN26" s="96"/>
    </row>
    <row r="27" spans="1:66" ht="20.100000000000001" customHeight="1" x14ac:dyDescent="0.45">
      <c r="A27" s="93"/>
      <c r="B27" s="93"/>
      <c r="C27" s="101">
        <f t="shared" si="1"/>
        <v>18</v>
      </c>
      <c r="D27" s="106"/>
      <c r="E27" s="107"/>
      <c r="F27" s="107"/>
      <c r="G27" s="108"/>
      <c r="H27" s="106"/>
      <c r="I27" s="107"/>
      <c r="J27" s="107"/>
      <c r="K27" s="108"/>
      <c r="L27" s="120" t="s">
        <v>118</v>
      </c>
      <c r="M27" s="87"/>
      <c r="N27" s="87"/>
      <c r="O27" s="88"/>
      <c r="P27" s="256" t="s">
        <v>106</v>
      </c>
      <c r="Q27" s="257"/>
      <c r="R27" s="257"/>
      <c r="S27" s="257"/>
      <c r="T27" s="257"/>
      <c r="U27" s="257"/>
      <c r="V27" s="257"/>
      <c r="W27" s="258"/>
      <c r="X27" s="256" t="s">
        <v>46</v>
      </c>
      <c r="Y27" s="257"/>
      <c r="Z27" s="257"/>
      <c r="AA27" s="257"/>
      <c r="AB27" s="257"/>
      <c r="AC27" s="257"/>
      <c r="AD27" s="257"/>
      <c r="AE27" s="258"/>
      <c r="AF27" s="109"/>
      <c r="AG27" s="110"/>
      <c r="AH27" s="110"/>
      <c r="AI27" s="110"/>
      <c r="AJ27" s="110"/>
      <c r="AK27" s="110"/>
      <c r="AL27" s="110"/>
      <c r="AM27" s="110"/>
      <c r="AN27" s="115"/>
      <c r="AO27" s="289">
        <v>45681</v>
      </c>
      <c r="AP27" s="248"/>
      <c r="AQ27" s="246" t="s">
        <v>156</v>
      </c>
      <c r="AR27" s="242"/>
      <c r="AS27" s="246" t="s">
        <v>154</v>
      </c>
      <c r="AT27" s="249"/>
      <c r="AU27" s="116"/>
      <c r="AV27" s="117"/>
      <c r="AW27" s="99"/>
      <c r="AX27" s="100"/>
      <c r="AY27" s="99"/>
      <c r="AZ27" s="111"/>
      <c r="BA27" s="112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4"/>
      <c r="BM27" s="96"/>
      <c r="BN27" s="96"/>
    </row>
    <row r="28" spans="1:66" ht="20.100000000000001" customHeight="1" x14ac:dyDescent="0.45">
      <c r="A28" s="93"/>
      <c r="B28" s="93"/>
      <c r="C28" s="101">
        <f t="shared" si="1"/>
        <v>19</v>
      </c>
      <c r="D28" s="106"/>
      <c r="E28" s="107"/>
      <c r="F28" s="107"/>
      <c r="G28" s="108"/>
      <c r="H28" s="106"/>
      <c r="I28" s="107"/>
      <c r="J28" s="107"/>
      <c r="K28" s="108"/>
      <c r="L28" s="120" t="s">
        <v>119</v>
      </c>
      <c r="M28" s="87"/>
      <c r="N28" s="87"/>
      <c r="O28" s="88"/>
      <c r="P28" s="256" t="s">
        <v>106</v>
      </c>
      <c r="Q28" s="257"/>
      <c r="R28" s="257"/>
      <c r="S28" s="257"/>
      <c r="T28" s="257"/>
      <c r="U28" s="257"/>
      <c r="V28" s="257"/>
      <c r="W28" s="258"/>
      <c r="X28" s="256" t="s">
        <v>46</v>
      </c>
      <c r="Y28" s="257"/>
      <c r="Z28" s="257"/>
      <c r="AA28" s="257"/>
      <c r="AB28" s="257"/>
      <c r="AC28" s="257"/>
      <c r="AD28" s="257"/>
      <c r="AE28" s="258"/>
      <c r="AF28" s="109"/>
      <c r="AG28" s="110"/>
      <c r="AH28" s="110"/>
      <c r="AI28" s="110"/>
      <c r="AJ28" s="110"/>
      <c r="AK28" s="110"/>
      <c r="AL28" s="110"/>
      <c r="AM28" s="110"/>
      <c r="AN28" s="115"/>
      <c r="AO28" s="289">
        <v>45681</v>
      </c>
      <c r="AP28" s="248"/>
      <c r="AQ28" s="246" t="s">
        <v>156</v>
      </c>
      <c r="AR28" s="242"/>
      <c r="AS28" s="246" t="s">
        <v>154</v>
      </c>
      <c r="AT28" s="249"/>
      <c r="AU28" s="116"/>
      <c r="AV28" s="117"/>
      <c r="AW28" s="99"/>
      <c r="AX28" s="100"/>
      <c r="AY28" s="99"/>
      <c r="AZ28" s="111"/>
      <c r="BA28" s="112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4"/>
      <c r="BM28" s="96"/>
      <c r="BN28" s="96"/>
    </row>
    <row r="29" spans="1:66" ht="20.100000000000001" customHeight="1" x14ac:dyDescent="0.45">
      <c r="A29" s="93"/>
      <c r="B29" s="93"/>
      <c r="C29" s="101">
        <f t="shared" si="1"/>
        <v>20</v>
      </c>
      <c r="D29" s="106"/>
      <c r="E29" s="107"/>
      <c r="F29" s="107"/>
      <c r="G29" s="108"/>
      <c r="H29" s="106"/>
      <c r="I29" s="107"/>
      <c r="J29" s="107"/>
      <c r="K29" s="108"/>
      <c r="L29" s="120" t="s">
        <v>53</v>
      </c>
      <c r="M29" s="87"/>
      <c r="N29" s="87"/>
      <c r="O29" s="88"/>
      <c r="P29" s="256" t="s">
        <v>106</v>
      </c>
      <c r="Q29" s="257"/>
      <c r="R29" s="257"/>
      <c r="S29" s="257"/>
      <c r="T29" s="257"/>
      <c r="U29" s="257"/>
      <c r="V29" s="257"/>
      <c r="W29" s="258"/>
      <c r="X29" s="256" t="s">
        <v>46</v>
      </c>
      <c r="Y29" s="257"/>
      <c r="Z29" s="257"/>
      <c r="AA29" s="257"/>
      <c r="AB29" s="257"/>
      <c r="AC29" s="257"/>
      <c r="AD29" s="257"/>
      <c r="AE29" s="258"/>
      <c r="AF29" s="109"/>
      <c r="AG29" s="110"/>
      <c r="AH29" s="110"/>
      <c r="AI29" s="110"/>
      <c r="AJ29" s="110"/>
      <c r="AK29" s="110"/>
      <c r="AL29" s="110"/>
      <c r="AM29" s="110"/>
      <c r="AN29" s="115"/>
      <c r="AO29" s="289">
        <v>45681</v>
      </c>
      <c r="AP29" s="248"/>
      <c r="AQ29" s="246" t="s">
        <v>156</v>
      </c>
      <c r="AR29" s="242"/>
      <c r="AS29" s="246" t="s">
        <v>154</v>
      </c>
      <c r="AT29" s="249"/>
      <c r="AU29" s="116"/>
      <c r="AV29" s="117"/>
      <c r="AW29" s="99"/>
      <c r="AX29" s="100"/>
      <c r="AY29" s="99"/>
      <c r="AZ29" s="111"/>
      <c r="BA29" s="112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4"/>
      <c r="BM29" s="96"/>
      <c r="BN29" s="96"/>
    </row>
    <row r="30" spans="1:66" ht="20.100000000000001" customHeight="1" x14ac:dyDescent="0.45">
      <c r="A30" s="93"/>
      <c r="B30" s="93"/>
      <c r="C30" s="101">
        <f t="shared" si="1"/>
        <v>21</v>
      </c>
      <c r="D30" s="106"/>
      <c r="E30" s="107"/>
      <c r="F30" s="107"/>
      <c r="G30" s="108"/>
      <c r="H30" s="106"/>
      <c r="I30" s="107"/>
      <c r="J30" s="107"/>
      <c r="K30" s="108"/>
      <c r="L30" s="120" t="s">
        <v>54</v>
      </c>
      <c r="M30" s="87"/>
      <c r="N30" s="87"/>
      <c r="O30" s="88"/>
      <c r="P30" s="256" t="s">
        <v>106</v>
      </c>
      <c r="Q30" s="257"/>
      <c r="R30" s="257"/>
      <c r="S30" s="257"/>
      <c r="T30" s="257"/>
      <c r="U30" s="257"/>
      <c r="V30" s="257"/>
      <c r="W30" s="258"/>
      <c r="X30" s="256" t="s">
        <v>46</v>
      </c>
      <c r="Y30" s="257"/>
      <c r="Z30" s="257"/>
      <c r="AA30" s="257"/>
      <c r="AB30" s="257"/>
      <c r="AC30" s="257"/>
      <c r="AD30" s="257"/>
      <c r="AE30" s="258"/>
      <c r="AF30" s="109"/>
      <c r="AG30" s="110"/>
      <c r="AH30" s="110"/>
      <c r="AI30" s="110"/>
      <c r="AJ30" s="110"/>
      <c r="AK30" s="110"/>
      <c r="AL30" s="110"/>
      <c r="AM30" s="110"/>
      <c r="AN30" s="115"/>
      <c r="AO30" s="289">
        <v>45681</v>
      </c>
      <c r="AP30" s="248"/>
      <c r="AQ30" s="246" t="s">
        <v>156</v>
      </c>
      <c r="AR30" s="242"/>
      <c r="AS30" s="246" t="s">
        <v>154</v>
      </c>
      <c r="AT30" s="249"/>
      <c r="AU30" s="116"/>
      <c r="AV30" s="117"/>
      <c r="AW30" s="99"/>
      <c r="AX30" s="100"/>
      <c r="AY30" s="99"/>
      <c r="AZ30" s="111"/>
      <c r="BA30" s="112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4"/>
      <c r="BM30" s="96"/>
      <c r="BN30" s="96"/>
    </row>
    <row r="31" spans="1:66" ht="20.100000000000001" customHeight="1" x14ac:dyDescent="0.45">
      <c r="A31" s="93"/>
      <c r="B31" s="93"/>
      <c r="C31" s="101">
        <f t="shared" si="1"/>
        <v>22</v>
      </c>
      <c r="D31" s="106"/>
      <c r="E31" s="107"/>
      <c r="F31" s="107"/>
      <c r="G31" s="108"/>
      <c r="H31" s="106"/>
      <c r="I31" s="107"/>
      <c r="J31" s="107"/>
      <c r="K31" s="108"/>
      <c r="L31" s="120" t="s">
        <v>55</v>
      </c>
      <c r="M31" s="87"/>
      <c r="N31" s="87"/>
      <c r="O31" s="88"/>
      <c r="P31" s="256" t="s">
        <v>106</v>
      </c>
      <c r="Q31" s="257"/>
      <c r="R31" s="257"/>
      <c r="S31" s="257"/>
      <c r="T31" s="257"/>
      <c r="U31" s="257"/>
      <c r="V31" s="257"/>
      <c r="W31" s="258"/>
      <c r="X31" s="256" t="s">
        <v>46</v>
      </c>
      <c r="Y31" s="257"/>
      <c r="Z31" s="257"/>
      <c r="AA31" s="257"/>
      <c r="AB31" s="257"/>
      <c r="AC31" s="257"/>
      <c r="AD31" s="257"/>
      <c r="AE31" s="258"/>
      <c r="AF31" s="109"/>
      <c r="AG31" s="110"/>
      <c r="AH31" s="110"/>
      <c r="AI31" s="110"/>
      <c r="AJ31" s="110"/>
      <c r="AK31" s="110"/>
      <c r="AL31" s="110"/>
      <c r="AM31" s="110"/>
      <c r="AN31" s="115"/>
      <c r="AO31" s="289">
        <v>45681</v>
      </c>
      <c r="AP31" s="248"/>
      <c r="AQ31" s="246" t="s">
        <v>156</v>
      </c>
      <c r="AR31" s="242"/>
      <c r="AS31" s="246" t="s">
        <v>154</v>
      </c>
      <c r="AT31" s="249"/>
      <c r="AU31" s="116"/>
      <c r="AV31" s="117"/>
      <c r="AW31" s="99"/>
      <c r="AX31" s="100"/>
      <c r="AY31" s="99"/>
      <c r="AZ31" s="111"/>
      <c r="BA31" s="112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4"/>
      <c r="BM31" s="96"/>
      <c r="BN31" s="96"/>
    </row>
    <row r="32" spans="1:66" ht="20.100000000000001" customHeight="1" x14ac:dyDescent="0.45">
      <c r="A32" s="93"/>
      <c r="B32" s="93"/>
      <c r="C32" s="101">
        <f t="shared" si="1"/>
        <v>23</v>
      </c>
      <c r="D32" s="106"/>
      <c r="E32" s="107"/>
      <c r="F32" s="107"/>
      <c r="G32" s="108"/>
      <c r="H32" s="106"/>
      <c r="I32" s="107"/>
      <c r="J32" s="107"/>
      <c r="K32" s="108"/>
      <c r="L32" s="120" t="s">
        <v>120</v>
      </c>
      <c r="M32" s="87"/>
      <c r="N32" s="87"/>
      <c r="O32" s="88"/>
      <c r="P32" s="256" t="s">
        <v>106</v>
      </c>
      <c r="Q32" s="257"/>
      <c r="R32" s="257"/>
      <c r="S32" s="257"/>
      <c r="T32" s="257"/>
      <c r="U32" s="257"/>
      <c r="V32" s="257"/>
      <c r="W32" s="258"/>
      <c r="X32" s="256" t="s">
        <v>46</v>
      </c>
      <c r="Y32" s="257"/>
      <c r="Z32" s="257"/>
      <c r="AA32" s="257"/>
      <c r="AB32" s="257"/>
      <c r="AC32" s="257"/>
      <c r="AD32" s="257"/>
      <c r="AE32" s="258"/>
      <c r="AF32" s="109"/>
      <c r="AG32" s="110"/>
      <c r="AH32" s="110"/>
      <c r="AI32" s="110"/>
      <c r="AJ32" s="110"/>
      <c r="AK32" s="110"/>
      <c r="AL32" s="110"/>
      <c r="AM32" s="110"/>
      <c r="AN32" s="115"/>
      <c r="AO32" s="289">
        <v>45681</v>
      </c>
      <c r="AP32" s="248"/>
      <c r="AQ32" s="246" t="s">
        <v>156</v>
      </c>
      <c r="AR32" s="242"/>
      <c r="AS32" s="246" t="s">
        <v>154</v>
      </c>
      <c r="AT32" s="249"/>
      <c r="AU32" s="116"/>
      <c r="AV32" s="117"/>
      <c r="AW32" s="99"/>
      <c r="AX32" s="100"/>
      <c r="AY32" s="99"/>
      <c r="AZ32" s="111"/>
      <c r="BA32" s="112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4"/>
      <c r="BM32" s="96"/>
      <c r="BN32" s="96"/>
    </row>
    <row r="33" spans="1:66" ht="20.100000000000001" customHeight="1" x14ac:dyDescent="0.45">
      <c r="A33" s="93"/>
      <c r="B33" s="93"/>
      <c r="C33" s="177">
        <f t="shared" si="1"/>
        <v>24</v>
      </c>
      <c r="D33" s="106"/>
      <c r="E33" s="107"/>
      <c r="F33" s="107"/>
      <c r="G33" s="108"/>
      <c r="H33" s="106"/>
      <c r="I33" s="107"/>
      <c r="J33" s="107"/>
      <c r="K33" s="108"/>
      <c r="L33" s="120" t="s">
        <v>62</v>
      </c>
      <c r="M33" s="87"/>
      <c r="N33" s="87"/>
      <c r="O33" s="88"/>
      <c r="P33" s="256" t="s">
        <v>106</v>
      </c>
      <c r="Q33" s="257"/>
      <c r="R33" s="257"/>
      <c r="S33" s="257"/>
      <c r="T33" s="257"/>
      <c r="U33" s="257"/>
      <c r="V33" s="257"/>
      <c r="W33" s="258"/>
      <c r="X33" s="256" t="s">
        <v>46</v>
      </c>
      <c r="Y33" s="257"/>
      <c r="Z33" s="257"/>
      <c r="AA33" s="257"/>
      <c r="AB33" s="257"/>
      <c r="AC33" s="257"/>
      <c r="AD33" s="257"/>
      <c r="AE33" s="258"/>
      <c r="AF33" s="109"/>
      <c r="AG33" s="110"/>
      <c r="AH33" s="110"/>
      <c r="AI33" s="110"/>
      <c r="AJ33" s="110"/>
      <c r="AK33" s="110"/>
      <c r="AL33" s="110"/>
      <c r="AM33" s="110"/>
      <c r="AN33" s="115"/>
      <c r="AO33" s="289">
        <v>45681</v>
      </c>
      <c r="AP33" s="248"/>
      <c r="AQ33" s="246" t="s">
        <v>156</v>
      </c>
      <c r="AR33" s="242"/>
      <c r="AS33" s="246" t="s">
        <v>154</v>
      </c>
      <c r="AT33" s="249"/>
      <c r="AU33" s="116"/>
      <c r="AV33" s="117"/>
      <c r="AW33" s="99"/>
      <c r="AX33" s="100"/>
      <c r="AY33" s="99"/>
      <c r="AZ33" s="111"/>
      <c r="BA33" s="112"/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4"/>
      <c r="BM33" s="96"/>
      <c r="BN33" s="96"/>
    </row>
    <row r="34" spans="1:66" s="167" customFormat="1" ht="20.100000000000001" customHeight="1" x14ac:dyDescent="0.45">
      <c r="A34" s="169"/>
      <c r="B34" s="169"/>
      <c r="C34" s="177">
        <f t="shared" si="1"/>
        <v>25</v>
      </c>
      <c r="D34" s="191"/>
      <c r="E34" s="192"/>
      <c r="F34" s="192"/>
      <c r="G34" s="193"/>
      <c r="H34" s="191"/>
      <c r="I34" s="192"/>
      <c r="J34" s="192"/>
      <c r="K34" s="193"/>
      <c r="L34" s="120" t="s">
        <v>121</v>
      </c>
      <c r="M34" s="87"/>
      <c r="N34" s="87"/>
      <c r="O34" s="88"/>
      <c r="P34" s="256" t="s">
        <v>106</v>
      </c>
      <c r="Q34" s="257"/>
      <c r="R34" s="257"/>
      <c r="S34" s="257"/>
      <c r="T34" s="257"/>
      <c r="U34" s="257"/>
      <c r="V34" s="257"/>
      <c r="W34" s="258"/>
      <c r="X34" s="256" t="s">
        <v>46</v>
      </c>
      <c r="Y34" s="257"/>
      <c r="Z34" s="257"/>
      <c r="AA34" s="257"/>
      <c r="AB34" s="257"/>
      <c r="AC34" s="257"/>
      <c r="AD34" s="257"/>
      <c r="AE34" s="258"/>
      <c r="AF34" s="185"/>
      <c r="AG34" s="186"/>
      <c r="AH34" s="186"/>
      <c r="AI34" s="186"/>
      <c r="AJ34" s="186"/>
      <c r="AK34" s="186"/>
      <c r="AL34" s="186"/>
      <c r="AM34" s="186"/>
      <c r="AN34" s="187"/>
      <c r="AO34" s="289">
        <v>45681</v>
      </c>
      <c r="AP34" s="248"/>
      <c r="AQ34" s="246" t="s">
        <v>156</v>
      </c>
      <c r="AR34" s="242"/>
      <c r="AS34" s="246" t="s">
        <v>154</v>
      </c>
      <c r="AT34" s="249"/>
      <c r="AU34" s="188"/>
      <c r="AV34" s="189"/>
      <c r="AW34" s="175"/>
      <c r="AX34" s="176"/>
      <c r="AY34" s="175"/>
      <c r="AZ34" s="190"/>
      <c r="BA34" s="182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4"/>
      <c r="BM34" s="172"/>
      <c r="BN34" s="172"/>
    </row>
    <row r="35" spans="1:66" s="167" customFormat="1" ht="20.100000000000001" customHeight="1" x14ac:dyDescent="0.45">
      <c r="A35" s="169"/>
      <c r="B35" s="169"/>
      <c r="C35" s="177">
        <f t="shared" si="1"/>
        <v>26</v>
      </c>
      <c r="D35" s="191"/>
      <c r="E35" s="192"/>
      <c r="F35" s="192"/>
      <c r="G35" s="193"/>
      <c r="H35" s="191"/>
      <c r="I35" s="192"/>
      <c r="J35" s="192"/>
      <c r="K35" s="193"/>
      <c r="L35" s="120" t="s">
        <v>122</v>
      </c>
      <c r="M35" s="87"/>
      <c r="N35" s="87"/>
      <c r="O35" s="88"/>
      <c r="P35" s="256" t="s">
        <v>106</v>
      </c>
      <c r="Q35" s="257"/>
      <c r="R35" s="257"/>
      <c r="S35" s="257"/>
      <c r="T35" s="257"/>
      <c r="U35" s="257"/>
      <c r="V35" s="257"/>
      <c r="W35" s="258"/>
      <c r="X35" s="256" t="s">
        <v>46</v>
      </c>
      <c r="Y35" s="257"/>
      <c r="Z35" s="257"/>
      <c r="AA35" s="257"/>
      <c r="AB35" s="257"/>
      <c r="AC35" s="257"/>
      <c r="AD35" s="257"/>
      <c r="AE35" s="258"/>
      <c r="AF35" s="185"/>
      <c r="AG35" s="186"/>
      <c r="AH35" s="186"/>
      <c r="AI35" s="186"/>
      <c r="AJ35" s="186"/>
      <c r="AK35" s="186"/>
      <c r="AL35" s="186"/>
      <c r="AM35" s="186"/>
      <c r="AN35" s="187"/>
      <c r="AO35" s="289">
        <v>45681</v>
      </c>
      <c r="AP35" s="248"/>
      <c r="AQ35" s="246" t="s">
        <v>156</v>
      </c>
      <c r="AR35" s="242"/>
      <c r="AS35" s="246" t="s">
        <v>154</v>
      </c>
      <c r="AT35" s="249"/>
      <c r="AU35" s="188"/>
      <c r="AV35" s="189"/>
      <c r="AW35" s="175"/>
      <c r="AX35" s="176"/>
      <c r="AY35" s="175"/>
      <c r="AZ35" s="190"/>
      <c r="BA35" s="182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4"/>
      <c r="BM35" s="172"/>
      <c r="BN35" s="172"/>
    </row>
    <row r="36" spans="1:66" s="167" customFormat="1" ht="20.100000000000001" customHeight="1" x14ac:dyDescent="0.45">
      <c r="A36" s="169"/>
      <c r="B36" s="169"/>
      <c r="C36" s="177">
        <f t="shared" si="1"/>
        <v>27</v>
      </c>
      <c r="D36" s="191"/>
      <c r="E36" s="192"/>
      <c r="F36" s="192"/>
      <c r="G36" s="193"/>
      <c r="H36" s="191"/>
      <c r="I36" s="192"/>
      <c r="J36" s="192"/>
      <c r="K36" s="193"/>
      <c r="L36" s="120" t="s">
        <v>123</v>
      </c>
      <c r="M36" s="87"/>
      <c r="N36" s="87"/>
      <c r="O36" s="88"/>
      <c r="P36" s="256" t="s">
        <v>106</v>
      </c>
      <c r="Q36" s="257"/>
      <c r="R36" s="257"/>
      <c r="S36" s="257"/>
      <c r="T36" s="257"/>
      <c r="U36" s="257"/>
      <c r="V36" s="257"/>
      <c r="W36" s="258"/>
      <c r="X36" s="256" t="s">
        <v>46</v>
      </c>
      <c r="Y36" s="257"/>
      <c r="Z36" s="257"/>
      <c r="AA36" s="257"/>
      <c r="AB36" s="257"/>
      <c r="AC36" s="257"/>
      <c r="AD36" s="257"/>
      <c r="AE36" s="258"/>
      <c r="AF36" s="185"/>
      <c r="AG36" s="186"/>
      <c r="AH36" s="186"/>
      <c r="AI36" s="186"/>
      <c r="AJ36" s="186"/>
      <c r="AK36" s="186"/>
      <c r="AL36" s="186"/>
      <c r="AM36" s="186"/>
      <c r="AN36" s="187"/>
      <c r="AO36" s="289">
        <v>45681</v>
      </c>
      <c r="AP36" s="248"/>
      <c r="AQ36" s="246" t="s">
        <v>156</v>
      </c>
      <c r="AR36" s="242"/>
      <c r="AS36" s="246" t="s">
        <v>154</v>
      </c>
      <c r="AT36" s="249"/>
      <c r="AU36" s="188"/>
      <c r="AV36" s="189"/>
      <c r="AW36" s="175"/>
      <c r="AX36" s="176"/>
      <c r="AY36" s="175"/>
      <c r="AZ36" s="190"/>
      <c r="BA36" s="182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4"/>
      <c r="BM36" s="172"/>
      <c r="BN36" s="172"/>
    </row>
    <row r="37" spans="1:66" s="167" customFormat="1" ht="20.100000000000001" customHeight="1" x14ac:dyDescent="0.45">
      <c r="A37" s="169"/>
      <c r="B37" s="169"/>
      <c r="C37" s="177">
        <f t="shared" si="1"/>
        <v>28</v>
      </c>
      <c r="D37" s="191"/>
      <c r="E37" s="192"/>
      <c r="F37" s="192"/>
      <c r="G37" s="193"/>
      <c r="H37" s="191"/>
      <c r="I37" s="192"/>
      <c r="J37" s="192"/>
      <c r="K37" s="193"/>
      <c r="L37" s="120" t="s">
        <v>124</v>
      </c>
      <c r="M37" s="87"/>
      <c r="N37" s="87"/>
      <c r="O37" s="88"/>
      <c r="P37" s="256" t="s">
        <v>106</v>
      </c>
      <c r="Q37" s="257"/>
      <c r="R37" s="257"/>
      <c r="S37" s="257"/>
      <c r="T37" s="257"/>
      <c r="U37" s="257"/>
      <c r="V37" s="257"/>
      <c r="W37" s="258"/>
      <c r="X37" s="256" t="s">
        <v>152</v>
      </c>
      <c r="Y37" s="257"/>
      <c r="Z37" s="257"/>
      <c r="AA37" s="257"/>
      <c r="AB37" s="257"/>
      <c r="AC37" s="257"/>
      <c r="AD37" s="257"/>
      <c r="AE37" s="258"/>
      <c r="AF37" s="185"/>
      <c r="AG37" s="186"/>
      <c r="AH37" s="186"/>
      <c r="AI37" s="186"/>
      <c r="AJ37" s="186"/>
      <c r="AK37" s="186"/>
      <c r="AL37" s="186"/>
      <c r="AM37" s="186"/>
      <c r="AN37" s="187"/>
      <c r="AO37" s="289">
        <v>45681</v>
      </c>
      <c r="AP37" s="248"/>
      <c r="AQ37" s="246" t="s">
        <v>156</v>
      </c>
      <c r="AR37" s="242"/>
      <c r="AS37" s="246" t="s">
        <v>154</v>
      </c>
      <c r="AT37" s="249"/>
      <c r="AU37" s="188"/>
      <c r="AV37" s="189"/>
      <c r="AW37" s="175"/>
      <c r="AX37" s="176"/>
      <c r="AY37" s="175"/>
      <c r="AZ37" s="190"/>
      <c r="BA37" s="182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4"/>
      <c r="BM37" s="172"/>
      <c r="BN37" s="172"/>
    </row>
    <row r="38" spans="1:66" ht="20.100000000000001" customHeight="1" x14ac:dyDescent="0.45">
      <c r="A38" s="93"/>
      <c r="B38" s="93"/>
      <c r="C38" s="177">
        <f t="shared" si="1"/>
        <v>29</v>
      </c>
      <c r="D38" s="106"/>
      <c r="E38" s="107"/>
      <c r="F38" s="107"/>
      <c r="G38" s="108"/>
      <c r="H38" s="106"/>
      <c r="I38" s="107"/>
      <c r="J38" s="107"/>
      <c r="K38" s="108"/>
      <c r="L38" s="120" t="s">
        <v>125</v>
      </c>
      <c r="M38" s="87"/>
      <c r="N38" s="87"/>
      <c r="O38" s="88"/>
      <c r="P38" s="256" t="s">
        <v>106</v>
      </c>
      <c r="Q38" s="257"/>
      <c r="R38" s="257"/>
      <c r="S38" s="257"/>
      <c r="T38" s="257"/>
      <c r="U38" s="257"/>
      <c r="V38" s="257"/>
      <c r="W38" s="258"/>
      <c r="X38" s="256" t="s">
        <v>46</v>
      </c>
      <c r="Y38" s="257"/>
      <c r="Z38" s="257"/>
      <c r="AA38" s="257"/>
      <c r="AB38" s="257"/>
      <c r="AC38" s="257"/>
      <c r="AD38" s="257"/>
      <c r="AE38" s="258"/>
      <c r="AF38" s="109"/>
      <c r="AG38" s="110"/>
      <c r="AH38" s="110"/>
      <c r="AI38" s="110"/>
      <c r="AJ38" s="110"/>
      <c r="AK38" s="110"/>
      <c r="AL38" s="110"/>
      <c r="AM38" s="110"/>
      <c r="AN38" s="115"/>
      <c r="AO38" s="289">
        <v>45681</v>
      </c>
      <c r="AP38" s="248"/>
      <c r="AQ38" s="246" t="s">
        <v>156</v>
      </c>
      <c r="AR38" s="242"/>
      <c r="AS38" s="246" t="s">
        <v>154</v>
      </c>
      <c r="AT38" s="249"/>
      <c r="AU38" s="116"/>
      <c r="AV38" s="117"/>
      <c r="AW38" s="99"/>
      <c r="AX38" s="100"/>
      <c r="AY38" s="99"/>
      <c r="AZ38" s="111"/>
      <c r="BA38" s="112"/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4"/>
      <c r="BM38" s="96"/>
      <c r="BN38" s="96"/>
    </row>
    <row r="39" spans="1:66" ht="20.100000000000001" customHeight="1" x14ac:dyDescent="0.45">
      <c r="A39" s="93"/>
      <c r="B39" s="93"/>
      <c r="C39" s="177">
        <f t="shared" si="1"/>
        <v>30</v>
      </c>
      <c r="D39" s="106"/>
      <c r="E39" s="107"/>
      <c r="F39" s="107"/>
      <c r="G39" s="108"/>
      <c r="H39" s="106"/>
      <c r="I39" s="107"/>
      <c r="J39" s="107"/>
      <c r="K39" s="108"/>
      <c r="L39" s="120" t="s">
        <v>126</v>
      </c>
      <c r="M39" s="87"/>
      <c r="N39" s="87"/>
      <c r="O39" s="88"/>
      <c r="P39" s="256" t="s">
        <v>106</v>
      </c>
      <c r="Q39" s="257"/>
      <c r="R39" s="257"/>
      <c r="S39" s="257"/>
      <c r="T39" s="257"/>
      <c r="U39" s="257"/>
      <c r="V39" s="257"/>
      <c r="W39" s="258"/>
      <c r="X39" s="256" t="s">
        <v>46</v>
      </c>
      <c r="Y39" s="257"/>
      <c r="Z39" s="257"/>
      <c r="AA39" s="257"/>
      <c r="AB39" s="257"/>
      <c r="AC39" s="257"/>
      <c r="AD39" s="257"/>
      <c r="AE39" s="258"/>
      <c r="AF39" s="109"/>
      <c r="AG39" s="110"/>
      <c r="AH39" s="110"/>
      <c r="AI39" s="110"/>
      <c r="AJ39" s="110"/>
      <c r="AK39" s="110"/>
      <c r="AL39" s="110"/>
      <c r="AM39" s="110"/>
      <c r="AN39" s="115"/>
      <c r="AO39" s="289">
        <v>45681</v>
      </c>
      <c r="AP39" s="248"/>
      <c r="AQ39" s="246" t="s">
        <v>156</v>
      </c>
      <c r="AR39" s="242"/>
      <c r="AS39" s="246" t="s">
        <v>154</v>
      </c>
      <c r="AT39" s="249"/>
      <c r="AU39" s="116"/>
      <c r="AV39" s="117"/>
      <c r="AW39" s="99"/>
      <c r="AX39" s="100"/>
      <c r="AY39" s="99"/>
      <c r="AZ39" s="111"/>
      <c r="BA39" s="112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4"/>
      <c r="BM39" s="96"/>
      <c r="BN39" s="96"/>
    </row>
    <row r="40" spans="1:66" ht="20.100000000000001" customHeight="1" x14ac:dyDescent="0.45">
      <c r="A40" s="93"/>
      <c r="B40" s="93"/>
      <c r="C40" s="177">
        <f t="shared" si="1"/>
        <v>31</v>
      </c>
      <c r="D40" s="106"/>
      <c r="E40" s="107"/>
      <c r="F40" s="107"/>
      <c r="G40" s="108"/>
      <c r="H40" s="106"/>
      <c r="I40" s="107"/>
      <c r="J40" s="107"/>
      <c r="K40" s="108"/>
      <c r="L40" s="120" t="s">
        <v>127</v>
      </c>
      <c r="M40" s="87"/>
      <c r="N40" s="87"/>
      <c r="O40" s="88"/>
      <c r="P40" s="256" t="s">
        <v>106</v>
      </c>
      <c r="Q40" s="257"/>
      <c r="R40" s="257"/>
      <c r="S40" s="257"/>
      <c r="T40" s="257"/>
      <c r="U40" s="257"/>
      <c r="V40" s="257"/>
      <c r="W40" s="258"/>
      <c r="X40" s="256" t="s">
        <v>46</v>
      </c>
      <c r="Y40" s="257"/>
      <c r="Z40" s="257"/>
      <c r="AA40" s="257"/>
      <c r="AB40" s="257"/>
      <c r="AC40" s="257"/>
      <c r="AD40" s="257"/>
      <c r="AE40" s="258"/>
      <c r="AF40" s="109"/>
      <c r="AG40" s="110"/>
      <c r="AH40" s="110"/>
      <c r="AI40" s="110"/>
      <c r="AJ40" s="110"/>
      <c r="AK40" s="110"/>
      <c r="AL40" s="110"/>
      <c r="AM40" s="110"/>
      <c r="AN40" s="115"/>
      <c r="AO40" s="289">
        <v>45681</v>
      </c>
      <c r="AP40" s="248"/>
      <c r="AQ40" s="246" t="s">
        <v>156</v>
      </c>
      <c r="AR40" s="242"/>
      <c r="AS40" s="246" t="s">
        <v>154</v>
      </c>
      <c r="AT40" s="249"/>
      <c r="AU40" s="116"/>
      <c r="AV40" s="117"/>
      <c r="AW40" s="99"/>
      <c r="AX40" s="100"/>
      <c r="AY40" s="99"/>
      <c r="AZ40" s="111"/>
      <c r="BA40" s="112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4"/>
      <c r="BM40" s="96"/>
      <c r="BN40" s="96"/>
    </row>
    <row r="41" spans="1:66" ht="20.100000000000001" customHeight="1" x14ac:dyDescent="0.45">
      <c r="A41" s="93"/>
      <c r="B41" s="93"/>
      <c r="C41" s="177">
        <f t="shared" si="1"/>
        <v>32</v>
      </c>
      <c r="D41" s="106"/>
      <c r="E41" s="107"/>
      <c r="F41" s="107"/>
      <c r="G41" s="108"/>
      <c r="H41" s="106"/>
      <c r="I41" s="107"/>
      <c r="J41" s="107"/>
      <c r="K41" s="108"/>
      <c r="L41" s="120" t="s">
        <v>128</v>
      </c>
      <c r="M41" s="87"/>
      <c r="N41" s="87"/>
      <c r="O41" s="88"/>
      <c r="P41" s="256" t="s">
        <v>106</v>
      </c>
      <c r="Q41" s="257"/>
      <c r="R41" s="257"/>
      <c r="S41" s="257"/>
      <c r="T41" s="257"/>
      <c r="U41" s="257"/>
      <c r="V41" s="257"/>
      <c r="W41" s="258"/>
      <c r="X41" s="256" t="s">
        <v>46</v>
      </c>
      <c r="Y41" s="257"/>
      <c r="Z41" s="257"/>
      <c r="AA41" s="257"/>
      <c r="AB41" s="257"/>
      <c r="AC41" s="257"/>
      <c r="AD41" s="257"/>
      <c r="AE41" s="258"/>
      <c r="AF41" s="109"/>
      <c r="AG41" s="110"/>
      <c r="AH41" s="110"/>
      <c r="AI41" s="110"/>
      <c r="AJ41" s="110"/>
      <c r="AK41" s="110"/>
      <c r="AL41" s="110"/>
      <c r="AM41" s="110"/>
      <c r="AN41" s="115"/>
      <c r="AO41" s="289">
        <v>45681</v>
      </c>
      <c r="AP41" s="248"/>
      <c r="AQ41" s="246" t="s">
        <v>156</v>
      </c>
      <c r="AR41" s="242"/>
      <c r="AS41" s="246" t="s">
        <v>154</v>
      </c>
      <c r="AT41" s="249"/>
      <c r="AU41" s="116"/>
      <c r="AV41" s="117"/>
      <c r="AW41" s="99"/>
      <c r="AX41" s="100"/>
      <c r="AY41" s="99"/>
      <c r="AZ41" s="111"/>
      <c r="BA41" s="112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4"/>
      <c r="BM41" s="96"/>
      <c r="BN41" s="96"/>
    </row>
    <row r="42" spans="1:66" ht="20.100000000000001" customHeight="1" x14ac:dyDescent="0.45">
      <c r="A42" s="93"/>
      <c r="B42" s="93"/>
      <c r="C42" s="177">
        <f t="shared" si="1"/>
        <v>33</v>
      </c>
      <c r="D42" s="106"/>
      <c r="E42" s="107"/>
      <c r="F42" s="107"/>
      <c r="G42" s="108"/>
      <c r="H42" s="106"/>
      <c r="I42" s="107"/>
      <c r="J42" s="107"/>
      <c r="K42" s="108"/>
      <c r="L42" s="120" t="s">
        <v>129</v>
      </c>
      <c r="M42" s="87"/>
      <c r="N42" s="87"/>
      <c r="O42" s="88"/>
      <c r="P42" s="256" t="s">
        <v>106</v>
      </c>
      <c r="Q42" s="257"/>
      <c r="R42" s="257"/>
      <c r="S42" s="257"/>
      <c r="T42" s="257"/>
      <c r="U42" s="257"/>
      <c r="V42" s="257"/>
      <c r="W42" s="258"/>
      <c r="X42" s="256" t="s">
        <v>46</v>
      </c>
      <c r="Y42" s="257"/>
      <c r="Z42" s="257"/>
      <c r="AA42" s="257"/>
      <c r="AB42" s="257"/>
      <c r="AC42" s="257"/>
      <c r="AD42" s="257"/>
      <c r="AE42" s="258"/>
      <c r="AF42" s="109"/>
      <c r="AG42" s="110"/>
      <c r="AH42" s="110"/>
      <c r="AI42" s="110"/>
      <c r="AJ42" s="110"/>
      <c r="AK42" s="110"/>
      <c r="AL42" s="110"/>
      <c r="AM42" s="110"/>
      <c r="AN42" s="115"/>
      <c r="AO42" s="289">
        <v>45681</v>
      </c>
      <c r="AP42" s="248"/>
      <c r="AQ42" s="246" t="s">
        <v>156</v>
      </c>
      <c r="AR42" s="242"/>
      <c r="AS42" s="246" t="s">
        <v>154</v>
      </c>
      <c r="AT42" s="249"/>
      <c r="AU42" s="116"/>
      <c r="AV42" s="117"/>
      <c r="AW42" s="99"/>
      <c r="AX42" s="100"/>
      <c r="AY42" s="99"/>
      <c r="AZ42" s="111"/>
      <c r="BA42" s="112"/>
      <c r="BB42" s="113"/>
      <c r="BC42" s="113"/>
      <c r="BD42" s="113"/>
      <c r="BE42" s="113"/>
      <c r="BF42" s="113"/>
      <c r="BG42" s="113"/>
      <c r="BH42" s="113"/>
      <c r="BI42" s="113"/>
      <c r="BJ42" s="113"/>
      <c r="BK42" s="113"/>
      <c r="BL42" s="114"/>
      <c r="BM42" s="96"/>
      <c r="BN42" s="96"/>
    </row>
    <row r="43" spans="1:66" ht="20.100000000000001" customHeight="1" x14ac:dyDescent="0.45">
      <c r="A43" s="93"/>
      <c r="B43" s="93"/>
      <c r="C43" s="177">
        <f t="shared" si="1"/>
        <v>34</v>
      </c>
      <c r="D43" s="106"/>
      <c r="E43" s="107"/>
      <c r="F43" s="107"/>
      <c r="G43" s="108"/>
      <c r="H43" s="290" t="s">
        <v>56</v>
      </c>
      <c r="I43" s="291"/>
      <c r="J43" s="291"/>
      <c r="K43" s="292"/>
      <c r="L43" s="293" t="s">
        <v>57</v>
      </c>
      <c r="M43" s="261"/>
      <c r="N43" s="261"/>
      <c r="O43" s="294"/>
      <c r="P43" s="293" t="s">
        <v>58</v>
      </c>
      <c r="Q43" s="261"/>
      <c r="R43" s="261"/>
      <c r="S43" s="261"/>
      <c r="T43" s="261"/>
      <c r="U43" s="261"/>
      <c r="V43" s="261"/>
      <c r="W43" s="294"/>
      <c r="X43" s="293" t="s">
        <v>59</v>
      </c>
      <c r="Y43" s="261"/>
      <c r="Z43" s="261"/>
      <c r="AA43" s="261"/>
      <c r="AB43" s="261"/>
      <c r="AC43" s="261"/>
      <c r="AD43" s="261"/>
      <c r="AE43" s="262"/>
      <c r="AF43" s="109"/>
      <c r="AG43" s="110"/>
      <c r="AH43" s="110"/>
      <c r="AI43" s="110"/>
      <c r="AJ43" s="110"/>
      <c r="AK43" s="110"/>
      <c r="AL43" s="110"/>
      <c r="AM43" s="110"/>
      <c r="AN43" s="115"/>
      <c r="AO43" s="289">
        <v>45681</v>
      </c>
      <c r="AP43" s="248"/>
      <c r="AQ43" s="246" t="s">
        <v>156</v>
      </c>
      <c r="AR43" s="242"/>
      <c r="AS43" s="246" t="s">
        <v>154</v>
      </c>
      <c r="AT43" s="249"/>
      <c r="AU43" s="116"/>
      <c r="AV43" s="117"/>
      <c r="AW43" s="99"/>
      <c r="AX43" s="100"/>
      <c r="AY43" s="99"/>
      <c r="AZ43" s="111"/>
      <c r="BA43" s="112"/>
      <c r="BB43" s="113"/>
      <c r="BC43" s="113"/>
      <c r="BD43" s="113"/>
      <c r="BE43" s="113"/>
      <c r="BF43" s="113"/>
      <c r="BG43" s="113"/>
      <c r="BH43" s="113"/>
      <c r="BI43" s="113"/>
      <c r="BJ43" s="113"/>
      <c r="BK43" s="113"/>
      <c r="BL43" s="114"/>
      <c r="BM43" s="96"/>
      <c r="BN43" s="96"/>
    </row>
    <row r="44" spans="1:66" ht="20.100000000000001" customHeight="1" thickBot="1" x14ac:dyDescent="0.5">
      <c r="A44" s="93"/>
      <c r="B44" s="93"/>
      <c r="C44" s="177">
        <f t="shared" si="1"/>
        <v>35</v>
      </c>
      <c r="D44" s="106"/>
      <c r="E44" s="107"/>
      <c r="F44" s="107"/>
      <c r="G44" s="108"/>
      <c r="H44" s="295"/>
      <c r="I44" s="296"/>
      <c r="J44" s="296"/>
      <c r="K44" s="297"/>
      <c r="L44" s="298" t="s">
        <v>60</v>
      </c>
      <c r="M44" s="299"/>
      <c r="N44" s="299"/>
      <c r="O44" s="300"/>
      <c r="P44" s="298" t="s">
        <v>61</v>
      </c>
      <c r="Q44" s="299"/>
      <c r="R44" s="299"/>
      <c r="S44" s="299"/>
      <c r="T44" s="299"/>
      <c r="U44" s="299"/>
      <c r="V44" s="299"/>
      <c r="W44" s="300"/>
      <c r="X44" s="298" t="s">
        <v>59</v>
      </c>
      <c r="Y44" s="299"/>
      <c r="Z44" s="299"/>
      <c r="AA44" s="299"/>
      <c r="AB44" s="299"/>
      <c r="AC44" s="299"/>
      <c r="AD44" s="299"/>
      <c r="AE44" s="301"/>
      <c r="AF44" s="109"/>
      <c r="AG44" s="110"/>
      <c r="AH44" s="110"/>
      <c r="AI44" s="110"/>
      <c r="AJ44" s="110"/>
      <c r="AK44" s="110"/>
      <c r="AL44" s="110"/>
      <c r="AM44" s="110"/>
      <c r="AN44" s="115"/>
      <c r="AO44" s="289">
        <v>45681</v>
      </c>
      <c r="AP44" s="248"/>
      <c r="AQ44" s="246" t="s">
        <v>156</v>
      </c>
      <c r="AR44" s="242"/>
      <c r="AS44" s="246" t="s">
        <v>154</v>
      </c>
      <c r="AT44" s="249"/>
      <c r="AU44" s="116"/>
      <c r="AV44" s="117"/>
      <c r="AW44" s="99"/>
      <c r="AX44" s="100"/>
      <c r="AY44" s="99"/>
      <c r="AZ44" s="111"/>
      <c r="BA44" s="112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4"/>
      <c r="BM44" s="96"/>
      <c r="BN44" s="96"/>
    </row>
    <row r="45" spans="1:66" ht="20.100000000000001" customHeight="1" thickTop="1" thickBot="1" x14ac:dyDescent="0.5">
      <c r="A45" s="93"/>
      <c r="B45" s="92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2"/>
      <c r="BN45" s="96"/>
    </row>
    <row r="46" spans="1:66" ht="5.0999999999999996" customHeight="1" thickTop="1" x14ac:dyDescent="0.45"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</row>
    <row r="47" spans="1:66" ht="20.100000000000001" customHeight="1" x14ac:dyDescent="0.45"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</row>
  </sheetData>
  <mergeCells count="239">
    <mergeCell ref="AO44:AP44"/>
    <mergeCell ref="AQ44:AR44"/>
    <mergeCell ref="AS44:AT44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S43:AT43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13:AP13"/>
    <mergeCell ref="AQ13:AR13"/>
    <mergeCell ref="AS13:AT13"/>
    <mergeCell ref="AO12:AP12"/>
    <mergeCell ref="AQ12:AR12"/>
    <mergeCell ref="AS12:AT12"/>
    <mergeCell ref="AO11:AP11"/>
    <mergeCell ref="AQ11:AR11"/>
    <mergeCell ref="AS11:AT11"/>
    <mergeCell ref="H43:K43"/>
    <mergeCell ref="L43:O43"/>
    <mergeCell ref="P43:W43"/>
    <mergeCell ref="X43:AE43"/>
    <mergeCell ref="H44:K44"/>
    <mergeCell ref="L44:O44"/>
    <mergeCell ref="P44:W44"/>
    <mergeCell ref="X44:AE44"/>
    <mergeCell ref="P41:W41"/>
    <mergeCell ref="X41:AE41"/>
    <mergeCell ref="P42:W42"/>
    <mergeCell ref="X42:AE42"/>
    <mergeCell ref="P38:W38"/>
    <mergeCell ref="X38:AE38"/>
    <mergeCell ref="P39:W39"/>
    <mergeCell ref="X39:AE39"/>
    <mergeCell ref="P40:W40"/>
    <mergeCell ref="X40:AE40"/>
    <mergeCell ref="P31:W31"/>
    <mergeCell ref="X31:AE31"/>
    <mergeCell ref="P32:W32"/>
    <mergeCell ref="X32:AE32"/>
    <mergeCell ref="P33:W33"/>
    <mergeCell ref="X33:AE33"/>
    <mergeCell ref="X28:AE28"/>
    <mergeCell ref="P29:W29"/>
    <mergeCell ref="X29:AE29"/>
    <mergeCell ref="P30:W30"/>
    <mergeCell ref="X30:AE30"/>
    <mergeCell ref="P25:W25"/>
    <mergeCell ref="X25:AE25"/>
    <mergeCell ref="P26:W26"/>
    <mergeCell ref="X26:AE26"/>
    <mergeCell ref="P27:W27"/>
    <mergeCell ref="X27:AE27"/>
    <mergeCell ref="BA18:BL18"/>
    <mergeCell ref="P19:W19"/>
    <mergeCell ref="X19:AE19"/>
    <mergeCell ref="AF19:AN19"/>
    <mergeCell ref="AO19:AP19"/>
    <mergeCell ref="AQ19:AR19"/>
    <mergeCell ref="AS19:AT19"/>
    <mergeCell ref="AU19:AV19"/>
    <mergeCell ref="AW19:AX19"/>
    <mergeCell ref="AF18:AN18"/>
    <mergeCell ref="AO18:AP18"/>
    <mergeCell ref="AQ18:AR18"/>
    <mergeCell ref="AS18:AT18"/>
    <mergeCell ref="AU18:AV18"/>
    <mergeCell ref="AW18:AX18"/>
    <mergeCell ref="AY19:AZ19"/>
    <mergeCell ref="BA19:BL19"/>
    <mergeCell ref="D18:G18"/>
    <mergeCell ref="H18:K18"/>
    <mergeCell ref="P18:W18"/>
    <mergeCell ref="X18:AE18"/>
    <mergeCell ref="H14:K14"/>
    <mergeCell ref="L14:O14"/>
    <mergeCell ref="P14:W14"/>
    <mergeCell ref="X14:AE14"/>
    <mergeCell ref="AY18:AZ18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BA10:BL10"/>
    <mergeCell ref="AY9:AZ9"/>
    <mergeCell ref="BA9:BL9"/>
    <mergeCell ref="D14:G14"/>
    <mergeCell ref="AF14:AN14"/>
    <mergeCell ref="AO10:AP10"/>
    <mergeCell ref="AQ10:AR10"/>
    <mergeCell ref="AS10:AT10"/>
    <mergeCell ref="X16:AE16"/>
    <mergeCell ref="AU10:AV10"/>
    <mergeCell ref="AW10:AX10"/>
    <mergeCell ref="AY10:AZ10"/>
    <mergeCell ref="P15:W15"/>
    <mergeCell ref="P16:W16"/>
    <mergeCell ref="X15:AE15"/>
    <mergeCell ref="L10:O10"/>
    <mergeCell ref="L11:O11"/>
    <mergeCell ref="L12:O12"/>
    <mergeCell ref="L13:O13"/>
    <mergeCell ref="P10:W10"/>
    <mergeCell ref="P11:W11"/>
    <mergeCell ref="P12:W12"/>
    <mergeCell ref="P13:W13"/>
    <mergeCell ref="X10:AE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X11:AE11"/>
    <mergeCell ref="X12:AE12"/>
    <mergeCell ref="X13:AE13"/>
    <mergeCell ref="P34:W34"/>
    <mergeCell ref="P35:W35"/>
    <mergeCell ref="P36:W36"/>
    <mergeCell ref="P37:W37"/>
    <mergeCell ref="X34:AE34"/>
    <mergeCell ref="X35:AE35"/>
    <mergeCell ref="X36:AE36"/>
    <mergeCell ref="X37:AE37"/>
    <mergeCell ref="P17:W17"/>
    <mergeCell ref="X17:AE17"/>
    <mergeCell ref="P22:W22"/>
    <mergeCell ref="X22:AE22"/>
    <mergeCell ref="P23:W23"/>
    <mergeCell ref="X23:AE23"/>
    <mergeCell ref="P24:W24"/>
    <mergeCell ref="X24:AE24"/>
    <mergeCell ref="P20:W20"/>
    <mergeCell ref="X20:AE20"/>
    <mergeCell ref="P21:W21"/>
    <mergeCell ref="X21:AE21"/>
    <mergeCell ref="P28:W28"/>
  </mergeCells>
  <phoneticPr fontId="2"/>
  <conditionalFormatting sqref="AY10:AY44 AS11:AS44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10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44 AS10:AS4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167" customWidth="1"/>
    <col min="2" max="65" width="3.69921875" style="167" customWidth="1"/>
    <col min="66" max="66" width="1.09765625" style="167" customWidth="1"/>
    <col min="67" max="16384" width="3.59765625" style="167"/>
  </cols>
  <sheetData>
    <row r="1" spans="1:66" ht="5.25" customHeight="1" thickBot="1" x14ac:dyDescent="0.5"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</row>
    <row r="2" spans="1:66" ht="20.100000000000001" customHeight="1" thickTop="1" x14ac:dyDescent="0.45">
      <c r="A2" s="169"/>
      <c r="B2" s="221" t="s">
        <v>0</v>
      </c>
      <c r="C2" s="222"/>
      <c r="D2" s="222"/>
      <c r="E2" s="222"/>
      <c r="F2" s="222"/>
      <c r="G2" s="222"/>
      <c r="H2" s="222" t="s">
        <v>40</v>
      </c>
      <c r="I2" s="222"/>
      <c r="J2" s="222"/>
      <c r="K2" s="222"/>
      <c r="L2" s="222" t="s">
        <v>41</v>
      </c>
      <c r="M2" s="222"/>
      <c r="N2" s="222"/>
      <c r="O2" s="222"/>
      <c r="P2" s="222"/>
      <c r="Q2" s="222"/>
      <c r="R2" s="222" t="s">
        <v>1</v>
      </c>
      <c r="S2" s="222"/>
      <c r="T2" s="222"/>
      <c r="U2" s="222"/>
      <c r="V2" s="222"/>
      <c r="W2" s="222"/>
      <c r="X2" s="223" t="s">
        <v>2</v>
      </c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5"/>
      <c r="AK2" s="223" t="s">
        <v>30</v>
      </c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5"/>
      <c r="AX2" s="222" t="s">
        <v>4</v>
      </c>
      <c r="AY2" s="222"/>
      <c r="AZ2" s="222"/>
      <c r="BA2" s="222"/>
      <c r="BB2" s="222" t="s">
        <v>3</v>
      </c>
      <c r="BC2" s="222"/>
      <c r="BD2" s="222"/>
      <c r="BE2" s="222"/>
      <c r="BF2" s="222" t="s">
        <v>5</v>
      </c>
      <c r="BG2" s="222"/>
      <c r="BH2" s="222"/>
      <c r="BI2" s="222"/>
      <c r="BJ2" s="222" t="s">
        <v>6</v>
      </c>
      <c r="BK2" s="222"/>
      <c r="BL2" s="222"/>
      <c r="BM2" s="236"/>
      <c r="BN2" s="172"/>
    </row>
    <row r="3" spans="1:66" ht="20.100000000000001" customHeight="1" x14ac:dyDescent="0.45">
      <c r="A3" s="169"/>
      <c r="B3" s="226" t="str">
        <f>変更履歴!B3</f>
        <v>受発注システム</v>
      </c>
      <c r="C3" s="227"/>
      <c r="D3" s="227"/>
      <c r="E3" s="227"/>
      <c r="F3" s="227"/>
      <c r="G3" s="227"/>
      <c r="H3" s="227" t="str">
        <f ca="1">変更履歴!H3</f>
        <v>仕入支払</v>
      </c>
      <c r="I3" s="227"/>
      <c r="J3" s="227"/>
      <c r="K3" s="227"/>
      <c r="L3" s="227" t="str">
        <f>変更履歴!L3</f>
        <v>受発注</v>
      </c>
      <c r="M3" s="227"/>
      <c r="N3" s="227"/>
      <c r="O3" s="227"/>
      <c r="P3" s="227"/>
      <c r="Q3" s="227"/>
      <c r="R3" s="227" t="str">
        <f ca="1">変更履歴!R3</f>
        <v>結合試験項目</v>
      </c>
      <c r="S3" s="227"/>
      <c r="T3" s="227"/>
      <c r="U3" s="227"/>
      <c r="V3" s="227"/>
      <c r="W3" s="227"/>
      <c r="X3" s="231" t="str">
        <f ca="1">変更履歴!X3</f>
        <v>仕入支払_仕入日計表_結合試験項目</v>
      </c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28"/>
      <c r="AK3" s="231" t="str">
        <f ca="1">変更履歴!AK3</f>
        <v>仕入日計表</v>
      </c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28"/>
      <c r="AX3" s="238">
        <f>変更履歴!AX3</f>
        <v>45635</v>
      </c>
      <c r="AY3" s="238"/>
      <c r="AZ3" s="238"/>
      <c r="BA3" s="238"/>
      <c r="BB3" s="227" t="str">
        <f>変更履歴!BB3</f>
        <v>榎本</v>
      </c>
      <c r="BC3" s="227"/>
      <c r="BD3" s="227"/>
      <c r="BE3" s="227"/>
      <c r="BF3" s="238">
        <f>変更履歴!BF3</f>
        <v>45635</v>
      </c>
      <c r="BG3" s="238"/>
      <c r="BH3" s="238"/>
      <c r="BI3" s="238"/>
      <c r="BJ3" s="227" t="str">
        <f>変更履歴!BJ3</f>
        <v>榎本</v>
      </c>
      <c r="BK3" s="227"/>
      <c r="BL3" s="227"/>
      <c r="BM3" s="239"/>
      <c r="BN3" s="172"/>
    </row>
    <row r="4" spans="1:66" ht="20.100000000000001" customHeight="1" thickBot="1" x14ac:dyDescent="0.5">
      <c r="A4" s="169"/>
      <c r="B4" s="228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33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5"/>
      <c r="AK4" s="233"/>
      <c r="AL4" s="234"/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5"/>
      <c r="AX4" s="269"/>
      <c r="AY4" s="269"/>
      <c r="AZ4" s="269"/>
      <c r="BA4" s="269"/>
      <c r="BB4" s="229"/>
      <c r="BC4" s="229"/>
      <c r="BD4" s="229"/>
      <c r="BE4" s="229"/>
      <c r="BF4" s="269"/>
      <c r="BG4" s="269"/>
      <c r="BH4" s="269"/>
      <c r="BI4" s="269"/>
      <c r="BJ4" s="229"/>
      <c r="BK4" s="229"/>
      <c r="BL4" s="229"/>
      <c r="BM4" s="231"/>
      <c r="BN4" s="172"/>
    </row>
    <row r="5" spans="1:66" ht="5.25" customHeight="1" thickTop="1" thickBot="1" x14ac:dyDescent="0.5"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</row>
    <row r="6" spans="1:66" ht="8.4" customHeight="1" thickTop="1" thickBot="1" x14ac:dyDescent="0.5">
      <c r="A6" s="169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  <c r="BM6" s="168"/>
      <c r="BN6" s="172"/>
    </row>
    <row r="7" spans="1:66" ht="13.8" thickTop="1" thickBot="1" x14ac:dyDescent="0.5">
      <c r="A7" s="169"/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E7" s="270" t="s">
        <v>32</v>
      </c>
      <c r="BF7" s="271"/>
      <c r="BG7" s="274" t="s">
        <v>31</v>
      </c>
      <c r="BH7" s="274"/>
      <c r="BI7" s="275" t="s">
        <v>33</v>
      </c>
      <c r="BJ7" s="276"/>
      <c r="BK7" s="275" t="s">
        <v>34</v>
      </c>
      <c r="BL7" s="277"/>
      <c r="BM7" s="168"/>
      <c r="BN7" s="172"/>
    </row>
    <row r="8" spans="1:66" ht="13.8" thickTop="1" thickBot="1" x14ac:dyDescent="0.5">
      <c r="A8" s="169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L8" s="168"/>
      <c r="AM8" s="168"/>
      <c r="AO8" s="278" t="s">
        <v>35</v>
      </c>
      <c r="AP8" s="279"/>
      <c r="AQ8" s="279"/>
      <c r="AR8" s="279"/>
      <c r="AS8" s="279"/>
      <c r="AT8" s="277"/>
      <c r="AU8" s="278" t="s">
        <v>36</v>
      </c>
      <c r="AV8" s="279"/>
      <c r="AW8" s="279"/>
      <c r="AX8" s="279"/>
      <c r="AY8" s="279"/>
      <c r="AZ8" s="277"/>
      <c r="BE8" s="272"/>
      <c r="BF8" s="273"/>
      <c r="BG8" s="280">
        <f>COUNTA(C10:C44)</f>
        <v>35</v>
      </c>
      <c r="BH8" s="281"/>
      <c r="BI8" s="280">
        <f>COUNTIF(AS10:AT44,"OK")+COUNTIF(AY10:AZ44,"OK")</f>
        <v>35</v>
      </c>
      <c r="BJ8" s="281"/>
      <c r="BK8" s="280">
        <f>BG8-BI8</f>
        <v>0</v>
      </c>
      <c r="BL8" s="282"/>
      <c r="BM8" s="168"/>
      <c r="BN8" s="172"/>
    </row>
    <row r="9" spans="1:66" ht="20.100000000000001" customHeight="1" thickTop="1" x14ac:dyDescent="0.45">
      <c r="A9" s="169"/>
      <c r="B9" s="168"/>
      <c r="C9" s="174" t="s">
        <v>12</v>
      </c>
      <c r="D9" s="178" t="s">
        <v>21</v>
      </c>
      <c r="E9" s="179"/>
      <c r="F9" s="179"/>
      <c r="G9" s="179"/>
      <c r="H9" s="178" t="s">
        <v>22</v>
      </c>
      <c r="I9" s="179"/>
      <c r="J9" s="179"/>
      <c r="K9" s="180"/>
      <c r="L9" s="178" t="s">
        <v>23</v>
      </c>
      <c r="M9" s="179"/>
      <c r="N9" s="179"/>
      <c r="O9" s="179"/>
      <c r="P9" s="178" t="s">
        <v>37</v>
      </c>
      <c r="Q9" s="179"/>
      <c r="R9" s="179"/>
      <c r="S9" s="179"/>
      <c r="T9" s="179"/>
      <c r="U9" s="179"/>
      <c r="V9" s="179"/>
      <c r="W9" s="179"/>
      <c r="X9" s="178" t="s">
        <v>24</v>
      </c>
      <c r="Y9" s="179"/>
      <c r="Z9" s="179"/>
      <c r="AA9" s="179"/>
      <c r="AB9" s="179"/>
      <c r="AC9" s="179"/>
      <c r="AD9" s="179"/>
      <c r="AE9" s="179"/>
      <c r="AF9" s="178" t="s">
        <v>28</v>
      </c>
      <c r="AG9" s="179"/>
      <c r="AH9" s="179"/>
      <c r="AI9" s="179"/>
      <c r="AJ9" s="179"/>
      <c r="AK9" s="179"/>
      <c r="AL9" s="179"/>
      <c r="AM9" s="179"/>
      <c r="AN9" s="181"/>
      <c r="AO9" s="283" t="s">
        <v>25</v>
      </c>
      <c r="AP9" s="284"/>
      <c r="AQ9" s="285" t="s">
        <v>26</v>
      </c>
      <c r="AR9" s="284"/>
      <c r="AS9" s="285" t="s">
        <v>29</v>
      </c>
      <c r="AT9" s="286"/>
      <c r="AU9" s="283" t="s">
        <v>25</v>
      </c>
      <c r="AV9" s="284"/>
      <c r="AW9" s="285" t="s">
        <v>26</v>
      </c>
      <c r="AX9" s="284"/>
      <c r="AY9" s="285" t="s">
        <v>29</v>
      </c>
      <c r="AZ9" s="286"/>
      <c r="BA9" s="287" t="s">
        <v>27</v>
      </c>
      <c r="BB9" s="279"/>
      <c r="BC9" s="279"/>
      <c r="BD9" s="279"/>
      <c r="BE9" s="279"/>
      <c r="BF9" s="279"/>
      <c r="BG9" s="279"/>
      <c r="BH9" s="279"/>
      <c r="BI9" s="279"/>
      <c r="BJ9" s="279"/>
      <c r="BK9" s="279"/>
      <c r="BL9" s="277"/>
      <c r="BM9" s="172"/>
      <c r="BN9" s="172"/>
    </row>
    <row r="10" spans="1:66" ht="27" customHeight="1" x14ac:dyDescent="0.45">
      <c r="A10" s="169"/>
      <c r="B10" s="169"/>
      <c r="C10" s="177">
        <f>ROW()-9</f>
        <v>1</v>
      </c>
      <c r="D10" s="167" t="s">
        <v>104</v>
      </c>
      <c r="G10" s="121"/>
      <c r="H10" s="167" t="s">
        <v>103</v>
      </c>
      <c r="L10" s="256" t="s">
        <v>98</v>
      </c>
      <c r="M10" s="257"/>
      <c r="N10" s="257"/>
      <c r="O10" s="258"/>
      <c r="P10" s="256" t="s">
        <v>146</v>
      </c>
      <c r="Q10" s="257"/>
      <c r="R10" s="257"/>
      <c r="S10" s="257"/>
      <c r="T10" s="257"/>
      <c r="U10" s="257"/>
      <c r="V10" s="257"/>
      <c r="W10" s="258"/>
      <c r="X10" s="256" t="s">
        <v>107</v>
      </c>
      <c r="Y10" s="257"/>
      <c r="Z10" s="257"/>
      <c r="AA10" s="257"/>
      <c r="AB10" s="257"/>
      <c r="AC10" s="257"/>
      <c r="AD10" s="257"/>
      <c r="AE10" s="258"/>
      <c r="AF10" s="194"/>
      <c r="AG10" s="122"/>
      <c r="AH10" s="122"/>
      <c r="AI10" s="122"/>
      <c r="AJ10" s="122"/>
      <c r="AK10" s="122"/>
      <c r="AL10" s="122"/>
      <c r="AM10" s="122"/>
      <c r="AN10" s="123"/>
      <c r="AO10" s="289">
        <v>45681</v>
      </c>
      <c r="AP10" s="248"/>
      <c r="AQ10" s="246" t="s">
        <v>156</v>
      </c>
      <c r="AR10" s="242"/>
      <c r="AS10" s="246" t="s">
        <v>154</v>
      </c>
      <c r="AT10" s="249"/>
      <c r="AU10" s="247"/>
      <c r="AV10" s="248"/>
      <c r="AW10" s="246"/>
      <c r="AX10" s="242"/>
      <c r="AY10" s="246"/>
      <c r="AZ10" s="249"/>
      <c r="BA10" s="288"/>
      <c r="BB10" s="251"/>
      <c r="BC10" s="251"/>
      <c r="BD10" s="251"/>
      <c r="BE10" s="251"/>
      <c r="BF10" s="251"/>
      <c r="BG10" s="251"/>
      <c r="BH10" s="251"/>
      <c r="BI10" s="251"/>
      <c r="BJ10" s="251"/>
      <c r="BK10" s="251"/>
      <c r="BL10" s="252"/>
      <c r="BM10" s="172"/>
      <c r="BN10" s="172"/>
    </row>
    <row r="11" spans="1:66" ht="27" customHeight="1" x14ac:dyDescent="0.45">
      <c r="A11" s="169"/>
      <c r="B11" s="169"/>
      <c r="C11" s="177">
        <f t="shared" ref="C11:C44" si="0">ROW()-9</f>
        <v>2</v>
      </c>
      <c r="G11" s="90"/>
      <c r="L11" s="256" t="s">
        <v>99</v>
      </c>
      <c r="M11" s="257"/>
      <c r="N11" s="257"/>
      <c r="O11" s="258"/>
      <c r="P11" s="256" t="s">
        <v>145</v>
      </c>
      <c r="Q11" s="257"/>
      <c r="R11" s="257"/>
      <c r="S11" s="257"/>
      <c r="T11" s="257"/>
      <c r="U11" s="257"/>
      <c r="V11" s="257"/>
      <c r="W11" s="258"/>
      <c r="X11" s="256" t="s">
        <v>107</v>
      </c>
      <c r="Y11" s="257"/>
      <c r="Z11" s="257"/>
      <c r="AA11" s="257"/>
      <c r="AB11" s="257"/>
      <c r="AC11" s="257"/>
      <c r="AD11" s="257"/>
      <c r="AE11" s="258"/>
      <c r="AF11" s="194"/>
      <c r="AG11" s="122"/>
      <c r="AH11" s="122"/>
      <c r="AI11" s="122"/>
      <c r="AJ11" s="122"/>
      <c r="AK11" s="122"/>
      <c r="AL11" s="122"/>
      <c r="AM11" s="122"/>
      <c r="AN11" s="123"/>
      <c r="AO11" s="289">
        <v>45681</v>
      </c>
      <c r="AP11" s="248"/>
      <c r="AQ11" s="246" t="s">
        <v>156</v>
      </c>
      <c r="AR11" s="242"/>
      <c r="AS11" s="246" t="s">
        <v>154</v>
      </c>
      <c r="AT11" s="249"/>
      <c r="AU11" s="188"/>
      <c r="AV11" s="189"/>
      <c r="AW11" s="175"/>
      <c r="AX11" s="176"/>
      <c r="AY11" s="175"/>
      <c r="AZ11" s="190"/>
      <c r="BA11" s="182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4"/>
      <c r="BM11" s="172"/>
      <c r="BN11" s="172"/>
    </row>
    <row r="12" spans="1:66" ht="27" customHeight="1" x14ac:dyDescent="0.45">
      <c r="A12" s="169"/>
      <c r="B12" s="169"/>
      <c r="C12" s="177">
        <f t="shared" si="0"/>
        <v>3</v>
      </c>
      <c r="G12" s="90"/>
      <c r="L12" s="256" t="s">
        <v>100</v>
      </c>
      <c r="M12" s="257"/>
      <c r="N12" s="257"/>
      <c r="O12" s="258"/>
      <c r="P12" s="256" t="s">
        <v>144</v>
      </c>
      <c r="Q12" s="257"/>
      <c r="R12" s="257"/>
      <c r="S12" s="257"/>
      <c r="T12" s="257"/>
      <c r="U12" s="257"/>
      <c r="V12" s="257"/>
      <c r="W12" s="258"/>
      <c r="X12" s="256" t="s">
        <v>107</v>
      </c>
      <c r="Y12" s="257"/>
      <c r="Z12" s="257"/>
      <c r="AA12" s="257"/>
      <c r="AB12" s="257"/>
      <c r="AC12" s="257"/>
      <c r="AD12" s="257"/>
      <c r="AE12" s="258"/>
      <c r="AO12" s="289">
        <v>45681</v>
      </c>
      <c r="AP12" s="248"/>
      <c r="AQ12" s="246" t="s">
        <v>156</v>
      </c>
      <c r="AR12" s="242"/>
      <c r="AS12" s="246" t="s">
        <v>154</v>
      </c>
      <c r="AT12" s="249"/>
      <c r="AU12" s="188"/>
      <c r="AV12" s="189"/>
      <c r="AW12" s="175"/>
      <c r="AX12" s="176"/>
      <c r="AY12" s="175"/>
      <c r="AZ12" s="190"/>
      <c r="BA12" s="182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4"/>
      <c r="BM12" s="172"/>
      <c r="BN12" s="172"/>
    </row>
    <row r="13" spans="1:66" ht="27" customHeight="1" x14ac:dyDescent="0.45">
      <c r="A13" s="169"/>
      <c r="B13" s="169"/>
      <c r="C13" s="177">
        <f t="shared" si="0"/>
        <v>4</v>
      </c>
      <c r="G13" s="90"/>
      <c r="L13" s="266" t="s">
        <v>101</v>
      </c>
      <c r="M13" s="257"/>
      <c r="N13" s="257"/>
      <c r="O13" s="258"/>
      <c r="P13" s="256" t="s">
        <v>144</v>
      </c>
      <c r="Q13" s="257"/>
      <c r="R13" s="257"/>
      <c r="S13" s="257"/>
      <c r="T13" s="257"/>
      <c r="U13" s="257"/>
      <c r="V13" s="257"/>
      <c r="W13" s="258"/>
      <c r="X13" s="256" t="s">
        <v>107</v>
      </c>
      <c r="Y13" s="257"/>
      <c r="Z13" s="257"/>
      <c r="AA13" s="257"/>
      <c r="AB13" s="257"/>
      <c r="AC13" s="257"/>
      <c r="AD13" s="257"/>
      <c r="AE13" s="258"/>
      <c r="AF13" s="122"/>
      <c r="AG13" s="122"/>
      <c r="AH13" s="122"/>
      <c r="AI13" s="122"/>
      <c r="AJ13" s="122"/>
      <c r="AK13" s="122"/>
      <c r="AL13" s="122"/>
      <c r="AM13" s="122"/>
      <c r="AN13" s="123"/>
      <c r="AO13" s="289">
        <v>45681</v>
      </c>
      <c r="AP13" s="248"/>
      <c r="AQ13" s="246" t="s">
        <v>156</v>
      </c>
      <c r="AR13" s="242"/>
      <c r="AS13" s="246" t="s">
        <v>154</v>
      </c>
      <c r="AT13" s="249"/>
      <c r="AU13" s="188"/>
      <c r="AV13" s="189"/>
      <c r="AW13" s="175"/>
      <c r="AX13" s="176"/>
      <c r="AY13" s="175"/>
      <c r="AZ13" s="190"/>
      <c r="BA13" s="182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4"/>
      <c r="BM13" s="172"/>
      <c r="BN13" s="172"/>
    </row>
    <row r="14" spans="1:66" ht="27" customHeight="1" x14ac:dyDescent="0.45">
      <c r="A14" s="169"/>
      <c r="B14" s="169"/>
      <c r="C14" s="177">
        <f t="shared" si="0"/>
        <v>5</v>
      </c>
      <c r="D14" s="253"/>
      <c r="E14" s="254"/>
      <c r="F14" s="254"/>
      <c r="G14" s="255"/>
      <c r="H14" s="256" t="s">
        <v>133</v>
      </c>
      <c r="I14" s="257"/>
      <c r="J14" s="257"/>
      <c r="K14" s="258"/>
      <c r="L14" s="256" t="s">
        <v>132</v>
      </c>
      <c r="M14" s="257"/>
      <c r="N14" s="257"/>
      <c r="O14" s="258"/>
      <c r="P14" s="256" t="s">
        <v>134</v>
      </c>
      <c r="Q14" s="257"/>
      <c r="R14" s="257"/>
      <c r="S14" s="257"/>
      <c r="T14" s="257"/>
      <c r="U14" s="257"/>
      <c r="V14" s="257"/>
      <c r="W14" s="258"/>
      <c r="X14" s="256" t="s">
        <v>107</v>
      </c>
      <c r="Y14" s="257"/>
      <c r="Z14" s="257"/>
      <c r="AA14" s="257"/>
      <c r="AB14" s="257"/>
      <c r="AC14" s="257"/>
      <c r="AD14" s="257"/>
      <c r="AE14" s="258"/>
      <c r="AF14" s="256" t="s">
        <v>130</v>
      </c>
      <c r="AG14" s="257"/>
      <c r="AH14" s="257"/>
      <c r="AI14" s="257"/>
      <c r="AJ14" s="257"/>
      <c r="AK14" s="257"/>
      <c r="AL14" s="257"/>
      <c r="AM14" s="257"/>
      <c r="AN14" s="259"/>
      <c r="AO14" s="289">
        <v>45681</v>
      </c>
      <c r="AP14" s="248"/>
      <c r="AQ14" s="246" t="s">
        <v>156</v>
      </c>
      <c r="AR14" s="242"/>
      <c r="AS14" s="246" t="s">
        <v>154</v>
      </c>
      <c r="AT14" s="249"/>
      <c r="AU14" s="188"/>
      <c r="AV14" s="189"/>
      <c r="AW14" s="175"/>
      <c r="AX14" s="176"/>
      <c r="AY14" s="175"/>
      <c r="AZ14" s="190"/>
      <c r="BA14" s="182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4"/>
      <c r="BM14" s="172"/>
      <c r="BN14" s="172"/>
    </row>
    <row r="15" spans="1:66" ht="20.100000000000001" customHeight="1" x14ac:dyDescent="0.45">
      <c r="A15" s="169"/>
      <c r="B15" s="169"/>
      <c r="C15" s="177">
        <f t="shared" si="0"/>
        <v>6</v>
      </c>
      <c r="D15" s="191"/>
      <c r="E15" s="192"/>
      <c r="F15" s="192"/>
      <c r="G15" s="193"/>
      <c r="H15" s="124" t="s">
        <v>52</v>
      </c>
      <c r="K15" s="121"/>
      <c r="L15" s="167" t="s">
        <v>108</v>
      </c>
      <c r="N15" s="122"/>
      <c r="O15" s="123"/>
      <c r="P15" s="256" t="s">
        <v>134</v>
      </c>
      <c r="Q15" s="257"/>
      <c r="R15" s="257"/>
      <c r="S15" s="257"/>
      <c r="T15" s="257"/>
      <c r="U15" s="257"/>
      <c r="V15" s="257"/>
      <c r="W15" s="258"/>
      <c r="X15" s="256" t="s">
        <v>49</v>
      </c>
      <c r="Y15" s="257"/>
      <c r="Z15" s="257"/>
      <c r="AA15" s="257"/>
      <c r="AB15" s="257"/>
      <c r="AC15" s="257"/>
      <c r="AD15" s="257"/>
      <c r="AE15" s="258"/>
      <c r="AF15" s="185"/>
      <c r="AG15" s="186"/>
      <c r="AH15" s="186"/>
      <c r="AI15" s="186"/>
      <c r="AJ15" s="186"/>
      <c r="AK15" s="186"/>
      <c r="AL15" s="186"/>
      <c r="AM15" s="186"/>
      <c r="AN15" s="187"/>
      <c r="AO15" s="289">
        <v>45681</v>
      </c>
      <c r="AP15" s="248"/>
      <c r="AQ15" s="246" t="s">
        <v>156</v>
      </c>
      <c r="AR15" s="242"/>
      <c r="AS15" s="246" t="s">
        <v>154</v>
      </c>
      <c r="AT15" s="249"/>
      <c r="AU15" s="188"/>
      <c r="AV15" s="189"/>
      <c r="AW15" s="175"/>
      <c r="AX15" s="176"/>
      <c r="AY15" s="175"/>
      <c r="AZ15" s="190"/>
      <c r="BA15" s="182"/>
      <c r="BB15" s="183"/>
      <c r="BC15" s="183"/>
      <c r="BD15" s="183"/>
      <c r="BE15" s="183"/>
      <c r="BF15" s="183"/>
      <c r="BG15" s="183"/>
      <c r="BH15" s="183"/>
      <c r="BI15" s="183"/>
      <c r="BJ15" s="183"/>
      <c r="BK15" s="183"/>
      <c r="BL15" s="184"/>
      <c r="BM15" s="172"/>
      <c r="BN15" s="172"/>
    </row>
    <row r="16" spans="1:66" ht="18.600000000000001" customHeight="1" x14ac:dyDescent="0.45">
      <c r="A16" s="169"/>
      <c r="B16" s="169"/>
      <c r="C16" s="177">
        <f t="shared" si="0"/>
        <v>7</v>
      </c>
      <c r="D16" s="191"/>
      <c r="E16" s="192"/>
      <c r="F16" s="192"/>
      <c r="G16" s="193"/>
      <c r="I16" s="192"/>
      <c r="J16" s="192"/>
      <c r="K16" s="193"/>
      <c r="L16" s="85" t="s">
        <v>109</v>
      </c>
      <c r="M16" s="84"/>
      <c r="N16" s="82"/>
      <c r="O16" s="83"/>
      <c r="P16" s="256" t="s">
        <v>134</v>
      </c>
      <c r="Q16" s="257"/>
      <c r="R16" s="257"/>
      <c r="S16" s="257"/>
      <c r="T16" s="257"/>
      <c r="U16" s="257"/>
      <c r="V16" s="257"/>
      <c r="W16" s="258"/>
      <c r="X16" s="256" t="s">
        <v>49</v>
      </c>
      <c r="Y16" s="257"/>
      <c r="Z16" s="257"/>
      <c r="AA16" s="257"/>
      <c r="AB16" s="257"/>
      <c r="AC16" s="257"/>
      <c r="AD16" s="257"/>
      <c r="AE16" s="258"/>
      <c r="AO16" s="289">
        <v>45681</v>
      </c>
      <c r="AP16" s="248"/>
      <c r="AQ16" s="246" t="s">
        <v>156</v>
      </c>
      <c r="AR16" s="242"/>
      <c r="AS16" s="246" t="s">
        <v>154</v>
      </c>
      <c r="AT16" s="249"/>
      <c r="AU16" s="188"/>
      <c r="AV16" s="189"/>
      <c r="AW16" s="175"/>
      <c r="AX16" s="176"/>
      <c r="AY16" s="175"/>
      <c r="AZ16" s="190"/>
      <c r="BA16" s="182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4"/>
      <c r="BM16" s="172"/>
      <c r="BN16" s="172"/>
    </row>
    <row r="17" spans="1:66" ht="20.100000000000001" customHeight="1" x14ac:dyDescent="0.45">
      <c r="A17" s="169"/>
      <c r="B17" s="169"/>
      <c r="C17" s="177">
        <f t="shared" si="0"/>
        <v>8</v>
      </c>
      <c r="D17" s="191"/>
      <c r="E17" s="192"/>
      <c r="F17" s="192"/>
      <c r="G17" s="193"/>
      <c r="H17" s="191"/>
      <c r="I17" s="192"/>
      <c r="J17" s="192"/>
      <c r="K17" s="193"/>
      <c r="L17" s="120" t="s">
        <v>110</v>
      </c>
      <c r="M17" s="118"/>
      <c r="N17" s="118"/>
      <c r="O17" s="119"/>
      <c r="P17" s="256" t="s">
        <v>134</v>
      </c>
      <c r="Q17" s="257"/>
      <c r="R17" s="257"/>
      <c r="S17" s="257"/>
      <c r="T17" s="257"/>
      <c r="U17" s="257"/>
      <c r="V17" s="257"/>
      <c r="W17" s="258"/>
      <c r="X17" s="256" t="s">
        <v>49</v>
      </c>
      <c r="Y17" s="257"/>
      <c r="Z17" s="257"/>
      <c r="AA17" s="257"/>
      <c r="AB17" s="257"/>
      <c r="AC17" s="257"/>
      <c r="AD17" s="257"/>
      <c r="AE17" s="258"/>
      <c r="AF17" s="185"/>
      <c r="AG17" s="186"/>
      <c r="AH17" s="186"/>
      <c r="AI17" s="186"/>
      <c r="AJ17" s="186"/>
      <c r="AK17" s="186"/>
      <c r="AL17" s="186"/>
      <c r="AM17" s="186"/>
      <c r="AN17" s="187"/>
      <c r="AO17" s="289">
        <v>45681</v>
      </c>
      <c r="AP17" s="248"/>
      <c r="AQ17" s="246" t="s">
        <v>156</v>
      </c>
      <c r="AR17" s="242"/>
      <c r="AS17" s="246" t="s">
        <v>154</v>
      </c>
      <c r="AT17" s="249"/>
      <c r="AU17" s="188"/>
      <c r="AV17" s="189"/>
      <c r="AW17" s="175"/>
      <c r="AX17" s="176"/>
      <c r="AY17" s="175"/>
      <c r="AZ17" s="190"/>
      <c r="BA17" s="182"/>
      <c r="BB17" s="183"/>
      <c r="BC17" s="183"/>
      <c r="BD17" s="183"/>
      <c r="BE17" s="183"/>
      <c r="BF17" s="183"/>
      <c r="BG17" s="183"/>
      <c r="BH17" s="183"/>
      <c r="BI17" s="183"/>
      <c r="BJ17" s="183"/>
      <c r="BK17" s="183"/>
      <c r="BL17" s="184"/>
      <c r="BM17" s="172"/>
      <c r="BN17" s="172"/>
    </row>
    <row r="18" spans="1:66" ht="20.100000000000001" customHeight="1" x14ac:dyDescent="0.45">
      <c r="A18" s="169"/>
      <c r="B18" s="169"/>
      <c r="C18" s="177">
        <f t="shared" si="0"/>
        <v>9</v>
      </c>
      <c r="D18" s="253"/>
      <c r="E18" s="254"/>
      <c r="F18" s="254"/>
      <c r="G18" s="255"/>
      <c r="H18" s="253"/>
      <c r="I18" s="254"/>
      <c r="J18" s="254"/>
      <c r="K18" s="255"/>
      <c r="L18" s="86" t="s">
        <v>111</v>
      </c>
      <c r="M18" s="82"/>
      <c r="N18" s="82"/>
      <c r="O18" s="83"/>
      <c r="P18" s="256" t="s">
        <v>134</v>
      </c>
      <c r="Q18" s="257"/>
      <c r="R18" s="257"/>
      <c r="S18" s="257"/>
      <c r="T18" s="257"/>
      <c r="U18" s="257"/>
      <c r="V18" s="257"/>
      <c r="W18" s="258"/>
      <c r="X18" s="256" t="s">
        <v>49</v>
      </c>
      <c r="Y18" s="257"/>
      <c r="Z18" s="257"/>
      <c r="AA18" s="257"/>
      <c r="AB18" s="257"/>
      <c r="AC18" s="257"/>
      <c r="AD18" s="257"/>
      <c r="AE18" s="258"/>
      <c r="AF18" s="256"/>
      <c r="AG18" s="257"/>
      <c r="AH18" s="257"/>
      <c r="AI18" s="257"/>
      <c r="AJ18" s="257"/>
      <c r="AK18" s="257"/>
      <c r="AL18" s="257"/>
      <c r="AM18" s="257"/>
      <c r="AN18" s="259"/>
      <c r="AO18" s="289">
        <v>45681</v>
      </c>
      <c r="AP18" s="248"/>
      <c r="AQ18" s="246" t="s">
        <v>156</v>
      </c>
      <c r="AR18" s="242"/>
      <c r="AS18" s="246" t="s">
        <v>154</v>
      </c>
      <c r="AT18" s="249"/>
      <c r="AU18" s="247"/>
      <c r="AV18" s="248"/>
      <c r="AW18" s="246"/>
      <c r="AX18" s="242"/>
      <c r="AY18" s="246"/>
      <c r="AZ18" s="249"/>
      <c r="BA18" s="288"/>
      <c r="BB18" s="251"/>
      <c r="BC18" s="251"/>
      <c r="BD18" s="251"/>
      <c r="BE18" s="251"/>
      <c r="BF18" s="251"/>
      <c r="BG18" s="251"/>
      <c r="BH18" s="251"/>
      <c r="BI18" s="251"/>
      <c r="BJ18" s="251"/>
      <c r="BK18" s="251"/>
      <c r="BL18" s="252"/>
      <c r="BM18" s="172"/>
      <c r="BN18" s="172"/>
    </row>
    <row r="19" spans="1:66" ht="21" customHeight="1" x14ac:dyDescent="0.45">
      <c r="A19" s="169"/>
      <c r="B19" s="169"/>
      <c r="C19" s="177">
        <f t="shared" si="0"/>
        <v>10</v>
      </c>
      <c r="D19" s="191"/>
      <c r="E19" s="192"/>
      <c r="F19" s="192"/>
      <c r="G19" s="193"/>
      <c r="L19" s="120" t="s">
        <v>112</v>
      </c>
      <c r="M19" s="118"/>
      <c r="N19" s="118"/>
      <c r="O19" s="119"/>
      <c r="P19" s="256" t="s">
        <v>134</v>
      </c>
      <c r="Q19" s="257"/>
      <c r="R19" s="257"/>
      <c r="S19" s="257"/>
      <c r="T19" s="257"/>
      <c r="U19" s="257"/>
      <c r="V19" s="257"/>
      <c r="W19" s="258"/>
      <c r="X19" s="256" t="s">
        <v>49</v>
      </c>
      <c r="Y19" s="257"/>
      <c r="Z19" s="257"/>
      <c r="AA19" s="257"/>
      <c r="AB19" s="257"/>
      <c r="AC19" s="257"/>
      <c r="AD19" s="257"/>
      <c r="AE19" s="258"/>
      <c r="AF19" s="256"/>
      <c r="AG19" s="257"/>
      <c r="AH19" s="257"/>
      <c r="AI19" s="257"/>
      <c r="AJ19" s="257"/>
      <c r="AK19" s="257"/>
      <c r="AL19" s="257"/>
      <c r="AM19" s="257"/>
      <c r="AN19" s="259"/>
      <c r="AO19" s="289">
        <v>45681</v>
      </c>
      <c r="AP19" s="248"/>
      <c r="AQ19" s="246" t="s">
        <v>156</v>
      </c>
      <c r="AR19" s="242"/>
      <c r="AS19" s="246" t="s">
        <v>154</v>
      </c>
      <c r="AT19" s="249"/>
      <c r="AU19" s="247"/>
      <c r="AV19" s="248"/>
      <c r="AW19" s="246"/>
      <c r="AX19" s="242"/>
      <c r="AY19" s="246"/>
      <c r="AZ19" s="249"/>
      <c r="BA19" s="288"/>
      <c r="BB19" s="251"/>
      <c r="BC19" s="251"/>
      <c r="BD19" s="251"/>
      <c r="BE19" s="251"/>
      <c r="BF19" s="251"/>
      <c r="BG19" s="251"/>
      <c r="BH19" s="251"/>
      <c r="BI19" s="251"/>
      <c r="BJ19" s="251"/>
      <c r="BK19" s="251"/>
      <c r="BL19" s="252"/>
      <c r="BM19" s="172"/>
      <c r="BN19" s="172"/>
    </row>
    <row r="20" spans="1:66" ht="20.100000000000001" customHeight="1" x14ac:dyDescent="0.45">
      <c r="A20" s="169"/>
      <c r="B20" s="169"/>
      <c r="C20" s="177">
        <f t="shared" si="0"/>
        <v>11</v>
      </c>
      <c r="D20" s="191"/>
      <c r="E20" s="192"/>
      <c r="F20" s="192"/>
      <c r="G20" s="193"/>
      <c r="K20" s="90"/>
      <c r="L20" s="167" t="s">
        <v>113</v>
      </c>
      <c r="P20" s="256" t="s">
        <v>134</v>
      </c>
      <c r="Q20" s="257"/>
      <c r="R20" s="257"/>
      <c r="S20" s="257"/>
      <c r="T20" s="257"/>
      <c r="U20" s="257"/>
      <c r="V20" s="257"/>
      <c r="W20" s="258"/>
      <c r="X20" s="256" t="s">
        <v>49</v>
      </c>
      <c r="Y20" s="257"/>
      <c r="Z20" s="257"/>
      <c r="AA20" s="257"/>
      <c r="AB20" s="257"/>
      <c r="AC20" s="257"/>
      <c r="AD20" s="257"/>
      <c r="AE20" s="258"/>
      <c r="AF20" s="185"/>
      <c r="AG20" s="186"/>
      <c r="AH20" s="186"/>
      <c r="AI20" s="186"/>
      <c r="AJ20" s="186"/>
      <c r="AK20" s="186"/>
      <c r="AL20" s="186"/>
      <c r="AM20" s="186"/>
      <c r="AN20" s="187"/>
      <c r="AO20" s="289">
        <v>45681</v>
      </c>
      <c r="AP20" s="248"/>
      <c r="AQ20" s="246" t="s">
        <v>156</v>
      </c>
      <c r="AR20" s="242"/>
      <c r="AS20" s="246" t="s">
        <v>154</v>
      </c>
      <c r="AT20" s="249"/>
      <c r="AU20" s="188"/>
      <c r="AV20" s="189"/>
      <c r="AW20" s="175"/>
      <c r="AX20" s="176"/>
      <c r="AY20" s="175"/>
      <c r="AZ20" s="190"/>
      <c r="BA20" s="182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L20" s="184"/>
      <c r="BM20" s="172"/>
      <c r="BN20" s="172"/>
    </row>
    <row r="21" spans="1:66" ht="20.100000000000001" customHeight="1" x14ac:dyDescent="0.45">
      <c r="A21" s="169"/>
      <c r="B21" s="169"/>
      <c r="C21" s="177">
        <f t="shared" si="0"/>
        <v>12</v>
      </c>
      <c r="D21" s="191"/>
      <c r="E21" s="192"/>
      <c r="F21" s="192"/>
      <c r="G21" s="193"/>
      <c r="I21" s="192"/>
      <c r="J21" s="192"/>
      <c r="K21" s="193"/>
      <c r="L21" s="120" t="s">
        <v>114</v>
      </c>
      <c r="M21" s="87"/>
      <c r="N21" s="87"/>
      <c r="O21" s="88"/>
      <c r="P21" s="256" t="s">
        <v>134</v>
      </c>
      <c r="Q21" s="257"/>
      <c r="R21" s="257"/>
      <c r="S21" s="257"/>
      <c r="T21" s="257"/>
      <c r="U21" s="257"/>
      <c r="V21" s="257"/>
      <c r="W21" s="258"/>
      <c r="X21" s="256" t="s">
        <v>46</v>
      </c>
      <c r="Y21" s="257"/>
      <c r="Z21" s="257"/>
      <c r="AA21" s="257"/>
      <c r="AB21" s="257"/>
      <c r="AC21" s="257"/>
      <c r="AD21" s="257"/>
      <c r="AE21" s="258"/>
      <c r="AF21" s="185"/>
      <c r="AG21" s="186"/>
      <c r="AH21" s="186"/>
      <c r="AI21" s="186"/>
      <c r="AJ21" s="186"/>
      <c r="AK21" s="186"/>
      <c r="AL21" s="186"/>
      <c r="AM21" s="186"/>
      <c r="AN21" s="187"/>
      <c r="AO21" s="289">
        <v>45681</v>
      </c>
      <c r="AP21" s="248"/>
      <c r="AQ21" s="246" t="s">
        <v>156</v>
      </c>
      <c r="AR21" s="242"/>
      <c r="AS21" s="246" t="s">
        <v>154</v>
      </c>
      <c r="AT21" s="249"/>
      <c r="AU21" s="188"/>
      <c r="AV21" s="189"/>
      <c r="AW21" s="175"/>
      <c r="AX21" s="176"/>
      <c r="AY21" s="175"/>
      <c r="AZ21" s="190"/>
      <c r="BA21" s="182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4"/>
      <c r="BM21" s="172"/>
      <c r="BN21" s="172"/>
    </row>
    <row r="22" spans="1:66" ht="20.100000000000001" customHeight="1" x14ac:dyDescent="0.45">
      <c r="A22" s="169"/>
      <c r="B22" s="169"/>
      <c r="C22" s="177">
        <f t="shared" si="0"/>
        <v>13</v>
      </c>
      <c r="D22" s="191"/>
      <c r="E22" s="192"/>
      <c r="F22" s="192"/>
      <c r="G22" s="193"/>
      <c r="H22" s="191"/>
      <c r="I22" s="192"/>
      <c r="J22" s="192"/>
      <c r="K22" s="193"/>
      <c r="L22" s="120" t="s">
        <v>115</v>
      </c>
      <c r="M22" s="87"/>
      <c r="N22" s="87"/>
      <c r="O22" s="88"/>
      <c r="P22" s="256" t="s">
        <v>134</v>
      </c>
      <c r="Q22" s="257"/>
      <c r="R22" s="257"/>
      <c r="S22" s="257"/>
      <c r="T22" s="257"/>
      <c r="U22" s="257"/>
      <c r="V22" s="257"/>
      <c r="W22" s="258"/>
      <c r="X22" s="256" t="s">
        <v>46</v>
      </c>
      <c r="Y22" s="257"/>
      <c r="Z22" s="257"/>
      <c r="AA22" s="257"/>
      <c r="AB22" s="257"/>
      <c r="AC22" s="257"/>
      <c r="AD22" s="257"/>
      <c r="AE22" s="258"/>
      <c r="AF22" s="185"/>
      <c r="AG22" s="186"/>
      <c r="AH22" s="186"/>
      <c r="AI22" s="186"/>
      <c r="AJ22" s="186"/>
      <c r="AK22" s="186"/>
      <c r="AL22" s="186"/>
      <c r="AM22" s="186"/>
      <c r="AN22" s="187"/>
      <c r="AO22" s="289">
        <v>45681</v>
      </c>
      <c r="AP22" s="248"/>
      <c r="AQ22" s="246" t="s">
        <v>156</v>
      </c>
      <c r="AR22" s="242"/>
      <c r="AS22" s="246" t="s">
        <v>154</v>
      </c>
      <c r="AT22" s="249"/>
      <c r="AU22" s="188"/>
      <c r="AV22" s="189"/>
      <c r="AW22" s="175"/>
      <c r="AX22" s="176"/>
      <c r="AY22" s="175"/>
      <c r="AZ22" s="190"/>
      <c r="BA22" s="182"/>
      <c r="BB22" s="183"/>
      <c r="BC22" s="183"/>
      <c r="BD22" s="183"/>
      <c r="BE22" s="183"/>
      <c r="BF22" s="183"/>
      <c r="BG22" s="183"/>
      <c r="BH22" s="183"/>
      <c r="BI22" s="183"/>
      <c r="BJ22" s="183"/>
      <c r="BK22" s="183"/>
      <c r="BL22" s="184"/>
      <c r="BM22" s="172"/>
      <c r="BN22" s="172"/>
    </row>
    <row r="23" spans="1:66" ht="20.100000000000001" customHeight="1" x14ac:dyDescent="0.45">
      <c r="A23" s="169"/>
      <c r="B23" s="169"/>
      <c r="C23" s="177">
        <f t="shared" si="0"/>
        <v>14</v>
      </c>
      <c r="D23" s="191"/>
      <c r="E23" s="192"/>
      <c r="F23" s="192"/>
      <c r="G23" s="193"/>
      <c r="H23" s="191"/>
      <c r="I23" s="192"/>
      <c r="J23" s="192"/>
      <c r="K23" s="193"/>
      <c r="L23" s="120" t="s">
        <v>63</v>
      </c>
      <c r="M23" s="87"/>
      <c r="N23" s="87"/>
      <c r="O23" s="88"/>
      <c r="P23" s="256" t="s">
        <v>134</v>
      </c>
      <c r="Q23" s="257"/>
      <c r="R23" s="257"/>
      <c r="S23" s="257"/>
      <c r="T23" s="257"/>
      <c r="U23" s="257"/>
      <c r="V23" s="257"/>
      <c r="W23" s="258"/>
      <c r="X23" s="256" t="s">
        <v>46</v>
      </c>
      <c r="Y23" s="257"/>
      <c r="Z23" s="257"/>
      <c r="AA23" s="257"/>
      <c r="AB23" s="257"/>
      <c r="AC23" s="257"/>
      <c r="AD23" s="257"/>
      <c r="AE23" s="258"/>
      <c r="AF23" s="185"/>
      <c r="AG23" s="186"/>
      <c r="AH23" s="186"/>
      <c r="AI23" s="186"/>
      <c r="AJ23" s="186"/>
      <c r="AK23" s="186"/>
      <c r="AL23" s="186"/>
      <c r="AM23" s="186"/>
      <c r="AN23" s="187"/>
      <c r="AO23" s="289">
        <v>45681</v>
      </c>
      <c r="AP23" s="248"/>
      <c r="AQ23" s="246" t="s">
        <v>156</v>
      </c>
      <c r="AR23" s="242"/>
      <c r="AS23" s="246" t="s">
        <v>154</v>
      </c>
      <c r="AT23" s="249"/>
      <c r="AU23" s="188"/>
      <c r="AV23" s="189"/>
      <c r="AW23" s="175"/>
      <c r="AX23" s="176"/>
      <c r="AY23" s="175"/>
      <c r="AZ23" s="190"/>
      <c r="BA23" s="182"/>
      <c r="BB23" s="183"/>
      <c r="BC23" s="183"/>
      <c r="BD23" s="183"/>
      <c r="BE23" s="183"/>
      <c r="BF23" s="183"/>
      <c r="BG23" s="183"/>
      <c r="BH23" s="183"/>
      <c r="BI23" s="183"/>
      <c r="BJ23" s="183"/>
      <c r="BK23" s="183"/>
      <c r="BL23" s="184"/>
      <c r="BM23" s="172"/>
      <c r="BN23" s="172"/>
    </row>
    <row r="24" spans="1:66" ht="20.100000000000001" customHeight="1" x14ac:dyDescent="0.45">
      <c r="A24" s="169"/>
      <c r="B24" s="169"/>
      <c r="C24" s="177">
        <f t="shared" si="0"/>
        <v>15</v>
      </c>
      <c r="D24" s="191"/>
      <c r="E24" s="192"/>
      <c r="F24" s="192"/>
      <c r="G24" s="193"/>
      <c r="H24" s="191"/>
      <c r="I24" s="192"/>
      <c r="J24" s="192"/>
      <c r="K24" s="193"/>
      <c r="L24" s="120" t="s">
        <v>64</v>
      </c>
      <c r="M24" s="87"/>
      <c r="N24" s="87"/>
      <c r="O24" s="88"/>
      <c r="P24" s="256" t="s">
        <v>134</v>
      </c>
      <c r="Q24" s="257"/>
      <c r="R24" s="257"/>
      <c r="S24" s="257"/>
      <c r="T24" s="257"/>
      <c r="U24" s="257"/>
      <c r="V24" s="257"/>
      <c r="W24" s="258"/>
      <c r="X24" s="256" t="s">
        <v>46</v>
      </c>
      <c r="Y24" s="257"/>
      <c r="Z24" s="257"/>
      <c r="AA24" s="257"/>
      <c r="AB24" s="257"/>
      <c r="AC24" s="257"/>
      <c r="AD24" s="257"/>
      <c r="AE24" s="258"/>
      <c r="AF24" s="185"/>
      <c r="AG24" s="186"/>
      <c r="AH24" s="186"/>
      <c r="AI24" s="186"/>
      <c r="AJ24" s="186"/>
      <c r="AK24" s="186"/>
      <c r="AL24" s="186"/>
      <c r="AM24" s="186"/>
      <c r="AN24" s="187"/>
      <c r="AO24" s="289">
        <v>45681</v>
      </c>
      <c r="AP24" s="248"/>
      <c r="AQ24" s="246" t="s">
        <v>156</v>
      </c>
      <c r="AR24" s="242"/>
      <c r="AS24" s="246" t="s">
        <v>154</v>
      </c>
      <c r="AT24" s="249"/>
      <c r="AU24" s="188"/>
      <c r="AV24" s="189"/>
      <c r="AW24" s="175"/>
      <c r="AX24" s="176"/>
      <c r="AY24" s="175"/>
      <c r="AZ24" s="190"/>
      <c r="BA24" s="182"/>
      <c r="BB24" s="183"/>
      <c r="BC24" s="183"/>
      <c r="BD24" s="183"/>
      <c r="BE24" s="183"/>
      <c r="BF24" s="183"/>
      <c r="BG24" s="183"/>
      <c r="BH24" s="183"/>
      <c r="BI24" s="183"/>
      <c r="BJ24" s="183"/>
      <c r="BK24" s="183"/>
      <c r="BL24" s="184"/>
      <c r="BM24" s="172"/>
      <c r="BN24" s="172"/>
    </row>
    <row r="25" spans="1:66" ht="20.100000000000001" customHeight="1" x14ac:dyDescent="0.45">
      <c r="A25" s="169"/>
      <c r="B25" s="169"/>
      <c r="C25" s="177">
        <f t="shared" si="0"/>
        <v>16</v>
      </c>
      <c r="D25" s="191"/>
      <c r="E25" s="192"/>
      <c r="F25" s="192"/>
      <c r="G25" s="193"/>
      <c r="H25" s="191"/>
      <c r="I25" s="192"/>
      <c r="J25" s="192"/>
      <c r="K25" s="193"/>
      <c r="L25" s="120" t="s">
        <v>116</v>
      </c>
      <c r="M25" s="87"/>
      <c r="N25" s="87"/>
      <c r="O25" s="88"/>
      <c r="P25" s="256" t="s">
        <v>134</v>
      </c>
      <c r="Q25" s="257"/>
      <c r="R25" s="257"/>
      <c r="S25" s="257"/>
      <c r="T25" s="257"/>
      <c r="U25" s="257"/>
      <c r="V25" s="257"/>
      <c r="W25" s="258"/>
      <c r="X25" s="256" t="s">
        <v>46</v>
      </c>
      <c r="Y25" s="257"/>
      <c r="Z25" s="257"/>
      <c r="AA25" s="257"/>
      <c r="AB25" s="257"/>
      <c r="AC25" s="257"/>
      <c r="AD25" s="257"/>
      <c r="AE25" s="258"/>
      <c r="AF25" s="185"/>
      <c r="AG25" s="186"/>
      <c r="AH25" s="186"/>
      <c r="AI25" s="186"/>
      <c r="AJ25" s="186"/>
      <c r="AK25" s="186"/>
      <c r="AL25" s="186"/>
      <c r="AM25" s="186"/>
      <c r="AN25" s="187"/>
      <c r="AO25" s="289">
        <v>45681</v>
      </c>
      <c r="AP25" s="248"/>
      <c r="AQ25" s="246" t="s">
        <v>156</v>
      </c>
      <c r="AR25" s="242"/>
      <c r="AS25" s="246" t="s">
        <v>154</v>
      </c>
      <c r="AT25" s="249"/>
      <c r="AU25" s="188"/>
      <c r="AV25" s="189"/>
      <c r="AW25" s="175"/>
      <c r="AX25" s="176"/>
      <c r="AY25" s="175"/>
      <c r="AZ25" s="190"/>
      <c r="BA25" s="182"/>
      <c r="BB25" s="183"/>
      <c r="BC25" s="183"/>
      <c r="BD25" s="183"/>
      <c r="BE25" s="183"/>
      <c r="BF25" s="183"/>
      <c r="BG25" s="183"/>
      <c r="BH25" s="183"/>
      <c r="BI25" s="183"/>
      <c r="BJ25" s="183"/>
      <c r="BK25" s="183"/>
      <c r="BL25" s="184"/>
      <c r="BM25" s="172"/>
      <c r="BN25" s="172"/>
    </row>
    <row r="26" spans="1:66" ht="20.100000000000001" customHeight="1" x14ac:dyDescent="0.45">
      <c r="A26" s="169"/>
      <c r="B26" s="169"/>
      <c r="C26" s="177">
        <f t="shared" si="0"/>
        <v>17</v>
      </c>
      <c r="D26" s="191"/>
      <c r="E26" s="192"/>
      <c r="F26" s="192"/>
      <c r="G26" s="193"/>
      <c r="H26" s="191"/>
      <c r="I26" s="192"/>
      <c r="J26" s="192"/>
      <c r="K26" s="193"/>
      <c r="L26" s="120" t="s">
        <v>117</v>
      </c>
      <c r="M26" s="87"/>
      <c r="N26" s="87"/>
      <c r="O26" s="88"/>
      <c r="P26" s="256" t="s">
        <v>134</v>
      </c>
      <c r="Q26" s="257"/>
      <c r="R26" s="257"/>
      <c r="S26" s="257"/>
      <c r="T26" s="257"/>
      <c r="U26" s="257"/>
      <c r="V26" s="257"/>
      <c r="W26" s="258"/>
      <c r="X26" s="256" t="s">
        <v>46</v>
      </c>
      <c r="Y26" s="257"/>
      <c r="Z26" s="257"/>
      <c r="AA26" s="257"/>
      <c r="AB26" s="257"/>
      <c r="AC26" s="257"/>
      <c r="AD26" s="257"/>
      <c r="AE26" s="258"/>
      <c r="AF26" s="185"/>
      <c r="AG26" s="186"/>
      <c r="AH26" s="186"/>
      <c r="AI26" s="186"/>
      <c r="AJ26" s="186"/>
      <c r="AK26" s="186"/>
      <c r="AL26" s="186"/>
      <c r="AM26" s="186"/>
      <c r="AN26" s="187"/>
      <c r="AO26" s="289">
        <v>45681</v>
      </c>
      <c r="AP26" s="248"/>
      <c r="AQ26" s="246" t="s">
        <v>156</v>
      </c>
      <c r="AR26" s="242"/>
      <c r="AS26" s="246" t="s">
        <v>154</v>
      </c>
      <c r="AT26" s="249"/>
      <c r="AU26" s="188"/>
      <c r="AV26" s="189"/>
      <c r="AW26" s="175"/>
      <c r="AX26" s="176"/>
      <c r="AY26" s="175"/>
      <c r="AZ26" s="190"/>
      <c r="BA26" s="182"/>
      <c r="BB26" s="183"/>
      <c r="BC26" s="183"/>
      <c r="BD26" s="183"/>
      <c r="BE26" s="183"/>
      <c r="BF26" s="183"/>
      <c r="BG26" s="183"/>
      <c r="BH26" s="183"/>
      <c r="BI26" s="183"/>
      <c r="BJ26" s="183"/>
      <c r="BK26" s="183"/>
      <c r="BL26" s="184"/>
      <c r="BM26" s="172"/>
      <c r="BN26" s="172"/>
    </row>
    <row r="27" spans="1:66" ht="20.100000000000001" customHeight="1" x14ac:dyDescent="0.45">
      <c r="A27" s="169"/>
      <c r="B27" s="169"/>
      <c r="C27" s="177">
        <f t="shared" si="0"/>
        <v>18</v>
      </c>
      <c r="D27" s="191"/>
      <c r="E27" s="192"/>
      <c r="F27" s="192"/>
      <c r="G27" s="193"/>
      <c r="H27" s="191"/>
      <c r="I27" s="192"/>
      <c r="J27" s="192"/>
      <c r="K27" s="193"/>
      <c r="L27" s="120" t="s">
        <v>118</v>
      </c>
      <c r="M27" s="87"/>
      <c r="N27" s="87"/>
      <c r="O27" s="88"/>
      <c r="P27" s="256" t="s">
        <v>134</v>
      </c>
      <c r="Q27" s="257"/>
      <c r="R27" s="257"/>
      <c r="S27" s="257"/>
      <c r="T27" s="257"/>
      <c r="U27" s="257"/>
      <c r="V27" s="257"/>
      <c r="W27" s="258"/>
      <c r="X27" s="256" t="s">
        <v>46</v>
      </c>
      <c r="Y27" s="257"/>
      <c r="Z27" s="257"/>
      <c r="AA27" s="257"/>
      <c r="AB27" s="257"/>
      <c r="AC27" s="257"/>
      <c r="AD27" s="257"/>
      <c r="AE27" s="258"/>
      <c r="AF27" s="185"/>
      <c r="AG27" s="186"/>
      <c r="AH27" s="186"/>
      <c r="AI27" s="186"/>
      <c r="AJ27" s="186"/>
      <c r="AK27" s="186"/>
      <c r="AL27" s="186"/>
      <c r="AM27" s="186"/>
      <c r="AN27" s="187"/>
      <c r="AO27" s="289">
        <v>45681</v>
      </c>
      <c r="AP27" s="248"/>
      <c r="AQ27" s="246" t="s">
        <v>156</v>
      </c>
      <c r="AR27" s="242"/>
      <c r="AS27" s="246" t="s">
        <v>154</v>
      </c>
      <c r="AT27" s="249"/>
      <c r="AU27" s="188"/>
      <c r="AV27" s="189"/>
      <c r="AW27" s="175"/>
      <c r="AX27" s="176"/>
      <c r="AY27" s="175"/>
      <c r="AZ27" s="190"/>
      <c r="BA27" s="182"/>
      <c r="BB27" s="183"/>
      <c r="BC27" s="183"/>
      <c r="BD27" s="183"/>
      <c r="BE27" s="183"/>
      <c r="BF27" s="183"/>
      <c r="BG27" s="183"/>
      <c r="BH27" s="183"/>
      <c r="BI27" s="183"/>
      <c r="BJ27" s="183"/>
      <c r="BK27" s="183"/>
      <c r="BL27" s="184"/>
      <c r="BM27" s="172"/>
      <c r="BN27" s="172"/>
    </row>
    <row r="28" spans="1:66" ht="20.100000000000001" customHeight="1" x14ac:dyDescent="0.45">
      <c r="A28" s="169"/>
      <c r="B28" s="169"/>
      <c r="C28" s="177">
        <f t="shared" si="0"/>
        <v>19</v>
      </c>
      <c r="D28" s="191"/>
      <c r="E28" s="192"/>
      <c r="F28" s="192"/>
      <c r="G28" s="193"/>
      <c r="H28" s="191"/>
      <c r="I28" s="192"/>
      <c r="J28" s="192"/>
      <c r="K28" s="193"/>
      <c r="L28" s="120" t="s">
        <v>119</v>
      </c>
      <c r="M28" s="87"/>
      <c r="N28" s="87"/>
      <c r="O28" s="88"/>
      <c r="P28" s="256" t="s">
        <v>134</v>
      </c>
      <c r="Q28" s="257"/>
      <c r="R28" s="257"/>
      <c r="S28" s="257"/>
      <c r="T28" s="257"/>
      <c r="U28" s="257"/>
      <c r="V28" s="257"/>
      <c r="W28" s="258"/>
      <c r="X28" s="256" t="s">
        <v>46</v>
      </c>
      <c r="Y28" s="257"/>
      <c r="Z28" s="257"/>
      <c r="AA28" s="257"/>
      <c r="AB28" s="257"/>
      <c r="AC28" s="257"/>
      <c r="AD28" s="257"/>
      <c r="AE28" s="258"/>
      <c r="AF28" s="185"/>
      <c r="AG28" s="186"/>
      <c r="AH28" s="186"/>
      <c r="AI28" s="186"/>
      <c r="AJ28" s="186"/>
      <c r="AK28" s="186"/>
      <c r="AL28" s="186"/>
      <c r="AM28" s="186"/>
      <c r="AN28" s="187"/>
      <c r="AO28" s="289">
        <v>45681</v>
      </c>
      <c r="AP28" s="248"/>
      <c r="AQ28" s="246" t="s">
        <v>156</v>
      </c>
      <c r="AR28" s="242"/>
      <c r="AS28" s="246" t="s">
        <v>154</v>
      </c>
      <c r="AT28" s="249"/>
      <c r="AU28" s="188"/>
      <c r="AV28" s="189"/>
      <c r="AW28" s="175"/>
      <c r="AX28" s="176"/>
      <c r="AY28" s="175"/>
      <c r="AZ28" s="190"/>
      <c r="BA28" s="182"/>
      <c r="BB28" s="183"/>
      <c r="BC28" s="183"/>
      <c r="BD28" s="183"/>
      <c r="BE28" s="183"/>
      <c r="BF28" s="183"/>
      <c r="BG28" s="183"/>
      <c r="BH28" s="183"/>
      <c r="BI28" s="183"/>
      <c r="BJ28" s="183"/>
      <c r="BK28" s="183"/>
      <c r="BL28" s="184"/>
      <c r="BM28" s="172"/>
      <c r="BN28" s="172"/>
    </row>
    <row r="29" spans="1:66" ht="20.100000000000001" customHeight="1" x14ac:dyDescent="0.45">
      <c r="A29" s="169"/>
      <c r="B29" s="169"/>
      <c r="C29" s="177">
        <f t="shared" si="0"/>
        <v>20</v>
      </c>
      <c r="D29" s="191"/>
      <c r="E29" s="192"/>
      <c r="F29" s="192"/>
      <c r="G29" s="193"/>
      <c r="H29" s="191"/>
      <c r="I29" s="192"/>
      <c r="J29" s="192"/>
      <c r="K29" s="193"/>
      <c r="L29" s="120" t="s">
        <v>53</v>
      </c>
      <c r="M29" s="87"/>
      <c r="N29" s="87"/>
      <c r="O29" s="88"/>
      <c r="P29" s="256" t="s">
        <v>134</v>
      </c>
      <c r="Q29" s="257"/>
      <c r="R29" s="257"/>
      <c r="S29" s="257"/>
      <c r="T29" s="257"/>
      <c r="U29" s="257"/>
      <c r="V29" s="257"/>
      <c r="W29" s="258"/>
      <c r="X29" s="256" t="s">
        <v>46</v>
      </c>
      <c r="Y29" s="257"/>
      <c r="Z29" s="257"/>
      <c r="AA29" s="257"/>
      <c r="AB29" s="257"/>
      <c r="AC29" s="257"/>
      <c r="AD29" s="257"/>
      <c r="AE29" s="258"/>
      <c r="AF29" s="185"/>
      <c r="AG29" s="186"/>
      <c r="AH29" s="186"/>
      <c r="AI29" s="186"/>
      <c r="AJ29" s="186"/>
      <c r="AK29" s="186"/>
      <c r="AL29" s="186"/>
      <c r="AM29" s="186"/>
      <c r="AN29" s="187"/>
      <c r="AO29" s="289">
        <v>45681</v>
      </c>
      <c r="AP29" s="248"/>
      <c r="AQ29" s="246" t="s">
        <v>156</v>
      </c>
      <c r="AR29" s="242"/>
      <c r="AS29" s="246" t="s">
        <v>154</v>
      </c>
      <c r="AT29" s="249"/>
      <c r="AU29" s="188"/>
      <c r="AV29" s="189"/>
      <c r="AW29" s="175"/>
      <c r="AX29" s="176"/>
      <c r="AY29" s="175"/>
      <c r="AZ29" s="190"/>
      <c r="BA29" s="182"/>
      <c r="BB29" s="183"/>
      <c r="BC29" s="183"/>
      <c r="BD29" s="183"/>
      <c r="BE29" s="183"/>
      <c r="BF29" s="183"/>
      <c r="BG29" s="183"/>
      <c r="BH29" s="183"/>
      <c r="BI29" s="183"/>
      <c r="BJ29" s="183"/>
      <c r="BK29" s="183"/>
      <c r="BL29" s="184"/>
      <c r="BM29" s="172"/>
      <c r="BN29" s="172"/>
    </row>
    <row r="30" spans="1:66" ht="20.100000000000001" customHeight="1" x14ac:dyDescent="0.45">
      <c r="A30" s="169"/>
      <c r="B30" s="169"/>
      <c r="C30" s="177">
        <f t="shared" si="0"/>
        <v>21</v>
      </c>
      <c r="D30" s="191"/>
      <c r="E30" s="192"/>
      <c r="F30" s="192"/>
      <c r="G30" s="193"/>
      <c r="H30" s="191"/>
      <c r="I30" s="192"/>
      <c r="J30" s="192"/>
      <c r="K30" s="193"/>
      <c r="L30" s="120" t="s">
        <v>54</v>
      </c>
      <c r="M30" s="87"/>
      <c r="N30" s="87"/>
      <c r="O30" s="88"/>
      <c r="P30" s="256" t="s">
        <v>134</v>
      </c>
      <c r="Q30" s="257"/>
      <c r="R30" s="257"/>
      <c r="S30" s="257"/>
      <c r="T30" s="257"/>
      <c r="U30" s="257"/>
      <c r="V30" s="257"/>
      <c r="W30" s="258"/>
      <c r="X30" s="256" t="s">
        <v>46</v>
      </c>
      <c r="Y30" s="257"/>
      <c r="Z30" s="257"/>
      <c r="AA30" s="257"/>
      <c r="AB30" s="257"/>
      <c r="AC30" s="257"/>
      <c r="AD30" s="257"/>
      <c r="AE30" s="258"/>
      <c r="AF30" s="185"/>
      <c r="AG30" s="186"/>
      <c r="AH30" s="186"/>
      <c r="AI30" s="186"/>
      <c r="AJ30" s="186"/>
      <c r="AK30" s="186"/>
      <c r="AL30" s="186"/>
      <c r="AM30" s="186"/>
      <c r="AN30" s="187"/>
      <c r="AO30" s="289">
        <v>45681</v>
      </c>
      <c r="AP30" s="248"/>
      <c r="AQ30" s="246" t="s">
        <v>156</v>
      </c>
      <c r="AR30" s="242"/>
      <c r="AS30" s="246" t="s">
        <v>154</v>
      </c>
      <c r="AT30" s="249"/>
      <c r="AU30" s="188"/>
      <c r="AV30" s="189"/>
      <c r="AW30" s="175"/>
      <c r="AX30" s="176"/>
      <c r="AY30" s="175"/>
      <c r="AZ30" s="190"/>
      <c r="BA30" s="182"/>
      <c r="BB30" s="183"/>
      <c r="BC30" s="183"/>
      <c r="BD30" s="183"/>
      <c r="BE30" s="183"/>
      <c r="BF30" s="183"/>
      <c r="BG30" s="183"/>
      <c r="BH30" s="183"/>
      <c r="BI30" s="183"/>
      <c r="BJ30" s="183"/>
      <c r="BK30" s="183"/>
      <c r="BL30" s="184"/>
      <c r="BM30" s="172"/>
      <c r="BN30" s="172"/>
    </row>
    <row r="31" spans="1:66" ht="20.100000000000001" customHeight="1" x14ac:dyDescent="0.45">
      <c r="A31" s="169"/>
      <c r="B31" s="169"/>
      <c r="C31" s="177">
        <f t="shared" si="0"/>
        <v>22</v>
      </c>
      <c r="D31" s="191"/>
      <c r="E31" s="192"/>
      <c r="F31" s="192"/>
      <c r="G31" s="193"/>
      <c r="H31" s="191"/>
      <c r="I31" s="192"/>
      <c r="J31" s="192"/>
      <c r="K31" s="193"/>
      <c r="L31" s="120" t="s">
        <v>55</v>
      </c>
      <c r="M31" s="87"/>
      <c r="N31" s="87"/>
      <c r="O31" s="88"/>
      <c r="P31" s="256" t="s">
        <v>134</v>
      </c>
      <c r="Q31" s="257"/>
      <c r="R31" s="257"/>
      <c r="S31" s="257"/>
      <c r="T31" s="257"/>
      <c r="U31" s="257"/>
      <c r="V31" s="257"/>
      <c r="W31" s="258"/>
      <c r="X31" s="256" t="s">
        <v>46</v>
      </c>
      <c r="Y31" s="257"/>
      <c r="Z31" s="257"/>
      <c r="AA31" s="257"/>
      <c r="AB31" s="257"/>
      <c r="AC31" s="257"/>
      <c r="AD31" s="257"/>
      <c r="AE31" s="258"/>
      <c r="AF31" s="185"/>
      <c r="AG31" s="186"/>
      <c r="AH31" s="186"/>
      <c r="AI31" s="186"/>
      <c r="AJ31" s="186"/>
      <c r="AK31" s="186"/>
      <c r="AL31" s="186"/>
      <c r="AM31" s="186"/>
      <c r="AN31" s="187"/>
      <c r="AO31" s="289">
        <v>45681</v>
      </c>
      <c r="AP31" s="248"/>
      <c r="AQ31" s="246" t="s">
        <v>156</v>
      </c>
      <c r="AR31" s="242"/>
      <c r="AS31" s="246" t="s">
        <v>154</v>
      </c>
      <c r="AT31" s="249"/>
      <c r="AU31" s="188"/>
      <c r="AV31" s="189"/>
      <c r="AW31" s="175"/>
      <c r="AX31" s="176"/>
      <c r="AY31" s="175"/>
      <c r="AZ31" s="190"/>
      <c r="BA31" s="182"/>
      <c r="BB31" s="183"/>
      <c r="BC31" s="183"/>
      <c r="BD31" s="183"/>
      <c r="BE31" s="183"/>
      <c r="BF31" s="183"/>
      <c r="BG31" s="183"/>
      <c r="BH31" s="183"/>
      <c r="BI31" s="183"/>
      <c r="BJ31" s="183"/>
      <c r="BK31" s="183"/>
      <c r="BL31" s="184"/>
      <c r="BM31" s="172"/>
      <c r="BN31" s="172"/>
    </row>
    <row r="32" spans="1:66" ht="20.100000000000001" customHeight="1" x14ac:dyDescent="0.45">
      <c r="A32" s="169"/>
      <c r="B32" s="169"/>
      <c r="C32" s="177">
        <f t="shared" si="0"/>
        <v>23</v>
      </c>
      <c r="D32" s="191"/>
      <c r="E32" s="192"/>
      <c r="F32" s="192"/>
      <c r="G32" s="193"/>
      <c r="H32" s="191"/>
      <c r="I32" s="192"/>
      <c r="J32" s="192"/>
      <c r="K32" s="193"/>
      <c r="L32" s="120" t="s">
        <v>120</v>
      </c>
      <c r="M32" s="87"/>
      <c r="N32" s="87"/>
      <c r="O32" s="88"/>
      <c r="P32" s="256" t="s">
        <v>134</v>
      </c>
      <c r="Q32" s="257"/>
      <c r="R32" s="257"/>
      <c r="S32" s="257"/>
      <c r="T32" s="257"/>
      <c r="U32" s="257"/>
      <c r="V32" s="257"/>
      <c r="W32" s="258"/>
      <c r="X32" s="256" t="s">
        <v>46</v>
      </c>
      <c r="Y32" s="257"/>
      <c r="Z32" s="257"/>
      <c r="AA32" s="257"/>
      <c r="AB32" s="257"/>
      <c r="AC32" s="257"/>
      <c r="AD32" s="257"/>
      <c r="AE32" s="258"/>
      <c r="AF32" s="185"/>
      <c r="AG32" s="186"/>
      <c r="AH32" s="186"/>
      <c r="AI32" s="186"/>
      <c r="AJ32" s="186"/>
      <c r="AK32" s="186"/>
      <c r="AL32" s="186"/>
      <c r="AM32" s="186"/>
      <c r="AN32" s="187"/>
      <c r="AO32" s="289">
        <v>45681</v>
      </c>
      <c r="AP32" s="248"/>
      <c r="AQ32" s="246" t="s">
        <v>156</v>
      </c>
      <c r="AR32" s="242"/>
      <c r="AS32" s="246" t="s">
        <v>154</v>
      </c>
      <c r="AT32" s="249"/>
      <c r="AU32" s="188"/>
      <c r="AV32" s="189"/>
      <c r="AW32" s="175"/>
      <c r="AX32" s="176"/>
      <c r="AY32" s="175"/>
      <c r="AZ32" s="190"/>
      <c r="BA32" s="182"/>
      <c r="BB32" s="183"/>
      <c r="BC32" s="183"/>
      <c r="BD32" s="183"/>
      <c r="BE32" s="183"/>
      <c r="BF32" s="183"/>
      <c r="BG32" s="183"/>
      <c r="BH32" s="183"/>
      <c r="BI32" s="183"/>
      <c r="BJ32" s="183"/>
      <c r="BK32" s="183"/>
      <c r="BL32" s="184"/>
      <c r="BM32" s="172"/>
      <c r="BN32" s="172"/>
    </row>
    <row r="33" spans="1:66" ht="20.100000000000001" customHeight="1" x14ac:dyDescent="0.45">
      <c r="A33" s="169"/>
      <c r="B33" s="169"/>
      <c r="C33" s="177">
        <f t="shared" si="0"/>
        <v>24</v>
      </c>
      <c r="D33" s="191"/>
      <c r="E33" s="192"/>
      <c r="F33" s="192"/>
      <c r="G33" s="193"/>
      <c r="H33" s="191"/>
      <c r="I33" s="192"/>
      <c r="J33" s="192"/>
      <c r="K33" s="193"/>
      <c r="L33" s="120" t="s">
        <v>62</v>
      </c>
      <c r="M33" s="87"/>
      <c r="N33" s="87"/>
      <c r="O33" s="88"/>
      <c r="P33" s="256" t="s">
        <v>134</v>
      </c>
      <c r="Q33" s="257"/>
      <c r="R33" s="257"/>
      <c r="S33" s="257"/>
      <c r="T33" s="257"/>
      <c r="U33" s="257"/>
      <c r="V33" s="257"/>
      <c r="W33" s="258"/>
      <c r="X33" s="256" t="s">
        <v>46</v>
      </c>
      <c r="Y33" s="257"/>
      <c r="Z33" s="257"/>
      <c r="AA33" s="257"/>
      <c r="AB33" s="257"/>
      <c r="AC33" s="257"/>
      <c r="AD33" s="257"/>
      <c r="AE33" s="258"/>
      <c r="AF33" s="185"/>
      <c r="AG33" s="186"/>
      <c r="AH33" s="186"/>
      <c r="AI33" s="186"/>
      <c r="AJ33" s="186"/>
      <c r="AK33" s="186"/>
      <c r="AL33" s="186"/>
      <c r="AM33" s="186"/>
      <c r="AN33" s="187"/>
      <c r="AO33" s="289">
        <v>45681</v>
      </c>
      <c r="AP33" s="248"/>
      <c r="AQ33" s="246" t="s">
        <v>156</v>
      </c>
      <c r="AR33" s="242"/>
      <c r="AS33" s="246" t="s">
        <v>154</v>
      </c>
      <c r="AT33" s="249"/>
      <c r="AU33" s="188"/>
      <c r="AV33" s="189"/>
      <c r="AW33" s="175"/>
      <c r="AX33" s="176"/>
      <c r="AY33" s="175"/>
      <c r="AZ33" s="190"/>
      <c r="BA33" s="182"/>
      <c r="BB33" s="183"/>
      <c r="BC33" s="183"/>
      <c r="BD33" s="183"/>
      <c r="BE33" s="183"/>
      <c r="BF33" s="183"/>
      <c r="BG33" s="183"/>
      <c r="BH33" s="183"/>
      <c r="BI33" s="183"/>
      <c r="BJ33" s="183"/>
      <c r="BK33" s="183"/>
      <c r="BL33" s="184"/>
      <c r="BM33" s="172"/>
      <c r="BN33" s="172"/>
    </row>
    <row r="34" spans="1:66" ht="20.100000000000001" customHeight="1" x14ac:dyDescent="0.45">
      <c r="A34" s="169"/>
      <c r="B34" s="169"/>
      <c r="C34" s="177">
        <f t="shared" si="0"/>
        <v>25</v>
      </c>
      <c r="D34" s="191"/>
      <c r="E34" s="192"/>
      <c r="F34" s="192"/>
      <c r="G34" s="193"/>
      <c r="H34" s="191"/>
      <c r="I34" s="192"/>
      <c r="J34" s="192"/>
      <c r="K34" s="193"/>
      <c r="L34" s="120" t="s">
        <v>121</v>
      </c>
      <c r="M34" s="87"/>
      <c r="N34" s="87"/>
      <c r="O34" s="88"/>
      <c r="P34" s="256" t="s">
        <v>134</v>
      </c>
      <c r="Q34" s="257"/>
      <c r="R34" s="257"/>
      <c r="S34" s="257"/>
      <c r="T34" s="257"/>
      <c r="U34" s="257"/>
      <c r="V34" s="257"/>
      <c r="W34" s="258"/>
      <c r="X34" s="256" t="s">
        <v>46</v>
      </c>
      <c r="Y34" s="257"/>
      <c r="Z34" s="257"/>
      <c r="AA34" s="257"/>
      <c r="AB34" s="257"/>
      <c r="AC34" s="257"/>
      <c r="AD34" s="257"/>
      <c r="AE34" s="258"/>
      <c r="AF34" s="185"/>
      <c r="AG34" s="186"/>
      <c r="AH34" s="186"/>
      <c r="AI34" s="186"/>
      <c r="AJ34" s="186"/>
      <c r="AK34" s="186"/>
      <c r="AL34" s="186"/>
      <c r="AM34" s="186"/>
      <c r="AN34" s="187"/>
      <c r="AO34" s="289">
        <v>45681</v>
      </c>
      <c r="AP34" s="248"/>
      <c r="AQ34" s="246" t="s">
        <v>156</v>
      </c>
      <c r="AR34" s="242"/>
      <c r="AS34" s="246" t="s">
        <v>154</v>
      </c>
      <c r="AT34" s="249"/>
      <c r="AU34" s="188"/>
      <c r="AV34" s="189"/>
      <c r="AW34" s="175"/>
      <c r="AX34" s="176"/>
      <c r="AY34" s="175"/>
      <c r="AZ34" s="190"/>
      <c r="BA34" s="182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4"/>
      <c r="BM34" s="172"/>
      <c r="BN34" s="172"/>
    </row>
    <row r="35" spans="1:66" ht="20.100000000000001" customHeight="1" x14ac:dyDescent="0.45">
      <c r="A35" s="169"/>
      <c r="B35" s="169"/>
      <c r="C35" s="177">
        <f t="shared" si="0"/>
        <v>26</v>
      </c>
      <c r="D35" s="191"/>
      <c r="E35" s="192"/>
      <c r="F35" s="192"/>
      <c r="G35" s="193"/>
      <c r="H35" s="191"/>
      <c r="I35" s="192"/>
      <c r="J35" s="192"/>
      <c r="K35" s="193"/>
      <c r="L35" s="120" t="s">
        <v>122</v>
      </c>
      <c r="M35" s="87"/>
      <c r="N35" s="87"/>
      <c r="O35" s="88"/>
      <c r="P35" s="256" t="s">
        <v>134</v>
      </c>
      <c r="Q35" s="257"/>
      <c r="R35" s="257"/>
      <c r="S35" s="257"/>
      <c r="T35" s="257"/>
      <c r="U35" s="257"/>
      <c r="V35" s="257"/>
      <c r="W35" s="258"/>
      <c r="X35" s="256" t="s">
        <v>46</v>
      </c>
      <c r="Y35" s="257"/>
      <c r="Z35" s="257"/>
      <c r="AA35" s="257"/>
      <c r="AB35" s="257"/>
      <c r="AC35" s="257"/>
      <c r="AD35" s="257"/>
      <c r="AE35" s="258"/>
      <c r="AF35" s="185"/>
      <c r="AG35" s="186"/>
      <c r="AH35" s="186"/>
      <c r="AI35" s="186"/>
      <c r="AJ35" s="186"/>
      <c r="AK35" s="186"/>
      <c r="AL35" s="186"/>
      <c r="AM35" s="186"/>
      <c r="AN35" s="187"/>
      <c r="AO35" s="289">
        <v>45681</v>
      </c>
      <c r="AP35" s="248"/>
      <c r="AQ35" s="246" t="s">
        <v>156</v>
      </c>
      <c r="AR35" s="242"/>
      <c r="AS35" s="246" t="s">
        <v>154</v>
      </c>
      <c r="AT35" s="249"/>
      <c r="AU35" s="188"/>
      <c r="AV35" s="189"/>
      <c r="AW35" s="175"/>
      <c r="AX35" s="176"/>
      <c r="AY35" s="175"/>
      <c r="AZ35" s="190"/>
      <c r="BA35" s="182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4"/>
      <c r="BM35" s="172"/>
      <c r="BN35" s="172"/>
    </row>
    <row r="36" spans="1:66" ht="20.100000000000001" customHeight="1" x14ac:dyDescent="0.45">
      <c r="A36" s="169"/>
      <c r="B36" s="169"/>
      <c r="C36" s="177">
        <f t="shared" si="0"/>
        <v>27</v>
      </c>
      <c r="D36" s="191"/>
      <c r="E36" s="192"/>
      <c r="F36" s="192"/>
      <c r="G36" s="193"/>
      <c r="H36" s="191"/>
      <c r="I36" s="192"/>
      <c r="J36" s="192"/>
      <c r="K36" s="193"/>
      <c r="L36" s="120" t="s">
        <v>123</v>
      </c>
      <c r="M36" s="87"/>
      <c r="N36" s="87"/>
      <c r="O36" s="88"/>
      <c r="P36" s="256" t="s">
        <v>134</v>
      </c>
      <c r="Q36" s="257"/>
      <c r="R36" s="257"/>
      <c r="S36" s="257"/>
      <c r="T36" s="257"/>
      <c r="U36" s="257"/>
      <c r="V36" s="257"/>
      <c r="W36" s="258"/>
      <c r="X36" s="256" t="s">
        <v>46</v>
      </c>
      <c r="Y36" s="257"/>
      <c r="Z36" s="257"/>
      <c r="AA36" s="257"/>
      <c r="AB36" s="257"/>
      <c r="AC36" s="257"/>
      <c r="AD36" s="257"/>
      <c r="AE36" s="258"/>
      <c r="AF36" s="185"/>
      <c r="AG36" s="186"/>
      <c r="AH36" s="186"/>
      <c r="AI36" s="186"/>
      <c r="AJ36" s="186"/>
      <c r="AK36" s="186"/>
      <c r="AL36" s="186"/>
      <c r="AM36" s="186"/>
      <c r="AN36" s="187"/>
      <c r="AO36" s="289">
        <v>45681</v>
      </c>
      <c r="AP36" s="248"/>
      <c r="AQ36" s="246" t="s">
        <v>156</v>
      </c>
      <c r="AR36" s="242"/>
      <c r="AS36" s="246" t="s">
        <v>154</v>
      </c>
      <c r="AT36" s="249"/>
      <c r="AU36" s="188"/>
      <c r="AV36" s="189"/>
      <c r="AW36" s="175"/>
      <c r="AX36" s="176"/>
      <c r="AY36" s="175"/>
      <c r="AZ36" s="190"/>
      <c r="BA36" s="182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4"/>
      <c r="BM36" s="172"/>
      <c r="BN36" s="172"/>
    </row>
    <row r="37" spans="1:66" ht="20.100000000000001" customHeight="1" x14ac:dyDescent="0.45">
      <c r="A37" s="169"/>
      <c r="B37" s="169"/>
      <c r="C37" s="177">
        <f t="shared" si="0"/>
        <v>28</v>
      </c>
      <c r="D37" s="191"/>
      <c r="E37" s="192"/>
      <c r="F37" s="192"/>
      <c r="G37" s="193"/>
      <c r="H37" s="191"/>
      <c r="I37" s="192"/>
      <c r="J37" s="192"/>
      <c r="K37" s="193"/>
      <c r="L37" s="120" t="s">
        <v>124</v>
      </c>
      <c r="M37" s="87"/>
      <c r="N37" s="87"/>
      <c r="O37" s="88"/>
      <c r="P37" s="256" t="s">
        <v>134</v>
      </c>
      <c r="Q37" s="257"/>
      <c r="R37" s="257"/>
      <c r="S37" s="257"/>
      <c r="T37" s="257"/>
      <c r="U37" s="257"/>
      <c r="V37" s="257"/>
      <c r="W37" s="258"/>
      <c r="X37" s="256" t="s">
        <v>46</v>
      </c>
      <c r="Y37" s="257"/>
      <c r="Z37" s="257"/>
      <c r="AA37" s="257"/>
      <c r="AB37" s="257"/>
      <c r="AC37" s="257"/>
      <c r="AD37" s="257"/>
      <c r="AE37" s="258"/>
      <c r="AF37" s="185"/>
      <c r="AG37" s="186"/>
      <c r="AH37" s="186"/>
      <c r="AI37" s="186"/>
      <c r="AJ37" s="186"/>
      <c r="AK37" s="186"/>
      <c r="AL37" s="186"/>
      <c r="AM37" s="186"/>
      <c r="AN37" s="187"/>
      <c r="AO37" s="289">
        <v>45681</v>
      </c>
      <c r="AP37" s="248"/>
      <c r="AQ37" s="246" t="s">
        <v>156</v>
      </c>
      <c r="AR37" s="242"/>
      <c r="AS37" s="246" t="s">
        <v>154</v>
      </c>
      <c r="AT37" s="249"/>
      <c r="AU37" s="188"/>
      <c r="AV37" s="189"/>
      <c r="AW37" s="175"/>
      <c r="AX37" s="176"/>
      <c r="AY37" s="175"/>
      <c r="AZ37" s="190"/>
      <c r="BA37" s="182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4"/>
      <c r="BM37" s="172"/>
      <c r="BN37" s="172"/>
    </row>
    <row r="38" spans="1:66" ht="20.100000000000001" customHeight="1" x14ac:dyDescent="0.45">
      <c r="A38" s="169"/>
      <c r="B38" s="169"/>
      <c r="C38" s="177">
        <f t="shared" si="0"/>
        <v>29</v>
      </c>
      <c r="D38" s="191"/>
      <c r="E38" s="192"/>
      <c r="F38" s="192"/>
      <c r="G38" s="193"/>
      <c r="H38" s="191"/>
      <c r="I38" s="192"/>
      <c r="J38" s="192"/>
      <c r="K38" s="193"/>
      <c r="L38" s="120" t="s">
        <v>125</v>
      </c>
      <c r="M38" s="87"/>
      <c r="N38" s="87"/>
      <c r="O38" s="88"/>
      <c r="P38" s="256" t="s">
        <v>134</v>
      </c>
      <c r="Q38" s="257"/>
      <c r="R38" s="257"/>
      <c r="S38" s="257"/>
      <c r="T38" s="257"/>
      <c r="U38" s="257"/>
      <c r="V38" s="257"/>
      <c r="W38" s="258"/>
      <c r="X38" s="256" t="s">
        <v>46</v>
      </c>
      <c r="Y38" s="257"/>
      <c r="Z38" s="257"/>
      <c r="AA38" s="257"/>
      <c r="AB38" s="257"/>
      <c r="AC38" s="257"/>
      <c r="AD38" s="257"/>
      <c r="AE38" s="258"/>
      <c r="AF38" s="185"/>
      <c r="AG38" s="186"/>
      <c r="AH38" s="186"/>
      <c r="AI38" s="186"/>
      <c r="AJ38" s="186"/>
      <c r="AK38" s="186"/>
      <c r="AL38" s="186"/>
      <c r="AM38" s="186"/>
      <c r="AN38" s="187"/>
      <c r="AO38" s="289">
        <v>45681</v>
      </c>
      <c r="AP38" s="248"/>
      <c r="AQ38" s="246" t="s">
        <v>156</v>
      </c>
      <c r="AR38" s="242"/>
      <c r="AS38" s="246" t="s">
        <v>154</v>
      </c>
      <c r="AT38" s="249"/>
      <c r="AU38" s="188"/>
      <c r="AV38" s="189"/>
      <c r="AW38" s="175"/>
      <c r="AX38" s="176"/>
      <c r="AY38" s="175"/>
      <c r="AZ38" s="190"/>
      <c r="BA38" s="182"/>
      <c r="BB38" s="183"/>
      <c r="BC38" s="183"/>
      <c r="BD38" s="183"/>
      <c r="BE38" s="183"/>
      <c r="BF38" s="183"/>
      <c r="BG38" s="183"/>
      <c r="BH38" s="183"/>
      <c r="BI38" s="183"/>
      <c r="BJ38" s="183"/>
      <c r="BK38" s="183"/>
      <c r="BL38" s="184"/>
      <c r="BM38" s="172"/>
      <c r="BN38" s="172"/>
    </row>
    <row r="39" spans="1:66" ht="20.100000000000001" customHeight="1" x14ac:dyDescent="0.45">
      <c r="A39" s="169"/>
      <c r="B39" s="169"/>
      <c r="C39" s="177">
        <f t="shared" si="0"/>
        <v>30</v>
      </c>
      <c r="D39" s="191"/>
      <c r="E39" s="192"/>
      <c r="F39" s="192"/>
      <c r="G39" s="193"/>
      <c r="H39" s="191"/>
      <c r="I39" s="192"/>
      <c r="J39" s="192"/>
      <c r="K39" s="193"/>
      <c r="L39" s="120" t="s">
        <v>126</v>
      </c>
      <c r="M39" s="87"/>
      <c r="N39" s="87"/>
      <c r="O39" s="88"/>
      <c r="P39" s="256" t="s">
        <v>134</v>
      </c>
      <c r="Q39" s="257"/>
      <c r="R39" s="257"/>
      <c r="S39" s="257"/>
      <c r="T39" s="257"/>
      <c r="U39" s="257"/>
      <c r="V39" s="257"/>
      <c r="W39" s="258"/>
      <c r="X39" s="256" t="s">
        <v>46</v>
      </c>
      <c r="Y39" s="257"/>
      <c r="Z39" s="257"/>
      <c r="AA39" s="257"/>
      <c r="AB39" s="257"/>
      <c r="AC39" s="257"/>
      <c r="AD39" s="257"/>
      <c r="AE39" s="258"/>
      <c r="AF39" s="185"/>
      <c r="AG39" s="186"/>
      <c r="AH39" s="186"/>
      <c r="AI39" s="186"/>
      <c r="AJ39" s="186"/>
      <c r="AK39" s="186"/>
      <c r="AL39" s="186"/>
      <c r="AM39" s="186"/>
      <c r="AN39" s="187"/>
      <c r="AO39" s="289">
        <v>45681</v>
      </c>
      <c r="AP39" s="248"/>
      <c r="AQ39" s="246" t="s">
        <v>156</v>
      </c>
      <c r="AR39" s="242"/>
      <c r="AS39" s="246" t="s">
        <v>154</v>
      </c>
      <c r="AT39" s="249"/>
      <c r="AU39" s="188"/>
      <c r="AV39" s="189"/>
      <c r="AW39" s="175"/>
      <c r="AX39" s="176"/>
      <c r="AY39" s="175"/>
      <c r="AZ39" s="190"/>
      <c r="BA39" s="182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4"/>
      <c r="BM39" s="172"/>
      <c r="BN39" s="172"/>
    </row>
    <row r="40" spans="1:66" ht="20.100000000000001" customHeight="1" x14ac:dyDescent="0.45">
      <c r="A40" s="169"/>
      <c r="B40" s="169"/>
      <c r="C40" s="177">
        <f t="shared" si="0"/>
        <v>31</v>
      </c>
      <c r="D40" s="191"/>
      <c r="E40" s="192"/>
      <c r="F40" s="192"/>
      <c r="G40" s="193"/>
      <c r="H40" s="191"/>
      <c r="I40" s="192"/>
      <c r="J40" s="192"/>
      <c r="K40" s="193"/>
      <c r="L40" s="120" t="s">
        <v>127</v>
      </c>
      <c r="M40" s="87"/>
      <c r="N40" s="87"/>
      <c r="O40" s="88"/>
      <c r="P40" s="256" t="s">
        <v>134</v>
      </c>
      <c r="Q40" s="257"/>
      <c r="R40" s="257"/>
      <c r="S40" s="257"/>
      <c r="T40" s="257"/>
      <c r="U40" s="257"/>
      <c r="V40" s="257"/>
      <c r="W40" s="258"/>
      <c r="X40" s="256" t="s">
        <v>46</v>
      </c>
      <c r="Y40" s="257"/>
      <c r="Z40" s="257"/>
      <c r="AA40" s="257"/>
      <c r="AB40" s="257"/>
      <c r="AC40" s="257"/>
      <c r="AD40" s="257"/>
      <c r="AE40" s="258"/>
      <c r="AF40" s="185"/>
      <c r="AG40" s="186"/>
      <c r="AH40" s="186"/>
      <c r="AI40" s="186"/>
      <c r="AJ40" s="186"/>
      <c r="AK40" s="186"/>
      <c r="AL40" s="186"/>
      <c r="AM40" s="186"/>
      <c r="AN40" s="187"/>
      <c r="AO40" s="289">
        <v>45681</v>
      </c>
      <c r="AP40" s="248"/>
      <c r="AQ40" s="246" t="s">
        <v>156</v>
      </c>
      <c r="AR40" s="242"/>
      <c r="AS40" s="246" t="s">
        <v>154</v>
      </c>
      <c r="AT40" s="249"/>
      <c r="AU40" s="188"/>
      <c r="AV40" s="189"/>
      <c r="AW40" s="175"/>
      <c r="AX40" s="176"/>
      <c r="AY40" s="175"/>
      <c r="AZ40" s="190"/>
      <c r="BA40" s="182"/>
      <c r="BB40" s="183"/>
      <c r="BC40" s="183"/>
      <c r="BD40" s="183"/>
      <c r="BE40" s="183"/>
      <c r="BF40" s="183"/>
      <c r="BG40" s="183"/>
      <c r="BH40" s="183"/>
      <c r="BI40" s="183"/>
      <c r="BJ40" s="183"/>
      <c r="BK40" s="183"/>
      <c r="BL40" s="184"/>
      <c r="BM40" s="172"/>
      <c r="BN40" s="172"/>
    </row>
    <row r="41" spans="1:66" ht="20.100000000000001" customHeight="1" x14ac:dyDescent="0.45">
      <c r="A41" s="169"/>
      <c r="B41" s="169"/>
      <c r="C41" s="177">
        <f t="shared" si="0"/>
        <v>32</v>
      </c>
      <c r="D41" s="191"/>
      <c r="E41" s="192"/>
      <c r="F41" s="192"/>
      <c r="G41" s="193"/>
      <c r="H41" s="191"/>
      <c r="I41" s="192"/>
      <c r="J41" s="192"/>
      <c r="K41" s="193"/>
      <c r="L41" s="120" t="s">
        <v>128</v>
      </c>
      <c r="M41" s="87"/>
      <c r="N41" s="87"/>
      <c r="O41" s="88"/>
      <c r="P41" s="256" t="s">
        <v>134</v>
      </c>
      <c r="Q41" s="257"/>
      <c r="R41" s="257"/>
      <c r="S41" s="257"/>
      <c r="T41" s="257"/>
      <c r="U41" s="257"/>
      <c r="V41" s="257"/>
      <c r="W41" s="258"/>
      <c r="X41" s="256" t="s">
        <v>46</v>
      </c>
      <c r="Y41" s="257"/>
      <c r="Z41" s="257"/>
      <c r="AA41" s="257"/>
      <c r="AB41" s="257"/>
      <c r="AC41" s="257"/>
      <c r="AD41" s="257"/>
      <c r="AE41" s="258"/>
      <c r="AF41" s="185"/>
      <c r="AG41" s="186"/>
      <c r="AH41" s="186"/>
      <c r="AI41" s="186"/>
      <c r="AJ41" s="186"/>
      <c r="AK41" s="186"/>
      <c r="AL41" s="186"/>
      <c r="AM41" s="186"/>
      <c r="AN41" s="187"/>
      <c r="AO41" s="289">
        <v>45681</v>
      </c>
      <c r="AP41" s="248"/>
      <c r="AQ41" s="246" t="s">
        <v>156</v>
      </c>
      <c r="AR41" s="242"/>
      <c r="AS41" s="246" t="s">
        <v>154</v>
      </c>
      <c r="AT41" s="249"/>
      <c r="AU41" s="188"/>
      <c r="AV41" s="189"/>
      <c r="AW41" s="175"/>
      <c r="AX41" s="176"/>
      <c r="AY41" s="175"/>
      <c r="AZ41" s="190"/>
      <c r="BA41" s="182"/>
      <c r="BB41" s="183"/>
      <c r="BC41" s="183"/>
      <c r="BD41" s="183"/>
      <c r="BE41" s="183"/>
      <c r="BF41" s="183"/>
      <c r="BG41" s="183"/>
      <c r="BH41" s="183"/>
      <c r="BI41" s="183"/>
      <c r="BJ41" s="183"/>
      <c r="BK41" s="183"/>
      <c r="BL41" s="184"/>
      <c r="BM41" s="172"/>
      <c r="BN41" s="172"/>
    </row>
    <row r="42" spans="1:66" ht="20.100000000000001" customHeight="1" x14ac:dyDescent="0.45">
      <c r="A42" s="169"/>
      <c r="B42" s="169"/>
      <c r="C42" s="177">
        <f t="shared" si="0"/>
        <v>33</v>
      </c>
      <c r="D42" s="191"/>
      <c r="E42" s="192"/>
      <c r="F42" s="192"/>
      <c r="G42" s="193"/>
      <c r="H42" s="191"/>
      <c r="I42" s="192"/>
      <c r="J42" s="192"/>
      <c r="K42" s="193"/>
      <c r="L42" s="120" t="s">
        <v>129</v>
      </c>
      <c r="M42" s="87"/>
      <c r="N42" s="87"/>
      <c r="O42" s="88"/>
      <c r="P42" s="256" t="s">
        <v>134</v>
      </c>
      <c r="Q42" s="257"/>
      <c r="R42" s="257"/>
      <c r="S42" s="257"/>
      <c r="T42" s="257"/>
      <c r="U42" s="257"/>
      <c r="V42" s="257"/>
      <c r="W42" s="258"/>
      <c r="X42" s="256" t="s">
        <v>46</v>
      </c>
      <c r="Y42" s="257"/>
      <c r="Z42" s="257"/>
      <c r="AA42" s="257"/>
      <c r="AB42" s="257"/>
      <c r="AC42" s="257"/>
      <c r="AD42" s="257"/>
      <c r="AE42" s="258"/>
      <c r="AF42" s="185"/>
      <c r="AG42" s="186"/>
      <c r="AH42" s="186"/>
      <c r="AI42" s="186"/>
      <c r="AJ42" s="186"/>
      <c r="AK42" s="186"/>
      <c r="AL42" s="186"/>
      <c r="AM42" s="186"/>
      <c r="AN42" s="187"/>
      <c r="AO42" s="289">
        <v>45681</v>
      </c>
      <c r="AP42" s="248"/>
      <c r="AQ42" s="246" t="s">
        <v>156</v>
      </c>
      <c r="AR42" s="242"/>
      <c r="AS42" s="246" t="s">
        <v>154</v>
      </c>
      <c r="AT42" s="249"/>
      <c r="AU42" s="188"/>
      <c r="AV42" s="189"/>
      <c r="AW42" s="175"/>
      <c r="AX42" s="176"/>
      <c r="AY42" s="175"/>
      <c r="AZ42" s="190"/>
      <c r="BA42" s="182"/>
      <c r="BB42" s="183"/>
      <c r="BC42" s="183"/>
      <c r="BD42" s="183"/>
      <c r="BE42" s="183"/>
      <c r="BF42" s="183"/>
      <c r="BG42" s="183"/>
      <c r="BH42" s="183"/>
      <c r="BI42" s="183"/>
      <c r="BJ42" s="183"/>
      <c r="BK42" s="183"/>
      <c r="BL42" s="184"/>
      <c r="BM42" s="172"/>
      <c r="BN42" s="172"/>
    </row>
    <row r="43" spans="1:66" ht="20.100000000000001" customHeight="1" x14ac:dyDescent="0.45">
      <c r="A43" s="169"/>
      <c r="B43" s="169"/>
      <c r="C43" s="177">
        <f t="shared" si="0"/>
        <v>34</v>
      </c>
      <c r="D43" s="191"/>
      <c r="E43" s="192"/>
      <c r="F43" s="192"/>
      <c r="G43" s="193"/>
      <c r="H43" s="290" t="s">
        <v>56</v>
      </c>
      <c r="I43" s="291"/>
      <c r="J43" s="291"/>
      <c r="K43" s="292"/>
      <c r="L43" s="293" t="s">
        <v>57</v>
      </c>
      <c r="M43" s="261"/>
      <c r="N43" s="261"/>
      <c r="O43" s="294"/>
      <c r="P43" s="293" t="s">
        <v>135</v>
      </c>
      <c r="Q43" s="261"/>
      <c r="R43" s="261"/>
      <c r="S43" s="261"/>
      <c r="T43" s="261"/>
      <c r="U43" s="261"/>
      <c r="V43" s="261"/>
      <c r="W43" s="294"/>
      <c r="X43" s="293" t="s">
        <v>59</v>
      </c>
      <c r="Y43" s="261"/>
      <c r="Z43" s="261"/>
      <c r="AA43" s="261"/>
      <c r="AB43" s="261"/>
      <c r="AC43" s="261"/>
      <c r="AD43" s="261"/>
      <c r="AE43" s="262"/>
      <c r="AF43" s="185"/>
      <c r="AG43" s="186"/>
      <c r="AH43" s="186"/>
      <c r="AI43" s="186"/>
      <c r="AJ43" s="186"/>
      <c r="AK43" s="186"/>
      <c r="AL43" s="186"/>
      <c r="AM43" s="186"/>
      <c r="AN43" s="187"/>
      <c r="AO43" s="289">
        <v>45681</v>
      </c>
      <c r="AP43" s="248"/>
      <c r="AQ43" s="246" t="s">
        <v>156</v>
      </c>
      <c r="AR43" s="242"/>
      <c r="AS43" s="246" t="s">
        <v>154</v>
      </c>
      <c r="AT43" s="249"/>
      <c r="AU43" s="188"/>
      <c r="AV43" s="189"/>
      <c r="AW43" s="175"/>
      <c r="AX43" s="176"/>
      <c r="AY43" s="175"/>
      <c r="AZ43" s="190"/>
      <c r="BA43" s="182"/>
      <c r="BB43" s="183"/>
      <c r="BC43" s="183"/>
      <c r="BD43" s="183"/>
      <c r="BE43" s="183"/>
      <c r="BF43" s="183"/>
      <c r="BG43" s="183"/>
      <c r="BH43" s="183"/>
      <c r="BI43" s="183"/>
      <c r="BJ43" s="183"/>
      <c r="BK43" s="183"/>
      <c r="BL43" s="184"/>
      <c r="BM43" s="172"/>
      <c r="BN43" s="172"/>
    </row>
    <row r="44" spans="1:66" ht="20.100000000000001" customHeight="1" thickBot="1" x14ac:dyDescent="0.5">
      <c r="A44" s="169"/>
      <c r="B44" s="169"/>
      <c r="C44" s="177">
        <f t="shared" si="0"/>
        <v>35</v>
      </c>
      <c r="D44" s="191"/>
      <c r="E44" s="192"/>
      <c r="F44" s="192"/>
      <c r="G44" s="193"/>
      <c r="H44" s="295"/>
      <c r="I44" s="296"/>
      <c r="J44" s="296"/>
      <c r="K44" s="297"/>
      <c r="L44" s="298" t="s">
        <v>60</v>
      </c>
      <c r="M44" s="299"/>
      <c r="N44" s="299"/>
      <c r="O44" s="300"/>
      <c r="P44" s="298" t="s">
        <v>136</v>
      </c>
      <c r="Q44" s="299"/>
      <c r="R44" s="299"/>
      <c r="S44" s="299"/>
      <c r="T44" s="299"/>
      <c r="U44" s="299"/>
      <c r="V44" s="299"/>
      <c r="W44" s="300"/>
      <c r="X44" s="298" t="s">
        <v>59</v>
      </c>
      <c r="Y44" s="299"/>
      <c r="Z44" s="299"/>
      <c r="AA44" s="299"/>
      <c r="AB44" s="299"/>
      <c r="AC44" s="299"/>
      <c r="AD44" s="299"/>
      <c r="AE44" s="301"/>
      <c r="AF44" s="185"/>
      <c r="AG44" s="186"/>
      <c r="AH44" s="186"/>
      <c r="AI44" s="186"/>
      <c r="AJ44" s="186"/>
      <c r="AK44" s="186"/>
      <c r="AL44" s="186"/>
      <c r="AM44" s="186"/>
      <c r="AN44" s="187"/>
      <c r="AO44" s="289">
        <v>45681</v>
      </c>
      <c r="AP44" s="248"/>
      <c r="AQ44" s="246" t="s">
        <v>156</v>
      </c>
      <c r="AR44" s="242"/>
      <c r="AS44" s="246" t="s">
        <v>154</v>
      </c>
      <c r="AT44" s="249"/>
      <c r="AU44" s="188"/>
      <c r="AV44" s="189"/>
      <c r="AW44" s="175"/>
      <c r="AX44" s="176"/>
      <c r="AY44" s="175"/>
      <c r="AZ44" s="190"/>
      <c r="BA44" s="182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L44" s="184"/>
      <c r="BM44" s="172"/>
      <c r="BN44" s="172"/>
    </row>
    <row r="45" spans="1:66" ht="20.100000000000001" customHeight="1" thickTop="1" thickBot="1" x14ac:dyDescent="0.5">
      <c r="A45" s="169"/>
      <c r="B45" s="168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  <c r="BG45" s="170"/>
      <c r="BH45" s="170"/>
      <c r="BI45" s="170"/>
      <c r="BJ45" s="170"/>
      <c r="BK45" s="170"/>
      <c r="BL45" s="170"/>
      <c r="BM45" s="168"/>
      <c r="BN45" s="172"/>
    </row>
    <row r="46" spans="1:66" ht="5.0999999999999996" customHeight="1" thickTop="1" x14ac:dyDescent="0.45"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</row>
    <row r="47" spans="1:66" ht="20.100000000000001" customHeight="1" x14ac:dyDescent="0.45"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/>
      <c r="BF47" s="168"/>
      <c r="BG47" s="168"/>
      <c r="BH47" s="168"/>
      <c r="BI47" s="168"/>
    </row>
  </sheetData>
  <mergeCells count="239">
    <mergeCell ref="AO43:AP43"/>
    <mergeCell ref="AQ43:AR43"/>
    <mergeCell ref="AS43:AT43"/>
    <mergeCell ref="AO44:AP44"/>
    <mergeCell ref="AQ44:AR44"/>
    <mergeCell ref="AS44:AT44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Q13:AR13"/>
    <mergeCell ref="AS13:AT13"/>
    <mergeCell ref="AQ14:AR14"/>
    <mergeCell ref="AS14:AT14"/>
    <mergeCell ref="AQ15:AR15"/>
    <mergeCell ref="AS15:AT15"/>
    <mergeCell ref="AQ16:AR16"/>
    <mergeCell ref="AS16:AT16"/>
    <mergeCell ref="AQ17:AR17"/>
    <mergeCell ref="AS17:AT17"/>
    <mergeCell ref="L12:O12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J3:BM4"/>
    <mergeCell ref="AQ11:AR11"/>
    <mergeCell ref="AS11:AT11"/>
    <mergeCell ref="AQ12:AR12"/>
    <mergeCell ref="AS12:AT12"/>
    <mergeCell ref="L13:O13"/>
    <mergeCell ref="BE7:BF8"/>
    <mergeCell ref="BG7:BH7"/>
    <mergeCell ref="BI7:BJ7"/>
    <mergeCell ref="BK7:BL7"/>
    <mergeCell ref="BK8:BL8"/>
    <mergeCell ref="D14:G14"/>
    <mergeCell ref="H14:K14"/>
    <mergeCell ref="L14:O14"/>
    <mergeCell ref="P14:W14"/>
    <mergeCell ref="X14:AE14"/>
    <mergeCell ref="AO8:AT8"/>
    <mergeCell ref="AU8:AZ8"/>
    <mergeCell ref="BG8:BH8"/>
    <mergeCell ref="BI8:BJ8"/>
    <mergeCell ref="AO11:AP11"/>
    <mergeCell ref="AO12:AP12"/>
    <mergeCell ref="AO13:AP13"/>
    <mergeCell ref="AO14:AP14"/>
    <mergeCell ref="AY10:AZ10"/>
    <mergeCell ref="BA10:BL10"/>
    <mergeCell ref="L11:O11"/>
    <mergeCell ref="AO9:AP9"/>
    <mergeCell ref="AQ9:AR9"/>
    <mergeCell ref="L10:O10"/>
    <mergeCell ref="P10:W10"/>
    <mergeCell ref="X10:AE10"/>
    <mergeCell ref="BB3:BE4"/>
    <mergeCell ref="BF3:BI4"/>
    <mergeCell ref="AS9:AT9"/>
    <mergeCell ref="AU9:AV9"/>
    <mergeCell ref="AW9:AX9"/>
    <mergeCell ref="AY9:AZ9"/>
    <mergeCell ref="BA9:BL9"/>
    <mergeCell ref="AO10:AP10"/>
    <mergeCell ref="AQ10:AR10"/>
    <mergeCell ref="AS10:AT10"/>
    <mergeCell ref="AU10:AV10"/>
    <mergeCell ref="AW10:AX10"/>
    <mergeCell ref="P15:W15"/>
    <mergeCell ref="X15:AE15"/>
    <mergeCell ref="P16:W16"/>
    <mergeCell ref="X16:AE16"/>
    <mergeCell ref="AO15:AP15"/>
    <mergeCell ref="AO16:AP16"/>
    <mergeCell ref="P11:W11"/>
    <mergeCell ref="X11:AE11"/>
    <mergeCell ref="P17:W17"/>
    <mergeCell ref="X17:AE17"/>
    <mergeCell ref="P13:W13"/>
    <mergeCell ref="X13:AE13"/>
    <mergeCell ref="P12:W12"/>
    <mergeCell ref="X12:AE12"/>
    <mergeCell ref="AF14:AN14"/>
    <mergeCell ref="AQ18:AR18"/>
    <mergeCell ref="AS18:AT18"/>
    <mergeCell ref="AU18:AV18"/>
    <mergeCell ref="AW18:AX18"/>
    <mergeCell ref="AO17:AP17"/>
    <mergeCell ref="AY18:AZ18"/>
    <mergeCell ref="BA18:BL18"/>
    <mergeCell ref="D18:G18"/>
    <mergeCell ref="H18:K18"/>
    <mergeCell ref="P18:W18"/>
    <mergeCell ref="X18:AE18"/>
    <mergeCell ref="AF18:AN18"/>
    <mergeCell ref="AO18:AP18"/>
    <mergeCell ref="BA19:BL19"/>
    <mergeCell ref="P22:W22"/>
    <mergeCell ref="X22:AE22"/>
    <mergeCell ref="P23:W23"/>
    <mergeCell ref="X23:AE23"/>
    <mergeCell ref="AU19:AV19"/>
    <mergeCell ref="AW19:AX19"/>
    <mergeCell ref="AY19:AZ19"/>
    <mergeCell ref="P27:W27"/>
    <mergeCell ref="X27:AE27"/>
    <mergeCell ref="P20:W20"/>
    <mergeCell ref="X20:AE20"/>
    <mergeCell ref="P19:W19"/>
    <mergeCell ref="X19:AE19"/>
    <mergeCell ref="AF19:AN19"/>
    <mergeCell ref="AO19:AP19"/>
    <mergeCell ref="AQ19:AR19"/>
    <mergeCell ref="AS19:AT19"/>
    <mergeCell ref="P21:W21"/>
    <mergeCell ref="X21:AE21"/>
    <mergeCell ref="AO20:AP20"/>
    <mergeCell ref="AQ20:AR20"/>
    <mergeCell ref="AS20:AT20"/>
    <mergeCell ref="AO21:AP21"/>
    <mergeCell ref="P28:W28"/>
    <mergeCell ref="X28:AE28"/>
    <mergeCell ref="P29:W29"/>
    <mergeCell ref="X29:AE29"/>
    <mergeCell ref="P24:W24"/>
    <mergeCell ref="X24:AE24"/>
    <mergeCell ref="P25:W25"/>
    <mergeCell ref="X25:AE25"/>
    <mergeCell ref="P26:W26"/>
    <mergeCell ref="X26:AE26"/>
    <mergeCell ref="P33:W33"/>
    <mergeCell ref="X33:AE33"/>
    <mergeCell ref="P34:W34"/>
    <mergeCell ref="X34:AE34"/>
    <mergeCell ref="P35:W35"/>
    <mergeCell ref="X35:AE35"/>
    <mergeCell ref="P30:W30"/>
    <mergeCell ref="X30:AE30"/>
    <mergeCell ref="P31:W31"/>
    <mergeCell ref="X31:AE31"/>
    <mergeCell ref="P32:W32"/>
    <mergeCell ref="X32:AE32"/>
    <mergeCell ref="P39:W39"/>
    <mergeCell ref="X39:AE39"/>
    <mergeCell ref="P40:W40"/>
    <mergeCell ref="X40:AE40"/>
    <mergeCell ref="P41:W41"/>
    <mergeCell ref="X41:AE41"/>
    <mergeCell ref="P36:W36"/>
    <mergeCell ref="X36:AE36"/>
    <mergeCell ref="P37:W37"/>
    <mergeCell ref="X37:AE37"/>
    <mergeCell ref="P38:W38"/>
    <mergeCell ref="X38:AE38"/>
    <mergeCell ref="H44:K44"/>
    <mergeCell ref="L44:O44"/>
    <mergeCell ref="P44:W44"/>
    <mergeCell ref="X44:AE44"/>
    <mergeCell ref="P42:W42"/>
    <mergeCell ref="X42:AE42"/>
    <mergeCell ref="H43:K43"/>
    <mergeCell ref="L43:O43"/>
    <mergeCell ref="P43:W43"/>
    <mergeCell ref="X43:AE43"/>
  </mergeCells>
  <phoneticPr fontId="2"/>
  <conditionalFormatting sqref="AY10:AY44">
    <cfRule type="cellIs" dxfId="9" priority="7" operator="equal">
      <formula>"OK"</formula>
    </cfRule>
    <cfRule type="cellIs" dxfId="8" priority="8" operator="equal">
      <formula>"NG"</formula>
    </cfRule>
  </conditionalFormatting>
  <conditionalFormatting sqref="AS10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2:AS4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4 AS10:AS4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画面</vt:lpstr>
      <vt:lpstr>帳票</vt:lpstr>
      <vt:lpstr>プレビュー</vt:lpstr>
      <vt:lpstr>参照</vt:lpstr>
      <vt:lpstr>プレビュー!Print_Area</vt:lpstr>
      <vt:lpstr>画面!Print_Area</vt:lpstr>
      <vt:lpstr>帳票!Print_Area</vt:lpstr>
      <vt:lpstr>変更履歴!Print_Area</vt:lpstr>
      <vt:lpstr>プレビュー!Print_Titles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2025-02-27T03:40:27Z</dcterms:modified>
</cp:coreProperties>
</file>