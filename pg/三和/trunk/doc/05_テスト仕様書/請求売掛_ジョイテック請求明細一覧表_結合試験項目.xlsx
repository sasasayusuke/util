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 activeTab="2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画面!$A$1:$BN$18</definedName>
    <definedName name="_xlnm.Print_Area" localSheetId="2">帳票!$A$1:$BN$30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9" l="1"/>
  <c r="C28" i="20"/>
  <c r="C27" i="20"/>
  <c r="C11" i="20" l="1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13" i="19" l="1"/>
  <c r="C10" i="20" l="1"/>
  <c r="C11" i="19"/>
  <c r="C14" i="19"/>
  <c r="C15" i="19"/>
  <c r="C16" i="19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<sst xmlns="http://schemas.openxmlformats.org/spreadsheetml/2006/main" count="234" uniqueCount="101">
  <si>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</si>
  <si>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</si>
  <si>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</si>
  <si>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</si>
  <si>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</si>
  <si>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</si>
  <si>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</si>
  <si>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</si>
  <si>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</si>
  <si>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</si>
  <si>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</si>
  <si>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</si>
  <si>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</si>
  <si>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</si>
  <si>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</si>
  <si>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</si>
  <si>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</si>
  <si>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</si>
  <si>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</si>
  <si>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</si>
  <si>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</si>
  <si>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</si>
  <si>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</si>
  <si>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</si>
  <si>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</si>
  <si>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</si>
  <si>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</si>
  <si>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</si>
  <si>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</si>
  <si>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</si>
  <si>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</si>
  <si>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</si>
  <si>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</si>
  <si>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</si>
  <si>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</si>
  <si>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</si>
  <si>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</si>
  <si>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</si>
  <si>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</si>
  <si>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</si>
  <si>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</si>
  <si>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</si>
  <si>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</si>
  <si>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</si>
  <si>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</si>
  <si>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</si>
  <si>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</si>
  <si>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</si>
  <si>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</si>
  <si>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</si>
  <si>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</si>
  <si>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</si>
  <si>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</si>
  <si>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</si>
  <si>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請求日付(From)</t>
    <phoneticPr fontId="2"/>
  </si>
  <si>
    <t>請求日付(To)</t>
    <phoneticPr fontId="2"/>
  </si>
  <si>
    <t>請求日付</t>
  </si>
  <si>
    <t>エラー確認</t>
    <rPh sb="3" eb="5">
      <t>カクニン</t>
    </rPh>
    <phoneticPr fontId="2"/>
  </si>
  <si>
    <t>From,Toどちらにも値を入力して出力ボタンを押下</t>
  </si>
  <si>
    <t>出力ボタン</t>
    <phoneticPr fontId="2"/>
  </si>
  <si>
    <t>出力ボタンを押下</t>
  </si>
  <si>
    <t>日付範囲</t>
  </si>
  <si>
    <t>税抜金額_計</t>
  </si>
  <si>
    <t>消費税_計</t>
  </si>
  <si>
    <t>非課税_計</t>
  </si>
  <si>
    <t>税込金額_計</t>
  </si>
  <si>
    <t>請求日</t>
  </si>
  <si>
    <t>見積番号</t>
  </si>
  <si>
    <t>見積件名</t>
  </si>
  <si>
    <t>税抜金額</t>
  </si>
  <si>
    <t>消費税</t>
  </si>
  <si>
    <t>非課税</t>
  </si>
  <si>
    <t>税込金額</t>
  </si>
  <si>
    <t>備考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</si>
  <si>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</si>
  <si>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</si>
  <si>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出力バリエーション</t>
    <phoneticPr fontId="2"/>
  </si>
  <si>
    <t>請求日付</t>
    <rPh sb="0" eb="2">
      <t>セイキュウ</t>
    </rPh>
    <rPh sb="2" eb="4">
      <t>ヒヅケ</t>
    </rPh>
    <phoneticPr fontId="2"/>
  </si>
  <si>
    <t>動作確認</t>
    <rPh sb="0" eb="2">
      <t>ドウサ</t>
    </rPh>
    <rPh sb="2" eb="4">
      <t>カクニン</t>
    </rPh>
    <phoneticPr fontId="2"/>
  </si>
  <si>
    <t>メニューよりジョイテック請求明細一覧表を起動する</t>
    <phoneticPr fontId="2"/>
  </si>
  <si>
    <t>詳細情報
SU0600_ジョイテック請求書_帳票設計書.xlsx</t>
    <phoneticPr fontId="2"/>
  </si>
  <si>
    <t>児玉</t>
    <rPh sb="0" eb="2">
      <t>コダマ</t>
    </rPh>
    <phoneticPr fontId="2"/>
  </si>
  <si>
    <t>帳票</t>
    <rPh sb="0" eb="2">
      <t>チョウヒョウ</t>
    </rPh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</si>
  <si>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</si>
  <si>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</si>
  <si>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</si>
  <si>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</si>
  <si>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</si>
  <si>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出力ボタンを押下する</t>
    <phoneticPr fontId="2"/>
  </si>
  <si>
    <t>Excelが出力されること</t>
    <phoneticPr fontId="2"/>
  </si>
  <si>
    <t xml:space="preserve">入力欄が活性、かつ、当日の日付が入っていること  
</t>
    <rPh sb="10" eb="12">
      <t>トウジツ</t>
    </rPh>
    <rPh sb="13" eb="15">
      <t>ヒヅケ</t>
    </rPh>
    <rPh sb="16" eb="17">
      <t>ハイ</t>
    </rPh>
    <phoneticPr fontId="2"/>
  </si>
  <si>
    <t xml:space="preserve">入力欄が活性、かつ、当日の日付が入っていること
</t>
    <rPh sb="10" eb="12">
      <t>トウジツ</t>
    </rPh>
    <rPh sb="13" eb="15">
      <t>ヒヅケ</t>
    </rPh>
    <rPh sb="16" eb="17">
      <t>ハイ</t>
    </rPh>
    <phoneticPr fontId="2"/>
  </si>
  <si>
    <t>松村</t>
    <rPh sb="0" eb="2">
      <t>マツムラ</t>
    </rPh>
    <phoneticPr fontId="2"/>
  </si>
  <si>
    <t>OK</t>
    <phoneticPr fontId="2"/>
  </si>
  <si>
    <t>NG</t>
  </si>
  <si>
    <t>日付を変更して再度システムを起動すると前のデータが残っている</t>
    <rPh sb="0" eb="2">
      <t>ヒヅケ</t>
    </rPh>
    <rPh sb="3" eb="5">
      <t>ヘンコウ</t>
    </rPh>
    <rPh sb="7" eb="9">
      <t>サイド</t>
    </rPh>
    <rPh sb="14" eb="16">
      <t>キドウ</t>
    </rPh>
    <rPh sb="19" eb="20">
      <t>マエ</t>
    </rPh>
    <rPh sb="25" eb="26">
      <t>ノコ</t>
    </rPh>
    <phoneticPr fontId="2"/>
  </si>
  <si>
    <t>日付を変更して再度システムを起動すると前のデータが残っている</t>
    <phoneticPr fontId="2"/>
  </si>
  <si>
    <t>Excelにパスワードが設定されていない</t>
    <rPh sb="0" eb="14">
      <t>エクセルニパスワードガセッテイ</t>
    </rPh>
    <phoneticPr fontId="2"/>
  </si>
  <si>
    <t>児玉</t>
    <rPh sb="0" eb="2">
      <t>コダマ</t>
    </rPh>
    <phoneticPr fontId="2"/>
  </si>
  <si>
    <t>OK</t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</si>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</sst>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5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6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9" t="s">
        <v>0</v>
      </c>
      <c r="C2" s="92"/>
      <c r="D2" s="92"/>
      <c r="E2" s="92"/>
      <c r="F2" s="92"/>
      <c r="G2" s="92"/>
      <c r="H2" s="92" t="s">
        <v>40</v>
      </c>
      <c r="I2" s="92"/>
      <c r="J2" s="92"/>
      <c r="K2" s="92"/>
      <c r="L2" s="92" t="s">
        <v>41</v>
      </c>
      <c r="M2" s="92"/>
      <c r="N2" s="92"/>
      <c r="O2" s="92"/>
      <c r="P2" s="92"/>
      <c r="Q2" s="92"/>
      <c r="R2" s="92" t="s">
        <v>1</v>
      </c>
      <c r="S2" s="92"/>
      <c r="T2" s="92"/>
      <c r="U2" s="92"/>
      <c r="V2" s="92"/>
      <c r="W2" s="92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92" t="s">
        <v>4</v>
      </c>
      <c r="AY2" s="92"/>
      <c r="AZ2" s="92"/>
      <c r="BA2" s="92"/>
      <c r="BB2" s="92" t="s">
        <v>3</v>
      </c>
      <c r="BC2" s="92"/>
      <c r="BD2" s="92"/>
      <c r="BE2" s="92"/>
      <c r="BF2" s="92" t="s">
        <v>5</v>
      </c>
      <c r="BG2" s="92"/>
      <c r="BH2" s="92"/>
      <c r="BI2" s="92"/>
      <c r="BJ2" s="92" t="s">
        <v>6</v>
      </c>
      <c r="BK2" s="92"/>
      <c r="BL2" s="92"/>
      <c r="BM2" s="93"/>
      <c r="BN2" s="15"/>
    </row>
    <row r="3" spans="1:66" ht="20.100000000000001" customHeight="1" x14ac:dyDescent="0.45">
      <c r="A3" s="9"/>
      <c r="B3" s="107" t="s">
        <v>38</v>
      </c>
      <c r="C3" s="95"/>
      <c r="D3" s="95"/>
      <c r="E3" s="95"/>
      <c r="F3" s="95"/>
      <c r="G3" s="95"/>
      <c r="H3" s="95" t="str">
        <f ca="1">LEFT($X$3,FIND("_",$X$3)-1)</f>
        <v>請求売掛</v>
      </c>
      <c r="I3" s="95"/>
      <c r="J3" s="95"/>
      <c r="K3" s="95"/>
      <c r="L3" s="95" t="s">
        <v>39</v>
      </c>
      <c r="M3" s="95"/>
      <c r="N3" s="95"/>
      <c r="O3" s="95"/>
      <c r="P3" s="95"/>
      <c r="Q3" s="95"/>
      <c r="R3" s="108" t="str">
        <f ca="1">MID($X$3,FIND("_",$X$3,FIND("_",$X$3)+1)+1,LEN($X$3)-FIND("_",$X$3,FIND("_",$X$3)+1))</f>
        <v>結合試験項目</v>
      </c>
      <c r="S3" s="95"/>
      <c r="T3" s="95"/>
      <c r="U3" s="95"/>
      <c r="V3" s="95"/>
      <c r="W3" s="95"/>
      <c r="X3" s="98" t="str">
        <f ca="1">REPLACE(LEFT(CELL("filename",$B$2),FIND(".x",CELL("filename",$B$2))-1),1,FIND("[",CELL("filename",$B$2)),)</f>
        <v>請求売掛_ジョイテック請求明細一覧表_結合試験項目</v>
      </c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100"/>
      <c r="AK3" s="98" t="str">
        <f ca="1">MID($X$3,FIND("_",$X$3)+1,FIND("_",$X$3,FIND("_",$X$3)+1)-FIND("_",$X$3)-1)</f>
        <v>ジョイテック請求明細一覧表</v>
      </c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100"/>
      <c r="AX3" s="94">
        <v>45628</v>
      </c>
      <c r="AY3" s="95"/>
      <c r="AZ3" s="95"/>
      <c r="BA3" s="95"/>
      <c r="BB3" s="95" t="s">
        <v>81</v>
      </c>
      <c r="BC3" s="95"/>
      <c r="BD3" s="95"/>
      <c r="BE3" s="95"/>
      <c r="BF3" s="94">
        <v>45628</v>
      </c>
      <c r="BG3" s="95"/>
      <c r="BH3" s="95"/>
      <c r="BI3" s="95"/>
      <c r="BJ3" s="95" t="s">
        <v>81</v>
      </c>
      <c r="BK3" s="95"/>
      <c r="BL3" s="95"/>
      <c r="BM3" s="97"/>
      <c r="BN3" s="15"/>
    </row>
    <row r="4" spans="1:66" ht="20.100000000000001" customHeight="1" thickBot="1" x14ac:dyDescent="0.5">
      <c r="A4" s="9"/>
      <c r="B4" s="100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1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3"/>
      <c r="AK4" s="101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3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1" t="s">
        <v>7</v>
      </c>
      <c r="D8" s="91"/>
      <c r="E8" s="91"/>
      <c r="F8" s="91"/>
      <c r="G8" s="91" t="s">
        <v>8</v>
      </c>
      <c r="H8" s="91"/>
      <c r="I8" s="91"/>
      <c r="J8" s="91"/>
      <c r="K8" s="91" t="s">
        <v>9</v>
      </c>
      <c r="L8" s="91"/>
      <c r="M8" s="91"/>
      <c r="N8" s="91"/>
      <c r="O8" s="91" t="s">
        <v>10</v>
      </c>
      <c r="P8" s="91"/>
      <c r="Q8" s="91"/>
      <c r="R8" s="91"/>
      <c r="S8" s="91"/>
      <c r="T8" s="91"/>
      <c r="U8" s="91"/>
      <c r="V8" s="91"/>
      <c r="W8" s="91"/>
      <c r="X8" s="91"/>
      <c r="Y8" s="91" t="s">
        <v>11</v>
      </c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8"/>
      <c r="BN8" s="15"/>
    </row>
    <row r="9" spans="1:66" ht="20.100000000000001" customHeight="1" x14ac:dyDescent="0.45">
      <c r="A9" s="9"/>
      <c r="B9" s="8"/>
      <c r="C9" s="90">
        <v>45628</v>
      </c>
      <c r="D9" s="88"/>
      <c r="E9" s="88"/>
      <c r="F9" s="89"/>
      <c r="G9" s="84" t="s">
        <v>20</v>
      </c>
      <c r="H9" s="85"/>
      <c r="I9" s="85"/>
      <c r="J9" s="86"/>
      <c r="K9" s="87"/>
      <c r="L9" s="88"/>
      <c r="M9" s="88"/>
      <c r="N9" s="89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0"/>
      <c r="D10" s="88"/>
      <c r="E10" s="88"/>
      <c r="F10" s="89"/>
      <c r="G10" s="84"/>
      <c r="H10" s="85"/>
      <c r="I10" s="85"/>
      <c r="J10" s="86"/>
      <c r="K10" s="87"/>
      <c r="L10" s="88"/>
      <c r="M10" s="88"/>
      <c r="N10" s="89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0"/>
      <c r="D11" s="88"/>
      <c r="E11" s="88"/>
      <c r="F11" s="89"/>
      <c r="G11" s="84"/>
      <c r="H11" s="85"/>
      <c r="I11" s="85"/>
      <c r="J11" s="86"/>
      <c r="K11" s="87"/>
      <c r="L11" s="88"/>
      <c r="M11" s="88"/>
      <c r="N11" s="89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0"/>
      <c r="D36" s="88"/>
      <c r="E36" s="88"/>
      <c r="F36" s="89"/>
      <c r="G36" s="84"/>
      <c r="H36" s="85"/>
      <c r="I36" s="85"/>
      <c r="J36" s="86"/>
      <c r="K36" s="87"/>
      <c r="L36" s="88"/>
      <c r="M36" s="88"/>
      <c r="N36" s="89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0"/>
      <c r="D37" s="88"/>
      <c r="E37" s="88"/>
      <c r="F37" s="89"/>
      <c r="G37" s="84"/>
      <c r="H37" s="85"/>
      <c r="I37" s="85"/>
      <c r="J37" s="86"/>
      <c r="K37" s="87"/>
      <c r="L37" s="88"/>
      <c r="M37" s="88"/>
      <c r="N37" s="89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0"/>
      <c r="D38" s="88"/>
      <c r="E38" s="88"/>
      <c r="F38" s="89"/>
      <c r="G38" s="84"/>
      <c r="H38" s="85"/>
      <c r="I38" s="85"/>
      <c r="J38" s="86"/>
      <c r="K38" s="87"/>
      <c r="L38" s="88"/>
      <c r="M38" s="88"/>
      <c r="N38" s="89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0"/>
      <c r="D39" s="88"/>
      <c r="E39" s="88"/>
      <c r="F39" s="89"/>
      <c r="G39" s="84"/>
      <c r="H39" s="85"/>
      <c r="I39" s="85"/>
      <c r="J39" s="86"/>
      <c r="K39" s="87"/>
      <c r="L39" s="88"/>
      <c r="M39" s="88"/>
      <c r="N39" s="89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0"/>
      <c r="D40" s="88"/>
      <c r="E40" s="88"/>
      <c r="F40" s="89"/>
      <c r="G40" s="84"/>
      <c r="H40" s="85"/>
      <c r="I40" s="85"/>
      <c r="J40" s="86"/>
      <c r="K40" s="87"/>
      <c r="L40" s="88"/>
      <c r="M40" s="88"/>
      <c r="N40" s="89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0"/>
      <c r="D41" s="88"/>
      <c r="E41" s="88"/>
      <c r="F41" s="89"/>
      <c r="G41" s="84"/>
      <c r="H41" s="85"/>
      <c r="I41" s="85"/>
      <c r="J41" s="86"/>
      <c r="K41" s="87"/>
      <c r="L41" s="88"/>
      <c r="M41" s="88"/>
      <c r="N41" s="89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0"/>
      <c r="D42" s="88"/>
      <c r="E42" s="88"/>
      <c r="F42" s="89"/>
      <c r="G42" s="84"/>
      <c r="H42" s="85"/>
      <c r="I42" s="85"/>
      <c r="J42" s="86"/>
      <c r="K42" s="87"/>
      <c r="L42" s="88"/>
      <c r="M42" s="88"/>
      <c r="N42" s="89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0"/>
      <c r="D43" s="88"/>
      <c r="E43" s="88"/>
      <c r="F43" s="89"/>
      <c r="G43" s="84"/>
      <c r="H43" s="85"/>
      <c r="I43" s="85"/>
      <c r="J43" s="86"/>
      <c r="K43" s="87"/>
      <c r="L43" s="88"/>
      <c r="M43" s="88"/>
      <c r="N43" s="89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0"/>
      <c r="D44" s="88"/>
      <c r="E44" s="88"/>
      <c r="F44" s="89"/>
      <c r="G44" s="84"/>
      <c r="H44" s="85"/>
      <c r="I44" s="85"/>
      <c r="J44" s="86"/>
      <c r="K44" s="87"/>
      <c r="L44" s="88"/>
      <c r="M44" s="88"/>
      <c r="N44" s="89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0"/>
      <c r="D45" s="88"/>
      <c r="E45" s="88"/>
      <c r="F45" s="89"/>
      <c r="G45" s="84"/>
      <c r="H45" s="85"/>
      <c r="I45" s="85"/>
      <c r="J45" s="86"/>
      <c r="K45" s="87"/>
      <c r="L45" s="88"/>
      <c r="M45" s="88"/>
      <c r="N45" s="89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0"/>
      <c r="D46" s="88"/>
      <c r="E46" s="88"/>
      <c r="F46" s="89"/>
      <c r="G46" s="84"/>
      <c r="H46" s="85"/>
      <c r="I46" s="85"/>
      <c r="J46" s="86"/>
      <c r="K46" s="87"/>
      <c r="L46" s="88"/>
      <c r="M46" s="88"/>
      <c r="N46" s="89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0"/>
      <c r="D47" s="88"/>
      <c r="E47" s="88"/>
      <c r="F47" s="89"/>
      <c r="G47" s="84"/>
      <c r="H47" s="85"/>
      <c r="I47" s="85"/>
      <c r="J47" s="86"/>
      <c r="K47" s="87"/>
      <c r="L47" s="88"/>
      <c r="M47" s="88"/>
      <c r="N47" s="89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 activeCell="X13" sqref="X13:AE13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9" t="s">
        <v>0</v>
      </c>
      <c r="C2" s="92"/>
      <c r="D2" s="92"/>
      <c r="E2" s="92"/>
      <c r="F2" s="92"/>
      <c r="G2" s="92"/>
      <c r="H2" s="92" t="s">
        <v>40</v>
      </c>
      <c r="I2" s="92"/>
      <c r="J2" s="92"/>
      <c r="K2" s="92"/>
      <c r="L2" s="92" t="s">
        <v>41</v>
      </c>
      <c r="M2" s="92"/>
      <c r="N2" s="92"/>
      <c r="O2" s="92"/>
      <c r="P2" s="92"/>
      <c r="Q2" s="92"/>
      <c r="R2" s="92" t="s">
        <v>1</v>
      </c>
      <c r="S2" s="92"/>
      <c r="T2" s="92"/>
      <c r="U2" s="92"/>
      <c r="V2" s="92"/>
      <c r="W2" s="92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92" t="s">
        <v>4</v>
      </c>
      <c r="AY2" s="92"/>
      <c r="AZ2" s="92"/>
      <c r="BA2" s="92"/>
      <c r="BB2" s="92" t="s">
        <v>3</v>
      </c>
      <c r="BC2" s="92"/>
      <c r="BD2" s="92"/>
      <c r="BE2" s="92"/>
      <c r="BF2" s="92" t="s">
        <v>5</v>
      </c>
      <c r="BG2" s="92"/>
      <c r="BH2" s="92"/>
      <c r="BI2" s="92"/>
      <c r="BJ2" s="92" t="s">
        <v>6</v>
      </c>
      <c r="BK2" s="92"/>
      <c r="BL2" s="92"/>
      <c r="BM2" s="93"/>
      <c r="BN2" s="16"/>
    </row>
    <row r="3" spans="1:66" ht="20.100000000000001" customHeight="1" x14ac:dyDescent="0.45">
      <c r="A3" s="10"/>
      <c r="B3" s="107" t="str">
        <f>変更履歴!B3</f>
        <v>受発注システム</v>
      </c>
      <c r="C3" s="95"/>
      <c r="D3" s="95"/>
      <c r="E3" s="95"/>
      <c r="F3" s="95"/>
      <c r="G3" s="95"/>
      <c r="H3" s="95" t="str">
        <f ca="1">変更履歴!H3</f>
        <v>請求売掛</v>
      </c>
      <c r="I3" s="95"/>
      <c r="J3" s="95"/>
      <c r="K3" s="95"/>
      <c r="L3" s="95" t="str">
        <f>変更履歴!L3</f>
        <v>受発注</v>
      </c>
      <c r="M3" s="95"/>
      <c r="N3" s="95"/>
      <c r="O3" s="95"/>
      <c r="P3" s="95"/>
      <c r="Q3" s="95"/>
      <c r="R3" s="95" t="str">
        <f ca="1">変更履歴!R3</f>
        <v>結合試験項目</v>
      </c>
      <c r="S3" s="95"/>
      <c r="T3" s="95"/>
      <c r="U3" s="95"/>
      <c r="V3" s="95"/>
      <c r="W3" s="95"/>
      <c r="X3" s="98" t="str">
        <f ca="1">変更履歴!X3</f>
        <v>請求売掛_ジョイテック請求明細一覧表_結合試験項目</v>
      </c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100"/>
      <c r="AK3" s="98" t="str">
        <f ca="1">変更履歴!AK3</f>
        <v>ジョイテック請求明細一覧表</v>
      </c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100"/>
      <c r="AX3" s="94">
        <f>変更履歴!AX3</f>
        <v>45628</v>
      </c>
      <c r="AY3" s="94"/>
      <c r="AZ3" s="94"/>
      <c r="BA3" s="94"/>
      <c r="BB3" s="95" t="str">
        <f>変更履歴!BB3</f>
        <v>児玉</v>
      </c>
      <c r="BC3" s="95"/>
      <c r="BD3" s="95"/>
      <c r="BE3" s="95"/>
      <c r="BF3" s="94">
        <f>変更履歴!BF3</f>
        <v>45628</v>
      </c>
      <c r="BG3" s="94"/>
      <c r="BH3" s="94"/>
      <c r="BI3" s="94"/>
      <c r="BJ3" s="95" t="str">
        <f>変更履歴!BJ3</f>
        <v>児玉</v>
      </c>
      <c r="BK3" s="95"/>
      <c r="BL3" s="95"/>
      <c r="BM3" s="97"/>
      <c r="BN3" s="16"/>
    </row>
    <row r="4" spans="1:66" ht="20.100000000000001" customHeight="1" thickBot="1" x14ac:dyDescent="0.5">
      <c r="A4" s="10"/>
      <c r="B4" s="100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1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3"/>
      <c r="AK4" s="101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3"/>
      <c r="AX4" s="150"/>
      <c r="AY4" s="150"/>
      <c r="AZ4" s="150"/>
      <c r="BA4" s="150"/>
      <c r="BB4" s="96"/>
      <c r="BC4" s="96"/>
      <c r="BD4" s="96"/>
      <c r="BE4" s="96"/>
      <c r="BF4" s="150"/>
      <c r="BG4" s="150"/>
      <c r="BH4" s="150"/>
      <c r="BI4" s="150"/>
      <c r="BJ4" s="96"/>
      <c r="BK4" s="96"/>
      <c r="BL4" s="96"/>
      <c r="BM4" s="9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7" t="s">
        <v>32</v>
      </c>
      <c r="BF7" s="138"/>
      <c r="BG7" s="141" t="s">
        <v>31</v>
      </c>
      <c r="BH7" s="141"/>
      <c r="BI7" s="142" t="s">
        <v>33</v>
      </c>
      <c r="BJ7" s="143"/>
      <c r="BK7" s="142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6" t="s">
        <v>35</v>
      </c>
      <c r="AP8" s="135"/>
      <c r="AQ8" s="135"/>
      <c r="AR8" s="135"/>
      <c r="AS8" s="135"/>
      <c r="AT8" s="136"/>
      <c r="AU8" s="146" t="s">
        <v>36</v>
      </c>
      <c r="AV8" s="135"/>
      <c r="AW8" s="135"/>
      <c r="AX8" s="135"/>
      <c r="AY8" s="135"/>
      <c r="AZ8" s="136"/>
      <c r="BE8" s="139"/>
      <c r="BF8" s="140"/>
      <c r="BG8" s="147">
        <f>COUNTA(C10:C16)</f>
        <v>7</v>
      </c>
      <c r="BH8" s="148"/>
      <c r="BI8" s="147">
        <f>COUNTIF(AS10:AT16,"OK")+COUNTIF(AY10:AZ16,"OK")</f>
        <v>7</v>
      </c>
      <c r="BJ8" s="148"/>
      <c r="BK8" s="147">
        <f>BG8-BI8</f>
        <v>0</v>
      </c>
      <c r="BL8" s="14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4" t="s">
        <v>25</v>
      </c>
      <c r="AP9" s="145"/>
      <c r="AQ9" s="132" t="s">
        <v>26</v>
      </c>
      <c r="AR9" s="145"/>
      <c r="AS9" s="132" t="s">
        <v>29</v>
      </c>
      <c r="AT9" s="133"/>
      <c r="AU9" s="144" t="s">
        <v>25</v>
      </c>
      <c r="AV9" s="145"/>
      <c r="AW9" s="132" t="s">
        <v>26</v>
      </c>
      <c r="AX9" s="145"/>
      <c r="AY9" s="132" t="s">
        <v>29</v>
      </c>
      <c r="AZ9" s="133"/>
      <c r="BA9" s="134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10" t="s">
        <v>42</v>
      </c>
      <c r="E10" s="111"/>
      <c r="F10" s="111"/>
      <c r="G10" s="112"/>
      <c r="H10" s="110" t="s">
        <v>43</v>
      </c>
      <c r="I10" s="111"/>
      <c r="J10" s="111"/>
      <c r="K10" s="112"/>
      <c r="L10" s="123" t="s">
        <v>54</v>
      </c>
      <c r="M10" s="124"/>
      <c r="N10" s="124"/>
      <c r="O10" s="125"/>
      <c r="P10" s="123" t="s">
        <v>79</v>
      </c>
      <c r="Q10" s="124"/>
      <c r="R10" s="124"/>
      <c r="S10" s="124"/>
      <c r="T10" s="124"/>
      <c r="U10" s="124"/>
      <c r="V10" s="124"/>
      <c r="W10" s="125"/>
      <c r="X10" s="123" t="s">
        <v>90</v>
      </c>
      <c r="Y10" s="124"/>
      <c r="Z10" s="124"/>
      <c r="AA10" s="124"/>
      <c r="AB10" s="124"/>
      <c r="AC10" s="124"/>
      <c r="AD10" s="124"/>
      <c r="AE10" s="125"/>
      <c r="AF10" s="123"/>
      <c r="AG10" s="124"/>
      <c r="AH10" s="124"/>
      <c r="AI10" s="124"/>
      <c r="AJ10" s="124"/>
      <c r="AK10" s="124"/>
      <c r="AL10" s="124"/>
      <c r="AM10" s="124"/>
      <c r="AN10" s="129"/>
      <c r="AO10" s="130">
        <v>45665</v>
      </c>
      <c r="AP10" s="131"/>
      <c r="AQ10" s="87" t="s">
        <v>92</v>
      </c>
      <c r="AR10" s="89"/>
      <c r="AS10" s="87" t="s">
        <v>94</v>
      </c>
      <c r="AT10" s="116"/>
      <c r="AU10" s="130">
        <v>45695</v>
      </c>
      <c r="AV10" s="131"/>
      <c r="AW10" s="87" t="s">
        <v>98</v>
      </c>
      <c r="AX10" s="89"/>
      <c r="AY10" s="87" t="s">
        <v>99</v>
      </c>
      <c r="AZ10" s="116"/>
      <c r="BA10" s="117" t="s">
        <v>95</v>
      </c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9"/>
      <c r="BM10" s="16"/>
      <c r="BN10" s="16"/>
    </row>
    <row r="11" spans="1:66" ht="27.6" customHeight="1" x14ac:dyDescent="0.45">
      <c r="A11" s="10"/>
      <c r="B11" s="10"/>
      <c r="C11" s="30">
        <f t="shared" ref="C11:C16" si="0">ROW()-9</f>
        <v>2</v>
      </c>
      <c r="D11" s="113"/>
      <c r="E11" s="114"/>
      <c r="F11" s="114"/>
      <c r="G11" s="115"/>
      <c r="H11" s="113"/>
      <c r="I11" s="114"/>
      <c r="J11" s="114"/>
      <c r="K11" s="115"/>
      <c r="L11" s="123" t="s">
        <v>55</v>
      </c>
      <c r="M11" s="124"/>
      <c r="N11" s="124"/>
      <c r="O11" s="125"/>
      <c r="P11" s="123" t="s">
        <v>79</v>
      </c>
      <c r="Q11" s="124"/>
      <c r="R11" s="124"/>
      <c r="S11" s="124"/>
      <c r="T11" s="124"/>
      <c r="U11" s="124"/>
      <c r="V11" s="124"/>
      <c r="W11" s="125"/>
      <c r="X11" s="123" t="s">
        <v>91</v>
      </c>
      <c r="Y11" s="124"/>
      <c r="Z11" s="124"/>
      <c r="AA11" s="124"/>
      <c r="AB11" s="124"/>
      <c r="AC11" s="124"/>
      <c r="AD11" s="124"/>
      <c r="AE11" s="125"/>
      <c r="AF11" s="123"/>
      <c r="AG11" s="124"/>
      <c r="AH11" s="124"/>
      <c r="AI11" s="124"/>
      <c r="AJ11" s="124"/>
      <c r="AK11" s="124"/>
      <c r="AL11" s="124"/>
      <c r="AM11" s="124"/>
      <c r="AN11" s="129"/>
      <c r="AO11" s="130">
        <v>45665</v>
      </c>
      <c r="AP11" s="131"/>
      <c r="AQ11" s="87" t="s">
        <v>92</v>
      </c>
      <c r="AR11" s="89"/>
      <c r="AS11" s="87" t="s">
        <v>94</v>
      </c>
      <c r="AT11" s="116"/>
      <c r="AU11" s="130">
        <v>45695</v>
      </c>
      <c r="AV11" s="131"/>
      <c r="AW11" s="87" t="s">
        <v>98</v>
      </c>
      <c r="AX11" s="89"/>
      <c r="AY11" s="87" t="s">
        <v>99</v>
      </c>
      <c r="AZ11" s="116"/>
      <c r="BA11" s="117" t="s">
        <v>96</v>
      </c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9"/>
      <c r="BM11" s="16"/>
      <c r="BN11" s="16"/>
    </row>
    <row r="12" spans="1:66" ht="20.399999999999999" customHeight="1" x14ac:dyDescent="0.45">
      <c r="A12" s="10"/>
      <c r="B12" s="10"/>
      <c r="C12" s="30">
        <f t="shared" si="0"/>
        <v>3</v>
      </c>
      <c r="D12" s="66"/>
      <c r="E12" s="67"/>
      <c r="F12" s="67"/>
      <c r="G12" s="68"/>
      <c r="H12" s="110" t="s">
        <v>78</v>
      </c>
      <c r="I12" s="111"/>
      <c r="J12" s="111"/>
      <c r="K12" s="112"/>
      <c r="L12" s="126" t="s">
        <v>59</v>
      </c>
      <c r="M12" s="127"/>
      <c r="N12" s="127"/>
      <c r="O12" s="128"/>
      <c r="P12" s="110" t="s">
        <v>88</v>
      </c>
      <c r="Q12" s="111"/>
      <c r="R12" s="111"/>
      <c r="S12" s="111"/>
      <c r="T12" s="111"/>
      <c r="U12" s="111"/>
      <c r="V12" s="111"/>
      <c r="W12" s="112"/>
      <c r="X12" s="123" t="s">
        <v>89</v>
      </c>
      <c r="Y12" s="124"/>
      <c r="Z12" s="124"/>
      <c r="AA12" s="124"/>
      <c r="AB12" s="124"/>
      <c r="AC12" s="124"/>
      <c r="AD12" s="124"/>
      <c r="AE12" s="125"/>
      <c r="AF12" s="73"/>
      <c r="AG12" s="74"/>
      <c r="AH12" s="74"/>
      <c r="AI12" s="74"/>
      <c r="AJ12" s="74"/>
      <c r="AK12" s="74"/>
      <c r="AL12" s="74"/>
      <c r="AM12" s="74"/>
      <c r="AN12" s="75"/>
      <c r="AO12" s="130">
        <v>45665</v>
      </c>
      <c r="AP12" s="131"/>
      <c r="AQ12" s="87" t="s">
        <v>92</v>
      </c>
      <c r="AR12" s="89"/>
      <c r="AS12" s="87" t="s">
        <v>93</v>
      </c>
      <c r="AT12" s="116"/>
      <c r="AU12" s="76"/>
      <c r="AV12" s="77"/>
      <c r="AW12" s="64"/>
      <c r="AX12" s="65"/>
      <c r="AY12" s="64"/>
      <c r="AZ12" s="69"/>
      <c r="BA12" s="70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2"/>
      <c r="BM12" s="16"/>
      <c r="BN12" s="16"/>
    </row>
    <row r="13" spans="1:66" ht="24" customHeight="1" x14ac:dyDescent="0.45">
      <c r="A13" s="10"/>
      <c r="B13" s="10"/>
      <c r="C13" s="30">
        <f t="shared" si="0"/>
        <v>4</v>
      </c>
      <c r="D13" s="113"/>
      <c r="E13" s="114"/>
      <c r="F13" s="114"/>
      <c r="G13" s="115"/>
      <c r="H13" s="120"/>
      <c r="I13" s="121"/>
      <c r="J13" s="121"/>
      <c r="K13" s="122"/>
      <c r="L13" s="123" t="s">
        <v>48</v>
      </c>
      <c r="M13" s="124"/>
      <c r="N13" s="124"/>
      <c r="O13" s="125"/>
      <c r="P13" s="123" t="s">
        <v>49</v>
      </c>
      <c r="Q13" s="124"/>
      <c r="R13" s="124"/>
      <c r="S13" s="124"/>
      <c r="T13" s="124"/>
      <c r="U13" s="124"/>
      <c r="V13" s="124"/>
      <c r="W13" s="125"/>
      <c r="X13" s="123" t="s">
        <v>100</v>
      </c>
      <c r="Y13" s="124"/>
      <c r="Z13" s="124"/>
      <c r="AA13" s="124"/>
      <c r="AB13" s="124"/>
      <c r="AC13" s="124"/>
      <c r="AD13" s="124"/>
      <c r="AE13" s="125"/>
      <c r="AF13" s="123"/>
      <c r="AG13" s="124"/>
      <c r="AH13" s="124"/>
      <c r="AI13" s="124"/>
      <c r="AJ13" s="124"/>
      <c r="AK13" s="124"/>
      <c r="AL13" s="124"/>
      <c r="AM13" s="124"/>
      <c r="AN13" s="129"/>
      <c r="AO13" s="130">
        <v>45665</v>
      </c>
      <c r="AP13" s="131"/>
      <c r="AQ13" s="87" t="s">
        <v>92</v>
      </c>
      <c r="AR13" s="89"/>
      <c r="AS13" s="87" t="s">
        <v>99</v>
      </c>
      <c r="AT13" s="116"/>
      <c r="AU13" s="130"/>
      <c r="AV13" s="131"/>
      <c r="AW13" s="87"/>
      <c r="AX13" s="89"/>
      <c r="AY13" s="87"/>
      <c r="AZ13" s="116"/>
      <c r="BA13" s="117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9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13"/>
      <c r="E14" s="114"/>
      <c r="F14" s="114"/>
      <c r="G14" s="115"/>
      <c r="H14" s="113" t="s">
        <v>57</v>
      </c>
      <c r="I14" s="114"/>
      <c r="J14" s="114"/>
      <c r="K14" s="115"/>
      <c r="L14" s="110" t="s">
        <v>54</v>
      </c>
      <c r="M14" s="111"/>
      <c r="N14" s="111"/>
      <c r="O14" s="112"/>
      <c r="P14" s="151" t="s">
        <v>51</v>
      </c>
      <c r="Q14" s="152"/>
      <c r="R14" s="152"/>
      <c r="S14" s="152"/>
      <c r="T14" s="152"/>
      <c r="U14" s="152"/>
      <c r="V14" s="152"/>
      <c r="W14" s="153"/>
      <c r="X14" s="123" t="s">
        <v>44</v>
      </c>
      <c r="Y14" s="124"/>
      <c r="Z14" s="124"/>
      <c r="AA14" s="124"/>
      <c r="AB14" s="124"/>
      <c r="AC14" s="124"/>
      <c r="AD14" s="124"/>
      <c r="AE14" s="125"/>
      <c r="AF14" s="123"/>
      <c r="AG14" s="124"/>
      <c r="AH14" s="124"/>
      <c r="AI14" s="124"/>
      <c r="AJ14" s="124"/>
      <c r="AK14" s="124"/>
      <c r="AL14" s="124"/>
      <c r="AM14" s="124"/>
      <c r="AN14" s="129"/>
      <c r="AO14" s="130">
        <v>45665</v>
      </c>
      <c r="AP14" s="131"/>
      <c r="AQ14" s="87" t="s">
        <v>92</v>
      </c>
      <c r="AR14" s="89"/>
      <c r="AS14" s="87" t="s">
        <v>93</v>
      </c>
      <c r="AT14" s="116"/>
      <c r="AU14" s="130"/>
      <c r="AV14" s="131"/>
      <c r="AW14" s="87"/>
      <c r="AX14" s="89"/>
      <c r="AY14" s="87"/>
      <c r="AZ14" s="116"/>
      <c r="BA14" s="117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9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13"/>
      <c r="E15" s="114"/>
      <c r="F15" s="114"/>
      <c r="G15" s="115"/>
      <c r="H15" s="113"/>
      <c r="I15" s="114"/>
      <c r="J15" s="114"/>
      <c r="K15" s="115"/>
      <c r="L15" s="123" t="s">
        <v>55</v>
      </c>
      <c r="M15" s="124"/>
      <c r="N15" s="124"/>
      <c r="O15" s="125"/>
      <c r="P15" s="151" t="s">
        <v>52</v>
      </c>
      <c r="Q15" s="152"/>
      <c r="R15" s="152"/>
      <c r="S15" s="152"/>
      <c r="T15" s="152"/>
      <c r="U15" s="152"/>
      <c r="V15" s="152"/>
      <c r="W15" s="153"/>
      <c r="X15" s="123" t="s">
        <v>44</v>
      </c>
      <c r="Y15" s="124"/>
      <c r="Z15" s="124"/>
      <c r="AA15" s="124"/>
      <c r="AB15" s="124"/>
      <c r="AC15" s="124"/>
      <c r="AD15" s="124"/>
      <c r="AE15" s="125"/>
      <c r="AF15" s="123"/>
      <c r="AG15" s="124"/>
      <c r="AH15" s="124"/>
      <c r="AI15" s="124"/>
      <c r="AJ15" s="124"/>
      <c r="AK15" s="124"/>
      <c r="AL15" s="124"/>
      <c r="AM15" s="124"/>
      <c r="AN15" s="129"/>
      <c r="AO15" s="130">
        <v>45665</v>
      </c>
      <c r="AP15" s="131"/>
      <c r="AQ15" s="87" t="s">
        <v>92</v>
      </c>
      <c r="AR15" s="89"/>
      <c r="AS15" s="87" t="s">
        <v>93</v>
      </c>
      <c r="AT15" s="116"/>
      <c r="AU15" s="130"/>
      <c r="AV15" s="131"/>
      <c r="AW15" s="87"/>
      <c r="AX15" s="89"/>
      <c r="AY15" s="87"/>
      <c r="AZ15" s="116"/>
      <c r="BA15" s="117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9"/>
      <c r="BM15" s="16"/>
      <c r="BN15" s="16"/>
    </row>
    <row r="16" spans="1:66" ht="27.6" customHeight="1" thickBot="1" x14ac:dyDescent="0.5">
      <c r="A16" s="10"/>
      <c r="B16" s="10"/>
      <c r="C16" s="30">
        <f t="shared" si="0"/>
        <v>7</v>
      </c>
      <c r="D16" s="49"/>
      <c r="E16" s="50"/>
      <c r="F16" s="50"/>
      <c r="G16" s="51"/>
      <c r="H16" s="49"/>
      <c r="I16" s="50"/>
      <c r="J16" s="50"/>
      <c r="K16" s="51"/>
      <c r="L16" s="154" t="s">
        <v>56</v>
      </c>
      <c r="M16" s="155"/>
      <c r="N16" s="155"/>
      <c r="O16" s="156"/>
      <c r="P16" s="123" t="s">
        <v>53</v>
      </c>
      <c r="Q16" s="124"/>
      <c r="R16" s="124"/>
      <c r="S16" s="124"/>
      <c r="T16" s="124"/>
      <c r="U16" s="124"/>
      <c r="V16" s="124"/>
      <c r="W16" s="125"/>
      <c r="X16" s="123" t="s">
        <v>44</v>
      </c>
      <c r="Y16" s="124"/>
      <c r="Z16" s="124"/>
      <c r="AA16" s="124"/>
      <c r="AB16" s="124"/>
      <c r="AC16" s="124"/>
      <c r="AD16" s="124"/>
      <c r="AE16" s="125"/>
      <c r="AF16" s="40"/>
      <c r="AG16" s="41"/>
      <c r="AH16" s="41"/>
      <c r="AI16" s="41"/>
      <c r="AJ16" s="41"/>
      <c r="AK16" s="41"/>
      <c r="AL16" s="41"/>
      <c r="AM16" s="41"/>
      <c r="AN16" s="42"/>
      <c r="AO16" s="130">
        <v>45665</v>
      </c>
      <c r="AP16" s="131"/>
      <c r="AQ16" s="87" t="s">
        <v>92</v>
      </c>
      <c r="AR16" s="89"/>
      <c r="AS16" s="87" t="s">
        <v>93</v>
      </c>
      <c r="AT16" s="116"/>
      <c r="AU16" s="43"/>
      <c r="AV16" s="44"/>
      <c r="AW16" s="36"/>
      <c r="AX16" s="35"/>
      <c r="AY16" s="36"/>
      <c r="AZ16" s="45"/>
      <c r="BA16" s="37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9"/>
      <c r="BM16" s="16"/>
      <c r="BN16" s="16"/>
    </row>
    <row r="17" spans="1:66" ht="20.100000000000001" customHeight="1" thickTop="1" thickBot="1" x14ac:dyDescent="0.5">
      <c r="A17" s="10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1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114">
    <mergeCell ref="AO16:AP16"/>
    <mergeCell ref="AQ16:AR16"/>
    <mergeCell ref="AS16:AT16"/>
    <mergeCell ref="L16:O16"/>
    <mergeCell ref="AO8:AT8"/>
    <mergeCell ref="AO9:AP9"/>
    <mergeCell ref="AQ9:AR9"/>
    <mergeCell ref="AS9:AT9"/>
    <mergeCell ref="P16:W16"/>
    <mergeCell ref="X16:AE16"/>
    <mergeCell ref="P15:W15"/>
    <mergeCell ref="AQ15:AR15"/>
    <mergeCell ref="AS15:AT15"/>
    <mergeCell ref="X15:AE15"/>
    <mergeCell ref="X13:AE13"/>
    <mergeCell ref="AF13:AN13"/>
    <mergeCell ref="AO13:AP13"/>
    <mergeCell ref="AQ13:AR13"/>
    <mergeCell ref="AS13:AT13"/>
    <mergeCell ref="P14:W14"/>
    <mergeCell ref="X14:AE14"/>
    <mergeCell ref="AF14:AN14"/>
    <mergeCell ref="AO12:AP12"/>
    <mergeCell ref="AQ12:AR12"/>
    <mergeCell ref="AS12:AT12"/>
    <mergeCell ref="AX2:BA2"/>
    <mergeCell ref="BB2:BE2"/>
    <mergeCell ref="BF2:BI2"/>
    <mergeCell ref="BJ2:BM2"/>
    <mergeCell ref="AU8:AZ8"/>
    <mergeCell ref="BG8:BH8"/>
    <mergeCell ref="BI8:BJ8"/>
    <mergeCell ref="BK8:BL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BK7:BL7"/>
    <mergeCell ref="AU9:AV9"/>
    <mergeCell ref="AW9:AX9"/>
    <mergeCell ref="AO14:AP14"/>
    <mergeCell ref="AQ14:AR14"/>
    <mergeCell ref="AS14:AT14"/>
    <mergeCell ref="AU14:AV14"/>
    <mergeCell ref="AW14:AX14"/>
    <mergeCell ref="AU13:AV13"/>
    <mergeCell ref="AW13:AX13"/>
    <mergeCell ref="AQ10:AR10"/>
    <mergeCell ref="AS10:AT10"/>
    <mergeCell ref="AU10:AV10"/>
    <mergeCell ref="AW10:AX10"/>
    <mergeCell ref="H14:K14"/>
    <mergeCell ref="AY9:AZ9"/>
    <mergeCell ref="BA9:BL9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Y10:AZ10"/>
    <mergeCell ref="L14:O14"/>
    <mergeCell ref="L10:O10"/>
    <mergeCell ref="L11:O11"/>
    <mergeCell ref="L13:O13"/>
    <mergeCell ref="P13:W13"/>
    <mergeCell ref="D10:G10"/>
    <mergeCell ref="D11:G11"/>
    <mergeCell ref="AY15:AZ15"/>
    <mergeCell ref="BA15:BL15"/>
    <mergeCell ref="D15:G15"/>
    <mergeCell ref="H10:K10"/>
    <mergeCell ref="H11:K11"/>
    <mergeCell ref="D14:G14"/>
    <mergeCell ref="H15:K15"/>
    <mergeCell ref="H13:K13"/>
    <mergeCell ref="AY13:AZ13"/>
    <mergeCell ref="BA13:BL13"/>
    <mergeCell ref="D13:G13"/>
    <mergeCell ref="L15:O15"/>
    <mergeCell ref="H12:K12"/>
    <mergeCell ref="L12:O12"/>
    <mergeCell ref="P12:W12"/>
    <mergeCell ref="X12:AE12"/>
    <mergeCell ref="AY14:AZ14"/>
    <mergeCell ref="BA14:BL14"/>
    <mergeCell ref="AF15:AN15"/>
    <mergeCell ref="AO15:AP15"/>
    <mergeCell ref="AU15:AV15"/>
    <mergeCell ref="AW15:AX15"/>
  </mergeCells>
  <phoneticPr fontId="2"/>
  <conditionalFormatting sqref="AS10 AY10 AY14:AY16 AY12">
    <cfRule type="cellIs" dxfId="59" priority="21" operator="equal">
      <formula>"OK"</formula>
    </cfRule>
    <cfRule type="cellIs" dxfId="58" priority="22" operator="equal">
      <formula>"NG"</formula>
    </cfRule>
  </conditionalFormatting>
  <conditionalFormatting sqref="AY13">
    <cfRule type="cellIs" dxfId="57" priority="15" operator="equal">
      <formula>"OK"</formula>
    </cfRule>
    <cfRule type="cellIs" dxfId="56" priority="16" operator="equal">
      <formula>"NG"</formula>
    </cfRule>
  </conditionalFormatting>
  <conditionalFormatting sqref="AS11">
    <cfRule type="cellIs" dxfId="55" priority="13" operator="equal">
      <formula>"OK"</formula>
    </cfRule>
    <cfRule type="cellIs" dxfId="54" priority="14" operator="equal">
      <formula>"NG"</formula>
    </cfRule>
  </conditionalFormatting>
  <conditionalFormatting sqref="AS12">
    <cfRule type="cellIs" dxfId="53" priority="11" operator="equal">
      <formula>"OK"</formula>
    </cfRule>
    <cfRule type="cellIs" dxfId="52" priority="12" operator="equal">
      <formula>"NG"</formula>
    </cfRule>
  </conditionalFormatting>
  <conditionalFormatting sqref="AS13">
    <cfRule type="cellIs" dxfId="51" priority="9" operator="equal">
      <formula>"OK"</formula>
    </cfRule>
    <cfRule type="cellIs" dxfId="50" priority="10" operator="equal">
      <formula>"NG"</formula>
    </cfRule>
  </conditionalFormatting>
  <conditionalFormatting sqref="AS14">
    <cfRule type="cellIs" dxfId="49" priority="7" operator="equal">
      <formula>"OK"</formula>
    </cfRule>
    <cfRule type="cellIs" dxfId="48" priority="8" operator="equal">
      <formula>"NG"</formula>
    </cfRule>
  </conditionalFormatting>
  <conditionalFormatting sqref="AS15">
    <cfRule type="cellIs" dxfId="47" priority="5" operator="equal">
      <formula>"OK"</formula>
    </cfRule>
    <cfRule type="cellIs" dxfId="46" priority="6" operator="equal">
      <formula>"NG"</formula>
    </cfRule>
  </conditionalFormatting>
  <conditionalFormatting sqref="AS16">
    <cfRule type="cellIs" dxfId="45" priority="3" operator="equal">
      <formula>"OK"</formula>
    </cfRule>
    <cfRule type="cellIs" dxfId="44" priority="4" operator="equal">
      <formula>"NG"</formula>
    </cfRule>
  </conditionalFormatting>
  <conditionalFormatting sqref="AY11">
    <cfRule type="cellIs" dxfId="43" priority="1" operator="equal">
      <formula>"OK"</formula>
    </cfRule>
    <cfRule type="cellIs" dxfId="42" priority="2" operator="equal">
      <formula>"NG"</formula>
    </cfRule>
  </conditionalFormatting>
  <dataValidations count="1">
    <dataValidation type="list" allowBlank="1" showInputMessage="1" showErrorMessage="1" sqref="AS10:AS16 AY10:AY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1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9" t="s">
        <v>0</v>
      </c>
      <c r="C2" s="92"/>
      <c r="D2" s="92"/>
      <c r="E2" s="92"/>
      <c r="F2" s="92"/>
      <c r="G2" s="92"/>
      <c r="H2" s="92" t="s">
        <v>40</v>
      </c>
      <c r="I2" s="92"/>
      <c r="J2" s="92"/>
      <c r="K2" s="92"/>
      <c r="L2" s="92" t="s">
        <v>41</v>
      </c>
      <c r="M2" s="92"/>
      <c r="N2" s="92"/>
      <c r="O2" s="92"/>
      <c r="P2" s="92"/>
      <c r="Q2" s="92"/>
      <c r="R2" s="92" t="s">
        <v>1</v>
      </c>
      <c r="S2" s="92"/>
      <c r="T2" s="92"/>
      <c r="U2" s="92"/>
      <c r="V2" s="92"/>
      <c r="W2" s="92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92" t="s">
        <v>4</v>
      </c>
      <c r="AY2" s="92"/>
      <c r="AZ2" s="92"/>
      <c r="BA2" s="92"/>
      <c r="BB2" s="92" t="s">
        <v>3</v>
      </c>
      <c r="BC2" s="92"/>
      <c r="BD2" s="92"/>
      <c r="BE2" s="92"/>
      <c r="BF2" s="92" t="s">
        <v>5</v>
      </c>
      <c r="BG2" s="92"/>
      <c r="BH2" s="92"/>
      <c r="BI2" s="92"/>
      <c r="BJ2" s="92" t="s">
        <v>6</v>
      </c>
      <c r="BK2" s="92"/>
      <c r="BL2" s="92"/>
      <c r="BM2" s="93"/>
      <c r="BN2" s="16"/>
    </row>
    <row r="3" spans="1:66" ht="20.100000000000001" customHeight="1" x14ac:dyDescent="0.45">
      <c r="A3" s="10"/>
      <c r="B3" s="107" t="str">
        <f>変更履歴!B3</f>
        <v>受発注システム</v>
      </c>
      <c r="C3" s="95"/>
      <c r="D3" s="95"/>
      <c r="E3" s="95"/>
      <c r="F3" s="95"/>
      <c r="G3" s="95"/>
      <c r="H3" s="95" t="str">
        <f ca="1">変更履歴!H3</f>
        <v>請求売掛</v>
      </c>
      <c r="I3" s="95"/>
      <c r="J3" s="95"/>
      <c r="K3" s="95"/>
      <c r="L3" s="95" t="str">
        <f>変更履歴!L3</f>
        <v>受発注</v>
      </c>
      <c r="M3" s="95"/>
      <c r="N3" s="95"/>
      <c r="O3" s="95"/>
      <c r="P3" s="95"/>
      <c r="Q3" s="95"/>
      <c r="R3" s="95" t="str">
        <f ca="1">変更履歴!R3</f>
        <v>結合試験項目</v>
      </c>
      <c r="S3" s="95"/>
      <c r="T3" s="95"/>
      <c r="U3" s="95"/>
      <c r="V3" s="95"/>
      <c r="W3" s="95"/>
      <c r="X3" s="98" t="str">
        <f ca="1">変更履歴!X3</f>
        <v>請求売掛_ジョイテック請求明細一覧表_結合試験項目</v>
      </c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100"/>
      <c r="AK3" s="98" t="str">
        <f ca="1">変更履歴!AK3</f>
        <v>ジョイテック請求明細一覧表</v>
      </c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100"/>
      <c r="AX3" s="94">
        <f>変更履歴!AX3</f>
        <v>45628</v>
      </c>
      <c r="AY3" s="94"/>
      <c r="AZ3" s="94"/>
      <c r="BA3" s="94"/>
      <c r="BB3" s="95" t="str">
        <f>変更履歴!BB3</f>
        <v>児玉</v>
      </c>
      <c r="BC3" s="95"/>
      <c r="BD3" s="95"/>
      <c r="BE3" s="95"/>
      <c r="BF3" s="94">
        <f>変更履歴!BF3</f>
        <v>45628</v>
      </c>
      <c r="BG3" s="94"/>
      <c r="BH3" s="94"/>
      <c r="BI3" s="94"/>
      <c r="BJ3" s="95" t="str">
        <f>変更履歴!BJ3</f>
        <v>児玉</v>
      </c>
      <c r="BK3" s="95"/>
      <c r="BL3" s="95"/>
      <c r="BM3" s="97"/>
      <c r="BN3" s="16"/>
    </row>
    <row r="4" spans="1:66" ht="20.100000000000001" customHeight="1" thickBot="1" x14ac:dyDescent="0.5">
      <c r="A4" s="10"/>
      <c r="B4" s="100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1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3"/>
      <c r="AK4" s="101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3"/>
      <c r="AX4" s="150"/>
      <c r="AY4" s="150"/>
      <c r="AZ4" s="150"/>
      <c r="BA4" s="150"/>
      <c r="BB4" s="96"/>
      <c r="BC4" s="96"/>
      <c r="BD4" s="96"/>
      <c r="BE4" s="96"/>
      <c r="BF4" s="150"/>
      <c r="BG4" s="150"/>
      <c r="BH4" s="150"/>
      <c r="BI4" s="150"/>
      <c r="BJ4" s="96"/>
      <c r="BK4" s="96"/>
      <c r="BL4" s="96"/>
      <c r="BM4" s="9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7" t="s">
        <v>32</v>
      </c>
      <c r="BF7" s="138"/>
      <c r="BG7" s="141" t="s">
        <v>31</v>
      </c>
      <c r="BH7" s="141"/>
      <c r="BI7" s="142" t="s">
        <v>33</v>
      </c>
      <c r="BJ7" s="143"/>
      <c r="BK7" s="142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6" t="s">
        <v>35</v>
      </c>
      <c r="AP8" s="135"/>
      <c r="AQ8" s="135"/>
      <c r="AR8" s="135"/>
      <c r="AS8" s="135"/>
      <c r="AT8" s="136"/>
      <c r="AU8" s="146" t="s">
        <v>36</v>
      </c>
      <c r="AV8" s="135"/>
      <c r="AW8" s="135"/>
      <c r="AX8" s="135"/>
      <c r="AY8" s="135"/>
      <c r="AZ8" s="136"/>
      <c r="BE8" s="139"/>
      <c r="BF8" s="140"/>
      <c r="BG8" s="147">
        <f>COUNTA(C10:C26)</f>
        <v>17</v>
      </c>
      <c r="BH8" s="148"/>
      <c r="BI8" s="147">
        <f>COUNTIF(AS10:AT26,"OK")+COUNTIF(AY10:AZ26,"OK")</f>
        <v>17</v>
      </c>
      <c r="BJ8" s="148"/>
      <c r="BK8" s="147">
        <f>BG8-BI8</f>
        <v>0</v>
      </c>
      <c r="BL8" s="14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4" t="s">
        <v>25</v>
      </c>
      <c r="AP9" s="145"/>
      <c r="AQ9" s="132" t="s">
        <v>26</v>
      </c>
      <c r="AR9" s="145"/>
      <c r="AS9" s="132" t="s">
        <v>29</v>
      </c>
      <c r="AT9" s="133"/>
      <c r="AU9" s="144" t="s">
        <v>25</v>
      </c>
      <c r="AV9" s="145"/>
      <c r="AW9" s="132" t="s">
        <v>26</v>
      </c>
      <c r="AX9" s="145"/>
      <c r="AY9" s="132" t="s">
        <v>29</v>
      </c>
      <c r="AZ9" s="133"/>
      <c r="BA9" s="134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5.2" customHeight="1" x14ac:dyDescent="0.45">
      <c r="A10" s="10"/>
      <c r="B10" s="10"/>
      <c r="C10" s="30">
        <f t="shared" ref="C10:C26" si="0">ROW()-9</f>
        <v>1</v>
      </c>
      <c r="D10" s="113" t="s">
        <v>82</v>
      </c>
      <c r="E10" s="114"/>
      <c r="F10" s="114"/>
      <c r="G10" s="115"/>
      <c r="H10" s="113" t="s">
        <v>76</v>
      </c>
      <c r="I10" s="114"/>
      <c r="J10" s="114"/>
      <c r="K10" s="115"/>
      <c r="L10" s="126" t="s">
        <v>77</v>
      </c>
      <c r="M10" s="127"/>
      <c r="N10" s="127"/>
      <c r="O10" s="128"/>
      <c r="P10" s="123" t="s">
        <v>58</v>
      </c>
      <c r="Q10" s="124"/>
      <c r="R10" s="124"/>
      <c r="S10" s="124"/>
      <c r="T10" s="124"/>
      <c r="U10" s="124"/>
      <c r="V10" s="124"/>
      <c r="W10" s="125"/>
      <c r="X10" s="123" t="s">
        <v>45</v>
      </c>
      <c r="Y10" s="124"/>
      <c r="Z10" s="124"/>
      <c r="AA10" s="124"/>
      <c r="AB10" s="124"/>
      <c r="AC10" s="124"/>
      <c r="AD10" s="124"/>
      <c r="AE10" s="125"/>
      <c r="AF10" s="123"/>
      <c r="AG10" s="124"/>
      <c r="AH10" s="124"/>
      <c r="AI10" s="124"/>
      <c r="AJ10" s="124"/>
      <c r="AK10" s="124"/>
      <c r="AL10" s="124"/>
      <c r="AM10" s="124"/>
      <c r="AN10" s="129"/>
      <c r="AO10" s="130">
        <v>45665</v>
      </c>
      <c r="AP10" s="131"/>
      <c r="AQ10" s="87" t="s">
        <v>92</v>
      </c>
      <c r="AR10" s="89"/>
      <c r="AS10" s="87" t="s">
        <v>93</v>
      </c>
      <c r="AT10" s="116"/>
      <c r="AU10" s="130"/>
      <c r="AV10" s="131"/>
      <c r="AW10" s="87"/>
      <c r="AX10" s="89"/>
      <c r="AY10" s="87"/>
      <c r="AZ10" s="116"/>
      <c r="BA10" s="117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9"/>
      <c r="BM10" s="16"/>
      <c r="BN10" s="16"/>
    </row>
    <row r="11" spans="1:66" ht="20.100000000000001" customHeight="1" x14ac:dyDescent="0.45">
      <c r="A11" s="10"/>
      <c r="B11" s="10"/>
      <c r="C11" s="30">
        <f t="shared" si="0"/>
        <v>2</v>
      </c>
      <c r="D11" s="113"/>
      <c r="E11" s="114"/>
      <c r="F11" s="114"/>
      <c r="G11" s="115"/>
      <c r="H11" s="110" t="s">
        <v>46</v>
      </c>
      <c r="I11" s="111"/>
      <c r="J11" s="111"/>
      <c r="K11" s="112"/>
      <c r="L11" s="126" t="s">
        <v>59</v>
      </c>
      <c r="M11" s="127"/>
      <c r="N11" s="127"/>
      <c r="O11" s="128"/>
      <c r="P11" s="110" t="s">
        <v>60</v>
      </c>
      <c r="Q11" s="111"/>
      <c r="R11" s="111"/>
      <c r="S11" s="111"/>
      <c r="T11" s="111"/>
      <c r="U11" s="111"/>
      <c r="V11" s="111"/>
      <c r="W11" s="112"/>
      <c r="X11" s="123" t="s">
        <v>74</v>
      </c>
      <c r="Y11" s="124"/>
      <c r="Z11" s="124"/>
      <c r="AA11" s="124"/>
      <c r="AB11" s="124"/>
      <c r="AC11" s="124"/>
      <c r="AD11" s="124"/>
      <c r="AE11" s="125"/>
      <c r="AF11" s="123"/>
      <c r="AG11" s="124"/>
      <c r="AH11" s="124"/>
      <c r="AI11" s="124"/>
      <c r="AJ11" s="124"/>
      <c r="AK11" s="124"/>
      <c r="AL11" s="124"/>
      <c r="AM11" s="124"/>
      <c r="AN11" s="129"/>
      <c r="AO11" s="130">
        <v>45665</v>
      </c>
      <c r="AP11" s="131"/>
      <c r="AQ11" s="87" t="s">
        <v>92</v>
      </c>
      <c r="AR11" s="89"/>
      <c r="AS11" s="87" t="s">
        <v>93</v>
      </c>
      <c r="AT11" s="116"/>
      <c r="AU11" s="130"/>
      <c r="AV11" s="131"/>
      <c r="AW11" s="87"/>
      <c r="AX11" s="89"/>
      <c r="AY11" s="87"/>
      <c r="AZ11" s="116"/>
      <c r="BA11" s="117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9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52"/>
      <c r="E12" s="53"/>
      <c r="F12" s="53"/>
      <c r="G12" s="54"/>
      <c r="H12" s="120"/>
      <c r="I12" s="121"/>
      <c r="J12" s="121"/>
      <c r="K12" s="122"/>
      <c r="L12" s="61"/>
      <c r="M12" s="62"/>
      <c r="N12" s="62"/>
      <c r="O12" s="63"/>
      <c r="P12" s="58"/>
      <c r="Q12" s="59"/>
      <c r="R12" s="59"/>
      <c r="S12" s="59"/>
      <c r="T12" s="59"/>
      <c r="U12" s="59"/>
      <c r="V12" s="59"/>
      <c r="W12" s="60"/>
      <c r="X12" s="123" t="s">
        <v>75</v>
      </c>
      <c r="Y12" s="124"/>
      <c r="Z12" s="124"/>
      <c r="AA12" s="124"/>
      <c r="AB12" s="124"/>
      <c r="AC12" s="124"/>
      <c r="AD12" s="124"/>
      <c r="AE12" s="125"/>
      <c r="AF12" s="55"/>
      <c r="AG12" s="56"/>
      <c r="AH12" s="56"/>
      <c r="AI12" s="56"/>
      <c r="AJ12" s="56"/>
      <c r="AK12" s="56"/>
      <c r="AL12" s="56"/>
      <c r="AM12" s="56"/>
      <c r="AN12" s="57"/>
      <c r="AO12" s="130">
        <v>45665</v>
      </c>
      <c r="AP12" s="131"/>
      <c r="AQ12" s="87" t="s">
        <v>92</v>
      </c>
      <c r="AR12" s="89"/>
      <c r="AS12" s="87" t="s">
        <v>94</v>
      </c>
      <c r="AT12" s="116"/>
      <c r="AU12" s="130">
        <v>45695</v>
      </c>
      <c r="AV12" s="131"/>
      <c r="AW12" s="87" t="s">
        <v>98</v>
      </c>
      <c r="AX12" s="89"/>
      <c r="AY12" s="87" t="s">
        <v>99</v>
      </c>
      <c r="AZ12" s="116"/>
      <c r="BA12" s="117" t="s">
        <v>97</v>
      </c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9"/>
      <c r="BM12" s="16"/>
      <c r="BN12" s="16"/>
    </row>
    <row r="13" spans="1:66" ht="29.4" customHeight="1" x14ac:dyDescent="0.45">
      <c r="A13" s="10"/>
      <c r="B13" s="10"/>
      <c r="C13" s="30">
        <f t="shared" si="0"/>
        <v>4</v>
      </c>
      <c r="D13" s="113"/>
      <c r="E13" s="114"/>
      <c r="F13" s="114"/>
      <c r="G13" s="115"/>
      <c r="H13" s="113" t="s">
        <v>50</v>
      </c>
      <c r="I13" s="114"/>
      <c r="J13" s="114"/>
      <c r="K13" s="115"/>
      <c r="L13" s="123" t="s">
        <v>47</v>
      </c>
      <c r="M13" s="124"/>
      <c r="N13" s="124"/>
      <c r="O13" s="125"/>
      <c r="P13" s="123" t="s">
        <v>60</v>
      </c>
      <c r="Q13" s="124"/>
      <c r="R13" s="124"/>
      <c r="S13" s="124"/>
      <c r="T13" s="124"/>
      <c r="U13" s="124"/>
      <c r="V13" s="124"/>
      <c r="W13" s="125"/>
      <c r="X13" s="123" t="s">
        <v>45</v>
      </c>
      <c r="Y13" s="124"/>
      <c r="Z13" s="124"/>
      <c r="AA13" s="124"/>
      <c r="AB13" s="124"/>
      <c r="AC13" s="124"/>
      <c r="AD13" s="124"/>
      <c r="AE13" s="125"/>
      <c r="AF13" s="123" t="s">
        <v>80</v>
      </c>
      <c r="AG13" s="124"/>
      <c r="AH13" s="124"/>
      <c r="AI13" s="124"/>
      <c r="AJ13" s="124"/>
      <c r="AK13" s="124"/>
      <c r="AL13" s="124"/>
      <c r="AM13" s="124"/>
      <c r="AN13" s="129"/>
      <c r="AO13" s="130">
        <v>45665</v>
      </c>
      <c r="AP13" s="131"/>
      <c r="AQ13" s="87" t="s">
        <v>92</v>
      </c>
      <c r="AR13" s="89"/>
      <c r="AS13" s="87" t="s">
        <v>93</v>
      </c>
      <c r="AT13" s="116"/>
      <c r="AU13" s="130"/>
      <c r="AV13" s="131"/>
      <c r="AW13" s="87"/>
      <c r="AX13" s="89"/>
      <c r="AY13" s="87"/>
      <c r="AZ13" s="116"/>
      <c r="BA13" s="117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9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13"/>
      <c r="E14" s="114"/>
      <c r="F14" s="114"/>
      <c r="G14" s="115"/>
      <c r="H14" s="113"/>
      <c r="I14" s="114"/>
      <c r="J14" s="114"/>
      <c r="K14" s="115"/>
      <c r="L14" s="123" t="s">
        <v>61</v>
      </c>
      <c r="M14" s="124"/>
      <c r="N14" s="124"/>
      <c r="O14" s="125"/>
      <c r="P14" s="123" t="s">
        <v>60</v>
      </c>
      <c r="Q14" s="124"/>
      <c r="R14" s="124"/>
      <c r="S14" s="124"/>
      <c r="T14" s="124"/>
      <c r="U14" s="124"/>
      <c r="V14" s="124"/>
      <c r="W14" s="125"/>
      <c r="X14" s="123" t="s">
        <v>45</v>
      </c>
      <c r="Y14" s="124"/>
      <c r="Z14" s="124"/>
      <c r="AA14" s="124"/>
      <c r="AB14" s="124"/>
      <c r="AC14" s="124"/>
      <c r="AD14" s="124"/>
      <c r="AE14" s="125"/>
      <c r="AF14" s="123"/>
      <c r="AG14" s="124"/>
      <c r="AH14" s="124"/>
      <c r="AI14" s="124"/>
      <c r="AJ14" s="124"/>
      <c r="AK14" s="124"/>
      <c r="AL14" s="124"/>
      <c r="AM14" s="124"/>
      <c r="AN14" s="129"/>
      <c r="AO14" s="130">
        <v>45665</v>
      </c>
      <c r="AP14" s="131"/>
      <c r="AQ14" s="87" t="s">
        <v>92</v>
      </c>
      <c r="AR14" s="89"/>
      <c r="AS14" s="87" t="s">
        <v>93</v>
      </c>
      <c r="AT14" s="116"/>
      <c r="AU14" s="130"/>
      <c r="AV14" s="131"/>
      <c r="AW14" s="87"/>
      <c r="AX14" s="89"/>
      <c r="AY14" s="87"/>
      <c r="AZ14" s="116"/>
      <c r="BA14" s="117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9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13"/>
      <c r="E15" s="114"/>
      <c r="F15" s="114"/>
      <c r="G15" s="115"/>
      <c r="H15" s="113"/>
      <c r="I15" s="114"/>
      <c r="J15" s="114"/>
      <c r="K15" s="115"/>
      <c r="L15" s="123" t="s">
        <v>62</v>
      </c>
      <c r="M15" s="124"/>
      <c r="N15" s="124"/>
      <c r="O15" s="125"/>
      <c r="P15" s="123" t="s">
        <v>60</v>
      </c>
      <c r="Q15" s="124"/>
      <c r="R15" s="124"/>
      <c r="S15" s="124"/>
      <c r="T15" s="124"/>
      <c r="U15" s="124"/>
      <c r="V15" s="124"/>
      <c r="W15" s="125"/>
      <c r="X15" s="123" t="s">
        <v>45</v>
      </c>
      <c r="Y15" s="124"/>
      <c r="Z15" s="124"/>
      <c r="AA15" s="124"/>
      <c r="AB15" s="124"/>
      <c r="AC15" s="124"/>
      <c r="AD15" s="124"/>
      <c r="AE15" s="125"/>
      <c r="AF15" s="123"/>
      <c r="AG15" s="124"/>
      <c r="AH15" s="124"/>
      <c r="AI15" s="124"/>
      <c r="AJ15" s="124"/>
      <c r="AK15" s="124"/>
      <c r="AL15" s="124"/>
      <c r="AM15" s="124"/>
      <c r="AN15" s="129"/>
      <c r="AO15" s="130">
        <v>45665</v>
      </c>
      <c r="AP15" s="131"/>
      <c r="AQ15" s="87" t="s">
        <v>92</v>
      </c>
      <c r="AR15" s="89"/>
      <c r="AS15" s="87" t="s">
        <v>93</v>
      </c>
      <c r="AT15" s="116"/>
      <c r="AU15" s="130"/>
      <c r="AV15" s="131"/>
      <c r="AW15" s="87"/>
      <c r="AX15" s="89"/>
      <c r="AY15" s="87"/>
      <c r="AZ15" s="116"/>
      <c r="BA15" s="117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9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113"/>
      <c r="E16" s="114"/>
      <c r="F16" s="114"/>
      <c r="G16" s="115"/>
      <c r="H16" s="113"/>
      <c r="I16" s="114"/>
      <c r="J16" s="114"/>
      <c r="K16" s="115"/>
      <c r="L16" s="123" t="s">
        <v>63</v>
      </c>
      <c r="M16" s="124"/>
      <c r="N16" s="124"/>
      <c r="O16" s="125"/>
      <c r="P16" s="123" t="s">
        <v>60</v>
      </c>
      <c r="Q16" s="124"/>
      <c r="R16" s="124"/>
      <c r="S16" s="124"/>
      <c r="T16" s="124"/>
      <c r="U16" s="124"/>
      <c r="V16" s="124"/>
      <c r="W16" s="125"/>
      <c r="X16" s="123" t="s">
        <v>45</v>
      </c>
      <c r="Y16" s="124"/>
      <c r="Z16" s="124"/>
      <c r="AA16" s="124"/>
      <c r="AB16" s="124"/>
      <c r="AC16" s="124"/>
      <c r="AD16" s="124"/>
      <c r="AE16" s="125"/>
      <c r="AF16" s="123"/>
      <c r="AG16" s="124"/>
      <c r="AH16" s="124"/>
      <c r="AI16" s="124"/>
      <c r="AJ16" s="124"/>
      <c r="AK16" s="124"/>
      <c r="AL16" s="124"/>
      <c r="AM16" s="124"/>
      <c r="AN16" s="129"/>
      <c r="AO16" s="130">
        <v>45665</v>
      </c>
      <c r="AP16" s="131"/>
      <c r="AQ16" s="87" t="s">
        <v>92</v>
      </c>
      <c r="AR16" s="89"/>
      <c r="AS16" s="87" t="s">
        <v>93</v>
      </c>
      <c r="AT16" s="116"/>
      <c r="AU16" s="130"/>
      <c r="AV16" s="131"/>
      <c r="AW16" s="87"/>
      <c r="AX16" s="89"/>
      <c r="AY16" s="87"/>
      <c r="AZ16" s="116"/>
      <c r="BA16" s="117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9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13"/>
      <c r="E17" s="114"/>
      <c r="F17" s="114"/>
      <c r="G17" s="115"/>
      <c r="H17" s="113"/>
      <c r="I17" s="114"/>
      <c r="J17" s="114"/>
      <c r="K17" s="115"/>
      <c r="L17" s="123" t="s">
        <v>64</v>
      </c>
      <c r="M17" s="124"/>
      <c r="N17" s="124"/>
      <c r="O17" s="125"/>
      <c r="P17" s="123" t="s">
        <v>60</v>
      </c>
      <c r="Q17" s="124"/>
      <c r="R17" s="124"/>
      <c r="S17" s="124"/>
      <c r="T17" s="124"/>
      <c r="U17" s="124"/>
      <c r="V17" s="124"/>
      <c r="W17" s="125"/>
      <c r="X17" s="123" t="s">
        <v>45</v>
      </c>
      <c r="Y17" s="124"/>
      <c r="Z17" s="124"/>
      <c r="AA17" s="124"/>
      <c r="AB17" s="124"/>
      <c r="AC17" s="124"/>
      <c r="AD17" s="124"/>
      <c r="AE17" s="125"/>
      <c r="AF17" s="123"/>
      <c r="AG17" s="124"/>
      <c r="AH17" s="124"/>
      <c r="AI17" s="124"/>
      <c r="AJ17" s="124"/>
      <c r="AK17" s="124"/>
      <c r="AL17" s="124"/>
      <c r="AM17" s="124"/>
      <c r="AN17" s="129"/>
      <c r="AO17" s="130">
        <v>45665</v>
      </c>
      <c r="AP17" s="131"/>
      <c r="AQ17" s="87" t="s">
        <v>92</v>
      </c>
      <c r="AR17" s="89"/>
      <c r="AS17" s="87" t="s">
        <v>93</v>
      </c>
      <c r="AT17" s="116"/>
      <c r="AU17" s="130"/>
      <c r="AV17" s="131"/>
      <c r="AW17" s="87"/>
      <c r="AX17" s="89"/>
      <c r="AY17" s="87"/>
      <c r="AZ17" s="116"/>
      <c r="BA17" s="117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9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46"/>
      <c r="E18" s="47"/>
      <c r="F18" s="47"/>
      <c r="G18" s="48"/>
      <c r="H18" s="46"/>
      <c r="I18" s="47"/>
      <c r="J18" s="47"/>
      <c r="K18" s="48"/>
      <c r="L18" s="123" t="s">
        <v>65</v>
      </c>
      <c r="M18" s="124"/>
      <c r="N18" s="124"/>
      <c r="O18" s="125"/>
      <c r="P18" s="123" t="s">
        <v>60</v>
      </c>
      <c r="Q18" s="124"/>
      <c r="R18" s="124"/>
      <c r="S18" s="124"/>
      <c r="T18" s="124"/>
      <c r="U18" s="124"/>
      <c r="V18" s="124"/>
      <c r="W18" s="125"/>
      <c r="X18" s="123" t="s">
        <v>45</v>
      </c>
      <c r="Y18" s="124"/>
      <c r="Z18" s="124"/>
      <c r="AA18" s="124"/>
      <c r="AB18" s="124"/>
      <c r="AC18" s="124"/>
      <c r="AD18" s="124"/>
      <c r="AE18" s="125"/>
      <c r="AF18" s="40"/>
      <c r="AG18" s="41"/>
      <c r="AH18" s="41"/>
      <c r="AI18" s="41"/>
      <c r="AJ18" s="41"/>
      <c r="AK18" s="41"/>
      <c r="AL18" s="41"/>
      <c r="AM18" s="41"/>
      <c r="AN18" s="42"/>
      <c r="AO18" s="130">
        <v>45665</v>
      </c>
      <c r="AP18" s="131"/>
      <c r="AQ18" s="87" t="s">
        <v>92</v>
      </c>
      <c r="AR18" s="89"/>
      <c r="AS18" s="87" t="s">
        <v>93</v>
      </c>
      <c r="AT18" s="116"/>
      <c r="AU18" s="43"/>
      <c r="AV18" s="44"/>
      <c r="AW18" s="36"/>
      <c r="AX18" s="35"/>
      <c r="AY18" s="36"/>
      <c r="AZ18" s="45"/>
      <c r="BA18" s="37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46"/>
      <c r="E19" s="47"/>
      <c r="F19" s="47"/>
      <c r="G19" s="48"/>
      <c r="H19" s="46"/>
      <c r="I19" s="47"/>
      <c r="J19" s="47"/>
      <c r="K19" s="48"/>
      <c r="L19" s="123" t="s">
        <v>66</v>
      </c>
      <c r="M19" s="124"/>
      <c r="N19" s="124"/>
      <c r="O19" s="125"/>
      <c r="P19" s="123" t="s">
        <v>60</v>
      </c>
      <c r="Q19" s="124"/>
      <c r="R19" s="124"/>
      <c r="S19" s="124"/>
      <c r="T19" s="124"/>
      <c r="U19" s="124"/>
      <c r="V19" s="124"/>
      <c r="W19" s="125"/>
      <c r="X19" s="123" t="s">
        <v>45</v>
      </c>
      <c r="Y19" s="124"/>
      <c r="Z19" s="124"/>
      <c r="AA19" s="124"/>
      <c r="AB19" s="124"/>
      <c r="AC19" s="124"/>
      <c r="AD19" s="124"/>
      <c r="AE19" s="125"/>
      <c r="AF19" s="40"/>
      <c r="AG19" s="41"/>
      <c r="AH19" s="41"/>
      <c r="AI19" s="41"/>
      <c r="AJ19" s="41"/>
      <c r="AK19" s="41"/>
      <c r="AL19" s="41"/>
      <c r="AM19" s="41"/>
      <c r="AN19" s="42"/>
      <c r="AO19" s="130">
        <v>45665</v>
      </c>
      <c r="AP19" s="131"/>
      <c r="AQ19" s="87" t="s">
        <v>92</v>
      </c>
      <c r="AR19" s="89"/>
      <c r="AS19" s="87" t="s">
        <v>93</v>
      </c>
      <c r="AT19" s="116"/>
      <c r="AU19" s="43"/>
      <c r="AV19" s="44"/>
      <c r="AW19" s="36"/>
      <c r="AX19" s="35"/>
      <c r="AY19" s="36"/>
      <c r="AZ19" s="45"/>
      <c r="BA19" s="37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123" t="s">
        <v>67</v>
      </c>
      <c r="M20" s="124"/>
      <c r="N20" s="124"/>
      <c r="O20" s="125"/>
      <c r="P20" s="123" t="s">
        <v>60</v>
      </c>
      <c r="Q20" s="124"/>
      <c r="R20" s="124"/>
      <c r="S20" s="124"/>
      <c r="T20" s="124"/>
      <c r="U20" s="124"/>
      <c r="V20" s="124"/>
      <c r="W20" s="125"/>
      <c r="X20" s="123" t="s">
        <v>45</v>
      </c>
      <c r="Y20" s="124"/>
      <c r="Z20" s="124"/>
      <c r="AA20" s="124"/>
      <c r="AB20" s="124"/>
      <c r="AC20" s="124"/>
      <c r="AD20" s="124"/>
      <c r="AE20" s="125"/>
      <c r="AF20" s="40"/>
      <c r="AG20" s="41"/>
      <c r="AH20" s="41"/>
      <c r="AI20" s="41"/>
      <c r="AJ20" s="41"/>
      <c r="AK20" s="41"/>
      <c r="AL20" s="41"/>
      <c r="AM20" s="41"/>
      <c r="AN20" s="42"/>
      <c r="AO20" s="130">
        <v>45665</v>
      </c>
      <c r="AP20" s="131"/>
      <c r="AQ20" s="87" t="s">
        <v>92</v>
      </c>
      <c r="AR20" s="89"/>
      <c r="AS20" s="87" t="s">
        <v>93</v>
      </c>
      <c r="AT20" s="116"/>
      <c r="AU20" s="43"/>
      <c r="AV20" s="44"/>
      <c r="AW20" s="36"/>
      <c r="AX20" s="35"/>
      <c r="AY20" s="36"/>
      <c r="AZ20" s="45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23" t="s">
        <v>68</v>
      </c>
      <c r="M21" s="124"/>
      <c r="N21" s="124"/>
      <c r="O21" s="125"/>
      <c r="P21" s="123" t="s">
        <v>60</v>
      </c>
      <c r="Q21" s="124"/>
      <c r="R21" s="124"/>
      <c r="S21" s="124"/>
      <c r="T21" s="124"/>
      <c r="U21" s="124"/>
      <c r="V21" s="124"/>
      <c r="W21" s="125"/>
      <c r="X21" s="123" t="s">
        <v>45</v>
      </c>
      <c r="Y21" s="124"/>
      <c r="Z21" s="124"/>
      <c r="AA21" s="124"/>
      <c r="AB21" s="124"/>
      <c r="AC21" s="124"/>
      <c r="AD21" s="124"/>
      <c r="AE21" s="125"/>
      <c r="AF21" s="40"/>
      <c r="AG21" s="41"/>
      <c r="AH21" s="41"/>
      <c r="AI21" s="41"/>
      <c r="AJ21" s="41"/>
      <c r="AK21" s="41"/>
      <c r="AL21" s="41"/>
      <c r="AM21" s="41"/>
      <c r="AN21" s="42"/>
      <c r="AO21" s="130">
        <v>45665</v>
      </c>
      <c r="AP21" s="131"/>
      <c r="AQ21" s="87" t="s">
        <v>92</v>
      </c>
      <c r="AR21" s="89"/>
      <c r="AS21" s="87" t="s">
        <v>93</v>
      </c>
      <c r="AT21" s="116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23" t="s">
        <v>69</v>
      </c>
      <c r="M22" s="124"/>
      <c r="N22" s="124"/>
      <c r="O22" s="125"/>
      <c r="P22" s="123" t="s">
        <v>60</v>
      </c>
      <c r="Q22" s="124"/>
      <c r="R22" s="124"/>
      <c r="S22" s="124"/>
      <c r="T22" s="124"/>
      <c r="U22" s="124"/>
      <c r="V22" s="124"/>
      <c r="W22" s="125"/>
      <c r="X22" s="123" t="s">
        <v>45</v>
      </c>
      <c r="Y22" s="124"/>
      <c r="Z22" s="124"/>
      <c r="AA22" s="124"/>
      <c r="AB22" s="124"/>
      <c r="AC22" s="124"/>
      <c r="AD22" s="124"/>
      <c r="AE22" s="125"/>
      <c r="AF22" s="40"/>
      <c r="AG22" s="41"/>
      <c r="AH22" s="41"/>
      <c r="AI22" s="41"/>
      <c r="AJ22" s="41"/>
      <c r="AK22" s="41"/>
      <c r="AL22" s="41"/>
      <c r="AM22" s="41"/>
      <c r="AN22" s="42"/>
      <c r="AO22" s="130">
        <v>45665</v>
      </c>
      <c r="AP22" s="131"/>
      <c r="AQ22" s="87" t="s">
        <v>92</v>
      </c>
      <c r="AR22" s="89"/>
      <c r="AS22" s="87" t="s">
        <v>93</v>
      </c>
      <c r="AT22" s="116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23" t="s">
        <v>70</v>
      </c>
      <c r="M23" s="124"/>
      <c r="N23" s="124"/>
      <c r="O23" s="125"/>
      <c r="P23" s="123" t="s">
        <v>60</v>
      </c>
      <c r="Q23" s="124"/>
      <c r="R23" s="124"/>
      <c r="S23" s="124"/>
      <c r="T23" s="124"/>
      <c r="U23" s="124"/>
      <c r="V23" s="124"/>
      <c r="W23" s="125"/>
      <c r="X23" s="123" t="s">
        <v>45</v>
      </c>
      <c r="Y23" s="124"/>
      <c r="Z23" s="124"/>
      <c r="AA23" s="124"/>
      <c r="AB23" s="124"/>
      <c r="AC23" s="124"/>
      <c r="AD23" s="124"/>
      <c r="AE23" s="125"/>
      <c r="AF23" s="40"/>
      <c r="AG23" s="41"/>
      <c r="AH23" s="41"/>
      <c r="AI23" s="41"/>
      <c r="AJ23" s="41"/>
      <c r="AK23" s="41"/>
      <c r="AL23" s="41"/>
      <c r="AM23" s="41"/>
      <c r="AN23" s="42"/>
      <c r="AO23" s="130">
        <v>45665</v>
      </c>
      <c r="AP23" s="131"/>
      <c r="AQ23" s="87" t="s">
        <v>92</v>
      </c>
      <c r="AR23" s="89"/>
      <c r="AS23" s="87" t="s">
        <v>93</v>
      </c>
      <c r="AT23" s="116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23" t="s">
        <v>71</v>
      </c>
      <c r="M24" s="124"/>
      <c r="N24" s="124"/>
      <c r="O24" s="125"/>
      <c r="P24" s="123" t="s">
        <v>60</v>
      </c>
      <c r="Q24" s="124"/>
      <c r="R24" s="124"/>
      <c r="S24" s="124"/>
      <c r="T24" s="124"/>
      <c r="U24" s="124"/>
      <c r="V24" s="124"/>
      <c r="W24" s="125"/>
      <c r="X24" s="123" t="s">
        <v>45</v>
      </c>
      <c r="Y24" s="124"/>
      <c r="Z24" s="124"/>
      <c r="AA24" s="124"/>
      <c r="AB24" s="124"/>
      <c r="AC24" s="124"/>
      <c r="AD24" s="124"/>
      <c r="AE24" s="125"/>
      <c r="AF24" s="40"/>
      <c r="AG24" s="41"/>
      <c r="AH24" s="41"/>
      <c r="AI24" s="41"/>
      <c r="AJ24" s="41"/>
      <c r="AK24" s="41"/>
      <c r="AL24" s="41"/>
      <c r="AM24" s="41"/>
      <c r="AN24" s="42"/>
      <c r="AO24" s="130">
        <v>45665</v>
      </c>
      <c r="AP24" s="131"/>
      <c r="AQ24" s="87" t="s">
        <v>92</v>
      </c>
      <c r="AR24" s="89"/>
      <c r="AS24" s="87" t="s">
        <v>93</v>
      </c>
      <c r="AT24" s="116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23" t="s">
        <v>72</v>
      </c>
      <c r="M25" s="124"/>
      <c r="N25" s="124"/>
      <c r="O25" s="125"/>
      <c r="P25" s="123" t="s">
        <v>60</v>
      </c>
      <c r="Q25" s="124"/>
      <c r="R25" s="124"/>
      <c r="S25" s="124"/>
      <c r="T25" s="124"/>
      <c r="U25" s="124"/>
      <c r="V25" s="124"/>
      <c r="W25" s="125"/>
      <c r="X25" s="123" t="s">
        <v>45</v>
      </c>
      <c r="Y25" s="124"/>
      <c r="Z25" s="124"/>
      <c r="AA25" s="124"/>
      <c r="AB25" s="124"/>
      <c r="AC25" s="124"/>
      <c r="AD25" s="124"/>
      <c r="AE25" s="125"/>
      <c r="AF25" s="40"/>
      <c r="AG25" s="41"/>
      <c r="AH25" s="41"/>
      <c r="AI25" s="41"/>
      <c r="AJ25" s="41"/>
      <c r="AK25" s="41"/>
      <c r="AL25" s="41"/>
      <c r="AM25" s="41"/>
      <c r="AN25" s="42"/>
      <c r="AO25" s="130">
        <v>45665</v>
      </c>
      <c r="AP25" s="131"/>
      <c r="AQ25" s="87" t="s">
        <v>92</v>
      </c>
      <c r="AR25" s="89"/>
      <c r="AS25" s="87" t="s">
        <v>93</v>
      </c>
      <c r="AT25" s="116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23" t="s">
        <v>73</v>
      </c>
      <c r="M26" s="124"/>
      <c r="N26" s="124"/>
      <c r="O26" s="125"/>
      <c r="P26" s="123" t="s">
        <v>60</v>
      </c>
      <c r="Q26" s="124"/>
      <c r="R26" s="124"/>
      <c r="S26" s="124"/>
      <c r="T26" s="124"/>
      <c r="U26" s="124"/>
      <c r="V26" s="124"/>
      <c r="W26" s="125"/>
      <c r="X26" s="123" t="s">
        <v>45</v>
      </c>
      <c r="Y26" s="124"/>
      <c r="Z26" s="124"/>
      <c r="AA26" s="124"/>
      <c r="AB26" s="124"/>
      <c r="AC26" s="124"/>
      <c r="AD26" s="124"/>
      <c r="AE26" s="125"/>
      <c r="AF26" s="40"/>
      <c r="AG26" s="41"/>
      <c r="AH26" s="41"/>
      <c r="AI26" s="41"/>
      <c r="AJ26" s="41"/>
      <c r="AK26" s="41"/>
      <c r="AL26" s="41"/>
      <c r="AM26" s="41"/>
      <c r="AN26" s="42"/>
      <c r="AO26" s="130">
        <v>45665</v>
      </c>
      <c r="AP26" s="131"/>
      <c r="AQ26" s="87" t="s">
        <v>92</v>
      </c>
      <c r="AR26" s="89"/>
      <c r="AS26" s="87" t="s">
        <v>93</v>
      </c>
      <c r="AT26" s="116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>ROW()-9</f>
        <v>18</v>
      </c>
      <c r="D27" s="66"/>
      <c r="E27" s="67"/>
      <c r="F27" s="67"/>
      <c r="G27" s="68"/>
      <c r="H27" s="78" t="s">
        <v>83</v>
      </c>
      <c r="I27" s="79"/>
      <c r="J27" s="79"/>
      <c r="K27" s="80"/>
      <c r="L27" s="123" t="s">
        <v>84</v>
      </c>
      <c r="M27" s="124"/>
      <c r="N27" s="124"/>
      <c r="O27" s="125"/>
      <c r="P27" s="123" t="s">
        <v>85</v>
      </c>
      <c r="Q27" s="124"/>
      <c r="R27" s="124"/>
      <c r="S27" s="124"/>
      <c r="T27" s="124"/>
      <c r="U27" s="124"/>
      <c r="V27" s="124"/>
      <c r="W27" s="125"/>
      <c r="X27" s="123" t="s">
        <v>45</v>
      </c>
      <c r="Y27" s="124"/>
      <c r="Z27" s="124"/>
      <c r="AA27" s="124"/>
      <c r="AB27" s="124"/>
      <c r="AC27" s="124"/>
      <c r="AD27" s="124"/>
      <c r="AE27" s="125"/>
      <c r="AF27" s="73"/>
      <c r="AG27" s="74"/>
      <c r="AH27" s="74"/>
      <c r="AI27" s="74"/>
      <c r="AJ27" s="74"/>
      <c r="AK27" s="74"/>
      <c r="AL27" s="74"/>
      <c r="AM27" s="74"/>
      <c r="AN27" s="75"/>
      <c r="AO27" s="130">
        <v>45665</v>
      </c>
      <c r="AP27" s="131"/>
      <c r="AQ27" s="87" t="s">
        <v>92</v>
      </c>
      <c r="AR27" s="89"/>
      <c r="AS27" s="87" t="s">
        <v>93</v>
      </c>
      <c r="AT27" s="116"/>
      <c r="AU27" s="76"/>
      <c r="AV27" s="77"/>
      <c r="AW27" s="64"/>
      <c r="AX27" s="65"/>
      <c r="AY27" s="64"/>
      <c r="AZ27" s="69"/>
      <c r="BA27" s="70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2"/>
      <c r="BM27" s="16"/>
      <c r="BN27" s="16"/>
    </row>
    <row r="28" spans="1:66" ht="20.100000000000001" customHeight="1" thickBot="1" x14ac:dyDescent="0.5">
      <c r="A28" s="10"/>
      <c r="B28" s="10"/>
      <c r="C28" s="30">
        <f>ROW()-9</f>
        <v>19</v>
      </c>
      <c r="D28" s="66"/>
      <c r="E28" s="67"/>
      <c r="F28" s="67"/>
      <c r="G28" s="68"/>
      <c r="H28" s="81"/>
      <c r="I28" s="82"/>
      <c r="J28" s="82"/>
      <c r="K28" s="83"/>
      <c r="L28" s="123" t="s">
        <v>86</v>
      </c>
      <c r="M28" s="124"/>
      <c r="N28" s="124"/>
      <c r="O28" s="125"/>
      <c r="P28" s="123" t="s">
        <v>87</v>
      </c>
      <c r="Q28" s="124"/>
      <c r="R28" s="124"/>
      <c r="S28" s="124"/>
      <c r="T28" s="124"/>
      <c r="U28" s="124"/>
      <c r="V28" s="124"/>
      <c r="W28" s="125"/>
      <c r="X28" s="123" t="s">
        <v>45</v>
      </c>
      <c r="Y28" s="124"/>
      <c r="Z28" s="124"/>
      <c r="AA28" s="124"/>
      <c r="AB28" s="124"/>
      <c r="AC28" s="124"/>
      <c r="AD28" s="124"/>
      <c r="AE28" s="125"/>
      <c r="AF28" s="73"/>
      <c r="AG28" s="74"/>
      <c r="AH28" s="74"/>
      <c r="AI28" s="74"/>
      <c r="AJ28" s="74"/>
      <c r="AK28" s="74"/>
      <c r="AL28" s="74"/>
      <c r="AM28" s="74"/>
      <c r="AN28" s="75"/>
      <c r="AO28" s="130">
        <v>45665</v>
      </c>
      <c r="AP28" s="131"/>
      <c r="AQ28" s="87" t="s">
        <v>92</v>
      </c>
      <c r="AR28" s="89"/>
      <c r="AS28" s="87" t="s">
        <v>93</v>
      </c>
      <c r="AT28" s="116"/>
      <c r="AU28" s="76"/>
      <c r="AV28" s="77"/>
      <c r="AW28" s="64"/>
      <c r="AX28" s="65"/>
      <c r="AY28" s="64"/>
      <c r="AZ28" s="69"/>
      <c r="BA28" s="70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2"/>
      <c r="BM28" s="16"/>
      <c r="BN28" s="16"/>
    </row>
    <row r="29" spans="1:66" ht="20.100000000000001" customHeight="1" thickTop="1" thickBot="1" x14ac:dyDescent="0.5">
      <c r="A29" s="10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8"/>
      <c r="BN29" s="16"/>
    </row>
    <row r="30" spans="1:66" ht="5.0999999999999996" customHeight="1" thickTop="1" x14ac:dyDescent="0.4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6" ht="20.100000000000001" customHeight="1" x14ac:dyDescent="0.4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</sheetData>
  <mergeCells count="202">
    <mergeCell ref="AO27:AP27"/>
    <mergeCell ref="AQ27:AR27"/>
    <mergeCell ref="AS27:AT27"/>
    <mergeCell ref="AO28:AP28"/>
    <mergeCell ref="AQ28:AR28"/>
    <mergeCell ref="AS28:AT28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Q22:AR22"/>
    <mergeCell ref="AS22:AT22"/>
    <mergeCell ref="AO23:AP23"/>
    <mergeCell ref="AQ23:AR23"/>
    <mergeCell ref="AS23:AT23"/>
    <mergeCell ref="AO20:AP20"/>
    <mergeCell ref="AO12:AP12"/>
    <mergeCell ref="AQ12:AR12"/>
    <mergeCell ref="AS12:AT12"/>
    <mergeCell ref="AQ20:AR20"/>
    <mergeCell ref="AS20:AT20"/>
    <mergeCell ref="AO21:AP21"/>
    <mergeCell ref="AQ21:AR21"/>
    <mergeCell ref="AS21:AT21"/>
    <mergeCell ref="AO22:AP22"/>
    <mergeCell ref="BA12:BL12"/>
    <mergeCell ref="AO18:AP18"/>
    <mergeCell ref="AQ18:AR18"/>
    <mergeCell ref="AS18:AT18"/>
    <mergeCell ref="AO19:AP19"/>
    <mergeCell ref="AQ19:AR19"/>
    <mergeCell ref="AS19:AT19"/>
    <mergeCell ref="BA17:BL17"/>
    <mergeCell ref="AS17:AT17"/>
    <mergeCell ref="AU17:AV17"/>
    <mergeCell ref="AW17:AX17"/>
    <mergeCell ref="AY17:AZ17"/>
    <mergeCell ref="AY15:AZ15"/>
    <mergeCell ref="BA15:BL15"/>
    <mergeCell ref="AY16:AZ16"/>
    <mergeCell ref="BA16:BL16"/>
    <mergeCell ref="AS16:AT16"/>
    <mergeCell ref="AU16:AV16"/>
    <mergeCell ref="AW16:AX16"/>
    <mergeCell ref="AU15:AV15"/>
    <mergeCell ref="AW15:AX15"/>
    <mergeCell ref="AU12:AV12"/>
    <mergeCell ref="AW12:AX12"/>
    <mergeCell ref="AY12:AZ12"/>
    <mergeCell ref="H12:K12"/>
    <mergeCell ref="X12:AE12"/>
    <mergeCell ref="X22:AE22"/>
    <mergeCell ref="X23:AE23"/>
    <mergeCell ref="P18:W18"/>
    <mergeCell ref="P19:W19"/>
    <mergeCell ref="P20:W20"/>
    <mergeCell ref="P21:W21"/>
    <mergeCell ref="P22:W22"/>
    <mergeCell ref="P23:W23"/>
    <mergeCell ref="X18:AE18"/>
    <mergeCell ref="X19:AE19"/>
    <mergeCell ref="X20:AE20"/>
    <mergeCell ref="X21:AE21"/>
    <mergeCell ref="P14:W14"/>
    <mergeCell ref="X14:AE14"/>
    <mergeCell ref="L22:O22"/>
    <mergeCell ref="L23:O23"/>
    <mergeCell ref="L18:O18"/>
    <mergeCell ref="L19:O19"/>
    <mergeCell ref="L20:O20"/>
    <mergeCell ref="L21:O21"/>
    <mergeCell ref="L14:O14"/>
    <mergeCell ref="L24:O24"/>
    <mergeCell ref="L25:O25"/>
    <mergeCell ref="L26:O26"/>
    <mergeCell ref="P24:W24"/>
    <mergeCell ref="P25:W25"/>
    <mergeCell ref="P26:W26"/>
    <mergeCell ref="X24:AE24"/>
    <mergeCell ref="X25:AE25"/>
    <mergeCell ref="X26:AE26"/>
    <mergeCell ref="D17:G17"/>
    <mergeCell ref="H17:K17"/>
    <mergeCell ref="L17:O17"/>
    <mergeCell ref="P17:W17"/>
    <mergeCell ref="X17:AE17"/>
    <mergeCell ref="AF17:AN17"/>
    <mergeCell ref="AO17:AP17"/>
    <mergeCell ref="AQ17:AR17"/>
    <mergeCell ref="AF16:AN16"/>
    <mergeCell ref="AO16:AP16"/>
    <mergeCell ref="AQ16:AR16"/>
    <mergeCell ref="D16:G16"/>
    <mergeCell ref="H16:K16"/>
    <mergeCell ref="L16:O16"/>
    <mergeCell ref="P16:W16"/>
    <mergeCell ref="X16:AE16"/>
    <mergeCell ref="D15:G15"/>
    <mergeCell ref="H15:K15"/>
    <mergeCell ref="L15:O15"/>
    <mergeCell ref="P15:W15"/>
    <mergeCell ref="X15:AE15"/>
    <mergeCell ref="AF15:AN15"/>
    <mergeCell ref="AO15:AP15"/>
    <mergeCell ref="AQ15:AR15"/>
    <mergeCell ref="AS15:AT15"/>
    <mergeCell ref="AY11:AZ11"/>
    <mergeCell ref="BA11:BL11"/>
    <mergeCell ref="AS11:AT11"/>
    <mergeCell ref="AU11:AV11"/>
    <mergeCell ref="AW11:AX11"/>
    <mergeCell ref="AF11:AN11"/>
    <mergeCell ref="AO11:AP11"/>
    <mergeCell ref="AQ11:AR11"/>
    <mergeCell ref="AY14:AZ14"/>
    <mergeCell ref="BA14:BL14"/>
    <mergeCell ref="AS14:AT14"/>
    <mergeCell ref="AU14:AV14"/>
    <mergeCell ref="AW14:AX14"/>
    <mergeCell ref="AF13:AN13"/>
    <mergeCell ref="AO13:AP13"/>
    <mergeCell ref="AQ13:AR13"/>
    <mergeCell ref="AF14:AN14"/>
    <mergeCell ref="AO14:AP14"/>
    <mergeCell ref="AQ14:AR14"/>
    <mergeCell ref="AS13:AT13"/>
    <mergeCell ref="AU13:AV13"/>
    <mergeCell ref="AW13:AX13"/>
    <mergeCell ref="AY13:AZ13"/>
    <mergeCell ref="BA13:BL13"/>
    <mergeCell ref="AO10:AP10"/>
    <mergeCell ref="AQ10:AR10"/>
    <mergeCell ref="D10:G10"/>
    <mergeCell ref="H10:K10"/>
    <mergeCell ref="P10:W10"/>
    <mergeCell ref="X10:AE10"/>
    <mergeCell ref="AY10:AZ10"/>
    <mergeCell ref="BA10:BL10"/>
    <mergeCell ref="AS10:AT10"/>
    <mergeCell ref="AU10:AV10"/>
    <mergeCell ref="AW10:AX10"/>
    <mergeCell ref="L10:O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L27:O27"/>
    <mergeCell ref="P27:W27"/>
    <mergeCell ref="X27:AE27"/>
    <mergeCell ref="L28:O28"/>
    <mergeCell ref="P28:W28"/>
    <mergeCell ref="X28:AE28"/>
    <mergeCell ref="B3:G4"/>
    <mergeCell ref="H3:K4"/>
    <mergeCell ref="L3:Q4"/>
    <mergeCell ref="R3:W4"/>
    <mergeCell ref="X3:AJ4"/>
    <mergeCell ref="AF10:AN10"/>
    <mergeCell ref="D11:G11"/>
    <mergeCell ref="H11:K11"/>
    <mergeCell ref="L11:O11"/>
    <mergeCell ref="P11:W11"/>
    <mergeCell ref="X11:AE11"/>
    <mergeCell ref="D13:G13"/>
    <mergeCell ref="H13:K13"/>
    <mergeCell ref="L13:O13"/>
    <mergeCell ref="P13:W13"/>
    <mergeCell ref="X13:AE13"/>
    <mergeCell ref="D14:G14"/>
    <mergeCell ref="H14:K14"/>
  </mergeCells>
  <phoneticPr fontId="2"/>
  <conditionalFormatting sqref="AS10:AS11 AY10:AY11 AY13:AY26">
    <cfRule type="cellIs" dxfId="41" priority="47" operator="equal">
      <formula>"OK"</formula>
    </cfRule>
    <cfRule type="cellIs" dxfId="40" priority="48" operator="equal">
      <formula>"NG"</formula>
    </cfRule>
  </conditionalFormatting>
  <conditionalFormatting sqref="AY27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Y28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2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3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14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15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16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17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18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19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0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1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2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3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24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25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26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27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8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8 AS10:AS2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2025-02-27T03:30:44Z</dcterms:modified>
</cp:coreProperties>
</file>