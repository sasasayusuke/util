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976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21" r:id="rId8"/>
    <sheet name="別紙_印刷レイアウト" sheetId="22" r:id="rId9"/>
    <sheet name="参照" sheetId="12" state="hidden" r:id="rId10"/>
  </sheets>
  <definedNames>
    <definedName name="CoreCells" localSheetId="7">別紙_テンプレート!$A$6:$I$6</definedName>
    <definedName name="CoreCells">#REF!</definedName>
    <definedName name="_xlnm.Print_Area" localSheetId="1">概要!$A$1:$BN$31</definedName>
    <definedName name="_xlnm.Print_Area" localSheetId="3">項目一覧!$A$1:$BX$53</definedName>
    <definedName name="_xlnm.Print_Area" localSheetId="4">処理詳細!$A$1:$BR$30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別紙_テンプレート!$1:$4</definedName>
    <definedName name="_xlnm.Print_Titles" localSheetId="0">変更履歴!$1:$5</definedName>
    <definedName name="作成日" localSheetId="7">別紙_テンプレート!$H$3</definedName>
    <definedName name="作成日">#REF!</definedName>
    <definedName name="得意先" localSheetId="7">別紙_テンプレート!$A$2</definedName>
    <definedName name="得意先">#REF!</definedName>
    <definedName name="日付範囲" localSheetId="7">別紙_テンプレート!$A$3</definedName>
    <definedName name="日付範囲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1" l="1"/>
  <c r="G6" i="21"/>
  <c r="G5" i="21" s="1"/>
  <c r="F5" i="21"/>
  <c r="E5" i="21"/>
  <c r="D5" i="21"/>
  <c r="BJ3" i="20" l="1"/>
  <c r="BF3" i="20"/>
  <c r="BB3" i="20"/>
  <c r="AX3" i="20"/>
  <c r="L3" i="20"/>
  <c r="B3" i="20"/>
  <c r="BJ3" i="19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<sst xmlns="http://schemas.openxmlformats.org/spreadsheetml/2006/main" count="312" uniqueCount="194">
  <si>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</si>
  <si>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</si>
  <si>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</si>
  <si>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</si>
  <si>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</si>
  <si>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</si>
  <si>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</si>
  <si>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</si>
  <si>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</si>
  <si>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</si>
  <si>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</si>
  <si>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</si>
  <si>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</si>
  <si>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</si>
  <si>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</si>
  <si>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</si>
  <si>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</si>
  <si>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</si>
  <si>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</si>
  <si>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</si>
  <si>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</si>
  <si>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</si>
  <si>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</si>
  <si>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</si>
  <si>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</si>
  <si>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</si>
  <si>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</si>
  <si>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</si>
  <si>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</si>
  <si>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</si>
  <si>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</si>
  <si>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</si>
  <si>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</si>
  <si>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</si>
  <si>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</si>
  <si>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</si>
  <si>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</si>
  <si>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</si>
  <si>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</si>
  <si>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</si>
  <si>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</si>
  <si>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</si>
  <si>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</si>
  <si>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</si>
  <si>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</si>
  <si>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</si>
  <si>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</si>
  <si>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</si>
  <si>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</si>
  <si>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</si>
  <si>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</si>
  <si>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</si>
  <si>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</si>
  <si>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請求日</t>
    <rPh sb="0" eb="2">
      <t>セイキュウ</t>
    </rPh>
    <rPh sb="2" eb="3">
      <t>ヒ</t>
    </rPh>
    <phoneticPr fontId="10"/>
  </si>
  <si>
    <t>見積番号</t>
    <rPh sb="0" eb="2">
      <t>ミツモリ</t>
    </rPh>
    <rPh sb="2" eb="4">
      <t>バンゴウ</t>
    </rPh>
    <phoneticPr fontId="10"/>
  </si>
  <si>
    <t>見積件名</t>
    <rPh sb="0" eb="2">
      <t>ミツモリ</t>
    </rPh>
    <rPh sb="2" eb="4">
      <t>ケンメイ</t>
    </rPh>
    <phoneticPr fontId="10"/>
  </si>
  <si>
    <t>税抜金額</t>
    <rPh sb="0" eb="1">
      <t>ゼイ</t>
    </rPh>
    <rPh sb="1" eb="2">
      <t>ヌ</t>
    </rPh>
    <rPh sb="2" eb="3">
      <t>キン</t>
    </rPh>
    <rPh sb="3" eb="4">
      <t>ガク</t>
    </rPh>
    <phoneticPr fontId="10"/>
  </si>
  <si>
    <t>消費税</t>
    <rPh sb="0" eb="3">
      <t>ショウヒゼイ</t>
    </rPh>
    <phoneticPr fontId="10"/>
  </si>
  <si>
    <t>非課税</t>
    <rPh sb="0" eb="3">
      <t>ヒカゼイ</t>
    </rPh>
    <phoneticPr fontId="10"/>
  </si>
  <si>
    <t>税込金額</t>
    <rPh sb="0" eb="2">
      <t>ゼイコミ</t>
    </rPh>
    <rPh sb="2" eb="3">
      <t>キン</t>
    </rPh>
    <rPh sb="3" eb="4">
      <t>ガク</t>
    </rPh>
    <phoneticPr fontId="10"/>
  </si>
  <si>
    <t>鏡番号</t>
    <rPh sb="0" eb="1">
      <t>カガミ</t>
    </rPh>
    <rPh sb="1" eb="3">
      <t>バンゴウ</t>
    </rPh>
    <phoneticPr fontId="10"/>
  </si>
  <si>
    <t>備考</t>
    <rPh sb="0" eb="2">
      <t>ビコウ</t>
    </rPh>
    <phoneticPr fontId="10"/>
  </si>
  <si>
    <t>計</t>
    <rPh sb="0" eb="1">
      <t>ケイ</t>
    </rPh>
    <phoneticPr fontId="10"/>
  </si>
  <si>
    <t>Excel</t>
    <phoneticPr fontId="2"/>
  </si>
  <si>
    <t>-</t>
    <phoneticPr fontId="2"/>
  </si>
  <si>
    <t>作成日</t>
    <rPh sb="0" eb="3">
      <t>サクセイビ</t>
    </rPh>
    <phoneticPr fontId="1"/>
  </si>
  <si>
    <t>日付範囲</t>
    <rPh sb="0" eb="2">
      <t>ヒヅケ</t>
    </rPh>
    <rPh sb="2" eb="4">
      <t>ハンイ</t>
    </rPh>
    <phoneticPr fontId="1"/>
  </si>
  <si>
    <t>税抜金額_計</t>
    <rPh sb="0" eb="2">
      <t>ゼイヌキ</t>
    </rPh>
    <rPh sb="2" eb="4">
      <t>キンガク</t>
    </rPh>
    <rPh sb="5" eb="6">
      <t>ケイ</t>
    </rPh>
    <phoneticPr fontId="1"/>
  </si>
  <si>
    <t>消費税_計</t>
    <rPh sb="0" eb="3">
      <t>ショウヒゼイ</t>
    </rPh>
    <rPh sb="4" eb="5">
      <t>ケイ</t>
    </rPh>
    <phoneticPr fontId="1"/>
  </si>
  <si>
    <t>非課税_計</t>
    <rPh sb="0" eb="3">
      <t>ヒカゼイ</t>
    </rPh>
    <rPh sb="4" eb="5">
      <t>ケイ</t>
    </rPh>
    <phoneticPr fontId="1"/>
  </si>
  <si>
    <t>税込金額_計</t>
    <rPh sb="0" eb="2">
      <t>ゼイコ</t>
    </rPh>
    <rPh sb="2" eb="4">
      <t>キンガク</t>
    </rPh>
    <rPh sb="5" eb="6">
      <t>ケイ</t>
    </rPh>
    <phoneticPr fontId="1"/>
  </si>
  <si>
    <t>請求日</t>
    <rPh sb="0" eb="3">
      <t>セイキュウビ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</si>
  <si>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</si>
  <si>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</si>
  <si>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税抜金額</t>
    <rPh sb="0" eb="2">
      <t>ゼイヌキ</t>
    </rPh>
    <rPh sb="2" eb="4">
      <t>キンガク</t>
    </rPh>
    <phoneticPr fontId="1"/>
  </si>
  <si>
    <t>消費税</t>
    <rPh sb="0" eb="3">
      <t>ショウヒゼイ</t>
    </rPh>
    <phoneticPr fontId="1"/>
  </si>
  <si>
    <t>非課税</t>
    <rPh sb="0" eb="3">
      <t>ヒカゼイ</t>
    </rPh>
    <phoneticPr fontId="1"/>
  </si>
  <si>
    <t>税込金額</t>
    <rPh sb="0" eb="2">
      <t>ゼイコ</t>
    </rPh>
    <rPh sb="2" eb="4">
      <t>キンガク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</si>
  <si>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</si>
  <si>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</si>
  <si>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</si>
  <si>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作成日付</t>
    <rPh sb="0" eb="2">
      <t>サクセイ</t>
    </rPh>
    <rPh sb="2" eb="4">
      <t>ヒヅケ</t>
    </rPh>
    <phoneticPr fontId="1"/>
  </si>
  <si>
    <t>画面.請求日付From,画面.請求日付To</t>
    <rPh sb="0" eb="2">
      <t>ガメン</t>
    </rPh>
    <rPh sb="3" eb="5">
      <t>セイキュウ</t>
    </rPh>
    <rPh sb="5" eb="7">
      <t>ヒヅケ</t>
    </rPh>
    <phoneticPr fontId="1"/>
  </si>
  <si>
    <t>税抜金額</t>
  </si>
  <si>
    <t>消費税</t>
  </si>
  <si>
    <t>非課税</t>
  </si>
  <si>
    <t>税込金額</t>
  </si>
  <si>
    <t>消費税の合計</t>
  </si>
  <si>
    <t>非課税の合計</t>
  </si>
  <si>
    <t>税込金額の合計</t>
  </si>
  <si>
    <t>コメントアウトされている</t>
    <phoneticPr fontId="1"/>
  </si>
  <si>
    <t>税抜金額,消費税</t>
    <rPh sb="5" eb="8">
      <t>ショウヒゼイ</t>
    </rPh>
    <phoneticPr fontId="1"/>
  </si>
  <si>
    <t>[税抜金額]と[消費税]を足した値</t>
    <rPh sb="1" eb="3">
      <t>ゼイヌキ</t>
    </rPh>
    <rPh sb="3" eb="5">
      <t>キンガク</t>
    </rPh>
    <rPh sb="8" eb="11">
      <t>ショウヒゼイ</t>
    </rPh>
    <rPh sb="13" eb="14">
      <t>タ</t>
    </rPh>
    <rPh sb="16" eb="17">
      <t>アタイ</t>
    </rPh>
    <phoneticPr fontId="1"/>
  </si>
  <si>
    <t>鏡番号</t>
    <rPh sb="0" eb="1">
      <t>カガミ</t>
    </rPh>
    <rPh sb="1" eb="3">
      <t>バンゴウ</t>
    </rPh>
    <phoneticPr fontId="1"/>
  </si>
  <si>
    <t>項目一覧</t>
    <rPh sb="0" eb="2">
      <t>コウモク</t>
    </rPh>
    <rPh sb="2" eb="4">
      <t>イチラン</t>
    </rPh>
    <phoneticPr fontId="2"/>
  </si>
  <si>
    <t>非課税項目について</t>
    <rPh sb="0" eb="3">
      <t>ヒカゼイ</t>
    </rPh>
    <rPh sb="3" eb="5">
      <t>コウモク</t>
    </rPh>
    <phoneticPr fontId="2"/>
  </si>
  <si>
    <t>非課税項目は不要？</t>
    <rPh sb="0" eb="3">
      <t>ヒカゼイ</t>
    </rPh>
    <rPh sb="3" eb="5">
      <t>コウモク</t>
    </rPh>
    <rPh sb="6" eb="8">
      <t>フヨウ</t>
    </rPh>
    <phoneticPr fontId="2"/>
  </si>
  <si>
    <t>税抜金額の合計</t>
    <phoneticPr fontId="1"/>
  </si>
  <si>
    <t>得意先名</t>
    <rPh sb="0" eb="3">
      <t>トクイサキ</t>
    </rPh>
    <rPh sb="3" eb="4">
      <t>メイ</t>
    </rPh>
    <phoneticPr fontId="1"/>
  </si>
  <si>
    <t>全角</t>
    <rPh sb="0" eb="2">
      <t>ゼンカク</t>
    </rPh>
    <phoneticPr fontId="1"/>
  </si>
  <si>
    <t>-</t>
    <phoneticPr fontId="1"/>
  </si>
  <si>
    <t>yyyy/m/d~yyyy/m/d</t>
    <phoneticPr fontId="1"/>
  </si>
  <si>
    <t>Template請求明細一覧表</t>
    <phoneticPr fontId="2"/>
  </si>
  <si>
    <t>yyyy年m月d日</t>
    <rPh sb="4" eb="5">
      <t>ネン</t>
    </rPh>
    <rPh sb="6" eb="7">
      <t>ツキ</t>
    </rPh>
    <rPh sb="8" eb="9">
      <t>ニチ</t>
    </rPh>
    <phoneticPr fontId="1"/>
  </si>
  <si>
    <t>from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</si>
  <si>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</si>
  <si>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</si>
  <si>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</si>
  <si>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</si>
  <si>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</si>
  <si>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</si>
  <si>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</si>
  <si>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</si>
  <si>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</si>
  <si>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</si>
  <si>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</si>
  <si>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</si>
  <si>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</si>
  <si>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</si>
  <si>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</si>
  <si>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</si>
  <si>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</si>
  <si>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</si>
  <si>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</si>
  <si>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</si>
  <si>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</si>
  <si>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</si>
  <si>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</si>
  <si>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</si>
  <si>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</si>
  <si>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</si>
  <si>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</si>
  <si>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</si>
  <si>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</si>
  <si>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</si>
  <si>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</si>
  <si>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</si>
  <si>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</si>
  <si>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</si>
  <si>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</si>
  <si>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請求明細一覧表</t>
    <rPh sb="0" eb="2">
      <t>セイキュウ</t>
    </rPh>
    <rPh sb="2" eb="4">
      <t>メイサイ</t>
    </rPh>
    <rPh sb="4" eb="6">
      <t>イチラン</t>
    </rPh>
    <rPh sb="6" eb="7">
      <t>ヒョウ</t>
    </rPh>
    <phoneticPr fontId="10"/>
  </si>
  <si>
    <t>株式会社三和商研</t>
    <rPh sb="0" eb="4">
      <t>カブシキガイシャ</t>
    </rPh>
    <rPh sb="4" eb="8">
      <t>サンワショウケン</t>
    </rPh>
    <phoneticPr fontId="10"/>
  </si>
  <si>
    <t>得意先CD</t>
    <rPh sb="0" eb="3">
      <t>トクイサキ</t>
    </rPh>
    <phoneticPr fontId="2"/>
  </si>
  <si>
    <t>請求日付</t>
    <rPh sb="0" eb="2">
      <t>セイキュウ</t>
    </rPh>
    <rPh sb="2" eb="4">
      <t>ヒヅケ</t>
    </rPh>
    <phoneticPr fontId="2"/>
  </si>
  <si>
    <t>見積番号</t>
    <rPh sb="0" eb="2">
      <t>ミツモリ</t>
    </rPh>
    <rPh sb="2" eb="4">
      <t>バンゴウ</t>
    </rPh>
    <phoneticPr fontId="2"/>
  </si>
  <si>
    <t>見積件名</t>
    <rPh sb="0" eb="2">
      <t>ミツモリ</t>
    </rPh>
    <rPh sb="2" eb="4">
      <t>ケンメイ</t>
    </rPh>
    <phoneticPr fontId="2"/>
  </si>
  <si>
    <t>合計金額</t>
    <rPh sb="0" eb="2">
      <t>ゴウケイ</t>
    </rPh>
    <rPh sb="2" eb="4">
      <t>キンガク</t>
    </rPh>
    <phoneticPr fontId="2"/>
  </si>
  <si>
    <t>請求書発行FLG</t>
    <rPh sb="0" eb="3">
      <t>セイキュウショ</t>
    </rPh>
    <rPh sb="3" eb="5">
      <t>ハッコウ</t>
    </rPh>
    <phoneticPr fontId="2"/>
  </si>
  <si>
    <t>鏡番号</t>
  </si>
  <si>
    <t>備考</t>
    <rPh sb="0" eb="2">
      <t>ビコウ</t>
    </rPh>
    <phoneticPr fontId="2"/>
  </si>
  <si>
    <t>Count</t>
    <phoneticPr fontId="2"/>
  </si>
  <si>
    <t>TD見積</t>
    <rPh sb="2" eb="4">
      <t>ミツモリ</t>
    </rPh>
    <phoneticPr fontId="2"/>
  </si>
  <si>
    <t>TD売上請求H</t>
    <rPh sb="2" eb="4">
      <t>ウリアゲ</t>
    </rPh>
    <rPh sb="4" eb="6">
      <t>セイキュウ</t>
    </rPh>
    <phoneticPr fontId="2"/>
  </si>
  <si>
    <t>外税額</t>
    <rPh sb="0" eb="1">
      <t>ソト</t>
    </rPh>
    <rPh sb="1" eb="3">
      <t>ゼイガク</t>
    </rPh>
    <phoneticPr fontId="2"/>
  </si>
  <si>
    <t>[TD売上請求H.請求日付]が[画面.S集計日付]より後</t>
    <rPh sb="3" eb="7">
      <t>ウリアゲセイキュウ</t>
    </rPh>
    <rPh sb="9" eb="11">
      <t>セイキュウ</t>
    </rPh>
    <rPh sb="11" eb="13">
      <t>ヒヅケ</t>
    </rPh>
    <rPh sb="16" eb="18">
      <t>ガメン</t>
    </rPh>
    <rPh sb="20" eb="22">
      <t>シュウケイ</t>
    </rPh>
    <rPh sb="22" eb="24">
      <t>ヒヅケ</t>
    </rPh>
    <rPh sb="27" eb="28">
      <t>アト</t>
    </rPh>
    <phoneticPr fontId="2"/>
  </si>
  <si>
    <t>and</t>
    <phoneticPr fontId="2"/>
  </si>
  <si>
    <t>[TD売上請求H.請求日付]が[画面.E集計日付]より前</t>
    <rPh sb="3" eb="7">
      <t>ウリアゲセイキュウ</t>
    </rPh>
    <rPh sb="9" eb="11">
      <t>セイキュウ</t>
    </rPh>
    <rPh sb="11" eb="13">
      <t>ヒヅケ</t>
    </rPh>
    <rPh sb="16" eb="18">
      <t>ガメン</t>
    </rPh>
    <rPh sb="20" eb="22">
      <t>シュウケイ</t>
    </rPh>
    <rPh sb="22" eb="24">
      <t>ヒヅケ</t>
    </rPh>
    <rPh sb="27" eb="28">
      <t>マエ</t>
    </rPh>
    <phoneticPr fontId="2"/>
  </si>
  <si>
    <t>[TD見積.得意先CD]が[画面.S得意先CD]（NULLの場合は[TD見積.得意先CD]）以上の場合</t>
    <rPh sb="3" eb="5">
      <t>ミツモリ</t>
    </rPh>
    <rPh sb="6" eb="9">
      <t>トクイサキ</t>
    </rPh>
    <rPh sb="14" eb="16">
      <t>ガメン</t>
    </rPh>
    <rPh sb="18" eb="21">
      <t>トクイサキ</t>
    </rPh>
    <rPh sb="30" eb="32">
      <t>バアイ</t>
    </rPh>
    <rPh sb="36" eb="38">
      <t>ミツモリ</t>
    </rPh>
    <rPh sb="39" eb="42">
      <t>トクイサキ</t>
    </rPh>
    <rPh sb="46" eb="48">
      <t>イジョウ</t>
    </rPh>
    <rPh sb="49" eb="51">
      <t>バアイ</t>
    </rPh>
    <phoneticPr fontId="2"/>
  </si>
  <si>
    <t>[TD見積.得意先CD]が[画面.E得意先CD]（NULLの場合は[TD見積.得意先CD]）未満の場合</t>
    <rPh sb="3" eb="5">
      <t>ミツモリ</t>
    </rPh>
    <rPh sb="6" eb="9">
      <t>トクイサキ</t>
    </rPh>
    <rPh sb="14" eb="16">
      <t>ガメン</t>
    </rPh>
    <rPh sb="18" eb="21">
      <t>トクイサキ</t>
    </rPh>
    <rPh sb="30" eb="32">
      <t>バアイ</t>
    </rPh>
    <rPh sb="36" eb="38">
      <t>ミツモリ</t>
    </rPh>
    <rPh sb="39" eb="42">
      <t>トクイサキ</t>
    </rPh>
    <rPh sb="46" eb="48">
      <t>ミマン</t>
    </rPh>
    <rPh sb="49" eb="51">
      <t>バアイ</t>
    </rPh>
    <phoneticPr fontId="2"/>
  </si>
  <si>
    <t>join</t>
    <phoneticPr fontId="2"/>
  </si>
  <si>
    <t>inner</t>
    <phoneticPr fontId="2"/>
  </si>
  <si>
    <t>TD売上請求H.見積番号 = TD見積.見積番号</t>
    <rPh sb="2" eb="4">
      <t>ウリアゲ</t>
    </rPh>
    <rPh sb="4" eb="6">
      <t>セイキュウ</t>
    </rPh>
    <rPh sb="8" eb="10">
      <t>ミツモリ</t>
    </rPh>
    <rPh sb="10" eb="12">
      <t>バンゴウ</t>
    </rPh>
    <rPh sb="17" eb="19">
      <t>ミツモリ</t>
    </rPh>
    <rPh sb="20" eb="22">
      <t>ミツモリ</t>
    </rPh>
    <rPh sb="22" eb="24">
      <t>バンゴウ</t>
    </rPh>
    <phoneticPr fontId="2"/>
  </si>
  <si>
    <t>order by</t>
    <phoneticPr fontId="2"/>
  </si>
  <si>
    <t>[TD見積.得意先CD],[TD売上請求H.請求日付],[TD売上請求H.見積番号]を昇順でソート</t>
    <rPh sb="3" eb="5">
      <t>ミツモリ</t>
    </rPh>
    <rPh sb="6" eb="9">
      <t>トクイサキ</t>
    </rPh>
    <rPh sb="16" eb="20">
      <t>ウリアゲセイキュウ</t>
    </rPh>
    <rPh sb="22" eb="24">
      <t>セイキュウ</t>
    </rPh>
    <rPh sb="24" eb="26">
      <t>ヒヅケ</t>
    </rPh>
    <rPh sb="31" eb="35">
      <t>ウリアゲセイキュウ</t>
    </rPh>
    <rPh sb="37" eb="39">
      <t>ミツモリ</t>
    </rPh>
    <rPh sb="39" eb="41">
      <t>バンゴウ</t>
    </rPh>
    <rPh sb="43" eb="45">
      <t>ショウジュン</t>
    </rPh>
    <phoneticPr fontId="2"/>
  </si>
  <si>
    <t>sql1</t>
    <phoneticPr fontId="2"/>
  </si>
  <si>
    <t>sql1.請求日付</t>
    <rPh sb="5" eb="7">
      <t>セイキュウ</t>
    </rPh>
    <rPh sb="7" eb="9">
      <t>ヒヅケ</t>
    </rPh>
    <phoneticPr fontId="1"/>
  </si>
  <si>
    <t>sql1.見積番号</t>
    <rPh sb="5" eb="7">
      <t>ミツモリ</t>
    </rPh>
    <rPh sb="7" eb="9">
      <t>バンゴウ</t>
    </rPh>
    <phoneticPr fontId="1"/>
  </si>
  <si>
    <t>sql1.見積件名</t>
    <rPh sb="5" eb="7">
      <t>ミツモリ</t>
    </rPh>
    <rPh sb="7" eb="9">
      <t>ケンメイ</t>
    </rPh>
    <phoneticPr fontId="1"/>
  </si>
  <si>
    <t>sql1.合計金額</t>
    <rPh sb="5" eb="7">
      <t>ゴウケイ</t>
    </rPh>
    <rPh sb="7" eb="9">
      <t>キンガク</t>
    </rPh>
    <phoneticPr fontId="1"/>
  </si>
  <si>
    <t>sql1.外税額</t>
    <rPh sb="5" eb="6">
      <t>ガイ</t>
    </rPh>
    <rPh sb="6" eb="7">
      <t>ゼイ</t>
    </rPh>
    <rPh sb="7" eb="8">
      <t>ガク</t>
    </rPh>
    <phoneticPr fontId="1"/>
  </si>
  <si>
    <t>sql1.鏡番号</t>
    <rPh sb="5" eb="6">
      <t>カガミ</t>
    </rPh>
    <rPh sb="6" eb="8">
      <t>バンゴウ</t>
    </rPh>
    <phoneticPr fontId="1"/>
  </si>
  <si>
    <t>[sql1.鏡番号]が0の場合は空白、それ以外の場合は[sql1.鏡番号]</t>
    <rPh sb="13" eb="15">
      <t>バアイ</t>
    </rPh>
    <rPh sb="16" eb="18">
      <t>クウハク</t>
    </rPh>
    <rPh sb="21" eb="23">
      <t>イガイ</t>
    </rPh>
    <rPh sb="24" eb="26">
      <t>バアイ</t>
    </rPh>
    <phoneticPr fontId="1"/>
  </si>
  <si>
    <t>sql1.備考</t>
    <rPh sb="5" eb="7">
      <t>ビコウ</t>
    </rPh>
    <phoneticPr fontId="1"/>
  </si>
  <si>
    <t>[TD見積.得意先CD]毎の件数</t>
    <rPh sb="3" eb="5">
      <t>ミツモリ</t>
    </rPh>
    <rPh sb="6" eb="9">
      <t>トクイサキ</t>
    </rPh>
    <rPh sb="12" eb="13">
      <t>ゴト</t>
    </rPh>
    <rPh sb="14" eb="16">
      <t>ケンスウ</t>
    </rPh>
    <phoneticPr fontId="2"/>
  </si>
  <si>
    <t>帳票レイアウト</t>
    <rPh sb="0" eb="2">
      <t>チョウヒョウ</t>
    </rPh>
    <phoneticPr fontId="2"/>
  </si>
  <si>
    <t>TM得意先.得意先名1</t>
    <rPh sb="2" eb="5">
      <t>トクイサキ</t>
    </rPh>
    <rPh sb="6" eb="9">
      <t>トクイサキ</t>
    </rPh>
    <rPh sb="9" eb="10">
      <t>メイ</t>
    </rPh>
    <phoneticPr fontId="1"/>
  </si>
  <si>
    <t>[sql1.得意先CD]をもとにclsを呼び出して取得</t>
    <rPh sb="6" eb="9">
      <t>トクイサキ</t>
    </rPh>
    <rPh sb="20" eb="21">
      <t>ヨ</t>
    </rPh>
    <rPh sb="22" eb="23">
      <t>ダ</t>
    </rPh>
    <rPh sb="25" eb="27">
      <t>シュトク</t>
    </rPh>
    <phoneticPr fontId="1"/>
  </si>
  <si>
    <t>フォーマットでは「[9999]得意先名」となっているが、ソース上では得意先名のみ記載している</t>
    <rPh sb="15" eb="18">
      <t>トクイサキ</t>
    </rPh>
    <rPh sb="18" eb="19">
      <t>メイ</t>
    </rPh>
    <rPh sb="31" eb="32">
      <t>ジョウ</t>
    </rPh>
    <rPh sb="34" eb="37">
      <t>トクイサキ</t>
    </rPh>
    <rPh sb="37" eb="38">
      <t>メイ</t>
    </rPh>
    <rPh sb="40" eb="42">
      <t>キサイ</t>
    </rPh>
    <phoneticPr fontId="2"/>
  </si>
  <si>
    <t>得意先名項目について</t>
    <rPh sb="0" eb="3">
      <t>トクイサキ</t>
    </rPh>
    <rPh sb="3" eb="4">
      <t>メイ</t>
    </rPh>
    <rPh sb="4" eb="6">
      <t>コウモク</t>
    </rPh>
    <phoneticPr fontId="2"/>
  </si>
  <si>
    <t>[99999]株式会社A</t>
    <rPh sb="7" eb="11">
      <t>カブシキガイシャ</t>
    </rPh>
    <phoneticPr fontId="10"/>
  </si>
  <si>
    <t>2013/04/26～2013/05/25</t>
    <phoneticPr fontId="10"/>
  </si>
  <si>
    <t>xlsx</t>
    <phoneticPr fontId="2"/>
  </si>
  <si>
    <t>得意先名のみ出力</t>
    <phoneticPr fontId="2"/>
  </si>
  <si>
    <t>回答</t>
    <rPh sb="0" eb="2">
      <t>カイトウ</t>
    </rPh>
    <phoneticPr fontId="2"/>
  </si>
  <si>
    <t>〇</t>
    <phoneticPr fontId="2"/>
  </si>
  <si>
    <t>空</t>
    <rPh sb="0" eb="1">
      <t>カラ</t>
    </rPh>
    <phoneticPr fontId="1"/>
  </si>
  <si>
    <t>QAで確認
→QA反映。非課税項目は空欄のままでよい</t>
    <phoneticPr fontId="2"/>
  </si>
  <si>
    <t>〇</t>
    <phoneticPr fontId="2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</si>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</sst>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[$-F800]dddd\,\ mmmm\ dd\,\ yyyy"/>
    <numFmt numFmtId="178" formatCode="yyyy/m/d;@"/>
    <numFmt numFmtId="179" formatCode="0_ 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4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23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 applyFont="1" applyFill="1" applyAlignment="1">
      <alignment vertical="center"/>
    </xf>
    <xf numFmtId="0" fontId="4" fillId="0" borderId="0" xfId="2" applyFont="1" applyFill="1">
      <alignment vertical="center"/>
    </xf>
    <xf numFmtId="0" fontId="4" fillId="0" borderId="0" xfId="2" applyFont="1" applyFill="1" applyAlignment="1">
      <alignment vertical="center"/>
    </xf>
    <xf numFmtId="0" fontId="4" fillId="0" borderId="0" xfId="2" applyFont="1" applyFill="1" applyAlignment="1">
      <alignment horizontal="center" vertical="center"/>
    </xf>
    <xf numFmtId="0" fontId="4" fillId="0" borderId="0" xfId="2" applyFont="1" applyBorder="1" applyAlignment="1">
      <alignment horizontal="right" vertical="center"/>
    </xf>
    <xf numFmtId="0" fontId="4" fillId="0" borderId="42" xfId="2" applyFont="1" applyFill="1" applyBorder="1" applyAlignment="1">
      <alignment horizontal="center" vertical="center" shrinkToFit="1"/>
    </xf>
    <xf numFmtId="0" fontId="4" fillId="0" borderId="0" xfId="2" applyFont="1" applyFill="1" applyBorder="1">
      <alignment vertical="center"/>
    </xf>
    <xf numFmtId="14" fontId="4" fillId="0" borderId="43" xfId="2" applyNumberFormat="1" applyFont="1" applyFill="1" applyBorder="1" applyAlignment="1">
      <alignment horizontal="center" vertical="center" shrinkToFit="1"/>
    </xf>
    <xf numFmtId="0" fontId="4" fillId="0" borderId="43" xfId="2" applyFont="1" applyFill="1" applyBorder="1" applyAlignment="1">
      <alignment horizontal="center" vertical="center" shrinkToFit="1"/>
    </xf>
    <xf numFmtId="0" fontId="4" fillId="0" borderId="43" xfId="2" applyFont="1" applyFill="1" applyBorder="1" applyAlignment="1">
      <alignment horizontal="right" vertical="center" shrinkToFit="1"/>
    </xf>
    <xf numFmtId="38" fontId="4" fillId="0" borderId="43" xfId="2" applyNumberFormat="1" applyFont="1" applyFill="1" applyBorder="1" applyAlignment="1">
      <alignment vertical="center" shrinkToFit="1"/>
    </xf>
    <xf numFmtId="0" fontId="4" fillId="0" borderId="43" xfId="2" applyFont="1" applyFill="1" applyBorder="1" applyAlignment="1">
      <alignment vertical="center" shrinkToFit="1"/>
    </xf>
    <xf numFmtId="178" fontId="4" fillId="0" borderId="9" xfId="2" applyNumberFormat="1" applyFont="1" applyBorder="1" applyAlignment="1">
      <alignment horizontal="center" vertical="center" shrinkToFit="1"/>
    </xf>
    <xf numFmtId="179" fontId="4" fillId="0" borderId="9" xfId="2" applyNumberFormat="1" applyFont="1" applyBorder="1" applyAlignment="1">
      <alignment vertical="center" shrinkToFit="1"/>
    </xf>
    <xf numFmtId="0" fontId="4" fillId="0" borderId="9" xfId="2" applyFont="1" applyBorder="1" applyAlignment="1">
      <alignment vertical="center" shrinkToFit="1"/>
    </xf>
    <xf numFmtId="38" fontId="4" fillId="0" borderId="9" xfId="3" applyFont="1" applyBorder="1" applyAlignment="1">
      <alignment vertical="center" shrinkToFit="1"/>
    </xf>
    <xf numFmtId="0" fontId="4" fillId="0" borderId="9" xfId="2" applyNumberFormat="1" applyFont="1" applyBorder="1" applyAlignment="1">
      <alignment vertical="center" shrinkToFit="1"/>
    </xf>
    <xf numFmtId="178" fontId="4" fillId="0" borderId="1" xfId="2" applyNumberFormat="1" applyFont="1" applyBorder="1" applyAlignment="1">
      <alignment horizontal="center" vertical="center" shrinkToFit="1"/>
    </xf>
    <xf numFmtId="179" fontId="4" fillId="0" borderId="1" xfId="2" applyNumberFormat="1" applyFont="1" applyBorder="1" applyAlignment="1">
      <alignment vertical="center" shrinkToFit="1"/>
    </xf>
    <xf numFmtId="0" fontId="4" fillId="0" borderId="1" xfId="2" applyFont="1" applyBorder="1" applyAlignment="1">
      <alignment vertical="center" shrinkToFit="1"/>
    </xf>
    <xf numFmtId="38" fontId="4" fillId="0" borderId="1" xfId="3" applyFont="1" applyFill="1" applyBorder="1" applyAlignment="1">
      <alignment vertical="center" shrinkToFit="1"/>
    </xf>
    <xf numFmtId="38" fontId="4" fillId="0" borderId="9" xfId="3" applyFont="1" applyFill="1" applyBorder="1" applyAlignment="1">
      <alignment vertical="center" shrinkToFit="1"/>
    </xf>
    <xf numFmtId="0" fontId="4" fillId="0" borderId="1" xfId="2" applyNumberFormat="1" applyFont="1" applyBorder="1" applyAlignment="1">
      <alignment vertical="center" shrinkToFit="1"/>
    </xf>
    <xf numFmtId="0" fontId="3" fillId="2" borderId="58" xfId="0" applyFont="1" applyFill="1" applyBorder="1" applyAlignment="1">
      <alignment horizontal="left"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1" xfId="0" quotePrefix="1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5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13" fillId="2" borderId="2" xfId="0" applyFont="1" applyFill="1" applyBorder="1">
      <alignment vertical="center"/>
    </xf>
    <xf numFmtId="0" fontId="13" fillId="2" borderId="65" xfId="0" applyFont="1" applyFill="1" applyBorder="1">
      <alignment vertical="center"/>
    </xf>
    <xf numFmtId="0" fontId="12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65" xfId="0" applyFont="1" applyFill="1" applyBorder="1">
      <alignment vertical="center"/>
    </xf>
    <xf numFmtId="0" fontId="12" fillId="2" borderId="65" xfId="0" quotePrefix="1" applyFont="1" applyFill="1" applyBorder="1">
      <alignment vertical="center"/>
    </xf>
    <xf numFmtId="0" fontId="3" fillId="2" borderId="65" xfId="0" quotePrefix="1" applyFont="1" applyFill="1" applyBorder="1" applyAlignment="1">
      <alignment vertical="center"/>
    </xf>
    <xf numFmtId="0" fontId="3" fillId="2" borderId="69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12" fillId="2" borderId="0" xfId="0" applyFont="1" applyFill="1">
      <alignment vertical="center"/>
    </xf>
    <xf numFmtId="0" fontId="4" fillId="0" borderId="0" xfId="2" applyAlignment="1">
      <alignment vertical="center" shrinkToFit="1"/>
    </xf>
    <xf numFmtId="0" fontId="3" fillId="2" borderId="46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63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2" fillId="2" borderId="46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14" fontId="3" fillId="2" borderId="53" xfId="0" applyNumberFormat="1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3" borderId="49" xfId="0" applyFont="1" applyFill="1" applyBorder="1" applyAlignment="1">
      <alignment horizontal="center" vertical="center"/>
    </xf>
    <xf numFmtId="177" fontId="14" fillId="0" borderId="0" xfId="2" applyNumberFormat="1" applyFont="1" applyFill="1" applyBorder="1" applyAlignment="1">
      <alignment horizontal="right" wrapText="1" shrinkToFit="1"/>
    </xf>
    <xf numFmtId="0" fontId="0" fillId="0" borderId="41" xfId="2" applyFont="1" applyFill="1" applyBorder="1" applyAlignment="1">
      <alignment vertical="center" shrinkToFit="1"/>
    </xf>
    <xf numFmtId="0" fontId="4" fillId="0" borderId="41" xfId="2" applyBorder="1" applyAlignment="1">
      <alignment vertical="center" shrinkToFit="1"/>
    </xf>
    <xf numFmtId="177" fontId="11" fillId="0" borderId="0" xfId="2" applyNumberFormat="1" applyFont="1" applyFill="1" applyBorder="1" applyAlignment="1">
      <alignment shrinkToFit="1"/>
    </xf>
  </cellXfs>
  <cellStyles count="4">
    <cellStyle name="桁区切り 2" xfId="3"/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179293</xdr:colOff>
      <xdr:row>8</xdr:row>
      <xdr:rowOff>125506</xdr:rowOff>
    </xdr:from>
    <xdr:to>
      <xdr:col>62</xdr:col>
      <xdr:colOff>92346</xdr:colOff>
      <xdr:row>25</xdr:row>
      <xdr:rowOff>197223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975" y="1757082"/>
          <a:ext cx="16865312" cy="4338917"/>
        </a:xfrm>
        <a:prstGeom prst="rect">
          <a:avLst/>
        </a:prstGeom>
      </xdr:spPr>
    </xdr:pic>
    <xdr:clientData/>
  </xdr:twoCellAnchor>
  <xdr:twoCellAnchor>
    <xdr:from>
      <xdr:col>9</xdr:col>
      <xdr:colOff>70013</xdr:colOff>
      <xdr:row>12</xdr:row>
      <xdr:rowOff>197223</xdr:rowOff>
    </xdr:from>
    <xdr:to>
      <xdr:col>10</xdr:col>
      <xdr:colOff>132765</xdr:colOff>
      <xdr:row>14</xdr:row>
      <xdr:rowOff>21559</xdr:rowOff>
    </xdr:to>
    <xdr:sp macro="" textlink="">
      <xdr:nvSpPr>
        <xdr:cNvPr id="5" name="正方形/長方形 4"/>
        <xdr:cNvSpPr/>
      </xdr:nvSpPr>
      <xdr:spPr>
        <a:xfrm>
          <a:off x="2421327" y="2831566"/>
          <a:ext cx="345781" cy="3250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261473</xdr:colOff>
      <xdr:row>15</xdr:row>
      <xdr:rowOff>64247</xdr:rowOff>
    </xdr:from>
    <xdr:to>
      <xdr:col>54</xdr:col>
      <xdr:colOff>46319</xdr:colOff>
      <xdr:row>16</xdr:row>
      <xdr:rowOff>138954</xdr:rowOff>
    </xdr:to>
    <xdr:sp macro="" textlink="">
      <xdr:nvSpPr>
        <xdr:cNvPr id="6" name="正方形/長方形 5"/>
        <xdr:cNvSpPr/>
      </xdr:nvSpPr>
      <xdr:spPr>
        <a:xfrm>
          <a:off x="14515355" y="3452906"/>
          <a:ext cx="340658" cy="32571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41838</xdr:colOff>
      <xdr:row>18</xdr:row>
      <xdr:rowOff>215153</xdr:rowOff>
    </xdr:from>
    <xdr:to>
      <xdr:col>32</xdr:col>
      <xdr:colOff>104590</xdr:colOff>
      <xdr:row>20</xdr:row>
      <xdr:rowOff>35860</xdr:rowOff>
    </xdr:to>
    <xdr:sp macro="" textlink="">
      <xdr:nvSpPr>
        <xdr:cNvPr id="8" name="正方形/長方形 7"/>
        <xdr:cNvSpPr/>
      </xdr:nvSpPr>
      <xdr:spPr>
        <a:xfrm>
          <a:off x="8459697" y="4356847"/>
          <a:ext cx="340658" cy="32273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232656</xdr:colOff>
      <xdr:row>18</xdr:row>
      <xdr:rowOff>204266</xdr:rowOff>
    </xdr:from>
    <xdr:to>
      <xdr:col>38</xdr:col>
      <xdr:colOff>17502</xdr:colOff>
      <xdr:row>20</xdr:row>
      <xdr:rowOff>24973</xdr:rowOff>
    </xdr:to>
    <xdr:sp macro="" textlink="">
      <xdr:nvSpPr>
        <xdr:cNvPr id="9" name="正方形/長方形 8"/>
        <xdr:cNvSpPr/>
      </xdr:nvSpPr>
      <xdr:spPr>
        <a:xfrm>
          <a:off x="10225742" y="4340837"/>
          <a:ext cx="350903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122091</xdr:colOff>
      <xdr:row>18</xdr:row>
      <xdr:rowOff>207254</xdr:rowOff>
    </xdr:from>
    <xdr:to>
      <xdr:col>43</xdr:col>
      <xdr:colOff>184845</xdr:colOff>
      <xdr:row>20</xdr:row>
      <xdr:rowOff>27961</xdr:rowOff>
    </xdr:to>
    <xdr:sp macro="" textlink="">
      <xdr:nvSpPr>
        <xdr:cNvPr id="10" name="正方形/長方形 9"/>
        <xdr:cNvSpPr/>
      </xdr:nvSpPr>
      <xdr:spPr>
        <a:xfrm>
          <a:off x="11813348" y="4343825"/>
          <a:ext cx="345783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8751</xdr:colOff>
      <xdr:row>18</xdr:row>
      <xdr:rowOff>201918</xdr:rowOff>
    </xdr:from>
    <xdr:to>
      <xdr:col>49</xdr:col>
      <xdr:colOff>71503</xdr:colOff>
      <xdr:row>20</xdr:row>
      <xdr:rowOff>22625</xdr:rowOff>
    </xdr:to>
    <xdr:sp macro="" textlink="">
      <xdr:nvSpPr>
        <xdr:cNvPr id="11" name="正方形/長方形 10"/>
        <xdr:cNvSpPr/>
      </xdr:nvSpPr>
      <xdr:spPr>
        <a:xfrm>
          <a:off x="13398180" y="433848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207685</xdr:colOff>
      <xdr:row>20</xdr:row>
      <xdr:rowOff>227105</xdr:rowOff>
    </xdr:from>
    <xdr:to>
      <xdr:col>3</xdr:col>
      <xdr:colOff>271931</xdr:colOff>
      <xdr:row>22</xdr:row>
      <xdr:rowOff>50800</xdr:rowOff>
    </xdr:to>
    <xdr:sp macro="" textlink="">
      <xdr:nvSpPr>
        <xdr:cNvPr id="13" name="正方形/長方形 12"/>
        <xdr:cNvSpPr/>
      </xdr:nvSpPr>
      <xdr:spPr>
        <a:xfrm>
          <a:off x="566273" y="4870823"/>
          <a:ext cx="342152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203202</xdr:colOff>
      <xdr:row>20</xdr:row>
      <xdr:rowOff>227106</xdr:rowOff>
    </xdr:from>
    <xdr:to>
      <xdr:col>8</xdr:col>
      <xdr:colOff>267447</xdr:colOff>
      <xdr:row>22</xdr:row>
      <xdr:rowOff>47813</xdr:rowOff>
    </xdr:to>
    <xdr:sp macro="" textlink="">
      <xdr:nvSpPr>
        <xdr:cNvPr id="14" name="正方形/長方形 13"/>
        <xdr:cNvSpPr/>
      </xdr:nvSpPr>
      <xdr:spPr>
        <a:xfrm>
          <a:off x="1951320" y="4870824"/>
          <a:ext cx="342151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94131</xdr:colOff>
      <xdr:row>20</xdr:row>
      <xdr:rowOff>195730</xdr:rowOff>
    </xdr:from>
    <xdr:to>
      <xdr:col>13</xdr:col>
      <xdr:colOff>156883</xdr:colOff>
      <xdr:row>22</xdr:row>
      <xdr:rowOff>19425</xdr:rowOff>
    </xdr:to>
    <xdr:sp macro="" textlink="">
      <xdr:nvSpPr>
        <xdr:cNvPr id="15" name="正方形/長方形 14"/>
        <xdr:cNvSpPr/>
      </xdr:nvSpPr>
      <xdr:spPr>
        <a:xfrm>
          <a:off x="3231778" y="4839448"/>
          <a:ext cx="340658" cy="3257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225187</xdr:colOff>
      <xdr:row>20</xdr:row>
      <xdr:rowOff>213233</xdr:rowOff>
    </xdr:from>
    <xdr:to>
      <xdr:col>38</xdr:col>
      <xdr:colOff>11527</xdr:colOff>
      <xdr:row>22</xdr:row>
      <xdr:rowOff>33940</xdr:rowOff>
    </xdr:to>
    <xdr:sp macro="" textlink="">
      <xdr:nvSpPr>
        <xdr:cNvPr id="16" name="正方形/長方形 15"/>
        <xdr:cNvSpPr/>
      </xdr:nvSpPr>
      <xdr:spPr>
        <a:xfrm>
          <a:off x="10218273" y="4850547"/>
          <a:ext cx="352397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124652</xdr:colOff>
      <xdr:row>20</xdr:row>
      <xdr:rowOff>207257</xdr:rowOff>
    </xdr:from>
    <xdr:to>
      <xdr:col>43</xdr:col>
      <xdr:colOff>187405</xdr:colOff>
      <xdr:row>22</xdr:row>
      <xdr:rowOff>27964</xdr:rowOff>
    </xdr:to>
    <xdr:sp macro="" textlink="">
      <xdr:nvSpPr>
        <xdr:cNvPr id="17" name="正方形/長方形 16"/>
        <xdr:cNvSpPr/>
      </xdr:nvSpPr>
      <xdr:spPr>
        <a:xfrm>
          <a:off x="11815909" y="4844571"/>
          <a:ext cx="345782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19424</xdr:colOff>
      <xdr:row>20</xdr:row>
      <xdr:rowOff>221132</xdr:rowOff>
    </xdr:from>
    <xdr:to>
      <xdr:col>49</xdr:col>
      <xdr:colOff>82177</xdr:colOff>
      <xdr:row>22</xdr:row>
      <xdr:rowOff>41839</xdr:rowOff>
    </xdr:to>
    <xdr:sp macro="" textlink="">
      <xdr:nvSpPr>
        <xdr:cNvPr id="18" name="正方形/長方形 17"/>
        <xdr:cNvSpPr/>
      </xdr:nvSpPr>
      <xdr:spPr>
        <a:xfrm>
          <a:off x="13161683" y="4864850"/>
          <a:ext cx="340659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210673</xdr:colOff>
      <xdr:row>20</xdr:row>
      <xdr:rowOff>207685</xdr:rowOff>
    </xdr:from>
    <xdr:to>
      <xdr:col>54</xdr:col>
      <xdr:colOff>273425</xdr:colOff>
      <xdr:row>22</xdr:row>
      <xdr:rowOff>28392</xdr:rowOff>
    </xdr:to>
    <xdr:sp macro="" textlink="">
      <xdr:nvSpPr>
        <xdr:cNvPr id="19" name="正方形/長方形 18"/>
        <xdr:cNvSpPr/>
      </xdr:nvSpPr>
      <xdr:spPr>
        <a:xfrm>
          <a:off x="14742461" y="485140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</xdr:col>
      <xdr:colOff>162861</xdr:colOff>
      <xdr:row>15</xdr:row>
      <xdr:rowOff>50800</xdr:rowOff>
    </xdr:from>
    <xdr:to>
      <xdr:col>2</xdr:col>
      <xdr:colOff>225613</xdr:colOff>
      <xdr:row>16</xdr:row>
      <xdr:rowOff>125507</xdr:rowOff>
    </xdr:to>
    <xdr:sp macro="" textlink="">
      <xdr:nvSpPr>
        <xdr:cNvPr id="20" name="正方形/長方形 19"/>
        <xdr:cNvSpPr/>
      </xdr:nvSpPr>
      <xdr:spPr>
        <a:xfrm>
          <a:off x="245037" y="3487271"/>
          <a:ext cx="339164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38849</xdr:colOff>
      <xdr:row>20</xdr:row>
      <xdr:rowOff>224119</xdr:rowOff>
    </xdr:from>
    <xdr:to>
      <xdr:col>32</xdr:col>
      <xdr:colOff>103095</xdr:colOff>
      <xdr:row>22</xdr:row>
      <xdr:rowOff>44826</xdr:rowOff>
    </xdr:to>
    <xdr:sp macro="" textlink="">
      <xdr:nvSpPr>
        <xdr:cNvPr id="21" name="正方形/長方形 20"/>
        <xdr:cNvSpPr/>
      </xdr:nvSpPr>
      <xdr:spPr>
        <a:xfrm>
          <a:off x="8456708" y="4867837"/>
          <a:ext cx="342152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439147</xdr:colOff>
      <xdr:row>45</xdr:row>
      <xdr:rowOff>77615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44747" cy="10136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79" t="s">
        <v>0</v>
      </c>
      <c r="C2" s="162"/>
      <c r="D2" s="162"/>
      <c r="E2" s="162"/>
      <c r="F2" s="162"/>
      <c r="G2" s="162"/>
      <c r="H2" s="162" t="s">
        <v>17</v>
      </c>
      <c r="I2" s="162"/>
      <c r="J2" s="162"/>
      <c r="K2" s="162"/>
      <c r="L2" s="162" t="s">
        <v>191</v>
      </c>
      <c r="M2" s="162"/>
      <c r="N2" s="162"/>
      <c r="O2" s="162"/>
      <c r="P2" s="162"/>
      <c r="Q2" s="162"/>
      <c r="R2" s="162" t="s">
        <v>2</v>
      </c>
      <c r="S2" s="162"/>
      <c r="T2" s="162"/>
      <c r="U2" s="162"/>
      <c r="V2" s="162"/>
      <c r="W2" s="162"/>
      <c r="X2" s="174" t="s">
        <v>3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31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62" t="s">
        <v>5</v>
      </c>
      <c r="AY2" s="162"/>
      <c r="AZ2" s="162"/>
      <c r="BA2" s="162"/>
      <c r="BB2" s="162" t="s">
        <v>4</v>
      </c>
      <c r="BC2" s="162"/>
      <c r="BD2" s="162"/>
      <c r="BE2" s="162"/>
      <c r="BF2" s="162" t="s">
        <v>6</v>
      </c>
      <c r="BG2" s="162"/>
      <c r="BH2" s="162"/>
      <c r="BI2" s="162"/>
      <c r="BJ2" s="162" t="s">
        <v>7</v>
      </c>
      <c r="BK2" s="162"/>
      <c r="BL2" s="162"/>
      <c r="BM2" s="163"/>
      <c r="BN2" s="14"/>
    </row>
    <row r="3" spans="1:66" ht="20.100000000000001" customHeight="1" x14ac:dyDescent="0.45">
      <c r="A3" s="8"/>
      <c r="B3" s="177" t="s">
        <v>189</v>
      </c>
      <c r="C3" s="165"/>
      <c r="D3" s="165"/>
      <c r="E3" s="165"/>
      <c r="F3" s="165"/>
      <c r="G3" s="165"/>
      <c r="H3" s="165" t="str">
        <f ca="1">LEFT($X$3,FIND("_",$X$3)-1)</f>
        <v>SU0500</v>
      </c>
      <c r="I3" s="165"/>
      <c r="J3" s="165"/>
      <c r="K3" s="165"/>
      <c r="L3" s="165" t="s">
        <v>190</v>
      </c>
      <c r="M3" s="165"/>
      <c r="N3" s="165"/>
      <c r="O3" s="165"/>
      <c r="P3" s="165"/>
      <c r="Q3" s="165"/>
      <c r="R3" s="178" t="str">
        <f ca="1">MID($X$3,FIND("_",$X$3,FIND("_",$X$3)+1)+1,LEN($X$3)-FIND("_",$X$3,FIND("_",$X$3)+1))</f>
        <v>帳票設計書</v>
      </c>
      <c r="S3" s="165"/>
      <c r="T3" s="165"/>
      <c r="U3" s="165"/>
      <c r="V3" s="165"/>
      <c r="W3" s="165"/>
      <c r="X3" s="168" t="str">
        <f ca="1">REPLACE(LEFT(CELL("filename",$B$2),FIND(".x",CELL("filename",$B$2))-1),1,FIND("[",CELL("filename",$B$2)),)</f>
        <v>SU0500_請求明細一覧表_帳票設計書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70"/>
      <c r="AK3" s="168" t="str">
        <f ca="1">MID($X$3,FIND("_",$X$3)+1,FIND("_",$X$3,FIND("_",$X$3)+1)-FIND("_",$X$3)-1)</f>
        <v>請求明細一覧表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70"/>
      <c r="AX3" s="164">
        <v>45581</v>
      </c>
      <c r="AY3" s="165"/>
      <c r="AZ3" s="165"/>
      <c r="BA3" s="165"/>
      <c r="BB3" s="165" t="s">
        <v>192</v>
      </c>
      <c r="BC3" s="165"/>
      <c r="BD3" s="165"/>
      <c r="BE3" s="165"/>
      <c r="BF3" s="164">
        <v>45581</v>
      </c>
      <c r="BG3" s="165"/>
      <c r="BH3" s="165"/>
      <c r="BI3" s="165"/>
      <c r="BJ3" s="165" t="s">
        <v>193</v>
      </c>
      <c r="BK3" s="165"/>
      <c r="BL3" s="165"/>
      <c r="BM3" s="167"/>
      <c r="BN3" s="14"/>
    </row>
    <row r="4" spans="1:66" ht="20.100000000000001" customHeight="1" thickBot="1" x14ac:dyDescent="0.5">
      <c r="A4" s="8"/>
      <c r="B4" s="170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1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3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3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8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61" t="s">
        <v>8</v>
      </c>
      <c r="D8" s="161"/>
      <c r="E8" s="161"/>
      <c r="F8" s="161"/>
      <c r="G8" s="161" t="s">
        <v>9</v>
      </c>
      <c r="H8" s="161"/>
      <c r="I8" s="161"/>
      <c r="J8" s="161"/>
      <c r="K8" s="161" t="s">
        <v>10</v>
      </c>
      <c r="L8" s="161"/>
      <c r="M8" s="161"/>
      <c r="N8" s="161"/>
      <c r="O8" s="161" t="s">
        <v>11</v>
      </c>
      <c r="P8" s="161"/>
      <c r="Q8" s="161"/>
      <c r="R8" s="161"/>
      <c r="S8" s="161"/>
      <c r="T8" s="161"/>
      <c r="U8" s="161"/>
      <c r="V8" s="161"/>
      <c r="W8" s="161"/>
      <c r="X8" s="161"/>
      <c r="Y8" s="161" t="s">
        <v>12</v>
      </c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7"/>
      <c r="BN8" s="14"/>
    </row>
    <row r="9" spans="1:66" ht="20.100000000000001" customHeight="1" x14ac:dyDescent="0.45">
      <c r="A9" s="8"/>
      <c r="B9" s="7"/>
      <c r="C9" s="160">
        <v>45581</v>
      </c>
      <c r="D9" s="158"/>
      <c r="E9" s="158"/>
      <c r="F9" s="159"/>
      <c r="G9" s="154" t="s">
        <v>16</v>
      </c>
      <c r="H9" s="155"/>
      <c r="I9" s="155"/>
      <c r="J9" s="156"/>
      <c r="K9" s="157" t="s">
        <v>193</v>
      </c>
      <c r="L9" s="158"/>
      <c r="M9" s="158"/>
      <c r="N9" s="159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60"/>
      <c r="D10" s="158"/>
      <c r="E10" s="158"/>
      <c r="F10" s="159"/>
      <c r="G10" s="154"/>
      <c r="H10" s="155"/>
      <c r="I10" s="155"/>
      <c r="J10" s="156"/>
      <c r="K10" s="157"/>
      <c r="L10" s="158"/>
      <c r="M10" s="158"/>
      <c r="N10" s="15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60"/>
      <c r="D11" s="158"/>
      <c r="E11" s="158"/>
      <c r="F11" s="159"/>
      <c r="G11" s="154"/>
      <c r="H11" s="155"/>
      <c r="I11" s="155"/>
      <c r="J11" s="156"/>
      <c r="K11" s="157"/>
      <c r="L11" s="158"/>
      <c r="M11" s="158"/>
      <c r="N11" s="15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60"/>
      <c r="D36" s="158"/>
      <c r="E36" s="158"/>
      <c r="F36" s="159"/>
      <c r="G36" s="154"/>
      <c r="H36" s="155"/>
      <c r="I36" s="155"/>
      <c r="J36" s="156"/>
      <c r="K36" s="157"/>
      <c r="L36" s="158"/>
      <c r="M36" s="158"/>
      <c r="N36" s="15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60"/>
      <c r="D37" s="158"/>
      <c r="E37" s="158"/>
      <c r="F37" s="159"/>
      <c r="G37" s="154"/>
      <c r="H37" s="155"/>
      <c r="I37" s="155"/>
      <c r="J37" s="156"/>
      <c r="K37" s="157"/>
      <c r="L37" s="158"/>
      <c r="M37" s="158"/>
      <c r="N37" s="15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60"/>
      <c r="D38" s="158"/>
      <c r="E38" s="158"/>
      <c r="F38" s="159"/>
      <c r="G38" s="154"/>
      <c r="H38" s="155"/>
      <c r="I38" s="155"/>
      <c r="J38" s="156"/>
      <c r="K38" s="157"/>
      <c r="L38" s="158"/>
      <c r="M38" s="158"/>
      <c r="N38" s="15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60"/>
      <c r="D39" s="158"/>
      <c r="E39" s="158"/>
      <c r="F39" s="159"/>
      <c r="G39" s="154"/>
      <c r="H39" s="155"/>
      <c r="I39" s="155"/>
      <c r="J39" s="156"/>
      <c r="K39" s="157"/>
      <c r="L39" s="158"/>
      <c r="M39" s="158"/>
      <c r="N39" s="15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60"/>
      <c r="D40" s="158"/>
      <c r="E40" s="158"/>
      <c r="F40" s="159"/>
      <c r="G40" s="154"/>
      <c r="H40" s="155"/>
      <c r="I40" s="155"/>
      <c r="J40" s="156"/>
      <c r="K40" s="157"/>
      <c r="L40" s="158"/>
      <c r="M40" s="158"/>
      <c r="N40" s="15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60"/>
      <c r="D41" s="158"/>
      <c r="E41" s="158"/>
      <c r="F41" s="159"/>
      <c r="G41" s="154"/>
      <c r="H41" s="155"/>
      <c r="I41" s="155"/>
      <c r="J41" s="156"/>
      <c r="K41" s="157"/>
      <c r="L41" s="158"/>
      <c r="M41" s="158"/>
      <c r="N41" s="15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60"/>
      <c r="D42" s="158"/>
      <c r="E42" s="158"/>
      <c r="F42" s="159"/>
      <c r="G42" s="154"/>
      <c r="H42" s="155"/>
      <c r="I42" s="155"/>
      <c r="J42" s="156"/>
      <c r="K42" s="157"/>
      <c r="L42" s="158"/>
      <c r="M42" s="158"/>
      <c r="N42" s="15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60"/>
      <c r="D43" s="158"/>
      <c r="E43" s="158"/>
      <c r="F43" s="159"/>
      <c r="G43" s="154"/>
      <c r="H43" s="155"/>
      <c r="I43" s="155"/>
      <c r="J43" s="156"/>
      <c r="K43" s="157"/>
      <c r="L43" s="158"/>
      <c r="M43" s="158"/>
      <c r="N43" s="15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60"/>
      <c r="D44" s="158"/>
      <c r="E44" s="158"/>
      <c r="F44" s="159"/>
      <c r="G44" s="154"/>
      <c r="H44" s="155"/>
      <c r="I44" s="155"/>
      <c r="J44" s="156"/>
      <c r="K44" s="157"/>
      <c r="L44" s="158"/>
      <c r="M44" s="158"/>
      <c r="N44" s="15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60"/>
      <c r="D45" s="158"/>
      <c r="E45" s="158"/>
      <c r="F45" s="159"/>
      <c r="G45" s="154"/>
      <c r="H45" s="155"/>
      <c r="I45" s="155"/>
      <c r="J45" s="156"/>
      <c r="K45" s="157"/>
      <c r="L45" s="158"/>
      <c r="M45" s="158"/>
      <c r="N45" s="15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60"/>
      <c r="D46" s="158"/>
      <c r="E46" s="158"/>
      <c r="F46" s="159"/>
      <c r="G46" s="154"/>
      <c r="H46" s="155"/>
      <c r="I46" s="155"/>
      <c r="J46" s="156"/>
      <c r="K46" s="157"/>
      <c r="L46" s="158"/>
      <c r="M46" s="158"/>
      <c r="N46" s="15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60"/>
      <c r="D47" s="158"/>
      <c r="E47" s="158"/>
      <c r="F47" s="159"/>
      <c r="G47" s="154"/>
      <c r="H47" s="155"/>
      <c r="I47" s="155"/>
      <c r="J47" s="156"/>
      <c r="K47" s="157"/>
      <c r="L47" s="158"/>
      <c r="M47" s="158"/>
      <c r="N47" s="15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>
      <selection activeCell="B3" sqref="B3:G4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79" t="s">
        <v>0</v>
      </c>
      <c r="C2" s="162"/>
      <c r="D2" s="162"/>
      <c r="E2" s="162"/>
      <c r="F2" s="162"/>
      <c r="G2" s="162"/>
      <c r="H2" s="162" t="s">
        <v>17</v>
      </c>
      <c r="I2" s="162"/>
      <c r="J2" s="162"/>
      <c r="K2" s="162"/>
      <c r="L2" s="162" t="s">
        <v>191</v>
      </c>
      <c r="M2" s="162"/>
      <c r="N2" s="162"/>
      <c r="O2" s="162"/>
      <c r="P2" s="162"/>
      <c r="Q2" s="162"/>
      <c r="R2" s="162" t="s">
        <v>2</v>
      </c>
      <c r="S2" s="162"/>
      <c r="T2" s="162"/>
      <c r="U2" s="162"/>
      <c r="V2" s="162"/>
      <c r="W2" s="162"/>
      <c r="X2" s="174" t="s">
        <v>3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32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62" t="s">
        <v>5</v>
      </c>
      <c r="AY2" s="162"/>
      <c r="AZ2" s="162"/>
      <c r="BA2" s="162"/>
      <c r="BB2" s="162" t="s">
        <v>4</v>
      </c>
      <c r="BC2" s="162"/>
      <c r="BD2" s="162"/>
      <c r="BE2" s="162"/>
      <c r="BF2" s="162" t="s">
        <v>6</v>
      </c>
      <c r="BG2" s="162"/>
      <c r="BH2" s="162"/>
      <c r="BI2" s="162"/>
      <c r="BJ2" s="162" t="s">
        <v>7</v>
      </c>
      <c r="BK2" s="162"/>
      <c r="BL2" s="162"/>
      <c r="BM2" s="163"/>
      <c r="BN2" s="35"/>
    </row>
    <row r="3" spans="1:66" ht="20.100000000000001" customHeight="1" x14ac:dyDescent="0.45">
      <c r="A3" s="32"/>
      <c r="B3" s="177" t="str">
        <f>変更履歴!B3</f>
        <v>受発注システム</v>
      </c>
      <c r="C3" s="165"/>
      <c r="D3" s="165"/>
      <c r="E3" s="165"/>
      <c r="F3" s="165"/>
      <c r="G3" s="165"/>
      <c r="H3" s="165" t="str">
        <f ca="1">変更履歴!H3</f>
        <v>SU0500</v>
      </c>
      <c r="I3" s="165"/>
      <c r="J3" s="165"/>
      <c r="K3" s="165"/>
      <c r="L3" s="165" t="str">
        <f>変更履歴!L3</f>
        <v>受発注</v>
      </c>
      <c r="M3" s="165"/>
      <c r="N3" s="165"/>
      <c r="O3" s="165"/>
      <c r="P3" s="165"/>
      <c r="Q3" s="165"/>
      <c r="R3" s="165" t="str">
        <f ca="1">変更履歴!R3</f>
        <v>帳票設計書</v>
      </c>
      <c r="S3" s="165"/>
      <c r="T3" s="165"/>
      <c r="U3" s="165"/>
      <c r="V3" s="165"/>
      <c r="W3" s="165"/>
      <c r="X3" s="168" t="str">
        <f ca="1">変更履歴!X3</f>
        <v>SU0500_請求明細一覧表_帳票設計書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70"/>
      <c r="AK3" s="168" t="str">
        <f ca="1">変更履歴!AK3</f>
        <v>請求明細一覧表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70"/>
      <c r="AX3" s="164">
        <f>変更履歴!AX3</f>
        <v>45581</v>
      </c>
      <c r="AY3" s="164"/>
      <c r="AZ3" s="164"/>
      <c r="BA3" s="164"/>
      <c r="BB3" s="165" t="str">
        <f>変更履歴!BB3</f>
        <v>大谷</v>
      </c>
      <c r="BC3" s="165"/>
      <c r="BD3" s="165"/>
      <c r="BE3" s="165"/>
      <c r="BF3" s="164">
        <f>変更履歴!BF3</f>
        <v>45581</v>
      </c>
      <c r="BG3" s="164"/>
      <c r="BH3" s="164"/>
      <c r="BI3" s="164"/>
      <c r="BJ3" s="165" t="str">
        <f>変更履歴!BJ3</f>
        <v>大谷</v>
      </c>
      <c r="BK3" s="165"/>
      <c r="BL3" s="165"/>
      <c r="BM3" s="167"/>
      <c r="BN3" s="35"/>
    </row>
    <row r="4" spans="1:66" ht="20.100000000000001" customHeight="1" thickBot="1" x14ac:dyDescent="0.5">
      <c r="A4" s="32"/>
      <c r="B4" s="170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1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3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3"/>
      <c r="AX4" s="180"/>
      <c r="AY4" s="180"/>
      <c r="AZ4" s="180"/>
      <c r="BA4" s="180"/>
      <c r="BB4" s="166"/>
      <c r="BC4" s="166"/>
      <c r="BD4" s="166"/>
      <c r="BE4" s="166"/>
      <c r="BF4" s="180"/>
      <c r="BG4" s="180"/>
      <c r="BH4" s="180"/>
      <c r="BI4" s="180"/>
      <c r="BJ4" s="166"/>
      <c r="BK4" s="166"/>
      <c r="BL4" s="166"/>
      <c r="BM4" s="168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請求明細一覧表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102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63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181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64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64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64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64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188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79" t="s">
        <v>0</v>
      </c>
      <c r="C2" s="162"/>
      <c r="D2" s="162"/>
      <c r="E2" s="162"/>
      <c r="F2" s="162"/>
      <c r="G2" s="162"/>
      <c r="H2" s="162" t="s">
        <v>17</v>
      </c>
      <c r="I2" s="162"/>
      <c r="J2" s="162"/>
      <c r="K2" s="162"/>
      <c r="L2" s="162" t="s">
        <v>191</v>
      </c>
      <c r="M2" s="162"/>
      <c r="N2" s="162"/>
      <c r="O2" s="162"/>
      <c r="P2" s="162"/>
      <c r="Q2" s="162"/>
      <c r="R2" s="162" t="s">
        <v>2</v>
      </c>
      <c r="S2" s="162"/>
      <c r="T2" s="162"/>
      <c r="U2" s="162"/>
      <c r="V2" s="162"/>
      <c r="W2" s="162"/>
      <c r="X2" s="174" t="s">
        <v>3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32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62" t="s">
        <v>5</v>
      </c>
      <c r="AY2" s="162"/>
      <c r="AZ2" s="162"/>
      <c r="BA2" s="162"/>
      <c r="BB2" s="162" t="s">
        <v>4</v>
      </c>
      <c r="BC2" s="162"/>
      <c r="BD2" s="162"/>
      <c r="BE2" s="162"/>
      <c r="BF2" s="162" t="s">
        <v>6</v>
      </c>
      <c r="BG2" s="162"/>
      <c r="BH2" s="162"/>
      <c r="BI2" s="162"/>
      <c r="BJ2" s="162" t="s">
        <v>7</v>
      </c>
      <c r="BK2" s="162"/>
      <c r="BL2" s="162"/>
      <c r="BM2" s="163"/>
      <c r="BN2" s="15"/>
    </row>
    <row r="3" spans="1:66" ht="20.100000000000001" customHeight="1" x14ac:dyDescent="0.45">
      <c r="A3" s="9"/>
      <c r="B3" s="177" t="str">
        <f>変更履歴!B3</f>
        <v>受発注システム</v>
      </c>
      <c r="C3" s="165"/>
      <c r="D3" s="165"/>
      <c r="E3" s="165"/>
      <c r="F3" s="165"/>
      <c r="G3" s="165"/>
      <c r="H3" s="165" t="str">
        <f ca="1">変更履歴!H3</f>
        <v>SU0500</v>
      </c>
      <c r="I3" s="165"/>
      <c r="J3" s="165"/>
      <c r="K3" s="165"/>
      <c r="L3" s="165" t="str">
        <f>変更履歴!L3</f>
        <v>受発注</v>
      </c>
      <c r="M3" s="165"/>
      <c r="N3" s="165"/>
      <c r="O3" s="165"/>
      <c r="P3" s="165"/>
      <c r="Q3" s="165"/>
      <c r="R3" s="165" t="str">
        <f ca="1">変更履歴!R3</f>
        <v>帳票設計書</v>
      </c>
      <c r="S3" s="165"/>
      <c r="T3" s="165"/>
      <c r="U3" s="165"/>
      <c r="V3" s="165"/>
      <c r="W3" s="165"/>
      <c r="X3" s="168" t="str">
        <f ca="1">変更履歴!X3</f>
        <v>SU0500_請求明細一覧表_帳票設計書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70"/>
      <c r="AK3" s="168" t="str">
        <f ca="1">変更履歴!AK3</f>
        <v>請求明細一覧表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70"/>
      <c r="AX3" s="164">
        <f>変更履歴!AX3</f>
        <v>45581</v>
      </c>
      <c r="AY3" s="164"/>
      <c r="AZ3" s="164"/>
      <c r="BA3" s="164"/>
      <c r="BB3" s="165" t="str">
        <f>変更履歴!BB3</f>
        <v>大谷</v>
      </c>
      <c r="BC3" s="165"/>
      <c r="BD3" s="165"/>
      <c r="BE3" s="165"/>
      <c r="BF3" s="164">
        <f>変更履歴!BF3</f>
        <v>45581</v>
      </c>
      <c r="BG3" s="164"/>
      <c r="BH3" s="164"/>
      <c r="BI3" s="164"/>
      <c r="BJ3" s="165" t="str">
        <f>変更履歴!BJ3</f>
        <v>大谷</v>
      </c>
      <c r="BK3" s="165"/>
      <c r="BL3" s="165"/>
      <c r="BM3" s="167"/>
      <c r="BN3" s="15"/>
    </row>
    <row r="4" spans="1:66" ht="20.100000000000001" customHeight="1" thickBot="1" x14ac:dyDescent="0.5">
      <c r="A4" s="9"/>
      <c r="B4" s="170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1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3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3"/>
      <c r="AX4" s="180"/>
      <c r="AY4" s="180"/>
      <c r="AZ4" s="180"/>
      <c r="BA4" s="180"/>
      <c r="BB4" s="166"/>
      <c r="BC4" s="166"/>
      <c r="BD4" s="166"/>
      <c r="BE4" s="166"/>
      <c r="BF4" s="180"/>
      <c r="BG4" s="180"/>
      <c r="BH4" s="180"/>
      <c r="BI4" s="180"/>
      <c r="BJ4" s="166"/>
      <c r="BK4" s="166"/>
      <c r="BL4" s="166"/>
      <c r="BM4" s="168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79" t="s">
        <v>0</v>
      </c>
      <c r="C2" s="162"/>
      <c r="D2" s="162"/>
      <c r="E2" s="162"/>
      <c r="F2" s="162"/>
      <c r="G2" s="162"/>
      <c r="H2" s="162" t="s">
        <v>17</v>
      </c>
      <c r="I2" s="162"/>
      <c r="J2" s="162"/>
      <c r="K2" s="162"/>
      <c r="L2" s="162" t="s">
        <v>191</v>
      </c>
      <c r="M2" s="162"/>
      <c r="N2" s="162"/>
      <c r="O2" s="162"/>
      <c r="P2" s="162"/>
      <c r="Q2" s="162"/>
      <c r="R2" s="162" t="s">
        <v>2</v>
      </c>
      <c r="S2" s="162"/>
      <c r="T2" s="162"/>
      <c r="U2" s="162"/>
      <c r="V2" s="162"/>
      <c r="W2" s="162"/>
      <c r="X2" s="174" t="s">
        <v>3</v>
      </c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6"/>
      <c r="AK2" s="174" t="s">
        <v>32</v>
      </c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6"/>
      <c r="AX2" s="162" t="s">
        <v>5</v>
      </c>
      <c r="AY2" s="162"/>
      <c r="AZ2" s="162"/>
      <c r="BA2" s="162"/>
      <c r="BB2" s="162" t="s">
        <v>4</v>
      </c>
      <c r="BC2" s="162"/>
      <c r="BD2" s="162"/>
      <c r="BE2" s="162"/>
      <c r="BF2" s="162" t="s">
        <v>6</v>
      </c>
      <c r="BG2" s="162"/>
      <c r="BH2" s="162"/>
      <c r="BI2" s="162"/>
      <c r="BJ2" s="162" t="s">
        <v>7</v>
      </c>
      <c r="BK2" s="162"/>
      <c r="BL2" s="162"/>
      <c r="BM2" s="163"/>
      <c r="BN2" s="15"/>
    </row>
    <row r="3" spans="1:85" ht="20.100000000000001" customHeight="1" x14ac:dyDescent="0.45">
      <c r="A3" s="9"/>
      <c r="B3" s="177" t="str">
        <f>変更履歴!B3</f>
        <v>受発注システム</v>
      </c>
      <c r="C3" s="165"/>
      <c r="D3" s="165"/>
      <c r="E3" s="165"/>
      <c r="F3" s="165"/>
      <c r="G3" s="165"/>
      <c r="H3" s="165" t="str">
        <f ca="1">変更履歴!H3</f>
        <v>SU0500</v>
      </c>
      <c r="I3" s="165"/>
      <c r="J3" s="165"/>
      <c r="K3" s="165"/>
      <c r="L3" s="165" t="str">
        <f>変更履歴!L3</f>
        <v>受発注</v>
      </c>
      <c r="M3" s="165"/>
      <c r="N3" s="165"/>
      <c r="O3" s="165"/>
      <c r="P3" s="165"/>
      <c r="Q3" s="165"/>
      <c r="R3" s="165" t="str">
        <f ca="1">変更履歴!R3</f>
        <v>帳票設計書</v>
      </c>
      <c r="S3" s="165"/>
      <c r="T3" s="165"/>
      <c r="U3" s="165"/>
      <c r="V3" s="165"/>
      <c r="W3" s="165"/>
      <c r="X3" s="168" t="str">
        <f ca="1">変更履歴!X3</f>
        <v>SU0500_請求明細一覧表_帳票設計書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70"/>
      <c r="AK3" s="168" t="str">
        <f ca="1">変更履歴!AK3</f>
        <v>請求明細一覧表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70"/>
      <c r="AX3" s="164">
        <f>変更履歴!AX3</f>
        <v>45581</v>
      </c>
      <c r="AY3" s="164"/>
      <c r="AZ3" s="164"/>
      <c r="BA3" s="164"/>
      <c r="BB3" s="165" t="str">
        <f>変更履歴!BB3</f>
        <v>大谷</v>
      </c>
      <c r="BC3" s="165"/>
      <c r="BD3" s="165"/>
      <c r="BE3" s="165"/>
      <c r="BF3" s="164">
        <f>変更履歴!BF3</f>
        <v>45581</v>
      </c>
      <c r="BG3" s="164"/>
      <c r="BH3" s="164"/>
      <c r="BI3" s="164"/>
      <c r="BJ3" s="165" t="str">
        <f>変更履歴!BJ3</f>
        <v>大谷</v>
      </c>
      <c r="BK3" s="165"/>
      <c r="BL3" s="165"/>
      <c r="BM3" s="167"/>
      <c r="BN3" s="15"/>
    </row>
    <row r="4" spans="1:85" ht="20.100000000000001" customHeight="1" thickBot="1" x14ac:dyDescent="0.5">
      <c r="A4" s="9"/>
      <c r="B4" s="170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1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3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3"/>
      <c r="AX4" s="180"/>
      <c r="AY4" s="180"/>
      <c r="AZ4" s="180"/>
      <c r="BA4" s="180"/>
      <c r="BB4" s="166"/>
      <c r="BC4" s="166"/>
      <c r="BD4" s="166"/>
      <c r="BE4" s="166"/>
      <c r="BF4" s="180"/>
      <c r="BG4" s="180"/>
      <c r="BH4" s="180"/>
      <c r="BI4" s="180"/>
      <c r="BJ4" s="166"/>
      <c r="BK4" s="166"/>
      <c r="BL4" s="166"/>
      <c r="BM4" s="168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99" t="s">
        <v>20</v>
      </c>
      <c r="F10" s="200"/>
      <c r="G10" s="200"/>
      <c r="H10" s="200"/>
      <c r="I10" s="200"/>
      <c r="J10" s="200"/>
      <c r="K10" s="200"/>
      <c r="L10" s="201"/>
      <c r="M10" s="193" t="s">
        <v>24</v>
      </c>
      <c r="N10" s="194"/>
      <c r="O10" s="194"/>
      <c r="P10" s="193" t="s">
        <v>33</v>
      </c>
      <c r="Q10" s="194"/>
      <c r="R10" s="194"/>
      <c r="S10" s="193" t="s">
        <v>34</v>
      </c>
      <c r="T10" s="194"/>
      <c r="U10" s="194"/>
      <c r="V10" s="193" t="s">
        <v>36</v>
      </c>
      <c r="W10" s="194"/>
      <c r="X10" s="194"/>
      <c r="Y10" s="194"/>
      <c r="Z10" s="194"/>
      <c r="AA10" s="206"/>
      <c r="AB10" s="193" t="s">
        <v>35</v>
      </c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206"/>
      <c r="AR10" s="193" t="s">
        <v>42</v>
      </c>
      <c r="AS10" s="194"/>
      <c r="AT10" s="194"/>
      <c r="AU10" s="194"/>
      <c r="AV10" s="194"/>
      <c r="AW10" s="206"/>
      <c r="AX10" s="193" t="s">
        <v>43</v>
      </c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/>
      <c r="BM10" s="194"/>
      <c r="BN10" s="194"/>
      <c r="BO10" s="194"/>
      <c r="BP10" s="194"/>
      <c r="BQ10" s="194"/>
      <c r="BR10" s="194"/>
      <c r="BS10" s="194"/>
      <c r="BT10" s="195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18.600000000000001" customHeight="1" x14ac:dyDescent="0.45">
      <c r="A11" s="30"/>
      <c r="B11" s="44"/>
      <c r="C11" s="32"/>
      <c r="D11" s="37">
        <v>1</v>
      </c>
      <c r="E11" s="187" t="s">
        <v>98</v>
      </c>
      <c r="F11" s="188"/>
      <c r="G11" s="188"/>
      <c r="H11" s="188"/>
      <c r="I11" s="188"/>
      <c r="J11" s="188"/>
      <c r="K11" s="188"/>
      <c r="L11" s="189"/>
      <c r="M11" s="157" t="s">
        <v>38</v>
      </c>
      <c r="N11" s="158"/>
      <c r="O11" s="158"/>
      <c r="P11" s="157" t="s">
        <v>99</v>
      </c>
      <c r="Q11" s="158"/>
      <c r="R11" s="158"/>
      <c r="S11" s="157" t="s">
        <v>100</v>
      </c>
      <c r="T11" s="158"/>
      <c r="U11" s="158"/>
      <c r="V11" s="196" t="s">
        <v>175</v>
      </c>
      <c r="W11" s="197"/>
      <c r="X11" s="197"/>
      <c r="Y11" s="197"/>
      <c r="Z11" s="197"/>
      <c r="AA11" s="202"/>
      <c r="AB11" s="190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2"/>
      <c r="AR11" s="157" t="s">
        <v>98</v>
      </c>
      <c r="AS11" s="158"/>
      <c r="AT11" s="158"/>
      <c r="AU11" s="158"/>
      <c r="AV11" s="158"/>
      <c r="AW11" s="159"/>
      <c r="AX11" s="196" t="s">
        <v>176</v>
      </c>
      <c r="AY11" s="197"/>
      <c r="AZ11" s="197"/>
      <c r="BA11" s="197"/>
      <c r="BB11" s="197"/>
      <c r="BC11" s="197"/>
      <c r="BD11" s="197"/>
      <c r="BE11" s="197"/>
      <c r="BF11" s="197"/>
      <c r="BG11" s="197"/>
      <c r="BH11" s="197"/>
      <c r="BI11" s="197"/>
      <c r="BJ11" s="197"/>
      <c r="BK11" s="197"/>
      <c r="BL11" s="197"/>
      <c r="BM11" s="197"/>
      <c r="BN11" s="197"/>
      <c r="BO11" s="197"/>
      <c r="BP11" s="197"/>
      <c r="BQ11" s="197"/>
      <c r="BR11" s="197"/>
      <c r="BS11" s="197"/>
      <c r="BT11" s="198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18.600000000000001" customHeight="1" x14ac:dyDescent="0.45">
      <c r="A12" s="30"/>
      <c r="B12" s="44"/>
      <c r="C12" s="32"/>
      <c r="D12" s="37">
        <v>2</v>
      </c>
      <c r="E12" s="187" t="s">
        <v>66</v>
      </c>
      <c r="F12" s="188"/>
      <c r="G12" s="188"/>
      <c r="H12" s="188"/>
      <c r="I12" s="188"/>
      <c r="J12" s="188"/>
      <c r="K12" s="188"/>
      <c r="L12" s="189"/>
      <c r="M12" s="157" t="s">
        <v>8</v>
      </c>
      <c r="N12" s="158"/>
      <c r="O12" s="158"/>
      <c r="P12" s="157" t="s">
        <v>78</v>
      </c>
      <c r="Q12" s="158"/>
      <c r="R12" s="158"/>
      <c r="S12" s="157">
        <v>16</v>
      </c>
      <c r="T12" s="158"/>
      <c r="U12" s="158"/>
      <c r="V12" s="196" t="s">
        <v>82</v>
      </c>
      <c r="W12" s="197"/>
      <c r="X12" s="197"/>
      <c r="Y12" s="197"/>
      <c r="Z12" s="197"/>
      <c r="AA12" s="202"/>
      <c r="AB12" s="190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2"/>
      <c r="AR12" s="157" t="s">
        <v>101</v>
      </c>
      <c r="AS12" s="158"/>
      <c r="AT12" s="158"/>
      <c r="AU12" s="158"/>
      <c r="AV12" s="158"/>
      <c r="AW12" s="159"/>
      <c r="AX12" s="196"/>
      <c r="AY12" s="197"/>
      <c r="AZ12" s="197"/>
      <c r="BA12" s="197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197"/>
      <c r="BO12" s="197"/>
      <c r="BP12" s="197"/>
      <c r="BQ12" s="197"/>
      <c r="BR12" s="197"/>
      <c r="BS12" s="197"/>
      <c r="BT12" s="198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2"/>
      <c r="D13" s="37">
        <v>3</v>
      </c>
      <c r="E13" s="187" t="s">
        <v>65</v>
      </c>
      <c r="F13" s="188"/>
      <c r="G13" s="188"/>
      <c r="H13" s="188"/>
      <c r="I13" s="188"/>
      <c r="J13" s="188"/>
      <c r="K13" s="188"/>
      <c r="L13" s="189"/>
      <c r="M13" s="157" t="s">
        <v>8</v>
      </c>
      <c r="N13" s="158"/>
      <c r="O13" s="158"/>
      <c r="P13" s="157" t="s">
        <v>78</v>
      </c>
      <c r="Q13" s="158"/>
      <c r="R13" s="158"/>
      <c r="S13" s="157">
        <v>8</v>
      </c>
      <c r="T13" s="158"/>
      <c r="U13" s="158"/>
      <c r="V13" s="196" t="s">
        <v>81</v>
      </c>
      <c r="W13" s="197"/>
      <c r="X13" s="197"/>
      <c r="Y13" s="197"/>
      <c r="Z13" s="197"/>
      <c r="AA13" s="202"/>
      <c r="AB13" s="190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2"/>
      <c r="AR13" s="157" t="s">
        <v>103</v>
      </c>
      <c r="AS13" s="158"/>
      <c r="AT13" s="158"/>
      <c r="AU13" s="158"/>
      <c r="AV13" s="158"/>
      <c r="AW13" s="159"/>
      <c r="AX13" s="196"/>
      <c r="AY13" s="197"/>
      <c r="AZ13" s="197"/>
      <c r="BA13" s="197"/>
      <c r="BB13" s="197"/>
      <c r="BC13" s="197"/>
      <c r="BD13" s="197"/>
      <c r="BE13" s="197"/>
      <c r="BF13" s="197"/>
      <c r="BG13" s="197"/>
      <c r="BH13" s="197"/>
      <c r="BI13" s="197"/>
      <c r="BJ13" s="197"/>
      <c r="BK13" s="197"/>
      <c r="BL13" s="197"/>
      <c r="BM13" s="197"/>
      <c r="BN13" s="197"/>
      <c r="BO13" s="197"/>
      <c r="BP13" s="197"/>
      <c r="BQ13" s="197"/>
      <c r="BR13" s="197"/>
      <c r="BS13" s="197"/>
      <c r="BT13" s="198"/>
      <c r="BU13" s="41"/>
      <c r="BV13" s="40"/>
      <c r="BW13" s="41"/>
      <c r="BX13" s="41"/>
      <c r="BY13" s="41"/>
      <c r="BZ13" s="41"/>
      <c r="CA13" s="41"/>
      <c r="CB13" s="30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87" t="s">
        <v>67</v>
      </c>
      <c r="F14" s="188"/>
      <c r="G14" s="188"/>
      <c r="H14" s="188"/>
      <c r="I14" s="188"/>
      <c r="J14" s="188"/>
      <c r="K14" s="188"/>
      <c r="L14" s="189"/>
      <c r="M14" s="157" t="s">
        <v>47</v>
      </c>
      <c r="N14" s="158"/>
      <c r="O14" s="158"/>
      <c r="P14" s="157" t="s">
        <v>78</v>
      </c>
      <c r="Q14" s="158"/>
      <c r="R14" s="158"/>
      <c r="S14" s="157" t="s">
        <v>80</v>
      </c>
      <c r="T14" s="158"/>
      <c r="U14" s="158"/>
      <c r="V14" s="207" t="s">
        <v>83</v>
      </c>
      <c r="W14" s="208"/>
      <c r="X14" s="208"/>
      <c r="Y14" s="208"/>
      <c r="Z14" s="208"/>
      <c r="AA14" s="209"/>
      <c r="AB14" s="214" t="s">
        <v>97</v>
      </c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6"/>
      <c r="AR14" s="217">
        <v>999999</v>
      </c>
      <c r="AS14" s="158"/>
      <c r="AT14" s="158"/>
      <c r="AU14" s="158"/>
      <c r="AV14" s="158"/>
      <c r="AW14" s="159"/>
      <c r="AX14" s="196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7"/>
      <c r="BO14" s="197"/>
      <c r="BP14" s="197"/>
      <c r="BQ14" s="197"/>
      <c r="BR14" s="197"/>
      <c r="BS14" s="197"/>
      <c r="BT14" s="198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87" t="s">
        <v>68</v>
      </c>
      <c r="F15" s="188"/>
      <c r="G15" s="188"/>
      <c r="H15" s="188"/>
      <c r="I15" s="188"/>
      <c r="J15" s="188"/>
      <c r="K15" s="188"/>
      <c r="L15" s="189"/>
      <c r="M15" s="157" t="s">
        <v>47</v>
      </c>
      <c r="N15" s="158"/>
      <c r="O15" s="158"/>
      <c r="P15" s="157" t="s">
        <v>78</v>
      </c>
      <c r="Q15" s="158"/>
      <c r="R15" s="158"/>
      <c r="S15" s="157" t="s">
        <v>80</v>
      </c>
      <c r="T15" s="158"/>
      <c r="U15" s="158"/>
      <c r="V15" s="207" t="s">
        <v>84</v>
      </c>
      <c r="W15" s="208"/>
      <c r="X15" s="208"/>
      <c r="Y15" s="208"/>
      <c r="Z15" s="208"/>
      <c r="AA15" s="209"/>
      <c r="AB15" s="214" t="s">
        <v>87</v>
      </c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6"/>
      <c r="AR15" s="217">
        <v>999999</v>
      </c>
      <c r="AS15" s="158"/>
      <c r="AT15" s="158"/>
      <c r="AU15" s="158"/>
      <c r="AV15" s="158"/>
      <c r="AW15" s="159"/>
      <c r="AX15" s="196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8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6"/>
      <c r="D16" s="37">
        <v>6</v>
      </c>
      <c r="E16" s="187" t="s">
        <v>69</v>
      </c>
      <c r="F16" s="188"/>
      <c r="G16" s="188"/>
      <c r="H16" s="188"/>
      <c r="I16" s="188"/>
      <c r="J16" s="188"/>
      <c r="K16" s="188"/>
      <c r="L16" s="189"/>
      <c r="M16" s="157" t="s">
        <v>47</v>
      </c>
      <c r="N16" s="158"/>
      <c r="O16" s="158"/>
      <c r="P16" s="157" t="s">
        <v>78</v>
      </c>
      <c r="Q16" s="158"/>
      <c r="R16" s="158"/>
      <c r="S16" s="157" t="s">
        <v>80</v>
      </c>
      <c r="T16" s="158"/>
      <c r="U16" s="158"/>
      <c r="V16" s="207" t="s">
        <v>85</v>
      </c>
      <c r="W16" s="208"/>
      <c r="X16" s="208"/>
      <c r="Y16" s="208"/>
      <c r="Z16" s="208"/>
      <c r="AA16" s="209"/>
      <c r="AB16" s="214" t="s">
        <v>88</v>
      </c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6"/>
      <c r="AR16" s="217">
        <v>999999</v>
      </c>
      <c r="AS16" s="158"/>
      <c r="AT16" s="158"/>
      <c r="AU16" s="158"/>
      <c r="AV16" s="158"/>
      <c r="AW16" s="159"/>
      <c r="AX16" s="196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7"/>
      <c r="BS16" s="197"/>
      <c r="BT16" s="198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 s="30"/>
      <c r="D17" s="37">
        <v>7</v>
      </c>
      <c r="E17" s="187" t="s">
        <v>70</v>
      </c>
      <c r="F17" s="188"/>
      <c r="G17" s="188"/>
      <c r="H17" s="188"/>
      <c r="I17" s="188"/>
      <c r="J17" s="188"/>
      <c r="K17" s="188"/>
      <c r="L17" s="189"/>
      <c r="M17" s="157" t="s">
        <v>47</v>
      </c>
      <c r="N17" s="158"/>
      <c r="O17" s="158"/>
      <c r="P17" s="157" t="s">
        <v>78</v>
      </c>
      <c r="Q17" s="158"/>
      <c r="R17" s="158"/>
      <c r="S17" s="157" t="s">
        <v>80</v>
      </c>
      <c r="T17" s="158"/>
      <c r="U17" s="158"/>
      <c r="V17" s="207" t="s">
        <v>86</v>
      </c>
      <c r="W17" s="208"/>
      <c r="X17" s="208"/>
      <c r="Y17" s="208"/>
      <c r="Z17" s="208"/>
      <c r="AA17" s="209"/>
      <c r="AB17" s="214" t="s">
        <v>89</v>
      </c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6"/>
      <c r="AR17" s="217">
        <v>999999</v>
      </c>
      <c r="AS17" s="158"/>
      <c r="AT17" s="158"/>
      <c r="AU17" s="158"/>
      <c r="AV17" s="158"/>
      <c r="AW17" s="159"/>
      <c r="AX17" s="196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7"/>
      <c r="BK17" s="197"/>
      <c r="BL17" s="197"/>
      <c r="BM17" s="197"/>
      <c r="BN17" s="197"/>
      <c r="BO17" s="197"/>
      <c r="BP17" s="197"/>
      <c r="BQ17" s="197"/>
      <c r="BR17" s="197"/>
      <c r="BS17" s="197"/>
      <c r="BT17" s="198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30"/>
      <c r="B18" s="44"/>
      <c r="C18"/>
      <c r="D18" s="37">
        <v>8</v>
      </c>
      <c r="E18" s="187" t="s">
        <v>71</v>
      </c>
      <c r="F18" s="188"/>
      <c r="G18" s="188"/>
      <c r="H18" s="188"/>
      <c r="I18" s="188"/>
      <c r="J18" s="188"/>
      <c r="K18" s="188"/>
      <c r="L18" s="189"/>
      <c r="M18" s="157" t="s">
        <v>8</v>
      </c>
      <c r="N18" s="158"/>
      <c r="O18" s="158"/>
      <c r="P18" s="157" t="s">
        <v>78</v>
      </c>
      <c r="Q18" s="158"/>
      <c r="R18" s="158"/>
      <c r="S18" s="157" t="s">
        <v>80</v>
      </c>
      <c r="T18" s="158"/>
      <c r="U18" s="158"/>
      <c r="V18" s="196" t="s">
        <v>165</v>
      </c>
      <c r="W18" s="197"/>
      <c r="X18" s="197"/>
      <c r="Y18" s="197"/>
      <c r="Z18" s="197"/>
      <c r="AA18" s="202"/>
      <c r="AB18" s="190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2"/>
      <c r="AR18" s="157"/>
      <c r="AS18" s="158"/>
      <c r="AT18" s="158"/>
      <c r="AU18" s="158"/>
      <c r="AV18" s="158"/>
      <c r="AW18" s="159"/>
      <c r="AX18" s="196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7"/>
      <c r="BK18" s="197"/>
      <c r="BL18" s="197"/>
      <c r="BM18" s="197"/>
      <c r="BN18" s="197"/>
      <c r="BO18" s="197"/>
      <c r="BP18" s="197"/>
      <c r="BQ18" s="197"/>
      <c r="BR18" s="197"/>
      <c r="BS18" s="197"/>
      <c r="BT18" s="198"/>
      <c r="BU18" s="41"/>
      <c r="BV18" s="40"/>
      <c r="BW18" s="41"/>
      <c r="BX18" s="41"/>
      <c r="BY18" s="41"/>
      <c r="BZ18" s="41"/>
      <c r="CA18" s="41"/>
      <c r="CB18" s="41"/>
      <c r="CC18" s="30"/>
      <c r="CD18" s="30"/>
      <c r="CE18" s="30"/>
      <c r="CF18" s="30"/>
      <c r="CG18" s="30"/>
    </row>
    <row r="19" spans="1:85" s="5" customFormat="1" ht="20.100000000000001" customHeight="1" x14ac:dyDescent="0.45">
      <c r="A19" s="29"/>
      <c r="B19" s="35"/>
      <c r="C19"/>
      <c r="D19" s="37">
        <v>9</v>
      </c>
      <c r="E19" s="187" t="s">
        <v>72</v>
      </c>
      <c r="F19" s="188"/>
      <c r="G19" s="188"/>
      <c r="H19" s="188"/>
      <c r="I19" s="188"/>
      <c r="J19" s="188"/>
      <c r="K19" s="188"/>
      <c r="L19" s="189"/>
      <c r="M19" s="157" t="s">
        <v>47</v>
      </c>
      <c r="N19" s="158"/>
      <c r="O19" s="158"/>
      <c r="P19" s="157" t="s">
        <v>78</v>
      </c>
      <c r="Q19" s="158"/>
      <c r="R19" s="158"/>
      <c r="S19" s="157" t="s">
        <v>80</v>
      </c>
      <c r="T19" s="158"/>
      <c r="U19" s="158"/>
      <c r="V19" s="196" t="s">
        <v>166</v>
      </c>
      <c r="W19" s="197"/>
      <c r="X19" s="197"/>
      <c r="Y19" s="197"/>
      <c r="Z19" s="197"/>
      <c r="AA19" s="202"/>
      <c r="AB19" s="190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2"/>
      <c r="AR19" s="157"/>
      <c r="AS19" s="158"/>
      <c r="AT19" s="158"/>
      <c r="AU19" s="158"/>
      <c r="AV19" s="158"/>
      <c r="AW19" s="159"/>
      <c r="AX19" s="196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197"/>
      <c r="BO19" s="197"/>
      <c r="BP19" s="197"/>
      <c r="BQ19" s="197"/>
      <c r="BR19" s="197"/>
      <c r="BS19" s="197"/>
      <c r="BT19" s="198"/>
      <c r="BU19" s="29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31"/>
      <c r="CG19" s="31"/>
    </row>
    <row r="20" spans="1:85" s="5" customFormat="1" ht="20.100000000000001" customHeight="1" x14ac:dyDescent="0.45">
      <c r="A20" s="29"/>
      <c r="B20" s="35"/>
      <c r="C20"/>
      <c r="D20" s="37">
        <v>10</v>
      </c>
      <c r="E20" s="187" t="s">
        <v>73</v>
      </c>
      <c r="F20" s="188"/>
      <c r="G20" s="188"/>
      <c r="H20" s="188"/>
      <c r="I20" s="188"/>
      <c r="J20" s="188"/>
      <c r="K20" s="188"/>
      <c r="L20" s="189"/>
      <c r="M20" s="157" t="s">
        <v>38</v>
      </c>
      <c r="N20" s="158"/>
      <c r="O20" s="158"/>
      <c r="P20" s="157" t="s">
        <v>79</v>
      </c>
      <c r="Q20" s="158"/>
      <c r="R20" s="158"/>
      <c r="S20" s="157" t="s">
        <v>80</v>
      </c>
      <c r="T20" s="158"/>
      <c r="U20" s="158"/>
      <c r="V20" s="196" t="s">
        <v>167</v>
      </c>
      <c r="W20" s="197"/>
      <c r="X20" s="197"/>
      <c r="Y20" s="197"/>
      <c r="Z20" s="197"/>
      <c r="AA20" s="202"/>
      <c r="AB20" s="190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2"/>
      <c r="AR20" s="157"/>
      <c r="AS20" s="158"/>
      <c r="AT20" s="158"/>
      <c r="AU20" s="158"/>
      <c r="AV20" s="158"/>
      <c r="AW20" s="159"/>
      <c r="AX20" s="196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8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87" t="s">
        <v>74</v>
      </c>
      <c r="F21" s="188"/>
      <c r="G21" s="188"/>
      <c r="H21" s="188"/>
      <c r="I21" s="188"/>
      <c r="J21" s="188"/>
      <c r="K21" s="188"/>
      <c r="L21" s="189"/>
      <c r="M21" s="157" t="s">
        <v>47</v>
      </c>
      <c r="N21" s="158"/>
      <c r="O21" s="158"/>
      <c r="P21" s="157" t="s">
        <v>78</v>
      </c>
      <c r="Q21" s="158"/>
      <c r="R21" s="158"/>
      <c r="S21" s="157" t="s">
        <v>80</v>
      </c>
      <c r="T21" s="158"/>
      <c r="U21" s="158"/>
      <c r="V21" s="196" t="s">
        <v>168</v>
      </c>
      <c r="W21" s="197"/>
      <c r="X21" s="197"/>
      <c r="Y21" s="197"/>
      <c r="Z21" s="197"/>
      <c r="AA21" s="202"/>
      <c r="AB21" s="190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2"/>
      <c r="AR21" s="217">
        <v>999999</v>
      </c>
      <c r="AS21" s="158"/>
      <c r="AT21" s="158"/>
      <c r="AU21" s="158"/>
      <c r="AV21" s="158"/>
      <c r="AW21" s="159"/>
      <c r="AX21" s="196"/>
      <c r="AY21" s="197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8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87" t="s">
        <v>75</v>
      </c>
      <c r="F22" s="188"/>
      <c r="G22" s="188"/>
      <c r="H22" s="188"/>
      <c r="I22" s="188"/>
      <c r="J22" s="188"/>
      <c r="K22" s="188"/>
      <c r="L22" s="189"/>
      <c r="M22" s="157" t="s">
        <v>47</v>
      </c>
      <c r="N22" s="158"/>
      <c r="O22" s="158"/>
      <c r="P22" s="157" t="s">
        <v>78</v>
      </c>
      <c r="Q22" s="158"/>
      <c r="R22" s="158"/>
      <c r="S22" s="157" t="s">
        <v>80</v>
      </c>
      <c r="T22" s="158"/>
      <c r="U22" s="158"/>
      <c r="V22" s="196" t="s">
        <v>169</v>
      </c>
      <c r="W22" s="197"/>
      <c r="X22" s="197"/>
      <c r="Y22" s="197"/>
      <c r="Z22" s="197"/>
      <c r="AA22" s="202"/>
      <c r="AB22" s="190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2"/>
      <c r="AR22" s="217">
        <v>999999</v>
      </c>
      <c r="AS22" s="158"/>
      <c r="AT22" s="158"/>
      <c r="AU22" s="158"/>
      <c r="AV22" s="158"/>
      <c r="AW22" s="159"/>
      <c r="AX22" s="196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7"/>
      <c r="BR22" s="197"/>
      <c r="BS22" s="197"/>
      <c r="BT22" s="198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87" t="s">
        <v>76</v>
      </c>
      <c r="F23" s="188"/>
      <c r="G23" s="188"/>
      <c r="H23" s="188"/>
      <c r="I23" s="188"/>
      <c r="J23" s="188"/>
      <c r="K23" s="188"/>
      <c r="L23" s="189"/>
      <c r="M23" s="157" t="s">
        <v>47</v>
      </c>
      <c r="N23" s="158"/>
      <c r="O23" s="158"/>
      <c r="P23" s="157" t="s">
        <v>78</v>
      </c>
      <c r="Q23" s="158"/>
      <c r="R23" s="158"/>
      <c r="S23" s="157" t="s">
        <v>80</v>
      </c>
      <c r="T23" s="158"/>
      <c r="U23" s="158"/>
      <c r="V23" s="196" t="s">
        <v>185</v>
      </c>
      <c r="W23" s="197"/>
      <c r="X23" s="197"/>
      <c r="Y23" s="197"/>
      <c r="Z23" s="197"/>
      <c r="AA23" s="202"/>
      <c r="AB23" s="190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2"/>
      <c r="AR23" s="217">
        <v>999999</v>
      </c>
      <c r="AS23" s="158"/>
      <c r="AT23" s="158"/>
      <c r="AU23" s="158"/>
      <c r="AV23" s="158"/>
      <c r="AW23" s="159"/>
      <c r="AX23" s="196" t="s">
        <v>90</v>
      </c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7"/>
      <c r="BR23" s="197"/>
      <c r="BS23" s="197"/>
      <c r="BT23" s="198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87" t="s">
        <v>77</v>
      </c>
      <c r="F24" s="188"/>
      <c r="G24" s="188"/>
      <c r="H24" s="188"/>
      <c r="I24" s="188"/>
      <c r="J24" s="188"/>
      <c r="K24" s="188"/>
      <c r="L24" s="189"/>
      <c r="M24" s="157" t="s">
        <v>47</v>
      </c>
      <c r="N24" s="158"/>
      <c r="O24" s="158"/>
      <c r="P24" s="157" t="s">
        <v>78</v>
      </c>
      <c r="Q24" s="158"/>
      <c r="R24" s="158"/>
      <c r="S24" s="157" t="s">
        <v>80</v>
      </c>
      <c r="T24" s="158"/>
      <c r="U24" s="158"/>
      <c r="V24" s="196" t="s">
        <v>91</v>
      </c>
      <c r="W24" s="197"/>
      <c r="X24" s="197"/>
      <c r="Y24" s="197"/>
      <c r="Z24" s="197"/>
      <c r="AA24" s="202"/>
      <c r="AB24" s="190" t="s">
        <v>92</v>
      </c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2"/>
      <c r="AR24" s="217">
        <v>999999</v>
      </c>
      <c r="AS24" s="158"/>
      <c r="AT24" s="158"/>
      <c r="AU24" s="158"/>
      <c r="AV24" s="158"/>
      <c r="AW24" s="159"/>
      <c r="AX24" s="196"/>
      <c r="AY24" s="197"/>
      <c r="AZ24" s="197"/>
      <c r="BA24" s="197"/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8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87" t="s">
        <v>93</v>
      </c>
      <c r="F25" s="188"/>
      <c r="G25" s="188"/>
      <c r="H25" s="188"/>
      <c r="I25" s="188"/>
      <c r="J25" s="188"/>
      <c r="K25" s="188"/>
      <c r="L25" s="189"/>
      <c r="M25" s="157" t="s">
        <v>47</v>
      </c>
      <c r="N25" s="158"/>
      <c r="O25" s="158"/>
      <c r="P25" s="157" t="s">
        <v>78</v>
      </c>
      <c r="Q25" s="158"/>
      <c r="R25" s="158"/>
      <c r="S25" s="157" t="s">
        <v>80</v>
      </c>
      <c r="T25" s="158"/>
      <c r="U25" s="158"/>
      <c r="V25" s="196" t="s">
        <v>170</v>
      </c>
      <c r="W25" s="197"/>
      <c r="X25" s="197"/>
      <c r="Y25" s="197"/>
      <c r="Z25" s="197"/>
      <c r="AA25" s="202"/>
      <c r="AB25" s="190" t="s">
        <v>171</v>
      </c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2"/>
      <c r="AR25" s="157"/>
      <c r="AS25" s="158"/>
      <c r="AT25" s="158"/>
      <c r="AU25" s="158"/>
      <c r="AV25" s="158"/>
      <c r="AW25" s="159"/>
      <c r="AX25" s="196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197"/>
      <c r="BO25" s="197"/>
      <c r="BP25" s="197"/>
      <c r="BQ25" s="197"/>
      <c r="BR25" s="197"/>
      <c r="BS25" s="197"/>
      <c r="BT25" s="198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87" t="s">
        <v>43</v>
      </c>
      <c r="F26" s="188"/>
      <c r="G26" s="188"/>
      <c r="H26" s="188"/>
      <c r="I26" s="188"/>
      <c r="J26" s="188"/>
      <c r="K26" s="188"/>
      <c r="L26" s="189"/>
      <c r="M26" s="157" t="s">
        <v>38</v>
      </c>
      <c r="N26" s="158"/>
      <c r="O26" s="158"/>
      <c r="P26" s="157" t="s">
        <v>79</v>
      </c>
      <c r="Q26" s="158"/>
      <c r="R26" s="158"/>
      <c r="S26" s="157" t="s">
        <v>80</v>
      </c>
      <c r="T26" s="158"/>
      <c r="U26" s="158"/>
      <c r="V26" s="196" t="s">
        <v>172</v>
      </c>
      <c r="W26" s="197"/>
      <c r="X26" s="197"/>
      <c r="Y26" s="197"/>
      <c r="Z26" s="197"/>
      <c r="AA26" s="202"/>
      <c r="AB26" s="190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2"/>
      <c r="AR26" s="157"/>
      <c r="AS26" s="158"/>
      <c r="AT26" s="158"/>
      <c r="AU26" s="158"/>
      <c r="AV26" s="158"/>
      <c r="AW26" s="159"/>
      <c r="AX26" s="196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8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s="5" customFormat="1" ht="20.100000000000001" customHeight="1" x14ac:dyDescent="0.45">
      <c r="A27" s="29"/>
      <c r="B27" s="35"/>
      <c r="C27"/>
      <c r="D27" s="37">
        <v>17</v>
      </c>
      <c r="E27" s="187"/>
      <c r="F27" s="188"/>
      <c r="G27" s="188"/>
      <c r="H27" s="188"/>
      <c r="I27" s="188"/>
      <c r="J27" s="188"/>
      <c r="K27" s="188"/>
      <c r="L27" s="189"/>
      <c r="M27" s="157"/>
      <c r="N27" s="158"/>
      <c r="O27" s="158"/>
      <c r="P27" s="157"/>
      <c r="Q27" s="158"/>
      <c r="R27" s="158"/>
      <c r="S27" s="157"/>
      <c r="T27" s="158"/>
      <c r="U27" s="158"/>
      <c r="V27" s="196"/>
      <c r="W27" s="197"/>
      <c r="X27" s="197"/>
      <c r="Y27" s="197"/>
      <c r="Z27" s="197"/>
      <c r="AA27" s="202"/>
      <c r="AB27" s="190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2"/>
      <c r="AR27" s="157"/>
      <c r="AS27" s="158"/>
      <c r="AT27" s="158"/>
      <c r="AU27" s="158"/>
      <c r="AV27" s="158"/>
      <c r="AW27" s="159"/>
      <c r="AX27" s="196"/>
      <c r="AY27" s="19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7"/>
      <c r="BK27" s="197"/>
      <c r="BL27" s="197"/>
      <c r="BM27" s="197"/>
      <c r="BN27" s="197"/>
      <c r="BO27" s="197"/>
      <c r="BP27" s="197"/>
      <c r="BQ27" s="197"/>
      <c r="BR27" s="197"/>
      <c r="BS27" s="197"/>
      <c r="BT27" s="198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20.100000000000001" customHeight="1" x14ac:dyDescent="0.45">
      <c r="A28" s="29"/>
      <c r="B28" s="44"/>
      <c r="C28"/>
      <c r="D28" s="37">
        <v>18</v>
      </c>
      <c r="E28" s="187"/>
      <c r="F28" s="188"/>
      <c r="G28" s="188"/>
      <c r="H28" s="188"/>
      <c r="I28" s="188"/>
      <c r="J28" s="188"/>
      <c r="K28" s="188"/>
      <c r="L28" s="189"/>
      <c r="M28" s="157"/>
      <c r="N28" s="158"/>
      <c r="O28" s="158"/>
      <c r="P28" s="157"/>
      <c r="Q28" s="158"/>
      <c r="R28" s="158"/>
      <c r="S28" s="157"/>
      <c r="T28" s="158"/>
      <c r="U28" s="158"/>
      <c r="V28" s="196"/>
      <c r="W28" s="197"/>
      <c r="X28" s="197"/>
      <c r="Y28" s="197"/>
      <c r="Z28" s="197"/>
      <c r="AA28" s="202"/>
      <c r="AB28" s="190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2"/>
      <c r="AR28" s="157"/>
      <c r="AS28" s="158"/>
      <c r="AT28" s="158"/>
      <c r="AU28" s="158"/>
      <c r="AV28" s="158"/>
      <c r="AW28" s="159"/>
      <c r="AX28" s="196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7"/>
      <c r="BK28" s="197"/>
      <c r="BL28" s="197"/>
      <c r="BM28" s="197"/>
      <c r="BN28" s="197"/>
      <c r="BO28" s="197"/>
      <c r="BP28" s="197"/>
      <c r="BQ28" s="197"/>
      <c r="BR28" s="197"/>
      <c r="BS28" s="197"/>
      <c r="BT28" s="198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87"/>
      <c r="F29" s="188"/>
      <c r="G29" s="188"/>
      <c r="H29" s="188"/>
      <c r="I29" s="188"/>
      <c r="J29" s="188"/>
      <c r="K29" s="188"/>
      <c r="L29" s="189"/>
      <c r="M29" s="157"/>
      <c r="N29" s="158"/>
      <c r="O29" s="158"/>
      <c r="P29" s="157"/>
      <c r="Q29" s="158"/>
      <c r="R29" s="158"/>
      <c r="S29" s="157"/>
      <c r="T29" s="158"/>
      <c r="U29" s="158"/>
      <c r="V29" s="196"/>
      <c r="W29" s="197"/>
      <c r="X29" s="197"/>
      <c r="Y29" s="197"/>
      <c r="Z29" s="197"/>
      <c r="AA29" s="202"/>
      <c r="AB29" s="190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2"/>
      <c r="AR29" s="157"/>
      <c r="AS29" s="158"/>
      <c r="AT29" s="158"/>
      <c r="AU29" s="158"/>
      <c r="AV29" s="158"/>
      <c r="AW29" s="159"/>
      <c r="AX29" s="196"/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7"/>
      <c r="BK29" s="197"/>
      <c r="BL29" s="197"/>
      <c r="BM29" s="197"/>
      <c r="BN29" s="197"/>
      <c r="BO29" s="197"/>
      <c r="BP29" s="197"/>
      <c r="BQ29" s="197"/>
      <c r="BR29" s="197"/>
      <c r="BS29" s="197"/>
      <c r="BT29" s="198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19.5" customHeight="1" x14ac:dyDescent="0.45">
      <c r="A30" s="29"/>
      <c r="B30" s="44"/>
      <c r="C30"/>
      <c r="D30" s="37">
        <v>20</v>
      </c>
      <c r="E30" s="187"/>
      <c r="F30" s="188"/>
      <c r="G30" s="188"/>
      <c r="H30" s="188"/>
      <c r="I30" s="188"/>
      <c r="J30" s="188"/>
      <c r="K30" s="188"/>
      <c r="L30" s="189"/>
      <c r="M30" s="157"/>
      <c r="N30" s="158"/>
      <c r="O30" s="158"/>
      <c r="P30" s="157"/>
      <c r="Q30" s="158"/>
      <c r="R30" s="158"/>
      <c r="S30" s="157"/>
      <c r="T30" s="158"/>
      <c r="U30" s="158"/>
      <c r="V30" s="196"/>
      <c r="W30" s="197"/>
      <c r="X30" s="197"/>
      <c r="Y30" s="197"/>
      <c r="Z30" s="197"/>
      <c r="AA30" s="202"/>
      <c r="AB30" s="190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2"/>
      <c r="AR30" s="157"/>
      <c r="AS30" s="158"/>
      <c r="AT30" s="158"/>
      <c r="AU30" s="158"/>
      <c r="AV30" s="158"/>
      <c r="AW30" s="159"/>
      <c r="AX30" s="196"/>
      <c r="AY30" s="197"/>
      <c r="AZ30" s="197"/>
      <c r="BA30" s="197"/>
      <c r="BB30" s="197"/>
      <c r="BC30" s="197"/>
      <c r="BD30" s="197"/>
      <c r="BE30" s="197"/>
      <c r="BF30" s="197"/>
      <c r="BG30" s="197"/>
      <c r="BH30" s="197"/>
      <c r="BI30" s="197"/>
      <c r="BJ30" s="197"/>
      <c r="BK30" s="197"/>
      <c r="BL30" s="197"/>
      <c r="BM30" s="197"/>
      <c r="BN30" s="197"/>
      <c r="BO30" s="197"/>
      <c r="BP30" s="197"/>
      <c r="BQ30" s="197"/>
      <c r="BR30" s="197"/>
      <c r="BS30" s="197"/>
      <c r="BT30" s="198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Bot="1" x14ac:dyDescent="0.5">
      <c r="A31" s="29"/>
      <c r="B31" s="44"/>
      <c r="C31"/>
      <c r="D31" s="37">
        <v>21</v>
      </c>
      <c r="E31" s="181"/>
      <c r="F31" s="182"/>
      <c r="G31" s="182"/>
      <c r="H31" s="182"/>
      <c r="I31" s="182"/>
      <c r="J31" s="182"/>
      <c r="K31" s="182"/>
      <c r="L31" s="183"/>
      <c r="M31" s="184"/>
      <c r="N31" s="185"/>
      <c r="O31" s="186"/>
      <c r="P31" s="184"/>
      <c r="Q31" s="185"/>
      <c r="R31" s="185"/>
      <c r="S31" s="184"/>
      <c r="T31" s="185"/>
      <c r="U31" s="185"/>
      <c r="V31" s="203"/>
      <c r="W31" s="204"/>
      <c r="X31" s="204"/>
      <c r="Y31" s="204"/>
      <c r="Z31" s="204"/>
      <c r="AA31" s="205"/>
      <c r="AB31" s="210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2"/>
      <c r="AR31" s="184"/>
      <c r="AS31" s="185"/>
      <c r="AT31" s="185"/>
      <c r="AU31" s="185"/>
      <c r="AV31" s="185"/>
      <c r="AW31" s="186"/>
      <c r="AX31" s="203"/>
      <c r="AY31" s="204"/>
      <c r="AZ31" s="204"/>
      <c r="BA31" s="204"/>
      <c r="BB31" s="204"/>
      <c r="BC31" s="204"/>
      <c r="BD31" s="204"/>
      <c r="BE31" s="204"/>
      <c r="BF31" s="204"/>
      <c r="BG31" s="204"/>
      <c r="BH31" s="204"/>
      <c r="BI31" s="204"/>
      <c r="BJ31" s="204"/>
      <c r="BK31" s="204"/>
      <c r="BL31" s="204"/>
      <c r="BM31" s="204"/>
      <c r="BN31" s="204"/>
      <c r="BO31" s="204"/>
      <c r="BP31" s="204"/>
      <c r="BQ31" s="204"/>
      <c r="BR31" s="204"/>
      <c r="BS31" s="204"/>
      <c r="BT31" s="213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thickTop="1" thickBot="1" x14ac:dyDescent="0.5">
      <c r="A32" s="29"/>
      <c r="B32" s="40"/>
      <c r="C32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46"/>
      <c r="BR32" s="46"/>
      <c r="BS32" s="46"/>
      <c r="BT32" s="46"/>
      <c r="BU32" s="28"/>
    </row>
    <row r="33" spans="1:68" ht="20.100000000000001" customHeight="1" thickTop="1" x14ac:dyDescent="0.45">
      <c r="A33" s="29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33"/>
      <c r="BD33" s="33"/>
      <c r="BE33" s="33"/>
      <c r="BF33" s="33"/>
      <c r="BG33" s="33"/>
      <c r="BH33" s="33"/>
      <c r="BI33" s="42"/>
      <c r="BJ33" s="42"/>
      <c r="BK33" s="42"/>
      <c r="BL33" s="42"/>
      <c r="BM33" s="42"/>
      <c r="BN33" s="42"/>
      <c r="BO33" s="42"/>
      <c r="BP33" s="41"/>
    </row>
    <row r="34" spans="1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</row>
    <row r="35" spans="1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1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1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1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1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68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68" ht="20.100000000000001" customHeight="1" x14ac:dyDescent="0.45">
      <c r="B46" s="3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1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  <row r="54" spans="1:68" ht="20.100000000000001" customHeight="1" x14ac:dyDescent="0.4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</row>
  </sheetData>
  <mergeCells count="196">
    <mergeCell ref="AR31:AW31"/>
    <mergeCell ref="AR10:AW10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R30:AW30"/>
    <mergeCell ref="AR12:AW12"/>
    <mergeCell ref="AR11:AW11"/>
    <mergeCell ref="AB30:AQ30"/>
    <mergeCell ref="AB31:AQ31"/>
    <mergeCell ref="AB25:AQ25"/>
    <mergeCell ref="AB26:AQ26"/>
    <mergeCell ref="AB27:AQ27"/>
    <mergeCell ref="AB28:AQ28"/>
    <mergeCell ref="AB29:AQ29"/>
    <mergeCell ref="AX31:BT31"/>
    <mergeCell ref="AB10:AQ10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B24:AQ24"/>
    <mergeCell ref="AX26:BT26"/>
    <mergeCell ref="AX27:BT27"/>
    <mergeCell ref="AX28:BT28"/>
    <mergeCell ref="AX30:BT30"/>
    <mergeCell ref="AX21:BT21"/>
    <mergeCell ref="AX22:BT22"/>
    <mergeCell ref="AX23:BT23"/>
    <mergeCell ref="AX24:BT24"/>
    <mergeCell ref="AX25:BT25"/>
    <mergeCell ref="AX16:BT16"/>
    <mergeCell ref="AX17:BT17"/>
    <mergeCell ref="AX18:BT18"/>
    <mergeCell ref="AX19:BT19"/>
    <mergeCell ref="AX20:BT20"/>
    <mergeCell ref="AX13:BT13"/>
    <mergeCell ref="AX14:BT14"/>
    <mergeCell ref="AX15:BT15"/>
    <mergeCell ref="V30:AA30"/>
    <mergeCell ref="V31:AA31"/>
    <mergeCell ref="S10:U10"/>
    <mergeCell ref="S25:U25"/>
    <mergeCell ref="S26:U26"/>
    <mergeCell ref="S27:U27"/>
    <mergeCell ref="S28:U28"/>
    <mergeCell ref="S29:U29"/>
    <mergeCell ref="S30:U30"/>
    <mergeCell ref="V10:AA10"/>
    <mergeCell ref="S31:U31"/>
    <mergeCell ref="V13:AA13"/>
    <mergeCell ref="V14:AA14"/>
    <mergeCell ref="V15:AA15"/>
    <mergeCell ref="V16:AA16"/>
    <mergeCell ref="V17:AA17"/>
    <mergeCell ref="V18:AA18"/>
    <mergeCell ref="V19:AA19"/>
    <mergeCell ref="V25:AA25"/>
    <mergeCell ref="V26:AA26"/>
    <mergeCell ref="AX29:BT29"/>
    <mergeCell ref="P30:R30"/>
    <mergeCell ref="P31:R31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S24:U24"/>
    <mergeCell ref="P25:R25"/>
    <mergeCell ref="P26:R26"/>
    <mergeCell ref="P27:R27"/>
    <mergeCell ref="P28:R28"/>
    <mergeCell ref="P29:R29"/>
    <mergeCell ref="P15:R15"/>
    <mergeCell ref="P16:R16"/>
    <mergeCell ref="P17:R17"/>
    <mergeCell ref="P18:R18"/>
    <mergeCell ref="P19:R19"/>
    <mergeCell ref="V27:AA27"/>
    <mergeCell ref="V28:AA28"/>
    <mergeCell ref="V29:AA29"/>
    <mergeCell ref="P20:R20"/>
    <mergeCell ref="P21:R21"/>
    <mergeCell ref="P22:R22"/>
    <mergeCell ref="P23:R23"/>
    <mergeCell ref="P24:R24"/>
    <mergeCell ref="V24:AA24"/>
    <mergeCell ref="V20:AA20"/>
    <mergeCell ref="V21:AA21"/>
    <mergeCell ref="V22:AA22"/>
    <mergeCell ref="V23:AA23"/>
    <mergeCell ref="E21:L21"/>
    <mergeCell ref="E22:L22"/>
    <mergeCell ref="E23:L23"/>
    <mergeCell ref="E15:L15"/>
    <mergeCell ref="E16:L16"/>
    <mergeCell ref="M10:O10"/>
    <mergeCell ref="M13:O13"/>
    <mergeCell ref="M14:O14"/>
    <mergeCell ref="M15:O15"/>
    <mergeCell ref="M20:O20"/>
    <mergeCell ref="E19:L19"/>
    <mergeCell ref="E20:L20"/>
    <mergeCell ref="M16:O16"/>
    <mergeCell ref="M17:O17"/>
    <mergeCell ref="M18:O18"/>
    <mergeCell ref="M19:O19"/>
    <mergeCell ref="E17:L17"/>
    <mergeCell ref="E18:L18"/>
    <mergeCell ref="E12:L12"/>
    <mergeCell ref="M21:O21"/>
    <mergeCell ref="M22:O22"/>
    <mergeCell ref="M23:O23"/>
    <mergeCell ref="E11:L11"/>
    <mergeCell ref="M11:O11"/>
    <mergeCell ref="B3:G4"/>
    <mergeCell ref="H3:K4"/>
    <mergeCell ref="L3:Q4"/>
    <mergeCell ref="E14:L14"/>
    <mergeCell ref="B2:G2"/>
    <mergeCell ref="H2:K2"/>
    <mergeCell ref="L2:Q2"/>
    <mergeCell ref="R2:W2"/>
    <mergeCell ref="E10:L10"/>
    <mergeCell ref="E13:L13"/>
    <mergeCell ref="V12:AA12"/>
    <mergeCell ref="X2:AJ2"/>
    <mergeCell ref="X3:AJ4"/>
    <mergeCell ref="R3:W4"/>
    <mergeCell ref="P10:R10"/>
    <mergeCell ref="P13:R13"/>
    <mergeCell ref="P14:R14"/>
    <mergeCell ref="P11:R11"/>
    <mergeCell ref="S11:U11"/>
    <mergeCell ref="V11:AA11"/>
    <mergeCell ref="AB11:AQ11"/>
    <mergeCell ref="M12:O12"/>
    <mergeCell ref="P12:R12"/>
    <mergeCell ref="S12:U12"/>
    <mergeCell ref="AK2:AW2"/>
    <mergeCell ref="AB12:AQ1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AX10:BT10"/>
    <mergeCell ref="AX12:BT12"/>
    <mergeCell ref="AX11:BT11"/>
    <mergeCell ref="E31:L31"/>
    <mergeCell ref="M27:O27"/>
    <mergeCell ref="M28:O28"/>
    <mergeCell ref="M29:O29"/>
    <mergeCell ref="M30:O30"/>
    <mergeCell ref="M31:O31"/>
    <mergeCell ref="E24:L24"/>
    <mergeCell ref="E27:L27"/>
    <mergeCell ref="E28:L28"/>
    <mergeCell ref="E29:L29"/>
    <mergeCell ref="E30:L30"/>
    <mergeCell ref="E26:L26"/>
    <mergeCell ref="E25:L25"/>
    <mergeCell ref="M25:O25"/>
    <mergeCell ref="M26:O26"/>
    <mergeCell ref="M24:O24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0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1" t="s">
        <v>0</v>
      </c>
      <c r="C2" s="222"/>
      <c r="D2" s="222"/>
      <c r="E2" s="222"/>
      <c r="F2" s="222"/>
      <c r="G2" s="222"/>
      <c r="H2" s="222" t="s">
        <v>17</v>
      </c>
      <c r="I2" s="222"/>
      <c r="J2" s="222"/>
      <c r="K2" s="222"/>
      <c r="L2" s="222" t="s">
        <v>191</v>
      </c>
      <c r="M2" s="222"/>
      <c r="N2" s="222"/>
      <c r="O2" s="222"/>
      <c r="P2" s="222"/>
      <c r="Q2" s="222"/>
      <c r="R2" s="222" t="s">
        <v>2</v>
      </c>
      <c r="S2" s="222"/>
      <c r="T2" s="222"/>
      <c r="U2" s="222"/>
      <c r="V2" s="222"/>
      <c r="W2" s="222"/>
      <c r="X2" s="223" t="s">
        <v>3</v>
      </c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5"/>
      <c r="AK2" s="223" t="s">
        <v>32</v>
      </c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5"/>
      <c r="AX2" s="222" t="s">
        <v>5</v>
      </c>
      <c r="AY2" s="222"/>
      <c r="AZ2" s="222"/>
      <c r="BA2" s="222"/>
      <c r="BB2" s="222" t="s">
        <v>4</v>
      </c>
      <c r="BC2" s="222"/>
      <c r="BD2" s="222"/>
      <c r="BE2" s="222"/>
      <c r="BF2" s="222" t="s">
        <v>6</v>
      </c>
      <c r="BG2" s="222"/>
      <c r="BH2" s="222"/>
      <c r="BI2" s="222"/>
      <c r="BJ2" s="222" t="s">
        <v>7</v>
      </c>
      <c r="BK2" s="222"/>
      <c r="BL2" s="222"/>
      <c r="BM2" s="232"/>
    </row>
    <row r="3" spans="2:65" ht="20.100000000000001" customHeight="1" x14ac:dyDescent="0.45">
      <c r="B3" s="226" t="str">
        <f>変更履歴!B3</f>
        <v>受発注システム</v>
      </c>
      <c r="C3" s="165"/>
      <c r="D3" s="165"/>
      <c r="E3" s="165"/>
      <c r="F3" s="165"/>
      <c r="G3" s="165"/>
      <c r="H3" s="165" t="str">
        <f ca="1">変更履歴!H3</f>
        <v>SU0500</v>
      </c>
      <c r="I3" s="165"/>
      <c r="J3" s="165"/>
      <c r="K3" s="165"/>
      <c r="L3" s="165" t="str">
        <f>変更履歴!L3</f>
        <v>受発注</v>
      </c>
      <c r="M3" s="165"/>
      <c r="N3" s="165"/>
      <c r="O3" s="165"/>
      <c r="P3" s="165"/>
      <c r="Q3" s="165"/>
      <c r="R3" s="165" t="str">
        <f ca="1">変更履歴!R3</f>
        <v>帳票設計書</v>
      </c>
      <c r="S3" s="165"/>
      <c r="T3" s="165"/>
      <c r="U3" s="165"/>
      <c r="V3" s="165"/>
      <c r="W3" s="165"/>
      <c r="X3" s="168" t="str">
        <f ca="1">変更履歴!X3</f>
        <v>SU0500_請求明細一覧表_帳票設計書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70"/>
      <c r="AK3" s="168" t="str">
        <f ca="1">変更履歴!AK3</f>
        <v>請求明細一覧表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70"/>
      <c r="AX3" s="164">
        <f>変更履歴!AX3</f>
        <v>45581</v>
      </c>
      <c r="AY3" s="164"/>
      <c r="AZ3" s="164"/>
      <c r="BA3" s="164"/>
      <c r="BB3" s="165" t="str">
        <f>変更履歴!BB3</f>
        <v>大谷</v>
      </c>
      <c r="BC3" s="165"/>
      <c r="BD3" s="165"/>
      <c r="BE3" s="165"/>
      <c r="BF3" s="164">
        <f>変更履歴!BF3</f>
        <v>45581</v>
      </c>
      <c r="BG3" s="164"/>
      <c r="BH3" s="164"/>
      <c r="BI3" s="164"/>
      <c r="BJ3" s="165" t="str">
        <f>変更履歴!BJ3</f>
        <v>大谷</v>
      </c>
      <c r="BK3" s="165"/>
      <c r="BL3" s="165"/>
      <c r="BM3" s="230"/>
    </row>
    <row r="4" spans="2:65" ht="20.100000000000001" customHeight="1" thickBot="1" x14ac:dyDescent="0.5">
      <c r="B4" s="227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29"/>
      <c r="AY4" s="229"/>
      <c r="AZ4" s="229"/>
      <c r="BA4" s="229"/>
      <c r="BB4" s="228"/>
      <c r="BC4" s="228"/>
      <c r="BD4" s="228"/>
      <c r="BE4" s="228"/>
      <c r="BF4" s="229"/>
      <c r="BG4" s="229"/>
      <c r="BH4" s="229"/>
      <c r="BI4" s="229"/>
      <c r="BJ4" s="228"/>
      <c r="BK4" s="228"/>
      <c r="BL4" s="228"/>
      <c r="BM4" s="231"/>
    </row>
    <row r="5" spans="2:65" ht="5.0999999999999996" customHeight="1" thickBot="1" x14ac:dyDescent="0.5"/>
    <row r="6" spans="2:65" ht="20.100000000000001" customHeight="1" x14ac:dyDescent="0.45">
      <c r="B6" s="112" t="s">
        <v>164</v>
      </c>
      <c r="C6" s="113"/>
      <c r="D6" s="113"/>
      <c r="E6" s="113"/>
      <c r="F6" s="113"/>
      <c r="G6" s="114"/>
      <c r="H6" s="115" t="s">
        <v>134</v>
      </c>
      <c r="I6" s="113"/>
      <c r="J6" s="144" t="s">
        <v>142</v>
      </c>
      <c r="K6" s="145"/>
      <c r="L6" s="145"/>
      <c r="M6" s="145"/>
      <c r="N6" s="145"/>
      <c r="O6" s="145"/>
      <c r="P6" s="145"/>
      <c r="Q6" s="146"/>
      <c r="R6" s="145" t="s">
        <v>151</v>
      </c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6"/>
      <c r="AK6" s="116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7"/>
    </row>
    <row r="7" spans="2:65" ht="20.100000000000001" customHeight="1" x14ac:dyDescent="0.45">
      <c r="B7" s="147"/>
      <c r="C7" s="31"/>
      <c r="D7" s="31"/>
      <c r="E7" s="31"/>
      <c r="F7" s="31"/>
      <c r="G7" s="119"/>
      <c r="H7" s="120"/>
      <c r="I7" s="31"/>
      <c r="J7" s="148" t="s">
        <v>143</v>
      </c>
      <c r="K7" s="52"/>
      <c r="L7" s="52"/>
      <c r="M7" s="52"/>
      <c r="N7" s="52"/>
      <c r="O7" s="52"/>
      <c r="P7" s="52"/>
      <c r="Q7" s="149"/>
      <c r="R7" s="52" t="s">
        <v>152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49"/>
      <c r="AK7" s="12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22"/>
    </row>
    <row r="8" spans="2:65" ht="20.100000000000001" customHeight="1" x14ac:dyDescent="0.45">
      <c r="B8" s="147"/>
      <c r="C8" s="31"/>
      <c r="D8" s="31"/>
      <c r="E8" s="31"/>
      <c r="F8" s="31"/>
      <c r="G8" s="119"/>
      <c r="H8" s="120"/>
      <c r="I8" s="31"/>
      <c r="J8" s="148" t="s">
        <v>144</v>
      </c>
      <c r="K8" s="52"/>
      <c r="L8" s="52"/>
      <c r="M8" s="52"/>
      <c r="N8" s="52"/>
      <c r="O8" s="52"/>
      <c r="P8" s="52"/>
      <c r="Q8" s="149"/>
      <c r="R8" s="52" t="s">
        <v>152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9"/>
      <c r="AK8" s="12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2"/>
    </row>
    <row r="9" spans="2:65" ht="20.100000000000001" customHeight="1" x14ac:dyDescent="0.45">
      <c r="B9" s="147"/>
      <c r="C9" s="31"/>
      <c r="D9" s="31"/>
      <c r="E9" s="31"/>
      <c r="F9" s="31"/>
      <c r="G9" s="119"/>
      <c r="H9" s="120"/>
      <c r="I9" s="31"/>
      <c r="J9" s="148" t="s">
        <v>145</v>
      </c>
      <c r="K9" s="52"/>
      <c r="L9" s="52"/>
      <c r="M9" s="52"/>
      <c r="N9" s="52"/>
      <c r="O9" s="52"/>
      <c r="P9" s="52"/>
      <c r="Q9" s="149"/>
      <c r="R9" s="52" t="s">
        <v>151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9"/>
      <c r="AK9" s="12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22"/>
    </row>
    <row r="10" spans="2:65" ht="20.100000000000001" customHeight="1" x14ac:dyDescent="0.45">
      <c r="B10" s="147"/>
      <c r="C10" s="31"/>
      <c r="D10" s="31"/>
      <c r="E10" s="31"/>
      <c r="F10" s="31"/>
      <c r="G10" s="119"/>
      <c r="H10" s="31"/>
      <c r="I10" s="31"/>
      <c r="J10" s="148" t="s">
        <v>146</v>
      </c>
      <c r="K10" s="52"/>
      <c r="L10" s="52"/>
      <c r="M10" s="52"/>
      <c r="N10" s="52"/>
      <c r="O10" s="52"/>
      <c r="P10" s="52"/>
      <c r="Q10" s="149"/>
      <c r="R10" s="52" t="s">
        <v>152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49"/>
      <c r="AK10" s="12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2"/>
    </row>
    <row r="11" spans="2:65" ht="20.100000000000001" customHeight="1" x14ac:dyDescent="0.45">
      <c r="B11" s="147"/>
      <c r="C11" s="31"/>
      <c r="D11" s="31"/>
      <c r="E11" s="31"/>
      <c r="F11" s="31"/>
      <c r="G11" s="119"/>
      <c r="H11" s="31"/>
      <c r="I11" s="31"/>
      <c r="J11" s="148" t="s">
        <v>153</v>
      </c>
      <c r="K11" s="52"/>
      <c r="L11" s="52"/>
      <c r="M11" s="52"/>
      <c r="N11" s="52"/>
      <c r="O11" s="52"/>
      <c r="P11" s="52"/>
      <c r="Q11" s="149"/>
      <c r="R11" s="52" t="s">
        <v>152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49"/>
      <c r="AK11" s="12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2"/>
    </row>
    <row r="12" spans="2:65" ht="20.100000000000001" customHeight="1" x14ac:dyDescent="0.45">
      <c r="B12" s="147"/>
      <c r="C12" s="31"/>
      <c r="D12" s="31"/>
      <c r="E12" s="31"/>
      <c r="F12" s="31"/>
      <c r="G12" s="119"/>
      <c r="H12" s="31"/>
      <c r="I12" s="31"/>
      <c r="J12" s="148" t="s">
        <v>147</v>
      </c>
      <c r="K12" s="52"/>
      <c r="L12" s="52"/>
      <c r="M12" s="52"/>
      <c r="N12" s="52"/>
      <c r="O12" s="52"/>
      <c r="P12" s="52"/>
      <c r="Q12" s="149"/>
      <c r="R12" s="52" t="s">
        <v>152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49"/>
      <c r="AK12" s="12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2"/>
    </row>
    <row r="13" spans="2:65" ht="20.100000000000001" customHeight="1" x14ac:dyDescent="0.45">
      <c r="B13" s="147"/>
      <c r="C13" s="31"/>
      <c r="D13" s="31"/>
      <c r="E13" s="31"/>
      <c r="F13" s="31"/>
      <c r="G13" s="119"/>
      <c r="H13" s="31"/>
      <c r="I13" s="31"/>
      <c r="J13" s="148" t="s">
        <v>148</v>
      </c>
      <c r="K13" s="52"/>
      <c r="L13" s="52"/>
      <c r="M13" s="52"/>
      <c r="N13" s="52"/>
      <c r="O13" s="52"/>
      <c r="P13" s="52"/>
      <c r="Q13" s="149"/>
      <c r="R13" s="52" t="s">
        <v>152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49"/>
      <c r="AK13" s="12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2"/>
    </row>
    <row r="14" spans="2:65" ht="20.100000000000001" customHeight="1" x14ac:dyDescent="0.45">
      <c r="B14" s="147"/>
      <c r="C14" s="31"/>
      <c r="D14" s="31"/>
      <c r="E14" s="31"/>
      <c r="F14" s="31"/>
      <c r="G14" s="119"/>
      <c r="H14" s="31"/>
      <c r="I14" s="31"/>
      <c r="J14" s="148" t="s">
        <v>149</v>
      </c>
      <c r="K14" s="52"/>
      <c r="L14" s="52"/>
      <c r="M14" s="52"/>
      <c r="N14" s="52"/>
      <c r="O14" s="52"/>
      <c r="P14" s="52"/>
      <c r="Q14" s="149"/>
      <c r="R14" s="52" t="s">
        <v>151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49"/>
      <c r="AK14" s="12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22"/>
    </row>
    <row r="15" spans="2:65" ht="20.100000000000001" customHeight="1" x14ac:dyDescent="0.45">
      <c r="B15" s="147"/>
      <c r="C15" s="31"/>
      <c r="D15" s="31"/>
      <c r="E15" s="31"/>
      <c r="F15" s="31"/>
      <c r="G15" s="119"/>
      <c r="I15" s="31"/>
      <c r="J15" s="148" t="s">
        <v>150</v>
      </c>
      <c r="K15" s="52"/>
      <c r="L15" s="52"/>
      <c r="M15" s="52"/>
      <c r="N15" s="52"/>
      <c r="O15" s="52"/>
      <c r="P15" s="52"/>
      <c r="Q15" s="149"/>
      <c r="R15" s="52" t="s">
        <v>173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49"/>
      <c r="AK15" s="12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2"/>
    </row>
    <row r="16" spans="2:65" ht="20.100000000000001" customHeight="1" x14ac:dyDescent="0.45">
      <c r="B16" s="147"/>
      <c r="C16" s="31"/>
      <c r="D16" s="31"/>
      <c r="E16" s="31"/>
      <c r="F16" s="31"/>
      <c r="G16" s="119"/>
      <c r="H16" s="123" t="s">
        <v>104</v>
      </c>
      <c r="I16" s="55"/>
      <c r="J16" s="123" t="s">
        <v>109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124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125"/>
    </row>
    <row r="17" spans="2:62" ht="20.100000000000001" customHeight="1" x14ac:dyDescent="0.45">
      <c r="B17" s="147"/>
      <c r="C17" s="31"/>
      <c r="D17" s="31"/>
      <c r="E17" s="31"/>
      <c r="F17" s="31"/>
      <c r="G17" s="119"/>
      <c r="H17" s="120"/>
      <c r="I17" s="31"/>
      <c r="J17" s="120" t="s">
        <v>151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2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2"/>
    </row>
    <row r="18" spans="2:62" ht="20.100000000000001" customHeight="1" x14ac:dyDescent="0.45">
      <c r="B18" s="147"/>
      <c r="C18" s="31"/>
      <c r="D18" s="31"/>
      <c r="E18" s="31"/>
      <c r="F18" s="31"/>
      <c r="G18" s="119"/>
      <c r="H18" s="123" t="s">
        <v>159</v>
      </c>
      <c r="I18" s="55"/>
      <c r="J18" s="123" t="s">
        <v>160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124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125"/>
    </row>
    <row r="19" spans="2:62" ht="20.100000000000001" customHeight="1" x14ac:dyDescent="0.45">
      <c r="B19" s="147"/>
      <c r="C19" s="31"/>
      <c r="D19" s="31"/>
      <c r="E19" s="31"/>
      <c r="F19" s="31"/>
      <c r="G19" s="119"/>
      <c r="H19" s="120"/>
      <c r="I19" s="31"/>
      <c r="J19" s="120"/>
      <c r="K19" s="31" t="s">
        <v>151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2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2"/>
    </row>
    <row r="20" spans="2:62" ht="20.100000000000001" customHeight="1" x14ac:dyDescent="0.45">
      <c r="B20" s="118"/>
      <c r="C20" s="31"/>
      <c r="D20" s="31"/>
      <c r="E20" s="31"/>
      <c r="F20" s="31"/>
      <c r="G20" s="119"/>
      <c r="H20" s="120"/>
      <c r="I20" s="31"/>
      <c r="J20" s="120"/>
      <c r="K20" s="31"/>
      <c r="L20" s="31" t="s">
        <v>161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2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2"/>
    </row>
    <row r="21" spans="2:62" ht="20.100000000000001" customHeight="1" x14ac:dyDescent="0.45">
      <c r="B21" s="118"/>
      <c r="C21" s="31"/>
      <c r="D21" s="31"/>
      <c r="E21" s="31"/>
      <c r="F21" s="31"/>
      <c r="G21" s="119"/>
      <c r="H21" s="120"/>
      <c r="I21" s="31"/>
      <c r="J21" s="120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2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2"/>
    </row>
    <row r="22" spans="2:62" ht="20.100000000000001" customHeight="1" x14ac:dyDescent="0.45">
      <c r="B22" s="118"/>
      <c r="C22" s="31"/>
      <c r="D22" s="31"/>
      <c r="E22" s="31"/>
      <c r="F22" s="31"/>
      <c r="G22" s="119"/>
      <c r="H22" s="123" t="s">
        <v>105</v>
      </c>
      <c r="I22" s="55"/>
      <c r="J22" s="123"/>
      <c r="K22" s="55" t="s">
        <v>154</v>
      </c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124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125"/>
      <c r="BJ22" s="118"/>
    </row>
    <row r="23" spans="2:62" ht="20.100000000000001" customHeight="1" x14ac:dyDescent="0.45">
      <c r="B23" s="118"/>
      <c r="C23" s="31"/>
      <c r="D23" s="31"/>
      <c r="E23" s="31"/>
      <c r="F23" s="31"/>
      <c r="G23" s="119"/>
      <c r="H23" s="120"/>
      <c r="I23" s="31"/>
      <c r="J23" s="120" t="s">
        <v>155</v>
      </c>
      <c r="K23" s="31" t="s">
        <v>156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20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2"/>
    </row>
    <row r="24" spans="2:62" ht="20.100000000000001" customHeight="1" x14ac:dyDescent="0.45">
      <c r="B24" s="118"/>
      <c r="C24" s="31"/>
      <c r="D24" s="31"/>
      <c r="E24" s="31"/>
      <c r="F24" s="31"/>
      <c r="G24" s="119"/>
      <c r="H24" s="120"/>
      <c r="I24" s="31"/>
      <c r="J24" s="120" t="s">
        <v>155</v>
      </c>
      <c r="K24" s="31" t="s">
        <v>157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20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2"/>
    </row>
    <row r="25" spans="2:62" ht="20.100000000000001" customHeight="1" x14ac:dyDescent="0.45">
      <c r="B25" s="118"/>
      <c r="C25" s="31"/>
      <c r="D25" s="31"/>
      <c r="E25" s="31"/>
      <c r="F25" s="31"/>
      <c r="G25" s="119"/>
      <c r="H25" s="126"/>
      <c r="I25" s="127"/>
      <c r="J25" s="126" t="s">
        <v>155</v>
      </c>
      <c r="K25" s="127" t="s">
        <v>158</v>
      </c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6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  <c r="BG25" s="127"/>
      <c r="BH25" s="127"/>
      <c r="BI25" s="129"/>
    </row>
    <row r="26" spans="2:62" ht="20.100000000000001" customHeight="1" x14ac:dyDescent="0.45">
      <c r="B26" s="118"/>
      <c r="C26" s="31"/>
      <c r="D26" s="31"/>
      <c r="E26" s="31"/>
      <c r="F26" s="31"/>
      <c r="G26" s="119"/>
      <c r="H26" s="120" t="s">
        <v>162</v>
      </c>
      <c r="I26" s="31"/>
      <c r="J26" s="120" t="s">
        <v>163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20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22"/>
    </row>
    <row r="27" spans="2:62" ht="20.100000000000001" customHeight="1" x14ac:dyDescent="0.45">
      <c r="B27" s="118"/>
      <c r="C27" s="31"/>
      <c r="D27" s="31"/>
      <c r="E27" s="31"/>
      <c r="F27" s="31"/>
      <c r="G27" s="119"/>
      <c r="H27" s="120"/>
      <c r="I27" s="31"/>
      <c r="J27" s="120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20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22"/>
    </row>
    <row r="28" spans="2:62" ht="20.100000000000001" customHeight="1" x14ac:dyDescent="0.45">
      <c r="B28" s="118"/>
      <c r="C28" s="31"/>
      <c r="D28" s="31"/>
      <c r="E28" s="31"/>
      <c r="F28" s="31"/>
      <c r="G28" s="119"/>
      <c r="H28" s="120"/>
      <c r="I28" s="31"/>
      <c r="J28" s="120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20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2"/>
    </row>
    <row r="29" spans="2:62" ht="20.100000000000001" customHeight="1" thickBot="1" x14ac:dyDescent="0.5">
      <c r="B29" s="118"/>
      <c r="C29" s="31"/>
      <c r="D29" s="31"/>
      <c r="E29" s="31"/>
      <c r="F29" s="31"/>
      <c r="G29" s="119"/>
      <c r="H29" s="126"/>
      <c r="I29" s="127"/>
      <c r="J29" s="126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6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9"/>
    </row>
    <row r="30" spans="2:62" ht="5.0999999999999996" customHeight="1" x14ac:dyDescent="0.45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1" t="s">
        <v>0</v>
      </c>
      <c r="C2" s="222"/>
      <c r="D2" s="222"/>
      <c r="E2" s="222"/>
      <c r="F2" s="222"/>
      <c r="G2" s="222"/>
      <c r="H2" s="222" t="s">
        <v>17</v>
      </c>
      <c r="I2" s="222"/>
      <c r="J2" s="222"/>
      <c r="K2" s="222"/>
      <c r="L2" s="222" t="s">
        <v>1</v>
      </c>
      <c r="M2" s="222"/>
      <c r="N2" s="222"/>
      <c r="O2" s="222"/>
      <c r="P2" s="222"/>
      <c r="Q2" s="222"/>
      <c r="R2" s="222" t="s">
        <v>2</v>
      </c>
      <c r="S2" s="222"/>
      <c r="T2" s="222"/>
      <c r="U2" s="222"/>
      <c r="V2" s="222"/>
      <c r="W2" s="222"/>
      <c r="X2" s="223" t="s">
        <v>3</v>
      </c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5"/>
      <c r="AK2" s="223" t="s">
        <v>32</v>
      </c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5"/>
      <c r="AX2" s="222" t="s">
        <v>5</v>
      </c>
      <c r="AY2" s="222"/>
      <c r="AZ2" s="222"/>
      <c r="BA2" s="222"/>
      <c r="BB2" s="222" t="s">
        <v>4</v>
      </c>
      <c r="BC2" s="222"/>
      <c r="BD2" s="222"/>
      <c r="BE2" s="222"/>
      <c r="BF2" s="222" t="s">
        <v>6</v>
      </c>
      <c r="BG2" s="222"/>
      <c r="BH2" s="222"/>
      <c r="BI2" s="222"/>
      <c r="BJ2" s="222" t="s">
        <v>7</v>
      </c>
      <c r="BK2" s="222"/>
      <c r="BL2" s="222"/>
      <c r="BM2" s="232"/>
    </row>
    <row r="3" spans="2:65" ht="20.100000000000001" customHeight="1" x14ac:dyDescent="0.45">
      <c r="B3" s="226" t="str">
        <f>変更履歴!B3</f>
        <v>受発注システム</v>
      </c>
      <c r="C3" s="165"/>
      <c r="D3" s="165"/>
      <c r="E3" s="165"/>
      <c r="F3" s="165"/>
      <c r="G3" s="165"/>
      <c r="H3" s="165" t="str">
        <f ca="1">変更履歴!H3</f>
        <v>SU0500</v>
      </c>
      <c r="I3" s="165"/>
      <c r="J3" s="165"/>
      <c r="K3" s="165"/>
      <c r="L3" s="165" t="str">
        <f>変更履歴!L3</f>
        <v>受発注</v>
      </c>
      <c r="M3" s="165"/>
      <c r="N3" s="165"/>
      <c r="O3" s="165"/>
      <c r="P3" s="165"/>
      <c r="Q3" s="165"/>
      <c r="R3" s="165" t="str">
        <f ca="1">変更履歴!R3</f>
        <v>帳票設計書</v>
      </c>
      <c r="S3" s="165"/>
      <c r="T3" s="165"/>
      <c r="U3" s="165"/>
      <c r="V3" s="165"/>
      <c r="W3" s="165"/>
      <c r="X3" s="168" t="str">
        <f ca="1">変更履歴!X3</f>
        <v>SU0500_請求明細一覧表_帳票設計書</v>
      </c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70"/>
      <c r="AK3" s="168" t="str">
        <f ca="1">変更履歴!AK3</f>
        <v>請求明細一覧表</v>
      </c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70"/>
      <c r="AX3" s="164">
        <f>変更履歴!AX3</f>
        <v>45581</v>
      </c>
      <c r="AY3" s="164"/>
      <c r="AZ3" s="164"/>
      <c r="BA3" s="164"/>
      <c r="BB3" s="165" t="str">
        <f>変更履歴!BB3</f>
        <v>大谷</v>
      </c>
      <c r="BC3" s="165"/>
      <c r="BD3" s="165"/>
      <c r="BE3" s="165"/>
      <c r="BF3" s="164">
        <f>変更履歴!BF3</f>
        <v>45581</v>
      </c>
      <c r="BG3" s="164"/>
      <c r="BH3" s="164"/>
      <c r="BI3" s="164"/>
      <c r="BJ3" s="165" t="str">
        <f>変更履歴!BJ3</f>
        <v>大谷</v>
      </c>
      <c r="BK3" s="165"/>
      <c r="BL3" s="165"/>
      <c r="BM3" s="230"/>
    </row>
    <row r="4" spans="2:65" ht="20.100000000000001" customHeight="1" thickBot="1" x14ac:dyDescent="0.5">
      <c r="B4" s="227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18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20"/>
      <c r="AK4" s="218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20"/>
      <c r="AX4" s="229"/>
      <c r="AY4" s="229"/>
      <c r="AZ4" s="229"/>
      <c r="BA4" s="229"/>
      <c r="BB4" s="228"/>
      <c r="BC4" s="228"/>
      <c r="BD4" s="228"/>
      <c r="BE4" s="228"/>
      <c r="BF4" s="229"/>
      <c r="BG4" s="229"/>
      <c r="BH4" s="229"/>
      <c r="BI4" s="229"/>
      <c r="BJ4" s="228"/>
      <c r="BK4" s="228"/>
      <c r="BL4" s="228"/>
      <c r="BM4" s="231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12" t="s">
        <v>106</v>
      </c>
      <c r="C7" s="113"/>
      <c r="D7" s="113"/>
      <c r="E7" s="113"/>
      <c r="F7" s="113"/>
      <c r="G7" s="113"/>
      <c r="H7" s="115" t="s">
        <v>134</v>
      </c>
      <c r="I7" s="114"/>
      <c r="J7" s="150" t="s">
        <v>20</v>
      </c>
      <c r="K7" s="145"/>
      <c r="L7" s="145"/>
      <c r="M7" s="145"/>
      <c r="N7" s="145"/>
      <c r="O7" s="145"/>
      <c r="P7" s="145"/>
      <c r="Q7" s="145"/>
      <c r="R7" s="150" t="s">
        <v>135</v>
      </c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6"/>
      <c r="AK7" s="116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7"/>
      <c r="BJ7" s="29"/>
      <c r="BK7" s="29"/>
      <c r="BL7" s="29"/>
      <c r="BM7" s="29"/>
    </row>
    <row r="8" spans="2:65" ht="20.100000000000001" customHeight="1" x14ac:dyDescent="0.45">
      <c r="B8" s="147"/>
      <c r="C8" s="31"/>
      <c r="D8" s="31"/>
      <c r="E8" s="31"/>
      <c r="F8" s="31"/>
      <c r="G8" s="31"/>
      <c r="H8" s="120"/>
      <c r="I8" s="119"/>
      <c r="J8" s="148" t="s">
        <v>136</v>
      </c>
      <c r="K8" s="52"/>
      <c r="L8" s="52"/>
      <c r="M8" s="52"/>
      <c r="N8" s="52"/>
      <c r="O8" s="52"/>
      <c r="P8" s="52"/>
      <c r="Q8" s="52"/>
      <c r="R8" s="148" t="s">
        <v>137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9"/>
      <c r="AK8" s="12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2"/>
      <c r="BJ8" s="29"/>
      <c r="BK8" s="29"/>
      <c r="BL8" s="29"/>
      <c r="BM8" s="29"/>
    </row>
    <row r="9" spans="2:65" ht="20.100000000000001" customHeight="1" x14ac:dyDescent="0.45">
      <c r="B9" s="147"/>
      <c r="C9" s="31"/>
      <c r="D9" s="31"/>
      <c r="E9" s="31"/>
      <c r="F9" s="31"/>
      <c r="G9" s="31"/>
      <c r="H9" s="126"/>
      <c r="I9" s="151"/>
      <c r="J9" s="148" t="s">
        <v>138</v>
      </c>
      <c r="K9" s="52"/>
      <c r="L9" s="52"/>
      <c r="M9" s="52"/>
      <c r="N9" s="52"/>
      <c r="O9" s="52"/>
      <c r="P9" s="52"/>
      <c r="Q9" s="52"/>
      <c r="R9" s="148" t="s">
        <v>139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9"/>
      <c r="AK9" s="128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9"/>
      <c r="BJ9" s="29"/>
      <c r="BK9" s="29"/>
      <c r="BL9" s="29"/>
      <c r="BM9" s="29"/>
    </row>
    <row r="10" spans="2:65" ht="20.100000000000001" customHeight="1" x14ac:dyDescent="0.45">
      <c r="B10" s="147"/>
      <c r="C10" s="31"/>
      <c r="D10" s="31"/>
      <c r="E10" s="31"/>
      <c r="F10" s="31"/>
      <c r="G10" s="119"/>
      <c r="H10" s="120" t="s">
        <v>107</v>
      </c>
      <c r="I10" s="31"/>
      <c r="J10" s="134" t="s">
        <v>108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2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2"/>
      <c r="BJ10" s="29"/>
      <c r="BK10" s="29"/>
      <c r="BL10" s="29"/>
      <c r="BM10" s="29"/>
    </row>
    <row r="11" spans="2:65" ht="20.100000000000001" customHeight="1" x14ac:dyDescent="0.45">
      <c r="B11" s="118"/>
      <c r="C11" s="31"/>
      <c r="D11" s="31"/>
      <c r="E11" s="31"/>
      <c r="F11" s="31"/>
      <c r="G11" s="119"/>
      <c r="H11" s="120"/>
      <c r="I11" s="31"/>
      <c r="J11" s="120" t="s">
        <v>109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2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2"/>
      <c r="BJ11" s="29"/>
      <c r="BK11" s="29"/>
      <c r="BL11" s="29"/>
      <c r="BM11" s="29"/>
    </row>
    <row r="12" spans="2:65" ht="20.100000000000001" customHeight="1" x14ac:dyDescent="0.45">
      <c r="B12" s="118"/>
      <c r="C12" s="31"/>
      <c r="D12" s="31"/>
      <c r="E12" s="31"/>
      <c r="F12" s="31"/>
      <c r="G12" s="119"/>
      <c r="H12" s="120"/>
      <c r="I12" s="31"/>
      <c r="J12" s="120" t="s">
        <v>110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2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2"/>
      <c r="BJ12" s="29"/>
      <c r="BK12" s="29"/>
      <c r="BL12" s="29"/>
      <c r="BM12" s="29"/>
    </row>
    <row r="13" spans="2:65" ht="20.100000000000001" customHeight="1" x14ac:dyDescent="0.45">
      <c r="B13" s="118"/>
      <c r="C13" s="31"/>
      <c r="D13" s="31"/>
      <c r="E13" s="31"/>
      <c r="F13" s="31"/>
      <c r="G13" s="119"/>
      <c r="H13" s="120"/>
      <c r="I13" s="31"/>
      <c r="J13" s="120" t="s">
        <v>111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2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2"/>
      <c r="BJ13" s="29"/>
      <c r="BK13" s="29"/>
      <c r="BL13" s="29"/>
      <c r="BM13" s="29"/>
    </row>
    <row r="14" spans="2:65" ht="20.100000000000001" customHeight="1" x14ac:dyDescent="0.45">
      <c r="B14" s="118"/>
      <c r="C14" s="31"/>
      <c r="D14" s="31"/>
      <c r="E14" s="31"/>
      <c r="F14" s="31"/>
      <c r="G14" s="119"/>
      <c r="H14" s="123" t="s">
        <v>112</v>
      </c>
      <c r="I14" s="55"/>
      <c r="J14" s="130" t="s">
        <v>113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24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25"/>
      <c r="BJ14" s="29"/>
      <c r="BK14" s="29"/>
      <c r="BL14" s="29"/>
      <c r="BM14" s="29"/>
    </row>
    <row r="15" spans="2:65" ht="20.100000000000001" customHeight="1" x14ac:dyDescent="0.45">
      <c r="B15" s="118"/>
      <c r="C15" s="31"/>
      <c r="D15" s="31"/>
      <c r="E15" s="31"/>
      <c r="F15" s="31"/>
      <c r="G15" s="119"/>
      <c r="H15" s="120"/>
      <c r="I15" s="31"/>
      <c r="J15" s="131"/>
      <c r="K15" s="132" t="s">
        <v>114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2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2"/>
      <c r="BJ15" s="29"/>
      <c r="BK15" s="29"/>
      <c r="BL15" s="29"/>
      <c r="BM15" s="29"/>
    </row>
    <row r="16" spans="2:65" ht="20.100000000000001" customHeight="1" x14ac:dyDescent="0.45">
      <c r="B16" s="118"/>
      <c r="C16" s="31"/>
      <c r="D16" s="31"/>
      <c r="E16" s="31"/>
      <c r="F16" s="31"/>
      <c r="G16" s="119"/>
      <c r="H16" s="120"/>
      <c r="I16" s="31"/>
      <c r="J16" s="120"/>
      <c r="K16" s="29"/>
      <c r="L16" s="133"/>
      <c r="M16" s="132" t="s">
        <v>115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2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2"/>
      <c r="BJ16" s="29"/>
      <c r="BK16" s="29"/>
      <c r="BL16" s="29"/>
      <c r="BM16" s="29"/>
    </row>
    <row r="17" spans="2:65" ht="20.100000000000001" customHeight="1" x14ac:dyDescent="0.45">
      <c r="B17" s="118"/>
      <c r="C17" s="31"/>
      <c r="D17" s="31"/>
      <c r="E17" s="31"/>
      <c r="F17" s="31"/>
      <c r="G17" s="119"/>
      <c r="H17" s="120"/>
      <c r="I17" s="31"/>
      <c r="J17" s="120"/>
      <c r="K17" s="29"/>
      <c r="L17" s="133" t="s">
        <v>116</v>
      </c>
      <c r="M17" s="132" t="s">
        <v>115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2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2"/>
      <c r="BJ17" s="29"/>
      <c r="BK17" s="29"/>
      <c r="BL17" s="29"/>
      <c r="BM17" s="29"/>
    </row>
    <row r="18" spans="2:65" ht="20.100000000000001" customHeight="1" x14ac:dyDescent="0.45">
      <c r="B18" s="118"/>
      <c r="C18" s="31"/>
      <c r="D18" s="31"/>
      <c r="E18" s="31"/>
      <c r="F18" s="31"/>
      <c r="G18" s="119"/>
      <c r="H18" s="120"/>
      <c r="I18" s="31"/>
      <c r="J18" s="120"/>
      <c r="K18" s="29"/>
      <c r="L18" s="133" t="s">
        <v>117</v>
      </c>
      <c r="M18" s="132" t="s">
        <v>115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2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22"/>
      <c r="BJ18" s="29"/>
      <c r="BK18" s="29"/>
      <c r="BL18" s="29"/>
      <c r="BM18" s="29"/>
    </row>
    <row r="19" spans="2:65" ht="20.100000000000001" customHeight="1" x14ac:dyDescent="0.45">
      <c r="B19" s="118"/>
      <c r="C19" s="31"/>
      <c r="D19" s="31"/>
      <c r="E19" s="31"/>
      <c r="F19" s="31"/>
      <c r="G19" s="119"/>
      <c r="H19" s="120"/>
      <c r="I19" s="31"/>
      <c r="J19" s="120" t="s">
        <v>118</v>
      </c>
      <c r="K19" s="133"/>
      <c r="L19" s="132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2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2"/>
      <c r="BJ19" s="29"/>
      <c r="BK19" s="29"/>
      <c r="BL19" s="29"/>
      <c r="BM19" s="29"/>
    </row>
    <row r="20" spans="2:65" ht="20.100000000000001" customHeight="1" x14ac:dyDescent="0.45">
      <c r="B20" s="118"/>
      <c r="C20" s="31"/>
      <c r="D20" s="31"/>
      <c r="E20" s="31"/>
      <c r="F20" s="31"/>
      <c r="G20" s="119"/>
      <c r="H20" s="120"/>
      <c r="I20" s="31"/>
      <c r="J20" s="120"/>
      <c r="K20" s="31" t="s">
        <v>119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2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2"/>
      <c r="BJ20" s="29"/>
      <c r="BK20" s="29"/>
      <c r="BL20" s="29"/>
      <c r="BM20" s="29"/>
    </row>
    <row r="21" spans="2:65" ht="20.100000000000001" customHeight="1" x14ac:dyDescent="0.45">
      <c r="B21" s="118"/>
      <c r="C21" s="31"/>
      <c r="D21" s="31"/>
      <c r="E21" s="31"/>
      <c r="F21" s="31"/>
      <c r="G21" s="119"/>
      <c r="H21" s="120"/>
      <c r="I21" s="31"/>
      <c r="J21" s="120"/>
      <c r="K21" s="29"/>
      <c r="L21" s="31"/>
      <c r="M21" s="31" t="s">
        <v>120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2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2"/>
    </row>
    <row r="22" spans="2:65" ht="20.100000000000001" customHeight="1" x14ac:dyDescent="0.45">
      <c r="B22" s="118"/>
      <c r="C22" s="31"/>
      <c r="D22" s="31"/>
      <c r="E22" s="31"/>
      <c r="F22" s="31"/>
      <c r="G22" s="119"/>
      <c r="H22" s="126"/>
      <c r="I22" s="127"/>
      <c r="J22" s="126"/>
      <c r="K22" s="127"/>
      <c r="L22" s="127" t="s">
        <v>116</v>
      </c>
      <c r="M22" s="127" t="s">
        <v>121</v>
      </c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8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  <c r="BG22" s="127"/>
      <c r="BH22" s="127"/>
      <c r="BI22" s="129"/>
    </row>
    <row r="23" spans="2:65" ht="20.100000000000001" customHeight="1" x14ac:dyDescent="0.45">
      <c r="B23" s="118"/>
      <c r="C23" s="31"/>
      <c r="D23" s="31"/>
      <c r="E23" s="31"/>
      <c r="F23" s="31"/>
      <c r="G23" s="119"/>
      <c r="H23" s="120" t="s">
        <v>122</v>
      </c>
      <c r="I23" s="31"/>
      <c r="J23" s="134"/>
      <c r="K23" s="132" t="s">
        <v>123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35" t="s">
        <v>124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2"/>
    </row>
    <row r="24" spans="2:65" ht="20.100000000000001" customHeight="1" x14ac:dyDescent="0.45">
      <c r="B24" s="118"/>
      <c r="C24" s="31"/>
      <c r="D24" s="31"/>
      <c r="E24" s="31"/>
      <c r="F24" s="31"/>
      <c r="G24" s="119"/>
      <c r="H24" s="120"/>
      <c r="I24" s="31"/>
      <c r="J24" s="134" t="s">
        <v>116</v>
      </c>
      <c r="K24" s="132" t="s">
        <v>125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2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2"/>
    </row>
    <row r="25" spans="2:65" ht="20.100000000000001" customHeight="1" x14ac:dyDescent="0.45">
      <c r="B25" s="118"/>
      <c r="C25" s="31"/>
      <c r="D25" s="31"/>
      <c r="E25" s="31"/>
      <c r="F25" s="31"/>
      <c r="G25" s="119"/>
      <c r="H25" s="120"/>
      <c r="I25" s="31"/>
      <c r="J25" s="134" t="s">
        <v>117</v>
      </c>
      <c r="K25" s="132" t="s">
        <v>125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2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22"/>
    </row>
    <row r="26" spans="2:65" ht="20.100000000000001" customHeight="1" x14ac:dyDescent="0.45">
      <c r="B26" s="118"/>
      <c r="C26" s="31"/>
      <c r="D26" s="31"/>
      <c r="E26" s="31"/>
      <c r="F26" s="31"/>
      <c r="G26" s="119"/>
      <c r="H26" s="120"/>
      <c r="I26" s="31"/>
      <c r="J26" s="134" t="s">
        <v>126</v>
      </c>
      <c r="K26" s="132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2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22"/>
    </row>
    <row r="27" spans="2:65" ht="20.100000000000001" customHeight="1" x14ac:dyDescent="0.45">
      <c r="B27" s="118"/>
      <c r="C27" s="31"/>
      <c r="D27" s="31"/>
      <c r="E27" s="31"/>
      <c r="F27" s="31"/>
      <c r="G27" s="119"/>
      <c r="H27" s="120"/>
      <c r="I27" s="31"/>
      <c r="J27" s="120"/>
      <c r="K27" s="31" t="s">
        <v>127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6" t="s">
        <v>128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22"/>
    </row>
    <row r="28" spans="2:65" ht="20.100000000000001" customHeight="1" x14ac:dyDescent="0.45">
      <c r="B28" s="118"/>
      <c r="C28" s="31"/>
      <c r="D28" s="31"/>
      <c r="E28" s="31"/>
      <c r="F28" s="31"/>
      <c r="G28" s="119"/>
      <c r="H28" s="120"/>
      <c r="I28" s="31"/>
      <c r="J28" s="120" t="s">
        <v>116</v>
      </c>
      <c r="K28" s="31" t="s">
        <v>129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20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2"/>
    </row>
    <row r="29" spans="2:65" ht="20.100000000000001" customHeight="1" x14ac:dyDescent="0.45">
      <c r="B29" s="118"/>
      <c r="C29" s="31"/>
      <c r="D29" s="31"/>
      <c r="E29" s="31"/>
      <c r="F29" s="31"/>
      <c r="G29" s="119"/>
      <c r="H29" s="120"/>
      <c r="I29" s="31"/>
      <c r="J29" s="134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20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22"/>
    </row>
    <row r="30" spans="2:65" ht="20.100000000000001" customHeight="1" x14ac:dyDescent="0.45">
      <c r="B30" s="118"/>
      <c r="C30" s="31"/>
      <c r="D30" s="31"/>
      <c r="E30" s="31"/>
      <c r="F30" s="31"/>
      <c r="G30" s="119"/>
      <c r="H30" s="120"/>
      <c r="I30" s="31"/>
      <c r="J30" s="120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20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22"/>
    </row>
    <row r="31" spans="2:65" ht="20.100000000000001" customHeight="1" x14ac:dyDescent="0.45">
      <c r="B31" s="118"/>
      <c r="C31" s="31"/>
      <c r="D31" s="31"/>
      <c r="E31" s="31"/>
      <c r="F31" s="31"/>
      <c r="G31" s="119"/>
      <c r="H31" s="126"/>
      <c r="I31" s="127"/>
      <c r="J31" s="126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6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9"/>
    </row>
    <row r="32" spans="2:65" ht="20.100000000000001" customHeight="1" x14ac:dyDescent="0.45">
      <c r="B32" s="118"/>
      <c r="C32" s="31"/>
      <c r="D32" s="31"/>
      <c r="E32" s="31"/>
      <c r="F32" s="31"/>
      <c r="G32" s="119"/>
      <c r="H32" s="120" t="s">
        <v>130</v>
      </c>
      <c r="I32" s="31"/>
      <c r="J32" s="134" t="s">
        <v>131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20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22"/>
    </row>
    <row r="33" spans="2:61" ht="20.100000000000001" customHeight="1" x14ac:dyDescent="0.45">
      <c r="B33" s="118"/>
      <c r="C33" s="31"/>
      <c r="D33" s="31"/>
      <c r="E33" s="31"/>
      <c r="F33" s="31"/>
      <c r="G33" s="119"/>
      <c r="H33" s="120"/>
      <c r="I33" s="31"/>
      <c r="J33" s="134" t="s">
        <v>132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20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22"/>
    </row>
    <row r="34" spans="2:61" ht="20.100000000000001" customHeight="1" thickBot="1" x14ac:dyDescent="0.5">
      <c r="B34" s="137"/>
      <c r="C34" s="138"/>
      <c r="D34" s="138"/>
      <c r="E34" s="138"/>
      <c r="F34" s="138"/>
      <c r="G34" s="139"/>
      <c r="H34" s="140"/>
      <c r="I34" s="138"/>
      <c r="J34" s="140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40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41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42" t="s">
        <v>133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H55"/>
  <sheetViews>
    <sheetView zoomScale="85" zoomScaleNormal="85" workbookViewId="0"/>
  </sheetViews>
  <sheetFormatPr defaultColWidth="8.796875" defaultRowHeight="18" x14ac:dyDescent="0.45"/>
  <cols>
    <col min="1" max="2" width="8.796875" style="29"/>
    <col min="3" max="3" width="14.3984375" style="29" bestFit="1" customWidth="1"/>
    <col min="4" max="4" width="21" style="29" bestFit="1" customWidth="1"/>
    <col min="5" max="5" width="89.5" style="29" bestFit="1" customWidth="1"/>
    <col min="6" max="6" width="33.8984375" style="29" customWidth="1"/>
    <col min="7" max="16384" width="8.796875" style="29"/>
  </cols>
  <sheetData>
    <row r="2" spans="2:8" ht="19.2" thickBot="1" x14ac:dyDescent="0.5">
      <c r="B2" s="87" t="s">
        <v>48</v>
      </c>
    </row>
    <row r="3" spans="2:8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52" t="s">
        <v>183</v>
      </c>
      <c r="G3" s="78" t="s">
        <v>51</v>
      </c>
    </row>
    <row r="4" spans="2:8" ht="54" x14ac:dyDescent="0.45">
      <c r="B4" s="37">
        <v>1</v>
      </c>
      <c r="C4" s="79" t="s">
        <v>94</v>
      </c>
      <c r="D4" s="79" t="s">
        <v>95</v>
      </c>
      <c r="E4" s="80" t="s">
        <v>96</v>
      </c>
      <c r="F4" s="80" t="s">
        <v>186</v>
      </c>
      <c r="G4" s="81" t="s">
        <v>187</v>
      </c>
    </row>
    <row r="5" spans="2:8" x14ac:dyDescent="0.45">
      <c r="B5" s="37">
        <v>2</v>
      </c>
      <c r="C5" s="79" t="s">
        <v>174</v>
      </c>
      <c r="D5" s="79" t="s">
        <v>178</v>
      </c>
      <c r="E5" s="82" t="s">
        <v>177</v>
      </c>
      <c r="F5" s="82" t="s">
        <v>182</v>
      </c>
      <c r="G5" s="81" t="s">
        <v>184</v>
      </c>
      <c r="H5" s="153"/>
    </row>
    <row r="6" spans="2:8" x14ac:dyDescent="0.45">
      <c r="B6" s="37">
        <v>3</v>
      </c>
      <c r="C6" s="79"/>
      <c r="D6" s="79"/>
      <c r="E6" s="82"/>
      <c r="F6" s="82"/>
      <c r="G6" s="81"/>
    </row>
    <row r="7" spans="2:8" x14ac:dyDescent="0.45">
      <c r="B7" s="37">
        <v>4</v>
      </c>
      <c r="C7" s="79"/>
      <c r="D7" s="79"/>
      <c r="E7" s="82"/>
      <c r="F7" s="82"/>
      <c r="G7" s="81"/>
    </row>
    <row r="8" spans="2:8" x14ac:dyDescent="0.45">
      <c r="B8" s="37">
        <v>5</v>
      </c>
      <c r="C8" s="79"/>
      <c r="D8" s="79"/>
      <c r="E8" s="82"/>
      <c r="F8" s="82"/>
      <c r="G8" s="81"/>
    </row>
    <row r="9" spans="2:8" x14ac:dyDescent="0.45">
      <c r="B9" s="37">
        <v>6</v>
      </c>
      <c r="C9" s="79"/>
      <c r="D9" s="79"/>
      <c r="E9" s="82"/>
      <c r="F9" s="82"/>
      <c r="G9" s="81"/>
    </row>
    <row r="10" spans="2:8" x14ac:dyDescent="0.45">
      <c r="B10" s="37">
        <v>7</v>
      </c>
      <c r="C10" s="79"/>
      <c r="D10" s="79"/>
      <c r="E10" s="82"/>
      <c r="F10" s="82"/>
      <c r="G10" s="81"/>
    </row>
    <row r="11" spans="2:8" x14ac:dyDescent="0.45">
      <c r="B11" s="37">
        <v>8</v>
      </c>
      <c r="C11" s="79"/>
      <c r="D11" s="79"/>
      <c r="E11" s="82"/>
      <c r="F11" s="82"/>
      <c r="G11" s="81"/>
    </row>
    <row r="12" spans="2:8" x14ac:dyDescent="0.45">
      <c r="B12" s="37">
        <v>9</v>
      </c>
      <c r="C12" s="79"/>
      <c r="D12" s="79"/>
      <c r="E12" s="82"/>
      <c r="F12" s="82"/>
      <c r="G12" s="81"/>
    </row>
    <row r="13" spans="2:8" x14ac:dyDescent="0.45">
      <c r="B13" s="37">
        <v>10</v>
      </c>
      <c r="C13" s="79"/>
      <c r="D13" s="79"/>
      <c r="E13" s="82"/>
      <c r="F13" s="82"/>
      <c r="G13" s="81"/>
    </row>
    <row r="14" spans="2:8" x14ac:dyDescent="0.45">
      <c r="B14" s="37">
        <v>11</v>
      </c>
      <c r="C14" s="79"/>
      <c r="D14" s="79"/>
      <c r="E14" s="82"/>
      <c r="F14" s="82"/>
      <c r="G14" s="81"/>
    </row>
    <row r="15" spans="2:8" x14ac:dyDescent="0.45">
      <c r="B15" s="37">
        <v>12</v>
      </c>
      <c r="C15" s="79"/>
      <c r="D15" s="79"/>
      <c r="E15" s="82"/>
      <c r="F15" s="82"/>
      <c r="G15" s="81"/>
    </row>
    <row r="16" spans="2:8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zoomScaleNormal="100" zoomScaleSheetLayoutView="100" workbookViewId="0">
      <pane ySplit="4" topLeftCell="A5" activePane="bottomLeft" state="frozen"/>
      <selection pane="bottomLeft"/>
    </sheetView>
  </sheetViews>
  <sheetFormatPr defaultColWidth="8.09765625" defaultRowHeight="13.5" customHeight="1" x14ac:dyDescent="0.45"/>
  <cols>
    <col min="1" max="1" width="9" style="90" customWidth="1"/>
    <col min="2" max="2" width="8.09765625" style="90"/>
    <col min="3" max="3" width="33.69921875" style="91" customWidth="1"/>
    <col min="4" max="7" width="10.09765625" style="92" customWidth="1"/>
    <col min="8" max="8" width="6.69921875" style="90" hidden="1" customWidth="1"/>
    <col min="9" max="9" width="13.3984375" style="90" customWidth="1"/>
    <col min="10" max="10" width="0.69921875" style="90" customWidth="1"/>
    <col min="11" max="256" width="8.09765625" style="90"/>
    <col min="257" max="257" width="9" style="90" customWidth="1"/>
    <col min="258" max="258" width="8.09765625" style="90"/>
    <col min="259" max="259" width="33.69921875" style="90" customWidth="1"/>
    <col min="260" max="263" width="10.09765625" style="90" customWidth="1"/>
    <col min="264" max="264" width="0" style="90" hidden="1" customWidth="1"/>
    <col min="265" max="265" width="13.3984375" style="90" customWidth="1"/>
    <col min="266" max="266" width="0.69921875" style="90" customWidth="1"/>
    <col min="267" max="512" width="8.09765625" style="90"/>
    <col min="513" max="513" width="9" style="90" customWidth="1"/>
    <col min="514" max="514" width="8.09765625" style="90"/>
    <col min="515" max="515" width="33.69921875" style="90" customWidth="1"/>
    <col min="516" max="519" width="10.09765625" style="90" customWidth="1"/>
    <col min="520" max="520" width="0" style="90" hidden="1" customWidth="1"/>
    <col min="521" max="521" width="13.3984375" style="90" customWidth="1"/>
    <col min="522" max="522" width="0.69921875" style="90" customWidth="1"/>
    <col min="523" max="768" width="8.09765625" style="90"/>
    <col min="769" max="769" width="9" style="90" customWidth="1"/>
    <col min="770" max="770" width="8.09765625" style="90"/>
    <col min="771" max="771" width="33.69921875" style="90" customWidth="1"/>
    <col min="772" max="775" width="10.09765625" style="90" customWidth="1"/>
    <col min="776" max="776" width="0" style="90" hidden="1" customWidth="1"/>
    <col min="777" max="777" width="13.3984375" style="90" customWidth="1"/>
    <col min="778" max="778" width="0.69921875" style="90" customWidth="1"/>
    <col min="779" max="1024" width="8.09765625" style="90"/>
    <col min="1025" max="1025" width="9" style="90" customWidth="1"/>
    <col min="1026" max="1026" width="8.09765625" style="90"/>
    <col min="1027" max="1027" width="33.69921875" style="90" customWidth="1"/>
    <col min="1028" max="1031" width="10.09765625" style="90" customWidth="1"/>
    <col min="1032" max="1032" width="0" style="90" hidden="1" customWidth="1"/>
    <col min="1033" max="1033" width="13.3984375" style="90" customWidth="1"/>
    <col min="1034" max="1034" width="0.69921875" style="90" customWidth="1"/>
    <col min="1035" max="1280" width="8.09765625" style="90"/>
    <col min="1281" max="1281" width="9" style="90" customWidth="1"/>
    <col min="1282" max="1282" width="8.09765625" style="90"/>
    <col min="1283" max="1283" width="33.69921875" style="90" customWidth="1"/>
    <col min="1284" max="1287" width="10.09765625" style="90" customWidth="1"/>
    <col min="1288" max="1288" width="0" style="90" hidden="1" customWidth="1"/>
    <col min="1289" max="1289" width="13.3984375" style="90" customWidth="1"/>
    <col min="1290" max="1290" width="0.69921875" style="90" customWidth="1"/>
    <col min="1291" max="1536" width="8.09765625" style="90"/>
    <col min="1537" max="1537" width="9" style="90" customWidth="1"/>
    <col min="1538" max="1538" width="8.09765625" style="90"/>
    <col min="1539" max="1539" width="33.69921875" style="90" customWidth="1"/>
    <col min="1540" max="1543" width="10.09765625" style="90" customWidth="1"/>
    <col min="1544" max="1544" width="0" style="90" hidden="1" customWidth="1"/>
    <col min="1545" max="1545" width="13.3984375" style="90" customWidth="1"/>
    <col min="1546" max="1546" width="0.69921875" style="90" customWidth="1"/>
    <col min="1547" max="1792" width="8.09765625" style="90"/>
    <col min="1793" max="1793" width="9" style="90" customWidth="1"/>
    <col min="1794" max="1794" width="8.09765625" style="90"/>
    <col min="1795" max="1795" width="33.69921875" style="90" customWidth="1"/>
    <col min="1796" max="1799" width="10.09765625" style="90" customWidth="1"/>
    <col min="1800" max="1800" width="0" style="90" hidden="1" customWidth="1"/>
    <col min="1801" max="1801" width="13.3984375" style="90" customWidth="1"/>
    <col min="1802" max="1802" width="0.69921875" style="90" customWidth="1"/>
    <col min="1803" max="2048" width="8.09765625" style="90"/>
    <col min="2049" max="2049" width="9" style="90" customWidth="1"/>
    <col min="2050" max="2050" width="8.09765625" style="90"/>
    <col min="2051" max="2051" width="33.69921875" style="90" customWidth="1"/>
    <col min="2052" max="2055" width="10.09765625" style="90" customWidth="1"/>
    <col min="2056" max="2056" width="0" style="90" hidden="1" customWidth="1"/>
    <col min="2057" max="2057" width="13.3984375" style="90" customWidth="1"/>
    <col min="2058" max="2058" width="0.69921875" style="90" customWidth="1"/>
    <col min="2059" max="2304" width="8.09765625" style="90"/>
    <col min="2305" max="2305" width="9" style="90" customWidth="1"/>
    <col min="2306" max="2306" width="8.09765625" style="90"/>
    <col min="2307" max="2307" width="33.69921875" style="90" customWidth="1"/>
    <col min="2308" max="2311" width="10.09765625" style="90" customWidth="1"/>
    <col min="2312" max="2312" width="0" style="90" hidden="1" customWidth="1"/>
    <col min="2313" max="2313" width="13.3984375" style="90" customWidth="1"/>
    <col min="2314" max="2314" width="0.69921875" style="90" customWidth="1"/>
    <col min="2315" max="2560" width="8.09765625" style="90"/>
    <col min="2561" max="2561" width="9" style="90" customWidth="1"/>
    <col min="2562" max="2562" width="8.09765625" style="90"/>
    <col min="2563" max="2563" width="33.69921875" style="90" customWidth="1"/>
    <col min="2564" max="2567" width="10.09765625" style="90" customWidth="1"/>
    <col min="2568" max="2568" width="0" style="90" hidden="1" customWidth="1"/>
    <col min="2569" max="2569" width="13.3984375" style="90" customWidth="1"/>
    <col min="2570" max="2570" width="0.69921875" style="90" customWidth="1"/>
    <col min="2571" max="2816" width="8.09765625" style="90"/>
    <col min="2817" max="2817" width="9" style="90" customWidth="1"/>
    <col min="2818" max="2818" width="8.09765625" style="90"/>
    <col min="2819" max="2819" width="33.69921875" style="90" customWidth="1"/>
    <col min="2820" max="2823" width="10.09765625" style="90" customWidth="1"/>
    <col min="2824" max="2824" width="0" style="90" hidden="1" customWidth="1"/>
    <col min="2825" max="2825" width="13.3984375" style="90" customWidth="1"/>
    <col min="2826" max="2826" width="0.69921875" style="90" customWidth="1"/>
    <col min="2827" max="3072" width="8.09765625" style="90"/>
    <col min="3073" max="3073" width="9" style="90" customWidth="1"/>
    <col min="3074" max="3074" width="8.09765625" style="90"/>
    <col min="3075" max="3075" width="33.69921875" style="90" customWidth="1"/>
    <col min="3076" max="3079" width="10.09765625" style="90" customWidth="1"/>
    <col min="3080" max="3080" width="0" style="90" hidden="1" customWidth="1"/>
    <col min="3081" max="3081" width="13.3984375" style="90" customWidth="1"/>
    <col min="3082" max="3082" width="0.69921875" style="90" customWidth="1"/>
    <col min="3083" max="3328" width="8.09765625" style="90"/>
    <col min="3329" max="3329" width="9" style="90" customWidth="1"/>
    <col min="3330" max="3330" width="8.09765625" style="90"/>
    <col min="3331" max="3331" width="33.69921875" style="90" customWidth="1"/>
    <col min="3332" max="3335" width="10.09765625" style="90" customWidth="1"/>
    <col min="3336" max="3336" width="0" style="90" hidden="1" customWidth="1"/>
    <col min="3337" max="3337" width="13.3984375" style="90" customWidth="1"/>
    <col min="3338" max="3338" width="0.69921875" style="90" customWidth="1"/>
    <col min="3339" max="3584" width="8.09765625" style="90"/>
    <col min="3585" max="3585" width="9" style="90" customWidth="1"/>
    <col min="3586" max="3586" width="8.09765625" style="90"/>
    <col min="3587" max="3587" width="33.69921875" style="90" customWidth="1"/>
    <col min="3588" max="3591" width="10.09765625" style="90" customWidth="1"/>
    <col min="3592" max="3592" width="0" style="90" hidden="1" customWidth="1"/>
    <col min="3593" max="3593" width="13.3984375" style="90" customWidth="1"/>
    <col min="3594" max="3594" width="0.69921875" style="90" customWidth="1"/>
    <col min="3595" max="3840" width="8.09765625" style="90"/>
    <col min="3841" max="3841" width="9" style="90" customWidth="1"/>
    <col min="3842" max="3842" width="8.09765625" style="90"/>
    <col min="3843" max="3843" width="33.69921875" style="90" customWidth="1"/>
    <col min="3844" max="3847" width="10.09765625" style="90" customWidth="1"/>
    <col min="3848" max="3848" width="0" style="90" hidden="1" customWidth="1"/>
    <col min="3849" max="3849" width="13.3984375" style="90" customWidth="1"/>
    <col min="3850" max="3850" width="0.69921875" style="90" customWidth="1"/>
    <col min="3851" max="4096" width="8.09765625" style="90"/>
    <col min="4097" max="4097" width="9" style="90" customWidth="1"/>
    <col min="4098" max="4098" width="8.09765625" style="90"/>
    <col min="4099" max="4099" width="33.69921875" style="90" customWidth="1"/>
    <col min="4100" max="4103" width="10.09765625" style="90" customWidth="1"/>
    <col min="4104" max="4104" width="0" style="90" hidden="1" customWidth="1"/>
    <col min="4105" max="4105" width="13.3984375" style="90" customWidth="1"/>
    <col min="4106" max="4106" width="0.69921875" style="90" customWidth="1"/>
    <col min="4107" max="4352" width="8.09765625" style="90"/>
    <col min="4353" max="4353" width="9" style="90" customWidth="1"/>
    <col min="4354" max="4354" width="8.09765625" style="90"/>
    <col min="4355" max="4355" width="33.69921875" style="90" customWidth="1"/>
    <col min="4356" max="4359" width="10.09765625" style="90" customWidth="1"/>
    <col min="4360" max="4360" width="0" style="90" hidden="1" customWidth="1"/>
    <col min="4361" max="4361" width="13.3984375" style="90" customWidth="1"/>
    <col min="4362" max="4362" width="0.69921875" style="90" customWidth="1"/>
    <col min="4363" max="4608" width="8.09765625" style="90"/>
    <col min="4609" max="4609" width="9" style="90" customWidth="1"/>
    <col min="4610" max="4610" width="8.09765625" style="90"/>
    <col min="4611" max="4611" width="33.69921875" style="90" customWidth="1"/>
    <col min="4612" max="4615" width="10.09765625" style="90" customWidth="1"/>
    <col min="4616" max="4616" width="0" style="90" hidden="1" customWidth="1"/>
    <col min="4617" max="4617" width="13.3984375" style="90" customWidth="1"/>
    <col min="4618" max="4618" width="0.69921875" style="90" customWidth="1"/>
    <col min="4619" max="4864" width="8.09765625" style="90"/>
    <col min="4865" max="4865" width="9" style="90" customWidth="1"/>
    <col min="4866" max="4866" width="8.09765625" style="90"/>
    <col min="4867" max="4867" width="33.69921875" style="90" customWidth="1"/>
    <col min="4868" max="4871" width="10.09765625" style="90" customWidth="1"/>
    <col min="4872" max="4872" width="0" style="90" hidden="1" customWidth="1"/>
    <col min="4873" max="4873" width="13.3984375" style="90" customWidth="1"/>
    <col min="4874" max="4874" width="0.69921875" style="90" customWidth="1"/>
    <col min="4875" max="5120" width="8.09765625" style="90"/>
    <col min="5121" max="5121" width="9" style="90" customWidth="1"/>
    <col min="5122" max="5122" width="8.09765625" style="90"/>
    <col min="5123" max="5123" width="33.69921875" style="90" customWidth="1"/>
    <col min="5124" max="5127" width="10.09765625" style="90" customWidth="1"/>
    <col min="5128" max="5128" width="0" style="90" hidden="1" customWidth="1"/>
    <col min="5129" max="5129" width="13.3984375" style="90" customWidth="1"/>
    <col min="5130" max="5130" width="0.69921875" style="90" customWidth="1"/>
    <col min="5131" max="5376" width="8.09765625" style="90"/>
    <col min="5377" max="5377" width="9" style="90" customWidth="1"/>
    <col min="5378" max="5378" width="8.09765625" style="90"/>
    <col min="5379" max="5379" width="33.69921875" style="90" customWidth="1"/>
    <col min="5380" max="5383" width="10.09765625" style="90" customWidth="1"/>
    <col min="5384" max="5384" width="0" style="90" hidden="1" customWidth="1"/>
    <col min="5385" max="5385" width="13.3984375" style="90" customWidth="1"/>
    <col min="5386" max="5386" width="0.69921875" style="90" customWidth="1"/>
    <col min="5387" max="5632" width="8.09765625" style="90"/>
    <col min="5633" max="5633" width="9" style="90" customWidth="1"/>
    <col min="5634" max="5634" width="8.09765625" style="90"/>
    <col min="5635" max="5635" width="33.69921875" style="90" customWidth="1"/>
    <col min="5636" max="5639" width="10.09765625" style="90" customWidth="1"/>
    <col min="5640" max="5640" width="0" style="90" hidden="1" customWidth="1"/>
    <col min="5641" max="5641" width="13.3984375" style="90" customWidth="1"/>
    <col min="5642" max="5642" width="0.69921875" style="90" customWidth="1"/>
    <col min="5643" max="5888" width="8.09765625" style="90"/>
    <col min="5889" max="5889" width="9" style="90" customWidth="1"/>
    <col min="5890" max="5890" width="8.09765625" style="90"/>
    <col min="5891" max="5891" width="33.69921875" style="90" customWidth="1"/>
    <col min="5892" max="5895" width="10.09765625" style="90" customWidth="1"/>
    <col min="5896" max="5896" width="0" style="90" hidden="1" customWidth="1"/>
    <col min="5897" max="5897" width="13.3984375" style="90" customWidth="1"/>
    <col min="5898" max="5898" width="0.69921875" style="90" customWidth="1"/>
    <col min="5899" max="6144" width="8.09765625" style="90"/>
    <col min="6145" max="6145" width="9" style="90" customWidth="1"/>
    <col min="6146" max="6146" width="8.09765625" style="90"/>
    <col min="6147" max="6147" width="33.69921875" style="90" customWidth="1"/>
    <col min="6148" max="6151" width="10.09765625" style="90" customWidth="1"/>
    <col min="6152" max="6152" width="0" style="90" hidden="1" customWidth="1"/>
    <col min="6153" max="6153" width="13.3984375" style="90" customWidth="1"/>
    <col min="6154" max="6154" width="0.69921875" style="90" customWidth="1"/>
    <col min="6155" max="6400" width="8.09765625" style="90"/>
    <col min="6401" max="6401" width="9" style="90" customWidth="1"/>
    <col min="6402" max="6402" width="8.09765625" style="90"/>
    <col min="6403" max="6403" width="33.69921875" style="90" customWidth="1"/>
    <col min="6404" max="6407" width="10.09765625" style="90" customWidth="1"/>
    <col min="6408" max="6408" width="0" style="90" hidden="1" customWidth="1"/>
    <col min="6409" max="6409" width="13.3984375" style="90" customWidth="1"/>
    <col min="6410" max="6410" width="0.69921875" style="90" customWidth="1"/>
    <col min="6411" max="6656" width="8.09765625" style="90"/>
    <col min="6657" max="6657" width="9" style="90" customWidth="1"/>
    <col min="6658" max="6658" width="8.09765625" style="90"/>
    <col min="6659" max="6659" width="33.69921875" style="90" customWidth="1"/>
    <col min="6660" max="6663" width="10.09765625" style="90" customWidth="1"/>
    <col min="6664" max="6664" width="0" style="90" hidden="1" customWidth="1"/>
    <col min="6665" max="6665" width="13.3984375" style="90" customWidth="1"/>
    <col min="6666" max="6666" width="0.69921875" style="90" customWidth="1"/>
    <col min="6667" max="6912" width="8.09765625" style="90"/>
    <col min="6913" max="6913" width="9" style="90" customWidth="1"/>
    <col min="6914" max="6914" width="8.09765625" style="90"/>
    <col min="6915" max="6915" width="33.69921875" style="90" customWidth="1"/>
    <col min="6916" max="6919" width="10.09765625" style="90" customWidth="1"/>
    <col min="6920" max="6920" width="0" style="90" hidden="1" customWidth="1"/>
    <col min="6921" max="6921" width="13.3984375" style="90" customWidth="1"/>
    <col min="6922" max="6922" width="0.69921875" style="90" customWidth="1"/>
    <col min="6923" max="7168" width="8.09765625" style="90"/>
    <col min="7169" max="7169" width="9" style="90" customWidth="1"/>
    <col min="7170" max="7170" width="8.09765625" style="90"/>
    <col min="7171" max="7171" width="33.69921875" style="90" customWidth="1"/>
    <col min="7172" max="7175" width="10.09765625" style="90" customWidth="1"/>
    <col min="7176" max="7176" width="0" style="90" hidden="1" customWidth="1"/>
    <col min="7177" max="7177" width="13.3984375" style="90" customWidth="1"/>
    <col min="7178" max="7178" width="0.69921875" style="90" customWidth="1"/>
    <col min="7179" max="7424" width="8.09765625" style="90"/>
    <col min="7425" max="7425" width="9" style="90" customWidth="1"/>
    <col min="7426" max="7426" width="8.09765625" style="90"/>
    <col min="7427" max="7427" width="33.69921875" style="90" customWidth="1"/>
    <col min="7428" max="7431" width="10.09765625" style="90" customWidth="1"/>
    <col min="7432" max="7432" width="0" style="90" hidden="1" customWidth="1"/>
    <col min="7433" max="7433" width="13.3984375" style="90" customWidth="1"/>
    <col min="7434" max="7434" width="0.69921875" style="90" customWidth="1"/>
    <col min="7435" max="7680" width="8.09765625" style="90"/>
    <col min="7681" max="7681" width="9" style="90" customWidth="1"/>
    <col min="7682" max="7682" width="8.09765625" style="90"/>
    <col min="7683" max="7683" width="33.69921875" style="90" customWidth="1"/>
    <col min="7684" max="7687" width="10.09765625" style="90" customWidth="1"/>
    <col min="7688" max="7688" width="0" style="90" hidden="1" customWidth="1"/>
    <col min="7689" max="7689" width="13.3984375" style="90" customWidth="1"/>
    <col min="7690" max="7690" width="0.69921875" style="90" customWidth="1"/>
    <col min="7691" max="7936" width="8.09765625" style="90"/>
    <col min="7937" max="7937" width="9" style="90" customWidth="1"/>
    <col min="7938" max="7938" width="8.09765625" style="90"/>
    <col min="7939" max="7939" width="33.69921875" style="90" customWidth="1"/>
    <col min="7940" max="7943" width="10.09765625" style="90" customWidth="1"/>
    <col min="7944" max="7944" width="0" style="90" hidden="1" customWidth="1"/>
    <col min="7945" max="7945" width="13.3984375" style="90" customWidth="1"/>
    <col min="7946" max="7946" width="0.69921875" style="90" customWidth="1"/>
    <col min="7947" max="8192" width="8.09765625" style="90"/>
    <col min="8193" max="8193" width="9" style="90" customWidth="1"/>
    <col min="8194" max="8194" width="8.09765625" style="90"/>
    <col min="8195" max="8195" width="33.69921875" style="90" customWidth="1"/>
    <col min="8196" max="8199" width="10.09765625" style="90" customWidth="1"/>
    <col min="8200" max="8200" width="0" style="90" hidden="1" customWidth="1"/>
    <col min="8201" max="8201" width="13.3984375" style="90" customWidth="1"/>
    <col min="8202" max="8202" width="0.69921875" style="90" customWidth="1"/>
    <col min="8203" max="8448" width="8.09765625" style="90"/>
    <col min="8449" max="8449" width="9" style="90" customWidth="1"/>
    <col min="8450" max="8450" width="8.09765625" style="90"/>
    <col min="8451" max="8451" width="33.69921875" style="90" customWidth="1"/>
    <col min="8452" max="8455" width="10.09765625" style="90" customWidth="1"/>
    <col min="8456" max="8456" width="0" style="90" hidden="1" customWidth="1"/>
    <col min="8457" max="8457" width="13.3984375" style="90" customWidth="1"/>
    <col min="8458" max="8458" width="0.69921875" style="90" customWidth="1"/>
    <col min="8459" max="8704" width="8.09765625" style="90"/>
    <col min="8705" max="8705" width="9" style="90" customWidth="1"/>
    <col min="8706" max="8706" width="8.09765625" style="90"/>
    <col min="8707" max="8707" width="33.69921875" style="90" customWidth="1"/>
    <col min="8708" max="8711" width="10.09765625" style="90" customWidth="1"/>
    <col min="8712" max="8712" width="0" style="90" hidden="1" customWidth="1"/>
    <col min="8713" max="8713" width="13.3984375" style="90" customWidth="1"/>
    <col min="8714" max="8714" width="0.69921875" style="90" customWidth="1"/>
    <col min="8715" max="8960" width="8.09765625" style="90"/>
    <col min="8961" max="8961" width="9" style="90" customWidth="1"/>
    <col min="8962" max="8962" width="8.09765625" style="90"/>
    <col min="8963" max="8963" width="33.69921875" style="90" customWidth="1"/>
    <col min="8964" max="8967" width="10.09765625" style="90" customWidth="1"/>
    <col min="8968" max="8968" width="0" style="90" hidden="1" customWidth="1"/>
    <col min="8969" max="8969" width="13.3984375" style="90" customWidth="1"/>
    <col min="8970" max="8970" width="0.69921875" style="90" customWidth="1"/>
    <col min="8971" max="9216" width="8.09765625" style="90"/>
    <col min="9217" max="9217" width="9" style="90" customWidth="1"/>
    <col min="9218" max="9218" width="8.09765625" style="90"/>
    <col min="9219" max="9219" width="33.69921875" style="90" customWidth="1"/>
    <col min="9220" max="9223" width="10.09765625" style="90" customWidth="1"/>
    <col min="9224" max="9224" width="0" style="90" hidden="1" customWidth="1"/>
    <col min="9225" max="9225" width="13.3984375" style="90" customWidth="1"/>
    <col min="9226" max="9226" width="0.69921875" style="90" customWidth="1"/>
    <col min="9227" max="9472" width="8.09765625" style="90"/>
    <col min="9473" max="9473" width="9" style="90" customWidth="1"/>
    <col min="9474" max="9474" width="8.09765625" style="90"/>
    <col min="9475" max="9475" width="33.69921875" style="90" customWidth="1"/>
    <col min="9476" max="9479" width="10.09765625" style="90" customWidth="1"/>
    <col min="9480" max="9480" width="0" style="90" hidden="1" customWidth="1"/>
    <col min="9481" max="9481" width="13.3984375" style="90" customWidth="1"/>
    <col min="9482" max="9482" width="0.69921875" style="90" customWidth="1"/>
    <col min="9483" max="9728" width="8.09765625" style="90"/>
    <col min="9729" max="9729" width="9" style="90" customWidth="1"/>
    <col min="9730" max="9730" width="8.09765625" style="90"/>
    <col min="9731" max="9731" width="33.69921875" style="90" customWidth="1"/>
    <col min="9732" max="9735" width="10.09765625" style="90" customWidth="1"/>
    <col min="9736" max="9736" width="0" style="90" hidden="1" customWidth="1"/>
    <col min="9737" max="9737" width="13.3984375" style="90" customWidth="1"/>
    <col min="9738" max="9738" width="0.69921875" style="90" customWidth="1"/>
    <col min="9739" max="9984" width="8.09765625" style="90"/>
    <col min="9985" max="9985" width="9" style="90" customWidth="1"/>
    <col min="9986" max="9986" width="8.09765625" style="90"/>
    <col min="9987" max="9987" width="33.69921875" style="90" customWidth="1"/>
    <col min="9988" max="9991" width="10.09765625" style="90" customWidth="1"/>
    <col min="9992" max="9992" width="0" style="90" hidden="1" customWidth="1"/>
    <col min="9993" max="9993" width="13.3984375" style="90" customWidth="1"/>
    <col min="9994" max="9994" width="0.69921875" style="90" customWidth="1"/>
    <col min="9995" max="10240" width="8.09765625" style="90"/>
    <col min="10241" max="10241" width="9" style="90" customWidth="1"/>
    <col min="10242" max="10242" width="8.09765625" style="90"/>
    <col min="10243" max="10243" width="33.69921875" style="90" customWidth="1"/>
    <col min="10244" max="10247" width="10.09765625" style="90" customWidth="1"/>
    <col min="10248" max="10248" width="0" style="90" hidden="1" customWidth="1"/>
    <col min="10249" max="10249" width="13.3984375" style="90" customWidth="1"/>
    <col min="10250" max="10250" width="0.69921875" style="90" customWidth="1"/>
    <col min="10251" max="10496" width="8.09765625" style="90"/>
    <col min="10497" max="10497" width="9" style="90" customWidth="1"/>
    <col min="10498" max="10498" width="8.09765625" style="90"/>
    <col min="10499" max="10499" width="33.69921875" style="90" customWidth="1"/>
    <col min="10500" max="10503" width="10.09765625" style="90" customWidth="1"/>
    <col min="10504" max="10504" width="0" style="90" hidden="1" customWidth="1"/>
    <col min="10505" max="10505" width="13.3984375" style="90" customWidth="1"/>
    <col min="10506" max="10506" width="0.69921875" style="90" customWidth="1"/>
    <col min="10507" max="10752" width="8.09765625" style="90"/>
    <col min="10753" max="10753" width="9" style="90" customWidth="1"/>
    <col min="10754" max="10754" width="8.09765625" style="90"/>
    <col min="10755" max="10755" width="33.69921875" style="90" customWidth="1"/>
    <col min="10756" max="10759" width="10.09765625" style="90" customWidth="1"/>
    <col min="10760" max="10760" width="0" style="90" hidden="1" customWidth="1"/>
    <col min="10761" max="10761" width="13.3984375" style="90" customWidth="1"/>
    <col min="10762" max="10762" width="0.69921875" style="90" customWidth="1"/>
    <col min="10763" max="11008" width="8.09765625" style="90"/>
    <col min="11009" max="11009" width="9" style="90" customWidth="1"/>
    <col min="11010" max="11010" width="8.09765625" style="90"/>
    <col min="11011" max="11011" width="33.69921875" style="90" customWidth="1"/>
    <col min="11012" max="11015" width="10.09765625" style="90" customWidth="1"/>
    <col min="11016" max="11016" width="0" style="90" hidden="1" customWidth="1"/>
    <col min="11017" max="11017" width="13.3984375" style="90" customWidth="1"/>
    <col min="11018" max="11018" width="0.69921875" style="90" customWidth="1"/>
    <col min="11019" max="11264" width="8.09765625" style="90"/>
    <col min="11265" max="11265" width="9" style="90" customWidth="1"/>
    <col min="11266" max="11266" width="8.09765625" style="90"/>
    <col min="11267" max="11267" width="33.69921875" style="90" customWidth="1"/>
    <col min="11268" max="11271" width="10.09765625" style="90" customWidth="1"/>
    <col min="11272" max="11272" width="0" style="90" hidden="1" customWidth="1"/>
    <col min="11273" max="11273" width="13.3984375" style="90" customWidth="1"/>
    <col min="11274" max="11274" width="0.69921875" style="90" customWidth="1"/>
    <col min="11275" max="11520" width="8.09765625" style="90"/>
    <col min="11521" max="11521" width="9" style="90" customWidth="1"/>
    <col min="11522" max="11522" width="8.09765625" style="90"/>
    <col min="11523" max="11523" width="33.69921875" style="90" customWidth="1"/>
    <col min="11524" max="11527" width="10.09765625" style="90" customWidth="1"/>
    <col min="11528" max="11528" width="0" style="90" hidden="1" customWidth="1"/>
    <col min="11529" max="11529" width="13.3984375" style="90" customWidth="1"/>
    <col min="11530" max="11530" width="0.69921875" style="90" customWidth="1"/>
    <col min="11531" max="11776" width="8.09765625" style="90"/>
    <col min="11777" max="11777" width="9" style="90" customWidth="1"/>
    <col min="11778" max="11778" width="8.09765625" style="90"/>
    <col min="11779" max="11779" width="33.69921875" style="90" customWidth="1"/>
    <col min="11780" max="11783" width="10.09765625" style="90" customWidth="1"/>
    <col min="11784" max="11784" width="0" style="90" hidden="1" customWidth="1"/>
    <col min="11785" max="11785" width="13.3984375" style="90" customWidth="1"/>
    <col min="11786" max="11786" width="0.69921875" style="90" customWidth="1"/>
    <col min="11787" max="12032" width="8.09765625" style="90"/>
    <col min="12033" max="12033" width="9" style="90" customWidth="1"/>
    <col min="12034" max="12034" width="8.09765625" style="90"/>
    <col min="12035" max="12035" width="33.69921875" style="90" customWidth="1"/>
    <col min="12036" max="12039" width="10.09765625" style="90" customWidth="1"/>
    <col min="12040" max="12040" width="0" style="90" hidden="1" customWidth="1"/>
    <col min="12041" max="12041" width="13.3984375" style="90" customWidth="1"/>
    <col min="12042" max="12042" width="0.69921875" style="90" customWidth="1"/>
    <col min="12043" max="12288" width="8.09765625" style="90"/>
    <col min="12289" max="12289" width="9" style="90" customWidth="1"/>
    <col min="12290" max="12290" width="8.09765625" style="90"/>
    <col min="12291" max="12291" width="33.69921875" style="90" customWidth="1"/>
    <col min="12292" max="12295" width="10.09765625" style="90" customWidth="1"/>
    <col min="12296" max="12296" width="0" style="90" hidden="1" customWidth="1"/>
    <col min="12297" max="12297" width="13.3984375" style="90" customWidth="1"/>
    <col min="12298" max="12298" width="0.69921875" style="90" customWidth="1"/>
    <col min="12299" max="12544" width="8.09765625" style="90"/>
    <col min="12545" max="12545" width="9" style="90" customWidth="1"/>
    <col min="12546" max="12546" width="8.09765625" style="90"/>
    <col min="12547" max="12547" width="33.69921875" style="90" customWidth="1"/>
    <col min="12548" max="12551" width="10.09765625" style="90" customWidth="1"/>
    <col min="12552" max="12552" width="0" style="90" hidden="1" customWidth="1"/>
    <col min="12553" max="12553" width="13.3984375" style="90" customWidth="1"/>
    <col min="12554" max="12554" width="0.69921875" style="90" customWidth="1"/>
    <col min="12555" max="12800" width="8.09765625" style="90"/>
    <col min="12801" max="12801" width="9" style="90" customWidth="1"/>
    <col min="12802" max="12802" width="8.09765625" style="90"/>
    <col min="12803" max="12803" width="33.69921875" style="90" customWidth="1"/>
    <col min="12804" max="12807" width="10.09765625" style="90" customWidth="1"/>
    <col min="12808" max="12808" width="0" style="90" hidden="1" customWidth="1"/>
    <col min="12809" max="12809" width="13.3984375" style="90" customWidth="1"/>
    <col min="12810" max="12810" width="0.69921875" style="90" customWidth="1"/>
    <col min="12811" max="13056" width="8.09765625" style="90"/>
    <col min="13057" max="13057" width="9" style="90" customWidth="1"/>
    <col min="13058" max="13058" width="8.09765625" style="90"/>
    <col min="13059" max="13059" width="33.69921875" style="90" customWidth="1"/>
    <col min="13060" max="13063" width="10.09765625" style="90" customWidth="1"/>
    <col min="13064" max="13064" width="0" style="90" hidden="1" customWidth="1"/>
    <col min="13065" max="13065" width="13.3984375" style="90" customWidth="1"/>
    <col min="13066" max="13066" width="0.69921875" style="90" customWidth="1"/>
    <col min="13067" max="13312" width="8.09765625" style="90"/>
    <col min="13313" max="13313" width="9" style="90" customWidth="1"/>
    <col min="13314" max="13314" width="8.09765625" style="90"/>
    <col min="13315" max="13315" width="33.69921875" style="90" customWidth="1"/>
    <col min="13316" max="13319" width="10.09765625" style="90" customWidth="1"/>
    <col min="13320" max="13320" width="0" style="90" hidden="1" customWidth="1"/>
    <col min="13321" max="13321" width="13.3984375" style="90" customWidth="1"/>
    <col min="13322" max="13322" width="0.69921875" style="90" customWidth="1"/>
    <col min="13323" max="13568" width="8.09765625" style="90"/>
    <col min="13569" max="13569" width="9" style="90" customWidth="1"/>
    <col min="13570" max="13570" width="8.09765625" style="90"/>
    <col min="13571" max="13571" width="33.69921875" style="90" customWidth="1"/>
    <col min="13572" max="13575" width="10.09765625" style="90" customWidth="1"/>
    <col min="13576" max="13576" width="0" style="90" hidden="1" customWidth="1"/>
    <col min="13577" max="13577" width="13.3984375" style="90" customWidth="1"/>
    <col min="13578" max="13578" width="0.69921875" style="90" customWidth="1"/>
    <col min="13579" max="13824" width="8.09765625" style="90"/>
    <col min="13825" max="13825" width="9" style="90" customWidth="1"/>
    <col min="13826" max="13826" width="8.09765625" style="90"/>
    <col min="13827" max="13827" width="33.69921875" style="90" customWidth="1"/>
    <col min="13828" max="13831" width="10.09765625" style="90" customWidth="1"/>
    <col min="13832" max="13832" width="0" style="90" hidden="1" customWidth="1"/>
    <col min="13833" max="13833" width="13.3984375" style="90" customWidth="1"/>
    <col min="13834" max="13834" width="0.69921875" style="90" customWidth="1"/>
    <col min="13835" max="14080" width="8.09765625" style="90"/>
    <col min="14081" max="14081" width="9" style="90" customWidth="1"/>
    <col min="14082" max="14082" width="8.09765625" style="90"/>
    <col min="14083" max="14083" width="33.69921875" style="90" customWidth="1"/>
    <col min="14084" max="14087" width="10.09765625" style="90" customWidth="1"/>
    <col min="14088" max="14088" width="0" style="90" hidden="1" customWidth="1"/>
    <col min="14089" max="14089" width="13.3984375" style="90" customWidth="1"/>
    <col min="14090" max="14090" width="0.69921875" style="90" customWidth="1"/>
    <col min="14091" max="14336" width="8.09765625" style="90"/>
    <col min="14337" max="14337" width="9" style="90" customWidth="1"/>
    <col min="14338" max="14338" width="8.09765625" style="90"/>
    <col min="14339" max="14339" width="33.69921875" style="90" customWidth="1"/>
    <col min="14340" max="14343" width="10.09765625" style="90" customWidth="1"/>
    <col min="14344" max="14344" width="0" style="90" hidden="1" customWidth="1"/>
    <col min="14345" max="14345" width="13.3984375" style="90" customWidth="1"/>
    <col min="14346" max="14346" width="0.69921875" style="90" customWidth="1"/>
    <col min="14347" max="14592" width="8.09765625" style="90"/>
    <col min="14593" max="14593" width="9" style="90" customWidth="1"/>
    <col min="14594" max="14594" width="8.09765625" style="90"/>
    <col min="14595" max="14595" width="33.69921875" style="90" customWidth="1"/>
    <col min="14596" max="14599" width="10.09765625" style="90" customWidth="1"/>
    <col min="14600" max="14600" width="0" style="90" hidden="1" customWidth="1"/>
    <col min="14601" max="14601" width="13.3984375" style="90" customWidth="1"/>
    <col min="14602" max="14602" width="0.69921875" style="90" customWidth="1"/>
    <col min="14603" max="14848" width="8.09765625" style="90"/>
    <col min="14849" max="14849" width="9" style="90" customWidth="1"/>
    <col min="14850" max="14850" width="8.09765625" style="90"/>
    <col min="14851" max="14851" width="33.69921875" style="90" customWidth="1"/>
    <col min="14852" max="14855" width="10.09765625" style="90" customWidth="1"/>
    <col min="14856" max="14856" width="0" style="90" hidden="1" customWidth="1"/>
    <col min="14857" max="14857" width="13.3984375" style="90" customWidth="1"/>
    <col min="14858" max="14858" width="0.69921875" style="90" customWidth="1"/>
    <col min="14859" max="15104" width="8.09765625" style="90"/>
    <col min="15105" max="15105" width="9" style="90" customWidth="1"/>
    <col min="15106" max="15106" width="8.09765625" style="90"/>
    <col min="15107" max="15107" width="33.69921875" style="90" customWidth="1"/>
    <col min="15108" max="15111" width="10.09765625" style="90" customWidth="1"/>
    <col min="15112" max="15112" width="0" style="90" hidden="1" customWidth="1"/>
    <col min="15113" max="15113" width="13.3984375" style="90" customWidth="1"/>
    <col min="15114" max="15114" width="0.69921875" style="90" customWidth="1"/>
    <col min="15115" max="15360" width="8.09765625" style="90"/>
    <col min="15361" max="15361" width="9" style="90" customWidth="1"/>
    <col min="15362" max="15362" width="8.09765625" style="90"/>
    <col min="15363" max="15363" width="33.69921875" style="90" customWidth="1"/>
    <col min="15364" max="15367" width="10.09765625" style="90" customWidth="1"/>
    <col min="15368" max="15368" width="0" style="90" hidden="1" customWidth="1"/>
    <col min="15369" max="15369" width="13.3984375" style="90" customWidth="1"/>
    <col min="15370" max="15370" width="0.69921875" style="90" customWidth="1"/>
    <col min="15371" max="15616" width="8.09765625" style="90"/>
    <col min="15617" max="15617" width="9" style="90" customWidth="1"/>
    <col min="15618" max="15618" width="8.09765625" style="90"/>
    <col min="15619" max="15619" width="33.69921875" style="90" customWidth="1"/>
    <col min="15620" max="15623" width="10.09765625" style="90" customWidth="1"/>
    <col min="15624" max="15624" width="0" style="90" hidden="1" customWidth="1"/>
    <col min="15625" max="15625" width="13.3984375" style="90" customWidth="1"/>
    <col min="15626" max="15626" width="0.69921875" style="90" customWidth="1"/>
    <col min="15627" max="15872" width="8.09765625" style="90"/>
    <col min="15873" max="15873" width="9" style="90" customWidth="1"/>
    <col min="15874" max="15874" width="8.09765625" style="90"/>
    <col min="15875" max="15875" width="33.69921875" style="90" customWidth="1"/>
    <col min="15876" max="15879" width="10.09765625" style="90" customWidth="1"/>
    <col min="15880" max="15880" width="0" style="90" hidden="1" customWidth="1"/>
    <col min="15881" max="15881" width="13.3984375" style="90" customWidth="1"/>
    <col min="15882" max="15882" width="0.69921875" style="90" customWidth="1"/>
    <col min="15883" max="16128" width="8.09765625" style="90"/>
    <col min="16129" max="16129" width="9" style="90" customWidth="1"/>
    <col min="16130" max="16130" width="8.09765625" style="90"/>
    <col min="16131" max="16131" width="33.69921875" style="90" customWidth="1"/>
    <col min="16132" max="16135" width="10.09765625" style="90" customWidth="1"/>
    <col min="16136" max="16136" width="0" style="90" hidden="1" customWidth="1"/>
    <col min="16137" max="16137" width="13.3984375" style="90" customWidth="1"/>
    <col min="16138" max="16138" width="0.69921875" style="90" customWidth="1"/>
    <col min="16139" max="16384" width="8.09765625" style="90"/>
  </cols>
  <sheetData>
    <row r="1" spans="1:11" ht="19.5" customHeight="1" x14ac:dyDescent="0.45">
      <c r="A1" s="89" t="s">
        <v>140</v>
      </c>
    </row>
    <row r="2" spans="1:11" ht="19.5" customHeight="1" x14ac:dyDescent="0.2">
      <c r="A2" s="91" t="s">
        <v>179</v>
      </c>
      <c r="B2" s="143"/>
      <c r="C2" s="143"/>
      <c r="D2" s="93"/>
      <c r="E2" s="93"/>
      <c r="F2" s="93"/>
      <c r="G2" s="233" t="s">
        <v>141</v>
      </c>
      <c r="H2" s="233"/>
      <c r="I2" s="233"/>
    </row>
    <row r="3" spans="1:11" ht="19.5" customHeight="1" x14ac:dyDescent="0.2">
      <c r="A3" s="234" t="s">
        <v>180</v>
      </c>
      <c r="B3" s="235"/>
      <c r="C3" s="235"/>
      <c r="D3" s="93"/>
      <c r="E3" s="93"/>
      <c r="F3" s="93"/>
      <c r="G3" s="93"/>
      <c r="H3" s="236">
        <v>41366</v>
      </c>
      <c r="I3" s="236"/>
    </row>
    <row r="4" spans="1:11" ht="19.5" customHeight="1" thickBot="1" x14ac:dyDescent="0.5">
      <c r="A4" s="94" t="s">
        <v>53</v>
      </c>
      <c r="B4" s="94" t="s">
        <v>54</v>
      </c>
      <c r="C4" s="94" t="s">
        <v>55</v>
      </c>
      <c r="D4" s="94" t="s">
        <v>56</v>
      </c>
      <c r="E4" s="94" t="s">
        <v>57</v>
      </c>
      <c r="F4" s="94" t="s">
        <v>58</v>
      </c>
      <c r="G4" s="94" t="s">
        <v>59</v>
      </c>
      <c r="H4" s="94" t="s">
        <v>60</v>
      </c>
      <c r="I4" s="94" t="s">
        <v>61</v>
      </c>
      <c r="J4" s="95"/>
      <c r="K4" s="95"/>
    </row>
    <row r="5" spans="1:11" ht="19.5" customHeight="1" thickTop="1" thickBot="1" x14ac:dyDescent="0.5">
      <c r="A5" s="96"/>
      <c r="B5" s="97"/>
      <c r="C5" s="98" t="s">
        <v>62</v>
      </c>
      <c r="D5" s="99">
        <f>SUM(D6:D7)</f>
        <v>0</v>
      </c>
      <c r="E5" s="99">
        <f>SUM(E6:E7)</f>
        <v>0</v>
      </c>
      <c r="F5" s="99">
        <f>SUM(F6:F7)</f>
        <v>0</v>
      </c>
      <c r="G5" s="99">
        <f>SUM(G6:G7)</f>
        <v>0</v>
      </c>
      <c r="H5" s="100"/>
      <c r="I5" s="100"/>
    </row>
    <row r="6" spans="1:11" ht="19.5" customHeight="1" thickTop="1" x14ac:dyDescent="0.45">
      <c r="A6" s="101"/>
      <c r="B6" s="102"/>
      <c r="C6" s="103"/>
      <c r="D6" s="104"/>
      <c r="E6" s="104"/>
      <c r="F6" s="104"/>
      <c r="G6" s="104">
        <f>SUM(D6:F6)</f>
        <v>0</v>
      </c>
      <c r="H6" s="105"/>
      <c r="I6" s="101"/>
      <c r="J6" s="95"/>
      <c r="K6" s="95"/>
    </row>
    <row r="7" spans="1:11" ht="19.5" customHeight="1" x14ac:dyDescent="0.45">
      <c r="A7" s="106"/>
      <c r="B7" s="107"/>
      <c r="C7" s="108"/>
      <c r="D7" s="109"/>
      <c r="E7" s="109"/>
      <c r="F7" s="110"/>
      <c r="G7" s="104">
        <f>SUM(D7:F7)</f>
        <v>0</v>
      </c>
      <c r="H7" s="111"/>
      <c r="I7" s="111"/>
    </row>
  </sheetData>
  <mergeCells count="3">
    <mergeCell ref="G2:I2"/>
    <mergeCell ref="A3:C3"/>
    <mergeCell ref="H3:I3"/>
  </mergeCells>
  <phoneticPr fontId="2"/>
  <pageMargins left="0.51181102362204722" right="0" top="0.39370078740157483" bottom="0.51181102362204722" header="0.23622047244094491" footer="0.23622047244094491"/>
  <pageSetup paperSize="9" scale="82" orientation="portrait" horizontalDpi="300" verticalDpi="300" r:id="rId1"/>
  <headerFooter alignWithMargins="0">
    <oddHeader>&amp;R&amp;G</oddHeader>
    <oddFooter>&amp;C㈱三和商研　&amp;P/&amp;N&amp;R©2024 SMS DataTech Corporation. All rights reserved.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17</vt:i4>
      </vt:variant>
    </vt:vector>
  </HeadingPairs>
  <TitlesOfParts>
    <vt:vector size="27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別紙_テンプレート!CoreCells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別紙_テンプレート!作成日</vt:lpstr>
      <vt:lpstr>別紙_テンプレート!得意先</vt:lpstr>
      <vt:lpstr>別紙_テンプレート!日付範囲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2024-07-18T02:48:28Z</cp:lastPrinted>
  <dcterms:created xsi:type="dcterms:W3CDTF">2021-04-12T04:47:05Z</dcterms:created>
  <dcterms:modified xsi:type="dcterms:W3CDTF">2025-05-24T05:33:19Z</dcterms:modified>
</cp:coreProperties>
</file>