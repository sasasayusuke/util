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976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state="hidden" r:id="rId6"/>
    <sheet name="確認事項" sheetId="15" r:id="rId7"/>
    <sheet name="別紙_印刷レイアウト" sheetId="20" r:id="rId8"/>
    <sheet name="参照" sheetId="12" state="hidden" r:id="rId9"/>
  </sheets>
  <definedNames>
    <definedName name="_xlnm.Print_Area" localSheetId="1">概要!$A$1:$BN$31</definedName>
    <definedName name="_xlnm.Print_Area" localSheetId="3">項目一覧!$A$1:$BX$62</definedName>
    <definedName name="_xlnm.Print_Area" localSheetId="4">処理詳細!$A$1:$BR$37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<sst xmlns="http://schemas.openxmlformats.org/spreadsheetml/2006/main" count="349" uniqueCount="215">
  <si>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</si>
  <si>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</si>
  <si>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</si>
  <si>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</si>
  <si>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</si>
  <si>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</si>
  <si>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</si>
  <si>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</si>
  <si>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</si>
  <si>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</si>
  <si>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</si>
  <si>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</si>
  <si>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</si>
  <si>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</si>
  <si>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</si>
  <si>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</si>
  <si>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</si>
  <si>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</si>
  <si>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</si>
  <si>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</si>
  <si>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</si>
  <si>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</si>
  <si>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</si>
  <si>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</si>
  <si>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</si>
  <si>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</si>
  <si>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</si>
  <si>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</si>
  <si>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</si>
  <si>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</si>
  <si>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</si>
  <si>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</si>
  <si>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</si>
  <si>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</si>
  <si>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</si>
  <si>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</si>
  <si>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</si>
  <si>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</si>
  <si>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</si>
  <si>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</si>
  <si>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</si>
  <si>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</si>
  <si>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</si>
  <si>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</si>
  <si>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</si>
  <si>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</si>
  <si>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</si>
  <si>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</si>
  <si>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</si>
  <si>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</si>
  <si>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</si>
  <si>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</si>
  <si>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</si>
  <si>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</si>
  <si>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</si>
  <si>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</si>
  <si>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</si>
  <si>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</si>
  <si>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</si>
  <si>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</si>
  <si>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</si>
  <si>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</si>
  <si>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</si>
  <si>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</si>
  <si>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</si>
  <si>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</si>
  <si>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</si>
  <si>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</si>
  <si>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</si>
  <si>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</si>
  <si>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</si>
  <si>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</si>
  <si>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</si>
  <si>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</si>
  <si>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</si>
  <si>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</si>
  <si>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</si>
  <si>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</si>
  <si>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</si>
  <si>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</si>
  <si>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</si>
  <si>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</si>
  <si>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</si>
  <si>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</si>
  <si>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</si>
  <si>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</si>
  <si>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</si>
  <si>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</si>
  <si>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</si>
  <si>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</si>
  <si>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-</t>
  </si>
  <si>
    <t>PDF</t>
  </si>
  <si>
    <t>pdf</t>
  </si>
  <si>
    <t>SQL1</t>
    <phoneticPr fontId="2"/>
  </si>
  <si>
    <t>SK.入金金額</t>
    <phoneticPr fontId="2"/>
  </si>
  <si>
    <t>TM請求金額 AS SK</t>
    <phoneticPr fontId="2"/>
  </si>
  <si>
    <t>LEFT JOIN  TM得意先 AS TK ON SK.得意先CD = TK.得意先CD</t>
    <phoneticPr fontId="2"/>
  </si>
  <si>
    <t>LEFT JOIN  TM担当者 AS TN ON TK.担当者CD = TN.担当者CD</t>
    <phoneticPr fontId="2"/>
  </si>
  <si>
    <t>AND    SK.入金金額 = 0</t>
    <phoneticPr fontId="2"/>
  </si>
  <si>
    <t>AND SK.売上金額 = 0</t>
    <phoneticPr fontId="2"/>
  </si>
  <si>
    <t>AND NOT(  SK.前月残高 = 0</t>
    <phoneticPr fontId="2"/>
  </si>
  <si>
    <t>AND SK.返品金額 = 0</t>
    <phoneticPr fontId="2"/>
  </si>
  <si>
    <t>AND SK.消費税額 = 0</t>
    <phoneticPr fontId="2"/>
  </si>
  <si>
    <t xml:space="preserve">AND SK.当月残高 = 0) </t>
    <phoneticPr fontId="2"/>
  </si>
  <si>
    <t>order by</t>
    <phoneticPr fontId="2"/>
  </si>
  <si>
    <t>得意先CD</t>
    <phoneticPr fontId="2"/>
  </si>
  <si>
    <t>得意先名1</t>
    <phoneticPr fontId="2"/>
  </si>
  <si>
    <t>得意先名2</t>
    <phoneticPr fontId="2"/>
  </si>
  <si>
    <t>請求日付</t>
    <phoneticPr fontId="2"/>
  </si>
  <si>
    <t>前月残高</t>
    <phoneticPr fontId="2"/>
  </si>
  <si>
    <t>入金金額</t>
    <phoneticPr fontId="2"/>
  </si>
  <si>
    <t>調整金額</t>
    <phoneticPr fontId="2"/>
  </si>
  <si>
    <t>差引繰越額</t>
    <phoneticPr fontId="2"/>
  </si>
  <si>
    <t>売上金額</t>
    <phoneticPr fontId="2"/>
  </si>
  <si>
    <t>返品金額</t>
    <phoneticPr fontId="2"/>
  </si>
  <si>
    <t>差引売上額</t>
    <phoneticPr fontId="2"/>
  </si>
  <si>
    <t>訂正金額</t>
    <phoneticPr fontId="2"/>
  </si>
  <si>
    <t>消費税額</t>
    <phoneticPr fontId="2"/>
  </si>
  <si>
    <t>当月残高</t>
    <phoneticPr fontId="2"/>
  </si>
  <si>
    <t>入金予定日</t>
    <phoneticPr fontId="2"/>
  </si>
  <si>
    <t>請求様式名</t>
    <phoneticPr fontId="2"/>
  </si>
  <si>
    <t>担当者名</t>
    <phoneticPr fontId="2"/>
  </si>
  <si>
    <t>TM請求金額.得意先CD</t>
    <phoneticPr fontId="2"/>
  </si>
  <si>
    <t>TM請求金額.請求日付</t>
    <phoneticPr fontId="2"/>
  </si>
  <si>
    <t>TM請求金額.前月残高</t>
    <phoneticPr fontId="2"/>
  </si>
  <si>
    <t>TM請求金額.調整金額</t>
  </si>
  <si>
    <t>ISNULL(TM請求金額.前月残高,0)-ISNULL(TM請求金額.入金金額,0)-ISNULL(TM請求金額.調整金額,0) AS 差引繰越額</t>
  </si>
  <si>
    <t>TM請求金額.売上金額</t>
  </si>
  <si>
    <t>TM請求金額.返品金額</t>
  </si>
  <si>
    <t>TM請求金額.訂正金額</t>
  </si>
  <si>
    <t>ISNULL(TM請求金額.売上金額,0)+ISNULL(TM請求金額.返品金額,0)+ISNULL(TM請求金額.訂正金額,0) AS 差引売上額</t>
  </si>
  <si>
    <t>TM請求金額.消費税額</t>
  </si>
  <si>
    <t>TM請求金額.当月残高</t>
  </si>
  <si>
    <t>TM得意先.得意先名1</t>
  </si>
  <si>
    <t>TM得意先.得意先名2</t>
  </si>
  <si>
    <t>TM担当者.担当者名</t>
  </si>
  <si>
    <t>入金予定日が99の場合は画面.請求日付の月末日、それ以外の場合は[画面.請求日付] + [TM得意先.入金サイクル] を行い 日付を [TM得意先.入金予定日]に設定</t>
    <rPh sb="0" eb="5">
      <t>ニュウキンヨテイビ</t>
    </rPh>
    <rPh sb="9" eb="11">
      <t>バアイ</t>
    </rPh>
    <rPh sb="12" eb="14">
      <t>ガメン</t>
    </rPh>
    <rPh sb="20" eb="23">
      <t>ゲツマツビ</t>
    </rPh>
    <rPh sb="26" eb="28">
      <t>イガイ</t>
    </rPh>
    <rPh sb="29" eb="31">
      <t>バアイ</t>
    </rPh>
    <rPh sb="33" eb="35">
      <t>ガメン</t>
    </rPh>
    <rPh sb="36" eb="40">
      <t>セイキュウヒヅケ</t>
    </rPh>
    <rPh sb="60" eb="61">
      <t>オコナ</t>
    </rPh>
    <rPh sb="63" eb="65">
      <t>ヒヅケ</t>
    </rPh>
    <rPh sb="81" eb="83">
      <t>セッテイ</t>
    </rPh>
    <phoneticPr fontId="2"/>
  </si>
  <si>
    <t>ORDER BY SK.得意先CD　の昇順でソート</t>
    <rPh sb="19" eb="21">
      <t>ショウジュン</t>
    </rPh>
    <phoneticPr fontId="2"/>
  </si>
  <si>
    <t>AND SK.締日 = 締日</t>
    <rPh sb="12" eb="14">
      <t>シメビ</t>
    </rPh>
    <phoneticPr fontId="2"/>
  </si>
  <si>
    <t>締日は画面.請求日付が翌月末日だった場合99、それ以外の場合は画面.請求日付</t>
    <rPh sb="0" eb="2">
      <t>シメビ</t>
    </rPh>
    <rPh sb="3" eb="5">
      <t>ガメン</t>
    </rPh>
    <rPh sb="6" eb="8">
      <t>セイキュウ</t>
    </rPh>
    <rPh sb="8" eb="10">
      <t>ヒヅケ</t>
    </rPh>
    <rPh sb="11" eb="13">
      <t>ヨクゲツ</t>
    </rPh>
    <rPh sb="13" eb="15">
      <t>マツジツ</t>
    </rPh>
    <rPh sb="18" eb="20">
      <t>バアイ</t>
    </rPh>
    <rPh sb="25" eb="27">
      <t>イガイ</t>
    </rPh>
    <rPh sb="28" eb="30">
      <t>バアイ</t>
    </rPh>
    <rPh sb="31" eb="33">
      <t>ガメン</t>
    </rPh>
    <rPh sb="34" eb="36">
      <t>セイキュウ</t>
    </rPh>
    <rPh sb="36" eb="38">
      <t>ヒヅケ</t>
    </rPh>
    <phoneticPr fontId="2"/>
  </si>
  <si>
    <t>SK.請求日付  = CONVERT(VARCHAR(10),画面.請求日付,111)</t>
    <rPh sb="31" eb="33">
      <t>ガメン</t>
    </rPh>
    <phoneticPr fontId="2"/>
  </si>
  <si>
    <t>AND SK.得意先CD  &gt;= COALESCE(CONVERT(VARCHAR(4),画面.開始得意先),SK.得意先CD)</t>
    <rPh sb="45" eb="47">
      <t>ガメン</t>
    </rPh>
    <phoneticPr fontId="2"/>
  </si>
  <si>
    <t>AND SK.得意先CD  &lt;= COALESCE(CONVERT(VARCHAR(4),画面.終了得意先),SK.得意先CD)</t>
    <rPh sb="45" eb="47">
      <t>ガメン</t>
    </rPh>
    <phoneticPr fontId="2"/>
  </si>
  <si>
    <t>TM得意先.請求様式が0の場合 '当社請求書'、1の場合'検収請求書'、2の場合'EDP手書き'、3の場合'手書明細式'、4の場合'手書一覧式'、それ以外の場合''</t>
    <rPh sb="13" eb="15">
      <t>バアイ</t>
    </rPh>
    <rPh sb="26" eb="28">
      <t>バアイ</t>
    </rPh>
    <rPh sb="38" eb="40">
      <t>バアイ</t>
    </rPh>
    <rPh sb="51" eb="53">
      <t>バアイ</t>
    </rPh>
    <rPh sb="63" eb="65">
      <t>バアイ</t>
    </rPh>
    <rPh sb="75" eb="77">
      <t>イガイ</t>
    </rPh>
    <rPh sb="78" eb="80">
      <t>バアイ</t>
    </rPh>
    <phoneticPr fontId="2"/>
  </si>
  <si>
    <t>請求日付</t>
    <rPh sb="0" eb="4">
      <t>セイキュウヒヅケ</t>
    </rPh>
    <phoneticPr fontId="1"/>
  </si>
  <si>
    <t>開始CD</t>
    <rPh sb="0" eb="2">
      <t>カイシ</t>
    </rPh>
    <phoneticPr fontId="1"/>
  </si>
  <si>
    <t>終了CD</t>
    <rPh sb="0" eb="2">
      <t>シュウリョウ</t>
    </rPh>
    <phoneticPr fontId="1"/>
  </si>
  <si>
    <t>得意先CD</t>
    <rPh sb="0" eb="3">
      <t>トクイサキ</t>
    </rPh>
    <phoneticPr fontId="1"/>
  </si>
  <si>
    <t>得意先名1</t>
    <rPh sb="0" eb="3">
      <t>トクイサキ</t>
    </rPh>
    <rPh sb="3" eb="4">
      <t>メイ</t>
    </rPh>
    <phoneticPr fontId="1"/>
  </si>
  <si>
    <t>得意先名2</t>
    <rPh sb="0" eb="3">
      <t>トクイサキ</t>
    </rPh>
    <rPh sb="3" eb="4">
      <t>メイ</t>
    </rPh>
    <phoneticPr fontId="1"/>
  </si>
  <si>
    <t>前月残高</t>
    <rPh sb="0" eb="2">
      <t>ゼンゲツ</t>
    </rPh>
    <rPh sb="2" eb="4">
      <t>ザンダカ</t>
    </rPh>
    <phoneticPr fontId="1"/>
  </si>
  <si>
    <t>作成日</t>
    <rPh sb="0" eb="3">
      <t>サクセイビ</t>
    </rPh>
    <phoneticPr fontId="1"/>
  </si>
  <si>
    <t>入金金額</t>
    <rPh sb="0" eb="4">
      <t>ニュウキンキンガク</t>
    </rPh>
    <phoneticPr fontId="1"/>
  </si>
  <si>
    <t>調整金額</t>
    <rPh sb="0" eb="4">
      <t>チョウセイキンガク</t>
    </rPh>
    <phoneticPr fontId="1"/>
  </si>
  <si>
    <t>差引繰越額</t>
    <rPh sb="0" eb="4">
      <t>サシヒキクリコシ</t>
    </rPh>
    <rPh sb="4" eb="5">
      <t>ガク</t>
    </rPh>
    <phoneticPr fontId="1"/>
  </si>
  <si>
    <t>売上金額</t>
    <rPh sb="0" eb="4">
      <t>ウリアゲキンガク</t>
    </rPh>
    <phoneticPr fontId="1"/>
  </si>
  <si>
    <t>返品金額</t>
    <rPh sb="0" eb="4">
      <t>ヘンピンキンガク</t>
    </rPh>
    <phoneticPr fontId="1"/>
  </si>
  <si>
    <t>訂正金額</t>
    <rPh sb="0" eb="4">
      <t>テイセイキンガク</t>
    </rPh>
    <phoneticPr fontId="1"/>
  </si>
  <si>
    <t>差引売上額</t>
    <rPh sb="0" eb="2">
      <t>サシヒキ</t>
    </rPh>
    <rPh sb="2" eb="5">
      <t>ウリアゲガク</t>
    </rPh>
    <phoneticPr fontId="1"/>
  </si>
  <si>
    <t>消費税額</t>
    <rPh sb="0" eb="3">
      <t>ショウヒゼイ</t>
    </rPh>
    <rPh sb="3" eb="4">
      <t>ガク</t>
    </rPh>
    <phoneticPr fontId="1"/>
  </si>
  <si>
    <t>当月残高</t>
    <rPh sb="0" eb="2">
      <t>トウゲツ</t>
    </rPh>
    <rPh sb="2" eb="4">
      <t>ザンダカ</t>
    </rPh>
    <phoneticPr fontId="1"/>
  </si>
  <si>
    <t>入金予定日</t>
    <rPh sb="0" eb="5">
      <t>ニュウキンヨテイビ</t>
    </rPh>
    <phoneticPr fontId="1"/>
  </si>
  <si>
    <t>前月残高計</t>
    <rPh sb="0" eb="5">
      <t>ゼンゲツザンダカケイ</t>
    </rPh>
    <phoneticPr fontId="1"/>
  </si>
  <si>
    <t>入金金額計</t>
    <rPh sb="0" eb="2">
      <t>ニュウキン</t>
    </rPh>
    <rPh sb="2" eb="4">
      <t>キンガク</t>
    </rPh>
    <rPh sb="4" eb="5">
      <t>ケイ</t>
    </rPh>
    <phoneticPr fontId="1"/>
  </si>
  <si>
    <t>調整金額計</t>
    <rPh sb="0" eb="4">
      <t>チョウセイキンガク</t>
    </rPh>
    <rPh sb="4" eb="5">
      <t>ケイ</t>
    </rPh>
    <phoneticPr fontId="1"/>
  </si>
  <si>
    <t>差引繰越額計</t>
    <rPh sb="0" eb="2">
      <t>サシヒキ</t>
    </rPh>
    <rPh sb="2" eb="4">
      <t>クリコシ</t>
    </rPh>
    <rPh sb="4" eb="5">
      <t>ガク</t>
    </rPh>
    <rPh sb="5" eb="6">
      <t>ケイ</t>
    </rPh>
    <phoneticPr fontId="1"/>
  </si>
  <si>
    <t>売上金額計</t>
    <rPh sb="0" eb="4">
      <t>ウリアゲキンガク</t>
    </rPh>
    <rPh sb="4" eb="5">
      <t>ケイ</t>
    </rPh>
    <phoneticPr fontId="1"/>
  </si>
  <si>
    <t>返品金額計</t>
    <rPh sb="0" eb="4">
      <t>ヘンピンキンガク</t>
    </rPh>
    <rPh sb="4" eb="5">
      <t>ケイ</t>
    </rPh>
    <phoneticPr fontId="1"/>
  </si>
  <si>
    <t>訂正金額計</t>
    <rPh sb="0" eb="4">
      <t>テイセイキンガク</t>
    </rPh>
    <rPh sb="4" eb="5">
      <t>ケイ</t>
    </rPh>
    <phoneticPr fontId="1"/>
  </si>
  <si>
    <t>差引売上額計</t>
    <rPh sb="0" eb="2">
      <t>サシヒキ</t>
    </rPh>
    <rPh sb="2" eb="4">
      <t>ウリアゲ</t>
    </rPh>
    <rPh sb="4" eb="5">
      <t>ガク</t>
    </rPh>
    <rPh sb="5" eb="6">
      <t>ケイ</t>
    </rPh>
    <phoneticPr fontId="1"/>
  </si>
  <si>
    <t>消費税額計</t>
    <rPh sb="0" eb="4">
      <t>ショウヒゼイガク</t>
    </rPh>
    <rPh sb="4" eb="5">
      <t>ケイ</t>
    </rPh>
    <phoneticPr fontId="1"/>
  </si>
  <si>
    <t>当月請求額計</t>
    <rPh sb="0" eb="2">
      <t>トウゲツ</t>
    </rPh>
    <rPh sb="2" eb="5">
      <t>セイキュウガク</t>
    </rPh>
    <rPh sb="5" eb="6">
      <t>ケイ</t>
    </rPh>
    <phoneticPr fontId="1"/>
  </si>
  <si>
    <t>全角</t>
    <rPh sb="0" eb="2">
      <t>ゼンカク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</si>
  <si>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</si>
  <si>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</si>
  <si>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現在日付</t>
    <rPh sb="0" eb="2">
      <t>ゲンザイ</t>
    </rPh>
    <rPh sb="2" eb="4">
      <t>ヒヅケ</t>
    </rPh>
    <phoneticPr fontId="1"/>
  </si>
  <si>
    <t>画面.請求日付</t>
    <rPh sb="0" eb="2">
      <t>ガメン</t>
    </rPh>
    <rPh sb="3" eb="7">
      <t>セイキュウヒヅケ</t>
    </rPh>
    <phoneticPr fontId="1"/>
  </si>
  <si>
    <t>画面.開始CD</t>
    <rPh sb="0" eb="2">
      <t>ガメン</t>
    </rPh>
    <rPh sb="3" eb="5">
      <t>カイシ</t>
    </rPh>
    <phoneticPr fontId="1"/>
  </si>
  <si>
    <t>画面.終了CD</t>
    <rPh sb="0" eb="2">
      <t>ガメン</t>
    </rPh>
    <rPh sb="3" eb="5">
      <t>シュウリョウ</t>
    </rPh>
    <phoneticPr fontId="1"/>
  </si>
  <si>
    <t>SQL1.得意先CD</t>
    <rPh sb="5" eb="8">
      <t>トクイサキ</t>
    </rPh>
    <phoneticPr fontId="1"/>
  </si>
  <si>
    <t>SQL1.得意先名1</t>
    <rPh sb="5" eb="9">
      <t>トクイサキメイ</t>
    </rPh>
    <phoneticPr fontId="1"/>
  </si>
  <si>
    <t>SQL1.得意先名2</t>
    <rPh sb="5" eb="8">
      <t>トクイサキ</t>
    </rPh>
    <rPh sb="8" eb="9">
      <t>メイ</t>
    </rPh>
    <phoneticPr fontId="1"/>
  </si>
  <si>
    <t>請求様式名</t>
    <rPh sb="0" eb="4">
      <t>セイキュウヨウシキ</t>
    </rPh>
    <rPh sb="4" eb="5">
      <t>メイ</t>
    </rPh>
    <phoneticPr fontId="1"/>
  </si>
  <si>
    <t>担当者名</t>
    <rPh sb="0" eb="3">
      <t>タントウシャ</t>
    </rPh>
    <rPh sb="3" eb="4">
      <t>メイ</t>
    </rPh>
    <phoneticPr fontId="1"/>
  </si>
  <si>
    <t>SQL1.前月残高</t>
    <rPh sb="5" eb="9">
      <t>ゼンゲツザンダカ</t>
    </rPh>
    <phoneticPr fontId="1"/>
  </si>
  <si>
    <t>SQL1.入金金額</t>
    <rPh sb="5" eb="9">
      <t>ニュウキンキンガク</t>
    </rPh>
    <phoneticPr fontId="1"/>
  </si>
  <si>
    <t>SQL1.調整金額</t>
    <rPh sb="5" eb="9">
      <t>チョウセイキンガク</t>
    </rPh>
    <phoneticPr fontId="1"/>
  </si>
  <si>
    <t>SQL1.差引繰越額</t>
    <rPh sb="5" eb="10">
      <t>サシヒキクリコシガク</t>
    </rPh>
    <phoneticPr fontId="1"/>
  </si>
  <si>
    <t>SQL1.売上金額</t>
    <rPh sb="5" eb="9">
      <t>ウリアゲキンガク</t>
    </rPh>
    <phoneticPr fontId="1"/>
  </si>
  <si>
    <t>SQL1.返品金額</t>
    <rPh sb="5" eb="9">
      <t>ヘンピンキンガク</t>
    </rPh>
    <phoneticPr fontId="1"/>
  </si>
  <si>
    <t>SQL1.訂正金額</t>
    <rPh sb="5" eb="9">
      <t>テイセイキンガク</t>
    </rPh>
    <phoneticPr fontId="1"/>
  </si>
  <si>
    <t>SQL1.差引売上額</t>
    <rPh sb="5" eb="10">
      <t>サシヒキウリアゲガク</t>
    </rPh>
    <phoneticPr fontId="1"/>
  </si>
  <si>
    <t>SQL1.消費税額</t>
    <rPh sb="5" eb="9">
      <t>ショウヒゼイガク</t>
    </rPh>
    <phoneticPr fontId="1"/>
  </si>
  <si>
    <t>SQL1.当月残高</t>
    <rPh sb="5" eb="9">
      <t>トウゲツザンダカ</t>
    </rPh>
    <phoneticPr fontId="1"/>
  </si>
  <si>
    <t>SQL1.入金予定日</t>
    <rPh sb="5" eb="10">
      <t>ニュウキンヨテイビ</t>
    </rPh>
    <phoneticPr fontId="1"/>
  </si>
  <si>
    <t>SQL1.請求様式名</t>
    <rPh sb="5" eb="7">
      <t>セイキュウ</t>
    </rPh>
    <rPh sb="7" eb="9">
      <t>ヨウシキ</t>
    </rPh>
    <rPh sb="9" eb="10">
      <t>メイ</t>
    </rPh>
    <phoneticPr fontId="1"/>
  </si>
  <si>
    <t>SQL1.担当者名</t>
    <rPh sb="5" eb="9">
      <t>タントウシャメイ</t>
    </rPh>
    <phoneticPr fontId="1"/>
  </si>
  <si>
    <t>yyyy年mm月dd日締</t>
    <phoneticPr fontId="1"/>
  </si>
  <si>
    <t>yyyy年mm月dd日</t>
    <phoneticPr fontId="1"/>
  </si>
  <si>
    <t>開始得意先が空の場合は[最初]を表示　空でない場合は[開始CD]を表示</t>
    <rPh sb="6" eb="7">
      <t>カラ</t>
    </rPh>
    <rPh sb="19" eb="20">
      <t>カラ</t>
    </rPh>
    <phoneticPr fontId="1"/>
  </si>
  <si>
    <t>[SQL1.調整金額]の合計</t>
    <rPh sb="12" eb="14">
      <t>ゴウケイ</t>
    </rPh>
    <phoneticPr fontId="1"/>
  </si>
  <si>
    <t>[SQL1.差引繰越額]の合計</t>
    <rPh sb="13" eb="15">
      <t>ゴウケイ</t>
    </rPh>
    <phoneticPr fontId="1"/>
  </si>
  <si>
    <t>[SQL1.売上金額]の合計</t>
    <rPh sb="12" eb="14">
      <t>ゴウケイ</t>
    </rPh>
    <phoneticPr fontId="1"/>
  </si>
  <si>
    <t>[SQL1.返品金額]の合計</t>
    <rPh sb="12" eb="14">
      <t>ゴウケイ</t>
    </rPh>
    <phoneticPr fontId="1"/>
  </si>
  <si>
    <t>[SQL1.訂正金額]の合計</t>
    <rPh sb="12" eb="14">
      <t>ゴウケイ</t>
    </rPh>
    <phoneticPr fontId="1"/>
  </si>
  <si>
    <t>[SQL1.差引売上額]の合計</t>
    <rPh sb="13" eb="15">
      <t>ゴウケイ</t>
    </rPh>
    <phoneticPr fontId="1"/>
  </si>
  <si>
    <t>[SQL1.消費税額]の合計</t>
    <rPh sb="12" eb="14">
      <t>ゴウケイ</t>
    </rPh>
    <phoneticPr fontId="1"/>
  </si>
  <si>
    <t>[SQL1.当月残高]の合計</t>
    <rPh sb="12" eb="14">
      <t>ゴウケイ</t>
    </rPh>
    <phoneticPr fontId="1"/>
  </si>
  <si>
    <t>[SQL1.前月残高]の合計</t>
    <phoneticPr fontId="1"/>
  </si>
  <si>
    <t>[SQL1.入金金額]の合計</t>
    <rPh sb="6" eb="10">
      <t>ニュウキンキンガク</t>
    </rPh>
    <rPh sb="12" eb="14">
      <t>ゴウケイ</t>
    </rPh>
    <phoneticPr fontId="1"/>
  </si>
  <si>
    <t>A3横</t>
    <rPh sb="2" eb="3">
      <t>ヨコ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</si>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</sst>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0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3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39" xfId="0" applyFont="1" applyFill="1" applyBorder="1" applyAlignment="1">
      <alignment horizontal="left" vertical="center"/>
    </xf>
    <xf numFmtId="0" fontId="3" fillId="2" borderId="72" xfId="0" applyFont="1" applyFill="1" applyBorder="1" applyAlignment="1">
      <alignment horizontal="left" vertical="center"/>
    </xf>
    <xf numFmtId="0" fontId="3" fillId="2" borderId="7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0</xdr:rowOff>
    </xdr:from>
    <xdr:to>
      <xdr:col>62</xdr:col>
      <xdr:colOff>274630</xdr:colOff>
      <xdr:row>28</xdr:row>
      <xdr:rowOff>181140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494" y="1631576"/>
          <a:ext cx="16671077" cy="5201376"/>
        </a:xfrm>
        <a:prstGeom prst="rect">
          <a:avLst/>
        </a:prstGeom>
      </xdr:spPr>
    </xdr:pic>
    <xdr:clientData/>
  </xdr:twoCellAnchor>
  <xdr:twoCellAnchor>
    <xdr:from>
      <xdr:col>53</xdr:col>
      <xdr:colOff>170331</xdr:colOff>
      <xdr:row>10</xdr:row>
      <xdr:rowOff>152400</xdr:rowOff>
    </xdr:from>
    <xdr:to>
      <xdr:col>54</xdr:col>
      <xdr:colOff>233083</xdr:colOff>
      <xdr:row>11</xdr:row>
      <xdr:rowOff>224118</xdr:rowOff>
    </xdr:to>
    <xdr:sp macro="" textlink="">
      <xdr:nvSpPr>
        <xdr:cNvPr id="5" name="正方形/長方形 4"/>
        <xdr:cNvSpPr/>
      </xdr:nvSpPr>
      <xdr:spPr>
        <a:xfrm>
          <a:off x="14702119" y="228600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268942</xdr:colOff>
      <xdr:row>10</xdr:row>
      <xdr:rowOff>152400</xdr:rowOff>
    </xdr:from>
    <xdr:to>
      <xdr:col>11</xdr:col>
      <xdr:colOff>53788</xdr:colOff>
      <xdr:row>11</xdr:row>
      <xdr:rowOff>224118</xdr:rowOff>
    </xdr:to>
    <xdr:sp macro="" textlink="">
      <xdr:nvSpPr>
        <xdr:cNvPr id="6" name="正方形/長方形 5"/>
        <xdr:cNvSpPr/>
      </xdr:nvSpPr>
      <xdr:spPr>
        <a:xfrm>
          <a:off x="2572871" y="228600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161365</xdr:colOff>
      <xdr:row>11</xdr:row>
      <xdr:rowOff>107576</xdr:rowOff>
    </xdr:from>
    <xdr:to>
      <xdr:col>9</xdr:col>
      <xdr:colOff>224118</xdr:colOff>
      <xdr:row>12</xdr:row>
      <xdr:rowOff>179294</xdr:rowOff>
    </xdr:to>
    <xdr:sp macro="" textlink="">
      <xdr:nvSpPr>
        <xdr:cNvPr id="7" name="正方形/長方形 6"/>
        <xdr:cNvSpPr/>
      </xdr:nvSpPr>
      <xdr:spPr>
        <a:xfrm>
          <a:off x="2187389" y="249218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268942</xdr:colOff>
      <xdr:row>11</xdr:row>
      <xdr:rowOff>98612</xdr:rowOff>
    </xdr:from>
    <xdr:to>
      <xdr:col>14</xdr:col>
      <xdr:colOff>53788</xdr:colOff>
      <xdr:row>12</xdr:row>
      <xdr:rowOff>170330</xdr:rowOff>
    </xdr:to>
    <xdr:sp macro="" textlink="">
      <xdr:nvSpPr>
        <xdr:cNvPr id="8" name="正方形/長方形 7"/>
        <xdr:cNvSpPr/>
      </xdr:nvSpPr>
      <xdr:spPr>
        <a:xfrm>
          <a:off x="3406589" y="24832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62753</xdr:colOff>
      <xdr:row>14</xdr:row>
      <xdr:rowOff>224118</xdr:rowOff>
    </xdr:from>
    <xdr:to>
      <xdr:col>5</xdr:col>
      <xdr:colOff>125505</xdr:colOff>
      <xdr:row>16</xdr:row>
      <xdr:rowOff>44824</xdr:rowOff>
    </xdr:to>
    <xdr:sp macro="" textlink="">
      <xdr:nvSpPr>
        <xdr:cNvPr id="9" name="正方形/長方形 8"/>
        <xdr:cNvSpPr/>
      </xdr:nvSpPr>
      <xdr:spPr>
        <a:xfrm>
          <a:off x="977153" y="336176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134470</xdr:colOff>
      <xdr:row>14</xdr:row>
      <xdr:rowOff>53786</xdr:rowOff>
    </xdr:from>
    <xdr:to>
      <xdr:col>8</xdr:col>
      <xdr:colOff>197222</xdr:colOff>
      <xdr:row>15</xdr:row>
      <xdr:rowOff>125504</xdr:rowOff>
    </xdr:to>
    <xdr:sp macro="" textlink="">
      <xdr:nvSpPr>
        <xdr:cNvPr id="10" name="正方形/長方形 9"/>
        <xdr:cNvSpPr/>
      </xdr:nvSpPr>
      <xdr:spPr>
        <a:xfrm>
          <a:off x="1882588" y="319143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134471</xdr:colOff>
      <xdr:row>15</xdr:row>
      <xdr:rowOff>125505</xdr:rowOff>
    </xdr:from>
    <xdr:to>
      <xdr:col>8</xdr:col>
      <xdr:colOff>197223</xdr:colOff>
      <xdr:row>16</xdr:row>
      <xdr:rowOff>197223</xdr:rowOff>
    </xdr:to>
    <xdr:sp macro="" textlink="">
      <xdr:nvSpPr>
        <xdr:cNvPr id="11" name="正方形/長方形 10"/>
        <xdr:cNvSpPr/>
      </xdr:nvSpPr>
      <xdr:spPr>
        <a:xfrm>
          <a:off x="1882589" y="351416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206188</xdr:colOff>
      <xdr:row>14</xdr:row>
      <xdr:rowOff>224118</xdr:rowOff>
    </xdr:from>
    <xdr:to>
      <xdr:col>17</xdr:col>
      <xdr:colOff>268941</xdr:colOff>
      <xdr:row>16</xdr:row>
      <xdr:rowOff>44824</xdr:rowOff>
    </xdr:to>
    <xdr:sp macro="" textlink="">
      <xdr:nvSpPr>
        <xdr:cNvPr id="12" name="正方形/長方形 11"/>
        <xdr:cNvSpPr/>
      </xdr:nvSpPr>
      <xdr:spPr>
        <a:xfrm>
          <a:off x="4455459" y="336176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259977</xdr:colOff>
      <xdr:row>14</xdr:row>
      <xdr:rowOff>215154</xdr:rowOff>
    </xdr:from>
    <xdr:to>
      <xdr:col>22</xdr:col>
      <xdr:colOff>44823</xdr:colOff>
      <xdr:row>16</xdr:row>
      <xdr:rowOff>35860</xdr:rowOff>
    </xdr:to>
    <xdr:sp macro="" textlink="">
      <xdr:nvSpPr>
        <xdr:cNvPr id="13" name="正方形/長方形 12"/>
        <xdr:cNvSpPr/>
      </xdr:nvSpPr>
      <xdr:spPr>
        <a:xfrm>
          <a:off x="5620871" y="33528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251011</xdr:colOff>
      <xdr:row>14</xdr:row>
      <xdr:rowOff>224118</xdr:rowOff>
    </xdr:from>
    <xdr:to>
      <xdr:col>26</xdr:col>
      <xdr:colOff>35858</xdr:colOff>
      <xdr:row>16</xdr:row>
      <xdr:rowOff>44824</xdr:rowOff>
    </xdr:to>
    <xdr:sp macro="" textlink="">
      <xdr:nvSpPr>
        <xdr:cNvPr id="14" name="正方形/長方形 13"/>
        <xdr:cNvSpPr/>
      </xdr:nvSpPr>
      <xdr:spPr>
        <a:xfrm>
          <a:off x="6723529" y="336176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134470</xdr:colOff>
      <xdr:row>14</xdr:row>
      <xdr:rowOff>215153</xdr:rowOff>
    </xdr:from>
    <xdr:to>
      <xdr:col>29</xdr:col>
      <xdr:colOff>197222</xdr:colOff>
      <xdr:row>16</xdr:row>
      <xdr:rowOff>35859</xdr:rowOff>
    </xdr:to>
    <xdr:sp macro="" textlink="">
      <xdr:nvSpPr>
        <xdr:cNvPr id="15" name="正方形/長方形 14"/>
        <xdr:cNvSpPr/>
      </xdr:nvSpPr>
      <xdr:spPr>
        <a:xfrm>
          <a:off x="7718611" y="335280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152399</xdr:colOff>
      <xdr:row>14</xdr:row>
      <xdr:rowOff>233082</xdr:rowOff>
    </xdr:from>
    <xdr:to>
      <xdr:col>33</xdr:col>
      <xdr:colOff>215151</xdr:colOff>
      <xdr:row>16</xdr:row>
      <xdr:rowOff>53788</xdr:rowOff>
    </xdr:to>
    <xdr:sp macro="" textlink="">
      <xdr:nvSpPr>
        <xdr:cNvPr id="16" name="正方形/長方形 15"/>
        <xdr:cNvSpPr/>
      </xdr:nvSpPr>
      <xdr:spPr>
        <a:xfrm>
          <a:off x="8848164" y="337072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134471</xdr:colOff>
      <xdr:row>14</xdr:row>
      <xdr:rowOff>233081</xdr:rowOff>
    </xdr:from>
    <xdr:to>
      <xdr:col>37</xdr:col>
      <xdr:colOff>197223</xdr:colOff>
      <xdr:row>16</xdr:row>
      <xdr:rowOff>53787</xdr:rowOff>
    </xdr:to>
    <xdr:sp macro="" textlink="">
      <xdr:nvSpPr>
        <xdr:cNvPr id="17" name="正方形/長方形 16"/>
        <xdr:cNvSpPr/>
      </xdr:nvSpPr>
      <xdr:spPr>
        <a:xfrm>
          <a:off x="9941859" y="337072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71718</xdr:colOff>
      <xdr:row>15</xdr:row>
      <xdr:rowOff>0</xdr:rowOff>
    </xdr:from>
    <xdr:to>
      <xdr:col>41</xdr:col>
      <xdr:colOff>134470</xdr:colOff>
      <xdr:row>16</xdr:row>
      <xdr:rowOff>71718</xdr:rowOff>
    </xdr:to>
    <xdr:sp macro="" textlink="">
      <xdr:nvSpPr>
        <xdr:cNvPr id="18" name="正方形/長方形 17"/>
        <xdr:cNvSpPr/>
      </xdr:nvSpPr>
      <xdr:spPr>
        <a:xfrm>
          <a:off x="10990730" y="338865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44</xdr:col>
      <xdr:colOff>26894</xdr:colOff>
      <xdr:row>14</xdr:row>
      <xdr:rowOff>233083</xdr:rowOff>
    </xdr:from>
    <xdr:to>
      <xdr:col>45</xdr:col>
      <xdr:colOff>89646</xdr:colOff>
      <xdr:row>16</xdr:row>
      <xdr:rowOff>53789</xdr:rowOff>
    </xdr:to>
    <xdr:sp macro="" textlink="">
      <xdr:nvSpPr>
        <xdr:cNvPr id="19" name="正方形/長方形 18"/>
        <xdr:cNvSpPr/>
      </xdr:nvSpPr>
      <xdr:spPr>
        <a:xfrm>
          <a:off x="12057529" y="337073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0</xdr:colOff>
      <xdr:row>14</xdr:row>
      <xdr:rowOff>233083</xdr:rowOff>
    </xdr:from>
    <xdr:to>
      <xdr:col>49</xdr:col>
      <xdr:colOff>62752</xdr:colOff>
      <xdr:row>16</xdr:row>
      <xdr:rowOff>53789</xdr:rowOff>
    </xdr:to>
    <xdr:sp macro="" textlink="">
      <xdr:nvSpPr>
        <xdr:cNvPr id="20" name="正方形/長方形 19"/>
        <xdr:cNvSpPr/>
      </xdr:nvSpPr>
      <xdr:spPr>
        <a:xfrm>
          <a:off x="13142259" y="337073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143436</xdr:colOff>
      <xdr:row>14</xdr:row>
      <xdr:rowOff>242048</xdr:rowOff>
    </xdr:from>
    <xdr:to>
      <xdr:col>52</xdr:col>
      <xdr:colOff>206188</xdr:colOff>
      <xdr:row>16</xdr:row>
      <xdr:rowOff>62754</xdr:rowOff>
    </xdr:to>
    <xdr:sp macro="" textlink="">
      <xdr:nvSpPr>
        <xdr:cNvPr id="21" name="正方形/長方形 20"/>
        <xdr:cNvSpPr/>
      </xdr:nvSpPr>
      <xdr:spPr>
        <a:xfrm>
          <a:off x="14119412" y="337969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54</xdr:col>
      <xdr:colOff>161365</xdr:colOff>
      <xdr:row>14</xdr:row>
      <xdr:rowOff>242047</xdr:rowOff>
    </xdr:from>
    <xdr:to>
      <xdr:col>55</xdr:col>
      <xdr:colOff>224117</xdr:colOff>
      <xdr:row>16</xdr:row>
      <xdr:rowOff>62753</xdr:rowOff>
    </xdr:to>
    <xdr:sp macro="" textlink="">
      <xdr:nvSpPr>
        <xdr:cNvPr id="22" name="正方形/長方形 21"/>
        <xdr:cNvSpPr/>
      </xdr:nvSpPr>
      <xdr:spPr>
        <a:xfrm>
          <a:off x="14971059" y="337969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57</xdr:col>
      <xdr:colOff>206188</xdr:colOff>
      <xdr:row>14</xdr:row>
      <xdr:rowOff>44824</xdr:rowOff>
    </xdr:from>
    <xdr:to>
      <xdr:col>58</xdr:col>
      <xdr:colOff>268940</xdr:colOff>
      <xdr:row>15</xdr:row>
      <xdr:rowOff>116542</xdr:rowOff>
    </xdr:to>
    <xdr:sp macro="" textlink="">
      <xdr:nvSpPr>
        <xdr:cNvPr id="23" name="正方形/長方形 22"/>
        <xdr:cNvSpPr/>
      </xdr:nvSpPr>
      <xdr:spPr>
        <a:xfrm>
          <a:off x="15849600" y="318247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57</xdr:col>
      <xdr:colOff>215153</xdr:colOff>
      <xdr:row>15</xdr:row>
      <xdr:rowOff>125506</xdr:rowOff>
    </xdr:from>
    <xdr:to>
      <xdr:col>59</xdr:col>
      <xdr:colOff>-1</xdr:colOff>
      <xdr:row>16</xdr:row>
      <xdr:rowOff>197224</xdr:rowOff>
    </xdr:to>
    <xdr:sp macro="" textlink="">
      <xdr:nvSpPr>
        <xdr:cNvPr id="24" name="正方形/長方形 23"/>
        <xdr:cNvSpPr/>
      </xdr:nvSpPr>
      <xdr:spPr>
        <a:xfrm>
          <a:off x="15858565" y="351416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179294</xdr:colOff>
      <xdr:row>25</xdr:row>
      <xdr:rowOff>242048</xdr:rowOff>
    </xdr:from>
    <xdr:to>
      <xdr:col>17</xdr:col>
      <xdr:colOff>242047</xdr:colOff>
      <xdr:row>27</xdr:row>
      <xdr:rowOff>62754</xdr:rowOff>
    </xdr:to>
    <xdr:sp macro="" textlink="">
      <xdr:nvSpPr>
        <xdr:cNvPr id="25" name="正方形/長方形 24"/>
        <xdr:cNvSpPr/>
      </xdr:nvSpPr>
      <xdr:spPr>
        <a:xfrm>
          <a:off x="4428565" y="61408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268941</xdr:colOff>
      <xdr:row>25</xdr:row>
      <xdr:rowOff>242047</xdr:rowOff>
    </xdr:from>
    <xdr:to>
      <xdr:col>22</xdr:col>
      <xdr:colOff>53787</xdr:colOff>
      <xdr:row>27</xdr:row>
      <xdr:rowOff>62753</xdr:rowOff>
    </xdr:to>
    <xdr:sp macro="" textlink="">
      <xdr:nvSpPr>
        <xdr:cNvPr id="26" name="正方形/長方形 25"/>
        <xdr:cNvSpPr/>
      </xdr:nvSpPr>
      <xdr:spPr>
        <a:xfrm>
          <a:off x="5629835" y="614082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25</xdr:col>
      <xdr:colOff>-1</xdr:colOff>
      <xdr:row>26</xdr:row>
      <xdr:rowOff>17930</xdr:rowOff>
    </xdr:from>
    <xdr:to>
      <xdr:col>26</xdr:col>
      <xdr:colOff>62752</xdr:colOff>
      <xdr:row>27</xdr:row>
      <xdr:rowOff>89648</xdr:rowOff>
    </xdr:to>
    <xdr:sp macro="" textlink="">
      <xdr:nvSpPr>
        <xdr:cNvPr id="27" name="正方形/長方形 26"/>
        <xdr:cNvSpPr/>
      </xdr:nvSpPr>
      <xdr:spPr>
        <a:xfrm>
          <a:off x="6750423" y="61677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143436</xdr:colOff>
      <xdr:row>26</xdr:row>
      <xdr:rowOff>44824</xdr:rowOff>
    </xdr:from>
    <xdr:to>
      <xdr:col>29</xdr:col>
      <xdr:colOff>206188</xdr:colOff>
      <xdr:row>27</xdr:row>
      <xdr:rowOff>116542</xdr:rowOff>
    </xdr:to>
    <xdr:sp macro="" textlink="">
      <xdr:nvSpPr>
        <xdr:cNvPr id="28" name="正方形/長方形 27"/>
        <xdr:cNvSpPr/>
      </xdr:nvSpPr>
      <xdr:spPr>
        <a:xfrm>
          <a:off x="7727577" y="619461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125505</xdr:colOff>
      <xdr:row>26</xdr:row>
      <xdr:rowOff>35859</xdr:rowOff>
    </xdr:from>
    <xdr:to>
      <xdr:col>33</xdr:col>
      <xdr:colOff>188257</xdr:colOff>
      <xdr:row>27</xdr:row>
      <xdr:rowOff>107577</xdr:rowOff>
    </xdr:to>
    <xdr:sp macro="" textlink="">
      <xdr:nvSpPr>
        <xdr:cNvPr id="29" name="正方形/長方形 28"/>
        <xdr:cNvSpPr/>
      </xdr:nvSpPr>
      <xdr:spPr>
        <a:xfrm>
          <a:off x="8821270" y="618564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179294</xdr:colOff>
      <xdr:row>26</xdr:row>
      <xdr:rowOff>44823</xdr:rowOff>
    </xdr:from>
    <xdr:to>
      <xdr:col>37</xdr:col>
      <xdr:colOff>242046</xdr:colOff>
      <xdr:row>27</xdr:row>
      <xdr:rowOff>116541</xdr:rowOff>
    </xdr:to>
    <xdr:sp macro="" textlink="">
      <xdr:nvSpPr>
        <xdr:cNvPr id="30" name="正方形/長方形 29"/>
        <xdr:cNvSpPr/>
      </xdr:nvSpPr>
      <xdr:spPr>
        <a:xfrm>
          <a:off x="9986682" y="619461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107575</xdr:colOff>
      <xdr:row>26</xdr:row>
      <xdr:rowOff>44823</xdr:rowOff>
    </xdr:from>
    <xdr:to>
      <xdr:col>41</xdr:col>
      <xdr:colOff>170327</xdr:colOff>
      <xdr:row>27</xdr:row>
      <xdr:rowOff>116541</xdr:rowOff>
    </xdr:to>
    <xdr:sp macro="" textlink="">
      <xdr:nvSpPr>
        <xdr:cNvPr id="31" name="正方形/長方形 30"/>
        <xdr:cNvSpPr/>
      </xdr:nvSpPr>
      <xdr:spPr>
        <a:xfrm>
          <a:off x="11026587" y="619461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44</xdr:col>
      <xdr:colOff>17930</xdr:colOff>
      <xdr:row>26</xdr:row>
      <xdr:rowOff>44824</xdr:rowOff>
    </xdr:from>
    <xdr:to>
      <xdr:col>45</xdr:col>
      <xdr:colOff>80682</xdr:colOff>
      <xdr:row>27</xdr:row>
      <xdr:rowOff>116542</xdr:rowOff>
    </xdr:to>
    <xdr:sp macro="" textlink="">
      <xdr:nvSpPr>
        <xdr:cNvPr id="32" name="正方形/長方形 31"/>
        <xdr:cNvSpPr/>
      </xdr:nvSpPr>
      <xdr:spPr>
        <a:xfrm>
          <a:off x="12048565" y="619461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224118</xdr:colOff>
      <xdr:row>26</xdr:row>
      <xdr:rowOff>62753</xdr:rowOff>
    </xdr:from>
    <xdr:to>
      <xdr:col>49</xdr:col>
      <xdr:colOff>8964</xdr:colOff>
      <xdr:row>27</xdr:row>
      <xdr:rowOff>134471</xdr:rowOff>
    </xdr:to>
    <xdr:sp macro="" textlink="">
      <xdr:nvSpPr>
        <xdr:cNvPr id="33" name="正方形/長方形 32"/>
        <xdr:cNvSpPr/>
      </xdr:nvSpPr>
      <xdr:spPr>
        <a:xfrm>
          <a:off x="13088471" y="621254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98611</xdr:colOff>
      <xdr:row>26</xdr:row>
      <xdr:rowOff>98612</xdr:rowOff>
    </xdr:from>
    <xdr:to>
      <xdr:col>52</xdr:col>
      <xdr:colOff>161363</xdr:colOff>
      <xdr:row>27</xdr:row>
      <xdr:rowOff>170330</xdr:rowOff>
    </xdr:to>
    <xdr:sp macro="" textlink="">
      <xdr:nvSpPr>
        <xdr:cNvPr id="34" name="正方形/長方形 33"/>
        <xdr:cNvSpPr/>
      </xdr:nvSpPr>
      <xdr:spPr>
        <a:xfrm>
          <a:off x="14074587" y="624840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476096</xdr:colOff>
      <xdr:row>39</xdr:row>
      <xdr:rowOff>1212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2546176" cy="8688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32" t="s">
        <v>0</v>
      </c>
      <c r="C2" s="133"/>
      <c r="D2" s="133"/>
      <c r="E2" s="133"/>
      <c r="F2" s="133"/>
      <c r="G2" s="133"/>
      <c r="H2" s="133" t="s">
        <v>17</v>
      </c>
      <c r="I2" s="133"/>
      <c r="J2" s="133"/>
      <c r="K2" s="133"/>
      <c r="L2" s="133" t="s">
        <v>213</v>
      </c>
      <c r="M2" s="133"/>
      <c r="N2" s="133"/>
      <c r="O2" s="133"/>
      <c r="P2" s="133"/>
      <c r="Q2" s="133"/>
      <c r="R2" s="133" t="s">
        <v>2</v>
      </c>
      <c r="S2" s="133"/>
      <c r="T2" s="133"/>
      <c r="U2" s="133"/>
      <c r="V2" s="133"/>
      <c r="W2" s="133"/>
      <c r="X2" s="134" t="s">
        <v>3</v>
      </c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6"/>
      <c r="AK2" s="134" t="s">
        <v>31</v>
      </c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6"/>
      <c r="AX2" s="133" t="s">
        <v>5</v>
      </c>
      <c r="AY2" s="133"/>
      <c r="AZ2" s="133"/>
      <c r="BA2" s="133"/>
      <c r="BB2" s="133" t="s">
        <v>4</v>
      </c>
      <c r="BC2" s="133"/>
      <c r="BD2" s="133"/>
      <c r="BE2" s="133"/>
      <c r="BF2" s="133" t="s">
        <v>6</v>
      </c>
      <c r="BG2" s="133"/>
      <c r="BH2" s="133"/>
      <c r="BI2" s="133"/>
      <c r="BJ2" s="133" t="s">
        <v>7</v>
      </c>
      <c r="BK2" s="133"/>
      <c r="BL2" s="133"/>
      <c r="BM2" s="147"/>
      <c r="BN2" s="14"/>
    </row>
    <row r="3" spans="1:66" ht="20.100000000000001" customHeight="1" x14ac:dyDescent="0.45">
      <c r="A3" s="8"/>
      <c r="B3" s="137" t="s">
        <v>211</v>
      </c>
      <c r="C3" s="138"/>
      <c r="D3" s="138"/>
      <c r="E3" s="138"/>
      <c r="F3" s="138"/>
      <c r="G3" s="138"/>
      <c r="H3" s="138" t="str">
        <f ca="1">LEFT($X$3,FIND("_",$X$3)-1)</f>
        <v>SU0400</v>
      </c>
      <c r="I3" s="138"/>
      <c r="J3" s="138"/>
      <c r="K3" s="138"/>
      <c r="L3" s="138" t="s">
        <v>212</v>
      </c>
      <c r="M3" s="138"/>
      <c r="N3" s="138"/>
      <c r="O3" s="138"/>
      <c r="P3" s="138"/>
      <c r="Q3" s="138"/>
      <c r="R3" s="141" t="str">
        <f ca="1">MID($X$3,FIND("_",$X$3,FIND("_",$X$3)+1)+1,LEN($X$3)-FIND("_",$X$3,FIND("_",$X$3)+1))</f>
        <v>帳票設計書</v>
      </c>
      <c r="S3" s="138"/>
      <c r="T3" s="138"/>
      <c r="U3" s="138"/>
      <c r="V3" s="138"/>
      <c r="W3" s="138"/>
      <c r="X3" s="142" t="str">
        <f ca="1">REPLACE(LEFT(CELL("filename",$B$2),FIND(".x",CELL("filename",$B$2))-1),1,FIND("[",CELL("filename",$B$2)),)</f>
        <v>SU0400_請求一覧表_帳票設計書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39"/>
      <c r="AK3" s="142" t="str">
        <f ca="1">MID($X$3,FIND("_",$X$3)+1,FIND("_",$X$3,FIND("_",$X$3)+1)-FIND("_",$X$3)-1)</f>
        <v>請求一覧表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39"/>
      <c r="AX3" s="149">
        <v>45583</v>
      </c>
      <c r="AY3" s="138"/>
      <c r="AZ3" s="138"/>
      <c r="BA3" s="138"/>
      <c r="BB3" s="138" t="s">
        <v>214</v>
      </c>
      <c r="BC3" s="138"/>
      <c r="BD3" s="138"/>
      <c r="BE3" s="138"/>
      <c r="BF3" s="149">
        <v>45583</v>
      </c>
      <c r="BG3" s="138"/>
      <c r="BH3" s="138"/>
      <c r="BI3" s="138"/>
      <c r="BJ3" s="138" t="s">
        <v>214</v>
      </c>
      <c r="BK3" s="138"/>
      <c r="BL3" s="138"/>
      <c r="BM3" s="150"/>
      <c r="BN3" s="14"/>
    </row>
    <row r="4" spans="1:66" ht="20.100000000000001" customHeight="1" thickBot="1" x14ac:dyDescent="0.5">
      <c r="A4" s="8"/>
      <c r="B4" s="139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4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6"/>
      <c r="AK4" s="144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6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2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48" t="s">
        <v>8</v>
      </c>
      <c r="D8" s="148"/>
      <c r="E8" s="148"/>
      <c r="F8" s="148"/>
      <c r="G8" s="148" t="s">
        <v>9</v>
      </c>
      <c r="H8" s="148"/>
      <c r="I8" s="148"/>
      <c r="J8" s="148"/>
      <c r="K8" s="148" t="s">
        <v>10</v>
      </c>
      <c r="L8" s="148"/>
      <c r="M8" s="148"/>
      <c r="N8" s="148"/>
      <c r="O8" s="148" t="s">
        <v>11</v>
      </c>
      <c r="P8" s="148"/>
      <c r="Q8" s="148"/>
      <c r="R8" s="148"/>
      <c r="S8" s="148"/>
      <c r="T8" s="148"/>
      <c r="U8" s="148"/>
      <c r="V8" s="148"/>
      <c r="W8" s="148"/>
      <c r="X8" s="148"/>
      <c r="Y8" s="148" t="s">
        <v>12</v>
      </c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7"/>
      <c r="BN8" s="14"/>
    </row>
    <row r="9" spans="1:66" ht="20.100000000000001" customHeight="1" x14ac:dyDescent="0.45">
      <c r="A9" s="8"/>
      <c r="B9" s="7"/>
      <c r="C9" s="151">
        <v>45583</v>
      </c>
      <c r="D9" s="152"/>
      <c r="E9" s="152"/>
      <c r="F9" s="153"/>
      <c r="G9" s="154" t="s">
        <v>16</v>
      </c>
      <c r="H9" s="155"/>
      <c r="I9" s="155"/>
      <c r="J9" s="156"/>
      <c r="K9" s="157" t="s">
        <v>214</v>
      </c>
      <c r="L9" s="152"/>
      <c r="M9" s="152"/>
      <c r="N9" s="153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51"/>
      <c r="D10" s="152"/>
      <c r="E10" s="152"/>
      <c r="F10" s="153"/>
      <c r="G10" s="154"/>
      <c r="H10" s="155"/>
      <c r="I10" s="155"/>
      <c r="J10" s="156"/>
      <c r="K10" s="157"/>
      <c r="L10" s="152"/>
      <c r="M10" s="152"/>
      <c r="N10" s="153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51"/>
      <c r="D11" s="152"/>
      <c r="E11" s="152"/>
      <c r="F11" s="153"/>
      <c r="G11" s="154"/>
      <c r="H11" s="155"/>
      <c r="I11" s="155"/>
      <c r="J11" s="156"/>
      <c r="K11" s="157"/>
      <c r="L11" s="152"/>
      <c r="M11" s="152"/>
      <c r="N11" s="153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51"/>
      <c r="D36" s="152"/>
      <c r="E36" s="152"/>
      <c r="F36" s="153"/>
      <c r="G36" s="154"/>
      <c r="H36" s="155"/>
      <c r="I36" s="155"/>
      <c r="J36" s="156"/>
      <c r="K36" s="157"/>
      <c r="L36" s="152"/>
      <c r="M36" s="152"/>
      <c r="N36" s="153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51"/>
      <c r="D37" s="152"/>
      <c r="E37" s="152"/>
      <c r="F37" s="153"/>
      <c r="G37" s="154"/>
      <c r="H37" s="155"/>
      <c r="I37" s="155"/>
      <c r="J37" s="156"/>
      <c r="K37" s="157"/>
      <c r="L37" s="152"/>
      <c r="M37" s="152"/>
      <c r="N37" s="153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51"/>
      <c r="D38" s="152"/>
      <c r="E38" s="152"/>
      <c r="F38" s="153"/>
      <c r="G38" s="154"/>
      <c r="H38" s="155"/>
      <c r="I38" s="155"/>
      <c r="J38" s="156"/>
      <c r="K38" s="157"/>
      <c r="L38" s="152"/>
      <c r="M38" s="152"/>
      <c r="N38" s="153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51"/>
      <c r="D39" s="152"/>
      <c r="E39" s="152"/>
      <c r="F39" s="153"/>
      <c r="G39" s="154"/>
      <c r="H39" s="155"/>
      <c r="I39" s="155"/>
      <c r="J39" s="156"/>
      <c r="K39" s="157"/>
      <c r="L39" s="152"/>
      <c r="M39" s="152"/>
      <c r="N39" s="153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51"/>
      <c r="D40" s="152"/>
      <c r="E40" s="152"/>
      <c r="F40" s="153"/>
      <c r="G40" s="154"/>
      <c r="H40" s="155"/>
      <c r="I40" s="155"/>
      <c r="J40" s="156"/>
      <c r="K40" s="157"/>
      <c r="L40" s="152"/>
      <c r="M40" s="152"/>
      <c r="N40" s="153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51"/>
      <c r="D41" s="152"/>
      <c r="E41" s="152"/>
      <c r="F41" s="153"/>
      <c r="G41" s="154"/>
      <c r="H41" s="155"/>
      <c r="I41" s="155"/>
      <c r="J41" s="156"/>
      <c r="K41" s="157"/>
      <c r="L41" s="152"/>
      <c r="M41" s="152"/>
      <c r="N41" s="153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51"/>
      <c r="D42" s="152"/>
      <c r="E42" s="152"/>
      <c r="F42" s="153"/>
      <c r="G42" s="154"/>
      <c r="H42" s="155"/>
      <c r="I42" s="155"/>
      <c r="J42" s="156"/>
      <c r="K42" s="157"/>
      <c r="L42" s="152"/>
      <c r="M42" s="152"/>
      <c r="N42" s="153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51"/>
      <c r="D43" s="152"/>
      <c r="E43" s="152"/>
      <c r="F43" s="153"/>
      <c r="G43" s="154"/>
      <c r="H43" s="155"/>
      <c r="I43" s="155"/>
      <c r="J43" s="156"/>
      <c r="K43" s="157"/>
      <c r="L43" s="152"/>
      <c r="M43" s="152"/>
      <c r="N43" s="153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51"/>
      <c r="D44" s="152"/>
      <c r="E44" s="152"/>
      <c r="F44" s="153"/>
      <c r="G44" s="154"/>
      <c r="H44" s="155"/>
      <c r="I44" s="155"/>
      <c r="J44" s="156"/>
      <c r="K44" s="157"/>
      <c r="L44" s="152"/>
      <c r="M44" s="152"/>
      <c r="N44" s="153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51"/>
      <c r="D45" s="152"/>
      <c r="E45" s="152"/>
      <c r="F45" s="153"/>
      <c r="G45" s="154"/>
      <c r="H45" s="155"/>
      <c r="I45" s="155"/>
      <c r="J45" s="156"/>
      <c r="K45" s="157"/>
      <c r="L45" s="152"/>
      <c r="M45" s="152"/>
      <c r="N45" s="153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51"/>
      <c r="D46" s="152"/>
      <c r="E46" s="152"/>
      <c r="F46" s="153"/>
      <c r="G46" s="154"/>
      <c r="H46" s="155"/>
      <c r="I46" s="155"/>
      <c r="J46" s="156"/>
      <c r="K46" s="157"/>
      <c r="L46" s="152"/>
      <c r="M46" s="152"/>
      <c r="N46" s="153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51"/>
      <c r="D47" s="152"/>
      <c r="E47" s="152"/>
      <c r="F47" s="153"/>
      <c r="G47" s="154"/>
      <c r="H47" s="155"/>
      <c r="I47" s="155"/>
      <c r="J47" s="156"/>
      <c r="K47" s="157"/>
      <c r="L47" s="152"/>
      <c r="M47" s="152"/>
      <c r="N47" s="153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32" t="s">
        <v>0</v>
      </c>
      <c r="C2" s="133"/>
      <c r="D2" s="133"/>
      <c r="E2" s="133"/>
      <c r="F2" s="133"/>
      <c r="G2" s="133"/>
      <c r="H2" s="133" t="s">
        <v>17</v>
      </c>
      <c r="I2" s="133"/>
      <c r="J2" s="133"/>
      <c r="K2" s="133"/>
      <c r="L2" s="133" t="s">
        <v>213</v>
      </c>
      <c r="M2" s="133"/>
      <c r="N2" s="133"/>
      <c r="O2" s="133"/>
      <c r="P2" s="133"/>
      <c r="Q2" s="133"/>
      <c r="R2" s="133" t="s">
        <v>2</v>
      </c>
      <c r="S2" s="133"/>
      <c r="T2" s="133"/>
      <c r="U2" s="133"/>
      <c r="V2" s="133"/>
      <c r="W2" s="133"/>
      <c r="X2" s="134" t="s">
        <v>3</v>
      </c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6"/>
      <c r="AK2" s="134" t="s">
        <v>32</v>
      </c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6"/>
      <c r="AX2" s="133" t="s">
        <v>5</v>
      </c>
      <c r="AY2" s="133"/>
      <c r="AZ2" s="133"/>
      <c r="BA2" s="133"/>
      <c r="BB2" s="133" t="s">
        <v>4</v>
      </c>
      <c r="BC2" s="133"/>
      <c r="BD2" s="133"/>
      <c r="BE2" s="133"/>
      <c r="BF2" s="133" t="s">
        <v>6</v>
      </c>
      <c r="BG2" s="133"/>
      <c r="BH2" s="133"/>
      <c r="BI2" s="133"/>
      <c r="BJ2" s="133" t="s">
        <v>7</v>
      </c>
      <c r="BK2" s="133"/>
      <c r="BL2" s="133"/>
      <c r="BM2" s="147"/>
      <c r="BN2" s="35"/>
    </row>
    <row r="3" spans="1:66" ht="20.100000000000001" customHeight="1" x14ac:dyDescent="0.45">
      <c r="A3" s="32"/>
      <c r="B3" s="137" t="str">
        <f>変更履歴!B3</f>
        <v>受発注システム</v>
      </c>
      <c r="C3" s="138"/>
      <c r="D3" s="138"/>
      <c r="E3" s="138"/>
      <c r="F3" s="138"/>
      <c r="G3" s="138"/>
      <c r="H3" s="138" t="str">
        <f ca="1">変更履歴!H3</f>
        <v>SU0400</v>
      </c>
      <c r="I3" s="138"/>
      <c r="J3" s="138"/>
      <c r="K3" s="138"/>
      <c r="L3" s="138" t="str">
        <f>変更履歴!L3</f>
        <v>受発注</v>
      </c>
      <c r="M3" s="138"/>
      <c r="N3" s="138"/>
      <c r="O3" s="138"/>
      <c r="P3" s="138"/>
      <c r="Q3" s="138"/>
      <c r="R3" s="138" t="str">
        <f ca="1">変更履歴!R3</f>
        <v>帳票設計書</v>
      </c>
      <c r="S3" s="138"/>
      <c r="T3" s="138"/>
      <c r="U3" s="138"/>
      <c r="V3" s="138"/>
      <c r="W3" s="138"/>
      <c r="X3" s="142" t="str">
        <f ca="1">変更履歴!X3</f>
        <v>SU0400_請求一覧表_帳票設計書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39"/>
      <c r="AK3" s="142" t="str">
        <f ca="1">変更履歴!AK3</f>
        <v>請求一覧表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39"/>
      <c r="AX3" s="149">
        <f>変更履歴!AX3</f>
        <v>45583</v>
      </c>
      <c r="AY3" s="149"/>
      <c r="AZ3" s="149"/>
      <c r="BA3" s="149"/>
      <c r="BB3" s="138" t="str">
        <f>変更履歴!BB3</f>
        <v>大谷</v>
      </c>
      <c r="BC3" s="138"/>
      <c r="BD3" s="138"/>
      <c r="BE3" s="138"/>
      <c r="BF3" s="149">
        <f>変更履歴!BF3</f>
        <v>45583</v>
      </c>
      <c r="BG3" s="149"/>
      <c r="BH3" s="149"/>
      <c r="BI3" s="149"/>
      <c r="BJ3" s="138" t="str">
        <f>変更履歴!BJ3</f>
        <v>大谷</v>
      </c>
      <c r="BK3" s="138"/>
      <c r="BL3" s="138"/>
      <c r="BM3" s="150"/>
      <c r="BN3" s="35"/>
    </row>
    <row r="4" spans="1:66" ht="20.100000000000001" customHeight="1" thickBot="1" x14ac:dyDescent="0.5">
      <c r="A4" s="32"/>
      <c r="B4" s="139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4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6"/>
      <c r="AK4" s="144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6"/>
      <c r="AX4" s="158"/>
      <c r="AY4" s="158"/>
      <c r="AZ4" s="158"/>
      <c r="BA4" s="158"/>
      <c r="BB4" s="140"/>
      <c r="BC4" s="140"/>
      <c r="BD4" s="140"/>
      <c r="BE4" s="140"/>
      <c r="BF4" s="158"/>
      <c r="BG4" s="158"/>
      <c r="BH4" s="158"/>
      <c r="BI4" s="158"/>
      <c r="BJ4" s="140"/>
      <c r="BK4" s="140"/>
      <c r="BL4" s="140"/>
      <c r="BM4" s="142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請求一覧表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90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91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92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90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90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90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90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210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32" t="s">
        <v>0</v>
      </c>
      <c r="C2" s="133"/>
      <c r="D2" s="133"/>
      <c r="E2" s="133"/>
      <c r="F2" s="133"/>
      <c r="G2" s="133"/>
      <c r="H2" s="133" t="s">
        <v>17</v>
      </c>
      <c r="I2" s="133"/>
      <c r="J2" s="133"/>
      <c r="K2" s="133"/>
      <c r="L2" s="133" t="s">
        <v>213</v>
      </c>
      <c r="M2" s="133"/>
      <c r="N2" s="133"/>
      <c r="O2" s="133"/>
      <c r="P2" s="133"/>
      <c r="Q2" s="133"/>
      <c r="R2" s="133" t="s">
        <v>2</v>
      </c>
      <c r="S2" s="133"/>
      <c r="T2" s="133"/>
      <c r="U2" s="133"/>
      <c r="V2" s="133"/>
      <c r="W2" s="133"/>
      <c r="X2" s="134" t="s">
        <v>3</v>
      </c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6"/>
      <c r="AK2" s="134" t="s">
        <v>32</v>
      </c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6"/>
      <c r="AX2" s="133" t="s">
        <v>5</v>
      </c>
      <c r="AY2" s="133"/>
      <c r="AZ2" s="133"/>
      <c r="BA2" s="133"/>
      <c r="BB2" s="133" t="s">
        <v>4</v>
      </c>
      <c r="BC2" s="133"/>
      <c r="BD2" s="133"/>
      <c r="BE2" s="133"/>
      <c r="BF2" s="133" t="s">
        <v>6</v>
      </c>
      <c r="BG2" s="133"/>
      <c r="BH2" s="133"/>
      <c r="BI2" s="133"/>
      <c r="BJ2" s="133" t="s">
        <v>7</v>
      </c>
      <c r="BK2" s="133"/>
      <c r="BL2" s="133"/>
      <c r="BM2" s="147"/>
      <c r="BN2" s="15"/>
    </row>
    <row r="3" spans="1:66" ht="20.100000000000001" customHeight="1" x14ac:dyDescent="0.45">
      <c r="A3" s="9"/>
      <c r="B3" s="137" t="str">
        <f>変更履歴!B3</f>
        <v>受発注システム</v>
      </c>
      <c r="C3" s="138"/>
      <c r="D3" s="138"/>
      <c r="E3" s="138"/>
      <c r="F3" s="138"/>
      <c r="G3" s="138"/>
      <c r="H3" s="138" t="str">
        <f ca="1">変更履歴!H3</f>
        <v>SU0400</v>
      </c>
      <c r="I3" s="138"/>
      <c r="J3" s="138"/>
      <c r="K3" s="138"/>
      <c r="L3" s="138" t="str">
        <f>変更履歴!L3</f>
        <v>受発注</v>
      </c>
      <c r="M3" s="138"/>
      <c r="N3" s="138"/>
      <c r="O3" s="138"/>
      <c r="P3" s="138"/>
      <c r="Q3" s="138"/>
      <c r="R3" s="138" t="str">
        <f ca="1">変更履歴!R3</f>
        <v>帳票設計書</v>
      </c>
      <c r="S3" s="138"/>
      <c r="T3" s="138"/>
      <c r="U3" s="138"/>
      <c r="V3" s="138"/>
      <c r="W3" s="138"/>
      <c r="X3" s="142" t="str">
        <f ca="1">変更履歴!X3</f>
        <v>SU0400_請求一覧表_帳票設計書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39"/>
      <c r="AK3" s="142" t="str">
        <f ca="1">変更履歴!AK3</f>
        <v>請求一覧表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39"/>
      <c r="AX3" s="149">
        <f>変更履歴!AX3</f>
        <v>45583</v>
      </c>
      <c r="AY3" s="149"/>
      <c r="AZ3" s="149"/>
      <c r="BA3" s="149"/>
      <c r="BB3" s="138" t="str">
        <f>変更履歴!BB3</f>
        <v>大谷</v>
      </c>
      <c r="BC3" s="138"/>
      <c r="BD3" s="138"/>
      <c r="BE3" s="138"/>
      <c r="BF3" s="149">
        <f>変更履歴!BF3</f>
        <v>45583</v>
      </c>
      <c r="BG3" s="149"/>
      <c r="BH3" s="149"/>
      <c r="BI3" s="149"/>
      <c r="BJ3" s="138" t="str">
        <f>変更履歴!BJ3</f>
        <v>大谷</v>
      </c>
      <c r="BK3" s="138"/>
      <c r="BL3" s="138"/>
      <c r="BM3" s="150"/>
      <c r="BN3" s="15"/>
    </row>
    <row r="4" spans="1:66" ht="20.100000000000001" customHeight="1" thickBot="1" x14ac:dyDescent="0.5">
      <c r="A4" s="9"/>
      <c r="B4" s="139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4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6"/>
      <c r="AK4" s="144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6"/>
      <c r="AX4" s="158"/>
      <c r="AY4" s="158"/>
      <c r="AZ4" s="158"/>
      <c r="BA4" s="158"/>
      <c r="BB4" s="140"/>
      <c r="BC4" s="140"/>
      <c r="BD4" s="140"/>
      <c r="BE4" s="140"/>
      <c r="BF4" s="158"/>
      <c r="BG4" s="158"/>
      <c r="BH4" s="158"/>
      <c r="BI4" s="158"/>
      <c r="BJ4" s="140"/>
      <c r="BK4" s="140"/>
      <c r="BL4" s="140"/>
      <c r="BM4" s="142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32" t="s">
        <v>0</v>
      </c>
      <c r="C2" s="133"/>
      <c r="D2" s="133"/>
      <c r="E2" s="133"/>
      <c r="F2" s="133"/>
      <c r="G2" s="133"/>
      <c r="H2" s="133" t="s">
        <v>17</v>
      </c>
      <c r="I2" s="133"/>
      <c r="J2" s="133"/>
      <c r="K2" s="133"/>
      <c r="L2" s="133" t="s">
        <v>213</v>
      </c>
      <c r="M2" s="133"/>
      <c r="N2" s="133"/>
      <c r="O2" s="133"/>
      <c r="P2" s="133"/>
      <c r="Q2" s="133"/>
      <c r="R2" s="133" t="s">
        <v>2</v>
      </c>
      <c r="S2" s="133"/>
      <c r="T2" s="133"/>
      <c r="U2" s="133"/>
      <c r="V2" s="133"/>
      <c r="W2" s="133"/>
      <c r="X2" s="134" t="s">
        <v>3</v>
      </c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6"/>
      <c r="AK2" s="134" t="s">
        <v>32</v>
      </c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6"/>
      <c r="AX2" s="133" t="s">
        <v>5</v>
      </c>
      <c r="AY2" s="133"/>
      <c r="AZ2" s="133"/>
      <c r="BA2" s="133"/>
      <c r="BB2" s="133" t="s">
        <v>4</v>
      </c>
      <c r="BC2" s="133"/>
      <c r="BD2" s="133"/>
      <c r="BE2" s="133"/>
      <c r="BF2" s="133" t="s">
        <v>6</v>
      </c>
      <c r="BG2" s="133"/>
      <c r="BH2" s="133"/>
      <c r="BI2" s="133"/>
      <c r="BJ2" s="133" t="s">
        <v>7</v>
      </c>
      <c r="BK2" s="133"/>
      <c r="BL2" s="133"/>
      <c r="BM2" s="147"/>
      <c r="BN2" s="15"/>
    </row>
    <row r="3" spans="1:85" ht="20.100000000000001" customHeight="1" x14ac:dyDescent="0.45">
      <c r="A3" s="9"/>
      <c r="B3" s="137" t="str">
        <f>変更履歴!B3</f>
        <v>受発注システム</v>
      </c>
      <c r="C3" s="138"/>
      <c r="D3" s="138"/>
      <c r="E3" s="138"/>
      <c r="F3" s="138"/>
      <c r="G3" s="138"/>
      <c r="H3" s="138" t="str">
        <f ca="1">変更履歴!H3</f>
        <v>SU0400</v>
      </c>
      <c r="I3" s="138"/>
      <c r="J3" s="138"/>
      <c r="K3" s="138"/>
      <c r="L3" s="138" t="str">
        <f>変更履歴!L3</f>
        <v>受発注</v>
      </c>
      <c r="M3" s="138"/>
      <c r="N3" s="138"/>
      <c r="O3" s="138"/>
      <c r="P3" s="138"/>
      <c r="Q3" s="138"/>
      <c r="R3" s="138" t="str">
        <f ca="1">変更履歴!R3</f>
        <v>帳票設計書</v>
      </c>
      <c r="S3" s="138"/>
      <c r="T3" s="138"/>
      <c r="U3" s="138"/>
      <c r="V3" s="138"/>
      <c r="W3" s="138"/>
      <c r="X3" s="142" t="str">
        <f ca="1">変更履歴!X3</f>
        <v>SU0400_請求一覧表_帳票設計書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39"/>
      <c r="AK3" s="142" t="str">
        <f ca="1">変更履歴!AK3</f>
        <v>請求一覧表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39"/>
      <c r="AX3" s="149">
        <f>変更履歴!AX3</f>
        <v>45583</v>
      </c>
      <c r="AY3" s="149"/>
      <c r="AZ3" s="149"/>
      <c r="BA3" s="149"/>
      <c r="BB3" s="138" t="str">
        <f>変更履歴!BB3</f>
        <v>大谷</v>
      </c>
      <c r="BC3" s="138"/>
      <c r="BD3" s="138"/>
      <c r="BE3" s="138"/>
      <c r="BF3" s="149">
        <f>変更履歴!BF3</f>
        <v>45583</v>
      </c>
      <c r="BG3" s="149"/>
      <c r="BH3" s="149"/>
      <c r="BI3" s="149"/>
      <c r="BJ3" s="138" t="str">
        <f>変更履歴!BJ3</f>
        <v>大谷</v>
      </c>
      <c r="BK3" s="138"/>
      <c r="BL3" s="138"/>
      <c r="BM3" s="150"/>
      <c r="BN3" s="15"/>
    </row>
    <row r="4" spans="1:85" ht="20.100000000000001" customHeight="1" thickBot="1" x14ac:dyDescent="0.5">
      <c r="A4" s="9"/>
      <c r="B4" s="139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4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6"/>
      <c r="AK4" s="144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6"/>
      <c r="AX4" s="158"/>
      <c r="AY4" s="158"/>
      <c r="AZ4" s="158"/>
      <c r="BA4" s="158"/>
      <c r="BB4" s="140"/>
      <c r="BC4" s="140"/>
      <c r="BD4" s="140"/>
      <c r="BE4" s="140"/>
      <c r="BF4" s="158"/>
      <c r="BG4" s="158"/>
      <c r="BH4" s="158"/>
      <c r="BI4" s="158"/>
      <c r="BJ4" s="140"/>
      <c r="BK4" s="140"/>
      <c r="BL4" s="140"/>
      <c r="BM4" s="142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86" t="s">
        <v>20</v>
      </c>
      <c r="F10" s="187"/>
      <c r="G10" s="187"/>
      <c r="H10" s="187"/>
      <c r="I10" s="187"/>
      <c r="J10" s="187"/>
      <c r="K10" s="187"/>
      <c r="L10" s="188"/>
      <c r="M10" s="176" t="s">
        <v>24</v>
      </c>
      <c r="N10" s="177"/>
      <c r="O10" s="177"/>
      <c r="P10" s="176" t="s">
        <v>33</v>
      </c>
      <c r="Q10" s="177"/>
      <c r="R10" s="177"/>
      <c r="S10" s="176" t="s">
        <v>34</v>
      </c>
      <c r="T10" s="177"/>
      <c r="U10" s="177"/>
      <c r="V10" s="176" t="s">
        <v>36</v>
      </c>
      <c r="W10" s="177"/>
      <c r="X10" s="177"/>
      <c r="Y10" s="177"/>
      <c r="Z10" s="177"/>
      <c r="AA10" s="178"/>
      <c r="AB10" s="176" t="s">
        <v>35</v>
      </c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8"/>
      <c r="AR10" s="176" t="s">
        <v>42</v>
      </c>
      <c r="AS10" s="177"/>
      <c r="AT10" s="177"/>
      <c r="AU10" s="177"/>
      <c r="AV10" s="177"/>
      <c r="AW10" s="178"/>
      <c r="AX10" s="176" t="s">
        <v>43</v>
      </c>
      <c r="AY10" s="177"/>
      <c r="AZ10" s="177"/>
      <c r="BA10" s="177"/>
      <c r="BB10" s="177"/>
      <c r="BC10" s="177"/>
      <c r="BD10" s="177"/>
      <c r="BE10" s="177"/>
      <c r="BF10" s="177"/>
      <c r="BG10" s="177"/>
      <c r="BH10" s="177"/>
      <c r="BI10" s="177"/>
      <c r="BJ10" s="177"/>
      <c r="BK10" s="177"/>
      <c r="BL10" s="177"/>
      <c r="BM10" s="177"/>
      <c r="BN10" s="177"/>
      <c r="BO10" s="177"/>
      <c r="BP10" s="177"/>
      <c r="BQ10" s="177"/>
      <c r="BR10" s="177"/>
      <c r="BS10" s="177"/>
      <c r="BT10" s="185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59" t="s">
        <v>151</v>
      </c>
      <c r="F11" s="160"/>
      <c r="G11" s="160"/>
      <c r="H11" s="160"/>
      <c r="I11" s="160"/>
      <c r="J11" s="160"/>
      <c r="K11" s="160"/>
      <c r="L11" s="161"/>
      <c r="M11" s="157" t="s">
        <v>8</v>
      </c>
      <c r="N11" s="152"/>
      <c r="O11" s="152"/>
      <c r="P11" s="157" t="s">
        <v>172</v>
      </c>
      <c r="Q11" s="152"/>
      <c r="R11" s="152"/>
      <c r="S11" s="157"/>
      <c r="T11" s="152"/>
      <c r="U11" s="152"/>
      <c r="V11" s="162" t="s">
        <v>175</v>
      </c>
      <c r="W11" s="163"/>
      <c r="X11" s="163"/>
      <c r="Y11" s="163"/>
      <c r="Z11" s="163"/>
      <c r="AA11" s="164"/>
      <c r="AB11" s="165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7"/>
      <c r="AR11" s="157" t="s">
        <v>198</v>
      </c>
      <c r="AS11" s="152"/>
      <c r="AT11" s="152"/>
      <c r="AU11" s="152"/>
      <c r="AV11" s="152"/>
      <c r="AW11" s="153"/>
      <c r="AX11" s="162"/>
      <c r="AY11" s="163"/>
      <c r="AZ11" s="163"/>
      <c r="BA11" s="163"/>
      <c r="BB11" s="163"/>
      <c r="BC11" s="163"/>
      <c r="BD11" s="163"/>
      <c r="BE11" s="163"/>
      <c r="BF11" s="163"/>
      <c r="BG11" s="163"/>
      <c r="BH11" s="163"/>
      <c r="BI11" s="163"/>
      <c r="BJ11" s="163"/>
      <c r="BK11" s="163"/>
      <c r="BL11" s="163"/>
      <c r="BM11" s="163"/>
      <c r="BN11" s="163"/>
      <c r="BO11" s="163"/>
      <c r="BP11" s="163"/>
      <c r="BQ11" s="163"/>
      <c r="BR11" s="163"/>
      <c r="BS11" s="163"/>
      <c r="BT11" s="169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59" t="s">
        <v>144</v>
      </c>
      <c r="F12" s="160"/>
      <c r="G12" s="160"/>
      <c r="H12" s="160"/>
      <c r="I12" s="160"/>
      <c r="J12" s="160"/>
      <c r="K12" s="160"/>
      <c r="L12" s="161"/>
      <c r="M12" s="157" t="s">
        <v>8</v>
      </c>
      <c r="N12" s="152"/>
      <c r="O12" s="152"/>
      <c r="P12" s="157" t="s">
        <v>173</v>
      </c>
      <c r="Q12" s="152"/>
      <c r="R12" s="152"/>
      <c r="S12" s="157"/>
      <c r="T12" s="152"/>
      <c r="U12" s="152"/>
      <c r="V12" s="162" t="s">
        <v>176</v>
      </c>
      <c r="W12" s="163"/>
      <c r="X12" s="163"/>
      <c r="Y12" s="163"/>
      <c r="Z12" s="163"/>
      <c r="AA12" s="164"/>
      <c r="AB12" s="165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7"/>
      <c r="AR12" s="157" t="s">
        <v>197</v>
      </c>
      <c r="AS12" s="152"/>
      <c r="AT12" s="152"/>
      <c r="AU12" s="152"/>
      <c r="AV12" s="152"/>
      <c r="AW12" s="153"/>
      <c r="AX12" s="162"/>
      <c r="AY12" s="163"/>
      <c r="AZ12" s="163"/>
      <c r="BA12" s="163"/>
      <c r="BB12" s="163"/>
      <c r="BC12" s="163"/>
      <c r="BD12" s="163"/>
      <c r="BE12" s="163"/>
      <c r="BF12" s="163"/>
      <c r="BG12" s="163"/>
      <c r="BH12" s="163"/>
      <c r="BI12" s="163"/>
      <c r="BJ12" s="163"/>
      <c r="BK12" s="163"/>
      <c r="BL12" s="163"/>
      <c r="BM12" s="163"/>
      <c r="BN12" s="163"/>
      <c r="BO12" s="163"/>
      <c r="BP12" s="163"/>
      <c r="BQ12" s="163"/>
      <c r="BR12" s="163"/>
      <c r="BS12" s="163"/>
      <c r="BT12" s="169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59" t="s">
        <v>145</v>
      </c>
      <c r="F13" s="160"/>
      <c r="G13" s="160"/>
      <c r="H13" s="160"/>
      <c r="I13" s="160"/>
      <c r="J13" s="160"/>
      <c r="K13" s="160"/>
      <c r="L13" s="161"/>
      <c r="M13" s="157" t="s">
        <v>47</v>
      </c>
      <c r="N13" s="152"/>
      <c r="O13" s="152"/>
      <c r="P13" s="157" t="s">
        <v>173</v>
      </c>
      <c r="Q13" s="152"/>
      <c r="R13" s="152"/>
      <c r="S13" s="157"/>
      <c r="T13" s="152"/>
      <c r="U13" s="152"/>
      <c r="V13" s="162" t="s">
        <v>177</v>
      </c>
      <c r="W13" s="163"/>
      <c r="X13" s="163"/>
      <c r="Y13" s="163"/>
      <c r="Z13" s="163"/>
      <c r="AA13" s="164"/>
      <c r="AB13" s="165" t="s">
        <v>199</v>
      </c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7"/>
      <c r="AR13" s="157"/>
      <c r="AS13" s="152"/>
      <c r="AT13" s="152"/>
      <c r="AU13" s="152"/>
      <c r="AV13" s="152"/>
      <c r="AW13" s="153"/>
      <c r="AX13" s="162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3"/>
      <c r="BN13" s="163"/>
      <c r="BO13" s="163"/>
      <c r="BP13" s="163"/>
      <c r="BQ13" s="163"/>
      <c r="BR13" s="163"/>
      <c r="BS13" s="163"/>
      <c r="BT13" s="169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59" t="s">
        <v>146</v>
      </c>
      <c r="F14" s="160"/>
      <c r="G14" s="160"/>
      <c r="H14" s="160"/>
      <c r="I14" s="160"/>
      <c r="J14" s="160"/>
      <c r="K14" s="160"/>
      <c r="L14" s="161"/>
      <c r="M14" s="157" t="s">
        <v>47</v>
      </c>
      <c r="N14" s="152"/>
      <c r="O14" s="152"/>
      <c r="P14" s="157" t="s">
        <v>173</v>
      </c>
      <c r="Q14" s="152"/>
      <c r="R14" s="152"/>
      <c r="S14" s="157"/>
      <c r="T14" s="152"/>
      <c r="U14" s="152"/>
      <c r="V14" s="162" t="s">
        <v>178</v>
      </c>
      <c r="W14" s="163"/>
      <c r="X14" s="163"/>
      <c r="Y14" s="163"/>
      <c r="Z14" s="163"/>
      <c r="AA14" s="164"/>
      <c r="AB14" s="165" t="s">
        <v>199</v>
      </c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7"/>
      <c r="AR14" s="157"/>
      <c r="AS14" s="152"/>
      <c r="AT14" s="152"/>
      <c r="AU14" s="152"/>
      <c r="AV14" s="152"/>
      <c r="AW14" s="153"/>
      <c r="AX14" s="162"/>
      <c r="AY14" s="163"/>
      <c r="AZ14" s="163"/>
      <c r="BA14" s="163"/>
      <c r="BB14" s="163"/>
      <c r="BC14" s="163"/>
      <c r="BD14" s="163"/>
      <c r="BE14" s="163"/>
      <c r="BF14" s="163"/>
      <c r="BG14" s="163"/>
      <c r="BH14" s="163"/>
      <c r="BI14" s="163"/>
      <c r="BJ14" s="163"/>
      <c r="BK14" s="163"/>
      <c r="BL14" s="163"/>
      <c r="BM14" s="163"/>
      <c r="BN14" s="163"/>
      <c r="BO14" s="163"/>
      <c r="BP14" s="163"/>
      <c r="BQ14" s="163"/>
      <c r="BR14" s="163"/>
      <c r="BS14" s="163"/>
      <c r="BT14" s="169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59" t="s">
        <v>147</v>
      </c>
      <c r="F15" s="160"/>
      <c r="G15" s="160"/>
      <c r="H15" s="160"/>
      <c r="I15" s="160"/>
      <c r="J15" s="160"/>
      <c r="K15" s="160"/>
      <c r="L15" s="161"/>
      <c r="M15" s="157" t="s">
        <v>47</v>
      </c>
      <c r="N15" s="152"/>
      <c r="O15" s="152"/>
      <c r="P15" s="157" t="s">
        <v>173</v>
      </c>
      <c r="Q15" s="152"/>
      <c r="R15" s="152"/>
      <c r="S15" s="157"/>
      <c r="T15" s="152"/>
      <c r="U15" s="152"/>
      <c r="V15" s="162" t="s">
        <v>179</v>
      </c>
      <c r="W15" s="163"/>
      <c r="X15" s="163"/>
      <c r="Y15" s="163"/>
      <c r="Z15" s="163"/>
      <c r="AA15" s="164"/>
      <c r="AB15" s="165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7"/>
      <c r="AR15" s="157"/>
      <c r="AS15" s="152"/>
      <c r="AT15" s="152"/>
      <c r="AU15" s="152"/>
      <c r="AV15" s="152"/>
      <c r="AW15" s="153"/>
      <c r="AX15" s="162"/>
      <c r="AY15" s="163"/>
      <c r="AZ15" s="163"/>
      <c r="BA15" s="163"/>
      <c r="BB15" s="163"/>
      <c r="BC15" s="163"/>
      <c r="BD15" s="163"/>
      <c r="BE15" s="163"/>
      <c r="BF15" s="163"/>
      <c r="BG15" s="163"/>
      <c r="BH15" s="163"/>
      <c r="BI15" s="163"/>
      <c r="BJ15" s="163"/>
      <c r="BK15" s="163"/>
      <c r="BL15" s="163"/>
      <c r="BM15" s="163"/>
      <c r="BN15" s="163"/>
      <c r="BO15" s="163"/>
      <c r="BP15" s="163"/>
      <c r="BQ15" s="163"/>
      <c r="BR15" s="163"/>
      <c r="BS15" s="163"/>
      <c r="BT15" s="169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59" t="s">
        <v>148</v>
      </c>
      <c r="F16" s="160"/>
      <c r="G16" s="160"/>
      <c r="H16" s="160"/>
      <c r="I16" s="160"/>
      <c r="J16" s="160"/>
      <c r="K16" s="160"/>
      <c r="L16" s="161"/>
      <c r="M16" s="157" t="s">
        <v>38</v>
      </c>
      <c r="N16" s="152"/>
      <c r="O16" s="152"/>
      <c r="P16" s="157" t="s">
        <v>174</v>
      </c>
      <c r="Q16" s="152"/>
      <c r="R16" s="152"/>
      <c r="S16" s="157"/>
      <c r="T16" s="152"/>
      <c r="U16" s="152"/>
      <c r="V16" s="162" t="s">
        <v>180</v>
      </c>
      <c r="W16" s="163"/>
      <c r="X16" s="163"/>
      <c r="Y16" s="163"/>
      <c r="Z16" s="163"/>
      <c r="AA16" s="164"/>
      <c r="AB16" s="165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7"/>
      <c r="AR16" s="157"/>
      <c r="AS16" s="152"/>
      <c r="AT16" s="152"/>
      <c r="AU16" s="152"/>
      <c r="AV16" s="152"/>
      <c r="AW16" s="153"/>
      <c r="AX16" s="162"/>
      <c r="AY16" s="163"/>
      <c r="AZ16" s="163"/>
      <c r="BA16" s="163"/>
      <c r="BB16" s="163"/>
      <c r="BC16" s="163"/>
      <c r="BD16" s="163"/>
      <c r="BE16" s="163"/>
      <c r="BF16" s="163"/>
      <c r="BG16" s="163"/>
      <c r="BH16" s="163"/>
      <c r="BI16" s="163"/>
      <c r="BJ16" s="163"/>
      <c r="BK16" s="163"/>
      <c r="BL16" s="163"/>
      <c r="BM16" s="163"/>
      <c r="BN16" s="163"/>
      <c r="BO16" s="163"/>
      <c r="BP16" s="163"/>
      <c r="BQ16" s="163"/>
      <c r="BR16" s="163"/>
      <c r="BS16" s="163"/>
      <c r="BT16" s="169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59" t="s">
        <v>149</v>
      </c>
      <c r="F17" s="160"/>
      <c r="G17" s="160"/>
      <c r="H17" s="160"/>
      <c r="I17" s="160"/>
      <c r="J17" s="160"/>
      <c r="K17" s="160"/>
      <c r="L17" s="161"/>
      <c r="M17" s="157" t="s">
        <v>38</v>
      </c>
      <c r="N17" s="152"/>
      <c r="O17" s="152"/>
      <c r="P17" s="157" t="s">
        <v>174</v>
      </c>
      <c r="Q17" s="152"/>
      <c r="R17" s="152"/>
      <c r="S17" s="157"/>
      <c r="T17" s="152"/>
      <c r="U17" s="152"/>
      <c r="V17" s="162" t="s">
        <v>181</v>
      </c>
      <c r="W17" s="163"/>
      <c r="X17" s="163"/>
      <c r="Y17" s="163"/>
      <c r="Z17" s="163"/>
      <c r="AA17" s="164"/>
      <c r="AB17" s="165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7"/>
      <c r="AR17" s="157"/>
      <c r="AS17" s="152"/>
      <c r="AT17" s="152"/>
      <c r="AU17" s="152"/>
      <c r="AV17" s="152"/>
      <c r="AW17" s="153"/>
      <c r="AX17" s="162"/>
      <c r="AY17" s="163"/>
      <c r="AZ17" s="163"/>
      <c r="BA17" s="163"/>
      <c r="BB17" s="163"/>
      <c r="BC17" s="163"/>
      <c r="BD17" s="163"/>
      <c r="BE17" s="163"/>
      <c r="BF17" s="163"/>
      <c r="BG17" s="163"/>
      <c r="BH17" s="163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9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59" t="s">
        <v>150</v>
      </c>
      <c r="F18" s="160"/>
      <c r="G18" s="160"/>
      <c r="H18" s="160"/>
      <c r="I18" s="160"/>
      <c r="J18" s="160"/>
      <c r="K18" s="160"/>
      <c r="L18" s="161"/>
      <c r="M18" s="157" t="s">
        <v>47</v>
      </c>
      <c r="N18" s="152"/>
      <c r="O18" s="152"/>
      <c r="P18" s="157" t="s">
        <v>173</v>
      </c>
      <c r="Q18" s="152"/>
      <c r="R18" s="152"/>
      <c r="S18" s="157"/>
      <c r="T18" s="152"/>
      <c r="U18" s="152"/>
      <c r="V18" s="162" t="s">
        <v>184</v>
      </c>
      <c r="W18" s="163"/>
      <c r="X18" s="163"/>
      <c r="Y18" s="163"/>
      <c r="Z18" s="163"/>
      <c r="AA18" s="164"/>
      <c r="AB18" s="165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7"/>
      <c r="AR18" s="168">
        <v>9999</v>
      </c>
      <c r="AS18" s="152"/>
      <c r="AT18" s="152"/>
      <c r="AU18" s="152"/>
      <c r="AV18" s="152"/>
      <c r="AW18" s="153"/>
      <c r="AX18" s="162"/>
      <c r="AY18" s="163"/>
      <c r="AZ18" s="163"/>
      <c r="BA18" s="163"/>
      <c r="BB18" s="163"/>
      <c r="BC18" s="163"/>
      <c r="BD18" s="163"/>
      <c r="BE18" s="163"/>
      <c r="BF18" s="163"/>
      <c r="BG18" s="163"/>
      <c r="BH18" s="163"/>
      <c r="BI18" s="163"/>
      <c r="BJ18" s="163"/>
      <c r="BK18" s="163"/>
      <c r="BL18" s="163"/>
      <c r="BM18" s="163"/>
      <c r="BN18" s="163"/>
      <c r="BO18" s="163"/>
      <c r="BP18" s="163"/>
      <c r="BQ18" s="163"/>
      <c r="BR18" s="163"/>
      <c r="BS18" s="163"/>
      <c r="BT18" s="169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59" t="s">
        <v>152</v>
      </c>
      <c r="F19" s="160"/>
      <c r="G19" s="160"/>
      <c r="H19" s="160"/>
      <c r="I19" s="160"/>
      <c r="J19" s="160"/>
      <c r="K19" s="160"/>
      <c r="L19" s="161"/>
      <c r="M19" s="157" t="s">
        <v>47</v>
      </c>
      <c r="N19" s="152"/>
      <c r="O19" s="152"/>
      <c r="P19" s="157" t="s">
        <v>173</v>
      </c>
      <c r="Q19" s="152"/>
      <c r="R19" s="152"/>
      <c r="S19" s="157"/>
      <c r="T19" s="152"/>
      <c r="U19" s="152"/>
      <c r="V19" s="162" t="s">
        <v>185</v>
      </c>
      <c r="W19" s="163"/>
      <c r="X19" s="163"/>
      <c r="Y19" s="163"/>
      <c r="Z19" s="163"/>
      <c r="AA19" s="164"/>
      <c r="AB19" s="165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7"/>
      <c r="AR19" s="168">
        <v>9999</v>
      </c>
      <c r="AS19" s="152"/>
      <c r="AT19" s="152"/>
      <c r="AU19" s="152"/>
      <c r="AV19" s="152"/>
      <c r="AW19" s="153"/>
      <c r="AX19" s="162"/>
      <c r="AY19" s="163"/>
      <c r="AZ19" s="163"/>
      <c r="BA19" s="163"/>
      <c r="BB19" s="163"/>
      <c r="BC19" s="163"/>
      <c r="BD19" s="163"/>
      <c r="BE19" s="163"/>
      <c r="BF19" s="163"/>
      <c r="BG19" s="163"/>
      <c r="BH19" s="163"/>
      <c r="BI19" s="163"/>
      <c r="BJ19" s="163"/>
      <c r="BK19" s="163"/>
      <c r="BL19" s="163"/>
      <c r="BM19" s="163"/>
      <c r="BN19" s="163"/>
      <c r="BO19" s="163"/>
      <c r="BP19" s="163"/>
      <c r="BQ19" s="163"/>
      <c r="BR19" s="163"/>
      <c r="BS19" s="163"/>
      <c r="BT19" s="169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59" t="s">
        <v>153</v>
      </c>
      <c r="F20" s="160"/>
      <c r="G20" s="160"/>
      <c r="H20" s="160"/>
      <c r="I20" s="160"/>
      <c r="J20" s="160"/>
      <c r="K20" s="160"/>
      <c r="L20" s="161"/>
      <c r="M20" s="157" t="s">
        <v>47</v>
      </c>
      <c r="N20" s="152"/>
      <c r="O20" s="152"/>
      <c r="P20" s="157" t="s">
        <v>173</v>
      </c>
      <c r="Q20" s="152"/>
      <c r="R20" s="152"/>
      <c r="S20" s="157"/>
      <c r="T20" s="152"/>
      <c r="U20" s="152"/>
      <c r="V20" s="162" t="s">
        <v>186</v>
      </c>
      <c r="W20" s="163"/>
      <c r="X20" s="163"/>
      <c r="Y20" s="163"/>
      <c r="Z20" s="163"/>
      <c r="AA20" s="164"/>
      <c r="AB20" s="165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7"/>
      <c r="AR20" s="168">
        <v>9999</v>
      </c>
      <c r="AS20" s="152"/>
      <c r="AT20" s="152"/>
      <c r="AU20" s="152"/>
      <c r="AV20" s="152"/>
      <c r="AW20" s="153"/>
      <c r="AX20" s="162"/>
      <c r="AY20" s="163"/>
      <c r="AZ20" s="163"/>
      <c r="BA20" s="163"/>
      <c r="BB20" s="163"/>
      <c r="BC20" s="163"/>
      <c r="BD20" s="163"/>
      <c r="BE20" s="163"/>
      <c r="BF20" s="163"/>
      <c r="BG20" s="163"/>
      <c r="BH20" s="163"/>
      <c r="BI20" s="163"/>
      <c r="BJ20" s="163"/>
      <c r="BK20" s="163"/>
      <c r="BL20" s="163"/>
      <c r="BM20" s="163"/>
      <c r="BN20" s="163"/>
      <c r="BO20" s="163"/>
      <c r="BP20" s="163"/>
      <c r="BQ20" s="163"/>
      <c r="BR20" s="163"/>
      <c r="BS20" s="163"/>
      <c r="BT20" s="169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59" t="s">
        <v>154</v>
      </c>
      <c r="F21" s="160"/>
      <c r="G21" s="160"/>
      <c r="H21" s="160"/>
      <c r="I21" s="160"/>
      <c r="J21" s="160"/>
      <c r="K21" s="160"/>
      <c r="L21" s="161"/>
      <c r="M21" s="157" t="s">
        <v>47</v>
      </c>
      <c r="N21" s="152"/>
      <c r="O21" s="152"/>
      <c r="P21" s="157" t="s">
        <v>173</v>
      </c>
      <c r="Q21" s="152"/>
      <c r="R21" s="152"/>
      <c r="S21" s="157"/>
      <c r="T21" s="152"/>
      <c r="U21" s="152"/>
      <c r="V21" s="162" t="s">
        <v>187</v>
      </c>
      <c r="W21" s="163"/>
      <c r="X21" s="163"/>
      <c r="Y21" s="163"/>
      <c r="Z21" s="163"/>
      <c r="AA21" s="164"/>
      <c r="AB21" s="165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7"/>
      <c r="AR21" s="168">
        <v>9999</v>
      </c>
      <c r="AS21" s="152"/>
      <c r="AT21" s="152"/>
      <c r="AU21" s="152"/>
      <c r="AV21" s="152"/>
      <c r="AW21" s="153"/>
      <c r="AX21" s="162"/>
      <c r="AY21" s="163"/>
      <c r="AZ21" s="163"/>
      <c r="BA21" s="163"/>
      <c r="BB21" s="163"/>
      <c r="BC21" s="163"/>
      <c r="BD21" s="163"/>
      <c r="BE21" s="163"/>
      <c r="BF21" s="163"/>
      <c r="BG21" s="163"/>
      <c r="BH21" s="163"/>
      <c r="BI21" s="163"/>
      <c r="BJ21" s="163"/>
      <c r="BK21" s="163"/>
      <c r="BL21" s="163"/>
      <c r="BM21" s="163"/>
      <c r="BN21" s="163"/>
      <c r="BO21" s="163"/>
      <c r="BP21" s="163"/>
      <c r="BQ21" s="163"/>
      <c r="BR21" s="163"/>
      <c r="BS21" s="163"/>
      <c r="BT21" s="169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59" t="s">
        <v>155</v>
      </c>
      <c r="F22" s="160"/>
      <c r="G22" s="160"/>
      <c r="H22" s="160"/>
      <c r="I22" s="160"/>
      <c r="J22" s="160"/>
      <c r="K22" s="160"/>
      <c r="L22" s="161"/>
      <c r="M22" s="157" t="s">
        <v>47</v>
      </c>
      <c r="N22" s="152"/>
      <c r="O22" s="152"/>
      <c r="P22" s="157" t="s">
        <v>173</v>
      </c>
      <c r="Q22" s="152"/>
      <c r="R22" s="152"/>
      <c r="S22" s="157"/>
      <c r="T22" s="152"/>
      <c r="U22" s="152"/>
      <c r="V22" s="162" t="s">
        <v>188</v>
      </c>
      <c r="W22" s="163"/>
      <c r="X22" s="163"/>
      <c r="Y22" s="163"/>
      <c r="Z22" s="163"/>
      <c r="AA22" s="164"/>
      <c r="AB22" s="165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7"/>
      <c r="AR22" s="168">
        <v>9999</v>
      </c>
      <c r="AS22" s="152"/>
      <c r="AT22" s="152"/>
      <c r="AU22" s="152"/>
      <c r="AV22" s="152"/>
      <c r="AW22" s="153"/>
      <c r="AX22" s="162"/>
      <c r="AY22" s="163"/>
      <c r="AZ22" s="163"/>
      <c r="BA22" s="163"/>
      <c r="BB22" s="163"/>
      <c r="BC22" s="163"/>
      <c r="BD22" s="163"/>
      <c r="BE22" s="163"/>
      <c r="BF22" s="163"/>
      <c r="BG22" s="163"/>
      <c r="BH22" s="163"/>
      <c r="BI22" s="163"/>
      <c r="BJ22" s="163"/>
      <c r="BK22" s="163"/>
      <c r="BL22" s="163"/>
      <c r="BM22" s="163"/>
      <c r="BN22" s="163"/>
      <c r="BO22" s="163"/>
      <c r="BP22" s="163"/>
      <c r="BQ22" s="163"/>
      <c r="BR22" s="163"/>
      <c r="BS22" s="163"/>
      <c r="BT22" s="169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59" t="s">
        <v>156</v>
      </c>
      <c r="F23" s="160"/>
      <c r="G23" s="160"/>
      <c r="H23" s="160"/>
      <c r="I23" s="160"/>
      <c r="J23" s="160"/>
      <c r="K23" s="160"/>
      <c r="L23" s="161"/>
      <c r="M23" s="157" t="s">
        <v>47</v>
      </c>
      <c r="N23" s="152"/>
      <c r="O23" s="152"/>
      <c r="P23" s="157" t="s">
        <v>173</v>
      </c>
      <c r="Q23" s="152"/>
      <c r="R23" s="152"/>
      <c r="S23" s="157"/>
      <c r="T23" s="152"/>
      <c r="U23" s="152"/>
      <c r="V23" s="162" t="s">
        <v>189</v>
      </c>
      <c r="W23" s="163"/>
      <c r="X23" s="163"/>
      <c r="Y23" s="163"/>
      <c r="Z23" s="163"/>
      <c r="AA23" s="164"/>
      <c r="AB23" s="165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7"/>
      <c r="AR23" s="168">
        <v>9999</v>
      </c>
      <c r="AS23" s="152"/>
      <c r="AT23" s="152"/>
      <c r="AU23" s="152"/>
      <c r="AV23" s="152"/>
      <c r="AW23" s="153"/>
      <c r="AX23" s="162"/>
      <c r="AY23" s="163"/>
      <c r="AZ23" s="163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9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59" t="s">
        <v>157</v>
      </c>
      <c r="F24" s="160"/>
      <c r="G24" s="160"/>
      <c r="H24" s="160"/>
      <c r="I24" s="160"/>
      <c r="J24" s="160"/>
      <c r="K24" s="160"/>
      <c r="L24" s="161"/>
      <c r="M24" s="157" t="s">
        <v>47</v>
      </c>
      <c r="N24" s="152"/>
      <c r="O24" s="152"/>
      <c r="P24" s="157" t="s">
        <v>173</v>
      </c>
      <c r="Q24" s="152"/>
      <c r="R24" s="152"/>
      <c r="S24" s="157"/>
      <c r="T24" s="152"/>
      <c r="U24" s="152"/>
      <c r="V24" s="162" t="s">
        <v>190</v>
      </c>
      <c r="W24" s="163"/>
      <c r="X24" s="163"/>
      <c r="Y24" s="163"/>
      <c r="Z24" s="163"/>
      <c r="AA24" s="164"/>
      <c r="AB24" s="165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7"/>
      <c r="AR24" s="168">
        <v>9999</v>
      </c>
      <c r="AS24" s="152"/>
      <c r="AT24" s="152"/>
      <c r="AU24" s="152"/>
      <c r="AV24" s="152"/>
      <c r="AW24" s="153"/>
      <c r="AX24" s="162"/>
      <c r="AY24" s="163"/>
      <c r="AZ24" s="163"/>
      <c r="BA24" s="163"/>
      <c r="BB24" s="163"/>
      <c r="BC24" s="163"/>
      <c r="BD24" s="163"/>
      <c r="BE24" s="163"/>
      <c r="BF24" s="163"/>
      <c r="BG24" s="163"/>
      <c r="BH24" s="163"/>
      <c r="BI24" s="163"/>
      <c r="BJ24" s="163"/>
      <c r="BK24" s="163"/>
      <c r="BL24" s="163"/>
      <c r="BM24" s="163"/>
      <c r="BN24" s="163"/>
      <c r="BO24" s="163"/>
      <c r="BP24" s="163"/>
      <c r="BQ24" s="163"/>
      <c r="BR24" s="163"/>
      <c r="BS24" s="163"/>
      <c r="BT24" s="169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59" t="s">
        <v>158</v>
      </c>
      <c r="F25" s="160"/>
      <c r="G25" s="160"/>
      <c r="H25" s="160"/>
      <c r="I25" s="160"/>
      <c r="J25" s="160"/>
      <c r="K25" s="160"/>
      <c r="L25" s="161"/>
      <c r="M25" s="157" t="s">
        <v>47</v>
      </c>
      <c r="N25" s="152"/>
      <c r="O25" s="152"/>
      <c r="P25" s="157" t="s">
        <v>173</v>
      </c>
      <c r="Q25" s="152"/>
      <c r="R25" s="152"/>
      <c r="S25" s="157"/>
      <c r="T25" s="152"/>
      <c r="U25" s="152"/>
      <c r="V25" s="162" t="s">
        <v>191</v>
      </c>
      <c r="W25" s="163"/>
      <c r="X25" s="163"/>
      <c r="Y25" s="163"/>
      <c r="Z25" s="163"/>
      <c r="AA25" s="164"/>
      <c r="AB25" s="165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7"/>
      <c r="AR25" s="168">
        <v>9999</v>
      </c>
      <c r="AS25" s="152"/>
      <c r="AT25" s="152"/>
      <c r="AU25" s="152"/>
      <c r="AV25" s="152"/>
      <c r="AW25" s="153"/>
      <c r="AX25" s="162"/>
      <c r="AY25" s="163"/>
      <c r="AZ25" s="163"/>
      <c r="BA25" s="163"/>
      <c r="BB25" s="163"/>
      <c r="BC25" s="163"/>
      <c r="BD25" s="163"/>
      <c r="BE25" s="163"/>
      <c r="BF25" s="163"/>
      <c r="BG25" s="163"/>
      <c r="BH25" s="163"/>
      <c r="BI25" s="163"/>
      <c r="BJ25" s="163"/>
      <c r="BK25" s="163"/>
      <c r="BL25" s="163"/>
      <c r="BM25" s="163"/>
      <c r="BN25" s="163"/>
      <c r="BO25" s="163"/>
      <c r="BP25" s="163"/>
      <c r="BQ25" s="163"/>
      <c r="BR25" s="163"/>
      <c r="BS25" s="163"/>
      <c r="BT25" s="169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59" t="s">
        <v>159</v>
      </c>
      <c r="F26" s="160"/>
      <c r="G26" s="160"/>
      <c r="H26" s="160"/>
      <c r="I26" s="160"/>
      <c r="J26" s="160"/>
      <c r="K26" s="160"/>
      <c r="L26" s="161"/>
      <c r="M26" s="157" t="s">
        <v>47</v>
      </c>
      <c r="N26" s="152"/>
      <c r="O26" s="152"/>
      <c r="P26" s="157" t="s">
        <v>173</v>
      </c>
      <c r="Q26" s="152"/>
      <c r="R26" s="152"/>
      <c r="S26" s="157"/>
      <c r="T26" s="152"/>
      <c r="U26" s="152"/>
      <c r="V26" s="162" t="s">
        <v>192</v>
      </c>
      <c r="W26" s="163"/>
      <c r="X26" s="163"/>
      <c r="Y26" s="163"/>
      <c r="Z26" s="163"/>
      <c r="AA26" s="164"/>
      <c r="AB26" s="165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7"/>
      <c r="AR26" s="168">
        <v>9999</v>
      </c>
      <c r="AS26" s="152"/>
      <c r="AT26" s="152"/>
      <c r="AU26" s="152"/>
      <c r="AV26" s="152"/>
      <c r="AW26" s="153"/>
      <c r="AX26" s="162"/>
      <c r="AY26" s="163"/>
      <c r="AZ26" s="163"/>
      <c r="BA26" s="163"/>
      <c r="BB26" s="163"/>
      <c r="BC26" s="163"/>
      <c r="BD26" s="163"/>
      <c r="BE26" s="163"/>
      <c r="BF26" s="163"/>
      <c r="BG26" s="163"/>
      <c r="BH26" s="163"/>
      <c r="BI26" s="163"/>
      <c r="BJ26" s="163"/>
      <c r="BK26" s="163"/>
      <c r="BL26" s="163"/>
      <c r="BM26" s="163"/>
      <c r="BN26" s="163"/>
      <c r="BO26" s="163"/>
      <c r="BP26" s="163"/>
      <c r="BQ26" s="163"/>
      <c r="BR26" s="163"/>
      <c r="BS26" s="163"/>
      <c r="BT26" s="169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59" t="s">
        <v>160</v>
      </c>
      <c r="F27" s="160"/>
      <c r="G27" s="160"/>
      <c r="H27" s="160"/>
      <c r="I27" s="160"/>
      <c r="J27" s="160"/>
      <c r="K27" s="160"/>
      <c r="L27" s="161"/>
      <c r="M27" s="157" t="s">
        <v>47</v>
      </c>
      <c r="N27" s="152"/>
      <c r="O27" s="152"/>
      <c r="P27" s="157" t="s">
        <v>173</v>
      </c>
      <c r="Q27" s="152"/>
      <c r="R27" s="152"/>
      <c r="S27" s="157"/>
      <c r="T27" s="152"/>
      <c r="U27" s="152"/>
      <c r="V27" s="162" t="s">
        <v>193</v>
      </c>
      <c r="W27" s="163"/>
      <c r="X27" s="163"/>
      <c r="Y27" s="163"/>
      <c r="Z27" s="163"/>
      <c r="AA27" s="164"/>
      <c r="AB27" s="165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7"/>
      <c r="AR27" s="168">
        <v>9999</v>
      </c>
      <c r="AS27" s="152"/>
      <c r="AT27" s="152"/>
      <c r="AU27" s="152"/>
      <c r="AV27" s="152"/>
      <c r="AW27" s="153"/>
      <c r="AX27" s="162"/>
      <c r="AY27" s="163"/>
      <c r="AZ27" s="163"/>
      <c r="BA27" s="163"/>
      <c r="BB27" s="163"/>
      <c r="BC27" s="163"/>
      <c r="BD27" s="163"/>
      <c r="BE27" s="163"/>
      <c r="BF27" s="163"/>
      <c r="BG27" s="163"/>
      <c r="BH27" s="163"/>
      <c r="BI27" s="163"/>
      <c r="BJ27" s="163"/>
      <c r="BK27" s="163"/>
      <c r="BL27" s="163"/>
      <c r="BM27" s="163"/>
      <c r="BN27" s="163"/>
      <c r="BO27" s="163"/>
      <c r="BP27" s="163"/>
      <c r="BQ27" s="163"/>
      <c r="BR27" s="163"/>
      <c r="BS27" s="163"/>
      <c r="BT27" s="169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59" t="s">
        <v>161</v>
      </c>
      <c r="F28" s="160"/>
      <c r="G28" s="160"/>
      <c r="H28" s="160"/>
      <c r="I28" s="160"/>
      <c r="J28" s="160"/>
      <c r="K28" s="160"/>
      <c r="L28" s="161"/>
      <c r="M28" s="157" t="s">
        <v>8</v>
      </c>
      <c r="N28" s="152"/>
      <c r="O28" s="152"/>
      <c r="P28" s="157" t="s">
        <v>173</v>
      </c>
      <c r="Q28" s="152"/>
      <c r="R28" s="152"/>
      <c r="S28" s="157"/>
      <c r="T28" s="152"/>
      <c r="U28" s="152"/>
      <c r="V28" s="162" t="s">
        <v>194</v>
      </c>
      <c r="W28" s="163"/>
      <c r="X28" s="163"/>
      <c r="Y28" s="163"/>
      <c r="Z28" s="163"/>
      <c r="AA28" s="164"/>
      <c r="AB28" s="165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7"/>
      <c r="AR28" s="157" t="s">
        <v>198</v>
      </c>
      <c r="AS28" s="152"/>
      <c r="AT28" s="152"/>
      <c r="AU28" s="152"/>
      <c r="AV28" s="152"/>
      <c r="AW28" s="153"/>
      <c r="AX28" s="162"/>
      <c r="AY28" s="163"/>
      <c r="AZ28" s="163"/>
      <c r="BA28" s="163"/>
      <c r="BB28" s="163"/>
      <c r="BC28" s="163"/>
      <c r="BD28" s="163"/>
      <c r="BE28" s="163"/>
      <c r="BF28" s="163"/>
      <c r="BG28" s="163"/>
      <c r="BH28" s="163"/>
      <c r="BI28" s="163"/>
      <c r="BJ28" s="163"/>
      <c r="BK28" s="163"/>
      <c r="BL28" s="163"/>
      <c r="BM28" s="163"/>
      <c r="BN28" s="163"/>
      <c r="BO28" s="163"/>
      <c r="BP28" s="163"/>
      <c r="BQ28" s="163"/>
      <c r="BR28" s="163"/>
      <c r="BS28" s="163"/>
      <c r="BT28" s="169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59" t="s">
        <v>182</v>
      </c>
      <c r="F29" s="160"/>
      <c r="G29" s="160"/>
      <c r="H29" s="160"/>
      <c r="I29" s="160"/>
      <c r="J29" s="160"/>
      <c r="K29" s="160"/>
      <c r="L29" s="161"/>
      <c r="M29" s="157" t="s">
        <v>38</v>
      </c>
      <c r="N29" s="152"/>
      <c r="O29" s="152"/>
      <c r="P29" s="157" t="s">
        <v>174</v>
      </c>
      <c r="Q29" s="152"/>
      <c r="R29" s="152"/>
      <c r="S29" s="157"/>
      <c r="T29" s="152"/>
      <c r="U29" s="152"/>
      <c r="V29" s="162" t="s">
        <v>195</v>
      </c>
      <c r="W29" s="163"/>
      <c r="X29" s="163"/>
      <c r="Y29" s="163"/>
      <c r="Z29" s="163"/>
      <c r="AA29" s="164"/>
      <c r="AB29" s="165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7"/>
      <c r="AR29" s="157"/>
      <c r="AS29" s="152"/>
      <c r="AT29" s="152"/>
      <c r="AU29" s="152"/>
      <c r="AV29" s="152"/>
      <c r="AW29" s="153"/>
      <c r="AX29" s="162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O29" s="163"/>
      <c r="BP29" s="163"/>
      <c r="BQ29" s="163"/>
      <c r="BR29" s="163"/>
      <c r="BS29" s="163"/>
      <c r="BT29" s="169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x14ac:dyDescent="0.45">
      <c r="A30" s="29"/>
      <c r="B30" s="44"/>
      <c r="C30"/>
      <c r="D30" s="37">
        <v>20</v>
      </c>
      <c r="E30" s="189" t="s">
        <v>183</v>
      </c>
      <c r="F30" s="190"/>
      <c r="G30" s="190"/>
      <c r="H30" s="190"/>
      <c r="I30" s="190"/>
      <c r="J30" s="190"/>
      <c r="K30" s="190"/>
      <c r="L30" s="191"/>
      <c r="M30" s="173" t="s">
        <v>38</v>
      </c>
      <c r="N30" s="174"/>
      <c r="O30" s="175"/>
      <c r="P30" s="173" t="s">
        <v>174</v>
      </c>
      <c r="Q30" s="174"/>
      <c r="R30" s="174"/>
      <c r="S30" s="173"/>
      <c r="T30" s="174"/>
      <c r="U30" s="174"/>
      <c r="V30" s="162" t="s">
        <v>196</v>
      </c>
      <c r="W30" s="163"/>
      <c r="X30" s="163"/>
      <c r="Y30" s="163"/>
      <c r="Z30" s="163"/>
      <c r="AA30" s="164"/>
      <c r="AB30" s="179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1"/>
      <c r="AR30" s="173"/>
      <c r="AS30" s="174"/>
      <c r="AT30" s="174"/>
      <c r="AU30" s="174"/>
      <c r="AV30" s="174"/>
      <c r="AW30" s="175"/>
      <c r="AX30" s="182"/>
      <c r="AY30" s="183"/>
      <c r="AZ30" s="183"/>
      <c r="BA30" s="183"/>
      <c r="BB30" s="183"/>
      <c r="BC30" s="183"/>
      <c r="BD30" s="183"/>
      <c r="BE30" s="183"/>
      <c r="BF30" s="183"/>
      <c r="BG30" s="183"/>
      <c r="BH30" s="183"/>
      <c r="BI30" s="183"/>
      <c r="BJ30" s="183"/>
      <c r="BK30" s="183"/>
      <c r="BL30" s="183"/>
      <c r="BM30" s="183"/>
      <c r="BN30" s="183"/>
      <c r="BO30" s="183"/>
      <c r="BP30" s="183"/>
      <c r="BQ30" s="183"/>
      <c r="BR30" s="183"/>
      <c r="BS30" s="183"/>
      <c r="BT30" s="184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s="5" customFormat="1" ht="20.100000000000001" customHeight="1" x14ac:dyDescent="0.45">
      <c r="A31" s="30"/>
      <c r="B31" s="44"/>
      <c r="C31" s="32"/>
      <c r="D31" s="37">
        <v>21</v>
      </c>
      <c r="E31" s="159" t="s">
        <v>162</v>
      </c>
      <c r="F31" s="160"/>
      <c r="G31" s="160"/>
      <c r="H31" s="160"/>
      <c r="I31" s="160"/>
      <c r="J31" s="160"/>
      <c r="K31" s="160"/>
      <c r="L31" s="161"/>
      <c r="M31" s="157" t="s">
        <v>47</v>
      </c>
      <c r="N31" s="152"/>
      <c r="O31" s="152"/>
      <c r="P31" s="157" t="s">
        <v>173</v>
      </c>
      <c r="Q31" s="152"/>
      <c r="R31" s="152"/>
      <c r="S31" s="157"/>
      <c r="T31" s="152"/>
      <c r="U31" s="152"/>
      <c r="V31" s="162" t="s">
        <v>184</v>
      </c>
      <c r="W31" s="163"/>
      <c r="X31" s="163"/>
      <c r="Y31" s="163"/>
      <c r="Z31" s="163"/>
      <c r="AA31" s="164"/>
      <c r="AB31" s="165" t="s">
        <v>208</v>
      </c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7"/>
      <c r="AR31" s="168">
        <v>9999</v>
      </c>
      <c r="AS31" s="152"/>
      <c r="AT31" s="152"/>
      <c r="AU31" s="152"/>
      <c r="AV31" s="152"/>
      <c r="AW31" s="153"/>
      <c r="AX31" s="162"/>
      <c r="AY31" s="163"/>
      <c r="AZ31" s="163"/>
      <c r="BA31" s="163"/>
      <c r="BB31" s="163"/>
      <c r="BC31" s="163"/>
      <c r="BD31" s="163"/>
      <c r="BE31" s="163"/>
      <c r="BF31" s="163"/>
      <c r="BG31" s="163"/>
      <c r="BH31" s="163"/>
      <c r="BI31" s="163"/>
      <c r="BJ31" s="163"/>
      <c r="BK31" s="163"/>
      <c r="BL31" s="163"/>
      <c r="BM31" s="163"/>
      <c r="BN31" s="163"/>
      <c r="BO31" s="163"/>
      <c r="BP31" s="163"/>
      <c r="BQ31" s="163"/>
      <c r="BR31" s="163"/>
      <c r="BS31" s="163"/>
      <c r="BT31" s="169"/>
      <c r="BU31" s="41"/>
      <c r="BV31" s="40"/>
      <c r="BW31" s="41"/>
      <c r="BX31" s="41"/>
      <c r="BY31" s="41"/>
      <c r="BZ31" s="41"/>
      <c r="CA31" s="41"/>
      <c r="CB31" s="30"/>
      <c r="CC31" s="30"/>
      <c r="CD31" s="30"/>
      <c r="CE31" s="30"/>
      <c r="CF31" s="30"/>
      <c r="CG31" s="30"/>
    </row>
    <row r="32" spans="1:85" s="5" customFormat="1" ht="20.100000000000001" customHeight="1" x14ac:dyDescent="0.45">
      <c r="A32" s="30"/>
      <c r="B32" s="44"/>
      <c r="C32" s="36"/>
      <c r="D32" s="37">
        <v>22</v>
      </c>
      <c r="E32" s="159" t="s">
        <v>163</v>
      </c>
      <c r="F32" s="160"/>
      <c r="G32" s="160"/>
      <c r="H32" s="160"/>
      <c r="I32" s="160"/>
      <c r="J32" s="160"/>
      <c r="K32" s="160"/>
      <c r="L32" s="161"/>
      <c r="M32" s="157" t="s">
        <v>47</v>
      </c>
      <c r="N32" s="152"/>
      <c r="O32" s="152"/>
      <c r="P32" s="157" t="s">
        <v>173</v>
      </c>
      <c r="Q32" s="152"/>
      <c r="R32" s="152"/>
      <c r="S32" s="157"/>
      <c r="T32" s="152"/>
      <c r="U32" s="152"/>
      <c r="V32" s="162" t="s">
        <v>185</v>
      </c>
      <c r="W32" s="163"/>
      <c r="X32" s="163"/>
      <c r="Y32" s="163"/>
      <c r="Z32" s="163"/>
      <c r="AA32" s="164"/>
      <c r="AB32" s="165" t="s">
        <v>209</v>
      </c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7"/>
      <c r="AR32" s="168">
        <v>9999</v>
      </c>
      <c r="AS32" s="152"/>
      <c r="AT32" s="152"/>
      <c r="AU32" s="152"/>
      <c r="AV32" s="152"/>
      <c r="AW32" s="153"/>
      <c r="AX32" s="162"/>
      <c r="AY32" s="163"/>
      <c r="AZ32" s="163"/>
      <c r="BA32" s="163"/>
      <c r="BB32" s="163"/>
      <c r="BC32" s="163"/>
      <c r="BD32" s="163"/>
      <c r="BE32" s="163"/>
      <c r="BF32" s="163"/>
      <c r="BG32" s="163"/>
      <c r="BH32" s="163"/>
      <c r="BI32" s="163"/>
      <c r="BJ32" s="163"/>
      <c r="BK32" s="163"/>
      <c r="BL32" s="163"/>
      <c r="BM32" s="163"/>
      <c r="BN32" s="163"/>
      <c r="BO32" s="163"/>
      <c r="BP32" s="163"/>
      <c r="BQ32" s="163"/>
      <c r="BR32" s="163"/>
      <c r="BS32" s="163"/>
      <c r="BT32" s="169"/>
      <c r="BU32" s="41"/>
      <c r="BV32" s="40"/>
      <c r="BW32" s="41"/>
      <c r="BX32" s="41"/>
      <c r="BY32" s="41"/>
      <c r="BZ32" s="41"/>
      <c r="CA32" s="41"/>
      <c r="CB32" s="41"/>
      <c r="CC32" s="30"/>
      <c r="CD32" s="30"/>
      <c r="CE32" s="30"/>
      <c r="CF32" s="30"/>
      <c r="CG32" s="30"/>
    </row>
    <row r="33" spans="1:85" s="5" customFormat="1" ht="20.100000000000001" customHeight="1" x14ac:dyDescent="0.45">
      <c r="A33" s="30"/>
      <c r="B33" s="44"/>
      <c r="C33" s="36"/>
      <c r="D33" s="37">
        <v>23</v>
      </c>
      <c r="E33" s="159" t="s">
        <v>164</v>
      </c>
      <c r="F33" s="160"/>
      <c r="G33" s="160"/>
      <c r="H33" s="160"/>
      <c r="I33" s="160"/>
      <c r="J33" s="160"/>
      <c r="K33" s="160"/>
      <c r="L33" s="161"/>
      <c r="M33" s="157" t="s">
        <v>47</v>
      </c>
      <c r="N33" s="152"/>
      <c r="O33" s="152"/>
      <c r="P33" s="157" t="s">
        <v>173</v>
      </c>
      <c r="Q33" s="152"/>
      <c r="R33" s="152"/>
      <c r="S33" s="157"/>
      <c r="T33" s="152"/>
      <c r="U33" s="152"/>
      <c r="V33" s="162" t="s">
        <v>186</v>
      </c>
      <c r="W33" s="163"/>
      <c r="X33" s="163"/>
      <c r="Y33" s="163"/>
      <c r="Z33" s="163"/>
      <c r="AA33" s="164"/>
      <c r="AB33" s="165" t="s">
        <v>200</v>
      </c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7"/>
      <c r="AR33" s="168">
        <v>9999</v>
      </c>
      <c r="AS33" s="152"/>
      <c r="AT33" s="152"/>
      <c r="AU33" s="152"/>
      <c r="AV33" s="152"/>
      <c r="AW33" s="153"/>
      <c r="AX33" s="162"/>
      <c r="AY33" s="163"/>
      <c r="AZ33" s="163"/>
      <c r="BA33" s="163"/>
      <c r="BB33" s="163"/>
      <c r="BC33" s="163"/>
      <c r="BD33" s="163"/>
      <c r="BE33" s="163"/>
      <c r="BF33" s="163"/>
      <c r="BG33" s="163"/>
      <c r="BH33" s="163"/>
      <c r="BI33" s="163"/>
      <c r="BJ33" s="163"/>
      <c r="BK33" s="163"/>
      <c r="BL33" s="163"/>
      <c r="BM33" s="163"/>
      <c r="BN33" s="163"/>
      <c r="BO33" s="163"/>
      <c r="BP33" s="163"/>
      <c r="BQ33" s="163"/>
      <c r="BR33" s="163"/>
      <c r="BS33" s="163"/>
      <c r="BT33" s="169"/>
      <c r="BU33" s="41"/>
      <c r="BV33" s="40"/>
      <c r="BW33" s="41"/>
      <c r="BX33" s="41"/>
      <c r="BY33" s="41"/>
      <c r="BZ33" s="41"/>
      <c r="CA33" s="41"/>
      <c r="CB33" s="41"/>
      <c r="CC33" s="30"/>
      <c r="CD33" s="30"/>
      <c r="CE33" s="30"/>
      <c r="CF33" s="30"/>
      <c r="CG33" s="30"/>
    </row>
    <row r="34" spans="1:85" s="5" customFormat="1" ht="20.100000000000001" customHeight="1" x14ac:dyDescent="0.45">
      <c r="A34" s="30"/>
      <c r="B34" s="44"/>
      <c r="C34" s="36"/>
      <c r="D34" s="37">
        <v>24</v>
      </c>
      <c r="E34" s="159" t="s">
        <v>165</v>
      </c>
      <c r="F34" s="160"/>
      <c r="G34" s="160"/>
      <c r="H34" s="160"/>
      <c r="I34" s="160"/>
      <c r="J34" s="160"/>
      <c r="K34" s="160"/>
      <c r="L34" s="161"/>
      <c r="M34" s="157" t="s">
        <v>47</v>
      </c>
      <c r="N34" s="152"/>
      <c r="O34" s="152"/>
      <c r="P34" s="157" t="s">
        <v>173</v>
      </c>
      <c r="Q34" s="152"/>
      <c r="R34" s="152"/>
      <c r="S34" s="157"/>
      <c r="T34" s="152"/>
      <c r="U34" s="152"/>
      <c r="V34" s="162" t="s">
        <v>187</v>
      </c>
      <c r="W34" s="163"/>
      <c r="X34" s="163"/>
      <c r="Y34" s="163"/>
      <c r="Z34" s="163"/>
      <c r="AA34" s="164"/>
      <c r="AB34" s="165" t="s">
        <v>201</v>
      </c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7"/>
      <c r="AR34" s="168">
        <v>9999</v>
      </c>
      <c r="AS34" s="152"/>
      <c r="AT34" s="152"/>
      <c r="AU34" s="152"/>
      <c r="AV34" s="152"/>
      <c r="AW34" s="153"/>
      <c r="AX34" s="162"/>
      <c r="AY34" s="163"/>
      <c r="AZ34" s="163"/>
      <c r="BA34" s="163"/>
      <c r="BB34" s="163"/>
      <c r="BC34" s="163"/>
      <c r="BD34" s="163"/>
      <c r="BE34" s="163"/>
      <c r="BF34" s="163"/>
      <c r="BG34" s="163"/>
      <c r="BH34" s="163"/>
      <c r="BI34" s="163"/>
      <c r="BJ34" s="163"/>
      <c r="BK34" s="163"/>
      <c r="BL34" s="163"/>
      <c r="BM34" s="163"/>
      <c r="BN34" s="163"/>
      <c r="BO34" s="163"/>
      <c r="BP34" s="163"/>
      <c r="BQ34" s="163"/>
      <c r="BR34" s="163"/>
      <c r="BS34" s="163"/>
      <c r="BT34" s="169"/>
      <c r="BU34" s="41"/>
      <c r="BV34" s="40"/>
      <c r="BW34" s="41"/>
      <c r="BX34" s="41"/>
      <c r="BY34" s="41"/>
      <c r="BZ34" s="41"/>
      <c r="CA34" s="41"/>
      <c r="CB34" s="41"/>
      <c r="CC34" s="30"/>
      <c r="CD34" s="30"/>
      <c r="CE34" s="30"/>
      <c r="CF34" s="30"/>
      <c r="CG34" s="30"/>
    </row>
    <row r="35" spans="1:85" s="5" customFormat="1" ht="20.100000000000001" customHeight="1" x14ac:dyDescent="0.45">
      <c r="A35" s="30"/>
      <c r="B35" s="44"/>
      <c r="C35" s="30"/>
      <c r="D35" s="37">
        <v>25</v>
      </c>
      <c r="E35" s="159" t="s">
        <v>166</v>
      </c>
      <c r="F35" s="160"/>
      <c r="G35" s="160"/>
      <c r="H35" s="160"/>
      <c r="I35" s="160"/>
      <c r="J35" s="160"/>
      <c r="K35" s="160"/>
      <c r="L35" s="161"/>
      <c r="M35" s="157" t="s">
        <v>47</v>
      </c>
      <c r="N35" s="152"/>
      <c r="O35" s="152"/>
      <c r="P35" s="157" t="s">
        <v>173</v>
      </c>
      <c r="Q35" s="152"/>
      <c r="R35" s="152"/>
      <c r="S35" s="157"/>
      <c r="T35" s="152"/>
      <c r="U35" s="152"/>
      <c r="V35" s="162" t="s">
        <v>188</v>
      </c>
      <c r="W35" s="163"/>
      <c r="X35" s="163"/>
      <c r="Y35" s="163"/>
      <c r="Z35" s="163"/>
      <c r="AA35" s="164"/>
      <c r="AB35" s="165" t="s">
        <v>202</v>
      </c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7"/>
      <c r="AR35" s="168">
        <v>9999</v>
      </c>
      <c r="AS35" s="152"/>
      <c r="AT35" s="152"/>
      <c r="AU35" s="152"/>
      <c r="AV35" s="152"/>
      <c r="AW35" s="153"/>
      <c r="AX35" s="162"/>
      <c r="AY35" s="163"/>
      <c r="AZ35" s="163"/>
      <c r="BA35" s="163"/>
      <c r="BB35" s="163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  <c r="BM35" s="163"/>
      <c r="BN35" s="163"/>
      <c r="BO35" s="163"/>
      <c r="BP35" s="163"/>
      <c r="BQ35" s="163"/>
      <c r="BR35" s="163"/>
      <c r="BS35" s="163"/>
      <c r="BT35" s="169"/>
      <c r="BU35" s="41"/>
      <c r="BV35" s="40"/>
      <c r="BW35" s="41"/>
      <c r="BX35" s="41"/>
      <c r="BY35" s="41"/>
      <c r="BZ35" s="41"/>
      <c r="CA35" s="41"/>
      <c r="CB35" s="41"/>
      <c r="CC35" s="30"/>
      <c r="CD35" s="30"/>
      <c r="CE35" s="30"/>
      <c r="CF35" s="30"/>
      <c r="CG35" s="30"/>
    </row>
    <row r="36" spans="1:85" s="5" customFormat="1" ht="20.100000000000001" customHeight="1" x14ac:dyDescent="0.45">
      <c r="A36" s="30"/>
      <c r="B36" s="44"/>
      <c r="C36" s="29"/>
      <c r="D36" s="37">
        <v>26</v>
      </c>
      <c r="E36" s="159" t="s">
        <v>167</v>
      </c>
      <c r="F36" s="160"/>
      <c r="G36" s="160"/>
      <c r="H36" s="160"/>
      <c r="I36" s="160"/>
      <c r="J36" s="160"/>
      <c r="K36" s="160"/>
      <c r="L36" s="161"/>
      <c r="M36" s="157" t="s">
        <v>47</v>
      </c>
      <c r="N36" s="152"/>
      <c r="O36" s="152"/>
      <c r="P36" s="157" t="s">
        <v>173</v>
      </c>
      <c r="Q36" s="152"/>
      <c r="R36" s="152"/>
      <c r="S36" s="157"/>
      <c r="T36" s="152"/>
      <c r="U36" s="152"/>
      <c r="V36" s="162" t="s">
        <v>189</v>
      </c>
      <c r="W36" s="163"/>
      <c r="X36" s="163"/>
      <c r="Y36" s="163"/>
      <c r="Z36" s="163"/>
      <c r="AA36" s="164"/>
      <c r="AB36" s="165" t="s">
        <v>203</v>
      </c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7"/>
      <c r="AR36" s="168">
        <v>9999</v>
      </c>
      <c r="AS36" s="152"/>
      <c r="AT36" s="152"/>
      <c r="AU36" s="152"/>
      <c r="AV36" s="152"/>
      <c r="AW36" s="153"/>
      <c r="AX36" s="162"/>
      <c r="AY36" s="163"/>
      <c r="AZ36" s="163"/>
      <c r="BA36" s="163"/>
      <c r="BB36" s="163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9"/>
      <c r="BU36" s="41"/>
      <c r="BV36" s="40"/>
      <c r="BW36" s="41"/>
      <c r="BX36" s="41"/>
      <c r="BY36" s="41"/>
      <c r="BZ36" s="41"/>
      <c r="CA36" s="41"/>
      <c r="CB36" s="41"/>
      <c r="CC36" s="30"/>
      <c r="CD36" s="30"/>
      <c r="CE36" s="30"/>
      <c r="CF36" s="30"/>
      <c r="CG36" s="30"/>
    </row>
    <row r="37" spans="1:85" s="5" customFormat="1" ht="20.100000000000001" customHeight="1" x14ac:dyDescent="0.45">
      <c r="A37" s="29"/>
      <c r="B37" s="35"/>
      <c r="C37" s="29"/>
      <c r="D37" s="37">
        <v>27</v>
      </c>
      <c r="E37" s="159" t="s">
        <v>168</v>
      </c>
      <c r="F37" s="160"/>
      <c r="G37" s="160"/>
      <c r="H37" s="160"/>
      <c r="I37" s="160"/>
      <c r="J37" s="160"/>
      <c r="K37" s="160"/>
      <c r="L37" s="161"/>
      <c r="M37" s="157" t="s">
        <v>47</v>
      </c>
      <c r="N37" s="152"/>
      <c r="O37" s="152"/>
      <c r="P37" s="157" t="s">
        <v>173</v>
      </c>
      <c r="Q37" s="152"/>
      <c r="R37" s="152"/>
      <c r="S37" s="157"/>
      <c r="T37" s="152"/>
      <c r="U37" s="152"/>
      <c r="V37" s="162" t="s">
        <v>190</v>
      </c>
      <c r="W37" s="163"/>
      <c r="X37" s="163"/>
      <c r="Y37" s="163"/>
      <c r="Z37" s="163"/>
      <c r="AA37" s="164"/>
      <c r="AB37" s="165" t="s">
        <v>204</v>
      </c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7"/>
      <c r="AR37" s="168">
        <v>9999</v>
      </c>
      <c r="AS37" s="152"/>
      <c r="AT37" s="152"/>
      <c r="AU37" s="152"/>
      <c r="AV37" s="152"/>
      <c r="AW37" s="153"/>
      <c r="AX37" s="162"/>
      <c r="AY37" s="163"/>
      <c r="AZ37" s="163"/>
      <c r="BA37" s="163"/>
      <c r="BB37" s="163"/>
      <c r="BC37" s="163"/>
      <c r="BD37" s="163"/>
      <c r="BE37" s="163"/>
      <c r="BF37" s="163"/>
      <c r="BG37" s="163"/>
      <c r="BH37" s="163"/>
      <c r="BI37" s="163"/>
      <c r="BJ37" s="163"/>
      <c r="BK37" s="163"/>
      <c r="BL37" s="163"/>
      <c r="BM37" s="163"/>
      <c r="BN37" s="163"/>
      <c r="BO37" s="163"/>
      <c r="BP37" s="163"/>
      <c r="BQ37" s="163"/>
      <c r="BR37" s="163"/>
      <c r="BS37" s="163"/>
      <c r="BT37" s="169"/>
      <c r="BU37" s="29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31"/>
      <c r="CG37" s="31"/>
    </row>
    <row r="38" spans="1:85" s="5" customFormat="1" ht="20.100000000000001" customHeight="1" x14ac:dyDescent="0.45">
      <c r="A38" s="29"/>
      <c r="B38" s="35"/>
      <c r="C38" s="29"/>
      <c r="D38" s="37">
        <v>28</v>
      </c>
      <c r="E38" s="159" t="s">
        <v>169</v>
      </c>
      <c r="F38" s="160"/>
      <c r="G38" s="160"/>
      <c r="H38" s="160"/>
      <c r="I38" s="160"/>
      <c r="J38" s="160"/>
      <c r="K38" s="160"/>
      <c r="L38" s="161"/>
      <c r="M38" s="157" t="s">
        <v>47</v>
      </c>
      <c r="N38" s="152"/>
      <c r="O38" s="152"/>
      <c r="P38" s="157" t="s">
        <v>173</v>
      </c>
      <c r="Q38" s="152"/>
      <c r="R38" s="152"/>
      <c r="S38" s="157"/>
      <c r="T38" s="152"/>
      <c r="U38" s="152"/>
      <c r="V38" s="162" t="s">
        <v>191</v>
      </c>
      <c r="W38" s="163"/>
      <c r="X38" s="163"/>
      <c r="Y38" s="163"/>
      <c r="Z38" s="163"/>
      <c r="AA38" s="164"/>
      <c r="AB38" s="165" t="s">
        <v>205</v>
      </c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7"/>
      <c r="AR38" s="168">
        <v>9999</v>
      </c>
      <c r="AS38" s="152"/>
      <c r="AT38" s="152"/>
      <c r="AU38" s="152"/>
      <c r="AV38" s="152"/>
      <c r="AW38" s="153"/>
      <c r="AX38" s="162"/>
      <c r="AY38" s="163"/>
      <c r="AZ38" s="163"/>
      <c r="BA38" s="163"/>
      <c r="BB38" s="163"/>
      <c r="BC38" s="163"/>
      <c r="BD38" s="163"/>
      <c r="BE38" s="163"/>
      <c r="BF38" s="163"/>
      <c r="BG38" s="163"/>
      <c r="BH38" s="163"/>
      <c r="BI38" s="163"/>
      <c r="BJ38" s="163"/>
      <c r="BK38" s="163"/>
      <c r="BL38" s="163"/>
      <c r="BM38" s="163"/>
      <c r="BN38" s="163"/>
      <c r="BO38" s="163"/>
      <c r="BP38" s="163"/>
      <c r="BQ38" s="163"/>
      <c r="BR38" s="163"/>
      <c r="BS38" s="163"/>
      <c r="BT38" s="169"/>
      <c r="BU38" s="41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</row>
    <row r="39" spans="1:85" s="5" customFormat="1" ht="20.100000000000001" customHeight="1" x14ac:dyDescent="0.45">
      <c r="A39" s="29"/>
      <c r="B39" s="35"/>
      <c r="C39" s="29"/>
      <c r="D39" s="37">
        <v>29</v>
      </c>
      <c r="E39" s="159" t="s">
        <v>170</v>
      </c>
      <c r="F39" s="160"/>
      <c r="G39" s="160"/>
      <c r="H39" s="160"/>
      <c r="I39" s="160"/>
      <c r="J39" s="160"/>
      <c r="K39" s="160"/>
      <c r="L39" s="161"/>
      <c r="M39" s="157" t="s">
        <v>47</v>
      </c>
      <c r="N39" s="152"/>
      <c r="O39" s="152"/>
      <c r="P39" s="157" t="s">
        <v>173</v>
      </c>
      <c r="Q39" s="152"/>
      <c r="R39" s="152"/>
      <c r="S39" s="157"/>
      <c r="T39" s="152"/>
      <c r="U39" s="152"/>
      <c r="V39" s="162" t="s">
        <v>192</v>
      </c>
      <c r="W39" s="163"/>
      <c r="X39" s="163"/>
      <c r="Y39" s="163"/>
      <c r="Z39" s="163"/>
      <c r="AA39" s="164"/>
      <c r="AB39" s="165" t="s">
        <v>206</v>
      </c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7"/>
      <c r="AR39" s="168">
        <v>9999</v>
      </c>
      <c r="AS39" s="152"/>
      <c r="AT39" s="152"/>
      <c r="AU39" s="152"/>
      <c r="AV39" s="152"/>
      <c r="AW39" s="153"/>
      <c r="AX39" s="162"/>
      <c r="AY39" s="163"/>
      <c r="AZ39" s="163"/>
      <c r="BA39" s="163"/>
      <c r="BB39" s="163"/>
      <c r="BC39" s="163"/>
      <c r="BD39" s="163"/>
      <c r="BE39" s="163"/>
      <c r="BF39" s="163"/>
      <c r="BG39" s="163"/>
      <c r="BH39" s="163"/>
      <c r="BI39" s="163"/>
      <c r="BJ39" s="163"/>
      <c r="BK39" s="163"/>
      <c r="BL39" s="163"/>
      <c r="BM39" s="163"/>
      <c r="BN39" s="163"/>
      <c r="BO39" s="163"/>
      <c r="BP39" s="163"/>
      <c r="BQ39" s="163"/>
      <c r="BR39" s="163"/>
      <c r="BS39" s="163"/>
      <c r="BT39" s="169"/>
      <c r="BU39" s="41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s="5" customFormat="1" ht="20.100000000000001" customHeight="1" thickBot="1" x14ac:dyDescent="0.5">
      <c r="A40" s="29"/>
      <c r="B40" s="35"/>
      <c r="C40" s="29"/>
      <c r="D40" s="37">
        <v>30</v>
      </c>
      <c r="E40" s="159" t="s">
        <v>171</v>
      </c>
      <c r="F40" s="160"/>
      <c r="G40" s="160"/>
      <c r="H40" s="160"/>
      <c r="I40" s="160"/>
      <c r="J40" s="160"/>
      <c r="K40" s="160"/>
      <c r="L40" s="161"/>
      <c r="M40" s="157" t="s">
        <v>47</v>
      </c>
      <c r="N40" s="152"/>
      <c r="O40" s="152"/>
      <c r="P40" s="157" t="s">
        <v>173</v>
      </c>
      <c r="Q40" s="152"/>
      <c r="R40" s="152"/>
      <c r="S40" s="157"/>
      <c r="T40" s="152"/>
      <c r="U40" s="152"/>
      <c r="V40" s="170" t="s">
        <v>193</v>
      </c>
      <c r="W40" s="171"/>
      <c r="X40" s="171"/>
      <c r="Y40" s="171"/>
      <c r="Z40" s="171"/>
      <c r="AA40" s="172"/>
      <c r="AB40" s="165" t="s">
        <v>207</v>
      </c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/>
      <c r="AP40" s="166"/>
      <c r="AQ40" s="167"/>
      <c r="AR40" s="168">
        <v>9999</v>
      </c>
      <c r="AS40" s="152"/>
      <c r="AT40" s="152"/>
      <c r="AU40" s="152"/>
      <c r="AV40" s="152"/>
      <c r="AW40" s="153"/>
      <c r="AX40" s="162"/>
      <c r="AY40" s="163"/>
      <c r="AZ40" s="163"/>
      <c r="BA40" s="163"/>
      <c r="BB40" s="163"/>
      <c r="BC40" s="163"/>
      <c r="BD40" s="163"/>
      <c r="BE40" s="163"/>
      <c r="BF40" s="163"/>
      <c r="BG40" s="163"/>
      <c r="BH40" s="163"/>
      <c r="BI40" s="163"/>
      <c r="BJ40" s="163"/>
      <c r="BK40" s="163"/>
      <c r="BL40" s="163"/>
      <c r="BM40" s="163"/>
      <c r="BN40" s="163"/>
      <c r="BO40" s="163"/>
      <c r="BP40" s="163"/>
      <c r="BQ40" s="163"/>
      <c r="BR40" s="163"/>
      <c r="BS40" s="163"/>
      <c r="BT40" s="169"/>
      <c r="BU40" s="41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</row>
    <row r="41" spans="1:85" ht="20.100000000000001" customHeight="1" thickTop="1" thickBot="1" x14ac:dyDescent="0.5">
      <c r="A41" s="29"/>
      <c r="B41" s="40"/>
      <c r="C41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46"/>
      <c r="BR41" s="46"/>
      <c r="BS41" s="46"/>
      <c r="BT41" s="46"/>
      <c r="BU41" s="28"/>
    </row>
    <row r="42" spans="1:85" ht="20.100000000000001" customHeight="1" thickTop="1" x14ac:dyDescent="0.45">
      <c r="A42" s="29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33"/>
      <c r="BD42" s="33"/>
      <c r="BE42" s="33"/>
      <c r="BF42" s="33"/>
      <c r="BG42" s="33"/>
      <c r="BH42" s="33"/>
      <c r="BI42" s="42"/>
      <c r="BJ42" s="42"/>
      <c r="BK42" s="42"/>
      <c r="BL42" s="42"/>
      <c r="BM42" s="42"/>
      <c r="BN42" s="42"/>
      <c r="BO42" s="42"/>
      <c r="BP42" s="41"/>
    </row>
    <row r="43" spans="1:85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</row>
    <row r="44" spans="1:85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85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31"/>
      <c r="BH51" s="31"/>
      <c r="BI51" s="31"/>
      <c r="BJ51" s="31"/>
      <c r="BK51" s="31"/>
      <c r="BL51" s="31"/>
      <c r="BM51" s="31"/>
      <c r="BN51" s="3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31"/>
      <c r="BH52" s="31"/>
      <c r="BI52" s="31"/>
      <c r="BJ52" s="31"/>
      <c r="BK52" s="31"/>
      <c r="BL52" s="31"/>
      <c r="BM52" s="31"/>
      <c r="BN52" s="31"/>
      <c r="BO52" s="31"/>
      <c r="BP52" s="31"/>
    </row>
    <row r="53" spans="1:68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31"/>
      <c r="BH53" s="31"/>
      <c r="BI53" s="31"/>
      <c r="BJ53" s="31"/>
      <c r="BK53" s="31"/>
      <c r="BL53" s="31"/>
      <c r="BM53" s="31"/>
      <c r="BN53" s="31"/>
      <c r="BO53" s="31"/>
      <c r="BP53" s="31"/>
    </row>
    <row r="54" spans="1:68" ht="20.100000000000001" customHeight="1" x14ac:dyDescent="0.45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</row>
    <row r="55" spans="1:68" ht="20.100000000000001" customHeight="1" x14ac:dyDescent="0.45">
      <c r="B55" s="3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</row>
    <row r="56" spans="1:68" ht="20.100000000000001" customHeight="1" x14ac:dyDescent="0.45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31"/>
      <c r="BP56" s="31"/>
    </row>
    <row r="57" spans="1:68" ht="20.100000000000001" customHeight="1" x14ac:dyDescent="0.45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31"/>
      <c r="BP57" s="31"/>
    </row>
    <row r="58" spans="1:68" ht="20.100000000000001" customHeight="1" x14ac:dyDescent="0.45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31"/>
      <c r="BP58" s="31"/>
    </row>
    <row r="59" spans="1:68" ht="20.100000000000001" customHeight="1" x14ac:dyDescent="0.45">
      <c r="A59" s="29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31"/>
      <c r="BP59" s="31"/>
    </row>
    <row r="60" spans="1:68" ht="20.100000000000001" customHeight="1" x14ac:dyDescent="0.45">
      <c r="A60" s="29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31"/>
      <c r="BP60" s="31"/>
    </row>
    <row r="61" spans="1:68" ht="20.100000000000001" customHeight="1" x14ac:dyDescent="0.4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</row>
    <row r="62" spans="1:68" ht="20.100000000000001" customHeight="1" x14ac:dyDescent="0.4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</row>
    <row r="63" spans="1:68" ht="20.100000000000001" customHeight="1" x14ac:dyDescent="0.4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</row>
  </sheetData>
  <mergeCells count="268"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E31:L31"/>
    <mergeCell ref="M31:O31"/>
    <mergeCell ref="P31:R31"/>
    <mergeCell ref="S31:U31"/>
    <mergeCell ref="V31:AA31"/>
    <mergeCell ref="AB31:AQ31"/>
    <mergeCell ref="AR31:AW31"/>
    <mergeCell ref="AX31:BT31"/>
    <mergeCell ref="E32:L32"/>
    <mergeCell ref="M32:O32"/>
    <mergeCell ref="P32:R32"/>
    <mergeCell ref="S32:U32"/>
    <mergeCell ref="V32:AA32"/>
    <mergeCell ref="AB32:AQ32"/>
    <mergeCell ref="AR32:AW32"/>
    <mergeCell ref="AX32:BT32"/>
    <mergeCell ref="E33:L33"/>
    <mergeCell ref="M33:O33"/>
    <mergeCell ref="P33:R33"/>
    <mergeCell ref="S33:U33"/>
    <mergeCell ref="V33:AA33"/>
    <mergeCell ref="AB33:AQ33"/>
    <mergeCell ref="AR33:AW33"/>
    <mergeCell ref="AX33:BT33"/>
    <mergeCell ref="E34:L34"/>
    <mergeCell ref="M34:O34"/>
    <mergeCell ref="P34:R34"/>
    <mergeCell ref="S34:U34"/>
    <mergeCell ref="V34:AA34"/>
    <mergeCell ref="AB34:AQ34"/>
    <mergeCell ref="AR34:AW34"/>
    <mergeCell ref="AX34:BT34"/>
    <mergeCell ref="E35:L35"/>
    <mergeCell ref="M35:O35"/>
    <mergeCell ref="P35:R35"/>
    <mergeCell ref="S35:U35"/>
    <mergeCell ref="V35:AA35"/>
    <mergeCell ref="AB35:AQ35"/>
    <mergeCell ref="AR35:AW35"/>
    <mergeCell ref="AX35:BT35"/>
    <mergeCell ref="E36:L36"/>
    <mergeCell ref="M36:O36"/>
    <mergeCell ref="P36:R36"/>
    <mergeCell ref="S36:U36"/>
    <mergeCell ref="V36:AA36"/>
    <mergeCell ref="AB36:AQ36"/>
    <mergeCell ref="AR36:AW36"/>
    <mergeCell ref="AX36:BT36"/>
    <mergeCell ref="E37:L37"/>
    <mergeCell ref="M37:O37"/>
    <mergeCell ref="P37:R37"/>
    <mergeCell ref="S37:U37"/>
    <mergeCell ref="V37:AA37"/>
    <mergeCell ref="AB37:AQ37"/>
    <mergeCell ref="AR37:AW37"/>
    <mergeCell ref="AX37:BT37"/>
    <mergeCell ref="E38:L38"/>
    <mergeCell ref="M38:O38"/>
    <mergeCell ref="P38:R38"/>
    <mergeCell ref="S38:U38"/>
    <mergeCell ref="V38:AA38"/>
    <mergeCell ref="AB38:AQ38"/>
    <mergeCell ref="AR38:AW38"/>
    <mergeCell ref="AX38:BT38"/>
    <mergeCell ref="E39:L39"/>
    <mergeCell ref="M39:O39"/>
    <mergeCell ref="P39:R39"/>
    <mergeCell ref="S39:U39"/>
    <mergeCell ref="V39:AA39"/>
    <mergeCell ref="AB39:AQ39"/>
    <mergeCell ref="AR39:AW39"/>
    <mergeCell ref="AX39:BT39"/>
    <mergeCell ref="E40:L40"/>
    <mergeCell ref="M40:O40"/>
    <mergeCell ref="P40:R40"/>
    <mergeCell ref="S40:U40"/>
    <mergeCell ref="V40:AA40"/>
    <mergeCell ref="AB40:AQ40"/>
    <mergeCell ref="AR40:AW40"/>
    <mergeCell ref="AX40:BT40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M11:O40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37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1" t="s">
        <v>0</v>
      </c>
      <c r="C2" s="196"/>
      <c r="D2" s="196"/>
      <c r="E2" s="196"/>
      <c r="F2" s="196"/>
      <c r="G2" s="196"/>
      <c r="H2" s="196" t="s">
        <v>17</v>
      </c>
      <c r="I2" s="196"/>
      <c r="J2" s="196"/>
      <c r="K2" s="196"/>
      <c r="L2" s="196" t="s">
        <v>213</v>
      </c>
      <c r="M2" s="196"/>
      <c r="N2" s="196"/>
      <c r="O2" s="196"/>
      <c r="P2" s="196"/>
      <c r="Q2" s="196"/>
      <c r="R2" s="196" t="s">
        <v>2</v>
      </c>
      <c r="S2" s="196"/>
      <c r="T2" s="196"/>
      <c r="U2" s="196"/>
      <c r="V2" s="196"/>
      <c r="W2" s="196"/>
      <c r="X2" s="202" t="s">
        <v>3</v>
      </c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4"/>
      <c r="AK2" s="202" t="s">
        <v>32</v>
      </c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4"/>
      <c r="AX2" s="196" t="s">
        <v>5</v>
      </c>
      <c r="AY2" s="196"/>
      <c r="AZ2" s="196"/>
      <c r="BA2" s="196"/>
      <c r="BB2" s="196" t="s">
        <v>4</v>
      </c>
      <c r="BC2" s="196"/>
      <c r="BD2" s="196"/>
      <c r="BE2" s="196"/>
      <c r="BF2" s="196" t="s">
        <v>6</v>
      </c>
      <c r="BG2" s="196"/>
      <c r="BH2" s="196"/>
      <c r="BI2" s="196"/>
      <c r="BJ2" s="196" t="s">
        <v>7</v>
      </c>
      <c r="BK2" s="196"/>
      <c r="BL2" s="196"/>
      <c r="BM2" s="197"/>
    </row>
    <row r="3" spans="2:65" ht="20.100000000000001" customHeight="1" x14ac:dyDescent="0.45">
      <c r="B3" s="205" t="str">
        <f>変更履歴!B3</f>
        <v>受発注システム</v>
      </c>
      <c r="C3" s="138"/>
      <c r="D3" s="138"/>
      <c r="E3" s="138"/>
      <c r="F3" s="138"/>
      <c r="G3" s="138"/>
      <c r="H3" s="138" t="str">
        <f ca="1">変更履歴!H3</f>
        <v>SU0400</v>
      </c>
      <c r="I3" s="138"/>
      <c r="J3" s="138"/>
      <c r="K3" s="138"/>
      <c r="L3" s="138" t="str">
        <f>変更履歴!L3</f>
        <v>受発注</v>
      </c>
      <c r="M3" s="138"/>
      <c r="N3" s="138"/>
      <c r="O3" s="138"/>
      <c r="P3" s="138"/>
      <c r="Q3" s="138"/>
      <c r="R3" s="138" t="str">
        <f ca="1">変更履歴!R3</f>
        <v>帳票設計書</v>
      </c>
      <c r="S3" s="138"/>
      <c r="T3" s="138"/>
      <c r="U3" s="138"/>
      <c r="V3" s="138"/>
      <c r="W3" s="138"/>
      <c r="X3" s="142" t="str">
        <f ca="1">変更履歴!X3</f>
        <v>SU0400_請求一覧表_帳票設計書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39"/>
      <c r="AK3" s="142" t="str">
        <f ca="1">変更履歴!AK3</f>
        <v>請求一覧表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39"/>
      <c r="AX3" s="149">
        <f>変更履歴!AX3</f>
        <v>45583</v>
      </c>
      <c r="AY3" s="149"/>
      <c r="AZ3" s="149"/>
      <c r="BA3" s="149"/>
      <c r="BB3" s="138" t="str">
        <f>変更履歴!BB3</f>
        <v>大谷</v>
      </c>
      <c r="BC3" s="138"/>
      <c r="BD3" s="138"/>
      <c r="BE3" s="138"/>
      <c r="BF3" s="149">
        <f>変更履歴!BF3</f>
        <v>45583</v>
      </c>
      <c r="BG3" s="149"/>
      <c r="BH3" s="149"/>
      <c r="BI3" s="149"/>
      <c r="BJ3" s="138" t="str">
        <f>変更履歴!BJ3</f>
        <v>大谷</v>
      </c>
      <c r="BK3" s="138"/>
      <c r="BL3" s="138"/>
      <c r="BM3" s="194"/>
    </row>
    <row r="4" spans="2:65" ht="20.100000000000001" customHeight="1" thickBot="1" x14ac:dyDescent="0.5">
      <c r="B4" s="206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8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200"/>
      <c r="AK4" s="198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200"/>
      <c r="AX4" s="192"/>
      <c r="AY4" s="192"/>
      <c r="AZ4" s="192"/>
      <c r="BA4" s="192"/>
      <c r="BB4" s="193"/>
      <c r="BC4" s="193"/>
      <c r="BD4" s="193"/>
      <c r="BE4" s="193"/>
      <c r="BF4" s="192"/>
      <c r="BG4" s="192"/>
      <c r="BH4" s="192"/>
      <c r="BI4" s="192"/>
      <c r="BJ4" s="193"/>
      <c r="BK4" s="193"/>
      <c r="BL4" s="193"/>
      <c r="BM4" s="195"/>
    </row>
    <row r="5" spans="2:65" ht="5.0999999999999996" customHeight="1" thickBot="1" x14ac:dyDescent="0.5"/>
    <row r="6" spans="2:65" ht="20.100000000000001" customHeight="1" x14ac:dyDescent="0.45">
      <c r="B6" s="89" t="s">
        <v>93</v>
      </c>
      <c r="C6" s="90"/>
      <c r="D6" s="90"/>
      <c r="E6" s="90"/>
      <c r="F6" s="90"/>
      <c r="G6" s="91"/>
      <c r="H6" s="92" t="s">
        <v>84</v>
      </c>
      <c r="I6" s="90"/>
      <c r="J6" s="120" t="s">
        <v>105</v>
      </c>
      <c r="K6" s="121"/>
      <c r="L6" s="121"/>
      <c r="M6" s="121"/>
      <c r="N6" s="121"/>
      <c r="O6" s="121"/>
      <c r="P6" s="121"/>
      <c r="Q6" s="122"/>
      <c r="R6" s="121" t="s">
        <v>122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 t="s">
        <v>106</v>
      </c>
      <c r="K7" s="52"/>
      <c r="L7" s="52"/>
      <c r="M7" s="52"/>
      <c r="N7" s="52"/>
      <c r="O7" s="52"/>
      <c r="P7" s="52"/>
      <c r="Q7" s="125"/>
      <c r="R7" s="52" t="s">
        <v>133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 t="s">
        <v>107</v>
      </c>
      <c r="K8" s="52"/>
      <c r="L8" s="52"/>
      <c r="M8" s="52"/>
      <c r="N8" s="52"/>
      <c r="O8" s="52"/>
      <c r="P8" s="52"/>
      <c r="Q8" s="125"/>
      <c r="R8" s="52" t="s">
        <v>134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 t="s">
        <v>108</v>
      </c>
      <c r="K9" s="52"/>
      <c r="L9" s="52"/>
      <c r="M9" s="52"/>
      <c r="N9" s="52"/>
      <c r="O9" s="52"/>
      <c r="P9" s="52"/>
      <c r="Q9" s="125"/>
      <c r="R9" s="52" t="s">
        <v>123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 t="s">
        <v>109</v>
      </c>
      <c r="K10" s="52"/>
      <c r="L10" s="52"/>
      <c r="M10" s="52"/>
      <c r="N10" s="52"/>
      <c r="O10" s="52"/>
      <c r="P10" s="52"/>
      <c r="Q10" s="125"/>
      <c r="R10" s="52" t="s">
        <v>124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 t="s">
        <v>110</v>
      </c>
      <c r="K11" s="52"/>
      <c r="L11" s="52"/>
      <c r="M11" s="52"/>
      <c r="N11" s="52"/>
      <c r="O11" s="52"/>
      <c r="P11" s="52"/>
      <c r="Q11" s="125"/>
      <c r="R11" s="52" t="s">
        <v>94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 t="s">
        <v>111</v>
      </c>
      <c r="K12" s="52"/>
      <c r="L12" s="52"/>
      <c r="M12" s="52"/>
      <c r="N12" s="52"/>
      <c r="O12" s="52"/>
      <c r="P12" s="52"/>
      <c r="Q12" s="125"/>
      <c r="R12" s="52" t="s">
        <v>125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I13" s="31"/>
      <c r="J13" s="124" t="s">
        <v>112</v>
      </c>
      <c r="K13" s="52"/>
      <c r="L13" s="52"/>
      <c r="M13" s="52"/>
      <c r="N13" s="52"/>
      <c r="O13" s="52"/>
      <c r="P13" s="52"/>
      <c r="Q13" s="125"/>
      <c r="R13" s="52" t="s">
        <v>126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I14" s="31"/>
      <c r="J14" s="124" t="s">
        <v>113</v>
      </c>
      <c r="K14" s="52"/>
      <c r="L14" s="52"/>
      <c r="M14" s="52"/>
      <c r="N14" s="52"/>
      <c r="O14" s="52"/>
      <c r="P14" s="52"/>
      <c r="Q14" s="125"/>
      <c r="R14" s="52" t="s">
        <v>127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I15" s="31"/>
      <c r="J15" s="124" t="s">
        <v>114</v>
      </c>
      <c r="K15" s="52"/>
      <c r="L15" s="52"/>
      <c r="M15" s="52"/>
      <c r="N15" s="52"/>
      <c r="O15" s="52"/>
      <c r="P15" s="52"/>
      <c r="Q15" s="125"/>
      <c r="R15" s="52" t="s">
        <v>128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5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123"/>
      <c r="C16" s="31"/>
      <c r="D16" s="31"/>
      <c r="E16" s="31"/>
      <c r="F16" s="31"/>
      <c r="G16" s="96"/>
      <c r="I16" s="31"/>
      <c r="J16" s="124" t="s">
        <v>116</v>
      </c>
      <c r="K16" s="52"/>
      <c r="L16" s="52"/>
      <c r="M16" s="52"/>
      <c r="N16" s="52"/>
      <c r="O16" s="52"/>
      <c r="P16" s="52"/>
      <c r="Q16" s="125"/>
      <c r="R16" s="52" t="s">
        <v>129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25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123"/>
      <c r="C17" s="31"/>
      <c r="D17" s="31"/>
      <c r="E17" s="31"/>
      <c r="F17" s="31"/>
      <c r="G17" s="96"/>
      <c r="I17" s="31"/>
      <c r="J17" s="124" t="s">
        <v>115</v>
      </c>
      <c r="K17" s="52"/>
      <c r="L17" s="52"/>
      <c r="M17" s="52"/>
      <c r="N17" s="52"/>
      <c r="O17" s="52"/>
      <c r="P17" s="52"/>
      <c r="Q17" s="125"/>
      <c r="R17" s="52" t="s">
        <v>130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25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123"/>
      <c r="C18" s="31"/>
      <c r="D18" s="31"/>
      <c r="E18" s="31"/>
      <c r="F18" s="31"/>
      <c r="G18" s="96"/>
      <c r="I18" s="31"/>
      <c r="J18" s="124" t="s">
        <v>117</v>
      </c>
      <c r="K18" s="52"/>
      <c r="L18" s="52"/>
      <c r="M18" s="52"/>
      <c r="N18" s="52"/>
      <c r="O18" s="52"/>
      <c r="P18" s="52"/>
      <c r="Q18" s="125"/>
      <c r="R18" s="52" t="s">
        <v>131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25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123"/>
      <c r="C19" s="31"/>
      <c r="D19" s="31"/>
      <c r="E19" s="31"/>
      <c r="F19" s="31"/>
      <c r="G19" s="96"/>
      <c r="I19" s="31"/>
      <c r="J19" s="124" t="s">
        <v>118</v>
      </c>
      <c r="K19" s="52"/>
      <c r="L19" s="52"/>
      <c r="M19" s="52"/>
      <c r="N19" s="52"/>
      <c r="O19" s="52"/>
      <c r="P19" s="52"/>
      <c r="Q19" s="125"/>
      <c r="R19" s="52" t="s">
        <v>132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25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123"/>
      <c r="C20" s="31"/>
      <c r="D20" s="31"/>
      <c r="E20" s="31"/>
      <c r="F20" s="31"/>
      <c r="G20" s="96"/>
      <c r="I20" s="31"/>
      <c r="J20" s="124" t="s">
        <v>119</v>
      </c>
      <c r="K20" s="52"/>
      <c r="L20" s="52"/>
      <c r="M20" s="52"/>
      <c r="N20" s="52"/>
      <c r="O20" s="52"/>
      <c r="P20" s="52"/>
      <c r="Q20" s="125"/>
      <c r="R20" s="52" t="s">
        <v>136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25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18.600000000000001" customHeight="1" x14ac:dyDescent="0.45">
      <c r="B21" s="123"/>
      <c r="C21" s="31"/>
      <c r="D21" s="31"/>
      <c r="E21" s="31"/>
      <c r="F21" s="31"/>
      <c r="G21" s="96"/>
      <c r="I21" s="31"/>
      <c r="J21" s="124" t="s">
        <v>120</v>
      </c>
      <c r="K21" s="52"/>
      <c r="L21" s="52"/>
      <c r="M21" s="52"/>
      <c r="N21" s="52"/>
      <c r="O21" s="52"/>
      <c r="P21" s="52"/>
      <c r="Q21" s="125"/>
      <c r="R21" s="51" t="s">
        <v>143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25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123"/>
      <c r="C22" s="31"/>
      <c r="D22" s="31"/>
      <c r="E22" s="31"/>
      <c r="F22" s="31"/>
      <c r="G22" s="96"/>
      <c r="I22" s="31"/>
      <c r="J22" s="124" t="s">
        <v>121</v>
      </c>
      <c r="K22" s="52"/>
      <c r="L22" s="52"/>
      <c r="M22" s="52"/>
      <c r="N22" s="52"/>
      <c r="O22" s="52"/>
      <c r="P22" s="52"/>
      <c r="Q22" s="125"/>
      <c r="R22" s="52" t="s">
        <v>135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25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123"/>
      <c r="C23" s="31"/>
      <c r="D23" s="31"/>
      <c r="E23" s="31"/>
      <c r="F23" s="31"/>
      <c r="G23" s="96"/>
      <c r="H23" s="100" t="s">
        <v>53</v>
      </c>
      <c r="I23" s="55"/>
      <c r="J23" s="100" t="s">
        <v>95</v>
      </c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95"/>
      <c r="C24" s="31"/>
      <c r="D24" s="31"/>
      <c r="E24" s="31"/>
      <c r="F24" s="31"/>
      <c r="G24" s="96"/>
      <c r="H24" s="100" t="s">
        <v>54</v>
      </c>
      <c r="I24" s="55"/>
      <c r="J24" s="100" t="s">
        <v>96</v>
      </c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1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03" t="s">
        <v>97</v>
      </c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27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1" ht="20.100000000000001" customHeight="1" x14ac:dyDescent="0.45">
      <c r="B26" s="95"/>
      <c r="C26" s="31"/>
      <c r="D26" s="31"/>
      <c r="E26" s="31"/>
      <c r="F26" s="31"/>
      <c r="G26" s="96"/>
      <c r="H26" s="100" t="s">
        <v>55</v>
      </c>
      <c r="I26" s="131"/>
      <c r="J26" s="97" t="s">
        <v>140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1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 t="s">
        <v>138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97" t="s">
        <v>139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141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97" t="s">
        <v>142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 t="s">
        <v>100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95"/>
      <c r="C31" s="31"/>
      <c r="D31" s="31"/>
      <c r="E31" s="31"/>
      <c r="F31" s="31"/>
      <c r="G31" s="96"/>
      <c r="H31" s="97"/>
      <c r="I31" s="31"/>
      <c r="J31" s="97"/>
      <c r="K31" s="31" t="s">
        <v>98</v>
      </c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97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99"/>
    </row>
    <row r="32" spans="2:61" ht="20.100000000000001" customHeight="1" x14ac:dyDescent="0.45">
      <c r="B32" s="95"/>
      <c r="C32" s="31"/>
      <c r="D32" s="31"/>
      <c r="E32" s="31"/>
      <c r="F32" s="31"/>
      <c r="G32" s="96"/>
      <c r="H32" s="97"/>
      <c r="I32" s="31"/>
      <c r="J32" s="97"/>
      <c r="K32" s="31" t="s">
        <v>99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97"/>
      <c r="K33" s="31" t="s">
        <v>101</v>
      </c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x14ac:dyDescent="0.45">
      <c r="B34" s="95"/>
      <c r="C34" s="31"/>
      <c r="D34" s="31"/>
      <c r="E34" s="31"/>
      <c r="F34" s="31"/>
      <c r="G34" s="96"/>
      <c r="H34" s="97"/>
      <c r="I34" s="31"/>
      <c r="J34" s="97"/>
      <c r="K34" s="31" t="s">
        <v>102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97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99"/>
    </row>
    <row r="35" spans="2:61" ht="20.100000000000001" customHeight="1" x14ac:dyDescent="0.45">
      <c r="B35" s="95"/>
      <c r="C35" s="31"/>
      <c r="D35" s="31"/>
      <c r="E35" s="31"/>
      <c r="F35" s="31"/>
      <c r="G35" s="96"/>
      <c r="H35" s="97"/>
      <c r="I35" s="31"/>
      <c r="J35" s="97"/>
      <c r="K35" s="31" t="s">
        <v>103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97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99"/>
    </row>
    <row r="36" spans="2:61" ht="20.100000000000001" customHeight="1" thickBot="1" x14ac:dyDescent="0.5">
      <c r="B36" s="95"/>
      <c r="C36" s="31"/>
      <c r="D36" s="31"/>
      <c r="E36" s="31"/>
      <c r="F36" s="31"/>
      <c r="G36" s="96"/>
      <c r="H36" s="128" t="s">
        <v>104</v>
      </c>
      <c r="I36" s="129"/>
      <c r="J36" s="128" t="s">
        <v>137</v>
      </c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30"/>
      <c r="AK36" s="103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6"/>
    </row>
    <row r="37" spans="2:61" ht="5.0999999999999996" customHeight="1" x14ac:dyDescent="0.45"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1" t="s">
        <v>0</v>
      </c>
      <c r="C2" s="196"/>
      <c r="D2" s="196"/>
      <c r="E2" s="196"/>
      <c r="F2" s="196"/>
      <c r="G2" s="196"/>
      <c r="H2" s="196" t="s">
        <v>17</v>
      </c>
      <c r="I2" s="196"/>
      <c r="J2" s="196"/>
      <c r="K2" s="196"/>
      <c r="L2" s="196" t="s">
        <v>1</v>
      </c>
      <c r="M2" s="196"/>
      <c r="N2" s="196"/>
      <c r="O2" s="196"/>
      <c r="P2" s="196"/>
      <c r="Q2" s="196"/>
      <c r="R2" s="196" t="s">
        <v>2</v>
      </c>
      <c r="S2" s="196"/>
      <c r="T2" s="196"/>
      <c r="U2" s="196"/>
      <c r="V2" s="196"/>
      <c r="W2" s="196"/>
      <c r="X2" s="202" t="s">
        <v>3</v>
      </c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4"/>
      <c r="AK2" s="202" t="s">
        <v>32</v>
      </c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4"/>
      <c r="AX2" s="196" t="s">
        <v>5</v>
      </c>
      <c r="AY2" s="196"/>
      <c r="AZ2" s="196"/>
      <c r="BA2" s="196"/>
      <c r="BB2" s="196" t="s">
        <v>4</v>
      </c>
      <c r="BC2" s="196"/>
      <c r="BD2" s="196"/>
      <c r="BE2" s="196"/>
      <c r="BF2" s="196" t="s">
        <v>6</v>
      </c>
      <c r="BG2" s="196"/>
      <c r="BH2" s="196"/>
      <c r="BI2" s="196"/>
      <c r="BJ2" s="196" t="s">
        <v>7</v>
      </c>
      <c r="BK2" s="196"/>
      <c r="BL2" s="196"/>
      <c r="BM2" s="197"/>
    </row>
    <row r="3" spans="2:65" ht="20.100000000000001" customHeight="1" x14ac:dyDescent="0.45">
      <c r="B3" s="205" t="str">
        <f>変更履歴!B3</f>
        <v>受発注システム</v>
      </c>
      <c r="C3" s="138"/>
      <c r="D3" s="138"/>
      <c r="E3" s="138"/>
      <c r="F3" s="138"/>
      <c r="G3" s="138"/>
      <c r="H3" s="138" t="str">
        <f ca="1">変更履歴!H3</f>
        <v>SU0400</v>
      </c>
      <c r="I3" s="138"/>
      <c r="J3" s="138"/>
      <c r="K3" s="138"/>
      <c r="L3" s="138" t="str">
        <f>変更履歴!L3</f>
        <v>受発注</v>
      </c>
      <c r="M3" s="138"/>
      <c r="N3" s="138"/>
      <c r="O3" s="138"/>
      <c r="P3" s="138"/>
      <c r="Q3" s="138"/>
      <c r="R3" s="138" t="str">
        <f ca="1">変更履歴!R3</f>
        <v>帳票設計書</v>
      </c>
      <c r="S3" s="138"/>
      <c r="T3" s="138"/>
      <c r="U3" s="138"/>
      <c r="V3" s="138"/>
      <c r="W3" s="138"/>
      <c r="X3" s="142" t="str">
        <f ca="1">変更履歴!X3</f>
        <v>SU0400_請求一覧表_帳票設計書</v>
      </c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39"/>
      <c r="AK3" s="142" t="str">
        <f ca="1">変更履歴!AK3</f>
        <v>請求一覧表</v>
      </c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39"/>
      <c r="AX3" s="149">
        <f>変更履歴!AX3</f>
        <v>45583</v>
      </c>
      <c r="AY3" s="149"/>
      <c r="AZ3" s="149"/>
      <c r="BA3" s="149"/>
      <c r="BB3" s="138" t="str">
        <f>変更履歴!BB3</f>
        <v>大谷</v>
      </c>
      <c r="BC3" s="138"/>
      <c r="BD3" s="138"/>
      <c r="BE3" s="138"/>
      <c r="BF3" s="149">
        <f>変更履歴!BF3</f>
        <v>45583</v>
      </c>
      <c r="BG3" s="149"/>
      <c r="BH3" s="149"/>
      <c r="BI3" s="149"/>
      <c r="BJ3" s="138" t="str">
        <f>変更履歴!BJ3</f>
        <v>大谷</v>
      </c>
      <c r="BK3" s="138"/>
      <c r="BL3" s="138"/>
      <c r="BM3" s="194"/>
    </row>
    <row r="4" spans="2:65" ht="20.100000000000001" customHeight="1" thickBot="1" x14ac:dyDescent="0.5">
      <c r="B4" s="206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8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200"/>
      <c r="AK4" s="198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200"/>
      <c r="AX4" s="192"/>
      <c r="AY4" s="192"/>
      <c r="AZ4" s="192"/>
      <c r="BA4" s="192"/>
      <c r="BB4" s="193"/>
      <c r="BC4" s="193"/>
      <c r="BD4" s="193"/>
      <c r="BE4" s="193"/>
      <c r="BF4" s="192"/>
      <c r="BG4" s="192"/>
      <c r="BH4" s="192"/>
      <c r="BI4" s="192"/>
      <c r="BJ4" s="193"/>
      <c r="BK4" s="193"/>
      <c r="BL4" s="193"/>
      <c r="BM4" s="195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56</v>
      </c>
      <c r="C7" s="90"/>
      <c r="D7" s="90"/>
      <c r="E7" s="90"/>
      <c r="F7" s="90"/>
      <c r="G7" s="90"/>
      <c r="H7" s="92" t="s">
        <v>84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85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86</v>
      </c>
      <c r="K8" s="52"/>
      <c r="L8" s="52"/>
      <c r="M8" s="52"/>
      <c r="N8" s="52"/>
      <c r="O8" s="52"/>
      <c r="P8" s="52"/>
      <c r="Q8" s="52"/>
      <c r="R8" s="124" t="s">
        <v>87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88</v>
      </c>
      <c r="K9" s="52"/>
      <c r="L9" s="52"/>
      <c r="M9" s="52"/>
      <c r="N9" s="52"/>
      <c r="O9" s="52"/>
      <c r="P9" s="52"/>
      <c r="Q9" s="52"/>
      <c r="R9" s="124" t="s">
        <v>89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57</v>
      </c>
      <c r="I10" s="31"/>
      <c r="J10" s="111" t="s">
        <v>58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60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62</v>
      </c>
      <c r="I14" s="55"/>
      <c r="J14" s="107" t="s">
        <v>63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66</v>
      </c>
      <c r="M17" s="109" t="s">
        <v>65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67</v>
      </c>
      <c r="M18" s="109" t="s">
        <v>65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68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70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66</v>
      </c>
      <c r="M22" s="104" t="s">
        <v>71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72</v>
      </c>
      <c r="I23" s="31"/>
      <c r="J23" s="111"/>
      <c r="K23" s="109" t="s">
        <v>73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66</v>
      </c>
      <c r="K24" s="109" t="s">
        <v>75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67</v>
      </c>
      <c r="K25" s="109" t="s">
        <v>75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76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66</v>
      </c>
      <c r="K28" s="31" t="s">
        <v>79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80</v>
      </c>
      <c r="I32" s="31"/>
      <c r="J32" s="111" t="s">
        <v>81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12</vt:i4>
      </vt:variant>
    </vt:vector>
  </HeadingPairs>
  <TitlesOfParts>
    <vt:vector size="21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2025-05-24T05:33:11Z</dcterms:modified>
</cp:coreProperties>
</file>