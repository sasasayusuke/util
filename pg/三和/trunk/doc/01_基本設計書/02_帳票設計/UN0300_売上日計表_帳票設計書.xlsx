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3232" windowHeight="8808" firstSheet="1" activeTab="1"/>
  </bookViews>
  <sheets>
    <sheet name="変更履歴" sheetId="1" r:id="rId1"/>
    <sheet name="概要" sheetId="14" r:id="rId2"/>
    <sheet name="帳票レイアウト" sheetId="2" r:id="rId3"/>
    <sheet name="項目一覧" sheetId="3" r:id="rId4"/>
    <sheet name="確認事項" sheetId="15" r:id="rId5"/>
    <sheet name="処理詳細" sheetId="18" r:id="rId6"/>
    <sheet name="処理詳細_書き方" sheetId="19" state="hidden" r:id="rId7"/>
    <sheet name="帳票レイアウト確認点" sheetId="20" r:id="rId8"/>
    <sheet name="別紙_印刷レイアウト" sheetId="21" r:id="rId9"/>
    <sheet name="参照" sheetId="12" state="hidden" r:id="rId10"/>
  </sheets>
  <definedNames>
    <definedName name="_xlnm.Print_Area" localSheetId="1">概要!$A$1:$BN$31</definedName>
    <definedName name="_xlnm.Print_Area" localSheetId="3">項目一覧!$A$1:$BX$57</definedName>
    <definedName name="_xlnm.Print_Area" localSheetId="5">処理詳細!$A$1:$BR$95</definedName>
    <definedName name="_xlnm.Print_Area" localSheetId="6">処理詳細_書き方!$A$1:$BR$33</definedName>
    <definedName name="_xlnm.Print_Area" localSheetId="2">帳票レイアウト!$A$1:$BN$48</definedName>
    <definedName name="_xlnm.Print_Area" localSheetId="0">変更履歴!$A$1:$BN$49</definedName>
    <definedName name="_xlnm.Print_Titles" localSheetId="1">概要!$1:$5</definedName>
    <definedName name="_xlnm.Print_Titles" localSheetId="3">項目一覧!$1:$5</definedName>
    <definedName name="_xlnm.Print_Titles" localSheetId="5">処理詳細!$1:$5</definedName>
    <definedName name="_xlnm.Print_Titles" localSheetId="6">処理詳細_書き方!$1:$5</definedName>
    <definedName name="_xlnm.Print_Titles" localSheetId="2">帳票レイアウト!$1:$5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3" i="19" l="1"/>
  <c r="BF3" i="19"/>
  <c r="BB3" i="19"/>
  <c r="AX3" i="19"/>
  <c r="L3" i="19"/>
  <c r="B3" i="19"/>
  <c r="BJ3" i="18"/>
  <c r="BF3" i="18"/>
  <c r="BB3" i="18"/>
  <c r="AX3" i="18"/>
  <c r="L3" i="18"/>
  <c r="B3" i="18"/>
  <c r="BJ3" i="14" l="1"/>
  <c r="BF3" i="14"/>
  <c r="BB3" i="14"/>
  <c r="AX3" i="14"/>
  <c r="L3" i="14"/>
  <c r="B3" i="14"/>
  <c r="X3" i="1" l="1"/>
  <c r="X3" i="18" l="1"/>
  <c r="X3" i="19"/>
  <c r="X3" i="14"/>
  <c r="H3" i="1"/>
  <c r="R3" i="1"/>
  <c r="AK3" i="1"/>
  <c r="AK3" i="18" l="1"/>
  <c r="AK3" i="19"/>
  <c r="R3" i="18"/>
  <c r="R3" i="19"/>
  <c r="H3" i="18"/>
  <c r="H3" i="19"/>
  <c r="AK3" i="14"/>
  <c r="H7" i="14" s="1"/>
  <c r="R3" i="14"/>
  <c r="H3" i="14"/>
  <c r="R3" i="3"/>
  <c r="BJ3" i="3"/>
  <c r="BF3" i="3"/>
  <c r="BB3" i="3"/>
  <c r="AX3" i="3"/>
  <c r="AK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X3" i="3"/>
</calcChain>
</file>

<file path=xl/sharedStrings.xml><?xml version="1.0" encoding="utf-8"?>
<sst xmlns="http://schemas.openxmlformats.org/spreadsheetml/2006/main" count="466" uniqueCount="256">
  <si>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</si>
  <si>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</si>
  <si>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</si>
  <si>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</si>
  <si>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</si>
  <si>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</si>
  <si>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</si>
  <si>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</si>
  <si>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</si>
  <si>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</si>
  <si>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</si>
  <si>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</si>
  <si>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</si>
  <si>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</si>
  <si>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</si>
  <si>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</si>
  <si>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</si>
  <si>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</si>
  <si>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</si>
  <si>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</si>
  <si>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</si>
  <si>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</si>
  <si>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</si>
  <si>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</si>
  <si>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</si>
  <si>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</si>
  <si>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</si>
  <si>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</si>
  <si>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</si>
  <si>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</si>
  <si>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</si>
  <si>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</si>
  <si>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</si>
  <si>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</si>
  <si>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</si>
  <si>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</si>
  <si>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</si>
  <si>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</si>
  <si>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</si>
  <si>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</si>
  <si>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</si>
  <si>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</si>
  <si>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</si>
  <si>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</si>
  <si>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</si>
  <si>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</si>
  <si>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</si>
  <si>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</si>
  <si>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</si>
  <si>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</si>
  <si>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</si>
  <si>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</si>
  <si>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</si>
  <si>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from</t>
    <phoneticPr fontId="2"/>
  </si>
  <si>
    <t>join</t>
    <phoneticPr fontId="2"/>
  </si>
  <si>
    <t>where</t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</si>
  <si>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</si>
  <si>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</si>
  <si>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</si>
  <si>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</si>
  <si>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</si>
  <si>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</si>
  <si>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</si>
  <si>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</si>
  <si>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</si>
  <si>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</si>
  <si>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</si>
  <si>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</si>
  <si>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</si>
  <si>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</si>
  <si>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</si>
  <si>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</si>
  <si>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</si>
  <si>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</si>
  <si>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</si>
  <si>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</si>
  <si>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</si>
  <si>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</si>
  <si>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</si>
  <si>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</si>
  <si>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</si>
  <si>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</si>
  <si>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</si>
  <si>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</si>
  <si>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</si>
  <si>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</si>
  <si>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</si>
  <si>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</si>
  <si>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</si>
  <si>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</si>
  <si>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-</t>
    <phoneticPr fontId="2"/>
  </si>
  <si>
    <t>pdf</t>
    <phoneticPr fontId="2"/>
  </si>
  <si>
    <t>PDF</t>
    <phoneticPr fontId="2"/>
  </si>
  <si>
    <t>-</t>
    <phoneticPr fontId="2"/>
  </si>
  <si>
    <t>-</t>
    <phoneticPr fontId="2"/>
  </si>
  <si>
    <t>帳票レイアウト確認点</t>
    <rPh sb="0" eb="2">
      <t>チョウヒョウ</t>
    </rPh>
    <rPh sb="7" eb="10">
      <t>カクニンテン</t>
    </rPh>
    <phoneticPr fontId="2"/>
  </si>
  <si>
    <t>得意先CD開始</t>
    <rPh sb="0" eb="3">
      <t>トクイサキ</t>
    </rPh>
    <rPh sb="5" eb="7">
      <t>カイシ</t>
    </rPh>
    <phoneticPr fontId="1"/>
  </si>
  <si>
    <t>得意先CD終了</t>
    <rPh sb="0" eb="3">
      <t>トクイサキ</t>
    </rPh>
    <rPh sb="5" eb="7">
      <t>シュウリョウ</t>
    </rPh>
    <phoneticPr fontId="1"/>
  </si>
  <si>
    <t>作成日</t>
    <rPh sb="0" eb="3">
      <t>サクセイビ</t>
    </rPh>
    <phoneticPr fontId="1"/>
  </si>
  <si>
    <t>納入得意先CD</t>
  </si>
  <si>
    <t>納入得意先CD</t>
    <rPh sb="0" eb="5">
      <t>ノウニュウトクイサキ</t>
    </rPh>
    <phoneticPr fontId="1"/>
  </si>
  <si>
    <t>納入先CD</t>
  </si>
  <si>
    <t>納入先CD</t>
    <rPh sb="0" eb="3">
      <t>ノウニュウサキ</t>
    </rPh>
    <phoneticPr fontId="1"/>
  </si>
  <si>
    <t>得意先名1</t>
    <rPh sb="0" eb="4">
      <t>トクイサキメイ</t>
    </rPh>
    <phoneticPr fontId="1"/>
  </si>
  <si>
    <t>得意先名2</t>
    <rPh sb="0" eb="4">
      <t>トクイサキメイ</t>
    </rPh>
    <phoneticPr fontId="1"/>
  </si>
  <si>
    <t>売上日付</t>
  </si>
  <si>
    <t>売上日付</t>
    <rPh sb="0" eb="4">
      <t>ウリアゲヒヅケ</t>
    </rPh>
    <phoneticPr fontId="1"/>
  </si>
  <si>
    <t>請求日付</t>
    <rPh sb="0" eb="4">
      <t>セイキュウヒヅケ</t>
    </rPh>
    <phoneticPr fontId="1"/>
  </si>
  <si>
    <t>伝票番号</t>
    <rPh sb="0" eb="4">
      <t>デンピョウバンゴウ</t>
    </rPh>
    <phoneticPr fontId="1"/>
  </si>
  <si>
    <t>製品NO</t>
  </si>
  <si>
    <t>製品NO</t>
    <rPh sb="0" eb="2">
      <t>セイヒン</t>
    </rPh>
    <phoneticPr fontId="1"/>
  </si>
  <si>
    <t>仕様NO</t>
  </si>
  <si>
    <t>仕様NO</t>
    <rPh sb="0" eb="2">
      <t>シヨウ</t>
    </rPh>
    <phoneticPr fontId="1"/>
  </si>
  <si>
    <t>製品名</t>
    <rPh sb="0" eb="3">
      <t>セイヒンメイ</t>
    </rPh>
    <phoneticPr fontId="1"/>
  </si>
  <si>
    <t>W</t>
  </si>
  <si>
    <t>W</t>
    <phoneticPr fontId="1"/>
  </si>
  <si>
    <t>D</t>
  </si>
  <si>
    <t>D</t>
    <phoneticPr fontId="1"/>
  </si>
  <si>
    <t>H</t>
  </si>
  <si>
    <t>H</t>
    <phoneticPr fontId="1"/>
  </si>
  <si>
    <t>数量</t>
    <rPh sb="0" eb="2">
      <t>スウリョウ</t>
    </rPh>
    <phoneticPr fontId="1"/>
  </si>
  <si>
    <t>単位</t>
    <rPh sb="0" eb="2">
      <t>タンイ</t>
    </rPh>
    <phoneticPr fontId="1"/>
  </si>
  <si>
    <t>売上単価</t>
  </si>
  <si>
    <t>売上単価</t>
    <rPh sb="0" eb="4">
      <t>ウリアゲタンカ</t>
    </rPh>
    <phoneticPr fontId="1"/>
  </si>
  <si>
    <t>売上金額</t>
    <rPh sb="0" eb="4">
      <t>ウリアゲキンガク</t>
    </rPh>
    <phoneticPr fontId="1"/>
  </si>
  <si>
    <t>伝区</t>
    <rPh sb="0" eb="2">
      <t>デンク</t>
    </rPh>
    <phoneticPr fontId="1"/>
  </si>
  <si>
    <t>消費税</t>
    <rPh sb="0" eb="3">
      <t>ショウヒゼイ</t>
    </rPh>
    <phoneticPr fontId="1"/>
  </si>
  <si>
    <t>合計金額</t>
    <rPh sb="0" eb="2">
      <t>ゴウケイ</t>
    </rPh>
    <rPh sb="2" eb="4">
      <t>キンガク</t>
    </rPh>
    <phoneticPr fontId="1"/>
  </si>
  <si>
    <t>半角</t>
    <rPh sb="0" eb="2">
      <t>ハンカク</t>
    </rPh>
    <phoneticPr fontId="1"/>
  </si>
  <si>
    <t>全角</t>
    <rPh sb="0" eb="2">
      <t>ゼンカク</t>
    </rPh>
    <phoneticPr fontId="1"/>
  </si>
  <si>
    <t>「SECT」「締日」項目は出力後のレイアウトには表示されていないが必要な項目か</t>
    <rPh sb="7" eb="8">
      <t>シ</t>
    </rPh>
    <rPh sb="8" eb="9">
      <t>ビ</t>
    </rPh>
    <rPh sb="10" eb="12">
      <t>コウモク</t>
    </rPh>
    <rPh sb="13" eb="15">
      <t>シュツリョク</t>
    </rPh>
    <rPh sb="15" eb="16">
      <t>ゴ</t>
    </rPh>
    <rPh sb="24" eb="26">
      <t>ヒョウジ</t>
    </rPh>
    <rPh sb="33" eb="35">
      <t>ヒツヨウ</t>
    </rPh>
    <rPh sb="36" eb="38">
      <t>コウモク</t>
    </rPh>
    <phoneticPr fontId="2"/>
  </si>
  <si>
    <t>区分</t>
  </si>
  <si>
    <t>納入先名1</t>
  </si>
  <si>
    <t>納入先名2</t>
  </si>
  <si>
    <t>売上番号</t>
  </si>
  <si>
    <t>売上明細行番号</t>
  </si>
  <si>
    <t>漢字名称</t>
  </si>
  <si>
    <t>D1</t>
  </si>
  <si>
    <t>D2</t>
  </si>
  <si>
    <t>H1</t>
  </si>
  <si>
    <t>H2</t>
  </si>
  <si>
    <t>売上数量</t>
  </si>
  <si>
    <t>単位名</t>
  </si>
  <si>
    <t>伝票区分</t>
  </si>
  <si>
    <t>SQL1</t>
    <phoneticPr fontId="2"/>
  </si>
  <si>
    <t>SQL2</t>
    <phoneticPr fontId="2"/>
  </si>
  <si>
    <t>SQL1.納入得意先CD</t>
    <rPh sb="5" eb="10">
      <t>ノウニュウトクイサキ</t>
    </rPh>
    <phoneticPr fontId="1"/>
  </si>
  <si>
    <t>SQL1.納入先CD</t>
    <rPh sb="5" eb="8">
      <t>ノウニュウサキ</t>
    </rPh>
    <phoneticPr fontId="1"/>
  </si>
  <si>
    <t>SQL1.納入先名1</t>
    <rPh sb="5" eb="9">
      <t>ノウニュウサキメイ</t>
    </rPh>
    <phoneticPr fontId="1"/>
  </si>
  <si>
    <t>SQL1.納入先名2</t>
    <rPh sb="5" eb="9">
      <t>ノウニュウサキメイ</t>
    </rPh>
    <phoneticPr fontId="1"/>
  </si>
  <si>
    <t>SQL1.売上日付</t>
    <rPh sb="5" eb="7">
      <t>ウリアゲ</t>
    </rPh>
    <rPh sb="7" eb="9">
      <t>ヒヅケ</t>
    </rPh>
    <phoneticPr fontId="1"/>
  </si>
  <si>
    <t>SQL1.請求日付</t>
    <rPh sb="5" eb="9">
      <t>セイキュウヒヅケ</t>
    </rPh>
    <phoneticPr fontId="1"/>
  </si>
  <si>
    <t>SQL1.製品NO</t>
    <rPh sb="5" eb="7">
      <t>セイヒン</t>
    </rPh>
    <phoneticPr fontId="1"/>
  </si>
  <si>
    <t>SQL1.仕様NO</t>
    <rPh sb="5" eb="7">
      <t>シヨウ</t>
    </rPh>
    <phoneticPr fontId="1"/>
  </si>
  <si>
    <t>SQL1.漢字名称</t>
    <rPh sb="5" eb="9">
      <t>カンジメイショウ</t>
    </rPh>
    <phoneticPr fontId="1"/>
  </si>
  <si>
    <t>SQL1.W</t>
    <phoneticPr fontId="1"/>
  </si>
  <si>
    <t>SQL1.売上数量</t>
    <rPh sb="5" eb="9">
      <t>ウリアゲスウリョウ</t>
    </rPh>
    <phoneticPr fontId="1"/>
  </si>
  <si>
    <t>SQL1.単位名</t>
    <rPh sb="5" eb="8">
      <t>タンイメイ</t>
    </rPh>
    <phoneticPr fontId="1"/>
  </si>
  <si>
    <t>SQL1.売上単価</t>
    <rPh sb="5" eb="9">
      <t>ウリアゲタンカ</t>
    </rPh>
    <phoneticPr fontId="1"/>
  </si>
  <si>
    <t>SQL1.売上金額</t>
    <rPh sb="5" eb="9">
      <t>ウリアゲキンガク</t>
    </rPh>
    <phoneticPr fontId="1"/>
  </si>
  <si>
    <t>SQL1.伝票区分</t>
    <rPh sb="5" eb="9">
      <t>デンピョウクブン</t>
    </rPh>
    <phoneticPr fontId="1"/>
  </si>
  <si>
    <t>SQL1.売上金額</t>
    <rPh sb="5" eb="7">
      <t>ウリアゲ</t>
    </rPh>
    <rPh sb="7" eb="9">
      <t>キンガク</t>
    </rPh>
    <phoneticPr fontId="1"/>
  </si>
  <si>
    <t>売上番号ごとの[SQL1.売上金額]合計</t>
    <rPh sb="0" eb="4">
      <t>ウリアゲバンゴウ</t>
    </rPh>
    <rPh sb="18" eb="20">
      <t>ゴウケイ</t>
    </rPh>
    <phoneticPr fontId="1"/>
  </si>
  <si>
    <t>SQL1.売上金額</t>
    <phoneticPr fontId="1"/>
  </si>
  <si>
    <t>売上金額に外税額が入っている</t>
    <rPh sb="0" eb="4">
      <t>ウリアゲキンガク</t>
    </rPh>
    <rPh sb="5" eb="8">
      <t>ソトゼイガク</t>
    </rPh>
    <rPh sb="9" eb="10">
      <t>ハイ</t>
    </rPh>
    <phoneticPr fontId="1"/>
  </si>
  <si>
    <t>現在日付</t>
    <rPh sb="0" eb="4">
      <t>ゲンザイヒヅケ</t>
    </rPh>
    <phoneticPr fontId="1"/>
  </si>
  <si>
    <t>画面.得意先開始CD</t>
    <rPh sb="0" eb="2">
      <t>ガメン</t>
    </rPh>
    <rPh sb="3" eb="6">
      <t>トクイサキ</t>
    </rPh>
    <rPh sb="6" eb="8">
      <t>カイシ</t>
    </rPh>
    <phoneticPr fontId="1"/>
  </si>
  <si>
    <t>画面.得意先終了CD</t>
    <rPh sb="0" eb="2">
      <t>ガメン</t>
    </rPh>
    <rPh sb="3" eb="6">
      <t>トクイサキ</t>
    </rPh>
    <rPh sb="6" eb="8">
      <t>シュウリョウ</t>
    </rPh>
    <phoneticPr fontId="1"/>
  </si>
  <si>
    <t>SQL1.見積番号,SQL1.売上明細行番号</t>
    <rPh sb="5" eb="9">
      <t>ミツモリバンゴウ</t>
    </rPh>
    <rPh sb="15" eb="17">
      <t>ウリアゲ</t>
    </rPh>
    <rPh sb="17" eb="19">
      <t>メイサイ</t>
    </rPh>
    <rPh sb="19" eb="22">
      <t>ギョウバンゴウ</t>
    </rPh>
    <phoneticPr fontId="1"/>
  </si>
  <si>
    <t>[SQL1.見積番号] + "-" + [SQL1.売上明細行番号]のゼロ埋め3桁表示</t>
    <rPh sb="37" eb="38">
      <t>ウ</t>
    </rPh>
    <rPh sb="40" eb="43">
      <t>ケタヒョウジ</t>
    </rPh>
    <phoneticPr fontId="1"/>
  </si>
  <si>
    <t>99999-001</t>
    <phoneticPr fontId="1"/>
  </si>
  <si>
    <t>[SQL1.D]が０でない場合、[SQL1.D]を表示
[SQL1.D]が０の場合、
[SQL1.D1],[SQL1.D2]がどちらも0の場合は""を表示
それ以外の場合は[SQL1.D1] + "/" + [SQL1.D2]を表示</t>
    <rPh sb="13" eb="15">
      <t>バアイ</t>
    </rPh>
    <rPh sb="25" eb="27">
      <t>ヒョウジ</t>
    </rPh>
    <rPh sb="69" eb="71">
      <t>バアイ</t>
    </rPh>
    <rPh sb="75" eb="77">
      <t>ヒョウジ</t>
    </rPh>
    <rPh sb="80" eb="82">
      <t>イガイ</t>
    </rPh>
    <rPh sb="83" eb="85">
      <t>バアイ</t>
    </rPh>
    <rPh sb="114" eb="116">
      <t>ヒョウジ</t>
    </rPh>
    <phoneticPr fontId="1"/>
  </si>
  <si>
    <t>[SQL1.H]が０でない場合、[SQL1.H]を表示
[SQL1.H]が０の場合、
[SQL1.H1],[SQL1.H2]がどちらも0の場合は""を表示
それ以外の場合は[SQL1.H1] + "/" + [SQL1.H2]を表示</t>
    <rPh sb="13" eb="15">
      <t>バアイ</t>
    </rPh>
    <rPh sb="25" eb="27">
      <t>ヒョウジ</t>
    </rPh>
    <rPh sb="69" eb="71">
      <t>バアイ</t>
    </rPh>
    <rPh sb="75" eb="77">
      <t>ヒョウジ</t>
    </rPh>
    <rPh sb="80" eb="82">
      <t>イガイ</t>
    </rPh>
    <rPh sb="83" eb="85">
      <t>バアイ</t>
    </rPh>
    <rPh sb="114" eb="116">
      <t>ヒョウジ</t>
    </rPh>
    <phoneticPr fontId="1"/>
  </si>
  <si>
    <t>SQL1.D,SQL1.D1,SQL1.D2</t>
    <phoneticPr fontId="1"/>
  </si>
  <si>
    <t>SQL1.H,SQL1.H1,SQL1.H2</t>
    <phoneticPr fontId="1"/>
  </si>
  <si>
    <t>見積番号</t>
  </si>
  <si>
    <t>.請求日付</t>
  </si>
  <si>
    <t xml:space="preserve">売上金額 </t>
  </si>
  <si>
    <t>TD見積</t>
  </si>
  <si>
    <t>TD売上明細V2</t>
  </si>
  <si>
    <t>LEFT JOIN</t>
    <phoneticPr fontId="2"/>
  </si>
  <si>
    <t>TD売上v2</t>
    <phoneticPr fontId="2"/>
  </si>
  <si>
    <t>TD売上請求H</t>
    <phoneticPr fontId="2"/>
  </si>
  <si>
    <t>TD売上請求H</t>
    <phoneticPr fontId="2"/>
  </si>
  <si>
    <t>TD見積</t>
    <phoneticPr fontId="2"/>
  </si>
  <si>
    <t>INNER JOIN</t>
    <phoneticPr fontId="2"/>
  </si>
  <si>
    <t>TD売上明細V2</t>
    <phoneticPr fontId="2"/>
  </si>
  <si>
    <t>AND</t>
    <phoneticPr fontId="2"/>
  </si>
  <si>
    <t>開始日付</t>
    <rPh sb="0" eb="2">
      <t>カイシ</t>
    </rPh>
    <rPh sb="2" eb="4">
      <t>ヒヅケ</t>
    </rPh>
    <phoneticPr fontId="1"/>
  </si>
  <si>
    <t>終了日付</t>
    <rPh sb="2" eb="4">
      <t>ヒヅケ</t>
    </rPh>
    <phoneticPr fontId="1"/>
  </si>
  <si>
    <t>画面.売上開始日付,画面.請求開始日付</t>
    <rPh sb="0" eb="2">
      <t>ガメン</t>
    </rPh>
    <rPh sb="3" eb="5">
      <t>ウリアゲ</t>
    </rPh>
    <rPh sb="5" eb="7">
      <t>カイシ</t>
    </rPh>
    <rPh sb="7" eb="9">
      <t>ヒヅケ</t>
    </rPh>
    <rPh sb="13" eb="15">
      <t>セイキュウ</t>
    </rPh>
    <phoneticPr fontId="1"/>
  </si>
  <si>
    <t>画面.売上終了日付,画面.請求終了日付</t>
    <rPh sb="0" eb="2">
      <t>ガメン</t>
    </rPh>
    <rPh sb="3" eb="5">
      <t>ウリアゲ</t>
    </rPh>
    <rPh sb="5" eb="7">
      <t>シュウリョウ</t>
    </rPh>
    <rPh sb="7" eb="9">
      <t>ヒヅケ</t>
    </rPh>
    <rPh sb="13" eb="15">
      <t>セイキュウ</t>
    </rPh>
    <phoneticPr fontId="1"/>
  </si>
  <si>
    <t>画面の入力によってどちらか決まる</t>
    <rPh sb="0" eb="2">
      <t>ガメン</t>
    </rPh>
    <rPh sb="3" eb="5">
      <t>ニュウリョク</t>
    </rPh>
    <rPh sb="13" eb="14">
      <t>キ</t>
    </rPh>
    <phoneticPr fontId="1"/>
  </si>
  <si>
    <t>TD売上v2.見積番号</t>
  </si>
  <si>
    <t>TD売上v2.売上番号</t>
  </si>
  <si>
    <t>TD売上v2.売上日付</t>
  </si>
  <si>
    <t>TD売上v2.売上日付 &gt;= COALESCE([画面.売上開始日付], TD売上v2.売上日付)</t>
    <rPh sb="25" eb="27">
      <t>ガメン</t>
    </rPh>
    <phoneticPr fontId="2"/>
  </si>
  <si>
    <t>TD売上v2.売上日付 &lt;= COALESCE([画面.売上終了日付], TD売上v2.売上日付)</t>
    <rPh sb="30" eb="32">
      <t>シュウリョウ</t>
    </rPh>
    <phoneticPr fontId="2"/>
  </si>
  <si>
    <t>TD売上請求H.請求日付</t>
  </si>
  <si>
    <t xml:space="preserve">TD売上v2.見積番号 = TD売上請求H.見積番号 </t>
  </si>
  <si>
    <t>(TD売上請求H.請求日付 &gt;= COALESCE([画面.請求開始日付], TD売上請求H.請求日付) OR ([画面.請求開始日付]IS NULL))</t>
  </si>
  <si>
    <t>(TD売上請求H.請求日付 &lt;= COALESCE([画面.請求終了日付], TD売上請求H.請求日付) OR ([画面.請求終了日付] IS NULL))</t>
  </si>
  <si>
    <t>TD見積.納入得意先CD</t>
  </si>
  <si>
    <t>TD見積.納入先CD</t>
  </si>
  <si>
    <t>TD見積.納入先名1</t>
  </si>
  <si>
    <t>TD見積.納入先名2</t>
  </si>
  <si>
    <t>TD売上v2.見積番号 = TD見積.見積番号</t>
  </si>
  <si>
    <t>TD見積.得意先CD &gt;= COALESCE([画面.得意先開始CD], TD見積.得意先CD)</t>
  </si>
  <si>
    <t>TD見積.得意先CD &lt;= COALESCE([画面.得意先終了CD], TD見積.得意先CD)</t>
  </si>
  <si>
    <t>TD売上明細V2.伝票区分</t>
  </si>
  <si>
    <t>TD売上明細V2.製品NO</t>
  </si>
  <si>
    <t>TD売上明細V2.仕様NO</t>
  </si>
  <si>
    <t>TD売上明細V2.漢字名称</t>
  </si>
  <si>
    <t>TD売上明細V2.W</t>
  </si>
  <si>
    <t>TD売上明細V2.D</t>
  </si>
  <si>
    <t>TD売上明細V2.H</t>
  </si>
  <si>
    <t>TD売上明細V2.D1</t>
  </si>
  <si>
    <t>TD売上明細V2.D2</t>
  </si>
  <si>
    <t>TD売上明細V2.H1</t>
  </si>
  <si>
    <t>TD売上明細V2.H2</t>
  </si>
  <si>
    <t>TD売上明細V2.売上数量</t>
  </si>
  <si>
    <t>TD売上明細V2.単位名</t>
  </si>
  <si>
    <t>TD売上明細V2.売上単価</t>
  </si>
  <si>
    <t xml:space="preserve">TD売上明細V2.売上金額 </t>
  </si>
  <si>
    <t>TD売上v2.売上番号 = TD売上明細V2.売上番号</t>
  </si>
  <si>
    <t>""</t>
    <phoneticPr fontId="2"/>
  </si>
  <si>
    <t>TD売上v2.外税額</t>
    <phoneticPr fontId="2"/>
  </si>
  <si>
    <t>TD売上v2.税集計区分=0</t>
    <phoneticPr fontId="2"/>
  </si>
  <si>
    <t>order by</t>
    <phoneticPr fontId="2"/>
  </si>
  <si>
    <t>TD見積.納入得意先CD</t>
    <phoneticPr fontId="2"/>
  </si>
  <si>
    <t>[TD見積.納入得意先CD]の昇順</t>
    <rPh sb="15" eb="17">
      <t>ショウジュン</t>
    </rPh>
    <phoneticPr fontId="2"/>
  </si>
  <si>
    <t>TD売上v2.売上日付</t>
    <phoneticPr fontId="2"/>
  </si>
  <si>
    <t>[TD売上v2.売上日付]の昇順</t>
    <rPh sb="14" eb="16">
      <t>ショウジュン</t>
    </rPh>
    <phoneticPr fontId="2"/>
  </si>
  <si>
    <t>売上番号</t>
    <phoneticPr fontId="2"/>
  </si>
  <si>
    <t>TD売上v2.売上番号</t>
    <phoneticPr fontId="2"/>
  </si>
  <si>
    <t>[TD売上v2.売上番号]の昇順</t>
    <rPh sb="14" eb="16">
      <t>ショウジュン</t>
    </rPh>
    <phoneticPr fontId="2"/>
  </si>
  <si>
    <t>TD売上明細V2.売上明細行番号</t>
    <phoneticPr fontId="2"/>
  </si>
  <si>
    <t>[TD売上明細V2.売上明細行番号]の昇順</t>
    <rPh sb="19" eb="21">
      <t>ショウジュン</t>
    </rPh>
    <phoneticPr fontId="2"/>
  </si>
  <si>
    <t>[9999]</t>
    <phoneticPr fontId="1"/>
  </si>
  <si>
    <t>画面からの引数が空の場合は「[最初]」を表示</t>
    <rPh sb="0" eb="2">
      <t>ガメン</t>
    </rPh>
    <rPh sb="5" eb="7">
      <t>ヒキスウ</t>
    </rPh>
    <rPh sb="8" eb="9">
      <t>カラ</t>
    </rPh>
    <rPh sb="10" eb="12">
      <t>バアイ</t>
    </rPh>
    <rPh sb="15" eb="17">
      <t>サイショ</t>
    </rPh>
    <rPh sb="20" eb="22">
      <t>ヒョウジ</t>
    </rPh>
    <phoneticPr fontId="1"/>
  </si>
  <si>
    <t>画面からの引数が空の場合は「[最後]」を表示</t>
    <rPh sb="0" eb="2">
      <t>ガメン</t>
    </rPh>
    <rPh sb="5" eb="7">
      <t>ヒキスウ</t>
    </rPh>
    <rPh sb="8" eb="9">
      <t>カラ</t>
    </rPh>
    <rPh sb="10" eb="12">
      <t>バアイ</t>
    </rPh>
    <rPh sb="15" eb="17">
      <t>サイゴ</t>
    </rPh>
    <rPh sb="20" eb="22">
      <t>ヒョウジ</t>
    </rPh>
    <phoneticPr fontId="1"/>
  </si>
  <si>
    <t>yyyy年mm月dd日</t>
    <phoneticPr fontId="1"/>
  </si>
  <si>
    <t>yyyy年mm月dd日</t>
    <phoneticPr fontId="1"/>
  </si>
  <si>
    <t>区分1</t>
    <rPh sb="0" eb="2">
      <t>クブン</t>
    </rPh>
    <phoneticPr fontId="1"/>
  </si>
  <si>
    <t>区分2</t>
    <rPh sb="0" eb="2">
      <t>クブン</t>
    </rPh>
    <phoneticPr fontId="1"/>
  </si>
  <si>
    <t>×</t>
    <phoneticPr fontId="1"/>
  </si>
  <si>
    <t>○</t>
    <phoneticPr fontId="1"/>
  </si>
  <si>
    <t>レイアウトサンプルに表示されていない項目について</t>
    <rPh sb="10" eb="12">
      <t>ヒョウジ</t>
    </rPh>
    <rPh sb="18" eb="20">
      <t>コウモク</t>
    </rPh>
    <phoneticPr fontId="2"/>
  </si>
  <si>
    <t>回答</t>
    <rPh sb="0" eb="2">
      <t>カイトウ</t>
    </rPh>
    <phoneticPr fontId="2"/>
  </si>
  <si>
    <t>〇</t>
    <phoneticPr fontId="2"/>
  </si>
  <si>
    <t>不要</t>
    <rPh sb="0" eb="2">
      <t>フヨウ</t>
    </rPh>
    <phoneticPr fontId="2"/>
  </si>
  <si>
    <t>A3横</t>
    <rPh sb="2" eb="3">
      <t>ヨコ</t>
    </rPh>
    <phoneticPr fontId="2"/>
  </si>
  <si>
    <t>受発注システム</t>
    <phoneticPr fontId="2"/>
  </si>
  <si>
    <t>受発注</t>
    <phoneticPr fontId="2"/>
  </si>
  <si>
    <t>システム分類</t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</si>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</sst>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  <font>
      <sz val="11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6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0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0" fontId="3" fillId="2" borderId="55" xfId="0" applyFont="1" applyFill="1" applyBorder="1" applyAlignment="1">
      <alignment horizontal="left" vertical="center"/>
    </xf>
    <xf numFmtId="0" fontId="3" fillId="2" borderId="56" xfId="0" applyFont="1" applyFill="1" applyBorder="1">
      <alignment vertical="center"/>
    </xf>
    <xf numFmtId="0" fontId="3" fillId="2" borderId="57" xfId="0" applyFont="1" applyFill="1" applyBorder="1">
      <alignment vertical="center"/>
    </xf>
    <xf numFmtId="0" fontId="3" fillId="2" borderId="58" xfId="0" applyFont="1" applyFill="1" applyBorder="1">
      <alignment vertical="center"/>
    </xf>
    <xf numFmtId="0" fontId="3" fillId="2" borderId="58" xfId="0" quotePrefix="1" applyFont="1" applyFill="1" applyBorder="1">
      <alignment vertical="center"/>
    </xf>
    <xf numFmtId="0" fontId="3" fillId="2" borderId="59" xfId="0" applyFont="1" applyFill="1" applyBorder="1">
      <alignment vertical="center"/>
    </xf>
    <xf numFmtId="0" fontId="3" fillId="2" borderId="60" xfId="0" applyFont="1" applyFill="1" applyBorder="1">
      <alignment vertical="center"/>
    </xf>
    <xf numFmtId="0" fontId="3" fillId="2" borderId="61" xfId="0" applyFont="1" applyFill="1" applyBorder="1">
      <alignment vertical="center"/>
    </xf>
    <xf numFmtId="0" fontId="3" fillId="2" borderId="62" xfId="0" applyFont="1" applyFill="1" applyBorder="1">
      <alignment vertical="center"/>
    </xf>
    <xf numFmtId="0" fontId="3" fillId="2" borderId="62" xfId="0" quotePrefix="1" applyFont="1" applyFill="1" applyBorder="1">
      <alignment vertical="center"/>
    </xf>
    <xf numFmtId="0" fontId="3" fillId="2" borderId="63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64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10" fillId="2" borderId="2" xfId="0" applyFont="1" applyFill="1" applyBorder="1">
      <alignment vertical="center"/>
    </xf>
    <xf numFmtId="0" fontId="10" fillId="2" borderId="62" xfId="0" applyFont="1" applyFill="1" applyBorder="1">
      <alignment vertical="center"/>
    </xf>
    <xf numFmtId="0" fontId="9" fillId="2" borderId="0" xfId="0" applyFont="1" applyFill="1" applyBorder="1">
      <alignment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62" xfId="0" applyFont="1" applyFill="1" applyBorder="1">
      <alignment vertical="center"/>
    </xf>
    <xf numFmtId="0" fontId="9" fillId="2" borderId="62" xfId="0" quotePrefix="1" applyFont="1" applyFill="1" applyBorder="1">
      <alignment vertical="center"/>
    </xf>
    <xf numFmtId="0" fontId="3" fillId="2" borderId="62" xfId="0" quotePrefix="1" applyFont="1" applyFill="1" applyBorder="1" applyAlignment="1">
      <alignment vertical="center"/>
    </xf>
    <xf numFmtId="0" fontId="3" fillId="2" borderId="67" xfId="0" applyFont="1" applyFill="1" applyBorder="1">
      <alignment vertical="center"/>
    </xf>
    <xf numFmtId="0" fontId="3" fillId="2" borderId="52" xfId="0" applyFont="1" applyFill="1" applyBorder="1">
      <alignment vertical="center"/>
    </xf>
    <xf numFmtId="0" fontId="3" fillId="2" borderId="53" xfId="0" applyFont="1" applyFill="1" applyBorder="1">
      <alignment vertical="center"/>
    </xf>
    <xf numFmtId="0" fontId="3" fillId="2" borderId="51" xfId="0" applyFont="1" applyFill="1" applyBorder="1">
      <alignment vertical="center"/>
    </xf>
    <xf numFmtId="0" fontId="3" fillId="2" borderId="68" xfId="0" applyFont="1" applyFill="1" applyBorder="1">
      <alignment vertical="center"/>
    </xf>
    <xf numFmtId="0" fontId="9" fillId="2" borderId="0" xfId="0" applyFont="1" applyFill="1">
      <alignment vertical="center"/>
    </xf>
    <xf numFmtId="0" fontId="3" fillId="2" borderId="43" xfId="0" applyFont="1" applyFill="1" applyBorder="1">
      <alignment vertical="center"/>
    </xf>
    <xf numFmtId="0" fontId="3" fillId="2" borderId="44" xfId="0" applyFont="1" applyFill="1" applyBorder="1">
      <alignment vertical="center"/>
    </xf>
    <xf numFmtId="0" fontId="3" fillId="2" borderId="45" xfId="0" applyFont="1" applyFill="1" applyBorder="1">
      <alignment vertical="center"/>
    </xf>
    <xf numFmtId="0" fontId="3" fillId="2" borderId="60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9" fillId="2" borderId="43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11" fillId="0" borderId="1" xfId="0" applyFont="1" applyBorder="1">
      <alignment vertical="center"/>
    </xf>
    <xf numFmtId="0" fontId="3" fillId="5" borderId="17" xfId="0" applyFont="1" applyFill="1" applyBorder="1" applyAlignment="1">
      <alignment vertical="center" wrapText="1"/>
    </xf>
    <xf numFmtId="0" fontId="3" fillId="5" borderId="18" xfId="0" applyFont="1" applyFill="1" applyBorder="1" applyAlignment="1">
      <alignment vertical="center" wrapText="1"/>
    </xf>
    <xf numFmtId="0" fontId="3" fillId="5" borderId="22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/>
    </xf>
    <xf numFmtId="0" fontId="3" fillId="2" borderId="23" xfId="0" applyFont="1" applyFill="1" applyBorder="1" applyAlignment="1">
      <alignment vertical="center"/>
    </xf>
    <xf numFmtId="0" fontId="3" fillId="2" borderId="31" xfId="0" applyFont="1" applyFill="1" applyBorder="1" applyAlignment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14" fontId="3" fillId="2" borderId="50" xfId="0" applyNumberFormat="1" applyFont="1" applyFill="1" applyBorder="1" applyAlignment="1">
      <alignment horizontal="center" vertical="center" shrinkToFit="1"/>
    </xf>
    <xf numFmtId="0" fontId="3" fillId="2" borderId="50" xfId="0" applyFont="1" applyFill="1" applyBorder="1" applyAlignment="1">
      <alignment horizontal="center" vertical="center" shrinkToFit="1"/>
    </xf>
    <xf numFmtId="0" fontId="3" fillId="2" borderId="48" xfId="0" applyFont="1" applyFill="1" applyBorder="1" applyAlignment="1">
      <alignment horizontal="center" vertical="center" shrinkToFit="1"/>
    </xf>
    <xf numFmtId="0" fontId="3" fillId="2" borderId="54" xfId="0" applyFont="1" applyFill="1" applyBorder="1" applyAlignment="1">
      <alignment horizontal="center" vertical="center" shrinkToFit="1"/>
    </xf>
    <xf numFmtId="0" fontId="3" fillId="3" borderId="42" xfId="0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 shrinkToFit="1"/>
    </xf>
    <xf numFmtId="0" fontId="3" fillId="2" borderId="52" xfId="0" applyFont="1" applyFill="1" applyBorder="1" applyAlignment="1">
      <alignment horizontal="center" vertical="center" shrinkToFit="1"/>
    </xf>
    <xf numFmtId="0" fontId="3" fillId="2" borderId="53" xfId="0" applyFont="1" applyFill="1" applyBorder="1" applyAlignment="1">
      <alignment horizontal="center" vertical="center" shrinkToFit="1"/>
    </xf>
    <xf numFmtId="0" fontId="3" fillId="3" borderId="41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 shrinkToFit="1"/>
    </xf>
    <xf numFmtId="0" fontId="3" fillId="2" borderId="49" xfId="0" applyFont="1" applyFill="1" applyBorder="1" applyAlignment="1">
      <alignment horizontal="center" vertical="center" shrinkToFit="1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179294</xdr:colOff>
      <xdr:row>10</xdr:row>
      <xdr:rowOff>26894</xdr:rowOff>
    </xdr:from>
    <xdr:to>
      <xdr:col>63</xdr:col>
      <xdr:colOff>98546</xdr:colOff>
      <xdr:row>36</xdr:row>
      <xdr:rowOff>53788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7882" y="2160494"/>
          <a:ext cx="16871511" cy="6553200"/>
        </a:xfrm>
        <a:prstGeom prst="rect">
          <a:avLst/>
        </a:prstGeom>
      </xdr:spPr>
    </xdr:pic>
    <xdr:clientData/>
  </xdr:twoCellAnchor>
  <xdr:twoCellAnchor>
    <xdr:from>
      <xdr:col>56</xdr:col>
      <xdr:colOff>89647</xdr:colOff>
      <xdr:row>15</xdr:row>
      <xdr:rowOff>116542</xdr:rowOff>
    </xdr:from>
    <xdr:to>
      <xdr:col>57</xdr:col>
      <xdr:colOff>152399</xdr:colOff>
      <xdr:row>16</xdr:row>
      <xdr:rowOff>188260</xdr:rowOff>
    </xdr:to>
    <xdr:sp macro="" textlink="">
      <xdr:nvSpPr>
        <xdr:cNvPr id="3" name="正方形/長方形 2"/>
        <xdr:cNvSpPr/>
      </xdr:nvSpPr>
      <xdr:spPr>
        <a:xfrm>
          <a:off x="15455153" y="350520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50</xdr:col>
      <xdr:colOff>-1</xdr:colOff>
      <xdr:row>12</xdr:row>
      <xdr:rowOff>134471</xdr:rowOff>
    </xdr:from>
    <xdr:to>
      <xdr:col>51</xdr:col>
      <xdr:colOff>62752</xdr:colOff>
      <xdr:row>13</xdr:row>
      <xdr:rowOff>206190</xdr:rowOff>
    </xdr:to>
    <xdr:sp macro="" textlink="">
      <xdr:nvSpPr>
        <xdr:cNvPr id="5" name="正方形/長方形 4"/>
        <xdr:cNvSpPr/>
      </xdr:nvSpPr>
      <xdr:spPr>
        <a:xfrm>
          <a:off x="13698070" y="2770095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14</xdr:col>
      <xdr:colOff>0</xdr:colOff>
      <xdr:row>13</xdr:row>
      <xdr:rowOff>71719</xdr:rowOff>
    </xdr:from>
    <xdr:to>
      <xdr:col>15</xdr:col>
      <xdr:colOff>62752</xdr:colOff>
      <xdr:row>14</xdr:row>
      <xdr:rowOff>143437</xdr:rowOff>
    </xdr:to>
    <xdr:sp macro="" textlink="">
      <xdr:nvSpPr>
        <xdr:cNvPr id="6" name="正方形/長方形 5"/>
        <xdr:cNvSpPr/>
      </xdr:nvSpPr>
      <xdr:spPr>
        <a:xfrm>
          <a:off x="3693459" y="295835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8</xdr:col>
      <xdr:colOff>134471</xdr:colOff>
      <xdr:row>13</xdr:row>
      <xdr:rowOff>80683</xdr:rowOff>
    </xdr:from>
    <xdr:to>
      <xdr:col>9</xdr:col>
      <xdr:colOff>197224</xdr:colOff>
      <xdr:row>14</xdr:row>
      <xdr:rowOff>152401</xdr:rowOff>
    </xdr:to>
    <xdr:sp macro="" textlink="">
      <xdr:nvSpPr>
        <xdr:cNvPr id="7" name="正方形/長方形 6"/>
        <xdr:cNvSpPr/>
      </xdr:nvSpPr>
      <xdr:spPr>
        <a:xfrm>
          <a:off x="2160495" y="2967318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14</xdr:col>
      <xdr:colOff>0</xdr:colOff>
      <xdr:row>12</xdr:row>
      <xdr:rowOff>17929</xdr:rowOff>
    </xdr:from>
    <xdr:to>
      <xdr:col>15</xdr:col>
      <xdr:colOff>62752</xdr:colOff>
      <xdr:row>13</xdr:row>
      <xdr:rowOff>89648</xdr:rowOff>
    </xdr:to>
    <xdr:sp macro="" textlink="">
      <xdr:nvSpPr>
        <xdr:cNvPr id="8" name="正方形/長方形 7"/>
        <xdr:cNvSpPr/>
      </xdr:nvSpPr>
      <xdr:spPr>
        <a:xfrm>
          <a:off x="3693459" y="2653553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8</xdr:col>
      <xdr:colOff>134470</xdr:colOff>
      <xdr:row>12</xdr:row>
      <xdr:rowOff>26895</xdr:rowOff>
    </xdr:from>
    <xdr:to>
      <xdr:col>9</xdr:col>
      <xdr:colOff>197223</xdr:colOff>
      <xdr:row>13</xdr:row>
      <xdr:rowOff>98614</xdr:rowOff>
    </xdr:to>
    <xdr:sp macro="" textlink="">
      <xdr:nvSpPr>
        <xdr:cNvPr id="9" name="正方形/長方形 8"/>
        <xdr:cNvSpPr/>
      </xdr:nvSpPr>
      <xdr:spPr>
        <a:xfrm>
          <a:off x="2160494" y="2662519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15</xdr:col>
      <xdr:colOff>197223</xdr:colOff>
      <xdr:row>15</xdr:row>
      <xdr:rowOff>116542</xdr:rowOff>
    </xdr:from>
    <xdr:to>
      <xdr:col>16</xdr:col>
      <xdr:colOff>259975</xdr:colOff>
      <xdr:row>16</xdr:row>
      <xdr:rowOff>188260</xdr:rowOff>
    </xdr:to>
    <xdr:sp macro="" textlink="">
      <xdr:nvSpPr>
        <xdr:cNvPr id="10" name="正方形/長方形 9"/>
        <xdr:cNvSpPr/>
      </xdr:nvSpPr>
      <xdr:spPr>
        <a:xfrm>
          <a:off x="4168588" y="350520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7</xdr:col>
      <xdr:colOff>116541</xdr:colOff>
      <xdr:row>15</xdr:row>
      <xdr:rowOff>116542</xdr:rowOff>
    </xdr:from>
    <xdr:to>
      <xdr:col>8</xdr:col>
      <xdr:colOff>179293</xdr:colOff>
      <xdr:row>16</xdr:row>
      <xdr:rowOff>188260</xdr:rowOff>
    </xdr:to>
    <xdr:sp macro="" textlink="">
      <xdr:nvSpPr>
        <xdr:cNvPr id="11" name="正方形/長方形 10"/>
        <xdr:cNvSpPr/>
      </xdr:nvSpPr>
      <xdr:spPr>
        <a:xfrm>
          <a:off x="1864659" y="350520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</xdr:col>
      <xdr:colOff>152400</xdr:colOff>
      <xdr:row>15</xdr:row>
      <xdr:rowOff>116542</xdr:rowOff>
    </xdr:from>
    <xdr:to>
      <xdr:col>6</xdr:col>
      <xdr:colOff>215152</xdr:colOff>
      <xdr:row>16</xdr:row>
      <xdr:rowOff>188260</xdr:rowOff>
    </xdr:to>
    <xdr:sp macro="" textlink="">
      <xdr:nvSpPr>
        <xdr:cNvPr id="12" name="正方形/長方形 11"/>
        <xdr:cNvSpPr/>
      </xdr:nvSpPr>
      <xdr:spPr>
        <a:xfrm>
          <a:off x="1344706" y="350520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</xdr:col>
      <xdr:colOff>224119</xdr:colOff>
      <xdr:row>15</xdr:row>
      <xdr:rowOff>116542</xdr:rowOff>
    </xdr:from>
    <xdr:to>
      <xdr:col>5</xdr:col>
      <xdr:colOff>8965</xdr:colOff>
      <xdr:row>16</xdr:row>
      <xdr:rowOff>188260</xdr:rowOff>
    </xdr:to>
    <xdr:sp macro="" textlink="">
      <xdr:nvSpPr>
        <xdr:cNvPr id="13" name="正方形/長方形 12"/>
        <xdr:cNvSpPr/>
      </xdr:nvSpPr>
      <xdr:spPr>
        <a:xfrm>
          <a:off x="860613" y="350520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53</xdr:col>
      <xdr:colOff>143436</xdr:colOff>
      <xdr:row>15</xdr:row>
      <xdr:rowOff>116542</xdr:rowOff>
    </xdr:from>
    <xdr:to>
      <xdr:col>54</xdr:col>
      <xdr:colOff>206188</xdr:colOff>
      <xdr:row>16</xdr:row>
      <xdr:rowOff>188260</xdr:rowOff>
    </xdr:to>
    <xdr:sp macro="" textlink="">
      <xdr:nvSpPr>
        <xdr:cNvPr id="14" name="正方形/長方形 13"/>
        <xdr:cNvSpPr/>
      </xdr:nvSpPr>
      <xdr:spPr>
        <a:xfrm>
          <a:off x="14675224" y="350520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26</xdr:col>
      <xdr:colOff>62753</xdr:colOff>
      <xdr:row>15</xdr:row>
      <xdr:rowOff>116542</xdr:rowOff>
    </xdr:from>
    <xdr:to>
      <xdr:col>27</xdr:col>
      <xdr:colOff>125505</xdr:colOff>
      <xdr:row>16</xdr:row>
      <xdr:rowOff>188260</xdr:rowOff>
    </xdr:to>
    <xdr:sp macro="" textlink="">
      <xdr:nvSpPr>
        <xdr:cNvPr id="15" name="正方形/長方形 14"/>
        <xdr:cNvSpPr/>
      </xdr:nvSpPr>
      <xdr:spPr>
        <a:xfrm>
          <a:off x="7091082" y="350520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23</xdr:col>
      <xdr:colOff>35858</xdr:colOff>
      <xdr:row>15</xdr:row>
      <xdr:rowOff>116542</xdr:rowOff>
    </xdr:from>
    <xdr:to>
      <xdr:col>24</xdr:col>
      <xdr:colOff>98610</xdr:colOff>
      <xdr:row>16</xdr:row>
      <xdr:rowOff>188260</xdr:rowOff>
    </xdr:to>
    <xdr:sp macro="" textlink="">
      <xdr:nvSpPr>
        <xdr:cNvPr id="16" name="正方形/長方形 15"/>
        <xdr:cNvSpPr/>
      </xdr:nvSpPr>
      <xdr:spPr>
        <a:xfrm>
          <a:off x="6230470" y="350520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18</xdr:col>
      <xdr:colOff>251013</xdr:colOff>
      <xdr:row>15</xdr:row>
      <xdr:rowOff>116542</xdr:rowOff>
    </xdr:from>
    <xdr:to>
      <xdr:col>20</xdr:col>
      <xdr:colOff>35859</xdr:colOff>
      <xdr:row>16</xdr:row>
      <xdr:rowOff>188260</xdr:rowOff>
    </xdr:to>
    <xdr:sp macro="" textlink="">
      <xdr:nvSpPr>
        <xdr:cNvPr id="17" name="正方形/長方形 16"/>
        <xdr:cNvSpPr/>
      </xdr:nvSpPr>
      <xdr:spPr>
        <a:xfrm>
          <a:off x="5056095" y="350520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27</xdr:col>
      <xdr:colOff>125505</xdr:colOff>
      <xdr:row>15</xdr:row>
      <xdr:rowOff>116542</xdr:rowOff>
    </xdr:from>
    <xdr:to>
      <xdr:col>28</xdr:col>
      <xdr:colOff>188257</xdr:colOff>
      <xdr:row>16</xdr:row>
      <xdr:rowOff>188260</xdr:rowOff>
    </xdr:to>
    <xdr:sp macro="" textlink="">
      <xdr:nvSpPr>
        <xdr:cNvPr id="18" name="正方形/長方形 17"/>
        <xdr:cNvSpPr/>
      </xdr:nvSpPr>
      <xdr:spPr>
        <a:xfrm>
          <a:off x="7431740" y="350520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26</xdr:col>
      <xdr:colOff>62753</xdr:colOff>
      <xdr:row>16</xdr:row>
      <xdr:rowOff>107576</xdr:rowOff>
    </xdr:from>
    <xdr:to>
      <xdr:col>27</xdr:col>
      <xdr:colOff>125505</xdr:colOff>
      <xdr:row>17</xdr:row>
      <xdr:rowOff>179295</xdr:rowOff>
    </xdr:to>
    <xdr:sp macro="" textlink="">
      <xdr:nvSpPr>
        <xdr:cNvPr id="19" name="正方形/長方形 18"/>
        <xdr:cNvSpPr/>
      </xdr:nvSpPr>
      <xdr:spPr>
        <a:xfrm>
          <a:off x="7091082" y="3747247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40</xdr:col>
      <xdr:colOff>125506</xdr:colOff>
      <xdr:row>15</xdr:row>
      <xdr:rowOff>116542</xdr:rowOff>
    </xdr:from>
    <xdr:to>
      <xdr:col>41</xdr:col>
      <xdr:colOff>188258</xdr:colOff>
      <xdr:row>16</xdr:row>
      <xdr:rowOff>188260</xdr:rowOff>
    </xdr:to>
    <xdr:sp macro="" textlink="">
      <xdr:nvSpPr>
        <xdr:cNvPr id="20" name="正方形/長方形 19"/>
        <xdr:cNvSpPr/>
      </xdr:nvSpPr>
      <xdr:spPr>
        <a:xfrm>
          <a:off x="11044518" y="350520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37</xdr:col>
      <xdr:colOff>134471</xdr:colOff>
      <xdr:row>15</xdr:row>
      <xdr:rowOff>116542</xdr:rowOff>
    </xdr:from>
    <xdr:to>
      <xdr:col>38</xdr:col>
      <xdr:colOff>197223</xdr:colOff>
      <xdr:row>16</xdr:row>
      <xdr:rowOff>188260</xdr:rowOff>
    </xdr:to>
    <xdr:sp macro="" textlink="">
      <xdr:nvSpPr>
        <xdr:cNvPr id="21" name="正方形/長方形 20"/>
        <xdr:cNvSpPr/>
      </xdr:nvSpPr>
      <xdr:spPr>
        <a:xfrm>
          <a:off x="10219765" y="350520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34</xdr:col>
      <xdr:colOff>8965</xdr:colOff>
      <xdr:row>15</xdr:row>
      <xdr:rowOff>107578</xdr:rowOff>
    </xdr:from>
    <xdr:to>
      <xdr:col>35</xdr:col>
      <xdr:colOff>71717</xdr:colOff>
      <xdr:row>16</xdr:row>
      <xdr:rowOff>179296</xdr:rowOff>
    </xdr:to>
    <xdr:sp macro="" textlink="">
      <xdr:nvSpPr>
        <xdr:cNvPr id="22" name="正方形/長方形 21"/>
        <xdr:cNvSpPr/>
      </xdr:nvSpPr>
      <xdr:spPr>
        <a:xfrm>
          <a:off x="9260541" y="3496237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49</xdr:col>
      <xdr:colOff>80682</xdr:colOff>
      <xdr:row>15</xdr:row>
      <xdr:rowOff>116542</xdr:rowOff>
    </xdr:from>
    <xdr:to>
      <xdr:col>50</xdr:col>
      <xdr:colOff>143434</xdr:colOff>
      <xdr:row>16</xdr:row>
      <xdr:rowOff>188260</xdr:rowOff>
    </xdr:to>
    <xdr:sp macro="" textlink="">
      <xdr:nvSpPr>
        <xdr:cNvPr id="23" name="正方形/長方形 22"/>
        <xdr:cNvSpPr/>
      </xdr:nvSpPr>
      <xdr:spPr>
        <a:xfrm>
          <a:off x="13500847" y="350520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45</xdr:col>
      <xdr:colOff>242048</xdr:colOff>
      <xdr:row>15</xdr:row>
      <xdr:rowOff>116542</xdr:rowOff>
    </xdr:from>
    <xdr:to>
      <xdr:col>47</xdr:col>
      <xdr:colOff>26894</xdr:colOff>
      <xdr:row>16</xdr:row>
      <xdr:rowOff>188260</xdr:rowOff>
    </xdr:to>
    <xdr:sp macro="" textlink="">
      <xdr:nvSpPr>
        <xdr:cNvPr id="24" name="正方形/長方形 23"/>
        <xdr:cNvSpPr/>
      </xdr:nvSpPr>
      <xdr:spPr>
        <a:xfrm>
          <a:off x="12550589" y="350520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43</xdr:col>
      <xdr:colOff>242048</xdr:colOff>
      <xdr:row>15</xdr:row>
      <xdr:rowOff>116542</xdr:rowOff>
    </xdr:from>
    <xdr:to>
      <xdr:col>45</xdr:col>
      <xdr:colOff>26894</xdr:colOff>
      <xdr:row>16</xdr:row>
      <xdr:rowOff>188260</xdr:rowOff>
    </xdr:to>
    <xdr:sp macro="" textlink="">
      <xdr:nvSpPr>
        <xdr:cNvPr id="25" name="正方形/長方形 24"/>
        <xdr:cNvSpPr/>
      </xdr:nvSpPr>
      <xdr:spPr>
        <a:xfrm>
          <a:off x="11994777" y="350520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52</xdr:col>
      <xdr:colOff>107577</xdr:colOff>
      <xdr:row>33</xdr:row>
      <xdr:rowOff>89648</xdr:rowOff>
    </xdr:from>
    <xdr:to>
      <xdr:col>53</xdr:col>
      <xdr:colOff>170329</xdr:colOff>
      <xdr:row>34</xdr:row>
      <xdr:rowOff>161367</xdr:rowOff>
    </xdr:to>
    <xdr:sp macro="" textlink="">
      <xdr:nvSpPr>
        <xdr:cNvPr id="26" name="正方形/長方形 25"/>
        <xdr:cNvSpPr/>
      </xdr:nvSpPr>
      <xdr:spPr>
        <a:xfrm>
          <a:off x="14361459" y="7996519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52</xdr:col>
      <xdr:colOff>107577</xdr:colOff>
      <xdr:row>34</xdr:row>
      <xdr:rowOff>152402</xdr:rowOff>
    </xdr:from>
    <xdr:to>
      <xdr:col>53</xdr:col>
      <xdr:colOff>170329</xdr:colOff>
      <xdr:row>35</xdr:row>
      <xdr:rowOff>224120</xdr:rowOff>
    </xdr:to>
    <xdr:sp macro="" textlink="">
      <xdr:nvSpPr>
        <xdr:cNvPr id="27" name="正方形/長方形 26"/>
        <xdr:cNvSpPr/>
      </xdr:nvSpPr>
      <xdr:spPr>
        <a:xfrm>
          <a:off x="14361459" y="831028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7</xdr:col>
      <xdr:colOff>116541</xdr:colOff>
      <xdr:row>16</xdr:row>
      <xdr:rowOff>107577</xdr:rowOff>
    </xdr:from>
    <xdr:to>
      <xdr:col>8</xdr:col>
      <xdr:colOff>179293</xdr:colOff>
      <xdr:row>17</xdr:row>
      <xdr:rowOff>179296</xdr:rowOff>
    </xdr:to>
    <xdr:sp macro="" textlink="">
      <xdr:nvSpPr>
        <xdr:cNvPr id="28" name="正方形/長方形 27"/>
        <xdr:cNvSpPr/>
      </xdr:nvSpPr>
      <xdr:spPr>
        <a:xfrm>
          <a:off x="1864659" y="3747248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472440</xdr:colOff>
      <xdr:row>1</xdr:row>
      <xdr:rowOff>121920</xdr:rowOff>
    </xdr:from>
    <xdr:to>
      <xdr:col>17</xdr:col>
      <xdr:colOff>66304</xdr:colOff>
      <xdr:row>14</xdr:row>
      <xdr:rowOff>36598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" y="350520"/>
          <a:ext cx="10993384" cy="2886478"/>
        </a:xfrm>
        <a:prstGeom prst="rect">
          <a:avLst/>
        </a:prstGeom>
      </xdr:spPr>
    </xdr:pic>
    <xdr:clientData/>
  </xdr:twoCellAnchor>
  <xdr:twoCellAnchor>
    <xdr:from>
      <xdr:col>14</xdr:col>
      <xdr:colOff>396240</xdr:colOff>
      <xdr:row>4</xdr:row>
      <xdr:rowOff>152400</xdr:rowOff>
    </xdr:from>
    <xdr:to>
      <xdr:col>17</xdr:col>
      <xdr:colOff>60960</xdr:colOff>
      <xdr:row>9</xdr:row>
      <xdr:rowOff>30480</xdr:rowOff>
    </xdr:to>
    <xdr:sp macro="" textlink="">
      <xdr:nvSpPr>
        <xdr:cNvPr id="3" name="正方形/長方形 2"/>
        <xdr:cNvSpPr/>
      </xdr:nvSpPr>
      <xdr:spPr>
        <a:xfrm>
          <a:off x="9784080" y="1066800"/>
          <a:ext cx="1676400" cy="102108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18</xdr:col>
      <xdr:colOff>422655</xdr:colOff>
      <xdr:row>37</xdr:row>
      <xdr:rowOff>67833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11822175" cy="82974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36" t="s">
        <v>0</v>
      </c>
      <c r="C2" s="137"/>
      <c r="D2" s="137"/>
      <c r="E2" s="137"/>
      <c r="F2" s="137"/>
      <c r="G2" s="137"/>
      <c r="H2" s="137" t="s">
        <v>17</v>
      </c>
      <c r="I2" s="137"/>
      <c r="J2" s="137"/>
      <c r="K2" s="137"/>
      <c r="L2" s="137" t="s">
        <v>254</v>
      </c>
      <c r="M2" s="137"/>
      <c r="N2" s="137"/>
      <c r="O2" s="137"/>
      <c r="P2" s="137"/>
      <c r="Q2" s="137"/>
      <c r="R2" s="137" t="s">
        <v>2</v>
      </c>
      <c r="S2" s="137"/>
      <c r="T2" s="137"/>
      <c r="U2" s="137"/>
      <c r="V2" s="137"/>
      <c r="W2" s="137"/>
      <c r="X2" s="138" t="s">
        <v>3</v>
      </c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40"/>
      <c r="AK2" s="138" t="s">
        <v>31</v>
      </c>
      <c r="AL2" s="139"/>
      <c r="AM2" s="139"/>
      <c r="AN2" s="139"/>
      <c r="AO2" s="139"/>
      <c r="AP2" s="139"/>
      <c r="AQ2" s="139"/>
      <c r="AR2" s="139"/>
      <c r="AS2" s="139"/>
      <c r="AT2" s="139"/>
      <c r="AU2" s="139"/>
      <c r="AV2" s="139"/>
      <c r="AW2" s="140"/>
      <c r="AX2" s="137" t="s">
        <v>5</v>
      </c>
      <c r="AY2" s="137"/>
      <c r="AZ2" s="137"/>
      <c r="BA2" s="137"/>
      <c r="BB2" s="137" t="s">
        <v>4</v>
      </c>
      <c r="BC2" s="137"/>
      <c r="BD2" s="137"/>
      <c r="BE2" s="137"/>
      <c r="BF2" s="137" t="s">
        <v>6</v>
      </c>
      <c r="BG2" s="137"/>
      <c r="BH2" s="137"/>
      <c r="BI2" s="137"/>
      <c r="BJ2" s="137" t="s">
        <v>7</v>
      </c>
      <c r="BK2" s="137"/>
      <c r="BL2" s="137"/>
      <c r="BM2" s="151"/>
      <c r="BN2" s="14"/>
    </row>
    <row r="3" spans="1:66" ht="20.100000000000001" customHeight="1" x14ac:dyDescent="0.45">
      <c r="A3" s="8"/>
      <c r="B3" s="141" t="s">
        <v>252</v>
      </c>
      <c r="C3" s="142"/>
      <c r="D3" s="142"/>
      <c r="E3" s="142"/>
      <c r="F3" s="142"/>
      <c r="G3" s="142"/>
      <c r="H3" s="142" t="str">
        <f ca="1">LEFT($X$3,FIND("_",$X$3)-1)</f>
        <v>UN0300</v>
      </c>
      <c r="I3" s="142"/>
      <c r="J3" s="142"/>
      <c r="K3" s="142"/>
      <c r="L3" s="142" t="s">
        <v>253</v>
      </c>
      <c r="M3" s="142"/>
      <c r="N3" s="142"/>
      <c r="O3" s="142"/>
      <c r="P3" s="142"/>
      <c r="Q3" s="142"/>
      <c r="R3" s="145" t="str">
        <f ca="1">MID($X$3,FIND("_",$X$3,FIND("_",$X$3)+1)+1,LEN($X$3)-FIND("_",$X$3,FIND("_",$X$3)+1))</f>
        <v>帳票設計書</v>
      </c>
      <c r="S3" s="142"/>
      <c r="T3" s="142"/>
      <c r="U3" s="142"/>
      <c r="V3" s="142"/>
      <c r="W3" s="142"/>
      <c r="X3" s="146" t="str">
        <f ca="1">REPLACE(LEFT(CELL("filename",$B$2),FIND(".x",CELL("filename",$B$2))-1),1,FIND("[",CELL("filename",$B$2)),)</f>
        <v>UN0300_売上日計表_帳票設計書</v>
      </c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3"/>
      <c r="AK3" s="146" t="str">
        <f ca="1">MID($X$3,FIND("_",$X$3)+1,FIND("_",$X$3,FIND("_",$X$3)+1)-FIND("_",$X$3)-1)</f>
        <v>売上日計表</v>
      </c>
      <c r="AL3" s="147"/>
      <c r="AM3" s="147"/>
      <c r="AN3" s="147"/>
      <c r="AO3" s="147"/>
      <c r="AP3" s="147"/>
      <c r="AQ3" s="147"/>
      <c r="AR3" s="147"/>
      <c r="AS3" s="147"/>
      <c r="AT3" s="147"/>
      <c r="AU3" s="147"/>
      <c r="AV3" s="147"/>
      <c r="AW3" s="143"/>
      <c r="AX3" s="153">
        <v>45583</v>
      </c>
      <c r="AY3" s="142"/>
      <c r="AZ3" s="142"/>
      <c r="BA3" s="142"/>
      <c r="BB3" s="142" t="s">
        <v>255</v>
      </c>
      <c r="BC3" s="142"/>
      <c r="BD3" s="142"/>
      <c r="BE3" s="142"/>
      <c r="BF3" s="153">
        <v>45583</v>
      </c>
      <c r="BG3" s="142"/>
      <c r="BH3" s="142"/>
      <c r="BI3" s="142"/>
      <c r="BJ3" s="142" t="s">
        <v>255</v>
      </c>
      <c r="BK3" s="142"/>
      <c r="BL3" s="142"/>
      <c r="BM3" s="154"/>
      <c r="BN3" s="14"/>
    </row>
    <row r="4" spans="1:66" ht="20.100000000000001" customHeight="1" thickBot="1" x14ac:dyDescent="0.5">
      <c r="A4" s="8"/>
      <c r="B4" s="143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8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50"/>
      <c r="AK4" s="148"/>
      <c r="AL4" s="149"/>
      <c r="AM4" s="149"/>
      <c r="AN4" s="149"/>
      <c r="AO4" s="149"/>
      <c r="AP4" s="149"/>
      <c r="AQ4" s="149"/>
      <c r="AR4" s="149"/>
      <c r="AS4" s="149"/>
      <c r="AT4" s="149"/>
      <c r="AU4" s="149"/>
      <c r="AV4" s="149"/>
      <c r="AW4" s="150"/>
      <c r="AX4" s="144"/>
      <c r="AY4" s="144"/>
      <c r="AZ4" s="144"/>
      <c r="BA4" s="144"/>
      <c r="BB4" s="144"/>
      <c r="BC4" s="144"/>
      <c r="BD4" s="144"/>
      <c r="BE4" s="144"/>
      <c r="BF4" s="144"/>
      <c r="BG4" s="144"/>
      <c r="BH4" s="144"/>
      <c r="BI4" s="144"/>
      <c r="BJ4" s="144"/>
      <c r="BK4" s="144"/>
      <c r="BL4" s="144"/>
      <c r="BM4" s="146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52" t="s">
        <v>8</v>
      </c>
      <c r="D8" s="152"/>
      <c r="E8" s="152"/>
      <c r="F8" s="152"/>
      <c r="G8" s="152" t="s">
        <v>9</v>
      </c>
      <c r="H8" s="152"/>
      <c r="I8" s="152"/>
      <c r="J8" s="152"/>
      <c r="K8" s="152" t="s">
        <v>10</v>
      </c>
      <c r="L8" s="152"/>
      <c r="M8" s="152"/>
      <c r="N8" s="152"/>
      <c r="O8" s="152" t="s">
        <v>11</v>
      </c>
      <c r="P8" s="152"/>
      <c r="Q8" s="152"/>
      <c r="R8" s="152"/>
      <c r="S8" s="152"/>
      <c r="T8" s="152"/>
      <c r="U8" s="152"/>
      <c r="V8" s="152"/>
      <c r="W8" s="152"/>
      <c r="X8" s="152"/>
      <c r="Y8" s="152" t="s">
        <v>12</v>
      </c>
      <c r="Z8" s="152"/>
      <c r="AA8" s="152"/>
      <c r="AB8" s="152"/>
      <c r="AC8" s="152"/>
      <c r="AD8" s="152"/>
      <c r="AE8" s="152"/>
      <c r="AF8" s="152"/>
      <c r="AG8" s="152"/>
      <c r="AH8" s="152"/>
      <c r="AI8" s="152"/>
      <c r="AJ8" s="152"/>
      <c r="AK8" s="152"/>
      <c r="AL8" s="152"/>
      <c r="AM8" s="152"/>
      <c r="AN8" s="152"/>
      <c r="AO8" s="152"/>
      <c r="AP8" s="152"/>
      <c r="AQ8" s="152"/>
      <c r="AR8" s="152"/>
      <c r="AS8" s="152"/>
      <c r="AT8" s="152"/>
      <c r="AU8" s="152"/>
      <c r="AV8" s="152"/>
      <c r="AW8" s="152"/>
      <c r="AX8" s="152"/>
      <c r="AY8" s="152"/>
      <c r="AZ8" s="152"/>
      <c r="BA8" s="152"/>
      <c r="BB8" s="152"/>
      <c r="BC8" s="152"/>
      <c r="BD8" s="152"/>
      <c r="BE8" s="152"/>
      <c r="BF8" s="152"/>
      <c r="BG8" s="152"/>
      <c r="BH8" s="152"/>
      <c r="BI8" s="152"/>
      <c r="BJ8" s="152"/>
      <c r="BK8" s="152"/>
      <c r="BL8" s="152"/>
      <c r="BM8" s="7"/>
      <c r="BN8" s="14"/>
    </row>
    <row r="9" spans="1:66" ht="20.100000000000001" customHeight="1" x14ac:dyDescent="0.45">
      <c r="A9" s="8"/>
      <c r="B9" s="7"/>
      <c r="C9" s="155">
        <v>45583</v>
      </c>
      <c r="D9" s="156"/>
      <c r="E9" s="156"/>
      <c r="F9" s="157"/>
      <c r="G9" s="158" t="s">
        <v>16</v>
      </c>
      <c r="H9" s="159"/>
      <c r="I9" s="159"/>
      <c r="J9" s="160"/>
      <c r="K9" s="161" t="s">
        <v>255</v>
      </c>
      <c r="L9" s="156"/>
      <c r="M9" s="156"/>
      <c r="N9" s="157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55"/>
      <c r="D10" s="156"/>
      <c r="E10" s="156"/>
      <c r="F10" s="157"/>
      <c r="G10" s="158"/>
      <c r="H10" s="159"/>
      <c r="I10" s="159"/>
      <c r="J10" s="160"/>
      <c r="K10" s="161"/>
      <c r="L10" s="156"/>
      <c r="M10" s="156"/>
      <c r="N10" s="157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55"/>
      <c r="D11" s="156"/>
      <c r="E11" s="156"/>
      <c r="F11" s="157"/>
      <c r="G11" s="158"/>
      <c r="H11" s="159"/>
      <c r="I11" s="159"/>
      <c r="J11" s="160"/>
      <c r="K11" s="161"/>
      <c r="L11" s="156"/>
      <c r="M11" s="156"/>
      <c r="N11" s="157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155"/>
      <c r="D36" s="156"/>
      <c r="E36" s="156"/>
      <c r="F36" s="157"/>
      <c r="G36" s="158"/>
      <c r="H36" s="159"/>
      <c r="I36" s="159"/>
      <c r="J36" s="160"/>
      <c r="K36" s="161"/>
      <c r="L36" s="156"/>
      <c r="M36" s="156"/>
      <c r="N36" s="157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55"/>
      <c r="D37" s="156"/>
      <c r="E37" s="156"/>
      <c r="F37" s="157"/>
      <c r="G37" s="158"/>
      <c r="H37" s="159"/>
      <c r="I37" s="159"/>
      <c r="J37" s="160"/>
      <c r="K37" s="161"/>
      <c r="L37" s="156"/>
      <c r="M37" s="156"/>
      <c r="N37" s="157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55"/>
      <c r="D38" s="156"/>
      <c r="E38" s="156"/>
      <c r="F38" s="157"/>
      <c r="G38" s="158"/>
      <c r="H38" s="159"/>
      <c r="I38" s="159"/>
      <c r="J38" s="160"/>
      <c r="K38" s="161"/>
      <c r="L38" s="156"/>
      <c r="M38" s="156"/>
      <c r="N38" s="157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55"/>
      <c r="D39" s="156"/>
      <c r="E39" s="156"/>
      <c r="F39" s="157"/>
      <c r="G39" s="158"/>
      <c r="H39" s="159"/>
      <c r="I39" s="159"/>
      <c r="J39" s="160"/>
      <c r="K39" s="161"/>
      <c r="L39" s="156"/>
      <c r="M39" s="156"/>
      <c r="N39" s="157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55"/>
      <c r="D40" s="156"/>
      <c r="E40" s="156"/>
      <c r="F40" s="157"/>
      <c r="G40" s="158"/>
      <c r="H40" s="159"/>
      <c r="I40" s="159"/>
      <c r="J40" s="160"/>
      <c r="K40" s="161"/>
      <c r="L40" s="156"/>
      <c r="M40" s="156"/>
      <c r="N40" s="157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55"/>
      <c r="D41" s="156"/>
      <c r="E41" s="156"/>
      <c r="F41" s="157"/>
      <c r="G41" s="158"/>
      <c r="H41" s="159"/>
      <c r="I41" s="159"/>
      <c r="J41" s="160"/>
      <c r="K41" s="161"/>
      <c r="L41" s="156"/>
      <c r="M41" s="156"/>
      <c r="N41" s="157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55"/>
      <c r="D42" s="156"/>
      <c r="E42" s="156"/>
      <c r="F42" s="157"/>
      <c r="G42" s="158"/>
      <c r="H42" s="159"/>
      <c r="I42" s="159"/>
      <c r="J42" s="160"/>
      <c r="K42" s="161"/>
      <c r="L42" s="156"/>
      <c r="M42" s="156"/>
      <c r="N42" s="157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55"/>
      <c r="D43" s="156"/>
      <c r="E43" s="156"/>
      <c r="F43" s="157"/>
      <c r="G43" s="158"/>
      <c r="H43" s="159"/>
      <c r="I43" s="159"/>
      <c r="J43" s="160"/>
      <c r="K43" s="161"/>
      <c r="L43" s="156"/>
      <c r="M43" s="156"/>
      <c r="N43" s="157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55"/>
      <c r="D44" s="156"/>
      <c r="E44" s="156"/>
      <c r="F44" s="157"/>
      <c r="G44" s="158"/>
      <c r="H44" s="159"/>
      <c r="I44" s="159"/>
      <c r="J44" s="160"/>
      <c r="K44" s="161"/>
      <c r="L44" s="156"/>
      <c r="M44" s="156"/>
      <c r="N44" s="157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55"/>
      <c r="D45" s="156"/>
      <c r="E45" s="156"/>
      <c r="F45" s="157"/>
      <c r="G45" s="158"/>
      <c r="H45" s="159"/>
      <c r="I45" s="159"/>
      <c r="J45" s="160"/>
      <c r="K45" s="161"/>
      <c r="L45" s="156"/>
      <c r="M45" s="156"/>
      <c r="N45" s="157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55"/>
      <c r="D46" s="156"/>
      <c r="E46" s="156"/>
      <c r="F46" s="157"/>
      <c r="G46" s="158"/>
      <c r="H46" s="159"/>
      <c r="I46" s="159"/>
      <c r="J46" s="160"/>
      <c r="K46" s="161"/>
      <c r="L46" s="156"/>
      <c r="M46" s="156"/>
      <c r="N46" s="157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55"/>
      <c r="D47" s="156"/>
      <c r="E47" s="156"/>
      <c r="F47" s="157"/>
      <c r="G47" s="158"/>
      <c r="H47" s="159"/>
      <c r="I47" s="159"/>
      <c r="J47" s="160"/>
      <c r="K47" s="161"/>
      <c r="L47" s="156"/>
      <c r="M47" s="156"/>
      <c r="N47" s="157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136" t="s">
        <v>0</v>
      </c>
      <c r="C2" s="137"/>
      <c r="D2" s="137"/>
      <c r="E2" s="137"/>
      <c r="F2" s="137"/>
      <c r="G2" s="137"/>
      <c r="H2" s="137" t="s">
        <v>17</v>
      </c>
      <c r="I2" s="137"/>
      <c r="J2" s="137"/>
      <c r="K2" s="137"/>
      <c r="L2" s="137" t="s">
        <v>254</v>
      </c>
      <c r="M2" s="137"/>
      <c r="N2" s="137"/>
      <c r="O2" s="137"/>
      <c r="P2" s="137"/>
      <c r="Q2" s="137"/>
      <c r="R2" s="137" t="s">
        <v>2</v>
      </c>
      <c r="S2" s="137"/>
      <c r="T2" s="137"/>
      <c r="U2" s="137"/>
      <c r="V2" s="137"/>
      <c r="W2" s="137"/>
      <c r="X2" s="138" t="s">
        <v>3</v>
      </c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40"/>
      <c r="AK2" s="138" t="s">
        <v>32</v>
      </c>
      <c r="AL2" s="139"/>
      <c r="AM2" s="139"/>
      <c r="AN2" s="139"/>
      <c r="AO2" s="139"/>
      <c r="AP2" s="139"/>
      <c r="AQ2" s="139"/>
      <c r="AR2" s="139"/>
      <c r="AS2" s="139"/>
      <c r="AT2" s="139"/>
      <c r="AU2" s="139"/>
      <c r="AV2" s="139"/>
      <c r="AW2" s="140"/>
      <c r="AX2" s="137" t="s">
        <v>5</v>
      </c>
      <c r="AY2" s="137"/>
      <c r="AZ2" s="137"/>
      <c r="BA2" s="137"/>
      <c r="BB2" s="137" t="s">
        <v>4</v>
      </c>
      <c r="BC2" s="137"/>
      <c r="BD2" s="137"/>
      <c r="BE2" s="137"/>
      <c r="BF2" s="137" t="s">
        <v>6</v>
      </c>
      <c r="BG2" s="137"/>
      <c r="BH2" s="137"/>
      <c r="BI2" s="137"/>
      <c r="BJ2" s="137" t="s">
        <v>7</v>
      </c>
      <c r="BK2" s="137"/>
      <c r="BL2" s="137"/>
      <c r="BM2" s="151"/>
      <c r="BN2" s="35"/>
    </row>
    <row r="3" spans="1:66" ht="20.100000000000001" customHeight="1" x14ac:dyDescent="0.45">
      <c r="A3" s="32"/>
      <c r="B3" s="141" t="str">
        <f>変更履歴!B3</f>
        <v>受発注システム</v>
      </c>
      <c r="C3" s="142"/>
      <c r="D3" s="142"/>
      <c r="E3" s="142"/>
      <c r="F3" s="142"/>
      <c r="G3" s="142"/>
      <c r="H3" s="142" t="str">
        <f ca="1">変更履歴!H3</f>
        <v>UN0300</v>
      </c>
      <c r="I3" s="142"/>
      <c r="J3" s="142"/>
      <c r="K3" s="142"/>
      <c r="L3" s="142" t="str">
        <f>変更履歴!L3</f>
        <v>受発注</v>
      </c>
      <c r="M3" s="142"/>
      <c r="N3" s="142"/>
      <c r="O3" s="142"/>
      <c r="P3" s="142"/>
      <c r="Q3" s="142"/>
      <c r="R3" s="142" t="str">
        <f ca="1">変更履歴!R3</f>
        <v>帳票設計書</v>
      </c>
      <c r="S3" s="142"/>
      <c r="T3" s="142"/>
      <c r="U3" s="142"/>
      <c r="V3" s="142"/>
      <c r="W3" s="142"/>
      <c r="X3" s="146" t="str">
        <f ca="1">変更履歴!X3</f>
        <v>UN0300_売上日計表_帳票設計書</v>
      </c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3"/>
      <c r="AK3" s="146" t="str">
        <f ca="1">変更履歴!AK3</f>
        <v>売上日計表</v>
      </c>
      <c r="AL3" s="147"/>
      <c r="AM3" s="147"/>
      <c r="AN3" s="147"/>
      <c r="AO3" s="147"/>
      <c r="AP3" s="147"/>
      <c r="AQ3" s="147"/>
      <c r="AR3" s="147"/>
      <c r="AS3" s="147"/>
      <c r="AT3" s="147"/>
      <c r="AU3" s="147"/>
      <c r="AV3" s="147"/>
      <c r="AW3" s="143"/>
      <c r="AX3" s="153">
        <f>変更履歴!AX3</f>
        <v>45583</v>
      </c>
      <c r="AY3" s="153"/>
      <c r="AZ3" s="153"/>
      <c r="BA3" s="153"/>
      <c r="BB3" s="142" t="str">
        <f>変更履歴!BB3</f>
        <v>大谷</v>
      </c>
      <c r="BC3" s="142"/>
      <c r="BD3" s="142"/>
      <c r="BE3" s="142"/>
      <c r="BF3" s="153">
        <f>変更履歴!BF3</f>
        <v>45583</v>
      </c>
      <c r="BG3" s="153"/>
      <c r="BH3" s="153"/>
      <c r="BI3" s="153"/>
      <c r="BJ3" s="142" t="str">
        <f>変更履歴!BJ3</f>
        <v>大谷</v>
      </c>
      <c r="BK3" s="142"/>
      <c r="BL3" s="142"/>
      <c r="BM3" s="154"/>
      <c r="BN3" s="35"/>
    </row>
    <row r="4" spans="1:66" ht="20.100000000000001" customHeight="1" thickBot="1" x14ac:dyDescent="0.5">
      <c r="A4" s="32"/>
      <c r="B4" s="143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8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50"/>
      <c r="AK4" s="148"/>
      <c r="AL4" s="149"/>
      <c r="AM4" s="149"/>
      <c r="AN4" s="149"/>
      <c r="AO4" s="149"/>
      <c r="AP4" s="149"/>
      <c r="AQ4" s="149"/>
      <c r="AR4" s="149"/>
      <c r="AS4" s="149"/>
      <c r="AT4" s="149"/>
      <c r="AU4" s="149"/>
      <c r="AV4" s="149"/>
      <c r="AW4" s="150"/>
      <c r="AX4" s="162"/>
      <c r="AY4" s="162"/>
      <c r="AZ4" s="162"/>
      <c r="BA4" s="162"/>
      <c r="BB4" s="144"/>
      <c r="BC4" s="144"/>
      <c r="BD4" s="144"/>
      <c r="BE4" s="144"/>
      <c r="BF4" s="162"/>
      <c r="BG4" s="162"/>
      <c r="BH4" s="162"/>
      <c r="BI4" s="162"/>
      <c r="BJ4" s="144"/>
      <c r="BK4" s="144"/>
      <c r="BL4" s="144"/>
      <c r="BM4" s="146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22</v>
      </c>
      <c r="E7" s="47"/>
      <c r="F7" s="47"/>
      <c r="G7" s="67"/>
      <c r="H7" s="48" t="str">
        <f ca="1">AK3</f>
        <v>売上日計表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25</v>
      </c>
      <c r="E8" s="50"/>
      <c r="F8" s="50"/>
      <c r="G8" s="56"/>
      <c r="H8" s="51" t="s">
        <v>90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23</v>
      </c>
      <c r="E9" s="50"/>
      <c r="F9" s="50"/>
      <c r="G9" s="56"/>
      <c r="H9" s="51" t="s">
        <v>92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26</v>
      </c>
      <c r="E10" s="50"/>
      <c r="F10" s="50"/>
      <c r="G10" s="56"/>
      <c r="H10" s="54" t="s">
        <v>91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27</v>
      </c>
      <c r="E11" s="50"/>
      <c r="F11" s="50"/>
      <c r="G11" s="56"/>
      <c r="H11" s="54" t="s">
        <v>93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28</v>
      </c>
      <c r="E12" s="50"/>
      <c r="F12" s="50"/>
      <c r="G12" s="56"/>
      <c r="H12" s="54" t="s">
        <v>94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29</v>
      </c>
      <c r="E13" s="50"/>
      <c r="F13" s="50"/>
      <c r="G13" s="56"/>
      <c r="H13" s="54" t="s">
        <v>90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30</v>
      </c>
      <c r="E14" s="50"/>
      <c r="F14" s="50"/>
      <c r="G14" s="56"/>
      <c r="H14" s="51" t="s">
        <v>90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44</v>
      </c>
      <c r="E15" s="50"/>
      <c r="F15" s="50"/>
      <c r="G15" s="56"/>
      <c r="H15" s="54" t="s">
        <v>251</v>
      </c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21</v>
      </c>
      <c r="E16" s="53"/>
      <c r="F16" s="53"/>
      <c r="G16" s="68"/>
      <c r="H16" s="54"/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48"/>
  <sheetViews>
    <sheetView showGridLines="0" view="pageBreakPreview" zoomScale="85" zoomScaleNormal="100" zoomScaleSheetLayoutView="85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36" t="s">
        <v>0</v>
      </c>
      <c r="C2" s="137"/>
      <c r="D2" s="137"/>
      <c r="E2" s="137"/>
      <c r="F2" s="137"/>
      <c r="G2" s="137"/>
      <c r="H2" s="137" t="s">
        <v>17</v>
      </c>
      <c r="I2" s="137"/>
      <c r="J2" s="137"/>
      <c r="K2" s="137"/>
      <c r="L2" s="137" t="s">
        <v>254</v>
      </c>
      <c r="M2" s="137"/>
      <c r="N2" s="137"/>
      <c r="O2" s="137"/>
      <c r="P2" s="137"/>
      <c r="Q2" s="137"/>
      <c r="R2" s="137" t="s">
        <v>2</v>
      </c>
      <c r="S2" s="137"/>
      <c r="T2" s="137"/>
      <c r="U2" s="137"/>
      <c r="V2" s="137"/>
      <c r="W2" s="137"/>
      <c r="X2" s="138" t="s">
        <v>3</v>
      </c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40"/>
      <c r="AK2" s="138" t="s">
        <v>32</v>
      </c>
      <c r="AL2" s="139"/>
      <c r="AM2" s="139"/>
      <c r="AN2" s="139"/>
      <c r="AO2" s="139"/>
      <c r="AP2" s="139"/>
      <c r="AQ2" s="139"/>
      <c r="AR2" s="139"/>
      <c r="AS2" s="139"/>
      <c r="AT2" s="139"/>
      <c r="AU2" s="139"/>
      <c r="AV2" s="139"/>
      <c r="AW2" s="140"/>
      <c r="AX2" s="137" t="s">
        <v>5</v>
      </c>
      <c r="AY2" s="137"/>
      <c r="AZ2" s="137"/>
      <c r="BA2" s="137"/>
      <c r="BB2" s="137" t="s">
        <v>4</v>
      </c>
      <c r="BC2" s="137"/>
      <c r="BD2" s="137"/>
      <c r="BE2" s="137"/>
      <c r="BF2" s="137" t="s">
        <v>6</v>
      </c>
      <c r="BG2" s="137"/>
      <c r="BH2" s="137"/>
      <c r="BI2" s="137"/>
      <c r="BJ2" s="137" t="s">
        <v>7</v>
      </c>
      <c r="BK2" s="137"/>
      <c r="BL2" s="137"/>
      <c r="BM2" s="151"/>
      <c r="BN2" s="15"/>
    </row>
    <row r="3" spans="1:66" ht="20.100000000000001" customHeight="1" x14ac:dyDescent="0.45">
      <c r="A3" s="9"/>
      <c r="B3" s="141" t="str">
        <f>変更履歴!B3</f>
        <v>受発注システム</v>
      </c>
      <c r="C3" s="142"/>
      <c r="D3" s="142"/>
      <c r="E3" s="142"/>
      <c r="F3" s="142"/>
      <c r="G3" s="142"/>
      <c r="H3" s="142" t="str">
        <f ca="1">変更履歴!H3</f>
        <v>UN0300</v>
      </c>
      <c r="I3" s="142"/>
      <c r="J3" s="142"/>
      <c r="K3" s="142"/>
      <c r="L3" s="142" t="str">
        <f>変更履歴!L3</f>
        <v>受発注</v>
      </c>
      <c r="M3" s="142"/>
      <c r="N3" s="142"/>
      <c r="O3" s="142"/>
      <c r="P3" s="142"/>
      <c r="Q3" s="142"/>
      <c r="R3" s="142" t="str">
        <f ca="1">変更履歴!R3</f>
        <v>帳票設計書</v>
      </c>
      <c r="S3" s="142"/>
      <c r="T3" s="142"/>
      <c r="U3" s="142"/>
      <c r="V3" s="142"/>
      <c r="W3" s="142"/>
      <c r="X3" s="146" t="str">
        <f ca="1">変更履歴!X3</f>
        <v>UN0300_売上日計表_帳票設計書</v>
      </c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3"/>
      <c r="AK3" s="146" t="str">
        <f ca="1">変更履歴!AK3</f>
        <v>売上日計表</v>
      </c>
      <c r="AL3" s="147"/>
      <c r="AM3" s="147"/>
      <c r="AN3" s="147"/>
      <c r="AO3" s="147"/>
      <c r="AP3" s="147"/>
      <c r="AQ3" s="147"/>
      <c r="AR3" s="147"/>
      <c r="AS3" s="147"/>
      <c r="AT3" s="147"/>
      <c r="AU3" s="147"/>
      <c r="AV3" s="147"/>
      <c r="AW3" s="143"/>
      <c r="AX3" s="153">
        <f>変更履歴!AX3</f>
        <v>45583</v>
      </c>
      <c r="AY3" s="153"/>
      <c r="AZ3" s="153"/>
      <c r="BA3" s="153"/>
      <c r="BB3" s="142" t="str">
        <f>変更履歴!BB3</f>
        <v>大谷</v>
      </c>
      <c r="BC3" s="142"/>
      <c r="BD3" s="142"/>
      <c r="BE3" s="142"/>
      <c r="BF3" s="153">
        <f>変更履歴!BF3</f>
        <v>45583</v>
      </c>
      <c r="BG3" s="153"/>
      <c r="BH3" s="153"/>
      <c r="BI3" s="153"/>
      <c r="BJ3" s="142" t="str">
        <f>変更履歴!BJ3</f>
        <v>大谷</v>
      </c>
      <c r="BK3" s="142"/>
      <c r="BL3" s="142"/>
      <c r="BM3" s="154"/>
      <c r="BN3" s="15"/>
    </row>
    <row r="4" spans="1:66" ht="20.100000000000001" customHeight="1" thickBot="1" x14ac:dyDescent="0.5">
      <c r="A4" s="9"/>
      <c r="B4" s="143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8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50"/>
      <c r="AK4" s="148"/>
      <c r="AL4" s="149"/>
      <c r="AM4" s="149"/>
      <c r="AN4" s="149"/>
      <c r="AO4" s="149"/>
      <c r="AP4" s="149"/>
      <c r="AQ4" s="149"/>
      <c r="AR4" s="149"/>
      <c r="AS4" s="149"/>
      <c r="AT4" s="149"/>
      <c r="AU4" s="149"/>
      <c r="AV4" s="149"/>
      <c r="AW4" s="150"/>
      <c r="AX4" s="162"/>
      <c r="AY4" s="162"/>
      <c r="AZ4" s="162"/>
      <c r="BA4" s="162"/>
      <c r="BB4" s="144"/>
      <c r="BC4" s="144"/>
      <c r="BD4" s="144"/>
      <c r="BE4" s="144"/>
      <c r="BF4" s="162"/>
      <c r="BG4" s="162"/>
      <c r="BH4" s="162"/>
      <c r="BI4" s="162"/>
      <c r="BJ4" s="144"/>
      <c r="BK4" s="144"/>
      <c r="BL4" s="144"/>
      <c r="BM4" s="146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 x14ac:dyDescent="0.45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 x14ac:dyDescent="0.5">
      <c r="B47" s="2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28"/>
    </row>
    <row r="48" spans="1:66" ht="20.100000000000001" customHeight="1" thickTop="1" x14ac:dyDescent="0.45"/>
  </sheetData>
  <mergeCells count="20">
    <mergeCell ref="BJ3:BM4"/>
    <mergeCell ref="BF3:BI4"/>
    <mergeCell ref="BB3:BE4"/>
    <mergeCell ref="AX3:BA4"/>
    <mergeCell ref="R3:W4"/>
    <mergeCell ref="X3:AJ4"/>
    <mergeCell ref="AK3:AW4"/>
    <mergeCell ref="B2:G2"/>
    <mergeCell ref="B3:G4"/>
    <mergeCell ref="H2:K2"/>
    <mergeCell ref="L2:Q2"/>
    <mergeCell ref="R2:W2"/>
    <mergeCell ref="L3:Q4"/>
    <mergeCell ref="H3:K4"/>
    <mergeCell ref="BB2:BE2"/>
    <mergeCell ref="BF2:BI2"/>
    <mergeCell ref="BJ2:BM2"/>
    <mergeCell ref="AX2:BA2"/>
    <mergeCell ref="X2:AJ2"/>
    <mergeCell ref="AK2:AW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G58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 x14ac:dyDescent="0.45">
      <c r="A2" s="9"/>
      <c r="B2" s="136" t="s">
        <v>0</v>
      </c>
      <c r="C2" s="137"/>
      <c r="D2" s="137"/>
      <c r="E2" s="137"/>
      <c r="F2" s="137"/>
      <c r="G2" s="137"/>
      <c r="H2" s="137" t="s">
        <v>17</v>
      </c>
      <c r="I2" s="137"/>
      <c r="J2" s="137"/>
      <c r="K2" s="137"/>
      <c r="L2" s="137" t="s">
        <v>254</v>
      </c>
      <c r="M2" s="137"/>
      <c r="N2" s="137"/>
      <c r="O2" s="137"/>
      <c r="P2" s="137"/>
      <c r="Q2" s="137"/>
      <c r="R2" s="137" t="s">
        <v>2</v>
      </c>
      <c r="S2" s="137"/>
      <c r="T2" s="137"/>
      <c r="U2" s="137"/>
      <c r="V2" s="137"/>
      <c r="W2" s="137"/>
      <c r="X2" s="138" t="s">
        <v>3</v>
      </c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40"/>
      <c r="AK2" s="138" t="s">
        <v>32</v>
      </c>
      <c r="AL2" s="139"/>
      <c r="AM2" s="139"/>
      <c r="AN2" s="139"/>
      <c r="AO2" s="139"/>
      <c r="AP2" s="139"/>
      <c r="AQ2" s="139"/>
      <c r="AR2" s="139"/>
      <c r="AS2" s="139"/>
      <c r="AT2" s="139"/>
      <c r="AU2" s="139"/>
      <c r="AV2" s="139"/>
      <c r="AW2" s="140"/>
      <c r="AX2" s="137" t="s">
        <v>5</v>
      </c>
      <c r="AY2" s="137"/>
      <c r="AZ2" s="137"/>
      <c r="BA2" s="137"/>
      <c r="BB2" s="137" t="s">
        <v>4</v>
      </c>
      <c r="BC2" s="137"/>
      <c r="BD2" s="137"/>
      <c r="BE2" s="137"/>
      <c r="BF2" s="137" t="s">
        <v>6</v>
      </c>
      <c r="BG2" s="137"/>
      <c r="BH2" s="137"/>
      <c r="BI2" s="137"/>
      <c r="BJ2" s="137" t="s">
        <v>7</v>
      </c>
      <c r="BK2" s="137"/>
      <c r="BL2" s="137"/>
      <c r="BM2" s="151"/>
      <c r="BN2" s="15"/>
    </row>
    <row r="3" spans="1:85" ht="20.100000000000001" customHeight="1" x14ac:dyDescent="0.45">
      <c r="A3" s="9"/>
      <c r="B3" s="141" t="str">
        <f>変更履歴!B3</f>
        <v>受発注システム</v>
      </c>
      <c r="C3" s="142"/>
      <c r="D3" s="142"/>
      <c r="E3" s="142"/>
      <c r="F3" s="142"/>
      <c r="G3" s="142"/>
      <c r="H3" s="142" t="str">
        <f ca="1">変更履歴!H3</f>
        <v>UN0300</v>
      </c>
      <c r="I3" s="142"/>
      <c r="J3" s="142"/>
      <c r="K3" s="142"/>
      <c r="L3" s="142" t="str">
        <f>変更履歴!L3</f>
        <v>受発注</v>
      </c>
      <c r="M3" s="142"/>
      <c r="N3" s="142"/>
      <c r="O3" s="142"/>
      <c r="P3" s="142"/>
      <c r="Q3" s="142"/>
      <c r="R3" s="142" t="str">
        <f ca="1">変更履歴!R3</f>
        <v>帳票設計書</v>
      </c>
      <c r="S3" s="142"/>
      <c r="T3" s="142"/>
      <c r="U3" s="142"/>
      <c r="V3" s="142"/>
      <c r="W3" s="142"/>
      <c r="X3" s="146" t="str">
        <f ca="1">変更履歴!X3</f>
        <v>UN0300_売上日計表_帳票設計書</v>
      </c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3"/>
      <c r="AK3" s="146" t="str">
        <f ca="1">変更履歴!AK3</f>
        <v>売上日計表</v>
      </c>
      <c r="AL3" s="147"/>
      <c r="AM3" s="147"/>
      <c r="AN3" s="147"/>
      <c r="AO3" s="147"/>
      <c r="AP3" s="147"/>
      <c r="AQ3" s="147"/>
      <c r="AR3" s="147"/>
      <c r="AS3" s="147"/>
      <c r="AT3" s="147"/>
      <c r="AU3" s="147"/>
      <c r="AV3" s="147"/>
      <c r="AW3" s="143"/>
      <c r="AX3" s="153">
        <f>変更履歴!AX3</f>
        <v>45583</v>
      </c>
      <c r="AY3" s="153"/>
      <c r="AZ3" s="153"/>
      <c r="BA3" s="153"/>
      <c r="BB3" s="142" t="str">
        <f>変更履歴!BB3</f>
        <v>大谷</v>
      </c>
      <c r="BC3" s="142"/>
      <c r="BD3" s="142"/>
      <c r="BE3" s="142"/>
      <c r="BF3" s="153">
        <f>変更履歴!BF3</f>
        <v>45583</v>
      </c>
      <c r="BG3" s="153"/>
      <c r="BH3" s="153"/>
      <c r="BI3" s="153"/>
      <c r="BJ3" s="142" t="str">
        <f>変更履歴!BJ3</f>
        <v>大谷</v>
      </c>
      <c r="BK3" s="142"/>
      <c r="BL3" s="142"/>
      <c r="BM3" s="154"/>
      <c r="BN3" s="15"/>
    </row>
    <row r="4" spans="1:85" ht="20.100000000000001" customHeight="1" thickBot="1" x14ac:dyDescent="0.5">
      <c r="A4" s="9"/>
      <c r="B4" s="143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8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50"/>
      <c r="AK4" s="148"/>
      <c r="AL4" s="149"/>
      <c r="AM4" s="149"/>
      <c r="AN4" s="149"/>
      <c r="AO4" s="149"/>
      <c r="AP4" s="149"/>
      <c r="AQ4" s="149"/>
      <c r="AR4" s="149"/>
      <c r="AS4" s="149"/>
      <c r="AT4" s="149"/>
      <c r="AU4" s="149"/>
      <c r="AV4" s="149"/>
      <c r="AW4" s="150"/>
      <c r="AX4" s="162"/>
      <c r="AY4" s="162"/>
      <c r="AZ4" s="162"/>
      <c r="BA4" s="162"/>
      <c r="BB4" s="144"/>
      <c r="BC4" s="144"/>
      <c r="BD4" s="144"/>
      <c r="BE4" s="144"/>
      <c r="BF4" s="162"/>
      <c r="BG4" s="162"/>
      <c r="BH4" s="162"/>
      <c r="BI4" s="162"/>
      <c r="BJ4" s="144"/>
      <c r="BK4" s="144"/>
      <c r="BL4" s="144"/>
      <c r="BM4" s="146"/>
      <c r="BN4" s="15"/>
    </row>
    <row r="5" spans="1:8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 x14ac:dyDescent="0.5">
      <c r="A7" s="31"/>
      <c r="B7" s="45" t="s">
        <v>18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 x14ac:dyDescent="0.5">
      <c r="A9" s="30"/>
      <c r="B9" s="35"/>
      <c r="C9" s="39" t="s">
        <v>46</v>
      </c>
      <c r="D9" s="34"/>
      <c r="E9" s="34"/>
      <c r="F9" s="88" t="s">
        <v>52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 x14ac:dyDescent="0.45">
      <c r="A10" s="30"/>
      <c r="B10" s="44"/>
      <c r="C10" s="32"/>
      <c r="D10" s="38" t="s">
        <v>19</v>
      </c>
      <c r="E10" s="185" t="s">
        <v>20</v>
      </c>
      <c r="F10" s="186"/>
      <c r="G10" s="186"/>
      <c r="H10" s="186"/>
      <c r="I10" s="186"/>
      <c r="J10" s="186"/>
      <c r="K10" s="186"/>
      <c r="L10" s="187"/>
      <c r="M10" s="166" t="s">
        <v>24</v>
      </c>
      <c r="N10" s="167"/>
      <c r="O10" s="167"/>
      <c r="P10" s="166" t="s">
        <v>33</v>
      </c>
      <c r="Q10" s="167"/>
      <c r="R10" s="167"/>
      <c r="S10" s="166" t="s">
        <v>34</v>
      </c>
      <c r="T10" s="167"/>
      <c r="U10" s="167"/>
      <c r="V10" s="166" t="s">
        <v>36</v>
      </c>
      <c r="W10" s="167"/>
      <c r="X10" s="167"/>
      <c r="Y10" s="167"/>
      <c r="Z10" s="167"/>
      <c r="AA10" s="168"/>
      <c r="AB10" s="166" t="s">
        <v>35</v>
      </c>
      <c r="AC10" s="167"/>
      <c r="AD10" s="167"/>
      <c r="AE10" s="167"/>
      <c r="AF10" s="167"/>
      <c r="AG10" s="167"/>
      <c r="AH10" s="167"/>
      <c r="AI10" s="167"/>
      <c r="AJ10" s="167"/>
      <c r="AK10" s="167"/>
      <c r="AL10" s="167"/>
      <c r="AM10" s="167"/>
      <c r="AN10" s="167"/>
      <c r="AO10" s="167"/>
      <c r="AP10" s="167"/>
      <c r="AQ10" s="168"/>
      <c r="AR10" s="166" t="s">
        <v>42</v>
      </c>
      <c r="AS10" s="167"/>
      <c r="AT10" s="167"/>
      <c r="AU10" s="167"/>
      <c r="AV10" s="167"/>
      <c r="AW10" s="168"/>
      <c r="AX10" s="166" t="s">
        <v>243</v>
      </c>
      <c r="AY10" s="168"/>
      <c r="AZ10" s="166" t="s">
        <v>244</v>
      </c>
      <c r="BA10" s="168"/>
      <c r="BB10" s="129" t="s">
        <v>43</v>
      </c>
      <c r="BC10" s="130"/>
      <c r="BD10" s="130"/>
      <c r="BE10" s="130"/>
      <c r="BF10" s="130"/>
      <c r="BG10" s="130"/>
      <c r="BH10" s="130"/>
      <c r="BI10" s="130"/>
      <c r="BJ10" s="130"/>
      <c r="BK10" s="130"/>
      <c r="BL10" s="130"/>
      <c r="BM10" s="130"/>
      <c r="BN10" s="130"/>
      <c r="BO10" s="130"/>
      <c r="BP10" s="130"/>
      <c r="BQ10" s="130"/>
      <c r="BR10" s="130"/>
      <c r="BS10" s="130"/>
      <c r="BT10" s="131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20.100000000000001" customHeight="1" x14ac:dyDescent="0.45">
      <c r="A11" s="30"/>
      <c r="B11" s="44"/>
      <c r="C11" s="32"/>
      <c r="D11" s="37">
        <v>1</v>
      </c>
      <c r="E11" s="182" t="s">
        <v>96</v>
      </c>
      <c r="F11" s="183"/>
      <c r="G11" s="183"/>
      <c r="H11" s="183"/>
      <c r="I11" s="183"/>
      <c r="J11" s="183"/>
      <c r="K11" s="183"/>
      <c r="L11" s="184"/>
      <c r="M11" s="161" t="s">
        <v>47</v>
      </c>
      <c r="N11" s="156"/>
      <c r="O11" s="156"/>
      <c r="P11" s="161" t="s">
        <v>128</v>
      </c>
      <c r="Q11" s="156"/>
      <c r="R11" s="156"/>
      <c r="S11" s="161"/>
      <c r="T11" s="156"/>
      <c r="U11" s="156"/>
      <c r="V11" s="176" t="s">
        <v>166</v>
      </c>
      <c r="W11" s="177"/>
      <c r="X11" s="177"/>
      <c r="Y11" s="177"/>
      <c r="Z11" s="177"/>
      <c r="AA11" s="178"/>
      <c r="AB11" s="169" t="s">
        <v>239</v>
      </c>
      <c r="AC11" s="170"/>
      <c r="AD11" s="170"/>
      <c r="AE11" s="170"/>
      <c r="AF11" s="170"/>
      <c r="AG11" s="170"/>
      <c r="AH11" s="170"/>
      <c r="AI11" s="170"/>
      <c r="AJ11" s="170"/>
      <c r="AK11" s="170"/>
      <c r="AL11" s="170"/>
      <c r="AM11" s="170"/>
      <c r="AN11" s="170"/>
      <c r="AO11" s="170"/>
      <c r="AP11" s="170"/>
      <c r="AQ11" s="171"/>
      <c r="AR11" s="161" t="s">
        <v>238</v>
      </c>
      <c r="AS11" s="156"/>
      <c r="AT11" s="156"/>
      <c r="AU11" s="156"/>
      <c r="AV11" s="156"/>
      <c r="AW11" s="157"/>
      <c r="AX11" s="161"/>
      <c r="AY11" s="157"/>
      <c r="AZ11" s="161"/>
      <c r="BA11" s="157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  <c r="BQ11" s="51"/>
      <c r="BR11" s="51"/>
      <c r="BS11" s="51"/>
      <c r="BT11" s="133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20.100000000000001" customHeight="1" x14ac:dyDescent="0.45">
      <c r="A12" s="30"/>
      <c r="B12" s="44"/>
      <c r="C12" s="32"/>
      <c r="D12" s="37">
        <v>2</v>
      </c>
      <c r="E12" s="182" t="s">
        <v>97</v>
      </c>
      <c r="F12" s="183"/>
      <c r="G12" s="183"/>
      <c r="H12" s="183"/>
      <c r="I12" s="183"/>
      <c r="J12" s="183"/>
      <c r="K12" s="183"/>
      <c r="L12" s="184"/>
      <c r="M12" s="161" t="s">
        <v>47</v>
      </c>
      <c r="N12" s="156"/>
      <c r="O12" s="156"/>
      <c r="P12" s="161" t="s">
        <v>128</v>
      </c>
      <c r="Q12" s="156"/>
      <c r="R12" s="156"/>
      <c r="S12" s="161"/>
      <c r="T12" s="156"/>
      <c r="U12" s="156"/>
      <c r="V12" s="176" t="s">
        <v>167</v>
      </c>
      <c r="W12" s="177"/>
      <c r="X12" s="177"/>
      <c r="Y12" s="177"/>
      <c r="Z12" s="177"/>
      <c r="AA12" s="178"/>
      <c r="AB12" s="169" t="s">
        <v>240</v>
      </c>
      <c r="AC12" s="170"/>
      <c r="AD12" s="170"/>
      <c r="AE12" s="170"/>
      <c r="AF12" s="170"/>
      <c r="AG12" s="170"/>
      <c r="AH12" s="170"/>
      <c r="AI12" s="170"/>
      <c r="AJ12" s="170"/>
      <c r="AK12" s="170"/>
      <c r="AL12" s="170"/>
      <c r="AM12" s="170"/>
      <c r="AN12" s="170"/>
      <c r="AO12" s="170"/>
      <c r="AP12" s="170"/>
      <c r="AQ12" s="171"/>
      <c r="AR12" s="161" t="s">
        <v>238</v>
      </c>
      <c r="AS12" s="156"/>
      <c r="AT12" s="156"/>
      <c r="AU12" s="156"/>
      <c r="AV12" s="156"/>
      <c r="AW12" s="157"/>
      <c r="AX12" s="161"/>
      <c r="AY12" s="157"/>
      <c r="AZ12" s="161"/>
      <c r="BA12" s="157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  <c r="BQ12" s="51"/>
      <c r="BR12" s="51"/>
      <c r="BS12" s="51"/>
      <c r="BT12" s="133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 x14ac:dyDescent="0.45">
      <c r="A13" s="30"/>
      <c r="B13" s="44"/>
      <c r="C13" s="36"/>
      <c r="D13" s="37">
        <v>3</v>
      </c>
      <c r="E13" s="182" t="s">
        <v>188</v>
      </c>
      <c r="F13" s="183"/>
      <c r="G13" s="183"/>
      <c r="H13" s="183"/>
      <c r="I13" s="183"/>
      <c r="J13" s="183"/>
      <c r="K13" s="183"/>
      <c r="L13" s="184"/>
      <c r="M13" s="161" t="s">
        <v>8</v>
      </c>
      <c r="N13" s="156"/>
      <c r="O13" s="156"/>
      <c r="P13" s="161" t="s">
        <v>128</v>
      </c>
      <c r="Q13" s="156"/>
      <c r="R13" s="156"/>
      <c r="S13" s="161"/>
      <c r="T13" s="156"/>
      <c r="U13" s="156"/>
      <c r="V13" s="176" t="s">
        <v>190</v>
      </c>
      <c r="W13" s="177"/>
      <c r="X13" s="177"/>
      <c r="Y13" s="177"/>
      <c r="Z13" s="177"/>
      <c r="AA13" s="178"/>
      <c r="AB13" s="169" t="s">
        <v>192</v>
      </c>
      <c r="AC13" s="170"/>
      <c r="AD13" s="170"/>
      <c r="AE13" s="170"/>
      <c r="AF13" s="170"/>
      <c r="AG13" s="170"/>
      <c r="AH13" s="170"/>
      <c r="AI13" s="170"/>
      <c r="AJ13" s="170"/>
      <c r="AK13" s="170"/>
      <c r="AL13" s="170"/>
      <c r="AM13" s="170"/>
      <c r="AN13" s="170"/>
      <c r="AO13" s="170"/>
      <c r="AP13" s="170"/>
      <c r="AQ13" s="171"/>
      <c r="AR13" s="161" t="s">
        <v>241</v>
      </c>
      <c r="AS13" s="156"/>
      <c r="AT13" s="156"/>
      <c r="AU13" s="156"/>
      <c r="AV13" s="156"/>
      <c r="AW13" s="157"/>
      <c r="AX13" s="161"/>
      <c r="AY13" s="157"/>
      <c r="AZ13" s="161"/>
      <c r="BA13" s="157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  <c r="BQ13" s="51"/>
      <c r="BR13" s="51"/>
      <c r="BS13" s="51"/>
      <c r="BT13" s="133"/>
      <c r="BU13" s="41"/>
      <c r="BV13" s="40"/>
      <c r="BW13" s="41"/>
      <c r="BX13" s="41"/>
      <c r="BY13" s="41"/>
      <c r="BZ13" s="41"/>
      <c r="CA13" s="41"/>
      <c r="CB13" s="41"/>
      <c r="CC13" s="30"/>
      <c r="CD13" s="30"/>
      <c r="CE13" s="30"/>
      <c r="CF13" s="30"/>
      <c r="CG13" s="30"/>
    </row>
    <row r="14" spans="1:85" s="5" customFormat="1" ht="20.100000000000001" customHeight="1" x14ac:dyDescent="0.45">
      <c r="A14" s="30"/>
      <c r="B14" s="44"/>
      <c r="C14" s="36"/>
      <c r="D14" s="37">
        <v>4</v>
      </c>
      <c r="E14" s="182" t="s">
        <v>189</v>
      </c>
      <c r="F14" s="183"/>
      <c r="G14" s="183"/>
      <c r="H14" s="183"/>
      <c r="I14" s="183"/>
      <c r="J14" s="183"/>
      <c r="K14" s="183"/>
      <c r="L14" s="184"/>
      <c r="M14" s="161" t="s">
        <v>8</v>
      </c>
      <c r="N14" s="156"/>
      <c r="O14" s="156"/>
      <c r="P14" s="161" t="s">
        <v>128</v>
      </c>
      <c r="Q14" s="156"/>
      <c r="R14" s="156"/>
      <c r="S14" s="161"/>
      <c r="T14" s="156"/>
      <c r="U14" s="156"/>
      <c r="V14" s="176" t="s">
        <v>191</v>
      </c>
      <c r="W14" s="177"/>
      <c r="X14" s="177"/>
      <c r="Y14" s="177"/>
      <c r="Z14" s="177"/>
      <c r="AA14" s="178"/>
      <c r="AB14" s="169" t="s">
        <v>192</v>
      </c>
      <c r="AC14" s="170"/>
      <c r="AD14" s="170"/>
      <c r="AE14" s="170"/>
      <c r="AF14" s="170"/>
      <c r="AG14" s="170"/>
      <c r="AH14" s="170"/>
      <c r="AI14" s="170"/>
      <c r="AJ14" s="170"/>
      <c r="AK14" s="170"/>
      <c r="AL14" s="170"/>
      <c r="AM14" s="170"/>
      <c r="AN14" s="170"/>
      <c r="AO14" s="170"/>
      <c r="AP14" s="170"/>
      <c r="AQ14" s="171"/>
      <c r="AR14" s="161" t="s">
        <v>241</v>
      </c>
      <c r="AS14" s="156"/>
      <c r="AT14" s="156"/>
      <c r="AU14" s="156"/>
      <c r="AV14" s="156"/>
      <c r="AW14" s="157"/>
      <c r="AX14" s="161"/>
      <c r="AY14" s="157"/>
      <c r="AZ14" s="161"/>
      <c r="BA14" s="157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  <c r="BQ14" s="51"/>
      <c r="BR14" s="51"/>
      <c r="BS14" s="51"/>
      <c r="BT14" s="133"/>
      <c r="BU14" s="41"/>
      <c r="BV14" s="40"/>
      <c r="BW14" s="41"/>
      <c r="BX14" s="41"/>
      <c r="BY14" s="41"/>
      <c r="BZ14" s="41"/>
      <c r="CA14" s="41"/>
      <c r="CB14" s="41"/>
      <c r="CC14" s="30"/>
      <c r="CD14" s="30"/>
      <c r="CE14" s="30"/>
      <c r="CF14" s="30"/>
      <c r="CG14" s="30"/>
    </row>
    <row r="15" spans="1:85" s="5" customFormat="1" ht="20.100000000000001" customHeight="1" x14ac:dyDescent="0.45">
      <c r="A15" s="30"/>
      <c r="B15" s="44"/>
      <c r="C15" s="36"/>
      <c r="D15" s="37">
        <v>5</v>
      </c>
      <c r="E15" s="182" t="s">
        <v>98</v>
      </c>
      <c r="F15" s="183"/>
      <c r="G15" s="183"/>
      <c r="H15" s="183"/>
      <c r="I15" s="183"/>
      <c r="J15" s="183"/>
      <c r="K15" s="183"/>
      <c r="L15" s="184"/>
      <c r="M15" s="161" t="s">
        <v>8</v>
      </c>
      <c r="N15" s="156"/>
      <c r="O15" s="156"/>
      <c r="P15" s="161" t="s">
        <v>128</v>
      </c>
      <c r="Q15" s="156"/>
      <c r="R15" s="156"/>
      <c r="S15" s="161"/>
      <c r="T15" s="156"/>
      <c r="U15" s="156"/>
      <c r="V15" s="176" t="s">
        <v>165</v>
      </c>
      <c r="W15" s="177"/>
      <c r="X15" s="177"/>
      <c r="Y15" s="177"/>
      <c r="Z15" s="177"/>
      <c r="AA15" s="178"/>
      <c r="AB15" s="169"/>
      <c r="AC15" s="170"/>
      <c r="AD15" s="170"/>
      <c r="AE15" s="170"/>
      <c r="AF15" s="170"/>
      <c r="AG15" s="170"/>
      <c r="AH15" s="170"/>
      <c r="AI15" s="170"/>
      <c r="AJ15" s="170"/>
      <c r="AK15" s="170"/>
      <c r="AL15" s="170"/>
      <c r="AM15" s="170"/>
      <c r="AN15" s="170"/>
      <c r="AO15" s="170"/>
      <c r="AP15" s="170"/>
      <c r="AQ15" s="171"/>
      <c r="AR15" s="161" t="s">
        <v>242</v>
      </c>
      <c r="AS15" s="156"/>
      <c r="AT15" s="156"/>
      <c r="AU15" s="156"/>
      <c r="AV15" s="156"/>
      <c r="AW15" s="157"/>
      <c r="AX15" s="161"/>
      <c r="AY15" s="157"/>
      <c r="AZ15" s="161"/>
      <c r="BA15" s="157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133"/>
      <c r="BU15" s="41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20.100000000000001" customHeight="1" x14ac:dyDescent="0.45">
      <c r="A16" s="30"/>
      <c r="B16" s="44"/>
      <c r="C16" s="30"/>
      <c r="D16" s="37">
        <v>6</v>
      </c>
      <c r="E16" s="182" t="s">
        <v>100</v>
      </c>
      <c r="F16" s="183"/>
      <c r="G16" s="183"/>
      <c r="H16" s="183"/>
      <c r="I16" s="183"/>
      <c r="J16" s="183"/>
      <c r="K16" s="183"/>
      <c r="L16" s="184"/>
      <c r="M16" s="161" t="s">
        <v>47</v>
      </c>
      <c r="N16" s="156"/>
      <c r="O16" s="156"/>
      <c r="P16" s="161" t="s">
        <v>128</v>
      </c>
      <c r="Q16" s="156"/>
      <c r="R16" s="156"/>
      <c r="S16" s="161"/>
      <c r="T16" s="156"/>
      <c r="U16" s="156"/>
      <c r="V16" s="176" t="s">
        <v>146</v>
      </c>
      <c r="W16" s="177"/>
      <c r="X16" s="177"/>
      <c r="Y16" s="177"/>
      <c r="Z16" s="177"/>
      <c r="AA16" s="178"/>
      <c r="AB16" s="169"/>
      <c r="AC16" s="170"/>
      <c r="AD16" s="170"/>
      <c r="AE16" s="170"/>
      <c r="AF16" s="170"/>
      <c r="AG16" s="170"/>
      <c r="AH16" s="170"/>
      <c r="AI16" s="170"/>
      <c r="AJ16" s="170"/>
      <c r="AK16" s="170"/>
      <c r="AL16" s="170"/>
      <c r="AM16" s="170"/>
      <c r="AN16" s="170"/>
      <c r="AO16" s="170"/>
      <c r="AP16" s="170"/>
      <c r="AQ16" s="171"/>
      <c r="AR16" s="161"/>
      <c r="AS16" s="156"/>
      <c r="AT16" s="156"/>
      <c r="AU16" s="156"/>
      <c r="AV16" s="156"/>
      <c r="AW16" s="157"/>
      <c r="AX16" s="161"/>
      <c r="AY16" s="157"/>
      <c r="AZ16" s="161"/>
      <c r="BA16" s="157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51"/>
      <c r="BS16" s="51"/>
      <c r="BT16" s="133"/>
      <c r="BU16" s="41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20.100000000000001" customHeight="1" x14ac:dyDescent="0.45">
      <c r="A17" s="30"/>
      <c r="B17" s="44"/>
      <c r="C17"/>
      <c r="D17" s="37">
        <v>7</v>
      </c>
      <c r="E17" s="182" t="s">
        <v>102</v>
      </c>
      <c r="F17" s="183"/>
      <c r="G17" s="183"/>
      <c r="H17" s="183"/>
      <c r="I17" s="183"/>
      <c r="J17" s="183"/>
      <c r="K17" s="183"/>
      <c r="L17" s="184"/>
      <c r="M17" s="161" t="s">
        <v>47</v>
      </c>
      <c r="N17" s="156"/>
      <c r="O17" s="156"/>
      <c r="P17" s="161" t="s">
        <v>128</v>
      </c>
      <c r="Q17" s="156"/>
      <c r="R17" s="156"/>
      <c r="S17" s="161"/>
      <c r="T17" s="156"/>
      <c r="U17" s="156"/>
      <c r="V17" s="176" t="s">
        <v>147</v>
      </c>
      <c r="W17" s="177"/>
      <c r="X17" s="177"/>
      <c r="Y17" s="177"/>
      <c r="Z17" s="177"/>
      <c r="AA17" s="178"/>
      <c r="AB17" s="169"/>
      <c r="AC17" s="170"/>
      <c r="AD17" s="170"/>
      <c r="AE17" s="170"/>
      <c r="AF17" s="170"/>
      <c r="AG17" s="170"/>
      <c r="AH17" s="170"/>
      <c r="AI17" s="170"/>
      <c r="AJ17" s="170"/>
      <c r="AK17" s="170"/>
      <c r="AL17" s="170"/>
      <c r="AM17" s="170"/>
      <c r="AN17" s="170"/>
      <c r="AO17" s="170"/>
      <c r="AP17" s="170"/>
      <c r="AQ17" s="171"/>
      <c r="AR17" s="161"/>
      <c r="AS17" s="156"/>
      <c r="AT17" s="156"/>
      <c r="AU17" s="156"/>
      <c r="AV17" s="156"/>
      <c r="AW17" s="157"/>
      <c r="AX17" s="161"/>
      <c r="AY17" s="157"/>
      <c r="AZ17" s="161"/>
      <c r="BA17" s="157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  <c r="BQ17" s="51"/>
      <c r="BR17" s="51"/>
      <c r="BS17" s="51"/>
      <c r="BT17" s="133"/>
      <c r="BU17" s="41"/>
      <c r="BV17" s="40"/>
      <c r="BW17" s="41"/>
      <c r="BX17" s="41"/>
      <c r="BY17" s="41"/>
      <c r="BZ17" s="41"/>
      <c r="CA17" s="41"/>
      <c r="CB17" s="41"/>
      <c r="CC17" s="30"/>
      <c r="CD17" s="30"/>
      <c r="CE17" s="30"/>
      <c r="CF17" s="30"/>
      <c r="CG17" s="30"/>
    </row>
    <row r="18" spans="1:85" s="5" customFormat="1" ht="20.100000000000001" customHeight="1" x14ac:dyDescent="0.45">
      <c r="A18" s="29"/>
      <c r="B18" s="35"/>
      <c r="C18"/>
      <c r="D18" s="37">
        <v>8</v>
      </c>
      <c r="E18" s="182" t="s">
        <v>103</v>
      </c>
      <c r="F18" s="183"/>
      <c r="G18" s="183"/>
      <c r="H18" s="183"/>
      <c r="I18" s="183"/>
      <c r="J18" s="183"/>
      <c r="K18" s="183"/>
      <c r="L18" s="184"/>
      <c r="M18" s="161" t="s">
        <v>38</v>
      </c>
      <c r="N18" s="156"/>
      <c r="O18" s="156"/>
      <c r="P18" s="161" t="s">
        <v>129</v>
      </c>
      <c r="Q18" s="156"/>
      <c r="R18" s="156"/>
      <c r="S18" s="161"/>
      <c r="T18" s="156"/>
      <c r="U18" s="156"/>
      <c r="V18" s="176" t="s">
        <v>148</v>
      </c>
      <c r="W18" s="177"/>
      <c r="X18" s="177"/>
      <c r="Y18" s="177"/>
      <c r="Z18" s="177"/>
      <c r="AA18" s="178"/>
      <c r="AB18" s="169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1"/>
      <c r="AR18" s="161"/>
      <c r="AS18" s="156"/>
      <c r="AT18" s="156"/>
      <c r="AU18" s="156"/>
      <c r="AV18" s="156"/>
      <c r="AW18" s="157"/>
      <c r="AX18" s="161"/>
      <c r="AY18" s="157"/>
      <c r="AZ18" s="161"/>
      <c r="BA18" s="157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  <c r="BQ18" s="51"/>
      <c r="BR18" s="51"/>
      <c r="BS18" s="51"/>
      <c r="BT18" s="133"/>
      <c r="BU18" s="29"/>
      <c r="BV18" s="40"/>
      <c r="BW18" s="41"/>
      <c r="BX18" s="41"/>
      <c r="BY18" s="41"/>
      <c r="BZ18" s="41"/>
      <c r="CA18" s="41"/>
      <c r="CB18" s="41"/>
      <c r="CC18" s="41"/>
      <c r="CD18" s="41"/>
      <c r="CE18" s="41"/>
      <c r="CF18" s="31"/>
      <c r="CG18" s="31"/>
    </row>
    <row r="19" spans="1:85" s="5" customFormat="1" ht="20.100000000000001" customHeight="1" x14ac:dyDescent="0.45">
      <c r="A19" s="29"/>
      <c r="B19" s="35"/>
      <c r="C19"/>
      <c r="D19" s="37">
        <v>9</v>
      </c>
      <c r="E19" s="182" t="s">
        <v>104</v>
      </c>
      <c r="F19" s="183"/>
      <c r="G19" s="183"/>
      <c r="H19" s="183"/>
      <c r="I19" s="183"/>
      <c r="J19" s="183"/>
      <c r="K19" s="183"/>
      <c r="L19" s="184"/>
      <c r="M19" s="161" t="s">
        <v>38</v>
      </c>
      <c r="N19" s="156"/>
      <c r="O19" s="156"/>
      <c r="P19" s="161" t="s">
        <v>129</v>
      </c>
      <c r="Q19" s="156"/>
      <c r="R19" s="156"/>
      <c r="S19" s="161"/>
      <c r="T19" s="156"/>
      <c r="U19" s="156"/>
      <c r="V19" s="176" t="s">
        <v>149</v>
      </c>
      <c r="W19" s="177"/>
      <c r="X19" s="177"/>
      <c r="Y19" s="177"/>
      <c r="Z19" s="177"/>
      <c r="AA19" s="178"/>
      <c r="AB19" s="169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1"/>
      <c r="AR19" s="161"/>
      <c r="AS19" s="156"/>
      <c r="AT19" s="156"/>
      <c r="AU19" s="156"/>
      <c r="AV19" s="156"/>
      <c r="AW19" s="157"/>
      <c r="AX19" s="161"/>
      <c r="AY19" s="157"/>
      <c r="AZ19" s="161"/>
      <c r="BA19" s="157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  <c r="BQ19" s="51"/>
      <c r="BR19" s="51"/>
      <c r="BS19" s="51"/>
      <c r="BT19" s="133"/>
      <c r="BU19" s="41"/>
      <c r="BV19" s="40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</row>
    <row r="20" spans="1:85" s="5" customFormat="1" ht="20.100000000000001" customHeight="1" x14ac:dyDescent="0.45">
      <c r="A20" s="29"/>
      <c r="B20" s="35"/>
      <c r="C20"/>
      <c r="D20" s="37">
        <v>10</v>
      </c>
      <c r="E20" s="182" t="s">
        <v>106</v>
      </c>
      <c r="F20" s="183"/>
      <c r="G20" s="183"/>
      <c r="H20" s="183"/>
      <c r="I20" s="183"/>
      <c r="J20" s="183"/>
      <c r="K20" s="183"/>
      <c r="L20" s="184"/>
      <c r="M20" s="161" t="s">
        <v>8</v>
      </c>
      <c r="N20" s="156"/>
      <c r="O20" s="156"/>
      <c r="P20" s="161" t="s">
        <v>128</v>
      </c>
      <c r="Q20" s="156"/>
      <c r="R20" s="156"/>
      <c r="S20" s="161"/>
      <c r="T20" s="156"/>
      <c r="U20" s="156"/>
      <c r="V20" s="176" t="s">
        <v>150</v>
      </c>
      <c r="W20" s="177"/>
      <c r="X20" s="177"/>
      <c r="Y20" s="177"/>
      <c r="Z20" s="177"/>
      <c r="AA20" s="178"/>
      <c r="AB20" s="169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0"/>
      <c r="AO20" s="170"/>
      <c r="AP20" s="170"/>
      <c r="AQ20" s="171"/>
      <c r="AR20" s="161"/>
      <c r="AS20" s="156"/>
      <c r="AT20" s="156"/>
      <c r="AU20" s="156"/>
      <c r="AV20" s="156"/>
      <c r="AW20" s="157"/>
      <c r="AX20" s="161"/>
      <c r="AY20" s="157"/>
      <c r="AZ20" s="161"/>
      <c r="BA20" s="157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  <c r="BQ20" s="51"/>
      <c r="BR20" s="51"/>
      <c r="BS20" s="51"/>
      <c r="BT20" s="133"/>
      <c r="BU20" s="41"/>
      <c r="BV20" s="40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</row>
    <row r="21" spans="1:85" s="5" customFormat="1" ht="20.100000000000001" customHeight="1" x14ac:dyDescent="0.45">
      <c r="A21" s="29"/>
      <c r="B21" s="35"/>
      <c r="C21"/>
      <c r="D21" s="37">
        <v>11</v>
      </c>
      <c r="E21" s="182" t="s">
        <v>107</v>
      </c>
      <c r="F21" s="183"/>
      <c r="G21" s="183"/>
      <c r="H21" s="183"/>
      <c r="I21" s="183"/>
      <c r="J21" s="183"/>
      <c r="K21" s="183"/>
      <c r="L21" s="184"/>
      <c r="M21" s="161" t="s">
        <v>8</v>
      </c>
      <c r="N21" s="156"/>
      <c r="O21" s="156"/>
      <c r="P21" s="161" t="s">
        <v>128</v>
      </c>
      <c r="Q21" s="156"/>
      <c r="R21" s="156"/>
      <c r="S21" s="161"/>
      <c r="T21" s="156"/>
      <c r="U21" s="156"/>
      <c r="V21" s="176" t="s">
        <v>151</v>
      </c>
      <c r="W21" s="177"/>
      <c r="X21" s="177"/>
      <c r="Y21" s="177"/>
      <c r="Z21" s="177"/>
      <c r="AA21" s="178"/>
      <c r="AB21" s="169"/>
      <c r="AC21" s="170"/>
      <c r="AD21" s="170"/>
      <c r="AE21" s="170"/>
      <c r="AF21" s="170"/>
      <c r="AG21" s="170"/>
      <c r="AH21" s="170"/>
      <c r="AI21" s="170"/>
      <c r="AJ21" s="170"/>
      <c r="AK21" s="170"/>
      <c r="AL21" s="170"/>
      <c r="AM21" s="170"/>
      <c r="AN21" s="170"/>
      <c r="AO21" s="170"/>
      <c r="AP21" s="170"/>
      <c r="AQ21" s="171"/>
      <c r="AR21" s="161"/>
      <c r="AS21" s="156"/>
      <c r="AT21" s="156"/>
      <c r="AU21" s="156"/>
      <c r="AV21" s="156"/>
      <c r="AW21" s="157"/>
      <c r="AX21" s="161"/>
      <c r="AY21" s="157"/>
      <c r="AZ21" s="161"/>
      <c r="BA21" s="157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  <c r="BQ21" s="51"/>
      <c r="BR21" s="51"/>
      <c r="BS21" s="51"/>
      <c r="BT21" s="133"/>
      <c r="BU21" s="41"/>
      <c r="BV21" s="40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</row>
    <row r="22" spans="1:85" s="5" customFormat="1" ht="20.100000000000001" customHeight="1" x14ac:dyDescent="0.45">
      <c r="A22" s="29"/>
      <c r="B22" s="35"/>
      <c r="C22"/>
      <c r="D22" s="37">
        <v>12</v>
      </c>
      <c r="E22" s="182" t="s">
        <v>108</v>
      </c>
      <c r="F22" s="183"/>
      <c r="G22" s="183"/>
      <c r="H22" s="183"/>
      <c r="I22" s="183"/>
      <c r="J22" s="183"/>
      <c r="K22" s="183"/>
      <c r="L22" s="184"/>
      <c r="M22" s="161" t="s">
        <v>47</v>
      </c>
      <c r="N22" s="156"/>
      <c r="O22" s="156"/>
      <c r="P22" s="161" t="s">
        <v>128</v>
      </c>
      <c r="Q22" s="156"/>
      <c r="R22" s="156"/>
      <c r="S22" s="161"/>
      <c r="T22" s="156"/>
      <c r="U22" s="156"/>
      <c r="V22" s="176" t="s">
        <v>168</v>
      </c>
      <c r="W22" s="177"/>
      <c r="X22" s="177"/>
      <c r="Y22" s="177"/>
      <c r="Z22" s="177"/>
      <c r="AA22" s="178"/>
      <c r="AB22" s="169" t="s">
        <v>169</v>
      </c>
      <c r="AC22" s="170"/>
      <c r="AD22" s="170"/>
      <c r="AE22" s="170"/>
      <c r="AF22" s="170"/>
      <c r="AG22" s="170"/>
      <c r="AH22" s="170"/>
      <c r="AI22" s="170"/>
      <c r="AJ22" s="170"/>
      <c r="AK22" s="170"/>
      <c r="AL22" s="170"/>
      <c r="AM22" s="170"/>
      <c r="AN22" s="170"/>
      <c r="AO22" s="170"/>
      <c r="AP22" s="170"/>
      <c r="AQ22" s="171"/>
      <c r="AR22" s="161" t="s">
        <v>170</v>
      </c>
      <c r="AS22" s="156"/>
      <c r="AT22" s="156"/>
      <c r="AU22" s="156"/>
      <c r="AV22" s="156"/>
      <c r="AW22" s="157"/>
      <c r="AX22" s="161" t="s">
        <v>246</v>
      </c>
      <c r="AY22" s="157"/>
      <c r="AZ22" s="161" t="s">
        <v>245</v>
      </c>
      <c r="BA22" s="157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  <c r="BQ22" s="51"/>
      <c r="BR22" s="51"/>
      <c r="BS22" s="51"/>
      <c r="BT22" s="133"/>
      <c r="BU22" s="41"/>
      <c r="BV22" s="40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</row>
    <row r="23" spans="1:85" s="5" customFormat="1" ht="20.100000000000001" customHeight="1" x14ac:dyDescent="0.45">
      <c r="A23" s="29"/>
      <c r="B23" s="35"/>
      <c r="C23"/>
      <c r="D23" s="37">
        <v>13</v>
      </c>
      <c r="E23" s="182" t="s">
        <v>110</v>
      </c>
      <c r="F23" s="183"/>
      <c r="G23" s="183"/>
      <c r="H23" s="183"/>
      <c r="I23" s="183"/>
      <c r="J23" s="183"/>
      <c r="K23" s="183"/>
      <c r="L23" s="184"/>
      <c r="M23" s="161" t="s">
        <v>47</v>
      </c>
      <c r="N23" s="156"/>
      <c r="O23" s="156"/>
      <c r="P23" s="161" t="s">
        <v>128</v>
      </c>
      <c r="Q23" s="156"/>
      <c r="R23" s="156"/>
      <c r="S23" s="161"/>
      <c r="T23" s="156"/>
      <c r="U23" s="156"/>
      <c r="V23" s="176" t="s">
        <v>152</v>
      </c>
      <c r="W23" s="177"/>
      <c r="X23" s="177"/>
      <c r="Y23" s="177"/>
      <c r="Z23" s="177"/>
      <c r="AA23" s="178"/>
      <c r="AB23" s="169"/>
      <c r="AC23" s="170"/>
      <c r="AD23" s="170"/>
      <c r="AE23" s="170"/>
      <c r="AF23" s="170"/>
      <c r="AG23" s="170"/>
      <c r="AH23" s="170"/>
      <c r="AI23" s="170"/>
      <c r="AJ23" s="170"/>
      <c r="AK23" s="170"/>
      <c r="AL23" s="170"/>
      <c r="AM23" s="170"/>
      <c r="AN23" s="170"/>
      <c r="AO23" s="170"/>
      <c r="AP23" s="170"/>
      <c r="AQ23" s="171"/>
      <c r="AR23" s="161"/>
      <c r="AS23" s="156"/>
      <c r="AT23" s="156"/>
      <c r="AU23" s="156"/>
      <c r="AV23" s="156"/>
      <c r="AW23" s="157"/>
      <c r="AX23" s="161" t="s">
        <v>246</v>
      </c>
      <c r="AY23" s="157"/>
      <c r="AZ23" s="161" t="s">
        <v>245</v>
      </c>
      <c r="BA23" s="157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  <c r="BQ23" s="51"/>
      <c r="BR23" s="51"/>
      <c r="BS23" s="51"/>
      <c r="BT23" s="133"/>
      <c r="BU23" s="41"/>
      <c r="BV23" s="40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</row>
    <row r="24" spans="1:85" s="5" customFormat="1" ht="20.100000000000001" customHeight="1" x14ac:dyDescent="0.45">
      <c r="A24" s="29"/>
      <c r="B24" s="35"/>
      <c r="C24"/>
      <c r="D24" s="37">
        <v>14</v>
      </c>
      <c r="E24" s="182" t="s">
        <v>112</v>
      </c>
      <c r="F24" s="183"/>
      <c r="G24" s="183"/>
      <c r="H24" s="183"/>
      <c r="I24" s="183"/>
      <c r="J24" s="183"/>
      <c r="K24" s="183"/>
      <c r="L24" s="184"/>
      <c r="M24" s="161" t="s">
        <v>47</v>
      </c>
      <c r="N24" s="156"/>
      <c r="O24" s="156"/>
      <c r="P24" s="161" t="s">
        <v>128</v>
      </c>
      <c r="Q24" s="156"/>
      <c r="R24" s="156"/>
      <c r="S24" s="161"/>
      <c r="T24" s="156"/>
      <c r="U24" s="156"/>
      <c r="V24" s="176" t="s">
        <v>153</v>
      </c>
      <c r="W24" s="177"/>
      <c r="X24" s="177"/>
      <c r="Y24" s="177"/>
      <c r="Z24" s="177"/>
      <c r="AA24" s="178"/>
      <c r="AB24" s="169"/>
      <c r="AC24" s="170"/>
      <c r="AD24" s="170"/>
      <c r="AE24" s="170"/>
      <c r="AF24" s="170"/>
      <c r="AG24" s="170"/>
      <c r="AH24" s="170"/>
      <c r="AI24" s="170"/>
      <c r="AJ24" s="170"/>
      <c r="AK24" s="170"/>
      <c r="AL24" s="170"/>
      <c r="AM24" s="170"/>
      <c r="AN24" s="170"/>
      <c r="AO24" s="170"/>
      <c r="AP24" s="170"/>
      <c r="AQ24" s="171"/>
      <c r="AR24" s="161"/>
      <c r="AS24" s="156"/>
      <c r="AT24" s="156"/>
      <c r="AU24" s="156"/>
      <c r="AV24" s="156"/>
      <c r="AW24" s="157"/>
      <c r="AX24" s="161" t="s">
        <v>246</v>
      </c>
      <c r="AY24" s="157"/>
      <c r="AZ24" s="161" t="s">
        <v>245</v>
      </c>
      <c r="BA24" s="157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  <c r="BQ24" s="51"/>
      <c r="BR24" s="51"/>
      <c r="BS24" s="51"/>
      <c r="BT24" s="133"/>
      <c r="BU24" s="41"/>
      <c r="BV24" s="40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</row>
    <row r="25" spans="1:85" s="5" customFormat="1" ht="20.100000000000001" customHeight="1" x14ac:dyDescent="0.45">
      <c r="A25" s="29"/>
      <c r="B25" s="35"/>
      <c r="C25"/>
      <c r="D25" s="37">
        <v>15</v>
      </c>
      <c r="E25" s="182" t="s">
        <v>113</v>
      </c>
      <c r="F25" s="183"/>
      <c r="G25" s="183"/>
      <c r="H25" s="183"/>
      <c r="I25" s="183"/>
      <c r="J25" s="183"/>
      <c r="K25" s="183"/>
      <c r="L25" s="184"/>
      <c r="M25" s="161" t="s">
        <v>38</v>
      </c>
      <c r="N25" s="156"/>
      <c r="O25" s="156"/>
      <c r="P25" s="161" t="s">
        <v>129</v>
      </c>
      <c r="Q25" s="156"/>
      <c r="R25" s="156"/>
      <c r="S25" s="161"/>
      <c r="T25" s="156"/>
      <c r="U25" s="156"/>
      <c r="V25" s="176" t="s">
        <v>154</v>
      </c>
      <c r="W25" s="177"/>
      <c r="X25" s="177"/>
      <c r="Y25" s="177"/>
      <c r="Z25" s="177"/>
      <c r="AA25" s="178"/>
      <c r="AB25" s="169"/>
      <c r="AC25" s="170"/>
      <c r="AD25" s="170"/>
      <c r="AE25" s="170"/>
      <c r="AF25" s="170"/>
      <c r="AG25" s="170"/>
      <c r="AH25" s="170"/>
      <c r="AI25" s="170"/>
      <c r="AJ25" s="170"/>
      <c r="AK25" s="170"/>
      <c r="AL25" s="170"/>
      <c r="AM25" s="170"/>
      <c r="AN25" s="170"/>
      <c r="AO25" s="170"/>
      <c r="AP25" s="170"/>
      <c r="AQ25" s="171"/>
      <c r="AR25" s="161"/>
      <c r="AS25" s="156"/>
      <c r="AT25" s="156"/>
      <c r="AU25" s="156"/>
      <c r="AV25" s="156"/>
      <c r="AW25" s="157"/>
      <c r="AX25" s="161" t="s">
        <v>246</v>
      </c>
      <c r="AY25" s="157"/>
      <c r="AZ25" s="161" t="s">
        <v>245</v>
      </c>
      <c r="BA25" s="157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  <c r="BQ25" s="51"/>
      <c r="BR25" s="51"/>
      <c r="BS25" s="51"/>
      <c r="BT25" s="133"/>
      <c r="BU25" s="41"/>
      <c r="BV25" s="40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</row>
    <row r="26" spans="1:85" s="5" customFormat="1" ht="20.100000000000001" customHeight="1" x14ac:dyDescent="0.45">
      <c r="A26" s="29"/>
      <c r="B26" s="35"/>
      <c r="C26"/>
      <c r="D26" s="37">
        <v>16</v>
      </c>
      <c r="E26" s="182" t="s">
        <v>115</v>
      </c>
      <c r="F26" s="183"/>
      <c r="G26" s="183"/>
      <c r="H26" s="183"/>
      <c r="I26" s="183"/>
      <c r="J26" s="183"/>
      <c r="K26" s="183"/>
      <c r="L26" s="184"/>
      <c r="M26" s="161" t="s">
        <v>47</v>
      </c>
      <c r="N26" s="156"/>
      <c r="O26" s="156"/>
      <c r="P26" s="161" t="s">
        <v>128</v>
      </c>
      <c r="Q26" s="156"/>
      <c r="R26" s="156"/>
      <c r="S26" s="161"/>
      <c r="T26" s="156"/>
      <c r="U26" s="156"/>
      <c r="V26" s="176" t="s">
        <v>155</v>
      </c>
      <c r="W26" s="177"/>
      <c r="X26" s="177"/>
      <c r="Y26" s="177"/>
      <c r="Z26" s="177"/>
      <c r="AA26" s="178"/>
      <c r="AB26" s="169"/>
      <c r="AC26" s="170"/>
      <c r="AD26" s="170"/>
      <c r="AE26" s="170"/>
      <c r="AF26" s="170"/>
      <c r="AG26" s="170"/>
      <c r="AH26" s="170"/>
      <c r="AI26" s="170"/>
      <c r="AJ26" s="170"/>
      <c r="AK26" s="170"/>
      <c r="AL26" s="170"/>
      <c r="AM26" s="170"/>
      <c r="AN26" s="170"/>
      <c r="AO26" s="170"/>
      <c r="AP26" s="170"/>
      <c r="AQ26" s="171"/>
      <c r="AR26" s="161"/>
      <c r="AS26" s="156"/>
      <c r="AT26" s="156"/>
      <c r="AU26" s="156"/>
      <c r="AV26" s="156"/>
      <c r="AW26" s="157"/>
      <c r="AX26" s="161" t="s">
        <v>246</v>
      </c>
      <c r="AY26" s="157"/>
      <c r="AZ26" s="161" t="s">
        <v>245</v>
      </c>
      <c r="BA26" s="157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  <c r="BQ26" s="51"/>
      <c r="BR26" s="51"/>
      <c r="BS26" s="51"/>
      <c r="BT26" s="133"/>
      <c r="BU26" s="41"/>
      <c r="BV26" s="40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</row>
    <row r="27" spans="1:85" ht="20.100000000000001" customHeight="1" x14ac:dyDescent="0.45">
      <c r="A27" s="29"/>
      <c r="B27" s="44"/>
      <c r="C27"/>
      <c r="D27" s="37">
        <v>17</v>
      </c>
      <c r="E27" s="182" t="s">
        <v>117</v>
      </c>
      <c r="F27" s="183"/>
      <c r="G27" s="183"/>
      <c r="H27" s="183"/>
      <c r="I27" s="183"/>
      <c r="J27" s="183"/>
      <c r="K27" s="183"/>
      <c r="L27" s="184"/>
      <c r="M27" s="161" t="s">
        <v>47</v>
      </c>
      <c r="N27" s="156"/>
      <c r="O27" s="156"/>
      <c r="P27" s="161" t="s">
        <v>128</v>
      </c>
      <c r="Q27" s="156"/>
      <c r="R27" s="156"/>
      <c r="S27" s="161"/>
      <c r="T27" s="156"/>
      <c r="U27" s="156"/>
      <c r="V27" s="176" t="s">
        <v>173</v>
      </c>
      <c r="W27" s="177"/>
      <c r="X27" s="177"/>
      <c r="Y27" s="177"/>
      <c r="Z27" s="177"/>
      <c r="AA27" s="178"/>
      <c r="AB27" s="175" t="s">
        <v>171</v>
      </c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70"/>
      <c r="AO27" s="170"/>
      <c r="AP27" s="170"/>
      <c r="AQ27" s="171"/>
      <c r="AR27" s="161"/>
      <c r="AS27" s="156"/>
      <c r="AT27" s="156"/>
      <c r="AU27" s="156"/>
      <c r="AV27" s="156"/>
      <c r="AW27" s="157"/>
      <c r="AX27" s="161" t="s">
        <v>246</v>
      </c>
      <c r="AY27" s="157"/>
      <c r="AZ27" s="161" t="s">
        <v>245</v>
      </c>
      <c r="BA27" s="157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133"/>
      <c r="BU27" s="41"/>
      <c r="BV27" s="40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</row>
    <row r="28" spans="1:85" ht="19.5" customHeight="1" x14ac:dyDescent="0.45">
      <c r="A28" s="29"/>
      <c r="B28" s="44"/>
      <c r="C28"/>
      <c r="D28" s="37">
        <v>18</v>
      </c>
      <c r="E28" s="182" t="s">
        <v>119</v>
      </c>
      <c r="F28" s="183"/>
      <c r="G28" s="183"/>
      <c r="H28" s="183"/>
      <c r="I28" s="183"/>
      <c r="J28" s="183"/>
      <c r="K28" s="183"/>
      <c r="L28" s="184"/>
      <c r="M28" s="161" t="s">
        <v>47</v>
      </c>
      <c r="N28" s="156"/>
      <c r="O28" s="156"/>
      <c r="P28" s="161" t="s">
        <v>128</v>
      </c>
      <c r="Q28" s="156"/>
      <c r="R28" s="156"/>
      <c r="S28" s="161"/>
      <c r="T28" s="156"/>
      <c r="U28" s="156"/>
      <c r="V28" s="176" t="s">
        <v>174</v>
      </c>
      <c r="W28" s="177"/>
      <c r="X28" s="177"/>
      <c r="Y28" s="177"/>
      <c r="Z28" s="177"/>
      <c r="AA28" s="178"/>
      <c r="AB28" s="175" t="s">
        <v>172</v>
      </c>
      <c r="AC28" s="170"/>
      <c r="AD28" s="170"/>
      <c r="AE28" s="170"/>
      <c r="AF28" s="170"/>
      <c r="AG28" s="170"/>
      <c r="AH28" s="170"/>
      <c r="AI28" s="170"/>
      <c r="AJ28" s="170"/>
      <c r="AK28" s="170"/>
      <c r="AL28" s="170"/>
      <c r="AM28" s="170"/>
      <c r="AN28" s="170"/>
      <c r="AO28" s="170"/>
      <c r="AP28" s="170"/>
      <c r="AQ28" s="171"/>
      <c r="AR28" s="161"/>
      <c r="AS28" s="156"/>
      <c r="AT28" s="156"/>
      <c r="AU28" s="156"/>
      <c r="AV28" s="156"/>
      <c r="AW28" s="157"/>
      <c r="AX28" s="161" t="s">
        <v>246</v>
      </c>
      <c r="AY28" s="157"/>
      <c r="AZ28" s="161" t="s">
        <v>245</v>
      </c>
      <c r="BA28" s="157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133"/>
      <c r="BU28" s="41"/>
      <c r="BV28" s="40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</row>
    <row r="29" spans="1:85" ht="19.5" customHeight="1" x14ac:dyDescent="0.45">
      <c r="A29" s="29"/>
      <c r="B29" s="44"/>
      <c r="C29"/>
      <c r="D29" s="37">
        <v>19</v>
      </c>
      <c r="E29" s="182" t="s">
        <v>120</v>
      </c>
      <c r="F29" s="183"/>
      <c r="G29" s="183"/>
      <c r="H29" s="183"/>
      <c r="I29" s="183"/>
      <c r="J29" s="183"/>
      <c r="K29" s="183"/>
      <c r="L29" s="184"/>
      <c r="M29" s="161" t="s">
        <v>47</v>
      </c>
      <c r="N29" s="156"/>
      <c r="O29" s="156"/>
      <c r="P29" s="161" t="s">
        <v>128</v>
      </c>
      <c r="Q29" s="156"/>
      <c r="R29" s="156"/>
      <c r="S29" s="161"/>
      <c r="T29" s="156"/>
      <c r="U29" s="156"/>
      <c r="V29" s="176" t="s">
        <v>156</v>
      </c>
      <c r="W29" s="177"/>
      <c r="X29" s="177"/>
      <c r="Y29" s="177"/>
      <c r="Z29" s="177"/>
      <c r="AA29" s="178"/>
      <c r="AB29" s="169"/>
      <c r="AC29" s="170"/>
      <c r="AD29" s="170"/>
      <c r="AE29" s="170"/>
      <c r="AF29" s="170"/>
      <c r="AG29" s="170"/>
      <c r="AH29" s="170"/>
      <c r="AI29" s="170"/>
      <c r="AJ29" s="170"/>
      <c r="AK29" s="170"/>
      <c r="AL29" s="170"/>
      <c r="AM29" s="170"/>
      <c r="AN29" s="170"/>
      <c r="AO29" s="170"/>
      <c r="AP29" s="170"/>
      <c r="AQ29" s="171"/>
      <c r="AR29" s="161"/>
      <c r="AS29" s="156"/>
      <c r="AT29" s="156"/>
      <c r="AU29" s="156"/>
      <c r="AV29" s="156"/>
      <c r="AW29" s="157"/>
      <c r="AX29" s="161" t="s">
        <v>246</v>
      </c>
      <c r="AY29" s="157"/>
      <c r="AZ29" s="161" t="s">
        <v>245</v>
      </c>
      <c r="BA29" s="157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133"/>
      <c r="BU29" s="41"/>
      <c r="BV29" s="40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</row>
    <row r="30" spans="1:85" ht="20.100000000000001" customHeight="1" x14ac:dyDescent="0.45">
      <c r="A30" s="29"/>
      <c r="B30" s="44"/>
      <c r="C30"/>
      <c r="D30" s="37">
        <v>20</v>
      </c>
      <c r="E30" s="188" t="s">
        <v>121</v>
      </c>
      <c r="F30" s="189"/>
      <c r="G30" s="189"/>
      <c r="H30" s="189"/>
      <c r="I30" s="189"/>
      <c r="J30" s="189"/>
      <c r="K30" s="189"/>
      <c r="L30" s="190"/>
      <c r="M30" s="161" t="s">
        <v>38</v>
      </c>
      <c r="N30" s="156"/>
      <c r="O30" s="156"/>
      <c r="P30" s="161" t="s">
        <v>129</v>
      </c>
      <c r="Q30" s="156"/>
      <c r="R30" s="156"/>
      <c r="S30" s="163"/>
      <c r="T30" s="164"/>
      <c r="U30" s="164"/>
      <c r="V30" s="179" t="s">
        <v>157</v>
      </c>
      <c r="W30" s="180"/>
      <c r="X30" s="180"/>
      <c r="Y30" s="180"/>
      <c r="Z30" s="180"/>
      <c r="AA30" s="181"/>
      <c r="AB30" s="172"/>
      <c r="AC30" s="173"/>
      <c r="AD30" s="173"/>
      <c r="AE30" s="173"/>
      <c r="AF30" s="173"/>
      <c r="AG30" s="173"/>
      <c r="AH30" s="173"/>
      <c r="AI30" s="173"/>
      <c r="AJ30" s="173"/>
      <c r="AK30" s="173"/>
      <c r="AL30" s="173"/>
      <c r="AM30" s="173"/>
      <c r="AN30" s="173"/>
      <c r="AO30" s="173"/>
      <c r="AP30" s="173"/>
      <c r="AQ30" s="174"/>
      <c r="AR30" s="163"/>
      <c r="AS30" s="164"/>
      <c r="AT30" s="164"/>
      <c r="AU30" s="164"/>
      <c r="AV30" s="164"/>
      <c r="AW30" s="165"/>
      <c r="AX30" s="161" t="s">
        <v>246</v>
      </c>
      <c r="AY30" s="157"/>
      <c r="AZ30" s="161" t="s">
        <v>245</v>
      </c>
      <c r="BA30" s="157"/>
      <c r="BB30" s="54"/>
      <c r="BC30" s="54"/>
      <c r="BD30" s="54"/>
      <c r="BE30" s="54"/>
      <c r="BF30" s="54"/>
      <c r="BG30" s="54"/>
      <c r="BH30" s="54"/>
      <c r="BI30" s="54"/>
      <c r="BJ30" s="54"/>
      <c r="BK30" s="54"/>
      <c r="BL30" s="54"/>
      <c r="BM30" s="54"/>
      <c r="BN30" s="54"/>
      <c r="BO30" s="54"/>
      <c r="BP30" s="54"/>
      <c r="BQ30" s="54"/>
      <c r="BR30" s="54"/>
      <c r="BS30" s="54"/>
      <c r="BT30" s="134"/>
      <c r="BU30" s="41"/>
      <c r="BV30" s="40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</row>
    <row r="31" spans="1:85" s="5" customFormat="1" ht="20.100000000000001" customHeight="1" x14ac:dyDescent="0.45">
      <c r="A31" s="29"/>
      <c r="B31" s="35"/>
      <c r="C31" s="29"/>
      <c r="D31" s="37">
        <v>21</v>
      </c>
      <c r="E31" s="182" t="s">
        <v>123</v>
      </c>
      <c r="F31" s="183"/>
      <c r="G31" s="183"/>
      <c r="H31" s="183"/>
      <c r="I31" s="183"/>
      <c r="J31" s="183"/>
      <c r="K31" s="183"/>
      <c r="L31" s="184"/>
      <c r="M31" s="161" t="s">
        <v>47</v>
      </c>
      <c r="N31" s="156"/>
      <c r="O31" s="156"/>
      <c r="P31" s="161" t="s">
        <v>128</v>
      </c>
      <c r="Q31" s="156"/>
      <c r="R31" s="156"/>
      <c r="S31" s="161"/>
      <c r="T31" s="156"/>
      <c r="U31" s="156"/>
      <c r="V31" s="176" t="s">
        <v>158</v>
      </c>
      <c r="W31" s="177"/>
      <c r="X31" s="177"/>
      <c r="Y31" s="177"/>
      <c r="Z31" s="177"/>
      <c r="AA31" s="178"/>
      <c r="AB31" s="169"/>
      <c r="AC31" s="170"/>
      <c r="AD31" s="170"/>
      <c r="AE31" s="170"/>
      <c r="AF31" s="170"/>
      <c r="AG31" s="170"/>
      <c r="AH31" s="170"/>
      <c r="AI31" s="170"/>
      <c r="AJ31" s="170"/>
      <c r="AK31" s="170"/>
      <c r="AL31" s="170"/>
      <c r="AM31" s="170"/>
      <c r="AN31" s="170"/>
      <c r="AO31" s="170"/>
      <c r="AP31" s="170"/>
      <c r="AQ31" s="171"/>
      <c r="AR31" s="161"/>
      <c r="AS31" s="156"/>
      <c r="AT31" s="156"/>
      <c r="AU31" s="156"/>
      <c r="AV31" s="156"/>
      <c r="AW31" s="157"/>
      <c r="AX31" s="161" t="s">
        <v>246</v>
      </c>
      <c r="AY31" s="157"/>
      <c r="AZ31" s="161" t="s">
        <v>245</v>
      </c>
      <c r="BA31" s="157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133"/>
      <c r="BU31" s="41"/>
      <c r="BV31" s="40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</row>
    <row r="32" spans="1:85" ht="20.100000000000001" customHeight="1" x14ac:dyDescent="0.45">
      <c r="A32" s="29"/>
      <c r="B32" s="44"/>
      <c r="C32" s="29"/>
      <c r="D32" s="37">
        <v>22</v>
      </c>
      <c r="E32" s="182" t="s">
        <v>124</v>
      </c>
      <c r="F32" s="183"/>
      <c r="G32" s="183"/>
      <c r="H32" s="183"/>
      <c r="I32" s="183"/>
      <c r="J32" s="183"/>
      <c r="K32" s="183"/>
      <c r="L32" s="184"/>
      <c r="M32" s="161" t="s">
        <v>47</v>
      </c>
      <c r="N32" s="156"/>
      <c r="O32" s="156"/>
      <c r="P32" s="161" t="s">
        <v>128</v>
      </c>
      <c r="Q32" s="156"/>
      <c r="R32" s="156"/>
      <c r="S32" s="161"/>
      <c r="T32" s="156"/>
      <c r="U32" s="156"/>
      <c r="V32" s="176" t="s">
        <v>159</v>
      </c>
      <c r="W32" s="177"/>
      <c r="X32" s="177"/>
      <c r="Y32" s="177"/>
      <c r="Z32" s="177"/>
      <c r="AA32" s="178"/>
      <c r="AB32" s="169"/>
      <c r="AC32" s="170"/>
      <c r="AD32" s="170"/>
      <c r="AE32" s="170"/>
      <c r="AF32" s="170"/>
      <c r="AG32" s="170"/>
      <c r="AH32" s="170"/>
      <c r="AI32" s="170"/>
      <c r="AJ32" s="170"/>
      <c r="AK32" s="170"/>
      <c r="AL32" s="170"/>
      <c r="AM32" s="170"/>
      <c r="AN32" s="170"/>
      <c r="AO32" s="170"/>
      <c r="AP32" s="170"/>
      <c r="AQ32" s="171"/>
      <c r="AR32" s="161"/>
      <c r="AS32" s="156"/>
      <c r="AT32" s="156"/>
      <c r="AU32" s="156"/>
      <c r="AV32" s="156"/>
      <c r="AW32" s="157"/>
      <c r="AX32" s="161" t="s">
        <v>246</v>
      </c>
      <c r="AY32" s="157"/>
      <c r="AZ32" s="161" t="s">
        <v>245</v>
      </c>
      <c r="BA32" s="157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133"/>
      <c r="BU32" s="41"/>
      <c r="BV32" s="40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</row>
    <row r="33" spans="1:85" ht="19.5" customHeight="1" x14ac:dyDescent="0.45">
      <c r="A33" s="29"/>
      <c r="B33" s="44"/>
      <c r="C33" s="29"/>
      <c r="D33" s="37">
        <v>23</v>
      </c>
      <c r="E33" s="182" t="s">
        <v>125</v>
      </c>
      <c r="F33" s="183"/>
      <c r="G33" s="183"/>
      <c r="H33" s="183"/>
      <c r="I33" s="183"/>
      <c r="J33" s="183"/>
      <c r="K33" s="183"/>
      <c r="L33" s="184"/>
      <c r="M33" s="161" t="s">
        <v>38</v>
      </c>
      <c r="N33" s="156"/>
      <c r="O33" s="156"/>
      <c r="P33" s="161" t="s">
        <v>129</v>
      </c>
      <c r="Q33" s="156"/>
      <c r="R33" s="156"/>
      <c r="S33" s="161"/>
      <c r="T33" s="156"/>
      <c r="U33" s="156"/>
      <c r="V33" s="176" t="s">
        <v>160</v>
      </c>
      <c r="W33" s="177"/>
      <c r="X33" s="177"/>
      <c r="Y33" s="177"/>
      <c r="Z33" s="177"/>
      <c r="AA33" s="178"/>
      <c r="AB33" s="169"/>
      <c r="AC33" s="170"/>
      <c r="AD33" s="170"/>
      <c r="AE33" s="170"/>
      <c r="AF33" s="170"/>
      <c r="AG33" s="170"/>
      <c r="AH33" s="170"/>
      <c r="AI33" s="170"/>
      <c r="AJ33" s="170"/>
      <c r="AK33" s="170"/>
      <c r="AL33" s="170"/>
      <c r="AM33" s="170"/>
      <c r="AN33" s="170"/>
      <c r="AO33" s="170"/>
      <c r="AP33" s="170"/>
      <c r="AQ33" s="171"/>
      <c r="AR33" s="161"/>
      <c r="AS33" s="156"/>
      <c r="AT33" s="156"/>
      <c r="AU33" s="156"/>
      <c r="AV33" s="156"/>
      <c r="AW33" s="157"/>
      <c r="AX33" s="161" t="s">
        <v>246</v>
      </c>
      <c r="AY33" s="157"/>
      <c r="AZ33" s="161" t="s">
        <v>245</v>
      </c>
      <c r="BA33" s="157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133"/>
      <c r="BU33" s="41"/>
      <c r="BV33" s="40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</row>
    <row r="34" spans="1:85" ht="19.5" customHeight="1" x14ac:dyDescent="0.45">
      <c r="A34" s="29"/>
      <c r="B34" s="44"/>
      <c r="C34" s="29"/>
      <c r="D34" s="37">
        <v>24</v>
      </c>
      <c r="E34" s="182" t="s">
        <v>126</v>
      </c>
      <c r="F34" s="183"/>
      <c r="G34" s="183"/>
      <c r="H34" s="183"/>
      <c r="I34" s="183"/>
      <c r="J34" s="183"/>
      <c r="K34" s="183"/>
      <c r="L34" s="184"/>
      <c r="M34" s="161" t="s">
        <v>47</v>
      </c>
      <c r="N34" s="156"/>
      <c r="O34" s="156"/>
      <c r="P34" s="161" t="s">
        <v>128</v>
      </c>
      <c r="Q34" s="156"/>
      <c r="R34" s="156"/>
      <c r="S34" s="161"/>
      <c r="T34" s="156"/>
      <c r="U34" s="156"/>
      <c r="V34" s="176" t="s">
        <v>163</v>
      </c>
      <c r="W34" s="177"/>
      <c r="X34" s="177"/>
      <c r="Y34" s="177"/>
      <c r="Z34" s="177"/>
      <c r="AA34" s="178"/>
      <c r="AB34" s="169"/>
      <c r="AC34" s="170"/>
      <c r="AD34" s="170"/>
      <c r="AE34" s="170"/>
      <c r="AF34" s="170"/>
      <c r="AG34" s="170"/>
      <c r="AH34" s="170"/>
      <c r="AI34" s="170"/>
      <c r="AJ34" s="170"/>
      <c r="AK34" s="170"/>
      <c r="AL34" s="170"/>
      <c r="AM34" s="170"/>
      <c r="AN34" s="170"/>
      <c r="AO34" s="170"/>
      <c r="AP34" s="170"/>
      <c r="AQ34" s="171"/>
      <c r="AR34" s="161"/>
      <c r="AS34" s="156"/>
      <c r="AT34" s="156"/>
      <c r="AU34" s="156"/>
      <c r="AV34" s="156"/>
      <c r="AW34" s="157"/>
      <c r="AX34" s="161" t="s">
        <v>245</v>
      </c>
      <c r="AY34" s="157"/>
      <c r="AZ34" s="161" t="s">
        <v>246</v>
      </c>
      <c r="BA34" s="157"/>
      <c r="BB34" s="132" t="s">
        <v>164</v>
      </c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133"/>
      <c r="BU34" s="41"/>
      <c r="BV34" s="40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</row>
    <row r="35" spans="1:85" ht="20.100000000000001" customHeight="1" thickBot="1" x14ac:dyDescent="0.5">
      <c r="A35" s="29"/>
      <c r="B35" s="44"/>
      <c r="C35" s="29"/>
      <c r="D35" s="37">
        <v>25</v>
      </c>
      <c r="E35" s="188" t="s">
        <v>127</v>
      </c>
      <c r="F35" s="189"/>
      <c r="G35" s="189"/>
      <c r="H35" s="189"/>
      <c r="I35" s="189"/>
      <c r="J35" s="189"/>
      <c r="K35" s="189"/>
      <c r="L35" s="190"/>
      <c r="M35" s="161" t="s">
        <v>47</v>
      </c>
      <c r="N35" s="156"/>
      <c r="O35" s="156"/>
      <c r="P35" s="161" t="s">
        <v>128</v>
      </c>
      <c r="Q35" s="156"/>
      <c r="R35" s="156"/>
      <c r="S35" s="163"/>
      <c r="T35" s="164"/>
      <c r="U35" s="164"/>
      <c r="V35" s="179" t="s">
        <v>161</v>
      </c>
      <c r="W35" s="180"/>
      <c r="X35" s="180"/>
      <c r="Y35" s="180"/>
      <c r="Z35" s="180"/>
      <c r="AA35" s="181"/>
      <c r="AB35" s="172" t="s">
        <v>162</v>
      </c>
      <c r="AC35" s="173"/>
      <c r="AD35" s="173"/>
      <c r="AE35" s="173"/>
      <c r="AF35" s="173"/>
      <c r="AG35" s="173"/>
      <c r="AH35" s="173"/>
      <c r="AI35" s="173"/>
      <c r="AJ35" s="173"/>
      <c r="AK35" s="173"/>
      <c r="AL35" s="173"/>
      <c r="AM35" s="173"/>
      <c r="AN35" s="173"/>
      <c r="AO35" s="173"/>
      <c r="AP35" s="173"/>
      <c r="AQ35" s="174"/>
      <c r="AR35" s="163"/>
      <c r="AS35" s="164"/>
      <c r="AT35" s="164"/>
      <c r="AU35" s="164"/>
      <c r="AV35" s="164"/>
      <c r="AW35" s="165"/>
      <c r="AX35" s="161" t="s">
        <v>246</v>
      </c>
      <c r="AY35" s="157"/>
      <c r="AZ35" s="161" t="s">
        <v>245</v>
      </c>
      <c r="BA35" s="157"/>
      <c r="BB35" s="54"/>
      <c r="BC35" s="54"/>
      <c r="BD35" s="54"/>
      <c r="BE35" s="54"/>
      <c r="BF35" s="54"/>
      <c r="BG35" s="54"/>
      <c r="BH35" s="54"/>
      <c r="BI35" s="54"/>
      <c r="BJ35" s="54"/>
      <c r="BK35" s="54"/>
      <c r="BL35" s="54"/>
      <c r="BM35" s="54"/>
      <c r="BN35" s="54"/>
      <c r="BO35" s="54"/>
      <c r="BP35" s="54"/>
      <c r="BQ35" s="54"/>
      <c r="BR35" s="54"/>
      <c r="BS35" s="54"/>
      <c r="BT35" s="134"/>
      <c r="BU35" s="41"/>
      <c r="BV35" s="40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</row>
    <row r="36" spans="1:85" ht="20.100000000000001" customHeight="1" thickTop="1" thickBot="1" x14ac:dyDescent="0.5">
      <c r="A36" s="29"/>
      <c r="B36" s="40"/>
      <c r="C36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/>
      <c r="BD36" s="73"/>
      <c r="BE36" s="73"/>
      <c r="BF36" s="73"/>
      <c r="BG36" s="73"/>
      <c r="BH36" s="73"/>
      <c r="BI36" s="73"/>
      <c r="BJ36" s="73"/>
      <c r="BK36" s="73"/>
      <c r="BL36" s="73"/>
      <c r="BM36" s="73"/>
      <c r="BN36" s="73"/>
      <c r="BO36" s="73"/>
      <c r="BP36" s="73"/>
      <c r="BQ36" s="46"/>
      <c r="BR36" s="46"/>
      <c r="BS36" s="46"/>
      <c r="BT36" s="46"/>
      <c r="BU36" s="28"/>
    </row>
    <row r="37" spans="1:85" ht="20.100000000000001" customHeight="1" thickTop="1" x14ac:dyDescent="0.45">
      <c r="A37" s="29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33"/>
      <c r="BD37" s="33"/>
      <c r="BE37" s="33"/>
      <c r="BF37" s="33"/>
      <c r="BG37" s="33"/>
      <c r="BH37" s="33"/>
      <c r="BI37" s="42"/>
      <c r="BJ37" s="42"/>
      <c r="BK37" s="42"/>
      <c r="BL37" s="42"/>
      <c r="BM37" s="42"/>
      <c r="BN37" s="42"/>
      <c r="BO37" s="42"/>
      <c r="BP37" s="41"/>
    </row>
    <row r="38" spans="1:85" ht="20.100000000000001" customHeight="1" x14ac:dyDescent="0.45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41"/>
      <c r="BM38" s="41"/>
      <c r="BN38" s="41"/>
      <c r="BO38" s="41"/>
      <c r="BP38" s="41"/>
    </row>
    <row r="39" spans="1:85" ht="20.100000000000001" customHeight="1" x14ac:dyDescent="0.45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31"/>
      <c r="BH39" s="31"/>
      <c r="BI39" s="31"/>
      <c r="BJ39" s="31"/>
      <c r="BK39" s="31"/>
      <c r="BL39" s="31"/>
      <c r="BM39" s="31"/>
      <c r="BN39" s="31"/>
      <c r="BO39" s="31"/>
      <c r="BP39" s="31"/>
    </row>
    <row r="40" spans="1:85" ht="20.100000000000001" customHeight="1" x14ac:dyDescent="0.45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31"/>
      <c r="BH40" s="31"/>
      <c r="BI40" s="31"/>
      <c r="BJ40" s="31"/>
      <c r="BK40" s="31"/>
      <c r="BL40" s="31"/>
      <c r="BM40" s="31"/>
      <c r="BN40" s="31"/>
      <c r="BO40" s="31"/>
      <c r="BP40" s="31"/>
    </row>
    <row r="41" spans="1:85" ht="20.100000000000001" customHeight="1" x14ac:dyDescent="0.45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31"/>
      <c r="BH41" s="31"/>
      <c r="BI41" s="31"/>
      <c r="BJ41" s="31"/>
      <c r="BK41" s="31"/>
      <c r="BL41" s="31"/>
      <c r="BM41" s="31"/>
      <c r="BN41" s="31"/>
      <c r="BO41" s="31"/>
      <c r="BP41" s="31"/>
    </row>
    <row r="42" spans="1:85" ht="20.100000000000001" customHeight="1" x14ac:dyDescent="0.45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31"/>
      <c r="BH42" s="31"/>
      <c r="BI42" s="31"/>
      <c r="BJ42" s="31"/>
      <c r="BK42" s="31"/>
      <c r="BL42" s="31"/>
      <c r="BM42" s="31"/>
      <c r="BN42" s="31"/>
      <c r="BO42" s="31"/>
      <c r="BP42" s="31"/>
    </row>
    <row r="43" spans="1:85" ht="20.100000000000001" customHeight="1" x14ac:dyDescent="0.45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31"/>
      <c r="BH43" s="31"/>
      <c r="BI43" s="31"/>
      <c r="BJ43" s="31"/>
      <c r="BK43" s="31"/>
      <c r="BL43" s="31"/>
      <c r="BM43" s="31"/>
      <c r="BN43" s="31"/>
      <c r="BO43" s="31"/>
      <c r="BP43" s="31"/>
    </row>
    <row r="44" spans="1:85" ht="20.100000000000001" customHeight="1" x14ac:dyDescent="0.45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31"/>
      <c r="BH44" s="31"/>
      <c r="BI44" s="31"/>
      <c r="BJ44" s="31"/>
      <c r="BK44" s="31"/>
      <c r="BL44" s="31"/>
      <c r="BM44" s="31"/>
      <c r="BN44" s="31"/>
      <c r="BO44" s="31"/>
      <c r="BP44" s="31"/>
    </row>
    <row r="45" spans="1:85" ht="20.100000000000001" customHeight="1" x14ac:dyDescent="0.45"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31"/>
      <c r="BH45" s="31"/>
      <c r="BI45" s="31"/>
      <c r="BJ45" s="31"/>
      <c r="BK45" s="31"/>
      <c r="BL45" s="31"/>
      <c r="BM45" s="31"/>
      <c r="BN45" s="31"/>
      <c r="BO45" s="31"/>
      <c r="BP45" s="31"/>
    </row>
    <row r="46" spans="1:85" ht="20.100000000000001" customHeight="1" x14ac:dyDescent="0.45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31"/>
      <c r="BH46" s="31"/>
      <c r="BI46" s="31"/>
      <c r="BJ46" s="31"/>
      <c r="BK46" s="31"/>
      <c r="BL46" s="31"/>
      <c r="BM46" s="31"/>
      <c r="BN46" s="31"/>
      <c r="BO46" s="31"/>
      <c r="BP46" s="31"/>
    </row>
    <row r="47" spans="1:85" ht="20.100000000000001" customHeight="1" x14ac:dyDescent="0.45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31"/>
      <c r="BH47" s="31"/>
      <c r="BI47" s="31"/>
      <c r="BJ47" s="31"/>
      <c r="BK47" s="31"/>
      <c r="BL47" s="31"/>
      <c r="BM47" s="31"/>
      <c r="BN47" s="31"/>
      <c r="BO47" s="31"/>
      <c r="BP47" s="31"/>
    </row>
    <row r="48" spans="1:85" ht="20.100000000000001" customHeight="1" x14ac:dyDescent="0.45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31"/>
      <c r="BH48" s="31"/>
      <c r="BI48" s="31"/>
      <c r="BJ48" s="31"/>
      <c r="BK48" s="31"/>
      <c r="BL48" s="31"/>
      <c r="BM48" s="31"/>
      <c r="BN48" s="31"/>
      <c r="BO48" s="31"/>
      <c r="BP48" s="31"/>
    </row>
    <row r="49" spans="1:68" ht="20.100000000000001" customHeight="1" x14ac:dyDescent="0.45"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</row>
    <row r="50" spans="1:68" ht="20.100000000000001" customHeight="1" x14ac:dyDescent="0.45">
      <c r="B50" s="3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</row>
    <row r="51" spans="1:68" ht="20.100000000000001" customHeight="1" x14ac:dyDescent="0.45"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31"/>
      <c r="BP51" s="31"/>
    </row>
    <row r="52" spans="1:68" ht="20.100000000000001" customHeight="1" x14ac:dyDescent="0.45"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31"/>
      <c r="BP52" s="31"/>
    </row>
    <row r="53" spans="1:68" ht="20.100000000000001" customHeight="1" x14ac:dyDescent="0.45"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1"/>
      <c r="BL53" s="41"/>
      <c r="BM53" s="41"/>
      <c r="BN53" s="41"/>
      <c r="BO53" s="31"/>
      <c r="BP53" s="31"/>
    </row>
    <row r="54" spans="1:68" ht="20.100000000000001" customHeight="1" x14ac:dyDescent="0.45">
      <c r="A54" s="29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41"/>
      <c r="BL54" s="41"/>
      <c r="BM54" s="41"/>
      <c r="BN54" s="41"/>
      <c r="BO54" s="31"/>
      <c r="BP54" s="31"/>
    </row>
    <row r="55" spans="1:68" ht="20.100000000000001" customHeight="1" x14ac:dyDescent="0.45">
      <c r="A55" s="29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41"/>
      <c r="BL55" s="41"/>
      <c r="BM55" s="41"/>
      <c r="BN55" s="41"/>
      <c r="BO55" s="31"/>
      <c r="BP55" s="31"/>
    </row>
    <row r="56" spans="1:68" ht="20.100000000000001" customHeight="1" x14ac:dyDescent="0.45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</row>
    <row r="57" spans="1:68" ht="20.100000000000001" customHeight="1" x14ac:dyDescent="0.45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</row>
    <row r="58" spans="1:68" ht="20.100000000000001" customHeight="1" x14ac:dyDescent="0.45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</row>
  </sheetData>
  <mergeCells count="254">
    <mergeCell ref="AX35:AY35"/>
    <mergeCell ref="AZ35:BA35"/>
    <mergeCell ref="AX30:AY30"/>
    <mergeCell ref="AZ30:BA30"/>
    <mergeCell ref="AX31:AY31"/>
    <mergeCell ref="AZ31:BA31"/>
    <mergeCell ref="AX32:AY32"/>
    <mergeCell ref="AZ32:BA32"/>
    <mergeCell ref="AX33:AY33"/>
    <mergeCell ref="AZ33:BA33"/>
    <mergeCell ref="AX34:AY34"/>
    <mergeCell ref="AZ34:BA34"/>
    <mergeCell ref="AX25:AY25"/>
    <mergeCell ref="AZ25:BA25"/>
    <mergeCell ref="AX26:AY26"/>
    <mergeCell ref="AZ26:BA26"/>
    <mergeCell ref="AX27:AY27"/>
    <mergeCell ref="AZ27:BA27"/>
    <mergeCell ref="AX28:AY28"/>
    <mergeCell ref="AZ28:BA28"/>
    <mergeCell ref="AX29:AY29"/>
    <mergeCell ref="AZ29:BA29"/>
    <mergeCell ref="AZ20:BA20"/>
    <mergeCell ref="AX21:AY21"/>
    <mergeCell ref="AZ21:BA21"/>
    <mergeCell ref="AX22:AY22"/>
    <mergeCell ref="AZ22:BA22"/>
    <mergeCell ref="AX23:AY23"/>
    <mergeCell ref="AZ23:BA23"/>
    <mergeCell ref="AX24:AY24"/>
    <mergeCell ref="AZ24:BA24"/>
    <mergeCell ref="AX20:AY20"/>
    <mergeCell ref="AX10:AY10"/>
    <mergeCell ref="AZ10:BA10"/>
    <mergeCell ref="AX11:AY11"/>
    <mergeCell ref="AZ11:BA11"/>
    <mergeCell ref="AX12:AY12"/>
    <mergeCell ref="AZ12:BA12"/>
    <mergeCell ref="AX13:AY13"/>
    <mergeCell ref="AZ13:BA13"/>
    <mergeCell ref="AX14:AY14"/>
    <mergeCell ref="AZ14:BA14"/>
    <mergeCell ref="E35:L35"/>
    <mergeCell ref="M35:O35"/>
    <mergeCell ref="P35:R35"/>
    <mergeCell ref="S35:U35"/>
    <mergeCell ref="V35:AA35"/>
    <mergeCell ref="AB35:AQ35"/>
    <mergeCell ref="AR35:AW35"/>
    <mergeCell ref="E33:L33"/>
    <mergeCell ref="M33:O33"/>
    <mergeCell ref="P33:R33"/>
    <mergeCell ref="S33:U33"/>
    <mergeCell ref="V33:AA33"/>
    <mergeCell ref="AB33:AQ33"/>
    <mergeCell ref="AR33:AW33"/>
    <mergeCell ref="E34:L34"/>
    <mergeCell ref="M34:O34"/>
    <mergeCell ref="P34:R34"/>
    <mergeCell ref="S34:U34"/>
    <mergeCell ref="V34:AA34"/>
    <mergeCell ref="AB34:AQ34"/>
    <mergeCell ref="AR34:AW34"/>
    <mergeCell ref="E31:L31"/>
    <mergeCell ref="M31:O31"/>
    <mergeCell ref="P31:R31"/>
    <mergeCell ref="S31:U31"/>
    <mergeCell ref="V31:AA31"/>
    <mergeCell ref="AB31:AQ31"/>
    <mergeCell ref="AR31:AW31"/>
    <mergeCell ref="E32:L32"/>
    <mergeCell ref="M32:O32"/>
    <mergeCell ref="P32:R32"/>
    <mergeCell ref="S32:U32"/>
    <mergeCell ref="V32:AA32"/>
    <mergeCell ref="AB32:AQ32"/>
    <mergeCell ref="AR32:AW32"/>
    <mergeCell ref="E30:L30"/>
    <mergeCell ref="M26:O26"/>
    <mergeCell ref="M27:O27"/>
    <mergeCell ref="M28:O28"/>
    <mergeCell ref="M29:O29"/>
    <mergeCell ref="M30:O30"/>
    <mergeCell ref="E23:L23"/>
    <mergeCell ref="E26:L26"/>
    <mergeCell ref="E27:L27"/>
    <mergeCell ref="E28:L28"/>
    <mergeCell ref="E29:L29"/>
    <mergeCell ref="E25:L25"/>
    <mergeCell ref="E24:L24"/>
    <mergeCell ref="M24:O24"/>
    <mergeCell ref="M25:O25"/>
    <mergeCell ref="AK2:AW2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B3:G4"/>
    <mergeCell ref="H3:K4"/>
    <mergeCell ref="L3:Q4"/>
    <mergeCell ref="E12:L12"/>
    <mergeCell ref="E13:L13"/>
    <mergeCell ref="B2:G2"/>
    <mergeCell ref="H2:K2"/>
    <mergeCell ref="L2:Q2"/>
    <mergeCell ref="R2:W2"/>
    <mergeCell ref="E10:L10"/>
    <mergeCell ref="E11:L11"/>
    <mergeCell ref="E20:L20"/>
    <mergeCell ref="E21:L21"/>
    <mergeCell ref="E22:L22"/>
    <mergeCell ref="E14:L14"/>
    <mergeCell ref="E15:L15"/>
    <mergeCell ref="M10:O10"/>
    <mergeCell ref="M11:O11"/>
    <mergeCell ref="M12:O12"/>
    <mergeCell ref="M13:O13"/>
    <mergeCell ref="M14:O14"/>
    <mergeCell ref="M19:O19"/>
    <mergeCell ref="E18:L18"/>
    <mergeCell ref="E19:L19"/>
    <mergeCell ref="M15:O15"/>
    <mergeCell ref="M16:O16"/>
    <mergeCell ref="M17:O17"/>
    <mergeCell ref="M18:O18"/>
    <mergeCell ref="E16:L16"/>
    <mergeCell ref="E17:L17"/>
    <mergeCell ref="P23:R23"/>
    <mergeCell ref="V23:AA23"/>
    <mergeCell ref="V19:AA19"/>
    <mergeCell ref="V20:AA20"/>
    <mergeCell ref="V21:AA21"/>
    <mergeCell ref="V22:AA22"/>
    <mergeCell ref="X2:AJ2"/>
    <mergeCell ref="X3:AJ4"/>
    <mergeCell ref="M20:O20"/>
    <mergeCell ref="M21:O21"/>
    <mergeCell ref="M22:O22"/>
    <mergeCell ref="M23:O23"/>
    <mergeCell ref="R3:W4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P29:R29"/>
    <mergeCell ref="P30:R30"/>
    <mergeCell ref="S11:U11"/>
    <mergeCell ref="S12:U12"/>
    <mergeCell ref="S13:U13"/>
    <mergeCell ref="S14:U14"/>
    <mergeCell ref="S15:U15"/>
    <mergeCell ref="S16:U16"/>
    <mergeCell ref="S17:U17"/>
    <mergeCell ref="S18:U18"/>
    <mergeCell ref="S19:U19"/>
    <mergeCell ref="S20:U20"/>
    <mergeCell ref="S21:U21"/>
    <mergeCell ref="S22:U22"/>
    <mergeCell ref="S23:U23"/>
    <mergeCell ref="P24:R24"/>
    <mergeCell ref="P25:R25"/>
    <mergeCell ref="P26:R26"/>
    <mergeCell ref="P27:R27"/>
    <mergeCell ref="P28:R28"/>
    <mergeCell ref="P19:R19"/>
    <mergeCell ref="P20:R20"/>
    <mergeCell ref="P21:R21"/>
    <mergeCell ref="P22:R22"/>
    <mergeCell ref="V29:AA29"/>
    <mergeCell ref="V30:AA30"/>
    <mergeCell ref="S10:U10"/>
    <mergeCell ref="S24:U24"/>
    <mergeCell ref="S25:U25"/>
    <mergeCell ref="S26:U26"/>
    <mergeCell ref="S27:U27"/>
    <mergeCell ref="S28:U28"/>
    <mergeCell ref="S29:U29"/>
    <mergeCell ref="V10:AA10"/>
    <mergeCell ref="S30:U30"/>
    <mergeCell ref="V11:AA11"/>
    <mergeCell ref="V12:AA12"/>
    <mergeCell ref="V13:AA13"/>
    <mergeCell ref="V14:AA14"/>
    <mergeCell ref="V15:AA15"/>
    <mergeCell ref="V16:AA16"/>
    <mergeCell ref="V17:AA17"/>
    <mergeCell ref="V18:AA18"/>
    <mergeCell ref="V24:AA24"/>
    <mergeCell ref="V25:AA25"/>
    <mergeCell ref="V26:AA26"/>
    <mergeCell ref="V27:AA27"/>
    <mergeCell ref="V28:AA28"/>
    <mergeCell ref="AX15:AY15"/>
    <mergeCell ref="AZ15:BA15"/>
    <mergeCell ref="AX16:AY16"/>
    <mergeCell ref="AZ16:BA16"/>
    <mergeCell ref="AX17:AY17"/>
    <mergeCell ref="AZ17:BA17"/>
    <mergeCell ref="AX18:AY18"/>
    <mergeCell ref="AZ18:BA18"/>
    <mergeCell ref="AX19:AY19"/>
    <mergeCell ref="AZ19:BA19"/>
    <mergeCell ref="AB29:AQ29"/>
    <mergeCell ref="AB30:AQ30"/>
    <mergeCell ref="AB24:AQ24"/>
    <mergeCell ref="AB25:AQ25"/>
    <mergeCell ref="AB26:AQ26"/>
    <mergeCell ref="AB27:AQ27"/>
    <mergeCell ref="AB28:AQ28"/>
    <mergeCell ref="AB10:AQ10"/>
    <mergeCell ref="AB11:AQ11"/>
    <mergeCell ref="AB12:AQ12"/>
    <mergeCell ref="AB13:AQ13"/>
    <mergeCell ref="AB14:AQ14"/>
    <mergeCell ref="AB15:AQ15"/>
    <mergeCell ref="AB16:AQ16"/>
    <mergeCell ref="AB17:AQ17"/>
    <mergeCell ref="AB18:AQ18"/>
    <mergeCell ref="AB19:AQ19"/>
    <mergeCell ref="AB20:AQ20"/>
    <mergeCell ref="AB21:AQ21"/>
    <mergeCell ref="AB22:AQ22"/>
    <mergeCell ref="AB23:AQ23"/>
    <mergeCell ref="AR30:AW30"/>
    <mergeCell ref="AR10:AW10"/>
    <mergeCell ref="AR11:AW11"/>
    <mergeCell ref="AR12:AW12"/>
    <mergeCell ref="AR13:AW13"/>
    <mergeCell ref="AR14:AW14"/>
    <mergeCell ref="AR15:AW15"/>
    <mergeCell ref="AR16:AW16"/>
    <mergeCell ref="AR17:AW17"/>
    <mergeCell ref="AR18:AW18"/>
    <mergeCell ref="AR19:AW19"/>
    <mergeCell ref="AR20:AW20"/>
    <mergeCell ref="AR21:AW21"/>
    <mergeCell ref="AR22:AW22"/>
    <mergeCell ref="AR23:AW23"/>
    <mergeCell ref="AR24:AW24"/>
    <mergeCell ref="AR25:AW25"/>
    <mergeCell ref="AR26:AW26"/>
    <mergeCell ref="AR27:AW27"/>
    <mergeCell ref="AR28:AW28"/>
    <mergeCell ref="AR29:AW29"/>
  </mergeCells>
  <phoneticPr fontId="1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M11:O35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G55"/>
  <sheetViews>
    <sheetView workbookViewId="0"/>
  </sheetViews>
  <sheetFormatPr defaultRowHeight="18" x14ac:dyDescent="0.45"/>
  <cols>
    <col min="1" max="2" width="8.796875" style="29"/>
    <col min="3" max="3" width="20.19921875" style="29" bestFit="1" customWidth="1"/>
    <col min="4" max="4" width="47.59765625" style="29" bestFit="1" customWidth="1"/>
    <col min="5" max="5" width="74.09765625" style="29" bestFit="1" customWidth="1"/>
    <col min="6" max="6" width="17.8984375" style="29" customWidth="1"/>
    <col min="7" max="16384" width="8.796875" style="29"/>
  </cols>
  <sheetData>
    <row r="2" spans="2:7" ht="19.2" thickBot="1" x14ac:dyDescent="0.5">
      <c r="B2" s="87" t="s">
        <v>48</v>
      </c>
    </row>
    <row r="3" spans="2:7" ht="18.600000000000001" thickTop="1" x14ac:dyDescent="0.45">
      <c r="B3" s="38" t="s">
        <v>19</v>
      </c>
      <c r="C3" s="77" t="s">
        <v>49</v>
      </c>
      <c r="D3" s="77" t="s">
        <v>50</v>
      </c>
      <c r="E3" s="74" t="s">
        <v>21</v>
      </c>
      <c r="F3" s="135" t="s">
        <v>248</v>
      </c>
      <c r="G3" s="78" t="s">
        <v>51</v>
      </c>
    </row>
    <row r="4" spans="2:7" x14ac:dyDescent="0.45">
      <c r="B4" s="37">
        <v>1</v>
      </c>
      <c r="C4" s="128" t="s">
        <v>95</v>
      </c>
      <c r="D4" s="79" t="s">
        <v>247</v>
      </c>
      <c r="E4" s="80" t="s">
        <v>130</v>
      </c>
      <c r="F4" s="80" t="s">
        <v>250</v>
      </c>
      <c r="G4" s="81" t="s">
        <v>249</v>
      </c>
    </row>
    <row r="5" spans="2:7" x14ac:dyDescent="0.45">
      <c r="B5" s="37">
        <v>2</v>
      </c>
      <c r="C5" s="79"/>
      <c r="D5" s="79"/>
      <c r="E5" s="82"/>
      <c r="F5" s="82"/>
      <c r="G5" s="81"/>
    </row>
    <row r="6" spans="2:7" x14ac:dyDescent="0.45">
      <c r="B6" s="37">
        <v>3</v>
      </c>
      <c r="C6" s="79"/>
      <c r="D6" s="79"/>
      <c r="E6" s="82"/>
      <c r="F6" s="82"/>
      <c r="G6" s="81"/>
    </row>
    <row r="7" spans="2:7" x14ac:dyDescent="0.45">
      <c r="B7" s="37">
        <v>4</v>
      </c>
      <c r="C7" s="79"/>
      <c r="D7" s="79"/>
      <c r="E7" s="82"/>
      <c r="F7" s="82"/>
      <c r="G7" s="81"/>
    </row>
    <row r="8" spans="2:7" x14ac:dyDescent="0.45">
      <c r="B8" s="37">
        <v>5</v>
      </c>
      <c r="C8" s="79"/>
      <c r="D8" s="79"/>
      <c r="E8" s="82"/>
      <c r="F8" s="82"/>
      <c r="G8" s="81"/>
    </row>
    <row r="9" spans="2:7" x14ac:dyDescent="0.45">
      <c r="B9" s="37">
        <v>6</v>
      </c>
      <c r="C9" s="79"/>
      <c r="D9" s="79"/>
      <c r="E9" s="82"/>
      <c r="F9" s="82"/>
      <c r="G9" s="81"/>
    </row>
    <row r="10" spans="2:7" x14ac:dyDescent="0.45">
      <c r="B10" s="37">
        <v>7</v>
      </c>
      <c r="C10" s="79"/>
      <c r="D10" s="79"/>
      <c r="E10" s="82"/>
      <c r="F10" s="82"/>
      <c r="G10" s="81"/>
    </row>
    <row r="11" spans="2:7" x14ac:dyDescent="0.45">
      <c r="B11" s="37">
        <v>8</v>
      </c>
      <c r="C11" s="79"/>
      <c r="D11" s="79"/>
      <c r="E11" s="82"/>
      <c r="F11" s="82"/>
      <c r="G11" s="81"/>
    </row>
    <row r="12" spans="2:7" x14ac:dyDescent="0.45">
      <c r="B12" s="37">
        <v>9</v>
      </c>
      <c r="C12" s="79"/>
      <c r="D12" s="79"/>
      <c r="E12" s="82"/>
      <c r="F12" s="82"/>
      <c r="G12" s="81"/>
    </row>
    <row r="13" spans="2:7" x14ac:dyDescent="0.45">
      <c r="B13" s="37">
        <v>10</v>
      </c>
      <c r="C13" s="79"/>
      <c r="D13" s="79"/>
      <c r="E13" s="82"/>
      <c r="F13" s="82"/>
      <c r="G13" s="81"/>
    </row>
    <row r="14" spans="2:7" x14ac:dyDescent="0.45">
      <c r="B14" s="37">
        <v>11</v>
      </c>
      <c r="C14" s="79"/>
      <c r="D14" s="79"/>
      <c r="E14" s="82"/>
      <c r="F14" s="82"/>
      <c r="G14" s="81"/>
    </row>
    <row r="15" spans="2:7" x14ac:dyDescent="0.45">
      <c r="B15" s="37">
        <v>12</v>
      </c>
      <c r="C15" s="79"/>
      <c r="D15" s="79"/>
      <c r="E15" s="82"/>
      <c r="F15" s="82"/>
      <c r="G15" s="81"/>
    </row>
    <row r="16" spans="2:7" x14ac:dyDescent="0.45">
      <c r="B16" s="37">
        <v>13</v>
      </c>
      <c r="C16" s="79"/>
      <c r="D16" s="79"/>
      <c r="E16" s="82"/>
      <c r="F16" s="82"/>
      <c r="G16" s="81"/>
    </row>
    <row r="17" spans="2:7" x14ac:dyDescent="0.45">
      <c r="B17" s="37">
        <v>14</v>
      </c>
      <c r="C17" s="79"/>
      <c r="D17" s="79"/>
      <c r="E17" s="82"/>
      <c r="F17" s="82"/>
      <c r="G17" s="81"/>
    </row>
    <row r="18" spans="2:7" x14ac:dyDescent="0.45">
      <c r="B18" s="37">
        <v>15</v>
      </c>
      <c r="C18" s="79"/>
      <c r="D18" s="79"/>
      <c r="E18" s="82"/>
      <c r="F18" s="82"/>
      <c r="G18" s="81"/>
    </row>
    <row r="19" spans="2:7" x14ac:dyDescent="0.45">
      <c r="B19" s="37">
        <v>16</v>
      </c>
      <c r="C19" s="79"/>
      <c r="D19" s="79"/>
      <c r="E19" s="82"/>
      <c r="F19" s="82"/>
      <c r="G19" s="81"/>
    </row>
    <row r="20" spans="2:7" x14ac:dyDescent="0.45">
      <c r="B20" s="37">
        <v>17</v>
      </c>
      <c r="C20" s="79"/>
      <c r="D20" s="79"/>
      <c r="E20" s="82"/>
      <c r="F20" s="82"/>
      <c r="G20" s="81"/>
    </row>
    <row r="21" spans="2:7" x14ac:dyDescent="0.45">
      <c r="B21" s="37">
        <v>18</v>
      </c>
      <c r="C21" s="79"/>
      <c r="D21" s="79"/>
      <c r="E21" s="82"/>
      <c r="F21" s="82"/>
      <c r="G21" s="81"/>
    </row>
    <row r="22" spans="2:7" x14ac:dyDescent="0.45">
      <c r="B22" s="37">
        <v>19</v>
      </c>
      <c r="C22" s="79"/>
      <c r="D22" s="79"/>
      <c r="E22" s="82"/>
      <c r="F22" s="82"/>
      <c r="G22" s="81"/>
    </row>
    <row r="23" spans="2:7" x14ac:dyDescent="0.45">
      <c r="B23" s="37">
        <v>20</v>
      </c>
      <c r="C23" s="79"/>
      <c r="D23" s="79"/>
      <c r="E23" s="82"/>
      <c r="F23" s="82"/>
      <c r="G23" s="81"/>
    </row>
    <row r="24" spans="2:7" x14ac:dyDescent="0.45">
      <c r="B24" s="37">
        <v>21</v>
      </c>
      <c r="C24" s="79"/>
      <c r="D24" s="79"/>
      <c r="E24" s="82"/>
      <c r="F24" s="82"/>
      <c r="G24" s="81"/>
    </row>
    <row r="25" spans="2:7" x14ac:dyDescent="0.45">
      <c r="B25" s="37">
        <v>22</v>
      </c>
      <c r="C25" s="79"/>
      <c r="D25" s="79"/>
      <c r="E25" s="82"/>
      <c r="F25" s="82"/>
      <c r="G25" s="81"/>
    </row>
    <row r="26" spans="2:7" x14ac:dyDescent="0.45">
      <c r="B26" s="37">
        <v>23</v>
      </c>
      <c r="C26" s="79"/>
      <c r="D26" s="79"/>
      <c r="E26" s="82"/>
      <c r="F26" s="82"/>
      <c r="G26" s="81"/>
    </row>
    <row r="27" spans="2:7" x14ac:dyDescent="0.45">
      <c r="B27" s="37">
        <v>24</v>
      </c>
      <c r="C27" s="79"/>
      <c r="D27" s="79"/>
      <c r="E27" s="82"/>
      <c r="F27" s="82"/>
      <c r="G27" s="81"/>
    </row>
    <row r="28" spans="2:7" x14ac:dyDescent="0.45">
      <c r="B28" s="37">
        <v>25</v>
      </c>
      <c r="C28" s="79"/>
      <c r="D28" s="79"/>
      <c r="E28" s="82"/>
      <c r="F28" s="82"/>
      <c r="G28" s="81"/>
    </row>
    <row r="29" spans="2:7" x14ac:dyDescent="0.45">
      <c r="B29" s="37">
        <v>26</v>
      </c>
      <c r="C29" s="79"/>
      <c r="D29" s="79"/>
      <c r="E29" s="82"/>
      <c r="F29" s="82"/>
      <c r="G29" s="81"/>
    </row>
    <row r="30" spans="2:7" x14ac:dyDescent="0.45">
      <c r="B30" s="37">
        <v>27</v>
      </c>
      <c r="C30" s="79"/>
      <c r="D30" s="79"/>
      <c r="E30" s="82"/>
      <c r="F30" s="82"/>
      <c r="G30" s="81"/>
    </row>
    <row r="31" spans="2:7" x14ac:dyDescent="0.45">
      <c r="B31" s="37">
        <v>28</v>
      </c>
      <c r="C31" s="79"/>
      <c r="D31" s="79"/>
      <c r="E31" s="82"/>
      <c r="F31" s="82"/>
      <c r="G31" s="81"/>
    </row>
    <row r="32" spans="2:7" x14ac:dyDescent="0.45">
      <c r="B32" s="37">
        <v>29</v>
      </c>
      <c r="C32" s="79"/>
      <c r="D32" s="79"/>
      <c r="E32" s="82"/>
      <c r="F32" s="82"/>
      <c r="G32" s="81"/>
    </row>
    <row r="33" spans="2:7" x14ac:dyDescent="0.45">
      <c r="B33" s="37">
        <v>30</v>
      </c>
      <c r="C33" s="79"/>
      <c r="D33" s="79"/>
      <c r="E33" s="82"/>
      <c r="F33" s="82"/>
      <c r="G33" s="81"/>
    </row>
    <row r="34" spans="2:7" x14ac:dyDescent="0.45">
      <c r="B34" s="37">
        <v>31</v>
      </c>
      <c r="C34" s="79"/>
      <c r="D34" s="79"/>
      <c r="E34" s="82"/>
      <c r="F34" s="82"/>
      <c r="G34" s="81"/>
    </row>
    <row r="35" spans="2:7" x14ac:dyDescent="0.45">
      <c r="B35" s="37">
        <v>32</v>
      </c>
      <c r="C35" s="79"/>
      <c r="D35" s="79"/>
      <c r="E35" s="82"/>
      <c r="F35" s="82"/>
      <c r="G35" s="81"/>
    </row>
    <row r="36" spans="2:7" x14ac:dyDescent="0.45">
      <c r="B36" s="37">
        <v>33</v>
      </c>
      <c r="C36" s="79"/>
      <c r="D36" s="79"/>
      <c r="E36" s="82"/>
      <c r="F36" s="82"/>
      <c r="G36" s="81"/>
    </row>
    <row r="37" spans="2:7" x14ac:dyDescent="0.45">
      <c r="B37" s="37">
        <v>34</v>
      </c>
      <c r="C37" s="79"/>
      <c r="D37" s="79"/>
      <c r="E37" s="82"/>
      <c r="F37" s="82"/>
      <c r="G37" s="81"/>
    </row>
    <row r="38" spans="2:7" x14ac:dyDescent="0.45">
      <c r="B38" s="37">
        <v>35</v>
      </c>
      <c r="C38" s="79"/>
      <c r="D38" s="79"/>
      <c r="E38" s="82"/>
      <c r="F38" s="82"/>
      <c r="G38" s="81"/>
    </row>
    <row r="39" spans="2:7" x14ac:dyDescent="0.45">
      <c r="B39" s="37">
        <v>36</v>
      </c>
      <c r="C39" s="79"/>
      <c r="D39" s="79"/>
      <c r="E39" s="82"/>
      <c r="F39" s="82"/>
      <c r="G39" s="81"/>
    </row>
    <row r="40" spans="2:7" x14ac:dyDescent="0.45">
      <c r="B40" s="37">
        <v>37</v>
      </c>
      <c r="C40" s="79"/>
      <c r="D40" s="79"/>
      <c r="E40" s="82"/>
      <c r="F40" s="82"/>
      <c r="G40" s="81"/>
    </row>
    <row r="41" spans="2:7" x14ac:dyDescent="0.45">
      <c r="B41" s="37">
        <v>38</v>
      </c>
      <c r="C41" s="79"/>
      <c r="D41" s="79"/>
      <c r="E41" s="82"/>
      <c r="F41" s="82"/>
      <c r="G41" s="81"/>
    </row>
    <row r="42" spans="2:7" x14ac:dyDescent="0.45">
      <c r="B42" s="37">
        <v>39</v>
      </c>
      <c r="C42" s="79"/>
      <c r="D42" s="79"/>
      <c r="E42" s="82"/>
      <c r="F42" s="82"/>
      <c r="G42" s="81"/>
    </row>
    <row r="43" spans="2:7" x14ac:dyDescent="0.45">
      <c r="B43" s="37">
        <v>40</v>
      </c>
      <c r="C43" s="79"/>
      <c r="D43" s="79"/>
      <c r="E43" s="82"/>
      <c r="F43" s="82"/>
      <c r="G43" s="81"/>
    </row>
    <row r="44" spans="2:7" x14ac:dyDescent="0.45">
      <c r="B44" s="37">
        <v>41</v>
      </c>
      <c r="C44" s="79"/>
      <c r="D44" s="79"/>
      <c r="E44" s="82"/>
      <c r="F44" s="82"/>
      <c r="G44" s="81"/>
    </row>
    <row r="45" spans="2:7" x14ac:dyDescent="0.45">
      <c r="B45" s="37">
        <v>42</v>
      </c>
      <c r="C45" s="79"/>
      <c r="D45" s="79"/>
      <c r="E45" s="82"/>
      <c r="F45" s="82"/>
      <c r="G45" s="81"/>
    </row>
    <row r="46" spans="2:7" x14ac:dyDescent="0.45">
      <c r="B46" s="37">
        <v>43</v>
      </c>
      <c r="C46" s="79"/>
      <c r="D46" s="79"/>
      <c r="E46" s="82"/>
      <c r="F46" s="82"/>
      <c r="G46" s="81"/>
    </row>
    <row r="47" spans="2:7" x14ac:dyDescent="0.45">
      <c r="B47" s="37">
        <v>44</v>
      </c>
      <c r="C47" s="79"/>
      <c r="D47" s="79"/>
      <c r="E47" s="82"/>
      <c r="F47" s="82"/>
      <c r="G47" s="81"/>
    </row>
    <row r="48" spans="2:7" x14ac:dyDescent="0.45">
      <c r="B48" s="37">
        <v>45</v>
      </c>
      <c r="C48" s="79"/>
      <c r="D48" s="79"/>
      <c r="E48" s="82"/>
      <c r="F48" s="82"/>
      <c r="G48" s="81"/>
    </row>
    <row r="49" spans="2:7" x14ac:dyDescent="0.45">
      <c r="B49" s="37">
        <v>46</v>
      </c>
      <c r="C49" s="79"/>
      <c r="D49" s="79"/>
      <c r="E49" s="82"/>
      <c r="F49" s="82"/>
      <c r="G49" s="81"/>
    </row>
    <row r="50" spans="2:7" x14ac:dyDescent="0.45">
      <c r="B50" s="37">
        <v>47</v>
      </c>
      <c r="C50" s="79"/>
      <c r="D50" s="79"/>
      <c r="E50" s="82"/>
      <c r="F50" s="82"/>
      <c r="G50" s="81"/>
    </row>
    <row r="51" spans="2:7" x14ac:dyDescent="0.45">
      <c r="B51" s="37">
        <v>48</v>
      </c>
      <c r="C51" s="79"/>
      <c r="D51" s="79"/>
      <c r="E51" s="82"/>
      <c r="F51" s="82"/>
      <c r="G51" s="81"/>
    </row>
    <row r="52" spans="2:7" x14ac:dyDescent="0.45">
      <c r="B52" s="37">
        <v>49</v>
      </c>
      <c r="C52" s="79"/>
      <c r="D52" s="79"/>
      <c r="E52" s="82"/>
      <c r="F52" s="82"/>
      <c r="G52" s="81"/>
    </row>
    <row r="53" spans="2:7" x14ac:dyDescent="0.45">
      <c r="B53" s="37">
        <v>50</v>
      </c>
      <c r="C53" s="79"/>
      <c r="D53" s="79"/>
      <c r="E53" s="82"/>
      <c r="F53" s="82"/>
      <c r="G53" s="81"/>
    </row>
    <row r="54" spans="2:7" ht="18.600000000000001" thickBot="1" x14ac:dyDescent="0.5">
      <c r="B54" s="83">
        <v>51</v>
      </c>
      <c r="C54" s="84"/>
      <c r="D54" s="84"/>
      <c r="E54" s="85"/>
      <c r="F54" s="85"/>
      <c r="G54" s="86"/>
    </row>
    <row r="55" spans="2:7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B1:BM95"/>
  <sheetViews>
    <sheetView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00" t="s">
        <v>0</v>
      </c>
      <c r="C2" s="195"/>
      <c r="D2" s="195"/>
      <c r="E2" s="195"/>
      <c r="F2" s="195"/>
      <c r="G2" s="195"/>
      <c r="H2" s="195" t="s">
        <v>17</v>
      </c>
      <c r="I2" s="195"/>
      <c r="J2" s="195"/>
      <c r="K2" s="195"/>
      <c r="L2" s="195" t="s">
        <v>254</v>
      </c>
      <c r="M2" s="195"/>
      <c r="N2" s="195"/>
      <c r="O2" s="195"/>
      <c r="P2" s="195"/>
      <c r="Q2" s="195"/>
      <c r="R2" s="195" t="s">
        <v>2</v>
      </c>
      <c r="S2" s="195"/>
      <c r="T2" s="195"/>
      <c r="U2" s="195"/>
      <c r="V2" s="195"/>
      <c r="W2" s="195"/>
      <c r="X2" s="201" t="s">
        <v>3</v>
      </c>
      <c r="Y2" s="202"/>
      <c r="Z2" s="202"/>
      <c r="AA2" s="202"/>
      <c r="AB2" s="202"/>
      <c r="AC2" s="202"/>
      <c r="AD2" s="202"/>
      <c r="AE2" s="202"/>
      <c r="AF2" s="202"/>
      <c r="AG2" s="202"/>
      <c r="AH2" s="202"/>
      <c r="AI2" s="202"/>
      <c r="AJ2" s="203"/>
      <c r="AK2" s="201" t="s">
        <v>32</v>
      </c>
      <c r="AL2" s="202"/>
      <c r="AM2" s="202"/>
      <c r="AN2" s="202"/>
      <c r="AO2" s="202"/>
      <c r="AP2" s="202"/>
      <c r="AQ2" s="202"/>
      <c r="AR2" s="202"/>
      <c r="AS2" s="202"/>
      <c r="AT2" s="202"/>
      <c r="AU2" s="202"/>
      <c r="AV2" s="202"/>
      <c r="AW2" s="203"/>
      <c r="AX2" s="195" t="s">
        <v>5</v>
      </c>
      <c r="AY2" s="195"/>
      <c r="AZ2" s="195"/>
      <c r="BA2" s="195"/>
      <c r="BB2" s="195" t="s">
        <v>4</v>
      </c>
      <c r="BC2" s="195"/>
      <c r="BD2" s="195"/>
      <c r="BE2" s="195"/>
      <c r="BF2" s="195" t="s">
        <v>6</v>
      </c>
      <c r="BG2" s="195"/>
      <c r="BH2" s="195"/>
      <c r="BI2" s="195"/>
      <c r="BJ2" s="195" t="s">
        <v>7</v>
      </c>
      <c r="BK2" s="195"/>
      <c r="BL2" s="195"/>
      <c r="BM2" s="196"/>
    </row>
    <row r="3" spans="2:65" ht="20.100000000000001" customHeight="1" x14ac:dyDescent="0.45">
      <c r="B3" s="204" t="str">
        <f>変更履歴!B3</f>
        <v>受発注システム</v>
      </c>
      <c r="C3" s="142"/>
      <c r="D3" s="142"/>
      <c r="E3" s="142"/>
      <c r="F3" s="142"/>
      <c r="G3" s="142"/>
      <c r="H3" s="142" t="str">
        <f ca="1">変更履歴!H3</f>
        <v>UN0300</v>
      </c>
      <c r="I3" s="142"/>
      <c r="J3" s="142"/>
      <c r="K3" s="142"/>
      <c r="L3" s="142" t="str">
        <f>変更履歴!L3</f>
        <v>受発注</v>
      </c>
      <c r="M3" s="142"/>
      <c r="N3" s="142"/>
      <c r="O3" s="142"/>
      <c r="P3" s="142"/>
      <c r="Q3" s="142"/>
      <c r="R3" s="142" t="str">
        <f ca="1">変更履歴!R3</f>
        <v>帳票設計書</v>
      </c>
      <c r="S3" s="142"/>
      <c r="T3" s="142"/>
      <c r="U3" s="142"/>
      <c r="V3" s="142"/>
      <c r="W3" s="142"/>
      <c r="X3" s="146" t="str">
        <f ca="1">変更履歴!X3</f>
        <v>UN0300_売上日計表_帳票設計書</v>
      </c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3"/>
      <c r="AK3" s="146" t="str">
        <f ca="1">変更履歴!AK3</f>
        <v>売上日計表</v>
      </c>
      <c r="AL3" s="147"/>
      <c r="AM3" s="147"/>
      <c r="AN3" s="147"/>
      <c r="AO3" s="147"/>
      <c r="AP3" s="147"/>
      <c r="AQ3" s="147"/>
      <c r="AR3" s="147"/>
      <c r="AS3" s="147"/>
      <c r="AT3" s="147"/>
      <c r="AU3" s="147"/>
      <c r="AV3" s="147"/>
      <c r="AW3" s="143"/>
      <c r="AX3" s="153">
        <f>変更履歴!AX3</f>
        <v>45583</v>
      </c>
      <c r="AY3" s="153"/>
      <c r="AZ3" s="153"/>
      <c r="BA3" s="153"/>
      <c r="BB3" s="142" t="str">
        <f>変更履歴!BB3</f>
        <v>大谷</v>
      </c>
      <c r="BC3" s="142"/>
      <c r="BD3" s="142"/>
      <c r="BE3" s="142"/>
      <c r="BF3" s="153">
        <f>変更履歴!BF3</f>
        <v>45583</v>
      </c>
      <c r="BG3" s="153"/>
      <c r="BH3" s="153"/>
      <c r="BI3" s="153"/>
      <c r="BJ3" s="142" t="str">
        <f>変更履歴!BJ3</f>
        <v>大谷</v>
      </c>
      <c r="BK3" s="142"/>
      <c r="BL3" s="142"/>
      <c r="BM3" s="193"/>
    </row>
    <row r="4" spans="2:65" ht="20.100000000000001" customHeight="1" thickBot="1" x14ac:dyDescent="0.5">
      <c r="B4" s="205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192"/>
      <c r="T4" s="192"/>
      <c r="U4" s="192"/>
      <c r="V4" s="192"/>
      <c r="W4" s="192"/>
      <c r="X4" s="197"/>
      <c r="Y4" s="198"/>
      <c r="Z4" s="198"/>
      <c r="AA4" s="198"/>
      <c r="AB4" s="198"/>
      <c r="AC4" s="198"/>
      <c r="AD4" s="198"/>
      <c r="AE4" s="198"/>
      <c r="AF4" s="198"/>
      <c r="AG4" s="198"/>
      <c r="AH4" s="198"/>
      <c r="AI4" s="198"/>
      <c r="AJ4" s="199"/>
      <c r="AK4" s="197"/>
      <c r="AL4" s="198"/>
      <c r="AM4" s="198"/>
      <c r="AN4" s="198"/>
      <c r="AO4" s="198"/>
      <c r="AP4" s="198"/>
      <c r="AQ4" s="198"/>
      <c r="AR4" s="198"/>
      <c r="AS4" s="198"/>
      <c r="AT4" s="198"/>
      <c r="AU4" s="198"/>
      <c r="AV4" s="198"/>
      <c r="AW4" s="199"/>
      <c r="AX4" s="191"/>
      <c r="AY4" s="191"/>
      <c r="AZ4" s="191"/>
      <c r="BA4" s="191"/>
      <c r="BB4" s="192"/>
      <c r="BC4" s="192"/>
      <c r="BD4" s="192"/>
      <c r="BE4" s="192"/>
      <c r="BF4" s="191"/>
      <c r="BG4" s="191"/>
      <c r="BH4" s="191"/>
      <c r="BI4" s="191"/>
      <c r="BJ4" s="192"/>
      <c r="BK4" s="192"/>
      <c r="BL4" s="192"/>
      <c r="BM4" s="194"/>
    </row>
    <row r="5" spans="2:65" ht="5.0999999999999996" customHeight="1" thickBot="1" x14ac:dyDescent="0.5"/>
    <row r="6" spans="2:65" ht="20.100000000000001" customHeight="1" x14ac:dyDescent="0.45">
      <c r="B6" s="89" t="s">
        <v>144</v>
      </c>
      <c r="C6" s="90"/>
      <c r="D6" s="90"/>
      <c r="E6" s="90"/>
      <c r="F6" s="90"/>
      <c r="G6" s="91"/>
      <c r="H6" s="92" t="s">
        <v>84</v>
      </c>
      <c r="I6" s="90"/>
      <c r="J6" s="120" t="s">
        <v>131</v>
      </c>
      <c r="K6" s="121"/>
      <c r="L6" s="121"/>
      <c r="M6" s="121"/>
      <c r="N6" s="121"/>
      <c r="O6" s="121"/>
      <c r="P6" s="121"/>
      <c r="Q6" s="122"/>
      <c r="R6" s="120">
        <v>1</v>
      </c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2"/>
      <c r="AK6" s="93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4"/>
    </row>
    <row r="7" spans="2:65" ht="20.100000000000001" customHeight="1" x14ac:dyDescent="0.45">
      <c r="B7" s="123"/>
      <c r="C7" s="31"/>
      <c r="D7" s="31"/>
      <c r="E7" s="31"/>
      <c r="F7" s="31"/>
      <c r="G7" s="96"/>
      <c r="H7" s="97"/>
      <c r="I7" s="31"/>
      <c r="J7" s="124" t="s">
        <v>175</v>
      </c>
      <c r="K7" s="52"/>
      <c r="L7" s="52"/>
      <c r="M7" s="52"/>
      <c r="N7" s="52"/>
      <c r="O7" s="52"/>
      <c r="P7" s="52"/>
      <c r="Q7" s="125"/>
      <c r="R7" s="124" t="s">
        <v>193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125"/>
      <c r="AK7" s="98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99"/>
    </row>
    <row r="8" spans="2:65" ht="20.100000000000001" customHeight="1" x14ac:dyDescent="0.45">
      <c r="B8" s="123"/>
      <c r="C8" s="31"/>
      <c r="D8" s="31"/>
      <c r="E8" s="31"/>
      <c r="F8" s="31"/>
      <c r="G8" s="96"/>
      <c r="H8" s="97"/>
      <c r="I8" s="31"/>
      <c r="J8" s="124" t="s">
        <v>233</v>
      </c>
      <c r="K8" s="52"/>
      <c r="L8" s="52"/>
      <c r="M8" s="52"/>
      <c r="N8" s="52"/>
      <c r="O8" s="52"/>
      <c r="P8" s="52"/>
      <c r="Q8" s="125"/>
      <c r="R8" s="124" t="s">
        <v>234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25"/>
      <c r="AK8" s="9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99"/>
    </row>
    <row r="9" spans="2:65" ht="20.100000000000001" customHeight="1" x14ac:dyDescent="0.45">
      <c r="B9" s="123"/>
      <c r="C9" s="31"/>
      <c r="D9" s="31"/>
      <c r="E9" s="31"/>
      <c r="F9" s="31"/>
      <c r="G9" s="96"/>
      <c r="H9" s="97"/>
      <c r="I9" s="31"/>
      <c r="J9" s="124" t="s">
        <v>105</v>
      </c>
      <c r="K9" s="52"/>
      <c r="L9" s="52"/>
      <c r="M9" s="52"/>
      <c r="N9" s="52"/>
      <c r="O9" s="52"/>
      <c r="P9" s="52"/>
      <c r="Q9" s="125"/>
      <c r="R9" s="124" t="s">
        <v>231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25"/>
      <c r="AK9" s="98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99"/>
    </row>
    <row r="10" spans="2:65" ht="20.100000000000001" customHeight="1" x14ac:dyDescent="0.45">
      <c r="B10" s="123"/>
      <c r="C10" s="31"/>
      <c r="D10" s="31"/>
      <c r="E10" s="31"/>
      <c r="F10" s="31"/>
      <c r="G10" s="96"/>
      <c r="H10" s="31"/>
      <c r="I10" s="31"/>
      <c r="J10" s="124" t="s">
        <v>176</v>
      </c>
      <c r="K10" s="52"/>
      <c r="L10" s="52"/>
      <c r="M10" s="52"/>
      <c r="N10" s="52"/>
      <c r="O10" s="52"/>
      <c r="P10" s="52"/>
      <c r="Q10" s="125"/>
      <c r="R10" s="124" t="s">
        <v>198</v>
      </c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125"/>
      <c r="AK10" s="98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99"/>
    </row>
    <row r="11" spans="2:65" ht="20.100000000000001" customHeight="1" x14ac:dyDescent="0.45">
      <c r="B11" s="123"/>
      <c r="C11" s="31"/>
      <c r="D11" s="31"/>
      <c r="E11" s="31"/>
      <c r="F11" s="31"/>
      <c r="G11" s="96"/>
      <c r="H11" s="31"/>
      <c r="I11" s="31"/>
      <c r="J11" s="124" t="s">
        <v>99</v>
      </c>
      <c r="K11" s="52"/>
      <c r="L11" s="52"/>
      <c r="M11" s="52"/>
      <c r="N11" s="52"/>
      <c r="O11" s="52"/>
      <c r="P11" s="52"/>
      <c r="Q11" s="125"/>
      <c r="R11" s="124" t="s">
        <v>229</v>
      </c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125"/>
      <c r="AK11" s="98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99"/>
    </row>
    <row r="12" spans="2:65" ht="20.100000000000001" customHeight="1" x14ac:dyDescent="0.45">
      <c r="B12" s="123"/>
      <c r="C12" s="31"/>
      <c r="D12" s="31"/>
      <c r="E12" s="31"/>
      <c r="F12" s="31"/>
      <c r="G12" s="96"/>
      <c r="H12" s="31"/>
      <c r="I12" s="31"/>
      <c r="J12" s="124" t="s">
        <v>101</v>
      </c>
      <c r="K12" s="52"/>
      <c r="L12" s="52"/>
      <c r="M12" s="52"/>
      <c r="N12" s="52"/>
      <c r="O12" s="52"/>
      <c r="P12" s="52"/>
      <c r="Q12" s="125"/>
      <c r="R12" s="124" t="s">
        <v>203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125"/>
      <c r="AK12" s="98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99"/>
    </row>
    <row r="13" spans="2:65" ht="20.100000000000001" customHeight="1" x14ac:dyDescent="0.45">
      <c r="B13" s="123"/>
      <c r="C13" s="31"/>
      <c r="D13" s="31"/>
      <c r="E13" s="31"/>
      <c r="F13" s="31"/>
      <c r="G13" s="96"/>
      <c r="H13" s="31"/>
      <c r="I13" s="31"/>
      <c r="J13" s="124" t="s">
        <v>132</v>
      </c>
      <c r="K13" s="52"/>
      <c r="L13" s="52"/>
      <c r="M13" s="52"/>
      <c r="N13" s="52"/>
      <c r="O13" s="52"/>
      <c r="P13" s="52"/>
      <c r="Q13" s="125"/>
      <c r="R13" s="124" t="s">
        <v>204</v>
      </c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125"/>
      <c r="AK13" s="98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99"/>
    </row>
    <row r="14" spans="2:65" ht="20.100000000000001" customHeight="1" x14ac:dyDescent="0.45">
      <c r="B14" s="123"/>
      <c r="C14" s="31"/>
      <c r="D14" s="31"/>
      <c r="E14" s="31"/>
      <c r="F14" s="31"/>
      <c r="G14" s="96"/>
      <c r="H14" s="31"/>
      <c r="I14" s="31"/>
      <c r="J14" s="124" t="s">
        <v>133</v>
      </c>
      <c r="K14" s="52"/>
      <c r="L14" s="52"/>
      <c r="M14" s="52"/>
      <c r="N14" s="52"/>
      <c r="O14" s="52"/>
      <c r="P14" s="52"/>
      <c r="Q14" s="125"/>
      <c r="R14" s="124" t="s">
        <v>205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125"/>
      <c r="AK14" s="98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99"/>
    </row>
    <row r="15" spans="2:65" ht="20.100000000000001" customHeight="1" x14ac:dyDescent="0.45">
      <c r="B15" s="123"/>
      <c r="C15" s="31"/>
      <c r="D15" s="31"/>
      <c r="E15" s="31"/>
      <c r="F15" s="31"/>
      <c r="G15" s="96"/>
      <c r="H15" s="31"/>
      <c r="I15" s="31"/>
      <c r="J15" s="124" t="s">
        <v>143</v>
      </c>
      <c r="K15" s="52"/>
      <c r="L15" s="52"/>
      <c r="M15" s="52"/>
      <c r="N15" s="52"/>
      <c r="O15" s="52"/>
      <c r="P15" s="52"/>
      <c r="Q15" s="125"/>
      <c r="R15" s="124" t="s">
        <v>209</v>
      </c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125"/>
      <c r="AK15" s="98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99"/>
    </row>
    <row r="16" spans="2:65" ht="20.100000000000001" customHeight="1" x14ac:dyDescent="0.45">
      <c r="B16" s="123"/>
      <c r="C16" s="31"/>
      <c r="D16" s="31"/>
      <c r="E16" s="31"/>
      <c r="F16" s="31"/>
      <c r="G16" s="96"/>
      <c r="H16" s="31"/>
      <c r="I16" s="31"/>
      <c r="J16" s="124" t="s">
        <v>135</v>
      </c>
      <c r="K16" s="52"/>
      <c r="L16" s="52"/>
      <c r="M16" s="52"/>
      <c r="N16" s="52"/>
      <c r="O16" s="52"/>
      <c r="P16" s="52"/>
      <c r="Q16" s="125"/>
      <c r="R16" s="124" t="s">
        <v>236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125"/>
      <c r="AK16" s="98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99"/>
    </row>
    <row r="17" spans="2:61" ht="20.100000000000001" customHeight="1" x14ac:dyDescent="0.45">
      <c r="B17" s="123"/>
      <c r="C17" s="31"/>
      <c r="D17" s="31"/>
      <c r="E17" s="31"/>
      <c r="F17" s="31"/>
      <c r="G17" s="96"/>
      <c r="H17" s="31"/>
      <c r="I17" s="31"/>
      <c r="J17" s="124" t="s">
        <v>109</v>
      </c>
      <c r="K17" s="52"/>
      <c r="L17" s="52"/>
      <c r="M17" s="52"/>
      <c r="N17" s="52"/>
      <c r="O17" s="52"/>
      <c r="P17" s="52"/>
      <c r="Q17" s="125"/>
      <c r="R17" s="124" t="s">
        <v>210</v>
      </c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125"/>
      <c r="AK17" s="98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99"/>
    </row>
    <row r="18" spans="2:61" ht="20.100000000000001" customHeight="1" x14ac:dyDescent="0.45">
      <c r="B18" s="123"/>
      <c r="C18" s="31"/>
      <c r="D18" s="31"/>
      <c r="E18" s="31"/>
      <c r="F18" s="31"/>
      <c r="G18" s="96"/>
      <c r="H18" s="31"/>
      <c r="I18" s="31"/>
      <c r="J18" s="124" t="s">
        <v>111</v>
      </c>
      <c r="K18" s="52"/>
      <c r="L18" s="52"/>
      <c r="M18" s="52"/>
      <c r="N18" s="52"/>
      <c r="O18" s="52"/>
      <c r="P18" s="52"/>
      <c r="Q18" s="125"/>
      <c r="R18" s="124" t="s">
        <v>211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125"/>
      <c r="AK18" s="98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99"/>
    </row>
    <row r="19" spans="2:61" ht="20.100000000000001" customHeight="1" x14ac:dyDescent="0.45">
      <c r="B19" s="123"/>
      <c r="C19" s="31"/>
      <c r="D19" s="31"/>
      <c r="E19" s="31"/>
      <c r="F19" s="31"/>
      <c r="G19" s="96"/>
      <c r="H19" s="31"/>
      <c r="I19" s="31"/>
      <c r="J19" s="124" t="s">
        <v>136</v>
      </c>
      <c r="K19" s="52"/>
      <c r="L19" s="52"/>
      <c r="M19" s="52"/>
      <c r="N19" s="52"/>
      <c r="O19" s="52"/>
      <c r="P19" s="52"/>
      <c r="Q19" s="125"/>
      <c r="R19" s="124" t="s">
        <v>212</v>
      </c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125"/>
      <c r="AK19" s="98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99"/>
    </row>
    <row r="20" spans="2:61" ht="20.100000000000001" customHeight="1" x14ac:dyDescent="0.45">
      <c r="B20" s="123"/>
      <c r="C20" s="31"/>
      <c r="D20" s="31"/>
      <c r="E20" s="31"/>
      <c r="F20" s="31"/>
      <c r="G20" s="96"/>
      <c r="H20" s="31"/>
      <c r="I20" s="31"/>
      <c r="J20" s="124" t="s">
        <v>114</v>
      </c>
      <c r="K20" s="52"/>
      <c r="L20" s="52"/>
      <c r="M20" s="52"/>
      <c r="N20" s="52"/>
      <c r="O20" s="52"/>
      <c r="P20" s="52"/>
      <c r="Q20" s="125"/>
      <c r="R20" s="124" t="s">
        <v>213</v>
      </c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125"/>
      <c r="AK20" s="98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99"/>
    </row>
    <row r="21" spans="2:61" ht="20.100000000000001" customHeight="1" x14ac:dyDescent="0.45">
      <c r="B21" s="123"/>
      <c r="C21" s="31"/>
      <c r="D21" s="31"/>
      <c r="E21" s="31"/>
      <c r="F21" s="31"/>
      <c r="G21" s="96"/>
      <c r="H21" s="31"/>
      <c r="I21" s="31"/>
      <c r="J21" s="124" t="s">
        <v>116</v>
      </c>
      <c r="K21" s="52"/>
      <c r="L21" s="52"/>
      <c r="M21" s="52"/>
      <c r="N21" s="52"/>
      <c r="O21" s="52"/>
      <c r="P21" s="52"/>
      <c r="Q21" s="125"/>
      <c r="R21" s="124" t="s">
        <v>214</v>
      </c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125"/>
      <c r="AK21" s="98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99"/>
    </row>
    <row r="22" spans="2:61" ht="20.100000000000001" customHeight="1" x14ac:dyDescent="0.45">
      <c r="B22" s="123"/>
      <c r="C22" s="31"/>
      <c r="D22" s="31"/>
      <c r="E22" s="31"/>
      <c r="F22" s="31"/>
      <c r="G22" s="96"/>
      <c r="H22" s="31"/>
      <c r="I22" s="31"/>
      <c r="J22" s="124" t="s">
        <v>118</v>
      </c>
      <c r="K22" s="52"/>
      <c r="L22" s="52"/>
      <c r="M22" s="52"/>
      <c r="N22" s="52"/>
      <c r="O22" s="52"/>
      <c r="P22" s="52"/>
      <c r="Q22" s="125"/>
      <c r="R22" s="124" t="s">
        <v>215</v>
      </c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125"/>
      <c r="AK22" s="98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99"/>
    </row>
    <row r="23" spans="2:61" ht="20.100000000000001" customHeight="1" x14ac:dyDescent="0.45">
      <c r="B23" s="123"/>
      <c r="C23" s="31"/>
      <c r="D23" s="31"/>
      <c r="E23" s="31"/>
      <c r="F23" s="31"/>
      <c r="G23" s="96"/>
      <c r="H23" s="31"/>
      <c r="I23" s="31"/>
      <c r="J23" s="124" t="s">
        <v>137</v>
      </c>
      <c r="K23" s="52"/>
      <c r="L23" s="52"/>
      <c r="M23" s="52"/>
      <c r="N23" s="52"/>
      <c r="O23" s="52"/>
      <c r="P23" s="52"/>
      <c r="Q23" s="125"/>
      <c r="R23" s="124" t="s">
        <v>216</v>
      </c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125"/>
      <c r="AK23" s="98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99"/>
    </row>
    <row r="24" spans="2:61" ht="20.100000000000001" customHeight="1" x14ac:dyDescent="0.45">
      <c r="B24" s="123"/>
      <c r="C24" s="31"/>
      <c r="D24" s="31"/>
      <c r="E24" s="31"/>
      <c r="F24" s="31"/>
      <c r="G24" s="96"/>
      <c r="H24" s="31"/>
      <c r="I24" s="31"/>
      <c r="J24" s="124" t="s">
        <v>138</v>
      </c>
      <c r="K24" s="52"/>
      <c r="L24" s="52"/>
      <c r="M24" s="52"/>
      <c r="N24" s="52"/>
      <c r="O24" s="52"/>
      <c r="P24" s="52"/>
      <c r="Q24" s="125"/>
      <c r="R24" s="124" t="s">
        <v>217</v>
      </c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125"/>
      <c r="AK24" s="98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99"/>
    </row>
    <row r="25" spans="2:61" ht="20.100000000000001" customHeight="1" x14ac:dyDescent="0.45">
      <c r="B25" s="123"/>
      <c r="C25" s="31"/>
      <c r="D25" s="31"/>
      <c r="E25" s="31"/>
      <c r="F25" s="31"/>
      <c r="G25" s="96"/>
      <c r="H25" s="31"/>
      <c r="I25" s="31"/>
      <c r="J25" s="124" t="s">
        <v>139</v>
      </c>
      <c r="K25" s="52"/>
      <c r="L25" s="52"/>
      <c r="M25" s="52"/>
      <c r="N25" s="52"/>
      <c r="O25" s="52"/>
      <c r="P25" s="52"/>
      <c r="Q25" s="125"/>
      <c r="R25" s="124" t="s">
        <v>218</v>
      </c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125"/>
      <c r="AK25" s="98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99"/>
    </row>
    <row r="26" spans="2:61" ht="20.100000000000001" customHeight="1" x14ac:dyDescent="0.45">
      <c r="B26" s="123"/>
      <c r="C26" s="31"/>
      <c r="D26" s="31"/>
      <c r="E26" s="31"/>
      <c r="F26" s="31"/>
      <c r="G26" s="96"/>
      <c r="H26" s="31"/>
      <c r="I26" s="31"/>
      <c r="J26" s="124" t="s">
        <v>140</v>
      </c>
      <c r="K26" s="52"/>
      <c r="L26" s="52"/>
      <c r="M26" s="52"/>
      <c r="N26" s="52"/>
      <c r="O26" s="52"/>
      <c r="P26" s="52"/>
      <c r="Q26" s="125"/>
      <c r="R26" s="124" t="s">
        <v>219</v>
      </c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125"/>
      <c r="AK26" s="98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99"/>
    </row>
    <row r="27" spans="2:61" ht="20.100000000000001" customHeight="1" x14ac:dyDescent="0.45">
      <c r="B27" s="123"/>
      <c r="C27" s="31"/>
      <c r="D27" s="31"/>
      <c r="E27" s="31"/>
      <c r="F27" s="31"/>
      <c r="G27" s="96"/>
      <c r="H27" s="31"/>
      <c r="I27" s="31"/>
      <c r="J27" s="124" t="s">
        <v>141</v>
      </c>
      <c r="K27" s="52"/>
      <c r="L27" s="52"/>
      <c r="M27" s="52"/>
      <c r="N27" s="52"/>
      <c r="O27" s="52"/>
      <c r="P27" s="52"/>
      <c r="Q27" s="125"/>
      <c r="R27" s="124" t="s">
        <v>220</v>
      </c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125"/>
      <c r="AK27" s="98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99"/>
    </row>
    <row r="28" spans="2:61" ht="20.100000000000001" customHeight="1" x14ac:dyDescent="0.45">
      <c r="B28" s="123"/>
      <c r="C28" s="31"/>
      <c r="D28" s="31"/>
      <c r="E28" s="31"/>
      <c r="F28" s="31"/>
      <c r="G28" s="96"/>
      <c r="H28" s="31"/>
      <c r="I28" s="31"/>
      <c r="J28" s="124" t="s">
        <v>142</v>
      </c>
      <c r="K28" s="52"/>
      <c r="L28" s="52"/>
      <c r="M28" s="52"/>
      <c r="N28" s="52"/>
      <c r="O28" s="52"/>
      <c r="P28" s="52"/>
      <c r="Q28" s="125"/>
      <c r="R28" s="124" t="s">
        <v>221</v>
      </c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125"/>
      <c r="AK28" s="98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99"/>
    </row>
    <row r="29" spans="2:61" ht="20.100000000000001" customHeight="1" x14ac:dyDescent="0.45">
      <c r="B29" s="123"/>
      <c r="C29" s="31"/>
      <c r="D29" s="31"/>
      <c r="E29" s="31"/>
      <c r="F29" s="31"/>
      <c r="G29" s="96"/>
      <c r="H29" s="31"/>
      <c r="I29" s="31"/>
      <c r="J29" s="124" t="s">
        <v>122</v>
      </c>
      <c r="K29" s="52"/>
      <c r="L29" s="52"/>
      <c r="M29" s="52"/>
      <c r="N29" s="52"/>
      <c r="O29" s="52"/>
      <c r="P29" s="52"/>
      <c r="Q29" s="125"/>
      <c r="R29" s="124" t="s">
        <v>222</v>
      </c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125"/>
      <c r="AK29" s="98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99"/>
    </row>
    <row r="30" spans="2:61" ht="20.100000000000001" customHeight="1" x14ac:dyDescent="0.45">
      <c r="B30" s="123"/>
      <c r="C30" s="31"/>
      <c r="D30" s="31"/>
      <c r="E30" s="31"/>
      <c r="F30" s="31"/>
      <c r="G30" s="96"/>
      <c r="H30" s="31"/>
      <c r="I30" s="31"/>
      <c r="J30" s="124" t="s">
        <v>177</v>
      </c>
      <c r="K30" s="52"/>
      <c r="L30" s="52"/>
      <c r="M30" s="52"/>
      <c r="N30" s="52"/>
      <c r="O30" s="52"/>
      <c r="P30" s="52"/>
      <c r="Q30" s="125"/>
      <c r="R30" s="124" t="s">
        <v>223</v>
      </c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125"/>
      <c r="AK30" s="98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99"/>
    </row>
    <row r="31" spans="2:61" ht="20.100000000000001" customHeight="1" x14ac:dyDescent="0.45">
      <c r="B31" s="123"/>
      <c r="C31" s="31"/>
      <c r="D31" s="31"/>
      <c r="E31" s="31"/>
      <c r="F31" s="31"/>
      <c r="G31" s="96"/>
      <c r="H31" s="100" t="s">
        <v>53</v>
      </c>
      <c r="I31" s="55"/>
      <c r="J31" s="100" t="s">
        <v>181</v>
      </c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101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5"/>
      <c r="BF31" s="55"/>
      <c r="BG31" s="55"/>
      <c r="BH31" s="55"/>
      <c r="BI31" s="102"/>
    </row>
    <row r="32" spans="2:61" ht="20.100000000000001" customHeight="1" x14ac:dyDescent="0.45">
      <c r="B32" s="123"/>
      <c r="C32" s="31"/>
      <c r="D32" s="31"/>
      <c r="E32" s="31"/>
      <c r="F32" s="31"/>
      <c r="G32" s="96"/>
      <c r="H32" s="97"/>
      <c r="I32" s="31"/>
      <c r="J32" s="97" t="s">
        <v>182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98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99"/>
    </row>
    <row r="33" spans="2:61" ht="20.100000000000001" customHeight="1" x14ac:dyDescent="0.45">
      <c r="B33" s="95"/>
      <c r="C33" s="31"/>
      <c r="D33" s="31"/>
      <c r="E33" s="31"/>
      <c r="F33" s="31"/>
      <c r="G33" s="96"/>
      <c r="I33" s="31"/>
      <c r="J33" s="97" t="s">
        <v>178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98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99"/>
    </row>
    <row r="34" spans="2:61" ht="20.100000000000001" customHeight="1" x14ac:dyDescent="0.45">
      <c r="B34" s="95"/>
      <c r="C34" s="31"/>
      <c r="D34" s="31"/>
      <c r="E34" s="31"/>
      <c r="F34" s="31"/>
      <c r="G34" s="96"/>
      <c r="H34" s="97"/>
      <c r="I34" s="31"/>
      <c r="J34" s="97" t="s">
        <v>179</v>
      </c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98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99"/>
    </row>
    <row r="35" spans="2:61" ht="20.100000000000001" customHeight="1" x14ac:dyDescent="0.45">
      <c r="B35" s="95"/>
      <c r="C35" s="31"/>
      <c r="D35" s="31"/>
      <c r="E35" s="31"/>
      <c r="F35" s="31"/>
      <c r="G35" s="96"/>
      <c r="H35" s="100" t="s">
        <v>54</v>
      </c>
      <c r="I35" s="55"/>
      <c r="J35" s="100" t="s">
        <v>180</v>
      </c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101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5"/>
      <c r="BE35" s="55"/>
      <c r="BF35" s="55"/>
      <c r="BG35" s="55"/>
      <c r="BH35" s="55"/>
      <c r="BI35" s="102"/>
    </row>
    <row r="36" spans="2:61" ht="20.100000000000001" customHeight="1" x14ac:dyDescent="0.45">
      <c r="B36" s="95"/>
      <c r="C36" s="31"/>
      <c r="D36" s="31"/>
      <c r="E36" s="31"/>
      <c r="F36" s="31"/>
      <c r="G36" s="96"/>
      <c r="H36" s="97"/>
      <c r="I36" s="31"/>
      <c r="J36" s="97"/>
      <c r="K36" s="31" t="s">
        <v>183</v>
      </c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98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99"/>
    </row>
    <row r="37" spans="2:61" ht="20.100000000000001" customHeight="1" x14ac:dyDescent="0.45">
      <c r="B37" s="95"/>
      <c r="C37" s="31"/>
      <c r="D37" s="31"/>
      <c r="E37" s="31"/>
      <c r="F37" s="31"/>
      <c r="G37" s="96"/>
      <c r="H37" s="97"/>
      <c r="I37" s="31"/>
      <c r="J37" s="97"/>
      <c r="K37" s="31"/>
      <c r="L37" s="31"/>
      <c r="M37" s="31" t="s">
        <v>199</v>
      </c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98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99"/>
    </row>
    <row r="38" spans="2:61" ht="20.100000000000001" customHeight="1" x14ac:dyDescent="0.45">
      <c r="B38" s="95"/>
      <c r="C38" s="31"/>
      <c r="D38" s="31"/>
      <c r="E38" s="31"/>
      <c r="F38" s="31"/>
      <c r="G38" s="96"/>
      <c r="H38" s="97"/>
      <c r="I38" s="31"/>
      <c r="J38" s="97" t="s">
        <v>185</v>
      </c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98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99"/>
    </row>
    <row r="39" spans="2:61" ht="20.100000000000001" customHeight="1" x14ac:dyDescent="0.45">
      <c r="B39" s="95"/>
      <c r="C39" s="31"/>
      <c r="D39" s="31"/>
      <c r="E39" s="31"/>
      <c r="F39" s="31"/>
      <c r="G39" s="96"/>
      <c r="H39" s="97"/>
      <c r="I39" s="31"/>
      <c r="J39" s="97"/>
      <c r="K39" s="31" t="s">
        <v>184</v>
      </c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98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99"/>
    </row>
    <row r="40" spans="2:61" ht="20.100000000000001" customHeight="1" x14ac:dyDescent="0.45">
      <c r="B40" s="95"/>
      <c r="C40" s="31"/>
      <c r="D40" s="31"/>
      <c r="E40" s="31"/>
      <c r="F40" s="31"/>
      <c r="G40" s="96"/>
      <c r="H40" s="97"/>
      <c r="I40" s="31"/>
      <c r="J40" s="97"/>
      <c r="K40" s="31"/>
      <c r="L40" s="31"/>
      <c r="M40" s="31" t="s">
        <v>206</v>
      </c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98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99"/>
    </row>
    <row r="41" spans="2:61" ht="20.100000000000001" customHeight="1" x14ac:dyDescent="0.45">
      <c r="B41" s="95"/>
      <c r="C41" s="31"/>
      <c r="D41" s="31"/>
      <c r="E41" s="31"/>
      <c r="F41" s="31"/>
      <c r="G41" s="96"/>
      <c r="H41" s="97"/>
      <c r="I41" s="31"/>
      <c r="J41" s="97" t="s">
        <v>185</v>
      </c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98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99"/>
    </row>
    <row r="42" spans="2:61" ht="20.100000000000001" customHeight="1" x14ac:dyDescent="0.45">
      <c r="B42" s="95"/>
      <c r="C42" s="31"/>
      <c r="D42" s="31"/>
      <c r="E42" s="31"/>
      <c r="F42" s="31"/>
      <c r="G42" s="96"/>
      <c r="H42" s="97"/>
      <c r="I42" s="31"/>
      <c r="J42" s="97"/>
      <c r="K42" s="31" t="s">
        <v>186</v>
      </c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98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99"/>
    </row>
    <row r="43" spans="2:61" ht="20.100000000000001" customHeight="1" x14ac:dyDescent="0.45">
      <c r="B43" s="95"/>
      <c r="C43" s="31"/>
      <c r="D43" s="31"/>
      <c r="E43" s="31"/>
      <c r="F43" s="31"/>
      <c r="G43" s="96"/>
      <c r="H43" s="97"/>
      <c r="I43" s="31"/>
      <c r="J43" s="97"/>
      <c r="K43" s="31"/>
      <c r="L43" s="31"/>
      <c r="M43" s="31" t="s">
        <v>224</v>
      </c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98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99"/>
    </row>
    <row r="44" spans="2:61" ht="20.100000000000001" customHeight="1" x14ac:dyDescent="0.45">
      <c r="B44" s="95"/>
      <c r="C44" s="31"/>
      <c r="D44" s="31"/>
      <c r="E44" s="31"/>
      <c r="F44" s="31"/>
      <c r="G44" s="96"/>
      <c r="H44" s="100" t="s">
        <v>55</v>
      </c>
      <c r="I44" s="55"/>
      <c r="J44" s="100"/>
      <c r="K44" s="55" t="s">
        <v>196</v>
      </c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101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55"/>
      <c r="BD44" s="55"/>
      <c r="BE44" s="55"/>
      <c r="BF44" s="55"/>
      <c r="BG44" s="55"/>
      <c r="BH44" s="55"/>
      <c r="BI44" s="102"/>
    </row>
    <row r="45" spans="2:61" ht="20.100000000000001" customHeight="1" x14ac:dyDescent="0.45">
      <c r="B45" s="95"/>
      <c r="C45" s="31"/>
      <c r="D45" s="31"/>
      <c r="E45" s="31"/>
      <c r="F45" s="31"/>
      <c r="G45" s="96"/>
      <c r="H45" s="97"/>
      <c r="I45" s="31"/>
      <c r="J45" s="97" t="s">
        <v>187</v>
      </c>
      <c r="K45" s="31" t="s">
        <v>197</v>
      </c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97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99"/>
    </row>
    <row r="46" spans="2:61" ht="20.100000000000001" customHeight="1" x14ac:dyDescent="0.45">
      <c r="B46" s="95"/>
      <c r="C46" s="31"/>
      <c r="D46" s="31"/>
      <c r="E46" s="31"/>
      <c r="F46" s="31"/>
      <c r="G46" s="96"/>
      <c r="H46" s="97"/>
      <c r="I46" s="31"/>
      <c r="J46" s="97" t="s">
        <v>187</v>
      </c>
      <c r="K46" s="31" t="s">
        <v>200</v>
      </c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97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99"/>
    </row>
    <row r="47" spans="2:61" ht="20.100000000000001" customHeight="1" x14ac:dyDescent="0.45">
      <c r="B47" s="95"/>
      <c r="C47" s="31"/>
      <c r="D47" s="31"/>
      <c r="E47" s="31"/>
      <c r="F47" s="31"/>
      <c r="G47" s="96"/>
      <c r="H47" s="97"/>
      <c r="I47" s="31"/>
      <c r="J47" s="97" t="s">
        <v>187</v>
      </c>
      <c r="K47" s="31" t="s">
        <v>201</v>
      </c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97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99"/>
    </row>
    <row r="48" spans="2:61" ht="20.100000000000001" customHeight="1" x14ac:dyDescent="0.45">
      <c r="B48" s="95"/>
      <c r="C48" s="31"/>
      <c r="D48" s="31"/>
      <c r="E48" s="31"/>
      <c r="F48" s="31"/>
      <c r="G48" s="96"/>
      <c r="H48" s="97"/>
      <c r="I48" s="31"/>
      <c r="J48" s="97" t="s">
        <v>187</v>
      </c>
      <c r="K48" s="31" t="s">
        <v>207</v>
      </c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97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99"/>
    </row>
    <row r="49" spans="2:61" ht="20.100000000000001" customHeight="1" thickBot="1" x14ac:dyDescent="0.5">
      <c r="B49" s="95"/>
      <c r="C49" s="31"/>
      <c r="D49" s="31"/>
      <c r="E49" s="31"/>
      <c r="F49" s="31"/>
      <c r="G49" s="96"/>
      <c r="H49" s="103"/>
      <c r="I49" s="104"/>
      <c r="J49" s="97" t="s">
        <v>187</v>
      </c>
      <c r="K49" s="104" t="s">
        <v>208</v>
      </c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4"/>
      <c r="AC49" s="104"/>
      <c r="AD49" s="104"/>
      <c r="AE49" s="104"/>
      <c r="AF49" s="104"/>
      <c r="AG49" s="104"/>
      <c r="AH49" s="104"/>
      <c r="AI49" s="104"/>
      <c r="AJ49" s="104"/>
      <c r="AK49" s="103"/>
      <c r="AL49" s="104"/>
      <c r="AM49" s="104"/>
      <c r="AN49" s="104"/>
      <c r="AO49" s="104"/>
      <c r="AP49" s="104"/>
      <c r="AQ49" s="104"/>
      <c r="AR49" s="104"/>
      <c r="AS49" s="104"/>
      <c r="AT49" s="104"/>
      <c r="AU49" s="104"/>
      <c r="AV49" s="104"/>
      <c r="AW49" s="104"/>
      <c r="AX49" s="104"/>
      <c r="AY49" s="104"/>
      <c r="AZ49" s="104"/>
      <c r="BA49" s="104"/>
      <c r="BB49" s="104"/>
      <c r="BC49" s="104"/>
      <c r="BD49" s="104"/>
      <c r="BE49" s="104"/>
      <c r="BF49" s="104"/>
      <c r="BG49" s="104"/>
      <c r="BH49" s="104"/>
      <c r="BI49" s="106"/>
    </row>
    <row r="50" spans="2:61" ht="20.100000000000001" customHeight="1" x14ac:dyDescent="0.45">
      <c r="B50" s="89" t="s">
        <v>145</v>
      </c>
      <c r="C50" s="90"/>
      <c r="D50" s="90"/>
      <c r="E50" s="90"/>
      <c r="F50" s="90"/>
      <c r="G50" s="91"/>
      <c r="H50" s="92" t="s">
        <v>84</v>
      </c>
      <c r="I50" s="90"/>
      <c r="J50" s="120" t="s">
        <v>131</v>
      </c>
      <c r="K50" s="121"/>
      <c r="L50" s="121"/>
      <c r="M50" s="121"/>
      <c r="N50" s="121"/>
      <c r="O50" s="121"/>
      <c r="P50" s="121"/>
      <c r="Q50" s="122"/>
      <c r="R50" s="120">
        <v>2</v>
      </c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2"/>
      <c r="AK50" s="93"/>
      <c r="AL50" s="90"/>
      <c r="AM50" s="90"/>
      <c r="AN50" s="90"/>
      <c r="AO50" s="90"/>
      <c r="AP50" s="90"/>
      <c r="AQ50" s="90"/>
      <c r="AR50" s="90"/>
      <c r="AS50" s="90"/>
      <c r="AT50" s="90"/>
      <c r="AU50" s="90"/>
      <c r="AV50" s="90"/>
      <c r="AW50" s="90"/>
      <c r="AX50" s="90"/>
      <c r="AY50" s="90"/>
      <c r="AZ50" s="90"/>
      <c r="BA50" s="90"/>
      <c r="BB50" s="90"/>
      <c r="BC50" s="90"/>
      <c r="BD50" s="90"/>
      <c r="BE50" s="90"/>
      <c r="BF50" s="90"/>
      <c r="BG50" s="90"/>
      <c r="BH50" s="90"/>
      <c r="BI50" s="94"/>
    </row>
    <row r="51" spans="2:61" ht="20.100000000000001" customHeight="1" x14ac:dyDescent="0.45">
      <c r="B51" s="123"/>
      <c r="C51" s="31"/>
      <c r="D51" s="31"/>
      <c r="E51" s="31"/>
      <c r="F51" s="31"/>
      <c r="G51" s="96"/>
      <c r="H51" s="97"/>
      <c r="I51" s="31"/>
      <c r="J51" s="124" t="s">
        <v>175</v>
      </c>
      <c r="K51" s="52"/>
      <c r="L51" s="52"/>
      <c r="M51" s="52"/>
      <c r="N51" s="52"/>
      <c r="O51" s="52"/>
      <c r="P51" s="52"/>
      <c r="Q51" s="125"/>
      <c r="R51" s="124" t="s">
        <v>193</v>
      </c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125"/>
      <c r="AK51" s="98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99"/>
    </row>
    <row r="52" spans="2:61" ht="20.100000000000001" customHeight="1" x14ac:dyDescent="0.45">
      <c r="B52" s="123"/>
      <c r="C52" s="31"/>
      <c r="D52" s="31"/>
      <c r="E52" s="31"/>
      <c r="F52" s="31"/>
      <c r="G52" s="96"/>
      <c r="H52" s="97"/>
      <c r="I52" s="31"/>
      <c r="J52" s="124" t="s">
        <v>134</v>
      </c>
      <c r="K52" s="52"/>
      <c r="L52" s="52"/>
      <c r="M52" s="52"/>
      <c r="N52" s="52"/>
      <c r="O52" s="52"/>
      <c r="P52" s="52"/>
      <c r="Q52" s="125"/>
      <c r="R52" s="124" t="s">
        <v>194</v>
      </c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125"/>
      <c r="AK52" s="98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99"/>
    </row>
    <row r="53" spans="2:61" ht="20.100000000000001" customHeight="1" x14ac:dyDescent="0.45">
      <c r="B53" s="123"/>
      <c r="C53" s="31"/>
      <c r="D53" s="31"/>
      <c r="E53" s="31"/>
      <c r="F53" s="31"/>
      <c r="G53" s="96"/>
      <c r="H53" s="97"/>
      <c r="I53" s="31"/>
      <c r="J53" s="124" t="s">
        <v>105</v>
      </c>
      <c r="K53" s="52"/>
      <c r="L53" s="52"/>
      <c r="M53" s="52"/>
      <c r="N53" s="52"/>
      <c r="O53" s="52"/>
      <c r="P53" s="52"/>
      <c r="Q53" s="125"/>
      <c r="R53" s="124" t="s">
        <v>195</v>
      </c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125"/>
      <c r="AK53" s="98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99"/>
    </row>
    <row r="54" spans="2:61" ht="20.100000000000001" customHeight="1" x14ac:dyDescent="0.45">
      <c r="B54" s="123"/>
      <c r="C54" s="31"/>
      <c r="D54" s="31"/>
      <c r="E54" s="31"/>
      <c r="F54" s="31"/>
      <c r="G54" s="96"/>
      <c r="H54" s="31"/>
      <c r="I54" s="31"/>
      <c r="J54" s="124" t="s">
        <v>176</v>
      </c>
      <c r="K54" s="52"/>
      <c r="L54" s="52"/>
      <c r="M54" s="52"/>
      <c r="N54" s="52"/>
      <c r="O54" s="52"/>
      <c r="P54" s="52"/>
      <c r="Q54" s="125"/>
      <c r="R54" s="124" t="s">
        <v>198</v>
      </c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125"/>
      <c r="AK54" s="98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99"/>
    </row>
    <row r="55" spans="2:61" ht="20.100000000000001" customHeight="1" x14ac:dyDescent="0.45">
      <c r="B55" s="123"/>
      <c r="C55" s="31"/>
      <c r="D55" s="31"/>
      <c r="E55" s="31"/>
      <c r="F55" s="31"/>
      <c r="G55" s="96"/>
      <c r="H55" s="31"/>
      <c r="I55" s="31"/>
      <c r="J55" s="124" t="s">
        <v>99</v>
      </c>
      <c r="K55" s="52"/>
      <c r="L55" s="52"/>
      <c r="M55" s="52"/>
      <c r="N55" s="52"/>
      <c r="O55" s="52"/>
      <c r="P55" s="52"/>
      <c r="Q55" s="125"/>
      <c r="R55" s="124" t="s">
        <v>202</v>
      </c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125"/>
      <c r="AK55" s="98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99"/>
    </row>
    <row r="56" spans="2:61" ht="20.100000000000001" customHeight="1" x14ac:dyDescent="0.45">
      <c r="B56" s="123"/>
      <c r="C56" s="31"/>
      <c r="D56" s="31"/>
      <c r="E56" s="31"/>
      <c r="F56" s="31"/>
      <c r="G56" s="96"/>
      <c r="H56" s="31"/>
      <c r="I56" s="31"/>
      <c r="J56" s="124" t="s">
        <v>101</v>
      </c>
      <c r="K56" s="52"/>
      <c r="L56" s="52"/>
      <c r="M56" s="52"/>
      <c r="N56" s="52"/>
      <c r="O56" s="52"/>
      <c r="P56" s="52"/>
      <c r="Q56" s="125"/>
      <c r="R56" s="124" t="s">
        <v>203</v>
      </c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125"/>
      <c r="AK56" s="98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99"/>
    </row>
    <row r="57" spans="2:61" ht="20.100000000000001" customHeight="1" x14ac:dyDescent="0.45">
      <c r="B57" s="123"/>
      <c r="C57" s="31"/>
      <c r="D57" s="31"/>
      <c r="E57" s="31"/>
      <c r="F57" s="31"/>
      <c r="G57" s="96"/>
      <c r="H57" s="31"/>
      <c r="I57" s="31"/>
      <c r="J57" s="124" t="s">
        <v>132</v>
      </c>
      <c r="K57" s="52"/>
      <c r="L57" s="52"/>
      <c r="M57" s="52"/>
      <c r="N57" s="52"/>
      <c r="O57" s="52"/>
      <c r="P57" s="52"/>
      <c r="Q57" s="125"/>
      <c r="R57" s="124" t="s">
        <v>204</v>
      </c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125"/>
      <c r="AK57" s="98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99"/>
    </row>
    <row r="58" spans="2:61" ht="20.100000000000001" customHeight="1" x14ac:dyDescent="0.45">
      <c r="B58" s="123"/>
      <c r="C58" s="31"/>
      <c r="D58" s="31"/>
      <c r="E58" s="31"/>
      <c r="F58" s="31"/>
      <c r="G58" s="96"/>
      <c r="H58" s="31"/>
      <c r="I58" s="31"/>
      <c r="J58" s="124" t="s">
        <v>133</v>
      </c>
      <c r="K58" s="52"/>
      <c r="L58" s="52"/>
      <c r="M58" s="52"/>
      <c r="N58" s="52"/>
      <c r="O58" s="52"/>
      <c r="P58" s="52"/>
      <c r="Q58" s="125"/>
      <c r="R58" s="124" t="s">
        <v>205</v>
      </c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125"/>
      <c r="AK58" s="98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99"/>
    </row>
    <row r="59" spans="2:61" ht="20.100000000000001" customHeight="1" x14ac:dyDescent="0.45">
      <c r="B59" s="123"/>
      <c r="C59" s="31"/>
      <c r="D59" s="31"/>
      <c r="E59" s="31"/>
      <c r="F59" s="31"/>
      <c r="G59" s="96"/>
      <c r="H59" s="31"/>
      <c r="I59" s="31"/>
      <c r="J59" s="124" t="s">
        <v>143</v>
      </c>
      <c r="K59" s="52"/>
      <c r="L59" s="52"/>
      <c r="M59" s="52"/>
      <c r="N59" s="52"/>
      <c r="O59" s="52"/>
      <c r="P59" s="52"/>
      <c r="Q59" s="125"/>
      <c r="R59" s="124" t="s">
        <v>225</v>
      </c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125"/>
      <c r="AK59" s="98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99"/>
    </row>
    <row r="60" spans="2:61" ht="20.100000000000001" customHeight="1" x14ac:dyDescent="0.45">
      <c r="B60" s="123"/>
      <c r="C60" s="31"/>
      <c r="D60" s="31"/>
      <c r="E60" s="31"/>
      <c r="F60" s="31"/>
      <c r="G60" s="96"/>
      <c r="H60" s="31"/>
      <c r="I60" s="31"/>
      <c r="J60" s="124" t="s">
        <v>135</v>
      </c>
      <c r="K60" s="52"/>
      <c r="L60" s="52"/>
      <c r="M60" s="52"/>
      <c r="N60" s="52"/>
      <c r="O60" s="52"/>
      <c r="P60" s="52"/>
      <c r="Q60" s="125"/>
      <c r="R60" s="124">
        <v>0</v>
      </c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125"/>
      <c r="AK60" s="98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99"/>
    </row>
    <row r="61" spans="2:61" ht="20.100000000000001" customHeight="1" x14ac:dyDescent="0.45">
      <c r="B61" s="123"/>
      <c r="C61" s="31"/>
      <c r="D61" s="31"/>
      <c r="E61" s="31"/>
      <c r="F61" s="31"/>
      <c r="G61" s="96"/>
      <c r="H61" s="31"/>
      <c r="I61" s="31"/>
      <c r="J61" s="124" t="s">
        <v>109</v>
      </c>
      <c r="K61" s="52"/>
      <c r="L61" s="52"/>
      <c r="M61" s="52"/>
      <c r="N61" s="52"/>
      <c r="O61" s="52"/>
      <c r="P61" s="52"/>
      <c r="Q61" s="125"/>
      <c r="R61" s="124" t="s">
        <v>225</v>
      </c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125"/>
      <c r="AK61" s="98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99"/>
    </row>
    <row r="62" spans="2:61" ht="20.100000000000001" customHeight="1" x14ac:dyDescent="0.45">
      <c r="B62" s="123"/>
      <c r="C62" s="31"/>
      <c r="D62" s="31"/>
      <c r="E62" s="31"/>
      <c r="F62" s="31"/>
      <c r="G62" s="96"/>
      <c r="H62" s="31"/>
      <c r="I62" s="31"/>
      <c r="J62" s="124" t="s">
        <v>111</v>
      </c>
      <c r="K62" s="52"/>
      <c r="L62" s="52"/>
      <c r="M62" s="52"/>
      <c r="N62" s="52"/>
      <c r="O62" s="52"/>
      <c r="P62" s="52"/>
      <c r="Q62" s="125"/>
      <c r="R62" s="124" t="s">
        <v>225</v>
      </c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125"/>
      <c r="AK62" s="98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99"/>
    </row>
    <row r="63" spans="2:61" ht="20.100000000000001" customHeight="1" x14ac:dyDescent="0.45">
      <c r="B63" s="123"/>
      <c r="C63" s="31"/>
      <c r="D63" s="31"/>
      <c r="E63" s="31"/>
      <c r="F63" s="31"/>
      <c r="G63" s="96"/>
      <c r="H63" s="31"/>
      <c r="I63" s="31"/>
      <c r="J63" s="124" t="s">
        <v>136</v>
      </c>
      <c r="K63" s="52"/>
      <c r="L63" s="52"/>
      <c r="M63" s="52"/>
      <c r="N63" s="52"/>
      <c r="O63" s="52"/>
      <c r="P63" s="52"/>
      <c r="Q63" s="125"/>
      <c r="R63" s="124" t="s">
        <v>225</v>
      </c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125"/>
      <c r="AK63" s="98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99"/>
    </row>
    <row r="64" spans="2:61" ht="20.100000000000001" customHeight="1" x14ac:dyDescent="0.45">
      <c r="B64" s="123"/>
      <c r="C64" s="31"/>
      <c r="D64" s="31"/>
      <c r="E64" s="31"/>
      <c r="F64" s="31"/>
      <c r="G64" s="96"/>
      <c r="H64" s="31"/>
      <c r="I64" s="31"/>
      <c r="J64" s="124" t="s">
        <v>114</v>
      </c>
      <c r="K64" s="52"/>
      <c r="L64" s="52"/>
      <c r="M64" s="52"/>
      <c r="N64" s="52"/>
      <c r="O64" s="52"/>
      <c r="P64" s="52"/>
      <c r="Q64" s="125"/>
      <c r="R64" s="124" t="s">
        <v>225</v>
      </c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125"/>
      <c r="AK64" s="98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99"/>
    </row>
    <row r="65" spans="2:61" ht="20.100000000000001" customHeight="1" x14ac:dyDescent="0.45">
      <c r="B65" s="123"/>
      <c r="C65" s="31"/>
      <c r="D65" s="31"/>
      <c r="E65" s="31"/>
      <c r="F65" s="31"/>
      <c r="G65" s="96"/>
      <c r="H65" s="31"/>
      <c r="I65" s="31"/>
      <c r="J65" s="124" t="s">
        <v>116</v>
      </c>
      <c r="K65" s="52"/>
      <c r="L65" s="52"/>
      <c r="M65" s="52"/>
      <c r="N65" s="52"/>
      <c r="O65" s="52"/>
      <c r="P65" s="52"/>
      <c r="Q65" s="125"/>
      <c r="R65" s="124" t="s">
        <v>225</v>
      </c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125"/>
      <c r="AK65" s="98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99"/>
    </row>
    <row r="66" spans="2:61" ht="20.100000000000001" customHeight="1" x14ac:dyDescent="0.45">
      <c r="B66" s="123"/>
      <c r="C66" s="31"/>
      <c r="D66" s="31"/>
      <c r="E66" s="31"/>
      <c r="F66" s="31"/>
      <c r="G66" s="96"/>
      <c r="H66" s="31"/>
      <c r="I66" s="31"/>
      <c r="J66" s="124" t="s">
        <v>118</v>
      </c>
      <c r="K66" s="52"/>
      <c r="L66" s="52"/>
      <c r="M66" s="52"/>
      <c r="N66" s="52"/>
      <c r="O66" s="52"/>
      <c r="P66" s="52"/>
      <c r="Q66" s="125"/>
      <c r="R66" s="124" t="s">
        <v>225</v>
      </c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125"/>
      <c r="AK66" s="98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99"/>
    </row>
    <row r="67" spans="2:61" ht="20.100000000000001" customHeight="1" x14ac:dyDescent="0.45">
      <c r="B67" s="123"/>
      <c r="C67" s="31"/>
      <c r="D67" s="31"/>
      <c r="E67" s="31"/>
      <c r="F67" s="31"/>
      <c r="G67" s="96"/>
      <c r="H67" s="31"/>
      <c r="I67" s="31"/>
      <c r="J67" s="124" t="s">
        <v>137</v>
      </c>
      <c r="K67" s="52"/>
      <c r="L67" s="52"/>
      <c r="M67" s="52"/>
      <c r="N67" s="52"/>
      <c r="O67" s="52"/>
      <c r="P67" s="52"/>
      <c r="Q67" s="125"/>
      <c r="R67" s="124" t="s">
        <v>225</v>
      </c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125"/>
      <c r="AK67" s="98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99"/>
    </row>
    <row r="68" spans="2:61" ht="20.100000000000001" customHeight="1" x14ac:dyDescent="0.45">
      <c r="B68" s="123"/>
      <c r="C68" s="31"/>
      <c r="D68" s="31"/>
      <c r="E68" s="31"/>
      <c r="F68" s="31"/>
      <c r="G68" s="96"/>
      <c r="H68" s="31"/>
      <c r="I68" s="31"/>
      <c r="J68" s="124" t="s">
        <v>138</v>
      </c>
      <c r="K68" s="52"/>
      <c r="L68" s="52"/>
      <c r="M68" s="52"/>
      <c r="N68" s="52"/>
      <c r="O68" s="52"/>
      <c r="P68" s="52"/>
      <c r="Q68" s="125"/>
      <c r="R68" s="124" t="s">
        <v>225</v>
      </c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125"/>
      <c r="AK68" s="98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99"/>
    </row>
    <row r="69" spans="2:61" ht="20.100000000000001" customHeight="1" x14ac:dyDescent="0.45">
      <c r="B69" s="123"/>
      <c r="C69" s="31"/>
      <c r="D69" s="31"/>
      <c r="E69" s="31"/>
      <c r="F69" s="31"/>
      <c r="G69" s="96"/>
      <c r="H69" s="31"/>
      <c r="I69" s="31"/>
      <c r="J69" s="124" t="s">
        <v>139</v>
      </c>
      <c r="K69" s="52"/>
      <c r="L69" s="52"/>
      <c r="M69" s="52"/>
      <c r="N69" s="52"/>
      <c r="O69" s="52"/>
      <c r="P69" s="52"/>
      <c r="Q69" s="125"/>
      <c r="R69" s="124" t="s">
        <v>225</v>
      </c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125"/>
      <c r="AK69" s="98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99"/>
    </row>
    <row r="70" spans="2:61" ht="20.100000000000001" customHeight="1" x14ac:dyDescent="0.45">
      <c r="B70" s="123"/>
      <c r="C70" s="31"/>
      <c r="D70" s="31"/>
      <c r="E70" s="31"/>
      <c r="F70" s="31"/>
      <c r="G70" s="96"/>
      <c r="H70" s="31"/>
      <c r="I70" s="31"/>
      <c r="J70" s="124" t="s">
        <v>140</v>
      </c>
      <c r="K70" s="52"/>
      <c r="L70" s="52"/>
      <c r="M70" s="52"/>
      <c r="N70" s="52"/>
      <c r="O70" s="52"/>
      <c r="P70" s="52"/>
      <c r="Q70" s="125"/>
      <c r="R70" s="124" t="s">
        <v>225</v>
      </c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125"/>
      <c r="AK70" s="98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99"/>
    </row>
    <row r="71" spans="2:61" ht="20.100000000000001" customHeight="1" x14ac:dyDescent="0.45">
      <c r="B71" s="123"/>
      <c r="C71" s="31"/>
      <c r="D71" s="31"/>
      <c r="E71" s="31"/>
      <c r="F71" s="31"/>
      <c r="G71" s="96"/>
      <c r="H71" s="31"/>
      <c r="I71" s="31"/>
      <c r="J71" s="124" t="s">
        <v>141</v>
      </c>
      <c r="K71" s="52"/>
      <c r="L71" s="52"/>
      <c r="M71" s="52"/>
      <c r="N71" s="52"/>
      <c r="O71" s="52"/>
      <c r="P71" s="52"/>
      <c r="Q71" s="125"/>
      <c r="R71" s="124">
        <v>0</v>
      </c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125"/>
      <c r="AK71" s="98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99"/>
    </row>
    <row r="72" spans="2:61" ht="20.100000000000001" customHeight="1" x14ac:dyDescent="0.45">
      <c r="B72" s="123"/>
      <c r="C72" s="31"/>
      <c r="D72" s="31"/>
      <c r="E72" s="31"/>
      <c r="F72" s="31"/>
      <c r="G72" s="96"/>
      <c r="H72" s="31"/>
      <c r="I72" s="31"/>
      <c r="J72" s="124" t="s">
        <v>142</v>
      </c>
      <c r="K72" s="52"/>
      <c r="L72" s="52"/>
      <c r="M72" s="52"/>
      <c r="N72" s="52"/>
      <c r="O72" s="52"/>
      <c r="P72" s="52"/>
      <c r="Q72" s="125"/>
      <c r="R72" s="124" t="s">
        <v>225</v>
      </c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125"/>
      <c r="AK72" s="98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99"/>
    </row>
    <row r="73" spans="2:61" ht="20.100000000000001" customHeight="1" x14ac:dyDescent="0.45">
      <c r="B73" s="123"/>
      <c r="C73" s="31"/>
      <c r="D73" s="31"/>
      <c r="E73" s="31"/>
      <c r="F73" s="31"/>
      <c r="G73" s="96"/>
      <c r="H73" s="31"/>
      <c r="I73" s="31"/>
      <c r="J73" s="124" t="s">
        <v>122</v>
      </c>
      <c r="K73" s="52"/>
      <c r="L73" s="52"/>
      <c r="M73" s="52"/>
      <c r="N73" s="52"/>
      <c r="O73" s="52"/>
      <c r="P73" s="52"/>
      <c r="Q73" s="125"/>
      <c r="R73" s="124">
        <v>0</v>
      </c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125"/>
      <c r="AK73" s="98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99"/>
    </row>
    <row r="74" spans="2:61" ht="20.100000000000001" customHeight="1" x14ac:dyDescent="0.45">
      <c r="B74" s="123"/>
      <c r="C74" s="31"/>
      <c r="D74" s="31"/>
      <c r="E74" s="31"/>
      <c r="F74" s="31"/>
      <c r="G74" s="96"/>
      <c r="H74" s="31"/>
      <c r="I74" s="31"/>
      <c r="J74" s="124" t="s">
        <v>177</v>
      </c>
      <c r="K74" s="52"/>
      <c r="L74" s="52"/>
      <c r="M74" s="52"/>
      <c r="N74" s="52"/>
      <c r="O74" s="52"/>
      <c r="P74" s="52"/>
      <c r="Q74" s="125"/>
      <c r="R74" s="124" t="s">
        <v>226</v>
      </c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125"/>
      <c r="AK74" s="98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99"/>
    </row>
    <row r="75" spans="2:61" ht="20.100000000000001" customHeight="1" x14ac:dyDescent="0.45">
      <c r="B75" s="123"/>
      <c r="C75" s="31"/>
      <c r="D75" s="31"/>
      <c r="E75" s="31"/>
      <c r="F75" s="31"/>
      <c r="G75" s="96"/>
      <c r="H75" s="100" t="s">
        <v>53</v>
      </c>
      <c r="I75" s="55"/>
      <c r="J75" s="100" t="s">
        <v>181</v>
      </c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101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  <c r="BB75" s="55"/>
      <c r="BC75" s="55"/>
      <c r="BD75" s="55"/>
      <c r="BE75" s="55"/>
      <c r="BF75" s="55"/>
      <c r="BG75" s="55"/>
      <c r="BH75" s="55"/>
      <c r="BI75" s="102"/>
    </row>
    <row r="76" spans="2:61" ht="20.100000000000001" customHeight="1" x14ac:dyDescent="0.45">
      <c r="B76" s="123"/>
      <c r="C76" s="31"/>
      <c r="D76" s="31"/>
      <c r="E76" s="31"/>
      <c r="F76" s="31"/>
      <c r="G76" s="96"/>
      <c r="H76" s="97"/>
      <c r="I76" s="31"/>
      <c r="J76" s="97" t="s">
        <v>182</v>
      </c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98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99"/>
    </row>
    <row r="77" spans="2:61" ht="20.100000000000001" customHeight="1" x14ac:dyDescent="0.45">
      <c r="B77" s="95"/>
      <c r="C77" s="31"/>
      <c r="D77" s="31"/>
      <c r="E77" s="31"/>
      <c r="F77" s="31"/>
      <c r="G77" s="96"/>
      <c r="I77" s="31"/>
      <c r="J77" s="97" t="s">
        <v>178</v>
      </c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98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99"/>
    </row>
    <row r="78" spans="2:61" ht="20.100000000000001" customHeight="1" x14ac:dyDescent="0.45">
      <c r="B78" s="95"/>
      <c r="C78" s="31"/>
      <c r="D78" s="31"/>
      <c r="E78" s="31"/>
      <c r="F78" s="31"/>
      <c r="G78" s="96"/>
      <c r="H78" s="100" t="s">
        <v>54</v>
      </c>
      <c r="I78" s="55"/>
      <c r="J78" s="100" t="s">
        <v>180</v>
      </c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101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5"/>
      <c r="AZ78" s="55"/>
      <c r="BA78" s="55"/>
      <c r="BB78" s="55"/>
      <c r="BC78" s="55"/>
      <c r="BD78" s="55"/>
      <c r="BE78" s="55"/>
      <c r="BF78" s="55"/>
      <c r="BG78" s="55"/>
      <c r="BH78" s="55"/>
      <c r="BI78" s="102"/>
    </row>
    <row r="79" spans="2:61" ht="20.100000000000001" customHeight="1" x14ac:dyDescent="0.45">
      <c r="B79" s="95"/>
      <c r="C79" s="31"/>
      <c r="D79" s="31"/>
      <c r="E79" s="31"/>
      <c r="F79" s="31"/>
      <c r="G79" s="96"/>
      <c r="H79" s="97"/>
      <c r="I79" s="31"/>
      <c r="J79" s="97"/>
      <c r="K79" s="31" t="s">
        <v>183</v>
      </c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98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99"/>
    </row>
    <row r="80" spans="2:61" ht="20.100000000000001" customHeight="1" x14ac:dyDescent="0.45">
      <c r="B80" s="95"/>
      <c r="C80" s="31"/>
      <c r="D80" s="31"/>
      <c r="E80" s="31"/>
      <c r="F80" s="31"/>
      <c r="G80" s="96"/>
      <c r="H80" s="97"/>
      <c r="I80" s="31"/>
      <c r="J80" s="97"/>
      <c r="K80" s="31"/>
      <c r="L80" s="31"/>
      <c r="M80" s="31" t="s">
        <v>199</v>
      </c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98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99"/>
    </row>
    <row r="81" spans="2:61" ht="20.100000000000001" customHeight="1" x14ac:dyDescent="0.45">
      <c r="B81" s="95"/>
      <c r="C81" s="31"/>
      <c r="D81" s="31"/>
      <c r="E81" s="31"/>
      <c r="F81" s="31"/>
      <c r="G81" s="96"/>
      <c r="H81" s="97"/>
      <c r="I81" s="31"/>
      <c r="J81" s="97" t="s">
        <v>185</v>
      </c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98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99"/>
    </row>
    <row r="82" spans="2:61" ht="20.100000000000001" customHeight="1" x14ac:dyDescent="0.45">
      <c r="B82" s="95"/>
      <c r="C82" s="31"/>
      <c r="D82" s="31"/>
      <c r="E82" s="31"/>
      <c r="F82" s="31"/>
      <c r="G82" s="96"/>
      <c r="H82" s="97"/>
      <c r="I82" s="31"/>
      <c r="J82" s="97"/>
      <c r="K82" s="31" t="s">
        <v>184</v>
      </c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98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99"/>
    </row>
    <row r="83" spans="2:61" ht="20.100000000000001" customHeight="1" x14ac:dyDescent="0.45">
      <c r="B83" s="95"/>
      <c r="C83" s="31"/>
      <c r="D83" s="31"/>
      <c r="E83" s="31"/>
      <c r="F83" s="31"/>
      <c r="G83" s="96"/>
      <c r="H83" s="103"/>
      <c r="I83" s="104"/>
      <c r="J83" s="103"/>
      <c r="K83" s="104"/>
      <c r="L83" s="104"/>
      <c r="M83" s="104" t="s">
        <v>206</v>
      </c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  <c r="AA83" s="104"/>
      <c r="AB83" s="104"/>
      <c r="AC83" s="104"/>
      <c r="AD83" s="104"/>
      <c r="AE83" s="104"/>
      <c r="AF83" s="104"/>
      <c r="AG83" s="104"/>
      <c r="AH83" s="104"/>
      <c r="AI83" s="104"/>
      <c r="AJ83" s="104"/>
      <c r="AK83" s="105"/>
      <c r="AL83" s="104"/>
      <c r="AM83" s="104"/>
      <c r="AN83" s="104"/>
      <c r="AO83" s="104"/>
      <c r="AP83" s="104"/>
      <c r="AQ83" s="104"/>
      <c r="AR83" s="104"/>
      <c r="AS83" s="104"/>
      <c r="AT83" s="104"/>
      <c r="AU83" s="104"/>
      <c r="AV83" s="104"/>
      <c r="AW83" s="104"/>
      <c r="AX83" s="104"/>
      <c r="AY83" s="104"/>
      <c r="AZ83" s="104"/>
      <c r="BA83" s="104"/>
      <c r="BB83" s="104"/>
      <c r="BC83" s="104"/>
      <c r="BD83" s="104"/>
      <c r="BE83" s="104"/>
      <c r="BF83" s="104"/>
      <c r="BG83" s="104"/>
      <c r="BH83" s="104"/>
      <c r="BI83" s="106"/>
    </row>
    <row r="84" spans="2:61" ht="20.100000000000001" customHeight="1" x14ac:dyDescent="0.45">
      <c r="B84" s="95"/>
      <c r="C84" s="31"/>
      <c r="D84" s="31"/>
      <c r="E84" s="31"/>
      <c r="F84" s="31"/>
      <c r="G84" s="96"/>
      <c r="H84" s="97" t="s">
        <v>55</v>
      </c>
      <c r="I84" s="31"/>
      <c r="J84" s="100"/>
      <c r="K84" s="55" t="s">
        <v>196</v>
      </c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31"/>
      <c r="AD84" s="31"/>
      <c r="AE84" s="31"/>
      <c r="AF84" s="31"/>
      <c r="AG84" s="31"/>
      <c r="AH84" s="31"/>
      <c r="AI84" s="31"/>
      <c r="AJ84" s="31"/>
      <c r="AK84" s="98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99"/>
    </row>
    <row r="85" spans="2:61" ht="20.100000000000001" customHeight="1" x14ac:dyDescent="0.45">
      <c r="B85" s="95"/>
      <c r="C85" s="31"/>
      <c r="D85" s="31"/>
      <c r="E85" s="31"/>
      <c r="F85" s="31"/>
      <c r="G85" s="96"/>
      <c r="H85" s="97"/>
      <c r="I85" s="31"/>
      <c r="J85" s="97" t="s">
        <v>187</v>
      </c>
      <c r="K85" s="31" t="s">
        <v>197</v>
      </c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97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99"/>
    </row>
    <row r="86" spans="2:61" ht="20.100000000000001" customHeight="1" x14ac:dyDescent="0.45">
      <c r="B86" s="95"/>
      <c r="C86" s="31"/>
      <c r="D86" s="31"/>
      <c r="E86" s="31"/>
      <c r="F86" s="31"/>
      <c r="G86" s="96"/>
      <c r="H86" s="97"/>
      <c r="I86" s="31"/>
      <c r="J86" s="97" t="s">
        <v>187</v>
      </c>
      <c r="K86" s="31" t="s">
        <v>200</v>
      </c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97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99"/>
    </row>
    <row r="87" spans="2:61" ht="20.100000000000001" customHeight="1" x14ac:dyDescent="0.45">
      <c r="B87" s="95"/>
      <c r="C87" s="31"/>
      <c r="D87" s="31"/>
      <c r="E87" s="31"/>
      <c r="F87" s="31"/>
      <c r="G87" s="96"/>
      <c r="H87" s="97"/>
      <c r="I87" s="31"/>
      <c r="J87" s="97" t="s">
        <v>187</v>
      </c>
      <c r="K87" s="31" t="s">
        <v>201</v>
      </c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97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99"/>
    </row>
    <row r="88" spans="2:61" ht="20.100000000000001" customHeight="1" x14ac:dyDescent="0.45">
      <c r="B88" s="95"/>
      <c r="C88" s="31"/>
      <c r="D88" s="31"/>
      <c r="E88" s="31"/>
      <c r="F88" s="31"/>
      <c r="G88" s="96"/>
      <c r="H88" s="97"/>
      <c r="I88" s="31"/>
      <c r="J88" s="97" t="s">
        <v>187</v>
      </c>
      <c r="K88" s="31" t="s">
        <v>207</v>
      </c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97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99"/>
    </row>
    <row r="89" spans="2:61" ht="20.100000000000001" customHeight="1" x14ac:dyDescent="0.45">
      <c r="B89" s="95"/>
      <c r="C89" s="31"/>
      <c r="D89" s="31"/>
      <c r="E89" s="31"/>
      <c r="F89" s="31"/>
      <c r="G89" s="96"/>
      <c r="H89" s="97"/>
      <c r="I89" s="31"/>
      <c r="J89" s="97" t="s">
        <v>187</v>
      </c>
      <c r="K89" s="31" t="s">
        <v>208</v>
      </c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97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99"/>
    </row>
    <row r="90" spans="2:61" ht="20.100000000000001" customHeight="1" x14ac:dyDescent="0.45">
      <c r="B90" s="95"/>
      <c r="C90" s="31"/>
      <c r="D90" s="31"/>
      <c r="E90" s="31"/>
      <c r="F90" s="31"/>
      <c r="G90" s="96"/>
      <c r="H90" s="97"/>
      <c r="I90" s="31"/>
      <c r="J90" s="97" t="s">
        <v>187</v>
      </c>
      <c r="K90" s="31" t="s">
        <v>227</v>
      </c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97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99"/>
    </row>
    <row r="91" spans="2:61" ht="20.100000000000001" customHeight="1" x14ac:dyDescent="0.45">
      <c r="B91" s="95"/>
      <c r="C91" s="31"/>
      <c r="D91" s="31"/>
      <c r="E91" s="31"/>
      <c r="F91" s="31"/>
      <c r="G91" s="96"/>
      <c r="H91" s="100" t="s">
        <v>228</v>
      </c>
      <c r="I91" s="55"/>
      <c r="J91" s="100" t="s">
        <v>230</v>
      </c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100"/>
      <c r="AL91" s="55"/>
      <c r="AM91" s="55"/>
      <c r="AN91" s="55"/>
      <c r="AO91" s="55"/>
      <c r="AP91" s="55"/>
      <c r="AQ91" s="55"/>
      <c r="AR91" s="55"/>
      <c r="AS91" s="55"/>
      <c r="AT91" s="55"/>
      <c r="AU91" s="55"/>
      <c r="AV91" s="55"/>
      <c r="AW91" s="55"/>
      <c r="AX91" s="55"/>
      <c r="AY91" s="55"/>
      <c r="AZ91" s="55"/>
      <c r="BA91" s="55"/>
      <c r="BB91" s="55"/>
      <c r="BC91" s="55"/>
      <c r="BD91" s="55"/>
      <c r="BE91" s="55"/>
      <c r="BF91" s="55"/>
      <c r="BG91" s="55"/>
      <c r="BH91" s="55"/>
      <c r="BI91" s="102"/>
    </row>
    <row r="92" spans="2:61" ht="20.100000000000001" customHeight="1" x14ac:dyDescent="0.45">
      <c r="B92" s="95"/>
      <c r="C92" s="31"/>
      <c r="D92" s="31"/>
      <c r="E92" s="31"/>
      <c r="F92" s="31"/>
      <c r="G92" s="96"/>
      <c r="H92" s="97"/>
      <c r="I92" s="31"/>
      <c r="J92" s="97" t="s">
        <v>232</v>
      </c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97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99"/>
    </row>
    <row r="93" spans="2:61" ht="20.100000000000001" customHeight="1" x14ac:dyDescent="0.45">
      <c r="B93" s="95"/>
      <c r="C93" s="31"/>
      <c r="D93" s="31"/>
      <c r="E93" s="31"/>
      <c r="F93" s="31"/>
      <c r="G93" s="96"/>
      <c r="H93" s="97"/>
      <c r="I93" s="31"/>
      <c r="J93" s="97" t="s">
        <v>235</v>
      </c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97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99"/>
    </row>
    <row r="94" spans="2:61" ht="20.100000000000001" customHeight="1" thickBot="1" x14ac:dyDescent="0.5">
      <c r="B94" s="95"/>
      <c r="C94" s="31"/>
      <c r="D94" s="31"/>
      <c r="E94" s="31"/>
      <c r="F94" s="31"/>
      <c r="G94" s="96"/>
      <c r="H94" s="117"/>
      <c r="I94" s="115"/>
      <c r="J94" s="117" t="s">
        <v>237</v>
      </c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  <c r="AD94" s="115"/>
      <c r="AE94" s="115"/>
      <c r="AF94" s="115"/>
      <c r="AG94" s="115"/>
      <c r="AH94" s="115"/>
      <c r="AI94" s="115"/>
      <c r="AJ94" s="115"/>
      <c r="AK94" s="117"/>
      <c r="AL94" s="115"/>
      <c r="AM94" s="115"/>
      <c r="AN94" s="115"/>
      <c r="AO94" s="115"/>
      <c r="AP94" s="115"/>
      <c r="AQ94" s="115"/>
      <c r="AR94" s="115"/>
      <c r="AS94" s="115"/>
      <c r="AT94" s="115"/>
      <c r="AU94" s="115"/>
      <c r="AV94" s="115"/>
      <c r="AW94" s="115"/>
      <c r="AX94" s="115"/>
      <c r="AY94" s="115"/>
      <c r="AZ94" s="115"/>
      <c r="BA94" s="115"/>
      <c r="BB94" s="115"/>
      <c r="BC94" s="115"/>
      <c r="BD94" s="115"/>
      <c r="BE94" s="115"/>
      <c r="BF94" s="115"/>
      <c r="BG94" s="115"/>
      <c r="BH94" s="115"/>
      <c r="BI94" s="118"/>
    </row>
    <row r="95" spans="2:61" ht="5.0999999999999996" customHeight="1" x14ac:dyDescent="0.45">
      <c r="B95" s="90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  <c r="AA95" s="90"/>
      <c r="AB95" s="90"/>
      <c r="AC95" s="90"/>
      <c r="AD95" s="90"/>
      <c r="AE95" s="90"/>
      <c r="AF95" s="90"/>
      <c r="AG95" s="90"/>
      <c r="AH95" s="90"/>
      <c r="AI95" s="90"/>
      <c r="AJ95" s="90"/>
      <c r="AK95" s="90"/>
      <c r="AL95" s="90"/>
      <c r="AM95" s="90"/>
      <c r="AN95" s="90"/>
      <c r="AO95" s="90"/>
      <c r="AP95" s="90"/>
      <c r="AQ95" s="90"/>
      <c r="AR95" s="90"/>
      <c r="AS95" s="90"/>
      <c r="AT95" s="90"/>
      <c r="AU95" s="90"/>
      <c r="AV95" s="90"/>
      <c r="AW95" s="90"/>
      <c r="AX95" s="90"/>
      <c r="AY95" s="90"/>
      <c r="AZ95" s="90"/>
      <c r="BA95" s="90"/>
      <c r="BB95" s="90"/>
      <c r="BC95" s="90"/>
      <c r="BD95" s="90"/>
      <c r="BE95" s="90"/>
      <c r="BF95" s="90"/>
      <c r="BG95" s="90"/>
      <c r="BH95" s="90"/>
      <c r="BI95" s="90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B1:BM36"/>
  <sheetViews>
    <sheetView showGridLines="0" zoomScaleNormal="100" zoomScaleSheetLayoutView="100" workbookViewId="0">
      <selection activeCell="P16" sqref="P16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00" t="s">
        <v>0</v>
      </c>
      <c r="C2" s="195"/>
      <c r="D2" s="195"/>
      <c r="E2" s="195"/>
      <c r="F2" s="195"/>
      <c r="G2" s="195"/>
      <c r="H2" s="195" t="s">
        <v>17</v>
      </c>
      <c r="I2" s="195"/>
      <c r="J2" s="195"/>
      <c r="K2" s="195"/>
      <c r="L2" s="195" t="s">
        <v>1</v>
      </c>
      <c r="M2" s="195"/>
      <c r="N2" s="195"/>
      <c r="O2" s="195"/>
      <c r="P2" s="195"/>
      <c r="Q2" s="195"/>
      <c r="R2" s="195" t="s">
        <v>2</v>
      </c>
      <c r="S2" s="195"/>
      <c r="T2" s="195"/>
      <c r="U2" s="195"/>
      <c r="V2" s="195"/>
      <c r="W2" s="195"/>
      <c r="X2" s="201" t="s">
        <v>3</v>
      </c>
      <c r="Y2" s="202"/>
      <c r="Z2" s="202"/>
      <c r="AA2" s="202"/>
      <c r="AB2" s="202"/>
      <c r="AC2" s="202"/>
      <c r="AD2" s="202"/>
      <c r="AE2" s="202"/>
      <c r="AF2" s="202"/>
      <c r="AG2" s="202"/>
      <c r="AH2" s="202"/>
      <c r="AI2" s="202"/>
      <c r="AJ2" s="203"/>
      <c r="AK2" s="201" t="s">
        <v>32</v>
      </c>
      <c r="AL2" s="202"/>
      <c r="AM2" s="202"/>
      <c r="AN2" s="202"/>
      <c r="AO2" s="202"/>
      <c r="AP2" s="202"/>
      <c r="AQ2" s="202"/>
      <c r="AR2" s="202"/>
      <c r="AS2" s="202"/>
      <c r="AT2" s="202"/>
      <c r="AU2" s="202"/>
      <c r="AV2" s="202"/>
      <c r="AW2" s="203"/>
      <c r="AX2" s="195" t="s">
        <v>5</v>
      </c>
      <c r="AY2" s="195"/>
      <c r="AZ2" s="195"/>
      <c r="BA2" s="195"/>
      <c r="BB2" s="195" t="s">
        <v>4</v>
      </c>
      <c r="BC2" s="195"/>
      <c r="BD2" s="195"/>
      <c r="BE2" s="195"/>
      <c r="BF2" s="195" t="s">
        <v>6</v>
      </c>
      <c r="BG2" s="195"/>
      <c r="BH2" s="195"/>
      <c r="BI2" s="195"/>
      <c r="BJ2" s="195" t="s">
        <v>7</v>
      </c>
      <c r="BK2" s="195"/>
      <c r="BL2" s="195"/>
      <c r="BM2" s="196"/>
    </row>
    <row r="3" spans="2:65" ht="20.100000000000001" customHeight="1" x14ac:dyDescent="0.45">
      <c r="B3" s="204" t="str">
        <f>変更履歴!B3</f>
        <v>受発注システム</v>
      </c>
      <c r="C3" s="142"/>
      <c r="D3" s="142"/>
      <c r="E3" s="142"/>
      <c r="F3" s="142"/>
      <c r="G3" s="142"/>
      <c r="H3" s="142" t="str">
        <f ca="1">変更履歴!H3</f>
        <v>UN0300</v>
      </c>
      <c r="I3" s="142"/>
      <c r="J3" s="142"/>
      <c r="K3" s="142"/>
      <c r="L3" s="142" t="str">
        <f>変更履歴!L3</f>
        <v>受発注</v>
      </c>
      <c r="M3" s="142"/>
      <c r="N3" s="142"/>
      <c r="O3" s="142"/>
      <c r="P3" s="142"/>
      <c r="Q3" s="142"/>
      <c r="R3" s="142" t="str">
        <f ca="1">変更履歴!R3</f>
        <v>帳票設計書</v>
      </c>
      <c r="S3" s="142"/>
      <c r="T3" s="142"/>
      <c r="U3" s="142"/>
      <c r="V3" s="142"/>
      <c r="W3" s="142"/>
      <c r="X3" s="146" t="str">
        <f ca="1">変更履歴!X3</f>
        <v>UN0300_売上日計表_帳票設計書</v>
      </c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3"/>
      <c r="AK3" s="146" t="str">
        <f ca="1">変更履歴!AK3</f>
        <v>売上日計表</v>
      </c>
      <c r="AL3" s="147"/>
      <c r="AM3" s="147"/>
      <c r="AN3" s="147"/>
      <c r="AO3" s="147"/>
      <c r="AP3" s="147"/>
      <c r="AQ3" s="147"/>
      <c r="AR3" s="147"/>
      <c r="AS3" s="147"/>
      <c r="AT3" s="147"/>
      <c r="AU3" s="147"/>
      <c r="AV3" s="147"/>
      <c r="AW3" s="143"/>
      <c r="AX3" s="153">
        <f>変更履歴!AX3</f>
        <v>45583</v>
      </c>
      <c r="AY3" s="153"/>
      <c r="AZ3" s="153"/>
      <c r="BA3" s="153"/>
      <c r="BB3" s="142" t="str">
        <f>変更履歴!BB3</f>
        <v>大谷</v>
      </c>
      <c r="BC3" s="142"/>
      <c r="BD3" s="142"/>
      <c r="BE3" s="142"/>
      <c r="BF3" s="153">
        <f>変更履歴!BF3</f>
        <v>45583</v>
      </c>
      <c r="BG3" s="153"/>
      <c r="BH3" s="153"/>
      <c r="BI3" s="153"/>
      <c r="BJ3" s="142" t="str">
        <f>変更履歴!BJ3</f>
        <v>大谷</v>
      </c>
      <c r="BK3" s="142"/>
      <c r="BL3" s="142"/>
      <c r="BM3" s="193"/>
    </row>
    <row r="4" spans="2:65" ht="20.100000000000001" customHeight="1" thickBot="1" x14ac:dyDescent="0.5">
      <c r="B4" s="205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192"/>
      <c r="T4" s="192"/>
      <c r="U4" s="192"/>
      <c r="V4" s="192"/>
      <c r="W4" s="192"/>
      <c r="X4" s="197"/>
      <c r="Y4" s="198"/>
      <c r="Z4" s="198"/>
      <c r="AA4" s="198"/>
      <c r="AB4" s="198"/>
      <c r="AC4" s="198"/>
      <c r="AD4" s="198"/>
      <c r="AE4" s="198"/>
      <c r="AF4" s="198"/>
      <c r="AG4" s="198"/>
      <c r="AH4" s="198"/>
      <c r="AI4" s="198"/>
      <c r="AJ4" s="199"/>
      <c r="AK4" s="197"/>
      <c r="AL4" s="198"/>
      <c r="AM4" s="198"/>
      <c r="AN4" s="198"/>
      <c r="AO4" s="198"/>
      <c r="AP4" s="198"/>
      <c r="AQ4" s="198"/>
      <c r="AR4" s="198"/>
      <c r="AS4" s="198"/>
      <c r="AT4" s="198"/>
      <c r="AU4" s="198"/>
      <c r="AV4" s="198"/>
      <c r="AW4" s="199"/>
      <c r="AX4" s="191"/>
      <c r="AY4" s="191"/>
      <c r="AZ4" s="191"/>
      <c r="BA4" s="191"/>
      <c r="BB4" s="192"/>
      <c r="BC4" s="192"/>
      <c r="BD4" s="192"/>
      <c r="BE4" s="192"/>
      <c r="BF4" s="191"/>
      <c r="BG4" s="191"/>
      <c r="BH4" s="191"/>
      <c r="BI4" s="191"/>
      <c r="BJ4" s="192"/>
      <c r="BK4" s="192"/>
      <c r="BL4" s="192"/>
      <c r="BM4" s="194"/>
    </row>
    <row r="5" spans="2:65" ht="5.0999999999999996" customHeight="1" x14ac:dyDescent="0.45"/>
    <row r="6" spans="2:65" ht="5.0999999999999996" customHeight="1" thickBot="1" x14ac:dyDescent="0.5"/>
    <row r="7" spans="2:65" ht="20.100000000000001" customHeight="1" x14ac:dyDescent="0.45">
      <c r="B7" s="89" t="s">
        <v>56</v>
      </c>
      <c r="C7" s="90"/>
      <c r="D7" s="90"/>
      <c r="E7" s="90"/>
      <c r="F7" s="90"/>
      <c r="G7" s="90"/>
      <c r="H7" s="92" t="s">
        <v>84</v>
      </c>
      <c r="I7" s="91"/>
      <c r="J7" s="126" t="s">
        <v>20</v>
      </c>
      <c r="K7" s="121"/>
      <c r="L7" s="121"/>
      <c r="M7" s="121"/>
      <c r="N7" s="121"/>
      <c r="O7" s="121"/>
      <c r="P7" s="121"/>
      <c r="Q7" s="121"/>
      <c r="R7" s="126" t="s">
        <v>85</v>
      </c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2"/>
      <c r="AK7" s="93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4"/>
      <c r="BJ7" s="29"/>
      <c r="BK7" s="29"/>
      <c r="BL7" s="29"/>
      <c r="BM7" s="29"/>
    </row>
    <row r="8" spans="2:65" ht="20.100000000000001" customHeight="1" x14ac:dyDescent="0.45">
      <c r="B8" s="123"/>
      <c r="C8" s="31"/>
      <c r="D8" s="31"/>
      <c r="E8" s="31"/>
      <c r="F8" s="31"/>
      <c r="G8" s="31"/>
      <c r="H8" s="97"/>
      <c r="I8" s="96"/>
      <c r="J8" s="124" t="s">
        <v>86</v>
      </c>
      <c r="K8" s="52"/>
      <c r="L8" s="52"/>
      <c r="M8" s="52"/>
      <c r="N8" s="52"/>
      <c r="O8" s="52"/>
      <c r="P8" s="52"/>
      <c r="Q8" s="52"/>
      <c r="R8" s="124" t="s">
        <v>87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25"/>
      <c r="AK8" s="9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99"/>
      <c r="BJ8" s="29"/>
      <c r="BK8" s="29"/>
      <c r="BL8" s="29"/>
      <c r="BM8" s="29"/>
    </row>
    <row r="9" spans="2:65" ht="20.100000000000001" customHeight="1" x14ac:dyDescent="0.45">
      <c r="B9" s="123"/>
      <c r="C9" s="31"/>
      <c r="D9" s="31"/>
      <c r="E9" s="31"/>
      <c r="F9" s="31"/>
      <c r="G9" s="31"/>
      <c r="H9" s="103"/>
      <c r="I9" s="127"/>
      <c r="J9" s="124" t="s">
        <v>88</v>
      </c>
      <c r="K9" s="52"/>
      <c r="L9" s="52"/>
      <c r="M9" s="52"/>
      <c r="N9" s="52"/>
      <c r="O9" s="52"/>
      <c r="P9" s="52"/>
      <c r="Q9" s="52"/>
      <c r="R9" s="124" t="s">
        <v>89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25"/>
      <c r="AK9" s="105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6"/>
      <c r="BJ9" s="29"/>
      <c r="BK9" s="29"/>
      <c r="BL9" s="29"/>
      <c r="BM9" s="29"/>
    </row>
    <row r="10" spans="2:65" ht="20.100000000000001" customHeight="1" x14ac:dyDescent="0.45">
      <c r="B10" s="123"/>
      <c r="C10" s="31"/>
      <c r="D10" s="31"/>
      <c r="E10" s="31"/>
      <c r="F10" s="31"/>
      <c r="G10" s="96"/>
      <c r="H10" s="97" t="s">
        <v>57</v>
      </c>
      <c r="I10" s="31"/>
      <c r="J10" s="111" t="s">
        <v>58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98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99"/>
      <c r="BJ10" s="29"/>
      <c r="BK10" s="29"/>
      <c r="BL10" s="29"/>
      <c r="BM10" s="29"/>
    </row>
    <row r="11" spans="2:65" ht="20.100000000000001" customHeight="1" x14ac:dyDescent="0.45">
      <c r="B11" s="95"/>
      <c r="C11" s="31"/>
      <c r="D11" s="31"/>
      <c r="E11" s="31"/>
      <c r="F11" s="31"/>
      <c r="G11" s="96"/>
      <c r="H11" s="97"/>
      <c r="I11" s="31"/>
      <c r="J11" s="97" t="s">
        <v>59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98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99"/>
      <c r="BJ11" s="29"/>
      <c r="BK11" s="29"/>
      <c r="BL11" s="29"/>
      <c r="BM11" s="29"/>
    </row>
    <row r="12" spans="2:65" ht="20.100000000000001" customHeight="1" x14ac:dyDescent="0.45">
      <c r="B12" s="95"/>
      <c r="C12" s="31"/>
      <c r="D12" s="31"/>
      <c r="E12" s="31"/>
      <c r="F12" s="31"/>
      <c r="G12" s="96"/>
      <c r="H12" s="97"/>
      <c r="I12" s="31"/>
      <c r="J12" s="97" t="s">
        <v>60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98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99"/>
      <c r="BJ12" s="29"/>
      <c r="BK12" s="29"/>
      <c r="BL12" s="29"/>
      <c r="BM12" s="29"/>
    </row>
    <row r="13" spans="2:65" ht="20.100000000000001" customHeight="1" x14ac:dyDescent="0.45">
      <c r="B13" s="95"/>
      <c r="C13" s="31"/>
      <c r="D13" s="31"/>
      <c r="E13" s="31"/>
      <c r="F13" s="31"/>
      <c r="G13" s="96"/>
      <c r="H13" s="97"/>
      <c r="I13" s="31"/>
      <c r="J13" s="97" t="s">
        <v>61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98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99"/>
      <c r="BJ13" s="29"/>
      <c r="BK13" s="29"/>
      <c r="BL13" s="29"/>
      <c r="BM13" s="29"/>
    </row>
    <row r="14" spans="2:65" ht="20.100000000000001" customHeight="1" x14ac:dyDescent="0.45">
      <c r="B14" s="95"/>
      <c r="C14" s="31"/>
      <c r="D14" s="31"/>
      <c r="E14" s="31"/>
      <c r="F14" s="31"/>
      <c r="G14" s="96"/>
      <c r="H14" s="100" t="s">
        <v>62</v>
      </c>
      <c r="I14" s="55"/>
      <c r="J14" s="107" t="s">
        <v>63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01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02"/>
      <c r="BJ14" s="29"/>
      <c r="BK14" s="29"/>
      <c r="BL14" s="29"/>
      <c r="BM14" s="29"/>
    </row>
    <row r="15" spans="2:65" ht="20.100000000000001" customHeight="1" x14ac:dyDescent="0.45">
      <c r="B15" s="95"/>
      <c r="C15" s="31"/>
      <c r="D15" s="31"/>
      <c r="E15" s="31"/>
      <c r="F15" s="31"/>
      <c r="G15" s="96"/>
      <c r="H15" s="97"/>
      <c r="I15" s="31"/>
      <c r="J15" s="108"/>
      <c r="K15" s="109" t="s">
        <v>64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98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99"/>
      <c r="BJ15" s="29"/>
      <c r="BK15" s="29"/>
      <c r="BL15" s="29"/>
      <c r="BM15" s="29"/>
    </row>
    <row r="16" spans="2:65" ht="20.100000000000001" customHeight="1" x14ac:dyDescent="0.45">
      <c r="B16" s="95"/>
      <c r="C16" s="31"/>
      <c r="D16" s="31"/>
      <c r="E16" s="31"/>
      <c r="F16" s="31"/>
      <c r="G16" s="96"/>
      <c r="H16" s="97"/>
      <c r="I16" s="31"/>
      <c r="J16" s="97"/>
      <c r="K16" s="29"/>
      <c r="L16" s="110"/>
      <c r="M16" s="109" t="s">
        <v>65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98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99"/>
      <c r="BJ16" s="29"/>
      <c r="BK16" s="29"/>
      <c r="BL16" s="29"/>
      <c r="BM16" s="29"/>
    </row>
    <row r="17" spans="2:65" ht="20.100000000000001" customHeight="1" x14ac:dyDescent="0.45">
      <c r="B17" s="95"/>
      <c r="C17" s="31"/>
      <c r="D17" s="31"/>
      <c r="E17" s="31"/>
      <c r="F17" s="31"/>
      <c r="G17" s="96"/>
      <c r="H17" s="97"/>
      <c r="I17" s="31"/>
      <c r="J17" s="97"/>
      <c r="K17" s="29"/>
      <c r="L17" s="110" t="s">
        <v>66</v>
      </c>
      <c r="M17" s="109" t="s">
        <v>65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98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99"/>
      <c r="BJ17" s="29"/>
      <c r="BK17" s="29"/>
      <c r="BL17" s="29"/>
      <c r="BM17" s="29"/>
    </row>
    <row r="18" spans="2:65" ht="20.100000000000001" customHeight="1" x14ac:dyDescent="0.45">
      <c r="B18" s="95"/>
      <c r="C18" s="31"/>
      <c r="D18" s="31"/>
      <c r="E18" s="31"/>
      <c r="F18" s="31"/>
      <c r="G18" s="96"/>
      <c r="H18" s="97"/>
      <c r="I18" s="31"/>
      <c r="J18" s="97"/>
      <c r="K18" s="29"/>
      <c r="L18" s="110" t="s">
        <v>67</v>
      </c>
      <c r="M18" s="109" t="s">
        <v>65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98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99"/>
      <c r="BJ18" s="29"/>
      <c r="BK18" s="29"/>
      <c r="BL18" s="29"/>
      <c r="BM18" s="29"/>
    </row>
    <row r="19" spans="2:65" ht="20.100000000000001" customHeight="1" x14ac:dyDescent="0.45">
      <c r="B19" s="95"/>
      <c r="C19" s="31"/>
      <c r="D19" s="31"/>
      <c r="E19" s="31"/>
      <c r="F19" s="31"/>
      <c r="G19" s="96"/>
      <c r="H19" s="97"/>
      <c r="I19" s="31"/>
      <c r="J19" s="97" t="s">
        <v>68</v>
      </c>
      <c r="K19" s="110"/>
      <c r="L19" s="109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98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99"/>
      <c r="BJ19" s="29"/>
      <c r="BK19" s="29"/>
      <c r="BL19" s="29"/>
      <c r="BM19" s="29"/>
    </row>
    <row r="20" spans="2:65" ht="20.100000000000001" customHeight="1" x14ac:dyDescent="0.45">
      <c r="B20" s="95"/>
      <c r="C20" s="31"/>
      <c r="D20" s="31"/>
      <c r="E20" s="31"/>
      <c r="F20" s="31"/>
      <c r="G20" s="96"/>
      <c r="H20" s="97"/>
      <c r="I20" s="31"/>
      <c r="J20" s="97"/>
      <c r="K20" s="31" t="s">
        <v>69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98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99"/>
      <c r="BJ20" s="29"/>
      <c r="BK20" s="29"/>
      <c r="BL20" s="29"/>
      <c r="BM20" s="29"/>
    </row>
    <row r="21" spans="2:65" ht="20.100000000000001" customHeight="1" x14ac:dyDescent="0.45">
      <c r="B21" s="95"/>
      <c r="C21" s="31"/>
      <c r="D21" s="31"/>
      <c r="E21" s="31"/>
      <c r="F21" s="31"/>
      <c r="G21" s="96"/>
      <c r="H21" s="97"/>
      <c r="I21" s="31"/>
      <c r="J21" s="97"/>
      <c r="K21" s="29"/>
      <c r="L21" s="31"/>
      <c r="M21" s="31" t="s">
        <v>70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98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99"/>
    </row>
    <row r="22" spans="2:65" ht="20.100000000000001" customHeight="1" x14ac:dyDescent="0.45">
      <c r="B22" s="95"/>
      <c r="C22" s="31"/>
      <c r="D22" s="31"/>
      <c r="E22" s="31"/>
      <c r="F22" s="31"/>
      <c r="G22" s="96"/>
      <c r="H22" s="103"/>
      <c r="I22" s="104"/>
      <c r="J22" s="103"/>
      <c r="K22" s="104"/>
      <c r="L22" s="104" t="s">
        <v>66</v>
      </c>
      <c r="M22" s="104" t="s">
        <v>71</v>
      </c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5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6"/>
    </row>
    <row r="23" spans="2:65" ht="20.100000000000001" customHeight="1" x14ac:dyDescent="0.45">
      <c r="B23" s="95"/>
      <c r="C23" s="31"/>
      <c r="D23" s="31"/>
      <c r="E23" s="31"/>
      <c r="F23" s="31"/>
      <c r="G23" s="96"/>
      <c r="H23" s="97" t="s">
        <v>72</v>
      </c>
      <c r="I23" s="31"/>
      <c r="J23" s="111"/>
      <c r="K23" s="109" t="s">
        <v>73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12" t="s">
        <v>74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99"/>
    </row>
    <row r="24" spans="2:65" ht="20.100000000000001" customHeight="1" x14ac:dyDescent="0.45">
      <c r="B24" s="95"/>
      <c r="C24" s="31"/>
      <c r="D24" s="31"/>
      <c r="E24" s="31"/>
      <c r="F24" s="31"/>
      <c r="G24" s="96"/>
      <c r="H24" s="97"/>
      <c r="I24" s="31"/>
      <c r="J24" s="111" t="s">
        <v>66</v>
      </c>
      <c r="K24" s="109" t="s">
        <v>75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98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99"/>
    </row>
    <row r="25" spans="2:65" ht="20.100000000000001" customHeight="1" x14ac:dyDescent="0.45">
      <c r="B25" s="95"/>
      <c r="C25" s="31"/>
      <c r="D25" s="31"/>
      <c r="E25" s="31"/>
      <c r="F25" s="31"/>
      <c r="G25" s="96"/>
      <c r="H25" s="97"/>
      <c r="I25" s="31"/>
      <c r="J25" s="111" t="s">
        <v>67</v>
      </c>
      <c r="K25" s="109" t="s">
        <v>75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98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99"/>
    </row>
    <row r="26" spans="2:65" ht="20.100000000000001" customHeight="1" x14ac:dyDescent="0.45">
      <c r="B26" s="95"/>
      <c r="C26" s="31"/>
      <c r="D26" s="31"/>
      <c r="E26" s="31"/>
      <c r="F26" s="31"/>
      <c r="G26" s="96"/>
      <c r="H26" s="97"/>
      <c r="I26" s="31"/>
      <c r="J26" s="111" t="s">
        <v>76</v>
      </c>
      <c r="K26" s="109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98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99"/>
    </row>
    <row r="27" spans="2:65" ht="20.100000000000001" customHeight="1" x14ac:dyDescent="0.45">
      <c r="B27" s="95"/>
      <c r="C27" s="31"/>
      <c r="D27" s="31"/>
      <c r="E27" s="31"/>
      <c r="F27" s="31"/>
      <c r="G27" s="96"/>
      <c r="H27" s="97"/>
      <c r="I27" s="31"/>
      <c r="J27" s="97"/>
      <c r="K27" s="31" t="s">
        <v>77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13" t="s">
        <v>78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99"/>
    </row>
    <row r="28" spans="2:65" ht="20.100000000000001" customHeight="1" x14ac:dyDescent="0.45">
      <c r="B28" s="95"/>
      <c r="C28" s="31"/>
      <c r="D28" s="31"/>
      <c r="E28" s="31"/>
      <c r="F28" s="31"/>
      <c r="G28" s="96"/>
      <c r="H28" s="97"/>
      <c r="I28" s="31"/>
      <c r="J28" s="97" t="s">
        <v>66</v>
      </c>
      <c r="K28" s="31" t="s">
        <v>79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97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99"/>
    </row>
    <row r="29" spans="2:65" ht="20.100000000000001" customHeight="1" x14ac:dyDescent="0.45">
      <c r="B29" s="95"/>
      <c r="C29" s="31"/>
      <c r="D29" s="31"/>
      <c r="E29" s="31"/>
      <c r="F29" s="31"/>
      <c r="G29" s="96"/>
      <c r="H29" s="97"/>
      <c r="I29" s="31"/>
      <c r="J29" s="11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97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99"/>
    </row>
    <row r="30" spans="2:65" ht="20.100000000000001" customHeight="1" x14ac:dyDescent="0.45">
      <c r="B30" s="95"/>
      <c r="C30" s="31"/>
      <c r="D30" s="31"/>
      <c r="E30" s="31"/>
      <c r="F30" s="31"/>
      <c r="G30" s="96"/>
      <c r="H30" s="97"/>
      <c r="I30" s="31"/>
      <c r="J30" s="97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97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99"/>
    </row>
    <row r="31" spans="2:65" ht="20.100000000000001" customHeight="1" x14ac:dyDescent="0.45">
      <c r="B31" s="95"/>
      <c r="C31" s="31"/>
      <c r="D31" s="31"/>
      <c r="E31" s="31"/>
      <c r="F31" s="31"/>
      <c r="G31" s="96"/>
      <c r="H31" s="103"/>
      <c r="I31" s="104"/>
      <c r="J31" s="103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3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6"/>
    </row>
    <row r="32" spans="2:65" ht="20.100000000000001" customHeight="1" x14ac:dyDescent="0.45">
      <c r="B32" s="95"/>
      <c r="C32" s="31"/>
      <c r="D32" s="31"/>
      <c r="E32" s="31"/>
      <c r="F32" s="31"/>
      <c r="G32" s="96"/>
      <c r="H32" s="97" t="s">
        <v>80</v>
      </c>
      <c r="I32" s="31"/>
      <c r="J32" s="111" t="s">
        <v>81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97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99"/>
    </row>
    <row r="33" spans="2:61" ht="20.100000000000001" customHeight="1" x14ac:dyDescent="0.45">
      <c r="B33" s="95"/>
      <c r="C33" s="31"/>
      <c r="D33" s="31"/>
      <c r="E33" s="31"/>
      <c r="F33" s="31"/>
      <c r="G33" s="96"/>
      <c r="H33" s="97"/>
      <c r="I33" s="31"/>
      <c r="J33" s="111" t="s">
        <v>82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97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99"/>
    </row>
    <row r="34" spans="2:61" ht="20.100000000000001" customHeight="1" thickBot="1" x14ac:dyDescent="0.5">
      <c r="B34" s="114"/>
      <c r="C34" s="115"/>
      <c r="D34" s="115"/>
      <c r="E34" s="115"/>
      <c r="F34" s="115"/>
      <c r="G34" s="116"/>
      <c r="H34" s="117"/>
      <c r="I34" s="115"/>
      <c r="J34" s="117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7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8"/>
    </row>
    <row r="35" spans="2:61" ht="20.100000000000001" customHeight="1" x14ac:dyDescent="0.4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2:61" ht="20.100000000000001" customHeight="1" x14ac:dyDescent="0.45">
      <c r="B36" s="29"/>
      <c r="C36" s="29"/>
      <c r="D36" s="29"/>
      <c r="E36" s="29"/>
      <c r="F36" s="29"/>
      <c r="G36" s="29"/>
      <c r="H36" s="119" t="s">
        <v>83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/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47</v>
      </c>
    </row>
    <row r="2" spans="1:1" x14ac:dyDescent="0.45">
      <c r="A2" s="71" t="s">
        <v>37</v>
      </c>
    </row>
    <row r="3" spans="1:1" x14ac:dyDescent="0.45">
      <c r="A3" s="70" t="s">
        <v>38</v>
      </c>
    </row>
    <row r="4" spans="1:1" x14ac:dyDescent="0.45">
      <c r="A4" s="70" t="s">
        <v>41</v>
      </c>
    </row>
    <row r="5" spans="1:1" x14ac:dyDescent="0.45">
      <c r="A5" s="70" t="s">
        <v>39</v>
      </c>
    </row>
    <row r="6" spans="1:1" x14ac:dyDescent="0.45">
      <c r="A6" s="70" t="s">
        <v>40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12</vt:i4>
      </vt:variant>
    </vt:vector>
  </HeadingPairs>
  <TitlesOfParts>
    <vt:vector size="22" baseType="lpstr">
      <vt:lpstr>変更履歴</vt:lpstr>
      <vt:lpstr>概要</vt:lpstr>
      <vt:lpstr>帳票レイアウト</vt:lpstr>
      <vt:lpstr>項目一覧</vt:lpstr>
      <vt:lpstr>確認事項</vt:lpstr>
      <vt:lpstr>処理詳細</vt:lpstr>
      <vt:lpstr>処理詳細_書き方</vt:lpstr>
      <vt:lpstr>帳票レイアウト確認点</vt:lpstr>
      <vt:lpstr>別紙_印刷レイアウト</vt:lpstr>
      <vt:lpstr>参照</vt:lpstr>
      <vt:lpstr>概要!Print_Area</vt:lpstr>
      <vt:lpstr>項目一覧!Print_Area</vt:lpstr>
      <vt:lpstr>処理詳細!Print_Area</vt:lpstr>
      <vt:lpstr>処理詳細_書き方!Print_Area</vt:lpstr>
      <vt:lpstr>帳票レイアウト!Print_Area</vt:lpstr>
      <vt:lpstr>変更履歴!Print_Area</vt:lpstr>
      <vt:lpstr>概要!Print_Titles</vt:lpstr>
      <vt:lpstr>項目一覧!Print_Titles</vt:lpstr>
      <vt:lpstr>処理詳細!Print_Titles</vt:lpstr>
      <vt:lpstr>処理詳細_書き方!Print_Titles</vt:lpstr>
      <vt:lpstr>帳票レイアウト!Print_Titles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2025-05-24T05:36:22Z</dcterms:modified>
</cp:coreProperties>
</file>