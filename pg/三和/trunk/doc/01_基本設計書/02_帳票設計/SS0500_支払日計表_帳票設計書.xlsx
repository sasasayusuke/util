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16" windowHeight="8088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テンプレート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項目一覧!$A$1:$BX$56</definedName>
    <definedName name="_xlnm.Print_Area" localSheetId="4">処理詳細!$A$1:$BR$47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<sst xmlns="http://schemas.openxmlformats.org/spreadsheetml/2006/main" count="356" uniqueCount="232">
  <si>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</si>
  <si>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</si>
  <si>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</si>
  <si>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</si>
  <si>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</si>
  <si>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</si>
  <si>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</si>
  <si>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</si>
  <si>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</si>
  <si>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</si>
  <si>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</si>
  <si>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</si>
  <si>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</si>
  <si>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</si>
  <si>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</si>
  <si>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</si>
  <si>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</si>
  <si>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</si>
  <si>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</si>
  <si>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</si>
  <si>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</si>
  <si>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</si>
  <si>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</si>
  <si>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</si>
  <si>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</si>
  <si>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</si>
  <si>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</si>
  <si>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</si>
  <si>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</si>
  <si>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</si>
  <si>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</si>
  <si>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</si>
  <si>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</si>
  <si>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</si>
  <si>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</si>
  <si>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</si>
  <si>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</si>
  <si>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</si>
  <si>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</si>
  <si>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</si>
  <si>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</si>
  <si>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</si>
  <si>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</si>
  <si>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</si>
  <si>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</si>
  <si>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</si>
  <si>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</si>
  <si>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</si>
  <si>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</si>
  <si>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</si>
  <si>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</si>
  <si>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</si>
  <si>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</si>
  <si>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</si>
  <si>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</si>
  <si>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</si>
  <si>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</si>
  <si>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</si>
  <si>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</si>
  <si>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</si>
  <si>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</si>
  <si>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</si>
  <si>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</si>
  <si>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</si>
  <si>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</si>
  <si>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</si>
  <si>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</si>
  <si>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</si>
  <si>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</si>
  <si>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</si>
  <si>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</si>
  <si>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</si>
  <si>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</si>
  <si>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</si>
  <si>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</si>
  <si>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</si>
  <si>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</si>
  <si>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</si>
  <si>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</si>
  <si>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</si>
  <si>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</si>
  <si>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</si>
  <si>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</si>
  <si>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</si>
  <si>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</si>
  <si>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</si>
  <si>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</si>
  <si>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</si>
  <si>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</si>
  <si>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</si>
  <si>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支払日計表</t>
  </si>
  <si>
    <t>-</t>
  </si>
  <si>
    <t>PDF</t>
  </si>
  <si>
    <t>pdf</t>
  </si>
  <si>
    <t>作成日</t>
    <rPh sb="0" eb="3">
      <t>サクセイビ</t>
    </rPh>
    <phoneticPr fontId="1"/>
  </si>
  <si>
    <t>開始仕入先</t>
    <rPh sb="0" eb="5">
      <t>カイシシイレサキ</t>
    </rPh>
    <phoneticPr fontId="1"/>
  </si>
  <si>
    <t>終了仕入先</t>
    <rPh sb="0" eb="5">
      <t>シュウリョウシイレサキ</t>
    </rPh>
    <phoneticPr fontId="1"/>
  </si>
  <si>
    <t>開始日付</t>
    <rPh sb="0" eb="4">
      <t>カイシヒヅケ</t>
    </rPh>
    <phoneticPr fontId="1"/>
  </si>
  <si>
    <t>終了日付</t>
    <rPh sb="0" eb="4">
      <t>シュウリョウヒヅケ</t>
    </rPh>
    <phoneticPr fontId="1"/>
  </si>
  <si>
    <t>仕入先CD</t>
    <rPh sb="0" eb="2">
      <t>シイレ</t>
    </rPh>
    <rPh sb="2" eb="3">
      <t>サキ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</si>
  <si>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</si>
  <si>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</si>
  <si>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支払日付</t>
    <rPh sb="0" eb="4">
      <t>シハライヒヅケ</t>
    </rPh>
    <phoneticPr fontId="1"/>
  </si>
  <si>
    <t>支払番号</t>
    <rPh sb="0" eb="4">
      <t>シハライバンゴウ</t>
    </rPh>
    <phoneticPr fontId="1"/>
  </si>
  <si>
    <t>支払区分名</t>
    <rPh sb="0" eb="5">
      <t>シハライクブンメイ</t>
    </rPh>
    <phoneticPr fontId="1"/>
  </si>
  <si>
    <t>支払金額</t>
    <rPh sb="0" eb="4">
      <t>シハライキンガク</t>
    </rPh>
    <phoneticPr fontId="1"/>
  </si>
  <si>
    <t>手形期日</t>
    <rPh sb="0" eb="4">
      <t>テガタキジツ</t>
    </rPh>
    <phoneticPr fontId="1"/>
  </si>
  <si>
    <t>手形番号</t>
    <rPh sb="0" eb="4">
      <t>テガタバンゴウ</t>
    </rPh>
    <phoneticPr fontId="1"/>
  </si>
  <si>
    <t>摘要名</t>
    <rPh sb="0" eb="3">
      <t>テキヨウメイ</t>
    </rPh>
    <phoneticPr fontId="1"/>
  </si>
  <si>
    <t>合計金額</t>
    <rPh sb="0" eb="4">
      <t>ゴウケイキンガク</t>
    </rPh>
    <phoneticPr fontId="1"/>
  </si>
  <si>
    <t>担当者名</t>
    <rPh sb="0" eb="3">
      <t>タントウシャ</t>
    </rPh>
    <rPh sb="3" eb="4">
      <t>メイ</t>
    </rPh>
    <phoneticPr fontId="1"/>
  </si>
  <si>
    <t>合計区分名</t>
    <rPh sb="0" eb="5">
      <t>ゴウケイクブンメイ</t>
    </rPh>
    <phoneticPr fontId="1"/>
  </si>
  <si>
    <t>日計</t>
    <rPh sb="0" eb="2">
      <t>ニッケイ</t>
    </rPh>
    <phoneticPr fontId="1"/>
  </si>
  <si>
    <t>累計</t>
    <rPh sb="0" eb="2">
      <t>ルイケイ</t>
    </rPh>
    <phoneticPr fontId="1"/>
  </si>
  <si>
    <t>日計合計</t>
    <rPh sb="0" eb="2">
      <t>ニッケイ</t>
    </rPh>
    <rPh sb="2" eb="4">
      <t>ゴウケイ</t>
    </rPh>
    <phoneticPr fontId="1"/>
  </si>
  <si>
    <t>累計合計</t>
    <rPh sb="0" eb="4">
      <t>ルイケイゴウケイ</t>
    </rPh>
    <phoneticPr fontId="1"/>
  </si>
  <si>
    <t>日計現金率</t>
  </si>
  <si>
    <t>累計現金率</t>
    <rPh sb="0" eb="5">
      <t>ルイケイゲンキンリツ</t>
    </rPh>
    <phoneticPr fontId="1"/>
  </si>
  <si>
    <t>数値</t>
    <rPh sb="0" eb="2">
      <t>スウチ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</si>
  <si>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</si>
  <si>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</si>
  <si>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現在日付</t>
    <rPh sb="0" eb="4">
      <t>ゲンザイヒヅケ</t>
    </rPh>
    <phoneticPr fontId="1"/>
  </si>
  <si>
    <t>画面.開始CD</t>
    <rPh sb="0" eb="2">
      <t>ガメン</t>
    </rPh>
    <rPh sb="3" eb="5">
      <t>カイシ</t>
    </rPh>
    <phoneticPr fontId="1"/>
  </si>
  <si>
    <t>画面.終了CD</t>
    <rPh sb="0" eb="2">
      <t>ガメン</t>
    </rPh>
    <rPh sb="3" eb="5">
      <t>シュウリョウ</t>
    </rPh>
    <phoneticPr fontId="1"/>
  </si>
  <si>
    <t>画面.開始日付</t>
    <rPh sb="0" eb="2">
      <t>ガメン</t>
    </rPh>
    <rPh sb="3" eb="5">
      <t>カイシ</t>
    </rPh>
    <rPh sb="5" eb="7">
      <t>ヒヅケ</t>
    </rPh>
    <phoneticPr fontId="1"/>
  </si>
  <si>
    <t>画面.終了日付</t>
    <rPh sb="0" eb="2">
      <t>ガメン</t>
    </rPh>
    <rPh sb="3" eb="5">
      <t>シュウリョウ</t>
    </rPh>
    <rPh sb="5" eb="7">
      <t>ヒヅケ</t>
    </rPh>
    <phoneticPr fontId="1"/>
  </si>
  <si>
    <t>SQL1.仕入先CD</t>
    <rPh sb="5" eb="8">
      <t>シイレサキ</t>
    </rPh>
    <phoneticPr fontId="1"/>
  </si>
  <si>
    <t>SQL1.仕入先名1</t>
    <rPh sb="5" eb="7">
      <t>シイレ</t>
    </rPh>
    <rPh sb="7" eb="8">
      <t>サキ</t>
    </rPh>
    <rPh sb="8" eb="9">
      <t>メイ</t>
    </rPh>
    <phoneticPr fontId="1"/>
  </si>
  <si>
    <t>SQL1.仕入先名2</t>
    <rPh sb="5" eb="9">
      <t>シイレサキメイ</t>
    </rPh>
    <phoneticPr fontId="1"/>
  </si>
  <si>
    <t>SQL1.支払日付</t>
    <rPh sb="5" eb="9">
      <t>シハライヒヅケ</t>
    </rPh>
    <phoneticPr fontId="1"/>
  </si>
  <si>
    <t>SQL1.支払番号</t>
    <rPh sb="5" eb="9">
      <t>シハライバンゴウ</t>
    </rPh>
    <phoneticPr fontId="1"/>
  </si>
  <si>
    <t>SQL1.支払区分名</t>
    <rPh sb="5" eb="7">
      <t>シハライ</t>
    </rPh>
    <rPh sb="7" eb="9">
      <t>クブン</t>
    </rPh>
    <rPh sb="9" eb="10">
      <t>メイ</t>
    </rPh>
    <phoneticPr fontId="1"/>
  </si>
  <si>
    <t>SQL1.支払金額</t>
    <rPh sb="5" eb="7">
      <t>シハライ</t>
    </rPh>
    <rPh sb="7" eb="9">
      <t>キンガク</t>
    </rPh>
    <phoneticPr fontId="1"/>
  </si>
  <si>
    <t>SQL1.手形期日</t>
    <rPh sb="5" eb="9">
      <t>テガタキジツ</t>
    </rPh>
    <phoneticPr fontId="1"/>
  </si>
  <si>
    <t>SQL1.手形番号</t>
    <rPh sb="5" eb="7">
      <t>テガタ</t>
    </rPh>
    <rPh sb="7" eb="9">
      <t>バンゴウ</t>
    </rPh>
    <phoneticPr fontId="1"/>
  </si>
  <si>
    <t>SQL1.摘要名</t>
    <rPh sb="5" eb="8">
      <t>テキヨウメイ</t>
    </rPh>
    <phoneticPr fontId="1"/>
  </si>
  <si>
    <t>SQL1.担当者名</t>
    <rPh sb="5" eb="9">
      <t>タントウシャメイ</t>
    </rPh>
    <phoneticPr fontId="1"/>
  </si>
  <si>
    <t>yyyy年mm月dd日</t>
    <rPh sb="4" eb="5">
      <t>ネン</t>
    </rPh>
    <rPh sb="7" eb="8">
      <t>ゲツ</t>
    </rPh>
    <rPh sb="10" eb="11">
      <t>ヒ</t>
    </rPh>
    <phoneticPr fontId="1"/>
  </si>
  <si>
    <t>yyyy/mm/dd</t>
  </si>
  <si>
    <t>支払番号</t>
    <rPh sb="0" eb="2">
      <t>シハライ</t>
    </rPh>
    <rPh sb="2" eb="4">
      <t>バンゴウ</t>
    </rPh>
    <phoneticPr fontId="2"/>
  </si>
  <si>
    <t>TD支払.支払番号</t>
    <rPh sb="5" eb="7">
      <t>シハライ</t>
    </rPh>
    <rPh sb="7" eb="9">
      <t>バンゴウ</t>
    </rPh>
    <phoneticPr fontId="2"/>
  </si>
  <si>
    <t>枝番</t>
    <rPh sb="0" eb="2">
      <t>エダバン</t>
    </rPh>
    <phoneticPr fontId="2"/>
  </si>
  <si>
    <t>TD支払.枝番</t>
    <rPh sb="5" eb="7">
      <t>エダバン</t>
    </rPh>
    <phoneticPr fontId="2"/>
  </si>
  <si>
    <t>支払日付</t>
  </si>
  <si>
    <t>TD支払.支払日付</t>
  </si>
  <si>
    <t>仕入先CD</t>
  </si>
  <si>
    <t>TD支払.仕入先CD</t>
  </si>
  <si>
    <t>仕入先名1</t>
  </si>
  <si>
    <t>TD支払.仕入先名1</t>
  </si>
  <si>
    <t>仕入先名2</t>
  </si>
  <si>
    <t>TD支払.仕入先名2</t>
  </si>
  <si>
    <t>支払区分CD</t>
  </si>
  <si>
    <t>TD支払.支払区分CD</t>
  </si>
  <si>
    <t>支払区分名</t>
  </si>
  <si>
    <t>TD支払.支払区分名</t>
  </si>
  <si>
    <t>支払種別</t>
  </si>
  <si>
    <t>TD支払.支払種別</t>
  </si>
  <si>
    <t>支払金額</t>
  </si>
  <si>
    <t>TD支払.支払金額</t>
  </si>
  <si>
    <t>手形期日</t>
  </si>
  <si>
    <t>TD支払.手形期日</t>
  </si>
  <si>
    <t>手形番号</t>
  </si>
  <si>
    <t>TD支払.手形番号</t>
  </si>
  <si>
    <t>摘要名</t>
  </si>
  <si>
    <t>TD支払.摘要名</t>
  </si>
  <si>
    <t>担当者名</t>
  </si>
  <si>
    <t>TM担当者.担当者名</t>
  </si>
  <si>
    <t>FROM TD支払 AS SD</t>
  </si>
  <si>
    <t>LEFT JOIN TM仕入先 AS SI ON SD.仕入先CD = SI.仕入先CD</t>
  </si>
  <si>
    <t>LEFT JOIN TM担当者 AS TN ON SI.担当者CD = TN.担当者CD</t>
  </si>
  <si>
    <t>order by</t>
    <phoneticPr fontId="2"/>
  </si>
  <si>
    <t>SD.仕入先CD,SD.支払日付,SD.支払番号,SD.枝番の昇順でソート</t>
    <phoneticPr fontId="2"/>
  </si>
  <si>
    <t>SQL1</t>
    <phoneticPr fontId="2"/>
  </si>
  <si>
    <t>開始仕入先がNullの場合は[最初]を表示　nullでない場合は[開始CD]を表示</t>
    <phoneticPr fontId="1"/>
  </si>
  <si>
    <t>終了仕入先がNullの場合は[最後]を表示　nullでない場合は[終了CD]を表示</t>
    <phoneticPr fontId="1"/>
  </si>
  <si>
    <t>WHERE SD.支払日付 &gt;= 開始日付 And SD.支払日付 &lt; 終了日付</t>
    <phoneticPr fontId="2"/>
  </si>
  <si>
    <t>AND SD.仕入先CD &gt;=  開始CD and SD.仕入先CD &lt;=  終了CD</t>
    <phoneticPr fontId="2"/>
  </si>
  <si>
    <t>(現金日計合計 / 日計合計) * 100 を小数点第2位で切り捨て</t>
    <rPh sb="1" eb="3">
      <t>ゲンキン</t>
    </rPh>
    <rPh sb="3" eb="7">
      <t>ニッケイゴウケイ</t>
    </rPh>
    <rPh sb="10" eb="14">
      <t>ニッケイゴウケイ</t>
    </rPh>
    <rPh sb="23" eb="25">
      <t>ショウスウ</t>
    </rPh>
    <rPh sb="25" eb="26">
      <t>テン</t>
    </rPh>
    <rPh sb="26" eb="27">
      <t>ダイ</t>
    </rPh>
    <rPh sb="28" eb="29">
      <t>イ</t>
    </rPh>
    <rPh sb="30" eb="31">
      <t>キ</t>
    </rPh>
    <rPh sb="32" eb="33">
      <t>ス</t>
    </rPh>
    <phoneticPr fontId="1"/>
  </si>
  <si>
    <t>(現金累計合計 / 累計合計) * 100 を小数点第2位で切り捨て</t>
    <rPh sb="1" eb="3">
      <t>ゲンキン</t>
    </rPh>
    <rPh sb="3" eb="5">
      <t>ルイケイ</t>
    </rPh>
    <rPh sb="5" eb="7">
      <t>ゴウケイ</t>
    </rPh>
    <rPh sb="10" eb="12">
      <t>ルイケイ</t>
    </rPh>
    <rPh sb="12" eb="14">
      <t>ゴウケイ</t>
    </rPh>
    <rPh sb="23" eb="25">
      <t>ショウスウ</t>
    </rPh>
    <rPh sb="25" eb="26">
      <t>テン</t>
    </rPh>
    <rPh sb="26" eb="27">
      <t>ダイ</t>
    </rPh>
    <rPh sb="28" eb="29">
      <t>イ</t>
    </rPh>
    <rPh sb="30" eb="31">
      <t>キ</t>
    </rPh>
    <rPh sb="32" eb="33">
      <t>ス</t>
    </rPh>
    <phoneticPr fontId="1"/>
  </si>
  <si>
    <t>SQL1.支払金額</t>
    <phoneticPr fontId="1"/>
  </si>
  <si>
    <t>支払番号ごとの支払金額合計</t>
    <rPh sb="0" eb="4">
      <t>シハライバンゴウ</t>
    </rPh>
    <rPh sb="7" eb="11">
      <t>シハライキンガク</t>
    </rPh>
    <rPh sb="11" eb="13">
      <t>ゴウケイ</t>
    </rPh>
    <phoneticPr fontId="1"/>
  </si>
  <si>
    <t>SQL2</t>
    <phoneticPr fontId="2"/>
  </si>
  <si>
    <t>SQL2.支払区分名</t>
    <rPh sb="5" eb="10">
      <t>シハライクブンメイ</t>
    </rPh>
    <phoneticPr fontId="1"/>
  </si>
  <si>
    <t>ISNULL(SD.支払日計,0) AS 支払日計</t>
    <phoneticPr fontId="2"/>
  </si>
  <si>
    <t>ISNULL(SR.支払累計,0) AS 支払累計</t>
    <phoneticPr fontId="2"/>
  </si>
  <si>
    <t>支払区分CD</t>
    <rPh sb="0" eb="2">
      <t>シハライ</t>
    </rPh>
    <rPh sb="2" eb="4">
      <t>クブン</t>
    </rPh>
    <phoneticPr fontId="2"/>
  </si>
  <si>
    <t>支払区分名</t>
    <rPh sb="0" eb="5">
      <t>シハライクブンメイ</t>
    </rPh>
    <phoneticPr fontId="2"/>
  </si>
  <si>
    <t>支払種別</t>
    <rPh sb="0" eb="4">
      <t>シハライシュベツ</t>
    </rPh>
    <phoneticPr fontId="2"/>
  </si>
  <si>
    <t>支払日計</t>
    <rPh sb="0" eb="4">
      <t>シハライニッケイ</t>
    </rPh>
    <phoneticPr fontId="2"/>
  </si>
  <si>
    <t>支払累計</t>
    <rPh sb="0" eb="4">
      <t>シハライルイケイ</t>
    </rPh>
    <phoneticPr fontId="2"/>
  </si>
  <si>
    <t>from</t>
    <phoneticPr fontId="2"/>
  </si>
  <si>
    <t>TM支払区分 AS SK</t>
    <phoneticPr fontId="2"/>
  </si>
  <si>
    <t>join</t>
    <phoneticPr fontId="2"/>
  </si>
  <si>
    <t>LEFT JOIN (SELECT 支払区分CD,SUM(支払金額)  AS 支払日計</t>
    <phoneticPr fontId="2"/>
  </si>
  <si>
    <t>LEFT JOIN (SELECT 支払区分CD,SUM(支払金額)  AS 支払累計</t>
    <phoneticPr fontId="2"/>
  </si>
  <si>
    <t>SK.支払区分CD の昇順でソート</t>
    <rPh sb="11" eb="13">
      <t>ショウジュン</t>
    </rPh>
    <phoneticPr fontId="2"/>
  </si>
  <si>
    <t>TM支払区分.支払区分CD</t>
    <phoneticPr fontId="2"/>
  </si>
  <si>
    <t>TM支払区分.支払区分名</t>
    <rPh sb="7" eb="9">
      <t>シハライ</t>
    </rPh>
    <rPh sb="9" eb="11">
      <t>クブン</t>
    </rPh>
    <rPh sb="11" eb="12">
      <t>メイ</t>
    </rPh>
    <phoneticPr fontId="2"/>
  </si>
  <si>
    <t>TM支払区分.支払種別</t>
    <phoneticPr fontId="2"/>
  </si>
  <si>
    <t>FROM TD支払</t>
    <phoneticPr fontId="2"/>
  </si>
  <si>
    <t>GROUP BY 支払区分CD) AS SD ON SK.支払区分CD = SD.支払区分CD</t>
    <phoneticPr fontId="2"/>
  </si>
  <si>
    <t>AND 支払日付 &lt; 終了日付+1</t>
    <rPh sb="11" eb="15">
      <t>シュウリョウヒヅケ</t>
    </rPh>
    <phoneticPr fontId="2"/>
  </si>
  <si>
    <t>WHERE 支払日付 &gt;= 開始日付</t>
    <rPh sb="14" eb="18">
      <t>カイシヒヅケ</t>
    </rPh>
    <phoneticPr fontId="2"/>
  </si>
  <si>
    <t>AND 仕入先CD &gt;= COALESCE(開始仕入先,仕入先CD)</t>
    <rPh sb="22" eb="24">
      <t>カイシ</t>
    </rPh>
    <rPh sb="24" eb="26">
      <t>シイレ</t>
    </rPh>
    <rPh sb="26" eb="27">
      <t>サキ</t>
    </rPh>
    <phoneticPr fontId="2"/>
  </si>
  <si>
    <t>AND 仕入先CD &lt;= COALESCE(終了仕入先,仕入先CD)</t>
    <rPh sb="22" eb="24">
      <t>シュウリョウ</t>
    </rPh>
    <rPh sb="24" eb="27">
      <t>シイレサキ</t>
    </rPh>
    <phoneticPr fontId="2"/>
  </si>
  <si>
    <t>GROUP BY 支払区分CD) AS SR ON SK.支払区分CD = SR.支払区分CD</t>
    <phoneticPr fontId="2"/>
  </si>
  <si>
    <t>WHERE 支払日付 &gt;= 開始日付</t>
    <phoneticPr fontId="2"/>
  </si>
  <si>
    <t>AND 支払日付 &lt; 終了日付+1</t>
    <phoneticPr fontId="2"/>
  </si>
  <si>
    <t>AND 仕入先CD &gt;= COALESCE(開始仕入先,仕入先CD)</t>
    <phoneticPr fontId="2"/>
  </si>
  <si>
    <t>AND 仕入先CD &lt;= COALESCE(終了仕入先,仕入先CD)</t>
    <phoneticPr fontId="2"/>
  </si>
  <si>
    <t>SQL2.支払日計</t>
    <rPh sb="5" eb="7">
      <t>シハライ</t>
    </rPh>
    <rPh sb="7" eb="9">
      <t>ニッケイ</t>
    </rPh>
    <phoneticPr fontId="1"/>
  </si>
  <si>
    <t>SQL2.支払累計</t>
    <rPh sb="5" eb="7">
      <t>シハライ</t>
    </rPh>
    <rPh sb="7" eb="9">
      <t>ルイケイ</t>
    </rPh>
    <phoneticPr fontId="1"/>
  </si>
  <si>
    <t>合計区分ごとの日計</t>
    <rPh sb="0" eb="2">
      <t>ゴウケイ</t>
    </rPh>
    <rPh sb="2" eb="4">
      <t>クブン</t>
    </rPh>
    <rPh sb="7" eb="9">
      <t>ニッケイ</t>
    </rPh>
    <phoneticPr fontId="1"/>
  </si>
  <si>
    <t>合計区分ごとの累計</t>
    <rPh sb="0" eb="2">
      <t>ゴウケイ</t>
    </rPh>
    <rPh sb="2" eb="4">
      <t>クブン</t>
    </rPh>
    <rPh sb="7" eb="9">
      <t>ルイケイ</t>
    </rPh>
    <phoneticPr fontId="1"/>
  </si>
  <si>
    <t>すべての日計区分の合計</t>
    <rPh sb="4" eb="6">
      <t>ニッケイ</t>
    </rPh>
    <rPh sb="6" eb="8">
      <t>クブン</t>
    </rPh>
    <rPh sb="9" eb="11">
      <t>ゴウケイ</t>
    </rPh>
    <phoneticPr fontId="1"/>
  </si>
  <si>
    <t>すべての累計区分の合計</t>
    <rPh sb="4" eb="6">
      <t>ルイケイ</t>
    </rPh>
    <rPh sb="6" eb="8">
      <t>クブン</t>
    </rPh>
    <rPh sb="9" eb="11">
      <t>ゴウケイ</t>
    </rPh>
    <phoneticPr fontId="1"/>
  </si>
  <si>
    <t>項目一覧</t>
    <rPh sb="0" eb="4">
      <t>コウモクイチラン</t>
    </rPh>
    <phoneticPr fontId="2"/>
  </si>
  <si>
    <t>フォーマットがあっているか確認</t>
    <rPh sb="13" eb="15">
      <t>カクニン</t>
    </rPh>
    <phoneticPr fontId="2"/>
  </si>
  <si>
    <t>手形番号</t>
    <rPh sb="0" eb="4">
      <t>テガタバンゴウ</t>
    </rPh>
    <phoneticPr fontId="2"/>
  </si>
  <si>
    <t>手形期日</t>
    <rPh sb="0" eb="2">
      <t>テガタ</t>
    </rPh>
    <rPh sb="2" eb="4">
      <t>キジツ</t>
    </rPh>
    <phoneticPr fontId="2"/>
  </si>
  <si>
    <t>'手形番号:' + [SQL1.手形番号]</t>
    <rPh sb="1" eb="5">
      <t>テガタバンゴウ</t>
    </rPh>
    <rPh sb="16" eb="20">
      <t>テガタバンゴウ</t>
    </rPh>
    <phoneticPr fontId="1"/>
  </si>
  <si>
    <t>'手形期日:' + yyyy/mm/dd</t>
    <phoneticPr fontId="1"/>
  </si>
  <si>
    <t>[SQL1.支払種別]が2のときのみ表示</t>
    <rPh sb="6" eb="8">
      <t>シハライ</t>
    </rPh>
    <rPh sb="18" eb="20">
      <t>ヒョウジ</t>
    </rPh>
    <phoneticPr fontId="1"/>
  </si>
  <si>
    <t>回答</t>
    <rPh sb="0" eb="2">
      <t>カイトウ</t>
    </rPh>
    <phoneticPr fontId="2"/>
  </si>
  <si>
    <t>〇</t>
    <phoneticPr fontId="2"/>
  </si>
  <si>
    <t>合っている</t>
    <rPh sb="0" eb="1">
      <t>ア</t>
    </rPh>
    <phoneticPr fontId="2"/>
  </si>
  <si>
    <t>A3横</t>
    <rPh sb="2" eb="3">
      <t>ヨコ</t>
    </rPh>
    <phoneticPr fontId="2"/>
  </si>
  <si>
    <t>大谷</t>
    <rPh sb="0" eb="2">
      <t>オオタニ</t>
    </rPh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</si>
  <si>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</si>
  <si>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</si>
  <si>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受発注システム</t>
    <rPh sb="0" eb="3">
      <t>ジュハッチュウ</t>
    </rPh>
    <phoneticPr fontId="2"/>
  </si>
  <si>
    <t xml:space="preserve">2024/10/18
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</si>
</sst>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%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6" borderId="62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63" xfId="0" applyFont="1" applyFill="1" applyBorder="1">
      <alignment vertical="center"/>
    </xf>
    <xf numFmtId="0" fontId="3" fillId="6" borderId="2" xfId="0" quotePrefix="1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6" borderId="64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8" fontId="3" fillId="2" borderId="5" xfId="2" applyFont="1" applyFill="1" applyBorder="1" applyAlignment="1">
      <alignment horizontal="center" vertical="center"/>
    </xf>
    <xf numFmtId="38" fontId="3" fillId="2" borderId="6" xfId="2" applyFont="1" applyFill="1" applyBorder="1" applyAlignment="1">
      <alignment horizontal="center" vertical="center"/>
    </xf>
    <xf numFmtId="38" fontId="3" fillId="2" borderId="7" xfId="2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77" fontId="3" fillId="2" borderId="5" xfId="3" applyNumberFormat="1" applyFont="1" applyFill="1" applyBorder="1" applyAlignment="1">
      <alignment horizontal="center" vertical="center"/>
    </xf>
    <xf numFmtId="177" fontId="3" fillId="2" borderId="6" xfId="3" applyNumberFormat="1" applyFont="1" applyFill="1" applyBorder="1" applyAlignment="1">
      <alignment horizontal="center" vertical="center"/>
    </xf>
    <xf numFmtId="177" fontId="3" fillId="2" borderId="7" xfId="3" applyNumberFormat="1" applyFont="1" applyFill="1" applyBorder="1" applyAlignment="1">
      <alignment horizontal="center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4">
    <cellStyle name="パーセント" xfId="3" builtinId="5"/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60</xdr:col>
      <xdr:colOff>95635</xdr:colOff>
      <xdr:row>41</xdr:row>
      <xdr:rowOff>107721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88" y="1380565"/>
          <a:ext cx="16214176" cy="8642121"/>
        </a:xfrm>
        <a:prstGeom prst="rect">
          <a:avLst/>
        </a:prstGeom>
      </xdr:spPr>
    </xdr:pic>
    <xdr:clientData/>
  </xdr:twoCellAnchor>
  <xdr:twoCellAnchor>
    <xdr:from>
      <xdr:col>49</xdr:col>
      <xdr:colOff>78237</xdr:colOff>
      <xdr:row>7</xdr:row>
      <xdr:rowOff>161366</xdr:rowOff>
    </xdr:from>
    <xdr:to>
      <xdr:col>50</xdr:col>
      <xdr:colOff>140174</xdr:colOff>
      <xdr:row>8</xdr:row>
      <xdr:rowOff>231455</xdr:rowOff>
    </xdr:to>
    <xdr:sp macro="" textlink="">
      <xdr:nvSpPr>
        <xdr:cNvPr id="6" name="正方形/長方形 5"/>
        <xdr:cNvSpPr/>
      </xdr:nvSpPr>
      <xdr:spPr>
        <a:xfrm>
          <a:off x="13498402" y="1541931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13039</xdr:colOff>
      <xdr:row>7</xdr:row>
      <xdr:rowOff>125506</xdr:rowOff>
    </xdr:from>
    <xdr:to>
      <xdr:col>9</xdr:col>
      <xdr:colOff>74977</xdr:colOff>
      <xdr:row>8</xdr:row>
      <xdr:rowOff>195595</xdr:rowOff>
    </xdr:to>
    <xdr:sp macro="" textlink="">
      <xdr:nvSpPr>
        <xdr:cNvPr id="7" name="正方形/長方形 6"/>
        <xdr:cNvSpPr/>
      </xdr:nvSpPr>
      <xdr:spPr>
        <a:xfrm>
          <a:off x="2039063" y="1506071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98611</xdr:colOff>
      <xdr:row>7</xdr:row>
      <xdr:rowOff>116541</xdr:rowOff>
    </xdr:from>
    <xdr:to>
      <xdr:col>14</xdr:col>
      <xdr:colOff>160548</xdr:colOff>
      <xdr:row>8</xdr:row>
      <xdr:rowOff>186630</xdr:rowOff>
    </xdr:to>
    <xdr:sp macro="" textlink="">
      <xdr:nvSpPr>
        <xdr:cNvPr id="8" name="正方形/長方形 7"/>
        <xdr:cNvSpPr/>
      </xdr:nvSpPr>
      <xdr:spPr>
        <a:xfrm>
          <a:off x="3514164" y="1497106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123876</xdr:colOff>
      <xdr:row>10</xdr:row>
      <xdr:rowOff>183369</xdr:rowOff>
    </xdr:from>
    <xdr:to>
      <xdr:col>5</xdr:col>
      <xdr:colOff>185813</xdr:colOff>
      <xdr:row>12</xdr:row>
      <xdr:rowOff>815</xdr:rowOff>
    </xdr:to>
    <xdr:sp macro="" textlink="">
      <xdr:nvSpPr>
        <xdr:cNvPr id="9" name="正方形/長方形 8"/>
        <xdr:cNvSpPr/>
      </xdr:nvSpPr>
      <xdr:spPr>
        <a:xfrm>
          <a:off x="1038276" y="2316969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112467</xdr:colOff>
      <xdr:row>10</xdr:row>
      <xdr:rowOff>165440</xdr:rowOff>
    </xdr:from>
    <xdr:to>
      <xdr:col>8</xdr:col>
      <xdr:colOff>174403</xdr:colOff>
      <xdr:row>11</xdr:row>
      <xdr:rowOff>235528</xdr:rowOff>
    </xdr:to>
    <xdr:sp macro="" textlink="">
      <xdr:nvSpPr>
        <xdr:cNvPr id="10" name="正方形/長方形 9"/>
        <xdr:cNvSpPr/>
      </xdr:nvSpPr>
      <xdr:spPr>
        <a:xfrm>
          <a:off x="1860585" y="2299040"/>
          <a:ext cx="339842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72532</xdr:colOff>
      <xdr:row>10</xdr:row>
      <xdr:rowOff>183370</xdr:rowOff>
    </xdr:from>
    <xdr:to>
      <xdr:col>13</xdr:col>
      <xdr:colOff>134469</xdr:colOff>
      <xdr:row>12</xdr:row>
      <xdr:rowOff>816</xdr:rowOff>
    </xdr:to>
    <xdr:sp macro="" textlink="">
      <xdr:nvSpPr>
        <xdr:cNvPr id="11" name="正方形/長方形 10"/>
        <xdr:cNvSpPr/>
      </xdr:nvSpPr>
      <xdr:spPr>
        <a:xfrm>
          <a:off x="3210179" y="2316970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98611</xdr:colOff>
      <xdr:row>10</xdr:row>
      <xdr:rowOff>192334</xdr:rowOff>
    </xdr:from>
    <xdr:to>
      <xdr:col>25</xdr:col>
      <xdr:colOff>160548</xdr:colOff>
      <xdr:row>12</xdr:row>
      <xdr:rowOff>9780</xdr:rowOff>
    </xdr:to>
    <xdr:sp macro="" textlink="">
      <xdr:nvSpPr>
        <xdr:cNvPr id="12" name="正方形/長方形 11"/>
        <xdr:cNvSpPr/>
      </xdr:nvSpPr>
      <xdr:spPr>
        <a:xfrm>
          <a:off x="6571129" y="2325934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50529</xdr:colOff>
      <xdr:row>10</xdr:row>
      <xdr:rowOff>183370</xdr:rowOff>
    </xdr:from>
    <xdr:to>
      <xdr:col>29</xdr:col>
      <xdr:colOff>112466</xdr:colOff>
      <xdr:row>12</xdr:row>
      <xdr:rowOff>816</xdr:rowOff>
    </xdr:to>
    <xdr:sp macro="" textlink="">
      <xdr:nvSpPr>
        <xdr:cNvPr id="13" name="正方形/長方形 12"/>
        <xdr:cNvSpPr/>
      </xdr:nvSpPr>
      <xdr:spPr>
        <a:xfrm>
          <a:off x="7634670" y="2316970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183368</xdr:colOff>
      <xdr:row>10</xdr:row>
      <xdr:rowOff>147511</xdr:rowOff>
    </xdr:from>
    <xdr:to>
      <xdr:col>31</xdr:col>
      <xdr:colOff>245305</xdr:colOff>
      <xdr:row>11</xdr:row>
      <xdr:rowOff>217599</xdr:rowOff>
    </xdr:to>
    <xdr:sp macro="" textlink="">
      <xdr:nvSpPr>
        <xdr:cNvPr id="14" name="正方形/長方形 13"/>
        <xdr:cNvSpPr/>
      </xdr:nvSpPr>
      <xdr:spPr>
        <a:xfrm>
          <a:off x="8323321" y="2281111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250197</xdr:colOff>
      <xdr:row>10</xdr:row>
      <xdr:rowOff>174405</xdr:rowOff>
    </xdr:from>
    <xdr:to>
      <xdr:col>37</xdr:col>
      <xdr:colOff>34228</xdr:colOff>
      <xdr:row>11</xdr:row>
      <xdr:rowOff>242863</xdr:rowOff>
    </xdr:to>
    <xdr:sp macro="" textlink="">
      <xdr:nvSpPr>
        <xdr:cNvPr id="15" name="正方形/長方形 14"/>
        <xdr:cNvSpPr/>
      </xdr:nvSpPr>
      <xdr:spPr>
        <a:xfrm>
          <a:off x="9779679" y="2308005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149140</xdr:colOff>
      <xdr:row>10</xdr:row>
      <xdr:rowOff>156476</xdr:rowOff>
    </xdr:from>
    <xdr:to>
      <xdr:col>40</xdr:col>
      <xdr:colOff>211077</xdr:colOff>
      <xdr:row>11</xdr:row>
      <xdr:rowOff>226564</xdr:rowOff>
    </xdr:to>
    <xdr:sp macro="" textlink="">
      <xdr:nvSpPr>
        <xdr:cNvPr id="16" name="正方形/長方形 15"/>
        <xdr:cNvSpPr/>
      </xdr:nvSpPr>
      <xdr:spPr>
        <a:xfrm>
          <a:off x="10790246" y="2290076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118987</xdr:colOff>
      <xdr:row>10</xdr:row>
      <xdr:rowOff>156474</xdr:rowOff>
    </xdr:from>
    <xdr:to>
      <xdr:col>44</xdr:col>
      <xdr:colOff>180924</xdr:colOff>
      <xdr:row>11</xdr:row>
      <xdr:rowOff>226562</xdr:rowOff>
    </xdr:to>
    <xdr:sp macro="" textlink="">
      <xdr:nvSpPr>
        <xdr:cNvPr id="17" name="正方形/長方形 16"/>
        <xdr:cNvSpPr/>
      </xdr:nvSpPr>
      <xdr:spPr>
        <a:xfrm>
          <a:off x="11871716" y="2290074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42378</xdr:colOff>
      <xdr:row>10</xdr:row>
      <xdr:rowOff>165440</xdr:rowOff>
    </xdr:from>
    <xdr:to>
      <xdr:col>50</xdr:col>
      <xdr:colOff>104315</xdr:colOff>
      <xdr:row>11</xdr:row>
      <xdr:rowOff>235528</xdr:rowOff>
    </xdr:to>
    <xdr:sp macro="" textlink="">
      <xdr:nvSpPr>
        <xdr:cNvPr id="18" name="正方形/長方形 17"/>
        <xdr:cNvSpPr/>
      </xdr:nvSpPr>
      <xdr:spPr>
        <a:xfrm>
          <a:off x="13462543" y="2299040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250198</xdr:colOff>
      <xdr:row>11</xdr:row>
      <xdr:rowOff>208634</xdr:rowOff>
    </xdr:from>
    <xdr:to>
      <xdr:col>37</xdr:col>
      <xdr:colOff>34229</xdr:colOff>
      <xdr:row>13</xdr:row>
      <xdr:rowOff>26081</xdr:rowOff>
    </xdr:to>
    <xdr:sp macro="" textlink="">
      <xdr:nvSpPr>
        <xdr:cNvPr id="19" name="正方形/長方形 18"/>
        <xdr:cNvSpPr/>
      </xdr:nvSpPr>
      <xdr:spPr>
        <a:xfrm>
          <a:off x="9779680" y="2593246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149140</xdr:colOff>
      <xdr:row>11</xdr:row>
      <xdr:rowOff>226564</xdr:rowOff>
    </xdr:from>
    <xdr:to>
      <xdr:col>40</xdr:col>
      <xdr:colOff>211077</xdr:colOff>
      <xdr:row>13</xdr:row>
      <xdr:rowOff>44011</xdr:rowOff>
    </xdr:to>
    <xdr:sp macro="" textlink="">
      <xdr:nvSpPr>
        <xdr:cNvPr id="20" name="正方形/長方形 19"/>
        <xdr:cNvSpPr/>
      </xdr:nvSpPr>
      <xdr:spPr>
        <a:xfrm>
          <a:off x="10790246" y="2611176"/>
          <a:ext cx="339843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139360</xdr:colOff>
      <xdr:row>32</xdr:row>
      <xdr:rowOff>111652</xdr:rowOff>
    </xdr:from>
    <xdr:to>
      <xdr:col>8</xdr:col>
      <xdr:colOff>201296</xdr:colOff>
      <xdr:row>33</xdr:row>
      <xdr:rowOff>181741</xdr:rowOff>
    </xdr:to>
    <xdr:sp macro="" textlink="">
      <xdr:nvSpPr>
        <xdr:cNvPr id="21" name="正方形/長方形 20"/>
        <xdr:cNvSpPr/>
      </xdr:nvSpPr>
      <xdr:spPr>
        <a:xfrm>
          <a:off x="1887478" y="7767511"/>
          <a:ext cx="339842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88831</xdr:colOff>
      <xdr:row>32</xdr:row>
      <xdr:rowOff>129581</xdr:rowOff>
    </xdr:from>
    <xdr:to>
      <xdr:col>15</xdr:col>
      <xdr:colOff>150769</xdr:colOff>
      <xdr:row>33</xdr:row>
      <xdr:rowOff>199670</xdr:rowOff>
    </xdr:to>
    <xdr:sp macro="" textlink="">
      <xdr:nvSpPr>
        <xdr:cNvPr id="22" name="正方形/長方形 21"/>
        <xdr:cNvSpPr/>
      </xdr:nvSpPr>
      <xdr:spPr>
        <a:xfrm>
          <a:off x="3782290" y="7785440"/>
          <a:ext cx="339844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255902</xdr:colOff>
      <xdr:row>32</xdr:row>
      <xdr:rowOff>147510</xdr:rowOff>
    </xdr:from>
    <xdr:to>
      <xdr:col>20</xdr:col>
      <xdr:colOff>39117</xdr:colOff>
      <xdr:row>33</xdr:row>
      <xdr:rowOff>215968</xdr:rowOff>
    </xdr:to>
    <xdr:sp macro="" textlink="">
      <xdr:nvSpPr>
        <xdr:cNvPr id="23" name="正方形/長方形 22"/>
        <xdr:cNvSpPr/>
      </xdr:nvSpPr>
      <xdr:spPr>
        <a:xfrm>
          <a:off x="5060984" y="7803369"/>
          <a:ext cx="339027" cy="319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70901</xdr:colOff>
      <xdr:row>38</xdr:row>
      <xdr:rowOff>119801</xdr:rowOff>
    </xdr:from>
    <xdr:to>
      <xdr:col>15</xdr:col>
      <xdr:colOff>132839</xdr:colOff>
      <xdr:row>39</xdr:row>
      <xdr:rowOff>189888</xdr:rowOff>
    </xdr:to>
    <xdr:sp macro="" textlink="">
      <xdr:nvSpPr>
        <xdr:cNvPr id="24" name="正方形/長方形 23"/>
        <xdr:cNvSpPr/>
      </xdr:nvSpPr>
      <xdr:spPr>
        <a:xfrm>
          <a:off x="3764360" y="9281730"/>
          <a:ext cx="339844" cy="32109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193149</xdr:colOff>
      <xdr:row>38</xdr:row>
      <xdr:rowOff>128767</xdr:rowOff>
    </xdr:from>
    <xdr:to>
      <xdr:col>19</xdr:col>
      <xdr:colOff>255085</xdr:colOff>
      <xdr:row>39</xdr:row>
      <xdr:rowOff>197224</xdr:rowOff>
    </xdr:to>
    <xdr:sp macro="" textlink="">
      <xdr:nvSpPr>
        <xdr:cNvPr id="25" name="正方形/長方形 24"/>
        <xdr:cNvSpPr/>
      </xdr:nvSpPr>
      <xdr:spPr>
        <a:xfrm>
          <a:off x="4998231" y="9290696"/>
          <a:ext cx="339842" cy="3194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79866</xdr:colOff>
      <xdr:row>39</xdr:row>
      <xdr:rowOff>206188</xdr:rowOff>
    </xdr:from>
    <xdr:to>
      <xdr:col>15</xdr:col>
      <xdr:colOff>141804</xdr:colOff>
      <xdr:row>41</xdr:row>
      <xdr:rowOff>25265</xdr:rowOff>
    </xdr:to>
    <xdr:sp macro="" textlink="">
      <xdr:nvSpPr>
        <xdr:cNvPr id="26" name="正方形/長方形 25"/>
        <xdr:cNvSpPr/>
      </xdr:nvSpPr>
      <xdr:spPr>
        <a:xfrm>
          <a:off x="3773325" y="9619129"/>
          <a:ext cx="339844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211079</xdr:colOff>
      <xdr:row>39</xdr:row>
      <xdr:rowOff>233082</xdr:rowOff>
    </xdr:from>
    <xdr:to>
      <xdr:col>19</xdr:col>
      <xdr:colOff>272200</xdr:colOff>
      <xdr:row>41</xdr:row>
      <xdr:rowOff>52159</xdr:rowOff>
    </xdr:to>
    <xdr:sp macro="" textlink="">
      <xdr:nvSpPr>
        <xdr:cNvPr id="27" name="正方形/長方形 26"/>
        <xdr:cNvSpPr/>
      </xdr:nvSpPr>
      <xdr:spPr>
        <a:xfrm>
          <a:off x="5016161" y="9646023"/>
          <a:ext cx="339027" cy="32110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-1</xdr:colOff>
      <xdr:row>9</xdr:row>
      <xdr:rowOff>0</xdr:rowOff>
    </xdr:from>
    <xdr:to>
      <xdr:col>9</xdr:col>
      <xdr:colOff>61937</xdr:colOff>
      <xdr:row>10</xdr:row>
      <xdr:rowOff>70088</xdr:rowOff>
    </xdr:to>
    <xdr:sp macro="" textlink="">
      <xdr:nvSpPr>
        <xdr:cNvPr id="28" name="正方形/長方形 27"/>
        <xdr:cNvSpPr/>
      </xdr:nvSpPr>
      <xdr:spPr>
        <a:xfrm>
          <a:off x="2026023" y="1882588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98612</xdr:colOff>
      <xdr:row>8</xdr:row>
      <xdr:rowOff>233083</xdr:rowOff>
    </xdr:from>
    <xdr:to>
      <xdr:col>14</xdr:col>
      <xdr:colOff>160549</xdr:colOff>
      <xdr:row>10</xdr:row>
      <xdr:rowOff>52159</xdr:rowOff>
    </xdr:to>
    <xdr:sp macro="" textlink="">
      <xdr:nvSpPr>
        <xdr:cNvPr id="29" name="正方形/長方形 28"/>
        <xdr:cNvSpPr/>
      </xdr:nvSpPr>
      <xdr:spPr>
        <a:xfrm>
          <a:off x="3514165" y="1864659"/>
          <a:ext cx="339843" cy="3211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99060</xdr:rowOff>
    </xdr:from>
    <xdr:to>
      <xdr:col>20</xdr:col>
      <xdr:colOff>354309</xdr:colOff>
      <xdr:row>14</xdr:row>
      <xdr:rowOff>128054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27660"/>
          <a:ext cx="13498809" cy="30007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394076</xdr:colOff>
      <xdr:row>37</xdr:row>
      <xdr:rowOff>67833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1793596" cy="8297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>
      <selection activeCell="M17" sqref="M17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8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228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40" t="s">
        <v>3</v>
      </c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K2" s="140" t="s">
        <v>31</v>
      </c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2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53"/>
      <c r="BN2" s="14"/>
    </row>
    <row r="3" spans="1:66" ht="20.100000000000001" customHeight="1" x14ac:dyDescent="0.45">
      <c r="A3" s="8"/>
      <c r="B3" s="143" t="s">
        <v>230</v>
      </c>
      <c r="C3" s="144"/>
      <c r="D3" s="144"/>
      <c r="E3" s="144"/>
      <c r="F3" s="144"/>
      <c r="G3" s="144"/>
      <c r="H3" s="144" t="str">
        <f ca="1">LEFT($X$3,FIND("_",$X$3)-1)</f>
        <v>SS0500</v>
      </c>
      <c r="I3" s="144"/>
      <c r="J3" s="144"/>
      <c r="K3" s="144"/>
      <c r="L3" s="144" t="s">
        <v>229</v>
      </c>
      <c r="M3" s="144"/>
      <c r="N3" s="144"/>
      <c r="O3" s="144"/>
      <c r="P3" s="144"/>
      <c r="Q3" s="144"/>
      <c r="R3" s="147" t="str">
        <f ca="1">MID($X$3,FIND("_",$X$3,FIND("_",$X$3)+1)+1,LEN($X$3)-FIND("_",$X$3,FIND("_",$X$3)+1))</f>
        <v>帳票設計書</v>
      </c>
      <c r="S3" s="144"/>
      <c r="T3" s="144"/>
      <c r="U3" s="144"/>
      <c r="V3" s="144"/>
      <c r="W3" s="144"/>
      <c r="X3" s="148" t="str">
        <f ca="1">REPLACE(LEFT(CELL("filename",$B$2),FIND(".x",CELL("filename",$B$2))-1),1,FIND("[",CELL("filename",$B$2)),)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MID($X$3,FIND("_",$X$3)+1,FIND("_",$X$3,FIND("_",$X$3)+1)-FIND("_",$X$3)-1)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v>45583</v>
      </c>
      <c r="AY3" s="144"/>
      <c r="AZ3" s="144"/>
      <c r="BA3" s="144"/>
      <c r="BB3" s="144" t="s">
        <v>227</v>
      </c>
      <c r="BC3" s="144"/>
      <c r="BD3" s="144"/>
      <c r="BE3" s="144"/>
      <c r="BF3" s="155">
        <v>45583</v>
      </c>
      <c r="BG3" s="144"/>
      <c r="BH3" s="144"/>
      <c r="BI3" s="144"/>
      <c r="BJ3" s="144" t="s">
        <v>227</v>
      </c>
      <c r="BK3" s="144"/>
      <c r="BL3" s="144"/>
      <c r="BM3" s="156"/>
      <c r="BN3" s="14"/>
    </row>
    <row r="4" spans="1:66" ht="20.100000000000001" customHeight="1" thickBot="1" x14ac:dyDescent="0.5">
      <c r="A4" s="8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54" t="s">
        <v>8</v>
      </c>
      <c r="D8" s="154"/>
      <c r="E8" s="154"/>
      <c r="F8" s="154"/>
      <c r="G8" s="154" t="s">
        <v>9</v>
      </c>
      <c r="H8" s="154"/>
      <c r="I8" s="154"/>
      <c r="J8" s="154"/>
      <c r="K8" s="154" t="s">
        <v>10</v>
      </c>
      <c r="L8" s="154"/>
      <c r="M8" s="154"/>
      <c r="N8" s="154"/>
      <c r="O8" s="154" t="s">
        <v>11</v>
      </c>
      <c r="P8" s="154"/>
      <c r="Q8" s="154"/>
      <c r="R8" s="154"/>
      <c r="S8" s="154"/>
      <c r="T8" s="154"/>
      <c r="U8" s="154"/>
      <c r="V8" s="154"/>
      <c r="W8" s="154"/>
      <c r="X8" s="154"/>
      <c r="Y8" s="154" t="s">
        <v>12</v>
      </c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7"/>
      <c r="BN8" s="14"/>
    </row>
    <row r="9" spans="1:66" ht="20.100000000000001" customHeight="1" x14ac:dyDescent="0.45">
      <c r="A9" s="8"/>
      <c r="B9" s="7"/>
      <c r="C9" s="157" t="s">
        <v>231</v>
      </c>
      <c r="D9" s="158"/>
      <c r="E9" s="158"/>
      <c r="F9" s="159"/>
      <c r="G9" s="160" t="s">
        <v>16</v>
      </c>
      <c r="H9" s="161"/>
      <c r="I9" s="161"/>
      <c r="J9" s="162"/>
      <c r="K9" s="163" t="s">
        <v>227</v>
      </c>
      <c r="L9" s="164"/>
      <c r="M9" s="164"/>
      <c r="N9" s="16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7"/>
      <c r="D10" s="168"/>
      <c r="E10" s="168"/>
      <c r="F10" s="169"/>
      <c r="G10" s="160"/>
      <c r="H10" s="161"/>
      <c r="I10" s="161"/>
      <c r="J10" s="162"/>
      <c r="K10" s="163"/>
      <c r="L10" s="164"/>
      <c r="M10" s="164"/>
      <c r="N10" s="16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6"/>
      <c r="D11" s="164"/>
      <c r="E11" s="164"/>
      <c r="F11" s="165"/>
      <c r="G11" s="160"/>
      <c r="H11" s="161"/>
      <c r="I11" s="161"/>
      <c r="J11" s="162"/>
      <c r="K11" s="163"/>
      <c r="L11" s="164"/>
      <c r="M11" s="164"/>
      <c r="N11" s="16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6"/>
      <c r="D36" s="164"/>
      <c r="E36" s="164"/>
      <c r="F36" s="165"/>
      <c r="G36" s="160"/>
      <c r="H36" s="161"/>
      <c r="I36" s="161"/>
      <c r="J36" s="162"/>
      <c r="K36" s="163"/>
      <c r="L36" s="164"/>
      <c r="M36" s="164"/>
      <c r="N36" s="16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6"/>
      <c r="D37" s="164"/>
      <c r="E37" s="164"/>
      <c r="F37" s="165"/>
      <c r="G37" s="160"/>
      <c r="H37" s="161"/>
      <c r="I37" s="161"/>
      <c r="J37" s="162"/>
      <c r="K37" s="163"/>
      <c r="L37" s="164"/>
      <c r="M37" s="164"/>
      <c r="N37" s="16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6"/>
      <c r="D38" s="164"/>
      <c r="E38" s="164"/>
      <c r="F38" s="165"/>
      <c r="G38" s="160"/>
      <c r="H38" s="161"/>
      <c r="I38" s="161"/>
      <c r="J38" s="162"/>
      <c r="K38" s="163"/>
      <c r="L38" s="164"/>
      <c r="M38" s="164"/>
      <c r="N38" s="16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6"/>
      <c r="D39" s="164"/>
      <c r="E39" s="164"/>
      <c r="F39" s="165"/>
      <c r="G39" s="160"/>
      <c r="H39" s="161"/>
      <c r="I39" s="161"/>
      <c r="J39" s="162"/>
      <c r="K39" s="163"/>
      <c r="L39" s="164"/>
      <c r="M39" s="164"/>
      <c r="N39" s="16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6"/>
      <c r="D40" s="164"/>
      <c r="E40" s="164"/>
      <c r="F40" s="165"/>
      <c r="G40" s="160"/>
      <c r="H40" s="161"/>
      <c r="I40" s="161"/>
      <c r="J40" s="162"/>
      <c r="K40" s="163"/>
      <c r="L40" s="164"/>
      <c r="M40" s="164"/>
      <c r="N40" s="16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6"/>
      <c r="D41" s="164"/>
      <c r="E41" s="164"/>
      <c r="F41" s="165"/>
      <c r="G41" s="160"/>
      <c r="H41" s="161"/>
      <c r="I41" s="161"/>
      <c r="J41" s="162"/>
      <c r="K41" s="163"/>
      <c r="L41" s="164"/>
      <c r="M41" s="164"/>
      <c r="N41" s="16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6"/>
      <c r="D42" s="164"/>
      <c r="E42" s="164"/>
      <c r="F42" s="165"/>
      <c r="G42" s="160"/>
      <c r="H42" s="161"/>
      <c r="I42" s="161"/>
      <c r="J42" s="162"/>
      <c r="K42" s="163"/>
      <c r="L42" s="164"/>
      <c r="M42" s="164"/>
      <c r="N42" s="16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6"/>
      <c r="D43" s="164"/>
      <c r="E43" s="164"/>
      <c r="F43" s="165"/>
      <c r="G43" s="160"/>
      <c r="H43" s="161"/>
      <c r="I43" s="161"/>
      <c r="J43" s="162"/>
      <c r="K43" s="163"/>
      <c r="L43" s="164"/>
      <c r="M43" s="164"/>
      <c r="N43" s="16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6"/>
      <c r="D44" s="164"/>
      <c r="E44" s="164"/>
      <c r="F44" s="165"/>
      <c r="G44" s="160"/>
      <c r="H44" s="161"/>
      <c r="I44" s="161"/>
      <c r="J44" s="162"/>
      <c r="K44" s="163"/>
      <c r="L44" s="164"/>
      <c r="M44" s="164"/>
      <c r="N44" s="16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6"/>
      <c r="D45" s="164"/>
      <c r="E45" s="164"/>
      <c r="F45" s="165"/>
      <c r="G45" s="160"/>
      <c r="H45" s="161"/>
      <c r="I45" s="161"/>
      <c r="J45" s="162"/>
      <c r="K45" s="163"/>
      <c r="L45" s="164"/>
      <c r="M45" s="164"/>
      <c r="N45" s="16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6"/>
      <c r="D46" s="164"/>
      <c r="E46" s="164"/>
      <c r="F46" s="165"/>
      <c r="G46" s="160"/>
      <c r="H46" s="161"/>
      <c r="I46" s="161"/>
      <c r="J46" s="162"/>
      <c r="K46" s="163"/>
      <c r="L46" s="164"/>
      <c r="M46" s="164"/>
      <c r="N46" s="16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6"/>
      <c r="D47" s="164"/>
      <c r="E47" s="164"/>
      <c r="F47" s="165"/>
      <c r="G47" s="160"/>
      <c r="H47" s="161"/>
      <c r="I47" s="161"/>
      <c r="J47" s="162"/>
      <c r="K47" s="163"/>
      <c r="L47" s="164"/>
      <c r="M47" s="164"/>
      <c r="N47" s="16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8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228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40" t="s">
        <v>3</v>
      </c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K2" s="140" t="s">
        <v>32</v>
      </c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2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53"/>
      <c r="BN2" s="35"/>
    </row>
    <row r="3" spans="1:66" ht="20.100000000000001" customHeight="1" x14ac:dyDescent="0.45">
      <c r="A3" s="32"/>
      <c r="B3" s="143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SS0500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8" t="str">
        <f ca="1">変更履歴!X3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変更履歴!AK3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f>変更履歴!AX3</f>
        <v>45583</v>
      </c>
      <c r="AY3" s="155"/>
      <c r="AZ3" s="155"/>
      <c r="BA3" s="155"/>
      <c r="BB3" s="144" t="str">
        <f>変更履歴!BB3</f>
        <v>大谷</v>
      </c>
      <c r="BC3" s="144"/>
      <c r="BD3" s="144"/>
      <c r="BE3" s="144"/>
      <c r="BF3" s="155">
        <f>変更履歴!BF3</f>
        <v>45583</v>
      </c>
      <c r="BG3" s="155"/>
      <c r="BH3" s="155"/>
      <c r="BI3" s="155"/>
      <c r="BJ3" s="144" t="str">
        <f>変更履歴!BJ3</f>
        <v>大谷</v>
      </c>
      <c r="BK3" s="144"/>
      <c r="BL3" s="144"/>
      <c r="BM3" s="156"/>
      <c r="BN3" s="35"/>
    </row>
    <row r="4" spans="1:66" ht="20.100000000000001" customHeight="1" thickBot="1" x14ac:dyDescent="0.5">
      <c r="A4" s="32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70"/>
      <c r="AY4" s="170"/>
      <c r="AZ4" s="170"/>
      <c r="BA4" s="170"/>
      <c r="BB4" s="146"/>
      <c r="BC4" s="146"/>
      <c r="BD4" s="146"/>
      <c r="BE4" s="146"/>
      <c r="BF4" s="170"/>
      <c r="BG4" s="170"/>
      <c r="BH4" s="170"/>
      <c r="BI4" s="170"/>
      <c r="BJ4" s="146"/>
      <c r="BK4" s="146"/>
      <c r="BL4" s="146"/>
      <c r="BM4" s="14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">
        <v>90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92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93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91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91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91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91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226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228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40" t="s">
        <v>3</v>
      </c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K2" s="140" t="s">
        <v>32</v>
      </c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2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53"/>
      <c r="BN2" s="15"/>
    </row>
    <row r="3" spans="1:66" ht="20.100000000000001" customHeight="1" x14ac:dyDescent="0.45">
      <c r="A3" s="9"/>
      <c r="B3" s="143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SS0500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8" t="str">
        <f ca="1">変更履歴!X3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変更履歴!AK3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f>変更履歴!AX3</f>
        <v>45583</v>
      </c>
      <c r="AY3" s="155"/>
      <c r="AZ3" s="155"/>
      <c r="BA3" s="155"/>
      <c r="BB3" s="144" t="str">
        <f>変更履歴!BB3</f>
        <v>大谷</v>
      </c>
      <c r="BC3" s="144"/>
      <c r="BD3" s="144"/>
      <c r="BE3" s="144"/>
      <c r="BF3" s="155">
        <f>変更履歴!BF3</f>
        <v>45583</v>
      </c>
      <c r="BG3" s="155"/>
      <c r="BH3" s="155"/>
      <c r="BI3" s="155"/>
      <c r="BJ3" s="144" t="str">
        <f>変更履歴!BJ3</f>
        <v>大谷</v>
      </c>
      <c r="BK3" s="144"/>
      <c r="BL3" s="144"/>
      <c r="BM3" s="156"/>
      <c r="BN3" s="15"/>
    </row>
    <row r="4" spans="1:66" ht="20.100000000000001" customHeight="1" thickBot="1" x14ac:dyDescent="0.5">
      <c r="A4" s="9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70"/>
      <c r="AY4" s="170"/>
      <c r="AZ4" s="170"/>
      <c r="BA4" s="170"/>
      <c r="BB4" s="146"/>
      <c r="BC4" s="146"/>
      <c r="BD4" s="146"/>
      <c r="BE4" s="146"/>
      <c r="BF4" s="170"/>
      <c r="BG4" s="170"/>
      <c r="BH4" s="170"/>
      <c r="BI4" s="170"/>
      <c r="BJ4" s="146"/>
      <c r="BK4" s="146"/>
      <c r="BL4" s="146"/>
      <c r="BM4" s="14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7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17</v>
      </c>
      <c r="I2" s="139"/>
      <c r="J2" s="139"/>
      <c r="K2" s="139"/>
      <c r="L2" s="139" t="s">
        <v>228</v>
      </c>
      <c r="M2" s="139"/>
      <c r="N2" s="139"/>
      <c r="O2" s="139"/>
      <c r="P2" s="139"/>
      <c r="Q2" s="139"/>
      <c r="R2" s="139" t="s">
        <v>2</v>
      </c>
      <c r="S2" s="139"/>
      <c r="T2" s="139"/>
      <c r="U2" s="139"/>
      <c r="V2" s="139"/>
      <c r="W2" s="139"/>
      <c r="X2" s="140" t="s">
        <v>3</v>
      </c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2"/>
      <c r="AK2" s="140" t="s">
        <v>32</v>
      </c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2"/>
      <c r="AX2" s="139" t="s">
        <v>5</v>
      </c>
      <c r="AY2" s="139"/>
      <c r="AZ2" s="139"/>
      <c r="BA2" s="139"/>
      <c r="BB2" s="139" t="s">
        <v>4</v>
      </c>
      <c r="BC2" s="139"/>
      <c r="BD2" s="139"/>
      <c r="BE2" s="139"/>
      <c r="BF2" s="139" t="s">
        <v>6</v>
      </c>
      <c r="BG2" s="139"/>
      <c r="BH2" s="139"/>
      <c r="BI2" s="139"/>
      <c r="BJ2" s="139" t="s">
        <v>7</v>
      </c>
      <c r="BK2" s="139"/>
      <c r="BL2" s="139"/>
      <c r="BM2" s="153"/>
      <c r="BN2" s="15"/>
    </row>
    <row r="3" spans="1:85" ht="20.100000000000001" customHeight="1" x14ac:dyDescent="0.45">
      <c r="A3" s="9"/>
      <c r="B3" s="143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SS0500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8" t="str">
        <f ca="1">変更履歴!X3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変更履歴!AK3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f>変更履歴!AX3</f>
        <v>45583</v>
      </c>
      <c r="AY3" s="155"/>
      <c r="AZ3" s="155"/>
      <c r="BA3" s="155"/>
      <c r="BB3" s="144" t="str">
        <f>変更履歴!BB3</f>
        <v>大谷</v>
      </c>
      <c r="BC3" s="144"/>
      <c r="BD3" s="144"/>
      <c r="BE3" s="144"/>
      <c r="BF3" s="155">
        <f>変更履歴!BF3</f>
        <v>45583</v>
      </c>
      <c r="BG3" s="155"/>
      <c r="BH3" s="155"/>
      <c r="BI3" s="155"/>
      <c r="BJ3" s="144" t="str">
        <f>変更履歴!BJ3</f>
        <v>大谷</v>
      </c>
      <c r="BK3" s="144"/>
      <c r="BL3" s="144"/>
      <c r="BM3" s="156"/>
      <c r="BN3" s="15"/>
    </row>
    <row r="4" spans="1:85" ht="20.100000000000001" customHeight="1" thickBot="1" x14ac:dyDescent="0.5">
      <c r="A4" s="9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0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2"/>
      <c r="AK4" s="150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2"/>
      <c r="AX4" s="170"/>
      <c r="AY4" s="170"/>
      <c r="AZ4" s="170"/>
      <c r="BA4" s="170"/>
      <c r="BB4" s="146"/>
      <c r="BC4" s="146"/>
      <c r="BD4" s="146"/>
      <c r="BE4" s="146"/>
      <c r="BF4" s="170"/>
      <c r="BG4" s="170"/>
      <c r="BH4" s="170"/>
      <c r="BI4" s="170"/>
      <c r="BJ4" s="146"/>
      <c r="BK4" s="146"/>
      <c r="BL4" s="146"/>
      <c r="BM4" s="14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7" t="s">
        <v>20</v>
      </c>
      <c r="F10" s="188"/>
      <c r="G10" s="188"/>
      <c r="H10" s="188"/>
      <c r="I10" s="188"/>
      <c r="J10" s="188"/>
      <c r="K10" s="188"/>
      <c r="L10" s="189"/>
      <c r="M10" s="173" t="s">
        <v>24</v>
      </c>
      <c r="N10" s="174"/>
      <c r="O10" s="174"/>
      <c r="P10" s="173" t="s">
        <v>33</v>
      </c>
      <c r="Q10" s="174"/>
      <c r="R10" s="174"/>
      <c r="S10" s="173" t="s">
        <v>34</v>
      </c>
      <c r="T10" s="174"/>
      <c r="U10" s="174"/>
      <c r="V10" s="173" t="s">
        <v>36</v>
      </c>
      <c r="W10" s="174"/>
      <c r="X10" s="174"/>
      <c r="Y10" s="174"/>
      <c r="Z10" s="174"/>
      <c r="AA10" s="175"/>
      <c r="AB10" s="173" t="s">
        <v>35</v>
      </c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5"/>
      <c r="AR10" s="173" t="s">
        <v>42</v>
      </c>
      <c r="AS10" s="174"/>
      <c r="AT10" s="174"/>
      <c r="AU10" s="174"/>
      <c r="AV10" s="174"/>
      <c r="AW10" s="175"/>
      <c r="AX10" s="173" t="s">
        <v>43</v>
      </c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83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4" t="s">
        <v>94</v>
      </c>
      <c r="F11" s="185"/>
      <c r="G11" s="185"/>
      <c r="H11" s="185"/>
      <c r="I11" s="185"/>
      <c r="J11" s="185"/>
      <c r="K11" s="185"/>
      <c r="L11" s="186"/>
      <c r="M11" s="163" t="s">
        <v>8</v>
      </c>
      <c r="N11" s="164"/>
      <c r="O11" s="164"/>
      <c r="P11" s="163" t="s">
        <v>119</v>
      </c>
      <c r="Q11" s="164"/>
      <c r="R11" s="164"/>
      <c r="S11" s="163"/>
      <c r="T11" s="164"/>
      <c r="U11" s="164"/>
      <c r="V11" s="171" t="s">
        <v>121</v>
      </c>
      <c r="W11" s="168"/>
      <c r="X11" s="168"/>
      <c r="Y11" s="168"/>
      <c r="Z11" s="168"/>
      <c r="AA11" s="169"/>
      <c r="AB11" s="180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2"/>
      <c r="AR11" s="163" t="s">
        <v>137</v>
      </c>
      <c r="AS11" s="164"/>
      <c r="AT11" s="164"/>
      <c r="AU11" s="164"/>
      <c r="AV11" s="164"/>
      <c r="AW11" s="165"/>
      <c r="AX11" s="171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7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4" t="s">
        <v>95</v>
      </c>
      <c r="F12" s="185"/>
      <c r="G12" s="185"/>
      <c r="H12" s="185"/>
      <c r="I12" s="185"/>
      <c r="J12" s="185"/>
      <c r="K12" s="185"/>
      <c r="L12" s="186"/>
      <c r="M12" s="163" t="s">
        <v>38</v>
      </c>
      <c r="N12" s="164"/>
      <c r="O12" s="164"/>
      <c r="P12" s="163" t="s">
        <v>120</v>
      </c>
      <c r="Q12" s="164"/>
      <c r="R12" s="164"/>
      <c r="S12" s="163"/>
      <c r="T12" s="164"/>
      <c r="U12" s="164"/>
      <c r="V12" s="171" t="s">
        <v>122</v>
      </c>
      <c r="W12" s="168"/>
      <c r="X12" s="168"/>
      <c r="Y12" s="168"/>
      <c r="Z12" s="168"/>
      <c r="AA12" s="169"/>
      <c r="AB12" s="180" t="s">
        <v>173</v>
      </c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2"/>
      <c r="AR12" s="163"/>
      <c r="AS12" s="164"/>
      <c r="AT12" s="164"/>
      <c r="AU12" s="164"/>
      <c r="AV12" s="164"/>
      <c r="AW12" s="165"/>
      <c r="AX12" s="171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7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4" t="s">
        <v>96</v>
      </c>
      <c r="F13" s="185"/>
      <c r="G13" s="185"/>
      <c r="H13" s="185"/>
      <c r="I13" s="185"/>
      <c r="J13" s="185"/>
      <c r="K13" s="185"/>
      <c r="L13" s="186"/>
      <c r="M13" s="163" t="s">
        <v>38</v>
      </c>
      <c r="N13" s="164"/>
      <c r="O13" s="164"/>
      <c r="P13" s="163" t="s">
        <v>120</v>
      </c>
      <c r="Q13" s="164"/>
      <c r="R13" s="164"/>
      <c r="S13" s="163"/>
      <c r="T13" s="164"/>
      <c r="U13" s="164"/>
      <c r="V13" s="171" t="s">
        <v>123</v>
      </c>
      <c r="W13" s="168"/>
      <c r="X13" s="168"/>
      <c r="Y13" s="168"/>
      <c r="Z13" s="168"/>
      <c r="AA13" s="169"/>
      <c r="AB13" s="180" t="s">
        <v>174</v>
      </c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2"/>
      <c r="AR13" s="163"/>
      <c r="AS13" s="164"/>
      <c r="AT13" s="164"/>
      <c r="AU13" s="164"/>
      <c r="AV13" s="164"/>
      <c r="AW13" s="165"/>
      <c r="AX13" s="171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7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4" t="s">
        <v>97</v>
      </c>
      <c r="F14" s="185"/>
      <c r="G14" s="185"/>
      <c r="H14" s="185"/>
      <c r="I14" s="185"/>
      <c r="J14" s="185"/>
      <c r="K14" s="185"/>
      <c r="L14" s="186"/>
      <c r="M14" s="163" t="s">
        <v>8</v>
      </c>
      <c r="N14" s="164"/>
      <c r="O14" s="164"/>
      <c r="P14" s="163" t="s">
        <v>119</v>
      </c>
      <c r="Q14" s="164"/>
      <c r="R14" s="164"/>
      <c r="S14" s="163"/>
      <c r="T14" s="164"/>
      <c r="U14" s="164"/>
      <c r="V14" s="171" t="s">
        <v>124</v>
      </c>
      <c r="W14" s="168"/>
      <c r="X14" s="168"/>
      <c r="Y14" s="168"/>
      <c r="Z14" s="168"/>
      <c r="AA14" s="169"/>
      <c r="AB14" s="180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2"/>
      <c r="AR14" s="163" t="s">
        <v>137</v>
      </c>
      <c r="AS14" s="164"/>
      <c r="AT14" s="164"/>
      <c r="AU14" s="164"/>
      <c r="AV14" s="164"/>
      <c r="AW14" s="165"/>
      <c r="AX14" s="171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7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4" t="s">
        <v>98</v>
      </c>
      <c r="F15" s="185"/>
      <c r="G15" s="185"/>
      <c r="H15" s="185"/>
      <c r="I15" s="185"/>
      <c r="J15" s="185"/>
      <c r="K15" s="185"/>
      <c r="L15" s="186"/>
      <c r="M15" s="163" t="s">
        <v>8</v>
      </c>
      <c r="N15" s="164"/>
      <c r="O15" s="164"/>
      <c r="P15" s="163" t="s">
        <v>119</v>
      </c>
      <c r="Q15" s="164"/>
      <c r="R15" s="164"/>
      <c r="S15" s="163"/>
      <c r="T15" s="164"/>
      <c r="U15" s="164"/>
      <c r="V15" s="171" t="s">
        <v>125</v>
      </c>
      <c r="W15" s="168"/>
      <c r="X15" s="168"/>
      <c r="Y15" s="168"/>
      <c r="Z15" s="168"/>
      <c r="AA15" s="169"/>
      <c r="AB15" s="180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2"/>
      <c r="AR15" s="163" t="s">
        <v>137</v>
      </c>
      <c r="AS15" s="164"/>
      <c r="AT15" s="164"/>
      <c r="AU15" s="164"/>
      <c r="AV15" s="164"/>
      <c r="AW15" s="165"/>
      <c r="AX15" s="171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7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4" t="s">
        <v>99</v>
      </c>
      <c r="F16" s="185"/>
      <c r="G16" s="185"/>
      <c r="H16" s="185"/>
      <c r="I16" s="185"/>
      <c r="J16" s="185"/>
      <c r="K16" s="185"/>
      <c r="L16" s="186"/>
      <c r="M16" s="163" t="s">
        <v>47</v>
      </c>
      <c r="N16" s="164"/>
      <c r="O16" s="164"/>
      <c r="P16" s="163" t="s">
        <v>119</v>
      </c>
      <c r="Q16" s="164"/>
      <c r="R16" s="164"/>
      <c r="S16" s="163"/>
      <c r="T16" s="164"/>
      <c r="U16" s="164"/>
      <c r="V16" s="171" t="s">
        <v>126</v>
      </c>
      <c r="W16" s="168"/>
      <c r="X16" s="168"/>
      <c r="Y16" s="168"/>
      <c r="Z16" s="168"/>
      <c r="AA16" s="169"/>
      <c r="AB16" s="180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2"/>
      <c r="AR16" s="163"/>
      <c r="AS16" s="164"/>
      <c r="AT16" s="164"/>
      <c r="AU16" s="164"/>
      <c r="AV16" s="164"/>
      <c r="AW16" s="165"/>
      <c r="AX16" s="171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7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4" t="s">
        <v>100</v>
      </c>
      <c r="F17" s="185"/>
      <c r="G17" s="185"/>
      <c r="H17" s="185"/>
      <c r="I17" s="185"/>
      <c r="J17" s="185"/>
      <c r="K17" s="185"/>
      <c r="L17" s="186"/>
      <c r="M17" s="163" t="s">
        <v>38</v>
      </c>
      <c r="N17" s="164"/>
      <c r="O17" s="164"/>
      <c r="P17" s="163" t="s">
        <v>120</v>
      </c>
      <c r="Q17" s="164"/>
      <c r="R17" s="164"/>
      <c r="S17" s="163"/>
      <c r="T17" s="164"/>
      <c r="U17" s="164"/>
      <c r="V17" s="171" t="s">
        <v>127</v>
      </c>
      <c r="W17" s="168"/>
      <c r="X17" s="168"/>
      <c r="Y17" s="168"/>
      <c r="Z17" s="168"/>
      <c r="AA17" s="169"/>
      <c r="AB17" s="180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2"/>
      <c r="AR17" s="163"/>
      <c r="AS17" s="164"/>
      <c r="AT17" s="164"/>
      <c r="AU17" s="164"/>
      <c r="AV17" s="164"/>
      <c r="AW17" s="165"/>
      <c r="AX17" s="171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7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4" t="s">
        <v>101</v>
      </c>
      <c r="F18" s="185"/>
      <c r="G18" s="185"/>
      <c r="H18" s="185"/>
      <c r="I18" s="185"/>
      <c r="J18" s="185"/>
      <c r="K18" s="185"/>
      <c r="L18" s="186"/>
      <c r="M18" s="163" t="s">
        <v>38</v>
      </c>
      <c r="N18" s="164"/>
      <c r="O18" s="164"/>
      <c r="P18" s="163" t="s">
        <v>120</v>
      </c>
      <c r="Q18" s="164"/>
      <c r="R18" s="164"/>
      <c r="S18" s="163"/>
      <c r="T18" s="164"/>
      <c r="U18" s="164"/>
      <c r="V18" s="171" t="s">
        <v>128</v>
      </c>
      <c r="W18" s="168"/>
      <c r="X18" s="168"/>
      <c r="Y18" s="168"/>
      <c r="Z18" s="168"/>
      <c r="AA18" s="169"/>
      <c r="AB18" s="180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2"/>
      <c r="AR18" s="163"/>
      <c r="AS18" s="164"/>
      <c r="AT18" s="164"/>
      <c r="AU18" s="164"/>
      <c r="AV18" s="164"/>
      <c r="AW18" s="165"/>
      <c r="AX18" s="171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72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4" t="s">
        <v>102</v>
      </c>
      <c r="F19" s="185"/>
      <c r="G19" s="185"/>
      <c r="H19" s="185"/>
      <c r="I19" s="185"/>
      <c r="J19" s="185"/>
      <c r="K19" s="185"/>
      <c r="L19" s="186"/>
      <c r="M19" s="163" t="s">
        <v>8</v>
      </c>
      <c r="N19" s="164"/>
      <c r="O19" s="164"/>
      <c r="P19" s="163" t="s">
        <v>119</v>
      </c>
      <c r="Q19" s="164"/>
      <c r="R19" s="164"/>
      <c r="S19" s="163"/>
      <c r="T19" s="164"/>
      <c r="U19" s="164"/>
      <c r="V19" s="171" t="s">
        <v>129</v>
      </c>
      <c r="W19" s="168"/>
      <c r="X19" s="168"/>
      <c r="Y19" s="168"/>
      <c r="Z19" s="168"/>
      <c r="AA19" s="169"/>
      <c r="AB19" s="180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2"/>
      <c r="AR19" s="163" t="s">
        <v>138</v>
      </c>
      <c r="AS19" s="164"/>
      <c r="AT19" s="164"/>
      <c r="AU19" s="164"/>
      <c r="AV19" s="164"/>
      <c r="AW19" s="165"/>
      <c r="AX19" s="171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72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4" t="s">
        <v>103</v>
      </c>
      <c r="F20" s="185"/>
      <c r="G20" s="185"/>
      <c r="H20" s="185"/>
      <c r="I20" s="185"/>
      <c r="J20" s="185"/>
      <c r="K20" s="185"/>
      <c r="L20" s="186"/>
      <c r="M20" s="163" t="s">
        <v>38</v>
      </c>
      <c r="N20" s="164"/>
      <c r="O20" s="164"/>
      <c r="P20" s="163" t="s">
        <v>120</v>
      </c>
      <c r="Q20" s="164"/>
      <c r="R20" s="164"/>
      <c r="S20" s="163"/>
      <c r="T20" s="164"/>
      <c r="U20" s="164"/>
      <c r="V20" s="171" t="s">
        <v>130</v>
      </c>
      <c r="W20" s="168"/>
      <c r="X20" s="168"/>
      <c r="Y20" s="168"/>
      <c r="Z20" s="168"/>
      <c r="AA20" s="169"/>
      <c r="AB20" s="180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2"/>
      <c r="AR20" s="163"/>
      <c r="AS20" s="164"/>
      <c r="AT20" s="164"/>
      <c r="AU20" s="164"/>
      <c r="AV20" s="164"/>
      <c r="AW20" s="165"/>
      <c r="AX20" s="171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7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4" t="s">
        <v>104</v>
      </c>
      <c r="F21" s="185"/>
      <c r="G21" s="185"/>
      <c r="H21" s="185"/>
      <c r="I21" s="185"/>
      <c r="J21" s="185"/>
      <c r="K21" s="185"/>
      <c r="L21" s="186"/>
      <c r="M21" s="163" t="s">
        <v>38</v>
      </c>
      <c r="N21" s="164"/>
      <c r="O21" s="164"/>
      <c r="P21" s="163" t="s">
        <v>120</v>
      </c>
      <c r="Q21" s="164"/>
      <c r="R21" s="164"/>
      <c r="S21" s="163"/>
      <c r="T21" s="164"/>
      <c r="U21" s="164"/>
      <c r="V21" s="171" t="s">
        <v>131</v>
      </c>
      <c r="W21" s="168"/>
      <c r="X21" s="168"/>
      <c r="Y21" s="168"/>
      <c r="Z21" s="168"/>
      <c r="AA21" s="169"/>
      <c r="AB21" s="180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2"/>
      <c r="AR21" s="163"/>
      <c r="AS21" s="164"/>
      <c r="AT21" s="164"/>
      <c r="AU21" s="164"/>
      <c r="AV21" s="164"/>
      <c r="AW21" s="165"/>
      <c r="AX21" s="171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7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4" t="s">
        <v>105</v>
      </c>
      <c r="F22" s="185"/>
      <c r="G22" s="185"/>
      <c r="H22" s="185"/>
      <c r="I22" s="185"/>
      <c r="J22" s="185"/>
      <c r="K22" s="185"/>
      <c r="L22" s="186"/>
      <c r="M22" s="163" t="s">
        <v>118</v>
      </c>
      <c r="N22" s="164"/>
      <c r="O22" s="164"/>
      <c r="P22" s="163" t="s">
        <v>119</v>
      </c>
      <c r="Q22" s="164"/>
      <c r="R22" s="164"/>
      <c r="S22" s="163"/>
      <c r="T22" s="164"/>
      <c r="U22" s="164"/>
      <c r="V22" s="171" t="s">
        <v>132</v>
      </c>
      <c r="W22" s="168"/>
      <c r="X22" s="168"/>
      <c r="Y22" s="168"/>
      <c r="Z22" s="168"/>
      <c r="AA22" s="169"/>
      <c r="AB22" s="180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2"/>
      <c r="AR22" s="176">
        <v>999999</v>
      </c>
      <c r="AS22" s="177"/>
      <c r="AT22" s="177"/>
      <c r="AU22" s="177"/>
      <c r="AV22" s="177"/>
      <c r="AW22" s="178"/>
      <c r="AX22" s="171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7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4" t="s">
        <v>106</v>
      </c>
      <c r="F23" s="185"/>
      <c r="G23" s="185"/>
      <c r="H23" s="185"/>
      <c r="I23" s="185"/>
      <c r="J23" s="185"/>
      <c r="K23" s="185"/>
      <c r="L23" s="186"/>
      <c r="M23" s="163" t="s">
        <v>38</v>
      </c>
      <c r="N23" s="164"/>
      <c r="O23" s="164"/>
      <c r="P23" s="163" t="s">
        <v>120</v>
      </c>
      <c r="Q23" s="164"/>
      <c r="R23" s="164"/>
      <c r="S23" s="163"/>
      <c r="T23" s="164"/>
      <c r="U23" s="164"/>
      <c r="V23" s="171" t="s">
        <v>133</v>
      </c>
      <c r="W23" s="168"/>
      <c r="X23" s="168"/>
      <c r="Y23" s="168"/>
      <c r="Z23" s="168"/>
      <c r="AA23" s="169"/>
      <c r="AB23" s="180" t="s">
        <v>222</v>
      </c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2"/>
      <c r="AR23" s="179" t="s">
        <v>221</v>
      </c>
      <c r="AS23" s="164"/>
      <c r="AT23" s="164"/>
      <c r="AU23" s="164"/>
      <c r="AV23" s="164"/>
      <c r="AW23" s="165"/>
      <c r="AX23" s="171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7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4" t="s">
        <v>107</v>
      </c>
      <c r="F24" s="185"/>
      <c r="G24" s="185"/>
      <c r="H24" s="185"/>
      <c r="I24" s="185"/>
      <c r="J24" s="185"/>
      <c r="K24" s="185"/>
      <c r="L24" s="186"/>
      <c r="M24" s="163" t="s">
        <v>38</v>
      </c>
      <c r="N24" s="164"/>
      <c r="O24" s="164"/>
      <c r="P24" s="163" t="s">
        <v>120</v>
      </c>
      <c r="Q24" s="164"/>
      <c r="R24" s="164"/>
      <c r="S24" s="163"/>
      <c r="T24" s="164"/>
      <c r="U24" s="164"/>
      <c r="V24" s="171" t="s">
        <v>134</v>
      </c>
      <c r="W24" s="168"/>
      <c r="X24" s="168"/>
      <c r="Y24" s="168"/>
      <c r="Z24" s="168"/>
      <c r="AA24" s="169"/>
      <c r="AB24" s="180" t="s">
        <v>222</v>
      </c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2"/>
      <c r="AR24" s="179" t="s">
        <v>220</v>
      </c>
      <c r="AS24" s="164"/>
      <c r="AT24" s="164"/>
      <c r="AU24" s="164"/>
      <c r="AV24" s="164"/>
      <c r="AW24" s="165"/>
      <c r="AX24" s="171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7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4" t="s">
        <v>108</v>
      </c>
      <c r="F25" s="185"/>
      <c r="G25" s="185"/>
      <c r="H25" s="185"/>
      <c r="I25" s="185"/>
      <c r="J25" s="185"/>
      <c r="K25" s="185"/>
      <c r="L25" s="186"/>
      <c r="M25" s="163" t="s">
        <v>38</v>
      </c>
      <c r="N25" s="164"/>
      <c r="O25" s="164"/>
      <c r="P25" s="163" t="s">
        <v>120</v>
      </c>
      <c r="Q25" s="164"/>
      <c r="R25" s="164"/>
      <c r="S25" s="163"/>
      <c r="T25" s="164"/>
      <c r="U25" s="164"/>
      <c r="V25" s="171" t="s">
        <v>135</v>
      </c>
      <c r="W25" s="168"/>
      <c r="X25" s="168"/>
      <c r="Y25" s="168"/>
      <c r="Z25" s="168"/>
      <c r="AA25" s="169"/>
      <c r="AB25" s="180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2"/>
      <c r="AR25" s="163"/>
      <c r="AS25" s="164"/>
      <c r="AT25" s="164"/>
      <c r="AU25" s="164"/>
      <c r="AV25" s="164"/>
      <c r="AW25" s="165"/>
      <c r="AX25" s="171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7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4" t="s">
        <v>109</v>
      </c>
      <c r="F26" s="185"/>
      <c r="G26" s="185"/>
      <c r="H26" s="185"/>
      <c r="I26" s="185"/>
      <c r="J26" s="185"/>
      <c r="K26" s="185"/>
      <c r="L26" s="186"/>
      <c r="M26" s="163" t="s">
        <v>118</v>
      </c>
      <c r="N26" s="164"/>
      <c r="O26" s="164"/>
      <c r="P26" s="163" t="s">
        <v>119</v>
      </c>
      <c r="Q26" s="164"/>
      <c r="R26" s="164"/>
      <c r="S26" s="163"/>
      <c r="T26" s="164"/>
      <c r="U26" s="164"/>
      <c r="V26" s="171" t="s">
        <v>179</v>
      </c>
      <c r="W26" s="168"/>
      <c r="X26" s="168"/>
      <c r="Y26" s="168"/>
      <c r="Z26" s="168"/>
      <c r="AA26" s="169"/>
      <c r="AB26" s="180" t="s">
        <v>180</v>
      </c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2"/>
      <c r="AR26" s="176">
        <v>999999</v>
      </c>
      <c r="AS26" s="177"/>
      <c r="AT26" s="177"/>
      <c r="AU26" s="177"/>
      <c r="AV26" s="177"/>
      <c r="AW26" s="178"/>
      <c r="AX26" s="171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7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4" t="s">
        <v>110</v>
      </c>
      <c r="F27" s="185"/>
      <c r="G27" s="185"/>
      <c r="H27" s="185"/>
      <c r="I27" s="185"/>
      <c r="J27" s="185"/>
      <c r="K27" s="185"/>
      <c r="L27" s="186"/>
      <c r="M27" s="163" t="s">
        <v>38</v>
      </c>
      <c r="N27" s="164"/>
      <c r="O27" s="164"/>
      <c r="P27" s="163" t="s">
        <v>120</v>
      </c>
      <c r="Q27" s="164"/>
      <c r="R27" s="164"/>
      <c r="S27" s="163"/>
      <c r="T27" s="164"/>
      <c r="U27" s="164"/>
      <c r="V27" s="171" t="s">
        <v>136</v>
      </c>
      <c r="W27" s="168"/>
      <c r="X27" s="168"/>
      <c r="Y27" s="168"/>
      <c r="Z27" s="168"/>
      <c r="AA27" s="169"/>
      <c r="AB27" s="180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2"/>
      <c r="AR27" s="163"/>
      <c r="AS27" s="164"/>
      <c r="AT27" s="164"/>
      <c r="AU27" s="164"/>
      <c r="AV27" s="164"/>
      <c r="AW27" s="165"/>
      <c r="AX27" s="171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7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4" t="s">
        <v>111</v>
      </c>
      <c r="F28" s="185"/>
      <c r="G28" s="185"/>
      <c r="H28" s="185"/>
      <c r="I28" s="185"/>
      <c r="J28" s="185"/>
      <c r="K28" s="185"/>
      <c r="L28" s="186"/>
      <c r="M28" s="163" t="s">
        <v>38</v>
      </c>
      <c r="N28" s="164"/>
      <c r="O28" s="164"/>
      <c r="P28" s="163" t="s">
        <v>120</v>
      </c>
      <c r="Q28" s="164"/>
      <c r="R28" s="164"/>
      <c r="S28" s="163"/>
      <c r="T28" s="164"/>
      <c r="U28" s="164"/>
      <c r="V28" s="171" t="s">
        <v>182</v>
      </c>
      <c r="W28" s="168"/>
      <c r="X28" s="168"/>
      <c r="Y28" s="168"/>
      <c r="Z28" s="168"/>
      <c r="AA28" s="169"/>
      <c r="AB28" s="180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2"/>
      <c r="AR28" s="163"/>
      <c r="AS28" s="164"/>
      <c r="AT28" s="164"/>
      <c r="AU28" s="164"/>
      <c r="AV28" s="164"/>
      <c r="AW28" s="165"/>
      <c r="AX28" s="171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7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s="5" customFormat="1" ht="20.100000000000001" customHeight="1" x14ac:dyDescent="0.45">
      <c r="A29" s="29"/>
      <c r="B29" s="35"/>
      <c r="C29" s="29"/>
      <c r="D29" s="37">
        <v>19</v>
      </c>
      <c r="E29" s="184" t="s">
        <v>112</v>
      </c>
      <c r="F29" s="185"/>
      <c r="G29" s="185"/>
      <c r="H29" s="185"/>
      <c r="I29" s="185"/>
      <c r="J29" s="185"/>
      <c r="K29" s="185"/>
      <c r="L29" s="186"/>
      <c r="M29" s="163" t="s">
        <v>47</v>
      </c>
      <c r="N29" s="164"/>
      <c r="O29" s="164"/>
      <c r="P29" s="163" t="s">
        <v>119</v>
      </c>
      <c r="Q29" s="164"/>
      <c r="R29" s="164"/>
      <c r="S29" s="163"/>
      <c r="T29" s="164"/>
      <c r="U29" s="164"/>
      <c r="V29" s="171" t="s">
        <v>210</v>
      </c>
      <c r="W29" s="168"/>
      <c r="X29" s="168"/>
      <c r="Y29" s="168"/>
      <c r="Z29" s="168"/>
      <c r="AA29" s="169"/>
      <c r="AB29" s="180" t="s">
        <v>212</v>
      </c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2"/>
      <c r="AR29" s="163">
        <v>999999</v>
      </c>
      <c r="AS29" s="164"/>
      <c r="AT29" s="164"/>
      <c r="AU29" s="164"/>
      <c r="AV29" s="164"/>
      <c r="AW29" s="165"/>
      <c r="AX29" s="171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7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s="5" customFormat="1" ht="20.100000000000001" customHeight="1" x14ac:dyDescent="0.45">
      <c r="A30" s="29"/>
      <c r="B30" s="35"/>
      <c r="C30" s="29"/>
      <c r="D30" s="37">
        <v>20</v>
      </c>
      <c r="E30" s="184" t="s">
        <v>113</v>
      </c>
      <c r="F30" s="185"/>
      <c r="G30" s="185"/>
      <c r="H30" s="185"/>
      <c r="I30" s="185"/>
      <c r="J30" s="185"/>
      <c r="K30" s="185"/>
      <c r="L30" s="186"/>
      <c r="M30" s="163" t="s">
        <v>47</v>
      </c>
      <c r="N30" s="164"/>
      <c r="O30" s="164"/>
      <c r="P30" s="163" t="s">
        <v>119</v>
      </c>
      <c r="Q30" s="164"/>
      <c r="R30" s="164"/>
      <c r="S30" s="163"/>
      <c r="T30" s="164"/>
      <c r="U30" s="164"/>
      <c r="V30" s="171" t="s">
        <v>211</v>
      </c>
      <c r="W30" s="168"/>
      <c r="X30" s="168"/>
      <c r="Y30" s="168"/>
      <c r="Z30" s="168"/>
      <c r="AA30" s="169"/>
      <c r="AB30" s="180" t="s">
        <v>213</v>
      </c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2"/>
      <c r="AR30" s="163">
        <v>999999</v>
      </c>
      <c r="AS30" s="164"/>
      <c r="AT30" s="164"/>
      <c r="AU30" s="164"/>
      <c r="AV30" s="164"/>
      <c r="AW30" s="165"/>
      <c r="AX30" s="171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72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84" t="s">
        <v>114</v>
      </c>
      <c r="F31" s="185"/>
      <c r="G31" s="185"/>
      <c r="H31" s="185"/>
      <c r="I31" s="185"/>
      <c r="J31" s="185"/>
      <c r="K31" s="185"/>
      <c r="L31" s="186"/>
      <c r="M31" s="163" t="s">
        <v>47</v>
      </c>
      <c r="N31" s="164"/>
      <c r="O31" s="164"/>
      <c r="P31" s="163" t="s">
        <v>119</v>
      </c>
      <c r="Q31" s="164"/>
      <c r="R31" s="164"/>
      <c r="S31" s="163"/>
      <c r="T31" s="164"/>
      <c r="U31" s="164"/>
      <c r="V31" s="171" t="s">
        <v>210</v>
      </c>
      <c r="W31" s="168"/>
      <c r="X31" s="168"/>
      <c r="Y31" s="168"/>
      <c r="Z31" s="168"/>
      <c r="AA31" s="169"/>
      <c r="AB31" s="180" t="s">
        <v>214</v>
      </c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2"/>
      <c r="AR31" s="163">
        <v>999999</v>
      </c>
      <c r="AS31" s="164"/>
      <c r="AT31" s="164"/>
      <c r="AU31" s="164"/>
      <c r="AV31" s="164"/>
      <c r="AW31" s="165"/>
      <c r="AX31" s="171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72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s="5" customFormat="1" ht="20.100000000000001" customHeight="1" x14ac:dyDescent="0.45">
      <c r="A32" s="29"/>
      <c r="B32" s="35"/>
      <c r="C32" s="29"/>
      <c r="D32" s="37">
        <v>22</v>
      </c>
      <c r="E32" s="184" t="s">
        <v>115</v>
      </c>
      <c r="F32" s="185"/>
      <c r="G32" s="185"/>
      <c r="H32" s="185"/>
      <c r="I32" s="185"/>
      <c r="J32" s="185"/>
      <c r="K32" s="185"/>
      <c r="L32" s="186"/>
      <c r="M32" s="163" t="s">
        <v>47</v>
      </c>
      <c r="N32" s="164"/>
      <c r="O32" s="164"/>
      <c r="P32" s="163" t="s">
        <v>119</v>
      </c>
      <c r="Q32" s="164"/>
      <c r="R32" s="164"/>
      <c r="S32" s="163"/>
      <c r="T32" s="164"/>
      <c r="U32" s="164"/>
      <c r="V32" s="171" t="s">
        <v>211</v>
      </c>
      <c r="W32" s="168"/>
      <c r="X32" s="168"/>
      <c r="Y32" s="168"/>
      <c r="Z32" s="168"/>
      <c r="AA32" s="169"/>
      <c r="AB32" s="180" t="s">
        <v>215</v>
      </c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2"/>
      <c r="AR32" s="163">
        <v>999999</v>
      </c>
      <c r="AS32" s="164"/>
      <c r="AT32" s="164"/>
      <c r="AU32" s="164"/>
      <c r="AV32" s="164"/>
      <c r="AW32" s="165"/>
      <c r="AX32" s="171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72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s="5" customFormat="1" ht="20.100000000000001" customHeight="1" x14ac:dyDescent="0.45">
      <c r="A33" s="29"/>
      <c r="B33" s="35"/>
      <c r="C33" s="29"/>
      <c r="D33" s="37">
        <v>23</v>
      </c>
      <c r="E33" s="184" t="s">
        <v>116</v>
      </c>
      <c r="F33" s="185"/>
      <c r="G33" s="185"/>
      <c r="H33" s="185"/>
      <c r="I33" s="185"/>
      <c r="J33" s="185"/>
      <c r="K33" s="185"/>
      <c r="L33" s="186"/>
      <c r="M33" s="163" t="s">
        <v>47</v>
      </c>
      <c r="N33" s="164"/>
      <c r="O33" s="164"/>
      <c r="P33" s="163" t="s">
        <v>119</v>
      </c>
      <c r="Q33" s="164"/>
      <c r="R33" s="164"/>
      <c r="S33" s="163"/>
      <c r="T33" s="164"/>
      <c r="U33" s="164"/>
      <c r="V33" s="171" t="s">
        <v>210</v>
      </c>
      <c r="W33" s="168"/>
      <c r="X33" s="168"/>
      <c r="Y33" s="168"/>
      <c r="Z33" s="168"/>
      <c r="AA33" s="169"/>
      <c r="AB33" s="180" t="s">
        <v>177</v>
      </c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2"/>
      <c r="AR33" s="190">
        <v>1</v>
      </c>
      <c r="AS33" s="191"/>
      <c r="AT33" s="191"/>
      <c r="AU33" s="191"/>
      <c r="AV33" s="191"/>
      <c r="AW33" s="192"/>
      <c r="AX33" s="171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72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20.100000000000001" customHeight="1" thickBot="1" x14ac:dyDescent="0.5">
      <c r="A34" s="29"/>
      <c r="B34" s="44"/>
      <c r="C34" s="29"/>
      <c r="D34" s="37">
        <v>24</v>
      </c>
      <c r="E34" s="184" t="s">
        <v>117</v>
      </c>
      <c r="F34" s="185"/>
      <c r="G34" s="185"/>
      <c r="H34" s="185"/>
      <c r="I34" s="185"/>
      <c r="J34" s="185"/>
      <c r="K34" s="185"/>
      <c r="L34" s="186"/>
      <c r="M34" s="163" t="s">
        <v>47</v>
      </c>
      <c r="N34" s="164"/>
      <c r="O34" s="164"/>
      <c r="P34" s="163" t="s">
        <v>119</v>
      </c>
      <c r="Q34" s="164"/>
      <c r="R34" s="164"/>
      <c r="S34" s="163"/>
      <c r="T34" s="164"/>
      <c r="U34" s="164"/>
      <c r="V34" s="171" t="s">
        <v>211</v>
      </c>
      <c r="W34" s="168"/>
      <c r="X34" s="168"/>
      <c r="Y34" s="168"/>
      <c r="Z34" s="168"/>
      <c r="AA34" s="169"/>
      <c r="AB34" s="180" t="s">
        <v>178</v>
      </c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2"/>
      <c r="AR34" s="190">
        <v>1</v>
      </c>
      <c r="AS34" s="191"/>
      <c r="AT34" s="191"/>
      <c r="AU34" s="191"/>
      <c r="AV34" s="191"/>
      <c r="AW34" s="192"/>
      <c r="AX34" s="171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72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Top="1" thickBot="1" x14ac:dyDescent="0.5">
      <c r="A35" s="29"/>
      <c r="B35" s="40"/>
      <c r="C3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46"/>
      <c r="BR35" s="46"/>
      <c r="BS35" s="46"/>
      <c r="BT35" s="46"/>
      <c r="BU35" s="28"/>
    </row>
    <row r="36" spans="1:85" ht="20.100000000000001" customHeight="1" thickTop="1" x14ac:dyDescent="0.45">
      <c r="A36" s="29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33"/>
      <c r="BD36" s="33"/>
      <c r="BE36" s="33"/>
      <c r="BF36" s="33"/>
      <c r="BG36" s="33"/>
      <c r="BH36" s="33"/>
      <c r="BI36" s="42"/>
      <c r="BJ36" s="42"/>
      <c r="BK36" s="42"/>
      <c r="BL36" s="42"/>
      <c r="BM36" s="42"/>
      <c r="BN36" s="42"/>
      <c r="BO36" s="42"/>
      <c r="BP36" s="41"/>
    </row>
    <row r="37" spans="1:85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3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A53" s="29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</sheetData>
  <mergeCells count="220"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3:L33"/>
    <mergeCell ref="M33:O33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1:L31"/>
    <mergeCell ref="M31:O31"/>
    <mergeCell ref="V29:AA29"/>
    <mergeCell ref="AB29:AQ29"/>
    <mergeCell ref="AR29:AW29"/>
    <mergeCell ref="AX29:BT29"/>
    <mergeCell ref="E30:L30"/>
    <mergeCell ref="M30:O30"/>
    <mergeCell ref="P30:R30"/>
    <mergeCell ref="S30:U30"/>
    <mergeCell ref="V30:AA30"/>
    <mergeCell ref="AB30:AQ30"/>
    <mergeCell ref="AR30:AW30"/>
    <mergeCell ref="AX30:BT30"/>
    <mergeCell ref="E29:L29"/>
    <mergeCell ref="M29:O29"/>
    <mergeCell ref="M26:O26"/>
    <mergeCell ref="M27:O27"/>
    <mergeCell ref="M28:O28"/>
    <mergeCell ref="E23:L23"/>
    <mergeCell ref="E26:L26"/>
    <mergeCell ref="E27:L27"/>
    <mergeCell ref="E28:L28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S11:U11"/>
    <mergeCell ref="S12:U12"/>
    <mergeCell ref="S13:U13"/>
    <mergeCell ref="S14:U14"/>
    <mergeCell ref="S15:U15"/>
    <mergeCell ref="S16:U16"/>
    <mergeCell ref="S17:U17"/>
    <mergeCell ref="S18:U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P29:R29"/>
    <mergeCell ref="S29:U29"/>
    <mergeCell ref="P31:R31"/>
    <mergeCell ref="S31:U31"/>
    <mergeCell ref="AX10:BT10"/>
    <mergeCell ref="AX11:BT11"/>
    <mergeCell ref="AX12:BT12"/>
    <mergeCell ref="AX13:BT13"/>
    <mergeCell ref="AX14:BT14"/>
    <mergeCell ref="S10:U10"/>
    <mergeCell ref="S24:U24"/>
    <mergeCell ref="S25:U25"/>
    <mergeCell ref="S26:U26"/>
    <mergeCell ref="S27:U27"/>
    <mergeCell ref="S28:U28"/>
    <mergeCell ref="V10:AA1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4:AQ24"/>
    <mergeCell ref="AB25:AQ25"/>
    <mergeCell ref="AB26:AQ26"/>
    <mergeCell ref="AB27:AQ27"/>
    <mergeCell ref="AB28:AQ28"/>
    <mergeCell ref="AB19:AQ19"/>
    <mergeCell ref="AB20:AQ20"/>
    <mergeCell ref="AB21:AQ21"/>
    <mergeCell ref="AB22:AQ22"/>
    <mergeCell ref="AB23:AQ23"/>
    <mergeCell ref="AX25:BT25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R27:AW27"/>
    <mergeCell ref="AR28:AW28"/>
    <mergeCell ref="AX26:BT26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47"/>
  <sheetViews>
    <sheetView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2" t="s">
        <v>0</v>
      </c>
      <c r="C2" s="197"/>
      <c r="D2" s="197"/>
      <c r="E2" s="197"/>
      <c r="F2" s="197"/>
      <c r="G2" s="197"/>
      <c r="H2" s="197" t="s">
        <v>17</v>
      </c>
      <c r="I2" s="197"/>
      <c r="J2" s="197"/>
      <c r="K2" s="197"/>
      <c r="L2" s="139" t="s">
        <v>228</v>
      </c>
      <c r="M2" s="139"/>
      <c r="N2" s="139"/>
      <c r="O2" s="139"/>
      <c r="P2" s="139"/>
      <c r="Q2" s="139"/>
      <c r="R2" s="197" t="s">
        <v>2</v>
      </c>
      <c r="S2" s="197"/>
      <c r="T2" s="197"/>
      <c r="U2" s="197"/>
      <c r="V2" s="197"/>
      <c r="W2" s="197"/>
      <c r="X2" s="203" t="s">
        <v>3</v>
      </c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5"/>
      <c r="AK2" s="203" t="s">
        <v>32</v>
      </c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197" t="s">
        <v>5</v>
      </c>
      <c r="AY2" s="197"/>
      <c r="AZ2" s="197"/>
      <c r="BA2" s="197"/>
      <c r="BB2" s="197" t="s">
        <v>4</v>
      </c>
      <c r="BC2" s="197"/>
      <c r="BD2" s="197"/>
      <c r="BE2" s="197"/>
      <c r="BF2" s="197" t="s">
        <v>6</v>
      </c>
      <c r="BG2" s="197"/>
      <c r="BH2" s="197"/>
      <c r="BI2" s="197"/>
      <c r="BJ2" s="197" t="s">
        <v>7</v>
      </c>
      <c r="BK2" s="197"/>
      <c r="BL2" s="197"/>
      <c r="BM2" s="198"/>
    </row>
    <row r="3" spans="2:65" ht="20.100000000000001" customHeight="1" x14ac:dyDescent="0.45">
      <c r="B3" s="20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SS0500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8" t="str">
        <f ca="1">変更履歴!X3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変更履歴!AK3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f>変更履歴!AX3</f>
        <v>45583</v>
      </c>
      <c r="AY3" s="155"/>
      <c r="AZ3" s="155"/>
      <c r="BA3" s="155"/>
      <c r="BB3" s="144" t="str">
        <f>変更履歴!BB3</f>
        <v>大谷</v>
      </c>
      <c r="BC3" s="144"/>
      <c r="BD3" s="144"/>
      <c r="BE3" s="144"/>
      <c r="BF3" s="155">
        <f>変更履歴!BF3</f>
        <v>45583</v>
      </c>
      <c r="BG3" s="155"/>
      <c r="BH3" s="155"/>
      <c r="BI3" s="155"/>
      <c r="BJ3" s="144" t="str">
        <f>変更履歴!BJ3</f>
        <v>大谷</v>
      </c>
      <c r="BK3" s="144"/>
      <c r="BL3" s="144"/>
      <c r="BM3" s="195"/>
    </row>
    <row r="4" spans="2:65" ht="20.100000000000001" customHeight="1" thickBot="1" x14ac:dyDescent="0.5">
      <c r="B4" s="207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193"/>
      <c r="AY4" s="193"/>
      <c r="AZ4" s="193"/>
      <c r="BA4" s="193"/>
      <c r="BB4" s="194"/>
      <c r="BC4" s="194"/>
      <c r="BD4" s="194"/>
      <c r="BE4" s="194"/>
      <c r="BF4" s="193"/>
      <c r="BG4" s="193"/>
      <c r="BH4" s="193"/>
      <c r="BI4" s="193"/>
      <c r="BJ4" s="194"/>
      <c r="BK4" s="194"/>
      <c r="BL4" s="194"/>
      <c r="BM4" s="196"/>
    </row>
    <row r="5" spans="2:65" ht="5.0999999999999996" customHeight="1" thickBot="1" x14ac:dyDescent="0.5"/>
    <row r="6" spans="2:65" ht="20.100000000000001" customHeight="1" x14ac:dyDescent="0.45">
      <c r="B6" s="89" t="s">
        <v>172</v>
      </c>
      <c r="C6" s="90"/>
      <c r="D6" s="90"/>
      <c r="E6" s="90"/>
      <c r="F6" s="90"/>
      <c r="G6" s="91"/>
      <c r="H6" s="92" t="s">
        <v>84</v>
      </c>
      <c r="I6" s="90"/>
      <c r="J6" s="120" t="s">
        <v>139</v>
      </c>
      <c r="K6" s="121"/>
      <c r="L6" s="121"/>
      <c r="M6" s="121"/>
      <c r="N6" s="121"/>
      <c r="O6" s="121"/>
      <c r="P6" s="121"/>
      <c r="Q6" s="122"/>
      <c r="R6" s="121" t="s">
        <v>140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141</v>
      </c>
      <c r="K7" s="52"/>
      <c r="L7" s="52"/>
      <c r="M7" s="52"/>
      <c r="N7" s="52"/>
      <c r="O7" s="52"/>
      <c r="P7" s="52"/>
      <c r="Q7" s="125"/>
      <c r="R7" s="52" t="s">
        <v>142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143</v>
      </c>
      <c r="K8" s="52"/>
      <c r="L8" s="52"/>
      <c r="M8" s="52"/>
      <c r="N8" s="52"/>
      <c r="O8" s="52"/>
      <c r="P8" s="52"/>
      <c r="Q8" s="125"/>
      <c r="R8" s="52" t="s">
        <v>144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145</v>
      </c>
      <c r="K9" s="52"/>
      <c r="L9" s="52"/>
      <c r="M9" s="52"/>
      <c r="N9" s="52"/>
      <c r="O9" s="52"/>
      <c r="P9" s="52"/>
      <c r="Q9" s="125"/>
      <c r="R9" s="52" t="s">
        <v>146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147</v>
      </c>
      <c r="K10" s="52"/>
      <c r="L10" s="52"/>
      <c r="M10" s="52"/>
      <c r="N10" s="52"/>
      <c r="O10" s="52"/>
      <c r="P10" s="52"/>
      <c r="Q10" s="125"/>
      <c r="R10" s="52" t="s">
        <v>148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149</v>
      </c>
      <c r="K11" s="52"/>
      <c r="L11" s="52"/>
      <c r="M11" s="52"/>
      <c r="N11" s="52"/>
      <c r="O11" s="52"/>
      <c r="P11" s="52"/>
      <c r="Q11" s="125"/>
      <c r="R11" s="52" t="s">
        <v>150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151</v>
      </c>
      <c r="K12" s="52"/>
      <c r="L12" s="52"/>
      <c r="M12" s="52"/>
      <c r="N12" s="52"/>
      <c r="O12" s="52"/>
      <c r="P12" s="52"/>
      <c r="Q12" s="125"/>
      <c r="R12" s="52" t="s">
        <v>152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153</v>
      </c>
      <c r="K13" s="52"/>
      <c r="L13" s="52"/>
      <c r="M13" s="52"/>
      <c r="N13" s="52"/>
      <c r="O13" s="52"/>
      <c r="P13" s="52"/>
      <c r="Q13" s="125"/>
      <c r="R13" s="52" t="s">
        <v>154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155</v>
      </c>
      <c r="K14" s="52"/>
      <c r="L14" s="52"/>
      <c r="M14" s="52"/>
      <c r="N14" s="52"/>
      <c r="O14" s="52"/>
      <c r="P14" s="52"/>
      <c r="Q14" s="125"/>
      <c r="R14" s="52" t="s">
        <v>156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97"/>
      <c r="I15" s="31"/>
      <c r="J15" s="124" t="s">
        <v>157</v>
      </c>
      <c r="K15" s="52"/>
      <c r="L15" s="52"/>
      <c r="M15" s="52"/>
      <c r="N15" s="52"/>
      <c r="O15" s="52"/>
      <c r="P15" s="52"/>
      <c r="Q15" s="125"/>
      <c r="R15" s="52" t="s">
        <v>158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159</v>
      </c>
      <c r="K16" s="52"/>
      <c r="L16" s="52"/>
      <c r="M16" s="52"/>
      <c r="N16" s="52"/>
      <c r="O16" s="52"/>
      <c r="P16" s="52"/>
      <c r="Q16" s="125"/>
      <c r="R16" s="52" t="s">
        <v>160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97"/>
      <c r="I17" s="31"/>
      <c r="J17" s="124" t="s">
        <v>161</v>
      </c>
      <c r="K17" s="52"/>
      <c r="L17" s="52"/>
      <c r="M17" s="52"/>
      <c r="N17" s="52"/>
      <c r="O17" s="52"/>
      <c r="P17" s="52"/>
      <c r="Q17" s="125"/>
      <c r="R17" s="52" t="s">
        <v>162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24" t="s">
        <v>163</v>
      </c>
      <c r="K18" s="52"/>
      <c r="L18" s="52"/>
      <c r="M18" s="52"/>
      <c r="N18" s="52"/>
      <c r="O18" s="52"/>
      <c r="P18" s="52"/>
      <c r="Q18" s="125"/>
      <c r="R18" s="52" t="s">
        <v>164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165</v>
      </c>
      <c r="K19" s="52"/>
      <c r="L19" s="52"/>
      <c r="M19" s="52"/>
      <c r="N19" s="52"/>
      <c r="O19" s="52"/>
      <c r="P19" s="52"/>
      <c r="Q19" s="125"/>
      <c r="R19" s="52" t="s">
        <v>166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100" t="s">
        <v>53</v>
      </c>
      <c r="I20" s="55"/>
      <c r="J20" s="100" t="s">
        <v>167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101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02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100" t="s">
        <v>54</v>
      </c>
      <c r="I21" s="55"/>
      <c r="J21" s="100" t="s">
        <v>168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101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102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 t="s">
        <v>169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27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131" t="s">
        <v>55</v>
      </c>
      <c r="I23" s="132"/>
      <c r="J23" s="131" t="s">
        <v>175</v>
      </c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4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6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131"/>
      <c r="I24" s="132"/>
      <c r="J24" s="131"/>
      <c r="K24" s="132" t="s">
        <v>176</v>
      </c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1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3"/>
    </row>
    <row r="25" spans="2:61" ht="20.100000000000001" customHeight="1" thickBot="1" x14ac:dyDescent="0.5">
      <c r="B25" s="95"/>
      <c r="C25" s="31"/>
      <c r="D25" s="31"/>
      <c r="E25" s="31"/>
      <c r="F25" s="31"/>
      <c r="G25" s="96"/>
      <c r="H25" s="128" t="s">
        <v>170</v>
      </c>
      <c r="I25" s="129"/>
      <c r="J25" s="128" t="s">
        <v>171</v>
      </c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8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30"/>
    </row>
    <row r="26" spans="2:61" ht="20.100000000000001" customHeight="1" x14ac:dyDescent="0.45">
      <c r="B26" s="89" t="s">
        <v>181</v>
      </c>
      <c r="C26" s="90"/>
      <c r="D26" s="90"/>
      <c r="E26" s="90"/>
      <c r="F26" s="90"/>
      <c r="G26" s="91"/>
      <c r="H26" s="92" t="s">
        <v>84</v>
      </c>
      <c r="I26" s="90"/>
      <c r="J26" s="120" t="s">
        <v>185</v>
      </c>
      <c r="K26" s="121"/>
      <c r="L26" s="121"/>
      <c r="M26" s="121"/>
      <c r="N26" s="121"/>
      <c r="O26" s="121"/>
      <c r="P26" s="121"/>
      <c r="Q26" s="122"/>
      <c r="R26" s="121" t="s">
        <v>196</v>
      </c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2"/>
      <c r="AK26" s="93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4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97"/>
      <c r="I27" s="31"/>
      <c r="J27" s="124" t="s">
        <v>186</v>
      </c>
      <c r="K27" s="52"/>
      <c r="L27" s="52"/>
      <c r="M27" s="52"/>
      <c r="N27" s="52"/>
      <c r="O27" s="52"/>
      <c r="P27" s="52"/>
      <c r="Q27" s="125"/>
      <c r="R27" s="52" t="s">
        <v>197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97"/>
      <c r="I28" s="31"/>
      <c r="J28" s="124" t="s">
        <v>187</v>
      </c>
      <c r="K28" s="52"/>
      <c r="L28" s="52"/>
      <c r="M28" s="52"/>
      <c r="N28" s="52"/>
      <c r="O28" s="52"/>
      <c r="P28" s="52"/>
      <c r="Q28" s="125"/>
      <c r="R28" s="52" t="s">
        <v>198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97"/>
      <c r="I29" s="31"/>
      <c r="J29" s="124" t="s">
        <v>188</v>
      </c>
      <c r="K29" s="52"/>
      <c r="L29" s="52"/>
      <c r="M29" s="52"/>
      <c r="N29" s="52"/>
      <c r="O29" s="52"/>
      <c r="P29" s="52"/>
      <c r="Q29" s="125"/>
      <c r="R29" s="52" t="s">
        <v>183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189</v>
      </c>
      <c r="K30" s="52"/>
      <c r="L30" s="52"/>
      <c r="M30" s="52"/>
      <c r="N30" s="52"/>
      <c r="O30" s="52"/>
      <c r="P30" s="52"/>
      <c r="Q30" s="125"/>
      <c r="R30" s="52" t="s">
        <v>184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100" t="s">
        <v>190</v>
      </c>
      <c r="I31" s="55"/>
      <c r="J31" s="100" t="s">
        <v>191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01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02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100" t="s">
        <v>192</v>
      </c>
      <c r="I32" s="55"/>
      <c r="J32" s="100" t="s">
        <v>193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101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102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 t="s">
        <v>199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96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/>
      <c r="K34" s="31" t="s">
        <v>202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96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L35" s="31" t="s">
        <v>201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96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95"/>
      <c r="C36" s="31"/>
      <c r="D36" s="31"/>
      <c r="E36" s="31"/>
      <c r="F36" s="31"/>
      <c r="G36" s="96"/>
      <c r="H36" s="97"/>
      <c r="I36" s="31"/>
      <c r="J36" s="97"/>
      <c r="L36" s="31" t="s">
        <v>203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96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95"/>
      <c r="C37" s="31"/>
      <c r="D37" s="31"/>
      <c r="E37" s="31"/>
      <c r="F37" s="31"/>
      <c r="G37" s="96"/>
      <c r="H37" s="97"/>
      <c r="I37" s="31"/>
      <c r="J37" s="97"/>
      <c r="L37" s="31" t="s">
        <v>204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96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97"/>
      <c r="I38" s="31"/>
      <c r="J38" s="97"/>
      <c r="K38" s="31" t="s">
        <v>200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96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 t="s">
        <v>194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96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/>
      <c r="K40" s="31" t="s">
        <v>199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96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97"/>
      <c r="I41" s="31"/>
      <c r="J41" s="97"/>
      <c r="K41" s="31" t="s">
        <v>206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96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/>
      <c r="K42" s="31"/>
      <c r="L42" s="31" t="s">
        <v>207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96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/>
      <c r="K43" s="31"/>
      <c r="L43" s="31" t="s">
        <v>208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96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/>
      <c r="K44" s="31"/>
      <c r="L44" s="31" t="s">
        <v>209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96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103"/>
      <c r="I45" s="104"/>
      <c r="J45" s="103"/>
      <c r="K45" s="104" t="s">
        <v>205</v>
      </c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27"/>
      <c r="AK45" s="105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thickBot="1" x14ac:dyDescent="0.5">
      <c r="B46" s="95"/>
      <c r="C46" s="31"/>
      <c r="D46" s="31"/>
      <c r="E46" s="31"/>
      <c r="F46" s="31"/>
      <c r="G46" s="96"/>
      <c r="H46" s="128" t="s">
        <v>170</v>
      </c>
      <c r="I46" s="129"/>
      <c r="J46" s="128" t="s">
        <v>195</v>
      </c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8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30"/>
    </row>
    <row r="47" spans="2:61" ht="5.0999999999999996" customHeight="1" x14ac:dyDescent="0.45"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2" t="s">
        <v>0</v>
      </c>
      <c r="C2" s="197"/>
      <c r="D2" s="197"/>
      <c r="E2" s="197"/>
      <c r="F2" s="197"/>
      <c r="G2" s="197"/>
      <c r="H2" s="197" t="s">
        <v>17</v>
      </c>
      <c r="I2" s="197"/>
      <c r="J2" s="197"/>
      <c r="K2" s="197"/>
      <c r="L2" s="197" t="s">
        <v>1</v>
      </c>
      <c r="M2" s="197"/>
      <c r="N2" s="197"/>
      <c r="O2" s="197"/>
      <c r="P2" s="197"/>
      <c r="Q2" s="197"/>
      <c r="R2" s="197" t="s">
        <v>2</v>
      </c>
      <c r="S2" s="197"/>
      <c r="T2" s="197"/>
      <c r="U2" s="197"/>
      <c r="V2" s="197"/>
      <c r="W2" s="197"/>
      <c r="X2" s="203" t="s">
        <v>3</v>
      </c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5"/>
      <c r="AK2" s="203" t="s">
        <v>32</v>
      </c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197" t="s">
        <v>5</v>
      </c>
      <c r="AY2" s="197"/>
      <c r="AZ2" s="197"/>
      <c r="BA2" s="197"/>
      <c r="BB2" s="197" t="s">
        <v>4</v>
      </c>
      <c r="BC2" s="197"/>
      <c r="BD2" s="197"/>
      <c r="BE2" s="197"/>
      <c r="BF2" s="197" t="s">
        <v>6</v>
      </c>
      <c r="BG2" s="197"/>
      <c r="BH2" s="197"/>
      <c r="BI2" s="197"/>
      <c r="BJ2" s="197" t="s">
        <v>7</v>
      </c>
      <c r="BK2" s="197"/>
      <c r="BL2" s="197"/>
      <c r="BM2" s="198"/>
    </row>
    <row r="3" spans="2:65" ht="20.100000000000001" customHeight="1" x14ac:dyDescent="0.45">
      <c r="B3" s="206" t="str">
        <f>変更履歴!B3</f>
        <v>受発注システム</v>
      </c>
      <c r="C3" s="144"/>
      <c r="D3" s="144"/>
      <c r="E3" s="144"/>
      <c r="F3" s="144"/>
      <c r="G3" s="144"/>
      <c r="H3" s="144" t="str">
        <f ca="1">変更履歴!H3</f>
        <v>SS0500</v>
      </c>
      <c r="I3" s="144"/>
      <c r="J3" s="144"/>
      <c r="K3" s="144"/>
      <c r="L3" s="144" t="str">
        <f>変更履歴!L3</f>
        <v>受発注</v>
      </c>
      <c r="M3" s="144"/>
      <c r="N3" s="144"/>
      <c r="O3" s="144"/>
      <c r="P3" s="144"/>
      <c r="Q3" s="144"/>
      <c r="R3" s="144" t="str">
        <f ca="1">変更履歴!R3</f>
        <v>帳票設計書</v>
      </c>
      <c r="S3" s="144"/>
      <c r="T3" s="144"/>
      <c r="U3" s="144"/>
      <c r="V3" s="144"/>
      <c r="W3" s="144"/>
      <c r="X3" s="148" t="str">
        <f ca="1">変更履歴!X3</f>
        <v>SS0500_支払日計表_帳票設計書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5"/>
      <c r="AK3" s="148" t="str">
        <f ca="1">変更履歴!AK3</f>
        <v>支払日計表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5"/>
      <c r="AX3" s="155">
        <f>変更履歴!AX3</f>
        <v>45583</v>
      </c>
      <c r="AY3" s="155"/>
      <c r="AZ3" s="155"/>
      <c r="BA3" s="155"/>
      <c r="BB3" s="144" t="str">
        <f>変更履歴!BB3</f>
        <v>大谷</v>
      </c>
      <c r="BC3" s="144"/>
      <c r="BD3" s="144"/>
      <c r="BE3" s="144"/>
      <c r="BF3" s="155">
        <f>変更履歴!BF3</f>
        <v>45583</v>
      </c>
      <c r="BG3" s="155"/>
      <c r="BH3" s="155"/>
      <c r="BI3" s="155"/>
      <c r="BJ3" s="144" t="str">
        <f>変更履歴!BJ3</f>
        <v>大谷</v>
      </c>
      <c r="BK3" s="144"/>
      <c r="BL3" s="144"/>
      <c r="BM3" s="195"/>
    </row>
    <row r="4" spans="2:65" ht="20.100000000000001" customHeight="1" thickBot="1" x14ac:dyDescent="0.5">
      <c r="B4" s="207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9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1"/>
      <c r="AK4" s="199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1"/>
      <c r="AX4" s="193"/>
      <c r="AY4" s="193"/>
      <c r="AZ4" s="193"/>
      <c r="BA4" s="193"/>
      <c r="BB4" s="194"/>
      <c r="BC4" s="194"/>
      <c r="BD4" s="194"/>
      <c r="BE4" s="194"/>
      <c r="BF4" s="193"/>
      <c r="BG4" s="193"/>
      <c r="BH4" s="193"/>
      <c r="BI4" s="193"/>
      <c r="BJ4" s="194"/>
      <c r="BK4" s="194"/>
      <c r="BL4" s="194"/>
      <c r="BM4" s="196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30" style="29" bestFit="1" customWidth="1"/>
    <col min="6" max="6" width="30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7" t="s">
        <v>223</v>
      </c>
      <c r="G3" s="78" t="s">
        <v>51</v>
      </c>
    </row>
    <row r="4" spans="2:7" x14ac:dyDescent="0.45">
      <c r="B4" s="37">
        <v>1</v>
      </c>
      <c r="C4" s="79" t="s">
        <v>216</v>
      </c>
      <c r="D4" s="79" t="s">
        <v>219</v>
      </c>
      <c r="E4" s="80" t="s">
        <v>217</v>
      </c>
      <c r="F4" s="80" t="s">
        <v>225</v>
      </c>
      <c r="G4" s="81" t="s">
        <v>224</v>
      </c>
    </row>
    <row r="5" spans="2:7" x14ac:dyDescent="0.45">
      <c r="B5" s="37">
        <v>2</v>
      </c>
      <c r="C5" s="79" t="s">
        <v>216</v>
      </c>
      <c r="D5" s="79" t="s">
        <v>218</v>
      </c>
      <c r="E5" s="80" t="s">
        <v>217</v>
      </c>
      <c r="F5" s="80" t="s">
        <v>225</v>
      </c>
      <c r="G5" s="81" t="s">
        <v>224</v>
      </c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2025-05-24T05:32:01Z</dcterms:modified>
</cp:coreProperties>
</file>