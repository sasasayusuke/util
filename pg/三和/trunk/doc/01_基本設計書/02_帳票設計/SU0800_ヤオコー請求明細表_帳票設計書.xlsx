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20" r:id="rId5"/>
    <sheet name="処理詳細_書き方" sheetId="21" state="hidden" r:id="rId6"/>
    <sheet name="確認事項" sheetId="15" r:id="rId7"/>
    <sheet name="別紙_テンプレート" sheetId="16" r:id="rId8"/>
    <sheet name="別紙_印刷レイアウト" sheetId="22" r:id="rId9"/>
    <sheet name="参照" sheetId="12" state="hidden" r:id="rId10"/>
  </sheets>
  <definedNames>
    <definedName name="CoreCells">別紙_テンプレート!$1:$76</definedName>
    <definedName name="_xlnm.Print_Area" localSheetId="1">概要!$A$1:$BN$31</definedName>
    <definedName name="_xlnm.Print_Area" localSheetId="3">項目一覧!$A$1:$BX$58</definedName>
    <definedName name="_xlnm.Print_Area" localSheetId="4">処理詳細!$A$1:$BR$44</definedName>
    <definedName name="_xlnm.Print_Area" localSheetId="5">処理詳細_書き方!$A$1:$BR$33</definedName>
    <definedName name="_xlnm.Print_Area" localSheetId="2">帳票レイアウト!$A$1:$BN$68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  <definedName name="作成日">別紙_テンプレート!$P$7</definedName>
    <definedName name="請求月">別紙_テンプレート!$D$4</definedName>
    <definedName name="請求年">別紙_テンプレート!$D$3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1" l="1"/>
  <c r="BF3" i="21"/>
  <c r="BB3" i="21"/>
  <c r="AX3" i="21"/>
  <c r="L3" i="21"/>
  <c r="B3" i="21"/>
  <c r="BJ3" i="20"/>
  <c r="BF3" i="20"/>
  <c r="BB3" i="20"/>
  <c r="AX3" i="20"/>
  <c r="L3" i="20"/>
  <c r="B3" i="20"/>
  <c r="O71" i="16" l="1"/>
  <c r="N71" i="16"/>
  <c r="L71" i="16" s="1"/>
  <c r="J74" i="16" s="1"/>
  <c r="M71" i="16"/>
  <c r="L68" i="16"/>
  <c r="L65" i="16"/>
  <c r="L62" i="16"/>
  <c r="L59" i="16"/>
  <c r="L56" i="16"/>
  <c r="L53" i="16"/>
  <c r="L50" i="16"/>
  <c r="L47" i="16"/>
  <c r="L44" i="16"/>
  <c r="L41" i="16"/>
  <c r="L38" i="16"/>
  <c r="L35" i="16"/>
  <c r="L32" i="16"/>
  <c r="L29" i="16"/>
  <c r="L26" i="16"/>
  <c r="L23" i="16"/>
  <c r="L20" i="16"/>
  <c r="L17" i="16"/>
  <c r="L14" i="16"/>
  <c r="L11" i="16"/>
  <c r="BJ3" i="14" l="1"/>
  <c r="BF3" i="14"/>
  <c r="BB3" i="14"/>
  <c r="AX3" i="14"/>
  <c r="L3" i="14"/>
  <c r="B3" i="14"/>
  <c r="X3" i="1" l="1"/>
  <c r="X3" i="20" l="1"/>
  <c r="X3" i="21"/>
  <c r="X3" i="14"/>
  <c r="H3" i="1"/>
  <c r="R3" i="1"/>
  <c r="AK3" i="1"/>
  <c r="AK3" i="20" l="1"/>
  <c r="AK3" i="21"/>
  <c r="R3" i="20"/>
  <c r="R3" i="21"/>
  <c r="H3" i="20"/>
  <c r="H3" i="21"/>
  <c r="R3" i="14"/>
  <c r="H3" i="14"/>
  <c r="AK3" i="14"/>
  <c r="H7" i="14" s="1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<sst xmlns="http://schemas.openxmlformats.org/spreadsheetml/2006/main" count="406" uniqueCount="257">
  <si>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</si>
  <si>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</si>
  <si>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</si>
  <si>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</si>
  <si>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</si>
  <si>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</si>
  <si>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</si>
  <si>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</si>
  <si>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</si>
  <si>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</si>
  <si>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</si>
  <si>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</si>
  <si>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</si>
  <si>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</si>
  <si>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</si>
  <si>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</si>
  <si>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</si>
  <si>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</si>
  <si>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</si>
  <si>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</si>
  <si>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</si>
  <si>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</si>
  <si>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</si>
  <si>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</si>
  <si>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</si>
  <si>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</si>
  <si>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</si>
  <si>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</si>
  <si>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</si>
  <si>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</si>
  <si>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</si>
  <si>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</si>
  <si>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</si>
  <si>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</si>
  <si>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</si>
  <si>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</si>
  <si>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</si>
  <si>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</si>
  <si>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</si>
  <si>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</si>
  <si>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</si>
  <si>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</si>
  <si>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</si>
  <si>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</si>
  <si>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</si>
  <si>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</si>
  <si>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</si>
  <si>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</si>
  <si>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</si>
  <si>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</si>
  <si>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</si>
  <si>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</si>
  <si>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</si>
  <si>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Temp_YK請求明細表</t>
  </si>
  <si>
    <t>Excel</t>
    <phoneticPr fontId="2"/>
  </si>
  <si>
    <t>xlsx</t>
    <phoneticPr fontId="2"/>
  </si>
  <si>
    <t>-</t>
    <phoneticPr fontId="2"/>
  </si>
  <si>
    <t>請求年</t>
    <rPh sb="0" eb="2">
      <t>セイキュウ</t>
    </rPh>
    <rPh sb="2" eb="3">
      <t>ネン</t>
    </rPh>
    <phoneticPr fontId="1"/>
  </si>
  <si>
    <t>請求月</t>
    <rPh sb="0" eb="2">
      <t>セイキュウ</t>
    </rPh>
    <rPh sb="2" eb="3">
      <t>ツキ</t>
    </rPh>
    <phoneticPr fontId="1"/>
  </si>
  <si>
    <t>作成日</t>
    <rPh sb="0" eb="3">
      <t>サクセイビ</t>
    </rPh>
    <phoneticPr fontId="1"/>
  </si>
  <si>
    <t>作業報告書No.</t>
    <rPh sb="0" eb="2">
      <t>サギョウ</t>
    </rPh>
    <rPh sb="2" eb="5">
      <t>ホウコクショ</t>
    </rPh>
    <phoneticPr fontId="1"/>
  </si>
  <si>
    <t>店番</t>
    <rPh sb="0" eb="2">
      <t>テンバン</t>
    </rPh>
    <phoneticPr fontId="1"/>
  </si>
  <si>
    <t>店名</t>
    <rPh sb="0" eb="2">
      <t>テンメイ</t>
    </rPh>
    <phoneticPr fontId="1"/>
  </si>
  <si>
    <t>受付日</t>
    <rPh sb="0" eb="3">
      <t>ウケツケビ</t>
    </rPh>
    <phoneticPr fontId="1"/>
  </si>
  <si>
    <t>完工日</t>
    <rPh sb="0" eb="2">
      <t>カンコウ</t>
    </rPh>
    <rPh sb="2" eb="3">
      <t>ビ</t>
    </rPh>
    <phoneticPr fontId="1"/>
  </si>
  <si>
    <t>ヤオコー担当</t>
    <rPh sb="4" eb="6">
      <t>タントウ</t>
    </rPh>
    <phoneticPr fontId="1"/>
  </si>
  <si>
    <t>20日予測金額</t>
    <rPh sb="2" eb="3">
      <t>ニチ</t>
    </rPh>
    <rPh sb="3" eb="5">
      <t>ヨソク</t>
    </rPh>
    <rPh sb="5" eb="7">
      <t>キンガク</t>
    </rPh>
    <phoneticPr fontId="1"/>
  </si>
  <si>
    <t>月末請求金額</t>
    <rPh sb="0" eb="2">
      <t>ゲツマツ</t>
    </rPh>
    <rPh sb="2" eb="4">
      <t>セイキュウ</t>
    </rPh>
    <rPh sb="4" eb="6">
      <t>キンガク</t>
    </rPh>
    <phoneticPr fontId="1"/>
  </si>
  <si>
    <t>システム</t>
    <phoneticPr fontId="1"/>
  </si>
  <si>
    <t>リース</t>
    <phoneticPr fontId="1"/>
  </si>
  <si>
    <t>伝票</t>
    <rPh sb="0" eb="2">
      <t>デンピョウ</t>
    </rPh>
    <phoneticPr fontId="1"/>
  </si>
  <si>
    <t>作業内容</t>
    <rPh sb="0" eb="2">
      <t>サギョウ</t>
    </rPh>
    <rPh sb="2" eb="4">
      <t>ナイヨウ</t>
    </rPh>
    <phoneticPr fontId="1"/>
  </si>
  <si>
    <t>ヤオコー記入_確認</t>
    <rPh sb="4" eb="6">
      <t>キニュウ</t>
    </rPh>
    <rPh sb="7" eb="9">
      <t>カクニン</t>
    </rPh>
    <phoneticPr fontId="1"/>
  </si>
  <si>
    <t>ヤオコー記入_科目</t>
    <rPh sb="4" eb="6">
      <t>キニュウ</t>
    </rPh>
    <rPh sb="7" eb="9">
      <t>カモク</t>
    </rPh>
    <phoneticPr fontId="1"/>
  </si>
  <si>
    <t>画面.発行日付</t>
    <rPh sb="0" eb="2">
      <t>ガメン</t>
    </rPh>
    <rPh sb="3" eb="5">
      <t>ハッコウ</t>
    </rPh>
    <rPh sb="5" eb="7">
      <t>ヒヅケ</t>
    </rPh>
    <phoneticPr fontId="1"/>
  </si>
  <si>
    <t>画面.請求期間To</t>
    <rPh sb="0" eb="2">
      <t>ガメン</t>
    </rPh>
    <rPh sb="3" eb="5">
      <t>セイキュウ</t>
    </rPh>
    <rPh sb="5" eb="7">
      <t>キカン</t>
    </rPh>
    <phoneticPr fontId="1"/>
  </si>
  <si>
    <t>ﾔｵｺｰ専用明細書</t>
    <rPh sb="4" eb="6">
      <t>センヨウ</t>
    </rPh>
    <rPh sb="6" eb="9">
      <t>メイサイショ</t>
    </rPh>
    <phoneticPr fontId="11"/>
  </si>
  <si>
    <t>□　請求金額予測表（20日用）</t>
    <rPh sb="2" eb="4">
      <t>セイキュウ</t>
    </rPh>
    <rPh sb="4" eb="6">
      <t>キンガク</t>
    </rPh>
    <rPh sb="6" eb="8">
      <t>ヨソク</t>
    </rPh>
    <rPh sb="8" eb="9">
      <t>ヒョウ</t>
    </rPh>
    <rPh sb="12" eb="13">
      <t>ヒ</t>
    </rPh>
    <rPh sb="13" eb="14">
      <t>ヨウ</t>
    </rPh>
    <phoneticPr fontId="11"/>
  </si>
  <si>
    <t>月</t>
    <rPh sb="0" eb="1">
      <t>ツキ</t>
    </rPh>
    <phoneticPr fontId="11"/>
  </si>
  <si>
    <t>□　請求明細表（月末用）</t>
    <rPh sb="2" eb="4">
      <t>セイキュウ</t>
    </rPh>
    <rPh sb="4" eb="6">
      <t>メイサイ</t>
    </rPh>
    <rPh sb="6" eb="7">
      <t>ヒョウ</t>
    </rPh>
    <rPh sb="8" eb="10">
      <t>ゲツマツ</t>
    </rPh>
    <rPh sb="10" eb="11">
      <t>ヨウ</t>
    </rPh>
    <phoneticPr fontId="11"/>
  </si>
  <si>
    <t>株式会社三和商研</t>
    <rPh sb="0" eb="2">
      <t>カブシキ</t>
    </rPh>
    <rPh sb="2" eb="4">
      <t>カイシャ</t>
    </rPh>
    <rPh sb="4" eb="6">
      <t>サンワ</t>
    </rPh>
    <rPh sb="6" eb="7">
      <t>ショウ</t>
    </rPh>
    <rPh sb="7" eb="8">
      <t>ケン</t>
    </rPh>
    <phoneticPr fontId="11"/>
  </si>
  <si>
    <t>　№1</t>
    <phoneticPr fontId="11"/>
  </si>
  <si>
    <t>№</t>
    <phoneticPr fontId="11"/>
  </si>
  <si>
    <t>作業報告書</t>
    <rPh sb="0" eb="2">
      <t>サギョウ</t>
    </rPh>
    <rPh sb="2" eb="5">
      <t>ホウコクショ</t>
    </rPh>
    <phoneticPr fontId="11"/>
  </si>
  <si>
    <t>店番</t>
    <rPh sb="0" eb="2">
      <t>テンバン</t>
    </rPh>
    <phoneticPr fontId="11"/>
  </si>
  <si>
    <t>店　名</t>
    <rPh sb="0" eb="1">
      <t>テン</t>
    </rPh>
    <rPh sb="2" eb="3">
      <t>メイ</t>
    </rPh>
    <phoneticPr fontId="11"/>
  </si>
  <si>
    <t>受付日</t>
    <rPh sb="0" eb="2">
      <t>ウケツケ</t>
    </rPh>
    <rPh sb="2" eb="3">
      <t>ヒ</t>
    </rPh>
    <phoneticPr fontId="11"/>
  </si>
  <si>
    <t>完工日</t>
    <rPh sb="0" eb="2">
      <t>カンコウ</t>
    </rPh>
    <rPh sb="2" eb="3">
      <t>ヒ</t>
    </rPh>
    <phoneticPr fontId="11"/>
  </si>
  <si>
    <t>ヤオコー</t>
    <phoneticPr fontId="11"/>
  </si>
  <si>
    <t>20日</t>
    <rPh sb="2" eb="3">
      <t>ヒ</t>
    </rPh>
    <phoneticPr fontId="11"/>
  </si>
  <si>
    <t>月末</t>
    <rPh sb="0" eb="2">
      <t>ゲツマツ</t>
    </rPh>
    <phoneticPr fontId="11"/>
  </si>
  <si>
    <t>システム</t>
    <phoneticPr fontId="11"/>
  </si>
  <si>
    <t>リース</t>
    <phoneticPr fontId="11"/>
  </si>
  <si>
    <t>伝票</t>
    <rPh sb="0" eb="1">
      <t>デン</t>
    </rPh>
    <rPh sb="1" eb="2">
      <t>ヒョウ</t>
    </rPh>
    <phoneticPr fontId="11"/>
  </si>
  <si>
    <t>作　業　内　容</t>
    <rPh sb="0" eb="1">
      <t>サク</t>
    </rPh>
    <rPh sb="2" eb="3">
      <t>ギョウ</t>
    </rPh>
    <rPh sb="4" eb="5">
      <t>ウチ</t>
    </rPh>
    <rPh sb="6" eb="7">
      <t>ヨウ</t>
    </rPh>
    <phoneticPr fontId="11"/>
  </si>
  <si>
    <t>ﾔｵｺｰ記入</t>
    <rPh sb="4" eb="6">
      <t>キニュウ</t>
    </rPh>
    <phoneticPr fontId="11"/>
  </si>
  <si>
    <t>担当</t>
    <phoneticPr fontId="11"/>
  </si>
  <si>
    <t>予測金額</t>
    <rPh sb="0" eb="2">
      <t>ヨソク</t>
    </rPh>
    <rPh sb="2" eb="4">
      <t>キンガク</t>
    </rPh>
    <phoneticPr fontId="11"/>
  </si>
  <si>
    <t>請求金額</t>
    <rPh sb="0" eb="2">
      <t>セイキュウ</t>
    </rPh>
    <rPh sb="2" eb="4">
      <t>キンガク</t>
    </rPh>
    <phoneticPr fontId="11"/>
  </si>
  <si>
    <t>確　認</t>
    <rPh sb="0" eb="1">
      <t>カク</t>
    </rPh>
    <rPh sb="2" eb="3">
      <t>ニン</t>
    </rPh>
    <phoneticPr fontId="11"/>
  </si>
  <si>
    <t>科　目</t>
    <rPh sb="0" eb="1">
      <t>カ</t>
    </rPh>
    <rPh sb="2" eb="3">
      <t>メ</t>
    </rPh>
    <phoneticPr fontId="11"/>
  </si>
  <si>
    <t>A＋B＋C</t>
    <phoneticPr fontId="11"/>
  </si>
  <si>
    <t>A</t>
    <phoneticPr fontId="11"/>
  </si>
  <si>
    <t>B</t>
    <phoneticPr fontId="11"/>
  </si>
  <si>
    <t>C</t>
    <phoneticPr fontId="11"/>
  </si>
  <si>
    <t>pageTotal</t>
    <phoneticPr fontId="11"/>
  </si>
  <si>
    <t>№1</t>
    <phoneticPr fontId="11"/>
  </si>
  <si>
    <t>合　計　金　額</t>
    <rPh sb="0" eb="1">
      <t>ゴウ</t>
    </rPh>
    <rPh sb="2" eb="3">
      <t>ケイ</t>
    </rPh>
    <rPh sb="4" eb="5">
      <t>キン</t>
    </rPh>
    <rPh sb="6" eb="7">
      <t>ガク</t>
    </rPh>
    <phoneticPr fontId="11"/>
  </si>
  <si>
    <t>※必ずこの用紙を提出し請求漏れのないよう御確認下さい</t>
    <rPh sb="1" eb="2">
      <t>カナラ</t>
    </rPh>
    <rPh sb="5" eb="7">
      <t>ヨウシ</t>
    </rPh>
    <rPh sb="8" eb="10">
      <t>テイシュツ</t>
    </rPh>
    <rPh sb="11" eb="13">
      <t>セイキュウ</t>
    </rPh>
    <rPh sb="13" eb="14">
      <t>モ</t>
    </rPh>
    <rPh sb="20" eb="23">
      <t>ゴカクニン</t>
    </rPh>
    <rPh sb="23" eb="24">
      <t>クダ</t>
    </rPh>
    <phoneticPr fontId="11"/>
  </si>
  <si>
    <t>　合計金額</t>
    <rPh sb="1" eb="3">
      <t>ゴウケイ</t>
    </rPh>
    <rPh sb="3" eb="5">
      <t>キンガク</t>
    </rPh>
    <phoneticPr fontId="11"/>
  </si>
  <si>
    <t>TM納入先.表示用店舗名</t>
    <rPh sb="6" eb="9">
      <t>ヒョウジヨウ</t>
    </rPh>
    <rPh sb="9" eb="11">
      <t>テンポ</t>
    </rPh>
    <rPh sb="11" eb="12">
      <t>メイ</t>
    </rPh>
    <phoneticPr fontId="1"/>
  </si>
  <si>
    <t>[TD見積.YK請求区分]が1の場合に[TD売上請求H.合計金額]を記載</t>
    <rPh sb="3" eb="5">
      <t>ミツモリ</t>
    </rPh>
    <rPh sb="8" eb="10">
      <t>セイキュウ</t>
    </rPh>
    <rPh sb="10" eb="12">
      <t>クブン</t>
    </rPh>
    <rPh sb="16" eb="18">
      <t>バアイ</t>
    </rPh>
    <rPh sb="22" eb="24">
      <t>ウリアゲ</t>
    </rPh>
    <rPh sb="24" eb="26">
      <t>セイキュウ</t>
    </rPh>
    <rPh sb="28" eb="30">
      <t>ゴウケイ</t>
    </rPh>
    <rPh sb="30" eb="32">
      <t>キンガク</t>
    </rPh>
    <rPh sb="34" eb="36">
      <t>キサイ</t>
    </rPh>
    <phoneticPr fontId="1"/>
  </si>
  <si>
    <t>[TD見積.YK請求区分]が2の場合に[TD売上請求H.合計金額]を記載</t>
    <rPh sb="3" eb="5">
      <t>ミツモリ</t>
    </rPh>
    <rPh sb="8" eb="10">
      <t>セイキュウ</t>
    </rPh>
    <rPh sb="10" eb="12">
      <t>クブン</t>
    </rPh>
    <rPh sb="16" eb="18">
      <t>バアイ</t>
    </rPh>
    <rPh sb="22" eb="24">
      <t>ウリアゲ</t>
    </rPh>
    <rPh sb="24" eb="26">
      <t>セイキュウ</t>
    </rPh>
    <rPh sb="28" eb="30">
      <t>ゴウケイ</t>
    </rPh>
    <rPh sb="30" eb="32">
      <t>キンガク</t>
    </rPh>
    <rPh sb="34" eb="36">
      <t>キサイ</t>
    </rPh>
    <phoneticPr fontId="1"/>
  </si>
  <si>
    <t>[TD見積.YK請求区分]が3の場合に[TD売上請求H.合計金額]を記載</t>
    <rPh sb="3" eb="5">
      <t>ミツモリ</t>
    </rPh>
    <rPh sb="8" eb="10">
      <t>セイキュウ</t>
    </rPh>
    <rPh sb="10" eb="12">
      <t>クブン</t>
    </rPh>
    <rPh sb="16" eb="18">
      <t>バアイ</t>
    </rPh>
    <rPh sb="22" eb="24">
      <t>ウリアゲ</t>
    </rPh>
    <rPh sb="24" eb="26">
      <t>セイキュウ</t>
    </rPh>
    <rPh sb="28" eb="30">
      <t>ゴウケイ</t>
    </rPh>
    <rPh sb="30" eb="32">
      <t>キンガク</t>
    </rPh>
    <rPh sb="34" eb="36">
      <t>キサイ</t>
    </rPh>
    <phoneticPr fontId="1"/>
  </si>
  <si>
    <t>システム、リース、伝票の合計</t>
    <rPh sb="9" eb="11">
      <t>デンピョウ</t>
    </rPh>
    <rPh sb="12" eb="14">
      <t>ゴウケイ</t>
    </rPh>
    <phoneticPr fontId="1"/>
  </si>
  <si>
    <t>-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</si>
  <si>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</si>
  <si>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</si>
  <si>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文字列</t>
    <rPh sb="0" eb="3">
      <t>モジレツ</t>
    </rPh>
    <phoneticPr fontId="1"/>
  </si>
  <si>
    <t>数値</t>
    <rPh sb="0" eb="2">
      <t>スウチ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</si>
  <si>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</si>
  <si>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yyyy</t>
    <phoneticPr fontId="1"/>
  </si>
  <si>
    <t>m</t>
    <phoneticPr fontId="1"/>
  </si>
  <si>
    <t>yyyy年m月d日</t>
    <rPh sb="4" eb="5">
      <t>ネン</t>
    </rPh>
    <rPh sb="6" eb="7">
      <t>ツキ</t>
    </rPh>
    <rPh sb="8" eb="9">
      <t>ニチ</t>
    </rPh>
    <phoneticPr fontId="1"/>
  </si>
  <si>
    <t>m/d</t>
    <phoneticPr fontId="1"/>
  </si>
  <si>
    <t>A+B+C</t>
    <phoneticPr fontId="1"/>
  </si>
  <si>
    <t>A</t>
    <phoneticPr fontId="1"/>
  </si>
  <si>
    <t>B</t>
    <phoneticPr fontId="1"/>
  </si>
  <si>
    <t>C</t>
    <phoneticPr fontId="1"/>
  </si>
  <si>
    <t>カラムの合計</t>
    <rPh sb="4" eb="6">
      <t>ゴウケイ</t>
    </rPh>
    <phoneticPr fontId="1"/>
  </si>
  <si>
    <t>合計金額</t>
    <rPh sb="0" eb="2">
      <t>ゴウケイ</t>
    </rPh>
    <rPh sb="2" eb="4">
      <t>キンガク</t>
    </rPh>
    <phoneticPr fontId="1"/>
  </si>
  <si>
    <t>項目一覧</t>
    <rPh sb="0" eb="2">
      <t>コウモク</t>
    </rPh>
    <rPh sb="2" eb="4">
      <t>イチラン</t>
    </rPh>
    <phoneticPr fontId="2"/>
  </si>
  <si>
    <t>ヤオコー記入項目について</t>
    <rPh sb="4" eb="6">
      <t>キニュウ</t>
    </rPh>
    <rPh sb="6" eb="8">
      <t>コウモク</t>
    </rPh>
    <phoneticPr fontId="2"/>
  </si>
  <si>
    <t>作業報告書No.項目について</t>
    <rPh sb="8" eb="10">
      <t>コウモク</t>
    </rPh>
    <phoneticPr fontId="2"/>
  </si>
  <si>
    <t>20日予測金額項目について</t>
    <rPh sb="7" eb="9">
      <t>コウモク</t>
    </rPh>
    <phoneticPr fontId="2"/>
  </si>
  <si>
    <t>見積番号</t>
    <rPh sb="0" eb="2">
      <t>ミツモリ</t>
    </rPh>
    <rPh sb="2" eb="4">
      <t>バンゴウ</t>
    </rPh>
    <phoneticPr fontId="1"/>
  </si>
  <si>
    <t>数値</t>
    <rPh sb="0" eb="2">
      <t>スウチ</t>
    </rPh>
    <phoneticPr fontId="1"/>
  </si>
  <si>
    <t>半角</t>
    <rPh sb="0" eb="2">
      <t>ハンカク</t>
    </rPh>
    <phoneticPr fontId="1"/>
  </si>
  <si>
    <t>ページNo</t>
    <phoneticPr fontId="1"/>
  </si>
  <si>
    <t>-</t>
    <phoneticPr fontId="1"/>
  </si>
  <si>
    <t>ページ番号</t>
    <rPh sb="3" eb="5">
      <t>バンゴウ</t>
    </rPh>
    <phoneticPr fontId="1"/>
  </si>
  <si>
    <t>文字列</t>
    <rPh sb="0" eb="3">
      <t>モジレツ</t>
    </rPh>
    <phoneticPr fontId="1"/>
  </si>
  <si>
    <t>No.9</t>
    <phoneticPr fontId="1"/>
  </si>
  <si>
    <t>where</t>
    <phoneticPr fontId="2"/>
  </si>
  <si>
    <t>8001'はヤオコーの得意先CD</t>
    <rPh sb="11" eb="14">
      <t>トクイサキ</t>
    </rPh>
    <phoneticPr fontId="2"/>
  </si>
  <si>
    <t>from</t>
    <phoneticPr fontId="2"/>
  </si>
  <si>
    <t>join</t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</si>
  <si>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</si>
  <si>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</si>
  <si>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</si>
  <si>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</si>
  <si>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</si>
  <si>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</si>
  <si>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[TD売上請求H.請求日付]が[画面.請求期間From]以降</t>
    <rPh sb="28" eb="30">
      <t>イコウ</t>
    </rPh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</si>
  <si>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</si>
  <si>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</si>
  <si>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</si>
  <si>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</si>
  <si>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</si>
  <si>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</si>
  <si>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</si>
  <si>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</si>
  <si>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</si>
  <si>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</si>
  <si>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</si>
  <si>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</si>
  <si>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</si>
  <si>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</si>
  <si>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</si>
  <si>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</si>
  <si>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</si>
  <si>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order by</t>
  </si>
  <si>
    <t>ソート条件を記載</t>
    <rPh sb="3" eb="5">
      <t>ジョウケン</t>
    </rPh>
    <rPh sb="6" eb="8">
      <t>キサイ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</si>
  <si>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</si>
  <si>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</si>
  <si>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</si>
  <si>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</si>
  <si>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</si>
  <si>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</si>
  <si>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</si>
  <si>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入るデータ不明</t>
    <rPh sb="0" eb="1">
      <t>ハイ</t>
    </rPh>
    <rPh sb="5" eb="7">
      <t>フメイ</t>
    </rPh>
    <phoneticPr fontId="2"/>
  </si>
  <si>
    <t>[確認][科目]項目は空で認識あっているか</t>
    <rPh sb="1" eb="3">
      <t>カクニン</t>
    </rPh>
    <rPh sb="5" eb="7">
      <t>カモク</t>
    </rPh>
    <rPh sb="8" eb="10">
      <t>コウモク</t>
    </rPh>
    <rPh sb="11" eb="12">
      <t>カラ</t>
    </rPh>
    <rPh sb="13" eb="15">
      <t>ニンシキ</t>
    </rPh>
    <phoneticPr fontId="2"/>
  </si>
  <si>
    <t>回答</t>
    <rPh sb="0" eb="2">
      <t>カイトウ</t>
    </rPh>
    <phoneticPr fontId="2"/>
  </si>
  <si>
    <t>〇</t>
    <phoneticPr fontId="2"/>
  </si>
  <si>
    <t>〇</t>
    <phoneticPr fontId="2"/>
  </si>
  <si>
    <t>〇</t>
    <phoneticPr fontId="2"/>
  </si>
  <si>
    <t>空でよい</t>
    <rPh sb="0" eb="1">
      <t>カラ</t>
    </rPh>
    <phoneticPr fontId="2"/>
  </si>
  <si>
    <t>空欄</t>
    <rPh sb="0" eb="2">
      <t>クウラン</t>
    </rPh>
    <phoneticPr fontId="1"/>
  </si>
  <si>
    <t>COUNT(USH.見積番号) OVER (PARTITION BY MH.納入得意先CD,MH.納入先CD)</t>
    <phoneticPr fontId="2"/>
  </si>
  <si>
    <t>MH.納入得意先CD</t>
  </si>
  <si>
    <t>MH.納入先CD</t>
  </si>
  <si>
    <t>NY.表示用店舗名</t>
  </si>
  <si>
    <t>USH.見積番号</t>
  </si>
  <si>
    <t>MH.受付日付</t>
  </si>
  <si>
    <t>MH.完工日付</t>
  </si>
  <si>
    <t>MH.発注担当者名</t>
  </si>
  <si>
    <t>USH.合計金額</t>
  </si>
  <si>
    <t>MH.作業内容</t>
  </si>
  <si>
    <t>MH.YKサプライ区分</t>
  </si>
  <si>
    <t>MH.YK物件区分</t>
  </si>
  <si>
    <t>MH.YK請求区分</t>
  </si>
  <si>
    <t>納入得意先CD</t>
  </si>
  <si>
    <t>納入先CD</t>
  </si>
  <si>
    <t>表示用店舗名</t>
  </si>
  <si>
    <t>見積番号</t>
  </si>
  <si>
    <t>受付日付</t>
  </si>
  <si>
    <t>完工日付</t>
  </si>
  <si>
    <t>発注担当者名</t>
  </si>
  <si>
    <t>合計金額</t>
  </si>
  <si>
    <t>作業内容</t>
  </si>
  <si>
    <t>YKサプライ区分</t>
  </si>
  <si>
    <t>YK物件区分</t>
  </si>
  <si>
    <t>YK請求区分</t>
  </si>
  <si>
    <t>Count</t>
  </si>
  <si>
    <t>TD売上請求H AS USH</t>
    <phoneticPr fontId="2"/>
  </si>
  <si>
    <t>TD見積 AS MH</t>
    <phoneticPr fontId="2"/>
  </si>
  <si>
    <t>TM納入先 AS NY</t>
    <phoneticPr fontId="2"/>
  </si>
  <si>
    <t>INNER JOIN</t>
    <phoneticPr fontId="2"/>
  </si>
  <si>
    <t>TD見積</t>
    <phoneticPr fontId="2"/>
  </si>
  <si>
    <t>ON USH.見積番号 = MH.見積番号</t>
    <phoneticPr fontId="2"/>
  </si>
  <si>
    <t>TM納入先</t>
    <phoneticPr fontId="2"/>
  </si>
  <si>
    <t>MH.納入得意先CD = NY.得意先CD</t>
    <phoneticPr fontId="2"/>
  </si>
  <si>
    <t>MH.納入先CD = NY.納入先CD</t>
    <phoneticPr fontId="2"/>
  </si>
  <si>
    <t>AND</t>
    <phoneticPr fontId="2"/>
  </si>
  <si>
    <t>MH.得意先CD = '8001'</t>
    <phoneticPr fontId="2"/>
  </si>
  <si>
    <t>USH.請求日付 &gt;= [画面.請求期間from]</t>
    <rPh sb="13" eb="15">
      <t>ガメン</t>
    </rPh>
    <rPh sb="16" eb="20">
      <t>セイキュウキカン</t>
    </rPh>
    <phoneticPr fontId="2"/>
  </si>
  <si>
    <t>USH.請求日付 &lt;= [画面.請求期間to]</t>
    <phoneticPr fontId="2"/>
  </si>
  <si>
    <t>MH.YKサプライ区分 = [画面.サプライ区分]</t>
    <rPh sb="15" eb="17">
      <t>ガメン</t>
    </rPh>
    <phoneticPr fontId="2"/>
  </si>
  <si>
    <t>MH.YK物件区分 = [画面.物件区分]</t>
    <rPh sb="16" eb="18">
      <t>ブッケン</t>
    </rPh>
    <phoneticPr fontId="2"/>
  </si>
  <si>
    <t>order by</t>
    <phoneticPr fontId="2"/>
  </si>
  <si>
    <t>CASE [画面.物件区分]</t>
  </si>
  <si>
    <t>CASE [画面.物件区分]</t>
    <phoneticPr fontId="2"/>
  </si>
  <si>
    <t>WHEN 1 THEN MH.納入得意先CD</t>
    <phoneticPr fontId="2"/>
  </si>
  <si>
    <t>WHEN 2 THEN USH.見積番号</t>
    <phoneticPr fontId="2"/>
  </si>
  <si>
    <t>END ASC,</t>
    <phoneticPr fontId="2"/>
  </si>
  <si>
    <t>WHEN 1 THEN MH.納入先CD</t>
    <phoneticPr fontId="2"/>
  </si>
  <si>
    <t>WHEN 1 THEN USH.見積番号</t>
    <phoneticPr fontId="2"/>
  </si>
  <si>
    <t>END ASC</t>
    <phoneticPr fontId="2"/>
  </si>
  <si>
    <t>SQL1.納入先CD</t>
    <rPh sb="5" eb="8">
      <t>ノウニュウサキ</t>
    </rPh>
    <phoneticPr fontId="1"/>
  </si>
  <si>
    <t>SQL1.見積番号</t>
    <rPh sb="5" eb="7">
      <t>ミツモリ</t>
    </rPh>
    <rPh sb="7" eb="9">
      <t>バンゴウ</t>
    </rPh>
    <phoneticPr fontId="1"/>
  </si>
  <si>
    <t>SQL1.受付日付</t>
    <rPh sb="5" eb="7">
      <t>ウケツケ</t>
    </rPh>
    <rPh sb="7" eb="9">
      <t>ヒヅケ</t>
    </rPh>
    <phoneticPr fontId="1"/>
  </si>
  <si>
    <t>SQL1.完工日付</t>
    <rPh sb="5" eb="7">
      <t>カンコウ</t>
    </rPh>
    <rPh sb="7" eb="9">
      <t>ヒヅケ</t>
    </rPh>
    <phoneticPr fontId="1"/>
  </si>
  <si>
    <t>SQL1.発注担当者名</t>
    <rPh sb="5" eb="7">
      <t>ハッチュウ</t>
    </rPh>
    <rPh sb="7" eb="10">
      <t>タントウシャ</t>
    </rPh>
    <rPh sb="10" eb="11">
      <t>メイ</t>
    </rPh>
    <phoneticPr fontId="1"/>
  </si>
  <si>
    <t>SQL1.YK請求区分,SQL1.合計金額</t>
    <rPh sb="7" eb="9">
      <t>セイキュウ</t>
    </rPh>
    <rPh sb="9" eb="11">
      <t>クブン</t>
    </rPh>
    <rPh sb="17" eb="19">
      <t>ゴウケイ</t>
    </rPh>
    <rPh sb="19" eb="21">
      <t>キンガク</t>
    </rPh>
    <phoneticPr fontId="1"/>
  </si>
  <si>
    <t>SQL1.作業内容</t>
    <rPh sb="5" eb="7">
      <t>サギョウ</t>
    </rPh>
    <rPh sb="7" eb="9">
      <t>ナイヨウ</t>
    </rPh>
    <phoneticPr fontId="1"/>
  </si>
  <si>
    <t>No14.システム,No15.リース,No16.伝票</t>
    <rPh sb="24" eb="26">
      <t>デンピョウ</t>
    </rPh>
    <phoneticPr fontId="1"/>
  </si>
  <si>
    <t>No13.月末請求金額</t>
    <rPh sb="5" eb="7">
      <t>ゲツマツ</t>
    </rPh>
    <rPh sb="7" eb="9">
      <t>セイキュウ</t>
    </rPh>
    <rPh sb="9" eb="11">
      <t>キンガク</t>
    </rPh>
    <phoneticPr fontId="1"/>
  </si>
  <si>
    <t>No14.システム</t>
    <phoneticPr fontId="1"/>
  </si>
  <si>
    <t>No15.リース</t>
    <phoneticPr fontId="1"/>
  </si>
  <si>
    <t>No16.伝票</t>
    <rPh sb="5" eb="7">
      <t>デンピョウ</t>
    </rPh>
    <phoneticPr fontId="1"/>
  </si>
  <si>
    <t>No21.A+B+C</t>
    <phoneticPr fontId="1"/>
  </si>
  <si>
    <t>B列が"pagetotal"の行のカラムの合計</t>
    <rPh sb="1" eb="2">
      <t>レツ</t>
    </rPh>
    <rPh sb="15" eb="16">
      <t>ギョウ</t>
    </rPh>
    <rPh sb="21" eb="23">
      <t>ゴウケイ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</si>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</sst>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#,##0_);[Red]\(#,##0\)"/>
    <numFmt numFmtId="178" formatCode="m/d;@"/>
    <numFmt numFmtId="179" formatCode="#,###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24"/>
      <name val="ＭＳ Ｐゴシック"/>
      <family val="3"/>
      <charset val="128"/>
    </font>
    <font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1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>
      <alignment vertical="center"/>
    </xf>
  </cellStyleXfs>
  <cellXfs count="37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44" xfId="2" applyBorder="1" applyAlignment="1">
      <alignment vertical="center"/>
    </xf>
    <xf numFmtId="0" fontId="10" fillId="0" borderId="0" xfId="2" applyFont="1" applyAlignment="1">
      <alignment vertical="center"/>
    </xf>
    <xf numFmtId="0" fontId="9" fillId="0" borderId="0" xfId="2">
      <alignment vertical="center"/>
    </xf>
    <xf numFmtId="177" fontId="9" fillId="0" borderId="0" xfId="2" applyNumberFormat="1" applyAlignment="1">
      <alignment horizontal="right" vertical="center" shrinkToFit="1"/>
    </xf>
    <xf numFmtId="0" fontId="9" fillId="0" borderId="0" xfId="2" applyFont="1" applyFill="1" applyAlignment="1">
      <alignment horizontal="center" vertical="center"/>
    </xf>
    <xf numFmtId="0" fontId="12" fillId="0" borderId="0" xfId="2" applyFont="1" applyAlignment="1">
      <alignment horizontal="left" vertical="center"/>
    </xf>
    <xf numFmtId="177" fontId="12" fillId="0" borderId="0" xfId="2" applyNumberFormat="1" applyFont="1" applyAlignment="1">
      <alignment horizontal="right" vertical="center" shrinkToFit="1"/>
    </xf>
    <xf numFmtId="0" fontId="9" fillId="0" borderId="0" xfId="2" applyAlignment="1">
      <alignment horizontal="center" vertical="center"/>
    </xf>
    <xf numFmtId="0" fontId="9" fillId="0" borderId="0" xfId="2" applyAlignment="1">
      <alignment vertical="center" shrinkToFit="1"/>
    </xf>
    <xf numFmtId="0" fontId="13" fillId="0" borderId="0" xfId="2" applyFont="1" applyAlignment="1">
      <alignment horizontal="center" vertical="center" shrinkToFit="1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 shrinkToFit="1"/>
    </xf>
    <xf numFmtId="0" fontId="9" fillId="0" borderId="0" xfId="2" applyAlignment="1">
      <alignment horizontal="center" vertical="center" shrinkToFit="1"/>
    </xf>
    <xf numFmtId="0" fontId="13" fillId="0" borderId="0" xfId="2" applyFont="1" applyFill="1" applyAlignment="1">
      <alignment horizontal="center" vertical="center" shrinkToFit="1"/>
    </xf>
    <xf numFmtId="0" fontId="13" fillId="0" borderId="0" xfId="2" applyFont="1" applyAlignment="1">
      <alignment horizontal="left" vertical="center" shrinkToFit="1"/>
    </xf>
    <xf numFmtId="0" fontId="9" fillId="0" borderId="0" xfId="2" applyAlignment="1">
      <alignment vertical="center"/>
    </xf>
    <xf numFmtId="177" fontId="14" fillId="0" borderId="46" xfId="2" applyNumberFormat="1" applyFont="1" applyBorder="1" applyAlignment="1">
      <alignment horizontal="right" vertical="center" shrinkToFit="1"/>
    </xf>
    <xf numFmtId="0" fontId="14" fillId="0" borderId="46" xfId="2" applyFont="1" applyBorder="1" applyAlignment="1">
      <alignment horizontal="right" vertical="center"/>
    </xf>
    <xf numFmtId="0" fontId="9" fillId="0" borderId="49" xfId="2" applyBorder="1" applyAlignment="1">
      <alignment horizontal="center" vertical="center" shrinkToFit="1"/>
    </xf>
    <xf numFmtId="0" fontId="9" fillId="0" borderId="52" xfId="2" applyBorder="1" applyAlignment="1">
      <alignment horizontal="center" vertical="center"/>
    </xf>
    <xf numFmtId="0" fontId="9" fillId="0" borderId="53" xfId="2" applyBorder="1" applyAlignment="1">
      <alignment horizontal="center" vertical="center"/>
    </xf>
    <xf numFmtId="0" fontId="9" fillId="0" borderId="57" xfId="2" applyBorder="1" applyAlignment="1">
      <alignment horizontal="center" vertical="center"/>
    </xf>
    <xf numFmtId="0" fontId="9" fillId="0" borderId="60" xfId="2" applyBorder="1" applyAlignment="1">
      <alignment horizontal="center" vertical="center"/>
    </xf>
    <xf numFmtId="0" fontId="9" fillId="0" borderId="61" xfId="2" applyBorder="1" applyAlignment="1">
      <alignment horizontal="center" vertical="center"/>
    </xf>
    <xf numFmtId="0" fontId="9" fillId="0" borderId="63" xfId="2" applyBorder="1" applyAlignment="1">
      <alignment horizontal="center" vertical="center"/>
    </xf>
    <xf numFmtId="0" fontId="9" fillId="0" borderId="64" xfId="2" applyFont="1" applyBorder="1" applyAlignment="1">
      <alignment horizontal="center" vertical="center"/>
    </xf>
    <xf numFmtId="0" fontId="9" fillId="0" borderId="65" xfId="2" applyFont="1" applyBorder="1" applyAlignment="1">
      <alignment horizontal="center" vertical="center" shrinkToFit="1"/>
    </xf>
    <xf numFmtId="49" fontId="9" fillId="0" borderId="50" xfId="2" applyNumberFormat="1" applyBorder="1" applyAlignment="1">
      <alignment horizontal="center" vertical="center" shrinkToFit="1"/>
    </xf>
    <xf numFmtId="0" fontId="9" fillId="0" borderId="66" xfId="2" applyFont="1" applyBorder="1" applyAlignment="1">
      <alignment horizontal="center" vertical="center"/>
    </xf>
    <xf numFmtId="0" fontId="9" fillId="0" borderId="66" xfId="2" applyFont="1" applyBorder="1" applyAlignment="1">
      <alignment vertical="center"/>
    </xf>
    <xf numFmtId="177" fontId="9" fillId="0" borderId="67" xfId="2" applyNumberFormat="1" applyFont="1" applyBorder="1" applyAlignment="1">
      <alignment horizontal="center" vertical="center"/>
    </xf>
    <xf numFmtId="177" fontId="9" fillId="0" borderId="68" xfId="2" applyNumberFormat="1" applyFont="1" applyBorder="1" applyAlignment="1">
      <alignment horizontal="right" vertical="center"/>
    </xf>
    <xf numFmtId="177" fontId="9" fillId="0" borderId="0" xfId="2" applyNumberFormat="1" applyFont="1" applyBorder="1" applyAlignment="1">
      <alignment horizontal="right" vertical="center" shrinkToFit="1"/>
    </xf>
    <xf numFmtId="177" fontId="9" fillId="0" borderId="69" xfId="2" applyNumberFormat="1" applyFont="1" applyBorder="1" applyAlignment="1">
      <alignment horizontal="right" vertical="center" shrinkToFit="1"/>
    </xf>
    <xf numFmtId="177" fontId="9" fillId="0" borderId="66" xfId="2" applyNumberFormat="1" applyFont="1" applyBorder="1" applyAlignment="1">
      <alignment horizontal="right" vertical="center" shrinkToFit="1"/>
    </xf>
    <xf numFmtId="0" fontId="9" fillId="0" borderId="69" xfId="2" applyFont="1" applyFill="1" applyBorder="1" applyAlignment="1">
      <alignment vertical="center"/>
    </xf>
    <xf numFmtId="0" fontId="9" fillId="0" borderId="70" xfId="2" applyFont="1" applyBorder="1" applyAlignment="1">
      <alignment horizontal="left" vertical="center"/>
    </xf>
    <xf numFmtId="0" fontId="9" fillId="0" borderId="71" xfId="2" applyFont="1" applyBorder="1" applyAlignment="1">
      <alignment horizontal="right" vertical="center"/>
    </xf>
    <xf numFmtId="49" fontId="9" fillId="0" borderId="72" xfId="2" applyNumberFormat="1" applyBorder="1" applyAlignment="1">
      <alignment horizontal="center" vertical="center" shrinkToFit="1"/>
    </xf>
    <xf numFmtId="178" fontId="9" fillId="0" borderId="66" xfId="2" applyNumberFormat="1" applyFill="1" applyBorder="1" applyAlignment="1">
      <alignment horizontal="center" vertical="center" shrinkToFit="1"/>
    </xf>
    <xf numFmtId="177" fontId="9" fillId="0" borderId="67" xfId="2" applyNumberFormat="1" applyFont="1" applyFill="1" applyBorder="1" applyAlignment="1">
      <alignment horizontal="right" vertical="center" shrinkToFit="1"/>
    </xf>
    <xf numFmtId="179" fontId="9" fillId="0" borderId="68" xfId="2" applyNumberFormat="1" applyFont="1" applyFill="1" applyBorder="1" applyAlignment="1">
      <alignment horizontal="right" vertical="center" shrinkToFit="1"/>
    </xf>
    <xf numFmtId="3" fontId="9" fillId="0" borderId="72" xfId="2" applyNumberFormat="1" applyFont="1" applyFill="1" applyBorder="1" applyAlignment="1">
      <alignment horizontal="right" vertical="center" shrinkToFit="1"/>
    </xf>
    <xf numFmtId="3" fontId="9" fillId="0" borderId="66" xfId="2" applyNumberFormat="1" applyFont="1" applyFill="1" applyBorder="1" applyAlignment="1">
      <alignment horizontal="right" vertical="center" shrinkToFit="1"/>
    </xf>
    <xf numFmtId="0" fontId="9" fillId="0" borderId="69" xfId="2" applyFill="1" applyBorder="1" applyAlignment="1">
      <alignment vertical="center" shrinkToFit="1"/>
    </xf>
    <xf numFmtId="0" fontId="9" fillId="0" borderId="70" xfId="2" applyFont="1" applyFill="1" applyBorder="1" applyAlignment="1">
      <alignment horizontal="left" vertical="center"/>
    </xf>
    <xf numFmtId="0" fontId="9" fillId="0" borderId="71" xfId="2" applyFont="1" applyFill="1" applyBorder="1" applyAlignment="1">
      <alignment horizontal="right" vertical="center"/>
    </xf>
    <xf numFmtId="0" fontId="9" fillId="0" borderId="73" xfId="2" applyFont="1" applyBorder="1" applyAlignment="1">
      <alignment horizontal="center" vertical="center" shrinkToFit="1"/>
    </xf>
    <xf numFmtId="0" fontId="17" fillId="0" borderId="74" xfId="2" applyFont="1" applyFill="1" applyBorder="1" applyAlignment="1">
      <alignment horizontal="center" vertical="center" shrinkToFit="1"/>
    </xf>
    <xf numFmtId="0" fontId="9" fillId="0" borderId="74" xfId="2" applyFont="1" applyFill="1" applyBorder="1" applyAlignment="1">
      <alignment horizontal="center" vertical="center"/>
    </xf>
    <xf numFmtId="0" fontId="9" fillId="0" borderId="74" xfId="2" applyFont="1" applyFill="1" applyBorder="1" applyAlignment="1">
      <alignment vertical="center"/>
    </xf>
    <xf numFmtId="177" fontId="9" fillId="0" borderId="75" xfId="2" applyNumberFormat="1" applyFont="1" applyFill="1" applyBorder="1" applyAlignment="1">
      <alignment horizontal="right" vertical="center"/>
    </xf>
    <xf numFmtId="177" fontId="9" fillId="0" borderId="76" xfId="2" applyNumberFormat="1" applyFont="1" applyFill="1" applyBorder="1" applyAlignment="1">
      <alignment horizontal="right" vertical="center"/>
    </xf>
    <xf numFmtId="0" fontId="9" fillId="0" borderId="77" xfId="2" applyFont="1" applyFill="1" applyBorder="1" applyAlignment="1">
      <alignment horizontal="right" vertical="center" shrinkToFit="1"/>
    </xf>
    <xf numFmtId="177" fontId="9" fillId="0" borderId="78" xfId="2" applyNumberFormat="1" applyFont="1" applyFill="1" applyBorder="1" applyAlignment="1">
      <alignment horizontal="right" vertical="center" shrinkToFit="1"/>
    </xf>
    <xf numFmtId="0" fontId="9" fillId="0" borderId="74" xfId="2" applyFont="1" applyFill="1" applyBorder="1" applyAlignment="1">
      <alignment horizontal="right" vertical="center" shrinkToFit="1"/>
    </xf>
    <xf numFmtId="0" fontId="9" fillId="0" borderId="78" xfId="2" applyFont="1" applyFill="1" applyBorder="1" applyAlignment="1">
      <alignment vertical="center"/>
    </xf>
    <xf numFmtId="0" fontId="9" fillId="0" borderId="79" xfId="2" applyFont="1" applyFill="1" applyBorder="1" applyAlignment="1">
      <alignment horizontal="left" vertical="center"/>
    </xf>
    <xf numFmtId="49" fontId="9" fillId="0" borderId="81" xfId="2" applyNumberFormat="1" applyBorder="1" applyAlignment="1">
      <alignment horizontal="center" vertical="center" shrinkToFit="1"/>
    </xf>
    <xf numFmtId="0" fontId="9" fillId="0" borderId="83" xfId="2" applyFont="1" applyBorder="1" applyAlignment="1">
      <alignment horizontal="right" vertical="center"/>
    </xf>
    <xf numFmtId="49" fontId="9" fillId="0" borderId="84" xfId="2" applyNumberFormat="1" applyFont="1" applyBorder="1" applyAlignment="1">
      <alignment horizontal="center" vertical="center" shrinkToFit="1"/>
    </xf>
    <xf numFmtId="0" fontId="9" fillId="0" borderId="79" xfId="2" applyFont="1" applyBorder="1" applyAlignment="1">
      <alignment horizontal="left" vertical="center"/>
    </xf>
    <xf numFmtId="0" fontId="9" fillId="0" borderId="85" xfId="2" applyFont="1" applyBorder="1" applyAlignment="1">
      <alignment horizontal="right" vertical="center"/>
    </xf>
    <xf numFmtId="0" fontId="9" fillId="0" borderId="86" xfId="2" applyFont="1" applyBorder="1" applyAlignment="1">
      <alignment horizontal="left" vertical="center"/>
    </xf>
    <xf numFmtId="0" fontId="9" fillId="0" borderId="87" xfId="2" applyFont="1" applyBorder="1" applyAlignment="1">
      <alignment horizontal="right" vertical="center"/>
    </xf>
    <xf numFmtId="49" fontId="9" fillId="0" borderId="84" xfId="2" applyNumberFormat="1" applyBorder="1" applyAlignment="1">
      <alignment horizontal="center" vertical="center" shrinkToFit="1"/>
    </xf>
    <xf numFmtId="0" fontId="9" fillId="0" borderId="88" xfId="2" applyFont="1" applyBorder="1" applyAlignment="1">
      <alignment horizontal="center" vertical="center" shrinkToFit="1"/>
    </xf>
    <xf numFmtId="0" fontId="9" fillId="0" borderId="89" xfId="2" applyFont="1" applyBorder="1" applyAlignment="1">
      <alignment horizontal="center" vertical="center" shrinkToFit="1"/>
    </xf>
    <xf numFmtId="0" fontId="9" fillId="0" borderId="41" xfId="2" applyFont="1" applyBorder="1" applyAlignment="1">
      <alignment horizontal="center" vertical="center" shrinkToFit="1"/>
    </xf>
    <xf numFmtId="0" fontId="9" fillId="0" borderId="42" xfId="2" applyFont="1" applyBorder="1" applyAlignment="1">
      <alignment horizontal="center" vertical="center" shrinkToFit="1"/>
    </xf>
    <xf numFmtId="0" fontId="9" fillId="0" borderId="42" xfId="2" applyNumberFormat="1" applyFont="1" applyBorder="1" applyAlignment="1">
      <alignment vertical="center" shrinkToFit="1"/>
    </xf>
    <xf numFmtId="0" fontId="9" fillId="0" borderId="42" xfId="2" applyFont="1" applyBorder="1" applyAlignment="1">
      <alignment horizontal="center" vertical="center"/>
    </xf>
    <xf numFmtId="0" fontId="9" fillId="0" borderId="42" xfId="2" applyFont="1" applyBorder="1" applyAlignment="1">
      <alignment vertical="center"/>
    </xf>
    <xf numFmtId="177" fontId="9" fillId="0" borderId="52" xfId="2" applyNumberFormat="1" applyBorder="1" applyAlignment="1">
      <alignment horizontal="center" vertical="center"/>
    </xf>
    <xf numFmtId="177" fontId="9" fillId="0" borderId="90" xfId="2" applyNumberFormat="1" applyBorder="1" applyAlignment="1">
      <alignment horizontal="center" vertical="center"/>
    </xf>
    <xf numFmtId="177" fontId="9" fillId="0" borderId="42" xfId="2" applyNumberFormat="1" applyBorder="1" applyAlignment="1">
      <alignment horizontal="center" vertical="center" shrinkToFit="1"/>
    </xf>
    <xf numFmtId="177" fontId="9" fillId="0" borderId="51" xfId="2" applyNumberFormat="1" applyBorder="1" applyAlignment="1">
      <alignment horizontal="center" vertical="center" shrinkToFit="1"/>
    </xf>
    <xf numFmtId="0" fontId="9" fillId="0" borderId="42" xfId="2" applyFont="1" applyBorder="1" applyAlignment="1">
      <alignment horizontal="left" vertical="center"/>
    </xf>
    <xf numFmtId="0" fontId="9" fillId="0" borderId="42" xfId="2" applyBorder="1" applyAlignment="1">
      <alignment horizontal="left" vertical="center"/>
    </xf>
    <xf numFmtId="0" fontId="9" fillId="0" borderId="43" xfId="2" applyBorder="1" applyAlignment="1">
      <alignment horizontal="left" vertical="center"/>
    </xf>
    <xf numFmtId="0" fontId="9" fillId="0" borderId="44" xfId="2" applyBorder="1" applyAlignment="1">
      <alignment horizontal="center" vertical="center"/>
    </xf>
    <xf numFmtId="0" fontId="9" fillId="0" borderId="0" xfId="2" applyBorder="1" applyAlignment="1">
      <alignment horizontal="center" vertical="center"/>
    </xf>
    <xf numFmtId="0" fontId="9" fillId="0" borderId="0" xfId="2" applyBorder="1" applyAlignment="1">
      <alignment vertical="center"/>
    </xf>
    <xf numFmtId="177" fontId="9" fillId="0" borderId="67" xfId="2" applyNumberFormat="1" applyBorder="1" applyAlignment="1">
      <alignment horizontal="center" vertical="center"/>
    </xf>
    <xf numFmtId="3" fontId="9" fillId="0" borderId="68" xfId="2" applyNumberFormat="1" applyFont="1" applyBorder="1" applyAlignment="1">
      <alignment horizontal="right" vertical="center" shrinkToFit="1"/>
    </xf>
    <xf numFmtId="3" fontId="9" fillId="0" borderId="0" xfId="2" applyNumberFormat="1" applyFont="1" applyBorder="1" applyAlignment="1">
      <alignment horizontal="right" vertical="center" shrinkToFit="1"/>
    </xf>
    <xf numFmtId="3" fontId="9" fillId="0" borderId="69" xfId="2" applyNumberFormat="1" applyFont="1" applyBorder="1" applyAlignment="1">
      <alignment horizontal="right" vertical="center" shrinkToFit="1"/>
    </xf>
    <xf numFmtId="3" fontId="9" fillId="0" borderId="66" xfId="2" applyNumberFormat="1" applyFont="1" applyBorder="1" applyAlignment="1">
      <alignment horizontal="right" vertical="center" shrinkToFit="1"/>
    </xf>
    <xf numFmtId="0" fontId="9" fillId="0" borderId="45" xfId="2" applyFont="1" applyBorder="1" applyAlignment="1">
      <alignment horizontal="center" vertical="center" shrinkToFit="1"/>
    </xf>
    <xf numFmtId="0" fontId="9" fillId="0" borderId="46" xfId="2" applyFont="1" applyBorder="1" applyAlignment="1">
      <alignment horizontal="center" vertical="center" shrinkToFit="1"/>
    </xf>
    <xf numFmtId="0" fontId="9" fillId="0" borderId="46" xfId="2" applyNumberFormat="1" applyFont="1" applyBorder="1" applyAlignment="1">
      <alignment vertical="center" shrinkToFit="1"/>
    </xf>
    <xf numFmtId="0" fontId="9" fillId="0" borderId="46" xfId="2" applyFont="1" applyBorder="1" applyAlignment="1">
      <alignment horizontal="center" vertical="center"/>
    </xf>
    <xf numFmtId="0" fontId="9" fillId="0" borderId="46" xfId="2" applyFont="1" applyBorder="1" applyAlignment="1">
      <alignment vertical="center"/>
    </xf>
    <xf numFmtId="177" fontId="9" fillId="0" borderId="60" xfId="2" applyNumberFormat="1" applyFont="1" applyBorder="1" applyAlignment="1">
      <alignment horizontal="center" vertical="center"/>
    </xf>
    <xf numFmtId="177" fontId="9" fillId="0" borderId="92" xfId="2" applyNumberFormat="1" applyFont="1" applyBorder="1" applyAlignment="1">
      <alignment horizontal="center" vertical="center"/>
    </xf>
    <xf numFmtId="177" fontId="9" fillId="0" borderId="46" xfId="2" applyNumberFormat="1" applyFont="1" applyBorder="1" applyAlignment="1">
      <alignment horizontal="right" vertical="center" shrinkToFit="1"/>
    </xf>
    <xf numFmtId="177" fontId="9" fillId="0" borderId="59" xfId="2" applyNumberFormat="1" applyFont="1" applyBorder="1" applyAlignment="1">
      <alignment horizontal="right" vertical="center" shrinkToFit="1"/>
    </xf>
    <xf numFmtId="0" fontId="9" fillId="0" borderId="46" xfId="2" applyFont="1" applyBorder="1" applyAlignment="1">
      <alignment horizontal="left" vertical="center"/>
    </xf>
    <xf numFmtId="0" fontId="9" fillId="0" borderId="46" xfId="2" applyBorder="1" applyAlignment="1">
      <alignment horizontal="left" vertical="center"/>
    </xf>
    <xf numFmtId="0" fontId="9" fillId="0" borderId="47" xfId="2" applyBorder="1" applyAlignment="1">
      <alignment horizontal="left" vertical="center"/>
    </xf>
    <xf numFmtId="0" fontId="9" fillId="0" borderId="0" xfId="2" applyFont="1" applyBorder="1" applyAlignment="1">
      <alignment horizontal="center" vertical="center" shrinkToFit="1"/>
    </xf>
    <xf numFmtId="0" fontId="9" fillId="0" borderId="0" xfId="2" applyNumberFormat="1" applyFont="1" applyBorder="1" applyAlignment="1">
      <alignment vertical="center" shrinkToFit="1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vertical="center"/>
    </xf>
    <xf numFmtId="177" fontId="9" fillId="0" borderId="0" xfId="2" applyNumberFormat="1" applyFont="1" applyBorder="1" applyAlignment="1">
      <alignment horizontal="center" vertical="center"/>
    </xf>
    <xf numFmtId="0" fontId="9" fillId="0" borderId="0" xfId="2" applyFont="1" applyBorder="1" applyAlignment="1">
      <alignment horizontal="left" vertical="center"/>
    </xf>
    <xf numFmtId="0" fontId="9" fillId="0" borderId="0" xfId="2" applyBorder="1" applyAlignment="1">
      <alignment horizontal="left" vertical="center"/>
    </xf>
    <xf numFmtId="0" fontId="9" fillId="0" borderId="97" xfId="2" applyFont="1" applyBorder="1" applyAlignment="1">
      <alignment horizontal="center" vertical="center" shrinkToFit="1"/>
    </xf>
    <xf numFmtId="177" fontId="9" fillId="0" borderId="0" xfId="2" applyNumberFormat="1">
      <alignment vertical="center"/>
    </xf>
    <xf numFmtId="0" fontId="3" fillId="2" borderId="42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91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05" xfId="0" applyFont="1" applyFill="1" applyBorder="1">
      <alignment vertical="center"/>
    </xf>
    <xf numFmtId="0" fontId="3" fillId="2" borderId="106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9" xfId="0" quotePrefix="1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112" xfId="0" applyFont="1" applyFill="1" applyBorder="1">
      <alignment vertical="center"/>
    </xf>
    <xf numFmtId="0" fontId="3" fillId="2" borderId="41" xfId="0" applyFont="1" applyFill="1" applyBorder="1" applyAlignment="1">
      <alignment horizontal="left" vertical="center"/>
    </xf>
    <xf numFmtId="0" fontId="19" fillId="2" borderId="2" xfId="0" applyFont="1" applyFill="1" applyBorder="1">
      <alignment vertical="center"/>
    </xf>
    <xf numFmtId="0" fontId="19" fillId="2" borderId="69" xfId="0" applyFont="1" applyFill="1" applyBorder="1">
      <alignment vertical="center"/>
    </xf>
    <xf numFmtId="0" fontId="18" fillId="2" borderId="0" xfId="0" applyFont="1" applyFill="1" applyBorder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69" xfId="0" applyFont="1" applyFill="1" applyBorder="1">
      <alignment vertical="center"/>
    </xf>
    <xf numFmtId="0" fontId="18" fillId="2" borderId="69" xfId="0" quotePrefix="1" applyFont="1" applyFill="1" applyBorder="1">
      <alignment vertical="center"/>
    </xf>
    <xf numFmtId="0" fontId="3" fillId="2" borderId="69" xfId="0" quotePrefix="1" applyFont="1" applyFill="1" applyBorder="1" applyAlignment="1">
      <alignment vertical="center"/>
    </xf>
    <xf numFmtId="0" fontId="18" fillId="2" borderId="0" xfId="0" applyFont="1" applyFill="1">
      <alignment vertical="center"/>
    </xf>
    <xf numFmtId="0" fontId="3" fillId="2" borderId="113" xfId="0" applyFont="1" applyFill="1" applyBorder="1">
      <alignment vertical="center"/>
    </xf>
    <xf numFmtId="0" fontId="3" fillId="2" borderId="114" xfId="0" applyFont="1" applyFill="1" applyBorder="1">
      <alignment vertical="center"/>
    </xf>
    <xf numFmtId="0" fontId="3" fillId="2" borderId="115" xfId="0" applyFont="1" applyFill="1" applyBorder="1">
      <alignment vertical="center"/>
    </xf>
    <xf numFmtId="0" fontId="3" fillId="2" borderId="44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8" fillId="2" borderId="11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110" xfId="0" applyNumberFormat="1" applyFont="1" applyFill="1" applyBorder="1" applyAlignment="1">
      <alignment horizontal="center" vertical="center" shrinkToFit="1"/>
    </xf>
    <xf numFmtId="0" fontId="3" fillId="2" borderId="110" xfId="0" applyFont="1" applyFill="1" applyBorder="1" applyAlignment="1">
      <alignment horizontal="center" vertical="center" shrinkToFit="1"/>
    </xf>
    <xf numFmtId="0" fontId="3" fillId="2" borderId="108" xfId="0" applyFont="1" applyFill="1" applyBorder="1" applyAlignment="1">
      <alignment horizontal="center" vertical="center" shrinkToFit="1"/>
    </xf>
    <xf numFmtId="0" fontId="3" fillId="2" borderId="111" xfId="0" applyFont="1" applyFill="1" applyBorder="1" applyAlignment="1">
      <alignment horizontal="center" vertical="center" shrinkToFit="1"/>
    </xf>
    <xf numFmtId="0" fontId="3" fillId="3" borderId="103" xfId="0" applyFont="1" applyFill="1" applyBorder="1" applyAlignment="1">
      <alignment horizontal="center" vertical="center"/>
    </xf>
    <xf numFmtId="0" fontId="3" fillId="3" borderId="104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3" borderId="102" xfId="0" applyFont="1" applyFill="1" applyBorder="1" applyAlignment="1">
      <alignment horizontal="center" vertical="center"/>
    </xf>
    <xf numFmtId="0" fontId="3" fillId="3" borderId="113" xfId="0" applyFont="1" applyFill="1" applyBorder="1" applyAlignment="1">
      <alignment horizontal="center" vertical="center"/>
    </xf>
    <xf numFmtId="0" fontId="3" fillId="3" borderId="114" xfId="0" applyFont="1" applyFill="1" applyBorder="1" applyAlignment="1">
      <alignment horizontal="center" vertical="center"/>
    </xf>
    <xf numFmtId="0" fontId="3" fillId="3" borderId="115" xfId="0" applyFont="1" applyFill="1" applyBorder="1" applyAlignment="1">
      <alignment horizontal="center" vertical="center"/>
    </xf>
    <xf numFmtId="0" fontId="3" fillId="2" borderId="107" xfId="0" applyFont="1" applyFill="1" applyBorder="1" applyAlignment="1">
      <alignment horizontal="center" vertical="center" shrinkToFit="1"/>
    </xf>
    <xf numFmtId="0" fontId="3" fillId="2" borderId="109" xfId="0" applyFont="1" applyFill="1" applyBorder="1" applyAlignment="1">
      <alignment horizontal="center" vertical="center" shrinkToFit="1"/>
    </xf>
    <xf numFmtId="0" fontId="9" fillId="0" borderId="80" xfId="2" applyNumberFormat="1" applyBorder="1" applyAlignment="1">
      <alignment vertical="center" shrinkToFit="1"/>
    </xf>
    <xf numFmtId="0" fontId="9" fillId="0" borderId="81" xfId="2" applyNumberFormat="1" applyBorder="1" applyAlignment="1">
      <alignment vertical="center" shrinkToFit="1"/>
    </xf>
    <xf numFmtId="0" fontId="15" fillId="0" borderId="82" xfId="2" applyFont="1" applyFill="1" applyBorder="1" applyAlignment="1">
      <alignment horizontal="center" wrapText="1" shrinkToFit="1"/>
    </xf>
    <xf numFmtId="0" fontId="15" fillId="0" borderId="66" xfId="2" applyFont="1" applyFill="1" applyBorder="1" applyAlignment="1">
      <alignment horizontal="center" wrapText="1" shrinkToFit="1"/>
    </xf>
    <xf numFmtId="49" fontId="16" fillId="0" borderId="82" xfId="2" applyNumberFormat="1" applyFont="1" applyFill="1" applyBorder="1" applyAlignment="1">
      <alignment horizontal="center" vertical="center" wrapText="1"/>
    </xf>
    <xf numFmtId="49" fontId="16" fillId="0" borderId="66" xfId="2" applyNumberFormat="1" applyFont="1" applyFill="1" applyBorder="1" applyAlignment="1">
      <alignment horizontal="center" vertical="center" wrapText="1"/>
    </xf>
    <xf numFmtId="49" fontId="16" fillId="0" borderId="74" xfId="2" applyNumberFormat="1" applyFont="1" applyFill="1" applyBorder="1" applyAlignment="1">
      <alignment horizontal="center" vertical="center" wrapText="1"/>
    </xf>
    <xf numFmtId="0" fontId="9" fillId="0" borderId="69" xfId="2" applyBorder="1" applyAlignment="1">
      <alignment horizontal="center" vertical="center" shrinkToFit="1"/>
    </xf>
    <xf numFmtId="0" fontId="9" fillId="0" borderId="72" xfId="2" applyBorder="1" applyAlignment="1">
      <alignment horizontal="center" vertical="center" shrinkToFit="1"/>
    </xf>
    <xf numFmtId="0" fontId="9" fillId="0" borderId="78" xfId="2" applyFont="1" applyBorder="1" applyAlignment="1">
      <alignment horizontal="center" vertical="center" shrinkToFit="1"/>
    </xf>
    <xf numFmtId="0" fontId="9" fillId="0" borderId="84" xfId="2" applyFont="1" applyBorder="1" applyAlignment="1">
      <alignment horizontal="center" vertical="center" shrinkToFit="1"/>
    </xf>
    <xf numFmtId="0" fontId="9" fillId="0" borderId="69" xfId="2" applyBorder="1" applyAlignment="1">
      <alignment horizontal="left" vertical="center" shrinkToFit="1"/>
    </xf>
    <xf numFmtId="0" fontId="9" fillId="0" borderId="0" xfId="2" applyBorder="1" applyAlignment="1">
      <alignment horizontal="left" vertical="center" shrinkToFit="1"/>
    </xf>
    <xf numFmtId="0" fontId="9" fillId="0" borderId="91" xfId="2" applyBorder="1" applyAlignment="1">
      <alignment horizontal="left" vertical="center" shrinkToFit="1"/>
    </xf>
    <xf numFmtId="0" fontId="9" fillId="0" borderId="93" xfId="2" applyBorder="1" applyAlignment="1">
      <alignment horizontal="center" vertical="center" shrinkToFit="1"/>
    </xf>
    <xf numFmtId="0" fontId="9" fillId="0" borderId="94" xfId="2" applyFont="1" applyBorder="1" applyAlignment="1">
      <alignment horizontal="center" vertical="center" shrinkToFit="1"/>
    </xf>
    <xf numFmtId="0" fontId="9" fillId="0" borderId="98" xfId="2" applyFont="1" applyBorder="1" applyAlignment="1">
      <alignment horizontal="center" vertical="center" shrinkToFit="1"/>
    </xf>
    <xf numFmtId="0" fontId="9" fillId="0" borderId="99" xfId="2" applyFont="1" applyBorder="1" applyAlignment="1">
      <alignment horizontal="center" vertical="center" shrinkToFit="1"/>
    </xf>
    <xf numFmtId="3" fontId="9" fillId="0" borderId="95" xfId="2" applyNumberFormat="1" applyFont="1" applyBorder="1" applyAlignment="1">
      <alignment horizontal="center" vertical="center" shrinkToFit="1"/>
    </xf>
    <xf numFmtId="3" fontId="9" fillId="0" borderId="94" xfId="2" applyNumberFormat="1" applyFont="1" applyBorder="1" applyAlignment="1">
      <alignment horizontal="center" vertical="center" shrinkToFit="1"/>
    </xf>
    <xf numFmtId="3" fontId="9" fillId="0" borderId="96" xfId="2" applyNumberFormat="1" applyFont="1" applyBorder="1" applyAlignment="1">
      <alignment horizontal="center" vertical="center" shrinkToFit="1"/>
    </xf>
    <xf numFmtId="3" fontId="9" fillId="0" borderId="100" xfId="2" applyNumberFormat="1" applyFont="1" applyBorder="1" applyAlignment="1">
      <alignment horizontal="center" vertical="center" shrinkToFit="1"/>
    </xf>
    <xf numFmtId="3" fontId="9" fillId="0" borderId="99" xfId="2" applyNumberFormat="1" applyFont="1" applyBorder="1" applyAlignment="1">
      <alignment horizontal="center" vertical="center" shrinkToFit="1"/>
    </xf>
    <xf numFmtId="3" fontId="9" fillId="0" borderId="101" xfId="2" applyNumberFormat="1" applyFont="1" applyBorder="1" applyAlignment="1">
      <alignment horizontal="center" vertical="center" shrinkToFit="1"/>
    </xf>
    <xf numFmtId="0" fontId="9" fillId="0" borderId="0" xfId="2" applyAlignment="1">
      <alignment horizontal="center" vertical="center" shrinkToFit="1"/>
    </xf>
    <xf numFmtId="0" fontId="9" fillId="0" borderId="0" xfId="2" applyAlignment="1">
      <alignment vertical="center" shrinkToFit="1"/>
    </xf>
    <xf numFmtId="0" fontId="9" fillId="0" borderId="81" xfId="2" applyBorder="1" applyAlignment="1">
      <alignment vertical="center" shrinkToFit="1"/>
    </xf>
    <xf numFmtId="0" fontId="9" fillId="0" borderId="72" xfId="2" applyBorder="1" applyAlignment="1">
      <alignment vertical="center" shrinkToFit="1"/>
    </xf>
    <xf numFmtId="0" fontId="9" fillId="0" borderId="69" xfId="2" applyFont="1" applyBorder="1" applyAlignment="1">
      <alignment horizontal="center" vertical="center" shrinkToFit="1"/>
    </xf>
    <xf numFmtId="0" fontId="9" fillId="0" borderId="84" xfId="2" applyBorder="1" applyAlignment="1">
      <alignment vertical="center" shrinkToFit="1"/>
    </xf>
    <xf numFmtId="0" fontId="9" fillId="0" borderId="49" xfId="2" applyNumberFormat="1" applyBorder="1" applyAlignment="1">
      <alignment vertical="center" shrinkToFit="1"/>
    </xf>
    <xf numFmtId="0" fontId="9" fillId="0" borderId="50" xfId="2" applyBorder="1" applyAlignment="1">
      <alignment vertical="center" shrinkToFit="1"/>
    </xf>
    <xf numFmtId="0" fontId="15" fillId="0" borderId="51" xfId="2" applyFont="1" applyFill="1" applyBorder="1" applyAlignment="1">
      <alignment horizontal="center" wrapText="1" shrinkToFit="1"/>
    </xf>
    <xf numFmtId="49" fontId="16" fillId="0" borderId="51" xfId="2" applyNumberFormat="1" applyFont="1" applyFill="1" applyBorder="1" applyAlignment="1">
      <alignment horizontal="center" vertical="center" wrapText="1"/>
    </xf>
    <xf numFmtId="0" fontId="10" fillId="6" borderId="41" xfId="2" applyFont="1" applyFill="1" applyBorder="1" applyAlignment="1">
      <alignment horizontal="center" vertical="center" shrinkToFit="1"/>
    </xf>
    <xf numFmtId="0" fontId="9" fillId="6" borderId="42" xfId="2" applyFill="1" applyBorder="1" applyAlignment="1">
      <alignment vertical="center" shrinkToFit="1"/>
    </xf>
    <xf numFmtId="0" fontId="9" fillId="6" borderId="43" xfId="2" applyFill="1" applyBorder="1" applyAlignment="1">
      <alignment vertical="center" shrinkToFit="1"/>
    </xf>
    <xf numFmtId="0" fontId="9" fillId="6" borderId="45" xfId="2" applyFill="1" applyBorder="1" applyAlignment="1">
      <alignment vertical="center" shrinkToFit="1"/>
    </xf>
    <xf numFmtId="0" fontId="9" fillId="6" borderId="46" xfId="2" applyFill="1" applyBorder="1" applyAlignment="1">
      <alignment vertical="center" shrinkToFit="1"/>
    </xf>
    <xf numFmtId="0" fontId="9" fillId="6" borderId="47" xfId="2" applyFill="1" applyBorder="1" applyAlignment="1">
      <alignment vertical="center" shrinkToFit="1"/>
    </xf>
    <xf numFmtId="0" fontId="12" fillId="0" borderId="0" xfId="2" applyFont="1" applyAlignment="1">
      <alignment horizontal="left" vertical="center" shrinkToFit="1"/>
    </xf>
    <xf numFmtId="0" fontId="13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shrinkToFit="1"/>
    </xf>
    <xf numFmtId="0" fontId="13" fillId="0" borderId="0" xfId="2" applyFont="1" applyAlignment="1">
      <alignment vertical="center" shrinkToFit="1"/>
    </xf>
    <xf numFmtId="0" fontId="12" fillId="0" borderId="0" xfId="2" applyFont="1" applyAlignment="1">
      <alignment vertical="center" shrinkToFit="1"/>
    </xf>
    <xf numFmtId="0" fontId="12" fillId="0" borderId="46" xfId="2" applyFont="1" applyBorder="1" applyAlignment="1">
      <alignment horizontal="left" vertical="center" shrinkToFit="1"/>
    </xf>
    <xf numFmtId="0" fontId="9" fillId="0" borderId="46" xfId="2" applyBorder="1" applyAlignment="1">
      <alignment horizontal="left" vertical="center" shrinkToFit="1"/>
    </xf>
    <xf numFmtId="31" fontId="14" fillId="0" borderId="46" xfId="2" applyNumberFormat="1" applyFont="1" applyBorder="1" applyAlignment="1">
      <alignment horizontal="right" vertical="center" shrinkToFit="1"/>
    </xf>
    <xf numFmtId="0" fontId="9" fillId="0" borderId="46" xfId="2" applyBorder="1" applyAlignment="1">
      <alignment horizontal="right" vertical="center" shrinkToFit="1"/>
    </xf>
    <xf numFmtId="0" fontId="9" fillId="0" borderId="48" xfId="2" applyBorder="1" applyAlignment="1">
      <alignment horizontal="center" vertical="center" shrinkToFit="1"/>
    </xf>
    <xf numFmtId="0" fontId="9" fillId="0" borderId="56" xfId="2" applyBorder="1" applyAlignment="1">
      <alignment horizontal="center" vertical="center" shrinkToFit="1"/>
    </xf>
    <xf numFmtId="0" fontId="9" fillId="0" borderId="49" xfId="2" applyBorder="1" applyAlignment="1">
      <alignment horizontal="center" vertical="center" shrinkToFit="1"/>
    </xf>
    <xf numFmtId="0" fontId="9" fillId="0" borderId="50" xfId="2" applyBorder="1" applyAlignment="1">
      <alignment horizontal="center" vertical="center" shrinkToFit="1"/>
    </xf>
    <xf numFmtId="0" fontId="9" fillId="0" borderId="51" xfId="2" applyBorder="1" applyAlignment="1">
      <alignment horizontal="center" vertical="center" shrinkToFit="1"/>
    </xf>
    <xf numFmtId="0" fontId="9" fillId="0" borderId="59" xfId="2" applyBorder="1" applyAlignment="1">
      <alignment horizontal="center" vertical="center" shrinkToFit="1"/>
    </xf>
    <xf numFmtId="0" fontId="9" fillId="0" borderId="57" xfId="2" applyBorder="1" applyAlignment="1">
      <alignment vertical="center" shrinkToFit="1"/>
    </xf>
    <xf numFmtId="177" fontId="9" fillId="0" borderId="50" xfId="2" applyNumberFormat="1" applyBorder="1" applyAlignment="1">
      <alignment horizontal="center" vertical="center" shrinkToFit="1"/>
    </xf>
    <xf numFmtId="177" fontId="9" fillId="0" borderId="58" xfId="2" applyNumberFormat="1" applyBorder="1" applyAlignment="1">
      <alignment horizontal="center" vertical="center" shrinkToFit="1"/>
    </xf>
    <xf numFmtId="177" fontId="9" fillId="0" borderId="51" xfId="2" applyNumberFormat="1" applyBorder="1" applyAlignment="1">
      <alignment horizontal="center" vertical="center" shrinkToFit="1"/>
    </xf>
    <xf numFmtId="177" fontId="9" fillId="0" borderId="59" xfId="2" applyNumberFormat="1" applyBorder="1" applyAlignment="1">
      <alignment horizontal="center" vertical="center" shrinkToFit="1"/>
    </xf>
    <xf numFmtId="0" fontId="9" fillId="0" borderId="54" xfId="2" applyBorder="1" applyAlignment="1">
      <alignment horizontal="center" vertical="center" shrinkToFit="1"/>
    </xf>
    <xf numFmtId="0" fontId="9" fillId="0" borderId="62" xfId="2" applyBorder="1" applyAlignment="1">
      <alignment horizontal="center" vertical="center" shrinkToFit="1"/>
    </xf>
    <xf numFmtId="0" fontId="9" fillId="0" borderId="55" xfId="2" applyBorder="1" applyAlignment="1">
      <alignment horizontal="center" vertical="center" shrinkToFit="1"/>
    </xf>
    <xf numFmtId="0" fontId="9" fillId="0" borderId="43" xfId="2" applyBorder="1" applyAlignment="1">
      <alignment horizontal="center" vertical="center" shrinkToFit="1"/>
    </xf>
    <xf numFmtId="0" fontId="9" fillId="0" borderId="57" xfId="2" applyBorder="1" applyAlignment="1">
      <alignment horizontal="center" vertical="center" shrinkToFit="1"/>
    </xf>
    <xf numFmtId="0" fontId="9" fillId="0" borderId="58" xfId="2" applyBorder="1" applyAlignment="1">
      <alignment horizontal="center" vertical="center" shrinkToFit="1"/>
    </xf>
  </cellXfs>
  <cellStyles count="3"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224117</xdr:rowOff>
    </xdr:from>
    <xdr:to>
      <xdr:col>46</xdr:col>
      <xdr:colOff>146789</xdr:colOff>
      <xdr:row>66</xdr:row>
      <xdr:rowOff>178391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024" y="1604682"/>
          <a:ext cx="10707212" cy="147639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245035</xdr:colOff>
      <xdr:row>9</xdr:row>
      <xdr:rowOff>156883</xdr:rowOff>
    </xdr:from>
    <xdr:to>
      <xdr:col>9</xdr:col>
      <xdr:colOff>31375</xdr:colOff>
      <xdr:row>10</xdr:row>
      <xdr:rowOff>231590</xdr:rowOff>
    </xdr:to>
    <xdr:sp macro="" textlink="">
      <xdr:nvSpPr>
        <xdr:cNvPr id="5" name="正方形/長方形 4"/>
        <xdr:cNvSpPr/>
      </xdr:nvSpPr>
      <xdr:spPr>
        <a:xfrm>
          <a:off x="1985682" y="2069354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240553</xdr:colOff>
      <xdr:row>11</xdr:row>
      <xdr:rowOff>17931</xdr:rowOff>
    </xdr:from>
    <xdr:to>
      <xdr:col>9</xdr:col>
      <xdr:colOff>26893</xdr:colOff>
      <xdr:row>12</xdr:row>
      <xdr:rowOff>92638</xdr:rowOff>
    </xdr:to>
    <xdr:sp macro="" textlink="">
      <xdr:nvSpPr>
        <xdr:cNvPr id="6" name="正方形/長方形 5"/>
        <xdr:cNvSpPr/>
      </xdr:nvSpPr>
      <xdr:spPr>
        <a:xfrm>
          <a:off x="1981200" y="243840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221129</xdr:colOff>
      <xdr:row>12</xdr:row>
      <xdr:rowOff>28389</xdr:rowOff>
    </xdr:from>
    <xdr:to>
      <xdr:col>38</xdr:col>
      <xdr:colOff>7469</xdr:colOff>
      <xdr:row>13</xdr:row>
      <xdr:rowOff>103096</xdr:rowOff>
    </xdr:to>
    <xdr:sp macro="" textlink="">
      <xdr:nvSpPr>
        <xdr:cNvPr id="7" name="正方形/長方形 6"/>
        <xdr:cNvSpPr/>
      </xdr:nvSpPr>
      <xdr:spPr>
        <a:xfrm>
          <a:off x="9977717" y="2702860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59764</xdr:colOff>
      <xdr:row>15</xdr:row>
      <xdr:rowOff>128495</xdr:rowOff>
    </xdr:from>
    <xdr:to>
      <xdr:col>10</xdr:col>
      <xdr:colOff>122517</xdr:colOff>
      <xdr:row>16</xdr:row>
      <xdr:rowOff>203202</xdr:rowOff>
    </xdr:to>
    <xdr:sp macro="" textlink="">
      <xdr:nvSpPr>
        <xdr:cNvPr id="8" name="正方形/長方形 7"/>
        <xdr:cNvSpPr/>
      </xdr:nvSpPr>
      <xdr:spPr>
        <a:xfrm>
          <a:off x="2353235" y="3564966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234576</xdr:colOff>
      <xdr:row>15</xdr:row>
      <xdr:rowOff>109072</xdr:rowOff>
    </xdr:from>
    <xdr:to>
      <xdr:col>12</xdr:col>
      <xdr:colOff>20916</xdr:colOff>
      <xdr:row>16</xdr:row>
      <xdr:rowOff>183779</xdr:rowOff>
    </xdr:to>
    <xdr:sp macro="" textlink="">
      <xdr:nvSpPr>
        <xdr:cNvPr id="9" name="正方形/長方形 8"/>
        <xdr:cNvSpPr/>
      </xdr:nvSpPr>
      <xdr:spPr>
        <a:xfrm>
          <a:off x="2804458" y="3545543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43328</xdr:colOff>
      <xdr:row>15</xdr:row>
      <xdr:rowOff>112060</xdr:rowOff>
    </xdr:from>
    <xdr:to>
      <xdr:col>14</xdr:col>
      <xdr:colOff>106081</xdr:colOff>
      <xdr:row>16</xdr:row>
      <xdr:rowOff>186767</xdr:rowOff>
    </xdr:to>
    <xdr:sp macro="" textlink="">
      <xdr:nvSpPr>
        <xdr:cNvPr id="10" name="正方形/長方形 9"/>
        <xdr:cNvSpPr/>
      </xdr:nvSpPr>
      <xdr:spPr>
        <a:xfrm>
          <a:off x="3442446" y="354853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225611</xdr:colOff>
      <xdr:row>15</xdr:row>
      <xdr:rowOff>107578</xdr:rowOff>
    </xdr:from>
    <xdr:to>
      <xdr:col>16</xdr:col>
      <xdr:colOff>11951</xdr:colOff>
      <xdr:row>16</xdr:row>
      <xdr:rowOff>182285</xdr:rowOff>
    </xdr:to>
    <xdr:sp macro="" textlink="">
      <xdr:nvSpPr>
        <xdr:cNvPr id="11" name="正方形/長方形 10"/>
        <xdr:cNvSpPr/>
      </xdr:nvSpPr>
      <xdr:spPr>
        <a:xfrm>
          <a:off x="3901140" y="3544049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138952</xdr:colOff>
      <xdr:row>15</xdr:row>
      <xdr:rowOff>110567</xdr:rowOff>
    </xdr:from>
    <xdr:to>
      <xdr:col>17</xdr:col>
      <xdr:colOff>201704</xdr:colOff>
      <xdr:row>16</xdr:row>
      <xdr:rowOff>185274</xdr:rowOff>
    </xdr:to>
    <xdr:sp macro="" textlink="">
      <xdr:nvSpPr>
        <xdr:cNvPr id="12" name="正方形/長方形 11"/>
        <xdr:cNvSpPr/>
      </xdr:nvSpPr>
      <xdr:spPr>
        <a:xfrm>
          <a:off x="4367305" y="3547038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44823</xdr:colOff>
      <xdr:row>15</xdr:row>
      <xdr:rowOff>121026</xdr:rowOff>
    </xdr:from>
    <xdr:to>
      <xdr:col>19</xdr:col>
      <xdr:colOff>107575</xdr:colOff>
      <xdr:row>16</xdr:row>
      <xdr:rowOff>195733</xdr:rowOff>
    </xdr:to>
    <xdr:sp macro="" textlink="">
      <xdr:nvSpPr>
        <xdr:cNvPr id="13" name="正方形/長方形 12"/>
        <xdr:cNvSpPr/>
      </xdr:nvSpPr>
      <xdr:spPr>
        <a:xfrm>
          <a:off x="4825999" y="3557497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47810</xdr:colOff>
      <xdr:row>15</xdr:row>
      <xdr:rowOff>101602</xdr:rowOff>
    </xdr:from>
    <xdr:to>
      <xdr:col>22</xdr:col>
      <xdr:colOff>110562</xdr:colOff>
      <xdr:row>16</xdr:row>
      <xdr:rowOff>176309</xdr:rowOff>
    </xdr:to>
    <xdr:sp macro="" textlink="">
      <xdr:nvSpPr>
        <xdr:cNvPr id="14" name="正方形/長方形 13"/>
        <xdr:cNvSpPr/>
      </xdr:nvSpPr>
      <xdr:spPr>
        <a:xfrm>
          <a:off x="5658222" y="3538073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88152</xdr:colOff>
      <xdr:row>15</xdr:row>
      <xdr:rowOff>104590</xdr:rowOff>
    </xdr:from>
    <xdr:to>
      <xdr:col>25</xdr:col>
      <xdr:colOff>150904</xdr:colOff>
      <xdr:row>16</xdr:row>
      <xdr:rowOff>179297</xdr:rowOff>
    </xdr:to>
    <xdr:sp macro="" textlink="">
      <xdr:nvSpPr>
        <xdr:cNvPr id="15" name="正方形/長方形 14"/>
        <xdr:cNvSpPr/>
      </xdr:nvSpPr>
      <xdr:spPr>
        <a:xfrm>
          <a:off x="6527799" y="354106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218141</xdr:colOff>
      <xdr:row>15</xdr:row>
      <xdr:rowOff>107578</xdr:rowOff>
    </xdr:from>
    <xdr:to>
      <xdr:col>28</xdr:col>
      <xdr:colOff>4482</xdr:colOff>
      <xdr:row>16</xdr:row>
      <xdr:rowOff>182285</xdr:rowOff>
    </xdr:to>
    <xdr:sp macro="" textlink="">
      <xdr:nvSpPr>
        <xdr:cNvPr id="16" name="正方形/長方形 15"/>
        <xdr:cNvSpPr/>
      </xdr:nvSpPr>
      <xdr:spPr>
        <a:xfrm>
          <a:off x="7210612" y="3544049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71719</xdr:colOff>
      <xdr:row>15</xdr:row>
      <xdr:rowOff>110566</xdr:rowOff>
    </xdr:from>
    <xdr:to>
      <xdr:col>30</xdr:col>
      <xdr:colOff>134471</xdr:colOff>
      <xdr:row>16</xdr:row>
      <xdr:rowOff>185273</xdr:rowOff>
    </xdr:to>
    <xdr:sp macro="" textlink="">
      <xdr:nvSpPr>
        <xdr:cNvPr id="17" name="正方形/長方形 16"/>
        <xdr:cNvSpPr/>
      </xdr:nvSpPr>
      <xdr:spPr>
        <a:xfrm>
          <a:off x="7893425" y="3547037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239062</xdr:colOff>
      <xdr:row>15</xdr:row>
      <xdr:rowOff>113554</xdr:rowOff>
    </xdr:from>
    <xdr:to>
      <xdr:col>33</xdr:col>
      <xdr:colOff>25402</xdr:colOff>
      <xdr:row>16</xdr:row>
      <xdr:rowOff>188261</xdr:rowOff>
    </xdr:to>
    <xdr:sp macro="" textlink="">
      <xdr:nvSpPr>
        <xdr:cNvPr id="18" name="正方形/長方形 17"/>
        <xdr:cNvSpPr/>
      </xdr:nvSpPr>
      <xdr:spPr>
        <a:xfrm>
          <a:off x="8613591" y="3550025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137463</xdr:colOff>
      <xdr:row>15</xdr:row>
      <xdr:rowOff>101601</xdr:rowOff>
    </xdr:from>
    <xdr:to>
      <xdr:col>41</xdr:col>
      <xdr:colOff>200215</xdr:colOff>
      <xdr:row>16</xdr:row>
      <xdr:rowOff>176308</xdr:rowOff>
    </xdr:to>
    <xdr:sp macro="" textlink="">
      <xdr:nvSpPr>
        <xdr:cNvPr id="19" name="正方形/長方形 18"/>
        <xdr:cNvSpPr/>
      </xdr:nvSpPr>
      <xdr:spPr>
        <a:xfrm>
          <a:off x="10999698" y="353807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222628</xdr:colOff>
      <xdr:row>15</xdr:row>
      <xdr:rowOff>127001</xdr:rowOff>
    </xdr:from>
    <xdr:to>
      <xdr:col>44</xdr:col>
      <xdr:colOff>8969</xdr:colOff>
      <xdr:row>16</xdr:row>
      <xdr:rowOff>201708</xdr:rowOff>
    </xdr:to>
    <xdr:sp macro="" textlink="">
      <xdr:nvSpPr>
        <xdr:cNvPr id="20" name="正方形/長方形 19"/>
        <xdr:cNvSpPr/>
      </xdr:nvSpPr>
      <xdr:spPr>
        <a:xfrm>
          <a:off x="11637687" y="3563472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82177</xdr:colOff>
      <xdr:row>61</xdr:row>
      <xdr:rowOff>127000</xdr:rowOff>
    </xdr:from>
    <xdr:to>
      <xdr:col>22</xdr:col>
      <xdr:colOff>144929</xdr:colOff>
      <xdr:row>62</xdr:row>
      <xdr:rowOff>201707</xdr:rowOff>
    </xdr:to>
    <xdr:sp macro="" textlink="">
      <xdr:nvSpPr>
        <xdr:cNvPr id="21" name="正方形/長方形 20"/>
        <xdr:cNvSpPr/>
      </xdr:nvSpPr>
      <xdr:spPr>
        <a:xfrm>
          <a:off x="5692589" y="1524747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85166</xdr:colOff>
      <xdr:row>61</xdr:row>
      <xdr:rowOff>129988</xdr:rowOff>
    </xdr:from>
    <xdr:to>
      <xdr:col>25</xdr:col>
      <xdr:colOff>147918</xdr:colOff>
      <xdr:row>62</xdr:row>
      <xdr:rowOff>204695</xdr:rowOff>
    </xdr:to>
    <xdr:sp macro="" textlink="">
      <xdr:nvSpPr>
        <xdr:cNvPr id="22" name="正方形/長方形 21"/>
        <xdr:cNvSpPr/>
      </xdr:nvSpPr>
      <xdr:spPr>
        <a:xfrm>
          <a:off x="6524813" y="15250459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207683</xdr:colOff>
      <xdr:row>61</xdr:row>
      <xdr:rowOff>132976</xdr:rowOff>
    </xdr:from>
    <xdr:to>
      <xdr:col>27</xdr:col>
      <xdr:colOff>270436</xdr:colOff>
      <xdr:row>62</xdr:row>
      <xdr:rowOff>207683</xdr:rowOff>
    </xdr:to>
    <xdr:sp macro="" textlink="">
      <xdr:nvSpPr>
        <xdr:cNvPr id="23" name="正方形/長方形 22"/>
        <xdr:cNvSpPr/>
      </xdr:nvSpPr>
      <xdr:spPr>
        <a:xfrm>
          <a:off x="7200154" y="15253447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91142</xdr:colOff>
      <xdr:row>61</xdr:row>
      <xdr:rowOff>121023</xdr:rowOff>
    </xdr:from>
    <xdr:to>
      <xdr:col>30</xdr:col>
      <xdr:colOff>153894</xdr:colOff>
      <xdr:row>62</xdr:row>
      <xdr:rowOff>195730</xdr:rowOff>
    </xdr:to>
    <xdr:sp macro="" textlink="">
      <xdr:nvSpPr>
        <xdr:cNvPr id="24" name="正方形/長方形 23"/>
        <xdr:cNvSpPr/>
      </xdr:nvSpPr>
      <xdr:spPr>
        <a:xfrm>
          <a:off x="7912848" y="15241494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138954</xdr:colOff>
      <xdr:row>63</xdr:row>
      <xdr:rowOff>228600</xdr:rowOff>
    </xdr:from>
    <xdr:to>
      <xdr:col>17</xdr:col>
      <xdr:colOff>201706</xdr:colOff>
      <xdr:row>65</xdr:row>
      <xdr:rowOff>49307</xdr:rowOff>
    </xdr:to>
    <xdr:sp macro="" textlink="">
      <xdr:nvSpPr>
        <xdr:cNvPr id="25" name="正方形/長方形 24"/>
        <xdr:cNvSpPr/>
      </xdr:nvSpPr>
      <xdr:spPr>
        <a:xfrm>
          <a:off x="4367307" y="1585707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41835</xdr:colOff>
      <xdr:row>12</xdr:row>
      <xdr:rowOff>55283</xdr:rowOff>
    </xdr:from>
    <xdr:to>
      <xdr:col>44</xdr:col>
      <xdr:colOff>106081</xdr:colOff>
      <xdr:row>13</xdr:row>
      <xdr:rowOff>129990</xdr:rowOff>
    </xdr:to>
    <xdr:sp macro="" textlink="">
      <xdr:nvSpPr>
        <xdr:cNvPr id="26" name="正方形/長方形 25"/>
        <xdr:cNvSpPr/>
      </xdr:nvSpPr>
      <xdr:spPr>
        <a:xfrm>
          <a:off x="11794564" y="2690907"/>
          <a:ext cx="342152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210672</xdr:colOff>
      <xdr:row>61</xdr:row>
      <xdr:rowOff>4483</xdr:rowOff>
    </xdr:from>
    <xdr:to>
      <xdr:col>8</xdr:col>
      <xdr:colOff>273423</xdr:colOff>
      <xdr:row>62</xdr:row>
      <xdr:rowOff>76201</xdr:rowOff>
    </xdr:to>
    <xdr:sp macro="" textlink="">
      <xdr:nvSpPr>
        <xdr:cNvPr id="27" name="正方形/長方形 26"/>
        <xdr:cNvSpPr/>
      </xdr:nvSpPr>
      <xdr:spPr>
        <a:xfrm>
          <a:off x="1958790" y="14939683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216646</xdr:colOff>
      <xdr:row>16</xdr:row>
      <xdr:rowOff>207683</xdr:rowOff>
    </xdr:from>
    <xdr:to>
      <xdr:col>12</xdr:col>
      <xdr:colOff>2986</xdr:colOff>
      <xdr:row>18</xdr:row>
      <xdr:rowOff>31379</xdr:rowOff>
    </xdr:to>
    <xdr:sp macro="" textlink="">
      <xdr:nvSpPr>
        <xdr:cNvPr id="28" name="正方形/長方形 27"/>
        <xdr:cNvSpPr/>
      </xdr:nvSpPr>
      <xdr:spPr>
        <a:xfrm>
          <a:off x="2798481" y="3847354"/>
          <a:ext cx="342152" cy="3257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19050</xdr:rowOff>
    </xdr:from>
    <xdr:ext cx="514350" cy="478064"/>
    <xdr:sp macro="" textlink="">
      <xdr:nvSpPr>
        <xdr:cNvPr id="2" name="テキスト ボックス 1"/>
        <xdr:cNvSpPr txBox="1"/>
      </xdr:nvSpPr>
      <xdr:spPr>
        <a:xfrm>
          <a:off x="2133600" y="499110"/>
          <a:ext cx="514350" cy="478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kumimoji="1" lang="ja-JP" altLang="en-US" sz="2800"/>
            <a:t>✔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87141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45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255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31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4"/>
      <c r="BN2" s="14"/>
    </row>
    <row r="3" spans="1:66" ht="20.100000000000001" customHeight="1" x14ac:dyDescent="0.45">
      <c r="A3" s="8"/>
      <c r="B3" s="244" t="s">
        <v>253</v>
      </c>
      <c r="C3" s="245"/>
      <c r="D3" s="245"/>
      <c r="E3" s="245"/>
      <c r="F3" s="245"/>
      <c r="G3" s="245"/>
      <c r="H3" s="245" t="str">
        <f ca="1">LEFT($X$3,FIND("_",$X$3)-1)</f>
        <v>SU0800</v>
      </c>
      <c r="I3" s="245"/>
      <c r="J3" s="245"/>
      <c r="K3" s="245"/>
      <c r="L3" s="245" t="s">
        <v>254</v>
      </c>
      <c r="M3" s="245"/>
      <c r="N3" s="245"/>
      <c r="O3" s="245"/>
      <c r="P3" s="245"/>
      <c r="Q3" s="245"/>
      <c r="R3" s="248" t="str">
        <f ca="1">MID($X$3,FIND("_",$X$3,FIND("_",$X$3)+1)+1,LEN($X$3)-FIND("_",$X$3,FIND("_",$X$3)+1))</f>
        <v>帳票設計書</v>
      </c>
      <c r="S3" s="245"/>
      <c r="T3" s="245"/>
      <c r="U3" s="245"/>
      <c r="V3" s="245"/>
      <c r="W3" s="245"/>
      <c r="X3" s="249" t="str">
        <f ca="1">REPLACE(LEFT(CELL("filename",$B$2),FIND(".x",CELL("filename",$B$2))-1),1,FIND("[",CELL("filename",$B$2)),)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MID($X$3,FIND("_",$X$3)+1,FIND("_",$X$3,FIND("_",$X$3)+1)-FIND("_",$X$3)-1)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v>45581</v>
      </c>
      <c r="AY3" s="245"/>
      <c r="AZ3" s="245"/>
      <c r="BA3" s="245"/>
      <c r="BB3" s="245" t="s">
        <v>256</v>
      </c>
      <c r="BC3" s="245"/>
      <c r="BD3" s="245"/>
      <c r="BE3" s="245"/>
      <c r="BF3" s="256">
        <v>45581</v>
      </c>
      <c r="BG3" s="245"/>
      <c r="BH3" s="245"/>
      <c r="BI3" s="245"/>
      <c r="BJ3" s="245" t="s">
        <v>256</v>
      </c>
      <c r="BK3" s="245"/>
      <c r="BL3" s="245"/>
      <c r="BM3" s="257"/>
      <c r="BN3" s="14"/>
    </row>
    <row r="4" spans="1:66" ht="20.100000000000001" customHeight="1" thickBot="1" x14ac:dyDescent="0.5">
      <c r="A4" s="8"/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51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3"/>
      <c r="AK4" s="251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3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9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55" t="s">
        <v>8</v>
      </c>
      <c r="D8" s="255"/>
      <c r="E8" s="255"/>
      <c r="F8" s="255"/>
      <c r="G8" s="255" t="s">
        <v>9</v>
      </c>
      <c r="H8" s="255"/>
      <c r="I8" s="255"/>
      <c r="J8" s="255"/>
      <c r="K8" s="255" t="s">
        <v>10</v>
      </c>
      <c r="L8" s="255"/>
      <c r="M8" s="255"/>
      <c r="N8" s="255"/>
      <c r="O8" s="255" t="s">
        <v>11</v>
      </c>
      <c r="P8" s="255"/>
      <c r="Q8" s="255"/>
      <c r="R8" s="255"/>
      <c r="S8" s="255"/>
      <c r="T8" s="255"/>
      <c r="U8" s="255"/>
      <c r="V8" s="255"/>
      <c r="W8" s="255"/>
      <c r="X8" s="255"/>
      <c r="Y8" s="255" t="s">
        <v>12</v>
      </c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7"/>
      <c r="BN8" s="14"/>
    </row>
    <row r="9" spans="1:66" ht="20.100000000000001" customHeight="1" x14ac:dyDescent="0.45">
      <c r="A9" s="8"/>
      <c r="B9" s="7"/>
      <c r="C9" s="258">
        <v>45581</v>
      </c>
      <c r="D9" s="259"/>
      <c r="E9" s="259"/>
      <c r="F9" s="260"/>
      <c r="G9" s="261" t="s">
        <v>16</v>
      </c>
      <c r="H9" s="262"/>
      <c r="I9" s="262"/>
      <c r="J9" s="263"/>
      <c r="K9" s="264" t="s">
        <v>256</v>
      </c>
      <c r="L9" s="259"/>
      <c r="M9" s="259"/>
      <c r="N9" s="26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58"/>
      <c r="D10" s="259"/>
      <c r="E10" s="259"/>
      <c r="F10" s="260"/>
      <c r="G10" s="261"/>
      <c r="H10" s="262"/>
      <c r="I10" s="262"/>
      <c r="J10" s="263"/>
      <c r="K10" s="264"/>
      <c r="L10" s="259"/>
      <c r="M10" s="259"/>
      <c r="N10" s="26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58"/>
      <c r="D11" s="259"/>
      <c r="E11" s="259"/>
      <c r="F11" s="260"/>
      <c r="G11" s="261"/>
      <c r="H11" s="262"/>
      <c r="I11" s="262"/>
      <c r="J11" s="263"/>
      <c r="K11" s="264"/>
      <c r="L11" s="259"/>
      <c r="M11" s="259"/>
      <c r="N11" s="26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58"/>
      <c r="D36" s="259"/>
      <c r="E36" s="259"/>
      <c r="F36" s="260"/>
      <c r="G36" s="261"/>
      <c r="H36" s="262"/>
      <c r="I36" s="262"/>
      <c r="J36" s="263"/>
      <c r="K36" s="264"/>
      <c r="L36" s="259"/>
      <c r="M36" s="259"/>
      <c r="N36" s="26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58"/>
      <c r="D37" s="259"/>
      <c r="E37" s="259"/>
      <c r="F37" s="260"/>
      <c r="G37" s="261"/>
      <c r="H37" s="262"/>
      <c r="I37" s="262"/>
      <c r="J37" s="263"/>
      <c r="K37" s="264"/>
      <c r="L37" s="259"/>
      <c r="M37" s="259"/>
      <c r="N37" s="26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58"/>
      <c r="D38" s="259"/>
      <c r="E38" s="259"/>
      <c r="F38" s="260"/>
      <c r="G38" s="261"/>
      <c r="H38" s="262"/>
      <c r="I38" s="262"/>
      <c r="J38" s="263"/>
      <c r="K38" s="264"/>
      <c r="L38" s="259"/>
      <c r="M38" s="259"/>
      <c r="N38" s="26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58"/>
      <c r="D39" s="259"/>
      <c r="E39" s="259"/>
      <c r="F39" s="260"/>
      <c r="G39" s="261"/>
      <c r="H39" s="262"/>
      <c r="I39" s="262"/>
      <c r="J39" s="263"/>
      <c r="K39" s="264"/>
      <c r="L39" s="259"/>
      <c r="M39" s="259"/>
      <c r="N39" s="26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58"/>
      <c r="D40" s="259"/>
      <c r="E40" s="259"/>
      <c r="F40" s="260"/>
      <c r="G40" s="261"/>
      <c r="H40" s="262"/>
      <c r="I40" s="262"/>
      <c r="J40" s="263"/>
      <c r="K40" s="264"/>
      <c r="L40" s="259"/>
      <c r="M40" s="259"/>
      <c r="N40" s="26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58"/>
      <c r="D41" s="259"/>
      <c r="E41" s="259"/>
      <c r="F41" s="260"/>
      <c r="G41" s="261"/>
      <c r="H41" s="262"/>
      <c r="I41" s="262"/>
      <c r="J41" s="263"/>
      <c r="K41" s="264"/>
      <c r="L41" s="259"/>
      <c r="M41" s="259"/>
      <c r="N41" s="26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58"/>
      <c r="D42" s="259"/>
      <c r="E42" s="259"/>
      <c r="F42" s="260"/>
      <c r="G42" s="261"/>
      <c r="H42" s="262"/>
      <c r="I42" s="262"/>
      <c r="J42" s="263"/>
      <c r="K42" s="264"/>
      <c r="L42" s="259"/>
      <c r="M42" s="259"/>
      <c r="N42" s="26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58"/>
      <c r="D43" s="259"/>
      <c r="E43" s="259"/>
      <c r="F43" s="260"/>
      <c r="G43" s="261"/>
      <c r="H43" s="262"/>
      <c r="I43" s="262"/>
      <c r="J43" s="263"/>
      <c r="K43" s="264"/>
      <c r="L43" s="259"/>
      <c r="M43" s="259"/>
      <c r="N43" s="26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58"/>
      <c r="D44" s="259"/>
      <c r="E44" s="259"/>
      <c r="F44" s="260"/>
      <c r="G44" s="261"/>
      <c r="H44" s="262"/>
      <c r="I44" s="262"/>
      <c r="J44" s="263"/>
      <c r="K44" s="264"/>
      <c r="L44" s="259"/>
      <c r="M44" s="259"/>
      <c r="N44" s="26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58"/>
      <c r="D45" s="259"/>
      <c r="E45" s="259"/>
      <c r="F45" s="260"/>
      <c r="G45" s="261"/>
      <c r="H45" s="262"/>
      <c r="I45" s="262"/>
      <c r="J45" s="263"/>
      <c r="K45" s="264"/>
      <c r="L45" s="259"/>
      <c r="M45" s="259"/>
      <c r="N45" s="26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58"/>
      <c r="D46" s="259"/>
      <c r="E46" s="259"/>
      <c r="F46" s="260"/>
      <c r="G46" s="261"/>
      <c r="H46" s="262"/>
      <c r="I46" s="262"/>
      <c r="J46" s="263"/>
      <c r="K46" s="264"/>
      <c r="L46" s="259"/>
      <c r="M46" s="259"/>
      <c r="N46" s="26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58"/>
      <c r="D47" s="259"/>
      <c r="E47" s="259"/>
      <c r="F47" s="260"/>
      <c r="G47" s="261"/>
      <c r="H47" s="262"/>
      <c r="I47" s="262"/>
      <c r="J47" s="263"/>
      <c r="K47" s="264"/>
      <c r="L47" s="259"/>
      <c r="M47" s="259"/>
      <c r="N47" s="26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255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32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4"/>
      <c r="BN2" s="35"/>
    </row>
    <row r="3" spans="1:66" ht="20.100000000000001" customHeight="1" x14ac:dyDescent="0.45">
      <c r="A3" s="32"/>
      <c r="B3" s="244" t="str">
        <f>変更履歴!B3</f>
        <v>受発注システム</v>
      </c>
      <c r="C3" s="245"/>
      <c r="D3" s="245"/>
      <c r="E3" s="245"/>
      <c r="F3" s="245"/>
      <c r="G3" s="245"/>
      <c r="H3" s="245" t="str">
        <f ca="1">変更履歴!H3</f>
        <v>SU0800</v>
      </c>
      <c r="I3" s="245"/>
      <c r="J3" s="245"/>
      <c r="K3" s="245"/>
      <c r="L3" s="245" t="str">
        <f>変更履歴!L3</f>
        <v>受発注</v>
      </c>
      <c r="M3" s="245"/>
      <c r="N3" s="245"/>
      <c r="O3" s="245"/>
      <c r="P3" s="245"/>
      <c r="Q3" s="245"/>
      <c r="R3" s="245" t="str">
        <f ca="1">変更履歴!R3</f>
        <v>帳票設計書</v>
      </c>
      <c r="S3" s="245"/>
      <c r="T3" s="245"/>
      <c r="U3" s="245"/>
      <c r="V3" s="245"/>
      <c r="W3" s="245"/>
      <c r="X3" s="249" t="str">
        <f ca="1">変更履歴!X3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変更履歴!AK3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f>変更履歴!AX3</f>
        <v>45581</v>
      </c>
      <c r="AY3" s="256"/>
      <c r="AZ3" s="256"/>
      <c r="BA3" s="256"/>
      <c r="BB3" s="245" t="str">
        <f>変更履歴!BB3</f>
        <v>大谷</v>
      </c>
      <c r="BC3" s="245"/>
      <c r="BD3" s="245"/>
      <c r="BE3" s="245"/>
      <c r="BF3" s="256">
        <f>変更履歴!BF3</f>
        <v>45581</v>
      </c>
      <c r="BG3" s="256"/>
      <c r="BH3" s="256"/>
      <c r="BI3" s="256"/>
      <c r="BJ3" s="245" t="str">
        <f>変更履歴!BJ3</f>
        <v>大谷</v>
      </c>
      <c r="BK3" s="245"/>
      <c r="BL3" s="245"/>
      <c r="BM3" s="257"/>
      <c r="BN3" s="35"/>
    </row>
    <row r="4" spans="1:66" ht="20.100000000000001" customHeight="1" thickBot="1" x14ac:dyDescent="0.5">
      <c r="A4" s="32"/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51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3"/>
      <c r="AK4" s="251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3"/>
      <c r="AX4" s="265"/>
      <c r="AY4" s="265"/>
      <c r="AZ4" s="265"/>
      <c r="BA4" s="265"/>
      <c r="BB4" s="247"/>
      <c r="BC4" s="247"/>
      <c r="BD4" s="247"/>
      <c r="BE4" s="247"/>
      <c r="BF4" s="265"/>
      <c r="BG4" s="265"/>
      <c r="BH4" s="265"/>
      <c r="BI4" s="265"/>
      <c r="BJ4" s="247"/>
      <c r="BK4" s="247"/>
      <c r="BL4" s="247"/>
      <c r="BM4" s="249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ヤオコー請求明細表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54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55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252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6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255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32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4"/>
      <c r="BN2" s="15"/>
    </row>
    <row r="3" spans="1:66" ht="20.100000000000001" customHeight="1" x14ac:dyDescent="0.45">
      <c r="A3" s="9"/>
      <c r="B3" s="244" t="str">
        <f>変更履歴!B3</f>
        <v>受発注システム</v>
      </c>
      <c r="C3" s="245"/>
      <c r="D3" s="245"/>
      <c r="E3" s="245"/>
      <c r="F3" s="245"/>
      <c r="G3" s="245"/>
      <c r="H3" s="245" t="str">
        <f ca="1">変更履歴!H3</f>
        <v>SU0800</v>
      </c>
      <c r="I3" s="245"/>
      <c r="J3" s="245"/>
      <c r="K3" s="245"/>
      <c r="L3" s="245" t="str">
        <f>変更履歴!L3</f>
        <v>受発注</v>
      </c>
      <c r="M3" s="245"/>
      <c r="N3" s="245"/>
      <c r="O3" s="245"/>
      <c r="P3" s="245"/>
      <c r="Q3" s="245"/>
      <c r="R3" s="245" t="str">
        <f ca="1">変更履歴!R3</f>
        <v>帳票設計書</v>
      </c>
      <c r="S3" s="245"/>
      <c r="T3" s="245"/>
      <c r="U3" s="245"/>
      <c r="V3" s="245"/>
      <c r="W3" s="245"/>
      <c r="X3" s="249" t="str">
        <f ca="1">変更履歴!X3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変更履歴!AK3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f>変更履歴!AX3</f>
        <v>45581</v>
      </c>
      <c r="AY3" s="256"/>
      <c r="AZ3" s="256"/>
      <c r="BA3" s="256"/>
      <c r="BB3" s="245" t="str">
        <f>変更履歴!BB3</f>
        <v>大谷</v>
      </c>
      <c r="BC3" s="245"/>
      <c r="BD3" s="245"/>
      <c r="BE3" s="245"/>
      <c r="BF3" s="256">
        <f>変更履歴!BF3</f>
        <v>45581</v>
      </c>
      <c r="BG3" s="256"/>
      <c r="BH3" s="256"/>
      <c r="BI3" s="256"/>
      <c r="BJ3" s="245" t="str">
        <f>変更履歴!BJ3</f>
        <v>大谷</v>
      </c>
      <c r="BK3" s="245"/>
      <c r="BL3" s="245"/>
      <c r="BM3" s="257"/>
      <c r="BN3" s="15"/>
    </row>
    <row r="4" spans="1:66" ht="20.100000000000001" customHeight="1" thickBot="1" x14ac:dyDescent="0.5">
      <c r="A4" s="9"/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51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3"/>
      <c r="AK4" s="251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3"/>
      <c r="AX4" s="265"/>
      <c r="AY4" s="265"/>
      <c r="AZ4" s="265"/>
      <c r="BA4" s="265"/>
      <c r="BB4" s="247"/>
      <c r="BC4" s="247"/>
      <c r="BD4" s="247"/>
      <c r="BE4" s="247"/>
      <c r="BF4" s="265"/>
      <c r="BG4" s="265"/>
      <c r="BH4" s="265"/>
      <c r="BI4" s="265"/>
      <c r="BJ4" s="247"/>
      <c r="BK4" s="247"/>
      <c r="BL4" s="247"/>
      <c r="BM4" s="249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29"/>
      <c r="BH11" s="29"/>
      <c r="BI11" s="29"/>
      <c r="BJ11" s="29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29"/>
      <c r="BH12" s="29"/>
      <c r="BI12" s="29"/>
      <c r="BJ12" s="29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29"/>
      <c r="BH13" s="29"/>
      <c r="BI13" s="29"/>
      <c r="BJ13" s="29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29"/>
      <c r="BH14" s="29"/>
      <c r="BI14" s="29"/>
      <c r="BJ14" s="29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29"/>
      <c r="BH15" s="29"/>
      <c r="BI15" s="29"/>
      <c r="BJ15" s="29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29"/>
      <c r="BH16" s="29"/>
      <c r="BI16" s="29"/>
      <c r="BJ16" s="29"/>
      <c r="BK16" s="31"/>
      <c r="BL16" s="31"/>
      <c r="BM16" s="31"/>
      <c r="BN16" s="35"/>
    </row>
    <row r="17" spans="1:66" ht="20.100000000000001" customHeight="1" x14ac:dyDescent="0.45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29"/>
      <c r="BH17" s="29"/>
      <c r="BI17" s="29"/>
      <c r="BJ17" s="29"/>
      <c r="BK17" s="31"/>
      <c r="BL17" s="31"/>
      <c r="BM17" s="31"/>
      <c r="BN17" s="35"/>
    </row>
    <row r="18" spans="1:66" ht="20.100000000000001" customHeight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29"/>
      <c r="BH18" s="29"/>
      <c r="BI18" s="29"/>
      <c r="BJ18" s="29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9"/>
      <c r="BH19" s="29"/>
      <c r="BI19" s="29"/>
      <c r="BJ19" s="29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9"/>
      <c r="BH20" s="29"/>
      <c r="BI20" s="29"/>
      <c r="BJ20" s="29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9"/>
      <c r="BH21" s="29"/>
      <c r="BI21" s="29"/>
      <c r="BJ21" s="29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9"/>
      <c r="BH22" s="29"/>
      <c r="BI22" s="29"/>
      <c r="BJ22" s="29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9"/>
      <c r="BH23" s="29"/>
      <c r="BI23" s="29"/>
      <c r="BJ23" s="29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9"/>
      <c r="BH24" s="29"/>
      <c r="BI24" s="29"/>
      <c r="BJ24" s="29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9"/>
      <c r="BH25" s="29"/>
      <c r="BI25" s="29"/>
      <c r="BJ25" s="29"/>
      <c r="BK25" s="31"/>
      <c r="BL25" s="31"/>
      <c r="BM25" s="31"/>
      <c r="BN25" s="35"/>
    </row>
    <row r="26" spans="1:66" ht="20.100000000000001" customHeight="1" x14ac:dyDescent="0.4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9"/>
      <c r="BH26" s="29"/>
      <c r="BI26" s="29"/>
      <c r="BJ26" s="29"/>
      <c r="BK26" s="31"/>
      <c r="BL26" s="31"/>
      <c r="BM26" s="31"/>
      <c r="BN26" s="35"/>
    </row>
    <row r="27" spans="1:66" ht="20.100000000000001" customHeight="1" x14ac:dyDescent="0.45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9"/>
      <c r="BH27" s="29"/>
      <c r="BI27" s="29"/>
      <c r="BJ27" s="29"/>
      <c r="BK27" s="31"/>
      <c r="BL27" s="31"/>
      <c r="BM27" s="31"/>
      <c r="BN27" s="35"/>
    </row>
    <row r="28" spans="1:66" ht="20.100000000000001" customHeight="1" x14ac:dyDescent="0.45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9"/>
      <c r="BH28" s="29"/>
      <c r="BI28" s="29"/>
      <c r="BJ28" s="29"/>
      <c r="BK28" s="31"/>
      <c r="BL28" s="31"/>
      <c r="BM28" s="31"/>
      <c r="BN28" s="35"/>
    </row>
    <row r="29" spans="1:66" ht="20.100000000000001" customHeight="1" x14ac:dyDescent="0.45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9"/>
      <c r="BH29" s="29"/>
      <c r="BI29" s="29"/>
      <c r="BJ29" s="29"/>
      <c r="BK29" s="31"/>
      <c r="BL29" s="31"/>
      <c r="BM29" s="31"/>
      <c r="BN29" s="35"/>
    </row>
    <row r="30" spans="1:66" ht="20.100000000000001" customHeight="1" x14ac:dyDescent="0.45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9"/>
      <c r="BH30" s="29"/>
      <c r="BI30" s="29"/>
      <c r="BJ30" s="29"/>
      <c r="BK30" s="31"/>
      <c r="BL30" s="31"/>
      <c r="BM30" s="31"/>
      <c r="BN30" s="35"/>
    </row>
    <row r="31" spans="1:66" ht="20.100000000000001" customHeight="1" x14ac:dyDescent="0.45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9"/>
      <c r="BH31" s="29"/>
      <c r="BI31" s="29"/>
      <c r="BJ31" s="29"/>
      <c r="BK31" s="31"/>
      <c r="BL31" s="31"/>
      <c r="BM31" s="31"/>
      <c r="BN31" s="35"/>
    </row>
    <row r="32" spans="1:66" ht="20.100000000000001" customHeight="1" x14ac:dyDescent="0.45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9"/>
      <c r="BH32" s="29"/>
      <c r="BI32" s="29"/>
      <c r="BJ32" s="29"/>
      <c r="BK32" s="31"/>
      <c r="BL32" s="31"/>
      <c r="BM32" s="31"/>
      <c r="BN32" s="35"/>
    </row>
    <row r="33" spans="1:66" ht="20.100000000000001" customHeight="1" x14ac:dyDescent="0.45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9"/>
      <c r="BH33" s="29"/>
      <c r="BI33" s="29"/>
      <c r="BJ33" s="29"/>
      <c r="BK33" s="31"/>
      <c r="BL33" s="31"/>
      <c r="BM33" s="31"/>
      <c r="BN33" s="35"/>
    </row>
    <row r="34" spans="1:66" ht="20.100000000000001" customHeight="1" x14ac:dyDescent="0.45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29"/>
      <c r="BH34" s="29"/>
      <c r="BI34" s="29"/>
      <c r="BJ34" s="29"/>
      <c r="BK34" s="31"/>
      <c r="BL34" s="31"/>
      <c r="BM34" s="31"/>
      <c r="BN34" s="35"/>
    </row>
    <row r="35" spans="1:66" ht="20.100000000000001" customHeight="1" x14ac:dyDescent="0.4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29"/>
      <c r="BH35" s="29"/>
      <c r="BI35" s="29"/>
      <c r="BJ35" s="29"/>
      <c r="BK35" s="31"/>
      <c r="BL35" s="31"/>
      <c r="BM35" s="31"/>
      <c r="BN35" s="35"/>
    </row>
    <row r="36" spans="1:66" ht="20.100000000000001" customHeight="1" x14ac:dyDescent="0.45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29"/>
      <c r="BH36" s="29"/>
      <c r="BI36" s="29"/>
      <c r="BJ36" s="29"/>
      <c r="BK36" s="31"/>
      <c r="BL36" s="31"/>
      <c r="BM36" s="31"/>
      <c r="BN36" s="35"/>
    </row>
    <row r="37" spans="1:66" ht="20.100000000000001" customHeight="1" x14ac:dyDescent="0.45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29"/>
      <c r="BH37" s="29"/>
      <c r="BI37" s="29"/>
      <c r="BJ37" s="29"/>
      <c r="BK37" s="31"/>
      <c r="BL37" s="31"/>
      <c r="BM37" s="31"/>
      <c r="BN37" s="35"/>
    </row>
    <row r="38" spans="1:66" ht="20.100000000000001" customHeight="1" x14ac:dyDescent="0.45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29"/>
      <c r="BH38" s="29"/>
      <c r="BI38" s="29"/>
      <c r="BJ38" s="29"/>
      <c r="BK38" s="31"/>
      <c r="BL38" s="31"/>
      <c r="BM38" s="31"/>
      <c r="BN38" s="35"/>
    </row>
    <row r="39" spans="1:66" ht="20.100000000000001" customHeight="1" x14ac:dyDescent="0.45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29"/>
      <c r="BH39" s="29"/>
      <c r="BI39" s="29"/>
      <c r="BJ39" s="29"/>
      <c r="BK39" s="31"/>
      <c r="BL39" s="31"/>
      <c r="BM39" s="31"/>
      <c r="BN39" s="35"/>
    </row>
    <row r="40" spans="1:66" ht="20.100000000000001" customHeight="1" x14ac:dyDescent="0.45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29"/>
      <c r="BH40" s="29"/>
      <c r="BI40" s="29"/>
      <c r="BJ40" s="29"/>
      <c r="BK40" s="31"/>
      <c r="BL40" s="31"/>
      <c r="BM40" s="31"/>
      <c r="BN40" s="35"/>
    </row>
    <row r="41" spans="1:66" ht="20.100000000000001" customHeight="1" x14ac:dyDescent="0.45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29"/>
      <c r="BH41" s="29"/>
      <c r="BI41" s="29"/>
      <c r="BJ41" s="29"/>
      <c r="BK41" s="31"/>
      <c r="BL41" s="31"/>
      <c r="BM41" s="31"/>
      <c r="BN41" s="35"/>
    </row>
    <row r="42" spans="1:66" ht="20.100000000000001" customHeight="1" x14ac:dyDescent="0.45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29"/>
      <c r="BH42" s="29"/>
      <c r="BI42" s="29"/>
      <c r="BJ42" s="29"/>
      <c r="BK42" s="31"/>
      <c r="BL42" s="31"/>
      <c r="BM42" s="31"/>
      <c r="BN42" s="35"/>
    </row>
    <row r="43" spans="1:66" ht="20.100000000000001" customHeight="1" x14ac:dyDescent="0.45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29"/>
      <c r="BH43" s="29"/>
      <c r="BI43" s="29"/>
      <c r="BJ43" s="29"/>
      <c r="BK43" s="31"/>
      <c r="BL43" s="31"/>
      <c r="BM43" s="31"/>
      <c r="BN43" s="35"/>
    </row>
    <row r="44" spans="1:66" ht="20.100000000000001" customHeight="1" x14ac:dyDescent="0.45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29"/>
      <c r="BH44" s="29"/>
      <c r="BI44" s="29"/>
      <c r="BJ44" s="29"/>
      <c r="BK44" s="31"/>
      <c r="BL44" s="31"/>
      <c r="BM44" s="31"/>
      <c r="BN44" s="35"/>
    </row>
    <row r="45" spans="1:66" ht="20.100000000000001" customHeight="1" x14ac:dyDescent="0.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29"/>
      <c r="BH45" s="29"/>
      <c r="BI45" s="29"/>
      <c r="BJ45" s="29"/>
      <c r="BK45" s="31"/>
      <c r="BL45" s="31"/>
      <c r="BM45" s="31"/>
      <c r="BN45" s="35"/>
    </row>
    <row r="46" spans="1:66" ht="20.100000000000001" customHeight="1" x14ac:dyDescent="0.45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/>
      <c r="BH46"/>
      <c r="BI46"/>
      <c r="BJ46"/>
      <c r="BK46" s="7"/>
      <c r="BL46" s="7"/>
      <c r="BM46" s="7"/>
      <c r="BN46" s="15"/>
    </row>
    <row r="47" spans="1:66" ht="20.100000000000001" customHeight="1" x14ac:dyDescent="0.45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/>
      <c r="BH47"/>
      <c r="BI47"/>
      <c r="BJ47"/>
      <c r="BK47" s="7"/>
      <c r="BL47" s="7"/>
      <c r="BM47" s="7"/>
      <c r="BN47" s="15"/>
    </row>
    <row r="48" spans="1:66" ht="20.100000000000001" customHeight="1" x14ac:dyDescent="0.45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/>
      <c r="BH48"/>
      <c r="BI48"/>
      <c r="BJ48"/>
      <c r="BK48" s="7"/>
      <c r="BL48" s="7"/>
      <c r="BM48" s="7"/>
      <c r="BN48" s="15"/>
    </row>
    <row r="49" spans="1:66" ht="20.100000000000001" customHeight="1" x14ac:dyDescent="0.45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/>
      <c r="BH49"/>
      <c r="BI49"/>
      <c r="BJ49"/>
      <c r="BK49" s="7"/>
      <c r="BL49" s="7"/>
      <c r="BM49" s="7"/>
      <c r="BN49" s="15"/>
    </row>
    <row r="50" spans="1:66" ht="20.100000000000001" customHeight="1" x14ac:dyDescent="0.45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/>
      <c r="BH50"/>
      <c r="BI50"/>
      <c r="BJ50"/>
      <c r="BK50" s="7"/>
      <c r="BL50" s="7"/>
      <c r="BM50" s="7"/>
      <c r="BN50" s="15"/>
    </row>
    <row r="51" spans="1:66" ht="20.100000000000001" customHeight="1" x14ac:dyDescent="0.45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/>
      <c r="BH51"/>
      <c r="BI51"/>
      <c r="BJ51"/>
      <c r="BK51" s="7"/>
      <c r="BL51" s="7"/>
      <c r="BM51" s="7"/>
      <c r="BN51" s="15"/>
    </row>
    <row r="52" spans="1:66" ht="20.100000000000001" customHeight="1" x14ac:dyDescent="0.45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/>
      <c r="BH52"/>
      <c r="BI52"/>
      <c r="BJ52"/>
      <c r="BK52" s="7"/>
      <c r="BL52" s="7"/>
      <c r="BM52" s="7"/>
      <c r="BN52" s="15"/>
    </row>
    <row r="53" spans="1:66" ht="20.100000000000001" customHeight="1" x14ac:dyDescent="0.45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/>
      <c r="BH53"/>
      <c r="BI53"/>
      <c r="BJ53"/>
      <c r="BK53" s="7"/>
      <c r="BL53" s="7"/>
      <c r="BM53" s="7"/>
      <c r="BN53" s="15"/>
    </row>
    <row r="54" spans="1:66" ht="20.100000000000001" customHeight="1" x14ac:dyDescent="0.45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/>
      <c r="BH54"/>
      <c r="BI54"/>
      <c r="BJ54"/>
      <c r="BK54" s="7"/>
      <c r="BL54" s="7"/>
      <c r="BM54" s="7"/>
      <c r="BN54" s="15"/>
    </row>
    <row r="55" spans="1:66" ht="20.100000000000001" customHeight="1" x14ac:dyDescent="0.4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/>
      <c r="BH55"/>
      <c r="BI55"/>
      <c r="BJ55"/>
      <c r="BK55" s="7"/>
      <c r="BL55" s="7"/>
      <c r="BM55" s="7"/>
      <c r="BN55" s="15"/>
    </row>
    <row r="56" spans="1:66" ht="20.100000000000001" customHeight="1" x14ac:dyDescent="0.45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/>
      <c r="BH56"/>
      <c r="BI56"/>
      <c r="BJ56"/>
      <c r="BK56" s="7"/>
      <c r="BL56" s="7"/>
      <c r="BM56" s="7"/>
      <c r="BN56" s="15"/>
    </row>
    <row r="57" spans="1:66" ht="20.100000000000001" customHeight="1" x14ac:dyDescent="0.45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/>
      <c r="BH57"/>
      <c r="BI57"/>
      <c r="BJ57"/>
      <c r="BK57" s="7"/>
      <c r="BL57" s="7"/>
      <c r="BM57" s="7"/>
      <c r="BN57" s="15"/>
    </row>
    <row r="58" spans="1:66" ht="20.100000000000001" customHeight="1" x14ac:dyDescent="0.45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/>
      <c r="BH58"/>
      <c r="BI58"/>
      <c r="BJ58"/>
      <c r="BK58" s="7"/>
      <c r="BL58" s="7"/>
      <c r="BM58" s="7"/>
      <c r="BN58" s="15"/>
    </row>
    <row r="59" spans="1:66" ht="20.100000000000001" customHeight="1" x14ac:dyDescent="0.45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/>
      <c r="BH59"/>
      <c r="BI59"/>
      <c r="BJ59"/>
      <c r="BK59" s="7"/>
      <c r="BL59" s="7"/>
      <c r="BM59" s="7"/>
      <c r="BN59" s="15"/>
    </row>
    <row r="60" spans="1:66" ht="20.100000000000001" customHeight="1" x14ac:dyDescent="0.45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/>
      <c r="BH60"/>
      <c r="BI60"/>
      <c r="BJ60"/>
      <c r="BK60" s="7"/>
      <c r="BL60" s="7"/>
      <c r="BM60" s="7"/>
      <c r="BN60" s="15"/>
    </row>
    <row r="61" spans="1:66" ht="20.100000000000001" customHeight="1" x14ac:dyDescent="0.45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/>
      <c r="BH61"/>
      <c r="BI61"/>
      <c r="BJ61"/>
      <c r="BK61" s="7"/>
      <c r="BL61" s="7"/>
      <c r="BM61" s="7"/>
      <c r="BN61" s="15"/>
    </row>
    <row r="62" spans="1:66" ht="20.100000000000001" customHeight="1" x14ac:dyDescent="0.45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/>
      <c r="BH62"/>
      <c r="BI62"/>
      <c r="BJ62"/>
      <c r="BK62" s="7"/>
      <c r="BL62" s="7"/>
      <c r="BM62" s="7"/>
      <c r="BN62" s="15"/>
    </row>
    <row r="63" spans="1:66" ht="20.100000000000001" customHeight="1" x14ac:dyDescent="0.45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/>
      <c r="BH63"/>
      <c r="BI63"/>
      <c r="BJ63"/>
      <c r="BK63" s="7"/>
      <c r="BL63" s="7"/>
      <c r="BM63" s="7"/>
      <c r="BN63" s="15"/>
    </row>
    <row r="64" spans="1:66" ht="20.100000000000001" customHeight="1" x14ac:dyDescent="0.45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/>
      <c r="BH64"/>
      <c r="BI64"/>
      <c r="BJ64"/>
      <c r="BK64" s="7"/>
      <c r="BL64" s="7"/>
      <c r="BM64" s="7"/>
      <c r="BN64" s="15"/>
    </row>
    <row r="65" spans="1:66" ht="20.100000000000001" customHeight="1" x14ac:dyDescent="0.4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/>
      <c r="BH65"/>
      <c r="BI65"/>
      <c r="BJ65"/>
      <c r="BK65" s="7"/>
      <c r="BL65" s="7"/>
      <c r="BM65" s="7"/>
      <c r="BN65" s="15"/>
    </row>
    <row r="66" spans="1:66" ht="20.100000000000001" customHeight="1" x14ac:dyDescent="0.45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/>
      <c r="BH66"/>
      <c r="BI66"/>
      <c r="BJ66"/>
      <c r="BK66" s="7"/>
      <c r="BL66" s="7"/>
      <c r="BM66" s="7"/>
      <c r="BN66" s="15"/>
    </row>
    <row r="67" spans="1:66" ht="20.100000000000001" customHeight="1" thickBot="1" x14ac:dyDescent="0.5">
      <c r="B67" s="27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28"/>
    </row>
    <row r="6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239" t="s">
        <v>0</v>
      </c>
      <c r="C2" s="240"/>
      <c r="D2" s="240"/>
      <c r="E2" s="240"/>
      <c r="F2" s="240"/>
      <c r="G2" s="240"/>
      <c r="H2" s="240" t="s">
        <v>17</v>
      </c>
      <c r="I2" s="240"/>
      <c r="J2" s="240"/>
      <c r="K2" s="240"/>
      <c r="L2" s="240" t="s">
        <v>255</v>
      </c>
      <c r="M2" s="240"/>
      <c r="N2" s="240"/>
      <c r="O2" s="240"/>
      <c r="P2" s="240"/>
      <c r="Q2" s="240"/>
      <c r="R2" s="240" t="s">
        <v>2</v>
      </c>
      <c r="S2" s="240"/>
      <c r="T2" s="240"/>
      <c r="U2" s="240"/>
      <c r="V2" s="240"/>
      <c r="W2" s="240"/>
      <c r="X2" s="241" t="s">
        <v>3</v>
      </c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3"/>
      <c r="AK2" s="241" t="s">
        <v>32</v>
      </c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3"/>
      <c r="AX2" s="240" t="s">
        <v>5</v>
      </c>
      <c r="AY2" s="240"/>
      <c r="AZ2" s="240"/>
      <c r="BA2" s="240"/>
      <c r="BB2" s="240" t="s">
        <v>4</v>
      </c>
      <c r="BC2" s="240"/>
      <c r="BD2" s="240"/>
      <c r="BE2" s="240"/>
      <c r="BF2" s="240" t="s">
        <v>6</v>
      </c>
      <c r="BG2" s="240"/>
      <c r="BH2" s="240"/>
      <c r="BI2" s="240"/>
      <c r="BJ2" s="240" t="s">
        <v>7</v>
      </c>
      <c r="BK2" s="240"/>
      <c r="BL2" s="240"/>
      <c r="BM2" s="254"/>
      <c r="BN2" s="15"/>
    </row>
    <row r="3" spans="1:85" ht="20.100000000000001" customHeight="1" x14ac:dyDescent="0.45">
      <c r="A3" s="9"/>
      <c r="B3" s="244" t="str">
        <f>変更履歴!B3</f>
        <v>受発注システム</v>
      </c>
      <c r="C3" s="245"/>
      <c r="D3" s="245"/>
      <c r="E3" s="245"/>
      <c r="F3" s="245"/>
      <c r="G3" s="245"/>
      <c r="H3" s="245" t="str">
        <f ca="1">変更履歴!H3</f>
        <v>SU0800</v>
      </c>
      <c r="I3" s="245"/>
      <c r="J3" s="245"/>
      <c r="K3" s="245"/>
      <c r="L3" s="245" t="str">
        <f>変更履歴!L3</f>
        <v>受発注</v>
      </c>
      <c r="M3" s="245"/>
      <c r="N3" s="245"/>
      <c r="O3" s="245"/>
      <c r="P3" s="245"/>
      <c r="Q3" s="245"/>
      <c r="R3" s="245" t="str">
        <f ca="1">変更履歴!R3</f>
        <v>帳票設計書</v>
      </c>
      <c r="S3" s="245"/>
      <c r="T3" s="245"/>
      <c r="U3" s="245"/>
      <c r="V3" s="245"/>
      <c r="W3" s="245"/>
      <c r="X3" s="249" t="str">
        <f ca="1">変更履歴!X3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変更履歴!AK3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f>変更履歴!AX3</f>
        <v>45581</v>
      </c>
      <c r="AY3" s="256"/>
      <c r="AZ3" s="256"/>
      <c r="BA3" s="256"/>
      <c r="BB3" s="245" t="str">
        <f>変更履歴!BB3</f>
        <v>大谷</v>
      </c>
      <c r="BC3" s="245"/>
      <c r="BD3" s="245"/>
      <c r="BE3" s="245"/>
      <c r="BF3" s="256">
        <f>変更履歴!BF3</f>
        <v>45581</v>
      </c>
      <c r="BG3" s="256"/>
      <c r="BH3" s="256"/>
      <c r="BI3" s="256"/>
      <c r="BJ3" s="245" t="str">
        <f>変更履歴!BJ3</f>
        <v>大谷</v>
      </c>
      <c r="BK3" s="245"/>
      <c r="BL3" s="245"/>
      <c r="BM3" s="257"/>
      <c r="BN3" s="15"/>
    </row>
    <row r="4" spans="1:85" ht="20.100000000000001" customHeight="1" thickBot="1" x14ac:dyDescent="0.5">
      <c r="A4" s="9"/>
      <c r="B4" s="246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51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3"/>
      <c r="AK4" s="251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3"/>
      <c r="AX4" s="265"/>
      <c r="AY4" s="265"/>
      <c r="AZ4" s="265"/>
      <c r="BA4" s="265"/>
      <c r="BB4" s="247"/>
      <c r="BC4" s="247"/>
      <c r="BD4" s="247"/>
      <c r="BE4" s="247"/>
      <c r="BF4" s="265"/>
      <c r="BG4" s="265"/>
      <c r="BH4" s="265"/>
      <c r="BI4" s="265"/>
      <c r="BJ4" s="247"/>
      <c r="BK4" s="247"/>
      <c r="BL4" s="247"/>
      <c r="BM4" s="249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91" t="s">
        <v>20</v>
      </c>
      <c r="F10" s="292"/>
      <c r="G10" s="292"/>
      <c r="H10" s="292"/>
      <c r="I10" s="292"/>
      <c r="J10" s="292"/>
      <c r="K10" s="292"/>
      <c r="L10" s="293"/>
      <c r="M10" s="266" t="s">
        <v>24</v>
      </c>
      <c r="N10" s="267"/>
      <c r="O10" s="267"/>
      <c r="P10" s="266" t="s">
        <v>33</v>
      </c>
      <c r="Q10" s="267"/>
      <c r="R10" s="267"/>
      <c r="S10" s="266" t="s">
        <v>34</v>
      </c>
      <c r="T10" s="267"/>
      <c r="U10" s="267"/>
      <c r="V10" s="266" t="s">
        <v>36</v>
      </c>
      <c r="W10" s="267"/>
      <c r="X10" s="267"/>
      <c r="Y10" s="267"/>
      <c r="Z10" s="267"/>
      <c r="AA10" s="268"/>
      <c r="AB10" s="266" t="s">
        <v>35</v>
      </c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7"/>
      <c r="AN10" s="267"/>
      <c r="AO10" s="267"/>
      <c r="AP10" s="267"/>
      <c r="AQ10" s="268"/>
      <c r="AR10" s="266" t="s">
        <v>42</v>
      </c>
      <c r="AS10" s="267"/>
      <c r="AT10" s="267"/>
      <c r="AU10" s="267"/>
      <c r="AV10" s="267"/>
      <c r="AW10" s="268"/>
      <c r="AX10" s="266" t="s">
        <v>43</v>
      </c>
      <c r="AY10" s="267"/>
      <c r="AZ10" s="267"/>
      <c r="BA10" s="267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7"/>
      <c r="BM10" s="267"/>
      <c r="BN10" s="267"/>
      <c r="BO10" s="267"/>
      <c r="BP10" s="267"/>
      <c r="BQ10" s="267"/>
      <c r="BR10" s="267"/>
      <c r="BS10" s="267"/>
      <c r="BT10" s="28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88" t="s">
        <v>57</v>
      </c>
      <c r="F11" s="289"/>
      <c r="G11" s="289"/>
      <c r="H11" s="289"/>
      <c r="I11" s="289"/>
      <c r="J11" s="289"/>
      <c r="K11" s="289"/>
      <c r="L11" s="290"/>
      <c r="M11" s="264" t="s">
        <v>8</v>
      </c>
      <c r="N11" s="259"/>
      <c r="O11" s="259"/>
      <c r="P11" s="264" t="s">
        <v>116</v>
      </c>
      <c r="Q11" s="259"/>
      <c r="R11" s="259"/>
      <c r="S11" s="264" t="s">
        <v>120</v>
      </c>
      <c r="T11" s="259"/>
      <c r="U11" s="259"/>
      <c r="V11" s="279" t="s">
        <v>75</v>
      </c>
      <c r="W11" s="280"/>
      <c r="X11" s="280"/>
      <c r="Y11" s="280"/>
      <c r="Z11" s="280"/>
      <c r="AA11" s="286"/>
      <c r="AB11" s="272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4"/>
      <c r="AR11" s="264" t="s">
        <v>121</v>
      </c>
      <c r="AS11" s="259"/>
      <c r="AT11" s="259"/>
      <c r="AU11" s="259"/>
      <c r="AV11" s="259"/>
      <c r="AW11" s="260"/>
      <c r="AX11" s="279"/>
      <c r="AY11" s="280"/>
      <c r="AZ11" s="280"/>
      <c r="BA11" s="280"/>
      <c r="BB11" s="280"/>
      <c r="BC11" s="280"/>
      <c r="BD11" s="280"/>
      <c r="BE11" s="280"/>
      <c r="BF11" s="280"/>
      <c r="BG11" s="280"/>
      <c r="BH11" s="280"/>
      <c r="BI11" s="280"/>
      <c r="BJ11" s="280"/>
      <c r="BK11" s="280"/>
      <c r="BL11" s="280"/>
      <c r="BM11" s="280"/>
      <c r="BN11" s="280"/>
      <c r="BO11" s="280"/>
      <c r="BP11" s="280"/>
      <c r="BQ11" s="280"/>
      <c r="BR11" s="280"/>
      <c r="BS11" s="280"/>
      <c r="BT11" s="28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88" t="s">
        <v>58</v>
      </c>
      <c r="F12" s="289"/>
      <c r="G12" s="289"/>
      <c r="H12" s="289"/>
      <c r="I12" s="289"/>
      <c r="J12" s="289"/>
      <c r="K12" s="289"/>
      <c r="L12" s="290"/>
      <c r="M12" s="264" t="s">
        <v>8</v>
      </c>
      <c r="N12" s="259"/>
      <c r="O12" s="259"/>
      <c r="P12" s="264" t="s">
        <v>116</v>
      </c>
      <c r="Q12" s="259"/>
      <c r="R12" s="259"/>
      <c r="S12" s="264" t="s">
        <v>120</v>
      </c>
      <c r="T12" s="259"/>
      <c r="U12" s="260"/>
      <c r="V12" s="279" t="s">
        <v>75</v>
      </c>
      <c r="W12" s="280"/>
      <c r="X12" s="280"/>
      <c r="Y12" s="280"/>
      <c r="Z12" s="280"/>
      <c r="AA12" s="286"/>
      <c r="AB12" s="272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4"/>
      <c r="AR12" s="264" t="s">
        <v>122</v>
      </c>
      <c r="AS12" s="259"/>
      <c r="AT12" s="259"/>
      <c r="AU12" s="259"/>
      <c r="AV12" s="259"/>
      <c r="AW12" s="260"/>
      <c r="AX12" s="279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88" t="s">
        <v>59</v>
      </c>
      <c r="F13" s="289"/>
      <c r="G13" s="289"/>
      <c r="H13" s="289"/>
      <c r="I13" s="289"/>
      <c r="J13" s="289"/>
      <c r="K13" s="289"/>
      <c r="L13" s="290"/>
      <c r="M13" s="264" t="s">
        <v>8</v>
      </c>
      <c r="N13" s="259"/>
      <c r="O13" s="259"/>
      <c r="P13" s="264" t="s">
        <v>116</v>
      </c>
      <c r="Q13" s="259"/>
      <c r="R13" s="259"/>
      <c r="S13" s="264" t="s">
        <v>120</v>
      </c>
      <c r="T13" s="259"/>
      <c r="U13" s="260"/>
      <c r="V13" s="279" t="s">
        <v>74</v>
      </c>
      <c r="W13" s="280"/>
      <c r="X13" s="280"/>
      <c r="Y13" s="280"/>
      <c r="Z13" s="280"/>
      <c r="AA13" s="286"/>
      <c r="AB13" s="272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4"/>
      <c r="AR13" s="264" t="s">
        <v>123</v>
      </c>
      <c r="AS13" s="259"/>
      <c r="AT13" s="259"/>
      <c r="AU13" s="259"/>
      <c r="AV13" s="259"/>
      <c r="AW13" s="260"/>
      <c r="AX13" s="279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88" t="s">
        <v>138</v>
      </c>
      <c r="F14" s="289"/>
      <c r="G14" s="289"/>
      <c r="H14" s="289"/>
      <c r="I14" s="289"/>
      <c r="J14" s="289"/>
      <c r="K14" s="289"/>
      <c r="L14" s="290"/>
      <c r="M14" s="264" t="s">
        <v>141</v>
      </c>
      <c r="N14" s="259"/>
      <c r="O14" s="259"/>
      <c r="P14" s="264" t="s">
        <v>137</v>
      </c>
      <c r="Q14" s="259"/>
      <c r="R14" s="259"/>
      <c r="S14" s="264">
        <v>8</v>
      </c>
      <c r="T14" s="259"/>
      <c r="U14" s="260"/>
      <c r="V14" s="279" t="s">
        <v>139</v>
      </c>
      <c r="W14" s="280"/>
      <c r="X14" s="280"/>
      <c r="Y14" s="280"/>
      <c r="Z14" s="280"/>
      <c r="AA14" s="286"/>
      <c r="AB14" s="272" t="s">
        <v>140</v>
      </c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4"/>
      <c r="AR14" s="264" t="s">
        <v>142</v>
      </c>
      <c r="AS14" s="259"/>
      <c r="AT14" s="259"/>
      <c r="AU14" s="259"/>
      <c r="AV14" s="259"/>
      <c r="AW14" s="260"/>
      <c r="AX14" s="279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88" t="s">
        <v>60</v>
      </c>
      <c r="F15" s="289"/>
      <c r="G15" s="289"/>
      <c r="H15" s="289"/>
      <c r="I15" s="289"/>
      <c r="J15" s="289"/>
      <c r="K15" s="289"/>
      <c r="L15" s="290"/>
      <c r="M15" s="264"/>
      <c r="N15" s="259"/>
      <c r="O15" s="259"/>
      <c r="P15" s="264" t="s">
        <v>116</v>
      </c>
      <c r="Q15" s="259"/>
      <c r="R15" s="259"/>
      <c r="S15" s="264" t="s">
        <v>120</v>
      </c>
      <c r="T15" s="259"/>
      <c r="U15" s="260"/>
      <c r="V15" s="272" t="s">
        <v>187</v>
      </c>
      <c r="W15" s="273"/>
      <c r="X15" s="273"/>
      <c r="Y15" s="273"/>
      <c r="Z15" s="273"/>
      <c r="AA15" s="274"/>
      <c r="AB15" s="272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4"/>
      <c r="AR15" s="264"/>
      <c r="AS15" s="259"/>
      <c r="AT15" s="259"/>
      <c r="AU15" s="259"/>
      <c r="AV15" s="259"/>
      <c r="AW15" s="260"/>
      <c r="AX15" s="279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288" t="s">
        <v>61</v>
      </c>
      <c r="F16" s="289"/>
      <c r="G16" s="289"/>
      <c r="H16" s="289"/>
      <c r="I16" s="289"/>
      <c r="J16" s="289"/>
      <c r="K16" s="289"/>
      <c r="L16" s="290"/>
      <c r="M16" s="264" t="s">
        <v>118</v>
      </c>
      <c r="N16" s="259"/>
      <c r="O16" s="259"/>
      <c r="P16" s="264" t="s">
        <v>116</v>
      </c>
      <c r="Q16" s="259"/>
      <c r="R16" s="259"/>
      <c r="S16" s="264" t="s">
        <v>120</v>
      </c>
      <c r="T16" s="259"/>
      <c r="U16" s="260"/>
      <c r="V16" s="279" t="s">
        <v>238</v>
      </c>
      <c r="W16" s="280"/>
      <c r="X16" s="280"/>
      <c r="Y16" s="280"/>
      <c r="Z16" s="280"/>
      <c r="AA16" s="286"/>
      <c r="AB16" s="272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4"/>
      <c r="AR16" s="264"/>
      <c r="AS16" s="259"/>
      <c r="AT16" s="259"/>
      <c r="AU16" s="259"/>
      <c r="AV16" s="259"/>
      <c r="AW16" s="260"/>
      <c r="AX16" s="279"/>
      <c r="AY16" s="280"/>
      <c r="AZ16" s="280"/>
      <c r="BA16" s="280"/>
      <c r="BB16" s="280"/>
      <c r="BC16" s="280"/>
      <c r="BD16" s="280"/>
      <c r="BE16" s="280"/>
      <c r="BF16" s="280"/>
      <c r="BG16" s="280"/>
      <c r="BH16" s="280"/>
      <c r="BI16" s="280"/>
      <c r="BJ16" s="280"/>
      <c r="BK16" s="280"/>
      <c r="BL16" s="280"/>
      <c r="BM16" s="280"/>
      <c r="BN16" s="280"/>
      <c r="BO16" s="280"/>
      <c r="BP16" s="280"/>
      <c r="BQ16" s="280"/>
      <c r="BR16" s="280"/>
      <c r="BS16" s="280"/>
      <c r="BT16" s="28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hidden="1" customHeight="1" x14ac:dyDescent="0.45">
      <c r="A17" s="30"/>
      <c r="B17" s="44"/>
      <c r="C17" s="30"/>
      <c r="D17" s="37">
        <v>7</v>
      </c>
      <c r="E17" s="288" t="s">
        <v>62</v>
      </c>
      <c r="F17" s="289"/>
      <c r="G17" s="289"/>
      <c r="H17" s="289"/>
      <c r="I17" s="289"/>
      <c r="J17" s="289"/>
      <c r="K17" s="289"/>
      <c r="L17" s="290"/>
      <c r="M17" s="264" t="s">
        <v>118</v>
      </c>
      <c r="N17" s="259"/>
      <c r="O17" s="259"/>
      <c r="P17" s="264" t="s">
        <v>117</v>
      </c>
      <c r="Q17" s="259"/>
      <c r="R17" s="260"/>
      <c r="S17" s="264" t="s">
        <v>120</v>
      </c>
      <c r="T17" s="259"/>
      <c r="U17" s="260"/>
      <c r="V17" s="279" t="s">
        <v>110</v>
      </c>
      <c r="W17" s="280"/>
      <c r="X17" s="280"/>
      <c r="Y17" s="280"/>
      <c r="Z17" s="280"/>
      <c r="AA17" s="286"/>
      <c r="AB17" s="272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4"/>
      <c r="AR17" s="264"/>
      <c r="AS17" s="259"/>
      <c r="AT17" s="259"/>
      <c r="AU17" s="259"/>
      <c r="AV17" s="259"/>
      <c r="AW17" s="260"/>
      <c r="AX17" s="279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 s="30"/>
      <c r="D18" s="37">
        <v>8</v>
      </c>
      <c r="E18" s="288" t="s">
        <v>135</v>
      </c>
      <c r="F18" s="289"/>
      <c r="G18" s="289"/>
      <c r="H18" s="289"/>
      <c r="I18" s="289"/>
      <c r="J18" s="289"/>
      <c r="K18" s="289"/>
      <c r="L18" s="290"/>
      <c r="M18" s="264" t="s">
        <v>136</v>
      </c>
      <c r="N18" s="259"/>
      <c r="O18" s="259"/>
      <c r="P18" s="264" t="s">
        <v>137</v>
      </c>
      <c r="Q18" s="259"/>
      <c r="R18" s="260"/>
      <c r="S18" s="264" t="s">
        <v>120</v>
      </c>
      <c r="T18" s="259"/>
      <c r="U18" s="260"/>
      <c r="V18" s="279" t="s">
        <v>239</v>
      </c>
      <c r="W18" s="280"/>
      <c r="X18" s="280"/>
      <c r="Y18" s="280"/>
      <c r="Z18" s="280"/>
      <c r="AA18" s="286"/>
      <c r="AB18" s="272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4"/>
      <c r="AR18" s="264"/>
      <c r="AS18" s="259"/>
      <c r="AT18" s="259"/>
      <c r="AU18" s="259"/>
      <c r="AV18" s="259"/>
      <c r="AW18" s="260"/>
      <c r="AX18" s="279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1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30"/>
      <c r="B19" s="44"/>
      <c r="C19"/>
      <c r="D19" s="37">
        <v>9</v>
      </c>
      <c r="E19" s="288" t="s">
        <v>63</v>
      </c>
      <c r="F19" s="289"/>
      <c r="G19" s="289"/>
      <c r="H19" s="289"/>
      <c r="I19" s="289"/>
      <c r="J19" s="289"/>
      <c r="K19" s="289"/>
      <c r="L19" s="290"/>
      <c r="M19" s="264" t="s">
        <v>8</v>
      </c>
      <c r="N19" s="259"/>
      <c r="O19" s="259"/>
      <c r="P19" s="264" t="s">
        <v>116</v>
      </c>
      <c r="Q19" s="259"/>
      <c r="R19" s="259"/>
      <c r="S19" s="264" t="s">
        <v>120</v>
      </c>
      <c r="T19" s="259"/>
      <c r="U19" s="260"/>
      <c r="V19" s="279" t="s">
        <v>240</v>
      </c>
      <c r="W19" s="280"/>
      <c r="X19" s="280"/>
      <c r="Y19" s="280"/>
      <c r="Z19" s="280"/>
      <c r="AA19" s="286"/>
      <c r="AB19" s="272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4"/>
      <c r="AR19" s="264" t="s">
        <v>124</v>
      </c>
      <c r="AS19" s="259"/>
      <c r="AT19" s="259"/>
      <c r="AU19" s="259"/>
      <c r="AV19" s="259"/>
      <c r="AW19" s="260"/>
      <c r="AX19" s="279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1"/>
      <c r="BU19" s="41"/>
      <c r="BV19" s="40"/>
      <c r="BW19" s="41"/>
      <c r="BX19" s="41"/>
      <c r="BY19" s="41"/>
      <c r="BZ19" s="41"/>
      <c r="CA19" s="41"/>
      <c r="CB19" s="41"/>
      <c r="CC19" s="30"/>
      <c r="CD19" s="30"/>
      <c r="CE19" s="30"/>
      <c r="CF19" s="30"/>
      <c r="CG19" s="30"/>
    </row>
    <row r="20" spans="1:85" s="5" customFormat="1" ht="20.100000000000001" customHeight="1" x14ac:dyDescent="0.45">
      <c r="A20" s="29"/>
      <c r="B20" s="35"/>
      <c r="C20"/>
      <c r="D20" s="37">
        <v>10</v>
      </c>
      <c r="E20" s="288" t="s">
        <v>64</v>
      </c>
      <c r="F20" s="289"/>
      <c r="G20" s="289"/>
      <c r="H20" s="289"/>
      <c r="I20" s="289"/>
      <c r="J20" s="289"/>
      <c r="K20" s="289"/>
      <c r="L20" s="290"/>
      <c r="M20" s="264" t="s">
        <v>8</v>
      </c>
      <c r="N20" s="259"/>
      <c r="O20" s="259"/>
      <c r="P20" s="264" t="s">
        <v>116</v>
      </c>
      <c r="Q20" s="259"/>
      <c r="R20" s="259"/>
      <c r="S20" s="264" t="s">
        <v>120</v>
      </c>
      <c r="T20" s="259"/>
      <c r="U20" s="260"/>
      <c r="V20" s="279" t="s">
        <v>241</v>
      </c>
      <c r="W20" s="280"/>
      <c r="X20" s="280"/>
      <c r="Y20" s="280"/>
      <c r="Z20" s="280"/>
      <c r="AA20" s="286"/>
      <c r="AB20" s="272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4"/>
      <c r="AR20" s="264" t="s">
        <v>124</v>
      </c>
      <c r="AS20" s="259"/>
      <c r="AT20" s="259"/>
      <c r="AU20" s="259"/>
      <c r="AV20" s="259"/>
      <c r="AW20" s="260"/>
      <c r="AX20" s="279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1"/>
      <c r="BU20" s="29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31"/>
      <c r="CG20" s="31"/>
    </row>
    <row r="21" spans="1:85" s="5" customFormat="1" ht="20.100000000000001" customHeight="1" x14ac:dyDescent="0.45">
      <c r="A21" s="29"/>
      <c r="B21" s="35"/>
      <c r="C21"/>
      <c r="D21" s="37">
        <v>11</v>
      </c>
      <c r="E21" s="288" t="s">
        <v>65</v>
      </c>
      <c r="F21" s="289"/>
      <c r="G21" s="289"/>
      <c r="H21" s="289"/>
      <c r="I21" s="289"/>
      <c r="J21" s="289"/>
      <c r="K21" s="289"/>
      <c r="L21" s="290"/>
      <c r="M21" s="264" t="s">
        <v>118</v>
      </c>
      <c r="N21" s="259"/>
      <c r="O21" s="259"/>
      <c r="P21" s="264" t="s">
        <v>117</v>
      </c>
      <c r="Q21" s="259"/>
      <c r="R21" s="260"/>
      <c r="S21" s="264">
        <v>13</v>
      </c>
      <c r="T21" s="259"/>
      <c r="U21" s="259"/>
      <c r="V21" s="279" t="s">
        <v>242</v>
      </c>
      <c r="W21" s="280"/>
      <c r="X21" s="280"/>
      <c r="Y21" s="280"/>
      <c r="Z21" s="280"/>
      <c r="AA21" s="286"/>
      <c r="AB21" s="272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4"/>
      <c r="AR21" s="275"/>
      <c r="AS21" s="259"/>
      <c r="AT21" s="259"/>
      <c r="AU21" s="259"/>
      <c r="AV21" s="259"/>
      <c r="AW21" s="260"/>
      <c r="AX21" s="279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88" t="s">
        <v>66</v>
      </c>
      <c r="F22" s="289"/>
      <c r="G22" s="289"/>
      <c r="H22" s="289"/>
      <c r="I22" s="289"/>
      <c r="J22" s="289"/>
      <c r="K22" s="289"/>
      <c r="L22" s="290"/>
      <c r="M22" s="264" t="s">
        <v>119</v>
      </c>
      <c r="N22" s="259"/>
      <c r="O22" s="259"/>
      <c r="P22" s="264" t="s">
        <v>116</v>
      </c>
      <c r="Q22" s="259"/>
      <c r="R22" s="259"/>
      <c r="S22" s="264" t="s">
        <v>120</v>
      </c>
      <c r="T22" s="259"/>
      <c r="U22" s="260"/>
      <c r="V22" s="272" t="s">
        <v>187</v>
      </c>
      <c r="W22" s="273"/>
      <c r="X22" s="273"/>
      <c r="Y22" s="273"/>
      <c r="Z22" s="273"/>
      <c r="AA22" s="274"/>
      <c r="AB22" s="272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4"/>
      <c r="AR22" s="275">
        <v>999999</v>
      </c>
      <c r="AS22" s="259"/>
      <c r="AT22" s="259"/>
      <c r="AU22" s="259"/>
      <c r="AV22" s="259"/>
      <c r="AW22" s="260"/>
      <c r="AX22" s="279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88" t="s">
        <v>67</v>
      </c>
      <c r="F23" s="289"/>
      <c r="G23" s="289"/>
      <c r="H23" s="289"/>
      <c r="I23" s="289"/>
      <c r="J23" s="289"/>
      <c r="K23" s="289"/>
      <c r="L23" s="290"/>
      <c r="M23" s="264" t="s">
        <v>119</v>
      </c>
      <c r="N23" s="259"/>
      <c r="O23" s="259"/>
      <c r="P23" s="264" t="s">
        <v>116</v>
      </c>
      <c r="Q23" s="259"/>
      <c r="R23" s="259"/>
      <c r="S23" s="264" t="s">
        <v>120</v>
      </c>
      <c r="T23" s="259"/>
      <c r="U23" s="260"/>
      <c r="V23" s="279" t="s">
        <v>245</v>
      </c>
      <c r="W23" s="280"/>
      <c r="X23" s="280"/>
      <c r="Y23" s="280"/>
      <c r="Z23" s="280"/>
      <c r="AA23" s="286"/>
      <c r="AB23" s="272" t="s">
        <v>114</v>
      </c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4"/>
      <c r="AR23" s="275">
        <v>999999</v>
      </c>
      <c r="AS23" s="259"/>
      <c r="AT23" s="259"/>
      <c r="AU23" s="259"/>
      <c r="AV23" s="259"/>
      <c r="AW23" s="260"/>
      <c r="AX23" s="279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88" t="s">
        <v>68</v>
      </c>
      <c r="F24" s="289"/>
      <c r="G24" s="289"/>
      <c r="H24" s="289"/>
      <c r="I24" s="289"/>
      <c r="J24" s="289"/>
      <c r="K24" s="289"/>
      <c r="L24" s="290"/>
      <c r="M24" s="264" t="s">
        <v>119</v>
      </c>
      <c r="N24" s="259"/>
      <c r="O24" s="259"/>
      <c r="P24" s="264" t="s">
        <v>116</v>
      </c>
      <c r="Q24" s="259"/>
      <c r="R24" s="259"/>
      <c r="S24" s="264" t="s">
        <v>120</v>
      </c>
      <c r="T24" s="259"/>
      <c r="U24" s="260"/>
      <c r="V24" s="279" t="s">
        <v>243</v>
      </c>
      <c r="W24" s="280"/>
      <c r="X24" s="280"/>
      <c r="Y24" s="280"/>
      <c r="Z24" s="280"/>
      <c r="AA24" s="286"/>
      <c r="AB24" s="272" t="s">
        <v>111</v>
      </c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4"/>
      <c r="AR24" s="275">
        <v>999999</v>
      </c>
      <c r="AS24" s="259"/>
      <c r="AT24" s="259"/>
      <c r="AU24" s="259"/>
      <c r="AV24" s="259"/>
      <c r="AW24" s="260"/>
      <c r="AX24" s="279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88" t="s">
        <v>69</v>
      </c>
      <c r="F25" s="289"/>
      <c r="G25" s="289"/>
      <c r="H25" s="289"/>
      <c r="I25" s="289"/>
      <c r="J25" s="289"/>
      <c r="K25" s="289"/>
      <c r="L25" s="290"/>
      <c r="M25" s="264" t="s">
        <v>119</v>
      </c>
      <c r="N25" s="259"/>
      <c r="O25" s="259"/>
      <c r="P25" s="264" t="s">
        <v>116</v>
      </c>
      <c r="Q25" s="259"/>
      <c r="R25" s="259"/>
      <c r="S25" s="264" t="s">
        <v>120</v>
      </c>
      <c r="T25" s="259"/>
      <c r="U25" s="260"/>
      <c r="V25" s="279" t="s">
        <v>243</v>
      </c>
      <c r="W25" s="280"/>
      <c r="X25" s="280"/>
      <c r="Y25" s="280"/>
      <c r="Z25" s="280"/>
      <c r="AA25" s="286"/>
      <c r="AB25" s="272" t="s">
        <v>112</v>
      </c>
      <c r="AC25" s="273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4"/>
      <c r="AR25" s="275">
        <v>999999</v>
      </c>
      <c r="AS25" s="259"/>
      <c r="AT25" s="259"/>
      <c r="AU25" s="259"/>
      <c r="AV25" s="259"/>
      <c r="AW25" s="260"/>
      <c r="AX25" s="279"/>
      <c r="AY25" s="280"/>
      <c r="AZ25" s="280"/>
      <c r="BA25" s="280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0"/>
      <c r="BM25" s="280"/>
      <c r="BN25" s="280"/>
      <c r="BO25" s="280"/>
      <c r="BP25" s="280"/>
      <c r="BQ25" s="280"/>
      <c r="BR25" s="280"/>
      <c r="BS25" s="280"/>
      <c r="BT25" s="281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88" t="s">
        <v>70</v>
      </c>
      <c r="F26" s="289"/>
      <c r="G26" s="289"/>
      <c r="H26" s="289"/>
      <c r="I26" s="289"/>
      <c r="J26" s="289"/>
      <c r="K26" s="289"/>
      <c r="L26" s="290"/>
      <c r="M26" s="264" t="s">
        <v>119</v>
      </c>
      <c r="N26" s="259"/>
      <c r="O26" s="259"/>
      <c r="P26" s="264" t="s">
        <v>116</v>
      </c>
      <c r="Q26" s="259"/>
      <c r="R26" s="259"/>
      <c r="S26" s="264" t="s">
        <v>120</v>
      </c>
      <c r="T26" s="259"/>
      <c r="U26" s="260"/>
      <c r="V26" s="279" t="s">
        <v>243</v>
      </c>
      <c r="W26" s="280"/>
      <c r="X26" s="280"/>
      <c r="Y26" s="280"/>
      <c r="Z26" s="280"/>
      <c r="AA26" s="286"/>
      <c r="AB26" s="272" t="s">
        <v>113</v>
      </c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4"/>
      <c r="AR26" s="275">
        <v>999999</v>
      </c>
      <c r="AS26" s="259"/>
      <c r="AT26" s="259"/>
      <c r="AU26" s="259"/>
      <c r="AV26" s="259"/>
      <c r="AW26" s="260"/>
      <c r="AX26" s="279"/>
      <c r="AY26" s="280"/>
      <c r="AZ26" s="280"/>
      <c r="BA26" s="280"/>
      <c r="BB26" s="280"/>
      <c r="BC26" s="280"/>
      <c r="BD26" s="280"/>
      <c r="BE26" s="280"/>
      <c r="BF26" s="280"/>
      <c r="BG26" s="280"/>
      <c r="BH26" s="280"/>
      <c r="BI26" s="280"/>
      <c r="BJ26" s="280"/>
      <c r="BK26" s="280"/>
      <c r="BL26" s="280"/>
      <c r="BM26" s="280"/>
      <c r="BN26" s="280"/>
      <c r="BO26" s="280"/>
      <c r="BP26" s="280"/>
      <c r="BQ26" s="280"/>
      <c r="BR26" s="280"/>
      <c r="BS26" s="280"/>
      <c r="BT26" s="28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288" t="s">
        <v>71</v>
      </c>
      <c r="F27" s="289"/>
      <c r="G27" s="289"/>
      <c r="H27" s="289"/>
      <c r="I27" s="289"/>
      <c r="J27" s="289"/>
      <c r="K27" s="289"/>
      <c r="L27" s="290"/>
      <c r="M27" s="264" t="s">
        <v>118</v>
      </c>
      <c r="N27" s="259"/>
      <c r="O27" s="259"/>
      <c r="P27" s="264" t="s">
        <v>117</v>
      </c>
      <c r="Q27" s="259"/>
      <c r="R27" s="260"/>
      <c r="S27" s="264" t="s">
        <v>120</v>
      </c>
      <c r="T27" s="259"/>
      <c r="U27" s="260"/>
      <c r="V27" s="279" t="s">
        <v>244</v>
      </c>
      <c r="W27" s="280"/>
      <c r="X27" s="280"/>
      <c r="Y27" s="280"/>
      <c r="Z27" s="280"/>
      <c r="AA27" s="286"/>
      <c r="AB27" s="272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4"/>
      <c r="AR27" s="264"/>
      <c r="AS27" s="259"/>
      <c r="AT27" s="259"/>
      <c r="AU27" s="259"/>
      <c r="AV27" s="259"/>
      <c r="AW27" s="260"/>
      <c r="AX27" s="279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s="5" customFormat="1" ht="20.100000000000001" customHeight="1" x14ac:dyDescent="0.45">
      <c r="A28" s="29"/>
      <c r="B28" s="35"/>
      <c r="C28"/>
      <c r="D28" s="37">
        <v>18</v>
      </c>
      <c r="E28" s="288" t="s">
        <v>72</v>
      </c>
      <c r="F28" s="289"/>
      <c r="G28" s="289"/>
      <c r="H28" s="289"/>
      <c r="I28" s="289"/>
      <c r="J28" s="289"/>
      <c r="K28" s="289"/>
      <c r="L28" s="290"/>
      <c r="M28" s="264"/>
      <c r="N28" s="259"/>
      <c r="O28" s="259"/>
      <c r="P28" s="264" t="s">
        <v>115</v>
      </c>
      <c r="Q28" s="259"/>
      <c r="R28" s="259"/>
      <c r="S28" s="264">
        <v>4</v>
      </c>
      <c r="T28" s="259"/>
      <c r="U28" s="259"/>
      <c r="V28" s="272" t="s">
        <v>187</v>
      </c>
      <c r="W28" s="273"/>
      <c r="X28" s="273"/>
      <c r="Y28" s="273"/>
      <c r="Z28" s="273"/>
      <c r="AA28" s="274"/>
      <c r="AB28" s="272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4"/>
      <c r="AR28" s="264"/>
      <c r="AS28" s="259"/>
      <c r="AT28" s="259"/>
      <c r="AU28" s="259"/>
      <c r="AV28" s="259"/>
      <c r="AW28" s="260"/>
      <c r="AX28" s="279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20.100000000000001" customHeight="1" x14ac:dyDescent="0.45">
      <c r="A29" s="29"/>
      <c r="B29" s="44"/>
      <c r="C29"/>
      <c r="D29" s="37">
        <v>19</v>
      </c>
      <c r="E29" s="288" t="s">
        <v>73</v>
      </c>
      <c r="F29" s="289"/>
      <c r="G29" s="289"/>
      <c r="H29" s="289"/>
      <c r="I29" s="289"/>
      <c r="J29" s="289"/>
      <c r="K29" s="289"/>
      <c r="L29" s="290"/>
      <c r="M29" s="264"/>
      <c r="N29" s="259"/>
      <c r="O29" s="259"/>
      <c r="P29" s="264" t="s">
        <v>115</v>
      </c>
      <c r="Q29" s="259"/>
      <c r="R29" s="259"/>
      <c r="S29" s="264">
        <v>4</v>
      </c>
      <c r="T29" s="259"/>
      <c r="U29" s="259"/>
      <c r="V29" s="272" t="s">
        <v>187</v>
      </c>
      <c r="W29" s="273"/>
      <c r="X29" s="273"/>
      <c r="Y29" s="273"/>
      <c r="Z29" s="273"/>
      <c r="AA29" s="274"/>
      <c r="AB29" s="272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4"/>
      <c r="AR29" s="264"/>
      <c r="AS29" s="259"/>
      <c r="AT29" s="259"/>
      <c r="AU29" s="259"/>
      <c r="AV29" s="259"/>
      <c r="AW29" s="260"/>
      <c r="AX29" s="279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 s="29"/>
      <c r="D30" s="37">
        <v>20</v>
      </c>
      <c r="E30" s="288" t="s">
        <v>140</v>
      </c>
      <c r="F30" s="289"/>
      <c r="G30" s="289"/>
      <c r="H30" s="289"/>
      <c r="I30" s="289"/>
      <c r="J30" s="289"/>
      <c r="K30" s="289"/>
      <c r="L30" s="290"/>
      <c r="M30" s="264" t="s">
        <v>141</v>
      </c>
      <c r="N30" s="259"/>
      <c r="O30" s="259"/>
      <c r="P30" s="264" t="s">
        <v>137</v>
      </c>
      <c r="Q30" s="259"/>
      <c r="R30" s="259"/>
      <c r="S30" s="264">
        <v>4</v>
      </c>
      <c r="T30" s="259"/>
      <c r="U30" s="259"/>
      <c r="V30" s="279" t="s">
        <v>139</v>
      </c>
      <c r="W30" s="280"/>
      <c r="X30" s="280"/>
      <c r="Y30" s="280"/>
      <c r="Z30" s="280"/>
      <c r="AA30" s="286"/>
      <c r="AB30" s="272" t="s">
        <v>140</v>
      </c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4"/>
      <c r="AR30" s="264" t="s">
        <v>142</v>
      </c>
      <c r="AS30" s="259"/>
      <c r="AT30" s="259"/>
      <c r="AU30" s="259"/>
      <c r="AV30" s="259"/>
      <c r="AW30" s="260"/>
      <c r="AX30" s="279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0"/>
      <c r="BM30" s="280"/>
      <c r="BN30" s="280"/>
      <c r="BO30" s="280"/>
      <c r="BP30" s="280"/>
      <c r="BQ30" s="280"/>
      <c r="BR30" s="280"/>
      <c r="BS30" s="280"/>
      <c r="BT30" s="28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x14ac:dyDescent="0.45">
      <c r="A31" s="29"/>
      <c r="B31" s="44"/>
      <c r="C31" s="29"/>
      <c r="D31" s="37">
        <v>21</v>
      </c>
      <c r="E31" s="288" t="s">
        <v>125</v>
      </c>
      <c r="F31" s="289"/>
      <c r="G31" s="289"/>
      <c r="H31" s="289"/>
      <c r="I31" s="289"/>
      <c r="J31" s="289"/>
      <c r="K31" s="289"/>
      <c r="L31" s="290"/>
      <c r="M31" s="264" t="s">
        <v>119</v>
      </c>
      <c r="N31" s="259"/>
      <c r="O31" s="259"/>
      <c r="P31" s="264" t="s">
        <v>116</v>
      </c>
      <c r="Q31" s="259"/>
      <c r="R31" s="259"/>
      <c r="S31" s="264" t="s">
        <v>120</v>
      </c>
      <c r="T31" s="259"/>
      <c r="U31" s="260"/>
      <c r="V31" s="279" t="s">
        <v>246</v>
      </c>
      <c r="W31" s="280"/>
      <c r="X31" s="280"/>
      <c r="Y31" s="280"/>
      <c r="Z31" s="280"/>
      <c r="AA31" s="286"/>
      <c r="AB31" s="272" t="s">
        <v>129</v>
      </c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4"/>
      <c r="AR31" s="275">
        <v>999999</v>
      </c>
      <c r="AS31" s="259"/>
      <c r="AT31" s="259"/>
      <c r="AU31" s="259"/>
      <c r="AV31" s="259"/>
      <c r="AW31" s="260"/>
      <c r="AX31" s="279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0"/>
      <c r="BK31" s="280"/>
      <c r="BL31" s="280"/>
      <c r="BM31" s="280"/>
      <c r="BN31" s="280"/>
      <c r="BO31" s="280"/>
      <c r="BP31" s="280"/>
      <c r="BQ31" s="280"/>
      <c r="BR31" s="280"/>
      <c r="BS31" s="280"/>
      <c r="BT31" s="281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288" t="s">
        <v>126</v>
      </c>
      <c r="F32" s="289"/>
      <c r="G32" s="289"/>
      <c r="H32" s="289"/>
      <c r="I32" s="289"/>
      <c r="J32" s="289"/>
      <c r="K32" s="289"/>
      <c r="L32" s="290"/>
      <c r="M32" s="264" t="s">
        <v>119</v>
      </c>
      <c r="N32" s="259"/>
      <c r="O32" s="259"/>
      <c r="P32" s="264" t="s">
        <v>116</v>
      </c>
      <c r="Q32" s="259"/>
      <c r="R32" s="259"/>
      <c r="S32" s="264" t="s">
        <v>120</v>
      </c>
      <c r="T32" s="259"/>
      <c r="U32" s="260"/>
      <c r="V32" s="279" t="s">
        <v>247</v>
      </c>
      <c r="W32" s="280"/>
      <c r="X32" s="280"/>
      <c r="Y32" s="280"/>
      <c r="Z32" s="280"/>
      <c r="AA32" s="286"/>
      <c r="AB32" s="272" t="s">
        <v>129</v>
      </c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4"/>
      <c r="AR32" s="275">
        <v>999999</v>
      </c>
      <c r="AS32" s="259"/>
      <c r="AT32" s="259"/>
      <c r="AU32" s="259"/>
      <c r="AV32" s="259"/>
      <c r="AW32" s="260"/>
      <c r="AX32" s="279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20.100000000000001" customHeight="1" x14ac:dyDescent="0.45">
      <c r="A33" s="29"/>
      <c r="B33" s="44"/>
      <c r="C33" s="29"/>
      <c r="D33" s="37">
        <v>23</v>
      </c>
      <c r="E33" s="288" t="s">
        <v>127</v>
      </c>
      <c r="F33" s="289"/>
      <c r="G33" s="289"/>
      <c r="H33" s="289"/>
      <c r="I33" s="289"/>
      <c r="J33" s="289"/>
      <c r="K33" s="289"/>
      <c r="L33" s="290"/>
      <c r="M33" s="264" t="s">
        <v>119</v>
      </c>
      <c r="N33" s="259"/>
      <c r="O33" s="259"/>
      <c r="P33" s="264" t="s">
        <v>116</v>
      </c>
      <c r="Q33" s="259"/>
      <c r="R33" s="259"/>
      <c r="S33" s="264" t="s">
        <v>120</v>
      </c>
      <c r="T33" s="259"/>
      <c r="U33" s="260"/>
      <c r="V33" s="279" t="s">
        <v>248</v>
      </c>
      <c r="W33" s="280"/>
      <c r="X33" s="280"/>
      <c r="Y33" s="280"/>
      <c r="Z33" s="280"/>
      <c r="AA33" s="286"/>
      <c r="AB33" s="272" t="s">
        <v>129</v>
      </c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4"/>
      <c r="AR33" s="275">
        <v>999999</v>
      </c>
      <c r="AS33" s="259"/>
      <c r="AT33" s="259"/>
      <c r="AU33" s="259"/>
      <c r="AV33" s="259"/>
      <c r="AW33" s="260"/>
      <c r="AX33" s="279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1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/>
      <c r="D34" s="37">
        <v>24</v>
      </c>
      <c r="E34" s="288" t="s">
        <v>128</v>
      </c>
      <c r="F34" s="289"/>
      <c r="G34" s="289"/>
      <c r="H34" s="289"/>
      <c r="I34" s="289"/>
      <c r="J34" s="289"/>
      <c r="K34" s="289"/>
      <c r="L34" s="290"/>
      <c r="M34" s="264" t="s">
        <v>119</v>
      </c>
      <c r="N34" s="259"/>
      <c r="O34" s="259"/>
      <c r="P34" s="264" t="s">
        <v>116</v>
      </c>
      <c r="Q34" s="259"/>
      <c r="R34" s="259"/>
      <c r="S34" s="264" t="s">
        <v>120</v>
      </c>
      <c r="T34" s="259"/>
      <c r="U34" s="260"/>
      <c r="V34" s="279" t="s">
        <v>249</v>
      </c>
      <c r="W34" s="280"/>
      <c r="X34" s="280"/>
      <c r="Y34" s="280"/>
      <c r="Z34" s="280"/>
      <c r="AA34" s="286"/>
      <c r="AB34" s="272" t="s">
        <v>129</v>
      </c>
      <c r="AC34" s="273"/>
      <c r="AD34" s="273"/>
      <c r="AE34" s="273"/>
      <c r="AF34" s="273"/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4"/>
      <c r="AR34" s="275">
        <v>999999</v>
      </c>
      <c r="AS34" s="259"/>
      <c r="AT34" s="259"/>
      <c r="AU34" s="259"/>
      <c r="AV34" s="259"/>
      <c r="AW34" s="260"/>
      <c r="AX34" s="279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1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/>
      <c r="D35" s="37">
        <v>25</v>
      </c>
      <c r="E35" s="288" t="s">
        <v>130</v>
      </c>
      <c r="F35" s="289"/>
      <c r="G35" s="289"/>
      <c r="H35" s="289"/>
      <c r="I35" s="289"/>
      <c r="J35" s="289"/>
      <c r="K35" s="289"/>
      <c r="L35" s="290"/>
      <c r="M35" s="264" t="s">
        <v>119</v>
      </c>
      <c r="N35" s="259"/>
      <c r="O35" s="259"/>
      <c r="P35" s="264" t="s">
        <v>116</v>
      </c>
      <c r="Q35" s="259"/>
      <c r="R35" s="259"/>
      <c r="S35" s="264" t="s">
        <v>120</v>
      </c>
      <c r="T35" s="259"/>
      <c r="U35" s="260"/>
      <c r="V35" s="279" t="s">
        <v>250</v>
      </c>
      <c r="W35" s="280"/>
      <c r="X35" s="280"/>
      <c r="Y35" s="280"/>
      <c r="Z35" s="280"/>
      <c r="AA35" s="286"/>
      <c r="AB35" s="272" t="s">
        <v>251</v>
      </c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4"/>
      <c r="AR35" s="275">
        <v>999999</v>
      </c>
      <c r="AS35" s="259"/>
      <c r="AT35" s="259"/>
      <c r="AU35" s="259"/>
      <c r="AV35" s="259"/>
      <c r="AW35" s="260"/>
      <c r="AX35" s="279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1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Bot="1" x14ac:dyDescent="0.5">
      <c r="A36" s="29"/>
      <c r="B36" s="44"/>
      <c r="C36"/>
      <c r="D36" s="37">
        <v>26</v>
      </c>
      <c r="E36" s="294"/>
      <c r="F36" s="295"/>
      <c r="G36" s="295"/>
      <c r="H36" s="295"/>
      <c r="I36" s="295"/>
      <c r="J36" s="295"/>
      <c r="K36" s="295"/>
      <c r="L36" s="296"/>
      <c r="M36" s="276"/>
      <c r="N36" s="277"/>
      <c r="O36" s="278"/>
      <c r="P36" s="276"/>
      <c r="Q36" s="277"/>
      <c r="R36" s="277"/>
      <c r="S36" s="276"/>
      <c r="T36" s="277"/>
      <c r="U36" s="277"/>
      <c r="V36" s="283"/>
      <c r="W36" s="284"/>
      <c r="X36" s="284"/>
      <c r="Y36" s="284"/>
      <c r="Z36" s="284"/>
      <c r="AA36" s="287"/>
      <c r="AB36" s="269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1"/>
      <c r="AR36" s="276"/>
      <c r="AS36" s="277"/>
      <c r="AT36" s="277"/>
      <c r="AU36" s="277"/>
      <c r="AV36" s="277"/>
      <c r="AW36" s="278"/>
      <c r="AX36" s="283"/>
      <c r="AY36" s="284"/>
      <c r="AZ36" s="284"/>
      <c r="BA36" s="284"/>
      <c r="BB36" s="284"/>
      <c r="BC36" s="284"/>
      <c r="BD36" s="284"/>
      <c r="BE36" s="284"/>
      <c r="BF36" s="284"/>
      <c r="BG36" s="284"/>
      <c r="BH36" s="284"/>
      <c r="BI36" s="284"/>
      <c r="BJ36" s="284"/>
      <c r="BK36" s="284"/>
      <c r="BL36" s="284"/>
      <c r="BM36" s="284"/>
      <c r="BN36" s="284"/>
      <c r="BO36" s="284"/>
      <c r="BP36" s="284"/>
      <c r="BQ36" s="284"/>
      <c r="BR36" s="284"/>
      <c r="BS36" s="284"/>
      <c r="BT36" s="285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thickTop="1" thickBot="1" x14ac:dyDescent="0.5">
      <c r="A37" s="29"/>
      <c r="B37" s="40"/>
      <c r="C37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46"/>
      <c r="BR37" s="46"/>
      <c r="BS37" s="46"/>
      <c r="BT37" s="46"/>
      <c r="BU37" s="28"/>
    </row>
    <row r="38" spans="1:85" ht="20.100000000000001" customHeight="1" thickTop="1" x14ac:dyDescent="0.45">
      <c r="A38" s="29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33"/>
      <c r="BD38" s="33"/>
      <c r="BE38" s="33"/>
      <c r="BF38" s="33"/>
      <c r="BG38" s="33"/>
      <c r="BH38" s="33"/>
      <c r="BI38" s="42"/>
      <c r="BJ38" s="42"/>
      <c r="BK38" s="42"/>
      <c r="BL38" s="42"/>
      <c r="BM38" s="42"/>
      <c r="BN38" s="42"/>
      <c r="BO38" s="42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3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  <row r="59" spans="1:68" ht="20.100000000000001" customHeight="1" x14ac:dyDescent="0.4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</row>
  </sheetData>
  <mergeCells count="236">
    <mergeCell ref="E23:L23"/>
    <mergeCell ref="E24:L24"/>
    <mergeCell ref="E15:L15"/>
    <mergeCell ref="E16:L16"/>
    <mergeCell ref="M15:O15"/>
    <mergeCell ref="M21:O21"/>
    <mergeCell ref="E20:L20"/>
    <mergeCell ref="E21:L21"/>
    <mergeCell ref="M16:O16"/>
    <mergeCell ref="M17:O17"/>
    <mergeCell ref="M19:O19"/>
    <mergeCell ref="M24:O24"/>
    <mergeCell ref="E14:L14"/>
    <mergeCell ref="M14:O14"/>
    <mergeCell ref="P14:R14"/>
    <mergeCell ref="S14:U14"/>
    <mergeCell ref="V14:AA14"/>
    <mergeCell ref="AB14:AQ14"/>
    <mergeCell ref="AR14:AW14"/>
    <mergeCell ref="AX14:BT14"/>
    <mergeCell ref="E22:L22"/>
    <mergeCell ref="E17:L17"/>
    <mergeCell ref="E19:L19"/>
    <mergeCell ref="E18:L18"/>
    <mergeCell ref="M18:O18"/>
    <mergeCell ref="M20:O20"/>
    <mergeCell ref="P21:R21"/>
    <mergeCell ref="P22:R22"/>
    <mergeCell ref="AX16:BT16"/>
    <mergeCell ref="AX17:BT17"/>
    <mergeCell ref="AX19:BT19"/>
    <mergeCell ref="AX20:BT20"/>
    <mergeCell ref="AX21:BT21"/>
    <mergeCell ref="AX18:BT18"/>
    <mergeCell ref="AB21:AQ21"/>
    <mergeCell ref="AB22:AQ22"/>
    <mergeCell ref="E36:L36"/>
    <mergeCell ref="M28:O28"/>
    <mergeCell ref="M29:O29"/>
    <mergeCell ref="M34:O34"/>
    <mergeCell ref="M35:O35"/>
    <mergeCell ref="M36:O36"/>
    <mergeCell ref="E25:L25"/>
    <mergeCell ref="E28:L28"/>
    <mergeCell ref="E29:L29"/>
    <mergeCell ref="E34:L34"/>
    <mergeCell ref="E35:L35"/>
    <mergeCell ref="E27:L27"/>
    <mergeCell ref="E26:L26"/>
    <mergeCell ref="M26:O26"/>
    <mergeCell ref="M27:O27"/>
    <mergeCell ref="E31:L31"/>
    <mergeCell ref="M31:O31"/>
    <mergeCell ref="E33:L33"/>
    <mergeCell ref="M33:O33"/>
    <mergeCell ref="E30:L30"/>
    <mergeCell ref="M30:O30"/>
    <mergeCell ref="E32:L32"/>
    <mergeCell ref="M32:O32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X2:AJ2"/>
    <mergeCell ref="X3:AJ4"/>
    <mergeCell ref="M22:O22"/>
    <mergeCell ref="M23:O23"/>
    <mergeCell ref="AB18:AQ18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M10:O10"/>
    <mergeCell ref="M11:O11"/>
    <mergeCell ref="M12:O12"/>
    <mergeCell ref="M13:O13"/>
    <mergeCell ref="R3:W4"/>
    <mergeCell ref="P10:R10"/>
    <mergeCell ref="P11:R11"/>
    <mergeCell ref="P12:R12"/>
    <mergeCell ref="P13:R13"/>
    <mergeCell ref="P15:R15"/>
    <mergeCell ref="P16:R16"/>
    <mergeCell ref="P17:R17"/>
    <mergeCell ref="P19:R19"/>
    <mergeCell ref="P20:R20"/>
    <mergeCell ref="P18:R18"/>
    <mergeCell ref="S18:U18"/>
    <mergeCell ref="V18:AA18"/>
    <mergeCell ref="P30:R30"/>
    <mergeCell ref="S30:U30"/>
    <mergeCell ref="V30:AA30"/>
    <mergeCell ref="AB33:AQ33"/>
    <mergeCell ref="AB31:AQ31"/>
    <mergeCell ref="P32:R32"/>
    <mergeCell ref="S32:U32"/>
    <mergeCell ref="V32:AA32"/>
    <mergeCell ref="AB30:AQ30"/>
    <mergeCell ref="P23:R23"/>
    <mergeCell ref="P24:R24"/>
    <mergeCell ref="P25:R25"/>
    <mergeCell ref="V21:AA21"/>
    <mergeCell ref="V22:AA22"/>
    <mergeCell ref="V23:AA23"/>
    <mergeCell ref="V24:AA24"/>
    <mergeCell ref="P35:R35"/>
    <mergeCell ref="P36:R36"/>
    <mergeCell ref="S22:U22"/>
    <mergeCell ref="S23:U23"/>
    <mergeCell ref="S24:U24"/>
    <mergeCell ref="S25:U25"/>
    <mergeCell ref="P26:R26"/>
    <mergeCell ref="P27:R27"/>
    <mergeCell ref="P28:R28"/>
    <mergeCell ref="P29:R29"/>
    <mergeCell ref="P34:R34"/>
    <mergeCell ref="P31:R31"/>
    <mergeCell ref="S31:U31"/>
    <mergeCell ref="P33:R33"/>
    <mergeCell ref="S33:U33"/>
    <mergeCell ref="V35:AA35"/>
    <mergeCell ref="V36:AA36"/>
    <mergeCell ref="V27:AA27"/>
    <mergeCell ref="V28:AA28"/>
    <mergeCell ref="V29:AA29"/>
    <mergeCell ref="V34:AA34"/>
    <mergeCell ref="V31:AA31"/>
    <mergeCell ref="V25:AA25"/>
    <mergeCell ref="V26:AA26"/>
    <mergeCell ref="S11:U11"/>
    <mergeCell ref="S12:U12"/>
    <mergeCell ref="S13:U13"/>
    <mergeCell ref="S15:U15"/>
    <mergeCell ref="S16:U16"/>
    <mergeCell ref="S17:U17"/>
    <mergeCell ref="S19:U19"/>
    <mergeCell ref="S20:U20"/>
    <mergeCell ref="S21:U21"/>
    <mergeCell ref="V33:AA33"/>
    <mergeCell ref="AX10:BT10"/>
    <mergeCell ref="AX11:BT11"/>
    <mergeCell ref="AX12:BT12"/>
    <mergeCell ref="AX13:BT13"/>
    <mergeCell ref="AX15:BT15"/>
    <mergeCell ref="AX30:BT30"/>
    <mergeCell ref="AX36:BT36"/>
    <mergeCell ref="S10:U10"/>
    <mergeCell ref="S26:U26"/>
    <mergeCell ref="S27:U27"/>
    <mergeCell ref="S28:U28"/>
    <mergeCell ref="S29:U29"/>
    <mergeCell ref="S34:U34"/>
    <mergeCell ref="S35:U35"/>
    <mergeCell ref="V10:AA10"/>
    <mergeCell ref="S36:U36"/>
    <mergeCell ref="V11:AA11"/>
    <mergeCell ref="V12:AA12"/>
    <mergeCell ref="V13:AA13"/>
    <mergeCell ref="V15:AA15"/>
    <mergeCell ref="V16:AA16"/>
    <mergeCell ref="V17:AA17"/>
    <mergeCell ref="V19:AA19"/>
    <mergeCell ref="V20:AA20"/>
    <mergeCell ref="AB10:AQ10"/>
    <mergeCell ref="AB11:AQ11"/>
    <mergeCell ref="AB12:AQ12"/>
    <mergeCell ref="AB13:AQ13"/>
    <mergeCell ref="AB15:AQ15"/>
    <mergeCell ref="AB16:AQ16"/>
    <mergeCell ref="AB17:AQ17"/>
    <mergeCell ref="AB19:AQ19"/>
    <mergeCell ref="AB20:AQ20"/>
    <mergeCell ref="AB23:AQ23"/>
    <mergeCell ref="AB24:AQ24"/>
    <mergeCell ref="AX27:BT27"/>
    <mergeCell ref="AX28:BT28"/>
    <mergeCell ref="AX29:BT29"/>
    <mergeCell ref="AX34:BT34"/>
    <mergeCell ref="AX35:BT35"/>
    <mergeCell ref="AX22:BT22"/>
    <mergeCell ref="AX23:BT23"/>
    <mergeCell ref="AX24:BT24"/>
    <mergeCell ref="AX25:BT25"/>
    <mergeCell ref="AX26:BT26"/>
    <mergeCell ref="AX32:BT32"/>
    <mergeCell ref="AR34:AW34"/>
    <mergeCell ref="AR35:AW35"/>
    <mergeCell ref="AX33:BT33"/>
    <mergeCell ref="AX31:BT31"/>
    <mergeCell ref="AR33:AW33"/>
    <mergeCell ref="AR31:AW31"/>
    <mergeCell ref="AB35:AQ35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36:AQ36"/>
    <mergeCell ref="AB27:AQ27"/>
    <mergeCell ref="AB28:AQ28"/>
    <mergeCell ref="AB29:AQ29"/>
    <mergeCell ref="AB34:AQ34"/>
    <mergeCell ref="AB25:AQ25"/>
    <mergeCell ref="AR30:AW30"/>
    <mergeCell ref="AB26:AQ26"/>
    <mergeCell ref="AB32:AQ32"/>
    <mergeCell ref="AR32:AW32"/>
    <mergeCell ref="AR36:AW36"/>
    <mergeCell ref="AR10:AW10"/>
    <mergeCell ref="AR11:AW11"/>
    <mergeCell ref="AR12:AW12"/>
    <mergeCell ref="AR13:AW13"/>
    <mergeCell ref="AR15:AW15"/>
    <mergeCell ref="AR16:AW16"/>
    <mergeCell ref="AR17:AW17"/>
    <mergeCell ref="AR19:AW19"/>
    <mergeCell ref="AR20:AW20"/>
    <mergeCell ref="AR18:AW18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BM44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306" t="s">
        <v>0</v>
      </c>
      <c r="C2" s="301"/>
      <c r="D2" s="301"/>
      <c r="E2" s="301"/>
      <c r="F2" s="301"/>
      <c r="G2" s="301"/>
      <c r="H2" s="301" t="s">
        <v>17</v>
      </c>
      <c r="I2" s="301"/>
      <c r="J2" s="301"/>
      <c r="K2" s="301"/>
      <c r="L2" s="301" t="s">
        <v>255</v>
      </c>
      <c r="M2" s="301"/>
      <c r="N2" s="301"/>
      <c r="O2" s="301"/>
      <c r="P2" s="301"/>
      <c r="Q2" s="301"/>
      <c r="R2" s="301" t="s">
        <v>2</v>
      </c>
      <c r="S2" s="301"/>
      <c r="T2" s="301"/>
      <c r="U2" s="301"/>
      <c r="V2" s="301"/>
      <c r="W2" s="301"/>
      <c r="X2" s="307" t="s">
        <v>3</v>
      </c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9"/>
      <c r="AK2" s="307" t="s">
        <v>32</v>
      </c>
      <c r="AL2" s="308"/>
      <c r="AM2" s="308"/>
      <c r="AN2" s="308"/>
      <c r="AO2" s="308"/>
      <c r="AP2" s="308"/>
      <c r="AQ2" s="308"/>
      <c r="AR2" s="308"/>
      <c r="AS2" s="308"/>
      <c r="AT2" s="308"/>
      <c r="AU2" s="308"/>
      <c r="AV2" s="308"/>
      <c r="AW2" s="309"/>
      <c r="AX2" s="301" t="s">
        <v>5</v>
      </c>
      <c r="AY2" s="301"/>
      <c r="AZ2" s="301"/>
      <c r="BA2" s="301"/>
      <c r="BB2" s="301" t="s">
        <v>4</v>
      </c>
      <c r="BC2" s="301"/>
      <c r="BD2" s="301"/>
      <c r="BE2" s="301"/>
      <c r="BF2" s="301" t="s">
        <v>6</v>
      </c>
      <c r="BG2" s="301"/>
      <c r="BH2" s="301"/>
      <c r="BI2" s="301"/>
      <c r="BJ2" s="301" t="s">
        <v>7</v>
      </c>
      <c r="BK2" s="301"/>
      <c r="BL2" s="301"/>
      <c r="BM2" s="302"/>
    </row>
    <row r="3" spans="2:65" ht="20.100000000000001" customHeight="1" x14ac:dyDescent="0.45">
      <c r="B3" s="310" t="str">
        <f>変更履歴!B3</f>
        <v>受発注システム</v>
      </c>
      <c r="C3" s="245"/>
      <c r="D3" s="245"/>
      <c r="E3" s="245"/>
      <c r="F3" s="245"/>
      <c r="G3" s="245"/>
      <c r="H3" s="245" t="str">
        <f ca="1">変更履歴!H3</f>
        <v>SU0800</v>
      </c>
      <c r="I3" s="245"/>
      <c r="J3" s="245"/>
      <c r="K3" s="245"/>
      <c r="L3" s="245" t="str">
        <f>変更履歴!L3</f>
        <v>受発注</v>
      </c>
      <c r="M3" s="245"/>
      <c r="N3" s="245"/>
      <c r="O3" s="245"/>
      <c r="P3" s="245"/>
      <c r="Q3" s="245"/>
      <c r="R3" s="245" t="str">
        <f ca="1">変更履歴!R3</f>
        <v>帳票設計書</v>
      </c>
      <c r="S3" s="245"/>
      <c r="T3" s="245"/>
      <c r="U3" s="245"/>
      <c r="V3" s="245"/>
      <c r="W3" s="245"/>
      <c r="X3" s="249" t="str">
        <f ca="1">変更履歴!X3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変更履歴!AK3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f>変更履歴!AX3</f>
        <v>45581</v>
      </c>
      <c r="AY3" s="256"/>
      <c r="AZ3" s="256"/>
      <c r="BA3" s="256"/>
      <c r="BB3" s="245" t="str">
        <f>変更履歴!BB3</f>
        <v>大谷</v>
      </c>
      <c r="BC3" s="245"/>
      <c r="BD3" s="245"/>
      <c r="BE3" s="245"/>
      <c r="BF3" s="256">
        <f>変更履歴!BF3</f>
        <v>45581</v>
      </c>
      <c r="BG3" s="256"/>
      <c r="BH3" s="256"/>
      <c r="BI3" s="256"/>
      <c r="BJ3" s="245" t="str">
        <f>変更履歴!BJ3</f>
        <v>大谷</v>
      </c>
      <c r="BK3" s="245"/>
      <c r="BL3" s="245"/>
      <c r="BM3" s="299"/>
    </row>
    <row r="4" spans="2:65" ht="20.100000000000001" customHeight="1" thickBot="1" x14ac:dyDescent="0.5">
      <c r="B4" s="311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303"/>
      <c r="Y4" s="304"/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305"/>
      <c r="AK4" s="303"/>
      <c r="AL4" s="304"/>
      <c r="AM4" s="304"/>
      <c r="AN4" s="304"/>
      <c r="AO4" s="304"/>
      <c r="AP4" s="304"/>
      <c r="AQ4" s="304"/>
      <c r="AR4" s="304"/>
      <c r="AS4" s="304"/>
      <c r="AT4" s="304"/>
      <c r="AU4" s="304"/>
      <c r="AV4" s="304"/>
      <c r="AW4" s="305"/>
      <c r="AX4" s="297"/>
      <c r="AY4" s="297"/>
      <c r="AZ4" s="297"/>
      <c r="BA4" s="297"/>
      <c r="BB4" s="298"/>
      <c r="BC4" s="298"/>
      <c r="BD4" s="298"/>
      <c r="BE4" s="298"/>
      <c r="BF4" s="297"/>
      <c r="BG4" s="297"/>
      <c r="BH4" s="297"/>
      <c r="BI4" s="297"/>
      <c r="BJ4" s="298"/>
      <c r="BK4" s="298"/>
      <c r="BL4" s="298"/>
      <c r="BM4" s="300"/>
    </row>
    <row r="5" spans="2:65" ht="5.0999999999999996" customHeight="1" thickBot="1" x14ac:dyDescent="0.5"/>
    <row r="6" spans="2:65" ht="20.100000000000001" customHeight="1" x14ac:dyDescent="0.45">
      <c r="B6" s="221">
        <v>1</v>
      </c>
      <c r="C6" s="199"/>
      <c r="D6" s="199"/>
      <c r="E6" s="199"/>
      <c r="F6" s="199"/>
      <c r="G6" s="200"/>
      <c r="H6" s="201" t="s">
        <v>174</v>
      </c>
      <c r="I6" s="199"/>
      <c r="J6" s="230" t="s">
        <v>201</v>
      </c>
      <c r="K6" s="231"/>
      <c r="L6" s="231"/>
      <c r="M6" s="231"/>
      <c r="N6" s="231"/>
      <c r="O6" s="231"/>
      <c r="P6" s="231"/>
      <c r="Q6" s="232"/>
      <c r="R6" s="231" t="s">
        <v>189</v>
      </c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2"/>
      <c r="AK6" s="215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202"/>
    </row>
    <row r="7" spans="2:65" ht="20.100000000000001" customHeight="1" x14ac:dyDescent="0.45">
      <c r="B7" s="233"/>
      <c r="C7" s="31"/>
      <c r="D7" s="31"/>
      <c r="E7" s="31"/>
      <c r="F7" s="31"/>
      <c r="G7" s="204"/>
      <c r="H7" s="205"/>
      <c r="I7" s="31"/>
      <c r="J7" s="234" t="s">
        <v>202</v>
      </c>
      <c r="K7" s="52"/>
      <c r="L7" s="52"/>
      <c r="M7" s="52"/>
      <c r="N7" s="52"/>
      <c r="O7" s="52"/>
      <c r="P7" s="52"/>
      <c r="Q7" s="235"/>
      <c r="R7" s="52" t="s">
        <v>190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235"/>
      <c r="AK7" s="216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206"/>
    </row>
    <row r="8" spans="2:65" ht="20.100000000000001" customHeight="1" x14ac:dyDescent="0.45">
      <c r="B8" s="233"/>
      <c r="C8" s="31"/>
      <c r="D8" s="31"/>
      <c r="E8" s="31"/>
      <c r="F8" s="31"/>
      <c r="G8" s="204"/>
      <c r="H8" s="205"/>
      <c r="I8" s="31"/>
      <c r="J8" s="234" t="s">
        <v>203</v>
      </c>
      <c r="K8" s="52"/>
      <c r="L8" s="52"/>
      <c r="M8" s="52"/>
      <c r="N8" s="52"/>
      <c r="O8" s="52"/>
      <c r="P8" s="52"/>
      <c r="Q8" s="235"/>
      <c r="R8" s="52" t="s">
        <v>191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235"/>
      <c r="AK8" s="21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206"/>
    </row>
    <row r="9" spans="2:65" ht="20.100000000000001" customHeight="1" x14ac:dyDescent="0.45">
      <c r="B9" s="233"/>
      <c r="C9" s="31"/>
      <c r="D9" s="31"/>
      <c r="E9" s="31"/>
      <c r="F9" s="31"/>
      <c r="G9" s="204"/>
      <c r="H9" s="205"/>
      <c r="I9" s="31"/>
      <c r="J9" s="234" t="s">
        <v>204</v>
      </c>
      <c r="K9" s="52"/>
      <c r="L9" s="52"/>
      <c r="M9" s="52"/>
      <c r="N9" s="52"/>
      <c r="O9" s="52"/>
      <c r="P9" s="52"/>
      <c r="Q9" s="235"/>
      <c r="R9" s="52" t="s">
        <v>192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235"/>
      <c r="AK9" s="216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206"/>
    </row>
    <row r="10" spans="2:65" ht="20.100000000000001" customHeight="1" x14ac:dyDescent="0.45">
      <c r="B10" s="233"/>
      <c r="C10" s="31"/>
      <c r="D10" s="31"/>
      <c r="E10" s="31"/>
      <c r="F10" s="31"/>
      <c r="G10" s="204"/>
      <c r="H10" s="31"/>
      <c r="I10" s="31"/>
      <c r="J10" s="234" t="s">
        <v>205</v>
      </c>
      <c r="K10" s="52"/>
      <c r="L10" s="52"/>
      <c r="M10" s="52"/>
      <c r="N10" s="52"/>
      <c r="O10" s="52"/>
      <c r="P10" s="52"/>
      <c r="Q10" s="235"/>
      <c r="R10" s="52" t="s">
        <v>193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235"/>
      <c r="AK10" s="21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206"/>
    </row>
    <row r="11" spans="2:65" ht="20.100000000000001" customHeight="1" x14ac:dyDescent="0.45">
      <c r="B11" s="233"/>
      <c r="C11" s="31"/>
      <c r="D11" s="31"/>
      <c r="E11" s="31"/>
      <c r="F11" s="31"/>
      <c r="G11" s="204"/>
      <c r="H11" s="31"/>
      <c r="I11" s="31"/>
      <c r="J11" s="234" t="s">
        <v>206</v>
      </c>
      <c r="K11" s="52"/>
      <c r="L11" s="52"/>
      <c r="M11" s="52"/>
      <c r="N11" s="52"/>
      <c r="O11" s="52"/>
      <c r="P11" s="52"/>
      <c r="Q11" s="235"/>
      <c r="R11" s="52" t="s">
        <v>194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235"/>
      <c r="AK11" s="21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206"/>
    </row>
    <row r="12" spans="2:65" ht="20.100000000000001" customHeight="1" x14ac:dyDescent="0.45">
      <c r="B12" s="233"/>
      <c r="C12" s="31"/>
      <c r="D12" s="31"/>
      <c r="E12" s="31"/>
      <c r="F12" s="31"/>
      <c r="G12" s="204"/>
      <c r="H12" s="31"/>
      <c r="I12" s="31"/>
      <c r="J12" s="234" t="s">
        <v>207</v>
      </c>
      <c r="K12" s="52"/>
      <c r="L12" s="52"/>
      <c r="M12" s="52"/>
      <c r="N12" s="52"/>
      <c r="O12" s="52"/>
      <c r="P12" s="52"/>
      <c r="Q12" s="235"/>
      <c r="R12" s="52" t="s">
        <v>195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235"/>
      <c r="AK12" s="21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206"/>
    </row>
    <row r="13" spans="2:65" ht="20.100000000000001" customHeight="1" x14ac:dyDescent="0.45">
      <c r="B13" s="233"/>
      <c r="C13" s="31"/>
      <c r="D13" s="31"/>
      <c r="E13" s="31"/>
      <c r="F13" s="31"/>
      <c r="G13" s="204"/>
      <c r="H13" s="31"/>
      <c r="I13" s="31"/>
      <c r="J13" s="234" t="s">
        <v>208</v>
      </c>
      <c r="K13" s="52"/>
      <c r="L13" s="52"/>
      <c r="M13" s="52"/>
      <c r="N13" s="52"/>
      <c r="O13" s="52"/>
      <c r="P13" s="52"/>
      <c r="Q13" s="235"/>
      <c r="R13" s="52" t="s">
        <v>196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235"/>
      <c r="AK13" s="21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206"/>
    </row>
    <row r="14" spans="2:65" ht="20.100000000000001" customHeight="1" x14ac:dyDescent="0.45">
      <c r="B14" s="233"/>
      <c r="C14" s="31"/>
      <c r="D14" s="31"/>
      <c r="E14" s="31"/>
      <c r="F14" s="31"/>
      <c r="G14" s="204"/>
      <c r="H14" s="31"/>
      <c r="I14" s="31"/>
      <c r="J14" s="234" t="s">
        <v>209</v>
      </c>
      <c r="K14" s="52"/>
      <c r="L14" s="52"/>
      <c r="M14" s="52"/>
      <c r="N14" s="52"/>
      <c r="O14" s="52"/>
      <c r="P14" s="52"/>
      <c r="Q14" s="235"/>
      <c r="R14" s="52" t="s">
        <v>197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235"/>
      <c r="AK14" s="216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206"/>
    </row>
    <row r="15" spans="2:65" ht="20.100000000000001" customHeight="1" x14ac:dyDescent="0.45">
      <c r="B15" s="233"/>
      <c r="C15" s="31"/>
      <c r="D15" s="31"/>
      <c r="E15" s="31"/>
      <c r="F15" s="31"/>
      <c r="G15" s="204"/>
      <c r="H15" s="31"/>
      <c r="I15" s="31"/>
      <c r="J15" s="234" t="s">
        <v>210</v>
      </c>
      <c r="K15" s="52"/>
      <c r="L15" s="52"/>
      <c r="M15" s="52"/>
      <c r="N15" s="52"/>
      <c r="O15" s="52"/>
      <c r="P15" s="52"/>
      <c r="Q15" s="235"/>
      <c r="R15" s="52" t="s">
        <v>198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235"/>
      <c r="AK15" s="216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206"/>
    </row>
    <row r="16" spans="2:65" ht="20.100000000000001" customHeight="1" x14ac:dyDescent="0.45">
      <c r="B16" s="233"/>
      <c r="C16" s="31"/>
      <c r="D16" s="31"/>
      <c r="E16" s="31"/>
      <c r="F16" s="31"/>
      <c r="G16" s="204"/>
      <c r="H16" s="31"/>
      <c r="I16" s="31"/>
      <c r="J16" s="234" t="s">
        <v>211</v>
      </c>
      <c r="K16" s="52"/>
      <c r="L16" s="52"/>
      <c r="M16" s="52"/>
      <c r="N16" s="52"/>
      <c r="O16" s="52"/>
      <c r="P16" s="52"/>
      <c r="Q16" s="235"/>
      <c r="R16" s="52" t="s">
        <v>199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235"/>
      <c r="AK16" s="216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206"/>
    </row>
    <row r="17" spans="2:61" ht="20.100000000000001" customHeight="1" x14ac:dyDescent="0.45">
      <c r="B17" s="233"/>
      <c r="C17" s="31"/>
      <c r="D17" s="31"/>
      <c r="E17" s="31"/>
      <c r="F17" s="31"/>
      <c r="G17" s="204"/>
      <c r="H17" s="31"/>
      <c r="I17" s="31"/>
      <c r="J17" s="234" t="s">
        <v>212</v>
      </c>
      <c r="K17" s="52"/>
      <c r="L17" s="52"/>
      <c r="M17" s="52"/>
      <c r="N17" s="52"/>
      <c r="O17" s="52"/>
      <c r="P17" s="52"/>
      <c r="Q17" s="235"/>
      <c r="R17" s="52" t="s">
        <v>200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235"/>
      <c r="AK17" s="216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206"/>
    </row>
    <row r="18" spans="2:61" ht="20.100000000000001" customHeight="1" x14ac:dyDescent="0.45">
      <c r="B18" s="233"/>
      <c r="C18" s="31"/>
      <c r="D18" s="31"/>
      <c r="E18" s="31"/>
      <c r="F18" s="31"/>
      <c r="G18" s="204"/>
      <c r="I18" s="31"/>
      <c r="J18" s="234" t="s">
        <v>213</v>
      </c>
      <c r="K18" s="52"/>
      <c r="L18" s="52"/>
      <c r="M18" s="52"/>
      <c r="N18" s="52"/>
      <c r="O18" s="52"/>
      <c r="P18" s="52"/>
      <c r="Q18" s="235"/>
      <c r="R18" s="52" t="s">
        <v>188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235"/>
      <c r="AK18" s="21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206"/>
    </row>
    <row r="19" spans="2:61" ht="20.100000000000001" customHeight="1" x14ac:dyDescent="0.45">
      <c r="B19" s="233"/>
      <c r="C19" s="31"/>
      <c r="D19" s="31"/>
      <c r="E19" s="31"/>
      <c r="F19" s="31"/>
      <c r="G19" s="204"/>
      <c r="H19" s="218" t="s">
        <v>145</v>
      </c>
      <c r="I19" s="55"/>
      <c r="J19" s="218" t="s">
        <v>214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219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220"/>
    </row>
    <row r="20" spans="2:61" ht="20.100000000000001" customHeight="1" x14ac:dyDescent="0.45">
      <c r="B20" s="233"/>
      <c r="C20" s="31"/>
      <c r="D20" s="31"/>
      <c r="E20" s="31"/>
      <c r="F20" s="31"/>
      <c r="G20" s="204"/>
      <c r="H20" s="205"/>
      <c r="I20" s="31"/>
      <c r="J20" s="205" t="s">
        <v>215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21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206"/>
    </row>
    <row r="21" spans="2:61" ht="20.100000000000001" customHeight="1" x14ac:dyDescent="0.45">
      <c r="B21" s="203"/>
      <c r="C21" s="31"/>
      <c r="D21" s="31"/>
      <c r="E21" s="31"/>
      <c r="F21" s="31"/>
      <c r="G21" s="204"/>
      <c r="I21" s="31"/>
      <c r="J21" s="205" t="s">
        <v>216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21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206"/>
    </row>
    <row r="22" spans="2:61" ht="20.100000000000001" customHeight="1" x14ac:dyDescent="0.45">
      <c r="B22" s="203"/>
      <c r="C22" s="31"/>
      <c r="D22" s="31"/>
      <c r="E22" s="31"/>
      <c r="F22" s="31"/>
      <c r="G22" s="204"/>
      <c r="H22" s="218" t="s">
        <v>146</v>
      </c>
      <c r="I22" s="55"/>
      <c r="J22" s="218" t="s">
        <v>217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219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220"/>
    </row>
    <row r="23" spans="2:61" ht="20.100000000000001" customHeight="1" x14ac:dyDescent="0.45">
      <c r="B23" s="203"/>
      <c r="C23" s="31"/>
      <c r="D23" s="31"/>
      <c r="E23" s="31"/>
      <c r="F23" s="31"/>
      <c r="G23" s="204"/>
      <c r="H23" s="205"/>
      <c r="I23" s="31"/>
      <c r="J23" s="205"/>
      <c r="K23" s="31" t="s">
        <v>218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216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206"/>
    </row>
    <row r="24" spans="2:61" ht="20.100000000000001" customHeight="1" x14ac:dyDescent="0.45">
      <c r="B24" s="203"/>
      <c r="C24" s="31"/>
      <c r="D24" s="31"/>
      <c r="E24" s="31"/>
      <c r="F24" s="31"/>
      <c r="G24" s="204"/>
      <c r="H24" s="205"/>
      <c r="I24" s="31"/>
      <c r="J24" s="205"/>
      <c r="K24" s="31"/>
      <c r="L24" s="31"/>
      <c r="M24" s="31" t="s">
        <v>219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21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206"/>
    </row>
    <row r="25" spans="2:61" ht="20.100000000000001" customHeight="1" x14ac:dyDescent="0.45">
      <c r="B25" s="203"/>
      <c r="C25" s="31"/>
      <c r="D25" s="31"/>
      <c r="E25" s="31"/>
      <c r="F25" s="31"/>
      <c r="G25" s="204"/>
      <c r="H25" s="205"/>
      <c r="I25" s="31"/>
      <c r="J25" s="205" t="s">
        <v>217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21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206"/>
    </row>
    <row r="26" spans="2:61" ht="20.100000000000001" customHeight="1" x14ac:dyDescent="0.45">
      <c r="B26" s="203"/>
      <c r="C26" s="31"/>
      <c r="D26" s="31"/>
      <c r="E26" s="31"/>
      <c r="F26" s="31"/>
      <c r="G26" s="204"/>
      <c r="H26" s="205"/>
      <c r="I26" s="31"/>
      <c r="J26" s="205"/>
      <c r="K26" s="31" t="s">
        <v>220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216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206"/>
    </row>
    <row r="27" spans="2:61" ht="20.100000000000001" customHeight="1" x14ac:dyDescent="0.45">
      <c r="B27" s="203"/>
      <c r="C27" s="31"/>
      <c r="D27" s="31"/>
      <c r="E27" s="31"/>
      <c r="F27" s="31"/>
      <c r="G27" s="204"/>
      <c r="H27" s="205"/>
      <c r="I27" s="31"/>
      <c r="J27" s="205"/>
      <c r="K27" s="31"/>
      <c r="L27" s="31"/>
      <c r="M27" s="31" t="s">
        <v>221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216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206"/>
    </row>
    <row r="28" spans="2:61" ht="20.100000000000001" customHeight="1" x14ac:dyDescent="0.45">
      <c r="B28" s="203"/>
      <c r="C28" s="31"/>
      <c r="D28" s="31"/>
      <c r="E28" s="31"/>
      <c r="F28" s="31"/>
      <c r="G28" s="204"/>
      <c r="H28" s="207"/>
      <c r="I28" s="208"/>
      <c r="J28" s="207"/>
      <c r="K28" s="208"/>
      <c r="L28" s="208" t="s">
        <v>223</v>
      </c>
      <c r="M28" s="208" t="s">
        <v>222</v>
      </c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17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9"/>
    </row>
    <row r="29" spans="2:61" ht="20.100000000000001" customHeight="1" x14ac:dyDescent="0.45">
      <c r="B29" s="203"/>
      <c r="C29" s="31"/>
      <c r="D29" s="31"/>
      <c r="E29" s="31"/>
      <c r="F29" s="31"/>
      <c r="G29" s="204"/>
      <c r="H29" s="205" t="s">
        <v>143</v>
      </c>
      <c r="I29" s="31"/>
      <c r="J29" s="205"/>
      <c r="K29" s="31" t="s">
        <v>224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21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206"/>
    </row>
    <row r="30" spans="2:61" ht="20.100000000000001" customHeight="1" x14ac:dyDescent="0.45">
      <c r="B30" s="203"/>
      <c r="C30" s="31"/>
      <c r="D30" s="31"/>
      <c r="E30" s="31"/>
      <c r="F30" s="31"/>
      <c r="G30" s="204"/>
      <c r="H30" s="205"/>
      <c r="I30" s="31"/>
      <c r="J30" s="205" t="s">
        <v>223</v>
      </c>
      <c r="K30" s="31" t="s">
        <v>225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20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206"/>
    </row>
    <row r="31" spans="2:61" ht="20.100000000000001" customHeight="1" x14ac:dyDescent="0.45">
      <c r="B31" s="203"/>
      <c r="C31" s="31"/>
      <c r="D31" s="31"/>
      <c r="E31" s="31"/>
      <c r="F31" s="31"/>
      <c r="G31" s="204"/>
      <c r="H31" s="205"/>
      <c r="I31" s="31"/>
      <c r="J31" s="205" t="s">
        <v>223</v>
      </c>
      <c r="K31" s="31" t="s">
        <v>226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205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206"/>
    </row>
    <row r="32" spans="2:61" ht="20.100000000000001" customHeight="1" x14ac:dyDescent="0.45">
      <c r="B32" s="203"/>
      <c r="C32" s="31"/>
      <c r="D32" s="31"/>
      <c r="E32" s="31"/>
      <c r="F32" s="31"/>
      <c r="G32" s="204"/>
      <c r="H32" s="205"/>
      <c r="I32" s="31"/>
      <c r="J32" s="205" t="s">
        <v>223</v>
      </c>
      <c r="K32" s="31" t="s">
        <v>227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205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206"/>
    </row>
    <row r="33" spans="2:61" ht="20.100000000000001" customHeight="1" x14ac:dyDescent="0.45">
      <c r="B33" s="203"/>
      <c r="C33" s="31"/>
      <c r="D33" s="31"/>
      <c r="E33" s="31"/>
      <c r="F33" s="31"/>
      <c r="G33" s="204"/>
      <c r="H33" s="205"/>
      <c r="I33" s="31"/>
      <c r="J33" s="205" t="s">
        <v>223</v>
      </c>
      <c r="K33" s="31" t="s">
        <v>228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20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206"/>
    </row>
    <row r="34" spans="2:61" ht="20.100000000000001" customHeight="1" x14ac:dyDescent="0.45">
      <c r="B34" s="203"/>
      <c r="C34" s="31"/>
      <c r="D34" s="31"/>
      <c r="E34" s="31"/>
      <c r="F34" s="31"/>
      <c r="G34" s="204"/>
      <c r="H34" s="218" t="s">
        <v>229</v>
      </c>
      <c r="I34" s="55"/>
      <c r="J34" s="218" t="s">
        <v>231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218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220"/>
    </row>
    <row r="35" spans="2:61" ht="20.100000000000001" customHeight="1" x14ac:dyDescent="0.45">
      <c r="B35" s="203"/>
      <c r="C35" s="31"/>
      <c r="D35" s="31"/>
      <c r="E35" s="31"/>
      <c r="F35" s="31"/>
      <c r="G35" s="204"/>
      <c r="H35" s="205"/>
      <c r="I35" s="31"/>
      <c r="J35" s="205"/>
      <c r="K35" s="31" t="s">
        <v>232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205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206"/>
    </row>
    <row r="36" spans="2:61" ht="20.100000000000001" customHeight="1" x14ac:dyDescent="0.45">
      <c r="B36" s="203"/>
      <c r="C36" s="31"/>
      <c r="D36" s="31"/>
      <c r="E36" s="31"/>
      <c r="F36" s="31"/>
      <c r="G36" s="204"/>
      <c r="H36" s="205"/>
      <c r="I36" s="31"/>
      <c r="J36" s="205"/>
      <c r="K36" s="31" t="s">
        <v>233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205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206"/>
    </row>
    <row r="37" spans="2:61" ht="20.100000000000001" customHeight="1" x14ac:dyDescent="0.45">
      <c r="B37" s="203"/>
      <c r="C37" s="31"/>
      <c r="D37" s="31"/>
      <c r="E37" s="31"/>
      <c r="F37" s="31"/>
      <c r="G37" s="204"/>
      <c r="H37" s="205"/>
      <c r="I37" s="31"/>
      <c r="J37" s="205" t="s">
        <v>234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205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206"/>
    </row>
    <row r="38" spans="2:61" ht="20.100000000000001" customHeight="1" x14ac:dyDescent="0.45">
      <c r="B38" s="203"/>
      <c r="C38" s="31"/>
      <c r="D38" s="31"/>
      <c r="E38" s="31"/>
      <c r="F38" s="31"/>
      <c r="G38" s="204"/>
      <c r="H38" s="205"/>
      <c r="I38" s="31"/>
      <c r="J38" s="205" t="s">
        <v>230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205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206"/>
    </row>
    <row r="39" spans="2:61" ht="20.100000000000001" customHeight="1" x14ac:dyDescent="0.45">
      <c r="B39" s="203"/>
      <c r="C39" s="31"/>
      <c r="D39" s="31"/>
      <c r="E39" s="31"/>
      <c r="F39" s="31"/>
      <c r="G39" s="204"/>
      <c r="H39" s="205"/>
      <c r="I39" s="31"/>
      <c r="J39" s="205"/>
      <c r="K39" s="31" t="s">
        <v>235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205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206"/>
    </row>
    <row r="40" spans="2:61" ht="20.100000000000001" customHeight="1" x14ac:dyDescent="0.45">
      <c r="B40" s="203"/>
      <c r="C40" s="31"/>
      <c r="D40" s="31"/>
      <c r="E40" s="31"/>
      <c r="F40" s="31"/>
      <c r="G40" s="204"/>
      <c r="H40" s="205"/>
      <c r="I40" s="31"/>
      <c r="J40" s="205" t="s">
        <v>234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205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206"/>
    </row>
    <row r="41" spans="2:61" ht="20.100000000000001" customHeight="1" x14ac:dyDescent="0.45">
      <c r="B41" s="203"/>
      <c r="C41" s="31"/>
      <c r="D41" s="31"/>
      <c r="E41" s="31"/>
      <c r="F41" s="31"/>
      <c r="G41" s="204"/>
      <c r="H41" s="205"/>
      <c r="I41" s="31"/>
      <c r="J41" s="205" t="s">
        <v>231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205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206"/>
    </row>
    <row r="42" spans="2:61" ht="20.100000000000001" customHeight="1" x14ac:dyDescent="0.45">
      <c r="B42" s="203"/>
      <c r="C42" s="31"/>
      <c r="D42" s="31"/>
      <c r="E42" s="31"/>
      <c r="F42" s="31"/>
      <c r="G42" s="204"/>
      <c r="H42" s="205"/>
      <c r="I42" s="31"/>
      <c r="J42" s="205"/>
      <c r="K42" s="31" t="s">
        <v>236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205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206"/>
    </row>
    <row r="43" spans="2:61" ht="20.100000000000001" customHeight="1" thickBot="1" x14ac:dyDescent="0.5">
      <c r="B43" s="203"/>
      <c r="C43" s="31"/>
      <c r="D43" s="31"/>
      <c r="E43" s="31"/>
      <c r="F43" s="31"/>
      <c r="G43" s="204"/>
      <c r="H43" s="205"/>
      <c r="I43" s="31"/>
      <c r="J43" s="205" t="s">
        <v>237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205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206"/>
    </row>
    <row r="44" spans="2:61" ht="5.0999999999999996" customHeight="1" x14ac:dyDescent="0.45"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306" t="s">
        <v>0</v>
      </c>
      <c r="C2" s="301"/>
      <c r="D2" s="301"/>
      <c r="E2" s="301"/>
      <c r="F2" s="301"/>
      <c r="G2" s="301"/>
      <c r="H2" s="301" t="s">
        <v>17</v>
      </c>
      <c r="I2" s="301"/>
      <c r="J2" s="301"/>
      <c r="K2" s="301"/>
      <c r="L2" s="301" t="s">
        <v>1</v>
      </c>
      <c r="M2" s="301"/>
      <c r="N2" s="301"/>
      <c r="O2" s="301"/>
      <c r="P2" s="301"/>
      <c r="Q2" s="301"/>
      <c r="R2" s="301" t="s">
        <v>2</v>
      </c>
      <c r="S2" s="301"/>
      <c r="T2" s="301"/>
      <c r="U2" s="301"/>
      <c r="V2" s="301"/>
      <c r="W2" s="301"/>
      <c r="X2" s="307" t="s">
        <v>3</v>
      </c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9"/>
      <c r="AK2" s="307" t="s">
        <v>32</v>
      </c>
      <c r="AL2" s="308"/>
      <c r="AM2" s="308"/>
      <c r="AN2" s="308"/>
      <c r="AO2" s="308"/>
      <c r="AP2" s="308"/>
      <c r="AQ2" s="308"/>
      <c r="AR2" s="308"/>
      <c r="AS2" s="308"/>
      <c r="AT2" s="308"/>
      <c r="AU2" s="308"/>
      <c r="AV2" s="308"/>
      <c r="AW2" s="309"/>
      <c r="AX2" s="301" t="s">
        <v>5</v>
      </c>
      <c r="AY2" s="301"/>
      <c r="AZ2" s="301"/>
      <c r="BA2" s="301"/>
      <c r="BB2" s="301" t="s">
        <v>4</v>
      </c>
      <c r="BC2" s="301"/>
      <c r="BD2" s="301"/>
      <c r="BE2" s="301"/>
      <c r="BF2" s="301" t="s">
        <v>6</v>
      </c>
      <c r="BG2" s="301"/>
      <c r="BH2" s="301"/>
      <c r="BI2" s="301"/>
      <c r="BJ2" s="301" t="s">
        <v>7</v>
      </c>
      <c r="BK2" s="301"/>
      <c r="BL2" s="301"/>
      <c r="BM2" s="302"/>
    </row>
    <row r="3" spans="2:65" ht="20.100000000000001" customHeight="1" x14ac:dyDescent="0.45">
      <c r="B3" s="310" t="str">
        <f>変更履歴!B3</f>
        <v>受発注システム</v>
      </c>
      <c r="C3" s="245"/>
      <c r="D3" s="245"/>
      <c r="E3" s="245"/>
      <c r="F3" s="245"/>
      <c r="G3" s="245"/>
      <c r="H3" s="245" t="str">
        <f ca="1">変更履歴!H3</f>
        <v>SU0800</v>
      </c>
      <c r="I3" s="245"/>
      <c r="J3" s="245"/>
      <c r="K3" s="245"/>
      <c r="L3" s="245" t="str">
        <f>変更履歴!L3</f>
        <v>受発注</v>
      </c>
      <c r="M3" s="245"/>
      <c r="N3" s="245"/>
      <c r="O3" s="245"/>
      <c r="P3" s="245"/>
      <c r="Q3" s="245"/>
      <c r="R3" s="245" t="str">
        <f ca="1">変更履歴!R3</f>
        <v>帳票設計書</v>
      </c>
      <c r="S3" s="245"/>
      <c r="T3" s="245"/>
      <c r="U3" s="245"/>
      <c r="V3" s="245"/>
      <c r="W3" s="245"/>
      <c r="X3" s="249" t="str">
        <f ca="1">変更履歴!X3</f>
        <v>SU0800_ヤオコー請求明細表_帳票設計書</v>
      </c>
      <c r="Y3" s="250"/>
      <c r="Z3" s="250"/>
      <c r="AA3" s="250"/>
      <c r="AB3" s="250"/>
      <c r="AC3" s="250"/>
      <c r="AD3" s="250"/>
      <c r="AE3" s="250"/>
      <c r="AF3" s="250"/>
      <c r="AG3" s="250"/>
      <c r="AH3" s="250"/>
      <c r="AI3" s="250"/>
      <c r="AJ3" s="246"/>
      <c r="AK3" s="249" t="str">
        <f ca="1">変更履歴!AK3</f>
        <v>ヤオコー請求明細表</v>
      </c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46"/>
      <c r="AX3" s="256">
        <f>変更履歴!AX3</f>
        <v>45581</v>
      </c>
      <c r="AY3" s="256"/>
      <c r="AZ3" s="256"/>
      <c r="BA3" s="256"/>
      <c r="BB3" s="245" t="str">
        <f>変更履歴!BB3</f>
        <v>大谷</v>
      </c>
      <c r="BC3" s="245"/>
      <c r="BD3" s="245"/>
      <c r="BE3" s="245"/>
      <c r="BF3" s="256">
        <f>変更履歴!BF3</f>
        <v>45581</v>
      </c>
      <c r="BG3" s="256"/>
      <c r="BH3" s="256"/>
      <c r="BI3" s="256"/>
      <c r="BJ3" s="245" t="str">
        <f>変更履歴!BJ3</f>
        <v>大谷</v>
      </c>
      <c r="BK3" s="245"/>
      <c r="BL3" s="245"/>
      <c r="BM3" s="299"/>
    </row>
    <row r="4" spans="2:65" ht="20.100000000000001" customHeight="1" thickBot="1" x14ac:dyDescent="0.5">
      <c r="B4" s="311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303"/>
      <c r="Y4" s="304"/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305"/>
      <c r="AK4" s="303"/>
      <c r="AL4" s="304"/>
      <c r="AM4" s="304"/>
      <c r="AN4" s="304"/>
      <c r="AO4" s="304"/>
      <c r="AP4" s="304"/>
      <c r="AQ4" s="304"/>
      <c r="AR4" s="304"/>
      <c r="AS4" s="304"/>
      <c r="AT4" s="304"/>
      <c r="AU4" s="304"/>
      <c r="AV4" s="304"/>
      <c r="AW4" s="305"/>
      <c r="AX4" s="297"/>
      <c r="AY4" s="297"/>
      <c r="AZ4" s="297"/>
      <c r="BA4" s="297"/>
      <c r="BB4" s="298"/>
      <c r="BC4" s="298"/>
      <c r="BD4" s="298"/>
      <c r="BE4" s="298"/>
      <c r="BF4" s="297"/>
      <c r="BG4" s="297"/>
      <c r="BH4" s="297"/>
      <c r="BI4" s="297"/>
      <c r="BJ4" s="298"/>
      <c r="BK4" s="298"/>
      <c r="BL4" s="298"/>
      <c r="BM4" s="300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221" t="s">
        <v>154</v>
      </c>
      <c r="C7" s="199"/>
      <c r="D7" s="199"/>
      <c r="E7" s="199"/>
      <c r="F7" s="199"/>
      <c r="G7" s="199"/>
      <c r="H7" s="201" t="s">
        <v>174</v>
      </c>
      <c r="I7" s="200"/>
      <c r="J7" s="236" t="s">
        <v>20</v>
      </c>
      <c r="K7" s="231"/>
      <c r="L7" s="231"/>
      <c r="M7" s="231"/>
      <c r="N7" s="231"/>
      <c r="O7" s="231"/>
      <c r="P7" s="231"/>
      <c r="Q7" s="231"/>
      <c r="R7" s="236" t="s">
        <v>175</v>
      </c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2"/>
      <c r="AK7" s="215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202"/>
      <c r="BJ7" s="29"/>
      <c r="BK7" s="29"/>
      <c r="BL7" s="29"/>
      <c r="BM7" s="29"/>
    </row>
    <row r="8" spans="2:65" ht="20.100000000000001" customHeight="1" x14ac:dyDescent="0.45">
      <c r="B8" s="233"/>
      <c r="C8" s="31"/>
      <c r="D8" s="31"/>
      <c r="E8" s="31"/>
      <c r="F8" s="31"/>
      <c r="G8" s="31"/>
      <c r="H8" s="205"/>
      <c r="I8" s="204"/>
      <c r="J8" s="234" t="s">
        <v>176</v>
      </c>
      <c r="K8" s="52"/>
      <c r="L8" s="52"/>
      <c r="M8" s="52"/>
      <c r="N8" s="52"/>
      <c r="O8" s="52"/>
      <c r="P8" s="52"/>
      <c r="Q8" s="52"/>
      <c r="R8" s="234" t="s">
        <v>177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235"/>
      <c r="AK8" s="216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206"/>
      <c r="BJ8" s="29"/>
      <c r="BK8" s="29"/>
      <c r="BL8" s="29"/>
      <c r="BM8" s="29"/>
    </row>
    <row r="9" spans="2:65" ht="20.100000000000001" customHeight="1" x14ac:dyDescent="0.45">
      <c r="B9" s="233"/>
      <c r="C9" s="31"/>
      <c r="D9" s="31"/>
      <c r="E9" s="31"/>
      <c r="F9" s="31"/>
      <c r="G9" s="31"/>
      <c r="H9" s="207"/>
      <c r="I9" s="237"/>
      <c r="J9" s="234" t="s">
        <v>178</v>
      </c>
      <c r="K9" s="52"/>
      <c r="L9" s="52"/>
      <c r="M9" s="52"/>
      <c r="N9" s="52"/>
      <c r="O9" s="52"/>
      <c r="P9" s="52"/>
      <c r="Q9" s="52"/>
      <c r="R9" s="234" t="s">
        <v>179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235"/>
      <c r="AK9" s="217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9"/>
      <c r="BJ9" s="29"/>
      <c r="BK9" s="29"/>
      <c r="BL9" s="29"/>
      <c r="BM9" s="29"/>
    </row>
    <row r="10" spans="2:65" ht="20.100000000000001" customHeight="1" x14ac:dyDescent="0.45">
      <c r="B10" s="233"/>
      <c r="C10" s="31"/>
      <c r="D10" s="31"/>
      <c r="E10" s="31"/>
      <c r="F10" s="31"/>
      <c r="G10" s="204"/>
      <c r="H10" s="205" t="s">
        <v>155</v>
      </c>
      <c r="I10" s="31"/>
      <c r="J10" s="226" t="s">
        <v>156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216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206"/>
      <c r="BJ10" s="29"/>
      <c r="BK10" s="29"/>
      <c r="BL10" s="29"/>
      <c r="BM10" s="29"/>
    </row>
    <row r="11" spans="2:65" ht="20.100000000000001" customHeight="1" x14ac:dyDescent="0.45">
      <c r="B11" s="203"/>
      <c r="C11" s="31"/>
      <c r="D11" s="31"/>
      <c r="E11" s="31"/>
      <c r="F11" s="31"/>
      <c r="G11" s="204"/>
      <c r="H11" s="205"/>
      <c r="I11" s="31"/>
      <c r="J11" s="205" t="s">
        <v>147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216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206"/>
      <c r="BJ11" s="29"/>
      <c r="BK11" s="29"/>
      <c r="BL11" s="29"/>
      <c r="BM11" s="29"/>
    </row>
    <row r="12" spans="2:65" ht="20.100000000000001" customHeight="1" x14ac:dyDescent="0.45">
      <c r="B12" s="203"/>
      <c r="C12" s="31"/>
      <c r="D12" s="31"/>
      <c r="E12" s="31"/>
      <c r="F12" s="31"/>
      <c r="G12" s="204"/>
      <c r="H12" s="205"/>
      <c r="I12" s="31"/>
      <c r="J12" s="205" t="s">
        <v>148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216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206"/>
      <c r="BJ12" s="29"/>
      <c r="BK12" s="29"/>
      <c r="BL12" s="29"/>
      <c r="BM12" s="29"/>
    </row>
    <row r="13" spans="2:65" ht="20.100000000000001" customHeight="1" x14ac:dyDescent="0.45">
      <c r="B13" s="203"/>
      <c r="C13" s="31"/>
      <c r="D13" s="31"/>
      <c r="E13" s="31"/>
      <c r="F13" s="31"/>
      <c r="G13" s="204"/>
      <c r="H13" s="205"/>
      <c r="I13" s="31"/>
      <c r="J13" s="205" t="s">
        <v>149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216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206"/>
      <c r="BJ13" s="29"/>
      <c r="BK13" s="29"/>
      <c r="BL13" s="29"/>
      <c r="BM13" s="29"/>
    </row>
    <row r="14" spans="2:65" ht="20.100000000000001" customHeight="1" x14ac:dyDescent="0.45">
      <c r="B14" s="203"/>
      <c r="C14" s="31"/>
      <c r="D14" s="31"/>
      <c r="E14" s="31"/>
      <c r="F14" s="31"/>
      <c r="G14" s="204"/>
      <c r="H14" s="218" t="s">
        <v>157</v>
      </c>
      <c r="I14" s="55"/>
      <c r="J14" s="222" t="s">
        <v>158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219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220"/>
      <c r="BJ14" s="29"/>
      <c r="BK14" s="29"/>
      <c r="BL14" s="29"/>
      <c r="BM14" s="29"/>
    </row>
    <row r="15" spans="2:65" ht="20.100000000000001" customHeight="1" x14ac:dyDescent="0.45">
      <c r="B15" s="203"/>
      <c r="C15" s="31"/>
      <c r="D15" s="31"/>
      <c r="E15" s="31"/>
      <c r="F15" s="31"/>
      <c r="G15" s="204"/>
      <c r="H15" s="205"/>
      <c r="I15" s="31"/>
      <c r="J15" s="223"/>
      <c r="K15" s="224" t="s">
        <v>159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216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206"/>
      <c r="BJ15" s="29"/>
      <c r="BK15" s="29"/>
      <c r="BL15" s="29"/>
      <c r="BM15" s="29"/>
    </row>
    <row r="16" spans="2:65" ht="20.100000000000001" customHeight="1" x14ac:dyDescent="0.45">
      <c r="B16" s="203"/>
      <c r="C16" s="31"/>
      <c r="D16" s="31"/>
      <c r="E16" s="31"/>
      <c r="F16" s="31"/>
      <c r="G16" s="204"/>
      <c r="H16" s="205"/>
      <c r="I16" s="31"/>
      <c r="J16" s="205"/>
      <c r="K16" s="29"/>
      <c r="L16" s="225"/>
      <c r="M16" s="224" t="s">
        <v>160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216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206"/>
      <c r="BJ16" s="29"/>
      <c r="BK16" s="29"/>
      <c r="BL16" s="29"/>
      <c r="BM16" s="29"/>
    </row>
    <row r="17" spans="2:65" ht="20.100000000000001" customHeight="1" x14ac:dyDescent="0.45">
      <c r="B17" s="203"/>
      <c r="C17" s="31"/>
      <c r="D17" s="31"/>
      <c r="E17" s="31"/>
      <c r="F17" s="31"/>
      <c r="G17" s="204"/>
      <c r="H17" s="205"/>
      <c r="I17" s="31"/>
      <c r="J17" s="205"/>
      <c r="K17" s="29"/>
      <c r="L17" s="225" t="s">
        <v>161</v>
      </c>
      <c r="M17" s="224" t="s">
        <v>160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216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206"/>
      <c r="BJ17" s="29"/>
      <c r="BK17" s="29"/>
      <c r="BL17" s="29"/>
      <c r="BM17" s="29"/>
    </row>
    <row r="18" spans="2:65" ht="20.100000000000001" customHeight="1" x14ac:dyDescent="0.45">
      <c r="B18" s="203"/>
      <c r="C18" s="31"/>
      <c r="D18" s="31"/>
      <c r="E18" s="31"/>
      <c r="F18" s="31"/>
      <c r="G18" s="204"/>
      <c r="H18" s="205"/>
      <c r="I18" s="31"/>
      <c r="J18" s="205"/>
      <c r="K18" s="29"/>
      <c r="L18" s="225" t="s">
        <v>162</v>
      </c>
      <c r="M18" s="224" t="s">
        <v>160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216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206"/>
      <c r="BJ18" s="29"/>
      <c r="BK18" s="29"/>
      <c r="BL18" s="29"/>
      <c r="BM18" s="29"/>
    </row>
    <row r="19" spans="2:65" ht="20.100000000000001" customHeight="1" x14ac:dyDescent="0.45">
      <c r="B19" s="203"/>
      <c r="C19" s="31"/>
      <c r="D19" s="31"/>
      <c r="E19" s="31"/>
      <c r="F19" s="31"/>
      <c r="G19" s="204"/>
      <c r="H19" s="205"/>
      <c r="I19" s="31"/>
      <c r="J19" s="205" t="s">
        <v>163</v>
      </c>
      <c r="K19" s="225"/>
      <c r="L19" s="224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216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206"/>
      <c r="BJ19" s="29"/>
      <c r="BK19" s="29"/>
      <c r="BL19" s="29"/>
      <c r="BM19" s="29"/>
    </row>
    <row r="20" spans="2:65" ht="20.100000000000001" customHeight="1" x14ac:dyDescent="0.45">
      <c r="B20" s="203"/>
      <c r="C20" s="31"/>
      <c r="D20" s="31"/>
      <c r="E20" s="31"/>
      <c r="F20" s="31"/>
      <c r="G20" s="204"/>
      <c r="H20" s="205"/>
      <c r="I20" s="31"/>
      <c r="J20" s="205"/>
      <c r="K20" s="31" t="s">
        <v>164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216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206"/>
      <c r="BJ20" s="29"/>
      <c r="BK20" s="29"/>
      <c r="BL20" s="29"/>
      <c r="BM20" s="29"/>
    </row>
    <row r="21" spans="2:65" ht="20.100000000000001" customHeight="1" x14ac:dyDescent="0.45">
      <c r="B21" s="203"/>
      <c r="C21" s="31"/>
      <c r="D21" s="31"/>
      <c r="E21" s="31"/>
      <c r="F21" s="31"/>
      <c r="G21" s="204"/>
      <c r="H21" s="205"/>
      <c r="I21" s="31"/>
      <c r="J21" s="205"/>
      <c r="K21" s="29"/>
      <c r="L21" s="31"/>
      <c r="M21" s="31" t="s">
        <v>150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216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206"/>
    </row>
    <row r="22" spans="2:65" ht="20.100000000000001" customHeight="1" x14ac:dyDescent="0.45">
      <c r="B22" s="203"/>
      <c r="C22" s="31"/>
      <c r="D22" s="31"/>
      <c r="E22" s="31"/>
      <c r="F22" s="31"/>
      <c r="G22" s="204"/>
      <c r="H22" s="207"/>
      <c r="I22" s="208"/>
      <c r="J22" s="207"/>
      <c r="K22" s="208"/>
      <c r="L22" s="208" t="s">
        <v>161</v>
      </c>
      <c r="M22" s="208" t="s">
        <v>151</v>
      </c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17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9"/>
    </row>
    <row r="23" spans="2:65" ht="20.100000000000001" customHeight="1" x14ac:dyDescent="0.45">
      <c r="B23" s="203"/>
      <c r="C23" s="31"/>
      <c r="D23" s="31"/>
      <c r="E23" s="31"/>
      <c r="F23" s="31"/>
      <c r="G23" s="204"/>
      <c r="H23" s="205" t="s">
        <v>165</v>
      </c>
      <c r="I23" s="31"/>
      <c r="J23" s="226"/>
      <c r="K23" s="224" t="s">
        <v>166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227" t="s">
        <v>167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206"/>
    </row>
    <row r="24" spans="2:65" ht="20.100000000000001" customHeight="1" x14ac:dyDescent="0.45">
      <c r="B24" s="203"/>
      <c r="C24" s="31"/>
      <c r="D24" s="31"/>
      <c r="E24" s="31"/>
      <c r="F24" s="31"/>
      <c r="G24" s="204"/>
      <c r="H24" s="205"/>
      <c r="I24" s="31"/>
      <c r="J24" s="226" t="s">
        <v>161</v>
      </c>
      <c r="K24" s="224" t="s">
        <v>168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216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206"/>
    </row>
    <row r="25" spans="2:65" ht="20.100000000000001" customHeight="1" x14ac:dyDescent="0.45">
      <c r="B25" s="203"/>
      <c r="C25" s="31"/>
      <c r="D25" s="31"/>
      <c r="E25" s="31"/>
      <c r="F25" s="31"/>
      <c r="G25" s="204"/>
      <c r="H25" s="205"/>
      <c r="I25" s="31"/>
      <c r="J25" s="226" t="s">
        <v>162</v>
      </c>
      <c r="K25" s="224" t="s">
        <v>168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216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206"/>
    </row>
    <row r="26" spans="2:65" ht="20.100000000000001" customHeight="1" x14ac:dyDescent="0.45">
      <c r="B26" s="203"/>
      <c r="C26" s="31"/>
      <c r="D26" s="31"/>
      <c r="E26" s="31"/>
      <c r="F26" s="31"/>
      <c r="G26" s="204"/>
      <c r="H26" s="205"/>
      <c r="I26" s="31"/>
      <c r="J26" s="226" t="s">
        <v>169</v>
      </c>
      <c r="K26" s="224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216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206"/>
    </row>
    <row r="27" spans="2:65" ht="20.100000000000001" customHeight="1" x14ac:dyDescent="0.45">
      <c r="B27" s="203"/>
      <c r="C27" s="31"/>
      <c r="D27" s="31"/>
      <c r="E27" s="31"/>
      <c r="F27" s="31"/>
      <c r="G27" s="204"/>
      <c r="H27" s="205"/>
      <c r="I27" s="31"/>
      <c r="J27" s="205"/>
      <c r="K27" s="31" t="s">
        <v>170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228" t="s">
        <v>144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206"/>
    </row>
    <row r="28" spans="2:65" ht="20.100000000000001" customHeight="1" x14ac:dyDescent="0.45">
      <c r="B28" s="203"/>
      <c r="C28" s="31"/>
      <c r="D28" s="31"/>
      <c r="E28" s="31"/>
      <c r="F28" s="31"/>
      <c r="G28" s="204"/>
      <c r="H28" s="205"/>
      <c r="I28" s="31"/>
      <c r="J28" s="205" t="s">
        <v>161</v>
      </c>
      <c r="K28" s="31" t="s">
        <v>153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205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206"/>
    </row>
    <row r="29" spans="2:65" ht="20.100000000000001" customHeight="1" x14ac:dyDescent="0.45">
      <c r="B29" s="203"/>
      <c r="C29" s="31"/>
      <c r="D29" s="31"/>
      <c r="E29" s="31"/>
      <c r="F29" s="31"/>
      <c r="G29" s="204"/>
      <c r="H29" s="205"/>
      <c r="I29" s="31"/>
      <c r="J29" s="226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205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206"/>
    </row>
    <row r="30" spans="2:65" ht="20.100000000000001" customHeight="1" x14ac:dyDescent="0.45">
      <c r="B30" s="203"/>
      <c r="C30" s="31"/>
      <c r="D30" s="31"/>
      <c r="E30" s="31"/>
      <c r="F30" s="31"/>
      <c r="G30" s="204"/>
      <c r="H30" s="205"/>
      <c r="I30" s="31"/>
      <c r="J30" s="20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205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206"/>
    </row>
    <row r="31" spans="2:65" ht="20.100000000000001" customHeight="1" x14ac:dyDescent="0.45">
      <c r="B31" s="203"/>
      <c r="C31" s="31"/>
      <c r="D31" s="31"/>
      <c r="E31" s="31"/>
      <c r="F31" s="31"/>
      <c r="G31" s="204"/>
      <c r="H31" s="207"/>
      <c r="I31" s="208"/>
      <c r="J31" s="207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7"/>
      <c r="AL31" s="208"/>
      <c r="AM31" s="208"/>
      <c r="AN31" s="208"/>
      <c r="AO31" s="208"/>
      <c r="AP31" s="208"/>
      <c r="AQ31" s="208"/>
      <c r="AR31" s="208"/>
      <c r="AS31" s="208"/>
      <c r="AT31" s="208"/>
      <c r="AU31" s="208"/>
      <c r="AV31" s="208"/>
      <c r="AW31" s="208"/>
      <c r="AX31" s="208"/>
      <c r="AY31" s="208"/>
      <c r="AZ31" s="208"/>
      <c r="BA31" s="208"/>
      <c r="BB31" s="208"/>
      <c r="BC31" s="208"/>
      <c r="BD31" s="208"/>
      <c r="BE31" s="208"/>
      <c r="BF31" s="208"/>
      <c r="BG31" s="208"/>
      <c r="BH31" s="208"/>
      <c r="BI31" s="209"/>
    </row>
    <row r="32" spans="2:65" ht="20.100000000000001" customHeight="1" x14ac:dyDescent="0.45">
      <c r="B32" s="203"/>
      <c r="C32" s="31"/>
      <c r="D32" s="31"/>
      <c r="E32" s="31"/>
      <c r="F32" s="31"/>
      <c r="G32" s="204"/>
      <c r="H32" s="205" t="s">
        <v>171</v>
      </c>
      <c r="I32" s="31"/>
      <c r="J32" s="226" t="s">
        <v>172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205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206"/>
    </row>
    <row r="33" spans="2:61" ht="20.100000000000001" customHeight="1" x14ac:dyDescent="0.45">
      <c r="B33" s="203"/>
      <c r="C33" s="31"/>
      <c r="D33" s="31"/>
      <c r="E33" s="31"/>
      <c r="F33" s="31"/>
      <c r="G33" s="204"/>
      <c r="H33" s="205"/>
      <c r="I33" s="31"/>
      <c r="J33" s="226" t="s">
        <v>152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205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206"/>
    </row>
    <row r="34" spans="2:61" ht="20.100000000000001" customHeight="1" thickBot="1" x14ac:dyDescent="0.5">
      <c r="B34" s="210"/>
      <c r="C34" s="211"/>
      <c r="D34" s="211"/>
      <c r="E34" s="211"/>
      <c r="F34" s="211"/>
      <c r="G34" s="212"/>
      <c r="H34" s="213"/>
      <c r="I34" s="211"/>
      <c r="J34" s="213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3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4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229" t="s">
        <v>173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G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37" style="29" bestFit="1" customWidth="1"/>
    <col min="6" max="6" width="37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238" t="s">
        <v>182</v>
      </c>
      <c r="G3" s="78" t="s">
        <v>51</v>
      </c>
    </row>
    <row r="4" spans="2:7" x14ac:dyDescent="0.45">
      <c r="B4" s="37">
        <v>1</v>
      </c>
      <c r="C4" s="79" t="s">
        <v>131</v>
      </c>
      <c r="D4" s="79" t="s">
        <v>132</v>
      </c>
      <c r="E4" s="80" t="s">
        <v>181</v>
      </c>
      <c r="F4" s="80" t="s">
        <v>186</v>
      </c>
      <c r="G4" s="81" t="s">
        <v>183</v>
      </c>
    </row>
    <row r="5" spans="2:7" x14ac:dyDescent="0.45">
      <c r="B5" s="37">
        <v>2</v>
      </c>
      <c r="C5" s="79" t="s">
        <v>131</v>
      </c>
      <c r="D5" s="79" t="s">
        <v>133</v>
      </c>
      <c r="E5" s="82" t="s">
        <v>180</v>
      </c>
      <c r="F5" s="82" t="s">
        <v>186</v>
      </c>
      <c r="G5" s="81" t="s">
        <v>184</v>
      </c>
    </row>
    <row r="6" spans="2:7" x14ac:dyDescent="0.45">
      <c r="B6" s="37">
        <v>3</v>
      </c>
      <c r="C6" s="79" t="s">
        <v>131</v>
      </c>
      <c r="D6" s="79" t="s">
        <v>134</v>
      </c>
      <c r="E6" s="82" t="s">
        <v>180</v>
      </c>
      <c r="F6" s="82" t="s">
        <v>186</v>
      </c>
      <c r="G6" s="81" t="s">
        <v>185</v>
      </c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R77"/>
  <sheetViews>
    <sheetView zoomScaleNormal="100" zoomScaleSheetLayoutView="100" workbookViewId="0"/>
  </sheetViews>
  <sheetFormatPr defaultRowHeight="13.2" x14ac:dyDescent="0.45"/>
  <cols>
    <col min="1" max="1" width="1.69921875" style="91" customWidth="1"/>
    <col min="2" max="2" width="8.796875" style="91" hidden="1" customWidth="1"/>
    <col min="3" max="3" width="2.09765625" style="91" customWidth="1"/>
    <col min="4" max="5" width="2.59765625" style="91" customWidth="1"/>
    <col min="6" max="6" width="4.296875" style="91" hidden="1" customWidth="1"/>
    <col min="7" max="7" width="8.796875" style="91"/>
    <col min="8" max="10" width="5.5" style="91" customWidth="1"/>
    <col min="11" max="11" width="9.8984375" style="91" bestFit="1" customWidth="1"/>
    <col min="12" max="12" width="9.8984375" style="91" customWidth="1"/>
    <col min="13" max="14" width="8.3984375" style="198" customWidth="1"/>
    <col min="15" max="15" width="8.3984375" style="91" customWidth="1"/>
    <col min="16" max="16" width="28" style="91" customWidth="1"/>
    <col min="17" max="17" width="8.796875" style="91"/>
    <col min="18" max="18" width="9.19921875" style="91" bestFit="1" customWidth="1"/>
    <col min="19" max="256" width="8.796875" style="91"/>
    <col min="257" max="257" width="1.69921875" style="91" customWidth="1"/>
    <col min="258" max="258" width="0" style="91" hidden="1" customWidth="1"/>
    <col min="259" max="259" width="2.09765625" style="91" customWidth="1"/>
    <col min="260" max="261" width="2.59765625" style="91" customWidth="1"/>
    <col min="262" max="262" width="0" style="91" hidden="1" customWidth="1"/>
    <col min="263" max="263" width="8.796875" style="91"/>
    <col min="264" max="266" width="5.5" style="91" customWidth="1"/>
    <col min="267" max="267" width="9.8984375" style="91" bestFit="1" customWidth="1"/>
    <col min="268" max="268" width="9.8984375" style="91" customWidth="1"/>
    <col min="269" max="271" width="8.3984375" style="91" customWidth="1"/>
    <col min="272" max="272" width="28" style="91" customWidth="1"/>
    <col min="273" max="273" width="8.796875" style="91"/>
    <col min="274" max="274" width="9.19921875" style="91" bestFit="1" customWidth="1"/>
    <col min="275" max="512" width="8.796875" style="91"/>
    <col min="513" max="513" width="1.69921875" style="91" customWidth="1"/>
    <col min="514" max="514" width="0" style="91" hidden="1" customWidth="1"/>
    <col min="515" max="515" width="2.09765625" style="91" customWidth="1"/>
    <col min="516" max="517" width="2.59765625" style="91" customWidth="1"/>
    <col min="518" max="518" width="0" style="91" hidden="1" customWidth="1"/>
    <col min="519" max="519" width="8.796875" style="91"/>
    <col min="520" max="522" width="5.5" style="91" customWidth="1"/>
    <col min="523" max="523" width="9.8984375" style="91" bestFit="1" customWidth="1"/>
    <col min="524" max="524" width="9.8984375" style="91" customWidth="1"/>
    <col min="525" max="527" width="8.3984375" style="91" customWidth="1"/>
    <col min="528" max="528" width="28" style="91" customWidth="1"/>
    <col min="529" max="529" width="8.796875" style="91"/>
    <col min="530" max="530" width="9.19921875" style="91" bestFit="1" customWidth="1"/>
    <col min="531" max="768" width="8.796875" style="91"/>
    <col min="769" max="769" width="1.69921875" style="91" customWidth="1"/>
    <col min="770" max="770" width="0" style="91" hidden="1" customWidth="1"/>
    <col min="771" max="771" width="2.09765625" style="91" customWidth="1"/>
    <col min="772" max="773" width="2.59765625" style="91" customWidth="1"/>
    <col min="774" max="774" width="0" style="91" hidden="1" customWidth="1"/>
    <col min="775" max="775" width="8.796875" style="91"/>
    <col min="776" max="778" width="5.5" style="91" customWidth="1"/>
    <col min="779" max="779" width="9.8984375" style="91" bestFit="1" customWidth="1"/>
    <col min="780" max="780" width="9.8984375" style="91" customWidth="1"/>
    <col min="781" max="783" width="8.3984375" style="91" customWidth="1"/>
    <col min="784" max="784" width="28" style="91" customWidth="1"/>
    <col min="785" max="785" width="8.796875" style="91"/>
    <col min="786" max="786" width="9.19921875" style="91" bestFit="1" customWidth="1"/>
    <col min="787" max="1024" width="8.796875" style="91"/>
    <col min="1025" max="1025" width="1.69921875" style="91" customWidth="1"/>
    <col min="1026" max="1026" width="0" style="91" hidden="1" customWidth="1"/>
    <col min="1027" max="1027" width="2.09765625" style="91" customWidth="1"/>
    <col min="1028" max="1029" width="2.59765625" style="91" customWidth="1"/>
    <col min="1030" max="1030" width="0" style="91" hidden="1" customWidth="1"/>
    <col min="1031" max="1031" width="8.796875" style="91"/>
    <col min="1032" max="1034" width="5.5" style="91" customWidth="1"/>
    <col min="1035" max="1035" width="9.8984375" style="91" bestFit="1" customWidth="1"/>
    <col min="1036" max="1036" width="9.8984375" style="91" customWidth="1"/>
    <col min="1037" max="1039" width="8.3984375" style="91" customWidth="1"/>
    <col min="1040" max="1040" width="28" style="91" customWidth="1"/>
    <col min="1041" max="1041" width="8.796875" style="91"/>
    <col min="1042" max="1042" width="9.19921875" style="91" bestFit="1" customWidth="1"/>
    <col min="1043" max="1280" width="8.796875" style="91"/>
    <col min="1281" max="1281" width="1.69921875" style="91" customWidth="1"/>
    <col min="1282" max="1282" width="0" style="91" hidden="1" customWidth="1"/>
    <col min="1283" max="1283" width="2.09765625" style="91" customWidth="1"/>
    <col min="1284" max="1285" width="2.59765625" style="91" customWidth="1"/>
    <col min="1286" max="1286" width="0" style="91" hidden="1" customWidth="1"/>
    <col min="1287" max="1287" width="8.796875" style="91"/>
    <col min="1288" max="1290" width="5.5" style="91" customWidth="1"/>
    <col min="1291" max="1291" width="9.8984375" style="91" bestFit="1" customWidth="1"/>
    <col min="1292" max="1292" width="9.8984375" style="91" customWidth="1"/>
    <col min="1293" max="1295" width="8.3984375" style="91" customWidth="1"/>
    <col min="1296" max="1296" width="28" style="91" customWidth="1"/>
    <col min="1297" max="1297" width="8.796875" style="91"/>
    <col min="1298" max="1298" width="9.19921875" style="91" bestFit="1" customWidth="1"/>
    <col min="1299" max="1536" width="8.796875" style="91"/>
    <col min="1537" max="1537" width="1.69921875" style="91" customWidth="1"/>
    <col min="1538" max="1538" width="0" style="91" hidden="1" customWidth="1"/>
    <col min="1539" max="1539" width="2.09765625" style="91" customWidth="1"/>
    <col min="1540" max="1541" width="2.59765625" style="91" customWidth="1"/>
    <col min="1542" max="1542" width="0" style="91" hidden="1" customWidth="1"/>
    <col min="1543" max="1543" width="8.796875" style="91"/>
    <col min="1544" max="1546" width="5.5" style="91" customWidth="1"/>
    <col min="1547" max="1547" width="9.8984375" style="91" bestFit="1" customWidth="1"/>
    <col min="1548" max="1548" width="9.8984375" style="91" customWidth="1"/>
    <col min="1549" max="1551" width="8.3984375" style="91" customWidth="1"/>
    <col min="1552" max="1552" width="28" style="91" customWidth="1"/>
    <col min="1553" max="1553" width="8.796875" style="91"/>
    <col min="1554" max="1554" width="9.19921875" style="91" bestFit="1" customWidth="1"/>
    <col min="1555" max="1792" width="8.796875" style="91"/>
    <col min="1793" max="1793" width="1.69921875" style="91" customWidth="1"/>
    <col min="1794" max="1794" width="0" style="91" hidden="1" customWidth="1"/>
    <col min="1795" max="1795" width="2.09765625" style="91" customWidth="1"/>
    <col min="1796" max="1797" width="2.59765625" style="91" customWidth="1"/>
    <col min="1798" max="1798" width="0" style="91" hidden="1" customWidth="1"/>
    <col min="1799" max="1799" width="8.796875" style="91"/>
    <col min="1800" max="1802" width="5.5" style="91" customWidth="1"/>
    <col min="1803" max="1803" width="9.8984375" style="91" bestFit="1" customWidth="1"/>
    <col min="1804" max="1804" width="9.8984375" style="91" customWidth="1"/>
    <col min="1805" max="1807" width="8.3984375" style="91" customWidth="1"/>
    <col min="1808" max="1808" width="28" style="91" customWidth="1"/>
    <col min="1809" max="1809" width="8.796875" style="91"/>
    <col min="1810" max="1810" width="9.19921875" style="91" bestFit="1" customWidth="1"/>
    <col min="1811" max="2048" width="8.796875" style="91"/>
    <col min="2049" max="2049" width="1.69921875" style="91" customWidth="1"/>
    <col min="2050" max="2050" width="0" style="91" hidden="1" customWidth="1"/>
    <col min="2051" max="2051" width="2.09765625" style="91" customWidth="1"/>
    <col min="2052" max="2053" width="2.59765625" style="91" customWidth="1"/>
    <col min="2054" max="2054" width="0" style="91" hidden="1" customWidth="1"/>
    <col min="2055" max="2055" width="8.796875" style="91"/>
    <col min="2056" max="2058" width="5.5" style="91" customWidth="1"/>
    <col min="2059" max="2059" width="9.8984375" style="91" bestFit="1" customWidth="1"/>
    <col min="2060" max="2060" width="9.8984375" style="91" customWidth="1"/>
    <col min="2061" max="2063" width="8.3984375" style="91" customWidth="1"/>
    <col min="2064" max="2064" width="28" style="91" customWidth="1"/>
    <col min="2065" max="2065" width="8.796875" style="91"/>
    <col min="2066" max="2066" width="9.19921875" style="91" bestFit="1" customWidth="1"/>
    <col min="2067" max="2304" width="8.796875" style="91"/>
    <col min="2305" max="2305" width="1.69921875" style="91" customWidth="1"/>
    <col min="2306" max="2306" width="0" style="91" hidden="1" customWidth="1"/>
    <col min="2307" max="2307" width="2.09765625" style="91" customWidth="1"/>
    <col min="2308" max="2309" width="2.59765625" style="91" customWidth="1"/>
    <col min="2310" max="2310" width="0" style="91" hidden="1" customWidth="1"/>
    <col min="2311" max="2311" width="8.796875" style="91"/>
    <col min="2312" max="2314" width="5.5" style="91" customWidth="1"/>
    <col min="2315" max="2315" width="9.8984375" style="91" bestFit="1" customWidth="1"/>
    <col min="2316" max="2316" width="9.8984375" style="91" customWidth="1"/>
    <col min="2317" max="2319" width="8.3984375" style="91" customWidth="1"/>
    <col min="2320" max="2320" width="28" style="91" customWidth="1"/>
    <col min="2321" max="2321" width="8.796875" style="91"/>
    <col min="2322" max="2322" width="9.19921875" style="91" bestFit="1" customWidth="1"/>
    <col min="2323" max="2560" width="8.796875" style="91"/>
    <col min="2561" max="2561" width="1.69921875" style="91" customWidth="1"/>
    <col min="2562" max="2562" width="0" style="91" hidden="1" customWidth="1"/>
    <col min="2563" max="2563" width="2.09765625" style="91" customWidth="1"/>
    <col min="2564" max="2565" width="2.59765625" style="91" customWidth="1"/>
    <col min="2566" max="2566" width="0" style="91" hidden="1" customWidth="1"/>
    <col min="2567" max="2567" width="8.796875" style="91"/>
    <col min="2568" max="2570" width="5.5" style="91" customWidth="1"/>
    <col min="2571" max="2571" width="9.8984375" style="91" bestFit="1" customWidth="1"/>
    <col min="2572" max="2572" width="9.8984375" style="91" customWidth="1"/>
    <col min="2573" max="2575" width="8.3984375" style="91" customWidth="1"/>
    <col min="2576" max="2576" width="28" style="91" customWidth="1"/>
    <col min="2577" max="2577" width="8.796875" style="91"/>
    <col min="2578" max="2578" width="9.19921875" style="91" bestFit="1" customWidth="1"/>
    <col min="2579" max="2816" width="8.796875" style="91"/>
    <col min="2817" max="2817" width="1.69921875" style="91" customWidth="1"/>
    <col min="2818" max="2818" width="0" style="91" hidden="1" customWidth="1"/>
    <col min="2819" max="2819" width="2.09765625" style="91" customWidth="1"/>
    <col min="2820" max="2821" width="2.59765625" style="91" customWidth="1"/>
    <col min="2822" max="2822" width="0" style="91" hidden="1" customWidth="1"/>
    <col min="2823" max="2823" width="8.796875" style="91"/>
    <col min="2824" max="2826" width="5.5" style="91" customWidth="1"/>
    <col min="2827" max="2827" width="9.8984375" style="91" bestFit="1" customWidth="1"/>
    <col min="2828" max="2828" width="9.8984375" style="91" customWidth="1"/>
    <col min="2829" max="2831" width="8.3984375" style="91" customWidth="1"/>
    <col min="2832" max="2832" width="28" style="91" customWidth="1"/>
    <col min="2833" max="2833" width="8.796875" style="91"/>
    <col min="2834" max="2834" width="9.19921875" style="91" bestFit="1" customWidth="1"/>
    <col min="2835" max="3072" width="8.796875" style="91"/>
    <col min="3073" max="3073" width="1.69921875" style="91" customWidth="1"/>
    <col min="3074" max="3074" width="0" style="91" hidden="1" customWidth="1"/>
    <col min="3075" max="3075" width="2.09765625" style="91" customWidth="1"/>
    <col min="3076" max="3077" width="2.59765625" style="91" customWidth="1"/>
    <col min="3078" max="3078" width="0" style="91" hidden="1" customWidth="1"/>
    <col min="3079" max="3079" width="8.796875" style="91"/>
    <col min="3080" max="3082" width="5.5" style="91" customWidth="1"/>
    <col min="3083" max="3083" width="9.8984375" style="91" bestFit="1" customWidth="1"/>
    <col min="3084" max="3084" width="9.8984375" style="91" customWidth="1"/>
    <col min="3085" max="3087" width="8.3984375" style="91" customWidth="1"/>
    <col min="3088" max="3088" width="28" style="91" customWidth="1"/>
    <col min="3089" max="3089" width="8.796875" style="91"/>
    <col min="3090" max="3090" width="9.19921875" style="91" bestFit="1" customWidth="1"/>
    <col min="3091" max="3328" width="8.796875" style="91"/>
    <col min="3329" max="3329" width="1.69921875" style="91" customWidth="1"/>
    <col min="3330" max="3330" width="0" style="91" hidden="1" customWidth="1"/>
    <col min="3331" max="3331" width="2.09765625" style="91" customWidth="1"/>
    <col min="3332" max="3333" width="2.59765625" style="91" customWidth="1"/>
    <col min="3334" max="3334" width="0" style="91" hidden="1" customWidth="1"/>
    <col min="3335" max="3335" width="8.796875" style="91"/>
    <col min="3336" max="3338" width="5.5" style="91" customWidth="1"/>
    <col min="3339" max="3339" width="9.8984375" style="91" bestFit="1" customWidth="1"/>
    <col min="3340" max="3340" width="9.8984375" style="91" customWidth="1"/>
    <col min="3341" max="3343" width="8.3984375" style="91" customWidth="1"/>
    <col min="3344" max="3344" width="28" style="91" customWidth="1"/>
    <col min="3345" max="3345" width="8.796875" style="91"/>
    <col min="3346" max="3346" width="9.19921875" style="91" bestFit="1" customWidth="1"/>
    <col min="3347" max="3584" width="8.796875" style="91"/>
    <col min="3585" max="3585" width="1.69921875" style="91" customWidth="1"/>
    <col min="3586" max="3586" width="0" style="91" hidden="1" customWidth="1"/>
    <col min="3587" max="3587" width="2.09765625" style="91" customWidth="1"/>
    <col min="3588" max="3589" width="2.59765625" style="91" customWidth="1"/>
    <col min="3590" max="3590" width="0" style="91" hidden="1" customWidth="1"/>
    <col min="3591" max="3591" width="8.796875" style="91"/>
    <col min="3592" max="3594" width="5.5" style="91" customWidth="1"/>
    <col min="3595" max="3595" width="9.8984375" style="91" bestFit="1" customWidth="1"/>
    <col min="3596" max="3596" width="9.8984375" style="91" customWidth="1"/>
    <col min="3597" max="3599" width="8.3984375" style="91" customWidth="1"/>
    <col min="3600" max="3600" width="28" style="91" customWidth="1"/>
    <col min="3601" max="3601" width="8.796875" style="91"/>
    <col min="3602" max="3602" width="9.19921875" style="91" bestFit="1" customWidth="1"/>
    <col min="3603" max="3840" width="8.796875" style="91"/>
    <col min="3841" max="3841" width="1.69921875" style="91" customWidth="1"/>
    <col min="3842" max="3842" width="0" style="91" hidden="1" customWidth="1"/>
    <col min="3843" max="3843" width="2.09765625" style="91" customWidth="1"/>
    <col min="3844" max="3845" width="2.59765625" style="91" customWidth="1"/>
    <col min="3846" max="3846" width="0" style="91" hidden="1" customWidth="1"/>
    <col min="3847" max="3847" width="8.796875" style="91"/>
    <col min="3848" max="3850" width="5.5" style="91" customWidth="1"/>
    <col min="3851" max="3851" width="9.8984375" style="91" bestFit="1" customWidth="1"/>
    <col min="3852" max="3852" width="9.8984375" style="91" customWidth="1"/>
    <col min="3853" max="3855" width="8.3984375" style="91" customWidth="1"/>
    <col min="3856" max="3856" width="28" style="91" customWidth="1"/>
    <col min="3857" max="3857" width="8.796875" style="91"/>
    <col min="3858" max="3858" width="9.19921875" style="91" bestFit="1" customWidth="1"/>
    <col min="3859" max="4096" width="8.796875" style="91"/>
    <col min="4097" max="4097" width="1.69921875" style="91" customWidth="1"/>
    <col min="4098" max="4098" width="0" style="91" hidden="1" customWidth="1"/>
    <col min="4099" max="4099" width="2.09765625" style="91" customWidth="1"/>
    <col min="4100" max="4101" width="2.59765625" style="91" customWidth="1"/>
    <col min="4102" max="4102" width="0" style="91" hidden="1" customWidth="1"/>
    <col min="4103" max="4103" width="8.796875" style="91"/>
    <col min="4104" max="4106" width="5.5" style="91" customWidth="1"/>
    <col min="4107" max="4107" width="9.8984375" style="91" bestFit="1" customWidth="1"/>
    <col min="4108" max="4108" width="9.8984375" style="91" customWidth="1"/>
    <col min="4109" max="4111" width="8.3984375" style="91" customWidth="1"/>
    <col min="4112" max="4112" width="28" style="91" customWidth="1"/>
    <col min="4113" max="4113" width="8.796875" style="91"/>
    <col min="4114" max="4114" width="9.19921875" style="91" bestFit="1" customWidth="1"/>
    <col min="4115" max="4352" width="8.796875" style="91"/>
    <col min="4353" max="4353" width="1.69921875" style="91" customWidth="1"/>
    <col min="4354" max="4354" width="0" style="91" hidden="1" customWidth="1"/>
    <col min="4355" max="4355" width="2.09765625" style="91" customWidth="1"/>
    <col min="4356" max="4357" width="2.59765625" style="91" customWidth="1"/>
    <col min="4358" max="4358" width="0" style="91" hidden="1" customWidth="1"/>
    <col min="4359" max="4359" width="8.796875" style="91"/>
    <col min="4360" max="4362" width="5.5" style="91" customWidth="1"/>
    <col min="4363" max="4363" width="9.8984375" style="91" bestFit="1" customWidth="1"/>
    <col min="4364" max="4364" width="9.8984375" style="91" customWidth="1"/>
    <col min="4365" max="4367" width="8.3984375" style="91" customWidth="1"/>
    <col min="4368" max="4368" width="28" style="91" customWidth="1"/>
    <col min="4369" max="4369" width="8.796875" style="91"/>
    <col min="4370" max="4370" width="9.19921875" style="91" bestFit="1" customWidth="1"/>
    <col min="4371" max="4608" width="8.796875" style="91"/>
    <col min="4609" max="4609" width="1.69921875" style="91" customWidth="1"/>
    <col min="4610" max="4610" width="0" style="91" hidden="1" customWidth="1"/>
    <col min="4611" max="4611" width="2.09765625" style="91" customWidth="1"/>
    <col min="4612" max="4613" width="2.59765625" style="91" customWidth="1"/>
    <col min="4614" max="4614" width="0" style="91" hidden="1" customWidth="1"/>
    <col min="4615" max="4615" width="8.796875" style="91"/>
    <col min="4616" max="4618" width="5.5" style="91" customWidth="1"/>
    <col min="4619" max="4619" width="9.8984375" style="91" bestFit="1" customWidth="1"/>
    <col min="4620" max="4620" width="9.8984375" style="91" customWidth="1"/>
    <col min="4621" max="4623" width="8.3984375" style="91" customWidth="1"/>
    <col min="4624" max="4624" width="28" style="91" customWidth="1"/>
    <col min="4625" max="4625" width="8.796875" style="91"/>
    <col min="4626" max="4626" width="9.19921875" style="91" bestFit="1" customWidth="1"/>
    <col min="4627" max="4864" width="8.796875" style="91"/>
    <col min="4865" max="4865" width="1.69921875" style="91" customWidth="1"/>
    <col min="4866" max="4866" width="0" style="91" hidden="1" customWidth="1"/>
    <col min="4867" max="4867" width="2.09765625" style="91" customWidth="1"/>
    <col min="4868" max="4869" width="2.59765625" style="91" customWidth="1"/>
    <col min="4870" max="4870" width="0" style="91" hidden="1" customWidth="1"/>
    <col min="4871" max="4871" width="8.796875" style="91"/>
    <col min="4872" max="4874" width="5.5" style="91" customWidth="1"/>
    <col min="4875" max="4875" width="9.8984375" style="91" bestFit="1" customWidth="1"/>
    <col min="4876" max="4876" width="9.8984375" style="91" customWidth="1"/>
    <col min="4877" max="4879" width="8.3984375" style="91" customWidth="1"/>
    <col min="4880" max="4880" width="28" style="91" customWidth="1"/>
    <col min="4881" max="4881" width="8.796875" style="91"/>
    <col min="4882" max="4882" width="9.19921875" style="91" bestFit="1" customWidth="1"/>
    <col min="4883" max="5120" width="8.796875" style="91"/>
    <col min="5121" max="5121" width="1.69921875" style="91" customWidth="1"/>
    <col min="5122" max="5122" width="0" style="91" hidden="1" customWidth="1"/>
    <col min="5123" max="5123" width="2.09765625" style="91" customWidth="1"/>
    <col min="5124" max="5125" width="2.59765625" style="91" customWidth="1"/>
    <col min="5126" max="5126" width="0" style="91" hidden="1" customWidth="1"/>
    <col min="5127" max="5127" width="8.796875" style="91"/>
    <col min="5128" max="5130" width="5.5" style="91" customWidth="1"/>
    <col min="5131" max="5131" width="9.8984375" style="91" bestFit="1" customWidth="1"/>
    <col min="5132" max="5132" width="9.8984375" style="91" customWidth="1"/>
    <col min="5133" max="5135" width="8.3984375" style="91" customWidth="1"/>
    <col min="5136" max="5136" width="28" style="91" customWidth="1"/>
    <col min="5137" max="5137" width="8.796875" style="91"/>
    <col min="5138" max="5138" width="9.19921875" style="91" bestFit="1" customWidth="1"/>
    <col min="5139" max="5376" width="8.796875" style="91"/>
    <col min="5377" max="5377" width="1.69921875" style="91" customWidth="1"/>
    <col min="5378" max="5378" width="0" style="91" hidden="1" customWidth="1"/>
    <col min="5379" max="5379" width="2.09765625" style="91" customWidth="1"/>
    <col min="5380" max="5381" width="2.59765625" style="91" customWidth="1"/>
    <col min="5382" max="5382" width="0" style="91" hidden="1" customWidth="1"/>
    <col min="5383" max="5383" width="8.796875" style="91"/>
    <col min="5384" max="5386" width="5.5" style="91" customWidth="1"/>
    <col min="5387" max="5387" width="9.8984375" style="91" bestFit="1" customWidth="1"/>
    <col min="5388" max="5388" width="9.8984375" style="91" customWidth="1"/>
    <col min="5389" max="5391" width="8.3984375" style="91" customWidth="1"/>
    <col min="5392" max="5392" width="28" style="91" customWidth="1"/>
    <col min="5393" max="5393" width="8.796875" style="91"/>
    <col min="5394" max="5394" width="9.19921875" style="91" bestFit="1" customWidth="1"/>
    <col min="5395" max="5632" width="8.796875" style="91"/>
    <col min="5633" max="5633" width="1.69921875" style="91" customWidth="1"/>
    <col min="5634" max="5634" width="0" style="91" hidden="1" customWidth="1"/>
    <col min="5635" max="5635" width="2.09765625" style="91" customWidth="1"/>
    <col min="5636" max="5637" width="2.59765625" style="91" customWidth="1"/>
    <col min="5638" max="5638" width="0" style="91" hidden="1" customWidth="1"/>
    <col min="5639" max="5639" width="8.796875" style="91"/>
    <col min="5640" max="5642" width="5.5" style="91" customWidth="1"/>
    <col min="5643" max="5643" width="9.8984375" style="91" bestFit="1" customWidth="1"/>
    <col min="5644" max="5644" width="9.8984375" style="91" customWidth="1"/>
    <col min="5645" max="5647" width="8.3984375" style="91" customWidth="1"/>
    <col min="5648" max="5648" width="28" style="91" customWidth="1"/>
    <col min="5649" max="5649" width="8.796875" style="91"/>
    <col min="5650" max="5650" width="9.19921875" style="91" bestFit="1" customWidth="1"/>
    <col min="5651" max="5888" width="8.796875" style="91"/>
    <col min="5889" max="5889" width="1.69921875" style="91" customWidth="1"/>
    <col min="5890" max="5890" width="0" style="91" hidden="1" customWidth="1"/>
    <col min="5891" max="5891" width="2.09765625" style="91" customWidth="1"/>
    <col min="5892" max="5893" width="2.59765625" style="91" customWidth="1"/>
    <col min="5894" max="5894" width="0" style="91" hidden="1" customWidth="1"/>
    <col min="5895" max="5895" width="8.796875" style="91"/>
    <col min="5896" max="5898" width="5.5" style="91" customWidth="1"/>
    <col min="5899" max="5899" width="9.8984375" style="91" bestFit="1" customWidth="1"/>
    <col min="5900" max="5900" width="9.8984375" style="91" customWidth="1"/>
    <col min="5901" max="5903" width="8.3984375" style="91" customWidth="1"/>
    <col min="5904" max="5904" width="28" style="91" customWidth="1"/>
    <col min="5905" max="5905" width="8.796875" style="91"/>
    <col min="5906" max="5906" width="9.19921875" style="91" bestFit="1" customWidth="1"/>
    <col min="5907" max="6144" width="8.796875" style="91"/>
    <col min="6145" max="6145" width="1.69921875" style="91" customWidth="1"/>
    <col min="6146" max="6146" width="0" style="91" hidden="1" customWidth="1"/>
    <col min="6147" max="6147" width="2.09765625" style="91" customWidth="1"/>
    <col min="6148" max="6149" width="2.59765625" style="91" customWidth="1"/>
    <col min="6150" max="6150" width="0" style="91" hidden="1" customWidth="1"/>
    <col min="6151" max="6151" width="8.796875" style="91"/>
    <col min="6152" max="6154" width="5.5" style="91" customWidth="1"/>
    <col min="6155" max="6155" width="9.8984375" style="91" bestFit="1" customWidth="1"/>
    <col min="6156" max="6156" width="9.8984375" style="91" customWidth="1"/>
    <col min="6157" max="6159" width="8.3984375" style="91" customWidth="1"/>
    <col min="6160" max="6160" width="28" style="91" customWidth="1"/>
    <col min="6161" max="6161" width="8.796875" style="91"/>
    <col min="6162" max="6162" width="9.19921875" style="91" bestFit="1" customWidth="1"/>
    <col min="6163" max="6400" width="8.796875" style="91"/>
    <col min="6401" max="6401" width="1.69921875" style="91" customWidth="1"/>
    <col min="6402" max="6402" width="0" style="91" hidden="1" customWidth="1"/>
    <col min="6403" max="6403" width="2.09765625" style="91" customWidth="1"/>
    <col min="6404" max="6405" width="2.59765625" style="91" customWidth="1"/>
    <col min="6406" max="6406" width="0" style="91" hidden="1" customWidth="1"/>
    <col min="6407" max="6407" width="8.796875" style="91"/>
    <col min="6408" max="6410" width="5.5" style="91" customWidth="1"/>
    <col min="6411" max="6411" width="9.8984375" style="91" bestFit="1" customWidth="1"/>
    <col min="6412" max="6412" width="9.8984375" style="91" customWidth="1"/>
    <col min="6413" max="6415" width="8.3984375" style="91" customWidth="1"/>
    <col min="6416" max="6416" width="28" style="91" customWidth="1"/>
    <col min="6417" max="6417" width="8.796875" style="91"/>
    <col min="6418" max="6418" width="9.19921875" style="91" bestFit="1" customWidth="1"/>
    <col min="6419" max="6656" width="8.796875" style="91"/>
    <col min="6657" max="6657" width="1.69921875" style="91" customWidth="1"/>
    <col min="6658" max="6658" width="0" style="91" hidden="1" customWidth="1"/>
    <col min="6659" max="6659" width="2.09765625" style="91" customWidth="1"/>
    <col min="6660" max="6661" width="2.59765625" style="91" customWidth="1"/>
    <col min="6662" max="6662" width="0" style="91" hidden="1" customWidth="1"/>
    <col min="6663" max="6663" width="8.796875" style="91"/>
    <col min="6664" max="6666" width="5.5" style="91" customWidth="1"/>
    <col min="6667" max="6667" width="9.8984375" style="91" bestFit="1" customWidth="1"/>
    <col min="6668" max="6668" width="9.8984375" style="91" customWidth="1"/>
    <col min="6669" max="6671" width="8.3984375" style="91" customWidth="1"/>
    <col min="6672" max="6672" width="28" style="91" customWidth="1"/>
    <col min="6673" max="6673" width="8.796875" style="91"/>
    <col min="6674" max="6674" width="9.19921875" style="91" bestFit="1" customWidth="1"/>
    <col min="6675" max="6912" width="8.796875" style="91"/>
    <col min="6913" max="6913" width="1.69921875" style="91" customWidth="1"/>
    <col min="6914" max="6914" width="0" style="91" hidden="1" customWidth="1"/>
    <col min="6915" max="6915" width="2.09765625" style="91" customWidth="1"/>
    <col min="6916" max="6917" width="2.59765625" style="91" customWidth="1"/>
    <col min="6918" max="6918" width="0" style="91" hidden="1" customWidth="1"/>
    <col min="6919" max="6919" width="8.796875" style="91"/>
    <col min="6920" max="6922" width="5.5" style="91" customWidth="1"/>
    <col min="6923" max="6923" width="9.8984375" style="91" bestFit="1" customWidth="1"/>
    <col min="6924" max="6924" width="9.8984375" style="91" customWidth="1"/>
    <col min="6925" max="6927" width="8.3984375" style="91" customWidth="1"/>
    <col min="6928" max="6928" width="28" style="91" customWidth="1"/>
    <col min="6929" max="6929" width="8.796875" style="91"/>
    <col min="6930" max="6930" width="9.19921875" style="91" bestFit="1" customWidth="1"/>
    <col min="6931" max="7168" width="8.796875" style="91"/>
    <col min="7169" max="7169" width="1.69921875" style="91" customWidth="1"/>
    <col min="7170" max="7170" width="0" style="91" hidden="1" customWidth="1"/>
    <col min="7171" max="7171" width="2.09765625" style="91" customWidth="1"/>
    <col min="7172" max="7173" width="2.59765625" style="91" customWidth="1"/>
    <col min="7174" max="7174" width="0" style="91" hidden="1" customWidth="1"/>
    <col min="7175" max="7175" width="8.796875" style="91"/>
    <col min="7176" max="7178" width="5.5" style="91" customWidth="1"/>
    <col min="7179" max="7179" width="9.8984375" style="91" bestFit="1" customWidth="1"/>
    <col min="7180" max="7180" width="9.8984375" style="91" customWidth="1"/>
    <col min="7181" max="7183" width="8.3984375" style="91" customWidth="1"/>
    <col min="7184" max="7184" width="28" style="91" customWidth="1"/>
    <col min="7185" max="7185" width="8.796875" style="91"/>
    <col min="7186" max="7186" width="9.19921875" style="91" bestFit="1" customWidth="1"/>
    <col min="7187" max="7424" width="8.796875" style="91"/>
    <col min="7425" max="7425" width="1.69921875" style="91" customWidth="1"/>
    <col min="7426" max="7426" width="0" style="91" hidden="1" customWidth="1"/>
    <col min="7427" max="7427" width="2.09765625" style="91" customWidth="1"/>
    <col min="7428" max="7429" width="2.59765625" style="91" customWidth="1"/>
    <col min="7430" max="7430" width="0" style="91" hidden="1" customWidth="1"/>
    <col min="7431" max="7431" width="8.796875" style="91"/>
    <col min="7432" max="7434" width="5.5" style="91" customWidth="1"/>
    <col min="7435" max="7435" width="9.8984375" style="91" bestFit="1" customWidth="1"/>
    <col min="7436" max="7436" width="9.8984375" style="91" customWidth="1"/>
    <col min="7437" max="7439" width="8.3984375" style="91" customWidth="1"/>
    <col min="7440" max="7440" width="28" style="91" customWidth="1"/>
    <col min="7441" max="7441" width="8.796875" style="91"/>
    <col min="7442" max="7442" width="9.19921875" style="91" bestFit="1" customWidth="1"/>
    <col min="7443" max="7680" width="8.796875" style="91"/>
    <col min="7681" max="7681" width="1.69921875" style="91" customWidth="1"/>
    <col min="7682" max="7682" width="0" style="91" hidden="1" customWidth="1"/>
    <col min="7683" max="7683" width="2.09765625" style="91" customWidth="1"/>
    <col min="7684" max="7685" width="2.59765625" style="91" customWidth="1"/>
    <col min="7686" max="7686" width="0" style="91" hidden="1" customWidth="1"/>
    <col min="7687" max="7687" width="8.796875" style="91"/>
    <col min="7688" max="7690" width="5.5" style="91" customWidth="1"/>
    <col min="7691" max="7691" width="9.8984375" style="91" bestFit="1" customWidth="1"/>
    <col min="7692" max="7692" width="9.8984375" style="91" customWidth="1"/>
    <col min="7693" max="7695" width="8.3984375" style="91" customWidth="1"/>
    <col min="7696" max="7696" width="28" style="91" customWidth="1"/>
    <col min="7697" max="7697" width="8.796875" style="91"/>
    <col min="7698" max="7698" width="9.19921875" style="91" bestFit="1" customWidth="1"/>
    <col min="7699" max="7936" width="8.796875" style="91"/>
    <col min="7937" max="7937" width="1.69921875" style="91" customWidth="1"/>
    <col min="7938" max="7938" width="0" style="91" hidden="1" customWidth="1"/>
    <col min="7939" max="7939" width="2.09765625" style="91" customWidth="1"/>
    <col min="7940" max="7941" width="2.59765625" style="91" customWidth="1"/>
    <col min="7942" max="7942" width="0" style="91" hidden="1" customWidth="1"/>
    <col min="7943" max="7943" width="8.796875" style="91"/>
    <col min="7944" max="7946" width="5.5" style="91" customWidth="1"/>
    <col min="7947" max="7947" width="9.8984375" style="91" bestFit="1" customWidth="1"/>
    <col min="7948" max="7948" width="9.8984375" style="91" customWidth="1"/>
    <col min="7949" max="7951" width="8.3984375" style="91" customWidth="1"/>
    <col min="7952" max="7952" width="28" style="91" customWidth="1"/>
    <col min="7953" max="7953" width="8.796875" style="91"/>
    <col min="7954" max="7954" width="9.19921875" style="91" bestFit="1" customWidth="1"/>
    <col min="7955" max="8192" width="8.796875" style="91"/>
    <col min="8193" max="8193" width="1.69921875" style="91" customWidth="1"/>
    <col min="8194" max="8194" width="0" style="91" hidden="1" customWidth="1"/>
    <col min="8195" max="8195" width="2.09765625" style="91" customWidth="1"/>
    <col min="8196" max="8197" width="2.59765625" style="91" customWidth="1"/>
    <col min="8198" max="8198" width="0" style="91" hidden="1" customWidth="1"/>
    <col min="8199" max="8199" width="8.796875" style="91"/>
    <col min="8200" max="8202" width="5.5" style="91" customWidth="1"/>
    <col min="8203" max="8203" width="9.8984375" style="91" bestFit="1" customWidth="1"/>
    <col min="8204" max="8204" width="9.8984375" style="91" customWidth="1"/>
    <col min="8205" max="8207" width="8.3984375" style="91" customWidth="1"/>
    <col min="8208" max="8208" width="28" style="91" customWidth="1"/>
    <col min="8209" max="8209" width="8.796875" style="91"/>
    <col min="8210" max="8210" width="9.19921875" style="91" bestFit="1" customWidth="1"/>
    <col min="8211" max="8448" width="8.796875" style="91"/>
    <col min="8449" max="8449" width="1.69921875" style="91" customWidth="1"/>
    <col min="8450" max="8450" width="0" style="91" hidden="1" customWidth="1"/>
    <col min="8451" max="8451" width="2.09765625" style="91" customWidth="1"/>
    <col min="8452" max="8453" width="2.59765625" style="91" customWidth="1"/>
    <col min="8454" max="8454" width="0" style="91" hidden="1" customWidth="1"/>
    <col min="8455" max="8455" width="8.796875" style="91"/>
    <col min="8456" max="8458" width="5.5" style="91" customWidth="1"/>
    <col min="8459" max="8459" width="9.8984375" style="91" bestFit="1" customWidth="1"/>
    <col min="8460" max="8460" width="9.8984375" style="91" customWidth="1"/>
    <col min="8461" max="8463" width="8.3984375" style="91" customWidth="1"/>
    <col min="8464" max="8464" width="28" style="91" customWidth="1"/>
    <col min="8465" max="8465" width="8.796875" style="91"/>
    <col min="8466" max="8466" width="9.19921875" style="91" bestFit="1" customWidth="1"/>
    <col min="8467" max="8704" width="8.796875" style="91"/>
    <col min="8705" max="8705" width="1.69921875" style="91" customWidth="1"/>
    <col min="8706" max="8706" width="0" style="91" hidden="1" customWidth="1"/>
    <col min="8707" max="8707" width="2.09765625" style="91" customWidth="1"/>
    <col min="8708" max="8709" width="2.59765625" style="91" customWidth="1"/>
    <col min="8710" max="8710" width="0" style="91" hidden="1" customWidth="1"/>
    <col min="8711" max="8711" width="8.796875" style="91"/>
    <col min="8712" max="8714" width="5.5" style="91" customWidth="1"/>
    <col min="8715" max="8715" width="9.8984375" style="91" bestFit="1" customWidth="1"/>
    <col min="8716" max="8716" width="9.8984375" style="91" customWidth="1"/>
    <col min="8717" max="8719" width="8.3984375" style="91" customWidth="1"/>
    <col min="8720" max="8720" width="28" style="91" customWidth="1"/>
    <col min="8721" max="8721" width="8.796875" style="91"/>
    <col min="8722" max="8722" width="9.19921875" style="91" bestFit="1" customWidth="1"/>
    <col min="8723" max="8960" width="8.796875" style="91"/>
    <col min="8961" max="8961" width="1.69921875" style="91" customWidth="1"/>
    <col min="8962" max="8962" width="0" style="91" hidden="1" customWidth="1"/>
    <col min="8963" max="8963" width="2.09765625" style="91" customWidth="1"/>
    <col min="8964" max="8965" width="2.59765625" style="91" customWidth="1"/>
    <col min="8966" max="8966" width="0" style="91" hidden="1" customWidth="1"/>
    <col min="8967" max="8967" width="8.796875" style="91"/>
    <col min="8968" max="8970" width="5.5" style="91" customWidth="1"/>
    <col min="8971" max="8971" width="9.8984375" style="91" bestFit="1" customWidth="1"/>
    <col min="8972" max="8972" width="9.8984375" style="91" customWidth="1"/>
    <col min="8973" max="8975" width="8.3984375" style="91" customWidth="1"/>
    <col min="8976" max="8976" width="28" style="91" customWidth="1"/>
    <col min="8977" max="8977" width="8.796875" style="91"/>
    <col min="8978" max="8978" width="9.19921875" style="91" bestFit="1" customWidth="1"/>
    <col min="8979" max="9216" width="8.796875" style="91"/>
    <col min="9217" max="9217" width="1.69921875" style="91" customWidth="1"/>
    <col min="9218" max="9218" width="0" style="91" hidden="1" customWidth="1"/>
    <col min="9219" max="9219" width="2.09765625" style="91" customWidth="1"/>
    <col min="9220" max="9221" width="2.59765625" style="91" customWidth="1"/>
    <col min="9222" max="9222" width="0" style="91" hidden="1" customWidth="1"/>
    <col min="9223" max="9223" width="8.796875" style="91"/>
    <col min="9224" max="9226" width="5.5" style="91" customWidth="1"/>
    <col min="9227" max="9227" width="9.8984375" style="91" bestFit="1" customWidth="1"/>
    <col min="9228" max="9228" width="9.8984375" style="91" customWidth="1"/>
    <col min="9229" max="9231" width="8.3984375" style="91" customWidth="1"/>
    <col min="9232" max="9232" width="28" style="91" customWidth="1"/>
    <col min="9233" max="9233" width="8.796875" style="91"/>
    <col min="9234" max="9234" width="9.19921875" style="91" bestFit="1" customWidth="1"/>
    <col min="9235" max="9472" width="8.796875" style="91"/>
    <col min="9473" max="9473" width="1.69921875" style="91" customWidth="1"/>
    <col min="9474" max="9474" width="0" style="91" hidden="1" customWidth="1"/>
    <col min="9475" max="9475" width="2.09765625" style="91" customWidth="1"/>
    <col min="9476" max="9477" width="2.59765625" style="91" customWidth="1"/>
    <col min="9478" max="9478" width="0" style="91" hidden="1" customWidth="1"/>
    <col min="9479" max="9479" width="8.796875" style="91"/>
    <col min="9480" max="9482" width="5.5" style="91" customWidth="1"/>
    <col min="9483" max="9483" width="9.8984375" style="91" bestFit="1" customWidth="1"/>
    <col min="9484" max="9484" width="9.8984375" style="91" customWidth="1"/>
    <col min="9485" max="9487" width="8.3984375" style="91" customWidth="1"/>
    <col min="9488" max="9488" width="28" style="91" customWidth="1"/>
    <col min="9489" max="9489" width="8.796875" style="91"/>
    <col min="9490" max="9490" width="9.19921875" style="91" bestFit="1" customWidth="1"/>
    <col min="9491" max="9728" width="8.796875" style="91"/>
    <col min="9729" max="9729" width="1.69921875" style="91" customWidth="1"/>
    <col min="9730" max="9730" width="0" style="91" hidden="1" customWidth="1"/>
    <col min="9731" max="9731" width="2.09765625" style="91" customWidth="1"/>
    <col min="9732" max="9733" width="2.59765625" style="91" customWidth="1"/>
    <col min="9734" max="9734" width="0" style="91" hidden="1" customWidth="1"/>
    <col min="9735" max="9735" width="8.796875" style="91"/>
    <col min="9736" max="9738" width="5.5" style="91" customWidth="1"/>
    <col min="9739" max="9739" width="9.8984375" style="91" bestFit="1" customWidth="1"/>
    <col min="9740" max="9740" width="9.8984375" style="91" customWidth="1"/>
    <col min="9741" max="9743" width="8.3984375" style="91" customWidth="1"/>
    <col min="9744" max="9744" width="28" style="91" customWidth="1"/>
    <col min="9745" max="9745" width="8.796875" style="91"/>
    <col min="9746" max="9746" width="9.19921875" style="91" bestFit="1" customWidth="1"/>
    <col min="9747" max="9984" width="8.796875" style="91"/>
    <col min="9985" max="9985" width="1.69921875" style="91" customWidth="1"/>
    <col min="9986" max="9986" width="0" style="91" hidden="1" customWidth="1"/>
    <col min="9987" max="9987" width="2.09765625" style="91" customWidth="1"/>
    <col min="9988" max="9989" width="2.59765625" style="91" customWidth="1"/>
    <col min="9990" max="9990" width="0" style="91" hidden="1" customWidth="1"/>
    <col min="9991" max="9991" width="8.796875" style="91"/>
    <col min="9992" max="9994" width="5.5" style="91" customWidth="1"/>
    <col min="9995" max="9995" width="9.8984375" style="91" bestFit="1" customWidth="1"/>
    <col min="9996" max="9996" width="9.8984375" style="91" customWidth="1"/>
    <col min="9997" max="9999" width="8.3984375" style="91" customWidth="1"/>
    <col min="10000" max="10000" width="28" style="91" customWidth="1"/>
    <col min="10001" max="10001" width="8.796875" style="91"/>
    <col min="10002" max="10002" width="9.19921875" style="91" bestFit="1" customWidth="1"/>
    <col min="10003" max="10240" width="8.796875" style="91"/>
    <col min="10241" max="10241" width="1.69921875" style="91" customWidth="1"/>
    <col min="10242" max="10242" width="0" style="91" hidden="1" customWidth="1"/>
    <col min="10243" max="10243" width="2.09765625" style="91" customWidth="1"/>
    <col min="10244" max="10245" width="2.59765625" style="91" customWidth="1"/>
    <col min="10246" max="10246" width="0" style="91" hidden="1" customWidth="1"/>
    <col min="10247" max="10247" width="8.796875" style="91"/>
    <col min="10248" max="10250" width="5.5" style="91" customWidth="1"/>
    <col min="10251" max="10251" width="9.8984375" style="91" bestFit="1" customWidth="1"/>
    <col min="10252" max="10252" width="9.8984375" style="91" customWidth="1"/>
    <col min="10253" max="10255" width="8.3984375" style="91" customWidth="1"/>
    <col min="10256" max="10256" width="28" style="91" customWidth="1"/>
    <col min="10257" max="10257" width="8.796875" style="91"/>
    <col min="10258" max="10258" width="9.19921875" style="91" bestFit="1" customWidth="1"/>
    <col min="10259" max="10496" width="8.796875" style="91"/>
    <col min="10497" max="10497" width="1.69921875" style="91" customWidth="1"/>
    <col min="10498" max="10498" width="0" style="91" hidden="1" customWidth="1"/>
    <col min="10499" max="10499" width="2.09765625" style="91" customWidth="1"/>
    <col min="10500" max="10501" width="2.59765625" style="91" customWidth="1"/>
    <col min="10502" max="10502" width="0" style="91" hidden="1" customWidth="1"/>
    <col min="10503" max="10503" width="8.796875" style="91"/>
    <col min="10504" max="10506" width="5.5" style="91" customWidth="1"/>
    <col min="10507" max="10507" width="9.8984375" style="91" bestFit="1" customWidth="1"/>
    <col min="10508" max="10508" width="9.8984375" style="91" customWidth="1"/>
    <col min="10509" max="10511" width="8.3984375" style="91" customWidth="1"/>
    <col min="10512" max="10512" width="28" style="91" customWidth="1"/>
    <col min="10513" max="10513" width="8.796875" style="91"/>
    <col min="10514" max="10514" width="9.19921875" style="91" bestFit="1" customWidth="1"/>
    <col min="10515" max="10752" width="8.796875" style="91"/>
    <col min="10753" max="10753" width="1.69921875" style="91" customWidth="1"/>
    <col min="10754" max="10754" width="0" style="91" hidden="1" customWidth="1"/>
    <col min="10755" max="10755" width="2.09765625" style="91" customWidth="1"/>
    <col min="10756" max="10757" width="2.59765625" style="91" customWidth="1"/>
    <col min="10758" max="10758" width="0" style="91" hidden="1" customWidth="1"/>
    <col min="10759" max="10759" width="8.796875" style="91"/>
    <col min="10760" max="10762" width="5.5" style="91" customWidth="1"/>
    <col min="10763" max="10763" width="9.8984375" style="91" bestFit="1" customWidth="1"/>
    <col min="10764" max="10764" width="9.8984375" style="91" customWidth="1"/>
    <col min="10765" max="10767" width="8.3984375" style="91" customWidth="1"/>
    <col min="10768" max="10768" width="28" style="91" customWidth="1"/>
    <col min="10769" max="10769" width="8.796875" style="91"/>
    <col min="10770" max="10770" width="9.19921875" style="91" bestFit="1" customWidth="1"/>
    <col min="10771" max="11008" width="8.796875" style="91"/>
    <col min="11009" max="11009" width="1.69921875" style="91" customWidth="1"/>
    <col min="11010" max="11010" width="0" style="91" hidden="1" customWidth="1"/>
    <col min="11011" max="11011" width="2.09765625" style="91" customWidth="1"/>
    <col min="11012" max="11013" width="2.59765625" style="91" customWidth="1"/>
    <col min="11014" max="11014" width="0" style="91" hidden="1" customWidth="1"/>
    <col min="11015" max="11015" width="8.796875" style="91"/>
    <col min="11016" max="11018" width="5.5" style="91" customWidth="1"/>
    <col min="11019" max="11019" width="9.8984375" style="91" bestFit="1" customWidth="1"/>
    <col min="11020" max="11020" width="9.8984375" style="91" customWidth="1"/>
    <col min="11021" max="11023" width="8.3984375" style="91" customWidth="1"/>
    <col min="11024" max="11024" width="28" style="91" customWidth="1"/>
    <col min="11025" max="11025" width="8.796875" style="91"/>
    <col min="11026" max="11026" width="9.19921875" style="91" bestFit="1" customWidth="1"/>
    <col min="11027" max="11264" width="8.796875" style="91"/>
    <col min="11265" max="11265" width="1.69921875" style="91" customWidth="1"/>
    <col min="11266" max="11266" width="0" style="91" hidden="1" customWidth="1"/>
    <col min="11267" max="11267" width="2.09765625" style="91" customWidth="1"/>
    <col min="11268" max="11269" width="2.59765625" style="91" customWidth="1"/>
    <col min="11270" max="11270" width="0" style="91" hidden="1" customWidth="1"/>
    <col min="11271" max="11271" width="8.796875" style="91"/>
    <col min="11272" max="11274" width="5.5" style="91" customWidth="1"/>
    <col min="11275" max="11275" width="9.8984375" style="91" bestFit="1" customWidth="1"/>
    <col min="11276" max="11276" width="9.8984375" style="91" customWidth="1"/>
    <col min="11277" max="11279" width="8.3984375" style="91" customWidth="1"/>
    <col min="11280" max="11280" width="28" style="91" customWidth="1"/>
    <col min="11281" max="11281" width="8.796875" style="91"/>
    <col min="11282" max="11282" width="9.19921875" style="91" bestFit="1" customWidth="1"/>
    <col min="11283" max="11520" width="8.796875" style="91"/>
    <col min="11521" max="11521" width="1.69921875" style="91" customWidth="1"/>
    <col min="11522" max="11522" width="0" style="91" hidden="1" customWidth="1"/>
    <col min="11523" max="11523" width="2.09765625" style="91" customWidth="1"/>
    <col min="11524" max="11525" width="2.59765625" style="91" customWidth="1"/>
    <col min="11526" max="11526" width="0" style="91" hidden="1" customWidth="1"/>
    <col min="11527" max="11527" width="8.796875" style="91"/>
    <col min="11528" max="11530" width="5.5" style="91" customWidth="1"/>
    <col min="11531" max="11531" width="9.8984375" style="91" bestFit="1" customWidth="1"/>
    <col min="11532" max="11532" width="9.8984375" style="91" customWidth="1"/>
    <col min="11533" max="11535" width="8.3984375" style="91" customWidth="1"/>
    <col min="11536" max="11536" width="28" style="91" customWidth="1"/>
    <col min="11537" max="11537" width="8.796875" style="91"/>
    <col min="11538" max="11538" width="9.19921875" style="91" bestFit="1" customWidth="1"/>
    <col min="11539" max="11776" width="8.796875" style="91"/>
    <col min="11777" max="11777" width="1.69921875" style="91" customWidth="1"/>
    <col min="11778" max="11778" width="0" style="91" hidden="1" customWidth="1"/>
    <col min="11779" max="11779" width="2.09765625" style="91" customWidth="1"/>
    <col min="11780" max="11781" width="2.59765625" style="91" customWidth="1"/>
    <col min="11782" max="11782" width="0" style="91" hidden="1" customWidth="1"/>
    <col min="11783" max="11783" width="8.796875" style="91"/>
    <col min="11784" max="11786" width="5.5" style="91" customWidth="1"/>
    <col min="11787" max="11787" width="9.8984375" style="91" bestFit="1" customWidth="1"/>
    <col min="11788" max="11788" width="9.8984375" style="91" customWidth="1"/>
    <col min="11789" max="11791" width="8.3984375" style="91" customWidth="1"/>
    <col min="11792" max="11792" width="28" style="91" customWidth="1"/>
    <col min="11793" max="11793" width="8.796875" style="91"/>
    <col min="11794" max="11794" width="9.19921875" style="91" bestFit="1" customWidth="1"/>
    <col min="11795" max="12032" width="8.796875" style="91"/>
    <col min="12033" max="12033" width="1.69921875" style="91" customWidth="1"/>
    <col min="12034" max="12034" width="0" style="91" hidden="1" customWidth="1"/>
    <col min="12035" max="12035" width="2.09765625" style="91" customWidth="1"/>
    <col min="12036" max="12037" width="2.59765625" style="91" customWidth="1"/>
    <col min="12038" max="12038" width="0" style="91" hidden="1" customWidth="1"/>
    <col min="12039" max="12039" width="8.796875" style="91"/>
    <col min="12040" max="12042" width="5.5" style="91" customWidth="1"/>
    <col min="12043" max="12043" width="9.8984375" style="91" bestFit="1" customWidth="1"/>
    <col min="12044" max="12044" width="9.8984375" style="91" customWidth="1"/>
    <col min="12045" max="12047" width="8.3984375" style="91" customWidth="1"/>
    <col min="12048" max="12048" width="28" style="91" customWidth="1"/>
    <col min="12049" max="12049" width="8.796875" style="91"/>
    <col min="12050" max="12050" width="9.19921875" style="91" bestFit="1" customWidth="1"/>
    <col min="12051" max="12288" width="8.796875" style="91"/>
    <col min="12289" max="12289" width="1.69921875" style="91" customWidth="1"/>
    <col min="12290" max="12290" width="0" style="91" hidden="1" customWidth="1"/>
    <col min="12291" max="12291" width="2.09765625" style="91" customWidth="1"/>
    <col min="12292" max="12293" width="2.59765625" style="91" customWidth="1"/>
    <col min="12294" max="12294" width="0" style="91" hidden="1" customWidth="1"/>
    <col min="12295" max="12295" width="8.796875" style="91"/>
    <col min="12296" max="12298" width="5.5" style="91" customWidth="1"/>
    <col min="12299" max="12299" width="9.8984375" style="91" bestFit="1" customWidth="1"/>
    <col min="12300" max="12300" width="9.8984375" style="91" customWidth="1"/>
    <col min="12301" max="12303" width="8.3984375" style="91" customWidth="1"/>
    <col min="12304" max="12304" width="28" style="91" customWidth="1"/>
    <col min="12305" max="12305" width="8.796875" style="91"/>
    <col min="12306" max="12306" width="9.19921875" style="91" bestFit="1" customWidth="1"/>
    <col min="12307" max="12544" width="8.796875" style="91"/>
    <col min="12545" max="12545" width="1.69921875" style="91" customWidth="1"/>
    <col min="12546" max="12546" width="0" style="91" hidden="1" customWidth="1"/>
    <col min="12547" max="12547" width="2.09765625" style="91" customWidth="1"/>
    <col min="12548" max="12549" width="2.59765625" style="91" customWidth="1"/>
    <col min="12550" max="12550" width="0" style="91" hidden="1" customWidth="1"/>
    <col min="12551" max="12551" width="8.796875" style="91"/>
    <col min="12552" max="12554" width="5.5" style="91" customWidth="1"/>
    <col min="12555" max="12555" width="9.8984375" style="91" bestFit="1" customWidth="1"/>
    <col min="12556" max="12556" width="9.8984375" style="91" customWidth="1"/>
    <col min="12557" max="12559" width="8.3984375" style="91" customWidth="1"/>
    <col min="12560" max="12560" width="28" style="91" customWidth="1"/>
    <col min="12561" max="12561" width="8.796875" style="91"/>
    <col min="12562" max="12562" width="9.19921875" style="91" bestFit="1" customWidth="1"/>
    <col min="12563" max="12800" width="8.796875" style="91"/>
    <col min="12801" max="12801" width="1.69921875" style="91" customWidth="1"/>
    <col min="12802" max="12802" width="0" style="91" hidden="1" customWidth="1"/>
    <col min="12803" max="12803" width="2.09765625" style="91" customWidth="1"/>
    <col min="12804" max="12805" width="2.59765625" style="91" customWidth="1"/>
    <col min="12806" max="12806" width="0" style="91" hidden="1" customWidth="1"/>
    <col min="12807" max="12807" width="8.796875" style="91"/>
    <col min="12808" max="12810" width="5.5" style="91" customWidth="1"/>
    <col min="12811" max="12811" width="9.8984375" style="91" bestFit="1" customWidth="1"/>
    <col min="12812" max="12812" width="9.8984375" style="91" customWidth="1"/>
    <col min="12813" max="12815" width="8.3984375" style="91" customWidth="1"/>
    <col min="12816" max="12816" width="28" style="91" customWidth="1"/>
    <col min="12817" max="12817" width="8.796875" style="91"/>
    <col min="12818" max="12818" width="9.19921875" style="91" bestFit="1" customWidth="1"/>
    <col min="12819" max="13056" width="8.796875" style="91"/>
    <col min="13057" max="13057" width="1.69921875" style="91" customWidth="1"/>
    <col min="13058" max="13058" width="0" style="91" hidden="1" customWidth="1"/>
    <col min="13059" max="13059" width="2.09765625" style="91" customWidth="1"/>
    <col min="13060" max="13061" width="2.59765625" style="91" customWidth="1"/>
    <col min="13062" max="13062" width="0" style="91" hidden="1" customWidth="1"/>
    <col min="13063" max="13063" width="8.796875" style="91"/>
    <col min="13064" max="13066" width="5.5" style="91" customWidth="1"/>
    <col min="13067" max="13067" width="9.8984375" style="91" bestFit="1" customWidth="1"/>
    <col min="13068" max="13068" width="9.8984375" style="91" customWidth="1"/>
    <col min="13069" max="13071" width="8.3984375" style="91" customWidth="1"/>
    <col min="13072" max="13072" width="28" style="91" customWidth="1"/>
    <col min="13073" max="13073" width="8.796875" style="91"/>
    <col min="13074" max="13074" width="9.19921875" style="91" bestFit="1" customWidth="1"/>
    <col min="13075" max="13312" width="8.796875" style="91"/>
    <col min="13313" max="13313" width="1.69921875" style="91" customWidth="1"/>
    <col min="13314" max="13314" width="0" style="91" hidden="1" customWidth="1"/>
    <col min="13315" max="13315" width="2.09765625" style="91" customWidth="1"/>
    <col min="13316" max="13317" width="2.59765625" style="91" customWidth="1"/>
    <col min="13318" max="13318" width="0" style="91" hidden="1" customWidth="1"/>
    <col min="13319" max="13319" width="8.796875" style="91"/>
    <col min="13320" max="13322" width="5.5" style="91" customWidth="1"/>
    <col min="13323" max="13323" width="9.8984375" style="91" bestFit="1" customWidth="1"/>
    <col min="13324" max="13324" width="9.8984375" style="91" customWidth="1"/>
    <col min="13325" max="13327" width="8.3984375" style="91" customWidth="1"/>
    <col min="13328" max="13328" width="28" style="91" customWidth="1"/>
    <col min="13329" max="13329" width="8.796875" style="91"/>
    <col min="13330" max="13330" width="9.19921875" style="91" bestFit="1" customWidth="1"/>
    <col min="13331" max="13568" width="8.796875" style="91"/>
    <col min="13569" max="13569" width="1.69921875" style="91" customWidth="1"/>
    <col min="13570" max="13570" width="0" style="91" hidden="1" customWidth="1"/>
    <col min="13571" max="13571" width="2.09765625" style="91" customWidth="1"/>
    <col min="13572" max="13573" width="2.59765625" style="91" customWidth="1"/>
    <col min="13574" max="13574" width="0" style="91" hidden="1" customWidth="1"/>
    <col min="13575" max="13575" width="8.796875" style="91"/>
    <col min="13576" max="13578" width="5.5" style="91" customWidth="1"/>
    <col min="13579" max="13579" width="9.8984375" style="91" bestFit="1" customWidth="1"/>
    <col min="13580" max="13580" width="9.8984375" style="91" customWidth="1"/>
    <col min="13581" max="13583" width="8.3984375" style="91" customWidth="1"/>
    <col min="13584" max="13584" width="28" style="91" customWidth="1"/>
    <col min="13585" max="13585" width="8.796875" style="91"/>
    <col min="13586" max="13586" width="9.19921875" style="91" bestFit="1" customWidth="1"/>
    <col min="13587" max="13824" width="8.796875" style="91"/>
    <col min="13825" max="13825" width="1.69921875" style="91" customWidth="1"/>
    <col min="13826" max="13826" width="0" style="91" hidden="1" customWidth="1"/>
    <col min="13827" max="13827" width="2.09765625" style="91" customWidth="1"/>
    <col min="13828" max="13829" width="2.59765625" style="91" customWidth="1"/>
    <col min="13830" max="13830" width="0" style="91" hidden="1" customWidth="1"/>
    <col min="13831" max="13831" width="8.796875" style="91"/>
    <col min="13832" max="13834" width="5.5" style="91" customWidth="1"/>
    <col min="13835" max="13835" width="9.8984375" style="91" bestFit="1" customWidth="1"/>
    <col min="13836" max="13836" width="9.8984375" style="91" customWidth="1"/>
    <col min="13837" max="13839" width="8.3984375" style="91" customWidth="1"/>
    <col min="13840" max="13840" width="28" style="91" customWidth="1"/>
    <col min="13841" max="13841" width="8.796875" style="91"/>
    <col min="13842" max="13842" width="9.19921875" style="91" bestFit="1" customWidth="1"/>
    <col min="13843" max="14080" width="8.796875" style="91"/>
    <col min="14081" max="14081" width="1.69921875" style="91" customWidth="1"/>
    <col min="14082" max="14082" width="0" style="91" hidden="1" customWidth="1"/>
    <col min="14083" max="14083" width="2.09765625" style="91" customWidth="1"/>
    <col min="14084" max="14085" width="2.59765625" style="91" customWidth="1"/>
    <col min="14086" max="14086" width="0" style="91" hidden="1" customWidth="1"/>
    <col min="14087" max="14087" width="8.796875" style="91"/>
    <col min="14088" max="14090" width="5.5" style="91" customWidth="1"/>
    <col min="14091" max="14091" width="9.8984375" style="91" bestFit="1" customWidth="1"/>
    <col min="14092" max="14092" width="9.8984375" style="91" customWidth="1"/>
    <col min="14093" max="14095" width="8.3984375" style="91" customWidth="1"/>
    <col min="14096" max="14096" width="28" style="91" customWidth="1"/>
    <col min="14097" max="14097" width="8.796875" style="91"/>
    <col min="14098" max="14098" width="9.19921875" style="91" bestFit="1" customWidth="1"/>
    <col min="14099" max="14336" width="8.796875" style="91"/>
    <col min="14337" max="14337" width="1.69921875" style="91" customWidth="1"/>
    <col min="14338" max="14338" width="0" style="91" hidden="1" customWidth="1"/>
    <col min="14339" max="14339" width="2.09765625" style="91" customWidth="1"/>
    <col min="14340" max="14341" width="2.59765625" style="91" customWidth="1"/>
    <col min="14342" max="14342" width="0" style="91" hidden="1" customWidth="1"/>
    <col min="14343" max="14343" width="8.796875" style="91"/>
    <col min="14344" max="14346" width="5.5" style="91" customWidth="1"/>
    <col min="14347" max="14347" width="9.8984375" style="91" bestFit="1" customWidth="1"/>
    <col min="14348" max="14348" width="9.8984375" style="91" customWidth="1"/>
    <col min="14349" max="14351" width="8.3984375" style="91" customWidth="1"/>
    <col min="14352" max="14352" width="28" style="91" customWidth="1"/>
    <col min="14353" max="14353" width="8.796875" style="91"/>
    <col min="14354" max="14354" width="9.19921875" style="91" bestFit="1" customWidth="1"/>
    <col min="14355" max="14592" width="8.796875" style="91"/>
    <col min="14593" max="14593" width="1.69921875" style="91" customWidth="1"/>
    <col min="14594" max="14594" width="0" style="91" hidden="1" customWidth="1"/>
    <col min="14595" max="14595" width="2.09765625" style="91" customWidth="1"/>
    <col min="14596" max="14597" width="2.59765625" style="91" customWidth="1"/>
    <col min="14598" max="14598" width="0" style="91" hidden="1" customWidth="1"/>
    <col min="14599" max="14599" width="8.796875" style="91"/>
    <col min="14600" max="14602" width="5.5" style="91" customWidth="1"/>
    <col min="14603" max="14603" width="9.8984375" style="91" bestFit="1" customWidth="1"/>
    <col min="14604" max="14604" width="9.8984375" style="91" customWidth="1"/>
    <col min="14605" max="14607" width="8.3984375" style="91" customWidth="1"/>
    <col min="14608" max="14608" width="28" style="91" customWidth="1"/>
    <col min="14609" max="14609" width="8.796875" style="91"/>
    <col min="14610" max="14610" width="9.19921875" style="91" bestFit="1" customWidth="1"/>
    <col min="14611" max="14848" width="8.796875" style="91"/>
    <col min="14849" max="14849" width="1.69921875" style="91" customWidth="1"/>
    <col min="14850" max="14850" width="0" style="91" hidden="1" customWidth="1"/>
    <col min="14851" max="14851" width="2.09765625" style="91" customWidth="1"/>
    <col min="14852" max="14853" width="2.59765625" style="91" customWidth="1"/>
    <col min="14854" max="14854" width="0" style="91" hidden="1" customWidth="1"/>
    <col min="14855" max="14855" width="8.796875" style="91"/>
    <col min="14856" max="14858" width="5.5" style="91" customWidth="1"/>
    <col min="14859" max="14859" width="9.8984375" style="91" bestFit="1" customWidth="1"/>
    <col min="14860" max="14860" width="9.8984375" style="91" customWidth="1"/>
    <col min="14861" max="14863" width="8.3984375" style="91" customWidth="1"/>
    <col min="14864" max="14864" width="28" style="91" customWidth="1"/>
    <col min="14865" max="14865" width="8.796875" style="91"/>
    <col min="14866" max="14866" width="9.19921875" style="91" bestFit="1" customWidth="1"/>
    <col min="14867" max="15104" width="8.796875" style="91"/>
    <col min="15105" max="15105" width="1.69921875" style="91" customWidth="1"/>
    <col min="15106" max="15106" width="0" style="91" hidden="1" customWidth="1"/>
    <col min="15107" max="15107" width="2.09765625" style="91" customWidth="1"/>
    <col min="15108" max="15109" width="2.59765625" style="91" customWidth="1"/>
    <col min="15110" max="15110" width="0" style="91" hidden="1" customWidth="1"/>
    <col min="15111" max="15111" width="8.796875" style="91"/>
    <col min="15112" max="15114" width="5.5" style="91" customWidth="1"/>
    <col min="15115" max="15115" width="9.8984375" style="91" bestFit="1" customWidth="1"/>
    <col min="15116" max="15116" width="9.8984375" style="91" customWidth="1"/>
    <col min="15117" max="15119" width="8.3984375" style="91" customWidth="1"/>
    <col min="15120" max="15120" width="28" style="91" customWidth="1"/>
    <col min="15121" max="15121" width="8.796875" style="91"/>
    <col min="15122" max="15122" width="9.19921875" style="91" bestFit="1" customWidth="1"/>
    <col min="15123" max="15360" width="8.796875" style="91"/>
    <col min="15361" max="15361" width="1.69921875" style="91" customWidth="1"/>
    <col min="15362" max="15362" width="0" style="91" hidden="1" customWidth="1"/>
    <col min="15363" max="15363" width="2.09765625" style="91" customWidth="1"/>
    <col min="15364" max="15365" width="2.59765625" style="91" customWidth="1"/>
    <col min="15366" max="15366" width="0" style="91" hidden="1" customWidth="1"/>
    <col min="15367" max="15367" width="8.796875" style="91"/>
    <col min="15368" max="15370" width="5.5" style="91" customWidth="1"/>
    <col min="15371" max="15371" width="9.8984375" style="91" bestFit="1" customWidth="1"/>
    <col min="15372" max="15372" width="9.8984375" style="91" customWidth="1"/>
    <col min="15373" max="15375" width="8.3984375" style="91" customWidth="1"/>
    <col min="15376" max="15376" width="28" style="91" customWidth="1"/>
    <col min="15377" max="15377" width="8.796875" style="91"/>
    <col min="15378" max="15378" width="9.19921875" style="91" bestFit="1" customWidth="1"/>
    <col min="15379" max="15616" width="8.796875" style="91"/>
    <col min="15617" max="15617" width="1.69921875" style="91" customWidth="1"/>
    <col min="15618" max="15618" width="0" style="91" hidden="1" customWidth="1"/>
    <col min="15619" max="15619" width="2.09765625" style="91" customWidth="1"/>
    <col min="15620" max="15621" width="2.59765625" style="91" customWidth="1"/>
    <col min="15622" max="15622" width="0" style="91" hidden="1" customWidth="1"/>
    <col min="15623" max="15623" width="8.796875" style="91"/>
    <col min="15624" max="15626" width="5.5" style="91" customWidth="1"/>
    <col min="15627" max="15627" width="9.8984375" style="91" bestFit="1" customWidth="1"/>
    <col min="15628" max="15628" width="9.8984375" style="91" customWidth="1"/>
    <col min="15629" max="15631" width="8.3984375" style="91" customWidth="1"/>
    <col min="15632" max="15632" width="28" style="91" customWidth="1"/>
    <col min="15633" max="15633" width="8.796875" style="91"/>
    <col min="15634" max="15634" width="9.19921875" style="91" bestFit="1" customWidth="1"/>
    <col min="15635" max="15872" width="8.796875" style="91"/>
    <col min="15873" max="15873" width="1.69921875" style="91" customWidth="1"/>
    <col min="15874" max="15874" width="0" style="91" hidden="1" customWidth="1"/>
    <col min="15875" max="15875" width="2.09765625" style="91" customWidth="1"/>
    <col min="15876" max="15877" width="2.59765625" style="91" customWidth="1"/>
    <col min="15878" max="15878" width="0" style="91" hidden="1" customWidth="1"/>
    <col min="15879" max="15879" width="8.796875" style="91"/>
    <col min="15880" max="15882" width="5.5" style="91" customWidth="1"/>
    <col min="15883" max="15883" width="9.8984375" style="91" bestFit="1" customWidth="1"/>
    <col min="15884" max="15884" width="9.8984375" style="91" customWidth="1"/>
    <col min="15885" max="15887" width="8.3984375" style="91" customWidth="1"/>
    <col min="15888" max="15888" width="28" style="91" customWidth="1"/>
    <col min="15889" max="15889" width="8.796875" style="91"/>
    <col min="15890" max="15890" width="9.19921875" style="91" bestFit="1" customWidth="1"/>
    <col min="15891" max="16128" width="8.796875" style="91"/>
    <col min="16129" max="16129" width="1.69921875" style="91" customWidth="1"/>
    <col min="16130" max="16130" width="0" style="91" hidden="1" customWidth="1"/>
    <col min="16131" max="16131" width="2.09765625" style="91" customWidth="1"/>
    <col min="16132" max="16133" width="2.59765625" style="91" customWidth="1"/>
    <col min="16134" max="16134" width="0" style="91" hidden="1" customWidth="1"/>
    <col min="16135" max="16135" width="8.796875" style="91"/>
    <col min="16136" max="16138" width="5.5" style="91" customWidth="1"/>
    <col min="16139" max="16139" width="9.8984375" style="91" bestFit="1" customWidth="1"/>
    <col min="16140" max="16140" width="9.8984375" style="91" customWidth="1"/>
    <col min="16141" max="16143" width="8.3984375" style="91" customWidth="1"/>
    <col min="16144" max="16144" width="28" style="91" customWidth="1"/>
    <col min="16145" max="16145" width="8.796875" style="91"/>
    <col min="16146" max="16146" width="9.19921875" style="91" bestFit="1" customWidth="1"/>
    <col min="16147" max="16384" width="8.796875" style="91"/>
  </cols>
  <sheetData>
    <row r="1" spans="3:18" ht="12.9" customHeight="1" x14ac:dyDescent="0.45">
      <c r="C1" s="346" t="s">
        <v>76</v>
      </c>
      <c r="D1" s="347"/>
      <c r="E1" s="347"/>
      <c r="F1" s="347"/>
      <c r="G1" s="348"/>
      <c r="H1" s="89"/>
      <c r="I1" s="90"/>
      <c r="J1" s="90"/>
      <c r="M1" s="92"/>
      <c r="N1" s="92"/>
      <c r="O1" s="92"/>
      <c r="R1" s="93"/>
    </row>
    <row r="2" spans="3:18" ht="12.9" customHeight="1" thickBot="1" x14ac:dyDescent="0.5">
      <c r="C2" s="349"/>
      <c r="D2" s="350"/>
      <c r="E2" s="350"/>
      <c r="F2" s="350"/>
      <c r="G2" s="351"/>
      <c r="H2" s="89"/>
      <c r="I2" s="90"/>
      <c r="J2" s="90"/>
      <c r="K2" s="94"/>
      <c r="L2" s="94"/>
      <c r="M2" s="95"/>
      <c r="N2" s="95"/>
      <c r="O2" s="95"/>
      <c r="P2" s="94"/>
      <c r="Q2" s="94"/>
      <c r="R2" s="96"/>
    </row>
    <row r="3" spans="3:18" ht="12.9" customHeight="1" x14ac:dyDescent="0.45">
      <c r="D3" s="97">
        <v>2014</v>
      </c>
      <c r="G3" s="98"/>
      <c r="H3" s="99"/>
      <c r="I3" s="100"/>
      <c r="J3" s="352" t="s">
        <v>77</v>
      </c>
      <c r="K3" s="352"/>
      <c r="L3" s="352"/>
      <c r="M3" s="352"/>
      <c r="N3" s="352"/>
      <c r="O3" s="352"/>
      <c r="P3" s="352"/>
      <c r="Q3" s="353"/>
      <c r="R3" s="96"/>
    </row>
    <row r="4" spans="3:18" ht="12.9" customHeight="1" x14ac:dyDescent="0.45">
      <c r="D4" s="354">
        <v>8</v>
      </c>
      <c r="E4" s="355" t="s">
        <v>78</v>
      </c>
      <c r="F4" s="101"/>
      <c r="G4" s="98"/>
      <c r="H4" s="99"/>
      <c r="I4" s="100"/>
      <c r="J4" s="352"/>
      <c r="K4" s="352"/>
      <c r="L4" s="352"/>
      <c r="M4" s="352"/>
      <c r="N4" s="352"/>
      <c r="O4" s="352"/>
      <c r="P4" s="352"/>
      <c r="Q4" s="353"/>
      <c r="R4" s="102"/>
    </row>
    <row r="5" spans="3:18" ht="12.9" customHeight="1" x14ac:dyDescent="0.45">
      <c r="D5" s="337"/>
      <c r="E5" s="337"/>
      <c r="F5" s="97"/>
      <c r="G5" s="103"/>
      <c r="H5" s="99"/>
      <c r="I5" s="100"/>
      <c r="J5" s="352" t="s">
        <v>79</v>
      </c>
      <c r="K5" s="356"/>
      <c r="L5" s="356"/>
      <c r="M5" s="356"/>
      <c r="N5" s="356"/>
      <c r="O5" s="356"/>
      <c r="P5" s="356"/>
      <c r="Q5" s="104"/>
      <c r="R5" s="102"/>
    </row>
    <row r="6" spans="3:18" ht="12.9" customHeight="1" x14ac:dyDescent="0.45">
      <c r="G6" s="98"/>
      <c r="H6" s="99"/>
      <c r="I6" s="105"/>
      <c r="J6" s="356"/>
      <c r="K6" s="356"/>
      <c r="L6" s="356"/>
      <c r="M6" s="356"/>
      <c r="N6" s="356"/>
      <c r="O6" s="356"/>
      <c r="P6" s="356"/>
      <c r="Q6" s="104"/>
      <c r="R6" s="102"/>
    </row>
    <row r="7" spans="3:18" ht="28.8" thickBot="1" x14ac:dyDescent="0.5">
      <c r="C7" s="357" t="s">
        <v>80</v>
      </c>
      <c r="D7" s="357"/>
      <c r="E7" s="358"/>
      <c r="F7" s="358"/>
      <c r="G7" s="358"/>
      <c r="H7" s="358"/>
      <c r="I7" s="358"/>
      <c r="J7" s="358"/>
      <c r="K7" s="324"/>
      <c r="L7" s="324"/>
      <c r="M7" s="106"/>
      <c r="N7" s="106"/>
      <c r="O7" s="106"/>
      <c r="P7" s="359">
        <v>42272</v>
      </c>
      <c r="Q7" s="360"/>
      <c r="R7" s="107" t="s">
        <v>81</v>
      </c>
    </row>
    <row r="8" spans="3:18" ht="15" customHeight="1" thickTop="1" x14ac:dyDescent="0.45">
      <c r="C8" s="361" t="s">
        <v>82</v>
      </c>
      <c r="D8" s="363" t="s">
        <v>83</v>
      </c>
      <c r="E8" s="364"/>
      <c r="F8" s="365" t="s">
        <v>84</v>
      </c>
      <c r="G8" s="365" t="s">
        <v>85</v>
      </c>
      <c r="H8" s="365" t="s">
        <v>86</v>
      </c>
      <c r="I8" s="363" t="s">
        <v>87</v>
      </c>
      <c r="J8" s="108" t="s">
        <v>88</v>
      </c>
      <c r="K8" s="109" t="s">
        <v>89</v>
      </c>
      <c r="L8" s="110" t="s">
        <v>90</v>
      </c>
      <c r="M8" s="368" t="s">
        <v>91</v>
      </c>
      <c r="N8" s="370" t="s">
        <v>92</v>
      </c>
      <c r="O8" s="370" t="s">
        <v>93</v>
      </c>
      <c r="P8" s="372" t="s">
        <v>94</v>
      </c>
      <c r="Q8" s="374" t="s">
        <v>95</v>
      </c>
      <c r="R8" s="375"/>
    </row>
    <row r="9" spans="3:18" ht="15" customHeight="1" thickBot="1" x14ac:dyDescent="0.5">
      <c r="C9" s="362"/>
      <c r="D9" s="376" t="s">
        <v>82</v>
      </c>
      <c r="E9" s="377"/>
      <c r="F9" s="366"/>
      <c r="G9" s="366"/>
      <c r="H9" s="366"/>
      <c r="I9" s="367"/>
      <c r="J9" s="111" t="s">
        <v>96</v>
      </c>
      <c r="K9" s="112" t="s">
        <v>97</v>
      </c>
      <c r="L9" s="113" t="s">
        <v>98</v>
      </c>
      <c r="M9" s="369"/>
      <c r="N9" s="371"/>
      <c r="O9" s="371"/>
      <c r="P9" s="373"/>
      <c r="Q9" s="114" t="s">
        <v>99</v>
      </c>
      <c r="R9" s="115" t="s">
        <v>100</v>
      </c>
    </row>
    <row r="10" spans="3:18" ht="15" customHeight="1" x14ac:dyDescent="0.45">
      <c r="C10" s="116"/>
      <c r="D10" s="342"/>
      <c r="E10" s="343"/>
      <c r="F10" s="117"/>
      <c r="G10" s="344"/>
      <c r="H10" s="118"/>
      <c r="I10" s="119"/>
      <c r="J10" s="345"/>
      <c r="K10" s="120"/>
      <c r="L10" s="121"/>
      <c r="M10" s="122"/>
      <c r="N10" s="123"/>
      <c r="O10" s="124"/>
      <c r="P10" s="125"/>
      <c r="Q10" s="126"/>
      <c r="R10" s="127"/>
    </row>
    <row r="11" spans="3:18" ht="15" customHeight="1" x14ac:dyDescent="0.45">
      <c r="C11" s="116">
        <v>1</v>
      </c>
      <c r="D11" s="319"/>
      <c r="E11" s="339"/>
      <c r="F11" s="128"/>
      <c r="G11" s="315"/>
      <c r="H11" s="129"/>
      <c r="I11" s="129"/>
      <c r="J11" s="317"/>
      <c r="K11" s="130"/>
      <c r="L11" s="131">
        <f>SUM(M11:O11)</f>
        <v>0</v>
      </c>
      <c r="M11" s="132"/>
      <c r="N11" s="133"/>
      <c r="O11" s="133"/>
      <c r="P11" s="134"/>
      <c r="Q11" s="135"/>
      <c r="R11" s="136"/>
    </row>
    <row r="12" spans="3:18" ht="15" customHeight="1" x14ac:dyDescent="0.45">
      <c r="C12" s="137"/>
      <c r="D12" s="340"/>
      <c r="E12" s="339"/>
      <c r="F12" s="128"/>
      <c r="G12" s="138"/>
      <c r="H12" s="139"/>
      <c r="I12" s="140"/>
      <c r="J12" s="318"/>
      <c r="K12" s="141"/>
      <c r="L12" s="142"/>
      <c r="M12" s="143"/>
      <c r="N12" s="144"/>
      <c r="O12" s="145"/>
      <c r="P12" s="146"/>
      <c r="Q12" s="147"/>
      <c r="R12" s="136"/>
    </row>
    <row r="13" spans="3:18" ht="15" customHeight="1" x14ac:dyDescent="0.45">
      <c r="C13" s="116"/>
      <c r="D13" s="312"/>
      <c r="E13" s="313"/>
      <c r="F13" s="148"/>
      <c r="G13" s="314"/>
      <c r="H13" s="118"/>
      <c r="I13" s="119"/>
      <c r="J13" s="316"/>
      <c r="K13" s="120"/>
      <c r="L13" s="121"/>
      <c r="M13" s="122"/>
      <c r="N13" s="123"/>
      <c r="O13" s="124"/>
      <c r="P13" s="125"/>
      <c r="Q13" s="126"/>
      <c r="R13" s="149"/>
    </row>
    <row r="14" spans="3:18" ht="15" customHeight="1" x14ac:dyDescent="0.45">
      <c r="C14" s="116">
        <v>2</v>
      </c>
      <c r="D14" s="319"/>
      <c r="E14" s="320"/>
      <c r="F14" s="128"/>
      <c r="G14" s="315"/>
      <c r="H14" s="129"/>
      <c r="I14" s="129"/>
      <c r="J14" s="317"/>
      <c r="K14" s="130"/>
      <c r="L14" s="131">
        <f>SUM(M14:O14)</f>
        <v>0</v>
      </c>
      <c r="M14" s="132"/>
      <c r="N14" s="133"/>
      <c r="O14" s="133"/>
      <c r="P14" s="134"/>
      <c r="Q14" s="126"/>
      <c r="R14" s="127"/>
    </row>
    <row r="15" spans="3:18" ht="15" customHeight="1" x14ac:dyDescent="0.45">
      <c r="C15" s="137"/>
      <c r="D15" s="321"/>
      <c r="E15" s="322"/>
      <c r="F15" s="150"/>
      <c r="G15" s="138"/>
      <c r="H15" s="139"/>
      <c r="I15" s="140"/>
      <c r="J15" s="318"/>
      <c r="K15" s="141"/>
      <c r="L15" s="142"/>
      <c r="M15" s="143"/>
      <c r="N15" s="144"/>
      <c r="O15" s="145"/>
      <c r="P15" s="146"/>
      <c r="Q15" s="151"/>
      <c r="R15" s="152"/>
    </row>
    <row r="16" spans="3:18" ht="15" customHeight="1" x14ac:dyDescent="0.45">
      <c r="C16" s="116"/>
      <c r="D16" s="312"/>
      <c r="E16" s="338"/>
      <c r="F16" s="128"/>
      <c r="G16" s="315"/>
      <c r="H16" s="118"/>
      <c r="I16" s="119"/>
      <c r="J16" s="317"/>
      <c r="K16" s="120"/>
      <c r="L16" s="121"/>
      <c r="M16" s="122"/>
      <c r="N16" s="123"/>
      <c r="O16" s="124"/>
      <c r="P16" s="125"/>
      <c r="Q16" s="126"/>
      <c r="R16" s="127"/>
    </row>
    <row r="17" spans="3:18" ht="15" customHeight="1" x14ac:dyDescent="0.45">
      <c r="C17" s="116">
        <v>3</v>
      </c>
      <c r="D17" s="319"/>
      <c r="E17" s="339"/>
      <c r="F17" s="128"/>
      <c r="G17" s="315"/>
      <c r="H17" s="129"/>
      <c r="I17" s="129"/>
      <c r="J17" s="317"/>
      <c r="K17" s="130"/>
      <c r="L17" s="131">
        <f>SUM(M17:O17)</f>
        <v>0</v>
      </c>
      <c r="M17" s="132"/>
      <c r="N17" s="133"/>
      <c r="O17" s="133"/>
      <c r="P17" s="134"/>
      <c r="Q17" s="126"/>
      <c r="R17" s="127"/>
    </row>
    <row r="18" spans="3:18" ht="15" customHeight="1" x14ac:dyDescent="0.45">
      <c r="C18" s="137"/>
      <c r="D18" s="340"/>
      <c r="E18" s="339"/>
      <c r="F18" s="150"/>
      <c r="G18" s="138"/>
      <c r="H18" s="139"/>
      <c r="I18" s="140"/>
      <c r="J18" s="318"/>
      <c r="K18" s="141"/>
      <c r="L18" s="142"/>
      <c r="M18" s="143"/>
      <c r="N18" s="144"/>
      <c r="O18" s="145"/>
      <c r="P18" s="146"/>
      <c r="Q18" s="126"/>
      <c r="R18" s="127"/>
    </row>
    <row r="19" spans="3:18" ht="15" customHeight="1" x14ac:dyDescent="0.45">
      <c r="C19" s="116"/>
      <c r="D19" s="312"/>
      <c r="E19" s="338"/>
      <c r="F19" s="128"/>
      <c r="G19" s="315"/>
      <c r="H19" s="118"/>
      <c r="I19" s="119"/>
      <c r="J19" s="317"/>
      <c r="K19" s="120"/>
      <c r="L19" s="121"/>
      <c r="M19" s="122"/>
      <c r="N19" s="123"/>
      <c r="O19" s="124"/>
      <c r="P19" s="125"/>
      <c r="Q19" s="153"/>
      <c r="R19" s="154"/>
    </row>
    <row r="20" spans="3:18" ht="15" customHeight="1" x14ac:dyDescent="0.45">
      <c r="C20" s="116">
        <v>4</v>
      </c>
      <c r="D20" s="319"/>
      <c r="E20" s="339"/>
      <c r="F20" s="128"/>
      <c r="G20" s="315"/>
      <c r="H20" s="129"/>
      <c r="I20" s="129"/>
      <c r="J20" s="317"/>
      <c r="K20" s="130"/>
      <c r="L20" s="131">
        <f>SUM(M20:O20)</f>
        <v>0</v>
      </c>
      <c r="M20" s="132"/>
      <c r="N20" s="133"/>
      <c r="O20" s="133"/>
      <c r="P20" s="134"/>
      <c r="Q20" s="126"/>
      <c r="R20" s="127"/>
    </row>
    <row r="21" spans="3:18" ht="15" customHeight="1" x14ac:dyDescent="0.45">
      <c r="C21" s="137"/>
      <c r="D21" s="321"/>
      <c r="E21" s="341"/>
      <c r="F21" s="155"/>
      <c r="G21" s="138"/>
      <c r="H21" s="139"/>
      <c r="I21" s="140"/>
      <c r="J21" s="318"/>
      <c r="K21" s="141"/>
      <c r="L21" s="142"/>
      <c r="M21" s="143"/>
      <c r="N21" s="144"/>
      <c r="O21" s="145"/>
      <c r="P21" s="146"/>
      <c r="Q21" s="151"/>
      <c r="R21" s="152"/>
    </row>
    <row r="22" spans="3:18" ht="15" customHeight="1" x14ac:dyDescent="0.45">
      <c r="C22" s="116"/>
      <c r="D22" s="312"/>
      <c r="E22" s="313"/>
      <c r="F22" s="148"/>
      <c r="G22" s="314"/>
      <c r="H22" s="118"/>
      <c r="I22" s="119"/>
      <c r="J22" s="316"/>
      <c r="K22" s="120"/>
      <c r="L22" s="121"/>
      <c r="M22" s="122"/>
      <c r="N22" s="123"/>
      <c r="O22" s="124"/>
      <c r="P22" s="125"/>
      <c r="Q22" s="126"/>
      <c r="R22" s="149"/>
    </row>
    <row r="23" spans="3:18" ht="15" customHeight="1" x14ac:dyDescent="0.45">
      <c r="C23" s="116">
        <v>5</v>
      </c>
      <c r="D23" s="319"/>
      <c r="E23" s="320"/>
      <c r="F23" s="128"/>
      <c r="G23" s="315"/>
      <c r="H23" s="129"/>
      <c r="I23" s="129"/>
      <c r="J23" s="317"/>
      <c r="K23" s="130"/>
      <c r="L23" s="131">
        <f>SUM(M23:O23)</f>
        <v>0</v>
      </c>
      <c r="M23" s="132"/>
      <c r="N23" s="133"/>
      <c r="O23" s="133"/>
      <c r="P23" s="134"/>
      <c r="Q23" s="126"/>
      <c r="R23" s="127"/>
    </row>
    <row r="24" spans="3:18" ht="15" customHeight="1" x14ac:dyDescent="0.45">
      <c r="C24" s="116"/>
      <c r="D24" s="321"/>
      <c r="E24" s="322"/>
      <c r="F24" s="150"/>
      <c r="G24" s="138"/>
      <c r="H24" s="139"/>
      <c r="I24" s="140"/>
      <c r="J24" s="318"/>
      <c r="K24" s="141"/>
      <c r="L24" s="142"/>
      <c r="M24" s="143"/>
      <c r="N24" s="144"/>
      <c r="O24" s="145"/>
      <c r="P24" s="146"/>
      <c r="Q24" s="151"/>
      <c r="R24" s="152"/>
    </row>
    <row r="25" spans="3:18" ht="15" customHeight="1" x14ac:dyDescent="0.45">
      <c r="C25" s="156"/>
      <c r="D25" s="312"/>
      <c r="E25" s="313"/>
      <c r="F25" s="148"/>
      <c r="G25" s="314"/>
      <c r="H25" s="118"/>
      <c r="I25" s="119"/>
      <c r="J25" s="316"/>
      <c r="K25" s="120"/>
      <c r="L25" s="121"/>
      <c r="M25" s="122"/>
      <c r="N25" s="123"/>
      <c r="O25" s="124"/>
      <c r="P25" s="125"/>
      <c r="Q25" s="126"/>
      <c r="R25" s="149"/>
    </row>
    <row r="26" spans="3:18" ht="15" customHeight="1" x14ac:dyDescent="0.45">
      <c r="C26" s="116">
        <v>6</v>
      </c>
      <c r="D26" s="319"/>
      <c r="E26" s="320"/>
      <c r="F26" s="128"/>
      <c r="G26" s="315"/>
      <c r="H26" s="129"/>
      <c r="I26" s="129"/>
      <c r="J26" s="317"/>
      <c r="K26" s="130"/>
      <c r="L26" s="131">
        <f>SUM(M26:O26)</f>
        <v>0</v>
      </c>
      <c r="M26" s="132"/>
      <c r="N26" s="133"/>
      <c r="O26" s="133"/>
      <c r="P26" s="134"/>
      <c r="Q26" s="126"/>
      <c r="R26" s="127"/>
    </row>
    <row r="27" spans="3:18" ht="15" customHeight="1" x14ac:dyDescent="0.45">
      <c r="C27" s="137"/>
      <c r="D27" s="321"/>
      <c r="E27" s="322"/>
      <c r="F27" s="150"/>
      <c r="G27" s="138"/>
      <c r="H27" s="139"/>
      <c r="I27" s="140"/>
      <c r="J27" s="318"/>
      <c r="K27" s="141"/>
      <c r="L27" s="142"/>
      <c r="M27" s="143"/>
      <c r="N27" s="144"/>
      <c r="O27" s="145"/>
      <c r="P27" s="146"/>
      <c r="Q27" s="151"/>
      <c r="R27" s="152"/>
    </row>
    <row r="28" spans="3:18" ht="15" customHeight="1" x14ac:dyDescent="0.45">
      <c r="C28" s="156"/>
      <c r="D28" s="312"/>
      <c r="E28" s="313"/>
      <c r="F28" s="148"/>
      <c r="G28" s="314"/>
      <c r="H28" s="118"/>
      <c r="I28" s="119"/>
      <c r="J28" s="316"/>
      <c r="K28" s="120"/>
      <c r="L28" s="121"/>
      <c r="M28" s="122"/>
      <c r="N28" s="123"/>
      <c r="O28" s="124"/>
      <c r="P28" s="125"/>
      <c r="Q28" s="126"/>
      <c r="R28" s="149"/>
    </row>
    <row r="29" spans="3:18" ht="15" customHeight="1" x14ac:dyDescent="0.45">
      <c r="C29" s="116">
        <v>7</v>
      </c>
      <c r="D29" s="319"/>
      <c r="E29" s="320"/>
      <c r="F29" s="128"/>
      <c r="G29" s="315"/>
      <c r="H29" s="129"/>
      <c r="I29" s="129"/>
      <c r="J29" s="317"/>
      <c r="K29" s="130"/>
      <c r="L29" s="131">
        <f>SUM(M29:O29)</f>
        <v>0</v>
      </c>
      <c r="M29" s="132"/>
      <c r="N29" s="133"/>
      <c r="O29" s="133"/>
      <c r="P29" s="134"/>
      <c r="Q29" s="126"/>
      <c r="R29" s="127"/>
    </row>
    <row r="30" spans="3:18" ht="15" customHeight="1" x14ac:dyDescent="0.45">
      <c r="C30" s="137"/>
      <c r="D30" s="321"/>
      <c r="E30" s="322"/>
      <c r="F30" s="150"/>
      <c r="G30" s="138"/>
      <c r="H30" s="139"/>
      <c r="I30" s="140"/>
      <c r="J30" s="318"/>
      <c r="K30" s="141"/>
      <c r="L30" s="142"/>
      <c r="M30" s="143"/>
      <c r="N30" s="144"/>
      <c r="O30" s="145"/>
      <c r="P30" s="146"/>
      <c r="Q30" s="151"/>
      <c r="R30" s="152"/>
    </row>
    <row r="31" spans="3:18" ht="15" customHeight="1" x14ac:dyDescent="0.45">
      <c r="C31" s="116"/>
      <c r="D31" s="312"/>
      <c r="E31" s="313"/>
      <c r="F31" s="148"/>
      <c r="G31" s="314"/>
      <c r="H31" s="118"/>
      <c r="I31" s="119"/>
      <c r="J31" s="316"/>
      <c r="K31" s="120"/>
      <c r="L31" s="121"/>
      <c r="M31" s="122"/>
      <c r="N31" s="123"/>
      <c r="O31" s="124"/>
      <c r="P31" s="125"/>
      <c r="Q31" s="126"/>
      <c r="R31" s="149"/>
    </row>
    <row r="32" spans="3:18" ht="15" customHeight="1" x14ac:dyDescent="0.45">
      <c r="C32" s="116">
        <v>8</v>
      </c>
      <c r="D32" s="319"/>
      <c r="E32" s="320"/>
      <c r="F32" s="128"/>
      <c r="G32" s="315"/>
      <c r="H32" s="129"/>
      <c r="I32" s="129"/>
      <c r="J32" s="317"/>
      <c r="K32" s="130"/>
      <c r="L32" s="131">
        <f>SUM(M32:O32)</f>
        <v>0</v>
      </c>
      <c r="M32" s="132"/>
      <c r="N32" s="133"/>
      <c r="O32" s="133"/>
      <c r="P32" s="134"/>
      <c r="Q32" s="126"/>
      <c r="R32" s="127"/>
    </row>
    <row r="33" spans="3:18" ht="15" customHeight="1" x14ac:dyDescent="0.45">
      <c r="C33" s="137"/>
      <c r="D33" s="321"/>
      <c r="E33" s="322"/>
      <c r="F33" s="150"/>
      <c r="G33" s="138"/>
      <c r="H33" s="139"/>
      <c r="I33" s="140"/>
      <c r="J33" s="318"/>
      <c r="K33" s="141"/>
      <c r="L33" s="142"/>
      <c r="M33" s="143"/>
      <c r="N33" s="144"/>
      <c r="O33" s="145"/>
      <c r="P33" s="146"/>
      <c r="Q33" s="151"/>
      <c r="R33" s="152"/>
    </row>
    <row r="34" spans="3:18" ht="15" customHeight="1" x14ac:dyDescent="0.45">
      <c r="C34" s="116"/>
      <c r="D34" s="312"/>
      <c r="E34" s="313"/>
      <c r="F34" s="148"/>
      <c r="G34" s="314"/>
      <c r="H34" s="118"/>
      <c r="I34" s="119"/>
      <c r="J34" s="316"/>
      <c r="K34" s="120"/>
      <c r="L34" s="121"/>
      <c r="M34" s="122"/>
      <c r="N34" s="123"/>
      <c r="O34" s="124"/>
      <c r="P34" s="125"/>
      <c r="Q34" s="126"/>
      <c r="R34" s="149"/>
    </row>
    <row r="35" spans="3:18" ht="15" customHeight="1" x14ac:dyDescent="0.45">
      <c r="C35" s="116">
        <v>9</v>
      </c>
      <c r="D35" s="319"/>
      <c r="E35" s="320"/>
      <c r="F35" s="128"/>
      <c r="G35" s="315"/>
      <c r="H35" s="129"/>
      <c r="I35" s="129"/>
      <c r="J35" s="317"/>
      <c r="K35" s="130"/>
      <c r="L35" s="131">
        <f>SUM(M35:O35)</f>
        <v>0</v>
      </c>
      <c r="M35" s="132"/>
      <c r="N35" s="133"/>
      <c r="O35" s="133"/>
      <c r="P35" s="134"/>
      <c r="Q35" s="126"/>
      <c r="R35" s="127"/>
    </row>
    <row r="36" spans="3:18" ht="15" customHeight="1" x14ac:dyDescent="0.45">
      <c r="C36" s="116"/>
      <c r="D36" s="321"/>
      <c r="E36" s="322"/>
      <c r="F36" s="150"/>
      <c r="G36" s="138"/>
      <c r="H36" s="139"/>
      <c r="I36" s="140"/>
      <c r="J36" s="318"/>
      <c r="K36" s="141"/>
      <c r="L36" s="142"/>
      <c r="M36" s="143"/>
      <c r="N36" s="144"/>
      <c r="O36" s="145"/>
      <c r="P36" s="146"/>
      <c r="Q36" s="151"/>
      <c r="R36" s="152"/>
    </row>
    <row r="37" spans="3:18" ht="15" customHeight="1" x14ac:dyDescent="0.45">
      <c r="C37" s="156"/>
      <c r="D37" s="312"/>
      <c r="E37" s="313"/>
      <c r="F37" s="148"/>
      <c r="G37" s="314"/>
      <c r="H37" s="118"/>
      <c r="I37" s="119"/>
      <c r="J37" s="316"/>
      <c r="K37" s="120"/>
      <c r="L37" s="121"/>
      <c r="M37" s="122"/>
      <c r="N37" s="123"/>
      <c r="O37" s="124"/>
      <c r="P37" s="125"/>
      <c r="Q37" s="126"/>
      <c r="R37" s="149"/>
    </row>
    <row r="38" spans="3:18" ht="15" customHeight="1" x14ac:dyDescent="0.45">
      <c r="C38" s="116">
        <v>10</v>
      </c>
      <c r="D38" s="319"/>
      <c r="E38" s="320"/>
      <c r="F38" s="128"/>
      <c r="G38" s="315"/>
      <c r="H38" s="129"/>
      <c r="I38" s="129"/>
      <c r="J38" s="317"/>
      <c r="K38" s="130"/>
      <c r="L38" s="131">
        <f>SUM(M38:O38)</f>
        <v>0</v>
      </c>
      <c r="M38" s="132"/>
      <c r="N38" s="133"/>
      <c r="O38" s="133"/>
      <c r="P38" s="134"/>
      <c r="Q38" s="126"/>
      <c r="R38" s="127"/>
    </row>
    <row r="39" spans="3:18" ht="15" customHeight="1" x14ac:dyDescent="0.45">
      <c r="C39" s="137"/>
      <c r="D39" s="321"/>
      <c r="E39" s="322"/>
      <c r="F39" s="150"/>
      <c r="G39" s="138"/>
      <c r="H39" s="139"/>
      <c r="I39" s="140"/>
      <c r="J39" s="318"/>
      <c r="K39" s="141"/>
      <c r="L39" s="142"/>
      <c r="M39" s="143"/>
      <c r="N39" s="144"/>
      <c r="O39" s="145"/>
      <c r="P39" s="146"/>
      <c r="Q39" s="151"/>
      <c r="R39" s="152"/>
    </row>
    <row r="40" spans="3:18" ht="15" customHeight="1" x14ac:dyDescent="0.45">
      <c r="C40" s="116"/>
      <c r="D40" s="312"/>
      <c r="E40" s="313"/>
      <c r="F40" s="148"/>
      <c r="G40" s="314"/>
      <c r="H40" s="118"/>
      <c r="I40" s="119"/>
      <c r="J40" s="316"/>
      <c r="K40" s="120"/>
      <c r="L40" s="121"/>
      <c r="M40" s="122"/>
      <c r="N40" s="123"/>
      <c r="O40" s="124"/>
      <c r="P40" s="125"/>
      <c r="Q40" s="126"/>
      <c r="R40" s="149"/>
    </row>
    <row r="41" spans="3:18" ht="15" customHeight="1" x14ac:dyDescent="0.45">
      <c r="C41" s="116">
        <v>11</v>
      </c>
      <c r="D41" s="319"/>
      <c r="E41" s="320"/>
      <c r="F41" s="128"/>
      <c r="G41" s="315"/>
      <c r="H41" s="129"/>
      <c r="I41" s="129"/>
      <c r="J41" s="317"/>
      <c r="K41" s="130"/>
      <c r="L41" s="131">
        <f>SUM(M41:O41)</f>
        <v>0</v>
      </c>
      <c r="M41" s="132"/>
      <c r="N41" s="133"/>
      <c r="O41" s="133"/>
      <c r="P41" s="134"/>
      <c r="Q41" s="126"/>
      <c r="R41" s="127"/>
    </row>
    <row r="42" spans="3:18" ht="15" customHeight="1" x14ac:dyDescent="0.45">
      <c r="C42" s="116"/>
      <c r="D42" s="321"/>
      <c r="E42" s="322"/>
      <c r="F42" s="150"/>
      <c r="G42" s="138"/>
      <c r="H42" s="139"/>
      <c r="I42" s="140"/>
      <c r="J42" s="318"/>
      <c r="K42" s="141"/>
      <c r="L42" s="142"/>
      <c r="M42" s="143"/>
      <c r="N42" s="144"/>
      <c r="O42" s="145"/>
      <c r="P42" s="146"/>
      <c r="Q42" s="151"/>
      <c r="R42" s="152"/>
    </row>
    <row r="43" spans="3:18" ht="15" customHeight="1" x14ac:dyDescent="0.45">
      <c r="C43" s="156"/>
      <c r="D43" s="312"/>
      <c r="E43" s="313"/>
      <c r="F43" s="148"/>
      <c r="G43" s="314"/>
      <c r="H43" s="118"/>
      <c r="I43" s="119"/>
      <c r="J43" s="316"/>
      <c r="K43" s="120"/>
      <c r="L43" s="121"/>
      <c r="M43" s="122"/>
      <c r="N43" s="123"/>
      <c r="O43" s="124"/>
      <c r="P43" s="125"/>
      <c r="Q43" s="126"/>
      <c r="R43" s="149"/>
    </row>
    <row r="44" spans="3:18" ht="15" customHeight="1" x14ac:dyDescent="0.45">
      <c r="C44" s="116">
        <v>12</v>
      </c>
      <c r="D44" s="319"/>
      <c r="E44" s="320"/>
      <c r="F44" s="128"/>
      <c r="G44" s="315"/>
      <c r="H44" s="129"/>
      <c r="I44" s="129"/>
      <c r="J44" s="317"/>
      <c r="K44" s="130"/>
      <c r="L44" s="131">
        <f>SUM(M44:O44)</f>
        <v>0</v>
      </c>
      <c r="M44" s="132"/>
      <c r="N44" s="133"/>
      <c r="O44" s="133"/>
      <c r="P44" s="134"/>
      <c r="Q44" s="126"/>
      <c r="R44" s="127"/>
    </row>
    <row r="45" spans="3:18" ht="15" customHeight="1" x14ac:dyDescent="0.45">
      <c r="C45" s="137"/>
      <c r="D45" s="321"/>
      <c r="E45" s="322"/>
      <c r="F45" s="150"/>
      <c r="G45" s="138"/>
      <c r="H45" s="139"/>
      <c r="I45" s="140"/>
      <c r="J45" s="318"/>
      <c r="K45" s="141"/>
      <c r="L45" s="142"/>
      <c r="M45" s="143"/>
      <c r="N45" s="144"/>
      <c r="O45" s="145"/>
      <c r="P45" s="146"/>
      <c r="Q45" s="151"/>
      <c r="R45" s="152"/>
    </row>
    <row r="46" spans="3:18" ht="15" customHeight="1" x14ac:dyDescent="0.45">
      <c r="C46" s="156"/>
      <c r="D46" s="312"/>
      <c r="E46" s="313"/>
      <c r="F46" s="148"/>
      <c r="G46" s="314"/>
      <c r="H46" s="118"/>
      <c r="I46" s="119"/>
      <c r="J46" s="316"/>
      <c r="K46" s="120"/>
      <c r="L46" s="121"/>
      <c r="M46" s="122"/>
      <c r="N46" s="123"/>
      <c r="O46" s="124"/>
      <c r="P46" s="125"/>
      <c r="Q46" s="126"/>
      <c r="R46" s="149"/>
    </row>
    <row r="47" spans="3:18" ht="15" customHeight="1" x14ac:dyDescent="0.45">
      <c r="C47" s="116">
        <v>13</v>
      </c>
      <c r="D47" s="319"/>
      <c r="E47" s="320"/>
      <c r="F47" s="128"/>
      <c r="G47" s="315"/>
      <c r="H47" s="129"/>
      <c r="I47" s="129"/>
      <c r="J47" s="317"/>
      <c r="K47" s="130"/>
      <c r="L47" s="131">
        <f>SUM(M47:O47)</f>
        <v>0</v>
      </c>
      <c r="M47" s="132"/>
      <c r="N47" s="133"/>
      <c r="O47" s="133"/>
      <c r="P47" s="134"/>
      <c r="Q47" s="126"/>
      <c r="R47" s="127"/>
    </row>
    <row r="48" spans="3:18" ht="15" customHeight="1" x14ac:dyDescent="0.45">
      <c r="C48" s="137"/>
      <c r="D48" s="321"/>
      <c r="E48" s="322"/>
      <c r="F48" s="150"/>
      <c r="G48" s="138"/>
      <c r="H48" s="139"/>
      <c r="I48" s="140"/>
      <c r="J48" s="318"/>
      <c r="K48" s="141"/>
      <c r="L48" s="142"/>
      <c r="M48" s="143"/>
      <c r="N48" s="144"/>
      <c r="O48" s="145"/>
      <c r="P48" s="146"/>
      <c r="Q48" s="151"/>
      <c r="R48" s="152"/>
    </row>
    <row r="49" spans="3:18" ht="15" customHeight="1" x14ac:dyDescent="0.45">
      <c r="C49" s="116"/>
      <c r="D49" s="312"/>
      <c r="E49" s="313"/>
      <c r="F49" s="148"/>
      <c r="G49" s="314"/>
      <c r="H49" s="118"/>
      <c r="I49" s="119"/>
      <c r="J49" s="316"/>
      <c r="K49" s="120"/>
      <c r="L49" s="121"/>
      <c r="M49" s="122"/>
      <c r="N49" s="123"/>
      <c r="O49" s="124"/>
      <c r="P49" s="125"/>
      <c r="Q49" s="126"/>
      <c r="R49" s="149"/>
    </row>
    <row r="50" spans="3:18" ht="15" customHeight="1" x14ac:dyDescent="0.45">
      <c r="C50" s="116">
        <v>14</v>
      </c>
      <c r="D50" s="319"/>
      <c r="E50" s="320"/>
      <c r="F50" s="128"/>
      <c r="G50" s="315"/>
      <c r="H50" s="129"/>
      <c r="I50" s="129"/>
      <c r="J50" s="317"/>
      <c r="K50" s="130"/>
      <c r="L50" s="131">
        <f>SUM(M50:O50)</f>
        <v>0</v>
      </c>
      <c r="M50" s="132"/>
      <c r="N50" s="133"/>
      <c r="O50" s="133"/>
      <c r="P50" s="134"/>
      <c r="Q50" s="126"/>
      <c r="R50" s="127"/>
    </row>
    <row r="51" spans="3:18" ht="15" customHeight="1" x14ac:dyDescent="0.45">
      <c r="C51" s="116"/>
      <c r="D51" s="321"/>
      <c r="E51" s="322"/>
      <c r="F51" s="150"/>
      <c r="G51" s="138"/>
      <c r="H51" s="139"/>
      <c r="I51" s="140"/>
      <c r="J51" s="318"/>
      <c r="K51" s="141"/>
      <c r="L51" s="142"/>
      <c r="M51" s="143"/>
      <c r="N51" s="144"/>
      <c r="O51" s="145"/>
      <c r="P51" s="146"/>
      <c r="Q51" s="151"/>
      <c r="R51" s="152"/>
    </row>
    <row r="52" spans="3:18" ht="15" customHeight="1" x14ac:dyDescent="0.45">
      <c r="C52" s="156"/>
      <c r="D52" s="312"/>
      <c r="E52" s="313"/>
      <c r="F52" s="148"/>
      <c r="G52" s="314"/>
      <c r="H52" s="118"/>
      <c r="I52" s="119"/>
      <c r="J52" s="316"/>
      <c r="K52" s="120"/>
      <c r="L52" s="121"/>
      <c r="M52" s="122"/>
      <c r="N52" s="123"/>
      <c r="O52" s="124"/>
      <c r="P52" s="125"/>
      <c r="Q52" s="126"/>
      <c r="R52" s="149"/>
    </row>
    <row r="53" spans="3:18" ht="15" customHeight="1" x14ac:dyDescent="0.45">
      <c r="C53" s="116">
        <v>15</v>
      </c>
      <c r="D53" s="319"/>
      <c r="E53" s="320"/>
      <c r="F53" s="128"/>
      <c r="G53" s="315"/>
      <c r="H53" s="129"/>
      <c r="I53" s="129"/>
      <c r="J53" s="317"/>
      <c r="K53" s="130"/>
      <c r="L53" s="131">
        <f>SUM(M53:O53)</f>
        <v>0</v>
      </c>
      <c r="M53" s="132"/>
      <c r="N53" s="133"/>
      <c r="O53" s="133"/>
      <c r="P53" s="134"/>
      <c r="Q53" s="126"/>
      <c r="R53" s="127"/>
    </row>
    <row r="54" spans="3:18" ht="15" customHeight="1" x14ac:dyDescent="0.45">
      <c r="C54" s="137"/>
      <c r="D54" s="321"/>
      <c r="E54" s="322"/>
      <c r="F54" s="150"/>
      <c r="G54" s="138"/>
      <c r="H54" s="139"/>
      <c r="I54" s="140"/>
      <c r="J54" s="318"/>
      <c r="K54" s="141"/>
      <c r="L54" s="142"/>
      <c r="M54" s="143"/>
      <c r="N54" s="144"/>
      <c r="O54" s="145"/>
      <c r="P54" s="146"/>
      <c r="Q54" s="151"/>
      <c r="R54" s="152"/>
    </row>
    <row r="55" spans="3:18" ht="15" customHeight="1" x14ac:dyDescent="0.45">
      <c r="C55" s="156"/>
      <c r="D55" s="312"/>
      <c r="E55" s="313"/>
      <c r="F55" s="148"/>
      <c r="G55" s="314"/>
      <c r="H55" s="118"/>
      <c r="I55" s="119"/>
      <c r="J55" s="316"/>
      <c r="K55" s="120"/>
      <c r="L55" s="121"/>
      <c r="M55" s="122"/>
      <c r="N55" s="123"/>
      <c r="O55" s="124"/>
      <c r="P55" s="125"/>
      <c r="Q55" s="126"/>
      <c r="R55" s="149"/>
    </row>
    <row r="56" spans="3:18" ht="15" customHeight="1" x14ac:dyDescent="0.45">
      <c r="C56" s="116">
        <v>16</v>
      </c>
      <c r="D56" s="319"/>
      <c r="E56" s="320"/>
      <c r="F56" s="128"/>
      <c r="G56" s="315"/>
      <c r="H56" s="129"/>
      <c r="I56" s="129"/>
      <c r="J56" s="317"/>
      <c r="K56" s="130"/>
      <c r="L56" s="131">
        <f>SUM(M56:O56)</f>
        <v>0</v>
      </c>
      <c r="M56" s="132"/>
      <c r="N56" s="133"/>
      <c r="O56" s="133"/>
      <c r="P56" s="134"/>
      <c r="Q56" s="126"/>
      <c r="R56" s="127"/>
    </row>
    <row r="57" spans="3:18" ht="15" customHeight="1" x14ac:dyDescent="0.45">
      <c r="C57" s="157"/>
      <c r="D57" s="321"/>
      <c r="E57" s="322"/>
      <c r="F57" s="150"/>
      <c r="G57" s="138"/>
      <c r="H57" s="139"/>
      <c r="I57" s="140"/>
      <c r="J57" s="318"/>
      <c r="K57" s="141"/>
      <c r="L57" s="142"/>
      <c r="M57" s="143"/>
      <c r="N57" s="144"/>
      <c r="O57" s="145"/>
      <c r="P57" s="146"/>
      <c r="Q57" s="151"/>
      <c r="R57" s="152"/>
    </row>
    <row r="58" spans="3:18" ht="15" customHeight="1" x14ac:dyDescent="0.45">
      <c r="C58" s="116"/>
      <c r="D58" s="312"/>
      <c r="E58" s="313"/>
      <c r="F58" s="148"/>
      <c r="G58" s="314"/>
      <c r="H58" s="118"/>
      <c r="I58" s="119"/>
      <c r="J58" s="316"/>
      <c r="K58" s="120"/>
      <c r="L58" s="121"/>
      <c r="M58" s="122"/>
      <c r="N58" s="123"/>
      <c r="O58" s="124"/>
      <c r="P58" s="125"/>
      <c r="Q58" s="126"/>
      <c r="R58" s="149"/>
    </row>
    <row r="59" spans="3:18" ht="15" customHeight="1" x14ac:dyDescent="0.45">
      <c r="C59" s="116">
        <v>17</v>
      </c>
      <c r="D59" s="319"/>
      <c r="E59" s="320"/>
      <c r="F59" s="128"/>
      <c r="G59" s="315"/>
      <c r="H59" s="129"/>
      <c r="I59" s="129"/>
      <c r="J59" s="317"/>
      <c r="K59" s="130"/>
      <c r="L59" s="131">
        <f>SUM(M59:O59)</f>
        <v>0</v>
      </c>
      <c r="M59" s="132"/>
      <c r="N59" s="133"/>
      <c r="O59" s="133"/>
      <c r="P59" s="134"/>
      <c r="Q59" s="126"/>
      <c r="R59" s="127"/>
    </row>
    <row r="60" spans="3:18" ht="15" customHeight="1" x14ac:dyDescent="0.45">
      <c r="C60" s="116"/>
      <c r="D60" s="321"/>
      <c r="E60" s="322"/>
      <c r="F60" s="150"/>
      <c r="G60" s="138"/>
      <c r="H60" s="139"/>
      <c r="I60" s="140"/>
      <c r="J60" s="318"/>
      <c r="K60" s="141"/>
      <c r="L60" s="142"/>
      <c r="M60" s="143"/>
      <c r="N60" s="144"/>
      <c r="O60" s="145"/>
      <c r="P60" s="146"/>
      <c r="Q60" s="151"/>
      <c r="R60" s="152"/>
    </row>
    <row r="61" spans="3:18" ht="15" customHeight="1" x14ac:dyDescent="0.45">
      <c r="C61" s="156"/>
      <c r="D61" s="312"/>
      <c r="E61" s="313"/>
      <c r="F61" s="148"/>
      <c r="G61" s="314"/>
      <c r="H61" s="118"/>
      <c r="I61" s="119"/>
      <c r="J61" s="316"/>
      <c r="K61" s="120"/>
      <c r="L61" s="121"/>
      <c r="M61" s="122"/>
      <c r="N61" s="123"/>
      <c r="O61" s="124"/>
      <c r="P61" s="125"/>
      <c r="Q61" s="126"/>
      <c r="R61" s="149"/>
    </row>
    <row r="62" spans="3:18" ht="15" customHeight="1" x14ac:dyDescent="0.45">
      <c r="C62" s="116">
        <v>18</v>
      </c>
      <c r="D62" s="319"/>
      <c r="E62" s="320"/>
      <c r="F62" s="128"/>
      <c r="G62" s="315"/>
      <c r="H62" s="129"/>
      <c r="I62" s="129"/>
      <c r="J62" s="317"/>
      <c r="K62" s="130"/>
      <c r="L62" s="131">
        <f>SUM(M62:O62)</f>
        <v>0</v>
      </c>
      <c r="M62" s="132"/>
      <c r="N62" s="133"/>
      <c r="O62" s="133"/>
      <c r="P62" s="134"/>
      <c r="Q62" s="126"/>
      <c r="R62" s="127"/>
    </row>
    <row r="63" spans="3:18" ht="15" customHeight="1" x14ac:dyDescent="0.45">
      <c r="C63" s="137"/>
      <c r="D63" s="321"/>
      <c r="E63" s="322"/>
      <c r="F63" s="150"/>
      <c r="G63" s="138"/>
      <c r="H63" s="139"/>
      <c r="I63" s="140"/>
      <c r="J63" s="318"/>
      <c r="K63" s="141"/>
      <c r="L63" s="142"/>
      <c r="M63" s="143"/>
      <c r="N63" s="144"/>
      <c r="O63" s="145"/>
      <c r="P63" s="146"/>
      <c r="Q63" s="151"/>
      <c r="R63" s="152"/>
    </row>
    <row r="64" spans="3:18" ht="15" customHeight="1" x14ac:dyDescent="0.45">
      <c r="C64" s="116"/>
      <c r="D64" s="312"/>
      <c r="E64" s="313"/>
      <c r="F64" s="148"/>
      <c r="G64" s="314"/>
      <c r="H64" s="118"/>
      <c r="I64" s="119"/>
      <c r="J64" s="316"/>
      <c r="K64" s="120"/>
      <c r="L64" s="121"/>
      <c r="M64" s="122"/>
      <c r="N64" s="123"/>
      <c r="O64" s="124"/>
      <c r="P64" s="125"/>
      <c r="Q64" s="126"/>
      <c r="R64" s="149"/>
    </row>
    <row r="65" spans="2:18" ht="15" customHeight="1" x14ac:dyDescent="0.45">
      <c r="C65" s="116">
        <v>19</v>
      </c>
      <c r="D65" s="319"/>
      <c r="E65" s="320"/>
      <c r="F65" s="128"/>
      <c r="G65" s="315"/>
      <c r="H65" s="129"/>
      <c r="I65" s="129"/>
      <c r="J65" s="317"/>
      <c r="K65" s="130"/>
      <c r="L65" s="131">
        <f>SUM(M65:O65)</f>
        <v>0</v>
      </c>
      <c r="M65" s="132"/>
      <c r="N65" s="133"/>
      <c r="O65" s="133"/>
      <c r="P65" s="134"/>
      <c r="Q65" s="126"/>
      <c r="R65" s="127"/>
    </row>
    <row r="66" spans="2:18" ht="15" customHeight="1" x14ac:dyDescent="0.45">
      <c r="C66" s="116"/>
      <c r="D66" s="321"/>
      <c r="E66" s="322"/>
      <c r="F66" s="150"/>
      <c r="G66" s="138"/>
      <c r="H66" s="139"/>
      <c r="I66" s="140"/>
      <c r="J66" s="318"/>
      <c r="K66" s="141"/>
      <c r="L66" s="142"/>
      <c r="M66" s="143"/>
      <c r="N66" s="144"/>
      <c r="O66" s="145"/>
      <c r="P66" s="146"/>
      <c r="Q66" s="151"/>
      <c r="R66" s="152"/>
    </row>
    <row r="67" spans="2:18" ht="15" customHeight="1" x14ac:dyDescent="0.45">
      <c r="C67" s="156"/>
      <c r="D67" s="312"/>
      <c r="E67" s="313"/>
      <c r="F67" s="148"/>
      <c r="G67" s="314"/>
      <c r="H67" s="118"/>
      <c r="I67" s="119"/>
      <c r="J67" s="316"/>
      <c r="K67" s="120"/>
      <c r="L67" s="121"/>
      <c r="M67" s="122"/>
      <c r="N67" s="123"/>
      <c r="O67" s="124"/>
      <c r="P67" s="125"/>
      <c r="Q67" s="126"/>
      <c r="R67" s="149"/>
    </row>
    <row r="68" spans="2:18" ht="15" customHeight="1" x14ac:dyDescent="0.45">
      <c r="C68" s="116">
        <v>20</v>
      </c>
      <c r="D68" s="319"/>
      <c r="E68" s="320"/>
      <c r="F68" s="128"/>
      <c r="G68" s="315"/>
      <c r="H68" s="129"/>
      <c r="I68" s="129"/>
      <c r="J68" s="317"/>
      <c r="K68" s="130"/>
      <c r="L68" s="131">
        <f>SUM(M68:O68)</f>
        <v>0</v>
      </c>
      <c r="M68" s="132"/>
      <c r="N68" s="133"/>
      <c r="O68" s="133"/>
      <c r="P68" s="134"/>
      <c r="Q68" s="126"/>
      <c r="R68" s="127"/>
    </row>
    <row r="69" spans="2:18" ht="15" customHeight="1" thickBot="1" x14ac:dyDescent="0.5">
      <c r="C69" s="137"/>
      <c r="D69" s="321"/>
      <c r="E69" s="322"/>
      <c r="F69" s="150"/>
      <c r="G69" s="138"/>
      <c r="H69" s="139"/>
      <c r="I69" s="140"/>
      <c r="J69" s="318"/>
      <c r="K69" s="141"/>
      <c r="L69" s="142"/>
      <c r="M69" s="143"/>
      <c r="N69" s="144"/>
      <c r="O69" s="145"/>
      <c r="P69" s="146"/>
      <c r="Q69" s="151"/>
      <c r="R69" s="152"/>
    </row>
    <row r="70" spans="2:18" ht="15" customHeight="1" x14ac:dyDescent="0.45">
      <c r="C70" s="158"/>
      <c r="D70" s="159"/>
      <c r="E70" s="160"/>
      <c r="F70" s="160"/>
      <c r="G70" s="159"/>
      <c r="H70" s="161"/>
      <c r="I70" s="162"/>
      <c r="J70" s="162"/>
      <c r="K70" s="163"/>
      <c r="L70" s="164" t="s">
        <v>101</v>
      </c>
      <c r="M70" s="165" t="s">
        <v>102</v>
      </c>
      <c r="N70" s="166" t="s">
        <v>103</v>
      </c>
      <c r="O70" s="166" t="s">
        <v>104</v>
      </c>
      <c r="P70" s="167"/>
      <c r="Q70" s="168"/>
      <c r="R70" s="169"/>
    </row>
    <row r="71" spans="2:18" ht="15" customHeight="1" x14ac:dyDescent="0.45">
      <c r="B71" s="91" t="s">
        <v>105</v>
      </c>
      <c r="C71" s="170"/>
      <c r="D71" s="171" t="s">
        <v>106</v>
      </c>
      <c r="E71" s="105"/>
      <c r="F71" s="105"/>
      <c r="G71" s="336" t="s">
        <v>107</v>
      </c>
      <c r="H71" s="336"/>
      <c r="I71" s="337"/>
      <c r="J71" s="172"/>
      <c r="K71" s="173"/>
      <c r="L71" s="174">
        <f>SUM(M71:O71)</f>
        <v>0</v>
      </c>
      <c r="M71" s="175">
        <f>SUM(M10:M69)</f>
        <v>0</v>
      </c>
      <c r="N71" s="176">
        <f>SUM(N10:N69)</f>
        <v>0</v>
      </c>
      <c r="O71" s="177">
        <f>SUM(O10:O69)</f>
        <v>0</v>
      </c>
      <c r="P71" s="323" t="s">
        <v>108</v>
      </c>
      <c r="Q71" s="324"/>
      <c r="R71" s="325"/>
    </row>
    <row r="72" spans="2:18" ht="15" customHeight="1" thickBot="1" x14ac:dyDescent="0.5">
      <c r="C72" s="178"/>
      <c r="D72" s="179"/>
      <c r="E72" s="180"/>
      <c r="F72" s="180"/>
      <c r="G72" s="179"/>
      <c r="H72" s="181"/>
      <c r="I72" s="182"/>
      <c r="J72" s="182"/>
      <c r="K72" s="183"/>
      <c r="L72" s="184"/>
      <c r="M72" s="185"/>
      <c r="N72" s="186"/>
      <c r="O72" s="186"/>
      <c r="P72" s="187"/>
      <c r="Q72" s="188"/>
      <c r="R72" s="189"/>
    </row>
    <row r="73" spans="2:18" ht="15" customHeight="1" thickBot="1" x14ac:dyDescent="0.5">
      <c r="C73" s="159"/>
      <c r="D73" s="190"/>
      <c r="E73" s="191"/>
      <c r="F73" s="191"/>
      <c r="G73" s="190"/>
      <c r="H73" s="192"/>
      <c r="I73" s="193"/>
      <c r="J73" s="193"/>
      <c r="K73" s="194"/>
      <c r="L73" s="194"/>
      <c r="M73" s="122"/>
      <c r="N73" s="122"/>
      <c r="O73" s="122"/>
      <c r="P73" s="195"/>
      <c r="Q73" s="196"/>
      <c r="R73" s="196"/>
    </row>
    <row r="74" spans="2:18" ht="15" customHeight="1" thickTop="1" x14ac:dyDescent="0.45">
      <c r="C74" s="190"/>
      <c r="D74" s="326" t="s">
        <v>109</v>
      </c>
      <c r="E74" s="327"/>
      <c r="F74" s="327"/>
      <c r="G74" s="327"/>
      <c r="H74" s="327"/>
      <c r="I74" s="327"/>
      <c r="J74" s="330">
        <f>SUMIF(B10:B73,"pageTotal",L10:L73)</f>
        <v>0</v>
      </c>
      <c r="K74" s="331"/>
      <c r="L74" s="331"/>
      <c r="M74" s="332"/>
      <c r="N74" s="122"/>
      <c r="O74" s="122"/>
      <c r="P74" s="195"/>
      <c r="Q74" s="196"/>
      <c r="R74" s="196"/>
    </row>
    <row r="75" spans="2:18" ht="15" customHeight="1" thickBot="1" x14ac:dyDescent="0.5">
      <c r="C75" s="197"/>
      <c r="D75" s="328"/>
      <c r="E75" s="329"/>
      <c r="F75" s="329"/>
      <c r="G75" s="329"/>
      <c r="H75" s="329"/>
      <c r="I75" s="329"/>
      <c r="J75" s="333"/>
      <c r="K75" s="334"/>
      <c r="L75" s="334"/>
      <c r="M75" s="335"/>
      <c r="N75" s="122"/>
      <c r="O75" s="122"/>
      <c r="P75" s="195"/>
      <c r="Q75" s="196"/>
      <c r="R75" s="196"/>
    </row>
    <row r="76" spans="2:18" ht="14.25" customHeight="1" thickTop="1" x14ac:dyDescent="0.45"/>
    <row r="77" spans="2:18" ht="14.25" customHeight="1" x14ac:dyDescent="0.45"/>
  </sheetData>
  <mergeCells count="124">
    <mergeCell ref="C1:G2"/>
    <mergeCell ref="J3:P4"/>
    <mergeCell ref="Q3:Q4"/>
    <mergeCell ref="D4:D5"/>
    <mergeCell ref="E4:E5"/>
    <mergeCell ref="J5:P6"/>
    <mergeCell ref="C7:L7"/>
    <mergeCell ref="P7:Q7"/>
    <mergeCell ref="C8:C9"/>
    <mergeCell ref="D8:E8"/>
    <mergeCell ref="F8:F9"/>
    <mergeCell ref="G8:G9"/>
    <mergeCell ref="H8:H9"/>
    <mergeCell ref="I8:I9"/>
    <mergeCell ref="M8:M9"/>
    <mergeCell ref="N8:N9"/>
    <mergeCell ref="O8:O9"/>
    <mergeCell ref="P8:P9"/>
    <mergeCell ref="Q8:R8"/>
    <mergeCell ref="D9:E9"/>
    <mergeCell ref="D10:E10"/>
    <mergeCell ref="G10:G11"/>
    <mergeCell ref="J10:J12"/>
    <mergeCell ref="D11:E11"/>
    <mergeCell ref="D12:E12"/>
    <mergeCell ref="D13:E13"/>
    <mergeCell ref="G13:G14"/>
    <mergeCell ref="J13:J15"/>
    <mergeCell ref="D14:E14"/>
    <mergeCell ref="D15:E15"/>
    <mergeCell ref="D16:E16"/>
    <mergeCell ref="G16:G17"/>
    <mergeCell ref="J16:J18"/>
    <mergeCell ref="D17:E17"/>
    <mergeCell ref="D18:E18"/>
    <mergeCell ref="D19:E19"/>
    <mergeCell ref="G19:G20"/>
    <mergeCell ref="J19:J21"/>
    <mergeCell ref="D20:E20"/>
    <mergeCell ref="D21:E21"/>
    <mergeCell ref="D22:E22"/>
    <mergeCell ref="G22:G23"/>
    <mergeCell ref="J22:J24"/>
    <mergeCell ref="D23:E23"/>
    <mergeCell ref="D24:E24"/>
    <mergeCell ref="D25:E25"/>
    <mergeCell ref="G25:G26"/>
    <mergeCell ref="J25:J27"/>
    <mergeCell ref="D26:E26"/>
    <mergeCell ref="D27:E27"/>
    <mergeCell ref="D28:E28"/>
    <mergeCell ref="G28:G29"/>
    <mergeCell ref="J28:J30"/>
    <mergeCell ref="D29:E29"/>
    <mergeCell ref="D30:E30"/>
    <mergeCell ref="D31:E31"/>
    <mergeCell ref="G31:G32"/>
    <mergeCell ref="J31:J33"/>
    <mergeCell ref="D32:E32"/>
    <mergeCell ref="D33:E33"/>
    <mergeCell ref="D34:E34"/>
    <mergeCell ref="G34:G35"/>
    <mergeCell ref="J34:J36"/>
    <mergeCell ref="D35:E35"/>
    <mergeCell ref="D36:E36"/>
    <mergeCell ref="D37:E37"/>
    <mergeCell ref="G37:G38"/>
    <mergeCell ref="J37:J39"/>
    <mergeCell ref="D38:E38"/>
    <mergeCell ref="D39:E39"/>
    <mergeCell ref="D40:E40"/>
    <mergeCell ref="G40:G41"/>
    <mergeCell ref="J40:J42"/>
    <mergeCell ref="D41:E41"/>
    <mergeCell ref="D42:E42"/>
    <mergeCell ref="D43:E43"/>
    <mergeCell ref="G43:G44"/>
    <mergeCell ref="J43:J45"/>
    <mergeCell ref="D44:E44"/>
    <mergeCell ref="D45:E45"/>
    <mergeCell ref="D46:E46"/>
    <mergeCell ref="G46:G47"/>
    <mergeCell ref="J46:J48"/>
    <mergeCell ref="D47:E47"/>
    <mergeCell ref="D48:E48"/>
    <mergeCell ref="D49:E49"/>
    <mergeCell ref="G49:G50"/>
    <mergeCell ref="J49:J51"/>
    <mergeCell ref="D50:E50"/>
    <mergeCell ref="D51:E51"/>
    <mergeCell ref="D52:E52"/>
    <mergeCell ref="G52:G53"/>
    <mergeCell ref="J52:J54"/>
    <mergeCell ref="D53:E53"/>
    <mergeCell ref="D54:E54"/>
    <mergeCell ref="D55:E55"/>
    <mergeCell ref="G55:G56"/>
    <mergeCell ref="J55:J57"/>
    <mergeCell ref="D56:E56"/>
    <mergeCell ref="D57:E57"/>
    <mergeCell ref="D58:E58"/>
    <mergeCell ref="G58:G59"/>
    <mergeCell ref="J58:J60"/>
    <mergeCell ref="D59:E59"/>
    <mergeCell ref="D60:E60"/>
    <mergeCell ref="D61:E61"/>
    <mergeCell ref="G61:G62"/>
    <mergeCell ref="J61:J63"/>
    <mergeCell ref="D62:E62"/>
    <mergeCell ref="D63:E63"/>
    <mergeCell ref="D64:E64"/>
    <mergeCell ref="G64:G65"/>
    <mergeCell ref="J64:J66"/>
    <mergeCell ref="D65:E65"/>
    <mergeCell ref="D66:E66"/>
    <mergeCell ref="P71:R71"/>
    <mergeCell ref="D74:I75"/>
    <mergeCell ref="J74:M75"/>
    <mergeCell ref="D67:E67"/>
    <mergeCell ref="G67:G68"/>
    <mergeCell ref="J67:J69"/>
    <mergeCell ref="D68:E68"/>
    <mergeCell ref="D69:E69"/>
    <mergeCell ref="G71:I71"/>
  </mergeCells>
  <phoneticPr fontId="2"/>
  <pageMargins left="0.11811023622047245" right="0.19685039370078741" top="0.39370078740157483" bottom="0.74803149606299213" header="0.31496062992125984" footer="0.31496062992125984"/>
  <pageSetup paperSize="9" scale="66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  <vt:lpstr>作成日</vt:lpstr>
      <vt:lpstr>請求月</vt:lpstr>
      <vt:lpstr>請求年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2025-05-24T05:33:43Z</dcterms:modified>
</cp:coreProperties>
</file>