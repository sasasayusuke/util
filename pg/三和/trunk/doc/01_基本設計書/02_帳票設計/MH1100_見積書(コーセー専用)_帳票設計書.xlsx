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2992" windowHeight="8568"/>
  </bookViews>
  <sheets>
    <sheet name="変更履歴" sheetId="1" r:id="rId1"/>
    <sheet name="概要" sheetId="14" r:id="rId2"/>
    <sheet name="帳票レイアウト" sheetId="17" r:id="rId3"/>
    <sheet name="項目一覧" sheetId="18" r:id="rId4"/>
    <sheet name="処理詳細" sheetId="19" r:id="rId5"/>
    <sheet name="確認事項" sheetId="15" r:id="rId6"/>
    <sheet name="別紙_テンプレート" sheetId="16" r:id="rId7"/>
    <sheet name="別紙_印刷レイアウト" sheetId="20" r:id="rId8"/>
    <sheet name="参照" sheetId="12" state="hidden" r:id="rId9"/>
  </sheets>
  <externalReferences>
    <externalReference r:id="rId10"/>
  </externalReferences>
  <definedNames>
    <definedName name="CoreCells">別紙_テンプレート!$A$43:$AC$43</definedName>
    <definedName name="CoreCellsRow">別紙_テンプレート!$39:$73</definedName>
    <definedName name="_xlnm.Print_Area" localSheetId="1">概要!$A$1:$BN$31</definedName>
    <definedName name="_xlnm.Print_Area" localSheetId="3">項目一覧!$A$1:$BX$73</definedName>
    <definedName name="_xlnm.Print_Area" localSheetId="4">処理詳細!$A$1:$BR$1194</definedName>
    <definedName name="_xlnm.Print_Area" localSheetId="2">帳票レイアウト!$A$1:$BN$50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処理詳細!$1:$116</definedName>
    <definedName name="_xlnm.Print_Titles" localSheetId="2">帳票レイアウト!$1:$5</definedName>
    <definedName name="_xlnm.Print_Titles" localSheetId="6">別紙_テンプレート!$1:$2</definedName>
    <definedName name="_xlnm.Print_Titles" localSheetId="0">変更履歴!$1:$5</definedName>
    <definedName name="クレーム区分">別紙_テンプレート!$AB$12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別紙_テンプレート!$D$12</definedName>
    <definedName name="見積日">別紙_テンプレート!$U$14</definedName>
    <definedName name="見積番号">別紙_テンプレート!$A$1</definedName>
    <definedName name="見積有効期限">別紙_テンプレート!$D$16</definedName>
    <definedName name="現場名">別紙_テンプレート!$U$17</definedName>
    <definedName name="合計金額">別紙_テンプレート!$D$10</definedName>
    <definedName name="作成日">別紙_テンプレート!$O$1</definedName>
    <definedName name="支払条件">別紙_テンプレート!$D$15</definedName>
    <definedName name="受注区分">別紙_テンプレート!$AB$11</definedName>
    <definedName name="受注先1">別紙_テンプレート!$U$11</definedName>
    <definedName name="受渡地">別紙_テンプレート!$D$14</definedName>
    <definedName name="消費税額">別紙_テンプレート!$D$9</definedName>
    <definedName name="消費税等">別紙_テンプレート!$A$9</definedName>
    <definedName name="担当者">別紙_テンプレート!$U$12</definedName>
    <definedName name="担当者名">別紙_テンプレート!$K$16</definedName>
    <definedName name="店番">別紙_テンプレート!$G$14</definedName>
    <definedName name="得意先名1">別紙_テンプレート!$A$3</definedName>
    <definedName name="得意先名2">別紙_テンプレート!$A$4</definedName>
    <definedName name="納期">別紙_テンプレート!$D$13</definedName>
    <definedName name="納入先1">別紙_テンプレート!$U$15</definedName>
    <definedName name="納入先住所1">別紙_テンプレート!$U$16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19" l="1"/>
  <c r="BF3" i="19"/>
  <c r="BB3" i="19"/>
  <c r="AX3" i="19"/>
  <c r="L3" i="19"/>
  <c r="B3" i="19"/>
  <c r="B3" i="18" l="1"/>
  <c r="L3" i="18"/>
  <c r="AX3" i="18"/>
  <c r="BB3" i="18"/>
  <c r="BF3" i="18"/>
  <c r="BJ3" i="18"/>
  <c r="BJ3" i="17" l="1"/>
  <c r="BF3" i="17" l="1"/>
  <c r="BB3" i="17"/>
  <c r="AX3" i="17"/>
  <c r="L3" i="17"/>
  <c r="B3" i="17"/>
  <c r="D10" i="16" l="1"/>
  <c r="N21" i="16" l="1"/>
  <c r="N73" i="16" l="1"/>
  <c r="K73" i="16"/>
  <c r="N72" i="16"/>
  <c r="K72" i="16"/>
  <c r="N71" i="16"/>
  <c r="K71" i="16"/>
  <c r="N70" i="16"/>
  <c r="K70" i="16"/>
  <c r="N69" i="16"/>
  <c r="K69" i="16"/>
  <c r="N68" i="16"/>
  <c r="K68" i="16"/>
  <c r="N67" i="16"/>
  <c r="K67" i="16"/>
  <c r="N66" i="16"/>
  <c r="K66" i="16"/>
  <c r="N65" i="16"/>
  <c r="K65" i="16"/>
  <c r="N64" i="16"/>
  <c r="K64" i="16"/>
  <c r="N63" i="16"/>
  <c r="K63" i="16"/>
  <c r="N62" i="16"/>
  <c r="K62" i="16"/>
  <c r="N61" i="16"/>
  <c r="K61" i="16"/>
  <c r="N60" i="16"/>
  <c r="K60" i="16"/>
  <c r="N59" i="16"/>
  <c r="K59" i="16"/>
  <c r="N58" i="16"/>
  <c r="K58" i="16"/>
  <c r="N57" i="16"/>
  <c r="K57" i="16"/>
  <c r="N56" i="16"/>
  <c r="K56" i="16"/>
  <c r="N55" i="16"/>
  <c r="K55" i="16"/>
  <c r="N54" i="16"/>
  <c r="K54" i="16"/>
  <c r="N53" i="16"/>
  <c r="K53" i="16"/>
  <c r="N52" i="16"/>
  <c r="K52" i="16"/>
  <c r="N51" i="16"/>
  <c r="K51" i="16"/>
  <c r="N50" i="16"/>
  <c r="K50" i="16"/>
  <c r="N49" i="16"/>
  <c r="K49" i="16"/>
  <c r="N48" i="16"/>
  <c r="K48" i="16"/>
  <c r="N47" i="16"/>
  <c r="K47" i="16"/>
  <c r="N46" i="16"/>
  <c r="K46" i="16"/>
  <c r="N45" i="16"/>
  <c r="K45" i="16"/>
  <c r="N44" i="16"/>
  <c r="K44" i="16"/>
  <c r="N43" i="16"/>
  <c r="K43" i="16"/>
  <c r="N42" i="16"/>
  <c r="K42" i="16"/>
  <c r="N38" i="16"/>
  <c r="K38" i="16"/>
  <c r="N37" i="16"/>
  <c r="K37" i="16"/>
  <c r="N36" i="16"/>
  <c r="K36" i="16"/>
  <c r="N35" i="16"/>
  <c r="K35" i="16"/>
  <c r="N34" i="16"/>
  <c r="K34" i="16"/>
  <c r="N33" i="16"/>
  <c r="K33" i="16"/>
  <c r="N32" i="16"/>
  <c r="K32" i="16"/>
  <c r="N31" i="16"/>
  <c r="K31" i="16"/>
  <c r="N30" i="16"/>
  <c r="K30" i="16"/>
  <c r="N29" i="16"/>
  <c r="K29" i="16"/>
  <c r="N28" i="16"/>
  <c r="K28" i="16"/>
  <c r="N27" i="16"/>
  <c r="K27" i="16"/>
  <c r="N26" i="16"/>
  <c r="K26" i="16"/>
  <c r="N25" i="16"/>
  <c r="K25" i="16"/>
  <c r="N24" i="16"/>
  <c r="K24" i="16"/>
  <c r="N23" i="16"/>
  <c r="K23" i="16"/>
  <c r="N22" i="16"/>
  <c r="K22" i="16"/>
  <c r="K21" i="16"/>
  <c r="BJ3" i="14"/>
  <c r="BF3" i="14"/>
  <c r="BB3" i="14"/>
  <c r="AX3" i="14"/>
  <c r="L3" i="14"/>
  <c r="B3" i="14"/>
  <c r="X3" i="1"/>
  <c r="X3" i="18" l="1"/>
  <c r="X3" i="19"/>
  <c r="X3" i="17"/>
  <c r="H3" i="1"/>
  <c r="X3" i="14"/>
  <c r="R3" i="1"/>
  <c r="AK3" i="1"/>
  <c r="R3" i="18" l="1"/>
  <c r="R3" i="19"/>
  <c r="AK3" i="18"/>
  <c r="AK3" i="19"/>
  <c r="H3" i="18"/>
  <c r="H3" i="19"/>
  <c r="AK3" i="17"/>
  <c r="R3" i="17"/>
  <c r="H3" i="17"/>
  <c r="AK3" i="14"/>
  <c r="H7" i="14" s="1"/>
  <c r="H3" i="14"/>
  <c r="R3" i="14"/>
</calcChain>
</file>

<file path=xl/sharedStrings.xml><?xml version="1.0" encoding="utf-8"?>
<sst xmlns="http://schemas.openxmlformats.org/spreadsheetml/2006/main" count="2644" uniqueCount="939">
  <si>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</si>
  <si>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</si>
  <si>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</si>
  <si>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</si>
  <si>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</si>
  <si>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</si>
  <si>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</si>
  <si>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</si>
  <si>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</si>
  <si>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</si>
  <si>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</si>
  <si>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</si>
  <si>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</si>
  <si>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</si>
  <si>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</si>
  <si>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</si>
  <si>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</si>
  <si>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</si>
  <si>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</si>
  <si>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</si>
  <si>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</si>
  <si>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</si>
  <si>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</si>
  <si>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</si>
  <si>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</si>
  <si>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</si>
  <si>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</si>
  <si>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</si>
  <si>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</si>
  <si>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</si>
  <si>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</si>
  <si>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</si>
  <si>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</si>
  <si>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</si>
  <si>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</si>
  <si>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</si>
  <si>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</si>
  <si>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</si>
  <si>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</si>
  <si>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</si>
  <si>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</si>
  <si>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</si>
  <si>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</si>
  <si>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</si>
  <si>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</si>
  <si>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</si>
  <si>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</si>
  <si>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</si>
  <si>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</si>
  <si>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</si>
  <si>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</si>
  <si>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　御　　見　　積　　書</t>
  </si>
  <si>
    <t>下記の通り御見積り申し上げます。</t>
  </si>
  <si>
    <t>御見積金額</t>
  </si>
  <si>
    <t>合計</t>
  </si>
  <si>
    <t>〒360-0012</t>
  </si>
  <si>
    <t>埼玉県熊谷市上之2919-5</t>
  </si>
  <si>
    <t>件　　　名　：</t>
    <phoneticPr fontId="16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</si>
  <si>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</si>
  <si>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</si>
  <si>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</si>
  <si>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</si>
  <si>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</si>
  <si>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6"/>
  </si>
  <si>
    <t>見積有効期限：</t>
  </si>
  <si>
    <t>備　　　考　：</t>
  </si>
  <si>
    <t>E-mail:xxxxx@sanwashouken.co.jp</t>
    <phoneticPr fontId="16"/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</si>
  <si>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</si>
  <si>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</si>
  <si>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</si>
  <si>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</si>
  <si>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</si>
  <si>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</si>
  <si>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</si>
  <si>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</si>
  <si>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</si>
  <si>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</si>
  <si>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</si>
  <si>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</si>
  <si>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</si>
  <si>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Template_見積積算書.xlsx</t>
    <rPh sb="9" eb="11">
      <t>ミツモリ</t>
    </rPh>
    <rPh sb="11" eb="14">
      <t>セキサンショ</t>
    </rPh>
    <phoneticPr fontId="2"/>
  </si>
  <si>
    <t>-</t>
    <phoneticPr fontId="2"/>
  </si>
  <si>
    <t>作成日</t>
    <rPh sb="0" eb="3">
      <t>サクセイビ</t>
    </rPh>
    <phoneticPr fontId="1"/>
  </si>
  <si>
    <t>得意先名1</t>
    <rPh sb="0" eb="3">
      <t>トクイサキ</t>
    </rPh>
    <rPh sb="3" eb="4">
      <t>メイ</t>
    </rPh>
    <phoneticPr fontId="1"/>
  </si>
  <si>
    <t>得意先名2</t>
    <rPh sb="0" eb="3">
      <t>トクイサキ</t>
    </rPh>
    <rPh sb="3" eb="4">
      <t>メイ</t>
    </rPh>
    <phoneticPr fontId="1"/>
  </si>
  <si>
    <t>御見積金額</t>
    <rPh sb="0" eb="5">
      <t>オミツモリキンガク</t>
    </rPh>
    <phoneticPr fontId="1"/>
  </si>
  <si>
    <t>消費税等</t>
    <rPh sb="0" eb="3">
      <t>ショウヒゼイ</t>
    </rPh>
    <rPh sb="3" eb="4">
      <t>トウ</t>
    </rPh>
    <phoneticPr fontId="1"/>
  </si>
  <si>
    <t>消費税額</t>
    <rPh sb="0" eb="4">
      <t>ショウヒゼイガク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</si>
  <si>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</si>
  <si>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</si>
  <si>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受渡地</t>
    <rPh sb="0" eb="3">
      <t>ウケワタシチ</t>
    </rPh>
    <phoneticPr fontId="1"/>
  </si>
  <si>
    <t>店番</t>
    <rPh sb="0" eb="2">
      <t>ミセバン</t>
    </rPh>
    <phoneticPr fontId="1"/>
  </si>
  <si>
    <t>御支払条件</t>
    <rPh sb="0" eb="3">
      <t>オシハライ</t>
    </rPh>
    <rPh sb="3" eb="5">
      <t>ジョウケン</t>
    </rPh>
    <phoneticPr fontId="1"/>
  </si>
  <si>
    <t>見積有効期限</t>
    <rPh sb="0" eb="2">
      <t>ミツモリ</t>
    </rPh>
    <rPh sb="2" eb="6">
      <t>ユウコウキゲン</t>
    </rPh>
    <phoneticPr fontId="1"/>
  </si>
  <si>
    <t>売場面積</t>
    <rPh sb="0" eb="4">
      <t>ウリバメンセキ</t>
    </rPh>
    <phoneticPr fontId="1"/>
  </si>
  <si>
    <t>ウエルシア売場面積</t>
    <rPh sb="5" eb="9">
      <t>ウリバメンセキ</t>
    </rPh>
    <phoneticPr fontId="1"/>
  </si>
  <si>
    <t>会社担当者</t>
    <rPh sb="0" eb="2">
      <t>カイシャ</t>
    </rPh>
    <rPh sb="2" eb="5">
      <t>タントウシャ</t>
    </rPh>
    <phoneticPr fontId="1"/>
  </si>
  <si>
    <t>会社担当者E-mail</t>
    <rPh sb="0" eb="5">
      <t>カイシャタントウシャ</t>
    </rPh>
    <phoneticPr fontId="1"/>
  </si>
  <si>
    <t>(単位：円)</t>
    <rPh sb="1" eb="3">
      <t>タンイ</t>
    </rPh>
    <rPh sb="4" eb="5">
      <t>エン</t>
    </rPh>
    <phoneticPr fontId="1"/>
  </si>
  <si>
    <t>項目</t>
    <rPh sb="0" eb="2">
      <t>コウモク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</si>
  <si>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</si>
  <si>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</si>
  <si>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</si>
  <si>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</si>
  <si>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</si>
  <si>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</si>
  <si>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9999年99月99日</t>
    <rPh sb="4" eb="5">
      <t>ネン</t>
    </rPh>
    <rPh sb="7" eb="8">
      <t>ガツ</t>
    </rPh>
    <rPh sb="10" eb="11">
      <t>ニチ</t>
    </rPh>
    <phoneticPr fontId="1"/>
  </si>
  <si>
    <t>空</t>
    <rPh sb="0" eb="1">
      <t>カラ</t>
    </rPh>
    <phoneticPr fontId="1"/>
  </si>
  <si>
    <t>[TD見積シート内訳.仕分番号]のデータ型をVARCHAR(2)に変換し、"0"と結合した後に末尾2文字を取得する</t>
    <rPh sb="3" eb="5">
      <t>ミツモリ</t>
    </rPh>
    <rPh sb="8" eb="10">
      <t>ウチワケ</t>
    </rPh>
    <rPh sb="11" eb="13">
      <t>シワケ</t>
    </rPh>
    <rPh sb="13" eb="15">
      <t>バンゴウ</t>
    </rPh>
    <phoneticPr fontId="1"/>
  </si>
  <si>
    <t>数量_元</t>
    <rPh sb="0" eb="2">
      <t>スウリョウ</t>
    </rPh>
    <rPh sb="3" eb="4">
      <t>モト</t>
    </rPh>
    <phoneticPr fontId="1"/>
  </si>
  <si>
    <t>単価_元</t>
    <rPh sb="0" eb="2">
      <t>タンカ</t>
    </rPh>
    <rPh sb="3" eb="4">
      <t>モト</t>
    </rPh>
    <phoneticPr fontId="1"/>
  </si>
  <si>
    <t>[32.単価_元]が整数の場合は1の位まで表示、小数の場合は小数点第2位まで表示</t>
    <rPh sb="4" eb="6">
      <t>タンカ</t>
    </rPh>
    <rPh sb="7" eb="8">
      <t>モト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</si>
  <si>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</si>
  <si>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</si>
  <si>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【合計】_1</t>
    <rPh sb="1" eb="3">
      <t>ゴウケイ</t>
    </rPh>
    <phoneticPr fontId="1"/>
  </si>
  <si>
    <t>[34.金額]</t>
    <rPh sb="4" eb="6">
      <t>キンガク</t>
    </rPh>
    <phoneticPr fontId="1"/>
  </si>
  <si>
    <t>[34.金額]の合計</t>
    <rPh sb="4" eb="6">
      <t>キンガク</t>
    </rPh>
    <rPh sb="8" eb="10">
      <t>ゴウケイ</t>
    </rPh>
    <phoneticPr fontId="1"/>
  </si>
  <si>
    <t>金額合計</t>
    <rPh sb="0" eb="2">
      <t>キンガク</t>
    </rPh>
    <rPh sb="2" eb="4">
      <t>ゴウケイ</t>
    </rPh>
    <phoneticPr fontId="1"/>
  </si>
  <si>
    <t>品名_1</t>
    <rPh sb="0" eb="2">
      <t>ヒンメイ</t>
    </rPh>
    <phoneticPr fontId="1"/>
  </si>
  <si>
    <t>見積番号_見出し</t>
    <rPh sb="0" eb="4">
      <t>ミツモリバンゴウ</t>
    </rPh>
    <rPh sb="5" eb="7">
      <t>ミダ</t>
    </rPh>
    <phoneticPr fontId="1"/>
  </si>
  <si>
    <t>納期_見出し</t>
    <rPh sb="0" eb="2">
      <t>ノウキ</t>
    </rPh>
    <rPh sb="3" eb="5">
      <t>ミダ</t>
    </rPh>
    <phoneticPr fontId="1"/>
  </si>
  <si>
    <t>1行空けて表示</t>
    <rPh sb="1" eb="3">
      <t>ギョウア</t>
    </rPh>
    <rPh sb="5" eb="7">
      <t>ヒョウジ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</si>
  <si>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</si>
  <si>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消費税等(10%)</t>
    <phoneticPr fontId="2"/>
  </si>
  <si>
    <t>問い合わせ先：[TM担当者.問い合わせ先]</t>
    <rPh sb="10" eb="13">
      <t>タントウシャ</t>
    </rPh>
    <rPh sb="14" eb="15">
      <t>ト</t>
    </rPh>
    <rPh sb="16" eb="17">
      <t>ア</t>
    </rPh>
    <rPh sb="19" eb="20">
      <t>サキ</t>
    </rPh>
    <phoneticPr fontId="1"/>
  </si>
  <si>
    <t>問い合わせ先：蓮見　明</t>
    <phoneticPr fontId="2"/>
  </si>
  <si>
    <t>(単位：円)</t>
    <phoneticPr fontId="2"/>
  </si>
  <si>
    <t>マイナスの値の場合は赤字で表示</t>
    <rPh sb="5" eb="6">
      <t>アタイ</t>
    </rPh>
    <rPh sb="7" eb="9">
      <t>バアイ</t>
    </rPh>
    <rPh sb="10" eb="12">
      <t>アカジ</t>
    </rPh>
    <rPh sb="13" eb="15">
      <t>ヒョウジ</t>
    </rPh>
    <phoneticPr fontId="1"/>
  </si>
  <si>
    <t>通常の見積書とテンプレートは同じでDBから取得するデータ条件のみ異なる認識で合っているか。</t>
    <rPh sb="0" eb="2">
      <t>ツウジョウ</t>
    </rPh>
    <rPh sb="3" eb="6">
      <t>ミツモリショ</t>
    </rPh>
    <rPh sb="14" eb="15">
      <t>オナ</t>
    </rPh>
    <rPh sb="35" eb="37">
      <t>ニンシキ</t>
    </rPh>
    <rPh sb="38" eb="39">
      <t>ア</t>
    </rPh>
    <phoneticPr fontId="2"/>
  </si>
  <si>
    <t>左記のとおり。</t>
    <rPh sb="0" eb="2">
      <t>サキ</t>
    </rPh>
    <phoneticPr fontId="2"/>
  </si>
  <si>
    <t>ページ１</t>
    <phoneticPr fontId="2"/>
  </si>
  <si>
    <t>\9,999-</t>
    <phoneticPr fontId="1"/>
  </si>
  <si>
    <t>\9,999-</t>
    <phoneticPr fontId="1"/>
  </si>
  <si>
    <t>[5.御見積金額],[7.消費税額]</t>
    <rPh sb="3" eb="6">
      <t>オミツモリ</t>
    </rPh>
    <rPh sb="6" eb="8">
      <t>キンガク</t>
    </rPh>
    <rPh sb="13" eb="16">
      <t>ショウヒゼイ</t>
    </rPh>
    <rPh sb="16" eb="17">
      <t>ガク</t>
    </rPh>
    <phoneticPr fontId="1"/>
  </si>
  <si>
    <t>[5.御見積金額]と[7.消費税額]の合計。</t>
    <rPh sb="3" eb="8">
      <t>オミツモリキンガク</t>
    </rPh>
    <rPh sb="13" eb="17">
      <t>ショウヒゼイガク</t>
    </rPh>
    <rPh sb="19" eb="21">
      <t>ゴウケイ</t>
    </rPh>
    <phoneticPr fontId="1"/>
  </si>
  <si>
    <t>\9,999-</t>
    <phoneticPr fontId="1"/>
  </si>
  <si>
    <t>郵便番号</t>
    <rPh sb="0" eb="4">
      <t>ユウビンバンゴウ</t>
    </rPh>
    <phoneticPr fontId="1"/>
  </si>
  <si>
    <t>[TM会社.郵便番号]</t>
    <rPh sb="3" eb="5">
      <t>カイシャ</t>
    </rPh>
    <rPh sb="6" eb="10">
      <t>ユウビンバンゴウ</t>
    </rPh>
    <phoneticPr fontId="1"/>
  </si>
  <si>
    <t>住所</t>
    <rPh sb="0" eb="2">
      <t>ジュウショ</t>
    </rPh>
    <phoneticPr fontId="1"/>
  </si>
  <si>
    <t>[TM会社.住所1]</t>
    <rPh sb="3" eb="5">
      <t>カイシャ</t>
    </rPh>
    <rPh sb="6" eb="8">
      <t>ジュウショ</t>
    </rPh>
    <phoneticPr fontId="1"/>
  </si>
  <si>
    <t>TEL</t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</si>
  <si>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</si>
  <si>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FAX</t>
    <phoneticPr fontId="1"/>
  </si>
  <si>
    <t>[TM会社.FAX番号]</t>
    <rPh sb="3" eb="5">
      <t>カイシャ</t>
    </rPh>
    <rPh sb="9" eb="11">
      <t>バンゴウ</t>
    </rPh>
    <phoneticPr fontId="1"/>
  </si>
  <si>
    <t>cTanto.GetbyID</t>
    <phoneticPr fontId="1"/>
  </si>
  <si>
    <t>"(単位：円)"</t>
    <phoneticPr fontId="1"/>
  </si>
  <si>
    <t>SEC</t>
    <phoneticPr fontId="1"/>
  </si>
  <si>
    <t>W</t>
    <phoneticPr fontId="1"/>
  </si>
  <si>
    <t>D</t>
    <phoneticPr fontId="1"/>
  </si>
  <si>
    <t>H</t>
    <phoneticPr fontId="1"/>
  </si>
  <si>
    <t>9,999 or 9,999.99</t>
    <phoneticPr fontId="1"/>
  </si>
  <si>
    <t>9,999 or 9,999.99</t>
    <phoneticPr fontId="1"/>
  </si>
  <si>
    <t>[TD見積シート内訳.数量]と[TD見積シートM.売上単価]をかけ、[TD見積.売上端数]が0の場合は四捨五入、1の場合は切り上げ、2の場合は切り捨てを行ったものを[売上金額]とする。
[画面.書式区分]が1以外かつ[TD見積シートM.見積区分]が"A","C","S"のいずれにも該当しない場合は[売上金額]を表示。
[画面.書式区分]が1以外かつ[TD見積シートM.見積区分]が"A","C","S"のいずれかに該当する場合は[売上金額]が0であれば何も表示しない、0でなければ[売上金額]を表示。
上記以外の場合は何も表示しない。</t>
    <rPh sb="94" eb="96">
      <t>ガメン</t>
    </rPh>
    <rPh sb="97" eb="99">
      <t>ショシキ</t>
    </rPh>
    <rPh sb="104" eb="106">
      <t>イガイ</t>
    </rPh>
    <rPh sb="111" eb="113">
      <t>ミツモリ</t>
    </rPh>
    <rPh sb="118" eb="122">
      <t>ミツモリクブン</t>
    </rPh>
    <rPh sb="161" eb="163">
      <t>ガメン</t>
    </rPh>
    <rPh sb="164" eb="166">
      <t>ショシキ</t>
    </rPh>
    <rPh sb="171" eb="173">
      <t>イガイ</t>
    </rPh>
    <rPh sb="178" eb="180">
      <t>ミツモリ</t>
    </rPh>
    <rPh sb="185" eb="189">
      <t>ミツモリクブン</t>
    </rPh>
    <rPh sb="208" eb="210">
      <t>ガイトウ</t>
    </rPh>
    <rPh sb="212" eb="214">
      <t>バアイ</t>
    </rPh>
    <rPh sb="216" eb="220">
      <t>ウリアゲキンガク</t>
    </rPh>
    <rPh sb="227" eb="228">
      <t>ナニ</t>
    </rPh>
    <rPh sb="229" eb="231">
      <t>ヒョウジ</t>
    </rPh>
    <rPh sb="242" eb="246">
      <t>ウリアゲキンガク</t>
    </rPh>
    <rPh sb="248" eb="250">
      <t>ヒョウジ</t>
    </rPh>
    <rPh sb="252" eb="256">
      <t>ジョウキイガイ</t>
    </rPh>
    <rPh sb="257" eb="259">
      <t>バアイ</t>
    </rPh>
    <rPh sb="260" eb="261">
      <t>ナニ</t>
    </rPh>
    <rPh sb="262" eb="264">
      <t>ヒョウジ</t>
    </rPh>
    <phoneticPr fontId="1"/>
  </si>
  <si>
    <t>Excel,PDF</t>
    <phoneticPr fontId="2"/>
  </si>
  <si>
    <t>xlsx,pdf</t>
    <phoneticPr fontId="2"/>
  </si>
  <si>
    <t>〇</t>
    <phoneticPr fontId="2"/>
  </si>
  <si>
    <t>回答</t>
    <rPh sb="0" eb="2">
      <t>カイトウ</t>
    </rPh>
    <phoneticPr fontId="2"/>
  </si>
  <si>
    <t>合っている</t>
    <rPh sb="0" eb="1">
      <t>ア</t>
    </rPh>
    <phoneticPr fontId="2"/>
  </si>
  <si>
    <t>select</t>
    <phoneticPr fontId="2"/>
  </si>
  <si>
    <t>from</t>
    <phoneticPr fontId="2"/>
  </si>
  <si>
    <t>join</t>
    <phoneticPr fontId="2"/>
  </si>
  <si>
    <t>where</t>
    <phoneticPr fontId="2"/>
  </si>
  <si>
    <t>SQL1</t>
    <phoneticPr fontId="2"/>
  </si>
  <si>
    <t>見積番号</t>
    <phoneticPr fontId="2"/>
  </si>
  <si>
    <t>TD見積.見積番号</t>
    <phoneticPr fontId="2"/>
  </si>
  <si>
    <t>見積件名</t>
    <phoneticPr fontId="2"/>
  </si>
  <si>
    <t>TD見積.見積件名</t>
    <phoneticPr fontId="2"/>
  </si>
  <si>
    <t>得意先名1</t>
    <phoneticPr fontId="2"/>
  </si>
  <si>
    <t>TD見積.得意先名1</t>
    <phoneticPr fontId="2"/>
  </si>
  <si>
    <t>得意先名2</t>
    <phoneticPr fontId="2"/>
  </si>
  <si>
    <t>TD見積.得意先名2</t>
    <phoneticPr fontId="2"/>
  </si>
  <si>
    <t>現場名</t>
    <phoneticPr fontId="2"/>
  </si>
  <si>
    <t>TD見積.現場名</t>
    <phoneticPr fontId="2"/>
  </si>
  <si>
    <t>納期S</t>
    <phoneticPr fontId="2"/>
  </si>
  <si>
    <t>TD見積.納期S</t>
    <phoneticPr fontId="2"/>
  </si>
  <si>
    <t>納期E</t>
    <phoneticPr fontId="2"/>
  </si>
  <si>
    <t>TD見積.納期E</t>
    <phoneticPr fontId="2"/>
  </si>
  <si>
    <t>原価率</t>
    <phoneticPr fontId="2"/>
  </si>
  <si>
    <t>TD見積.原価率</t>
    <phoneticPr fontId="2"/>
  </si>
  <si>
    <t>担当者CD</t>
    <phoneticPr fontId="2"/>
  </si>
  <si>
    <t>TD見積.担当者CD</t>
    <phoneticPr fontId="2"/>
  </si>
  <si>
    <t>From TD見積</t>
    <phoneticPr fontId="2"/>
  </si>
  <si>
    <t>WHERE 見積番号 = 画面.見積番号</t>
    <rPh sb="13" eb="15">
      <t>ガメン</t>
    </rPh>
    <rPh sb="16" eb="20">
      <t>ミツモリバンゴウ</t>
    </rPh>
    <phoneticPr fontId="2"/>
  </si>
  <si>
    <t>SQL2</t>
    <phoneticPr fontId="2"/>
  </si>
  <si>
    <t>CreateDate</t>
    <phoneticPr fontId="2"/>
  </si>
  <si>
    <t>TW見積出力履歴.CreateDate</t>
    <phoneticPr fontId="2"/>
  </si>
  <si>
    <t>PCName</t>
    <phoneticPr fontId="2"/>
  </si>
  <si>
    <t>TW見積出力履歴.PCName</t>
    <phoneticPr fontId="2"/>
  </si>
  <si>
    <t>From TW見積出力履歴</t>
    <phoneticPr fontId="2"/>
  </si>
  <si>
    <t>WHERE ListName = 見積書</t>
    <phoneticPr fontId="2"/>
  </si>
  <si>
    <t>AND Number = 画面.見積番号</t>
    <phoneticPr fontId="2"/>
  </si>
  <si>
    <t>SQL3</t>
    <phoneticPr fontId="2"/>
  </si>
  <si>
    <t>@decimalPoint</t>
    <phoneticPr fontId="2"/>
  </si>
  <si>
    <t>CASE WHEN COUNTRY_CODE = 'CN' THEN 2 ELSE 0 END</t>
    <phoneticPr fontId="2"/>
  </si>
  <si>
    <t>FROM AppCountry</t>
    <phoneticPr fontId="2"/>
  </si>
  <si>
    <t>SQL5</t>
    <phoneticPr fontId="2"/>
  </si>
  <si>
    <t>見積番号</t>
  </si>
  <si>
    <t>見積出力用データ作成</t>
    <phoneticPr fontId="2"/>
  </si>
  <si>
    <t>SELECT * INTO #WK見積明細</t>
    <phoneticPr fontId="2"/>
  </si>
  <si>
    <t>仕分番号</t>
  </si>
  <si>
    <t>仕分名称</t>
  </si>
  <si>
    <t>行番号</t>
  </si>
  <si>
    <t>SP区分</t>
  </si>
  <si>
    <t>PC区分</t>
  </si>
  <si>
    <t>製品NO</t>
  </si>
  <si>
    <t>仕様NO</t>
  </si>
  <si>
    <t>漢字名称</t>
  </si>
  <si>
    <t>W</t>
  </si>
  <si>
    <t>D</t>
  </si>
  <si>
    <t>H</t>
  </si>
  <si>
    <t>D1</t>
  </si>
  <si>
    <t>D2</t>
  </si>
  <si>
    <t>H1</t>
  </si>
  <si>
    <t>H2</t>
  </si>
  <si>
    <t>単位名</t>
  </si>
  <si>
    <t>売上単価</t>
  </si>
  <si>
    <t>売上金額</t>
  </si>
  <si>
    <t>仕入先CD</t>
  </si>
  <si>
    <t>仕入先略称</t>
  </si>
  <si>
    <t>仕入単価</t>
  </si>
  <si>
    <t>仕入金額</t>
  </si>
  <si>
    <t>原価率</t>
  </si>
  <si>
    <t>粗利益</t>
  </si>
  <si>
    <t>配送先CD</t>
  </si>
  <si>
    <t>配送先略称</t>
  </si>
  <si>
    <t>社内在庫数</t>
  </si>
  <si>
    <t>客先在庫数</t>
  </si>
  <si>
    <t>転用数</t>
  </si>
  <si>
    <t>発注数</t>
  </si>
  <si>
    <t>製品区分</t>
  </si>
  <si>
    <t>見積区分</t>
  </si>
  <si>
    <t>FROM (</t>
    <phoneticPr fontId="2"/>
  </si>
  <si>
    <t>SQL6</t>
    <phoneticPr fontId="2"/>
  </si>
  <si>
    <t>UNION ALL</t>
    <phoneticPr fontId="2"/>
  </si>
  <si>
    <t>SQL7</t>
    <phoneticPr fontId="2"/>
  </si>
  <si>
    <t>SQL11</t>
    <phoneticPr fontId="2"/>
  </si>
  <si>
    <t>SQL15</t>
    <phoneticPr fontId="2"/>
  </si>
  <si>
    <t>SQL16</t>
    <phoneticPr fontId="2"/>
  </si>
  <si>
    <t>SQL20</t>
    <phoneticPr fontId="2"/>
  </si>
  <si>
    <t>SQL24</t>
    <phoneticPr fontId="2"/>
  </si>
  <si>
    <t>) AS 見積明細</t>
    <phoneticPr fontId="2"/>
  </si>
  <si>
    <t>番号</t>
    <rPh sb="0" eb="2">
      <t>バンゴウ</t>
    </rPh>
    <phoneticPr fontId="2"/>
  </si>
  <si>
    <t>SQL4</t>
    <phoneticPr fontId="2"/>
  </si>
  <si>
    <t>TD見積.見積番号</t>
  </si>
  <si>
    <t>仕分番号</t>
    <phoneticPr fontId="2"/>
  </si>
  <si>
    <t>RIGHT('0'+CONVERT(VARCHAR(2),TD見積シート内訳.仕分番号),2) AS 仕分番号</t>
  </si>
  <si>
    <t>コメントでないもの</t>
    <phoneticPr fontId="2"/>
  </si>
  <si>
    <t>仕分名称</t>
    <phoneticPr fontId="2"/>
  </si>
  <si>
    <t>ISNULL(TD見積シート内訳名称.名称,'') AS 仕分名称</t>
  </si>
  <si>
    <t>行番号</t>
    <phoneticPr fontId="2"/>
  </si>
  <si>
    <t>TD見積シートM.行番号</t>
  </si>
  <si>
    <t>SP区分</t>
    <phoneticPr fontId="2"/>
  </si>
  <si>
    <t>TD見積シートM.SP区分</t>
  </si>
  <si>
    <t>PC区分</t>
    <phoneticPr fontId="2"/>
  </si>
  <si>
    <t>TD見積シートM.PC区分</t>
  </si>
  <si>
    <t>製品NO</t>
    <phoneticPr fontId="2"/>
  </si>
  <si>
    <t>TD見積シートM.製品NO</t>
  </si>
  <si>
    <t>仕様NO</t>
    <phoneticPr fontId="2"/>
  </si>
  <si>
    <t>TD見積シートM.仕様NO</t>
  </si>
  <si>
    <t>漢字名称</t>
    <phoneticPr fontId="2"/>
  </si>
  <si>
    <t>TD見積シートM.漢字名称</t>
  </si>
  <si>
    <t>W</t>
    <phoneticPr fontId="2"/>
  </si>
  <si>
    <t>TD見積シートM.W</t>
  </si>
  <si>
    <t>D</t>
    <phoneticPr fontId="2"/>
  </si>
  <si>
    <t>TD見積シートM.D</t>
  </si>
  <si>
    <t>H</t>
    <phoneticPr fontId="2"/>
  </si>
  <si>
    <t>TD見積シートM.H</t>
  </si>
  <si>
    <t>D1</t>
    <phoneticPr fontId="2"/>
  </si>
  <si>
    <t>TD見積シートM.D1</t>
  </si>
  <si>
    <t>D2</t>
    <phoneticPr fontId="2"/>
  </si>
  <si>
    <t>TD見積シートM.D2</t>
  </si>
  <si>
    <t>H1</t>
    <phoneticPr fontId="2"/>
  </si>
  <si>
    <t>TD見積シートM.H1</t>
  </si>
  <si>
    <t>H2</t>
    <phoneticPr fontId="2"/>
  </si>
  <si>
    <t>TD見積シートM.H2</t>
  </si>
  <si>
    <t>数量</t>
    <phoneticPr fontId="2"/>
  </si>
  <si>
    <t>TD見積シート内訳.数量</t>
  </si>
  <si>
    <t>単位名</t>
    <phoneticPr fontId="2"/>
  </si>
  <si>
    <t>TD見積シートM.単位名</t>
  </si>
  <si>
    <t>売上単価</t>
    <phoneticPr fontId="2"/>
  </si>
  <si>
    <t>TD見積シートM.売上単価</t>
  </si>
  <si>
    <t>売上金額</t>
    <phoneticPr fontId="2"/>
  </si>
  <si>
    <t>TD見積.売上端数が0の場合TD見積シート内訳.数量 * TD見積シートM.売上単価の結果をSQL3.@decimalPointの桁数に四捨五入、1の場合切り上げ、2の場合切り捨て</t>
    <phoneticPr fontId="2"/>
  </si>
  <si>
    <t>dbo.fn_CutFraction(TD見積.売上端数,TD見積シート内訳.数量 * TD見積シートM.売上単価,@decimalPoint) AS 売上金額</t>
    <phoneticPr fontId="2"/>
  </si>
  <si>
    <t>仕入先CD</t>
    <phoneticPr fontId="2"/>
  </si>
  <si>
    <t>TD見積シートM.仕入先CD</t>
  </si>
  <si>
    <t>仕入先略称</t>
    <phoneticPr fontId="2"/>
  </si>
  <si>
    <t>TD見積シートM.仕入先名 AS 仕入先略称</t>
  </si>
  <si>
    <t>仕入単価</t>
    <phoneticPr fontId="2"/>
  </si>
  <si>
    <t>TD見積シートM.仕入単価</t>
  </si>
  <si>
    <t>仕入金額</t>
    <phoneticPr fontId="2"/>
  </si>
  <si>
    <t>TD見積.売上端数が0の場合TD見積シート内訳.数量 * TD見積シートM.仕入単価の結果をSQL3.@decimalPointの桁数に四捨五入、1の場合切り上げ、2の場合切り捨て</t>
    <rPh sb="38" eb="40">
      <t>シイレ</t>
    </rPh>
    <phoneticPr fontId="2"/>
  </si>
  <si>
    <t>dbo.fn_CutFraction(TD見積.売上端数,TD見積シート内訳.数量 * TD見積シートM.仕入単価,@decimalPoint) AS 仕入金額</t>
    <phoneticPr fontId="2"/>
  </si>
  <si>
    <t>0 AS 原価率</t>
    <phoneticPr fontId="2"/>
  </si>
  <si>
    <t>粗利益</t>
    <phoneticPr fontId="2"/>
  </si>
  <si>
    <t>0 AS 粗利益</t>
    <phoneticPr fontId="2"/>
  </si>
  <si>
    <t>配送先CD</t>
    <phoneticPr fontId="2"/>
  </si>
  <si>
    <t>TD見積シートM.配送先CD</t>
  </si>
  <si>
    <t>配送先略称</t>
    <phoneticPr fontId="2"/>
  </si>
  <si>
    <t>TD見積シートM.配送先名 AS 配送先略称</t>
    <phoneticPr fontId="2"/>
  </si>
  <si>
    <t>社内在庫数</t>
    <phoneticPr fontId="2"/>
  </si>
  <si>
    <t>TD見積シートM.社内在庫数</t>
  </si>
  <si>
    <t>客先在庫数</t>
    <phoneticPr fontId="2"/>
  </si>
  <si>
    <t>TD見積シートM.客先在庫数</t>
  </si>
  <si>
    <t>転用数</t>
    <phoneticPr fontId="2"/>
  </si>
  <si>
    <t>TD見積シートM.転用数</t>
  </si>
  <si>
    <t>発注数</t>
    <phoneticPr fontId="2"/>
  </si>
  <si>
    <t>TD見積シートM.発注数</t>
  </si>
  <si>
    <t>製品区分</t>
    <phoneticPr fontId="2"/>
  </si>
  <si>
    <t>TD見積シートM.製品区分</t>
  </si>
  <si>
    <t>見積区分</t>
    <phoneticPr fontId="2"/>
  </si>
  <si>
    <t>TD見積シートM.見積区分</t>
  </si>
  <si>
    <t>FROM  TD見積 AS MH</t>
    <phoneticPr fontId="2"/>
  </si>
  <si>
    <t>INNER JOIN TD見積シートM AS MSM ON MSM.見積番号 = MH.見積番号</t>
    <phoneticPr fontId="2"/>
  </si>
  <si>
    <t>INNER JOIN TD見積シート内訳 AS MSU ON MSM.見積明細連番 = MSU.見積明細連番</t>
    <phoneticPr fontId="2"/>
  </si>
  <si>
    <t>LEFT JOIN TD見積シート内訳名称 MSUN ON MSU.見積番号 = MSUN.見積番号</t>
    <phoneticPr fontId="2"/>
  </si>
  <si>
    <t>AND MSU.仕分番号 = MSUN.仕分番号</t>
    <phoneticPr fontId="2"/>
  </si>
  <si>
    <t>WHERE MH.見積番号 = 画面.見積番号</t>
    <rPh sb="16" eb="18">
      <t>ガメン</t>
    </rPh>
    <phoneticPr fontId="2"/>
  </si>
  <si>
    <t>AND  MSM.見積区分 IN ('','1','2','3','4','5','6','7','8','9')</t>
    <phoneticPr fontId="2"/>
  </si>
  <si>
    <t>AND  MSU.数量 &lt;&gt; 0</t>
    <phoneticPr fontId="2"/>
  </si>
  <si>
    <t>コメントAのもの</t>
    <phoneticPr fontId="2"/>
  </si>
  <si>
    <t>AND  MSM.見積区分 = 'A'</t>
    <phoneticPr fontId="2"/>
  </si>
  <si>
    <t>AND  (</t>
    <phoneticPr fontId="2"/>
  </si>
  <si>
    <t>SQL8</t>
    <phoneticPr fontId="2"/>
  </si>
  <si>
    <t>) &lt;&gt; 0</t>
    <phoneticPr fontId="2"/>
  </si>
  <si>
    <t>SQL9</t>
    <phoneticPr fontId="2"/>
  </si>
  <si>
    <t>SQL10</t>
    <phoneticPr fontId="2"/>
  </si>
  <si>
    <t>TOP 1 TD見積シートM.数量</t>
    <phoneticPr fontId="2"/>
  </si>
  <si>
    <t>FROM TD見積シートM AS MSM1</t>
    <phoneticPr fontId="2"/>
  </si>
  <si>
    <t>INNER JOIN TD見積シート内訳 AS MSU1 ON MSM1.見積明細連番 = MSU1.見積明細連番</t>
    <phoneticPr fontId="2"/>
  </si>
  <si>
    <t>WHERE MSM1.見積番号 = MSM.見積番号</t>
    <phoneticPr fontId="2"/>
  </si>
  <si>
    <t>AND MSM1.見積区分 IN ('','1','2','3','4','5','6','7','8','9')</t>
    <phoneticPr fontId="2"/>
  </si>
  <si>
    <t>AND  MSU1.仕分番号 = MSU.仕分番号</t>
    <phoneticPr fontId="2"/>
  </si>
  <si>
    <t>AND  MSM1.行番号 &gt;= MSM.行番号</t>
    <phoneticPr fontId="2"/>
  </si>
  <si>
    <t>order by</t>
    <phoneticPr fontId="2"/>
  </si>
  <si>
    <t>ORDER BY MSM1.行番号 ASC 昇順でソート</t>
    <rPh sb="22" eb="24">
      <t>ショウジュン</t>
    </rPh>
    <phoneticPr fontId="2"/>
  </si>
  <si>
    <t>コメントCのもの</t>
    <phoneticPr fontId="2"/>
  </si>
  <si>
    <t>AND  (MSM.見積区分 = 'C'</t>
    <phoneticPr fontId="2"/>
  </si>
  <si>
    <t>OR MSM.見積区分 = 'S')</t>
    <phoneticPr fontId="2"/>
  </si>
  <si>
    <t>SQL12</t>
    <phoneticPr fontId="2"/>
  </si>
  <si>
    <t>SQL13</t>
    <phoneticPr fontId="2"/>
  </si>
  <si>
    <t>SQL14</t>
    <phoneticPr fontId="2"/>
  </si>
  <si>
    <t>AND  MSM1.行番号 &lt;= MSM.行番号</t>
    <phoneticPr fontId="2"/>
  </si>
  <si>
    <t>ORDER BY MSM1.行番号 DESC　降順でソート</t>
    <rPh sb="23" eb="25">
      <t>コウジュン</t>
    </rPh>
    <phoneticPr fontId="2"/>
  </si>
  <si>
    <t>'Z0' AS 仕分番号</t>
    <phoneticPr fontId="2"/>
  </si>
  <si>
    <t>'客先在庫'AS 仕分名称</t>
    <phoneticPr fontId="2"/>
  </si>
  <si>
    <t>客先在庫・転用数があるもの</t>
    <phoneticPr fontId="2"/>
  </si>
  <si>
    <t>(MSM.客先在庫数+MSM.転用数)*-1 AS 客在数</t>
    <phoneticPr fontId="2"/>
  </si>
  <si>
    <t>客在数</t>
    <phoneticPr fontId="2"/>
  </si>
  <si>
    <t>dbo.fn_CutFraction(MH.売上端数,(MSM.客先在庫数+MSM.転用数) * MSM.売上単価*-1,@decimalPoint) AS 売上金額</t>
    <phoneticPr fontId="2"/>
  </si>
  <si>
    <t>TD見積.売上端数が0の場合(MSM.客先在庫数+MSM.転用数) * MSM.売上単価*-1の結果をSQL3.@decimalPointの桁数に四捨五入、1の場合切り上げ、2の場合切り捨て</t>
    <phoneticPr fontId="2"/>
  </si>
  <si>
    <t>dbo.fn_CutFraction(MH.売上端数,(MSM.客先在庫数+MSM.転用数) * MSM.仕入単価*-1,@decimalPoint) AS 仕入金額</t>
    <phoneticPr fontId="2"/>
  </si>
  <si>
    <t>TD見積.売上端数が0の場合(MSM.客先在庫数+MSM.転用数) * MSM.仕入単価*-1の結果をSQL3.@decimalPointの桁数に四捨五入、1の場合切り上げ、2の場合切り捨て</t>
    <phoneticPr fontId="2"/>
  </si>
  <si>
    <t>AND  (客先在庫数 &gt; 0</t>
    <phoneticPr fontId="2"/>
  </si>
  <si>
    <t>OR  転用数 &gt; 0)</t>
    <phoneticPr fontId="2"/>
  </si>
  <si>
    <t>) &gt; 0</t>
    <phoneticPr fontId="2"/>
  </si>
  <si>
    <t>OR  (</t>
    <phoneticPr fontId="2"/>
  </si>
  <si>
    <t>TOP 1 TD見積シートM.客先在庫数</t>
    <phoneticPr fontId="2"/>
  </si>
  <si>
    <t>TOP 1 TD見積シートM.転用数</t>
    <phoneticPr fontId="2"/>
  </si>
  <si>
    <t>TD見積シートM.売上単価</t>
    <phoneticPr fontId="2"/>
  </si>
  <si>
    <t>TD見積シートM.売上金額</t>
    <rPh sb="10" eb="12">
      <t>キンガク</t>
    </rPh>
    <phoneticPr fontId="2"/>
  </si>
  <si>
    <t>TD見積シートM.仕入金額</t>
    <rPh sb="9" eb="11">
      <t>シイレ</t>
    </rPh>
    <phoneticPr fontId="2"/>
  </si>
  <si>
    <t>TD見積シートM.仕入単価</t>
    <phoneticPr fontId="2"/>
  </si>
  <si>
    <t>TD見積シートM.仕入金額</t>
    <rPh sb="10" eb="12">
      <t>キンガク</t>
    </rPh>
    <phoneticPr fontId="2"/>
  </si>
  <si>
    <t>ORDER BY MSM1.行番号 DESC 昇順でソート</t>
    <rPh sb="23" eb="25">
      <t>ショウジュン</t>
    </rPh>
    <phoneticPr fontId="2"/>
  </si>
  <si>
    <t>SQL50</t>
    <phoneticPr fontId="2"/>
  </si>
  <si>
    <t>出精値引</t>
    <phoneticPr fontId="2"/>
  </si>
  <si>
    <t>'ZA' AS 仕分番号</t>
    <phoneticPr fontId="2"/>
  </si>
  <si>
    <t>'出精値引' AS 仕分名称</t>
    <phoneticPr fontId="2"/>
  </si>
  <si>
    <t>1 AS 行番号</t>
    <phoneticPr fontId="2"/>
  </si>
  <si>
    <t>'' AS SP区分</t>
    <phoneticPr fontId="2"/>
  </si>
  <si>
    <t>'' AS PC区分</t>
    <phoneticPr fontId="2"/>
  </si>
  <si>
    <t>'' AS 製品NO</t>
    <phoneticPr fontId="2"/>
  </si>
  <si>
    <t>'' AS 仕様NO</t>
    <phoneticPr fontId="2"/>
  </si>
  <si>
    <t>'出精値引' AS 漢字名称</t>
    <phoneticPr fontId="2"/>
  </si>
  <si>
    <t>0 AS W</t>
    <phoneticPr fontId="2"/>
  </si>
  <si>
    <t>0 AS D</t>
    <phoneticPr fontId="2"/>
  </si>
  <si>
    <t>0 AS H</t>
  </si>
  <si>
    <t>0 AS D1</t>
  </si>
  <si>
    <t>0 AS D2</t>
  </si>
  <si>
    <t>0 AS H1</t>
  </si>
  <si>
    <t>0 AS H2</t>
  </si>
  <si>
    <t>見積数量</t>
    <phoneticPr fontId="2"/>
  </si>
  <si>
    <t>0 AS 数量</t>
    <phoneticPr fontId="2"/>
  </si>
  <si>
    <t>'' AS 単位名</t>
    <phoneticPr fontId="2"/>
  </si>
  <si>
    <t>0 AS 売上単価</t>
    <phoneticPr fontId="2"/>
  </si>
  <si>
    <t>TD見積.出精値引 AS 売上金額</t>
    <phoneticPr fontId="2"/>
  </si>
  <si>
    <t>'' AS 仕入先CD</t>
    <phoneticPr fontId="2"/>
  </si>
  <si>
    <t>'' AS 仕入略称</t>
  </si>
  <si>
    <t>0 AS 仕入単価</t>
  </si>
  <si>
    <t>0 AS 仕入金額</t>
  </si>
  <si>
    <t>0 AS 原価率</t>
  </si>
  <si>
    <t>0 AS 粗利益</t>
  </si>
  <si>
    <t>'' AS 配送先CD</t>
  </si>
  <si>
    <t>'' AS 配送略称</t>
  </si>
  <si>
    <t>0 AS 社内在庫数</t>
  </si>
  <si>
    <t>0 AS 客先在庫数</t>
  </si>
  <si>
    <t>0 AS 転用数</t>
  </si>
  <si>
    <t>0 AS 発注数</t>
  </si>
  <si>
    <t>NULL AS 製品区分</t>
  </si>
  <si>
    <t>'' AS 見積区分</t>
  </si>
  <si>
    <t>AND  出精値引 &lt;&gt; 0</t>
    <phoneticPr fontId="2"/>
  </si>
  <si>
    <t>SQL17</t>
    <phoneticPr fontId="2"/>
  </si>
  <si>
    <t>SQL51</t>
    <phoneticPr fontId="2"/>
  </si>
  <si>
    <t>*</t>
    <phoneticPr fontId="2"/>
  </si>
  <si>
    <t>見積区分での集計処理（1～9）</t>
    <phoneticPr fontId="2"/>
  </si>
  <si>
    <t>SELECT * INTO #WK見積明細集計</t>
    <phoneticPr fontId="2"/>
  </si>
  <si>
    <t>SQL52</t>
    <phoneticPr fontId="2"/>
  </si>
  <si>
    <t>) AS A</t>
    <phoneticPr fontId="2"/>
  </si>
  <si>
    <t>見積数量</t>
  </si>
  <si>
    <t>SQL53</t>
    <phoneticPr fontId="2"/>
  </si>
  <si>
    <t>INNER JOIN (</t>
    <phoneticPr fontId="2"/>
  </si>
  <si>
    <t>SQL54</t>
    <phoneticPr fontId="2"/>
  </si>
  <si>
    <t>) AS B</t>
    <phoneticPr fontId="2"/>
  </si>
  <si>
    <t>ON A.見積番号 = B.見積番号</t>
    <phoneticPr fontId="2"/>
  </si>
  <si>
    <t>AND A.仕分番号 = B.仕分番号</t>
    <phoneticPr fontId="2"/>
  </si>
  <si>
    <t>AND A.見積区分 = B.見積区分</t>
    <phoneticPr fontId="2"/>
  </si>
  <si>
    <t>AND A.行番号 = B.行番号</t>
    <phoneticPr fontId="2"/>
  </si>
  <si>
    <t>[#WK見積明細].見積番号</t>
    <phoneticPr fontId="2"/>
  </si>
  <si>
    <t>[#WK見積明細].仕分番号</t>
    <phoneticPr fontId="2"/>
  </si>
  <si>
    <t>[#WK見積明細].見積区分</t>
    <phoneticPr fontId="2"/>
  </si>
  <si>
    <t>MIN([#WK見積明細].行番号) AS 行番号</t>
    <phoneticPr fontId="2"/>
  </si>
  <si>
    <t>1/*SUM([#WK見積明細].数量)*/ AS 数量</t>
    <phoneticPr fontId="2"/>
  </si>
  <si>
    <t>SUM([#WK見積明細].仕入金額) AS 仕入金額</t>
    <phoneticPr fontId="2"/>
  </si>
  <si>
    <t>SUM([#WK見積明細].売上金額) AS 売上金額</t>
    <phoneticPr fontId="2"/>
  </si>
  <si>
    <t>FROM  [#WK見積明細]</t>
    <phoneticPr fontId="2"/>
  </si>
  <si>
    <t>WHERE          NOT  見積区分 IN ('','A', 'C', 'S')</t>
    <phoneticPr fontId="2"/>
  </si>
  <si>
    <t>group by</t>
    <phoneticPr fontId="2"/>
  </si>
  <si>
    <t>GROUP BY     見積番号, 仕分番号, 見積区分</t>
    <phoneticPr fontId="2"/>
  </si>
  <si>
    <t>[見積番号]</t>
    <phoneticPr fontId="2"/>
  </si>
  <si>
    <t>[#WK見積明細].[見積番号]</t>
    <phoneticPr fontId="2"/>
  </si>
  <si>
    <t>[仕分番号]</t>
    <phoneticPr fontId="2"/>
  </si>
  <si>
    <t>[#WK見積明細].[仕分番号]</t>
    <phoneticPr fontId="2"/>
  </si>
  <si>
    <t>[仕分名称]</t>
    <phoneticPr fontId="2"/>
  </si>
  <si>
    <t>[#WK見積明細].[仕分名称]</t>
    <phoneticPr fontId="2"/>
  </si>
  <si>
    <t>[行番号]</t>
    <phoneticPr fontId="2"/>
  </si>
  <si>
    <t>[#WK見積明細].[行番号]</t>
    <phoneticPr fontId="2"/>
  </si>
  <si>
    <t>[SP区分]</t>
    <phoneticPr fontId="2"/>
  </si>
  <si>
    <t>[#WK見積明細].[SP区分]</t>
    <phoneticPr fontId="2"/>
  </si>
  <si>
    <t>[PC区分]</t>
    <phoneticPr fontId="2"/>
  </si>
  <si>
    <t>[#WK見積明細].[PC区分]</t>
    <phoneticPr fontId="2"/>
  </si>
  <si>
    <t>[製品NO]</t>
    <phoneticPr fontId="2"/>
  </si>
  <si>
    <t>[#WK見積明細].[製品NO]</t>
    <phoneticPr fontId="2"/>
  </si>
  <si>
    <t>[仕様NO]</t>
    <phoneticPr fontId="2"/>
  </si>
  <si>
    <t>[#WK見積明細].[仕様NO]</t>
    <phoneticPr fontId="2"/>
  </si>
  <si>
    <t>[漢字名称]</t>
    <phoneticPr fontId="2"/>
  </si>
  <si>
    <t>[#WK見積明細].[漢字名称]</t>
    <phoneticPr fontId="2"/>
  </si>
  <si>
    <t>[W]</t>
    <phoneticPr fontId="2"/>
  </si>
  <si>
    <t>[#WK見積明細].[W]</t>
    <phoneticPr fontId="2"/>
  </si>
  <si>
    <t>[D]</t>
    <phoneticPr fontId="2"/>
  </si>
  <si>
    <t>[#WK見積明細].[D]</t>
    <phoneticPr fontId="2"/>
  </si>
  <si>
    <t>[H]</t>
    <phoneticPr fontId="2"/>
  </si>
  <si>
    <t>[#WK見積明細].[H]</t>
    <phoneticPr fontId="2"/>
  </si>
  <si>
    <t>[D1]</t>
    <phoneticPr fontId="2"/>
  </si>
  <si>
    <t>[#WK見積明細].[D1]</t>
    <phoneticPr fontId="2"/>
  </si>
  <si>
    <t>[D2]</t>
    <phoneticPr fontId="2"/>
  </si>
  <si>
    <t>[#WK見積明細].[D2]</t>
    <phoneticPr fontId="2"/>
  </si>
  <si>
    <t>[H1]</t>
    <phoneticPr fontId="2"/>
  </si>
  <si>
    <t>[#WK見積明細].[H1]</t>
    <phoneticPr fontId="2"/>
  </si>
  <si>
    <t>[H2]</t>
    <phoneticPr fontId="2"/>
  </si>
  <si>
    <t>[#WK見積明細].[H2]</t>
    <phoneticPr fontId="2"/>
  </si>
  <si>
    <t>[仕入先CD]</t>
    <phoneticPr fontId="2"/>
  </si>
  <si>
    <t>' ' AS [仕入先CD]</t>
    <phoneticPr fontId="2"/>
  </si>
  <si>
    <t>[仕入先略称]</t>
    <phoneticPr fontId="2"/>
  </si>
  <si>
    <t>' ' AS [仕入先略称]</t>
    <phoneticPr fontId="2"/>
  </si>
  <si>
    <t>[原価率]</t>
    <phoneticPr fontId="2"/>
  </si>
  <si>
    <t>[#WK見積明細].[原価率]</t>
    <phoneticPr fontId="2"/>
  </si>
  <si>
    <t>[粗利益]</t>
    <phoneticPr fontId="2"/>
  </si>
  <si>
    <t>[#WK見積明細].[粗利益]</t>
    <phoneticPr fontId="2"/>
  </si>
  <si>
    <t>[配送先CD]</t>
    <phoneticPr fontId="2"/>
  </si>
  <si>
    <t>' ' AS [配送先CD]</t>
    <phoneticPr fontId="2"/>
  </si>
  <si>
    <t>[配送先略称]</t>
    <phoneticPr fontId="2"/>
  </si>
  <si>
    <t>' ' AS [配送先略称]</t>
    <phoneticPr fontId="2"/>
  </si>
  <si>
    <t>[社内在庫数]</t>
    <phoneticPr fontId="2"/>
  </si>
  <si>
    <t>[#WK見積明細].[社内在庫数]</t>
    <phoneticPr fontId="2"/>
  </si>
  <si>
    <t>[客先在庫数]</t>
    <phoneticPr fontId="2"/>
  </si>
  <si>
    <t>[#WK見積明細].[客先在庫数]</t>
    <phoneticPr fontId="2"/>
  </si>
  <si>
    <t>[転用数]</t>
    <phoneticPr fontId="2"/>
  </si>
  <si>
    <t>[#WK見積明細].[転用数]</t>
    <phoneticPr fontId="2"/>
  </si>
  <si>
    <t>[発注数]</t>
    <phoneticPr fontId="2"/>
  </si>
  <si>
    <t>[#WK見積明細].[発注数]</t>
    <phoneticPr fontId="2"/>
  </si>
  <si>
    <t>[製品区分]</t>
    <phoneticPr fontId="2"/>
  </si>
  <si>
    <t>[#WK見積明細].[製品区分]</t>
    <phoneticPr fontId="2"/>
  </si>
  <si>
    <t>[見積区分]</t>
    <phoneticPr fontId="2"/>
  </si>
  <si>
    <t>[#WK見積明細].[見積区分]</t>
    <phoneticPr fontId="2"/>
  </si>
  <si>
    <t>FROM [#WK見積明細]</t>
    <phoneticPr fontId="2"/>
  </si>
  <si>
    <t>SQL55</t>
    <phoneticPr fontId="2"/>
  </si>
  <si>
    <t>delete</t>
    <phoneticPr fontId="2"/>
  </si>
  <si>
    <t>DELETE FROM #WK見積明細</t>
    <phoneticPr fontId="2"/>
  </si>
  <si>
    <t>見積明細からの集計（1～9）対象の削除</t>
    <phoneticPr fontId="2"/>
  </si>
  <si>
    <t>WHERE  見積区分 NOT IN ('','A', 'C', 'S')</t>
    <phoneticPr fontId="2"/>
  </si>
  <si>
    <t>SQL56</t>
    <phoneticPr fontId="2"/>
  </si>
  <si>
    <t>insert</t>
    <phoneticPr fontId="2"/>
  </si>
  <si>
    <t>INSERT INTO #WK見積明細</t>
    <phoneticPr fontId="2"/>
  </si>
  <si>
    <t>見積明細へ集計（1～9）結果の追加</t>
    <phoneticPr fontId="2"/>
  </si>
  <si>
    <t>FROM #WK見積明細集計</t>
    <phoneticPr fontId="2"/>
  </si>
  <si>
    <t>SQL57</t>
    <phoneticPr fontId="2"/>
  </si>
  <si>
    <t>見積ヘッダー部出力</t>
    <phoneticPr fontId="2"/>
  </si>
  <si>
    <t>見積日付</t>
    <rPh sb="0" eb="4">
      <t>ミツモリヒヅケ</t>
    </rPh>
    <phoneticPr fontId="2"/>
  </si>
  <si>
    <t>TD見積.見積日付</t>
    <rPh sb="5" eb="9">
      <t>ミツモリヒヅケ</t>
    </rPh>
    <phoneticPr fontId="2"/>
  </si>
  <si>
    <t>担当者CD</t>
    <rPh sb="0" eb="3">
      <t>タントウシャ</t>
    </rPh>
    <phoneticPr fontId="2"/>
  </si>
  <si>
    <t>TD見積.担当者CD</t>
    <rPh sb="5" eb="8">
      <t>タントウシャ</t>
    </rPh>
    <phoneticPr fontId="2"/>
  </si>
  <si>
    <t>見積件名</t>
    <rPh sb="0" eb="4">
      <t>ミツモリケンメイ</t>
    </rPh>
    <phoneticPr fontId="2"/>
  </si>
  <si>
    <t>TD見積.見積件名</t>
    <rPh sb="5" eb="9">
      <t>ミツモリケンメイ</t>
    </rPh>
    <phoneticPr fontId="2"/>
  </si>
  <si>
    <t>得意先CD</t>
    <rPh sb="0" eb="3">
      <t>トクイサキ</t>
    </rPh>
    <phoneticPr fontId="2"/>
  </si>
  <si>
    <t>TD見積.得意先CD</t>
    <rPh sb="5" eb="8">
      <t>トクイサキ</t>
    </rPh>
    <phoneticPr fontId="2"/>
  </si>
  <si>
    <t>得意先名1</t>
    <rPh sb="0" eb="4">
      <t>トクイサキメイ</t>
    </rPh>
    <phoneticPr fontId="2"/>
  </si>
  <si>
    <t>TD見積.得意先名1</t>
    <rPh sb="5" eb="9">
      <t>トクイサキメイ</t>
    </rPh>
    <phoneticPr fontId="2"/>
  </si>
  <si>
    <t>得意先名2</t>
    <rPh sb="0" eb="4">
      <t>トクイサキメイ</t>
    </rPh>
    <phoneticPr fontId="2"/>
  </si>
  <si>
    <t>TD見積.得意先名2</t>
    <rPh sb="5" eb="9">
      <t>トクイサキメイ</t>
    </rPh>
    <phoneticPr fontId="2"/>
  </si>
  <si>
    <t>得TEL</t>
    <rPh sb="0" eb="1">
      <t>トク</t>
    </rPh>
    <phoneticPr fontId="2"/>
  </si>
  <si>
    <t>TD見積.得TEL</t>
    <rPh sb="5" eb="6">
      <t>トク</t>
    </rPh>
    <phoneticPr fontId="2"/>
  </si>
  <si>
    <t>得FAX</t>
    <rPh sb="0" eb="1">
      <t>トク</t>
    </rPh>
    <phoneticPr fontId="2"/>
  </si>
  <si>
    <t>TD見積.得FAX</t>
    <rPh sb="5" eb="6">
      <t>トク</t>
    </rPh>
    <phoneticPr fontId="2"/>
  </si>
  <si>
    <t>得意先担当者</t>
    <rPh sb="0" eb="6">
      <t>トクイサキタントウシャ</t>
    </rPh>
    <phoneticPr fontId="2"/>
  </si>
  <si>
    <t>TD見積.得意先担当者</t>
    <rPh sb="5" eb="11">
      <t>トクイサキタントウシャ</t>
    </rPh>
    <phoneticPr fontId="2"/>
  </si>
  <si>
    <t>納入得意先CD</t>
    <rPh sb="0" eb="5">
      <t>ノウニュウトクイサキ</t>
    </rPh>
    <phoneticPr fontId="2"/>
  </si>
  <si>
    <t>TD見積.納入得意先CD</t>
    <rPh sb="5" eb="10">
      <t>ノウニュウトクイサキ</t>
    </rPh>
    <phoneticPr fontId="2"/>
  </si>
  <si>
    <t>納入先CD</t>
    <rPh sb="0" eb="3">
      <t>ノウニュウサキ</t>
    </rPh>
    <phoneticPr fontId="2"/>
  </si>
  <si>
    <t>TD見積.納入先CD</t>
    <rPh sb="5" eb="8">
      <t>ノウニュウサキ</t>
    </rPh>
    <phoneticPr fontId="2"/>
  </si>
  <si>
    <t>納入先名1</t>
    <rPh sb="0" eb="4">
      <t>ノウニュウサキメイ</t>
    </rPh>
    <phoneticPr fontId="2"/>
  </si>
  <si>
    <t>TD見積.納入先名1</t>
    <rPh sb="5" eb="9">
      <t>ノウニュウサキメイ</t>
    </rPh>
    <phoneticPr fontId="2"/>
  </si>
  <si>
    <t>納入先名2</t>
    <rPh sb="0" eb="3">
      <t>ノウニュウサキ</t>
    </rPh>
    <rPh sb="3" eb="4">
      <t>メイ</t>
    </rPh>
    <phoneticPr fontId="2"/>
  </si>
  <si>
    <t>TD見積.納入先名2</t>
    <rPh sb="5" eb="8">
      <t>ノウニュウサキ</t>
    </rPh>
    <rPh sb="8" eb="9">
      <t>メイ</t>
    </rPh>
    <phoneticPr fontId="2"/>
  </si>
  <si>
    <t>郵便番号</t>
    <rPh sb="0" eb="4">
      <t>ユウビンバンゴウ</t>
    </rPh>
    <phoneticPr fontId="2"/>
  </si>
  <si>
    <t>TD見積.郵便番号</t>
    <rPh sb="5" eb="9">
      <t>ユウビンバンゴウ</t>
    </rPh>
    <phoneticPr fontId="2"/>
  </si>
  <si>
    <t>住所1</t>
    <rPh sb="0" eb="2">
      <t>ジュウショ</t>
    </rPh>
    <phoneticPr fontId="2"/>
  </si>
  <si>
    <t>TD見積.住所1</t>
    <rPh sb="5" eb="7">
      <t>ジュウショ</t>
    </rPh>
    <phoneticPr fontId="2"/>
  </si>
  <si>
    <t>住所2</t>
    <rPh sb="0" eb="2">
      <t>ジュウショ</t>
    </rPh>
    <phoneticPr fontId="2"/>
  </si>
  <si>
    <t>TD見積.住所2</t>
    <rPh sb="5" eb="7">
      <t>ジュウショ</t>
    </rPh>
    <phoneticPr fontId="2"/>
  </si>
  <si>
    <t>納TEL</t>
    <rPh sb="0" eb="1">
      <t>ノウ</t>
    </rPh>
    <phoneticPr fontId="2"/>
  </si>
  <si>
    <t>TD見積.納TEL</t>
    <phoneticPr fontId="2"/>
  </si>
  <si>
    <t>納FAX</t>
    <rPh sb="0" eb="1">
      <t>ノウ</t>
    </rPh>
    <phoneticPr fontId="2"/>
  </si>
  <si>
    <t>TD見積.納FAX</t>
    <rPh sb="5" eb="6">
      <t>ノウ</t>
    </rPh>
    <phoneticPr fontId="2"/>
  </si>
  <si>
    <t>納入先担当者</t>
    <rPh sb="0" eb="3">
      <t>ノウニュウサキ</t>
    </rPh>
    <rPh sb="3" eb="6">
      <t>タントウシャ</t>
    </rPh>
    <phoneticPr fontId="2"/>
  </si>
  <si>
    <t>TD見積.納入先担当者</t>
    <rPh sb="5" eb="8">
      <t>ノウニュウサキ</t>
    </rPh>
    <rPh sb="8" eb="11">
      <t>タントウシャ</t>
    </rPh>
    <phoneticPr fontId="2"/>
  </si>
  <si>
    <t>納期S</t>
    <rPh sb="0" eb="2">
      <t>ノウキ</t>
    </rPh>
    <phoneticPr fontId="2"/>
  </si>
  <si>
    <t>TD見積.納期S</t>
    <rPh sb="4" eb="6">
      <t>ノウキ</t>
    </rPh>
    <phoneticPr fontId="2"/>
  </si>
  <si>
    <t>納期E</t>
    <rPh sb="0" eb="2">
      <t>ノウキ</t>
    </rPh>
    <phoneticPr fontId="2"/>
  </si>
  <si>
    <t>TD見積.納期E</t>
    <rPh sb="4" eb="6">
      <t>ノウキ</t>
    </rPh>
    <phoneticPr fontId="2"/>
  </si>
  <si>
    <t>備考</t>
    <rPh sb="0" eb="2">
      <t>ビコウ</t>
    </rPh>
    <phoneticPr fontId="2"/>
  </si>
  <si>
    <t>TD見積.備考</t>
    <rPh sb="5" eb="7">
      <t>ビコウ</t>
    </rPh>
    <phoneticPr fontId="2"/>
  </si>
  <si>
    <t>物件規模金額</t>
    <rPh sb="0" eb="6">
      <t>ブッケンキボキンガク</t>
    </rPh>
    <phoneticPr fontId="2"/>
  </si>
  <si>
    <t>TD見積.物件規模金額</t>
    <rPh sb="5" eb="11">
      <t>ブッケンキボキンガク</t>
    </rPh>
    <phoneticPr fontId="2"/>
  </si>
  <si>
    <t>オープン日</t>
    <rPh sb="4" eb="5">
      <t>ビ</t>
    </rPh>
    <phoneticPr fontId="2"/>
  </si>
  <si>
    <t>TD見積.オープン日</t>
    <rPh sb="9" eb="10">
      <t>ビ</t>
    </rPh>
    <phoneticPr fontId="2"/>
  </si>
  <si>
    <t>物件種別</t>
    <rPh sb="0" eb="4">
      <t>ブッケンシュベツ</t>
    </rPh>
    <phoneticPr fontId="2"/>
  </si>
  <si>
    <t>TD見積.物件種別</t>
    <rPh sb="5" eb="9">
      <t>ブッケンシュベツ</t>
    </rPh>
    <phoneticPr fontId="2"/>
  </si>
  <si>
    <t>現場名</t>
    <rPh sb="0" eb="3">
      <t>ゲンバメイ</t>
    </rPh>
    <phoneticPr fontId="2"/>
  </si>
  <si>
    <t>TD見積.現場名</t>
    <rPh sb="5" eb="8">
      <t>ゲンバメイ</t>
    </rPh>
    <phoneticPr fontId="2"/>
  </si>
  <si>
    <t>支払条件</t>
    <rPh sb="0" eb="4">
      <t>シハライジョウケン</t>
    </rPh>
    <phoneticPr fontId="2"/>
  </si>
  <si>
    <t>TD見積.支払条件</t>
    <rPh sb="5" eb="9">
      <t>シハライジョウケン</t>
    </rPh>
    <phoneticPr fontId="2"/>
  </si>
  <si>
    <t>支払条件その他</t>
    <rPh sb="0" eb="4">
      <t>シハライジョウケン</t>
    </rPh>
    <rPh sb="6" eb="7">
      <t>タ</t>
    </rPh>
    <phoneticPr fontId="2"/>
  </si>
  <si>
    <t>TD見積.支払条件その他</t>
    <rPh sb="5" eb="9">
      <t>シハライジョウケン</t>
    </rPh>
    <rPh sb="11" eb="12">
      <t>タ</t>
    </rPh>
    <phoneticPr fontId="2"/>
  </si>
  <si>
    <t>納期表示</t>
    <rPh sb="0" eb="4">
      <t>ノウキヒョウジ</t>
    </rPh>
    <phoneticPr fontId="2"/>
  </si>
  <si>
    <t>TD見積.納期表示</t>
    <rPh sb="5" eb="9">
      <t>ノウキヒョウジ</t>
    </rPh>
    <phoneticPr fontId="2"/>
  </si>
  <si>
    <t>納期その他</t>
    <rPh sb="0" eb="2">
      <t>ノウキ</t>
    </rPh>
    <rPh sb="4" eb="5">
      <t>タ</t>
    </rPh>
    <phoneticPr fontId="2"/>
  </si>
  <si>
    <t>TD見積.納期その他</t>
    <rPh sb="5" eb="7">
      <t>ノウキ</t>
    </rPh>
    <rPh sb="9" eb="10">
      <t>タ</t>
    </rPh>
    <phoneticPr fontId="2"/>
  </si>
  <si>
    <t>見積日出力</t>
    <rPh sb="0" eb="5">
      <t>ミツモリビシュツリョク</t>
    </rPh>
    <phoneticPr fontId="2"/>
  </si>
  <si>
    <t>TD見積.見積日出力</t>
    <rPh sb="5" eb="10">
      <t>ミツモリビシュツリョク</t>
    </rPh>
    <phoneticPr fontId="2"/>
  </si>
  <si>
    <t>有効期限</t>
    <rPh sb="0" eb="4">
      <t>ユウコウキゲン</t>
    </rPh>
    <phoneticPr fontId="2"/>
  </si>
  <si>
    <t>TD見積.有効期限</t>
    <rPh sb="5" eb="9">
      <t>ユウコウキゲン</t>
    </rPh>
    <phoneticPr fontId="2"/>
  </si>
  <si>
    <t>受注区分</t>
    <rPh sb="0" eb="4">
      <t>ジュチュウクブン</t>
    </rPh>
    <phoneticPr fontId="2"/>
  </si>
  <si>
    <t>TD見積.受注区分</t>
    <rPh sb="5" eb="9">
      <t>ジュチュウクブン</t>
    </rPh>
    <phoneticPr fontId="2"/>
  </si>
  <si>
    <t>受注日付</t>
    <rPh sb="0" eb="4">
      <t>ジュチュウヒヅケ</t>
    </rPh>
    <phoneticPr fontId="2"/>
  </si>
  <si>
    <t>TD見積.受注日付</t>
    <rPh sb="5" eb="9">
      <t>ジュチュウヒヅケ</t>
    </rPh>
    <phoneticPr fontId="2"/>
  </si>
  <si>
    <t>大小口区分</t>
    <rPh sb="0" eb="3">
      <t>ダイショウクチ</t>
    </rPh>
    <rPh sb="3" eb="5">
      <t>クブン</t>
    </rPh>
    <phoneticPr fontId="2"/>
  </si>
  <si>
    <t>TD見積.大小口区分</t>
    <rPh sb="5" eb="8">
      <t>ダイショウクチ</t>
    </rPh>
    <rPh sb="8" eb="10">
      <t>クブン</t>
    </rPh>
    <phoneticPr fontId="2"/>
  </si>
  <si>
    <t>出精値引</t>
    <rPh sb="0" eb="4">
      <t>シュッセイネビ</t>
    </rPh>
    <phoneticPr fontId="2"/>
  </si>
  <si>
    <t>TD見積.出精値引</t>
    <rPh sb="5" eb="9">
      <t>シュッセイネビ</t>
    </rPh>
    <phoneticPr fontId="2"/>
  </si>
  <si>
    <t>合計金額</t>
    <rPh sb="0" eb="4">
      <t>ゴウケイキンガク</t>
    </rPh>
    <phoneticPr fontId="2"/>
  </si>
  <si>
    <t>TD見積.合計金額</t>
    <rPh sb="5" eb="9">
      <t>ゴウケイキンガク</t>
    </rPh>
    <phoneticPr fontId="2"/>
  </si>
  <si>
    <t>原価合計</t>
    <rPh sb="0" eb="4">
      <t>ゲンカゴウケイ</t>
    </rPh>
    <phoneticPr fontId="2"/>
  </si>
  <si>
    <t>TD見積.原価合計</t>
    <rPh sb="5" eb="9">
      <t>ゲンカゴウケイ</t>
    </rPh>
    <phoneticPr fontId="2"/>
  </si>
  <si>
    <t>原価率</t>
    <rPh sb="0" eb="3">
      <t>ゲンカリツ</t>
    </rPh>
    <phoneticPr fontId="2"/>
  </si>
  <si>
    <t>TD見積.原価率</t>
    <rPh sb="5" eb="8">
      <t>ゲンカリツ</t>
    </rPh>
    <phoneticPr fontId="2"/>
  </si>
  <si>
    <t>外税額</t>
    <rPh sb="0" eb="1">
      <t>ガイ</t>
    </rPh>
    <rPh sb="1" eb="3">
      <t>ゼイガク</t>
    </rPh>
    <phoneticPr fontId="2"/>
  </si>
  <si>
    <t>TD見積.外税額</t>
    <rPh sb="5" eb="6">
      <t>ガイ</t>
    </rPh>
    <rPh sb="6" eb="8">
      <t>ゼイガク</t>
    </rPh>
    <phoneticPr fontId="2"/>
  </si>
  <si>
    <t>税集計区分</t>
    <rPh sb="0" eb="5">
      <t>ゼイシュウケイクブン</t>
    </rPh>
    <phoneticPr fontId="2"/>
  </si>
  <si>
    <t>TD見積.税集計区分</t>
    <rPh sb="5" eb="10">
      <t>ゼイシュウケイクブン</t>
    </rPh>
    <phoneticPr fontId="2"/>
  </si>
  <si>
    <t>売上端数</t>
    <rPh sb="0" eb="4">
      <t>ウリアゲハスウ</t>
    </rPh>
    <phoneticPr fontId="2"/>
  </si>
  <si>
    <t>TD見積.売上端数</t>
    <rPh sb="5" eb="9">
      <t>ウリアゲハスウ</t>
    </rPh>
    <phoneticPr fontId="2"/>
  </si>
  <si>
    <t>消費税端数</t>
    <rPh sb="0" eb="5">
      <t>ショウヒゼイハスウ</t>
    </rPh>
    <phoneticPr fontId="2"/>
  </si>
  <si>
    <t>TD見積.消費税端数</t>
    <rPh sb="5" eb="10">
      <t>ショウヒゼイハスウ</t>
    </rPh>
    <phoneticPr fontId="2"/>
  </si>
  <si>
    <t>見積書出力日</t>
    <rPh sb="0" eb="6">
      <t>ミツモリショシュツリョクビ</t>
    </rPh>
    <phoneticPr fontId="2"/>
  </si>
  <si>
    <t>TD見積.見積書出力日</t>
    <rPh sb="5" eb="11">
      <t>ミツモリショシュツリョクビ</t>
    </rPh>
    <phoneticPr fontId="2"/>
  </si>
  <si>
    <t>注文発行日</t>
    <rPh sb="0" eb="5">
      <t>チュウモンハッコウビ</t>
    </rPh>
    <phoneticPr fontId="2"/>
  </si>
  <si>
    <t>TD見積.注文発行日</t>
    <rPh sb="5" eb="10">
      <t>チュウモンハッコウビ</t>
    </rPh>
    <phoneticPr fontId="2"/>
  </si>
  <si>
    <t>仕入日付</t>
    <rPh sb="0" eb="4">
      <t>シイレヒヅケ</t>
    </rPh>
    <phoneticPr fontId="2"/>
  </si>
  <si>
    <t>TD見積.仕入日付</t>
    <rPh sb="5" eb="9">
      <t>シイレヒヅケ</t>
    </rPh>
    <phoneticPr fontId="2"/>
  </si>
  <si>
    <t>売上日付</t>
    <rPh sb="0" eb="4">
      <t>ウリアゲヒヅケ</t>
    </rPh>
    <phoneticPr fontId="2"/>
  </si>
  <si>
    <t>TD見積.売上日付</t>
    <rPh sb="5" eb="9">
      <t>ウリアゲヒヅケ</t>
    </rPh>
    <phoneticPr fontId="2"/>
  </si>
  <si>
    <t>得意先別見積番号</t>
    <rPh sb="0" eb="4">
      <t>トクイサキベツ</t>
    </rPh>
    <rPh sb="4" eb="8">
      <t>ミツモリバンゴウ</t>
    </rPh>
    <phoneticPr fontId="2"/>
  </si>
  <si>
    <t>TD見積.得意先別見積番号</t>
    <rPh sb="5" eb="9">
      <t>トクイサキベツ</t>
    </rPh>
    <rPh sb="9" eb="13">
      <t>ミツモリバンゴウ</t>
    </rPh>
    <phoneticPr fontId="2"/>
  </si>
  <si>
    <t>初期登録日</t>
    <rPh sb="0" eb="5">
      <t>ショキトウロクビ</t>
    </rPh>
    <phoneticPr fontId="2"/>
  </si>
  <si>
    <t>TD見積.初期登録日</t>
    <rPh sb="5" eb="10">
      <t>ショキトウロクビ</t>
    </rPh>
    <phoneticPr fontId="2"/>
  </si>
  <si>
    <t>登録変更日</t>
    <rPh sb="0" eb="5">
      <t>トウロクヘンコウビ</t>
    </rPh>
    <phoneticPr fontId="2"/>
  </si>
  <si>
    <t>TD見積.登録変更日</t>
    <rPh sb="5" eb="10">
      <t>トウロクヘンコウビ</t>
    </rPh>
    <phoneticPr fontId="2"/>
  </si>
  <si>
    <t>TD見積.見積区分</t>
    <phoneticPr fontId="2"/>
  </si>
  <si>
    <t>売上納期</t>
    <rPh sb="0" eb="4">
      <t>ウリアゲノウキ</t>
    </rPh>
    <phoneticPr fontId="2"/>
  </si>
  <si>
    <t>TD見積.売上納期</t>
    <rPh sb="5" eb="9">
      <t>ウリアゲノウキ</t>
    </rPh>
    <phoneticPr fontId="2"/>
  </si>
  <si>
    <t>部署CD</t>
    <rPh sb="0" eb="2">
      <t>ブショ</t>
    </rPh>
    <phoneticPr fontId="2"/>
  </si>
  <si>
    <t>TD見積.部署CD</t>
    <rPh sb="5" eb="7">
      <t>ブショ</t>
    </rPh>
    <phoneticPr fontId="2"/>
  </si>
  <si>
    <t>販売先得意先CD</t>
    <rPh sb="0" eb="3">
      <t>ハンバイサキ</t>
    </rPh>
    <rPh sb="3" eb="6">
      <t>トクイサキ</t>
    </rPh>
    <phoneticPr fontId="2"/>
  </si>
  <si>
    <t>TD見積.販売先得意先CD</t>
    <rPh sb="5" eb="8">
      <t>ハンバイサキ</t>
    </rPh>
    <rPh sb="8" eb="11">
      <t>トクイサキ</t>
    </rPh>
    <phoneticPr fontId="2"/>
  </si>
  <si>
    <t>販売先得意先名1</t>
    <rPh sb="0" eb="3">
      <t>ハンバイサキ</t>
    </rPh>
    <rPh sb="3" eb="6">
      <t>トクイサキ</t>
    </rPh>
    <rPh sb="6" eb="7">
      <t>メイ</t>
    </rPh>
    <phoneticPr fontId="2"/>
  </si>
  <si>
    <t>TD見積.販売先得意先名1</t>
    <rPh sb="5" eb="8">
      <t>ハンバイサキ</t>
    </rPh>
    <rPh sb="8" eb="11">
      <t>トクイサキ</t>
    </rPh>
    <rPh sb="11" eb="12">
      <t>メイ</t>
    </rPh>
    <phoneticPr fontId="2"/>
  </si>
  <si>
    <t>販売先得意先名2</t>
    <rPh sb="0" eb="3">
      <t>ハンバイサキ</t>
    </rPh>
    <rPh sb="3" eb="6">
      <t>トクイサキ</t>
    </rPh>
    <rPh sb="6" eb="7">
      <t>メイ</t>
    </rPh>
    <phoneticPr fontId="2"/>
  </si>
  <si>
    <t>TD見積.販売先得意先名2</t>
    <rPh sb="5" eb="8">
      <t>ハンバイサキ</t>
    </rPh>
    <rPh sb="8" eb="11">
      <t>トクイサキ</t>
    </rPh>
    <rPh sb="11" eb="12">
      <t>メイ</t>
    </rPh>
    <phoneticPr fontId="2"/>
  </si>
  <si>
    <t>販売先納得意先CD</t>
    <rPh sb="0" eb="7">
      <t>ハンバイサキノウトクイサキ</t>
    </rPh>
    <phoneticPr fontId="2"/>
  </si>
  <si>
    <t>TD見積.販売先納得意先CD</t>
    <rPh sb="5" eb="12">
      <t>ハンバイサキノウトクイサキ</t>
    </rPh>
    <phoneticPr fontId="2"/>
  </si>
  <si>
    <t>販売先納入先CD</t>
    <rPh sb="0" eb="3">
      <t>ハンバイサキ</t>
    </rPh>
    <rPh sb="3" eb="6">
      <t>ノウニュウサキ</t>
    </rPh>
    <phoneticPr fontId="2"/>
  </si>
  <si>
    <t>TD見積.販売先納入先CD</t>
    <rPh sb="5" eb="8">
      <t>ハンバイサキ</t>
    </rPh>
    <rPh sb="8" eb="11">
      <t>ノウニュウサキ</t>
    </rPh>
    <phoneticPr fontId="2"/>
  </si>
  <si>
    <t>販売先納入先名1</t>
    <rPh sb="0" eb="3">
      <t>ハンバイサキ</t>
    </rPh>
    <rPh sb="3" eb="7">
      <t>ノウニュウサキメイ</t>
    </rPh>
    <phoneticPr fontId="2"/>
  </si>
  <si>
    <t>TD見積.販売先納入先名1</t>
    <rPh sb="5" eb="8">
      <t>ハンバイサキ</t>
    </rPh>
    <rPh sb="8" eb="12">
      <t>ノウニュウサキメイ</t>
    </rPh>
    <phoneticPr fontId="2"/>
  </si>
  <si>
    <t>販売先納入先名2</t>
    <rPh sb="0" eb="3">
      <t>ハンバイサキ</t>
    </rPh>
    <rPh sb="3" eb="7">
      <t>ノウニュウサキメイ</t>
    </rPh>
    <phoneticPr fontId="2"/>
  </si>
  <si>
    <t>TD見積.販売先納入先名2</t>
    <rPh sb="5" eb="8">
      <t>ハンバイサキ</t>
    </rPh>
    <rPh sb="8" eb="12">
      <t>ノウニュウサキメイ</t>
    </rPh>
    <phoneticPr fontId="2"/>
  </si>
  <si>
    <t>社内伝票扱い</t>
    <rPh sb="0" eb="5">
      <t>シャナイデンピョウアツカ</t>
    </rPh>
    <phoneticPr fontId="2"/>
  </si>
  <si>
    <t>TD見積.社内伝票扱い</t>
    <rPh sb="5" eb="10">
      <t>シャナイデンピョウアツカ</t>
    </rPh>
    <phoneticPr fontId="2"/>
  </si>
  <si>
    <t>伝票種類</t>
    <rPh sb="0" eb="4">
      <t>デンピョウシュルイ</t>
    </rPh>
    <phoneticPr fontId="2"/>
  </si>
  <si>
    <t>TD見積.伝票種類</t>
    <rPh sb="5" eb="9">
      <t>デンピョウシュルイ</t>
    </rPh>
    <phoneticPr fontId="2"/>
  </si>
  <si>
    <t>物件番号</t>
    <rPh sb="0" eb="4">
      <t>ブッケンバンゴウ</t>
    </rPh>
    <phoneticPr fontId="2"/>
  </si>
  <si>
    <t>TD見積.物件番号</t>
    <rPh sb="5" eb="9">
      <t>ブッケンバンゴウ</t>
    </rPh>
    <phoneticPr fontId="2"/>
  </si>
  <si>
    <t>ウエルシア物件内容CD</t>
    <rPh sb="5" eb="7">
      <t>ブッケン</t>
    </rPh>
    <rPh sb="7" eb="9">
      <t>ナイヨウ</t>
    </rPh>
    <phoneticPr fontId="2"/>
  </si>
  <si>
    <t>TD見積.ウエルシア物件内容CD</t>
    <rPh sb="10" eb="12">
      <t>ブッケン</t>
    </rPh>
    <rPh sb="12" eb="14">
      <t>ナイヨウ</t>
    </rPh>
    <phoneticPr fontId="2"/>
  </si>
  <si>
    <t>ウエルシア物件内容名</t>
    <rPh sb="5" eb="7">
      <t>ブッケン</t>
    </rPh>
    <rPh sb="7" eb="9">
      <t>ナイヨウ</t>
    </rPh>
    <rPh sb="9" eb="10">
      <t>メイ</t>
    </rPh>
    <phoneticPr fontId="2"/>
  </si>
  <si>
    <t>TD見積.ウエルシア物件内容名</t>
    <rPh sb="10" eb="12">
      <t>ブッケン</t>
    </rPh>
    <rPh sb="12" eb="14">
      <t>ナイヨウ</t>
    </rPh>
    <rPh sb="14" eb="15">
      <t>メイ</t>
    </rPh>
    <phoneticPr fontId="2"/>
  </si>
  <si>
    <t>ウエルシアリース区分</t>
    <rPh sb="8" eb="10">
      <t>クブン</t>
    </rPh>
    <phoneticPr fontId="2"/>
  </si>
  <si>
    <t>TD見積.ウエルシアリース区分</t>
    <rPh sb="13" eb="15">
      <t>クブン</t>
    </rPh>
    <phoneticPr fontId="2"/>
  </si>
  <si>
    <t>ウエルシア物件区分CD</t>
    <rPh sb="5" eb="9">
      <t>ブッケンクブン</t>
    </rPh>
    <phoneticPr fontId="2"/>
  </si>
  <si>
    <t>TD見積.ウエルシア物件区分CD</t>
    <rPh sb="10" eb="14">
      <t>ブッケンクブン</t>
    </rPh>
    <phoneticPr fontId="2"/>
  </si>
  <si>
    <t>ウエルシア売場面積</t>
    <rPh sb="5" eb="9">
      <t>ウリバメンセキ</t>
    </rPh>
    <phoneticPr fontId="2"/>
  </si>
  <si>
    <t>TD見積.ウエルシア売場面積</t>
    <rPh sb="10" eb="14">
      <t>ウリバメンセキ</t>
    </rPh>
    <phoneticPr fontId="2"/>
  </si>
  <si>
    <t>受付日付</t>
    <rPh sb="0" eb="2">
      <t>ウケツケ</t>
    </rPh>
    <rPh sb="2" eb="4">
      <t>ヒヅケ</t>
    </rPh>
    <phoneticPr fontId="2"/>
  </si>
  <si>
    <t>TD見積.受付日付</t>
    <rPh sb="5" eb="7">
      <t>ウケツケ</t>
    </rPh>
    <rPh sb="7" eb="9">
      <t>ヒヅケ</t>
    </rPh>
    <phoneticPr fontId="2"/>
  </si>
  <si>
    <t>完工日付</t>
    <rPh sb="0" eb="4">
      <t>カンコウヒヅケ</t>
    </rPh>
    <phoneticPr fontId="2"/>
  </si>
  <si>
    <t>TD見積.完工日付</t>
    <rPh sb="5" eb="9">
      <t>カンコウヒヅケ</t>
    </rPh>
    <phoneticPr fontId="2"/>
  </si>
  <si>
    <t>発注担当者名</t>
    <rPh sb="0" eb="6">
      <t>ハッチュウタントウシャメイ</t>
    </rPh>
    <phoneticPr fontId="2"/>
  </si>
  <si>
    <t>TD見積.発注担当者名</t>
    <rPh sb="5" eb="11">
      <t>ハッチュウタントウシャメイ</t>
    </rPh>
    <phoneticPr fontId="2"/>
  </si>
  <si>
    <t>作業内容</t>
    <rPh sb="0" eb="4">
      <t>サギョウナイヨウ</t>
    </rPh>
    <phoneticPr fontId="2"/>
  </si>
  <si>
    <t>TD見積.作業内容</t>
    <rPh sb="5" eb="9">
      <t>サギョウナイヨウ</t>
    </rPh>
    <phoneticPr fontId="2"/>
  </si>
  <si>
    <t>YKサプライ区分</t>
    <rPh sb="6" eb="8">
      <t>クブン</t>
    </rPh>
    <phoneticPr fontId="2"/>
  </si>
  <si>
    <t>TD見積.YKサプライ区分</t>
    <rPh sb="11" eb="13">
      <t>クブン</t>
    </rPh>
    <phoneticPr fontId="2"/>
  </si>
  <si>
    <t>YK物件区分</t>
    <rPh sb="2" eb="6">
      <t>ブッケンクブン</t>
    </rPh>
    <phoneticPr fontId="2"/>
  </si>
  <si>
    <t>TD見積.YK物件区分</t>
    <rPh sb="7" eb="11">
      <t>ブッケンクブン</t>
    </rPh>
    <phoneticPr fontId="2"/>
  </si>
  <si>
    <t>YK請求区分</t>
    <rPh sb="2" eb="6">
      <t>セイキュウクブン</t>
    </rPh>
    <phoneticPr fontId="2"/>
  </si>
  <si>
    <t>TD見積.YK請求区分</t>
    <rPh sb="7" eb="11">
      <t>セイキュウクブン</t>
    </rPh>
    <phoneticPr fontId="2"/>
  </si>
  <si>
    <t>化粧品メーカー区分</t>
    <rPh sb="0" eb="3">
      <t>ケショウヒン</t>
    </rPh>
    <rPh sb="7" eb="9">
      <t>クブン</t>
    </rPh>
    <phoneticPr fontId="2"/>
  </si>
  <si>
    <t>TD見積.化粧品メーカー区分</t>
    <rPh sb="5" eb="8">
      <t>ケショウヒン</t>
    </rPh>
    <rPh sb="12" eb="14">
      <t>クブン</t>
    </rPh>
    <phoneticPr fontId="2"/>
  </si>
  <si>
    <t>SM内容区分</t>
    <rPh sb="2" eb="6">
      <t>ナイヨウクブン</t>
    </rPh>
    <phoneticPr fontId="2"/>
  </si>
  <si>
    <t>TD見積.SM内容区分</t>
    <rPh sb="7" eb="11">
      <t>ナイヨウクブン</t>
    </rPh>
    <phoneticPr fontId="2"/>
  </si>
  <si>
    <t>クレーム区分</t>
    <rPh sb="4" eb="6">
      <t>クブン</t>
    </rPh>
    <phoneticPr fontId="2"/>
  </si>
  <si>
    <t>TD見積.クレーム区分</t>
    <rPh sb="9" eb="11">
      <t>クブン</t>
    </rPh>
    <phoneticPr fontId="2"/>
  </si>
  <si>
    <t>営業推進部CD</t>
    <rPh sb="0" eb="5">
      <t>エイギョウスイシンブ</t>
    </rPh>
    <phoneticPr fontId="2"/>
  </si>
  <si>
    <t>TD見積.営業推進部CD</t>
    <rPh sb="5" eb="10">
      <t>エイギョウスイシンブ</t>
    </rPh>
    <phoneticPr fontId="2"/>
  </si>
  <si>
    <t>集計CD</t>
    <rPh sb="0" eb="2">
      <t>シュウケイ</t>
    </rPh>
    <phoneticPr fontId="2"/>
  </si>
  <si>
    <t>TD見積.集計CD</t>
    <rPh sb="5" eb="7">
      <t>シュウケイ</t>
    </rPh>
    <phoneticPr fontId="2"/>
  </si>
  <si>
    <t>工事担当CD</t>
    <rPh sb="0" eb="4">
      <t>コウジタントウ</t>
    </rPh>
    <phoneticPr fontId="2"/>
  </si>
  <si>
    <t>TD見積.工事担当CD</t>
    <rPh sb="5" eb="9">
      <t>コウジタントウ</t>
    </rPh>
    <phoneticPr fontId="2"/>
  </si>
  <si>
    <t>B請求管轄区分</t>
    <rPh sb="1" eb="5">
      <t>セイキュウカンカツ</t>
    </rPh>
    <rPh sb="5" eb="7">
      <t>クブン</t>
    </rPh>
    <phoneticPr fontId="2"/>
  </si>
  <si>
    <t>TD見積.B請求管轄区分</t>
    <rPh sb="6" eb="10">
      <t>セイキュウカンカツ</t>
    </rPh>
    <rPh sb="10" eb="12">
      <t>クブン</t>
    </rPh>
    <phoneticPr fontId="2"/>
  </si>
  <si>
    <t>BtoB番号</t>
    <rPh sb="4" eb="6">
      <t>バンゴウ</t>
    </rPh>
    <phoneticPr fontId="2"/>
  </si>
  <si>
    <t>TD見積.BtoB番号</t>
    <rPh sb="9" eb="11">
      <t>バンゴウ</t>
    </rPh>
    <phoneticPr fontId="2"/>
  </si>
  <si>
    <t>業種区分</t>
    <rPh sb="0" eb="4">
      <t>ギョウシュクブン</t>
    </rPh>
    <phoneticPr fontId="2"/>
  </si>
  <si>
    <t>TD見積.業種区分</t>
    <rPh sb="5" eb="9">
      <t>ギョウシュクブン</t>
    </rPh>
    <phoneticPr fontId="2"/>
  </si>
  <si>
    <t>統合見積番号</t>
    <rPh sb="0" eb="6">
      <t>トウゴウミツモリバンゴウ</t>
    </rPh>
    <phoneticPr fontId="2"/>
  </si>
  <si>
    <t>TD見積.統合見積番号</t>
    <rPh sb="5" eb="11">
      <t>トウゴウミツモリバンゴウ</t>
    </rPh>
    <phoneticPr fontId="2"/>
  </si>
  <si>
    <t>担当者名</t>
    <rPh sb="0" eb="4">
      <t>タントウシャメイ</t>
    </rPh>
    <phoneticPr fontId="2"/>
  </si>
  <si>
    <t>TM担当者.担当者名</t>
    <rPh sb="6" eb="10">
      <t>タントウシャメイ</t>
    </rPh>
    <phoneticPr fontId="2"/>
  </si>
  <si>
    <t>LEFT JOIN  TM担当者 AS TT ON MH.担当者CD = TT.担当者CD</t>
    <phoneticPr fontId="2"/>
  </si>
  <si>
    <t>WHERE 見積番号 = 画面.見積番号</t>
    <rPh sb="13" eb="15">
      <t>ガメン</t>
    </rPh>
    <phoneticPr fontId="2"/>
  </si>
  <si>
    <t>SQL58</t>
    <phoneticPr fontId="2"/>
  </si>
  <si>
    <t>#WK見積明細.見積番号</t>
    <phoneticPr fontId="2"/>
  </si>
  <si>
    <t>#WK見積明細.仕分番号</t>
    <phoneticPr fontId="2"/>
  </si>
  <si>
    <t>#WK見積明細.仕分名称</t>
    <phoneticPr fontId="2"/>
  </si>
  <si>
    <t>SUM(#WK見積明細.売上金額) AS 売上金額</t>
    <phoneticPr fontId="2"/>
  </si>
  <si>
    <t>SUM(#WK見積明細.仕入金額) AS 仕入金額</t>
    <phoneticPr fontId="2"/>
  </si>
  <si>
    <t>FROM  #WK見積明細</t>
    <phoneticPr fontId="2"/>
  </si>
  <si>
    <t>GROUP BY 見積番号, 仕分番号, 仕分名称</t>
    <phoneticPr fontId="2"/>
  </si>
  <si>
    <t>ORDER BY 仕分番号　昇順でソート</t>
    <rPh sb="14" eb="16">
      <t>ショウジュン</t>
    </rPh>
    <phoneticPr fontId="2"/>
  </si>
  <si>
    <t>見積明細部出力</t>
    <phoneticPr fontId="2"/>
  </si>
  <si>
    <t>#WK見積明細.行番号</t>
    <phoneticPr fontId="2"/>
  </si>
  <si>
    <t>#WK見積明細.SP区分</t>
    <phoneticPr fontId="2"/>
  </si>
  <si>
    <t>#WK見積明細.PC区分</t>
    <phoneticPr fontId="2"/>
  </si>
  <si>
    <t>#WK見積明細.製品NO</t>
    <phoneticPr fontId="2"/>
  </si>
  <si>
    <t>#WK見積明細.仕様NO</t>
    <phoneticPr fontId="2"/>
  </si>
  <si>
    <t>#WK見積明細.漢字名称</t>
    <phoneticPr fontId="2"/>
  </si>
  <si>
    <t>#WK見積明細.W</t>
    <phoneticPr fontId="2"/>
  </si>
  <si>
    <t>#WK見積明細.D</t>
    <phoneticPr fontId="2"/>
  </si>
  <si>
    <t>#WK見積明細.H</t>
    <phoneticPr fontId="2"/>
  </si>
  <si>
    <t>#WK見積明細.D1</t>
    <phoneticPr fontId="2"/>
  </si>
  <si>
    <t>#WK見積明細.D2</t>
    <phoneticPr fontId="2"/>
  </si>
  <si>
    <t>#WK見積明細.H1</t>
    <phoneticPr fontId="2"/>
  </si>
  <si>
    <t>#WK見積明細.H2</t>
    <phoneticPr fontId="2"/>
  </si>
  <si>
    <t>#WK見積明細.数量</t>
    <phoneticPr fontId="2"/>
  </si>
  <si>
    <t>#WK見積明細.単位名</t>
    <phoneticPr fontId="2"/>
  </si>
  <si>
    <t>#WK見積明細.売上単価</t>
    <phoneticPr fontId="2"/>
  </si>
  <si>
    <t>#WK見積明細.売上金額</t>
    <phoneticPr fontId="2"/>
  </si>
  <si>
    <t>#WK見積明細.仕入先CD</t>
    <phoneticPr fontId="2"/>
  </si>
  <si>
    <t>#WK見積明細.仕入先略称</t>
    <phoneticPr fontId="2"/>
  </si>
  <si>
    <t>#WK見積明細.仕入単価</t>
    <phoneticPr fontId="2"/>
  </si>
  <si>
    <t>#WK見積明細.仕入金額</t>
    <phoneticPr fontId="2"/>
  </si>
  <si>
    <t>#WK見積明細.原価率</t>
    <phoneticPr fontId="2"/>
  </si>
  <si>
    <t>#WK見積明細.粗利益</t>
    <phoneticPr fontId="2"/>
  </si>
  <si>
    <t>#WK見積明細.配送先CD</t>
    <phoneticPr fontId="2"/>
  </si>
  <si>
    <t>#WK見積明細.配送先略称</t>
    <phoneticPr fontId="2"/>
  </si>
  <si>
    <t>#WK見積明細.社内在庫数</t>
    <phoneticPr fontId="2"/>
  </si>
  <si>
    <t>#WK見積明細.客先在庫数</t>
    <phoneticPr fontId="2"/>
  </si>
  <si>
    <t>#WK見積明細.転用数</t>
    <phoneticPr fontId="2"/>
  </si>
  <si>
    <t>#WK見積明細.発注数</t>
    <phoneticPr fontId="2"/>
  </si>
  <si>
    <t>#WK見積明細.製品区分</t>
    <phoneticPr fontId="2"/>
  </si>
  <si>
    <t>#WK見積明細.見積区分</t>
    <phoneticPr fontId="2"/>
  </si>
  <si>
    <t>仕分行数</t>
    <phoneticPr fontId="2"/>
  </si>
  <si>
    <t>SQL59.仕分行数</t>
    <rPh sb="6" eb="10">
      <t>シワケギョウスウ</t>
    </rPh>
    <phoneticPr fontId="2"/>
  </si>
  <si>
    <t>FROM #WK見積明細 AS MW</t>
    <phoneticPr fontId="2"/>
  </si>
  <si>
    <t xml:space="preserve">LEFT JOIN </t>
    <phoneticPr fontId="2"/>
  </si>
  <si>
    <t>(</t>
    <phoneticPr fontId="2"/>
  </si>
  <si>
    <t>) AS CN</t>
    <phoneticPr fontId="2"/>
  </si>
  <si>
    <t>ON MW.見積番号 = CN.見積番号 AND MW.仕分番号 = CN.仕分番号 AND MW.仕分名称 = CN.仕分名称</t>
    <phoneticPr fontId="2"/>
  </si>
  <si>
    <t>ORDER BY MW.仕分番号, MW.行番号　昇順でソート</t>
    <rPh sb="25" eb="27">
      <t>ショウジュン</t>
    </rPh>
    <phoneticPr fontId="2"/>
  </si>
  <si>
    <t>COUNT(#WK見積明細.行番号) AS 仕分行数</t>
    <phoneticPr fontId="2"/>
  </si>
  <si>
    <t>update</t>
    <phoneticPr fontId="2"/>
  </si>
  <si>
    <t>UPDATE TD見積</t>
    <phoneticPr fontId="2"/>
  </si>
  <si>
    <t>set</t>
    <phoneticPr fontId="2"/>
  </si>
  <si>
    <t>SET 見積書出力日 = GETDATE()</t>
    <phoneticPr fontId="2"/>
  </si>
  <si>
    <t>SQL18</t>
    <phoneticPr fontId="2"/>
  </si>
  <si>
    <t>SQL19</t>
    <phoneticPr fontId="2"/>
  </si>
  <si>
    <t>SQL20.見積番号</t>
    <phoneticPr fontId="2"/>
  </si>
  <si>
    <t>SQL20.仕分番号</t>
    <phoneticPr fontId="2"/>
  </si>
  <si>
    <t>SQL20.行番号</t>
    <phoneticPr fontId="2"/>
  </si>
  <si>
    <t>SQL20.数量</t>
  </si>
  <si>
    <t>SQL20.売上金額 AS 売上単価</t>
  </si>
  <si>
    <t>SQL20.売上金額</t>
  </si>
  <si>
    <t>SQL20.[仕入金額] AS 仕入単価</t>
  </si>
  <si>
    <t>SQL20.[仕入金額]</t>
  </si>
  <si>
    <t>SQL20.[見積区分]</t>
  </si>
  <si>
    <t>SQL21</t>
    <phoneticPr fontId="2"/>
  </si>
  <si>
    <t>SQL21.仕分名称</t>
  </si>
  <si>
    <t>SQL21.SP区分</t>
  </si>
  <si>
    <t>SQL21.PC区分</t>
  </si>
  <si>
    <t>SQL21.製品NO</t>
  </si>
  <si>
    <t>SQL21.仕様NO</t>
  </si>
  <si>
    <t>SQL21.漢字名称</t>
  </si>
  <si>
    <t>SQL21.W</t>
  </si>
  <si>
    <t>SQL21.D</t>
  </si>
  <si>
    <t>SQL21.H</t>
  </si>
  <si>
    <t>SQL21.D1</t>
  </si>
  <si>
    <t>SQL21.D2</t>
  </si>
  <si>
    <t>SQL21.H2</t>
  </si>
  <si>
    <t>SQL21.単位名</t>
  </si>
  <si>
    <t>SQL21.[仕入先CD]</t>
  </si>
  <si>
    <t>SQL21.[仕入先略称]</t>
  </si>
  <si>
    <t>SQL21.[原価率]</t>
  </si>
  <si>
    <t>SQL21.[粗利益]</t>
  </si>
  <si>
    <t>SQL21.[配送先CD]</t>
  </si>
  <si>
    <t>SQL21.[配送先略称]</t>
  </si>
  <si>
    <t>SQL21.[社内在庫数]</t>
  </si>
  <si>
    <t>SQL21.[客先在庫数]</t>
  </si>
  <si>
    <t>SQL21.[転用数]</t>
  </si>
  <si>
    <t>SQL21.[発注数]</t>
  </si>
  <si>
    <t>SQL21.[製品区分]</t>
  </si>
  <si>
    <t>SQL22</t>
    <phoneticPr fontId="2"/>
  </si>
  <si>
    <t>SQL23</t>
    <phoneticPr fontId="2"/>
  </si>
  <si>
    <t>SQL25</t>
    <phoneticPr fontId="2"/>
  </si>
  <si>
    <t>SQL26</t>
    <phoneticPr fontId="2"/>
  </si>
  <si>
    <t>SQL28</t>
    <phoneticPr fontId="2"/>
  </si>
  <si>
    <t>SQL30</t>
    <phoneticPr fontId="2"/>
  </si>
  <si>
    <t>SQL31</t>
    <phoneticPr fontId="2"/>
  </si>
  <si>
    <t>SQL34</t>
    <phoneticPr fontId="2"/>
  </si>
  <si>
    <t>SQL37</t>
    <phoneticPr fontId="2"/>
  </si>
  <si>
    <t>SQL27</t>
    <phoneticPr fontId="2"/>
  </si>
  <si>
    <t>SQL29</t>
    <phoneticPr fontId="2"/>
  </si>
  <si>
    <t>SQL32</t>
    <phoneticPr fontId="2"/>
  </si>
  <si>
    <t>SQL33</t>
    <phoneticPr fontId="2"/>
  </si>
  <si>
    <t>SQL35</t>
    <phoneticPr fontId="2"/>
  </si>
  <si>
    <t>SQL36</t>
    <phoneticPr fontId="2"/>
  </si>
  <si>
    <t>SQL38</t>
    <phoneticPr fontId="2"/>
  </si>
  <si>
    <t>SQL39</t>
    <phoneticPr fontId="2"/>
  </si>
  <si>
    <t>SQL40.見積番号</t>
  </si>
  <si>
    <t>SQL40.仕分番号</t>
  </si>
  <si>
    <t>SQL40.行番号</t>
  </si>
  <si>
    <t>SQL40.数量</t>
  </si>
  <si>
    <t>SQL40.売上金額 AS 売上単価</t>
  </si>
  <si>
    <t>SQL40.売上金額</t>
  </si>
  <si>
    <t>SQL40.[仕入金額] AS 仕入単価</t>
  </si>
  <si>
    <t>SQL40.[仕入金額]</t>
  </si>
  <si>
    <t>SQL40.[見積区分]</t>
  </si>
  <si>
    <t>SQL40</t>
  </si>
  <si>
    <t>SQL41</t>
  </si>
  <si>
    <t>SQL41</t>
    <phoneticPr fontId="2"/>
  </si>
  <si>
    <t>SQL41.仕分名称</t>
  </si>
  <si>
    <t>SQL41.SP区分</t>
  </si>
  <si>
    <t>SQL41.PC区分</t>
  </si>
  <si>
    <t>SQL41.製品NO</t>
  </si>
  <si>
    <t>SQL41.仕様NO</t>
  </si>
  <si>
    <t>SQL41.漢字名称</t>
  </si>
  <si>
    <t>SQL41.W</t>
  </si>
  <si>
    <t>SQL41.D</t>
  </si>
  <si>
    <t>SQL41.H</t>
  </si>
  <si>
    <t>SQL41.D1</t>
  </si>
  <si>
    <t>SQL41.D2</t>
  </si>
  <si>
    <t>SQL41.H2</t>
  </si>
  <si>
    <t>SQL41.単位名</t>
  </si>
  <si>
    <t>SQL41.[仕入先CD]</t>
  </si>
  <si>
    <t>SQL41.[仕入先略称]</t>
  </si>
  <si>
    <t>SQL41.[原価率]</t>
  </si>
  <si>
    <t>SQL41.[粗利益]</t>
  </si>
  <si>
    <t>SQL41.[配送先CD]</t>
  </si>
  <si>
    <t>SQL41.[配送先略称]</t>
  </si>
  <si>
    <t>SQL41.[社内在庫数]</t>
  </si>
  <si>
    <t>SQL41.[客先在庫数]</t>
  </si>
  <si>
    <t>SQL41.[転用数]</t>
  </si>
  <si>
    <t>SQL41.[発注数]</t>
  </si>
  <si>
    <t>SQL41.[製品区分]</t>
  </si>
  <si>
    <t>SQL42</t>
    <phoneticPr fontId="2"/>
  </si>
  <si>
    <t>SQL43</t>
    <phoneticPr fontId="2"/>
  </si>
  <si>
    <t>SQL44</t>
    <phoneticPr fontId="2"/>
  </si>
  <si>
    <t>合体</t>
    <phoneticPr fontId="2"/>
  </si>
  <si>
    <t>FROM #WK見積明細_明細</t>
    <phoneticPr fontId="2"/>
  </si>
  <si>
    <t>SQL45</t>
    <phoneticPr fontId="2"/>
  </si>
  <si>
    <t>SQL46</t>
    <phoneticPr fontId="2"/>
  </si>
  <si>
    <t>SQL47</t>
    <phoneticPr fontId="2"/>
  </si>
  <si>
    <t>WHERE 仕分番号 = 4</t>
    <phoneticPr fontId="2"/>
  </si>
  <si>
    <t>AND 番号 = 1</t>
    <phoneticPr fontId="2"/>
  </si>
  <si>
    <t>SQL48</t>
    <phoneticPr fontId="2"/>
  </si>
  <si>
    <t>SQL49</t>
    <phoneticPr fontId="2"/>
  </si>
  <si>
    <t>出力日更新</t>
    <phoneticPr fontId="2"/>
  </si>
  <si>
    <t>drop</t>
    <phoneticPr fontId="2"/>
  </si>
  <si>
    <t>DROP TABLE #WK見積明細</t>
    <phoneticPr fontId="2"/>
  </si>
  <si>
    <t>DROP TABLE #WK見積明細集計</t>
    <phoneticPr fontId="2"/>
  </si>
  <si>
    <t>DROP TABLE #WK見積明細_明細</t>
    <phoneticPr fontId="2"/>
  </si>
  <si>
    <t>DROP TABLE #WK見積明細集計_明細</t>
    <phoneticPr fontId="2"/>
  </si>
  <si>
    <t>ListName</t>
    <phoneticPr fontId="2"/>
  </si>
  <si>
    <t>TW見積出力履歴.ListName</t>
    <phoneticPr fontId="2"/>
  </si>
  <si>
    <t>IF NOT EXISTS</t>
    <phoneticPr fontId="2"/>
  </si>
  <si>
    <t>FROM TW見積出力履歴</t>
    <phoneticPr fontId="2"/>
  </si>
  <si>
    <t>WHERE ListName = "見積書"</t>
    <phoneticPr fontId="2"/>
  </si>
  <si>
    <t>AND Number = 画面.iNumber</t>
    <rPh sb="13" eb="15">
      <t>ガメン</t>
    </rPh>
    <phoneticPr fontId="2"/>
  </si>
  <si>
    <t>iNumberは伝票番号</t>
    <rPh sb="7" eb="11">
      <t>デンピョウバンゴウ</t>
    </rPh>
    <phoneticPr fontId="2"/>
  </si>
  <si>
    <t>"見積書"</t>
    <rPh sb="1" eb="3">
      <t>ミツモリ</t>
    </rPh>
    <rPh sb="3" eb="4">
      <t>ショ</t>
    </rPh>
    <phoneticPr fontId="2"/>
  </si>
  <si>
    <t>履歴情報書き込み</t>
    <phoneticPr fontId="2"/>
  </si>
  <si>
    <t>INSERT TW見積出力履歴</t>
    <phoneticPr fontId="2"/>
  </si>
  <si>
    <t>Number</t>
    <phoneticPr fontId="2"/>
  </si>
  <si>
    <t>@iNumber</t>
    <phoneticPr fontId="2"/>
  </si>
  <si>
    <t>iNumberは伝票番号</t>
    <phoneticPr fontId="2"/>
  </si>
  <si>
    <t>@iPCName</t>
    <phoneticPr fontId="2"/>
  </si>
  <si>
    <t>iPCNameはPC名</t>
    <rPh sb="9" eb="10">
      <t>メイ</t>
    </rPh>
    <phoneticPr fontId="2"/>
  </si>
  <si>
    <t>CreateDate</t>
  </si>
  <si>
    <t>現在日時</t>
    <rPh sb="0" eb="2">
      <t>ゲンザイ</t>
    </rPh>
    <rPh sb="2" eb="4">
      <t>ニチジ</t>
    </rPh>
    <phoneticPr fontId="2"/>
  </si>
  <si>
    <t>UPDATE TW見積出力履歴</t>
    <phoneticPr fontId="2"/>
  </si>
  <si>
    <t>SET PCName = @iPCName</t>
    <phoneticPr fontId="2"/>
  </si>
  <si>
    <t>iPCNameはPC名</t>
    <phoneticPr fontId="2"/>
  </si>
  <si>
    <t>CreateDate = 現在日時</t>
    <rPh sb="13" eb="17">
      <t>ゲンザイニチジ</t>
    </rPh>
    <phoneticPr fontId="2"/>
  </si>
  <si>
    <t>AND  Number = @iNumber</t>
    <phoneticPr fontId="2"/>
  </si>
  <si>
    <t>見積日付</t>
    <phoneticPr fontId="2"/>
  </si>
  <si>
    <t>TD見積.見積日付</t>
  </si>
  <si>
    <t>物件種別</t>
    <phoneticPr fontId="2"/>
  </si>
  <si>
    <t>TD見積.物件種別</t>
  </si>
  <si>
    <t>得意先CD</t>
    <phoneticPr fontId="2"/>
  </si>
  <si>
    <t>TD見積.得意先CD</t>
  </si>
  <si>
    <t>TD見積.見積件名</t>
  </si>
  <si>
    <t>合計金額</t>
    <phoneticPr fontId="2"/>
  </si>
  <si>
    <t>TD見積.合計金額 + TD見積.出精値引 AS 合計金額</t>
  </si>
  <si>
    <t>見積書出力日</t>
    <phoneticPr fontId="2"/>
  </si>
  <si>
    <t>TD見積.見積書出力日</t>
  </si>
  <si>
    <t>注文発行日</t>
    <phoneticPr fontId="2"/>
  </si>
  <si>
    <t>TD見積.注文発行日</t>
  </si>
  <si>
    <t>FROM TD見積 AS MT</t>
    <phoneticPr fontId="2"/>
  </si>
  <si>
    <t>WHERE</t>
    <phoneticPr fontId="2"/>
  </si>
  <si>
    <t>得意先CD LIKE '画面.得意先CD%'</t>
    <rPh sb="12" eb="14">
      <t>ガメン</t>
    </rPh>
    <phoneticPr fontId="2"/>
  </si>
  <si>
    <t>and</t>
    <phoneticPr fontId="2"/>
  </si>
  <si>
    <t>納入先CD Like '画面.納入先CD%'</t>
    <rPh sb="12" eb="14">
      <t>ガメン</t>
    </rPh>
    <phoneticPr fontId="2"/>
  </si>
  <si>
    <t>MT.見積番号 &gt;= 画面.開始見積番号 And MT.見積番号 &lt;= 画面.終了見積番号</t>
    <phoneticPr fontId="2"/>
  </si>
  <si>
    <t>見積件名 Like '%画面.見積件名%'</t>
    <rPh sb="12" eb="14">
      <t>ガメン</t>
    </rPh>
    <phoneticPr fontId="2"/>
  </si>
  <si>
    <t>MT.合計金額 + MT.出精値引 &gt;= 画面.開始見積金額 And MT.合計金額 + MT.出精値引 &lt;= 画面.終了見積金額</t>
    <phoneticPr fontId="2"/>
  </si>
  <si>
    <t>MT見積日付 &gt;= 画面.開始見積日付 And MT見積日付 &gt;= 画面.終了見積日付</t>
    <rPh sb="10" eb="12">
      <t>ガメン</t>
    </rPh>
    <phoneticPr fontId="2"/>
  </si>
  <si>
    <t>ORDER BY MT.見積日付 DESC, MT.見積番号 DESC　降順でソート</t>
    <rPh sb="36" eb="38">
      <t>コウジュン</t>
    </rPh>
    <phoneticPr fontId="2"/>
  </si>
  <si>
    <t>SQL55が存在しない場合に実施</t>
    <rPh sb="6" eb="8">
      <t>ソンザイ</t>
    </rPh>
    <rPh sb="11" eb="13">
      <t>バアイ</t>
    </rPh>
    <rPh sb="14" eb="16">
      <t>ジッシ</t>
    </rPh>
    <phoneticPr fontId="2"/>
  </si>
  <si>
    <t>SQL55が存在する場合に実施</t>
    <phoneticPr fontId="2"/>
  </si>
  <si>
    <t>[SQL45.見積番号]</t>
    <rPh sb="7" eb="11">
      <t>ミツモリバンゴウ</t>
    </rPh>
    <phoneticPr fontId="1"/>
  </si>
  <si>
    <t>"No." + [SQL45.見積番号]</t>
    <rPh sb="15" eb="19">
      <t>ミツモリバンゴウ</t>
    </rPh>
    <phoneticPr fontId="1"/>
  </si>
  <si>
    <t>[SQL45.見積日出力],[SQL45.見積日付]</t>
    <rPh sb="7" eb="12">
      <t>ミツモリビシュツリョク</t>
    </rPh>
    <rPh sb="21" eb="25">
      <t>ミツモリヒヅケ</t>
    </rPh>
    <phoneticPr fontId="1"/>
  </si>
  <si>
    <t>[SQL45.見積日出力]が1の場合[SQL45.見積日付]を表示</t>
    <rPh sb="7" eb="10">
      <t>ミツモリビ</t>
    </rPh>
    <rPh sb="10" eb="12">
      <t>シュツリョク</t>
    </rPh>
    <rPh sb="16" eb="18">
      <t>バアイ</t>
    </rPh>
    <rPh sb="25" eb="29">
      <t>ミツモリヒヅケ</t>
    </rPh>
    <rPh sb="31" eb="33">
      <t>ヒョウジ</t>
    </rPh>
    <phoneticPr fontId="1"/>
  </si>
  <si>
    <t>[SQL45.得意先名1],[SQL45.得意先名2]</t>
    <rPh sb="7" eb="10">
      <t>トクイサキ</t>
    </rPh>
    <rPh sb="10" eb="11">
      <t>メイ</t>
    </rPh>
    <rPh sb="21" eb="24">
      <t>トクイサキ</t>
    </rPh>
    <rPh sb="24" eb="25">
      <t>メイ</t>
    </rPh>
    <phoneticPr fontId="1"/>
  </si>
  <si>
    <t>[SQL45.得意先名2]が空の場合は何も表示しない、空でない場合は[SQL45.得意先名1]を表示。</t>
    <rPh sb="7" eb="10">
      <t>トクイサキ</t>
    </rPh>
    <rPh sb="10" eb="11">
      <t>メイ</t>
    </rPh>
    <rPh sb="14" eb="15">
      <t>カラ</t>
    </rPh>
    <rPh sb="16" eb="18">
      <t>バアイ</t>
    </rPh>
    <rPh sb="19" eb="20">
      <t>ナニ</t>
    </rPh>
    <rPh sb="21" eb="23">
      <t>ヒョウジ</t>
    </rPh>
    <rPh sb="27" eb="28">
      <t>カラ</t>
    </rPh>
    <rPh sb="31" eb="33">
      <t>バアイ</t>
    </rPh>
    <rPh sb="41" eb="44">
      <t>トクイサキ</t>
    </rPh>
    <rPh sb="44" eb="45">
      <t>メイ</t>
    </rPh>
    <rPh sb="48" eb="50">
      <t>ヒョウジ</t>
    </rPh>
    <phoneticPr fontId="1"/>
  </si>
  <si>
    <t>[SQL45.得意先名1],[SQL45.得意先名2]</t>
    <phoneticPr fontId="1"/>
  </si>
  <si>
    <t>[SQL45.得意先名2]が空の場合は[SQL45.得意先名1]、空でない場合は[SQL45.得意先名2]を表示。</t>
    <rPh sb="7" eb="10">
      <t>トクイサキ</t>
    </rPh>
    <rPh sb="10" eb="11">
      <t>メイ</t>
    </rPh>
    <rPh sb="14" eb="15">
      <t>カラ</t>
    </rPh>
    <rPh sb="16" eb="18">
      <t>バアイ</t>
    </rPh>
    <rPh sb="26" eb="29">
      <t>トクイサキ</t>
    </rPh>
    <rPh sb="29" eb="30">
      <t>メイ</t>
    </rPh>
    <rPh sb="33" eb="34">
      <t>カラ</t>
    </rPh>
    <rPh sb="37" eb="39">
      <t>バアイ</t>
    </rPh>
    <phoneticPr fontId="1"/>
  </si>
  <si>
    <t>[SQL45.合計金額],[SQL45.出精値引]</t>
    <rPh sb="7" eb="11">
      <t>ゴウケイキンガク</t>
    </rPh>
    <rPh sb="20" eb="24">
      <t>シュッセイネビキ</t>
    </rPh>
    <phoneticPr fontId="1"/>
  </si>
  <si>
    <t>[SQL45.合計金額]と[SQL45.出精値引]の合計。</t>
    <rPh sb="26" eb="28">
      <t>ゴウケイ</t>
    </rPh>
    <phoneticPr fontId="1"/>
  </si>
  <si>
    <t>[SQL45.見積日付],[TM税率.切替日付],[TM税率.税率],[TM税率.旧税率]</t>
    <phoneticPr fontId="1"/>
  </si>
  <si>
    <t>[SQL45.見積日付] &gt;= [TM税率.切替日付]の場合は[TM税率.税率]、
[SQL45.見積日付] &lt; [TM税率.切替日付]の場合は[TM税率.旧税率]を[税率]とする。
"消費税等(" + [税率] + "%)"で表示。</t>
    <rPh sb="93" eb="97">
      <t>ショウヒゼイトウ</t>
    </rPh>
    <rPh sb="103" eb="105">
      <t>ゼイリツ</t>
    </rPh>
    <rPh sb="114" eb="116">
      <t>ヒョウジ</t>
    </rPh>
    <phoneticPr fontId="1"/>
  </si>
  <si>
    <t>[SQL45.外税額]</t>
    <rPh sb="7" eb="10">
      <t>ガイゼイガク</t>
    </rPh>
    <phoneticPr fontId="1"/>
  </si>
  <si>
    <t>[SQL45.納期表示],[SQL45.納期S],[SQL45.納期E],[SQL45.納期その他]</t>
    <rPh sb="7" eb="11">
      <t>ノウキヒョウジ</t>
    </rPh>
    <rPh sb="20" eb="22">
      <t>ノウキ</t>
    </rPh>
    <rPh sb="32" eb="34">
      <t>ノウキ</t>
    </rPh>
    <rPh sb="44" eb="46">
      <t>ノウキ</t>
    </rPh>
    <rPh sb="48" eb="49">
      <t>タ</t>
    </rPh>
    <phoneticPr fontId="1"/>
  </si>
  <si>
    <t>[SQL45.納入得意先CD],[SQL45.現場名],[SQL45.納入先CD]</t>
    <rPh sb="7" eb="12">
      <t>ノウニュウトクイサキ</t>
    </rPh>
    <rPh sb="23" eb="26">
      <t>ゲンバメイ</t>
    </rPh>
    <rPh sb="35" eb="38">
      <t>ノウニュウサキ</t>
    </rPh>
    <phoneticPr fontId="1"/>
  </si>
  <si>
    <t>[SQL45.納入得意先CD]が"2401","8001"の場合は[SQL45.現場名]に対して[SQL45.納入先CD]文字を""に置き換えた値、そうでない場合は[SQL45.現場名]を表示。</t>
    <rPh sb="7" eb="12">
      <t>ノウニュウトクイサキ</t>
    </rPh>
    <rPh sb="30" eb="32">
      <t>バアイ</t>
    </rPh>
    <rPh sb="79" eb="81">
      <t>バアイ</t>
    </rPh>
    <rPh sb="89" eb="92">
      <t>ゲンバメイ</t>
    </rPh>
    <rPh sb="94" eb="96">
      <t>ヒョウジ</t>
    </rPh>
    <phoneticPr fontId="1"/>
  </si>
  <si>
    <t>[SQL45.納期表示]が0のとき[SQL45.納期S]と[SQL45.納期E]がどちらもnullでない場合は[SQL45.納期S] + "～" + [SQL45.納期E]を表示、どちらか片方がnullでない場合はnullでないものを表示、どちらもnullの場合は何も表示しない。
[SQL45.納期表示]が1の場合は"別途御打ち合せによる"、2の場合は[SQL45.納期その他]を表示。</t>
    <rPh sb="7" eb="11">
      <t>ノウキヒョウジ</t>
    </rPh>
    <rPh sb="24" eb="26">
      <t>ノウキ</t>
    </rPh>
    <rPh sb="36" eb="38">
      <t>ノウキ</t>
    </rPh>
    <rPh sb="52" eb="54">
      <t>バアイ</t>
    </rPh>
    <rPh sb="62" eb="64">
      <t>ノウキ</t>
    </rPh>
    <rPh sb="82" eb="84">
      <t>ノウキ</t>
    </rPh>
    <rPh sb="87" eb="89">
      <t>ヒョウジ</t>
    </rPh>
    <rPh sb="94" eb="96">
      <t>カタホウ</t>
    </rPh>
    <rPh sb="104" eb="106">
      <t>バアイ</t>
    </rPh>
    <rPh sb="117" eb="119">
      <t>ヒョウジ</t>
    </rPh>
    <rPh sb="129" eb="131">
      <t>バアイ</t>
    </rPh>
    <rPh sb="132" eb="133">
      <t>ナニ</t>
    </rPh>
    <rPh sb="134" eb="136">
      <t>ヒョウジ</t>
    </rPh>
    <rPh sb="148" eb="152">
      <t>ノウキヒョウジ</t>
    </rPh>
    <rPh sb="156" eb="158">
      <t>バアイ</t>
    </rPh>
    <rPh sb="174" eb="176">
      <t>バアイ</t>
    </rPh>
    <rPh sb="184" eb="186">
      <t>ノウキ</t>
    </rPh>
    <rPh sb="188" eb="189">
      <t>タ</t>
    </rPh>
    <rPh sb="191" eb="193">
      <t>ヒョウジ</t>
    </rPh>
    <phoneticPr fontId="1"/>
  </si>
  <si>
    <t>[SQL45.納入得意先CD],[SQL45.納入先CD]</t>
    <rPh sb="7" eb="12">
      <t>ノウニュウトクイサキ</t>
    </rPh>
    <rPh sb="23" eb="26">
      <t>ノウニュウサキ</t>
    </rPh>
    <phoneticPr fontId="1"/>
  </si>
  <si>
    <t>[SQL45.納入得意先CD]が"2401","8001"の場合は[SQL45.納入先CD]、そうでない場合は何も表示しない。</t>
    <rPh sb="7" eb="12">
      <t>ノウニュウトクイサキ</t>
    </rPh>
    <rPh sb="30" eb="32">
      <t>バアイ</t>
    </rPh>
    <rPh sb="40" eb="43">
      <t>ノウニュウサキ</t>
    </rPh>
    <rPh sb="52" eb="54">
      <t>バアイ</t>
    </rPh>
    <rPh sb="55" eb="56">
      <t>ナニ</t>
    </rPh>
    <rPh sb="57" eb="59">
      <t>ヒョウジ</t>
    </rPh>
    <phoneticPr fontId="1"/>
  </si>
  <si>
    <t>[SQL45.支払条件],[SQL45.支払条件その他]</t>
    <rPh sb="7" eb="11">
      <t>シハライジョウケン</t>
    </rPh>
    <rPh sb="20" eb="24">
      <t>シハライジョウケン</t>
    </rPh>
    <rPh sb="26" eb="27">
      <t>タ</t>
    </rPh>
    <phoneticPr fontId="1"/>
  </si>
  <si>
    <t>[SQL45.支払条件]が0の場合は"別途御打ち合せによる"、1の場合は[SQL45.支払条件その他]</t>
    <rPh sb="7" eb="11">
      <t>シハライジョウケン</t>
    </rPh>
    <rPh sb="15" eb="17">
      <t>バアイ</t>
    </rPh>
    <rPh sb="19" eb="21">
      <t>ベット</t>
    </rPh>
    <rPh sb="21" eb="23">
      <t>オウ</t>
    </rPh>
    <rPh sb="24" eb="25">
      <t>アワ</t>
    </rPh>
    <rPh sb="33" eb="35">
      <t>バアイ</t>
    </rPh>
    <rPh sb="43" eb="47">
      <t>シハライジョウケン</t>
    </rPh>
    <rPh sb="49" eb="50">
      <t>タ</t>
    </rPh>
    <phoneticPr fontId="1"/>
  </si>
  <si>
    <t>SQL45.有効期限]</t>
    <rPh sb="6" eb="8">
      <t>ユウコウ</t>
    </rPh>
    <rPh sb="8" eb="10">
      <t>キゲン</t>
    </rPh>
    <phoneticPr fontId="1"/>
  </si>
  <si>
    <t>[SQL45.有効期限]が0でない場合は[SQL45.有効期限] + "日"で表示。</t>
    <rPh sb="7" eb="11">
      <t>ユウコウキゲン</t>
    </rPh>
    <rPh sb="17" eb="19">
      <t>バアイ</t>
    </rPh>
    <rPh sb="27" eb="31">
      <t>ユウコウキゲン</t>
    </rPh>
    <rPh sb="36" eb="37">
      <t>ヒ</t>
    </rPh>
    <rPh sb="39" eb="41">
      <t>ヒョウジ</t>
    </rPh>
    <phoneticPr fontId="1"/>
  </si>
  <si>
    <t>[SQL45.備考]</t>
    <rPh sb="7" eb="9">
      <t>ビコウ</t>
    </rPh>
    <phoneticPr fontId="1"/>
  </si>
  <si>
    <t>[SQL45.見積件名]</t>
    <rPh sb="7" eb="11">
      <t>ミツモリケンメイ</t>
    </rPh>
    <phoneticPr fontId="1"/>
  </si>
  <si>
    <t>[SQL45.ウエルシア売場面積]</t>
    <rPh sb="12" eb="16">
      <t>ウリバメンセキ</t>
    </rPh>
    <phoneticPr fontId="1"/>
  </si>
  <si>
    <t>[SQL45.ウエルシア売場面積]が0でない場合は"売 場 面 積 ："を表示。</t>
    <rPh sb="12" eb="16">
      <t>ウリバメンセキ</t>
    </rPh>
    <rPh sb="22" eb="24">
      <t>バアイ</t>
    </rPh>
    <rPh sb="37" eb="39">
      <t>ヒョウジ</t>
    </rPh>
    <phoneticPr fontId="1"/>
  </si>
  <si>
    <t>[SQL45.ウエルシア売場面積]が0でない場合は[SQL45.ウエルシ売場面積]　+ "坪"を表示。</t>
    <rPh sb="12" eb="16">
      <t>ウリバメンセキ</t>
    </rPh>
    <rPh sb="22" eb="24">
      <t>バアイ</t>
    </rPh>
    <rPh sb="36" eb="38">
      <t>ウリバ</t>
    </rPh>
    <rPh sb="38" eb="40">
      <t>メンセキ</t>
    </rPh>
    <rPh sb="45" eb="46">
      <t>ツボ</t>
    </rPh>
    <rPh sb="48" eb="50">
      <t>ヒョウジ</t>
    </rPh>
    <phoneticPr fontId="1"/>
  </si>
  <si>
    <t>[SQL45.問い合わせ先]</t>
    <rPh sb="7" eb="8">
      <t>ト</t>
    </rPh>
    <rPh sb="9" eb="10">
      <t>ア</t>
    </rPh>
    <rPh sb="12" eb="13">
      <t>サキ</t>
    </rPh>
    <phoneticPr fontId="1"/>
  </si>
  <si>
    <t>[SQL45.問い合わせ先]が空の場合は何も表示しない</t>
    <rPh sb="7" eb="8">
      <t>ト</t>
    </rPh>
    <rPh sb="9" eb="10">
      <t>ア</t>
    </rPh>
    <rPh sb="12" eb="13">
      <t>サキ</t>
    </rPh>
    <rPh sb="15" eb="16">
      <t>カラ</t>
    </rPh>
    <rPh sb="17" eb="19">
      <t>バアイ</t>
    </rPh>
    <rPh sb="20" eb="21">
      <t>ナニ</t>
    </rPh>
    <rPh sb="22" eb="24">
      <t>ヒョウジ</t>
    </rPh>
    <phoneticPr fontId="1"/>
  </si>
  <si>
    <t>[SQL46.仕分番号]</t>
    <rPh sb="7" eb="9">
      <t>シワケ</t>
    </rPh>
    <rPh sb="9" eb="11">
      <t>バンゴウ</t>
    </rPh>
    <phoneticPr fontId="1"/>
  </si>
  <si>
    <t>[33.数量_元]</t>
    <rPh sb="4" eb="6">
      <t>スウリョウ</t>
    </rPh>
    <rPh sb="7" eb="8">
      <t>モト</t>
    </rPh>
    <phoneticPr fontId="1"/>
  </si>
  <si>
    <t>[36.単価_元]</t>
    <rPh sb="4" eb="6">
      <t>タンカ</t>
    </rPh>
    <rPh sb="7" eb="8">
      <t>モト</t>
    </rPh>
    <phoneticPr fontId="1"/>
  </si>
  <si>
    <t>[SQL48.見積区分],[SQL48.行番号]</t>
    <rPh sb="7" eb="9">
      <t>ミツモリ</t>
    </rPh>
    <rPh sb="9" eb="11">
      <t>クブン</t>
    </rPh>
    <rPh sb="20" eb="23">
      <t>ギョウバンゴウ</t>
    </rPh>
    <phoneticPr fontId="1"/>
  </si>
  <si>
    <t>[SQL48.見積区分]が"C"か"A"か"S"の場合は""、それ以外の場合は[SQL48.行番号]を表示</t>
    <rPh sb="7" eb="11">
      <t>ミツモリクブン</t>
    </rPh>
    <phoneticPr fontId="1"/>
  </si>
  <si>
    <t>[SQL48.見積区分],[SQL48.漢字名称]</t>
    <rPh sb="7" eb="11">
      <t>ミツモリクブン</t>
    </rPh>
    <rPh sb="20" eb="24">
      <t>カンジメイショウ</t>
    </rPh>
    <phoneticPr fontId="1"/>
  </si>
  <si>
    <t>[SQL48.見積区分]が"C"か"A"か"S"の場合は半角スペース2つ + [SQL48.漢字名称]、それ以外の場合は[SQL48.漢字名称]のみ表示</t>
  </si>
  <si>
    <t>[SQL48.PC区分],[SQL48.製品NO]</t>
    <rPh sb="9" eb="11">
      <t>クブン</t>
    </rPh>
    <rPh sb="20" eb="22">
      <t>セイヒン</t>
    </rPh>
    <phoneticPr fontId="1"/>
  </si>
  <si>
    <t>[SQL48.PC区分] + [SQL48.製品NO]で表示</t>
  </si>
  <si>
    <t>[SQL48.仕様NO]</t>
    <rPh sb="7" eb="9">
      <t>シヨウ</t>
    </rPh>
    <phoneticPr fontId="1"/>
  </si>
  <si>
    <t>[SQL48.W]</t>
  </si>
  <si>
    <t>[SQL48.D],[SQL48.D1],[SQL48.D2]</t>
  </si>
  <si>
    <t>[SQL48.D]が0でない場合は[SQL48.D]を表示。
[SQL48.D]が0で[SQL48.D1]と[SQL48.D2]が0でない場合は[SQL48.D1] + "/" [SQL48.D2]を表示。すべて0の場合は何も表示しない。</t>
  </si>
  <si>
    <t>[SQL48.H],[SQL48.H1],[SQL48.H2]</t>
  </si>
  <si>
    <t>[SQL48.H]が0でない場合は[SQL48.H]を表示。
[SQL48.H]が0で[SQL48.H1]と[SQL48.H2]が0でない場合は[SQL48.H1] + "/" [SQL48.H2]を表示。すべて0の場合は何も表示しない。</t>
  </si>
  <si>
    <t>[SQL48.単位名]</t>
    <rPh sb="7" eb="10">
      <t>タンイメイ</t>
    </rPh>
    <phoneticPr fontId="1"/>
  </si>
  <si>
    <t>[画面.書式区分],[SQL48.売上単価]</t>
    <rPh sb="1" eb="3">
      <t>ガメン</t>
    </rPh>
    <rPh sb="4" eb="6">
      <t>ショシキ</t>
    </rPh>
    <rPh sb="17" eb="21">
      <t>ウリアゲタンカ</t>
    </rPh>
    <phoneticPr fontId="1"/>
  </si>
  <si>
    <t>[画面.書式区分]が1以外の場合は[SQL48.売上単価]を表示、それ以外の場合は何も表示しない。</t>
    <rPh sb="1" eb="3">
      <t>ガメン</t>
    </rPh>
    <rPh sb="4" eb="6">
      <t>ショシキ</t>
    </rPh>
    <rPh sb="11" eb="13">
      <t>イガイ</t>
    </rPh>
    <rPh sb="14" eb="16">
      <t>バアイ</t>
    </rPh>
    <rPh sb="24" eb="26">
      <t>ウリアゲ</t>
    </rPh>
    <rPh sb="26" eb="28">
      <t>タンカ</t>
    </rPh>
    <rPh sb="30" eb="32">
      <t>ヒョウジ</t>
    </rPh>
    <rPh sb="35" eb="37">
      <t>イガイ</t>
    </rPh>
    <rPh sb="38" eb="40">
      <t>バアイ</t>
    </rPh>
    <rPh sb="41" eb="42">
      <t>ナニ</t>
    </rPh>
    <rPh sb="43" eb="45">
      <t>ヒョウジ</t>
    </rPh>
    <phoneticPr fontId="1"/>
  </si>
  <si>
    <t>[33.数量_元]が整数の場合は1の位まで表示、小数の場合は小数点第2位まで表示</t>
    <phoneticPr fontId="1"/>
  </si>
  <si>
    <t>[SQL48.数量]</t>
    <phoneticPr fontId="1"/>
  </si>
  <si>
    <t>[TD見積.売上端数],[TD見積シート内訳.数量],[TD見積シートM.売上単価][画面.書式区分],[TD見積シートM.見積区分],[SQL48.売上金額]</t>
    <rPh sb="43" eb="45">
      <t>ガメン</t>
    </rPh>
    <rPh sb="46" eb="48">
      <t>ショシキ</t>
    </rPh>
    <rPh sb="55" eb="57">
      <t>ミツモリ</t>
    </rPh>
    <rPh sb="62" eb="66">
      <t>ミツモリクブン</t>
    </rPh>
    <rPh sb="75" eb="79">
      <t>ウリアゲキンガク</t>
    </rPh>
    <phoneticPr fontId="1"/>
  </si>
  <si>
    <t>[SQL48仕分名称]</t>
    <rPh sb="6" eb="8">
      <t>シワケ</t>
    </rPh>
    <rPh sb="8" eb="10">
      <t>メイショウ</t>
    </rPh>
    <phoneticPr fontId="1"/>
  </si>
  <si>
    <t>17行目でまだデータが存在する場合、"次ページへ"を表示、
データ最終行の場合は"【合　　計】"を表示、
最終行ではなくページの終わりの場合は"【" &amp; [SQL48仕分名称] &amp; "小計】"を表示。</t>
    <rPh sb="33" eb="36">
      <t>サイシュウギョウ</t>
    </rPh>
    <rPh sb="37" eb="39">
      <t>バアイ</t>
    </rPh>
    <rPh sb="49" eb="51">
      <t>ヒョウジ</t>
    </rPh>
    <phoneticPr fontId="1"/>
  </si>
  <si>
    <t>コールセンター</t>
    <phoneticPr fontId="2"/>
  </si>
  <si>
    <t>[TM会社.コールセンター番号]</t>
    <phoneticPr fontId="1"/>
  </si>
  <si>
    <t>A4横</t>
    <rPh sb="2" eb="3">
      <t>ヨコ</t>
    </rPh>
    <phoneticPr fontId="2"/>
  </si>
  <si>
    <t>システム分類</t>
    <phoneticPr fontId="2"/>
  </si>
  <si>
    <t>受発注システム</t>
    <phoneticPr fontId="2"/>
  </si>
  <si>
    <t>受発注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</si>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</sst>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sz val="9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</fills>
  <borders count="7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28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3" fillId="0" borderId="0" xfId="1" applyFont="1" applyAlignment="1"/>
    <xf numFmtId="0" fontId="14" fillId="0" borderId="0" xfId="1" applyFont="1" applyBorder="1" applyAlignment="1">
      <alignment horizontal="left"/>
    </xf>
    <xf numFmtId="0" fontId="15" fillId="0" borderId="0" xfId="1" applyFont="1"/>
    <xf numFmtId="0" fontId="9" fillId="0" borderId="0" xfId="1" applyFont="1"/>
    <xf numFmtId="0" fontId="12" fillId="0" borderId="41" xfId="1" applyFont="1" applyBorder="1"/>
    <xf numFmtId="0" fontId="14" fillId="0" borderId="41" xfId="1" applyFont="1" applyBorder="1"/>
    <xf numFmtId="0" fontId="10" fillId="0" borderId="41" xfId="1" applyFont="1" applyBorder="1"/>
    <xf numFmtId="0" fontId="12" fillId="0" borderId="0" xfId="1" applyFont="1"/>
    <xf numFmtId="0" fontId="12" fillId="0" borderId="6" xfId="1" applyFont="1" applyBorder="1"/>
    <xf numFmtId="0" fontId="14" fillId="0" borderId="6" xfId="1" applyFont="1" applyBorder="1"/>
    <xf numFmtId="0" fontId="10" fillId="0" borderId="6" xfId="1" applyFont="1" applyBorder="1"/>
    <xf numFmtId="0" fontId="10" fillId="0" borderId="0" xfId="1" applyFont="1" applyAlignment="1">
      <alignment vertical="top"/>
    </xf>
    <xf numFmtId="0" fontId="10" fillId="0" borderId="0" xfId="1" applyFont="1" applyAlignment="1">
      <alignment horizontal="right"/>
    </xf>
    <xf numFmtId="0" fontId="10" fillId="0" borderId="6" xfId="1" applyFont="1" applyBorder="1" applyAlignment="1">
      <alignment shrinkToFit="1"/>
    </xf>
    <xf numFmtId="0" fontId="17" fillId="0" borderId="0" xfId="1" applyFont="1"/>
    <xf numFmtId="0" fontId="10" fillId="0" borderId="41" xfId="1" applyFont="1" applyBorder="1" applyAlignment="1">
      <alignment shrinkToFit="1"/>
    </xf>
    <xf numFmtId="0" fontId="18" fillId="0" borderId="0" xfId="1" applyFont="1"/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10" fillId="0" borderId="0" xfId="1" applyFont="1" applyFill="1"/>
    <xf numFmtId="0" fontId="9" fillId="0" borderId="1" xfId="1" applyFont="1" applyFill="1" applyBorder="1" applyAlignment="1">
      <alignment horizontal="center" vertical="center"/>
    </xf>
    <xf numFmtId="0" fontId="9" fillId="0" borderId="1" xfId="1" applyFont="1" applyFill="1" applyBorder="1"/>
    <xf numFmtId="0" fontId="10" fillId="0" borderId="41" xfId="1" applyFont="1" applyFill="1" applyBorder="1" applyAlignment="1">
      <alignment horizontal="centerContinuous"/>
    </xf>
    <xf numFmtId="0" fontId="10" fillId="0" borderId="0" xfId="1" applyFont="1" applyFill="1" applyAlignment="1">
      <alignment vertical="top"/>
    </xf>
    <xf numFmtId="178" fontId="9" fillId="0" borderId="1" xfId="1" applyNumberFormat="1" applyFont="1" applyFill="1" applyBorder="1"/>
    <xf numFmtId="0" fontId="3" fillId="5" borderId="17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left" vertical="center"/>
    </xf>
    <xf numFmtId="0" fontId="3" fillId="2" borderId="58" xfId="0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47" xfId="0" applyFont="1" applyFill="1" applyBorder="1">
      <alignment vertical="center"/>
    </xf>
    <xf numFmtId="0" fontId="3" fillId="2" borderId="48" xfId="0" applyFont="1" applyFill="1" applyBorder="1">
      <alignment vertical="center"/>
    </xf>
    <xf numFmtId="0" fontId="3" fillId="2" borderId="49" xfId="0" applyFont="1" applyFill="1" applyBorder="1">
      <alignment vertical="center"/>
    </xf>
    <xf numFmtId="0" fontId="3" fillId="2" borderId="60" xfId="0" quotePrefix="1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 applyAlignment="1">
      <alignment horizontal="left"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64" xfId="0" quotePrefix="1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0" xfId="0" quotePrefix="1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3" xfId="0" quotePrefix="1" applyFont="1" applyFill="1" applyBorder="1">
      <alignment vertical="center"/>
    </xf>
    <xf numFmtId="0" fontId="3" fillId="2" borderId="69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47" xfId="0" quotePrefix="1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" xfId="0" quotePrefix="1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41" xfId="0" quotePrefix="1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3" fillId="2" borderId="74" xfId="0" applyFont="1" applyFill="1" applyBorder="1">
      <alignment vertical="center"/>
    </xf>
    <xf numFmtId="0" fontId="3" fillId="2" borderId="73" xfId="0" quotePrefix="1" applyFont="1" applyFill="1" applyBorder="1">
      <alignment vertical="center"/>
    </xf>
    <xf numFmtId="0" fontId="3" fillId="2" borderId="75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center"/>
    </xf>
    <xf numFmtId="0" fontId="1" fillId="0" borderId="7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8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3" fillId="2" borderId="43" xfId="0" applyFont="1" applyFill="1" applyBorder="1" applyAlignment="1">
      <alignment horizontal="left" vertical="center"/>
    </xf>
    <xf numFmtId="0" fontId="1" fillId="0" borderId="39" xfId="0" applyFont="1" applyFill="1" applyBorder="1" applyAlignment="1">
      <alignment horizontal="left" vertical="center"/>
    </xf>
    <xf numFmtId="0" fontId="1" fillId="0" borderId="42" xfId="0" applyFont="1" applyFill="1" applyBorder="1" applyAlignment="1">
      <alignment horizontal="left" vertical="center"/>
    </xf>
    <xf numFmtId="0" fontId="1" fillId="0" borderId="44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2" xfId="0" applyFont="1" applyFill="1" applyBorder="1" applyAlignment="1">
      <alignment horizontal="left" vertical="center"/>
    </xf>
    <xf numFmtId="0" fontId="3" fillId="0" borderId="44" xfId="0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horizontal="left" vertical="center"/>
    </xf>
    <xf numFmtId="0" fontId="20" fillId="2" borderId="6" xfId="0" applyFont="1" applyFill="1" applyBorder="1" applyAlignment="1">
      <alignment horizontal="left" vertical="center"/>
    </xf>
    <xf numFmtId="0" fontId="20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32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 shrinkToFit="1"/>
    </xf>
    <xf numFmtId="14" fontId="3" fillId="2" borderId="3" xfId="0" applyNumberFormat="1" applyFont="1" applyFill="1" applyBorder="1" applyAlignment="1">
      <alignment horizontal="center" vertical="center" shrinkToFit="1"/>
    </xf>
    <xf numFmtId="14" fontId="3" fillId="2" borderId="4" xfId="0" applyNumberFormat="1" applyFont="1" applyFill="1" applyBorder="1" applyAlignment="1">
      <alignment horizontal="center" vertical="center" shrinkToFit="1"/>
    </xf>
    <xf numFmtId="14" fontId="3" fillId="2" borderId="25" xfId="0" applyNumberFormat="1" applyFont="1" applyFill="1" applyBorder="1" applyAlignment="1">
      <alignment horizontal="center" vertical="center" shrinkToFit="1"/>
    </xf>
    <xf numFmtId="14" fontId="3" fillId="2" borderId="14" xfId="0" applyNumberFormat="1" applyFont="1" applyFill="1" applyBorder="1" applyAlignment="1">
      <alignment horizontal="center" vertical="center" shrinkToFit="1"/>
    </xf>
    <xf numFmtId="14" fontId="3" fillId="2" borderId="26" xfId="0" applyNumberFormat="1" applyFont="1" applyFill="1" applyBorder="1" applyAlignment="1">
      <alignment horizontal="center" vertical="center" shrinkToFi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2" borderId="60" xfId="0" applyFont="1" applyFill="1" applyBorder="1" applyAlignment="1">
      <alignment horizontal="center" vertical="center" shrinkToFit="1"/>
    </xf>
    <xf numFmtId="0" fontId="3" fillId="2" borderId="58" xfId="0" applyFont="1" applyFill="1" applyBorder="1" applyAlignment="1">
      <alignment horizontal="center" vertical="center" shrinkToFit="1"/>
    </xf>
    <xf numFmtId="0" fontId="3" fillId="2" borderId="59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2" borderId="55" xfId="0" applyFont="1" applyFill="1" applyBorder="1" applyAlignment="1">
      <alignment horizontal="center" vertical="center" shrinkToFit="1"/>
    </xf>
    <xf numFmtId="0" fontId="3" fillId="3" borderId="70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3" borderId="60" xfId="0" applyFont="1" applyFill="1" applyBorder="1" applyAlignment="1">
      <alignment horizontal="center" vertical="center"/>
    </xf>
    <xf numFmtId="0" fontId="3" fillId="3" borderId="58" xfId="0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14" fontId="3" fillId="2" borderId="46" xfId="0" applyNumberFormat="1" applyFont="1" applyFill="1" applyBorder="1" applyAlignment="1">
      <alignment horizontal="center" vertical="center" shrinkToFit="1"/>
    </xf>
    <xf numFmtId="14" fontId="3" fillId="2" borderId="52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56" xfId="0" applyFont="1" applyFill="1" applyBorder="1" applyAlignment="1">
      <alignment horizontal="center" vertical="center" shrinkToFit="1"/>
    </xf>
    <xf numFmtId="0" fontId="3" fillId="3" borderId="72" xfId="0" applyFont="1" applyFill="1" applyBorder="1" applyAlignment="1">
      <alignment horizontal="center" vertical="center"/>
    </xf>
    <xf numFmtId="0" fontId="12" fillId="0" borderId="0" xfId="1" applyFont="1" applyAlignment="1"/>
    <xf numFmtId="0" fontId="10" fillId="0" borderId="0" xfId="1" applyFont="1" applyAlignment="1"/>
    <xf numFmtId="0" fontId="12" fillId="0" borderId="0" xfId="1" applyFont="1" applyBorder="1" applyAlignment="1">
      <alignment shrinkToFit="1"/>
    </xf>
    <xf numFmtId="0" fontId="10" fillId="0" borderId="0" xfId="1" applyFont="1" applyBorder="1" applyAlignment="1">
      <alignment shrinkToFit="1"/>
    </xf>
    <xf numFmtId="177" fontId="14" fillId="0" borderId="41" xfId="1" applyNumberFormat="1" applyFont="1" applyBorder="1" applyAlignment="1">
      <alignment horizontal="right"/>
    </xf>
    <xf numFmtId="177" fontId="13" fillId="0" borderId="41" xfId="1" applyNumberFormat="1" applyFont="1" applyBorder="1" applyAlignment="1"/>
    <xf numFmtId="177" fontId="14" fillId="0" borderId="6" xfId="1" applyNumberFormat="1" applyFont="1" applyBorder="1" applyAlignment="1">
      <alignment horizontal="right"/>
    </xf>
    <xf numFmtId="0" fontId="10" fillId="0" borderId="41" xfId="1" applyFont="1" applyBorder="1" applyAlignment="1">
      <alignment shrinkToFit="1"/>
    </xf>
    <xf numFmtId="0" fontId="10" fillId="0" borderId="41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49" fontId="9" fillId="0" borderId="5" xfId="1" applyNumberFormat="1" applyFont="1" applyBorder="1" applyAlignment="1">
      <alignment shrinkToFit="1"/>
    </xf>
    <xf numFmtId="49" fontId="9" fillId="0" borderId="7" xfId="1" applyNumberFormat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19" fillId="0" borderId="41" xfId="1" applyFont="1" applyBorder="1" applyAlignment="1">
      <alignment vertical="center" wrapTex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157522</xdr:colOff>
      <xdr:row>6</xdr:row>
      <xdr:rowOff>169050</xdr:rowOff>
    </xdr:from>
    <xdr:to>
      <xdr:col>55</xdr:col>
      <xdr:colOff>213662</xdr:colOff>
      <xdr:row>42</xdr:row>
      <xdr:rowOff>9456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1865" y="1301164"/>
          <a:ext cx="12792426" cy="8853778"/>
        </a:xfrm>
        <a:prstGeom prst="rect">
          <a:avLst/>
        </a:prstGeom>
      </xdr:spPr>
    </xdr:pic>
    <xdr:clientData/>
  </xdr:twoCellAnchor>
  <xdr:twoCellAnchor>
    <xdr:from>
      <xdr:col>50</xdr:col>
      <xdr:colOff>47385</xdr:colOff>
      <xdr:row>39</xdr:row>
      <xdr:rowOff>200426</xdr:rowOff>
    </xdr:from>
    <xdr:to>
      <xdr:col>51</xdr:col>
      <xdr:colOff>110137</xdr:colOff>
      <xdr:row>41</xdr:row>
      <xdr:rowOff>21133</xdr:rowOff>
    </xdr:to>
    <xdr:sp macro="" textlink="">
      <xdr:nvSpPr>
        <xdr:cNvPr id="3" name="正方形/長方形 2"/>
        <xdr:cNvSpPr/>
      </xdr:nvSpPr>
      <xdr:spPr>
        <a:xfrm>
          <a:off x="13946265" y="9626366"/>
          <a:ext cx="344692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134471</xdr:colOff>
      <xdr:row>22</xdr:row>
      <xdr:rowOff>211312</xdr:rowOff>
    </xdr:from>
    <xdr:to>
      <xdr:col>51</xdr:col>
      <xdr:colOff>197223</xdr:colOff>
      <xdr:row>24</xdr:row>
      <xdr:rowOff>32019</xdr:rowOff>
    </xdr:to>
    <xdr:sp macro="" textlink="">
      <xdr:nvSpPr>
        <xdr:cNvPr id="5" name="正方形/長方形 4"/>
        <xdr:cNvSpPr/>
      </xdr:nvSpPr>
      <xdr:spPr>
        <a:xfrm>
          <a:off x="14033351" y="5362432"/>
          <a:ext cx="344692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188900</xdr:colOff>
      <xdr:row>25</xdr:row>
      <xdr:rowOff>26255</xdr:rowOff>
    </xdr:from>
    <xdr:to>
      <xdr:col>41</xdr:col>
      <xdr:colOff>251651</xdr:colOff>
      <xdr:row>26</xdr:row>
      <xdr:rowOff>97333</xdr:rowOff>
    </xdr:to>
    <xdr:sp macro="" textlink="">
      <xdr:nvSpPr>
        <xdr:cNvPr id="6" name="正方形/長方形 5"/>
        <xdr:cNvSpPr/>
      </xdr:nvSpPr>
      <xdr:spPr>
        <a:xfrm>
          <a:off x="11268380" y="5931755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29</xdr:col>
      <xdr:colOff>69156</xdr:colOff>
      <xdr:row>25</xdr:row>
      <xdr:rowOff>26255</xdr:rowOff>
    </xdr:from>
    <xdr:to>
      <xdr:col>30</xdr:col>
      <xdr:colOff>131908</xdr:colOff>
      <xdr:row>26</xdr:row>
      <xdr:rowOff>97333</xdr:rowOff>
    </xdr:to>
    <xdr:sp macro="" textlink="">
      <xdr:nvSpPr>
        <xdr:cNvPr id="7" name="正方形/長方形 6"/>
        <xdr:cNvSpPr/>
      </xdr:nvSpPr>
      <xdr:spPr>
        <a:xfrm>
          <a:off x="8047296" y="5931755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90927</xdr:colOff>
      <xdr:row>25</xdr:row>
      <xdr:rowOff>37141</xdr:rowOff>
    </xdr:from>
    <xdr:to>
      <xdr:col>14</xdr:col>
      <xdr:colOff>153679</xdr:colOff>
      <xdr:row>26</xdr:row>
      <xdr:rowOff>108219</xdr:rowOff>
    </xdr:to>
    <xdr:sp macro="" textlink="">
      <xdr:nvSpPr>
        <xdr:cNvPr id="8" name="正方形/長方形 7"/>
        <xdr:cNvSpPr/>
      </xdr:nvSpPr>
      <xdr:spPr>
        <a:xfrm>
          <a:off x="3558027" y="5942641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37</xdr:col>
      <xdr:colOff>265100</xdr:colOff>
      <xdr:row>25</xdr:row>
      <xdr:rowOff>26255</xdr:rowOff>
    </xdr:from>
    <xdr:to>
      <xdr:col>39</xdr:col>
      <xdr:colOff>44823</xdr:colOff>
      <xdr:row>26</xdr:row>
      <xdr:rowOff>97333</xdr:rowOff>
    </xdr:to>
    <xdr:sp macro="" textlink="">
      <xdr:nvSpPr>
        <xdr:cNvPr id="10" name="正方形/長方形 9"/>
        <xdr:cNvSpPr/>
      </xdr:nvSpPr>
      <xdr:spPr>
        <a:xfrm>
          <a:off x="10541214" y="5915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25</xdr:col>
      <xdr:colOff>275986</xdr:colOff>
      <xdr:row>25</xdr:row>
      <xdr:rowOff>15369</xdr:rowOff>
    </xdr:from>
    <xdr:to>
      <xdr:col>27</xdr:col>
      <xdr:colOff>55708</xdr:colOff>
      <xdr:row>26</xdr:row>
      <xdr:rowOff>86447</xdr:rowOff>
    </xdr:to>
    <xdr:sp macro="" textlink="">
      <xdr:nvSpPr>
        <xdr:cNvPr id="11" name="正方形/長方形 10"/>
        <xdr:cNvSpPr/>
      </xdr:nvSpPr>
      <xdr:spPr>
        <a:xfrm>
          <a:off x="7126366" y="5920869"/>
          <a:ext cx="34360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265099</xdr:colOff>
      <xdr:row>25</xdr:row>
      <xdr:rowOff>37141</xdr:rowOff>
    </xdr:from>
    <xdr:to>
      <xdr:col>13</xdr:col>
      <xdr:colOff>44821</xdr:colOff>
      <xdr:row>26</xdr:row>
      <xdr:rowOff>108219</xdr:rowOff>
    </xdr:to>
    <xdr:sp macro="" textlink="">
      <xdr:nvSpPr>
        <xdr:cNvPr id="12" name="正方形/長方形 11"/>
        <xdr:cNvSpPr/>
      </xdr:nvSpPr>
      <xdr:spPr>
        <a:xfrm>
          <a:off x="3168319" y="5942641"/>
          <a:ext cx="34360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188899</xdr:colOff>
      <xdr:row>18</xdr:row>
      <xdr:rowOff>243969</xdr:rowOff>
    </xdr:from>
    <xdr:to>
      <xdr:col>34</xdr:col>
      <xdr:colOff>251650</xdr:colOff>
      <xdr:row>20</xdr:row>
      <xdr:rowOff>64676</xdr:rowOff>
    </xdr:to>
    <xdr:sp macro="" textlink="">
      <xdr:nvSpPr>
        <xdr:cNvPr id="13" name="正方形/長方形 12"/>
        <xdr:cNvSpPr/>
      </xdr:nvSpPr>
      <xdr:spPr>
        <a:xfrm>
          <a:off x="9294799" y="4389249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22</xdr:col>
      <xdr:colOff>69156</xdr:colOff>
      <xdr:row>21</xdr:row>
      <xdr:rowOff>48025</xdr:rowOff>
    </xdr:from>
    <xdr:to>
      <xdr:col>23</xdr:col>
      <xdr:colOff>131908</xdr:colOff>
      <xdr:row>22</xdr:row>
      <xdr:rowOff>119104</xdr:rowOff>
    </xdr:to>
    <xdr:sp macro="" textlink="">
      <xdr:nvSpPr>
        <xdr:cNvPr id="14" name="正方形/長方形 13"/>
        <xdr:cNvSpPr/>
      </xdr:nvSpPr>
      <xdr:spPr>
        <a:xfrm>
          <a:off x="6073716" y="4947685"/>
          <a:ext cx="344692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210671</xdr:colOff>
      <xdr:row>25</xdr:row>
      <xdr:rowOff>26255</xdr:rowOff>
    </xdr:from>
    <xdr:to>
      <xdr:col>46</xdr:col>
      <xdr:colOff>273423</xdr:colOff>
      <xdr:row>26</xdr:row>
      <xdr:rowOff>97333</xdr:rowOff>
    </xdr:to>
    <xdr:sp macro="" textlink="">
      <xdr:nvSpPr>
        <xdr:cNvPr id="15" name="正方形/長方形 14"/>
        <xdr:cNvSpPr/>
      </xdr:nvSpPr>
      <xdr:spPr>
        <a:xfrm>
          <a:off x="12699851" y="5931755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47385</xdr:colOff>
      <xdr:row>25</xdr:row>
      <xdr:rowOff>37141</xdr:rowOff>
    </xdr:from>
    <xdr:to>
      <xdr:col>36</xdr:col>
      <xdr:colOff>110136</xdr:colOff>
      <xdr:row>26</xdr:row>
      <xdr:rowOff>108219</xdr:rowOff>
    </xdr:to>
    <xdr:sp macro="" textlink="">
      <xdr:nvSpPr>
        <xdr:cNvPr id="16" name="正方形/長方形 15"/>
        <xdr:cNvSpPr/>
      </xdr:nvSpPr>
      <xdr:spPr>
        <a:xfrm>
          <a:off x="9717165" y="5942641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199785</xdr:colOff>
      <xdr:row>25</xdr:row>
      <xdr:rowOff>48026</xdr:rowOff>
    </xdr:from>
    <xdr:to>
      <xdr:col>15</xdr:col>
      <xdr:colOff>262536</xdr:colOff>
      <xdr:row>26</xdr:row>
      <xdr:rowOff>119104</xdr:rowOff>
    </xdr:to>
    <xdr:sp macro="" textlink="">
      <xdr:nvSpPr>
        <xdr:cNvPr id="17" name="正方形/長方形 16"/>
        <xdr:cNvSpPr/>
      </xdr:nvSpPr>
      <xdr:spPr>
        <a:xfrm>
          <a:off x="3948825" y="5953526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21</xdr:col>
      <xdr:colOff>3842</xdr:colOff>
      <xdr:row>20</xdr:row>
      <xdr:rowOff>113340</xdr:rowOff>
    </xdr:from>
    <xdr:to>
      <xdr:col>22</xdr:col>
      <xdr:colOff>66593</xdr:colOff>
      <xdr:row>21</xdr:row>
      <xdr:rowOff>184418</xdr:rowOff>
    </xdr:to>
    <xdr:sp macro="" textlink="">
      <xdr:nvSpPr>
        <xdr:cNvPr id="18" name="正方形/長方形 17"/>
        <xdr:cNvSpPr/>
      </xdr:nvSpPr>
      <xdr:spPr>
        <a:xfrm>
          <a:off x="5726462" y="4761540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134471</xdr:colOff>
      <xdr:row>18</xdr:row>
      <xdr:rowOff>243968</xdr:rowOff>
    </xdr:from>
    <xdr:to>
      <xdr:col>19</xdr:col>
      <xdr:colOff>197222</xdr:colOff>
      <xdr:row>20</xdr:row>
      <xdr:rowOff>64675</xdr:rowOff>
    </xdr:to>
    <xdr:sp macro="" textlink="">
      <xdr:nvSpPr>
        <xdr:cNvPr id="19" name="正方形/長方形 18"/>
        <xdr:cNvSpPr/>
      </xdr:nvSpPr>
      <xdr:spPr>
        <a:xfrm>
          <a:off x="5011271" y="4389248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210671</xdr:colOff>
      <xdr:row>19</xdr:row>
      <xdr:rowOff>178654</xdr:rowOff>
    </xdr:from>
    <xdr:to>
      <xdr:col>20</xdr:col>
      <xdr:colOff>273422</xdr:colOff>
      <xdr:row>20</xdr:row>
      <xdr:rowOff>249733</xdr:rowOff>
    </xdr:to>
    <xdr:sp macro="" textlink="">
      <xdr:nvSpPr>
        <xdr:cNvPr id="20" name="正方形/長方形 19"/>
        <xdr:cNvSpPr/>
      </xdr:nvSpPr>
      <xdr:spPr>
        <a:xfrm>
          <a:off x="5369411" y="4575394"/>
          <a:ext cx="344691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80043</xdr:colOff>
      <xdr:row>18</xdr:row>
      <xdr:rowOff>58911</xdr:rowOff>
    </xdr:from>
    <xdr:to>
      <xdr:col>18</xdr:col>
      <xdr:colOff>142795</xdr:colOff>
      <xdr:row>19</xdr:row>
      <xdr:rowOff>129989</xdr:rowOff>
    </xdr:to>
    <xdr:sp macro="" textlink="">
      <xdr:nvSpPr>
        <xdr:cNvPr id="21" name="正方形/長方形 20"/>
        <xdr:cNvSpPr/>
      </xdr:nvSpPr>
      <xdr:spPr>
        <a:xfrm>
          <a:off x="4674903" y="4204191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14728</xdr:colOff>
      <xdr:row>17</xdr:row>
      <xdr:rowOff>124225</xdr:rowOff>
    </xdr:from>
    <xdr:to>
      <xdr:col>17</xdr:col>
      <xdr:colOff>77479</xdr:colOff>
      <xdr:row>18</xdr:row>
      <xdr:rowOff>195304</xdr:rowOff>
    </xdr:to>
    <xdr:sp macro="" textlink="">
      <xdr:nvSpPr>
        <xdr:cNvPr id="22" name="正方形/長方形 21"/>
        <xdr:cNvSpPr/>
      </xdr:nvSpPr>
      <xdr:spPr>
        <a:xfrm>
          <a:off x="4327648" y="4018045"/>
          <a:ext cx="344691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47384</xdr:colOff>
      <xdr:row>25</xdr:row>
      <xdr:rowOff>15370</xdr:rowOff>
    </xdr:from>
    <xdr:to>
      <xdr:col>51</xdr:col>
      <xdr:colOff>110136</xdr:colOff>
      <xdr:row>26</xdr:row>
      <xdr:rowOff>86448</xdr:rowOff>
    </xdr:to>
    <xdr:sp macro="" textlink="">
      <xdr:nvSpPr>
        <xdr:cNvPr id="23" name="正方形/長方形 22"/>
        <xdr:cNvSpPr/>
      </xdr:nvSpPr>
      <xdr:spPr>
        <a:xfrm>
          <a:off x="13946264" y="5920870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188900</xdr:colOff>
      <xdr:row>39</xdr:row>
      <xdr:rowOff>211312</xdr:rowOff>
    </xdr:from>
    <xdr:to>
      <xdr:col>15</xdr:col>
      <xdr:colOff>251651</xdr:colOff>
      <xdr:row>41</xdr:row>
      <xdr:rowOff>32019</xdr:rowOff>
    </xdr:to>
    <xdr:sp macro="" textlink="">
      <xdr:nvSpPr>
        <xdr:cNvPr id="24" name="正方形/長方形 23"/>
        <xdr:cNvSpPr/>
      </xdr:nvSpPr>
      <xdr:spPr>
        <a:xfrm>
          <a:off x="3937940" y="9637252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254214</xdr:colOff>
      <xdr:row>25</xdr:row>
      <xdr:rowOff>26255</xdr:rowOff>
    </xdr:from>
    <xdr:to>
      <xdr:col>45</xdr:col>
      <xdr:colOff>33937</xdr:colOff>
      <xdr:row>26</xdr:row>
      <xdr:rowOff>97333</xdr:rowOff>
    </xdr:to>
    <xdr:sp macro="" textlink="">
      <xdr:nvSpPr>
        <xdr:cNvPr id="25" name="正方形/長方形 24"/>
        <xdr:cNvSpPr/>
      </xdr:nvSpPr>
      <xdr:spPr>
        <a:xfrm>
          <a:off x="12179514" y="5931755"/>
          <a:ext cx="343603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123585</xdr:colOff>
      <xdr:row>25</xdr:row>
      <xdr:rowOff>26255</xdr:rowOff>
    </xdr:from>
    <xdr:to>
      <xdr:col>33</xdr:col>
      <xdr:colOff>186336</xdr:colOff>
      <xdr:row>26</xdr:row>
      <xdr:rowOff>97333</xdr:rowOff>
    </xdr:to>
    <xdr:sp macro="" textlink="">
      <xdr:nvSpPr>
        <xdr:cNvPr id="26" name="正方形/長方形 25"/>
        <xdr:cNvSpPr/>
      </xdr:nvSpPr>
      <xdr:spPr>
        <a:xfrm>
          <a:off x="8947545" y="5931755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232442</xdr:colOff>
      <xdr:row>14</xdr:row>
      <xdr:rowOff>222197</xdr:rowOff>
    </xdr:from>
    <xdr:to>
      <xdr:col>12</xdr:col>
      <xdr:colOff>12165</xdr:colOff>
      <xdr:row>16</xdr:row>
      <xdr:rowOff>42904</xdr:rowOff>
    </xdr:to>
    <xdr:sp macro="" textlink="">
      <xdr:nvSpPr>
        <xdr:cNvPr id="27" name="正方形/長方形 26"/>
        <xdr:cNvSpPr/>
      </xdr:nvSpPr>
      <xdr:spPr>
        <a:xfrm>
          <a:off x="2853722" y="3361637"/>
          <a:ext cx="343603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16</xdr:row>
      <xdr:rowOff>4482</xdr:rowOff>
    </xdr:from>
    <xdr:to>
      <xdr:col>18</xdr:col>
      <xdr:colOff>131908</xdr:colOff>
      <xdr:row>17</xdr:row>
      <xdr:rowOff>75561</xdr:rowOff>
    </xdr:to>
    <xdr:sp macro="" textlink="">
      <xdr:nvSpPr>
        <xdr:cNvPr id="28" name="正方形/長方形 27"/>
        <xdr:cNvSpPr/>
      </xdr:nvSpPr>
      <xdr:spPr>
        <a:xfrm>
          <a:off x="4664016" y="3646842"/>
          <a:ext cx="344692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14</xdr:row>
      <xdr:rowOff>211312</xdr:rowOff>
    </xdr:from>
    <xdr:to>
      <xdr:col>18</xdr:col>
      <xdr:colOff>131908</xdr:colOff>
      <xdr:row>16</xdr:row>
      <xdr:rowOff>32019</xdr:rowOff>
    </xdr:to>
    <xdr:sp macro="" textlink="">
      <xdr:nvSpPr>
        <xdr:cNvPr id="29" name="正方形/長方形 28"/>
        <xdr:cNvSpPr/>
      </xdr:nvSpPr>
      <xdr:spPr>
        <a:xfrm>
          <a:off x="4664016" y="3350752"/>
          <a:ext cx="344692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69156</xdr:colOff>
      <xdr:row>13</xdr:row>
      <xdr:rowOff>178655</xdr:rowOff>
    </xdr:from>
    <xdr:to>
      <xdr:col>18</xdr:col>
      <xdr:colOff>131908</xdr:colOff>
      <xdr:row>14</xdr:row>
      <xdr:rowOff>249733</xdr:rowOff>
    </xdr:to>
    <xdr:sp macro="" textlink="">
      <xdr:nvSpPr>
        <xdr:cNvPr id="30" name="正方形/長方形 29"/>
        <xdr:cNvSpPr/>
      </xdr:nvSpPr>
      <xdr:spPr>
        <a:xfrm>
          <a:off x="4664016" y="3066635"/>
          <a:ext cx="34469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254214</xdr:colOff>
      <xdr:row>10</xdr:row>
      <xdr:rowOff>69797</xdr:rowOff>
    </xdr:from>
    <xdr:to>
      <xdr:col>13</xdr:col>
      <xdr:colOff>33936</xdr:colOff>
      <xdr:row>11</xdr:row>
      <xdr:rowOff>140876</xdr:rowOff>
    </xdr:to>
    <xdr:sp macro="" textlink="">
      <xdr:nvSpPr>
        <xdr:cNvPr id="31" name="正方形/長方形 30"/>
        <xdr:cNvSpPr/>
      </xdr:nvSpPr>
      <xdr:spPr>
        <a:xfrm>
          <a:off x="3157434" y="2203397"/>
          <a:ext cx="343602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254214</xdr:colOff>
      <xdr:row>8</xdr:row>
      <xdr:rowOff>243969</xdr:rowOff>
    </xdr:from>
    <xdr:to>
      <xdr:col>13</xdr:col>
      <xdr:colOff>33936</xdr:colOff>
      <xdr:row>10</xdr:row>
      <xdr:rowOff>64676</xdr:rowOff>
    </xdr:to>
    <xdr:sp macro="" textlink="">
      <xdr:nvSpPr>
        <xdr:cNvPr id="32" name="正方形/長方形 31"/>
        <xdr:cNvSpPr/>
      </xdr:nvSpPr>
      <xdr:spPr>
        <a:xfrm>
          <a:off x="3157434" y="1874649"/>
          <a:ext cx="343602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36499</xdr:colOff>
      <xdr:row>7</xdr:row>
      <xdr:rowOff>102454</xdr:rowOff>
    </xdr:from>
    <xdr:to>
      <xdr:col>54</xdr:col>
      <xdr:colOff>99250</xdr:colOff>
      <xdr:row>8</xdr:row>
      <xdr:rowOff>173533</xdr:rowOff>
    </xdr:to>
    <xdr:sp macro="" textlink="">
      <xdr:nvSpPr>
        <xdr:cNvPr id="33" name="正方形/長方形 32"/>
        <xdr:cNvSpPr/>
      </xdr:nvSpPr>
      <xdr:spPr>
        <a:xfrm>
          <a:off x="14781199" y="1481674"/>
          <a:ext cx="344691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243329</xdr:colOff>
      <xdr:row>7</xdr:row>
      <xdr:rowOff>102454</xdr:rowOff>
    </xdr:from>
    <xdr:to>
      <xdr:col>13</xdr:col>
      <xdr:colOff>23051</xdr:colOff>
      <xdr:row>8</xdr:row>
      <xdr:rowOff>173533</xdr:rowOff>
    </xdr:to>
    <xdr:sp macro="" textlink="">
      <xdr:nvSpPr>
        <xdr:cNvPr id="34" name="正方形/長方形 33"/>
        <xdr:cNvSpPr/>
      </xdr:nvSpPr>
      <xdr:spPr>
        <a:xfrm>
          <a:off x="3146549" y="1481674"/>
          <a:ext cx="343602" cy="322539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265100</xdr:colOff>
      <xdr:row>22</xdr:row>
      <xdr:rowOff>124225</xdr:rowOff>
    </xdr:from>
    <xdr:to>
      <xdr:col>13</xdr:col>
      <xdr:colOff>44822</xdr:colOff>
      <xdr:row>23</xdr:row>
      <xdr:rowOff>195303</xdr:rowOff>
    </xdr:to>
    <xdr:sp macro="" textlink="">
      <xdr:nvSpPr>
        <xdr:cNvPr id="35" name="正方形/長方形 34"/>
        <xdr:cNvSpPr/>
      </xdr:nvSpPr>
      <xdr:spPr>
        <a:xfrm>
          <a:off x="3168320" y="5275345"/>
          <a:ext cx="343602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3843</xdr:colOff>
      <xdr:row>22</xdr:row>
      <xdr:rowOff>124226</xdr:rowOff>
    </xdr:from>
    <xdr:to>
      <xdr:col>17</xdr:col>
      <xdr:colOff>66594</xdr:colOff>
      <xdr:row>23</xdr:row>
      <xdr:rowOff>195304</xdr:rowOff>
    </xdr:to>
    <xdr:sp macro="" textlink="">
      <xdr:nvSpPr>
        <xdr:cNvPr id="36" name="正方形/長方形 35"/>
        <xdr:cNvSpPr/>
      </xdr:nvSpPr>
      <xdr:spPr>
        <a:xfrm>
          <a:off x="4316763" y="5275346"/>
          <a:ext cx="344691" cy="32253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15</xdr:row>
      <xdr:rowOff>239486</xdr:rowOff>
    </xdr:from>
    <xdr:to>
      <xdr:col>40</xdr:col>
      <xdr:colOff>193380</xdr:colOff>
      <xdr:row>17</xdr:row>
      <xdr:rowOff>60193</xdr:rowOff>
    </xdr:to>
    <xdr:sp macro="" textlink="">
      <xdr:nvSpPr>
        <xdr:cNvPr id="37" name="正方形/長方形 36"/>
        <xdr:cNvSpPr/>
      </xdr:nvSpPr>
      <xdr:spPr>
        <a:xfrm>
          <a:off x="10928169" y="3630386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16</xdr:row>
      <xdr:rowOff>228599</xdr:rowOff>
    </xdr:from>
    <xdr:to>
      <xdr:col>40</xdr:col>
      <xdr:colOff>193380</xdr:colOff>
      <xdr:row>18</xdr:row>
      <xdr:rowOff>49307</xdr:rowOff>
    </xdr:to>
    <xdr:sp macro="" textlink="">
      <xdr:nvSpPr>
        <xdr:cNvPr id="38" name="正方形/長方形 37"/>
        <xdr:cNvSpPr/>
      </xdr:nvSpPr>
      <xdr:spPr>
        <a:xfrm>
          <a:off x="10928169" y="3870959"/>
          <a:ext cx="344691" cy="323628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17</xdr:row>
      <xdr:rowOff>228600</xdr:rowOff>
    </xdr:from>
    <xdr:to>
      <xdr:col>40</xdr:col>
      <xdr:colOff>193380</xdr:colOff>
      <xdr:row>19</xdr:row>
      <xdr:rowOff>49307</xdr:rowOff>
    </xdr:to>
    <xdr:sp macro="" textlink="">
      <xdr:nvSpPr>
        <xdr:cNvPr id="39" name="正方形/長方形 38"/>
        <xdr:cNvSpPr/>
      </xdr:nvSpPr>
      <xdr:spPr>
        <a:xfrm>
          <a:off x="10928169" y="4122420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118656</xdr:colOff>
      <xdr:row>20</xdr:row>
      <xdr:rowOff>19595</xdr:rowOff>
    </xdr:from>
    <xdr:to>
      <xdr:col>40</xdr:col>
      <xdr:colOff>181407</xdr:colOff>
      <xdr:row>21</xdr:row>
      <xdr:rowOff>90673</xdr:rowOff>
    </xdr:to>
    <xdr:sp macro="" textlink="">
      <xdr:nvSpPr>
        <xdr:cNvPr id="42" name="正方形/長方形 41"/>
        <xdr:cNvSpPr/>
      </xdr:nvSpPr>
      <xdr:spPr>
        <a:xfrm>
          <a:off x="10960827" y="4656909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123585</xdr:colOff>
      <xdr:row>21</xdr:row>
      <xdr:rowOff>26254</xdr:rowOff>
    </xdr:from>
    <xdr:to>
      <xdr:col>40</xdr:col>
      <xdr:colOff>186336</xdr:colOff>
      <xdr:row>22</xdr:row>
      <xdr:rowOff>97333</xdr:rowOff>
    </xdr:to>
    <xdr:sp macro="" textlink="">
      <xdr:nvSpPr>
        <xdr:cNvPr id="4" name="正方形/長方形 3"/>
        <xdr:cNvSpPr/>
      </xdr:nvSpPr>
      <xdr:spPr>
        <a:xfrm>
          <a:off x="10965756" y="4913940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123585</xdr:colOff>
      <xdr:row>22</xdr:row>
      <xdr:rowOff>15369</xdr:rowOff>
    </xdr:from>
    <xdr:to>
      <xdr:col>40</xdr:col>
      <xdr:colOff>186336</xdr:colOff>
      <xdr:row>23</xdr:row>
      <xdr:rowOff>86447</xdr:rowOff>
    </xdr:to>
    <xdr:sp macro="" textlink="">
      <xdr:nvSpPr>
        <xdr:cNvPr id="9" name="正方形/長方形 8"/>
        <xdr:cNvSpPr/>
      </xdr:nvSpPr>
      <xdr:spPr>
        <a:xfrm>
          <a:off x="10965756" y="5153426"/>
          <a:ext cx="345780" cy="32145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130629</xdr:colOff>
      <xdr:row>18</xdr:row>
      <xdr:rowOff>228600</xdr:rowOff>
    </xdr:from>
    <xdr:to>
      <xdr:col>40</xdr:col>
      <xdr:colOff>193380</xdr:colOff>
      <xdr:row>20</xdr:row>
      <xdr:rowOff>49307</xdr:rowOff>
    </xdr:to>
    <xdr:sp macro="" textlink="">
      <xdr:nvSpPr>
        <xdr:cNvPr id="40" name="正方形/長方形 39"/>
        <xdr:cNvSpPr/>
      </xdr:nvSpPr>
      <xdr:spPr>
        <a:xfrm>
          <a:off x="10928169" y="4373880"/>
          <a:ext cx="344691" cy="32362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0</xdr:rowOff>
    </xdr:from>
    <xdr:to>
      <xdr:col>4</xdr:col>
      <xdr:colOff>137160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2286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1533525</xdr:colOff>
      <xdr:row>2</xdr:row>
      <xdr:rowOff>230505</xdr:rowOff>
    </xdr:from>
    <xdr:to>
      <xdr:col>4</xdr:col>
      <xdr:colOff>181707</xdr:colOff>
      <xdr:row>4</xdr:row>
      <xdr:rowOff>38188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72765" y="672465"/>
          <a:ext cx="309342" cy="287743"/>
        </a:xfrm>
        <a:prstGeom prst="rect">
          <a:avLst/>
        </a:prstGeom>
        <a:noFill/>
        <a:ln>
          <a:noFill/>
        </a:ln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  <a:endParaRPr lang="ja-JP" altLang="en-US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449580</xdr:colOff>
          <xdr:row>4</xdr:row>
          <xdr:rowOff>60960</xdr:rowOff>
        </xdr:from>
        <xdr:to>
          <xdr:col>14</xdr:col>
          <xdr:colOff>274320</xdr:colOff>
          <xdr:row>8</xdr:row>
          <xdr:rowOff>121920</xdr:rowOff>
        </xdr:to>
        <xdr:sp macro="" textlink="">
          <xdr:nvSpPr>
            <xdr:cNvPr id="7169" name="inei1_松﨑 由誉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396240</xdr:colOff>
      <xdr:row>5</xdr:row>
      <xdr:rowOff>121920</xdr:rowOff>
    </xdr:from>
    <xdr:to>
      <xdr:col>13</xdr:col>
      <xdr:colOff>723900</xdr:colOff>
      <xdr:row>7</xdr:row>
      <xdr:rowOff>232634</xdr:rowOff>
    </xdr:to>
    <xdr:pic>
      <xdr:nvPicPr>
        <xdr:cNvPr id="13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9360" y="1143000"/>
          <a:ext cx="21031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169629</xdr:colOff>
      <xdr:row>45</xdr:row>
      <xdr:rowOff>1404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51389" cy="100598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400_&#35211;&#31309;&#26360;&#20986;&#21147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照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</row>
    <row r="2" spans="1:66" ht="20.100000000000001" customHeight="1" thickTop="1" x14ac:dyDescent="0.45">
      <c r="A2" s="8"/>
      <c r="B2" s="164" t="s">
        <v>0</v>
      </c>
      <c r="C2" s="165"/>
      <c r="D2" s="165"/>
      <c r="E2" s="165"/>
      <c r="F2" s="165"/>
      <c r="G2" s="165"/>
      <c r="H2" s="165" t="s">
        <v>16</v>
      </c>
      <c r="I2" s="165"/>
      <c r="J2" s="165"/>
      <c r="K2" s="165"/>
      <c r="L2" s="165" t="s">
        <v>935</v>
      </c>
      <c r="M2" s="165"/>
      <c r="N2" s="165"/>
      <c r="O2" s="165"/>
      <c r="P2" s="165"/>
      <c r="Q2" s="165"/>
      <c r="R2" s="165" t="s">
        <v>1</v>
      </c>
      <c r="S2" s="165"/>
      <c r="T2" s="165"/>
      <c r="U2" s="165"/>
      <c r="V2" s="165"/>
      <c r="W2" s="165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30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4</v>
      </c>
      <c r="AY2" s="165"/>
      <c r="AZ2" s="165"/>
      <c r="BA2" s="165"/>
      <c r="BB2" s="165" t="s">
        <v>3</v>
      </c>
      <c r="BC2" s="165"/>
      <c r="BD2" s="165"/>
      <c r="BE2" s="165"/>
      <c r="BF2" s="165" t="s">
        <v>5</v>
      </c>
      <c r="BG2" s="165"/>
      <c r="BH2" s="165"/>
      <c r="BI2" s="165"/>
      <c r="BJ2" s="165" t="s">
        <v>6</v>
      </c>
      <c r="BK2" s="165"/>
      <c r="BL2" s="165"/>
      <c r="BM2" s="179"/>
      <c r="BN2" s="11"/>
    </row>
    <row r="3" spans="1:66" ht="20.100000000000001" customHeight="1" x14ac:dyDescent="0.45">
      <c r="A3" s="8"/>
      <c r="B3" s="169" t="s">
        <v>936</v>
      </c>
      <c r="C3" s="170"/>
      <c r="D3" s="170"/>
      <c r="E3" s="170"/>
      <c r="F3" s="170"/>
      <c r="G3" s="170"/>
      <c r="H3" s="170" t="str">
        <f ca="1">LEFT($X$3,FIND("_",$X$3)-1)</f>
        <v>MH1100</v>
      </c>
      <c r="I3" s="170"/>
      <c r="J3" s="170"/>
      <c r="K3" s="170"/>
      <c r="L3" s="170" t="s">
        <v>937</v>
      </c>
      <c r="M3" s="170"/>
      <c r="N3" s="170"/>
      <c r="O3" s="170"/>
      <c r="P3" s="170"/>
      <c r="Q3" s="170"/>
      <c r="R3" s="173" t="str">
        <f ca="1">MID($X$3,FIND("_",$X$3,FIND("_",$X$3)+1)+1,LEN($X$3)-FIND("_",$X$3,FIND("_",$X$3)+1))</f>
        <v>帳票設計書</v>
      </c>
      <c r="S3" s="170"/>
      <c r="T3" s="170"/>
      <c r="U3" s="170"/>
      <c r="V3" s="170"/>
      <c r="W3" s="170"/>
      <c r="X3" s="174" t="str">
        <f ca="1">REPLACE(LEFT(CELL("filename",$B$2),FIND(".x",CELL("filename",$B$2))-1),1,FIND("[",CELL("filename",$B$2)),)</f>
        <v>MH1100_見積書(コーセー専用)_帳票設計書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MID($X$3,FIND("_",$X$3)+1,FIND("_",$X$3,FIND("_",$X$3)+1)-FIND("_",$X$3)-1)</f>
        <v>見積書(コーセー専用)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v>45581</v>
      </c>
      <c r="AY3" s="170"/>
      <c r="AZ3" s="170"/>
      <c r="BA3" s="170"/>
      <c r="BB3" s="170" t="s">
        <v>938</v>
      </c>
      <c r="BC3" s="170"/>
      <c r="BD3" s="170"/>
      <c r="BE3" s="170"/>
      <c r="BF3" s="181">
        <v>45581</v>
      </c>
      <c r="BG3" s="170"/>
      <c r="BH3" s="170"/>
      <c r="BI3" s="170"/>
      <c r="BJ3" s="170" t="s">
        <v>938</v>
      </c>
      <c r="BK3" s="170"/>
      <c r="BL3" s="170"/>
      <c r="BM3" s="182"/>
      <c r="BN3" s="11"/>
    </row>
    <row r="4" spans="1:66" ht="20.100000000000001" customHeight="1" thickBot="1" x14ac:dyDescent="0.5">
      <c r="A4" s="8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72"/>
      <c r="AY4" s="172"/>
      <c r="AZ4" s="172"/>
      <c r="BA4" s="172"/>
      <c r="BB4" s="172"/>
      <c r="BC4" s="172"/>
      <c r="BD4" s="172"/>
      <c r="BE4" s="172"/>
      <c r="BF4" s="172"/>
      <c r="BG4" s="172"/>
      <c r="BH4" s="172"/>
      <c r="BI4" s="172"/>
      <c r="BJ4" s="172"/>
      <c r="BK4" s="172"/>
      <c r="BL4" s="172"/>
      <c r="BM4" s="174"/>
      <c r="BN4" s="11"/>
    </row>
    <row r="5" spans="1:66" ht="5.25" customHeight="1" thickTop="1" thickBot="1" x14ac:dyDescent="0.5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1"/>
    </row>
    <row r="7" spans="1:66" ht="20.100000000000001" customHeight="1" x14ac:dyDescent="0.45">
      <c r="A7" s="8"/>
      <c r="B7" s="7"/>
      <c r="C7" s="13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1"/>
    </row>
    <row r="8" spans="1:66" ht="20.100000000000001" customHeight="1" x14ac:dyDescent="0.45">
      <c r="A8" s="8"/>
      <c r="B8" s="7"/>
      <c r="C8" s="180" t="s">
        <v>7</v>
      </c>
      <c r="D8" s="180"/>
      <c r="E8" s="180"/>
      <c r="F8" s="180"/>
      <c r="G8" s="180" t="s">
        <v>8</v>
      </c>
      <c r="H8" s="180"/>
      <c r="I8" s="180"/>
      <c r="J8" s="180"/>
      <c r="K8" s="180" t="s">
        <v>9</v>
      </c>
      <c r="L8" s="180"/>
      <c r="M8" s="180"/>
      <c r="N8" s="180"/>
      <c r="O8" s="180" t="s">
        <v>10</v>
      </c>
      <c r="P8" s="180"/>
      <c r="Q8" s="180"/>
      <c r="R8" s="180"/>
      <c r="S8" s="180"/>
      <c r="T8" s="180"/>
      <c r="U8" s="180"/>
      <c r="V8" s="180"/>
      <c r="W8" s="180"/>
      <c r="X8" s="180"/>
      <c r="Y8" s="180" t="s">
        <v>11</v>
      </c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7"/>
      <c r="BN8" s="11"/>
    </row>
    <row r="9" spans="1:66" ht="20.100000000000001" customHeight="1" x14ac:dyDescent="0.45">
      <c r="A9" s="8"/>
      <c r="B9" s="7"/>
      <c r="C9" s="183">
        <v>45581</v>
      </c>
      <c r="D9" s="184"/>
      <c r="E9" s="184"/>
      <c r="F9" s="185"/>
      <c r="G9" s="186" t="s">
        <v>15</v>
      </c>
      <c r="H9" s="187"/>
      <c r="I9" s="187"/>
      <c r="J9" s="188"/>
      <c r="K9" s="189" t="s">
        <v>938</v>
      </c>
      <c r="L9" s="184"/>
      <c r="M9" s="184"/>
      <c r="N9" s="18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1"/>
    </row>
    <row r="10" spans="1:66" ht="20.100000000000001" customHeight="1" x14ac:dyDescent="0.45">
      <c r="A10" s="8"/>
      <c r="B10" s="7"/>
      <c r="C10" s="183"/>
      <c r="D10" s="184"/>
      <c r="E10" s="184"/>
      <c r="F10" s="185"/>
      <c r="G10" s="186"/>
      <c r="H10" s="187"/>
      <c r="I10" s="187"/>
      <c r="J10" s="188"/>
      <c r="K10" s="189"/>
      <c r="L10" s="184"/>
      <c r="M10" s="184"/>
      <c r="N10" s="18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1"/>
    </row>
    <row r="11" spans="1:66" ht="20.100000000000001" customHeight="1" x14ac:dyDescent="0.45">
      <c r="A11" s="8"/>
      <c r="B11" s="7"/>
      <c r="C11" s="183"/>
      <c r="D11" s="184"/>
      <c r="E11" s="184"/>
      <c r="F11" s="185"/>
      <c r="G11" s="186"/>
      <c r="H11" s="187"/>
      <c r="I11" s="187"/>
      <c r="J11" s="188"/>
      <c r="K11" s="189"/>
      <c r="L11" s="184"/>
      <c r="M11" s="184"/>
      <c r="N11" s="18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1"/>
    </row>
    <row r="12" spans="1:66" ht="20.100000000000001" customHeight="1" x14ac:dyDescent="0.45">
      <c r="A12" s="8"/>
      <c r="B12" s="7"/>
      <c r="C12" s="20"/>
      <c r="D12" s="18"/>
      <c r="E12" s="18"/>
      <c r="F12" s="19"/>
      <c r="G12" s="14"/>
      <c r="H12" s="15"/>
      <c r="I12" s="15"/>
      <c r="J12" s="16"/>
      <c r="K12" s="17"/>
      <c r="L12" s="18"/>
      <c r="M12" s="18"/>
      <c r="N12" s="19"/>
      <c r="O12" s="21"/>
      <c r="P12" s="4"/>
      <c r="Q12" s="4"/>
      <c r="R12" s="4"/>
      <c r="S12" s="4"/>
      <c r="T12" s="4"/>
      <c r="U12" s="4"/>
      <c r="V12" s="4"/>
      <c r="W12" s="4"/>
      <c r="X12" s="22"/>
      <c r="Y12" s="21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2"/>
      <c r="BM12" s="7"/>
      <c r="BN12" s="11"/>
    </row>
    <row r="13" spans="1:66" ht="20.100000000000001" customHeight="1" x14ac:dyDescent="0.45">
      <c r="A13" s="8"/>
      <c r="B13" s="7"/>
      <c r="C13" s="20"/>
      <c r="D13" s="18"/>
      <c r="E13" s="18"/>
      <c r="F13" s="19"/>
      <c r="G13" s="14"/>
      <c r="H13" s="15"/>
      <c r="I13" s="15"/>
      <c r="J13" s="16"/>
      <c r="K13" s="17"/>
      <c r="L13" s="18"/>
      <c r="M13" s="18"/>
      <c r="N13" s="19"/>
      <c r="O13" s="21"/>
      <c r="P13" s="4"/>
      <c r="Q13" s="4"/>
      <c r="R13" s="4"/>
      <c r="S13" s="4"/>
      <c r="T13" s="4"/>
      <c r="U13" s="4"/>
      <c r="V13" s="4"/>
      <c r="W13" s="4"/>
      <c r="X13" s="22"/>
      <c r="Y13" s="21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2"/>
      <c r="BM13" s="7"/>
      <c r="BN13" s="11"/>
    </row>
    <row r="14" spans="1:66" ht="20.100000000000001" customHeight="1" x14ac:dyDescent="0.45">
      <c r="A14" s="8"/>
      <c r="B14" s="7"/>
      <c r="C14" s="20"/>
      <c r="D14" s="18"/>
      <c r="E14" s="18"/>
      <c r="F14" s="19"/>
      <c r="G14" s="14"/>
      <c r="H14" s="15"/>
      <c r="I14" s="15"/>
      <c r="J14" s="16"/>
      <c r="K14" s="17"/>
      <c r="L14" s="18"/>
      <c r="M14" s="18"/>
      <c r="N14" s="19"/>
      <c r="O14" s="21"/>
      <c r="P14" s="4"/>
      <c r="Q14" s="4"/>
      <c r="R14" s="4"/>
      <c r="S14" s="4"/>
      <c r="T14" s="4"/>
      <c r="U14" s="4"/>
      <c r="V14" s="4"/>
      <c r="W14" s="4"/>
      <c r="X14" s="22"/>
      <c r="Y14" s="21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2"/>
      <c r="BM14" s="7"/>
      <c r="BN14" s="11"/>
    </row>
    <row r="15" spans="1:66" ht="20.100000000000001" customHeight="1" x14ac:dyDescent="0.45">
      <c r="A15" s="8"/>
      <c r="B15" s="7"/>
      <c r="C15" s="20"/>
      <c r="D15" s="18"/>
      <c r="E15" s="18"/>
      <c r="F15" s="19"/>
      <c r="G15" s="14"/>
      <c r="H15" s="15"/>
      <c r="I15" s="15"/>
      <c r="J15" s="16"/>
      <c r="K15" s="17"/>
      <c r="L15" s="18"/>
      <c r="M15" s="18"/>
      <c r="N15" s="19"/>
      <c r="O15" s="21"/>
      <c r="P15" s="4"/>
      <c r="Q15" s="4"/>
      <c r="R15" s="4"/>
      <c r="S15" s="4"/>
      <c r="T15" s="4"/>
      <c r="U15" s="4"/>
      <c r="V15" s="4"/>
      <c r="W15" s="4"/>
      <c r="X15" s="22"/>
      <c r="Y15" s="21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2"/>
      <c r="BM15" s="7"/>
      <c r="BN15" s="11"/>
    </row>
    <row r="16" spans="1:66" ht="20.100000000000001" customHeight="1" x14ac:dyDescent="0.45">
      <c r="A16" s="8"/>
      <c r="B16" s="7"/>
      <c r="C16" s="20"/>
      <c r="D16" s="18"/>
      <c r="E16" s="18"/>
      <c r="F16" s="19"/>
      <c r="G16" s="14"/>
      <c r="H16" s="15"/>
      <c r="I16" s="15"/>
      <c r="J16" s="16"/>
      <c r="K16" s="17"/>
      <c r="L16" s="18"/>
      <c r="M16" s="18"/>
      <c r="N16" s="19"/>
      <c r="O16" s="21"/>
      <c r="P16" s="4"/>
      <c r="Q16" s="4"/>
      <c r="R16" s="4"/>
      <c r="S16" s="4"/>
      <c r="T16" s="4"/>
      <c r="U16" s="4"/>
      <c r="V16" s="4"/>
      <c r="W16" s="4"/>
      <c r="X16" s="22"/>
      <c r="Y16" s="21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2"/>
      <c r="BM16" s="7"/>
      <c r="BN16" s="11"/>
    </row>
    <row r="17" spans="1:66" ht="20.100000000000001" customHeight="1" x14ac:dyDescent="0.45">
      <c r="A17" s="8"/>
      <c r="B17" s="7"/>
      <c r="C17" s="20"/>
      <c r="D17" s="18"/>
      <c r="E17" s="18"/>
      <c r="F17" s="19"/>
      <c r="G17" s="14"/>
      <c r="H17" s="15"/>
      <c r="I17" s="15"/>
      <c r="J17" s="16"/>
      <c r="K17" s="17"/>
      <c r="L17" s="18"/>
      <c r="M17" s="18"/>
      <c r="N17" s="19"/>
      <c r="O17" s="21"/>
      <c r="P17" s="4"/>
      <c r="Q17" s="4"/>
      <c r="R17" s="4"/>
      <c r="S17" s="4"/>
      <c r="T17" s="4"/>
      <c r="U17" s="4"/>
      <c r="V17" s="4"/>
      <c r="W17" s="4"/>
      <c r="X17" s="22"/>
      <c r="Y17" s="21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2"/>
      <c r="BM17" s="7"/>
      <c r="BN17" s="11"/>
    </row>
    <row r="18" spans="1:66" ht="20.100000000000001" customHeight="1" x14ac:dyDescent="0.45">
      <c r="A18" s="8"/>
      <c r="B18" s="7"/>
      <c r="C18" s="20"/>
      <c r="D18" s="18"/>
      <c r="E18" s="18"/>
      <c r="F18" s="19"/>
      <c r="G18" s="14"/>
      <c r="H18" s="15"/>
      <c r="I18" s="15"/>
      <c r="J18" s="16"/>
      <c r="K18" s="17"/>
      <c r="L18" s="18"/>
      <c r="M18" s="18"/>
      <c r="N18" s="19"/>
      <c r="O18" s="21"/>
      <c r="P18" s="4"/>
      <c r="Q18" s="4"/>
      <c r="R18" s="4"/>
      <c r="S18" s="4"/>
      <c r="T18" s="4"/>
      <c r="U18" s="4"/>
      <c r="V18" s="4"/>
      <c r="W18" s="4"/>
      <c r="X18" s="22"/>
      <c r="Y18" s="21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2"/>
      <c r="BM18" s="7"/>
      <c r="BN18" s="11"/>
    </row>
    <row r="19" spans="1:66" ht="20.100000000000001" customHeight="1" x14ac:dyDescent="0.45">
      <c r="A19" s="8"/>
      <c r="B19" s="7"/>
      <c r="C19" s="20"/>
      <c r="D19" s="18"/>
      <c r="E19" s="18"/>
      <c r="F19" s="19"/>
      <c r="G19" s="14"/>
      <c r="H19" s="15"/>
      <c r="I19" s="15"/>
      <c r="J19" s="16"/>
      <c r="K19" s="17"/>
      <c r="L19" s="18"/>
      <c r="M19" s="18"/>
      <c r="N19" s="19"/>
      <c r="O19" s="21"/>
      <c r="P19" s="4"/>
      <c r="Q19" s="4"/>
      <c r="R19" s="4"/>
      <c r="S19" s="4"/>
      <c r="T19" s="4"/>
      <c r="U19" s="4"/>
      <c r="V19" s="4"/>
      <c r="W19" s="4"/>
      <c r="X19" s="22"/>
      <c r="Y19" s="21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2"/>
      <c r="BM19" s="7"/>
      <c r="BN19" s="11"/>
    </row>
    <row r="20" spans="1:66" ht="20.100000000000001" customHeight="1" x14ac:dyDescent="0.45">
      <c r="A20" s="8"/>
      <c r="B20" s="7"/>
      <c r="C20" s="20"/>
      <c r="D20" s="18"/>
      <c r="E20" s="18"/>
      <c r="F20" s="19"/>
      <c r="G20" s="14"/>
      <c r="H20" s="15"/>
      <c r="I20" s="15"/>
      <c r="J20" s="16"/>
      <c r="K20" s="17"/>
      <c r="L20" s="18"/>
      <c r="M20" s="18"/>
      <c r="N20" s="19"/>
      <c r="O20" s="21"/>
      <c r="P20" s="4"/>
      <c r="Q20" s="4"/>
      <c r="R20" s="4"/>
      <c r="S20" s="4"/>
      <c r="T20" s="4"/>
      <c r="U20" s="4"/>
      <c r="V20" s="4"/>
      <c r="W20" s="4"/>
      <c r="X20" s="22"/>
      <c r="Y20" s="21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2"/>
      <c r="BM20" s="7"/>
      <c r="BN20" s="11"/>
    </row>
    <row r="21" spans="1:66" ht="20.100000000000001" customHeight="1" x14ac:dyDescent="0.45">
      <c r="A21" s="8"/>
      <c r="B21" s="7"/>
      <c r="C21" s="20"/>
      <c r="D21" s="18"/>
      <c r="E21" s="18"/>
      <c r="F21" s="19"/>
      <c r="G21" s="14"/>
      <c r="H21" s="15"/>
      <c r="I21" s="15"/>
      <c r="J21" s="16"/>
      <c r="K21" s="17"/>
      <c r="L21" s="18"/>
      <c r="M21" s="18"/>
      <c r="N21" s="19"/>
      <c r="O21" s="21"/>
      <c r="P21" s="4"/>
      <c r="Q21" s="4"/>
      <c r="R21" s="4"/>
      <c r="S21" s="4"/>
      <c r="T21" s="4"/>
      <c r="U21" s="4"/>
      <c r="V21" s="4"/>
      <c r="W21" s="4"/>
      <c r="X21" s="22"/>
      <c r="Y21" s="21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2"/>
      <c r="BM21" s="7"/>
      <c r="BN21" s="11"/>
    </row>
    <row r="22" spans="1:66" ht="20.100000000000001" customHeight="1" x14ac:dyDescent="0.45">
      <c r="A22" s="8"/>
      <c r="B22" s="7"/>
      <c r="C22" s="20"/>
      <c r="D22" s="18"/>
      <c r="E22" s="18"/>
      <c r="F22" s="19"/>
      <c r="G22" s="14"/>
      <c r="H22" s="15"/>
      <c r="I22" s="15"/>
      <c r="J22" s="16"/>
      <c r="K22" s="17"/>
      <c r="L22" s="18"/>
      <c r="M22" s="18"/>
      <c r="N22" s="19"/>
      <c r="O22" s="21"/>
      <c r="P22" s="4"/>
      <c r="Q22" s="4"/>
      <c r="R22" s="4"/>
      <c r="S22" s="4"/>
      <c r="T22" s="4"/>
      <c r="U22" s="4"/>
      <c r="V22" s="4"/>
      <c r="W22" s="4"/>
      <c r="X22" s="22"/>
      <c r="Y22" s="21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2"/>
      <c r="BM22" s="7"/>
      <c r="BN22" s="11"/>
    </row>
    <row r="23" spans="1:66" ht="20.100000000000001" customHeight="1" x14ac:dyDescent="0.45">
      <c r="A23" s="8"/>
      <c r="B23" s="7"/>
      <c r="C23" s="20"/>
      <c r="D23" s="18"/>
      <c r="E23" s="18"/>
      <c r="F23" s="19"/>
      <c r="G23" s="14"/>
      <c r="H23" s="15"/>
      <c r="I23" s="15"/>
      <c r="J23" s="16"/>
      <c r="K23" s="17"/>
      <c r="L23" s="18"/>
      <c r="M23" s="18"/>
      <c r="N23" s="19"/>
      <c r="O23" s="21"/>
      <c r="P23" s="4"/>
      <c r="Q23" s="4"/>
      <c r="R23" s="4"/>
      <c r="S23" s="4"/>
      <c r="T23" s="4"/>
      <c r="U23" s="4"/>
      <c r="V23" s="4"/>
      <c r="W23" s="4"/>
      <c r="X23" s="22"/>
      <c r="Y23" s="21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2"/>
      <c r="BM23" s="7"/>
      <c r="BN23" s="11"/>
    </row>
    <row r="24" spans="1:66" ht="20.100000000000001" customHeight="1" x14ac:dyDescent="0.45">
      <c r="A24" s="8"/>
      <c r="B24" s="7"/>
      <c r="C24" s="20"/>
      <c r="D24" s="18"/>
      <c r="E24" s="18"/>
      <c r="F24" s="19"/>
      <c r="G24" s="14"/>
      <c r="H24" s="15"/>
      <c r="I24" s="15"/>
      <c r="J24" s="16"/>
      <c r="K24" s="17"/>
      <c r="L24" s="18"/>
      <c r="M24" s="18"/>
      <c r="N24" s="19"/>
      <c r="O24" s="21"/>
      <c r="P24" s="4"/>
      <c r="Q24" s="4"/>
      <c r="R24" s="4"/>
      <c r="S24" s="4"/>
      <c r="T24" s="4"/>
      <c r="U24" s="4"/>
      <c r="V24" s="4"/>
      <c r="W24" s="4"/>
      <c r="X24" s="22"/>
      <c r="Y24" s="21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2"/>
      <c r="BM24" s="7"/>
      <c r="BN24" s="11"/>
    </row>
    <row r="25" spans="1:66" ht="20.100000000000001" customHeight="1" x14ac:dyDescent="0.45">
      <c r="A25" s="8"/>
      <c r="B25" s="7"/>
      <c r="C25" s="20"/>
      <c r="D25" s="18"/>
      <c r="E25" s="18"/>
      <c r="F25" s="19"/>
      <c r="G25" s="14"/>
      <c r="H25" s="15"/>
      <c r="I25" s="15"/>
      <c r="J25" s="16"/>
      <c r="K25" s="17"/>
      <c r="L25" s="18"/>
      <c r="M25" s="18"/>
      <c r="N25" s="19"/>
      <c r="O25" s="21"/>
      <c r="P25" s="4"/>
      <c r="Q25" s="4"/>
      <c r="R25" s="4"/>
      <c r="S25" s="4"/>
      <c r="T25" s="4"/>
      <c r="U25" s="4"/>
      <c r="V25" s="4"/>
      <c r="W25" s="4"/>
      <c r="X25" s="22"/>
      <c r="Y25" s="21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2"/>
      <c r="BM25" s="7"/>
      <c r="BN25" s="11"/>
    </row>
    <row r="26" spans="1:66" ht="20.100000000000001" customHeight="1" x14ac:dyDescent="0.45">
      <c r="A26" s="8"/>
      <c r="B26" s="7"/>
      <c r="C26" s="20"/>
      <c r="D26" s="18"/>
      <c r="E26" s="18"/>
      <c r="F26" s="19"/>
      <c r="G26" s="14"/>
      <c r="H26" s="15"/>
      <c r="I26" s="15"/>
      <c r="J26" s="16"/>
      <c r="K26" s="17"/>
      <c r="L26" s="18"/>
      <c r="M26" s="18"/>
      <c r="N26" s="19"/>
      <c r="O26" s="21"/>
      <c r="P26" s="4"/>
      <c r="Q26" s="4"/>
      <c r="R26" s="4"/>
      <c r="S26" s="4"/>
      <c r="T26" s="4"/>
      <c r="U26" s="4"/>
      <c r="V26" s="4"/>
      <c r="W26" s="4"/>
      <c r="X26" s="22"/>
      <c r="Y26" s="21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2"/>
      <c r="BM26" s="7"/>
      <c r="BN26" s="11"/>
    </row>
    <row r="27" spans="1:66" ht="20.100000000000001" customHeight="1" x14ac:dyDescent="0.45">
      <c r="A27" s="8"/>
      <c r="B27" s="7"/>
      <c r="C27" s="20"/>
      <c r="D27" s="18"/>
      <c r="E27" s="18"/>
      <c r="F27" s="19"/>
      <c r="G27" s="14"/>
      <c r="H27" s="15"/>
      <c r="I27" s="15"/>
      <c r="J27" s="16"/>
      <c r="K27" s="17"/>
      <c r="L27" s="18"/>
      <c r="M27" s="18"/>
      <c r="N27" s="19"/>
      <c r="O27" s="21"/>
      <c r="P27" s="4"/>
      <c r="Q27" s="4"/>
      <c r="R27" s="4"/>
      <c r="S27" s="4"/>
      <c r="T27" s="4"/>
      <c r="U27" s="4"/>
      <c r="V27" s="4"/>
      <c r="W27" s="4"/>
      <c r="X27" s="22"/>
      <c r="Y27" s="21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2"/>
      <c r="BM27" s="7"/>
      <c r="BN27" s="11"/>
    </row>
    <row r="28" spans="1:66" ht="20.100000000000001" customHeight="1" x14ac:dyDescent="0.45">
      <c r="A28" s="8"/>
      <c r="B28" s="7"/>
      <c r="C28" s="20"/>
      <c r="D28" s="18"/>
      <c r="E28" s="18"/>
      <c r="F28" s="19"/>
      <c r="G28" s="14"/>
      <c r="H28" s="15"/>
      <c r="I28" s="15"/>
      <c r="J28" s="16"/>
      <c r="K28" s="17"/>
      <c r="L28" s="18"/>
      <c r="M28" s="18"/>
      <c r="N28" s="19"/>
      <c r="O28" s="21"/>
      <c r="P28" s="4"/>
      <c r="Q28" s="4"/>
      <c r="R28" s="4"/>
      <c r="S28" s="4"/>
      <c r="T28" s="4"/>
      <c r="U28" s="4"/>
      <c r="V28" s="4"/>
      <c r="W28" s="4"/>
      <c r="X28" s="22"/>
      <c r="Y28" s="21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2"/>
      <c r="BM28" s="7"/>
      <c r="BN28" s="11"/>
    </row>
    <row r="29" spans="1:66" ht="20.100000000000001" customHeight="1" x14ac:dyDescent="0.45">
      <c r="A29" s="8"/>
      <c r="B29" s="7"/>
      <c r="C29" s="20"/>
      <c r="D29" s="18"/>
      <c r="E29" s="18"/>
      <c r="F29" s="19"/>
      <c r="G29" s="14"/>
      <c r="H29" s="15"/>
      <c r="I29" s="15"/>
      <c r="J29" s="16"/>
      <c r="K29" s="17"/>
      <c r="L29" s="18"/>
      <c r="M29" s="18"/>
      <c r="N29" s="19"/>
      <c r="O29" s="21"/>
      <c r="P29" s="4"/>
      <c r="Q29" s="4"/>
      <c r="R29" s="4"/>
      <c r="S29" s="4"/>
      <c r="T29" s="4"/>
      <c r="U29" s="4"/>
      <c r="V29" s="4"/>
      <c r="W29" s="4"/>
      <c r="X29" s="22"/>
      <c r="Y29" s="21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2"/>
      <c r="BM29" s="7"/>
      <c r="BN29" s="11"/>
    </row>
    <row r="30" spans="1:66" ht="20.100000000000001" customHeight="1" x14ac:dyDescent="0.45">
      <c r="A30" s="8"/>
      <c r="B30" s="7"/>
      <c r="C30" s="20"/>
      <c r="D30" s="18"/>
      <c r="E30" s="18"/>
      <c r="F30" s="19"/>
      <c r="G30" s="14"/>
      <c r="H30" s="15"/>
      <c r="I30" s="15"/>
      <c r="J30" s="16"/>
      <c r="K30" s="17"/>
      <c r="L30" s="18"/>
      <c r="M30" s="18"/>
      <c r="N30" s="19"/>
      <c r="O30" s="21"/>
      <c r="P30" s="4"/>
      <c r="Q30" s="4"/>
      <c r="R30" s="4"/>
      <c r="S30" s="4"/>
      <c r="T30" s="4"/>
      <c r="U30" s="4"/>
      <c r="V30" s="4"/>
      <c r="W30" s="4"/>
      <c r="X30" s="22"/>
      <c r="Y30" s="21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2"/>
      <c r="BM30" s="7"/>
      <c r="BN30" s="11"/>
    </row>
    <row r="31" spans="1:66" ht="20.100000000000001" customHeight="1" x14ac:dyDescent="0.45">
      <c r="A31" s="8"/>
      <c r="B31" s="7"/>
      <c r="C31" s="20"/>
      <c r="D31" s="18"/>
      <c r="E31" s="18"/>
      <c r="F31" s="19"/>
      <c r="G31" s="14"/>
      <c r="H31" s="15"/>
      <c r="I31" s="15"/>
      <c r="J31" s="16"/>
      <c r="K31" s="17"/>
      <c r="L31" s="18"/>
      <c r="M31" s="18"/>
      <c r="N31" s="19"/>
      <c r="O31" s="21"/>
      <c r="P31" s="4"/>
      <c r="Q31" s="4"/>
      <c r="R31" s="4"/>
      <c r="S31" s="4"/>
      <c r="T31" s="4"/>
      <c r="U31" s="4"/>
      <c r="V31" s="4"/>
      <c r="W31" s="4"/>
      <c r="X31" s="22"/>
      <c r="Y31" s="21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2"/>
      <c r="BM31" s="7"/>
      <c r="BN31" s="11"/>
    </row>
    <row r="32" spans="1:66" ht="20.100000000000001" customHeight="1" x14ac:dyDescent="0.45">
      <c r="A32" s="8"/>
      <c r="B32" s="7"/>
      <c r="C32" s="20"/>
      <c r="D32" s="18"/>
      <c r="E32" s="18"/>
      <c r="F32" s="19"/>
      <c r="G32" s="14"/>
      <c r="H32" s="15"/>
      <c r="I32" s="15"/>
      <c r="J32" s="16"/>
      <c r="K32" s="17"/>
      <c r="L32" s="18"/>
      <c r="M32" s="18"/>
      <c r="N32" s="19"/>
      <c r="O32" s="21"/>
      <c r="P32" s="4"/>
      <c r="Q32" s="4"/>
      <c r="R32" s="4"/>
      <c r="S32" s="4"/>
      <c r="T32" s="4"/>
      <c r="U32" s="4"/>
      <c r="V32" s="4"/>
      <c r="W32" s="4"/>
      <c r="X32" s="22"/>
      <c r="Y32" s="21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2"/>
      <c r="BM32" s="7"/>
      <c r="BN32" s="11"/>
    </row>
    <row r="33" spans="1:66" ht="20.100000000000001" customHeight="1" x14ac:dyDescent="0.45">
      <c r="A33" s="8"/>
      <c r="B33" s="7"/>
      <c r="C33" s="20"/>
      <c r="D33" s="18"/>
      <c r="E33" s="18"/>
      <c r="F33" s="19"/>
      <c r="G33" s="14"/>
      <c r="H33" s="15"/>
      <c r="I33" s="15"/>
      <c r="J33" s="16"/>
      <c r="K33" s="17"/>
      <c r="L33" s="18"/>
      <c r="M33" s="18"/>
      <c r="N33" s="19"/>
      <c r="O33" s="21"/>
      <c r="P33" s="4"/>
      <c r="Q33" s="4"/>
      <c r="R33" s="4"/>
      <c r="S33" s="4"/>
      <c r="T33" s="4"/>
      <c r="U33" s="4"/>
      <c r="V33" s="4"/>
      <c r="W33" s="4"/>
      <c r="X33" s="22"/>
      <c r="Y33" s="21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2"/>
      <c r="BM33" s="7"/>
      <c r="BN33" s="11"/>
    </row>
    <row r="34" spans="1:66" ht="20.100000000000001" customHeight="1" x14ac:dyDescent="0.45">
      <c r="A34" s="8"/>
      <c r="B34" s="7"/>
      <c r="C34" s="20"/>
      <c r="D34" s="18"/>
      <c r="E34" s="18"/>
      <c r="F34" s="19"/>
      <c r="G34" s="14"/>
      <c r="H34" s="15"/>
      <c r="I34" s="15"/>
      <c r="J34" s="16"/>
      <c r="K34" s="17"/>
      <c r="L34" s="18"/>
      <c r="M34" s="18"/>
      <c r="N34" s="19"/>
      <c r="O34" s="21"/>
      <c r="P34" s="4"/>
      <c r="Q34" s="4"/>
      <c r="R34" s="4"/>
      <c r="S34" s="4"/>
      <c r="T34" s="4"/>
      <c r="U34" s="4"/>
      <c r="V34" s="4"/>
      <c r="W34" s="4"/>
      <c r="X34" s="22"/>
      <c r="Y34" s="21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2"/>
      <c r="BM34" s="7"/>
      <c r="BN34" s="11"/>
    </row>
    <row r="35" spans="1:66" ht="20.100000000000001" customHeight="1" x14ac:dyDescent="0.45">
      <c r="A35" s="8"/>
      <c r="B35" s="7"/>
      <c r="C35" s="20"/>
      <c r="D35" s="18"/>
      <c r="E35" s="18"/>
      <c r="F35" s="19"/>
      <c r="G35" s="14"/>
      <c r="H35" s="15"/>
      <c r="I35" s="15"/>
      <c r="J35" s="16"/>
      <c r="K35" s="17"/>
      <c r="L35" s="18"/>
      <c r="M35" s="18"/>
      <c r="N35" s="19"/>
      <c r="O35" s="21"/>
      <c r="P35" s="4"/>
      <c r="Q35" s="4"/>
      <c r="R35" s="4"/>
      <c r="S35" s="4"/>
      <c r="T35" s="4"/>
      <c r="U35" s="4"/>
      <c r="V35" s="4"/>
      <c r="W35" s="4"/>
      <c r="X35" s="22"/>
      <c r="Y35" s="21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2"/>
      <c r="BM35" s="7"/>
      <c r="BN35" s="11"/>
    </row>
    <row r="36" spans="1:66" ht="20.100000000000001" customHeight="1" x14ac:dyDescent="0.45">
      <c r="A36" s="8"/>
      <c r="B36" s="7"/>
      <c r="C36" s="183"/>
      <c r="D36" s="184"/>
      <c r="E36" s="184"/>
      <c r="F36" s="185"/>
      <c r="G36" s="186"/>
      <c r="H36" s="187"/>
      <c r="I36" s="187"/>
      <c r="J36" s="188"/>
      <c r="K36" s="189"/>
      <c r="L36" s="184"/>
      <c r="M36" s="184"/>
      <c r="N36" s="18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1"/>
    </row>
    <row r="37" spans="1:66" ht="20.100000000000001" customHeight="1" x14ac:dyDescent="0.45">
      <c r="A37" s="8"/>
      <c r="B37" s="7"/>
      <c r="C37" s="183"/>
      <c r="D37" s="184"/>
      <c r="E37" s="184"/>
      <c r="F37" s="185"/>
      <c r="G37" s="186"/>
      <c r="H37" s="187"/>
      <c r="I37" s="187"/>
      <c r="J37" s="188"/>
      <c r="K37" s="189"/>
      <c r="L37" s="184"/>
      <c r="M37" s="184"/>
      <c r="N37" s="18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1"/>
    </row>
    <row r="38" spans="1:66" ht="20.100000000000001" customHeight="1" x14ac:dyDescent="0.45">
      <c r="A38" s="8"/>
      <c r="B38" s="7"/>
      <c r="C38" s="183"/>
      <c r="D38" s="184"/>
      <c r="E38" s="184"/>
      <c r="F38" s="185"/>
      <c r="G38" s="186"/>
      <c r="H38" s="187"/>
      <c r="I38" s="187"/>
      <c r="J38" s="188"/>
      <c r="K38" s="189"/>
      <c r="L38" s="184"/>
      <c r="M38" s="184"/>
      <c r="N38" s="18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1"/>
    </row>
    <row r="39" spans="1:66" ht="20.100000000000001" customHeight="1" x14ac:dyDescent="0.45">
      <c r="A39" s="8"/>
      <c r="B39" s="7"/>
      <c r="C39" s="183"/>
      <c r="D39" s="184"/>
      <c r="E39" s="184"/>
      <c r="F39" s="185"/>
      <c r="G39" s="186"/>
      <c r="H39" s="187"/>
      <c r="I39" s="187"/>
      <c r="J39" s="188"/>
      <c r="K39" s="189"/>
      <c r="L39" s="184"/>
      <c r="M39" s="184"/>
      <c r="N39" s="18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1"/>
    </row>
    <row r="40" spans="1:66" ht="20.100000000000001" customHeight="1" x14ac:dyDescent="0.45">
      <c r="A40" s="8"/>
      <c r="B40" s="7"/>
      <c r="C40" s="183"/>
      <c r="D40" s="184"/>
      <c r="E40" s="184"/>
      <c r="F40" s="185"/>
      <c r="G40" s="186"/>
      <c r="H40" s="187"/>
      <c r="I40" s="187"/>
      <c r="J40" s="188"/>
      <c r="K40" s="189"/>
      <c r="L40" s="184"/>
      <c r="M40" s="184"/>
      <c r="N40" s="18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1"/>
    </row>
    <row r="41" spans="1:66" ht="20.100000000000001" customHeight="1" x14ac:dyDescent="0.45">
      <c r="A41" s="8"/>
      <c r="B41" s="7"/>
      <c r="C41" s="183"/>
      <c r="D41" s="184"/>
      <c r="E41" s="184"/>
      <c r="F41" s="185"/>
      <c r="G41" s="186"/>
      <c r="H41" s="187"/>
      <c r="I41" s="187"/>
      <c r="J41" s="188"/>
      <c r="K41" s="189"/>
      <c r="L41" s="184"/>
      <c r="M41" s="184"/>
      <c r="N41" s="18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1"/>
    </row>
    <row r="42" spans="1:66" ht="20.100000000000001" customHeight="1" x14ac:dyDescent="0.45">
      <c r="A42" s="8"/>
      <c r="B42" s="7"/>
      <c r="C42" s="183"/>
      <c r="D42" s="184"/>
      <c r="E42" s="184"/>
      <c r="F42" s="185"/>
      <c r="G42" s="186"/>
      <c r="H42" s="187"/>
      <c r="I42" s="187"/>
      <c r="J42" s="188"/>
      <c r="K42" s="189"/>
      <c r="L42" s="184"/>
      <c r="M42" s="184"/>
      <c r="N42" s="18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1"/>
    </row>
    <row r="43" spans="1:66" ht="20.100000000000001" customHeight="1" x14ac:dyDescent="0.45">
      <c r="A43" s="8"/>
      <c r="B43" s="7"/>
      <c r="C43" s="183"/>
      <c r="D43" s="184"/>
      <c r="E43" s="184"/>
      <c r="F43" s="185"/>
      <c r="G43" s="186"/>
      <c r="H43" s="187"/>
      <c r="I43" s="187"/>
      <c r="J43" s="188"/>
      <c r="K43" s="189"/>
      <c r="L43" s="184"/>
      <c r="M43" s="184"/>
      <c r="N43" s="18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1"/>
    </row>
    <row r="44" spans="1:66" ht="20.100000000000001" customHeight="1" x14ac:dyDescent="0.45">
      <c r="A44" s="8"/>
      <c r="B44" s="7"/>
      <c r="C44" s="183"/>
      <c r="D44" s="184"/>
      <c r="E44" s="184"/>
      <c r="F44" s="185"/>
      <c r="G44" s="186"/>
      <c r="H44" s="187"/>
      <c r="I44" s="187"/>
      <c r="J44" s="188"/>
      <c r="K44" s="189"/>
      <c r="L44" s="184"/>
      <c r="M44" s="184"/>
      <c r="N44" s="18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1"/>
    </row>
    <row r="45" spans="1:66" ht="20.100000000000001" customHeight="1" x14ac:dyDescent="0.45">
      <c r="A45" s="8"/>
      <c r="B45" s="7"/>
      <c r="C45" s="183"/>
      <c r="D45" s="184"/>
      <c r="E45" s="184"/>
      <c r="F45" s="185"/>
      <c r="G45" s="186"/>
      <c r="H45" s="187"/>
      <c r="I45" s="187"/>
      <c r="J45" s="188"/>
      <c r="K45" s="189"/>
      <c r="L45" s="184"/>
      <c r="M45" s="184"/>
      <c r="N45" s="18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1"/>
    </row>
    <row r="46" spans="1:66" ht="20.100000000000001" customHeight="1" x14ac:dyDescent="0.45">
      <c r="A46" s="8"/>
      <c r="B46" s="7"/>
      <c r="C46" s="183"/>
      <c r="D46" s="184"/>
      <c r="E46" s="184"/>
      <c r="F46" s="185"/>
      <c r="G46" s="186"/>
      <c r="H46" s="187"/>
      <c r="I46" s="187"/>
      <c r="J46" s="188"/>
      <c r="K46" s="189"/>
      <c r="L46" s="184"/>
      <c r="M46" s="184"/>
      <c r="N46" s="18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1"/>
    </row>
    <row r="47" spans="1:66" ht="20.100000000000001" customHeight="1" x14ac:dyDescent="0.45">
      <c r="A47" s="8"/>
      <c r="B47" s="7"/>
      <c r="C47" s="183"/>
      <c r="D47" s="184"/>
      <c r="E47" s="184"/>
      <c r="F47" s="185"/>
      <c r="G47" s="186"/>
      <c r="H47" s="187"/>
      <c r="I47" s="187"/>
      <c r="J47" s="188"/>
      <c r="K47" s="189"/>
      <c r="L47" s="184"/>
      <c r="M47" s="184"/>
      <c r="N47" s="18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1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1"/>
    </row>
    <row r="49" spans="2:65" ht="5.25" customHeight="1" thickTop="1" x14ac:dyDescent="0.45"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</row>
    <row r="2" spans="1:66" ht="20.100000000000001" customHeight="1" thickTop="1" x14ac:dyDescent="0.45">
      <c r="A2" s="28"/>
      <c r="B2" s="164" t="s">
        <v>0</v>
      </c>
      <c r="C2" s="165"/>
      <c r="D2" s="165"/>
      <c r="E2" s="165"/>
      <c r="F2" s="165"/>
      <c r="G2" s="165"/>
      <c r="H2" s="165" t="s">
        <v>16</v>
      </c>
      <c r="I2" s="165"/>
      <c r="J2" s="165"/>
      <c r="K2" s="165"/>
      <c r="L2" s="165" t="s">
        <v>935</v>
      </c>
      <c r="M2" s="165"/>
      <c r="N2" s="165"/>
      <c r="O2" s="165"/>
      <c r="P2" s="165"/>
      <c r="Q2" s="165"/>
      <c r="R2" s="165" t="s">
        <v>1</v>
      </c>
      <c r="S2" s="165"/>
      <c r="T2" s="165"/>
      <c r="U2" s="165"/>
      <c r="V2" s="165"/>
      <c r="W2" s="165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31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4</v>
      </c>
      <c r="AY2" s="165"/>
      <c r="AZ2" s="165"/>
      <c r="BA2" s="165"/>
      <c r="BB2" s="165" t="s">
        <v>3</v>
      </c>
      <c r="BC2" s="165"/>
      <c r="BD2" s="165"/>
      <c r="BE2" s="165"/>
      <c r="BF2" s="165" t="s">
        <v>5</v>
      </c>
      <c r="BG2" s="165"/>
      <c r="BH2" s="165"/>
      <c r="BI2" s="165"/>
      <c r="BJ2" s="165" t="s">
        <v>6</v>
      </c>
      <c r="BK2" s="165"/>
      <c r="BL2" s="165"/>
      <c r="BM2" s="179"/>
      <c r="BN2" s="31"/>
    </row>
    <row r="3" spans="1:66" ht="20.100000000000001" customHeight="1" x14ac:dyDescent="0.45">
      <c r="A3" s="28"/>
      <c r="B3" s="169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MH1100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MH1100_見積書(コーセー専用)_帳票設計書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見積書(コーセー専用)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182"/>
      <c r="BN3" s="31"/>
    </row>
    <row r="4" spans="1:66" ht="20.100000000000001" customHeight="1" thickBot="1" x14ac:dyDescent="0.5">
      <c r="A4" s="28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90"/>
      <c r="AY4" s="190"/>
      <c r="AZ4" s="190"/>
      <c r="BA4" s="190"/>
      <c r="BB4" s="172"/>
      <c r="BC4" s="172"/>
      <c r="BD4" s="172"/>
      <c r="BE4" s="172"/>
      <c r="BF4" s="190"/>
      <c r="BG4" s="190"/>
      <c r="BH4" s="190"/>
      <c r="BI4" s="190"/>
      <c r="BJ4" s="172"/>
      <c r="BK4" s="172"/>
      <c r="BL4" s="172"/>
      <c r="BM4" s="174"/>
      <c r="BN4" s="31"/>
    </row>
    <row r="5" spans="1:66" ht="5.25" customHeight="1" thickTop="1" thickBot="1" x14ac:dyDescent="0.5"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</row>
    <row r="6" spans="1:66" ht="20.100000000000001" customHeight="1" thickTop="1" thickBot="1" x14ac:dyDescent="0.5">
      <c r="A6" s="28"/>
      <c r="B6" s="27"/>
      <c r="C6" s="27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27"/>
      <c r="BK6" s="27"/>
      <c r="BL6" s="27"/>
      <c r="BM6" s="27"/>
      <c r="BN6" s="31"/>
    </row>
    <row r="7" spans="1:66" ht="20.100000000000001" customHeight="1" thickTop="1" x14ac:dyDescent="0.45">
      <c r="A7" s="28"/>
      <c r="B7" s="27"/>
      <c r="C7" s="28"/>
      <c r="D7" s="62" t="s">
        <v>21</v>
      </c>
      <c r="E7" s="43"/>
      <c r="F7" s="43"/>
      <c r="G7" s="63"/>
      <c r="H7" s="44" t="str">
        <f ca="1">AK3</f>
        <v>見積書(コーセー専用)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7"/>
      <c r="AJ7" s="47"/>
      <c r="AK7" s="47"/>
      <c r="AL7" s="47"/>
      <c r="AM7" s="47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5"/>
      <c r="BF7" s="45"/>
      <c r="BG7" s="45"/>
      <c r="BH7" s="45"/>
      <c r="BI7" s="45"/>
      <c r="BJ7" s="31"/>
      <c r="BK7" s="27"/>
      <c r="BL7" s="27"/>
      <c r="BM7" s="27"/>
      <c r="BN7" s="31"/>
    </row>
    <row r="8" spans="1:66" ht="20.100000000000001" customHeight="1" x14ac:dyDescent="0.45">
      <c r="A8" s="28"/>
      <c r="B8" s="27"/>
      <c r="C8" s="28"/>
      <c r="D8" s="55" t="s">
        <v>24</v>
      </c>
      <c r="E8" s="46"/>
      <c r="F8" s="46"/>
      <c r="G8" s="52"/>
      <c r="H8" s="47" t="s">
        <v>80</v>
      </c>
      <c r="I8" s="47"/>
      <c r="J8" s="47"/>
      <c r="K8" s="47"/>
      <c r="L8" s="47"/>
      <c r="M8" s="47"/>
      <c r="N8" s="47"/>
      <c r="O8" s="47"/>
      <c r="P8" s="60"/>
      <c r="Q8" s="58"/>
      <c r="R8" s="60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  <c r="AQ8" s="58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8"/>
      <c r="BF8" s="48"/>
      <c r="BG8" s="48"/>
      <c r="BH8" s="48"/>
      <c r="BI8" s="48"/>
      <c r="BJ8" s="31"/>
      <c r="BK8" s="27"/>
      <c r="BL8" s="27"/>
      <c r="BM8" s="27"/>
      <c r="BN8" s="31"/>
    </row>
    <row r="9" spans="1:66" ht="20.100000000000001" customHeight="1" x14ac:dyDescent="0.45">
      <c r="A9" s="28"/>
      <c r="B9" s="27"/>
      <c r="C9" s="28"/>
      <c r="D9" s="55" t="s">
        <v>22</v>
      </c>
      <c r="E9" s="46"/>
      <c r="F9" s="46"/>
      <c r="G9" s="52"/>
      <c r="H9" s="47" t="s">
        <v>153</v>
      </c>
      <c r="I9" s="47"/>
      <c r="J9" s="47"/>
      <c r="K9" s="47"/>
      <c r="M9" s="47"/>
      <c r="N9" s="47"/>
      <c r="O9" s="4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8"/>
      <c r="BF9" s="48"/>
      <c r="BG9" s="48"/>
      <c r="BH9" s="48"/>
      <c r="BI9" s="48"/>
      <c r="BJ9" s="31"/>
      <c r="BK9" s="27"/>
      <c r="BL9" s="27"/>
      <c r="BM9" s="27"/>
      <c r="BN9" s="31"/>
    </row>
    <row r="10" spans="1:66" ht="20.100000000000001" customHeight="1" x14ac:dyDescent="0.45">
      <c r="A10" s="28"/>
      <c r="B10" s="27"/>
      <c r="C10" s="28"/>
      <c r="D10" s="55" t="s">
        <v>25</v>
      </c>
      <c r="E10" s="46"/>
      <c r="F10" s="46"/>
      <c r="G10" s="52"/>
      <c r="H10" s="50" t="s">
        <v>154</v>
      </c>
      <c r="I10" s="50"/>
      <c r="J10" s="50"/>
      <c r="K10" s="50"/>
      <c r="L10" s="50"/>
      <c r="M10" s="50"/>
      <c r="N10" s="50"/>
      <c r="O10" s="50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1"/>
      <c r="BF10" s="51"/>
      <c r="BG10" s="51"/>
      <c r="BH10" s="51"/>
      <c r="BI10" s="51"/>
      <c r="BJ10" s="31"/>
      <c r="BK10" s="27"/>
      <c r="BL10" s="27"/>
      <c r="BM10" s="27"/>
      <c r="BN10" s="31"/>
    </row>
    <row r="11" spans="1:66" ht="20.100000000000001" customHeight="1" x14ac:dyDescent="0.45">
      <c r="A11" s="28"/>
      <c r="B11" s="27"/>
      <c r="C11" s="27"/>
      <c r="D11" s="55" t="s">
        <v>26</v>
      </c>
      <c r="E11" s="46"/>
      <c r="F11" s="46"/>
      <c r="G11" s="52"/>
      <c r="H11" s="50" t="s">
        <v>81</v>
      </c>
      <c r="I11" s="50"/>
      <c r="J11" s="50"/>
      <c r="K11" s="50"/>
      <c r="L11" s="50"/>
      <c r="M11" s="50"/>
      <c r="N11" s="50"/>
      <c r="O11" s="50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9"/>
      <c r="AQ11" s="59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1"/>
      <c r="BF11" s="51"/>
      <c r="BG11" s="51"/>
      <c r="BH11" s="51"/>
      <c r="BI11" s="61"/>
      <c r="BJ11" s="27"/>
      <c r="BK11" s="27"/>
      <c r="BL11" s="27"/>
      <c r="BM11" s="27"/>
      <c r="BN11" s="31"/>
    </row>
    <row r="12" spans="1:66" ht="20.100000000000001" customHeight="1" x14ac:dyDescent="0.45">
      <c r="A12" s="28"/>
      <c r="B12" s="27"/>
      <c r="C12" s="27"/>
      <c r="D12" s="55" t="s">
        <v>27</v>
      </c>
      <c r="E12" s="46"/>
      <c r="F12" s="46"/>
      <c r="G12" s="52"/>
      <c r="H12" s="50" t="s">
        <v>81</v>
      </c>
      <c r="I12" s="50"/>
      <c r="J12" s="50"/>
      <c r="K12" s="50"/>
      <c r="L12" s="50"/>
      <c r="M12" s="50"/>
      <c r="N12" s="50"/>
      <c r="O12" s="50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1"/>
      <c r="BF12" s="51"/>
      <c r="BG12" s="51"/>
      <c r="BH12" s="51"/>
      <c r="BI12" s="61"/>
      <c r="BJ12" s="27"/>
      <c r="BK12" s="27"/>
      <c r="BL12" s="27"/>
      <c r="BM12" s="27"/>
      <c r="BN12" s="31"/>
    </row>
    <row r="13" spans="1:66" ht="20.100000000000001" customHeight="1" x14ac:dyDescent="0.45">
      <c r="A13" s="28"/>
      <c r="B13" s="27"/>
      <c r="C13" s="27"/>
      <c r="D13" s="55" t="s">
        <v>28</v>
      </c>
      <c r="E13" s="46"/>
      <c r="F13" s="46"/>
      <c r="G13" s="52"/>
      <c r="H13" s="50" t="s">
        <v>81</v>
      </c>
      <c r="I13" s="50"/>
      <c r="J13" s="50"/>
      <c r="K13" s="50"/>
      <c r="L13" s="50"/>
      <c r="M13" s="50"/>
      <c r="N13" s="50"/>
      <c r="O13" s="50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1"/>
      <c r="BF13" s="51"/>
      <c r="BG13" s="51"/>
      <c r="BH13" s="48"/>
      <c r="BI13" s="56"/>
      <c r="BJ13" s="27"/>
      <c r="BK13" s="27"/>
      <c r="BL13" s="27"/>
      <c r="BM13" s="27"/>
      <c r="BN13" s="31"/>
    </row>
    <row r="14" spans="1:66" ht="20.100000000000001" customHeight="1" x14ac:dyDescent="0.45">
      <c r="A14" s="28"/>
      <c r="B14" s="27"/>
      <c r="C14" s="27"/>
      <c r="D14" s="55" t="s">
        <v>29</v>
      </c>
      <c r="E14" s="46"/>
      <c r="F14" s="46"/>
      <c r="G14" s="52"/>
      <c r="H14" s="47" t="s">
        <v>81</v>
      </c>
      <c r="I14" s="47"/>
      <c r="J14" s="47"/>
      <c r="K14" s="47"/>
      <c r="L14" s="47"/>
      <c r="M14" s="47"/>
      <c r="N14" s="47"/>
      <c r="O14" s="4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8"/>
      <c r="BF14" s="48"/>
      <c r="BG14" s="48"/>
      <c r="BH14" s="48"/>
      <c r="BI14" s="56"/>
      <c r="BJ14" s="27"/>
      <c r="BK14" s="27"/>
      <c r="BL14" s="27"/>
      <c r="BM14" s="27"/>
      <c r="BN14" s="31"/>
    </row>
    <row r="15" spans="1:66" ht="20.100000000000001" customHeight="1" x14ac:dyDescent="0.45">
      <c r="A15" s="28"/>
      <c r="B15" s="27"/>
      <c r="C15" s="27"/>
      <c r="D15" s="55" t="s">
        <v>43</v>
      </c>
      <c r="E15" s="46"/>
      <c r="F15" s="46"/>
      <c r="G15" s="52"/>
      <c r="H15" s="50" t="s">
        <v>934</v>
      </c>
      <c r="I15" s="50"/>
      <c r="J15" s="50"/>
      <c r="K15" s="50"/>
      <c r="L15" s="50"/>
      <c r="M15" s="50"/>
      <c r="N15" s="50"/>
      <c r="O15" s="50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1"/>
      <c r="BF15" s="51"/>
      <c r="BG15" s="51"/>
      <c r="BH15" s="51"/>
      <c r="BI15" s="61"/>
      <c r="BJ15" s="27"/>
      <c r="BK15" s="27"/>
      <c r="BL15" s="27"/>
      <c r="BM15" s="27"/>
      <c r="BN15" s="31"/>
    </row>
    <row r="16" spans="1:66" ht="20.100000000000001" customHeight="1" x14ac:dyDescent="0.45">
      <c r="A16" s="28"/>
      <c r="B16" s="27"/>
      <c r="C16" s="27"/>
      <c r="D16" s="57" t="s">
        <v>20</v>
      </c>
      <c r="E16" s="49"/>
      <c r="F16" s="49"/>
      <c r="G16" s="64"/>
      <c r="H16" s="50"/>
      <c r="I16" s="50"/>
      <c r="J16" s="50"/>
      <c r="K16" s="50"/>
      <c r="L16" s="50"/>
      <c r="M16" s="50"/>
      <c r="N16" s="50"/>
      <c r="O16" s="50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1"/>
      <c r="BF16" s="51"/>
      <c r="BG16" s="51"/>
      <c r="BH16" s="51"/>
      <c r="BI16" s="61"/>
      <c r="BJ16" s="27"/>
      <c r="BK16" s="27"/>
      <c r="BL16" s="27"/>
      <c r="BM16" s="27"/>
      <c r="BN16" s="31"/>
    </row>
    <row r="17" spans="1:66" ht="20.100000000000001" customHeight="1" thickBot="1" x14ac:dyDescent="0.5">
      <c r="A17" s="28"/>
      <c r="B17" s="27"/>
      <c r="C17" s="27"/>
      <c r="D17" s="53"/>
      <c r="E17" s="54"/>
      <c r="F17" s="54"/>
      <c r="G17" s="65"/>
      <c r="H17" s="71"/>
      <c r="I17" s="72"/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30"/>
      <c r="BF17" s="30"/>
      <c r="BG17" s="30"/>
      <c r="BH17" s="30"/>
      <c r="BI17" s="24"/>
      <c r="BJ17" s="27"/>
      <c r="BK17" s="27"/>
      <c r="BL17" s="27"/>
      <c r="BM17" s="27"/>
      <c r="BN17" s="31"/>
    </row>
    <row r="18" spans="1:66" ht="20.100000000000001" customHeight="1" thickTop="1" x14ac:dyDescent="0.45">
      <c r="A18" s="2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31"/>
    </row>
    <row r="19" spans="1:66" ht="20.100000000000001" customHeight="1" x14ac:dyDescent="0.45">
      <c r="A19" s="2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31"/>
    </row>
    <row r="20" spans="1:66" ht="20.100000000000001" customHeight="1" x14ac:dyDescent="0.45">
      <c r="A20" s="2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31"/>
    </row>
    <row r="21" spans="1:66" ht="20.100000000000001" customHeight="1" x14ac:dyDescent="0.45">
      <c r="A21" s="2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31"/>
    </row>
    <row r="22" spans="1:66" ht="20.100000000000001" customHeight="1" x14ac:dyDescent="0.45">
      <c r="A22" s="2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31"/>
    </row>
    <row r="23" spans="1:66" ht="20.100000000000001" customHeight="1" x14ac:dyDescent="0.45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31"/>
    </row>
    <row r="24" spans="1:66" ht="20.100000000000001" customHeight="1" x14ac:dyDescent="0.45">
      <c r="A24" s="2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31"/>
    </row>
    <row r="25" spans="1:66" ht="20.100000000000001" customHeight="1" x14ac:dyDescent="0.45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31"/>
    </row>
    <row r="26" spans="1:66" ht="20.100000000000001" customHeight="1" thickBot="1" x14ac:dyDescent="0.5">
      <c r="A26" s="2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31"/>
    </row>
    <row r="27" spans="1:66" ht="20.100000000000001" customHeight="1" thickTop="1" x14ac:dyDescent="0.45">
      <c r="A27" s="27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7"/>
    </row>
    <row r="28" spans="1:66" ht="20.100000000000001" customHeight="1" x14ac:dyDescent="0.45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</row>
    <row r="29" spans="1:66" ht="20.100000000000001" customHeight="1" x14ac:dyDescent="0.45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</row>
    <row r="30" spans="1:66" ht="20.100000000000001" customHeight="1" x14ac:dyDescent="0.45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</row>
    <row r="31" spans="1:66" ht="5.0999999999999996" customHeight="1" x14ac:dyDescent="0.45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</row>
    <row r="32" spans="1:66" ht="20.100000000000001" customHeight="1" x14ac:dyDescent="0.45"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</row>
    <row r="2" spans="1:66" ht="20.100000000000001" customHeight="1" thickTop="1" x14ac:dyDescent="0.45">
      <c r="A2" s="28"/>
      <c r="B2" s="164" t="s">
        <v>0</v>
      </c>
      <c r="C2" s="165"/>
      <c r="D2" s="165"/>
      <c r="E2" s="165"/>
      <c r="F2" s="165"/>
      <c r="G2" s="165"/>
      <c r="H2" s="165" t="s">
        <v>16</v>
      </c>
      <c r="I2" s="165"/>
      <c r="J2" s="165"/>
      <c r="K2" s="165"/>
      <c r="L2" s="165" t="s">
        <v>935</v>
      </c>
      <c r="M2" s="165"/>
      <c r="N2" s="165"/>
      <c r="O2" s="165"/>
      <c r="P2" s="165"/>
      <c r="Q2" s="165"/>
      <c r="R2" s="165" t="s">
        <v>1</v>
      </c>
      <c r="S2" s="165"/>
      <c r="T2" s="165"/>
      <c r="U2" s="165"/>
      <c r="V2" s="165"/>
      <c r="W2" s="165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31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5" t="s">
        <v>4</v>
      </c>
      <c r="AY2" s="165"/>
      <c r="AZ2" s="165"/>
      <c r="BA2" s="165"/>
      <c r="BB2" s="165" t="s">
        <v>3</v>
      </c>
      <c r="BC2" s="165"/>
      <c r="BD2" s="165"/>
      <c r="BE2" s="165"/>
      <c r="BF2" s="165" t="s">
        <v>5</v>
      </c>
      <c r="BG2" s="165"/>
      <c r="BH2" s="165"/>
      <c r="BI2" s="165"/>
      <c r="BJ2" s="165" t="s">
        <v>6</v>
      </c>
      <c r="BK2" s="165"/>
      <c r="BL2" s="165"/>
      <c r="BM2" s="179"/>
      <c r="BN2" s="31"/>
    </row>
    <row r="3" spans="1:66" ht="20.100000000000001" customHeight="1" x14ac:dyDescent="0.45">
      <c r="A3" s="28"/>
      <c r="B3" s="169" t="str">
        <f>変更履歴!B3</f>
        <v>受発注システム</v>
      </c>
      <c r="C3" s="170"/>
      <c r="D3" s="170"/>
      <c r="E3" s="170"/>
      <c r="F3" s="170"/>
      <c r="G3" s="170"/>
      <c r="H3" s="170" t="str">
        <f ca="1">変更履歴!H3</f>
        <v>MH1100</v>
      </c>
      <c r="I3" s="170"/>
      <c r="J3" s="170"/>
      <c r="K3" s="170"/>
      <c r="L3" s="170" t="str">
        <f>変更履歴!L3</f>
        <v>受発注</v>
      </c>
      <c r="M3" s="170"/>
      <c r="N3" s="170"/>
      <c r="O3" s="170"/>
      <c r="P3" s="170"/>
      <c r="Q3" s="170"/>
      <c r="R3" s="170" t="str">
        <f ca="1">変更履歴!R3</f>
        <v>帳票設計書</v>
      </c>
      <c r="S3" s="170"/>
      <c r="T3" s="170"/>
      <c r="U3" s="170"/>
      <c r="V3" s="170"/>
      <c r="W3" s="170"/>
      <c r="X3" s="174" t="str">
        <f ca="1">変更履歴!X3</f>
        <v>MH1100_見積書(コーセー専用)_帳票設計書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見積書(コーセー専用)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181">
        <f>変更履歴!AX3</f>
        <v>45581</v>
      </c>
      <c r="AY3" s="181"/>
      <c r="AZ3" s="181"/>
      <c r="BA3" s="181"/>
      <c r="BB3" s="170" t="str">
        <f>変更履歴!BB3</f>
        <v>大谷</v>
      </c>
      <c r="BC3" s="170"/>
      <c r="BD3" s="170"/>
      <c r="BE3" s="170"/>
      <c r="BF3" s="181">
        <f>変更履歴!BF3</f>
        <v>45581</v>
      </c>
      <c r="BG3" s="181"/>
      <c r="BH3" s="181"/>
      <c r="BI3" s="181"/>
      <c r="BJ3" s="170" t="str">
        <f>変更履歴!BJ3</f>
        <v>大谷</v>
      </c>
      <c r="BK3" s="170"/>
      <c r="BL3" s="170"/>
      <c r="BM3" s="182"/>
      <c r="BN3" s="31"/>
    </row>
    <row r="4" spans="1:66" ht="20.100000000000001" customHeight="1" thickBot="1" x14ac:dyDescent="0.5">
      <c r="A4" s="28"/>
      <c r="B4" s="171"/>
      <c r="C4" s="172"/>
      <c r="D4" s="172"/>
      <c r="E4" s="172"/>
      <c r="F4" s="172"/>
      <c r="G4" s="172"/>
      <c r="H4" s="172"/>
      <c r="I4" s="172"/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190"/>
      <c r="AY4" s="190"/>
      <c r="AZ4" s="190"/>
      <c r="BA4" s="190"/>
      <c r="BB4" s="172"/>
      <c r="BC4" s="172"/>
      <c r="BD4" s="172"/>
      <c r="BE4" s="172"/>
      <c r="BF4" s="190"/>
      <c r="BG4" s="190"/>
      <c r="BH4" s="190"/>
      <c r="BI4" s="190"/>
      <c r="BJ4" s="172"/>
      <c r="BK4" s="172"/>
      <c r="BL4" s="172"/>
      <c r="BM4" s="174"/>
      <c r="BN4" s="31"/>
    </row>
    <row r="5" spans="1:66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</row>
    <row r="6" spans="1:66" ht="20.100000000000001" customHeight="1" thickBot="1" x14ac:dyDescent="0.5">
      <c r="A6" s="27"/>
      <c r="B6" s="41" t="s">
        <v>130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27"/>
    </row>
    <row r="7" spans="1:66" ht="20.100000000000001" customHeight="1" thickTop="1" x14ac:dyDescent="0.45">
      <c r="A7" s="28"/>
      <c r="B7" s="27"/>
      <c r="C7" s="35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31"/>
    </row>
    <row r="8" spans="1:66" ht="20.100000000000001" customHeight="1" x14ac:dyDescent="0.45">
      <c r="A8" s="28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5"/>
      <c r="BH8" s="25"/>
      <c r="BI8" s="25"/>
      <c r="BJ8" s="25"/>
      <c r="BK8" s="27"/>
      <c r="BL8" s="27"/>
      <c r="BM8" s="27"/>
      <c r="BN8" s="31"/>
    </row>
    <row r="9" spans="1:66" ht="20.100000000000001" customHeight="1" x14ac:dyDescent="0.45">
      <c r="A9" s="28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5"/>
      <c r="BH9" s="25"/>
      <c r="BI9" s="25"/>
      <c r="BJ9" s="25"/>
      <c r="BK9" s="27"/>
      <c r="BL9" s="27"/>
      <c r="BM9" s="27"/>
      <c r="BN9" s="31"/>
    </row>
    <row r="10" spans="1:66" ht="20.100000000000001" customHeight="1" x14ac:dyDescent="0.45">
      <c r="A10" s="28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5"/>
      <c r="BH10" s="25"/>
      <c r="BI10" s="25"/>
      <c r="BJ10" s="25"/>
      <c r="BK10" s="27"/>
      <c r="BL10" s="27"/>
      <c r="BM10" s="27"/>
      <c r="BN10" s="31"/>
    </row>
    <row r="11" spans="1:66" ht="20.100000000000001" customHeight="1" x14ac:dyDescent="0.45">
      <c r="A11" s="28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5"/>
      <c r="BH11" s="25"/>
      <c r="BI11" s="25"/>
      <c r="BJ11" s="25"/>
      <c r="BK11" s="27"/>
      <c r="BL11" s="27"/>
      <c r="BM11" s="27"/>
      <c r="BN11" s="31"/>
    </row>
    <row r="12" spans="1:66" ht="20.100000000000001" customHeight="1" x14ac:dyDescent="0.45">
      <c r="A12" s="28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5"/>
      <c r="BH12" s="25"/>
      <c r="BI12" s="25"/>
      <c r="BJ12" s="25"/>
      <c r="BK12" s="27"/>
      <c r="BL12" s="27"/>
      <c r="BM12" s="27"/>
      <c r="BN12" s="31"/>
    </row>
    <row r="13" spans="1:66" ht="20.100000000000001" customHeight="1" x14ac:dyDescent="0.45">
      <c r="A13" s="28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5"/>
      <c r="BH13" s="25"/>
      <c r="BI13" s="25"/>
      <c r="BJ13" s="25"/>
      <c r="BK13" s="27"/>
      <c r="BL13" s="27"/>
      <c r="BM13" s="27"/>
      <c r="BN13" s="31"/>
    </row>
    <row r="14" spans="1:66" ht="20.100000000000001" customHeight="1" x14ac:dyDescent="0.45">
      <c r="A14" s="28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5"/>
      <c r="BH14" s="25"/>
      <c r="BI14" s="25"/>
      <c r="BJ14" s="25"/>
      <c r="BK14" s="27"/>
      <c r="BL14" s="27"/>
      <c r="BM14" s="27"/>
      <c r="BN14" s="31"/>
    </row>
    <row r="15" spans="1:66" ht="20.100000000000001" customHeight="1" x14ac:dyDescent="0.45">
      <c r="A15" s="28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5"/>
      <c r="BH15" s="25"/>
      <c r="BI15" s="25"/>
      <c r="BJ15" s="25"/>
      <c r="BK15" s="27"/>
      <c r="BL15" s="27"/>
      <c r="BM15" s="27"/>
      <c r="BN15" s="31"/>
    </row>
    <row r="16" spans="1:66" ht="20.100000000000001" customHeight="1" x14ac:dyDescent="0.45">
      <c r="A16" s="28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5"/>
      <c r="BH16" s="25"/>
      <c r="BI16" s="25"/>
      <c r="BJ16" s="25"/>
      <c r="BK16" s="27"/>
      <c r="BL16" s="27"/>
      <c r="BM16" s="27"/>
      <c r="BN16" s="31"/>
    </row>
    <row r="17" spans="1:66" ht="20.100000000000001" customHeight="1" x14ac:dyDescent="0.45">
      <c r="A17" s="28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5"/>
      <c r="BH17" s="25"/>
      <c r="BI17" s="25"/>
      <c r="BJ17" s="25"/>
      <c r="BK17" s="27"/>
      <c r="BL17" s="27"/>
      <c r="BM17" s="27"/>
      <c r="BN17" s="31"/>
    </row>
    <row r="18" spans="1:66" ht="20.100000000000001" customHeight="1" x14ac:dyDescent="0.45">
      <c r="A18" s="28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5"/>
      <c r="BH18" s="25"/>
      <c r="BI18" s="25"/>
      <c r="BJ18" s="25"/>
      <c r="BK18" s="27"/>
      <c r="BL18" s="27"/>
      <c r="BM18" s="27"/>
      <c r="BN18" s="31"/>
    </row>
    <row r="19" spans="1:66" ht="20.100000000000001" customHeight="1" x14ac:dyDescent="0.45">
      <c r="A19" s="2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5"/>
      <c r="BH19" s="25"/>
      <c r="BI19" s="25"/>
      <c r="BJ19" s="25"/>
      <c r="BK19" s="27"/>
      <c r="BL19" s="27"/>
      <c r="BM19" s="27"/>
      <c r="BN19" s="31"/>
    </row>
    <row r="20" spans="1:66" ht="20.100000000000001" customHeight="1" x14ac:dyDescent="0.45">
      <c r="A20" s="28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5"/>
      <c r="BH20" s="25"/>
      <c r="BI20" s="25"/>
      <c r="BJ20" s="25"/>
      <c r="BK20" s="27"/>
      <c r="BL20" s="27"/>
      <c r="BM20" s="27"/>
      <c r="BN20" s="31"/>
    </row>
    <row r="21" spans="1:66" ht="20.100000000000001" customHeight="1" x14ac:dyDescent="0.45">
      <c r="A21" s="2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5"/>
      <c r="BH21" s="25"/>
      <c r="BI21" s="25"/>
      <c r="BJ21" s="25"/>
      <c r="BK21" s="27"/>
      <c r="BL21" s="27"/>
      <c r="BM21" s="27"/>
      <c r="BN21" s="31"/>
    </row>
    <row r="22" spans="1:66" ht="20.100000000000001" customHeight="1" x14ac:dyDescent="0.45">
      <c r="A22" s="28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5"/>
      <c r="BH22" s="25"/>
      <c r="BI22" s="25"/>
      <c r="BJ22" s="25"/>
      <c r="BK22" s="27"/>
      <c r="BL22" s="27"/>
      <c r="BM22" s="27"/>
      <c r="BN22" s="31"/>
    </row>
    <row r="23" spans="1:66" ht="20.100000000000001" customHeight="1" x14ac:dyDescent="0.45">
      <c r="A23" s="28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5"/>
      <c r="BH23" s="25"/>
      <c r="BI23" s="25"/>
      <c r="BJ23" s="25"/>
      <c r="BK23" s="27"/>
      <c r="BL23" s="27"/>
      <c r="BM23" s="27"/>
      <c r="BN23" s="31"/>
    </row>
    <row r="24" spans="1:66" ht="20.100000000000001" customHeight="1" x14ac:dyDescent="0.45">
      <c r="A24" s="28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5"/>
      <c r="BH24" s="25"/>
      <c r="BI24" s="25"/>
      <c r="BJ24" s="25"/>
      <c r="BK24" s="27"/>
      <c r="BL24" s="27"/>
      <c r="BM24" s="27"/>
      <c r="BN24" s="31"/>
    </row>
    <row r="25" spans="1:66" ht="20.100000000000001" customHeight="1" x14ac:dyDescent="0.45">
      <c r="A25" s="28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5"/>
      <c r="BH25" s="25"/>
      <c r="BI25" s="25"/>
      <c r="BJ25" s="25"/>
      <c r="BK25" s="27"/>
      <c r="BL25" s="27"/>
      <c r="BM25" s="27"/>
      <c r="BN25" s="31"/>
    </row>
    <row r="26" spans="1:66" ht="20.100000000000001" customHeight="1" x14ac:dyDescent="0.45">
      <c r="A26" s="28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5"/>
      <c r="BH26" s="25"/>
      <c r="BI26" s="25"/>
      <c r="BJ26" s="25"/>
      <c r="BK26" s="27"/>
      <c r="BL26" s="27"/>
      <c r="BM26" s="27"/>
      <c r="BN26" s="31"/>
    </row>
    <row r="27" spans="1:66" ht="20.100000000000001" customHeight="1" x14ac:dyDescent="0.45">
      <c r="A27" s="28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5"/>
      <c r="BH27" s="25"/>
      <c r="BI27" s="25"/>
      <c r="BJ27" s="25"/>
      <c r="BK27" s="27"/>
      <c r="BL27" s="27"/>
      <c r="BM27" s="27"/>
      <c r="BN27" s="31"/>
    </row>
    <row r="28" spans="1:66" ht="20.100000000000001" customHeight="1" x14ac:dyDescent="0.45">
      <c r="A28" s="28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5"/>
      <c r="BH28" s="25"/>
      <c r="BI28" s="25"/>
      <c r="BJ28" s="25"/>
      <c r="BK28" s="27"/>
      <c r="BL28" s="27"/>
      <c r="BM28" s="27"/>
      <c r="BN28" s="31"/>
    </row>
    <row r="29" spans="1:66" ht="20.100000000000001" customHeight="1" x14ac:dyDescent="0.45">
      <c r="A29" s="28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5"/>
      <c r="BH29" s="25"/>
      <c r="BI29" s="25"/>
      <c r="BJ29" s="25"/>
      <c r="BK29" s="27"/>
      <c r="BL29" s="27"/>
      <c r="BM29" s="27"/>
      <c r="BN29" s="31"/>
    </row>
    <row r="30" spans="1:66" ht="20.100000000000001" customHeight="1" x14ac:dyDescent="0.45">
      <c r="A30" s="28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5"/>
      <c r="BH30" s="25"/>
      <c r="BI30" s="25"/>
      <c r="BJ30" s="25"/>
      <c r="BK30" s="27"/>
      <c r="BL30" s="27"/>
      <c r="BM30" s="27"/>
      <c r="BN30" s="31"/>
    </row>
    <row r="31" spans="1:66" ht="20.100000000000001" customHeight="1" x14ac:dyDescent="0.45">
      <c r="A31" s="28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5"/>
      <c r="BH31" s="25"/>
      <c r="BI31" s="25"/>
      <c r="BJ31" s="25"/>
      <c r="BK31" s="27"/>
      <c r="BL31" s="27"/>
      <c r="BM31" s="27"/>
      <c r="BN31" s="31"/>
    </row>
    <row r="32" spans="1:66" ht="20.100000000000001" customHeight="1" x14ac:dyDescent="0.45">
      <c r="A32" s="28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5"/>
      <c r="BH32" s="25"/>
      <c r="BI32" s="25"/>
      <c r="BJ32" s="25"/>
      <c r="BK32" s="27"/>
      <c r="BL32" s="27"/>
      <c r="BM32" s="27"/>
      <c r="BN32" s="31"/>
    </row>
    <row r="33" spans="1:66" ht="20.100000000000001" customHeight="1" x14ac:dyDescent="0.45">
      <c r="A33" s="28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5"/>
      <c r="BH33" s="25"/>
      <c r="BI33" s="25"/>
      <c r="BJ33" s="25"/>
      <c r="BK33" s="27"/>
      <c r="BL33" s="27"/>
      <c r="BM33" s="27"/>
      <c r="BN33" s="31"/>
    </row>
    <row r="34" spans="1:66" ht="20.100000000000001" customHeight="1" x14ac:dyDescent="0.45">
      <c r="A34" s="28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31"/>
    </row>
    <row r="35" spans="1:66" ht="20.100000000000001" customHeight="1" x14ac:dyDescent="0.45">
      <c r="A35" s="28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31"/>
    </row>
    <row r="36" spans="1:66" ht="20.100000000000001" customHeight="1" x14ac:dyDescent="0.45">
      <c r="A36" s="28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31"/>
    </row>
    <row r="37" spans="1:66" ht="20.100000000000001" customHeight="1" x14ac:dyDescent="0.45">
      <c r="A37" s="28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31"/>
    </row>
    <row r="38" spans="1:66" ht="20.100000000000001" customHeight="1" x14ac:dyDescent="0.45">
      <c r="A38" s="28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31"/>
    </row>
    <row r="39" spans="1:66" ht="20.100000000000001" customHeight="1" x14ac:dyDescent="0.45">
      <c r="B39" s="31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8"/>
    </row>
    <row r="40" spans="1:66" ht="20.100000000000001" customHeight="1" x14ac:dyDescent="0.45">
      <c r="B40" s="31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8"/>
    </row>
    <row r="41" spans="1:66" ht="20.100000000000001" customHeight="1" x14ac:dyDescent="0.45">
      <c r="B41" s="31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8"/>
    </row>
    <row r="42" spans="1:66" ht="20.100000000000001" customHeight="1" x14ac:dyDescent="0.45">
      <c r="B42" s="31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8"/>
    </row>
    <row r="43" spans="1:66" ht="20.100000000000001" customHeight="1" x14ac:dyDescent="0.45">
      <c r="B43" s="31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8"/>
    </row>
    <row r="44" spans="1:66" ht="20.100000000000001" customHeight="1" x14ac:dyDescent="0.45">
      <c r="B44" s="31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8"/>
    </row>
    <row r="45" spans="1:66" ht="20.100000000000001" customHeight="1" x14ac:dyDescent="0.45">
      <c r="B45" s="31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8"/>
    </row>
    <row r="46" spans="1:66" ht="20.100000000000001" customHeight="1" x14ac:dyDescent="0.45">
      <c r="B46" s="31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8"/>
    </row>
    <row r="47" spans="1:66" ht="20.100000000000001" customHeight="1" thickBot="1" x14ac:dyDescent="0.5">
      <c r="B47" s="23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24"/>
    </row>
    <row r="48" spans="1:66" ht="20.100000000000001" customHeight="1" thickTop="1" x14ac:dyDescent="0.45"/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74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21" width="3.69921875" style="6" customWidth="1"/>
    <col min="22" max="27" width="17.09765625" style="6" customWidth="1"/>
    <col min="28" max="43" width="8.5" style="6" customWidth="1"/>
    <col min="44" max="49" width="5.19921875" style="6" customWidth="1"/>
    <col min="50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</row>
    <row r="2" spans="1:85" ht="20.100000000000001" customHeight="1" thickTop="1" x14ac:dyDescent="0.45">
      <c r="A2" s="28"/>
      <c r="B2" s="238" t="s">
        <v>0</v>
      </c>
      <c r="C2" s="167"/>
      <c r="D2" s="167"/>
      <c r="E2" s="167"/>
      <c r="F2" s="167"/>
      <c r="G2" s="168"/>
      <c r="H2" s="166" t="s">
        <v>16</v>
      </c>
      <c r="I2" s="167"/>
      <c r="J2" s="167"/>
      <c r="K2" s="168"/>
      <c r="L2" s="166" t="s">
        <v>935</v>
      </c>
      <c r="M2" s="167"/>
      <c r="N2" s="167"/>
      <c r="O2" s="167"/>
      <c r="P2" s="167"/>
      <c r="Q2" s="168"/>
      <c r="R2" s="166" t="s">
        <v>1</v>
      </c>
      <c r="S2" s="167"/>
      <c r="T2" s="167"/>
      <c r="U2" s="167"/>
      <c r="V2" s="167"/>
      <c r="W2" s="168"/>
      <c r="X2" s="166" t="s">
        <v>2</v>
      </c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8"/>
      <c r="AK2" s="166" t="s">
        <v>31</v>
      </c>
      <c r="AL2" s="167"/>
      <c r="AM2" s="167"/>
      <c r="AN2" s="167"/>
      <c r="AO2" s="167"/>
      <c r="AP2" s="167"/>
      <c r="AQ2" s="167"/>
      <c r="AR2" s="167"/>
      <c r="AS2" s="167"/>
      <c r="AT2" s="167"/>
      <c r="AU2" s="167"/>
      <c r="AV2" s="167"/>
      <c r="AW2" s="168"/>
      <c r="AX2" s="166" t="s">
        <v>4</v>
      </c>
      <c r="AY2" s="167"/>
      <c r="AZ2" s="167"/>
      <c r="BA2" s="168"/>
      <c r="BB2" s="166" t="s">
        <v>3</v>
      </c>
      <c r="BC2" s="167"/>
      <c r="BD2" s="167"/>
      <c r="BE2" s="168"/>
      <c r="BF2" s="166" t="s">
        <v>5</v>
      </c>
      <c r="BG2" s="167"/>
      <c r="BH2" s="167"/>
      <c r="BI2" s="168"/>
      <c r="BJ2" s="166" t="s">
        <v>6</v>
      </c>
      <c r="BK2" s="167"/>
      <c r="BL2" s="167"/>
      <c r="BM2" s="235"/>
      <c r="BN2" s="31"/>
    </row>
    <row r="3" spans="1:85" ht="20.100000000000001" customHeight="1" x14ac:dyDescent="0.45">
      <c r="A3" s="28"/>
      <c r="B3" s="236" t="str">
        <f>変更履歴!B3</f>
        <v>受発注システム</v>
      </c>
      <c r="C3" s="175"/>
      <c r="D3" s="175"/>
      <c r="E3" s="175"/>
      <c r="F3" s="175"/>
      <c r="G3" s="171"/>
      <c r="H3" s="174" t="str">
        <f ca="1">変更履歴!H3</f>
        <v>MH1100</v>
      </c>
      <c r="I3" s="175"/>
      <c r="J3" s="175"/>
      <c r="K3" s="171"/>
      <c r="L3" s="174" t="str">
        <f>変更履歴!L3</f>
        <v>受発注</v>
      </c>
      <c r="M3" s="175"/>
      <c r="N3" s="175"/>
      <c r="O3" s="175"/>
      <c r="P3" s="175"/>
      <c r="Q3" s="171"/>
      <c r="R3" s="174" t="str">
        <f ca="1">変更履歴!R3</f>
        <v>帳票設計書</v>
      </c>
      <c r="S3" s="175"/>
      <c r="T3" s="175"/>
      <c r="U3" s="175"/>
      <c r="V3" s="175"/>
      <c r="W3" s="171"/>
      <c r="X3" s="174" t="str">
        <f ca="1">変更履歴!X3</f>
        <v>MH1100_見積書(コーセー専用)_帳票設計書</v>
      </c>
      <c r="Y3" s="175"/>
      <c r="Z3" s="175"/>
      <c r="AA3" s="175"/>
      <c r="AB3" s="175"/>
      <c r="AC3" s="175"/>
      <c r="AD3" s="175"/>
      <c r="AE3" s="175"/>
      <c r="AF3" s="175"/>
      <c r="AG3" s="175"/>
      <c r="AH3" s="175"/>
      <c r="AI3" s="175"/>
      <c r="AJ3" s="171"/>
      <c r="AK3" s="174" t="str">
        <f ca="1">変更履歴!AK3</f>
        <v>見積書(コーセー専用)</v>
      </c>
      <c r="AL3" s="175"/>
      <c r="AM3" s="175"/>
      <c r="AN3" s="175"/>
      <c r="AO3" s="175"/>
      <c r="AP3" s="175"/>
      <c r="AQ3" s="175"/>
      <c r="AR3" s="175"/>
      <c r="AS3" s="175"/>
      <c r="AT3" s="175"/>
      <c r="AU3" s="175"/>
      <c r="AV3" s="175"/>
      <c r="AW3" s="171"/>
      <c r="AX3" s="239">
        <f>変更履歴!AX3</f>
        <v>45581</v>
      </c>
      <c r="AY3" s="240"/>
      <c r="AZ3" s="240"/>
      <c r="BA3" s="241"/>
      <c r="BB3" s="174" t="str">
        <f>変更履歴!BB3</f>
        <v>大谷</v>
      </c>
      <c r="BC3" s="175"/>
      <c r="BD3" s="175"/>
      <c r="BE3" s="171"/>
      <c r="BF3" s="239">
        <f>変更履歴!BF3</f>
        <v>45581</v>
      </c>
      <c r="BG3" s="240"/>
      <c r="BH3" s="240"/>
      <c r="BI3" s="241"/>
      <c r="BJ3" s="174" t="str">
        <f>変更履歴!BJ3</f>
        <v>大谷</v>
      </c>
      <c r="BK3" s="175"/>
      <c r="BL3" s="175"/>
      <c r="BM3" s="245"/>
      <c r="BN3" s="31"/>
    </row>
    <row r="4" spans="1:85" ht="20.100000000000001" customHeight="1" thickBot="1" x14ac:dyDescent="0.5">
      <c r="A4" s="28"/>
      <c r="B4" s="237"/>
      <c r="C4" s="177"/>
      <c r="D4" s="177"/>
      <c r="E4" s="177"/>
      <c r="F4" s="177"/>
      <c r="G4" s="178"/>
      <c r="H4" s="176"/>
      <c r="I4" s="177"/>
      <c r="J4" s="177"/>
      <c r="K4" s="178"/>
      <c r="L4" s="176"/>
      <c r="M4" s="177"/>
      <c r="N4" s="177"/>
      <c r="O4" s="177"/>
      <c r="P4" s="177"/>
      <c r="Q4" s="178"/>
      <c r="R4" s="176"/>
      <c r="S4" s="177"/>
      <c r="T4" s="177"/>
      <c r="U4" s="177"/>
      <c r="V4" s="177"/>
      <c r="W4" s="178"/>
      <c r="X4" s="176"/>
      <c r="Y4" s="177"/>
      <c r="Z4" s="177"/>
      <c r="AA4" s="177"/>
      <c r="AB4" s="177"/>
      <c r="AC4" s="177"/>
      <c r="AD4" s="177"/>
      <c r="AE4" s="177"/>
      <c r="AF4" s="177"/>
      <c r="AG4" s="177"/>
      <c r="AH4" s="177"/>
      <c r="AI4" s="177"/>
      <c r="AJ4" s="178"/>
      <c r="AK4" s="176"/>
      <c r="AL4" s="177"/>
      <c r="AM4" s="177"/>
      <c r="AN4" s="177"/>
      <c r="AO4" s="177"/>
      <c r="AP4" s="177"/>
      <c r="AQ4" s="177"/>
      <c r="AR4" s="177"/>
      <c r="AS4" s="177"/>
      <c r="AT4" s="177"/>
      <c r="AU4" s="177"/>
      <c r="AV4" s="177"/>
      <c r="AW4" s="178"/>
      <c r="AX4" s="242"/>
      <c r="AY4" s="243"/>
      <c r="AZ4" s="243"/>
      <c r="BA4" s="244"/>
      <c r="BB4" s="176"/>
      <c r="BC4" s="177"/>
      <c r="BD4" s="177"/>
      <c r="BE4" s="178"/>
      <c r="BF4" s="242"/>
      <c r="BG4" s="243"/>
      <c r="BH4" s="243"/>
      <c r="BI4" s="244"/>
      <c r="BJ4" s="176"/>
      <c r="BK4" s="177"/>
      <c r="BL4" s="177"/>
      <c r="BM4" s="246"/>
      <c r="BN4" s="31"/>
    </row>
    <row r="5" spans="1:85" ht="5.25" customHeight="1" thickTop="1" x14ac:dyDescent="0.45"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</row>
    <row r="6" spans="1:85" ht="19.5" customHeight="1" x14ac:dyDescent="0.45"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</row>
    <row r="7" spans="1:85" ht="20.100000000000001" customHeight="1" thickBot="1" x14ac:dyDescent="0.5">
      <c r="A7" s="27"/>
      <c r="B7" s="41" t="s">
        <v>17</v>
      </c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</row>
    <row r="8" spans="1:85" ht="20.100000000000001" customHeight="1" thickTop="1" x14ac:dyDescent="0.45">
      <c r="A8" s="27"/>
      <c r="B8" s="3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68"/>
    </row>
    <row r="9" spans="1:85" ht="20.100000000000001" customHeight="1" thickBot="1" x14ac:dyDescent="0.5">
      <c r="A9" s="26"/>
      <c r="B9" s="31"/>
      <c r="C9" s="35" t="s">
        <v>44</v>
      </c>
      <c r="D9" s="30"/>
      <c r="E9" s="30"/>
      <c r="F9" s="84" t="s">
        <v>50</v>
      </c>
      <c r="G9" s="30"/>
      <c r="H9" s="30"/>
      <c r="I9" s="30"/>
      <c r="J9" s="30"/>
      <c r="K9" s="30"/>
      <c r="L9" s="30"/>
      <c r="M9" s="30"/>
      <c r="N9" s="30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5"/>
      <c r="AU9" s="25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27"/>
      <c r="BP9" s="27"/>
      <c r="BQ9" s="27"/>
      <c r="BR9" s="27"/>
      <c r="BS9" s="27"/>
      <c r="BT9" s="27"/>
      <c r="BU9" s="28"/>
    </row>
    <row r="10" spans="1:85" s="5" customFormat="1" ht="18.600000000000001" customHeight="1" thickTop="1" x14ac:dyDescent="0.45">
      <c r="A10" s="26"/>
      <c r="B10" s="40"/>
      <c r="C10" s="28"/>
      <c r="D10" s="34" t="s">
        <v>18</v>
      </c>
      <c r="E10" s="228" t="s">
        <v>19</v>
      </c>
      <c r="F10" s="229"/>
      <c r="G10" s="229"/>
      <c r="H10" s="229"/>
      <c r="I10" s="229"/>
      <c r="J10" s="229"/>
      <c r="K10" s="229"/>
      <c r="L10" s="230"/>
      <c r="M10" s="231" t="s">
        <v>23</v>
      </c>
      <c r="N10" s="232"/>
      <c r="O10" s="233"/>
      <c r="P10" s="231" t="s">
        <v>32</v>
      </c>
      <c r="Q10" s="232"/>
      <c r="R10" s="233"/>
      <c r="S10" s="231" t="s">
        <v>33</v>
      </c>
      <c r="T10" s="232"/>
      <c r="U10" s="233"/>
      <c r="V10" s="231" t="s">
        <v>35</v>
      </c>
      <c r="W10" s="232"/>
      <c r="X10" s="232"/>
      <c r="Y10" s="232"/>
      <c r="Z10" s="232"/>
      <c r="AA10" s="233"/>
      <c r="AB10" s="231" t="s">
        <v>34</v>
      </c>
      <c r="AC10" s="232"/>
      <c r="AD10" s="232"/>
      <c r="AE10" s="232"/>
      <c r="AF10" s="232"/>
      <c r="AG10" s="232"/>
      <c r="AH10" s="232"/>
      <c r="AI10" s="232"/>
      <c r="AJ10" s="232"/>
      <c r="AK10" s="232"/>
      <c r="AL10" s="232"/>
      <c r="AM10" s="232"/>
      <c r="AN10" s="232"/>
      <c r="AO10" s="232"/>
      <c r="AP10" s="232"/>
      <c r="AQ10" s="233"/>
      <c r="AR10" s="231" t="s">
        <v>41</v>
      </c>
      <c r="AS10" s="232"/>
      <c r="AT10" s="232"/>
      <c r="AU10" s="232"/>
      <c r="AV10" s="232"/>
      <c r="AW10" s="233"/>
      <c r="AX10" s="231" t="s">
        <v>42</v>
      </c>
      <c r="AY10" s="232"/>
      <c r="AZ10" s="232"/>
      <c r="BA10" s="232"/>
      <c r="BB10" s="232"/>
      <c r="BC10" s="232"/>
      <c r="BD10" s="232"/>
      <c r="BE10" s="232"/>
      <c r="BF10" s="232"/>
      <c r="BG10" s="232"/>
      <c r="BH10" s="232"/>
      <c r="BI10" s="232"/>
      <c r="BJ10" s="232"/>
      <c r="BK10" s="232"/>
      <c r="BL10" s="232"/>
      <c r="BM10" s="232"/>
      <c r="BN10" s="232"/>
      <c r="BO10" s="232"/>
      <c r="BP10" s="232"/>
      <c r="BQ10" s="232"/>
      <c r="BR10" s="232"/>
      <c r="BS10" s="232"/>
      <c r="BT10" s="234"/>
      <c r="BU10" s="37"/>
      <c r="BV10" s="36"/>
      <c r="BW10" s="37"/>
      <c r="BX10" s="37"/>
      <c r="BY10" s="37"/>
      <c r="BZ10" s="37"/>
      <c r="CA10" s="37"/>
      <c r="CB10" s="26"/>
      <c r="CC10" s="26"/>
      <c r="CD10" s="26"/>
      <c r="CE10" s="26"/>
      <c r="CF10" s="26"/>
      <c r="CG10" s="26"/>
    </row>
    <row r="11" spans="1:85" s="5" customFormat="1" ht="20.100000000000001" customHeight="1" x14ac:dyDescent="0.45">
      <c r="A11" s="26"/>
      <c r="B11" s="40"/>
      <c r="C11" s="28"/>
      <c r="D11" s="33">
        <v>1</v>
      </c>
      <c r="E11" s="221" t="s">
        <v>119</v>
      </c>
      <c r="F11" s="222"/>
      <c r="G11" s="222"/>
      <c r="H11" s="222"/>
      <c r="I11" s="222"/>
      <c r="J11" s="222"/>
      <c r="K11" s="222"/>
      <c r="L11" s="223"/>
      <c r="M11" s="189" t="s">
        <v>37</v>
      </c>
      <c r="N11" s="184"/>
      <c r="O11" s="185"/>
      <c r="P11" s="189" t="s">
        <v>112</v>
      </c>
      <c r="Q11" s="184"/>
      <c r="R11" s="185"/>
      <c r="S11" s="189">
        <v>4</v>
      </c>
      <c r="T11" s="184"/>
      <c r="U11" s="185"/>
      <c r="V11" s="200" t="s">
        <v>879</v>
      </c>
      <c r="W11" s="201"/>
      <c r="X11" s="201"/>
      <c r="Y11" s="201"/>
      <c r="Z11" s="201"/>
      <c r="AA11" s="224"/>
      <c r="AB11" s="197" t="s">
        <v>880</v>
      </c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9"/>
      <c r="AR11" s="189"/>
      <c r="AS11" s="184"/>
      <c r="AT11" s="184"/>
      <c r="AU11" s="184"/>
      <c r="AV11" s="184"/>
      <c r="AW11" s="185"/>
      <c r="AX11" s="200"/>
      <c r="AY11" s="201"/>
      <c r="AZ11" s="201"/>
      <c r="BA11" s="201"/>
      <c r="BB11" s="201"/>
      <c r="BC11" s="201"/>
      <c r="BD11" s="201"/>
      <c r="BE11" s="201"/>
      <c r="BF11" s="201"/>
      <c r="BG11" s="201"/>
      <c r="BH11" s="201"/>
      <c r="BI11" s="201"/>
      <c r="BJ11" s="201"/>
      <c r="BK11" s="201"/>
      <c r="BL11" s="201"/>
      <c r="BM11" s="201"/>
      <c r="BN11" s="201"/>
      <c r="BO11" s="201"/>
      <c r="BP11" s="201"/>
      <c r="BQ11" s="201"/>
      <c r="BR11" s="201"/>
      <c r="BS11" s="201"/>
      <c r="BT11" s="202"/>
      <c r="BU11" s="37"/>
      <c r="BV11" s="36"/>
      <c r="BW11" s="37"/>
      <c r="BX11" s="37"/>
      <c r="BY11" s="37"/>
      <c r="BZ11" s="37"/>
      <c r="CA11" s="37"/>
      <c r="CB11" s="26"/>
      <c r="CC11" s="26"/>
      <c r="CD11" s="26"/>
      <c r="CE11" s="26"/>
      <c r="CF11" s="26"/>
      <c r="CG11" s="26"/>
    </row>
    <row r="12" spans="1:85" s="5" customFormat="1" ht="20.100000000000001" customHeight="1" x14ac:dyDescent="0.45">
      <c r="A12" s="26"/>
      <c r="B12" s="40"/>
      <c r="C12" s="28"/>
      <c r="D12" s="33">
        <v>2</v>
      </c>
      <c r="E12" s="221" t="s">
        <v>82</v>
      </c>
      <c r="F12" s="222"/>
      <c r="G12" s="222"/>
      <c r="H12" s="222"/>
      <c r="I12" s="222"/>
      <c r="J12" s="222"/>
      <c r="K12" s="222"/>
      <c r="L12" s="223"/>
      <c r="M12" s="189" t="s">
        <v>7</v>
      </c>
      <c r="N12" s="184"/>
      <c r="O12" s="185"/>
      <c r="P12" s="189" t="s">
        <v>112</v>
      </c>
      <c r="Q12" s="184"/>
      <c r="R12" s="185"/>
      <c r="S12" s="189">
        <v>8</v>
      </c>
      <c r="T12" s="184"/>
      <c r="U12" s="185"/>
      <c r="V12" s="200" t="s">
        <v>881</v>
      </c>
      <c r="W12" s="201"/>
      <c r="X12" s="201"/>
      <c r="Y12" s="201"/>
      <c r="Z12" s="201"/>
      <c r="AA12" s="224"/>
      <c r="AB12" s="197" t="s">
        <v>882</v>
      </c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9"/>
      <c r="AR12" s="189" t="s">
        <v>106</v>
      </c>
      <c r="AS12" s="184"/>
      <c r="AT12" s="184"/>
      <c r="AU12" s="184"/>
      <c r="AV12" s="184"/>
      <c r="AW12" s="185"/>
      <c r="AX12" s="200"/>
      <c r="AY12" s="201"/>
      <c r="AZ12" s="201"/>
      <c r="BA12" s="201"/>
      <c r="BB12" s="201"/>
      <c r="BC12" s="201"/>
      <c r="BD12" s="201"/>
      <c r="BE12" s="201"/>
      <c r="BF12" s="201"/>
      <c r="BG12" s="201"/>
      <c r="BH12" s="201"/>
      <c r="BI12" s="201"/>
      <c r="BJ12" s="201"/>
      <c r="BK12" s="201"/>
      <c r="BL12" s="201"/>
      <c r="BM12" s="201"/>
      <c r="BN12" s="201"/>
      <c r="BO12" s="201"/>
      <c r="BP12" s="201"/>
      <c r="BQ12" s="201"/>
      <c r="BR12" s="201"/>
      <c r="BS12" s="201"/>
      <c r="BT12" s="202"/>
      <c r="BU12" s="37"/>
      <c r="BV12" s="36"/>
      <c r="BW12" s="37"/>
      <c r="BX12" s="37"/>
      <c r="BY12" s="37"/>
      <c r="BZ12" s="37"/>
      <c r="CA12" s="37"/>
      <c r="CB12" s="26"/>
      <c r="CC12" s="26"/>
      <c r="CD12" s="26"/>
      <c r="CE12" s="26"/>
      <c r="CF12" s="26"/>
      <c r="CG12" s="26"/>
    </row>
    <row r="13" spans="1:85" s="5" customFormat="1" ht="20.100000000000001" customHeight="1" x14ac:dyDescent="0.45">
      <c r="A13" s="26"/>
      <c r="B13" s="40"/>
      <c r="C13" s="32"/>
      <c r="D13" s="33">
        <v>3</v>
      </c>
      <c r="E13" s="221" t="s">
        <v>83</v>
      </c>
      <c r="F13" s="222"/>
      <c r="G13" s="222"/>
      <c r="H13" s="222"/>
      <c r="I13" s="222"/>
      <c r="J13" s="222"/>
      <c r="K13" s="222"/>
      <c r="L13" s="223"/>
      <c r="M13" s="189" t="s">
        <v>37</v>
      </c>
      <c r="N13" s="184"/>
      <c r="O13" s="185"/>
      <c r="P13" s="189" t="s">
        <v>113</v>
      </c>
      <c r="Q13" s="184"/>
      <c r="R13" s="185"/>
      <c r="S13" s="189">
        <v>17</v>
      </c>
      <c r="T13" s="184"/>
      <c r="U13" s="185"/>
      <c r="V13" s="200" t="s">
        <v>883</v>
      </c>
      <c r="W13" s="201"/>
      <c r="X13" s="201"/>
      <c r="Y13" s="201"/>
      <c r="Z13" s="201"/>
      <c r="AA13" s="224"/>
      <c r="AB13" s="197" t="s">
        <v>884</v>
      </c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9"/>
      <c r="AR13" s="189"/>
      <c r="AS13" s="184"/>
      <c r="AT13" s="184"/>
      <c r="AU13" s="184"/>
      <c r="AV13" s="184"/>
      <c r="AW13" s="185"/>
      <c r="AX13" s="200"/>
      <c r="AY13" s="201"/>
      <c r="AZ13" s="201"/>
      <c r="BA13" s="201"/>
      <c r="BB13" s="201"/>
      <c r="BC13" s="201"/>
      <c r="BD13" s="201"/>
      <c r="BE13" s="201"/>
      <c r="BF13" s="201"/>
      <c r="BG13" s="201"/>
      <c r="BH13" s="201"/>
      <c r="BI13" s="201"/>
      <c r="BJ13" s="201"/>
      <c r="BK13" s="201"/>
      <c r="BL13" s="201"/>
      <c r="BM13" s="201"/>
      <c r="BN13" s="201"/>
      <c r="BO13" s="201"/>
      <c r="BP13" s="201"/>
      <c r="BQ13" s="201"/>
      <c r="BR13" s="201"/>
      <c r="BS13" s="201"/>
      <c r="BT13" s="202"/>
      <c r="BU13" s="37"/>
      <c r="BV13" s="36"/>
      <c r="BW13" s="37"/>
      <c r="BX13" s="37"/>
      <c r="BY13" s="37"/>
      <c r="BZ13" s="37"/>
      <c r="CA13" s="37"/>
      <c r="CB13" s="37"/>
      <c r="CC13" s="26"/>
      <c r="CD13" s="26"/>
      <c r="CE13" s="26"/>
      <c r="CF13" s="26"/>
      <c r="CG13" s="26"/>
    </row>
    <row r="14" spans="1:85" s="5" customFormat="1" ht="20.100000000000001" customHeight="1" x14ac:dyDescent="0.45">
      <c r="A14" s="26"/>
      <c r="B14" s="40"/>
      <c r="C14" s="32"/>
      <c r="D14" s="33">
        <v>4</v>
      </c>
      <c r="E14" s="221" t="s">
        <v>84</v>
      </c>
      <c r="F14" s="222"/>
      <c r="G14" s="222"/>
      <c r="H14" s="222"/>
      <c r="I14" s="222"/>
      <c r="J14" s="222"/>
      <c r="K14" s="222"/>
      <c r="L14" s="223"/>
      <c r="M14" s="189" t="s">
        <v>37</v>
      </c>
      <c r="N14" s="184"/>
      <c r="O14" s="185"/>
      <c r="P14" s="189" t="s">
        <v>113</v>
      </c>
      <c r="Q14" s="184"/>
      <c r="R14" s="185"/>
      <c r="S14" s="189" t="s">
        <v>122</v>
      </c>
      <c r="T14" s="184"/>
      <c r="U14" s="185"/>
      <c r="V14" s="200" t="s">
        <v>885</v>
      </c>
      <c r="W14" s="201"/>
      <c r="X14" s="201"/>
      <c r="Y14" s="201"/>
      <c r="Z14" s="201"/>
      <c r="AA14" s="224"/>
      <c r="AB14" s="197" t="s">
        <v>886</v>
      </c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9"/>
      <c r="AR14" s="189"/>
      <c r="AS14" s="184"/>
      <c r="AT14" s="184"/>
      <c r="AU14" s="184"/>
      <c r="AV14" s="184"/>
      <c r="AW14" s="185"/>
      <c r="AX14" s="200"/>
      <c r="AY14" s="201"/>
      <c r="AZ14" s="201"/>
      <c r="BA14" s="201"/>
      <c r="BB14" s="201"/>
      <c r="BC14" s="201"/>
      <c r="BD14" s="201"/>
      <c r="BE14" s="201"/>
      <c r="BF14" s="201"/>
      <c r="BG14" s="201"/>
      <c r="BH14" s="201"/>
      <c r="BI14" s="201"/>
      <c r="BJ14" s="201"/>
      <c r="BK14" s="201"/>
      <c r="BL14" s="201"/>
      <c r="BM14" s="201"/>
      <c r="BN14" s="201"/>
      <c r="BO14" s="201"/>
      <c r="BP14" s="201"/>
      <c r="BQ14" s="201"/>
      <c r="BR14" s="201"/>
      <c r="BS14" s="201"/>
      <c r="BT14" s="202"/>
      <c r="BU14" s="37"/>
      <c r="BV14" s="36"/>
      <c r="BW14" s="37"/>
      <c r="BX14" s="37"/>
      <c r="BY14" s="37"/>
      <c r="BZ14" s="37"/>
      <c r="CA14" s="37"/>
      <c r="CB14" s="37"/>
      <c r="CC14" s="26"/>
      <c r="CD14" s="26"/>
      <c r="CE14" s="26"/>
      <c r="CF14" s="26"/>
      <c r="CG14" s="26"/>
    </row>
    <row r="15" spans="1:85" s="5" customFormat="1" ht="20.100000000000001" customHeight="1" x14ac:dyDescent="0.45">
      <c r="A15" s="26"/>
      <c r="B15" s="40"/>
      <c r="C15" s="32"/>
      <c r="D15" s="33">
        <v>5</v>
      </c>
      <c r="E15" s="221" t="s">
        <v>85</v>
      </c>
      <c r="F15" s="222"/>
      <c r="G15" s="222"/>
      <c r="H15" s="222"/>
      <c r="I15" s="222"/>
      <c r="J15" s="222"/>
      <c r="K15" s="222"/>
      <c r="L15" s="223"/>
      <c r="M15" s="189" t="s">
        <v>45</v>
      </c>
      <c r="N15" s="184"/>
      <c r="O15" s="185"/>
      <c r="P15" s="189" t="s">
        <v>112</v>
      </c>
      <c r="Q15" s="184"/>
      <c r="R15" s="185"/>
      <c r="S15" s="189">
        <v>13</v>
      </c>
      <c r="T15" s="184"/>
      <c r="U15" s="185"/>
      <c r="V15" s="200" t="s">
        <v>887</v>
      </c>
      <c r="W15" s="201"/>
      <c r="X15" s="201"/>
      <c r="Y15" s="201"/>
      <c r="Z15" s="201"/>
      <c r="AA15" s="224"/>
      <c r="AB15" s="197" t="s">
        <v>888</v>
      </c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9"/>
      <c r="AR15" s="189" t="s">
        <v>131</v>
      </c>
      <c r="AS15" s="184"/>
      <c r="AT15" s="184"/>
      <c r="AU15" s="184"/>
      <c r="AV15" s="184"/>
      <c r="AW15" s="185"/>
      <c r="AX15" s="200"/>
      <c r="AY15" s="201"/>
      <c r="AZ15" s="201"/>
      <c r="BA15" s="201"/>
      <c r="BB15" s="201"/>
      <c r="BC15" s="201"/>
      <c r="BD15" s="201"/>
      <c r="BE15" s="201"/>
      <c r="BF15" s="201"/>
      <c r="BG15" s="201"/>
      <c r="BH15" s="201"/>
      <c r="BI15" s="201"/>
      <c r="BJ15" s="201"/>
      <c r="BK15" s="201"/>
      <c r="BL15" s="201"/>
      <c r="BM15" s="201"/>
      <c r="BN15" s="201"/>
      <c r="BO15" s="201"/>
      <c r="BP15" s="201"/>
      <c r="BQ15" s="201"/>
      <c r="BR15" s="201"/>
      <c r="BS15" s="201"/>
      <c r="BT15" s="202"/>
      <c r="BU15" s="37"/>
      <c r="BV15" s="36"/>
      <c r="BW15" s="37"/>
      <c r="BX15" s="37"/>
      <c r="BY15" s="37"/>
      <c r="BZ15" s="37"/>
      <c r="CA15" s="37"/>
      <c r="CB15" s="37"/>
      <c r="CC15" s="26"/>
      <c r="CD15" s="26"/>
      <c r="CE15" s="26"/>
      <c r="CF15" s="26"/>
      <c r="CG15" s="26"/>
    </row>
    <row r="16" spans="1:85" s="5" customFormat="1" ht="42.6" customHeight="1" x14ac:dyDescent="0.45">
      <c r="A16" s="26"/>
      <c r="B16" s="40"/>
      <c r="C16" s="26"/>
      <c r="D16" s="33">
        <v>6</v>
      </c>
      <c r="E16" s="221" t="s">
        <v>86</v>
      </c>
      <c r="F16" s="222"/>
      <c r="G16" s="222"/>
      <c r="H16" s="222"/>
      <c r="I16" s="222"/>
      <c r="J16" s="222"/>
      <c r="K16" s="222"/>
      <c r="L16" s="223"/>
      <c r="M16" s="189" t="s">
        <v>37</v>
      </c>
      <c r="N16" s="184"/>
      <c r="O16" s="185"/>
      <c r="P16" s="189" t="s">
        <v>113</v>
      </c>
      <c r="Q16" s="184"/>
      <c r="R16" s="185"/>
      <c r="S16" s="189">
        <v>8</v>
      </c>
      <c r="T16" s="184"/>
      <c r="U16" s="185"/>
      <c r="V16" s="197" t="s">
        <v>889</v>
      </c>
      <c r="W16" s="198"/>
      <c r="X16" s="198"/>
      <c r="Y16" s="198"/>
      <c r="Z16" s="198"/>
      <c r="AA16" s="199"/>
      <c r="AB16" s="218" t="s">
        <v>890</v>
      </c>
      <c r="AC16" s="219"/>
      <c r="AD16" s="219"/>
      <c r="AE16" s="219"/>
      <c r="AF16" s="219"/>
      <c r="AG16" s="219"/>
      <c r="AH16" s="219"/>
      <c r="AI16" s="219"/>
      <c r="AJ16" s="219"/>
      <c r="AK16" s="219"/>
      <c r="AL16" s="219"/>
      <c r="AM16" s="219"/>
      <c r="AN16" s="219"/>
      <c r="AO16" s="219"/>
      <c r="AP16" s="219"/>
      <c r="AQ16" s="220"/>
      <c r="AR16" s="189"/>
      <c r="AS16" s="184"/>
      <c r="AT16" s="184"/>
      <c r="AU16" s="184"/>
      <c r="AV16" s="184"/>
      <c r="AW16" s="185"/>
      <c r="AX16" s="200"/>
      <c r="AY16" s="201"/>
      <c r="AZ16" s="201"/>
      <c r="BA16" s="201"/>
      <c r="BB16" s="201"/>
      <c r="BC16" s="201"/>
      <c r="BD16" s="201"/>
      <c r="BE16" s="201"/>
      <c r="BF16" s="201"/>
      <c r="BG16" s="201"/>
      <c r="BH16" s="201"/>
      <c r="BI16" s="201"/>
      <c r="BJ16" s="201"/>
      <c r="BK16" s="201"/>
      <c r="BL16" s="201"/>
      <c r="BM16" s="201"/>
      <c r="BN16" s="201"/>
      <c r="BO16" s="201"/>
      <c r="BP16" s="201"/>
      <c r="BQ16" s="201"/>
      <c r="BR16" s="201"/>
      <c r="BS16" s="201"/>
      <c r="BT16" s="202"/>
      <c r="BU16" s="37"/>
      <c r="BV16" s="36"/>
      <c r="BW16" s="37"/>
      <c r="BX16" s="37"/>
      <c r="BY16" s="37"/>
      <c r="BZ16" s="37"/>
      <c r="CA16" s="37"/>
      <c r="CB16" s="37"/>
      <c r="CC16" s="26"/>
      <c r="CD16" s="26"/>
      <c r="CE16" s="26"/>
      <c r="CF16" s="26"/>
      <c r="CG16" s="26"/>
    </row>
    <row r="17" spans="1:85" s="5" customFormat="1" ht="20.100000000000001" customHeight="1" x14ac:dyDescent="0.45">
      <c r="A17" s="26"/>
      <c r="B17" s="40"/>
      <c r="C17" s="25"/>
      <c r="D17" s="33">
        <v>7</v>
      </c>
      <c r="E17" s="221" t="s">
        <v>87</v>
      </c>
      <c r="F17" s="222"/>
      <c r="G17" s="222"/>
      <c r="H17" s="222"/>
      <c r="I17" s="222"/>
      <c r="J17" s="222"/>
      <c r="K17" s="222"/>
      <c r="L17" s="223"/>
      <c r="M17" s="189" t="s">
        <v>45</v>
      </c>
      <c r="N17" s="184"/>
      <c r="O17" s="185"/>
      <c r="P17" s="189" t="s">
        <v>112</v>
      </c>
      <c r="Q17" s="184"/>
      <c r="R17" s="185"/>
      <c r="S17" s="189">
        <v>13</v>
      </c>
      <c r="T17" s="184"/>
      <c r="U17" s="185"/>
      <c r="V17" s="200" t="s">
        <v>891</v>
      </c>
      <c r="W17" s="201"/>
      <c r="X17" s="201"/>
      <c r="Y17" s="201"/>
      <c r="Z17" s="201"/>
      <c r="AA17" s="224"/>
      <c r="AB17" s="197"/>
      <c r="AC17" s="198"/>
      <c r="AD17" s="198"/>
      <c r="AE17" s="198"/>
      <c r="AF17" s="198"/>
      <c r="AG17" s="198"/>
      <c r="AH17" s="198"/>
      <c r="AI17" s="198"/>
      <c r="AJ17" s="198"/>
      <c r="AK17" s="198"/>
      <c r="AL17" s="198"/>
      <c r="AM17" s="198"/>
      <c r="AN17" s="198"/>
      <c r="AO17" s="198"/>
      <c r="AP17" s="198"/>
      <c r="AQ17" s="199"/>
      <c r="AR17" s="189" t="s">
        <v>132</v>
      </c>
      <c r="AS17" s="184"/>
      <c r="AT17" s="184"/>
      <c r="AU17" s="184"/>
      <c r="AV17" s="184"/>
      <c r="AW17" s="185"/>
      <c r="AX17" s="200"/>
      <c r="AY17" s="201"/>
      <c r="AZ17" s="201"/>
      <c r="BA17" s="201"/>
      <c r="BB17" s="201"/>
      <c r="BC17" s="201"/>
      <c r="BD17" s="201"/>
      <c r="BE17" s="201"/>
      <c r="BF17" s="201"/>
      <c r="BG17" s="201"/>
      <c r="BH17" s="201"/>
      <c r="BI17" s="201"/>
      <c r="BJ17" s="201"/>
      <c r="BK17" s="201"/>
      <c r="BL17" s="201"/>
      <c r="BM17" s="201"/>
      <c r="BN17" s="201"/>
      <c r="BO17" s="201"/>
      <c r="BP17" s="201"/>
      <c r="BQ17" s="201"/>
      <c r="BR17" s="201"/>
      <c r="BS17" s="201"/>
      <c r="BT17" s="202"/>
      <c r="BU17" s="37"/>
      <c r="BV17" s="36"/>
      <c r="BW17" s="37"/>
      <c r="BX17" s="37"/>
      <c r="BY17" s="37"/>
      <c r="BZ17" s="37"/>
      <c r="CA17" s="37"/>
      <c r="CB17" s="37"/>
      <c r="CC17" s="26"/>
      <c r="CD17" s="26"/>
      <c r="CE17" s="26"/>
      <c r="CF17" s="26"/>
      <c r="CG17" s="26"/>
    </row>
    <row r="18" spans="1:85" s="5" customFormat="1" ht="20.100000000000001" customHeight="1" x14ac:dyDescent="0.45">
      <c r="A18" s="25"/>
      <c r="B18" s="31"/>
      <c r="C18" s="25"/>
      <c r="D18" s="33">
        <v>8</v>
      </c>
      <c r="E18" s="221" t="s">
        <v>88</v>
      </c>
      <c r="F18" s="222"/>
      <c r="G18" s="222"/>
      <c r="H18" s="222"/>
      <c r="I18" s="222"/>
      <c r="J18" s="222"/>
      <c r="K18" s="222"/>
      <c r="L18" s="223"/>
      <c r="M18" s="189" t="s">
        <v>45</v>
      </c>
      <c r="N18" s="184"/>
      <c r="O18" s="185"/>
      <c r="P18" s="189" t="s">
        <v>112</v>
      </c>
      <c r="Q18" s="184"/>
      <c r="R18" s="185"/>
      <c r="S18" s="189">
        <v>13</v>
      </c>
      <c r="T18" s="184"/>
      <c r="U18" s="185"/>
      <c r="V18" s="200" t="s">
        <v>133</v>
      </c>
      <c r="W18" s="201"/>
      <c r="X18" s="201"/>
      <c r="Y18" s="201"/>
      <c r="Z18" s="201"/>
      <c r="AA18" s="224"/>
      <c r="AB18" s="197" t="s">
        <v>134</v>
      </c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9"/>
      <c r="AR18" s="189" t="s">
        <v>135</v>
      </c>
      <c r="AS18" s="184"/>
      <c r="AT18" s="184"/>
      <c r="AU18" s="184"/>
      <c r="AV18" s="184"/>
      <c r="AW18" s="185"/>
      <c r="AX18" s="200"/>
      <c r="AY18" s="201"/>
      <c r="AZ18" s="201"/>
      <c r="BA18" s="201"/>
      <c r="BB18" s="201"/>
      <c r="BC18" s="201"/>
      <c r="BD18" s="201"/>
      <c r="BE18" s="201"/>
      <c r="BF18" s="201"/>
      <c r="BG18" s="201"/>
      <c r="BH18" s="201"/>
      <c r="BI18" s="201"/>
      <c r="BJ18" s="201"/>
      <c r="BK18" s="201"/>
      <c r="BL18" s="201"/>
      <c r="BM18" s="201"/>
      <c r="BN18" s="201"/>
      <c r="BO18" s="201"/>
      <c r="BP18" s="201"/>
      <c r="BQ18" s="201"/>
      <c r="BR18" s="201"/>
      <c r="BS18" s="201"/>
      <c r="BT18" s="202"/>
      <c r="BU18" s="25"/>
      <c r="BV18" s="36"/>
      <c r="BW18" s="37"/>
      <c r="BX18" s="37"/>
      <c r="BY18" s="37"/>
      <c r="BZ18" s="37"/>
      <c r="CA18" s="37"/>
      <c r="CB18" s="37"/>
      <c r="CC18" s="37"/>
      <c r="CD18" s="37"/>
      <c r="CE18" s="37"/>
      <c r="CF18" s="27"/>
      <c r="CG18" s="27"/>
    </row>
    <row r="19" spans="1:85" s="5" customFormat="1" ht="20.100000000000001" customHeight="1" x14ac:dyDescent="0.45">
      <c r="A19" s="25"/>
      <c r="B19" s="31"/>
      <c r="C19" s="25"/>
      <c r="D19" s="33">
        <v>9</v>
      </c>
      <c r="E19" s="221" t="s">
        <v>89</v>
      </c>
      <c r="F19" s="222"/>
      <c r="G19" s="222"/>
      <c r="H19" s="222"/>
      <c r="I19" s="222"/>
      <c r="J19" s="222"/>
      <c r="K19" s="222"/>
      <c r="L19" s="223"/>
      <c r="M19" s="189" t="s">
        <v>37</v>
      </c>
      <c r="N19" s="184"/>
      <c r="O19" s="185"/>
      <c r="P19" s="189" t="s">
        <v>113</v>
      </c>
      <c r="Q19" s="184"/>
      <c r="R19" s="185"/>
      <c r="S19" s="189" t="s">
        <v>122</v>
      </c>
      <c r="T19" s="184"/>
      <c r="U19" s="185"/>
      <c r="V19" s="200" t="s">
        <v>903</v>
      </c>
      <c r="W19" s="201"/>
      <c r="X19" s="201"/>
      <c r="Y19" s="201"/>
      <c r="Z19" s="201"/>
      <c r="AA19" s="224"/>
      <c r="AB19" s="197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/>
      <c r="AP19" s="198"/>
      <c r="AQ19" s="199"/>
      <c r="AR19" s="189"/>
      <c r="AS19" s="184"/>
      <c r="AT19" s="184"/>
      <c r="AU19" s="184"/>
      <c r="AV19" s="184"/>
      <c r="AW19" s="185"/>
      <c r="AX19" s="200"/>
      <c r="AY19" s="201"/>
      <c r="AZ19" s="201"/>
      <c r="BA19" s="201"/>
      <c r="BB19" s="201"/>
      <c r="BC19" s="201"/>
      <c r="BD19" s="201"/>
      <c r="BE19" s="201"/>
      <c r="BF19" s="201"/>
      <c r="BG19" s="201"/>
      <c r="BH19" s="201"/>
      <c r="BI19" s="201"/>
      <c r="BJ19" s="201"/>
      <c r="BK19" s="201"/>
      <c r="BL19" s="201"/>
      <c r="BM19" s="201"/>
      <c r="BN19" s="201"/>
      <c r="BO19" s="201"/>
      <c r="BP19" s="201"/>
      <c r="BQ19" s="201"/>
      <c r="BR19" s="201"/>
      <c r="BS19" s="201"/>
      <c r="BT19" s="202"/>
      <c r="BU19" s="37"/>
      <c r="BV19" s="36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</row>
    <row r="20" spans="1:85" s="5" customFormat="1" ht="40.799999999999997" customHeight="1" x14ac:dyDescent="0.45">
      <c r="A20" s="25"/>
      <c r="B20" s="31"/>
      <c r="C20" s="25"/>
      <c r="D20" s="33">
        <v>10</v>
      </c>
      <c r="E20" s="221" t="s">
        <v>120</v>
      </c>
      <c r="F20" s="222"/>
      <c r="G20" s="222"/>
      <c r="H20" s="222"/>
      <c r="I20" s="222"/>
      <c r="J20" s="222"/>
      <c r="K20" s="222"/>
      <c r="L20" s="223"/>
      <c r="M20" s="189" t="s">
        <v>37</v>
      </c>
      <c r="N20" s="184"/>
      <c r="O20" s="185"/>
      <c r="P20" s="189" t="s">
        <v>113</v>
      </c>
      <c r="Q20" s="184"/>
      <c r="R20" s="185"/>
      <c r="S20" s="189" t="s">
        <v>122</v>
      </c>
      <c r="T20" s="184"/>
      <c r="U20" s="185"/>
      <c r="V20" s="200" t="s">
        <v>892</v>
      </c>
      <c r="W20" s="201"/>
      <c r="X20" s="201"/>
      <c r="Y20" s="201"/>
      <c r="Z20" s="201"/>
      <c r="AA20" s="224"/>
      <c r="AB20" s="218" t="s">
        <v>895</v>
      </c>
      <c r="AC20" s="219"/>
      <c r="AD20" s="219"/>
      <c r="AE20" s="219"/>
      <c r="AF20" s="219"/>
      <c r="AG20" s="219"/>
      <c r="AH20" s="219"/>
      <c r="AI20" s="219"/>
      <c r="AJ20" s="219"/>
      <c r="AK20" s="219"/>
      <c r="AL20" s="219"/>
      <c r="AM20" s="219"/>
      <c r="AN20" s="219"/>
      <c r="AO20" s="219"/>
      <c r="AP20" s="219"/>
      <c r="AQ20" s="220"/>
      <c r="AR20" s="189"/>
      <c r="AS20" s="184"/>
      <c r="AT20" s="184"/>
      <c r="AU20" s="184"/>
      <c r="AV20" s="184"/>
      <c r="AW20" s="185"/>
      <c r="AX20" s="200"/>
      <c r="AY20" s="201"/>
      <c r="AZ20" s="201"/>
      <c r="BA20" s="201"/>
      <c r="BB20" s="201"/>
      <c r="BC20" s="201"/>
      <c r="BD20" s="201"/>
      <c r="BE20" s="201"/>
      <c r="BF20" s="201"/>
      <c r="BG20" s="201"/>
      <c r="BH20" s="201"/>
      <c r="BI20" s="201"/>
      <c r="BJ20" s="201"/>
      <c r="BK20" s="201"/>
      <c r="BL20" s="201"/>
      <c r="BM20" s="201"/>
      <c r="BN20" s="201"/>
      <c r="BO20" s="201"/>
      <c r="BP20" s="201"/>
      <c r="BQ20" s="201"/>
      <c r="BR20" s="201"/>
      <c r="BS20" s="201"/>
      <c r="BT20" s="202"/>
      <c r="BU20" s="37"/>
      <c r="BV20" s="36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</row>
    <row r="21" spans="1:85" s="5" customFormat="1" ht="20.100000000000001" customHeight="1" x14ac:dyDescent="0.45">
      <c r="A21" s="25"/>
      <c r="B21" s="31"/>
      <c r="C21" s="25"/>
      <c r="D21" s="33">
        <v>11</v>
      </c>
      <c r="E21" s="221" t="s">
        <v>90</v>
      </c>
      <c r="F21" s="222"/>
      <c r="G21" s="222"/>
      <c r="H21" s="222"/>
      <c r="I21" s="222"/>
      <c r="J21" s="222"/>
      <c r="K21" s="222"/>
      <c r="L21" s="223"/>
      <c r="M21" s="189" t="s">
        <v>37</v>
      </c>
      <c r="N21" s="184"/>
      <c r="O21" s="185"/>
      <c r="P21" s="189" t="s">
        <v>113</v>
      </c>
      <c r="Q21" s="184"/>
      <c r="R21" s="185"/>
      <c r="S21" s="189" t="s">
        <v>122</v>
      </c>
      <c r="T21" s="184"/>
      <c r="U21" s="185"/>
      <c r="V21" s="200" t="s">
        <v>893</v>
      </c>
      <c r="W21" s="201"/>
      <c r="X21" s="201"/>
      <c r="Y21" s="201"/>
      <c r="Z21" s="201"/>
      <c r="AA21" s="224"/>
      <c r="AB21" s="197" t="s">
        <v>894</v>
      </c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9"/>
      <c r="AR21" s="189"/>
      <c r="AS21" s="184"/>
      <c r="AT21" s="184"/>
      <c r="AU21" s="184"/>
      <c r="AV21" s="184"/>
      <c r="AW21" s="185"/>
      <c r="AX21" s="200"/>
      <c r="AY21" s="201"/>
      <c r="AZ21" s="201"/>
      <c r="BA21" s="201"/>
      <c r="BB21" s="201"/>
      <c r="BC21" s="201"/>
      <c r="BD21" s="201"/>
      <c r="BE21" s="201"/>
      <c r="BF21" s="201"/>
      <c r="BG21" s="201"/>
      <c r="BH21" s="201"/>
      <c r="BI21" s="201"/>
      <c r="BJ21" s="201"/>
      <c r="BK21" s="201"/>
      <c r="BL21" s="201"/>
      <c r="BM21" s="201"/>
      <c r="BN21" s="201"/>
      <c r="BO21" s="201"/>
      <c r="BP21" s="201"/>
      <c r="BQ21" s="201"/>
      <c r="BR21" s="201"/>
      <c r="BS21" s="201"/>
      <c r="BT21" s="202"/>
      <c r="BU21" s="37"/>
      <c r="BV21" s="36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</row>
    <row r="22" spans="1:85" s="5" customFormat="1" ht="20.100000000000001" customHeight="1" x14ac:dyDescent="0.45">
      <c r="A22" s="25"/>
      <c r="B22" s="31"/>
      <c r="C22" s="25"/>
      <c r="D22" s="33">
        <v>12</v>
      </c>
      <c r="E22" s="221" t="s">
        <v>91</v>
      </c>
      <c r="F22" s="222"/>
      <c r="G22" s="222"/>
      <c r="H22" s="222"/>
      <c r="I22" s="222"/>
      <c r="J22" s="222"/>
      <c r="K22" s="222"/>
      <c r="L22" s="223"/>
      <c r="M22" s="189" t="s">
        <v>37</v>
      </c>
      <c r="N22" s="184"/>
      <c r="O22" s="185"/>
      <c r="P22" s="189" t="s">
        <v>112</v>
      </c>
      <c r="Q22" s="184"/>
      <c r="R22" s="185"/>
      <c r="S22" s="189" t="s">
        <v>122</v>
      </c>
      <c r="T22" s="184"/>
      <c r="U22" s="185"/>
      <c r="V22" s="200" t="s">
        <v>896</v>
      </c>
      <c r="W22" s="201"/>
      <c r="X22" s="201"/>
      <c r="Y22" s="201"/>
      <c r="Z22" s="201"/>
      <c r="AA22" s="224"/>
      <c r="AB22" s="197" t="s">
        <v>897</v>
      </c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9"/>
      <c r="AR22" s="189"/>
      <c r="AS22" s="184"/>
      <c r="AT22" s="184"/>
      <c r="AU22" s="184"/>
      <c r="AV22" s="184"/>
      <c r="AW22" s="185"/>
      <c r="AX22" s="200"/>
      <c r="AY22" s="201"/>
      <c r="AZ22" s="201"/>
      <c r="BA22" s="201"/>
      <c r="BB22" s="201"/>
      <c r="BC22" s="201"/>
      <c r="BD22" s="201"/>
      <c r="BE22" s="201"/>
      <c r="BF22" s="201"/>
      <c r="BG22" s="201"/>
      <c r="BH22" s="201"/>
      <c r="BI22" s="201"/>
      <c r="BJ22" s="201"/>
      <c r="BK22" s="201"/>
      <c r="BL22" s="201"/>
      <c r="BM22" s="201"/>
      <c r="BN22" s="201"/>
      <c r="BO22" s="201"/>
      <c r="BP22" s="201"/>
      <c r="BQ22" s="201"/>
      <c r="BR22" s="201"/>
      <c r="BS22" s="201"/>
      <c r="BT22" s="202"/>
      <c r="BU22" s="37"/>
      <c r="BV22" s="36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</row>
    <row r="23" spans="1:85" s="5" customFormat="1" ht="20.100000000000001" customHeight="1" x14ac:dyDescent="0.45">
      <c r="A23" s="25"/>
      <c r="B23" s="31"/>
      <c r="C23" s="25"/>
      <c r="D23" s="33">
        <v>13</v>
      </c>
      <c r="E23" s="221" t="s">
        <v>92</v>
      </c>
      <c r="F23" s="222"/>
      <c r="G23" s="222"/>
      <c r="H23" s="222"/>
      <c r="I23" s="222"/>
      <c r="J23" s="222"/>
      <c r="K23" s="222"/>
      <c r="L23" s="223"/>
      <c r="M23" s="189" t="s">
        <v>37</v>
      </c>
      <c r="N23" s="184"/>
      <c r="O23" s="185"/>
      <c r="P23" s="189" t="s">
        <v>113</v>
      </c>
      <c r="Q23" s="184"/>
      <c r="R23" s="185"/>
      <c r="S23" s="189" t="s">
        <v>122</v>
      </c>
      <c r="T23" s="184"/>
      <c r="U23" s="185"/>
      <c r="V23" s="200" t="s">
        <v>898</v>
      </c>
      <c r="W23" s="201"/>
      <c r="X23" s="201"/>
      <c r="Y23" s="201"/>
      <c r="Z23" s="201"/>
      <c r="AA23" s="224"/>
      <c r="AB23" s="197" t="s">
        <v>899</v>
      </c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9"/>
      <c r="AR23" s="189"/>
      <c r="AS23" s="184"/>
      <c r="AT23" s="184"/>
      <c r="AU23" s="184"/>
      <c r="AV23" s="184"/>
      <c r="AW23" s="185"/>
      <c r="AX23" s="200"/>
      <c r="AY23" s="201"/>
      <c r="AZ23" s="201"/>
      <c r="BA23" s="201"/>
      <c r="BB23" s="201"/>
      <c r="BC23" s="201"/>
      <c r="BD23" s="201"/>
      <c r="BE23" s="201"/>
      <c r="BF23" s="201"/>
      <c r="BG23" s="201"/>
      <c r="BH23" s="201"/>
      <c r="BI23" s="201"/>
      <c r="BJ23" s="201"/>
      <c r="BK23" s="201"/>
      <c r="BL23" s="201"/>
      <c r="BM23" s="201"/>
      <c r="BN23" s="201"/>
      <c r="BO23" s="201"/>
      <c r="BP23" s="201"/>
      <c r="BQ23" s="201"/>
      <c r="BR23" s="201"/>
      <c r="BS23" s="201"/>
      <c r="BT23" s="202"/>
      <c r="BU23" s="37"/>
      <c r="BV23" s="36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</row>
    <row r="24" spans="1:85" s="5" customFormat="1" ht="20.100000000000001" customHeight="1" x14ac:dyDescent="0.45">
      <c r="A24" s="25"/>
      <c r="B24" s="31"/>
      <c r="C24" s="25"/>
      <c r="D24" s="33">
        <v>14</v>
      </c>
      <c r="E24" s="221" t="s">
        <v>93</v>
      </c>
      <c r="F24" s="222"/>
      <c r="G24" s="222"/>
      <c r="H24" s="222"/>
      <c r="I24" s="222"/>
      <c r="J24" s="222"/>
      <c r="K24" s="222"/>
      <c r="L24" s="223"/>
      <c r="M24" s="189" t="s">
        <v>37</v>
      </c>
      <c r="N24" s="184"/>
      <c r="O24" s="185"/>
      <c r="P24" s="189" t="s">
        <v>113</v>
      </c>
      <c r="Q24" s="184"/>
      <c r="R24" s="185"/>
      <c r="S24" s="189" t="s">
        <v>122</v>
      </c>
      <c r="T24" s="184"/>
      <c r="U24" s="185"/>
      <c r="V24" s="200" t="s">
        <v>900</v>
      </c>
      <c r="W24" s="201"/>
      <c r="X24" s="201"/>
      <c r="Y24" s="201"/>
      <c r="Z24" s="201"/>
      <c r="AA24" s="224"/>
      <c r="AB24" s="197" t="s">
        <v>901</v>
      </c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9"/>
      <c r="AR24" s="189"/>
      <c r="AS24" s="184"/>
      <c r="AT24" s="184"/>
      <c r="AU24" s="184"/>
      <c r="AV24" s="184"/>
      <c r="AW24" s="185"/>
      <c r="AX24" s="200"/>
      <c r="AY24" s="201"/>
      <c r="AZ24" s="201"/>
      <c r="BA24" s="201"/>
      <c r="BB24" s="201"/>
      <c r="BC24" s="201"/>
      <c r="BD24" s="201"/>
      <c r="BE24" s="201"/>
      <c r="BF24" s="201"/>
      <c r="BG24" s="201"/>
      <c r="BH24" s="201"/>
      <c r="BI24" s="201"/>
      <c r="BJ24" s="201"/>
      <c r="BK24" s="201"/>
      <c r="BL24" s="201"/>
      <c r="BM24" s="201"/>
      <c r="BN24" s="201"/>
      <c r="BO24" s="201"/>
      <c r="BP24" s="201"/>
      <c r="BQ24" s="201"/>
      <c r="BR24" s="201"/>
      <c r="BS24" s="201"/>
      <c r="BT24" s="202"/>
      <c r="BU24" s="37"/>
      <c r="BV24" s="36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</row>
    <row r="25" spans="1:85" s="5" customFormat="1" ht="20.100000000000001" customHeight="1" x14ac:dyDescent="0.45">
      <c r="A25" s="25"/>
      <c r="B25" s="31"/>
      <c r="C25" s="25"/>
      <c r="D25" s="33">
        <v>15</v>
      </c>
      <c r="E25" s="221" t="s">
        <v>42</v>
      </c>
      <c r="F25" s="222"/>
      <c r="G25" s="222"/>
      <c r="H25" s="222"/>
      <c r="I25" s="222"/>
      <c r="J25" s="222"/>
      <c r="K25" s="222"/>
      <c r="L25" s="223"/>
      <c r="M25" s="189" t="s">
        <v>37</v>
      </c>
      <c r="N25" s="184"/>
      <c r="O25" s="185"/>
      <c r="P25" s="189" t="s">
        <v>113</v>
      </c>
      <c r="Q25" s="184"/>
      <c r="R25" s="185"/>
      <c r="S25" s="189" t="s">
        <v>122</v>
      </c>
      <c r="T25" s="184"/>
      <c r="U25" s="185"/>
      <c r="V25" s="200" t="s">
        <v>902</v>
      </c>
      <c r="W25" s="201"/>
      <c r="X25" s="201"/>
      <c r="Y25" s="201"/>
      <c r="Z25" s="201"/>
      <c r="AA25" s="224"/>
      <c r="AB25" s="197"/>
      <c r="AC25" s="198"/>
      <c r="AD25" s="198"/>
      <c r="AE25" s="198"/>
      <c r="AF25" s="198"/>
      <c r="AG25" s="198"/>
      <c r="AH25" s="198"/>
      <c r="AI25" s="198"/>
      <c r="AJ25" s="198"/>
      <c r="AK25" s="198"/>
      <c r="AL25" s="198"/>
      <c r="AM25" s="198"/>
      <c r="AN25" s="198"/>
      <c r="AO25" s="198"/>
      <c r="AP25" s="198"/>
      <c r="AQ25" s="199"/>
      <c r="AR25" s="189"/>
      <c r="AS25" s="184"/>
      <c r="AT25" s="184"/>
      <c r="AU25" s="184"/>
      <c r="AV25" s="184"/>
      <c r="AW25" s="185"/>
      <c r="AX25" s="200"/>
      <c r="AY25" s="201"/>
      <c r="AZ25" s="201"/>
      <c r="BA25" s="201"/>
      <c r="BB25" s="201"/>
      <c r="BC25" s="201"/>
      <c r="BD25" s="201"/>
      <c r="BE25" s="201"/>
      <c r="BF25" s="201"/>
      <c r="BG25" s="201"/>
      <c r="BH25" s="201"/>
      <c r="BI25" s="201"/>
      <c r="BJ25" s="201"/>
      <c r="BK25" s="201"/>
      <c r="BL25" s="201"/>
      <c r="BM25" s="201"/>
      <c r="BN25" s="201"/>
      <c r="BO25" s="201"/>
      <c r="BP25" s="201"/>
      <c r="BQ25" s="201"/>
      <c r="BR25" s="201"/>
      <c r="BS25" s="201"/>
      <c r="BT25" s="202"/>
      <c r="BU25" s="37"/>
      <c r="BV25" s="36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</row>
    <row r="26" spans="1:85" s="5" customFormat="1" ht="20.100000000000001" customHeight="1" x14ac:dyDescent="0.45">
      <c r="A26" s="25"/>
      <c r="B26" s="31"/>
      <c r="C26" s="25"/>
      <c r="D26" s="33">
        <v>16</v>
      </c>
      <c r="E26" s="191" t="s">
        <v>94</v>
      </c>
      <c r="F26" s="192"/>
      <c r="G26" s="192"/>
      <c r="H26" s="192"/>
      <c r="I26" s="192"/>
      <c r="J26" s="192"/>
      <c r="K26" s="192"/>
      <c r="L26" s="193"/>
      <c r="M26" s="189" t="s">
        <v>37</v>
      </c>
      <c r="N26" s="184"/>
      <c r="O26" s="185"/>
      <c r="P26" s="189" t="s">
        <v>113</v>
      </c>
      <c r="Q26" s="184"/>
      <c r="R26" s="185"/>
      <c r="S26" s="189">
        <v>9</v>
      </c>
      <c r="T26" s="184"/>
      <c r="U26" s="185"/>
      <c r="V26" s="200" t="s">
        <v>904</v>
      </c>
      <c r="W26" s="201"/>
      <c r="X26" s="201"/>
      <c r="Y26" s="201"/>
      <c r="Z26" s="201"/>
      <c r="AA26" s="224"/>
      <c r="AB26" s="197" t="s">
        <v>905</v>
      </c>
      <c r="AC26" s="198"/>
      <c r="AD26" s="198"/>
      <c r="AE26" s="198"/>
      <c r="AF26" s="198"/>
      <c r="AG26" s="198"/>
      <c r="AH26" s="198"/>
      <c r="AI26" s="198"/>
      <c r="AJ26" s="198"/>
      <c r="AK26" s="198"/>
      <c r="AL26" s="198"/>
      <c r="AM26" s="198"/>
      <c r="AN26" s="198"/>
      <c r="AO26" s="198"/>
      <c r="AP26" s="198"/>
      <c r="AQ26" s="199"/>
      <c r="AR26" s="189"/>
      <c r="AS26" s="184"/>
      <c r="AT26" s="184"/>
      <c r="AU26" s="184"/>
      <c r="AV26" s="184"/>
      <c r="AW26" s="185"/>
      <c r="AX26" s="200"/>
      <c r="AY26" s="201"/>
      <c r="AZ26" s="201"/>
      <c r="BA26" s="201"/>
      <c r="BB26" s="201"/>
      <c r="BC26" s="201"/>
      <c r="BD26" s="201"/>
      <c r="BE26" s="201"/>
      <c r="BF26" s="201"/>
      <c r="BG26" s="201"/>
      <c r="BH26" s="201"/>
      <c r="BI26" s="201"/>
      <c r="BJ26" s="201"/>
      <c r="BK26" s="201"/>
      <c r="BL26" s="201"/>
      <c r="BM26" s="201"/>
      <c r="BN26" s="201"/>
      <c r="BO26" s="201"/>
      <c r="BP26" s="201"/>
      <c r="BQ26" s="201"/>
      <c r="BR26" s="201"/>
      <c r="BS26" s="201"/>
      <c r="BT26" s="202"/>
      <c r="BU26" s="37"/>
      <c r="BV26" s="36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</row>
    <row r="27" spans="1:85" ht="20.100000000000001" customHeight="1" x14ac:dyDescent="0.45">
      <c r="A27" s="25"/>
      <c r="B27" s="40"/>
      <c r="C27" s="25"/>
      <c r="D27" s="33">
        <v>17</v>
      </c>
      <c r="E27" s="191" t="s">
        <v>95</v>
      </c>
      <c r="F27" s="192"/>
      <c r="G27" s="192"/>
      <c r="H27" s="192"/>
      <c r="I27" s="192"/>
      <c r="J27" s="192"/>
      <c r="K27" s="192"/>
      <c r="L27" s="193"/>
      <c r="M27" s="189" t="s">
        <v>37</v>
      </c>
      <c r="N27" s="184"/>
      <c r="O27" s="185"/>
      <c r="P27" s="189" t="s">
        <v>113</v>
      </c>
      <c r="Q27" s="184"/>
      <c r="R27" s="185"/>
      <c r="S27" s="189">
        <v>10</v>
      </c>
      <c r="T27" s="184"/>
      <c r="U27" s="185"/>
      <c r="V27" s="200" t="s">
        <v>904</v>
      </c>
      <c r="W27" s="201"/>
      <c r="X27" s="201"/>
      <c r="Y27" s="201"/>
      <c r="Z27" s="201"/>
      <c r="AA27" s="224"/>
      <c r="AB27" s="197" t="s">
        <v>906</v>
      </c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198"/>
      <c r="AO27" s="198"/>
      <c r="AP27" s="198"/>
      <c r="AQ27" s="199"/>
      <c r="AR27" s="189"/>
      <c r="AS27" s="184"/>
      <c r="AT27" s="184"/>
      <c r="AU27" s="184"/>
      <c r="AV27" s="184"/>
      <c r="AW27" s="185"/>
      <c r="AX27" s="200"/>
      <c r="AY27" s="201"/>
      <c r="AZ27" s="201"/>
      <c r="BA27" s="201"/>
      <c r="BB27" s="201"/>
      <c r="BC27" s="201"/>
      <c r="BD27" s="201"/>
      <c r="BE27" s="201"/>
      <c r="BF27" s="201"/>
      <c r="BG27" s="201"/>
      <c r="BH27" s="201"/>
      <c r="BI27" s="201"/>
      <c r="BJ27" s="201"/>
      <c r="BK27" s="201"/>
      <c r="BL27" s="201"/>
      <c r="BM27" s="201"/>
      <c r="BN27" s="201"/>
      <c r="BO27" s="201"/>
      <c r="BP27" s="201"/>
      <c r="BQ27" s="201"/>
      <c r="BR27" s="201"/>
      <c r="BS27" s="201"/>
      <c r="BT27" s="202"/>
      <c r="BU27" s="37"/>
      <c r="BV27" s="36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</row>
    <row r="28" spans="1:85" ht="20.100000000000001" customHeight="1" x14ac:dyDescent="0.45">
      <c r="A28" s="25"/>
      <c r="B28" s="40"/>
      <c r="C28" s="25"/>
      <c r="D28" s="33">
        <v>18</v>
      </c>
      <c r="E28" s="191" t="s">
        <v>136</v>
      </c>
      <c r="F28" s="192"/>
      <c r="G28" s="192"/>
      <c r="H28" s="192"/>
      <c r="I28" s="192"/>
      <c r="J28" s="192"/>
      <c r="K28" s="192"/>
      <c r="L28" s="193"/>
      <c r="M28" s="189" t="s">
        <v>45</v>
      </c>
      <c r="N28" s="184"/>
      <c r="O28" s="185"/>
      <c r="P28" s="189" t="s">
        <v>112</v>
      </c>
      <c r="Q28" s="184"/>
      <c r="R28" s="185"/>
      <c r="S28" s="189">
        <v>7</v>
      </c>
      <c r="T28" s="184"/>
      <c r="U28" s="185"/>
      <c r="V28" s="194" t="s">
        <v>137</v>
      </c>
      <c r="W28" s="195"/>
      <c r="X28" s="195"/>
      <c r="Y28" s="195"/>
      <c r="Z28" s="195"/>
      <c r="AA28" s="196"/>
      <c r="AB28" s="197"/>
      <c r="AC28" s="198"/>
      <c r="AD28" s="198"/>
      <c r="AE28" s="198"/>
      <c r="AF28" s="198"/>
      <c r="AG28" s="198"/>
      <c r="AH28" s="198"/>
      <c r="AI28" s="198"/>
      <c r="AJ28" s="198"/>
      <c r="AK28" s="198"/>
      <c r="AL28" s="198"/>
      <c r="AM28" s="198"/>
      <c r="AN28" s="198"/>
      <c r="AO28" s="198"/>
      <c r="AP28" s="198"/>
      <c r="AQ28" s="199"/>
      <c r="AR28" s="189"/>
      <c r="AS28" s="184"/>
      <c r="AT28" s="184"/>
      <c r="AU28" s="184"/>
      <c r="AV28" s="184"/>
      <c r="AW28" s="185"/>
      <c r="AX28" s="200"/>
      <c r="AY28" s="201"/>
      <c r="AZ28" s="201"/>
      <c r="BA28" s="201"/>
      <c r="BB28" s="201"/>
      <c r="BC28" s="201"/>
      <c r="BD28" s="201"/>
      <c r="BE28" s="201"/>
      <c r="BF28" s="201"/>
      <c r="BG28" s="201"/>
      <c r="BH28" s="201"/>
      <c r="BI28" s="201"/>
      <c r="BJ28" s="201"/>
      <c r="BK28" s="201"/>
      <c r="BL28" s="201"/>
      <c r="BM28" s="201"/>
      <c r="BN28" s="201"/>
      <c r="BO28" s="201"/>
      <c r="BP28" s="201"/>
      <c r="BQ28" s="201"/>
      <c r="BR28" s="201"/>
      <c r="BS28" s="201"/>
      <c r="BT28" s="202"/>
      <c r="BU28" s="37"/>
      <c r="BV28" s="36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</row>
    <row r="29" spans="1:85" ht="20.100000000000001" customHeight="1" x14ac:dyDescent="0.45">
      <c r="A29" s="25"/>
      <c r="B29" s="40"/>
      <c r="C29" s="25"/>
      <c r="D29" s="33">
        <v>19</v>
      </c>
      <c r="E29" s="191" t="s">
        <v>138</v>
      </c>
      <c r="F29" s="192"/>
      <c r="G29" s="192"/>
      <c r="H29" s="192"/>
      <c r="I29" s="192"/>
      <c r="J29" s="192"/>
      <c r="K29" s="192"/>
      <c r="L29" s="193"/>
      <c r="M29" s="189" t="s">
        <v>37</v>
      </c>
      <c r="N29" s="184"/>
      <c r="O29" s="185"/>
      <c r="P29" s="189" t="s">
        <v>113</v>
      </c>
      <c r="Q29" s="184"/>
      <c r="R29" s="185"/>
      <c r="S29" s="189">
        <v>41</v>
      </c>
      <c r="T29" s="184"/>
      <c r="U29" s="185"/>
      <c r="V29" s="194" t="s">
        <v>139</v>
      </c>
      <c r="W29" s="195"/>
      <c r="X29" s="195"/>
      <c r="Y29" s="195"/>
      <c r="Z29" s="195"/>
      <c r="AA29" s="196"/>
      <c r="AB29" s="197"/>
      <c r="AC29" s="198"/>
      <c r="AD29" s="198"/>
      <c r="AE29" s="198"/>
      <c r="AF29" s="198"/>
      <c r="AG29" s="198"/>
      <c r="AH29" s="198"/>
      <c r="AI29" s="198"/>
      <c r="AJ29" s="198"/>
      <c r="AK29" s="198"/>
      <c r="AL29" s="198"/>
      <c r="AM29" s="198"/>
      <c r="AN29" s="198"/>
      <c r="AO29" s="198"/>
      <c r="AP29" s="198"/>
      <c r="AQ29" s="199"/>
      <c r="AR29" s="189"/>
      <c r="AS29" s="184"/>
      <c r="AT29" s="184"/>
      <c r="AU29" s="184"/>
      <c r="AV29" s="184"/>
      <c r="AW29" s="185"/>
      <c r="AX29" s="200"/>
      <c r="AY29" s="201"/>
      <c r="AZ29" s="201"/>
      <c r="BA29" s="201"/>
      <c r="BB29" s="201"/>
      <c r="BC29" s="201"/>
      <c r="BD29" s="201"/>
      <c r="BE29" s="201"/>
      <c r="BF29" s="201"/>
      <c r="BG29" s="201"/>
      <c r="BH29" s="201"/>
      <c r="BI29" s="201"/>
      <c r="BJ29" s="201"/>
      <c r="BK29" s="201"/>
      <c r="BL29" s="201"/>
      <c r="BM29" s="201"/>
      <c r="BN29" s="201"/>
      <c r="BO29" s="201"/>
      <c r="BP29" s="201"/>
      <c r="BQ29" s="201"/>
      <c r="BR29" s="201"/>
      <c r="BS29" s="201"/>
      <c r="BT29" s="202"/>
      <c r="BU29" s="37"/>
      <c r="BV29" s="36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</row>
    <row r="30" spans="1:85" ht="20.100000000000001" customHeight="1" x14ac:dyDescent="0.45">
      <c r="A30" s="25"/>
      <c r="B30" s="40"/>
      <c r="C30" s="25"/>
      <c r="D30" s="33">
        <v>20</v>
      </c>
      <c r="E30" s="191" t="s">
        <v>140</v>
      </c>
      <c r="F30" s="192"/>
      <c r="G30" s="192"/>
      <c r="H30" s="192"/>
      <c r="I30" s="192"/>
      <c r="J30" s="192"/>
      <c r="K30" s="192"/>
      <c r="L30" s="193"/>
      <c r="M30" s="189" t="s">
        <v>45</v>
      </c>
      <c r="N30" s="184"/>
      <c r="O30" s="185"/>
      <c r="P30" s="189" t="s">
        <v>112</v>
      </c>
      <c r="Q30" s="184"/>
      <c r="R30" s="185"/>
      <c r="S30" s="189">
        <v>11</v>
      </c>
      <c r="T30" s="184"/>
      <c r="U30" s="185"/>
      <c r="V30" s="194" t="s">
        <v>141</v>
      </c>
      <c r="W30" s="195"/>
      <c r="X30" s="195"/>
      <c r="Y30" s="195"/>
      <c r="Z30" s="195"/>
      <c r="AA30" s="196"/>
      <c r="AB30" s="197"/>
      <c r="AC30" s="198"/>
      <c r="AD30" s="198"/>
      <c r="AE30" s="198"/>
      <c r="AF30" s="198"/>
      <c r="AG30" s="198"/>
      <c r="AH30" s="198"/>
      <c r="AI30" s="198"/>
      <c r="AJ30" s="198"/>
      <c r="AK30" s="198"/>
      <c r="AL30" s="198"/>
      <c r="AM30" s="198"/>
      <c r="AN30" s="198"/>
      <c r="AO30" s="198"/>
      <c r="AP30" s="198"/>
      <c r="AQ30" s="199"/>
      <c r="AR30" s="189"/>
      <c r="AS30" s="184"/>
      <c r="AT30" s="184"/>
      <c r="AU30" s="184"/>
      <c r="AV30" s="184"/>
      <c r="AW30" s="185"/>
      <c r="AX30" s="200"/>
      <c r="AY30" s="201"/>
      <c r="AZ30" s="201"/>
      <c r="BA30" s="201"/>
      <c r="BB30" s="201"/>
      <c r="BC30" s="201"/>
      <c r="BD30" s="201"/>
      <c r="BE30" s="201"/>
      <c r="BF30" s="201"/>
      <c r="BG30" s="201"/>
      <c r="BH30" s="201"/>
      <c r="BI30" s="201"/>
      <c r="BJ30" s="201"/>
      <c r="BK30" s="201"/>
      <c r="BL30" s="201"/>
      <c r="BM30" s="201"/>
      <c r="BN30" s="201"/>
      <c r="BO30" s="201"/>
      <c r="BP30" s="201"/>
      <c r="BQ30" s="201"/>
      <c r="BR30" s="201"/>
      <c r="BS30" s="201"/>
      <c r="BT30" s="202"/>
      <c r="BU30" s="37"/>
      <c r="BV30" s="36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</row>
    <row r="31" spans="1:85" ht="20.100000000000001" customHeight="1" x14ac:dyDescent="0.45">
      <c r="A31" s="25"/>
      <c r="B31" s="40"/>
      <c r="C31" s="25"/>
      <c r="D31" s="33">
        <v>21</v>
      </c>
      <c r="E31" s="191" t="s">
        <v>142</v>
      </c>
      <c r="F31" s="192"/>
      <c r="G31" s="192"/>
      <c r="H31" s="192"/>
      <c r="I31" s="192"/>
      <c r="J31" s="192"/>
      <c r="K31" s="192"/>
      <c r="L31" s="193"/>
      <c r="M31" s="189" t="s">
        <v>45</v>
      </c>
      <c r="N31" s="184"/>
      <c r="O31" s="185"/>
      <c r="P31" s="189" t="s">
        <v>112</v>
      </c>
      <c r="Q31" s="184"/>
      <c r="R31" s="185"/>
      <c r="S31" s="189">
        <v>11</v>
      </c>
      <c r="T31" s="184"/>
      <c r="U31" s="185"/>
      <c r="V31" s="194" t="s">
        <v>143</v>
      </c>
      <c r="W31" s="195"/>
      <c r="X31" s="195"/>
      <c r="Y31" s="195"/>
      <c r="Z31" s="195"/>
      <c r="AA31" s="196"/>
      <c r="AB31" s="197"/>
      <c r="AC31" s="198"/>
      <c r="AD31" s="198"/>
      <c r="AE31" s="198"/>
      <c r="AF31" s="198"/>
      <c r="AG31" s="198"/>
      <c r="AH31" s="198"/>
      <c r="AI31" s="198"/>
      <c r="AJ31" s="198"/>
      <c r="AK31" s="198"/>
      <c r="AL31" s="198"/>
      <c r="AM31" s="198"/>
      <c r="AN31" s="198"/>
      <c r="AO31" s="198"/>
      <c r="AP31" s="198"/>
      <c r="AQ31" s="199"/>
      <c r="AR31" s="189"/>
      <c r="AS31" s="184"/>
      <c r="AT31" s="184"/>
      <c r="AU31" s="184"/>
      <c r="AV31" s="184"/>
      <c r="AW31" s="185"/>
      <c r="AX31" s="200"/>
      <c r="AY31" s="201"/>
      <c r="AZ31" s="201"/>
      <c r="BA31" s="201"/>
      <c r="BB31" s="201"/>
      <c r="BC31" s="201"/>
      <c r="BD31" s="201"/>
      <c r="BE31" s="201"/>
      <c r="BF31" s="201"/>
      <c r="BG31" s="201"/>
      <c r="BH31" s="201"/>
      <c r="BI31" s="201"/>
      <c r="BJ31" s="201"/>
      <c r="BK31" s="201"/>
      <c r="BL31" s="201"/>
      <c r="BM31" s="201"/>
      <c r="BN31" s="201"/>
      <c r="BO31" s="201"/>
      <c r="BP31" s="201"/>
      <c r="BQ31" s="201"/>
      <c r="BR31" s="201"/>
      <c r="BS31" s="201"/>
      <c r="BT31" s="202"/>
      <c r="BU31" s="37"/>
      <c r="BV31" s="36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</row>
    <row r="32" spans="1:85" ht="20.100000000000001" customHeight="1" x14ac:dyDescent="0.45">
      <c r="A32" s="25"/>
      <c r="B32" s="40"/>
      <c r="C32" s="25"/>
      <c r="D32" s="33">
        <v>21</v>
      </c>
      <c r="E32" s="191" t="s">
        <v>932</v>
      </c>
      <c r="F32" s="192"/>
      <c r="G32" s="192"/>
      <c r="H32" s="192"/>
      <c r="I32" s="192"/>
      <c r="J32" s="192"/>
      <c r="K32" s="192"/>
      <c r="L32" s="193"/>
      <c r="M32" s="189" t="s">
        <v>45</v>
      </c>
      <c r="N32" s="184"/>
      <c r="O32" s="185"/>
      <c r="P32" s="189" t="s">
        <v>112</v>
      </c>
      <c r="Q32" s="184"/>
      <c r="R32" s="185"/>
      <c r="S32" s="189">
        <v>11</v>
      </c>
      <c r="T32" s="184"/>
      <c r="U32" s="185"/>
      <c r="V32" s="194" t="s">
        <v>933</v>
      </c>
      <c r="W32" s="195"/>
      <c r="X32" s="195"/>
      <c r="Y32" s="195"/>
      <c r="Z32" s="195"/>
      <c r="AA32" s="196"/>
      <c r="AB32" s="197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9"/>
      <c r="AR32" s="189"/>
      <c r="AS32" s="184"/>
      <c r="AT32" s="184"/>
      <c r="AU32" s="184"/>
      <c r="AV32" s="184"/>
      <c r="AW32" s="185"/>
      <c r="AX32" s="200"/>
      <c r="AY32" s="201"/>
      <c r="AZ32" s="201"/>
      <c r="BA32" s="201"/>
      <c r="BB32" s="201"/>
      <c r="BC32" s="201"/>
      <c r="BD32" s="201"/>
      <c r="BE32" s="201"/>
      <c r="BF32" s="201"/>
      <c r="BG32" s="201"/>
      <c r="BH32" s="201"/>
      <c r="BI32" s="201"/>
      <c r="BJ32" s="201"/>
      <c r="BK32" s="201"/>
      <c r="BL32" s="201"/>
      <c r="BM32" s="201"/>
      <c r="BN32" s="201"/>
      <c r="BO32" s="201"/>
      <c r="BP32" s="201"/>
      <c r="BQ32" s="201"/>
      <c r="BR32" s="201"/>
      <c r="BS32" s="201"/>
      <c r="BT32" s="202"/>
      <c r="BU32" s="37"/>
      <c r="BV32" s="36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</row>
    <row r="33" spans="1:85" ht="19.5" customHeight="1" x14ac:dyDescent="0.45">
      <c r="A33" s="25"/>
      <c r="B33" s="40"/>
      <c r="C33" s="25"/>
      <c r="D33" s="33">
        <v>23</v>
      </c>
      <c r="E33" s="221" t="s">
        <v>96</v>
      </c>
      <c r="F33" s="222"/>
      <c r="G33" s="222"/>
      <c r="H33" s="222"/>
      <c r="I33" s="222"/>
      <c r="J33" s="222"/>
      <c r="K33" s="222"/>
      <c r="L33" s="223"/>
      <c r="M33" s="189" t="s">
        <v>37</v>
      </c>
      <c r="N33" s="184"/>
      <c r="O33" s="185"/>
      <c r="P33" s="189" t="s">
        <v>113</v>
      </c>
      <c r="Q33" s="184"/>
      <c r="R33" s="185"/>
      <c r="S33" s="189">
        <v>20</v>
      </c>
      <c r="T33" s="184"/>
      <c r="U33" s="185"/>
      <c r="V33" s="225" t="s">
        <v>907</v>
      </c>
      <c r="W33" s="226"/>
      <c r="X33" s="226"/>
      <c r="Y33" s="226"/>
      <c r="Z33" s="226"/>
      <c r="AA33" s="227"/>
      <c r="AB33" s="197" t="s">
        <v>908</v>
      </c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9"/>
      <c r="AR33" s="189" t="s">
        <v>124</v>
      </c>
      <c r="AS33" s="184"/>
      <c r="AT33" s="184"/>
      <c r="AU33" s="184"/>
      <c r="AV33" s="184"/>
      <c r="AW33" s="185"/>
      <c r="AX33" s="200" t="s">
        <v>144</v>
      </c>
      <c r="AY33" s="201"/>
      <c r="AZ33" s="201"/>
      <c r="BA33" s="201"/>
      <c r="BB33" s="201"/>
      <c r="BC33" s="201"/>
      <c r="BD33" s="201"/>
      <c r="BE33" s="201"/>
      <c r="BF33" s="201"/>
      <c r="BG33" s="201"/>
      <c r="BH33" s="201"/>
      <c r="BI33" s="201"/>
      <c r="BJ33" s="201"/>
      <c r="BK33" s="201"/>
      <c r="BL33" s="201"/>
      <c r="BM33" s="201"/>
      <c r="BN33" s="201"/>
      <c r="BO33" s="201"/>
      <c r="BP33" s="201"/>
      <c r="BQ33" s="201"/>
      <c r="BR33" s="201"/>
      <c r="BS33" s="201"/>
      <c r="BT33" s="202"/>
      <c r="BU33" s="37"/>
      <c r="BV33" s="36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</row>
    <row r="34" spans="1:85" ht="19.5" customHeight="1" x14ac:dyDescent="0.45">
      <c r="A34" s="25"/>
      <c r="B34" s="40"/>
      <c r="C34" s="25"/>
      <c r="D34" s="33">
        <v>24</v>
      </c>
      <c r="E34" s="221" t="s">
        <v>97</v>
      </c>
      <c r="F34" s="222"/>
      <c r="G34" s="222"/>
      <c r="H34" s="222"/>
      <c r="I34" s="222"/>
      <c r="J34" s="222"/>
      <c r="K34" s="222"/>
      <c r="L34" s="223"/>
      <c r="M34" s="189" t="s">
        <v>37</v>
      </c>
      <c r="N34" s="184"/>
      <c r="O34" s="185"/>
      <c r="P34" s="189" t="s">
        <v>112</v>
      </c>
      <c r="Q34" s="184"/>
      <c r="R34" s="185"/>
      <c r="S34" s="189">
        <v>41</v>
      </c>
      <c r="T34" s="184"/>
      <c r="U34" s="185"/>
      <c r="V34" s="200" t="s">
        <v>107</v>
      </c>
      <c r="W34" s="201"/>
      <c r="X34" s="201"/>
      <c r="Y34" s="201"/>
      <c r="Z34" s="201"/>
      <c r="AA34" s="224"/>
      <c r="AB34" s="197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199"/>
      <c r="AR34" s="189"/>
      <c r="AS34" s="184"/>
      <c r="AT34" s="184"/>
      <c r="AU34" s="184"/>
      <c r="AV34" s="184"/>
      <c r="AW34" s="185"/>
      <c r="AX34" s="200"/>
      <c r="AY34" s="201"/>
      <c r="AZ34" s="201"/>
      <c r="BA34" s="201"/>
      <c r="BB34" s="201"/>
      <c r="BC34" s="201"/>
      <c r="BD34" s="201"/>
      <c r="BE34" s="201"/>
      <c r="BF34" s="201"/>
      <c r="BG34" s="201"/>
      <c r="BH34" s="201"/>
      <c r="BI34" s="201"/>
      <c r="BJ34" s="201"/>
      <c r="BK34" s="201"/>
      <c r="BL34" s="201"/>
      <c r="BM34" s="201"/>
      <c r="BN34" s="201"/>
      <c r="BO34" s="201"/>
      <c r="BP34" s="201"/>
      <c r="BQ34" s="201"/>
      <c r="BR34" s="201"/>
      <c r="BS34" s="201"/>
      <c r="BT34" s="202"/>
      <c r="BU34" s="37"/>
      <c r="BV34" s="36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</row>
    <row r="35" spans="1:85" ht="19.5" customHeight="1" x14ac:dyDescent="0.45">
      <c r="A35" s="25"/>
      <c r="B35" s="40"/>
      <c r="C35" s="25"/>
      <c r="D35" s="33">
        <v>25</v>
      </c>
      <c r="E35" s="221" t="s">
        <v>98</v>
      </c>
      <c r="F35" s="222"/>
      <c r="G35" s="222"/>
      <c r="H35" s="222"/>
      <c r="I35" s="222"/>
      <c r="J35" s="222"/>
      <c r="K35" s="222"/>
      <c r="L35" s="223"/>
      <c r="M35" s="189" t="s">
        <v>37</v>
      </c>
      <c r="N35" s="184"/>
      <c r="O35" s="185"/>
      <c r="P35" s="189" t="s">
        <v>113</v>
      </c>
      <c r="Q35" s="184"/>
      <c r="R35" s="185"/>
      <c r="S35" s="189">
        <v>6</v>
      </c>
      <c r="T35" s="184"/>
      <c r="U35" s="185"/>
      <c r="V35" s="200" t="s">
        <v>145</v>
      </c>
      <c r="W35" s="201"/>
      <c r="X35" s="201"/>
      <c r="Y35" s="201"/>
      <c r="Z35" s="201"/>
      <c r="AA35" s="224"/>
      <c r="AB35" s="197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9"/>
      <c r="AR35" s="189"/>
      <c r="AS35" s="184"/>
      <c r="AT35" s="184"/>
      <c r="AU35" s="184"/>
      <c r="AV35" s="184"/>
      <c r="AW35" s="185"/>
      <c r="AX35" s="200"/>
      <c r="AY35" s="201"/>
      <c r="AZ35" s="201"/>
      <c r="BA35" s="201"/>
      <c r="BB35" s="201"/>
      <c r="BC35" s="201"/>
      <c r="BD35" s="201"/>
      <c r="BE35" s="201"/>
      <c r="BF35" s="201"/>
      <c r="BG35" s="201"/>
      <c r="BH35" s="201"/>
      <c r="BI35" s="201"/>
      <c r="BJ35" s="201"/>
      <c r="BK35" s="201"/>
      <c r="BL35" s="201"/>
      <c r="BM35" s="201"/>
      <c r="BN35" s="201"/>
      <c r="BO35" s="201"/>
      <c r="BP35" s="201"/>
      <c r="BQ35" s="201"/>
      <c r="BR35" s="201"/>
      <c r="BS35" s="201"/>
      <c r="BT35" s="202"/>
      <c r="BU35" s="37"/>
      <c r="BV35" s="36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</row>
    <row r="36" spans="1:85" ht="19.5" customHeight="1" x14ac:dyDescent="0.45">
      <c r="A36" s="25"/>
      <c r="B36" s="40"/>
      <c r="C36" s="25"/>
      <c r="D36" s="33">
        <v>26</v>
      </c>
      <c r="E36" s="221" t="s">
        <v>146</v>
      </c>
      <c r="F36" s="222"/>
      <c r="G36" s="222"/>
      <c r="H36" s="222"/>
      <c r="I36" s="222"/>
      <c r="J36" s="222"/>
      <c r="K36" s="222"/>
      <c r="L36" s="223"/>
      <c r="M36" s="189" t="s">
        <v>37</v>
      </c>
      <c r="N36" s="184"/>
      <c r="O36" s="185"/>
      <c r="P36" s="189" t="s">
        <v>112</v>
      </c>
      <c r="Q36" s="184"/>
      <c r="R36" s="185"/>
      <c r="S36" s="189">
        <v>4</v>
      </c>
      <c r="T36" s="184"/>
      <c r="U36" s="185"/>
      <c r="V36" s="200" t="s">
        <v>909</v>
      </c>
      <c r="W36" s="201"/>
      <c r="X36" s="201"/>
      <c r="Y36" s="201"/>
      <c r="Z36" s="201"/>
      <c r="AA36" s="224"/>
      <c r="AB36" s="197" t="s">
        <v>108</v>
      </c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199"/>
      <c r="AR36" s="189"/>
      <c r="AS36" s="184"/>
      <c r="AT36" s="184"/>
      <c r="AU36" s="184"/>
      <c r="AV36" s="184"/>
      <c r="AW36" s="185"/>
      <c r="AX36" s="200"/>
      <c r="AY36" s="201"/>
      <c r="AZ36" s="201"/>
      <c r="BA36" s="201"/>
      <c r="BB36" s="201"/>
      <c r="BC36" s="201"/>
      <c r="BD36" s="201"/>
      <c r="BE36" s="201"/>
      <c r="BF36" s="201"/>
      <c r="BG36" s="201"/>
      <c r="BH36" s="201"/>
      <c r="BI36" s="201"/>
      <c r="BJ36" s="201"/>
      <c r="BK36" s="201"/>
      <c r="BL36" s="201"/>
      <c r="BM36" s="201"/>
      <c r="BN36" s="201"/>
      <c r="BO36" s="201"/>
      <c r="BP36" s="201"/>
      <c r="BQ36" s="201"/>
      <c r="BR36" s="201"/>
      <c r="BS36" s="201"/>
      <c r="BT36" s="202"/>
      <c r="BU36" s="37"/>
      <c r="BV36" s="36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</row>
    <row r="37" spans="1:85" ht="19.5" customHeight="1" x14ac:dyDescent="0.45">
      <c r="A37" s="25"/>
      <c r="B37" s="40"/>
      <c r="C37" s="25"/>
      <c r="D37" s="33">
        <v>27</v>
      </c>
      <c r="E37" s="221" t="s">
        <v>99</v>
      </c>
      <c r="F37" s="222"/>
      <c r="G37" s="222"/>
      <c r="H37" s="222"/>
      <c r="I37" s="222"/>
      <c r="J37" s="222"/>
      <c r="K37" s="222"/>
      <c r="L37" s="223"/>
      <c r="M37" s="189" t="s">
        <v>37</v>
      </c>
      <c r="N37" s="184"/>
      <c r="O37" s="185"/>
      <c r="P37" s="189" t="s">
        <v>112</v>
      </c>
      <c r="Q37" s="184"/>
      <c r="R37" s="185"/>
      <c r="S37" s="189">
        <v>4</v>
      </c>
      <c r="T37" s="184"/>
      <c r="U37" s="185"/>
      <c r="V37" s="200" t="s">
        <v>912</v>
      </c>
      <c r="W37" s="201"/>
      <c r="X37" s="201"/>
      <c r="Y37" s="201"/>
      <c r="Z37" s="201"/>
      <c r="AA37" s="224"/>
      <c r="AB37" s="197" t="s">
        <v>913</v>
      </c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9"/>
      <c r="AR37" s="189"/>
      <c r="AS37" s="184"/>
      <c r="AT37" s="184"/>
      <c r="AU37" s="184"/>
      <c r="AV37" s="184"/>
      <c r="AW37" s="185"/>
      <c r="AX37" s="200"/>
      <c r="AY37" s="201"/>
      <c r="AZ37" s="201"/>
      <c r="BA37" s="201"/>
      <c r="BB37" s="201"/>
      <c r="BC37" s="201"/>
      <c r="BD37" s="201"/>
      <c r="BE37" s="201"/>
      <c r="BF37" s="201"/>
      <c r="BG37" s="201"/>
      <c r="BH37" s="201"/>
      <c r="BI37" s="201"/>
      <c r="BJ37" s="201"/>
      <c r="BK37" s="201"/>
      <c r="BL37" s="201"/>
      <c r="BM37" s="201"/>
      <c r="BN37" s="201"/>
      <c r="BO37" s="201"/>
      <c r="BP37" s="201"/>
      <c r="BQ37" s="201"/>
      <c r="BR37" s="201"/>
      <c r="BS37" s="201"/>
      <c r="BT37" s="202"/>
      <c r="BU37" s="37"/>
      <c r="BV37" s="36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</row>
    <row r="38" spans="1:85" ht="19.5" customHeight="1" x14ac:dyDescent="0.45">
      <c r="A38" s="25"/>
      <c r="B38" s="40"/>
      <c r="C38" s="25"/>
      <c r="D38" s="33">
        <v>28</v>
      </c>
      <c r="E38" s="191" t="s">
        <v>118</v>
      </c>
      <c r="F38" s="192"/>
      <c r="G38" s="192"/>
      <c r="H38" s="192"/>
      <c r="I38" s="192"/>
      <c r="J38" s="192"/>
      <c r="K38" s="192"/>
      <c r="L38" s="193"/>
      <c r="M38" s="189" t="s">
        <v>37</v>
      </c>
      <c r="N38" s="184"/>
      <c r="O38" s="185"/>
      <c r="P38" s="189" t="s">
        <v>113</v>
      </c>
      <c r="Q38" s="184"/>
      <c r="R38" s="185"/>
      <c r="S38" s="189" t="s">
        <v>122</v>
      </c>
      <c r="T38" s="184"/>
      <c r="U38" s="185"/>
      <c r="V38" s="200" t="s">
        <v>914</v>
      </c>
      <c r="W38" s="201"/>
      <c r="X38" s="201"/>
      <c r="Y38" s="201"/>
      <c r="Z38" s="201"/>
      <c r="AA38" s="224"/>
      <c r="AB38" s="197" t="s">
        <v>915</v>
      </c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9"/>
      <c r="AR38" s="189"/>
      <c r="AS38" s="184"/>
      <c r="AT38" s="184"/>
      <c r="AU38" s="184"/>
      <c r="AV38" s="184"/>
      <c r="AW38" s="185"/>
      <c r="AX38" s="200"/>
      <c r="AY38" s="201"/>
      <c r="AZ38" s="201"/>
      <c r="BA38" s="201"/>
      <c r="BB38" s="201"/>
      <c r="BC38" s="201"/>
      <c r="BD38" s="201"/>
      <c r="BE38" s="201"/>
      <c r="BF38" s="201"/>
      <c r="BG38" s="201"/>
      <c r="BH38" s="201"/>
      <c r="BI38" s="201"/>
      <c r="BJ38" s="201"/>
      <c r="BK38" s="201"/>
      <c r="BL38" s="201"/>
      <c r="BM38" s="201"/>
      <c r="BN38" s="201"/>
      <c r="BO38" s="201"/>
      <c r="BP38" s="201"/>
      <c r="BQ38" s="201"/>
      <c r="BR38" s="201"/>
      <c r="BS38" s="201"/>
      <c r="BT38" s="202"/>
      <c r="BU38" s="37"/>
      <c r="BV38" s="36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</row>
    <row r="39" spans="1:85" ht="19.5" customHeight="1" x14ac:dyDescent="0.45">
      <c r="A39" s="25"/>
      <c r="B39" s="40"/>
      <c r="C39" s="25"/>
      <c r="D39" s="33">
        <v>29</v>
      </c>
      <c r="E39" s="221" t="s">
        <v>100</v>
      </c>
      <c r="F39" s="222"/>
      <c r="G39" s="222"/>
      <c r="H39" s="222"/>
      <c r="I39" s="222"/>
      <c r="J39" s="222"/>
      <c r="K39" s="222"/>
      <c r="L39" s="223"/>
      <c r="M39" s="189" t="s">
        <v>37</v>
      </c>
      <c r="N39" s="184"/>
      <c r="O39" s="185"/>
      <c r="P39" s="189" t="s">
        <v>112</v>
      </c>
      <c r="Q39" s="184"/>
      <c r="R39" s="185"/>
      <c r="S39" s="189">
        <v>10</v>
      </c>
      <c r="T39" s="184"/>
      <c r="U39" s="185"/>
      <c r="V39" s="200" t="s">
        <v>916</v>
      </c>
      <c r="W39" s="201"/>
      <c r="X39" s="201"/>
      <c r="Y39" s="201"/>
      <c r="Z39" s="201"/>
      <c r="AA39" s="224"/>
      <c r="AB39" s="197" t="s">
        <v>917</v>
      </c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9"/>
      <c r="AR39" s="189"/>
      <c r="AS39" s="184"/>
      <c r="AT39" s="184"/>
      <c r="AU39" s="184"/>
      <c r="AV39" s="184"/>
      <c r="AW39" s="185"/>
      <c r="AX39" s="200"/>
      <c r="AY39" s="201"/>
      <c r="AZ39" s="201"/>
      <c r="BA39" s="201"/>
      <c r="BB39" s="201"/>
      <c r="BC39" s="201"/>
      <c r="BD39" s="201"/>
      <c r="BE39" s="201"/>
      <c r="BF39" s="201"/>
      <c r="BG39" s="201"/>
      <c r="BH39" s="201"/>
      <c r="BI39" s="201"/>
      <c r="BJ39" s="201"/>
      <c r="BK39" s="201"/>
      <c r="BL39" s="201"/>
      <c r="BM39" s="201"/>
      <c r="BN39" s="201"/>
      <c r="BO39" s="201"/>
      <c r="BP39" s="201"/>
      <c r="BQ39" s="201"/>
      <c r="BR39" s="201"/>
      <c r="BS39" s="201"/>
      <c r="BT39" s="202"/>
      <c r="BU39" s="37"/>
      <c r="BV39" s="36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</row>
    <row r="40" spans="1:85" ht="19.5" customHeight="1" x14ac:dyDescent="0.45">
      <c r="A40" s="25"/>
      <c r="B40" s="40"/>
      <c r="C40" s="25"/>
      <c r="D40" s="33">
        <v>30</v>
      </c>
      <c r="E40" s="221" t="s">
        <v>101</v>
      </c>
      <c r="F40" s="222"/>
      <c r="G40" s="222"/>
      <c r="H40" s="222"/>
      <c r="I40" s="222"/>
      <c r="J40" s="222"/>
      <c r="K40" s="222"/>
      <c r="L40" s="223"/>
      <c r="M40" s="189" t="s">
        <v>37</v>
      </c>
      <c r="N40" s="184"/>
      <c r="O40" s="185"/>
      <c r="P40" s="189" t="s">
        <v>112</v>
      </c>
      <c r="Q40" s="184"/>
      <c r="R40" s="185"/>
      <c r="S40" s="189">
        <v>10</v>
      </c>
      <c r="T40" s="184"/>
      <c r="U40" s="185"/>
      <c r="V40" s="200" t="s">
        <v>918</v>
      </c>
      <c r="W40" s="201"/>
      <c r="X40" s="201"/>
      <c r="Y40" s="201"/>
      <c r="Z40" s="201"/>
      <c r="AA40" s="224"/>
      <c r="AB40" s="197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9"/>
      <c r="AR40" s="189"/>
      <c r="AS40" s="184"/>
      <c r="AT40" s="184"/>
      <c r="AU40" s="184"/>
      <c r="AV40" s="184"/>
      <c r="AW40" s="185"/>
      <c r="AX40" s="200"/>
      <c r="AY40" s="201"/>
      <c r="AZ40" s="201"/>
      <c r="BA40" s="201"/>
      <c r="BB40" s="201"/>
      <c r="BC40" s="201"/>
      <c r="BD40" s="201"/>
      <c r="BE40" s="201"/>
      <c r="BF40" s="201"/>
      <c r="BG40" s="201"/>
      <c r="BH40" s="201"/>
      <c r="BI40" s="201"/>
      <c r="BJ40" s="201"/>
      <c r="BK40" s="201"/>
      <c r="BL40" s="201"/>
      <c r="BM40" s="201"/>
      <c r="BN40" s="201"/>
      <c r="BO40" s="201"/>
      <c r="BP40" s="201"/>
      <c r="BQ40" s="201"/>
      <c r="BR40" s="201"/>
      <c r="BS40" s="201"/>
      <c r="BT40" s="202"/>
      <c r="BU40" s="37"/>
      <c r="BV40" s="36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</row>
    <row r="41" spans="1:85" ht="19.5" customHeight="1" x14ac:dyDescent="0.45">
      <c r="A41" s="25"/>
      <c r="B41" s="40"/>
      <c r="C41" s="25"/>
      <c r="D41" s="33">
        <v>31</v>
      </c>
      <c r="E41" s="221" t="s">
        <v>147</v>
      </c>
      <c r="F41" s="222"/>
      <c r="G41" s="222"/>
      <c r="H41" s="222"/>
      <c r="I41" s="222"/>
      <c r="J41" s="222"/>
      <c r="K41" s="222"/>
      <c r="L41" s="223"/>
      <c r="M41" s="189" t="s">
        <v>37</v>
      </c>
      <c r="N41" s="184"/>
      <c r="O41" s="185"/>
      <c r="P41" s="189" t="s">
        <v>112</v>
      </c>
      <c r="Q41" s="184"/>
      <c r="R41" s="185"/>
      <c r="S41" s="189">
        <v>9</v>
      </c>
      <c r="T41" s="184"/>
      <c r="U41" s="185"/>
      <c r="V41" s="200" t="s">
        <v>919</v>
      </c>
      <c r="W41" s="201"/>
      <c r="X41" s="201"/>
      <c r="Y41" s="201"/>
      <c r="Z41" s="201"/>
      <c r="AA41" s="224"/>
      <c r="AB41" s="197"/>
      <c r="AC41" s="198"/>
      <c r="AD41" s="198"/>
      <c r="AE41" s="198"/>
      <c r="AF41" s="198"/>
      <c r="AG41" s="198"/>
      <c r="AH41" s="198"/>
      <c r="AI41" s="198"/>
      <c r="AJ41" s="198"/>
      <c r="AK41" s="198"/>
      <c r="AL41" s="198"/>
      <c r="AM41" s="198"/>
      <c r="AN41" s="198"/>
      <c r="AO41" s="198"/>
      <c r="AP41" s="198"/>
      <c r="AQ41" s="199"/>
      <c r="AR41" s="189"/>
      <c r="AS41" s="184"/>
      <c r="AT41" s="184"/>
      <c r="AU41" s="184"/>
      <c r="AV41" s="184"/>
      <c r="AW41" s="185"/>
      <c r="AX41" s="200"/>
      <c r="AY41" s="201"/>
      <c r="AZ41" s="201"/>
      <c r="BA41" s="201"/>
      <c r="BB41" s="201"/>
      <c r="BC41" s="201"/>
      <c r="BD41" s="201"/>
      <c r="BE41" s="201"/>
      <c r="BF41" s="201"/>
      <c r="BG41" s="201"/>
      <c r="BH41" s="201"/>
      <c r="BI41" s="201"/>
      <c r="BJ41" s="201"/>
      <c r="BK41" s="201"/>
      <c r="BL41" s="201"/>
      <c r="BM41" s="201"/>
      <c r="BN41" s="201"/>
      <c r="BO41" s="201"/>
      <c r="BP41" s="201"/>
      <c r="BQ41" s="201"/>
      <c r="BR41" s="201"/>
      <c r="BS41" s="201"/>
      <c r="BT41" s="202"/>
      <c r="BU41" s="37"/>
      <c r="BV41" s="36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</row>
    <row r="42" spans="1:85" ht="28.8" customHeight="1" x14ac:dyDescent="0.45">
      <c r="A42" s="25"/>
      <c r="B42" s="40"/>
      <c r="C42" s="25"/>
      <c r="D42" s="33">
        <v>32</v>
      </c>
      <c r="E42" s="221" t="s">
        <v>148</v>
      </c>
      <c r="F42" s="222"/>
      <c r="G42" s="222"/>
      <c r="H42" s="222"/>
      <c r="I42" s="222"/>
      <c r="J42" s="222"/>
      <c r="K42" s="222"/>
      <c r="L42" s="223"/>
      <c r="M42" s="189" t="s">
        <v>37</v>
      </c>
      <c r="N42" s="184"/>
      <c r="O42" s="185"/>
      <c r="P42" s="189" t="s">
        <v>112</v>
      </c>
      <c r="Q42" s="184"/>
      <c r="R42" s="185"/>
      <c r="S42" s="189">
        <v>9</v>
      </c>
      <c r="T42" s="184"/>
      <c r="U42" s="185"/>
      <c r="V42" s="200" t="s">
        <v>920</v>
      </c>
      <c r="W42" s="201"/>
      <c r="X42" s="201"/>
      <c r="Y42" s="201"/>
      <c r="Z42" s="201"/>
      <c r="AA42" s="224"/>
      <c r="AB42" s="218" t="s">
        <v>921</v>
      </c>
      <c r="AC42" s="219"/>
      <c r="AD42" s="219"/>
      <c r="AE42" s="219"/>
      <c r="AF42" s="219"/>
      <c r="AG42" s="219"/>
      <c r="AH42" s="219"/>
      <c r="AI42" s="219"/>
      <c r="AJ42" s="219"/>
      <c r="AK42" s="219"/>
      <c r="AL42" s="219"/>
      <c r="AM42" s="219"/>
      <c r="AN42" s="219"/>
      <c r="AO42" s="219"/>
      <c r="AP42" s="219"/>
      <c r="AQ42" s="220"/>
      <c r="AR42" s="189"/>
      <c r="AS42" s="184"/>
      <c r="AT42" s="184"/>
      <c r="AU42" s="184"/>
      <c r="AV42" s="184"/>
      <c r="AW42" s="185"/>
      <c r="AX42" s="200"/>
      <c r="AY42" s="201"/>
      <c r="AZ42" s="201"/>
      <c r="BA42" s="201"/>
      <c r="BB42" s="201"/>
      <c r="BC42" s="201"/>
      <c r="BD42" s="201"/>
      <c r="BE42" s="201"/>
      <c r="BF42" s="201"/>
      <c r="BG42" s="201"/>
      <c r="BH42" s="201"/>
      <c r="BI42" s="201"/>
      <c r="BJ42" s="201"/>
      <c r="BK42" s="201"/>
      <c r="BL42" s="201"/>
      <c r="BM42" s="201"/>
      <c r="BN42" s="201"/>
      <c r="BO42" s="201"/>
      <c r="BP42" s="201"/>
      <c r="BQ42" s="201"/>
      <c r="BR42" s="201"/>
      <c r="BS42" s="201"/>
      <c r="BT42" s="202"/>
      <c r="BU42" s="37"/>
      <c r="BV42" s="36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</row>
    <row r="43" spans="1:85" ht="28.8" customHeight="1" x14ac:dyDescent="0.45">
      <c r="A43" s="25"/>
      <c r="B43" s="40"/>
      <c r="C43" s="25"/>
      <c r="D43" s="33">
        <v>33</v>
      </c>
      <c r="E43" s="221" t="s">
        <v>149</v>
      </c>
      <c r="F43" s="222"/>
      <c r="G43" s="222"/>
      <c r="H43" s="222"/>
      <c r="I43" s="222"/>
      <c r="J43" s="222"/>
      <c r="K43" s="222"/>
      <c r="L43" s="223"/>
      <c r="M43" s="189" t="s">
        <v>37</v>
      </c>
      <c r="N43" s="184"/>
      <c r="O43" s="185"/>
      <c r="P43" s="189" t="s">
        <v>112</v>
      </c>
      <c r="Q43" s="184"/>
      <c r="R43" s="185"/>
      <c r="S43" s="189">
        <v>9</v>
      </c>
      <c r="T43" s="184"/>
      <c r="U43" s="185"/>
      <c r="V43" s="200" t="s">
        <v>922</v>
      </c>
      <c r="W43" s="201"/>
      <c r="X43" s="201"/>
      <c r="Y43" s="201"/>
      <c r="Z43" s="201"/>
      <c r="AA43" s="224"/>
      <c r="AB43" s="218" t="s">
        <v>923</v>
      </c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20"/>
      <c r="AR43" s="189"/>
      <c r="AS43" s="184"/>
      <c r="AT43" s="184"/>
      <c r="AU43" s="184"/>
      <c r="AV43" s="184"/>
      <c r="AW43" s="185"/>
      <c r="AX43" s="200"/>
      <c r="AY43" s="201"/>
      <c r="AZ43" s="201"/>
      <c r="BA43" s="201"/>
      <c r="BB43" s="201"/>
      <c r="BC43" s="201"/>
      <c r="BD43" s="201"/>
      <c r="BE43" s="201"/>
      <c r="BF43" s="201"/>
      <c r="BG43" s="201"/>
      <c r="BH43" s="201"/>
      <c r="BI43" s="201"/>
      <c r="BJ43" s="201"/>
      <c r="BK43" s="201"/>
      <c r="BL43" s="201"/>
      <c r="BM43" s="201"/>
      <c r="BN43" s="201"/>
      <c r="BO43" s="201"/>
      <c r="BP43" s="201"/>
      <c r="BQ43" s="201"/>
      <c r="BR43" s="201"/>
      <c r="BS43" s="201"/>
      <c r="BT43" s="202"/>
      <c r="BU43" s="37"/>
      <c r="BV43" s="36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</row>
    <row r="44" spans="1:85" ht="28.8" customHeight="1" x14ac:dyDescent="0.45">
      <c r="A44" s="25"/>
      <c r="B44" s="40"/>
      <c r="C44" s="25"/>
      <c r="D44" s="33">
        <v>34</v>
      </c>
      <c r="E44" s="191" t="s">
        <v>109</v>
      </c>
      <c r="F44" s="192"/>
      <c r="G44" s="192"/>
      <c r="H44" s="192"/>
      <c r="I44" s="192"/>
      <c r="J44" s="192"/>
      <c r="K44" s="192"/>
      <c r="L44" s="193"/>
      <c r="M44" s="189" t="s">
        <v>45</v>
      </c>
      <c r="N44" s="184"/>
      <c r="O44" s="185"/>
      <c r="P44" s="189" t="s">
        <v>112</v>
      </c>
      <c r="Q44" s="184"/>
      <c r="R44" s="185"/>
      <c r="S44" s="189">
        <v>6</v>
      </c>
      <c r="T44" s="184"/>
      <c r="U44" s="185"/>
      <c r="V44" s="200" t="s">
        <v>928</v>
      </c>
      <c r="W44" s="201"/>
      <c r="X44" s="201"/>
      <c r="Y44" s="201"/>
      <c r="Z44" s="201"/>
      <c r="AA44" s="224"/>
      <c r="AB44" s="218"/>
      <c r="AC44" s="219"/>
      <c r="AD44" s="219"/>
      <c r="AE44" s="219"/>
      <c r="AF44" s="219"/>
      <c r="AG44" s="219"/>
      <c r="AH44" s="219"/>
      <c r="AI44" s="219"/>
      <c r="AJ44" s="219"/>
      <c r="AK44" s="219"/>
      <c r="AL44" s="219"/>
      <c r="AM44" s="219"/>
      <c r="AN44" s="219"/>
      <c r="AO44" s="219"/>
      <c r="AP44" s="219"/>
      <c r="AQ44" s="220"/>
      <c r="AR44" s="189"/>
      <c r="AS44" s="184"/>
      <c r="AT44" s="184"/>
      <c r="AU44" s="184"/>
      <c r="AV44" s="184"/>
      <c r="AW44" s="185"/>
      <c r="AX44" s="200"/>
      <c r="AY44" s="201"/>
      <c r="AZ44" s="201"/>
      <c r="BA44" s="201"/>
      <c r="BB44" s="201"/>
      <c r="BC44" s="201"/>
      <c r="BD44" s="201"/>
      <c r="BE44" s="201"/>
      <c r="BF44" s="201"/>
      <c r="BG44" s="201"/>
      <c r="BH44" s="201"/>
      <c r="BI44" s="201"/>
      <c r="BJ44" s="201"/>
      <c r="BK44" s="201"/>
      <c r="BL44" s="201"/>
      <c r="BM44" s="201"/>
      <c r="BN44" s="201"/>
      <c r="BO44" s="201"/>
      <c r="BP44" s="201"/>
      <c r="BQ44" s="201"/>
      <c r="BR44" s="201"/>
      <c r="BS44" s="201"/>
      <c r="BT44" s="202"/>
      <c r="BU44" s="37"/>
      <c r="BV44" s="36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</row>
    <row r="45" spans="1:85" ht="19.5" customHeight="1" x14ac:dyDescent="0.45">
      <c r="A45" s="25"/>
      <c r="B45" s="40"/>
      <c r="C45" s="25"/>
      <c r="D45" s="33">
        <v>35</v>
      </c>
      <c r="E45" s="221" t="s">
        <v>102</v>
      </c>
      <c r="F45" s="222"/>
      <c r="G45" s="222"/>
      <c r="H45" s="222"/>
      <c r="I45" s="222"/>
      <c r="J45" s="222"/>
      <c r="K45" s="222"/>
      <c r="L45" s="223"/>
      <c r="M45" s="189" t="s">
        <v>45</v>
      </c>
      <c r="N45" s="184"/>
      <c r="O45" s="185"/>
      <c r="P45" s="189" t="s">
        <v>112</v>
      </c>
      <c r="Q45" s="184"/>
      <c r="R45" s="185"/>
      <c r="S45" s="189">
        <v>9</v>
      </c>
      <c r="T45" s="184"/>
      <c r="U45" s="185"/>
      <c r="V45" s="200" t="s">
        <v>910</v>
      </c>
      <c r="W45" s="201"/>
      <c r="X45" s="201"/>
      <c r="Y45" s="201"/>
      <c r="Z45" s="201"/>
      <c r="AA45" s="224"/>
      <c r="AB45" s="197" t="s">
        <v>927</v>
      </c>
      <c r="AC45" s="198"/>
      <c r="AD45" s="198"/>
      <c r="AE45" s="198"/>
      <c r="AF45" s="198"/>
      <c r="AG45" s="198"/>
      <c r="AH45" s="198"/>
      <c r="AI45" s="198"/>
      <c r="AJ45" s="198"/>
      <c r="AK45" s="198"/>
      <c r="AL45" s="198"/>
      <c r="AM45" s="198"/>
      <c r="AN45" s="198"/>
      <c r="AO45" s="198"/>
      <c r="AP45" s="198"/>
      <c r="AQ45" s="199"/>
      <c r="AR45" s="215" t="s">
        <v>150</v>
      </c>
      <c r="AS45" s="216"/>
      <c r="AT45" s="216"/>
      <c r="AU45" s="216"/>
      <c r="AV45" s="216"/>
      <c r="AW45" s="217"/>
      <c r="AX45" s="200"/>
      <c r="AY45" s="201"/>
      <c r="AZ45" s="201"/>
      <c r="BA45" s="201"/>
      <c r="BB45" s="201"/>
      <c r="BC45" s="201"/>
      <c r="BD45" s="201"/>
      <c r="BE45" s="201"/>
      <c r="BF45" s="201"/>
      <c r="BG45" s="201"/>
      <c r="BH45" s="201"/>
      <c r="BI45" s="201"/>
      <c r="BJ45" s="201"/>
      <c r="BK45" s="201"/>
      <c r="BL45" s="201"/>
      <c r="BM45" s="201"/>
      <c r="BN45" s="201"/>
      <c r="BO45" s="201"/>
      <c r="BP45" s="201"/>
      <c r="BQ45" s="201"/>
      <c r="BR45" s="201"/>
      <c r="BS45" s="201"/>
      <c r="BT45" s="202"/>
      <c r="BU45" s="37"/>
      <c r="BV45" s="36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</row>
    <row r="46" spans="1:85" ht="19.5" customHeight="1" x14ac:dyDescent="0.45">
      <c r="A46" s="25"/>
      <c r="B46" s="40"/>
      <c r="C46" s="25"/>
      <c r="D46" s="33">
        <v>36</v>
      </c>
      <c r="E46" s="221" t="s">
        <v>103</v>
      </c>
      <c r="F46" s="222"/>
      <c r="G46" s="222"/>
      <c r="H46" s="222"/>
      <c r="I46" s="222"/>
      <c r="J46" s="222"/>
      <c r="K46" s="222"/>
      <c r="L46" s="223"/>
      <c r="M46" s="189" t="s">
        <v>37</v>
      </c>
      <c r="N46" s="184"/>
      <c r="O46" s="185"/>
      <c r="P46" s="189" t="s">
        <v>113</v>
      </c>
      <c r="Q46" s="184"/>
      <c r="R46" s="185"/>
      <c r="S46" s="189">
        <v>3</v>
      </c>
      <c r="T46" s="184"/>
      <c r="U46" s="185"/>
      <c r="V46" s="200" t="s">
        <v>924</v>
      </c>
      <c r="W46" s="201"/>
      <c r="X46" s="201"/>
      <c r="Y46" s="201"/>
      <c r="Z46" s="201"/>
      <c r="AA46" s="224"/>
      <c r="AB46" s="197"/>
      <c r="AC46" s="198"/>
      <c r="AD46" s="198"/>
      <c r="AE46" s="198"/>
      <c r="AF46" s="198"/>
      <c r="AG46" s="198"/>
      <c r="AH46" s="198"/>
      <c r="AI46" s="198"/>
      <c r="AJ46" s="198"/>
      <c r="AK46" s="198"/>
      <c r="AL46" s="198"/>
      <c r="AM46" s="198"/>
      <c r="AN46" s="198"/>
      <c r="AO46" s="198"/>
      <c r="AP46" s="198"/>
      <c r="AQ46" s="199"/>
      <c r="AR46" s="189"/>
      <c r="AS46" s="184"/>
      <c r="AT46" s="184"/>
      <c r="AU46" s="184"/>
      <c r="AV46" s="184"/>
      <c r="AW46" s="185"/>
      <c r="AX46" s="200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1"/>
      <c r="BS46" s="201"/>
      <c r="BT46" s="202"/>
      <c r="BU46" s="37"/>
      <c r="BV46" s="36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</row>
    <row r="47" spans="1:85" ht="19.5" customHeight="1" x14ac:dyDescent="0.45">
      <c r="A47" s="25"/>
      <c r="B47" s="40"/>
      <c r="C47" s="25"/>
      <c r="D47" s="33">
        <v>37</v>
      </c>
      <c r="E47" s="191" t="s">
        <v>110</v>
      </c>
      <c r="F47" s="192"/>
      <c r="G47" s="192"/>
      <c r="H47" s="192"/>
      <c r="I47" s="192"/>
      <c r="J47" s="192"/>
      <c r="K47" s="192"/>
      <c r="L47" s="193"/>
      <c r="M47" s="189" t="s">
        <v>45</v>
      </c>
      <c r="N47" s="184"/>
      <c r="O47" s="185"/>
      <c r="P47" s="189" t="s">
        <v>112</v>
      </c>
      <c r="Q47" s="184"/>
      <c r="R47" s="185"/>
      <c r="S47" s="189">
        <v>6</v>
      </c>
      <c r="T47" s="184"/>
      <c r="U47" s="185"/>
      <c r="V47" s="200" t="s">
        <v>925</v>
      </c>
      <c r="W47" s="201"/>
      <c r="X47" s="201"/>
      <c r="Y47" s="201"/>
      <c r="Z47" s="201"/>
      <c r="AA47" s="224"/>
      <c r="AB47" s="197" t="s">
        <v>926</v>
      </c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9"/>
      <c r="AR47" s="189"/>
      <c r="AS47" s="184"/>
      <c r="AT47" s="184"/>
      <c r="AU47" s="184"/>
      <c r="AV47" s="184"/>
      <c r="AW47" s="185"/>
      <c r="AX47" s="200"/>
      <c r="AY47" s="201"/>
      <c r="AZ47" s="201"/>
      <c r="BA47" s="201"/>
      <c r="BB47" s="201"/>
      <c r="BC47" s="201"/>
      <c r="BD47" s="201"/>
      <c r="BE47" s="201"/>
      <c r="BF47" s="201"/>
      <c r="BG47" s="201"/>
      <c r="BH47" s="201"/>
      <c r="BI47" s="201"/>
      <c r="BJ47" s="201"/>
      <c r="BK47" s="201"/>
      <c r="BL47" s="201"/>
      <c r="BM47" s="201"/>
      <c r="BN47" s="201"/>
      <c r="BO47" s="201"/>
      <c r="BP47" s="201"/>
      <c r="BQ47" s="201"/>
      <c r="BR47" s="201"/>
      <c r="BS47" s="201"/>
      <c r="BT47" s="202"/>
      <c r="BU47" s="37"/>
      <c r="BV47" s="36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</row>
    <row r="48" spans="1:85" ht="19.5" customHeight="1" x14ac:dyDescent="0.45">
      <c r="A48" s="25"/>
      <c r="B48" s="40"/>
      <c r="C48" s="25"/>
      <c r="D48" s="33">
        <v>38</v>
      </c>
      <c r="E48" s="221" t="s">
        <v>104</v>
      </c>
      <c r="F48" s="222"/>
      <c r="G48" s="222"/>
      <c r="H48" s="222"/>
      <c r="I48" s="222"/>
      <c r="J48" s="222"/>
      <c r="K48" s="222"/>
      <c r="L48" s="223"/>
      <c r="M48" s="189" t="s">
        <v>45</v>
      </c>
      <c r="N48" s="184"/>
      <c r="O48" s="185"/>
      <c r="P48" s="189" t="s">
        <v>112</v>
      </c>
      <c r="Q48" s="184"/>
      <c r="R48" s="185"/>
      <c r="S48" s="189">
        <v>12</v>
      </c>
      <c r="T48" s="184"/>
      <c r="U48" s="185"/>
      <c r="V48" s="200" t="s">
        <v>911</v>
      </c>
      <c r="W48" s="201"/>
      <c r="X48" s="201"/>
      <c r="Y48" s="201"/>
      <c r="Z48" s="201"/>
      <c r="AA48" s="224"/>
      <c r="AB48" s="197" t="s">
        <v>111</v>
      </c>
      <c r="AC48" s="198"/>
      <c r="AD48" s="198"/>
      <c r="AE48" s="198"/>
      <c r="AF48" s="198"/>
      <c r="AG48" s="198"/>
      <c r="AH48" s="198"/>
      <c r="AI48" s="198"/>
      <c r="AJ48" s="198"/>
      <c r="AK48" s="198"/>
      <c r="AL48" s="198"/>
      <c r="AM48" s="198"/>
      <c r="AN48" s="198"/>
      <c r="AO48" s="198"/>
      <c r="AP48" s="198"/>
      <c r="AQ48" s="199"/>
      <c r="AR48" s="215" t="s">
        <v>151</v>
      </c>
      <c r="AS48" s="216"/>
      <c r="AT48" s="216"/>
      <c r="AU48" s="216"/>
      <c r="AV48" s="216"/>
      <c r="AW48" s="217"/>
      <c r="AX48" s="200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201"/>
      <c r="BS48" s="201"/>
      <c r="BT48" s="202"/>
      <c r="BU48" s="37"/>
      <c r="BV48" s="36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</row>
    <row r="49" spans="1:85" ht="49.95" customHeight="1" x14ac:dyDescent="0.45">
      <c r="A49" s="25"/>
      <c r="B49" s="40"/>
      <c r="C49" s="25"/>
      <c r="D49" s="33">
        <v>39</v>
      </c>
      <c r="E49" s="221" t="s">
        <v>105</v>
      </c>
      <c r="F49" s="222"/>
      <c r="G49" s="222"/>
      <c r="H49" s="222"/>
      <c r="I49" s="222"/>
      <c r="J49" s="222"/>
      <c r="K49" s="222"/>
      <c r="L49" s="223"/>
      <c r="M49" s="189" t="s">
        <v>45</v>
      </c>
      <c r="N49" s="184"/>
      <c r="O49" s="185"/>
      <c r="P49" s="189" t="s">
        <v>112</v>
      </c>
      <c r="Q49" s="184"/>
      <c r="R49" s="185"/>
      <c r="S49" s="189">
        <v>12</v>
      </c>
      <c r="T49" s="184"/>
      <c r="U49" s="185"/>
      <c r="V49" s="200" t="s">
        <v>929</v>
      </c>
      <c r="W49" s="201"/>
      <c r="X49" s="201"/>
      <c r="Y49" s="201"/>
      <c r="Z49" s="201"/>
      <c r="AA49" s="224"/>
      <c r="AB49" s="218" t="s">
        <v>152</v>
      </c>
      <c r="AC49" s="219"/>
      <c r="AD49" s="219"/>
      <c r="AE49" s="219"/>
      <c r="AF49" s="219"/>
      <c r="AG49" s="219"/>
      <c r="AH49" s="219"/>
      <c r="AI49" s="219"/>
      <c r="AJ49" s="219"/>
      <c r="AK49" s="219"/>
      <c r="AL49" s="219"/>
      <c r="AM49" s="219"/>
      <c r="AN49" s="219"/>
      <c r="AO49" s="219"/>
      <c r="AP49" s="219"/>
      <c r="AQ49" s="220"/>
      <c r="AR49" s="215">
        <v>9999</v>
      </c>
      <c r="AS49" s="216"/>
      <c r="AT49" s="216"/>
      <c r="AU49" s="216"/>
      <c r="AV49" s="216"/>
      <c r="AW49" s="217"/>
      <c r="AX49" s="200" t="s">
        <v>127</v>
      </c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1"/>
      <c r="BK49" s="201"/>
      <c r="BL49" s="201"/>
      <c r="BM49" s="201"/>
      <c r="BN49" s="201"/>
      <c r="BO49" s="201"/>
      <c r="BP49" s="201"/>
      <c r="BQ49" s="201"/>
      <c r="BR49" s="201"/>
      <c r="BS49" s="201"/>
      <c r="BT49" s="202"/>
      <c r="BU49" s="37"/>
      <c r="BV49" s="36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</row>
    <row r="50" spans="1:85" ht="39.6" customHeight="1" x14ac:dyDescent="0.45">
      <c r="A50" s="25"/>
      <c r="B50" s="40"/>
      <c r="C50" s="25"/>
      <c r="D50" s="33">
        <v>40</v>
      </c>
      <c r="E50" s="191" t="s">
        <v>114</v>
      </c>
      <c r="F50" s="192"/>
      <c r="G50" s="192"/>
      <c r="H50" s="192"/>
      <c r="I50" s="192"/>
      <c r="J50" s="192"/>
      <c r="K50" s="192"/>
      <c r="L50" s="193"/>
      <c r="M50" s="189" t="s">
        <v>37</v>
      </c>
      <c r="N50" s="184"/>
      <c r="O50" s="185"/>
      <c r="P50" s="189" t="s">
        <v>113</v>
      </c>
      <c r="Q50" s="184"/>
      <c r="R50" s="185"/>
      <c r="S50" s="189" t="s">
        <v>122</v>
      </c>
      <c r="T50" s="184"/>
      <c r="U50" s="185"/>
      <c r="V50" s="197" t="s">
        <v>930</v>
      </c>
      <c r="W50" s="198"/>
      <c r="X50" s="198"/>
      <c r="Y50" s="198"/>
      <c r="Z50" s="198"/>
      <c r="AA50" s="199"/>
      <c r="AB50" s="218" t="s">
        <v>931</v>
      </c>
      <c r="AC50" s="219"/>
      <c r="AD50" s="219"/>
      <c r="AE50" s="219"/>
      <c r="AF50" s="219"/>
      <c r="AG50" s="219"/>
      <c r="AH50" s="219"/>
      <c r="AI50" s="219"/>
      <c r="AJ50" s="219"/>
      <c r="AK50" s="219"/>
      <c r="AL50" s="219"/>
      <c r="AM50" s="219"/>
      <c r="AN50" s="219"/>
      <c r="AO50" s="219"/>
      <c r="AP50" s="219"/>
      <c r="AQ50" s="220"/>
      <c r="AR50" s="189" t="s">
        <v>121</v>
      </c>
      <c r="AS50" s="184"/>
      <c r="AT50" s="184"/>
      <c r="AU50" s="184"/>
      <c r="AV50" s="184"/>
      <c r="AW50" s="185"/>
      <c r="AX50" s="200"/>
      <c r="AY50" s="201"/>
      <c r="AZ50" s="201"/>
      <c r="BA50" s="201"/>
      <c r="BB50" s="201"/>
      <c r="BC50" s="201"/>
      <c r="BD50" s="201"/>
      <c r="BE50" s="201"/>
      <c r="BF50" s="201"/>
      <c r="BG50" s="201"/>
      <c r="BH50" s="201"/>
      <c r="BI50" s="201"/>
      <c r="BJ50" s="201"/>
      <c r="BK50" s="201"/>
      <c r="BL50" s="201"/>
      <c r="BM50" s="201"/>
      <c r="BN50" s="201"/>
      <c r="BO50" s="201"/>
      <c r="BP50" s="201"/>
      <c r="BQ50" s="201"/>
      <c r="BR50" s="201"/>
      <c r="BS50" s="201"/>
      <c r="BT50" s="202"/>
      <c r="BU50" s="37"/>
      <c r="BV50" s="36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</row>
    <row r="51" spans="1:85" ht="19.5" customHeight="1" thickBot="1" x14ac:dyDescent="0.5">
      <c r="A51" s="25"/>
      <c r="B51" s="40"/>
      <c r="C51" s="25"/>
      <c r="D51" s="33">
        <v>41</v>
      </c>
      <c r="E51" s="209" t="s">
        <v>117</v>
      </c>
      <c r="F51" s="210"/>
      <c r="G51" s="210"/>
      <c r="H51" s="210"/>
      <c r="I51" s="210"/>
      <c r="J51" s="210"/>
      <c r="K51" s="210"/>
      <c r="L51" s="211"/>
      <c r="M51" s="203"/>
      <c r="N51" s="204"/>
      <c r="O51" s="205"/>
      <c r="P51" s="203" t="s">
        <v>112</v>
      </c>
      <c r="Q51" s="204"/>
      <c r="R51" s="205"/>
      <c r="S51" s="203">
        <v>12</v>
      </c>
      <c r="T51" s="204"/>
      <c r="U51" s="205"/>
      <c r="V51" s="212" t="s">
        <v>115</v>
      </c>
      <c r="W51" s="213"/>
      <c r="X51" s="213"/>
      <c r="Y51" s="213"/>
      <c r="Z51" s="213"/>
      <c r="AA51" s="214"/>
      <c r="AB51" s="212" t="s">
        <v>116</v>
      </c>
      <c r="AC51" s="213"/>
      <c r="AD51" s="213"/>
      <c r="AE51" s="213"/>
      <c r="AF51" s="213"/>
      <c r="AG51" s="213"/>
      <c r="AH51" s="213"/>
      <c r="AI51" s="213"/>
      <c r="AJ51" s="213"/>
      <c r="AK51" s="213"/>
      <c r="AL51" s="213"/>
      <c r="AM51" s="213"/>
      <c r="AN51" s="213"/>
      <c r="AO51" s="213"/>
      <c r="AP51" s="213"/>
      <c r="AQ51" s="214"/>
      <c r="AR51" s="203"/>
      <c r="AS51" s="204"/>
      <c r="AT51" s="204"/>
      <c r="AU51" s="204"/>
      <c r="AV51" s="204"/>
      <c r="AW51" s="205"/>
      <c r="AX51" s="206"/>
      <c r="AY51" s="207"/>
      <c r="AZ51" s="207"/>
      <c r="BA51" s="207"/>
      <c r="BB51" s="207"/>
      <c r="BC51" s="207"/>
      <c r="BD51" s="207"/>
      <c r="BE51" s="207"/>
      <c r="BF51" s="207"/>
      <c r="BG51" s="207"/>
      <c r="BH51" s="207"/>
      <c r="BI51" s="207"/>
      <c r="BJ51" s="207"/>
      <c r="BK51" s="207"/>
      <c r="BL51" s="207"/>
      <c r="BM51" s="207"/>
      <c r="BN51" s="207"/>
      <c r="BO51" s="207"/>
      <c r="BP51" s="207"/>
      <c r="BQ51" s="207"/>
      <c r="BR51" s="207"/>
      <c r="BS51" s="207"/>
      <c r="BT51" s="208"/>
      <c r="BU51" s="37"/>
      <c r="BV51" s="36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</row>
    <row r="52" spans="1:85" ht="20.100000000000001" customHeight="1" thickTop="1" thickBot="1" x14ac:dyDescent="0.5">
      <c r="A52" s="25"/>
      <c r="B52" s="36"/>
      <c r="C52" s="25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69"/>
      <c r="AH52" s="69"/>
      <c r="AI52" s="69"/>
      <c r="AJ52" s="69"/>
      <c r="AK52" s="69"/>
      <c r="AL52" s="69"/>
      <c r="AM52" s="69"/>
      <c r="AN52" s="69"/>
      <c r="AO52" s="69"/>
      <c r="AP52" s="69"/>
      <c r="AQ52" s="69"/>
      <c r="AR52" s="69"/>
      <c r="AS52" s="69"/>
      <c r="AT52" s="69"/>
      <c r="AU52" s="69"/>
      <c r="AV52" s="69"/>
      <c r="AW52" s="69"/>
      <c r="AX52" s="69"/>
      <c r="AY52" s="69"/>
      <c r="AZ52" s="69"/>
      <c r="BA52" s="69"/>
      <c r="BB52" s="69"/>
      <c r="BC52" s="69"/>
      <c r="BD52" s="69"/>
      <c r="BE52" s="69"/>
      <c r="BF52" s="69"/>
      <c r="BG52" s="69"/>
      <c r="BH52" s="69"/>
      <c r="BI52" s="69"/>
      <c r="BJ52" s="69"/>
      <c r="BK52" s="69"/>
      <c r="BL52" s="69"/>
      <c r="BM52" s="69"/>
      <c r="BN52" s="69"/>
      <c r="BO52" s="69"/>
      <c r="BP52" s="69"/>
      <c r="BQ52" s="42"/>
      <c r="BR52" s="42"/>
      <c r="BS52" s="42"/>
      <c r="BT52" s="42"/>
      <c r="BU52" s="24"/>
    </row>
    <row r="53" spans="1:85" ht="20.100000000000001" customHeight="1" thickTop="1" x14ac:dyDescent="0.45">
      <c r="A53" s="25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29"/>
      <c r="BD53" s="29"/>
      <c r="BE53" s="29"/>
      <c r="BF53" s="29"/>
      <c r="BG53" s="29"/>
      <c r="BH53" s="29"/>
      <c r="BI53" s="38"/>
      <c r="BJ53" s="38"/>
      <c r="BK53" s="38"/>
      <c r="BL53" s="38"/>
      <c r="BM53" s="38"/>
      <c r="BN53" s="38"/>
      <c r="BO53" s="38"/>
      <c r="BP53" s="37"/>
    </row>
    <row r="54" spans="1:85" ht="20.100000000000001" customHeight="1" x14ac:dyDescent="0.45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</row>
    <row r="55" spans="1:85" ht="20.100000000000001" customHeight="1" x14ac:dyDescent="0.45"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27"/>
      <c r="BH55" s="27"/>
      <c r="BI55" s="27"/>
      <c r="BJ55" s="27"/>
      <c r="BK55" s="27"/>
      <c r="BL55" s="27"/>
      <c r="BM55" s="27"/>
      <c r="BN55" s="27"/>
      <c r="BO55" s="27"/>
      <c r="BP55" s="27"/>
    </row>
    <row r="56" spans="1:85" ht="20.100000000000001" customHeight="1" x14ac:dyDescent="0.45"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27"/>
      <c r="BH56" s="27"/>
      <c r="BI56" s="27"/>
      <c r="BJ56" s="27"/>
      <c r="BK56" s="27"/>
      <c r="BL56" s="27"/>
      <c r="BM56" s="27"/>
      <c r="BN56" s="27"/>
      <c r="BO56" s="27"/>
      <c r="BP56" s="27"/>
    </row>
    <row r="57" spans="1:85" ht="20.100000000000001" customHeight="1" x14ac:dyDescent="0.45"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27"/>
      <c r="BH57" s="27"/>
      <c r="BI57" s="27"/>
      <c r="BJ57" s="27"/>
      <c r="BK57" s="27"/>
      <c r="BL57" s="27"/>
      <c r="BM57" s="27"/>
      <c r="BN57" s="27"/>
      <c r="BO57" s="27"/>
      <c r="BP57" s="27"/>
    </row>
    <row r="58" spans="1:85" ht="20.100000000000001" customHeight="1" x14ac:dyDescent="0.45"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27"/>
      <c r="BH58" s="27"/>
      <c r="BI58" s="27"/>
      <c r="BJ58" s="27"/>
      <c r="BK58" s="27"/>
      <c r="BL58" s="27"/>
      <c r="BM58" s="27"/>
      <c r="BN58" s="27"/>
      <c r="BO58" s="27"/>
      <c r="BP58" s="27"/>
    </row>
    <row r="59" spans="1:85" ht="20.100000000000001" customHeight="1" x14ac:dyDescent="0.45"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27"/>
      <c r="BH59" s="27"/>
      <c r="BI59" s="27"/>
      <c r="BJ59" s="27"/>
      <c r="BK59" s="27"/>
      <c r="BL59" s="27"/>
      <c r="BM59" s="27"/>
      <c r="BN59" s="27"/>
      <c r="BO59" s="27"/>
      <c r="BP59" s="27"/>
    </row>
    <row r="60" spans="1:85" ht="20.100000000000001" customHeight="1" x14ac:dyDescent="0.45"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27"/>
      <c r="BH60" s="27"/>
      <c r="BI60" s="27"/>
      <c r="BJ60" s="27"/>
      <c r="BK60" s="27"/>
      <c r="BL60" s="27"/>
      <c r="BM60" s="27"/>
      <c r="BN60" s="27"/>
      <c r="BO60" s="27"/>
      <c r="BP60" s="27"/>
    </row>
    <row r="61" spans="1:85" ht="20.100000000000001" customHeight="1" x14ac:dyDescent="0.45"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27"/>
      <c r="BH61" s="27"/>
      <c r="BI61" s="27"/>
      <c r="BJ61" s="27"/>
      <c r="BK61" s="27"/>
      <c r="BL61" s="27"/>
      <c r="BM61" s="27"/>
      <c r="BN61" s="27"/>
      <c r="BO61" s="27"/>
      <c r="BP61" s="27"/>
    </row>
    <row r="62" spans="1:85" ht="20.100000000000001" customHeight="1" x14ac:dyDescent="0.45"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27"/>
      <c r="BH62" s="27"/>
      <c r="BI62" s="27"/>
      <c r="BJ62" s="27"/>
      <c r="BK62" s="27"/>
      <c r="BL62" s="27"/>
      <c r="BM62" s="27"/>
      <c r="BN62" s="27"/>
      <c r="BO62" s="27"/>
      <c r="BP62" s="27"/>
    </row>
    <row r="63" spans="1:85" ht="20.100000000000001" customHeight="1" x14ac:dyDescent="0.45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27"/>
      <c r="BH63" s="27"/>
      <c r="BI63" s="27"/>
      <c r="BJ63" s="27"/>
      <c r="BK63" s="27"/>
      <c r="BL63" s="27"/>
      <c r="BM63" s="27"/>
      <c r="BN63" s="27"/>
      <c r="BO63" s="27"/>
      <c r="BP63" s="27"/>
    </row>
    <row r="64" spans="1:85" ht="20.100000000000001" customHeight="1" x14ac:dyDescent="0.45"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27"/>
      <c r="BH64" s="27"/>
      <c r="BI64" s="27"/>
      <c r="BJ64" s="27"/>
      <c r="BK64" s="27"/>
      <c r="BL64" s="27"/>
      <c r="BM64" s="27"/>
      <c r="BN64" s="27"/>
      <c r="BO64" s="27"/>
      <c r="BP64" s="27"/>
    </row>
    <row r="65" spans="1:68" ht="20.100000000000001" customHeight="1" x14ac:dyDescent="0.45"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</row>
    <row r="66" spans="1:68" ht="20.100000000000001" customHeight="1" x14ac:dyDescent="0.45">
      <c r="B66" s="2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</row>
    <row r="67" spans="1:68" ht="20.100000000000001" customHeight="1" x14ac:dyDescent="0.45"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27"/>
      <c r="BP67" s="27"/>
    </row>
    <row r="68" spans="1:68" ht="20.100000000000001" customHeight="1" x14ac:dyDescent="0.45"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27"/>
      <c r="BP68" s="27"/>
    </row>
    <row r="69" spans="1:68" ht="20.100000000000001" customHeight="1" x14ac:dyDescent="0.45"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27"/>
      <c r="BP69" s="27"/>
    </row>
    <row r="70" spans="1:68" ht="20.100000000000001" customHeight="1" x14ac:dyDescent="0.45">
      <c r="A70" s="25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27"/>
      <c r="BP70" s="27"/>
    </row>
    <row r="71" spans="1:68" ht="20.100000000000001" customHeight="1" x14ac:dyDescent="0.45">
      <c r="A71" s="25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27"/>
      <c r="BP71" s="27"/>
    </row>
    <row r="72" spans="1:68" ht="20.100000000000001" customHeight="1" x14ac:dyDescent="0.4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</row>
    <row r="73" spans="1:68" ht="20.100000000000001" customHeight="1" x14ac:dyDescent="0.4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</row>
    <row r="74" spans="1:68" ht="20.100000000000001" customHeight="1" x14ac:dyDescent="0.4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</row>
  </sheetData>
  <mergeCells count="356"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J3:BM4"/>
    <mergeCell ref="E10:L10"/>
    <mergeCell ref="M10:O10"/>
    <mergeCell ref="P10:R10"/>
    <mergeCell ref="S10:U10"/>
    <mergeCell ref="V10:AA10"/>
    <mergeCell ref="AB10:AQ10"/>
    <mergeCell ref="AR10:AW10"/>
    <mergeCell ref="AX10:BT10"/>
    <mergeCell ref="E11:L11"/>
    <mergeCell ref="M11:O11"/>
    <mergeCell ref="P11:R11"/>
    <mergeCell ref="S11:U11"/>
    <mergeCell ref="V11:AA11"/>
    <mergeCell ref="AB11:AQ11"/>
    <mergeCell ref="AR11:AW11"/>
    <mergeCell ref="AX11:BT11"/>
    <mergeCell ref="AR12:AW12"/>
    <mergeCell ref="AX12:BT12"/>
    <mergeCell ref="E13:L13"/>
    <mergeCell ref="M13:O13"/>
    <mergeCell ref="P13:R13"/>
    <mergeCell ref="S13:U13"/>
    <mergeCell ref="V13:AA13"/>
    <mergeCell ref="AB13:AQ13"/>
    <mergeCell ref="AR13:AW13"/>
    <mergeCell ref="AX13:BT13"/>
    <mergeCell ref="E12:L12"/>
    <mergeCell ref="M12:O12"/>
    <mergeCell ref="P12:R12"/>
    <mergeCell ref="S12:U12"/>
    <mergeCell ref="V12:AA12"/>
    <mergeCell ref="AB12:AQ12"/>
    <mergeCell ref="AR14:AW14"/>
    <mergeCell ref="AX14:BT14"/>
    <mergeCell ref="E15:L15"/>
    <mergeCell ref="M15:O15"/>
    <mergeCell ref="P15:R15"/>
    <mergeCell ref="S15:U15"/>
    <mergeCell ref="V15:AA15"/>
    <mergeCell ref="AB15:AQ15"/>
    <mergeCell ref="AR15:AW15"/>
    <mergeCell ref="AX15:BT15"/>
    <mergeCell ref="E14:L14"/>
    <mergeCell ref="M14:O14"/>
    <mergeCell ref="P14:R14"/>
    <mergeCell ref="S14:U14"/>
    <mergeCell ref="V14:AA14"/>
    <mergeCell ref="AB14:AQ14"/>
    <mergeCell ref="AR16:AW16"/>
    <mergeCell ref="AX16:BT16"/>
    <mergeCell ref="E17:L17"/>
    <mergeCell ref="M17:O17"/>
    <mergeCell ref="P17:R17"/>
    <mergeCell ref="S17:U17"/>
    <mergeCell ref="V17:AA17"/>
    <mergeCell ref="AB17:AQ17"/>
    <mergeCell ref="AR17:AW17"/>
    <mergeCell ref="AX17:BT17"/>
    <mergeCell ref="E16:L16"/>
    <mergeCell ref="M16:O16"/>
    <mergeCell ref="P16:R16"/>
    <mergeCell ref="S16:U16"/>
    <mergeCell ref="V16:AA16"/>
    <mergeCell ref="AB16:AQ16"/>
    <mergeCell ref="AR18:AW18"/>
    <mergeCell ref="AX18:BT18"/>
    <mergeCell ref="E19:L19"/>
    <mergeCell ref="M19:O19"/>
    <mergeCell ref="P19:R19"/>
    <mergeCell ref="S19:U19"/>
    <mergeCell ref="V19:AA19"/>
    <mergeCell ref="AB19:AQ19"/>
    <mergeCell ref="AR19:AW19"/>
    <mergeCell ref="AX19:BT19"/>
    <mergeCell ref="E18:L18"/>
    <mergeCell ref="M18:O18"/>
    <mergeCell ref="P18:R18"/>
    <mergeCell ref="S18:U18"/>
    <mergeCell ref="V18:AA18"/>
    <mergeCell ref="AB18:AQ18"/>
    <mergeCell ref="AR20:AW20"/>
    <mergeCell ref="AX20:BT20"/>
    <mergeCell ref="E21:L21"/>
    <mergeCell ref="M21:O21"/>
    <mergeCell ref="P21:R21"/>
    <mergeCell ref="S21:U21"/>
    <mergeCell ref="V21:AA21"/>
    <mergeCell ref="AB21:AQ21"/>
    <mergeCell ref="AR21:AW21"/>
    <mergeCell ref="AX21:BT21"/>
    <mergeCell ref="E20:L20"/>
    <mergeCell ref="M20:O20"/>
    <mergeCell ref="P20:R20"/>
    <mergeCell ref="S20:U20"/>
    <mergeCell ref="V20:AA20"/>
    <mergeCell ref="AB20:AQ20"/>
    <mergeCell ref="AR22:AW22"/>
    <mergeCell ref="AX22:BT22"/>
    <mergeCell ref="E23:L23"/>
    <mergeCell ref="M23:O23"/>
    <mergeCell ref="P23:R23"/>
    <mergeCell ref="S23:U23"/>
    <mergeCell ref="V23:AA23"/>
    <mergeCell ref="AB23:AQ23"/>
    <mergeCell ref="AR23:AW23"/>
    <mergeCell ref="AX23:BT23"/>
    <mergeCell ref="E22:L22"/>
    <mergeCell ref="M22:O22"/>
    <mergeCell ref="P22:R22"/>
    <mergeCell ref="S22:U22"/>
    <mergeCell ref="V22:AA22"/>
    <mergeCell ref="AB22:AQ22"/>
    <mergeCell ref="AR24:AW24"/>
    <mergeCell ref="AX24:BT24"/>
    <mergeCell ref="E25:L25"/>
    <mergeCell ref="M25:O25"/>
    <mergeCell ref="P25:R25"/>
    <mergeCell ref="S25:U25"/>
    <mergeCell ref="V25:AA25"/>
    <mergeCell ref="AB25:AQ25"/>
    <mergeCell ref="AR25:AW25"/>
    <mergeCell ref="AX25:BT25"/>
    <mergeCell ref="E24:L24"/>
    <mergeCell ref="M24:O24"/>
    <mergeCell ref="P24:R24"/>
    <mergeCell ref="S24:U24"/>
    <mergeCell ref="V24:AA24"/>
    <mergeCell ref="AB24:AQ24"/>
    <mergeCell ref="AR26:AW26"/>
    <mergeCell ref="AX26:BT26"/>
    <mergeCell ref="E27:L27"/>
    <mergeCell ref="M27:O27"/>
    <mergeCell ref="P27:R27"/>
    <mergeCell ref="S27:U27"/>
    <mergeCell ref="V27:AA27"/>
    <mergeCell ref="AB27:AQ27"/>
    <mergeCell ref="AR27:AW27"/>
    <mergeCell ref="AX27:BT27"/>
    <mergeCell ref="E26:L26"/>
    <mergeCell ref="M26:O26"/>
    <mergeCell ref="P26:R26"/>
    <mergeCell ref="S26:U26"/>
    <mergeCell ref="V26:AA26"/>
    <mergeCell ref="AB26:AQ26"/>
    <mergeCell ref="AR28:AW28"/>
    <mergeCell ref="AX28:BT28"/>
    <mergeCell ref="E29:L29"/>
    <mergeCell ref="M29:O29"/>
    <mergeCell ref="P29:R29"/>
    <mergeCell ref="S29:U29"/>
    <mergeCell ref="V29:AA29"/>
    <mergeCell ref="AB29:AQ29"/>
    <mergeCell ref="AR29:AW29"/>
    <mergeCell ref="AX29:BT29"/>
    <mergeCell ref="E28:L28"/>
    <mergeCell ref="M28:O28"/>
    <mergeCell ref="P28:R28"/>
    <mergeCell ref="S28:U28"/>
    <mergeCell ref="V28:AA28"/>
    <mergeCell ref="AB28:AQ28"/>
    <mergeCell ref="AR30:AW30"/>
    <mergeCell ref="AX30:BT30"/>
    <mergeCell ref="E31:L31"/>
    <mergeCell ref="M31:O31"/>
    <mergeCell ref="P31:R31"/>
    <mergeCell ref="S31:U31"/>
    <mergeCell ref="V31:AA31"/>
    <mergeCell ref="AB31:AQ31"/>
    <mergeCell ref="AR31:AW31"/>
    <mergeCell ref="AX31:BT31"/>
    <mergeCell ref="E30:L30"/>
    <mergeCell ref="M30:O30"/>
    <mergeCell ref="P30:R30"/>
    <mergeCell ref="S30:U30"/>
    <mergeCell ref="V30:AA30"/>
    <mergeCell ref="AB30:AQ30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E33:L33"/>
    <mergeCell ref="M33:O33"/>
    <mergeCell ref="P33:R33"/>
    <mergeCell ref="S33:U33"/>
    <mergeCell ref="V33:AA33"/>
    <mergeCell ref="AB33:AQ33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5:L35"/>
    <mergeCell ref="M35:O35"/>
    <mergeCell ref="P35:R35"/>
    <mergeCell ref="S35:U35"/>
    <mergeCell ref="V35:AA35"/>
    <mergeCell ref="AB35:AQ35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7:L37"/>
    <mergeCell ref="M37:O37"/>
    <mergeCell ref="P37:R37"/>
    <mergeCell ref="S37:U37"/>
    <mergeCell ref="V37:AA37"/>
    <mergeCell ref="AB37:AQ37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39:L39"/>
    <mergeCell ref="M39:O39"/>
    <mergeCell ref="P39:R39"/>
    <mergeCell ref="S39:U39"/>
    <mergeCell ref="V39:AA39"/>
    <mergeCell ref="AB39:AQ39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41:L41"/>
    <mergeCell ref="M41:O41"/>
    <mergeCell ref="P41:R41"/>
    <mergeCell ref="S41:U41"/>
    <mergeCell ref="V41:AA41"/>
    <mergeCell ref="AB41:AQ41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3:L43"/>
    <mergeCell ref="M43:O43"/>
    <mergeCell ref="P43:R43"/>
    <mergeCell ref="S43:U43"/>
    <mergeCell ref="V43:AA43"/>
    <mergeCell ref="AB43:AQ43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45:L45"/>
    <mergeCell ref="M45:O45"/>
    <mergeCell ref="P45:R45"/>
    <mergeCell ref="S45:U45"/>
    <mergeCell ref="V45:AA45"/>
    <mergeCell ref="AB45:AQ45"/>
    <mergeCell ref="AR50:AW50"/>
    <mergeCell ref="AX50:BT50"/>
    <mergeCell ref="E49:L49"/>
    <mergeCell ref="M49:O49"/>
    <mergeCell ref="P49:R49"/>
    <mergeCell ref="S49:U49"/>
    <mergeCell ref="V49:AA49"/>
    <mergeCell ref="AB49:AQ49"/>
    <mergeCell ref="AR47:AW47"/>
    <mergeCell ref="AX47:BT47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47:L47"/>
    <mergeCell ref="M47:O47"/>
    <mergeCell ref="P47:R47"/>
    <mergeCell ref="S47:U47"/>
    <mergeCell ref="V47:AA47"/>
    <mergeCell ref="AB47:AQ47"/>
    <mergeCell ref="E32:L32"/>
    <mergeCell ref="M32:O32"/>
    <mergeCell ref="P32:R32"/>
    <mergeCell ref="S32:U32"/>
    <mergeCell ref="V32:AA32"/>
    <mergeCell ref="AB32:AQ32"/>
    <mergeCell ref="AR32:AW32"/>
    <mergeCell ref="AX32:BT32"/>
    <mergeCell ref="AR51:AW51"/>
    <mergeCell ref="AX51:BT51"/>
    <mergeCell ref="E51:L51"/>
    <mergeCell ref="M51:O51"/>
    <mergeCell ref="P51:R51"/>
    <mergeCell ref="S51:U51"/>
    <mergeCell ref="V51:AA51"/>
    <mergeCell ref="AB51:AQ51"/>
    <mergeCell ref="AR49:AW49"/>
    <mergeCell ref="AX49:BT49"/>
    <mergeCell ref="E50:L50"/>
    <mergeCell ref="M50:O50"/>
    <mergeCell ref="P50:R50"/>
    <mergeCell ref="S50:U50"/>
    <mergeCell ref="V50:AA50"/>
    <mergeCell ref="AB50:AQ50"/>
  </mergeCells>
  <phoneticPr fontId="2"/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'\\192.168.10.37\share\02_開発\【YJY】2023_三和商研受発注システム開発\03_基本設計\02_帳票設計\[MH0400_見積書出力_帳票設計書.xlsx]参照'!#REF!</xm:f>
          </x14:formula1>
          <xm:sqref>M11:O51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M1194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thickBot="1" x14ac:dyDescent="0.5">
      <c r="B2" s="253" t="s">
        <v>0</v>
      </c>
      <c r="C2" s="254"/>
      <c r="D2" s="254"/>
      <c r="E2" s="254"/>
      <c r="F2" s="254"/>
      <c r="G2" s="254"/>
      <c r="H2" s="254" t="s">
        <v>16</v>
      </c>
      <c r="I2" s="254"/>
      <c r="J2" s="254"/>
      <c r="K2" s="254"/>
      <c r="L2" s="254" t="s">
        <v>935</v>
      </c>
      <c r="M2" s="254"/>
      <c r="N2" s="254"/>
      <c r="O2" s="254"/>
      <c r="P2" s="254"/>
      <c r="Q2" s="254"/>
      <c r="R2" s="254" t="s">
        <v>1</v>
      </c>
      <c r="S2" s="254"/>
      <c r="T2" s="254"/>
      <c r="U2" s="254"/>
      <c r="V2" s="254"/>
      <c r="W2" s="254"/>
      <c r="X2" s="255" t="s">
        <v>2</v>
      </c>
      <c r="Y2" s="256"/>
      <c r="Z2" s="256"/>
      <c r="AA2" s="256"/>
      <c r="AB2" s="256"/>
      <c r="AC2" s="256"/>
      <c r="AD2" s="256"/>
      <c r="AE2" s="256"/>
      <c r="AF2" s="256"/>
      <c r="AG2" s="256"/>
      <c r="AH2" s="256"/>
      <c r="AI2" s="256"/>
      <c r="AJ2" s="257"/>
      <c r="AK2" s="255" t="s">
        <v>31</v>
      </c>
      <c r="AL2" s="256"/>
      <c r="AM2" s="256"/>
      <c r="AN2" s="256"/>
      <c r="AO2" s="256"/>
      <c r="AP2" s="256"/>
      <c r="AQ2" s="256"/>
      <c r="AR2" s="256"/>
      <c r="AS2" s="256"/>
      <c r="AT2" s="256"/>
      <c r="AU2" s="256"/>
      <c r="AV2" s="256"/>
      <c r="AW2" s="257"/>
      <c r="AX2" s="254" t="s">
        <v>4</v>
      </c>
      <c r="AY2" s="254"/>
      <c r="AZ2" s="254"/>
      <c r="BA2" s="254"/>
      <c r="BB2" s="254" t="s">
        <v>3</v>
      </c>
      <c r="BC2" s="254"/>
      <c r="BD2" s="254"/>
      <c r="BE2" s="254"/>
      <c r="BF2" s="254" t="s">
        <v>5</v>
      </c>
      <c r="BG2" s="254"/>
      <c r="BH2" s="254"/>
      <c r="BI2" s="254"/>
      <c r="BJ2" s="254" t="s">
        <v>6</v>
      </c>
      <c r="BK2" s="254"/>
      <c r="BL2" s="254"/>
      <c r="BM2" s="266"/>
    </row>
    <row r="3" spans="2:65" ht="20.100000000000001" customHeight="1" x14ac:dyDescent="0.45">
      <c r="B3" s="258" t="str">
        <f>変更履歴!B3</f>
        <v>受発注システム</v>
      </c>
      <c r="C3" s="259"/>
      <c r="D3" s="259"/>
      <c r="E3" s="259"/>
      <c r="F3" s="259"/>
      <c r="G3" s="259"/>
      <c r="H3" s="259" t="str">
        <f ca="1">変更履歴!H3</f>
        <v>MH1100</v>
      </c>
      <c r="I3" s="259"/>
      <c r="J3" s="259"/>
      <c r="K3" s="259"/>
      <c r="L3" s="259" t="str">
        <f>変更履歴!L3</f>
        <v>受発注</v>
      </c>
      <c r="M3" s="259"/>
      <c r="N3" s="259"/>
      <c r="O3" s="259"/>
      <c r="P3" s="259"/>
      <c r="Q3" s="259"/>
      <c r="R3" s="259" t="str">
        <f ca="1">変更履歴!R3</f>
        <v>帳票設計書</v>
      </c>
      <c r="S3" s="259"/>
      <c r="T3" s="259"/>
      <c r="U3" s="259"/>
      <c r="V3" s="259"/>
      <c r="W3" s="259"/>
      <c r="X3" s="247" t="str">
        <f ca="1">変更履歴!X3</f>
        <v>MH1100_見積書(コーセー専用)_帳票設計書</v>
      </c>
      <c r="Y3" s="248"/>
      <c r="Z3" s="248"/>
      <c r="AA3" s="248"/>
      <c r="AB3" s="248"/>
      <c r="AC3" s="248"/>
      <c r="AD3" s="248"/>
      <c r="AE3" s="248"/>
      <c r="AF3" s="248"/>
      <c r="AG3" s="248"/>
      <c r="AH3" s="248"/>
      <c r="AI3" s="248"/>
      <c r="AJ3" s="249"/>
      <c r="AK3" s="247" t="str">
        <f ca="1">変更履歴!AK3</f>
        <v>見積書(コーセー専用)</v>
      </c>
      <c r="AL3" s="248"/>
      <c r="AM3" s="248"/>
      <c r="AN3" s="248"/>
      <c r="AO3" s="248"/>
      <c r="AP3" s="248"/>
      <c r="AQ3" s="248"/>
      <c r="AR3" s="248"/>
      <c r="AS3" s="248"/>
      <c r="AT3" s="248"/>
      <c r="AU3" s="248"/>
      <c r="AV3" s="248"/>
      <c r="AW3" s="249"/>
      <c r="AX3" s="262">
        <f>変更履歴!AX3</f>
        <v>45581</v>
      </c>
      <c r="AY3" s="262"/>
      <c r="AZ3" s="262"/>
      <c r="BA3" s="262"/>
      <c r="BB3" s="259" t="str">
        <f>変更履歴!BB3</f>
        <v>大谷</v>
      </c>
      <c r="BC3" s="259"/>
      <c r="BD3" s="259"/>
      <c r="BE3" s="259"/>
      <c r="BF3" s="262">
        <f>変更履歴!BF3</f>
        <v>45581</v>
      </c>
      <c r="BG3" s="262"/>
      <c r="BH3" s="262"/>
      <c r="BI3" s="262"/>
      <c r="BJ3" s="259" t="str">
        <f>変更履歴!BJ3</f>
        <v>大谷</v>
      </c>
      <c r="BK3" s="259"/>
      <c r="BL3" s="259"/>
      <c r="BM3" s="264"/>
    </row>
    <row r="4" spans="2:65" ht="20.100000000000001" customHeight="1" thickBot="1" x14ac:dyDescent="0.5">
      <c r="B4" s="260"/>
      <c r="C4" s="261"/>
      <c r="D4" s="261"/>
      <c r="E4" s="261"/>
      <c r="F4" s="261"/>
      <c r="G4" s="261"/>
      <c r="H4" s="261"/>
      <c r="I4" s="261"/>
      <c r="J4" s="261"/>
      <c r="K4" s="261"/>
      <c r="L4" s="261"/>
      <c r="M4" s="261"/>
      <c r="N4" s="261"/>
      <c r="O4" s="261"/>
      <c r="P4" s="261"/>
      <c r="Q4" s="261"/>
      <c r="R4" s="261"/>
      <c r="S4" s="261"/>
      <c r="T4" s="261"/>
      <c r="U4" s="261"/>
      <c r="V4" s="261"/>
      <c r="W4" s="261"/>
      <c r="X4" s="250"/>
      <c r="Y4" s="251"/>
      <c r="Z4" s="251"/>
      <c r="AA4" s="251"/>
      <c r="AB4" s="251"/>
      <c r="AC4" s="251"/>
      <c r="AD4" s="251"/>
      <c r="AE4" s="251"/>
      <c r="AF4" s="251"/>
      <c r="AG4" s="251"/>
      <c r="AH4" s="251"/>
      <c r="AI4" s="251"/>
      <c r="AJ4" s="252"/>
      <c r="AK4" s="250"/>
      <c r="AL4" s="251"/>
      <c r="AM4" s="251"/>
      <c r="AN4" s="251"/>
      <c r="AO4" s="251"/>
      <c r="AP4" s="251"/>
      <c r="AQ4" s="251"/>
      <c r="AR4" s="251"/>
      <c r="AS4" s="251"/>
      <c r="AT4" s="251"/>
      <c r="AU4" s="251"/>
      <c r="AV4" s="251"/>
      <c r="AW4" s="252"/>
      <c r="AX4" s="263"/>
      <c r="AY4" s="263"/>
      <c r="AZ4" s="263"/>
      <c r="BA4" s="263"/>
      <c r="BB4" s="261"/>
      <c r="BC4" s="261"/>
      <c r="BD4" s="261"/>
      <c r="BE4" s="261"/>
      <c r="BF4" s="263"/>
      <c r="BG4" s="263"/>
      <c r="BH4" s="263"/>
      <c r="BI4" s="263"/>
      <c r="BJ4" s="261"/>
      <c r="BK4" s="261"/>
      <c r="BL4" s="261"/>
      <c r="BM4" s="265"/>
    </row>
    <row r="5" spans="2:65" ht="5.0999999999999996" customHeight="1" thickBot="1" x14ac:dyDescent="0.5"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  <c r="BI5" s="125"/>
    </row>
    <row r="6" spans="2:65" ht="20.100000000000001" customHeight="1" x14ac:dyDescent="0.45">
      <c r="B6" s="124" t="s">
        <v>162</v>
      </c>
      <c r="C6" s="125"/>
      <c r="D6" s="125"/>
      <c r="E6" s="125"/>
      <c r="F6" s="125"/>
      <c r="G6" s="126"/>
      <c r="H6" s="127" t="s">
        <v>158</v>
      </c>
      <c r="I6" s="125"/>
      <c r="J6" s="128" t="s">
        <v>163</v>
      </c>
      <c r="K6" s="129"/>
      <c r="L6" s="129"/>
      <c r="M6" s="129"/>
      <c r="N6" s="129"/>
      <c r="O6" s="129"/>
      <c r="P6" s="129"/>
      <c r="Q6" s="130"/>
      <c r="R6" s="129" t="s">
        <v>164</v>
      </c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30"/>
      <c r="AK6" s="131"/>
      <c r="AL6" s="125"/>
      <c r="AM6" s="125"/>
      <c r="AN6" s="125"/>
      <c r="AO6" s="125"/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5"/>
      <c r="BD6" s="125"/>
      <c r="BE6" s="125"/>
      <c r="BF6" s="125"/>
      <c r="BG6" s="125"/>
      <c r="BH6" s="125"/>
      <c r="BI6" s="132"/>
    </row>
    <row r="7" spans="2:65" ht="20.100000000000001" customHeight="1" x14ac:dyDescent="0.45">
      <c r="B7" s="133"/>
      <c r="C7" s="27"/>
      <c r="D7" s="27"/>
      <c r="E7" s="27"/>
      <c r="F7" s="27"/>
      <c r="G7" s="134"/>
      <c r="H7" s="135"/>
      <c r="I7" s="27"/>
      <c r="J7" s="136" t="s">
        <v>165</v>
      </c>
      <c r="K7" s="48"/>
      <c r="L7" s="48"/>
      <c r="M7" s="48"/>
      <c r="N7" s="48"/>
      <c r="O7" s="48"/>
      <c r="P7" s="48"/>
      <c r="Q7" s="137"/>
      <c r="R7" s="48" t="s">
        <v>166</v>
      </c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137"/>
      <c r="AK7" s="138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139"/>
    </row>
    <row r="8" spans="2:65" ht="20.100000000000001" customHeight="1" x14ac:dyDescent="0.45">
      <c r="B8" s="133"/>
      <c r="C8" s="27"/>
      <c r="D8" s="27"/>
      <c r="E8" s="27"/>
      <c r="F8" s="27"/>
      <c r="G8" s="134"/>
      <c r="H8" s="135"/>
      <c r="I8" s="27"/>
      <c r="J8" s="136" t="s">
        <v>167</v>
      </c>
      <c r="K8" s="48"/>
      <c r="L8" s="48"/>
      <c r="M8" s="48"/>
      <c r="N8" s="48"/>
      <c r="O8" s="48"/>
      <c r="P8" s="48"/>
      <c r="Q8" s="137"/>
      <c r="R8" s="48" t="s">
        <v>168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137"/>
      <c r="AK8" s="138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139"/>
    </row>
    <row r="9" spans="2:65" ht="20.100000000000001" customHeight="1" x14ac:dyDescent="0.45">
      <c r="B9" s="133"/>
      <c r="C9" s="27"/>
      <c r="D9" s="27"/>
      <c r="E9" s="27"/>
      <c r="F9" s="27"/>
      <c r="G9" s="134"/>
      <c r="H9" s="135"/>
      <c r="I9" s="27"/>
      <c r="J9" s="136" t="s">
        <v>169</v>
      </c>
      <c r="K9" s="48"/>
      <c r="L9" s="48"/>
      <c r="M9" s="48"/>
      <c r="N9" s="48"/>
      <c r="O9" s="48"/>
      <c r="P9" s="48"/>
      <c r="Q9" s="137"/>
      <c r="R9" s="48" t="s">
        <v>170</v>
      </c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137"/>
      <c r="AK9" s="138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139"/>
    </row>
    <row r="10" spans="2:65" ht="20.100000000000001" customHeight="1" x14ac:dyDescent="0.45">
      <c r="B10" s="133"/>
      <c r="C10" s="27"/>
      <c r="D10" s="27"/>
      <c r="E10" s="27"/>
      <c r="F10" s="27"/>
      <c r="G10" s="134"/>
      <c r="H10" s="27"/>
      <c r="I10" s="27"/>
      <c r="J10" s="136" t="s">
        <v>171</v>
      </c>
      <c r="K10" s="48"/>
      <c r="L10" s="48"/>
      <c r="M10" s="48"/>
      <c r="N10" s="48"/>
      <c r="O10" s="48"/>
      <c r="P10" s="48"/>
      <c r="Q10" s="137"/>
      <c r="R10" s="48" t="s">
        <v>172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137"/>
      <c r="AK10" s="138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139"/>
    </row>
    <row r="11" spans="2:65" ht="20.100000000000001" customHeight="1" x14ac:dyDescent="0.45">
      <c r="B11" s="133"/>
      <c r="C11" s="27"/>
      <c r="D11" s="27"/>
      <c r="E11" s="27"/>
      <c r="F11" s="27"/>
      <c r="G11" s="134"/>
      <c r="H11" s="27"/>
      <c r="I11" s="27"/>
      <c r="J11" s="136" t="s">
        <v>173</v>
      </c>
      <c r="K11" s="48"/>
      <c r="L11" s="48"/>
      <c r="M11" s="48"/>
      <c r="N11" s="48"/>
      <c r="O11" s="48"/>
      <c r="P11" s="48"/>
      <c r="Q11" s="137"/>
      <c r="R11" s="48" t="s">
        <v>174</v>
      </c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137"/>
      <c r="AK11" s="138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139"/>
    </row>
    <row r="12" spans="2:65" ht="20.100000000000001" customHeight="1" x14ac:dyDescent="0.45">
      <c r="B12" s="133"/>
      <c r="C12" s="27"/>
      <c r="D12" s="27"/>
      <c r="E12" s="27"/>
      <c r="F12" s="27"/>
      <c r="G12" s="134"/>
      <c r="H12" s="27"/>
      <c r="I12" s="27"/>
      <c r="J12" s="136" t="s">
        <v>175</v>
      </c>
      <c r="K12" s="48"/>
      <c r="L12" s="48"/>
      <c r="M12" s="48"/>
      <c r="N12" s="48"/>
      <c r="O12" s="48"/>
      <c r="P12" s="48"/>
      <c r="Q12" s="137"/>
      <c r="R12" s="48" t="s">
        <v>176</v>
      </c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137"/>
      <c r="AK12" s="138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139"/>
    </row>
    <row r="13" spans="2:65" ht="20.100000000000001" customHeight="1" x14ac:dyDescent="0.45">
      <c r="B13" s="133"/>
      <c r="C13" s="27"/>
      <c r="D13" s="27"/>
      <c r="E13" s="27"/>
      <c r="F13" s="27"/>
      <c r="G13" s="134"/>
      <c r="I13" s="27"/>
      <c r="J13" s="136" t="s">
        <v>177</v>
      </c>
      <c r="K13" s="48"/>
      <c r="L13" s="48"/>
      <c r="M13" s="48"/>
      <c r="N13" s="48"/>
      <c r="O13" s="48"/>
      <c r="P13" s="48"/>
      <c r="Q13" s="137"/>
      <c r="R13" s="48" t="s">
        <v>178</v>
      </c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137"/>
      <c r="AK13" s="138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139"/>
    </row>
    <row r="14" spans="2:65" ht="20.100000000000001" customHeight="1" x14ac:dyDescent="0.45">
      <c r="B14" s="133"/>
      <c r="C14" s="27"/>
      <c r="D14" s="27"/>
      <c r="E14" s="27"/>
      <c r="F14" s="27"/>
      <c r="G14" s="134"/>
      <c r="I14" s="27"/>
      <c r="J14" s="136" t="s">
        <v>179</v>
      </c>
      <c r="K14" s="48"/>
      <c r="L14" s="48"/>
      <c r="M14" s="48"/>
      <c r="N14" s="48"/>
      <c r="O14" s="48"/>
      <c r="P14" s="48"/>
      <c r="Q14" s="137"/>
      <c r="R14" s="48" t="s">
        <v>180</v>
      </c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137"/>
      <c r="AK14" s="138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139"/>
    </row>
    <row r="15" spans="2:65" ht="20.100000000000001" customHeight="1" x14ac:dyDescent="0.45">
      <c r="B15" s="133"/>
      <c r="C15" s="27"/>
      <c r="D15" s="27"/>
      <c r="E15" s="27"/>
      <c r="F15" s="27"/>
      <c r="G15" s="134"/>
      <c r="H15" s="140" t="s">
        <v>159</v>
      </c>
      <c r="I15" s="51"/>
      <c r="J15" s="140" t="s">
        <v>181</v>
      </c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14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142"/>
    </row>
    <row r="16" spans="2:65" ht="20.100000000000001" customHeight="1" thickBot="1" x14ac:dyDescent="0.5">
      <c r="B16" s="143"/>
      <c r="C16" s="27"/>
      <c r="D16" s="27"/>
      <c r="E16" s="27"/>
      <c r="F16" s="27"/>
      <c r="G16" s="134"/>
      <c r="H16" s="140" t="s">
        <v>161</v>
      </c>
      <c r="I16" s="51"/>
      <c r="J16" s="140" t="s">
        <v>182</v>
      </c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14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142"/>
    </row>
    <row r="17" spans="2:61" ht="20.100000000000001" customHeight="1" x14ac:dyDescent="0.45">
      <c r="B17" s="124" t="s">
        <v>183</v>
      </c>
      <c r="C17" s="125"/>
      <c r="D17" s="125"/>
      <c r="E17" s="125"/>
      <c r="F17" s="125"/>
      <c r="G17" s="126"/>
      <c r="H17" s="127" t="s">
        <v>158</v>
      </c>
      <c r="I17" s="125"/>
      <c r="J17" s="128" t="s">
        <v>184</v>
      </c>
      <c r="K17" s="129"/>
      <c r="L17" s="129"/>
      <c r="M17" s="129"/>
      <c r="N17" s="129"/>
      <c r="O17" s="129"/>
      <c r="P17" s="129"/>
      <c r="Q17" s="130"/>
      <c r="R17" s="129" t="s">
        <v>185</v>
      </c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30"/>
      <c r="AK17" s="131"/>
      <c r="AL17" s="125"/>
      <c r="AM17" s="125"/>
      <c r="AN17" s="125"/>
      <c r="AO17" s="125"/>
      <c r="AP17" s="125"/>
      <c r="AQ17" s="125"/>
      <c r="AR17" s="125"/>
      <c r="AS17" s="125"/>
      <c r="AT17" s="125"/>
      <c r="AU17" s="125"/>
      <c r="AV17" s="125"/>
      <c r="AW17" s="125"/>
      <c r="AX17" s="125"/>
      <c r="AY17" s="125"/>
      <c r="AZ17" s="125"/>
      <c r="BA17" s="125"/>
      <c r="BB17" s="125"/>
      <c r="BC17" s="125"/>
      <c r="BD17" s="125"/>
      <c r="BE17" s="125"/>
      <c r="BF17" s="125"/>
      <c r="BG17" s="125"/>
      <c r="BH17" s="125"/>
      <c r="BI17" s="132"/>
    </row>
    <row r="18" spans="2:61" ht="20.100000000000001" customHeight="1" x14ac:dyDescent="0.45">
      <c r="B18" s="133"/>
      <c r="C18" s="27"/>
      <c r="D18" s="27"/>
      <c r="E18" s="27"/>
      <c r="F18" s="27"/>
      <c r="G18" s="134"/>
      <c r="H18" s="135"/>
      <c r="I18" s="27"/>
      <c r="J18" s="136" t="s">
        <v>186</v>
      </c>
      <c r="K18" s="48"/>
      <c r="L18" s="48"/>
      <c r="M18" s="48"/>
      <c r="N18" s="48"/>
      <c r="O18" s="48"/>
      <c r="P18" s="48"/>
      <c r="Q18" s="137"/>
      <c r="R18" s="48" t="s">
        <v>187</v>
      </c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137"/>
      <c r="AK18" s="138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139"/>
    </row>
    <row r="19" spans="2:61" ht="20.100000000000001" customHeight="1" x14ac:dyDescent="0.45">
      <c r="B19" s="133"/>
      <c r="C19" s="27"/>
      <c r="D19" s="27"/>
      <c r="E19" s="27"/>
      <c r="F19" s="27"/>
      <c r="G19" s="134"/>
      <c r="H19" s="140" t="s">
        <v>159</v>
      </c>
      <c r="I19" s="51"/>
      <c r="J19" s="140" t="s">
        <v>188</v>
      </c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14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142"/>
    </row>
    <row r="20" spans="2:61" ht="20.100000000000001" customHeight="1" x14ac:dyDescent="0.45">
      <c r="B20" s="143"/>
      <c r="C20" s="27"/>
      <c r="D20" s="27"/>
      <c r="E20" s="27"/>
      <c r="F20" s="27"/>
      <c r="G20" s="134"/>
      <c r="H20" s="140" t="s">
        <v>161</v>
      </c>
      <c r="I20" s="51"/>
      <c r="J20" s="140" t="s">
        <v>189</v>
      </c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14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142"/>
    </row>
    <row r="21" spans="2:61" ht="20.100000000000001" customHeight="1" thickBot="1" x14ac:dyDescent="0.5">
      <c r="B21" s="153"/>
      <c r="C21" s="150"/>
      <c r="D21" s="150"/>
      <c r="E21" s="150"/>
      <c r="F21" s="150"/>
      <c r="G21" s="154"/>
      <c r="H21" s="149"/>
      <c r="I21" s="150"/>
      <c r="J21" s="149" t="s">
        <v>190</v>
      </c>
      <c r="K21" s="150"/>
      <c r="L21" s="150"/>
      <c r="M21" s="150"/>
      <c r="N21" s="150"/>
      <c r="O21" s="150"/>
      <c r="P21" s="150"/>
      <c r="Q21" s="150"/>
      <c r="R21" s="150"/>
      <c r="S21" s="150"/>
      <c r="T21" s="150"/>
      <c r="U21" s="150"/>
      <c r="V21" s="150"/>
      <c r="W21" s="150"/>
      <c r="X21" s="150"/>
      <c r="Y21" s="150"/>
      <c r="Z21" s="150"/>
      <c r="AA21" s="150"/>
      <c r="AB21" s="150"/>
      <c r="AC21" s="150"/>
      <c r="AD21" s="150"/>
      <c r="AE21" s="150"/>
      <c r="AF21" s="150"/>
      <c r="AG21" s="150"/>
      <c r="AH21" s="150"/>
      <c r="AI21" s="150"/>
      <c r="AJ21" s="150"/>
      <c r="AK21" s="151"/>
      <c r="AL21" s="150"/>
      <c r="AM21" s="150"/>
      <c r="AN21" s="150"/>
      <c r="AO21" s="150"/>
      <c r="AP21" s="150"/>
      <c r="AQ21" s="150"/>
      <c r="AR21" s="150"/>
      <c r="AS21" s="150"/>
      <c r="AT21" s="150"/>
      <c r="AU21" s="150"/>
      <c r="AV21" s="150"/>
      <c r="AW21" s="150"/>
      <c r="AX21" s="150"/>
      <c r="AY21" s="150"/>
      <c r="AZ21" s="150"/>
      <c r="BA21" s="150"/>
      <c r="BB21" s="150"/>
      <c r="BC21" s="150"/>
      <c r="BD21" s="150"/>
      <c r="BE21" s="150"/>
      <c r="BF21" s="150"/>
      <c r="BG21" s="150"/>
      <c r="BH21" s="150"/>
      <c r="BI21" s="152"/>
    </row>
    <row r="22" spans="2:61" ht="20.100000000000001" customHeight="1" x14ac:dyDescent="0.45">
      <c r="B22" s="124" t="s">
        <v>191</v>
      </c>
      <c r="C22" s="125"/>
      <c r="D22" s="125"/>
      <c r="E22" s="125"/>
      <c r="F22" s="125"/>
      <c r="G22" s="126"/>
      <c r="H22" s="127" t="s">
        <v>158</v>
      </c>
      <c r="I22" s="125"/>
      <c r="J22" s="155" t="s">
        <v>192</v>
      </c>
      <c r="K22" s="129"/>
      <c r="L22" s="129"/>
      <c r="M22" s="129"/>
      <c r="N22" s="129"/>
      <c r="O22" s="129"/>
      <c r="P22" s="129"/>
      <c r="Q22" s="130"/>
      <c r="R22" s="129" t="s">
        <v>193</v>
      </c>
      <c r="S22" s="129"/>
      <c r="T22" s="129"/>
      <c r="U22" s="129"/>
      <c r="V22" s="129"/>
      <c r="W22" s="129"/>
      <c r="X22" s="129"/>
      <c r="Y22" s="129"/>
      <c r="Z22" s="129"/>
      <c r="AA22" s="129"/>
      <c r="AB22" s="129"/>
      <c r="AC22" s="129"/>
      <c r="AD22" s="129"/>
      <c r="AE22" s="129"/>
      <c r="AF22" s="129"/>
      <c r="AG22" s="129"/>
      <c r="AH22" s="129"/>
      <c r="AI22" s="129"/>
      <c r="AJ22" s="130"/>
      <c r="AK22" s="131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  <c r="BI22" s="132"/>
    </row>
    <row r="23" spans="2:61" ht="20.100000000000001" customHeight="1" thickBot="1" x14ac:dyDescent="0.5">
      <c r="B23" s="133"/>
      <c r="C23" s="27"/>
      <c r="D23" s="27"/>
      <c r="E23" s="27"/>
      <c r="F23" s="27"/>
      <c r="G23" s="134"/>
      <c r="H23" s="140" t="s">
        <v>159</v>
      </c>
      <c r="I23" s="51"/>
      <c r="J23" s="140" t="s">
        <v>194</v>
      </c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14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142"/>
    </row>
    <row r="24" spans="2:61" ht="20.100000000000001" customHeight="1" x14ac:dyDescent="0.45">
      <c r="B24" s="124" t="s">
        <v>242</v>
      </c>
      <c r="C24" s="125"/>
      <c r="D24" s="125"/>
      <c r="E24" s="125"/>
      <c r="F24" s="125"/>
      <c r="G24" s="126"/>
      <c r="H24" s="127" t="s">
        <v>158</v>
      </c>
      <c r="I24" s="125"/>
      <c r="J24" s="128" t="s">
        <v>241</v>
      </c>
      <c r="K24" s="129"/>
      <c r="L24" s="129"/>
      <c r="M24" s="129"/>
      <c r="N24" s="129"/>
      <c r="O24" s="129"/>
      <c r="P24" s="129"/>
      <c r="Q24" s="130"/>
      <c r="R24" s="129"/>
      <c r="S24" s="129"/>
      <c r="T24" s="129"/>
      <c r="U24" s="129"/>
      <c r="V24" s="129"/>
      <c r="W24" s="129"/>
      <c r="X24" s="129"/>
      <c r="Y24" s="129"/>
      <c r="Z24" s="129"/>
      <c r="AA24" s="129"/>
      <c r="AB24" s="129"/>
      <c r="AC24" s="129"/>
      <c r="AD24" s="129"/>
      <c r="AE24" s="129"/>
      <c r="AF24" s="129"/>
      <c r="AG24" s="129"/>
      <c r="AH24" s="129"/>
      <c r="AI24" s="129"/>
      <c r="AJ24" s="130"/>
      <c r="AK24" s="131" t="s">
        <v>197</v>
      </c>
      <c r="AL24" s="125"/>
      <c r="AM24" s="125"/>
      <c r="AN24" s="125"/>
      <c r="AO24" s="125"/>
      <c r="AP24" s="125" t="s">
        <v>198</v>
      </c>
      <c r="AQ24" s="125"/>
      <c r="AR24" s="125"/>
      <c r="AS24" s="125"/>
      <c r="AT24" s="125"/>
      <c r="AU24" s="125"/>
      <c r="AV24" s="125"/>
      <c r="AW24" s="125"/>
      <c r="AX24" s="125"/>
      <c r="AY24" s="125"/>
      <c r="AZ24" s="125"/>
      <c r="BA24" s="125"/>
      <c r="BB24" s="125"/>
      <c r="BC24" s="125"/>
      <c r="BD24" s="125"/>
      <c r="BE24" s="125"/>
      <c r="BF24" s="125"/>
      <c r="BG24" s="125"/>
      <c r="BH24" s="125"/>
      <c r="BI24" s="132"/>
    </row>
    <row r="25" spans="2:61" ht="20.100000000000001" customHeight="1" x14ac:dyDescent="0.45">
      <c r="B25" s="133"/>
      <c r="C25" s="27"/>
      <c r="D25" s="27"/>
      <c r="E25" s="27"/>
      <c r="F25" s="27"/>
      <c r="G25" s="134"/>
      <c r="H25" s="135"/>
      <c r="I25" s="27"/>
      <c r="J25" s="144" t="s">
        <v>163</v>
      </c>
      <c r="K25" s="145"/>
      <c r="L25" s="145"/>
      <c r="M25" s="145"/>
      <c r="N25" s="145"/>
      <c r="O25" s="145"/>
      <c r="P25" s="145"/>
      <c r="Q25" s="156"/>
      <c r="R25" s="145"/>
      <c r="S25" s="145"/>
      <c r="T25" s="145"/>
      <c r="U25" s="145"/>
      <c r="V25" s="145"/>
      <c r="W25" s="145"/>
      <c r="X25" s="145"/>
      <c r="Y25" s="145"/>
      <c r="Z25" s="145"/>
      <c r="AA25" s="145"/>
      <c r="AB25" s="145"/>
      <c r="AC25" s="145"/>
      <c r="AD25" s="145"/>
      <c r="AE25" s="145"/>
      <c r="AF25" s="145"/>
      <c r="AG25" s="145"/>
      <c r="AH25" s="145"/>
      <c r="AI25" s="145"/>
      <c r="AJ25" s="156"/>
      <c r="AK25" s="138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139"/>
    </row>
    <row r="26" spans="2:61" ht="20.100000000000001" customHeight="1" x14ac:dyDescent="0.45">
      <c r="B26" s="133"/>
      <c r="C26" s="27"/>
      <c r="D26" s="27"/>
      <c r="E26" s="27"/>
      <c r="F26" s="27"/>
      <c r="G26" s="134"/>
      <c r="H26" s="135"/>
      <c r="I26" s="27"/>
      <c r="J26" s="144" t="s">
        <v>199</v>
      </c>
      <c r="K26" s="145"/>
      <c r="L26" s="145"/>
      <c r="M26" s="145"/>
      <c r="N26" s="145"/>
      <c r="O26" s="145"/>
      <c r="P26" s="145"/>
      <c r="Q26" s="156"/>
      <c r="R26" s="145"/>
      <c r="S26" s="145"/>
      <c r="T26" s="145"/>
      <c r="U26" s="145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56"/>
      <c r="AK26" s="138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139"/>
    </row>
    <row r="27" spans="2:61" ht="20.100000000000001" customHeight="1" x14ac:dyDescent="0.45">
      <c r="B27" s="133"/>
      <c r="C27" s="27"/>
      <c r="D27" s="27"/>
      <c r="E27" s="27"/>
      <c r="F27" s="27"/>
      <c r="G27" s="134"/>
      <c r="H27" s="135"/>
      <c r="I27" s="27"/>
      <c r="J27" s="144" t="s">
        <v>200</v>
      </c>
      <c r="K27" s="145"/>
      <c r="L27" s="145"/>
      <c r="M27" s="145"/>
      <c r="N27" s="145"/>
      <c r="O27" s="145"/>
      <c r="P27" s="145"/>
      <c r="Q27" s="156"/>
      <c r="R27" s="145"/>
      <c r="S27" s="145"/>
      <c r="T27" s="145"/>
      <c r="U27" s="145"/>
      <c r="V27" s="145"/>
      <c r="W27" s="145"/>
      <c r="X27" s="145"/>
      <c r="Y27" s="145"/>
      <c r="Z27" s="145"/>
      <c r="AA27" s="145"/>
      <c r="AB27" s="145"/>
      <c r="AC27" s="145"/>
      <c r="AD27" s="145"/>
      <c r="AE27" s="145"/>
      <c r="AF27" s="145"/>
      <c r="AG27" s="145"/>
      <c r="AH27" s="145"/>
      <c r="AI27" s="145"/>
      <c r="AJ27" s="156"/>
      <c r="AK27" s="138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139"/>
    </row>
    <row r="28" spans="2:61" ht="20.100000000000001" customHeight="1" x14ac:dyDescent="0.45">
      <c r="B28" s="133"/>
      <c r="C28" s="27"/>
      <c r="D28" s="27"/>
      <c r="E28" s="27"/>
      <c r="F28" s="27"/>
      <c r="G28" s="134"/>
      <c r="H28" s="135"/>
      <c r="I28" s="27"/>
      <c r="J28" s="144" t="s">
        <v>201</v>
      </c>
      <c r="K28" s="145"/>
      <c r="L28" s="145"/>
      <c r="M28" s="145"/>
      <c r="N28" s="145"/>
      <c r="O28" s="145"/>
      <c r="P28" s="145"/>
      <c r="Q28" s="156"/>
      <c r="R28" s="145"/>
      <c r="S28" s="145"/>
      <c r="T28" s="145"/>
      <c r="U28" s="145"/>
      <c r="V28" s="145"/>
      <c r="W28" s="145"/>
      <c r="X28" s="145"/>
      <c r="Y28" s="145"/>
      <c r="Z28" s="145"/>
      <c r="AA28" s="145"/>
      <c r="AB28" s="145"/>
      <c r="AC28" s="145"/>
      <c r="AD28" s="145"/>
      <c r="AE28" s="145"/>
      <c r="AF28" s="145"/>
      <c r="AG28" s="145"/>
      <c r="AH28" s="145"/>
      <c r="AI28" s="145"/>
      <c r="AJ28" s="156"/>
      <c r="AK28" s="138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139"/>
    </row>
    <row r="29" spans="2:61" ht="20.100000000000001" customHeight="1" x14ac:dyDescent="0.45">
      <c r="B29" s="133"/>
      <c r="C29" s="27"/>
      <c r="D29" s="27"/>
      <c r="E29" s="27"/>
      <c r="F29" s="27"/>
      <c r="G29" s="134"/>
      <c r="H29" s="135"/>
      <c r="I29" s="27"/>
      <c r="J29" s="144" t="s">
        <v>202</v>
      </c>
      <c r="K29" s="145"/>
      <c r="L29" s="145"/>
      <c r="M29" s="145"/>
      <c r="N29" s="145"/>
      <c r="O29" s="145"/>
      <c r="P29" s="145"/>
      <c r="Q29" s="156"/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F29" s="145"/>
      <c r="AG29" s="145"/>
      <c r="AH29" s="145"/>
      <c r="AI29" s="145"/>
      <c r="AJ29" s="156"/>
      <c r="AK29" s="138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139"/>
    </row>
    <row r="30" spans="2:61" ht="20.100000000000001" customHeight="1" x14ac:dyDescent="0.45">
      <c r="B30" s="133"/>
      <c r="C30" s="27"/>
      <c r="D30" s="27"/>
      <c r="E30" s="27"/>
      <c r="F30" s="27"/>
      <c r="G30" s="134"/>
      <c r="H30" s="135"/>
      <c r="I30" s="27"/>
      <c r="J30" s="144" t="s">
        <v>203</v>
      </c>
      <c r="K30" s="145"/>
      <c r="L30" s="145"/>
      <c r="M30" s="145"/>
      <c r="N30" s="145"/>
      <c r="O30" s="145"/>
      <c r="P30" s="145"/>
      <c r="Q30" s="156"/>
      <c r="R30" s="145"/>
      <c r="S30" s="145"/>
      <c r="T30" s="145"/>
      <c r="U30" s="145"/>
      <c r="V30" s="145"/>
      <c r="W30" s="145"/>
      <c r="X30" s="145"/>
      <c r="Y30" s="145"/>
      <c r="Z30" s="145"/>
      <c r="AA30" s="145"/>
      <c r="AB30" s="145"/>
      <c r="AC30" s="145"/>
      <c r="AD30" s="145"/>
      <c r="AE30" s="145"/>
      <c r="AF30" s="145"/>
      <c r="AG30" s="145"/>
      <c r="AH30" s="145"/>
      <c r="AI30" s="145"/>
      <c r="AJ30" s="156"/>
      <c r="AK30" s="138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139"/>
    </row>
    <row r="31" spans="2:61" ht="20.100000000000001" customHeight="1" x14ac:dyDescent="0.45">
      <c r="B31" s="133"/>
      <c r="C31" s="27"/>
      <c r="D31" s="27"/>
      <c r="E31" s="27"/>
      <c r="F31" s="27"/>
      <c r="G31" s="134"/>
      <c r="H31" s="135"/>
      <c r="I31" s="27"/>
      <c r="J31" s="144" t="s">
        <v>204</v>
      </c>
      <c r="K31" s="145"/>
      <c r="L31" s="145"/>
      <c r="M31" s="145"/>
      <c r="N31" s="145"/>
      <c r="O31" s="145"/>
      <c r="P31" s="145"/>
      <c r="Q31" s="156"/>
      <c r="R31" s="145"/>
      <c r="S31" s="145"/>
      <c r="T31" s="145"/>
      <c r="U31" s="145"/>
      <c r="V31" s="145"/>
      <c r="W31" s="145"/>
      <c r="X31" s="145"/>
      <c r="Y31" s="145"/>
      <c r="Z31" s="145"/>
      <c r="AA31" s="145"/>
      <c r="AB31" s="145"/>
      <c r="AC31" s="145"/>
      <c r="AD31" s="145"/>
      <c r="AE31" s="145"/>
      <c r="AF31" s="145"/>
      <c r="AG31" s="145"/>
      <c r="AH31" s="145"/>
      <c r="AI31" s="145"/>
      <c r="AJ31" s="156"/>
      <c r="AK31" s="138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139"/>
    </row>
    <row r="32" spans="2:61" ht="20.100000000000001" customHeight="1" x14ac:dyDescent="0.45">
      <c r="B32" s="133"/>
      <c r="C32" s="27"/>
      <c r="D32" s="27"/>
      <c r="E32" s="27"/>
      <c r="F32" s="27"/>
      <c r="G32" s="134"/>
      <c r="H32" s="135"/>
      <c r="I32" s="27"/>
      <c r="J32" s="144" t="s">
        <v>205</v>
      </c>
      <c r="K32" s="145"/>
      <c r="L32" s="145"/>
      <c r="M32" s="145"/>
      <c r="N32" s="145"/>
      <c r="O32" s="145"/>
      <c r="P32" s="145"/>
      <c r="Q32" s="156"/>
      <c r="R32" s="145"/>
      <c r="S32" s="145"/>
      <c r="T32" s="145"/>
      <c r="U32" s="145"/>
      <c r="V32" s="145"/>
      <c r="W32" s="145"/>
      <c r="X32" s="145"/>
      <c r="Y32" s="145"/>
      <c r="Z32" s="145"/>
      <c r="AA32" s="145"/>
      <c r="AB32" s="145"/>
      <c r="AC32" s="145"/>
      <c r="AD32" s="145"/>
      <c r="AE32" s="145"/>
      <c r="AF32" s="145"/>
      <c r="AG32" s="145"/>
      <c r="AH32" s="145"/>
      <c r="AI32" s="145"/>
      <c r="AJ32" s="156"/>
      <c r="AK32" s="138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139"/>
    </row>
    <row r="33" spans="2:61" ht="20.100000000000001" customHeight="1" x14ac:dyDescent="0.45">
      <c r="B33" s="133"/>
      <c r="C33" s="27"/>
      <c r="D33" s="27"/>
      <c r="E33" s="27"/>
      <c r="F33" s="27"/>
      <c r="G33" s="134"/>
      <c r="H33" s="135"/>
      <c r="I33" s="27"/>
      <c r="J33" s="144" t="s">
        <v>206</v>
      </c>
      <c r="K33" s="145"/>
      <c r="L33" s="145"/>
      <c r="M33" s="145"/>
      <c r="N33" s="145"/>
      <c r="O33" s="145"/>
      <c r="P33" s="145"/>
      <c r="Q33" s="156"/>
      <c r="R33" s="145"/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145"/>
      <c r="AD33" s="145"/>
      <c r="AE33" s="145"/>
      <c r="AF33" s="145"/>
      <c r="AG33" s="145"/>
      <c r="AH33" s="145"/>
      <c r="AI33" s="145"/>
      <c r="AJ33" s="156"/>
      <c r="AK33" s="138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139"/>
    </row>
    <row r="34" spans="2:61" ht="20.100000000000001" customHeight="1" x14ac:dyDescent="0.45">
      <c r="B34" s="133"/>
      <c r="C34" s="27"/>
      <c r="D34" s="27"/>
      <c r="E34" s="27"/>
      <c r="F34" s="27"/>
      <c r="G34" s="134"/>
      <c r="H34" s="135"/>
      <c r="I34" s="27"/>
      <c r="J34" s="144" t="s">
        <v>207</v>
      </c>
      <c r="K34" s="145"/>
      <c r="L34" s="145"/>
      <c r="M34" s="145"/>
      <c r="N34" s="145"/>
      <c r="O34" s="145"/>
      <c r="P34" s="145"/>
      <c r="Q34" s="156"/>
      <c r="R34" s="145"/>
      <c r="S34" s="145"/>
      <c r="T34" s="145"/>
      <c r="U34" s="145"/>
      <c r="V34" s="145"/>
      <c r="W34" s="145"/>
      <c r="X34" s="145"/>
      <c r="Y34" s="145"/>
      <c r="Z34" s="145"/>
      <c r="AA34" s="145"/>
      <c r="AB34" s="145"/>
      <c r="AC34" s="145"/>
      <c r="AD34" s="145"/>
      <c r="AE34" s="145"/>
      <c r="AF34" s="145"/>
      <c r="AG34" s="145"/>
      <c r="AH34" s="145"/>
      <c r="AI34" s="145"/>
      <c r="AJ34" s="156"/>
      <c r="AK34" s="138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139"/>
    </row>
    <row r="35" spans="2:61" ht="20.100000000000001" customHeight="1" x14ac:dyDescent="0.45">
      <c r="B35" s="133"/>
      <c r="C35" s="27"/>
      <c r="D35" s="27"/>
      <c r="E35" s="27"/>
      <c r="F35" s="27"/>
      <c r="G35" s="134"/>
      <c r="H35" s="135"/>
      <c r="I35" s="27"/>
      <c r="J35" s="144" t="s">
        <v>208</v>
      </c>
      <c r="K35" s="145"/>
      <c r="L35" s="145"/>
      <c r="M35" s="145"/>
      <c r="N35" s="145"/>
      <c r="O35" s="145"/>
      <c r="P35" s="145"/>
      <c r="Q35" s="156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56"/>
      <c r="AK35" s="138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139"/>
    </row>
    <row r="36" spans="2:61" ht="20.100000000000001" customHeight="1" x14ac:dyDescent="0.45">
      <c r="B36" s="133"/>
      <c r="C36" s="27"/>
      <c r="D36" s="27"/>
      <c r="E36" s="27"/>
      <c r="F36" s="27"/>
      <c r="G36" s="134"/>
      <c r="H36" s="135"/>
      <c r="I36" s="27"/>
      <c r="J36" s="144" t="s">
        <v>209</v>
      </c>
      <c r="K36" s="145"/>
      <c r="L36" s="145"/>
      <c r="M36" s="145"/>
      <c r="N36" s="145"/>
      <c r="O36" s="145"/>
      <c r="P36" s="145"/>
      <c r="Q36" s="156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56"/>
      <c r="AK36" s="138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139"/>
    </row>
    <row r="37" spans="2:61" ht="20.100000000000001" customHeight="1" x14ac:dyDescent="0.45">
      <c r="B37" s="133"/>
      <c r="C37" s="27"/>
      <c r="D37" s="27"/>
      <c r="E37" s="27"/>
      <c r="F37" s="27"/>
      <c r="G37" s="134"/>
      <c r="H37" s="135"/>
      <c r="I37" s="27"/>
      <c r="J37" s="144" t="s">
        <v>210</v>
      </c>
      <c r="K37" s="145"/>
      <c r="L37" s="145"/>
      <c r="M37" s="145"/>
      <c r="N37" s="145"/>
      <c r="O37" s="145"/>
      <c r="P37" s="145"/>
      <c r="Q37" s="156"/>
      <c r="R37" s="145"/>
      <c r="S37" s="145"/>
      <c r="T37" s="145"/>
      <c r="U37" s="145"/>
      <c r="V37" s="145"/>
      <c r="W37" s="145"/>
      <c r="X37" s="145"/>
      <c r="Y37" s="145"/>
      <c r="Z37" s="145"/>
      <c r="AA37" s="145"/>
      <c r="AB37" s="145"/>
      <c r="AC37" s="145"/>
      <c r="AD37" s="145"/>
      <c r="AE37" s="145"/>
      <c r="AF37" s="145"/>
      <c r="AG37" s="145"/>
      <c r="AH37" s="145"/>
      <c r="AI37" s="145"/>
      <c r="AJ37" s="156"/>
      <c r="AK37" s="138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139"/>
    </row>
    <row r="38" spans="2:61" ht="20.100000000000001" customHeight="1" x14ac:dyDescent="0.45">
      <c r="B38" s="133"/>
      <c r="C38" s="27"/>
      <c r="D38" s="27"/>
      <c r="E38" s="27"/>
      <c r="F38" s="27"/>
      <c r="G38" s="134"/>
      <c r="H38" s="135"/>
      <c r="I38" s="27"/>
      <c r="J38" s="144" t="s">
        <v>211</v>
      </c>
      <c r="K38" s="145"/>
      <c r="L38" s="145"/>
      <c r="M38" s="145"/>
      <c r="N38" s="145"/>
      <c r="O38" s="145"/>
      <c r="P38" s="145"/>
      <c r="Q38" s="156"/>
      <c r="R38" s="145"/>
      <c r="S38" s="145"/>
      <c r="T38" s="145"/>
      <c r="U38" s="145"/>
      <c r="V38" s="145"/>
      <c r="W38" s="145"/>
      <c r="X38" s="145"/>
      <c r="Y38" s="145"/>
      <c r="Z38" s="145"/>
      <c r="AA38" s="145"/>
      <c r="AB38" s="145"/>
      <c r="AC38" s="145"/>
      <c r="AD38" s="145"/>
      <c r="AE38" s="145"/>
      <c r="AF38" s="145"/>
      <c r="AG38" s="145"/>
      <c r="AH38" s="145"/>
      <c r="AI38" s="145"/>
      <c r="AJ38" s="156"/>
      <c r="AK38" s="138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139"/>
    </row>
    <row r="39" spans="2:61" ht="20.100000000000001" customHeight="1" x14ac:dyDescent="0.45">
      <c r="B39" s="133"/>
      <c r="C39" s="27"/>
      <c r="D39" s="27"/>
      <c r="E39" s="27"/>
      <c r="F39" s="27"/>
      <c r="G39" s="134"/>
      <c r="H39" s="135"/>
      <c r="I39" s="27"/>
      <c r="J39" s="144" t="s">
        <v>212</v>
      </c>
      <c r="K39" s="145"/>
      <c r="L39" s="145"/>
      <c r="M39" s="145"/>
      <c r="N39" s="145"/>
      <c r="O39" s="145"/>
      <c r="P39" s="145"/>
      <c r="Q39" s="156"/>
      <c r="R39" s="145"/>
      <c r="S39" s="145"/>
      <c r="T39" s="145"/>
      <c r="U39" s="145"/>
      <c r="V39" s="145"/>
      <c r="W39" s="145"/>
      <c r="X39" s="145"/>
      <c r="Y39" s="145"/>
      <c r="Z39" s="145"/>
      <c r="AA39" s="145"/>
      <c r="AB39" s="145"/>
      <c r="AC39" s="145"/>
      <c r="AD39" s="145"/>
      <c r="AE39" s="145"/>
      <c r="AF39" s="145"/>
      <c r="AG39" s="145"/>
      <c r="AH39" s="145"/>
      <c r="AI39" s="145"/>
      <c r="AJ39" s="156"/>
      <c r="AK39" s="138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139"/>
    </row>
    <row r="40" spans="2:61" ht="20.100000000000001" customHeight="1" x14ac:dyDescent="0.45">
      <c r="B40" s="133"/>
      <c r="C40" s="27"/>
      <c r="D40" s="27"/>
      <c r="E40" s="27"/>
      <c r="F40" s="27"/>
      <c r="G40" s="134"/>
      <c r="H40" s="135"/>
      <c r="I40" s="27"/>
      <c r="J40" s="144" t="s">
        <v>213</v>
      </c>
      <c r="K40" s="145"/>
      <c r="L40" s="145"/>
      <c r="M40" s="145"/>
      <c r="N40" s="145"/>
      <c r="O40" s="145"/>
      <c r="P40" s="145"/>
      <c r="Q40" s="156"/>
      <c r="R40" s="145"/>
      <c r="S40" s="145"/>
      <c r="T40" s="145"/>
      <c r="U40" s="145"/>
      <c r="V40" s="145"/>
      <c r="W40" s="145"/>
      <c r="X40" s="145"/>
      <c r="Y40" s="145"/>
      <c r="Z40" s="145"/>
      <c r="AA40" s="145"/>
      <c r="AB40" s="145"/>
      <c r="AC40" s="145"/>
      <c r="AD40" s="145"/>
      <c r="AE40" s="145"/>
      <c r="AF40" s="145"/>
      <c r="AG40" s="145"/>
      <c r="AH40" s="145"/>
      <c r="AI40" s="145"/>
      <c r="AJ40" s="156"/>
      <c r="AK40" s="138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139"/>
    </row>
    <row r="41" spans="2:61" ht="20.100000000000001" customHeight="1" x14ac:dyDescent="0.45">
      <c r="B41" s="133"/>
      <c r="C41" s="27"/>
      <c r="D41" s="27"/>
      <c r="E41" s="27"/>
      <c r="F41" s="27"/>
      <c r="G41" s="134"/>
      <c r="H41" s="135"/>
      <c r="I41" s="27"/>
      <c r="J41" s="144" t="s">
        <v>76</v>
      </c>
      <c r="K41" s="145"/>
      <c r="L41" s="145"/>
      <c r="M41" s="145"/>
      <c r="N41" s="145"/>
      <c r="O41" s="145"/>
      <c r="P41" s="145"/>
      <c r="Q41" s="156"/>
      <c r="R41" s="145"/>
      <c r="S41" s="145"/>
      <c r="T41" s="145"/>
      <c r="U41" s="145"/>
      <c r="V41" s="145"/>
      <c r="W41" s="145"/>
      <c r="X41" s="145"/>
      <c r="Y41" s="145"/>
      <c r="Z41" s="145"/>
      <c r="AA41" s="145"/>
      <c r="AB41" s="145"/>
      <c r="AC41" s="145"/>
      <c r="AD41" s="145"/>
      <c r="AE41" s="145"/>
      <c r="AF41" s="145"/>
      <c r="AG41" s="145"/>
      <c r="AH41" s="145"/>
      <c r="AI41" s="145"/>
      <c r="AJ41" s="156"/>
      <c r="AK41" s="138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139"/>
    </row>
    <row r="42" spans="2:61" ht="20.100000000000001" customHeight="1" x14ac:dyDescent="0.45">
      <c r="B42" s="133"/>
      <c r="C42" s="27"/>
      <c r="D42" s="27"/>
      <c r="E42" s="27"/>
      <c r="F42" s="27"/>
      <c r="G42" s="134"/>
      <c r="H42" s="135"/>
      <c r="I42" s="27"/>
      <c r="J42" s="144" t="s">
        <v>214</v>
      </c>
      <c r="K42" s="145"/>
      <c r="L42" s="145"/>
      <c r="M42" s="145"/>
      <c r="N42" s="145"/>
      <c r="O42" s="145"/>
      <c r="P42" s="145"/>
      <c r="Q42" s="156"/>
      <c r="R42" s="145"/>
      <c r="S42" s="145"/>
      <c r="T42" s="145"/>
      <c r="U42" s="145"/>
      <c r="V42" s="145"/>
      <c r="W42" s="145"/>
      <c r="X42" s="145"/>
      <c r="Y42" s="145"/>
      <c r="Z42" s="145"/>
      <c r="AA42" s="145"/>
      <c r="AB42" s="145"/>
      <c r="AC42" s="145"/>
      <c r="AD42" s="145"/>
      <c r="AE42" s="145"/>
      <c r="AF42" s="145"/>
      <c r="AG42" s="145"/>
      <c r="AH42" s="145"/>
      <c r="AI42" s="145"/>
      <c r="AJ42" s="156"/>
      <c r="AK42" s="138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139"/>
    </row>
    <row r="43" spans="2:61" ht="20.100000000000001" customHeight="1" x14ac:dyDescent="0.45">
      <c r="B43" s="133"/>
      <c r="C43" s="27"/>
      <c r="D43" s="27"/>
      <c r="E43" s="27"/>
      <c r="F43" s="27"/>
      <c r="G43" s="134"/>
      <c r="H43" s="135"/>
      <c r="I43" s="27"/>
      <c r="J43" s="144" t="s">
        <v>215</v>
      </c>
      <c r="K43" s="145"/>
      <c r="L43" s="145"/>
      <c r="M43" s="145"/>
      <c r="N43" s="145"/>
      <c r="O43" s="145"/>
      <c r="P43" s="145"/>
      <c r="Q43" s="156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56"/>
      <c r="AK43" s="138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139"/>
    </row>
    <row r="44" spans="2:61" ht="20.100000000000001" customHeight="1" x14ac:dyDescent="0.45">
      <c r="B44" s="133"/>
      <c r="C44" s="27"/>
      <c r="D44" s="27"/>
      <c r="E44" s="27"/>
      <c r="F44" s="27"/>
      <c r="G44" s="134"/>
      <c r="H44" s="135"/>
      <c r="I44" s="27"/>
      <c r="J44" s="144" t="s">
        <v>216</v>
      </c>
      <c r="K44" s="145"/>
      <c r="L44" s="145"/>
      <c r="M44" s="145"/>
      <c r="N44" s="145"/>
      <c r="O44" s="145"/>
      <c r="P44" s="145"/>
      <c r="Q44" s="156"/>
      <c r="R44" s="145"/>
      <c r="S44" s="145"/>
      <c r="T44" s="145"/>
      <c r="U44" s="145"/>
      <c r="V44" s="145"/>
      <c r="W44" s="145"/>
      <c r="X44" s="145"/>
      <c r="Y44" s="145"/>
      <c r="Z44" s="145"/>
      <c r="AA44" s="145"/>
      <c r="AB44" s="145"/>
      <c r="AC44" s="145"/>
      <c r="AD44" s="145"/>
      <c r="AE44" s="145"/>
      <c r="AF44" s="145"/>
      <c r="AG44" s="145"/>
      <c r="AH44" s="145"/>
      <c r="AI44" s="145"/>
      <c r="AJ44" s="156"/>
      <c r="AK44" s="138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139"/>
    </row>
    <row r="45" spans="2:61" ht="20.100000000000001" customHeight="1" x14ac:dyDescent="0.45">
      <c r="B45" s="133"/>
      <c r="C45" s="27"/>
      <c r="D45" s="27"/>
      <c r="E45" s="27"/>
      <c r="F45" s="27"/>
      <c r="G45" s="134"/>
      <c r="H45" s="135"/>
      <c r="I45" s="27"/>
      <c r="J45" s="144" t="s">
        <v>217</v>
      </c>
      <c r="K45" s="145"/>
      <c r="L45" s="145"/>
      <c r="M45" s="145"/>
      <c r="N45" s="145"/>
      <c r="O45" s="145"/>
      <c r="P45" s="145"/>
      <c r="Q45" s="156"/>
      <c r="R45" s="145"/>
      <c r="S45" s="145"/>
      <c r="T45" s="145"/>
      <c r="U45" s="145"/>
      <c r="V45" s="145"/>
      <c r="W45" s="145"/>
      <c r="X45" s="145"/>
      <c r="Y45" s="145"/>
      <c r="Z45" s="145"/>
      <c r="AA45" s="145"/>
      <c r="AB45" s="145"/>
      <c r="AC45" s="145"/>
      <c r="AD45" s="145"/>
      <c r="AE45" s="145"/>
      <c r="AF45" s="145"/>
      <c r="AG45" s="145"/>
      <c r="AH45" s="145"/>
      <c r="AI45" s="145"/>
      <c r="AJ45" s="156"/>
      <c r="AK45" s="138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139"/>
    </row>
    <row r="46" spans="2:61" ht="20.100000000000001" customHeight="1" x14ac:dyDescent="0.45">
      <c r="B46" s="133"/>
      <c r="C46" s="27"/>
      <c r="D46" s="27"/>
      <c r="E46" s="27"/>
      <c r="F46" s="27"/>
      <c r="G46" s="134"/>
      <c r="H46" s="135"/>
      <c r="I46" s="27"/>
      <c r="J46" s="144" t="s">
        <v>218</v>
      </c>
      <c r="K46" s="145"/>
      <c r="L46" s="145"/>
      <c r="M46" s="145"/>
      <c r="N46" s="145"/>
      <c r="O46" s="145"/>
      <c r="P46" s="145"/>
      <c r="Q46" s="156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56"/>
      <c r="AK46" s="138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139"/>
    </row>
    <row r="47" spans="2:61" ht="20.100000000000001" customHeight="1" x14ac:dyDescent="0.45">
      <c r="B47" s="133"/>
      <c r="C47" s="27"/>
      <c r="D47" s="27"/>
      <c r="E47" s="27"/>
      <c r="F47" s="27"/>
      <c r="G47" s="134"/>
      <c r="H47" s="135"/>
      <c r="I47" s="27"/>
      <c r="J47" s="144" t="s">
        <v>219</v>
      </c>
      <c r="K47" s="145"/>
      <c r="L47" s="145"/>
      <c r="M47" s="145"/>
      <c r="N47" s="145"/>
      <c r="O47" s="145"/>
      <c r="P47" s="145"/>
      <c r="Q47" s="156"/>
      <c r="R47" s="145"/>
      <c r="S47" s="145"/>
      <c r="T47" s="145"/>
      <c r="U47" s="145"/>
      <c r="V47" s="145"/>
      <c r="W47" s="145"/>
      <c r="X47" s="145"/>
      <c r="Y47" s="145"/>
      <c r="Z47" s="145"/>
      <c r="AA47" s="145"/>
      <c r="AB47" s="145"/>
      <c r="AC47" s="145"/>
      <c r="AD47" s="145"/>
      <c r="AE47" s="145"/>
      <c r="AF47" s="145"/>
      <c r="AG47" s="145"/>
      <c r="AH47" s="145"/>
      <c r="AI47" s="145"/>
      <c r="AJ47" s="156"/>
      <c r="AK47" s="138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139"/>
    </row>
    <row r="48" spans="2:61" ht="20.100000000000001" customHeight="1" x14ac:dyDescent="0.45">
      <c r="B48" s="133"/>
      <c r="C48" s="27"/>
      <c r="D48" s="27"/>
      <c r="E48" s="27"/>
      <c r="F48" s="27"/>
      <c r="G48" s="134"/>
      <c r="H48" s="135"/>
      <c r="I48" s="27"/>
      <c r="J48" s="144" t="s">
        <v>220</v>
      </c>
      <c r="K48" s="145"/>
      <c r="L48" s="145"/>
      <c r="M48" s="145"/>
      <c r="N48" s="145"/>
      <c r="O48" s="145"/>
      <c r="P48" s="145"/>
      <c r="Q48" s="156"/>
      <c r="R48" s="145"/>
      <c r="S48" s="145"/>
      <c r="T48" s="145"/>
      <c r="U48" s="145"/>
      <c r="V48" s="145"/>
      <c r="W48" s="145"/>
      <c r="X48" s="145"/>
      <c r="Y48" s="145"/>
      <c r="Z48" s="145"/>
      <c r="AA48" s="145"/>
      <c r="AB48" s="145"/>
      <c r="AC48" s="145"/>
      <c r="AD48" s="145"/>
      <c r="AE48" s="145"/>
      <c r="AF48" s="145"/>
      <c r="AG48" s="145"/>
      <c r="AH48" s="145"/>
      <c r="AI48" s="145"/>
      <c r="AJ48" s="156"/>
      <c r="AK48" s="138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139"/>
    </row>
    <row r="49" spans="2:61" ht="20.100000000000001" customHeight="1" x14ac:dyDescent="0.45">
      <c r="B49" s="133"/>
      <c r="C49" s="27"/>
      <c r="D49" s="27"/>
      <c r="E49" s="27"/>
      <c r="F49" s="27"/>
      <c r="G49" s="134"/>
      <c r="H49" s="135"/>
      <c r="I49" s="27"/>
      <c r="J49" s="144" t="s">
        <v>221</v>
      </c>
      <c r="K49" s="145"/>
      <c r="L49" s="145"/>
      <c r="M49" s="145"/>
      <c r="N49" s="145"/>
      <c r="O49" s="145"/>
      <c r="P49" s="145"/>
      <c r="Q49" s="156"/>
      <c r="R49" s="145"/>
      <c r="S49" s="145"/>
      <c r="T49" s="145"/>
      <c r="U49" s="145"/>
      <c r="V49" s="145"/>
      <c r="W49" s="145"/>
      <c r="X49" s="145"/>
      <c r="Y49" s="145"/>
      <c r="Z49" s="145"/>
      <c r="AA49" s="145"/>
      <c r="AB49" s="145"/>
      <c r="AC49" s="145"/>
      <c r="AD49" s="145"/>
      <c r="AE49" s="145"/>
      <c r="AF49" s="145"/>
      <c r="AG49" s="145"/>
      <c r="AH49" s="145"/>
      <c r="AI49" s="145"/>
      <c r="AJ49" s="156"/>
      <c r="AK49" s="138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139"/>
    </row>
    <row r="50" spans="2:61" ht="20.100000000000001" customHeight="1" x14ac:dyDescent="0.45">
      <c r="B50" s="133"/>
      <c r="C50" s="27"/>
      <c r="D50" s="27"/>
      <c r="E50" s="27"/>
      <c r="F50" s="27"/>
      <c r="G50" s="134"/>
      <c r="H50" s="135"/>
      <c r="I50" s="27"/>
      <c r="J50" s="144" t="s">
        <v>222</v>
      </c>
      <c r="K50" s="145"/>
      <c r="L50" s="145"/>
      <c r="M50" s="145"/>
      <c r="N50" s="145"/>
      <c r="O50" s="145"/>
      <c r="P50" s="145"/>
      <c r="Q50" s="156"/>
      <c r="R50" s="145"/>
      <c r="S50" s="145"/>
      <c r="T50" s="145"/>
      <c r="U50" s="145"/>
      <c r="V50" s="145"/>
      <c r="W50" s="145"/>
      <c r="X50" s="145"/>
      <c r="Y50" s="145"/>
      <c r="Z50" s="145"/>
      <c r="AA50" s="145"/>
      <c r="AB50" s="145"/>
      <c r="AC50" s="145"/>
      <c r="AD50" s="145"/>
      <c r="AE50" s="145"/>
      <c r="AF50" s="145"/>
      <c r="AG50" s="145"/>
      <c r="AH50" s="145"/>
      <c r="AI50" s="145"/>
      <c r="AJ50" s="156"/>
      <c r="AK50" s="138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139"/>
    </row>
    <row r="51" spans="2:61" ht="20.100000000000001" customHeight="1" x14ac:dyDescent="0.45">
      <c r="B51" s="133"/>
      <c r="C51" s="27"/>
      <c r="D51" s="27"/>
      <c r="E51" s="27"/>
      <c r="F51" s="27"/>
      <c r="G51" s="134"/>
      <c r="H51" s="135"/>
      <c r="I51" s="27"/>
      <c r="J51" s="144" t="s">
        <v>223</v>
      </c>
      <c r="K51" s="145"/>
      <c r="L51" s="145"/>
      <c r="M51" s="145"/>
      <c r="N51" s="145"/>
      <c r="O51" s="145"/>
      <c r="P51" s="145"/>
      <c r="Q51" s="156"/>
      <c r="R51" s="145"/>
      <c r="S51" s="145"/>
      <c r="T51" s="145"/>
      <c r="U51" s="145"/>
      <c r="V51" s="145"/>
      <c r="W51" s="145"/>
      <c r="X51" s="145"/>
      <c r="Y51" s="145"/>
      <c r="Z51" s="145"/>
      <c r="AA51" s="145"/>
      <c r="AB51" s="145"/>
      <c r="AC51" s="145"/>
      <c r="AD51" s="145"/>
      <c r="AE51" s="145"/>
      <c r="AF51" s="145"/>
      <c r="AG51" s="145"/>
      <c r="AH51" s="145"/>
      <c r="AI51" s="145"/>
      <c r="AJ51" s="156"/>
      <c r="AK51" s="138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139"/>
    </row>
    <row r="52" spans="2:61" ht="20.100000000000001" customHeight="1" x14ac:dyDescent="0.45">
      <c r="B52" s="133"/>
      <c r="C52" s="27"/>
      <c r="D52" s="27"/>
      <c r="E52" s="27"/>
      <c r="F52" s="27"/>
      <c r="G52" s="134"/>
      <c r="H52" s="135"/>
      <c r="I52" s="27"/>
      <c r="J52" s="144" t="s">
        <v>224</v>
      </c>
      <c r="K52" s="145"/>
      <c r="L52" s="145"/>
      <c r="M52" s="145"/>
      <c r="N52" s="145"/>
      <c r="O52" s="145"/>
      <c r="P52" s="145"/>
      <c r="Q52" s="156"/>
      <c r="R52" s="145"/>
      <c r="S52" s="145"/>
      <c r="T52" s="145"/>
      <c r="U52" s="145"/>
      <c r="V52" s="145"/>
      <c r="W52" s="145"/>
      <c r="X52" s="145"/>
      <c r="Y52" s="145"/>
      <c r="Z52" s="145"/>
      <c r="AA52" s="145"/>
      <c r="AB52" s="145"/>
      <c r="AC52" s="145"/>
      <c r="AD52" s="145"/>
      <c r="AE52" s="145"/>
      <c r="AF52" s="145"/>
      <c r="AG52" s="145"/>
      <c r="AH52" s="145"/>
      <c r="AI52" s="145"/>
      <c r="AJ52" s="156"/>
      <c r="AK52" s="138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139"/>
    </row>
    <row r="53" spans="2:61" ht="20.100000000000001" customHeight="1" x14ac:dyDescent="0.45">
      <c r="B53" s="133"/>
      <c r="C53" s="27"/>
      <c r="D53" s="27"/>
      <c r="E53" s="27"/>
      <c r="F53" s="27"/>
      <c r="G53" s="134"/>
      <c r="H53" s="135"/>
      <c r="I53" s="27"/>
      <c r="J53" s="144" t="s">
        <v>225</v>
      </c>
      <c r="K53" s="145"/>
      <c r="L53" s="145"/>
      <c r="M53" s="145"/>
      <c r="N53" s="145"/>
      <c r="O53" s="145"/>
      <c r="P53" s="145"/>
      <c r="Q53" s="156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5"/>
      <c r="AC53" s="145"/>
      <c r="AD53" s="145"/>
      <c r="AE53" s="145"/>
      <c r="AF53" s="145"/>
      <c r="AG53" s="145"/>
      <c r="AH53" s="145"/>
      <c r="AI53" s="145"/>
      <c r="AJ53" s="156"/>
      <c r="AK53" s="138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139"/>
    </row>
    <row r="54" spans="2:61" ht="20.100000000000001" customHeight="1" x14ac:dyDescent="0.45">
      <c r="B54" s="133"/>
      <c r="C54" s="27"/>
      <c r="D54" s="27"/>
      <c r="E54" s="27"/>
      <c r="F54" s="27"/>
      <c r="G54" s="134"/>
      <c r="H54" s="135"/>
      <c r="I54" s="27"/>
      <c r="J54" s="144" t="s">
        <v>226</v>
      </c>
      <c r="K54" s="145"/>
      <c r="L54" s="145"/>
      <c r="M54" s="145"/>
      <c r="N54" s="145"/>
      <c r="O54" s="145"/>
      <c r="P54" s="145"/>
      <c r="Q54" s="156"/>
      <c r="R54" s="145"/>
      <c r="S54" s="145"/>
      <c r="T54" s="145"/>
      <c r="U54" s="145"/>
      <c r="V54" s="145"/>
      <c r="W54" s="145"/>
      <c r="X54" s="145"/>
      <c r="Y54" s="145"/>
      <c r="Z54" s="145"/>
      <c r="AA54" s="145"/>
      <c r="AB54" s="145"/>
      <c r="AC54" s="145"/>
      <c r="AD54" s="145"/>
      <c r="AE54" s="145"/>
      <c r="AF54" s="145"/>
      <c r="AG54" s="145"/>
      <c r="AH54" s="145"/>
      <c r="AI54" s="145"/>
      <c r="AJ54" s="156"/>
      <c r="AK54" s="138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139"/>
    </row>
    <row r="55" spans="2:61" ht="20.100000000000001" customHeight="1" x14ac:dyDescent="0.45">
      <c r="B55" s="133"/>
      <c r="C55" s="27"/>
      <c r="D55" s="27"/>
      <c r="E55" s="27"/>
      <c r="F55" s="27"/>
      <c r="G55" s="134"/>
      <c r="H55" s="135"/>
      <c r="I55" s="27"/>
      <c r="J55" s="144" t="s">
        <v>227</v>
      </c>
      <c r="K55" s="145"/>
      <c r="L55" s="145"/>
      <c r="M55" s="145"/>
      <c r="N55" s="145"/>
      <c r="O55" s="145"/>
      <c r="P55" s="145"/>
      <c r="Q55" s="156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5"/>
      <c r="AC55" s="145"/>
      <c r="AD55" s="145"/>
      <c r="AE55" s="145"/>
      <c r="AF55" s="145"/>
      <c r="AG55" s="145"/>
      <c r="AH55" s="145"/>
      <c r="AI55" s="145"/>
      <c r="AJ55" s="156"/>
      <c r="AK55" s="138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139"/>
    </row>
    <row r="56" spans="2:61" ht="20.100000000000001" customHeight="1" x14ac:dyDescent="0.45">
      <c r="B56" s="133"/>
      <c r="C56" s="27"/>
      <c r="D56" s="27"/>
      <c r="E56" s="27"/>
      <c r="F56" s="27"/>
      <c r="G56" s="134"/>
      <c r="H56" s="135"/>
      <c r="I56" s="27"/>
      <c r="J56" s="144" t="s">
        <v>228</v>
      </c>
      <c r="K56" s="145"/>
      <c r="L56" s="145"/>
      <c r="M56" s="145"/>
      <c r="N56" s="145"/>
      <c r="O56" s="145"/>
      <c r="P56" s="145"/>
      <c r="Q56" s="156"/>
      <c r="R56" s="145"/>
      <c r="S56" s="145"/>
      <c r="T56" s="145"/>
      <c r="U56" s="145"/>
      <c r="V56" s="145"/>
      <c r="W56" s="145"/>
      <c r="X56" s="145"/>
      <c r="Y56" s="145"/>
      <c r="Z56" s="145"/>
      <c r="AA56" s="145"/>
      <c r="AB56" s="145"/>
      <c r="AC56" s="145"/>
      <c r="AD56" s="145"/>
      <c r="AE56" s="145"/>
      <c r="AF56" s="145"/>
      <c r="AG56" s="145"/>
      <c r="AH56" s="145"/>
      <c r="AI56" s="145"/>
      <c r="AJ56" s="156"/>
      <c r="AK56" s="138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139"/>
    </row>
    <row r="57" spans="2:61" ht="20.100000000000001" customHeight="1" x14ac:dyDescent="0.45">
      <c r="B57" s="133"/>
      <c r="C57" s="27"/>
      <c r="D57" s="27"/>
      <c r="E57" s="27"/>
      <c r="F57" s="27"/>
      <c r="G57" s="134"/>
      <c r="H57" s="135"/>
      <c r="I57" s="27"/>
      <c r="J57" s="144" t="s">
        <v>229</v>
      </c>
      <c r="K57" s="145"/>
      <c r="L57" s="145"/>
      <c r="M57" s="145"/>
      <c r="N57" s="145"/>
      <c r="O57" s="145"/>
      <c r="P57" s="145"/>
      <c r="Q57" s="156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5"/>
      <c r="AC57" s="145"/>
      <c r="AD57" s="145"/>
      <c r="AE57" s="145"/>
      <c r="AF57" s="145"/>
      <c r="AG57" s="145"/>
      <c r="AH57" s="145"/>
      <c r="AI57" s="145"/>
      <c r="AJ57" s="156"/>
      <c r="AK57" s="138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139"/>
    </row>
    <row r="58" spans="2:61" ht="20.100000000000001" customHeight="1" x14ac:dyDescent="0.45">
      <c r="B58" s="133"/>
      <c r="C58" s="27"/>
      <c r="D58" s="27"/>
      <c r="E58" s="27"/>
      <c r="F58" s="27"/>
      <c r="G58" s="134"/>
      <c r="H58" s="135"/>
      <c r="I58" s="27"/>
      <c r="J58" s="136" t="s">
        <v>230</v>
      </c>
      <c r="K58" s="48"/>
      <c r="L58" s="48"/>
      <c r="M58" s="48"/>
      <c r="N58" s="48"/>
      <c r="O58" s="48"/>
      <c r="P58" s="48"/>
      <c r="Q58" s="137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137"/>
      <c r="AK58" s="138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139"/>
    </row>
    <row r="59" spans="2:61" ht="20.100000000000001" customHeight="1" x14ac:dyDescent="0.45">
      <c r="B59" s="133"/>
      <c r="C59" s="27"/>
      <c r="D59" s="27"/>
      <c r="E59" s="27"/>
      <c r="F59" s="27"/>
      <c r="G59" s="134"/>
      <c r="H59" s="140" t="s">
        <v>159</v>
      </c>
      <c r="I59" s="51"/>
      <c r="J59" s="140" t="s">
        <v>231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14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142"/>
    </row>
    <row r="60" spans="2:61" ht="20.100000000000001" customHeight="1" x14ac:dyDescent="0.45">
      <c r="B60" s="133"/>
      <c r="C60" s="27"/>
      <c r="D60" s="27"/>
      <c r="E60" s="27"/>
      <c r="F60" s="27"/>
      <c r="G60" s="134"/>
      <c r="H60" s="135"/>
      <c r="I60" s="27"/>
      <c r="J60" s="135" t="s">
        <v>195</v>
      </c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138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139"/>
    </row>
    <row r="61" spans="2:61" ht="20.100000000000001" customHeight="1" x14ac:dyDescent="0.45">
      <c r="B61" s="133"/>
      <c r="C61" s="27"/>
      <c r="D61" s="27"/>
      <c r="E61" s="27"/>
      <c r="F61" s="27"/>
      <c r="G61" s="134"/>
      <c r="H61" s="135"/>
      <c r="I61" s="27"/>
      <c r="J61" s="135" t="s">
        <v>233</v>
      </c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138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139"/>
    </row>
    <row r="62" spans="2:61" ht="20.100000000000001" customHeight="1" x14ac:dyDescent="0.45">
      <c r="B62" s="133"/>
      <c r="C62" s="27"/>
      <c r="D62" s="27"/>
      <c r="E62" s="27"/>
      <c r="F62" s="27"/>
      <c r="G62" s="134"/>
      <c r="H62" s="135"/>
      <c r="I62" s="27"/>
      <c r="J62" s="135" t="s">
        <v>232</v>
      </c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138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139"/>
    </row>
    <row r="63" spans="2:61" ht="20.100000000000001" customHeight="1" x14ac:dyDescent="0.45">
      <c r="B63" s="133"/>
      <c r="C63" s="27"/>
      <c r="D63" s="27"/>
      <c r="E63" s="27"/>
      <c r="F63" s="27"/>
      <c r="G63" s="134"/>
      <c r="H63" s="135"/>
      <c r="I63" s="27"/>
      <c r="J63" s="135" t="s">
        <v>233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138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139"/>
    </row>
    <row r="64" spans="2:61" ht="20.100000000000001" customHeight="1" x14ac:dyDescent="0.45">
      <c r="B64" s="133"/>
      <c r="C64" s="27"/>
      <c r="D64" s="27"/>
      <c r="E64" s="27"/>
      <c r="F64" s="27"/>
      <c r="G64" s="134"/>
      <c r="H64" s="135"/>
      <c r="I64" s="27"/>
      <c r="J64" s="135" t="s">
        <v>323</v>
      </c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138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139"/>
    </row>
    <row r="65" spans="2:61" ht="20.100000000000001" customHeight="1" x14ac:dyDescent="0.45">
      <c r="B65" s="133"/>
      <c r="C65" s="27"/>
      <c r="D65" s="27"/>
      <c r="E65" s="27"/>
      <c r="F65" s="27"/>
      <c r="G65" s="134"/>
      <c r="H65" s="135"/>
      <c r="I65" s="27"/>
      <c r="J65" s="135" t="s">
        <v>233</v>
      </c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138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139"/>
    </row>
    <row r="66" spans="2:61" ht="20.100000000000001" customHeight="1" x14ac:dyDescent="0.45">
      <c r="B66" s="133"/>
      <c r="C66" s="27"/>
      <c r="D66" s="27"/>
      <c r="E66" s="27"/>
      <c r="F66" s="27"/>
      <c r="G66" s="134"/>
      <c r="H66" s="135"/>
      <c r="I66" s="27"/>
      <c r="J66" s="135" t="s">
        <v>326</v>
      </c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138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139"/>
    </row>
    <row r="67" spans="2:61" ht="20.100000000000001" customHeight="1" x14ac:dyDescent="0.45">
      <c r="B67" s="133"/>
      <c r="C67" s="27"/>
      <c r="D67" s="27"/>
      <c r="E67" s="27"/>
      <c r="F67" s="27"/>
      <c r="G67" s="134"/>
      <c r="H67" s="135"/>
      <c r="I67" s="27"/>
      <c r="J67" s="135" t="s">
        <v>233</v>
      </c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138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139"/>
    </row>
    <row r="68" spans="2:61" ht="20.100000000000001" customHeight="1" x14ac:dyDescent="0.45">
      <c r="B68" s="133"/>
      <c r="C68" s="27"/>
      <c r="D68" s="27"/>
      <c r="E68" s="27"/>
      <c r="F68" s="27"/>
      <c r="G68" s="134"/>
      <c r="H68" s="135"/>
      <c r="I68" s="27"/>
      <c r="J68" s="135" t="s">
        <v>235</v>
      </c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138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139"/>
    </row>
    <row r="69" spans="2:61" ht="20.100000000000001" customHeight="1" x14ac:dyDescent="0.45">
      <c r="B69" s="133"/>
      <c r="C69" s="27"/>
      <c r="D69" s="27"/>
      <c r="E69" s="27"/>
      <c r="F69" s="27"/>
      <c r="G69" s="134"/>
      <c r="H69" s="135"/>
      <c r="I69" s="27"/>
      <c r="J69" s="135" t="s">
        <v>233</v>
      </c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138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139"/>
    </row>
    <row r="70" spans="2:61" ht="20.100000000000001" customHeight="1" x14ac:dyDescent="0.45">
      <c r="B70" s="133"/>
      <c r="C70" s="27"/>
      <c r="D70" s="27"/>
      <c r="E70" s="27"/>
      <c r="F70" s="27"/>
      <c r="G70" s="134"/>
      <c r="H70" s="135"/>
      <c r="I70" s="27"/>
      <c r="J70" s="135" t="s">
        <v>341</v>
      </c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138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139"/>
    </row>
    <row r="71" spans="2:61" ht="20.100000000000001" customHeight="1" x14ac:dyDescent="0.45">
      <c r="B71" s="133"/>
      <c r="C71" s="27"/>
      <c r="D71" s="27"/>
      <c r="E71" s="27"/>
      <c r="F71" s="27"/>
      <c r="G71" s="134"/>
      <c r="H71" s="135"/>
      <c r="I71" s="27"/>
      <c r="J71" s="135" t="s">
        <v>233</v>
      </c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138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139"/>
    </row>
    <row r="72" spans="2:61" ht="20.100000000000001" customHeight="1" x14ac:dyDescent="0.45">
      <c r="B72" s="133"/>
      <c r="C72" s="27"/>
      <c r="D72" s="27"/>
      <c r="E72" s="27"/>
      <c r="F72" s="27"/>
      <c r="G72" s="134"/>
      <c r="H72" s="135"/>
      <c r="I72" s="27"/>
      <c r="J72" s="135" t="s">
        <v>402</v>
      </c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138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139"/>
    </row>
    <row r="73" spans="2:61" ht="20.100000000000001" customHeight="1" thickBot="1" x14ac:dyDescent="0.5">
      <c r="B73" s="133"/>
      <c r="C73" s="27"/>
      <c r="D73" s="27"/>
      <c r="E73" s="27"/>
      <c r="F73" s="27"/>
      <c r="G73" s="134"/>
      <c r="H73" s="135"/>
      <c r="I73" s="27"/>
      <c r="J73" s="135" t="s">
        <v>240</v>
      </c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138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139"/>
    </row>
    <row r="74" spans="2:61" ht="20.100000000000001" customHeight="1" x14ac:dyDescent="0.45">
      <c r="B74" s="124" t="s">
        <v>195</v>
      </c>
      <c r="C74" s="125"/>
      <c r="D74" s="125"/>
      <c r="E74" s="125"/>
      <c r="F74" s="125"/>
      <c r="G74" s="126"/>
      <c r="H74" s="127" t="s">
        <v>158</v>
      </c>
      <c r="I74" s="125"/>
      <c r="J74" s="128" t="s">
        <v>241</v>
      </c>
      <c r="K74" s="129"/>
      <c r="L74" s="129"/>
      <c r="M74" s="129"/>
      <c r="N74" s="129"/>
      <c r="O74" s="129"/>
      <c r="P74" s="129"/>
      <c r="Q74" s="130"/>
      <c r="R74" s="129">
        <v>1</v>
      </c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30"/>
      <c r="AK74" s="131" t="s">
        <v>246</v>
      </c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  <c r="BI74" s="132"/>
    </row>
    <row r="75" spans="2:61" ht="20.100000000000001" customHeight="1" x14ac:dyDescent="0.45">
      <c r="B75" s="133"/>
      <c r="C75" s="27"/>
      <c r="D75" s="27"/>
      <c r="E75" s="27"/>
      <c r="F75" s="27"/>
      <c r="G75" s="134"/>
      <c r="H75" s="135"/>
      <c r="I75" s="27"/>
      <c r="J75" s="144" t="s">
        <v>163</v>
      </c>
      <c r="K75" s="145"/>
      <c r="L75" s="145"/>
      <c r="M75" s="145"/>
      <c r="N75" s="145"/>
      <c r="O75" s="145"/>
      <c r="P75" s="145"/>
      <c r="Q75" s="156"/>
      <c r="R75" s="145" t="s">
        <v>164</v>
      </c>
      <c r="S75" s="145"/>
      <c r="T75" s="145"/>
      <c r="U75" s="145"/>
      <c r="V75" s="145"/>
      <c r="W75" s="145"/>
      <c r="X75" s="145"/>
      <c r="Y75" s="145"/>
      <c r="Z75" s="145"/>
      <c r="AA75" s="145"/>
      <c r="AB75" s="145"/>
      <c r="AC75" s="145"/>
      <c r="AD75" s="145"/>
      <c r="AE75" s="145"/>
      <c r="AF75" s="145"/>
      <c r="AG75" s="145"/>
      <c r="AH75" s="145"/>
      <c r="AI75" s="145"/>
      <c r="AJ75" s="156"/>
      <c r="AK75" s="138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139"/>
    </row>
    <row r="76" spans="2:61" ht="20.100000000000001" customHeight="1" x14ac:dyDescent="0.45">
      <c r="B76" s="133"/>
      <c r="C76" s="27"/>
      <c r="D76" s="27"/>
      <c r="E76" s="27"/>
      <c r="F76" s="27"/>
      <c r="G76" s="134"/>
      <c r="H76" s="135"/>
      <c r="I76" s="27"/>
      <c r="J76" s="136" t="s">
        <v>244</v>
      </c>
      <c r="K76" s="48"/>
      <c r="L76" s="48"/>
      <c r="M76" s="48"/>
      <c r="N76" s="48"/>
      <c r="O76" s="48"/>
      <c r="P76" s="48"/>
      <c r="Q76" s="137"/>
      <c r="R76" s="48" t="s">
        <v>245</v>
      </c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137"/>
      <c r="AK76" s="138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139"/>
    </row>
    <row r="77" spans="2:61" ht="20.100000000000001" customHeight="1" x14ac:dyDescent="0.45">
      <c r="B77" s="133"/>
      <c r="C77" s="27"/>
      <c r="D77" s="27"/>
      <c r="E77" s="27"/>
      <c r="F77" s="27"/>
      <c r="G77" s="134"/>
      <c r="H77" s="135"/>
      <c r="I77" s="27"/>
      <c r="J77" s="140" t="s">
        <v>247</v>
      </c>
      <c r="K77" s="51"/>
      <c r="L77" s="51"/>
      <c r="M77" s="51"/>
      <c r="N77" s="51"/>
      <c r="O77" s="51"/>
      <c r="P77" s="51"/>
      <c r="Q77" s="51"/>
      <c r="R77" s="140" t="s">
        <v>248</v>
      </c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138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139"/>
    </row>
    <row r="78" spans="2:61" ht="20.100000000000001" customHeight="1" x14ac:dyDescent="0.45">
      <c r="B78" s="133"/>
      <c r="C78" s="27"/>
      <c r="D78" s="27"/>
      <c r="E78" s="27"/>
      <c r="F78" s="27"/>
      <c r="G78" s="134"/>
      <c r="H78" s="135"/>
      <c r="I78" s="27"/>
      <c r="J78" s="140" t="s">
        <v>249</v>
      </c>
      <c r="K78" s="51"/>
      <c r="L78" s="51"/>
      <c r="M78" s="51"/>
      <c r="N78" s="51"/>
      <c r="O78" s="51"/>
      <c r="P78" s="51"/>
      <c r="Q78" s="51"/>
      <c r="R78" s="140" t="s">
        <v>250</v>
      </c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138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139"/>
    </row>
    <row r="79" spans="2:61" ht="20.399999999999999" customHeight="1" x14ac:dyDescent="0.45">
      <c r="B79" s="133"/>
      <c r="C79" s="27"/>
      <c r="D79" s="27"/>
      <c r="E79" s="27"/>
      <c r="F79" s="27"/>
      <c r="G79" s="134"/>
      <c r="H79" s="135"/>
      <c r="I79" s="27"/>
      <c r="J79" s="140" t="s">
        <v>251</v>
      </c>
      <c r="K79" s="51"/>
      <c r="L79" s="51"/>
      <c r="M79" s="51"/>
      <c r="N79" s="51"/>
      <c r="O79" s="51"/>
      <c r="P79" s="51"/>
      <c r="Q79" s="51"/>
      <c r="R79" s="140" t="s">
        <v>252</v>
      </c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138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139"/>
    </row>
    <row r="80" spans="2:61" ht="20.399999999999999" customHeight="1" x14ac:dyDescent="0.45">
      <c r="B80" s="133"/>
      <c r="C80" s="27"/>
      <c r="D80" s="27"/>
      <c r="E80" s="27"/>
      <c r="F80" s="27"/>
      <c r="G80" s="134"/>
      <c r="H80" s="135"/>
      <c r="I80" s="27"/>
      <c r="J80" s="140" t="s">
        <v>253</v>
      </c>
      <c r="K80" s="51"/>
      <c r="L80" s="51"/>
      <c r="M80" s="51"/>
      <c r="N80" s="51"/>
      <c r="O80" s="51"/>
      <c r="P80" s="51"/>
      <c r="Q80" s="51"/>
      <c r="R80" s="140" t="s">
        <v>254</v>
      </c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138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139"/>
    </row>
    <row r="81" spans="2:61" ht="20.399999999999999" customHeight="1" x14ac:dyDescent="0.45">
      <c r="B81" s="133"/>
      <c r="C81" s="27"/>
      <c r="D81" s="27"/>
      <c r="E81" s="27"/>
      <c r="F81" s="27"/>
      <c r="G81" s="134"/>
      <c r="H81" s="135"/>
      <c r="I81" s="27"/>
      <c r="J81" s="140" t="s">
        <v>255</v>
      </c>
      <c r="K81" s="51"/>
      <c r="L81" s="51"/>
      <c r="M81" s="51"/>
      <c r="N81" s="51"/>
      <c r="O81" s="51"/>
      <c r="P81" s="51"/>
      <c r="Q81" s="51"/>
      <c r="R81" s="140" t="s">
        <v>256</v>
      </c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138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139"/>
    </row>
    <row r="82" spans="2:61" ht="20.399999999999999" customHeight="1" x14ac:dyDescent="0.45">
      <c r="B82" s="133"/>
      <c r="C82" s="27"/>
      <c r="D82" s="27"/>
      <c r="E82" s="27"/>
      <c r="F82" s="27"/>
      <c r="G82" s="134"/>
      <c r="H82" s="135"/>
      <c r="I82" s="27"/>
      <c r="J82" s="140" t="s">
        <v>257</v>
      </c>
      <c r="K82" s="51"/>
      <c r="L82" s="51"/>
      <c r="M82" s="51"/>
      <c r="N82" s="51"/>
      <c r="O82" s="51"/>
      <c r="P82" s="51"/>
      <c r="Q82" s="51"/>
      <c r="R82" s="140" t="s">
        <v>258</v>
      </c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138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139"/>
    </row>
    <row r="83" spans="2:61" ht="20.399999999999999" customHeight="1" x14ac:dyDescent="0.45">
      <c r="B83" s="133"/>
      <c r="C83" s="27"/>
      <c r="D83" s="27"/>
      <c r="E83" s="27"/>
      <c r="F83" s="27"/>
      <c r="G83" s="134"/>
      <c r="H83" s="135"/>
      <c r="I83" s="27"/>
      <c r="J83" s="140" t="s">
        <v>259</v>
      </c>
      <c r="K83" s="51"/>
      <c r="L83" s="51"/>
      <c r="M83" s="51"/>
      <c r="N83" s="51"/>
      <c r="O83" s="51"/>
      <c r="P83" s="51"/>
      <c r="Q83" s="51"/>
      <c r="R83" s="140" t="s">
        <v>260</v>
      </c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138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139"/>
    </row>
    <row r="84" spans="2:61" ht="20.399999999999999" customHeight="1" x14ac:dyDescent="0.45">
      <c r="B84" s="133"/>
      <c r="C84" s="27"/>
      <c r="D84" s="27"/>
      <c r="E84" s="27"/>
      <c r="F84" s="27"/>
      <c r="G84" s="134"/>
      <c r="H84" s="135"/>
      <c r="I84" s="27"/>
      <c r="J84" s="140" t="s">
        <v>261</v>
      </c>
      <c r="K84" s="51"/>
      <c r="L84" s="51"/>
      <c r="M84" s="51"/>
      <c r="N84" s="51"/>
      <c r="O84" s="51"/>
      <c r="P84" s="51"/>
      <c r="Q84" s="51"/>
      <c r="R84" s="140" t="s">
        <v>262</v>
      </c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138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139"/>
    </row>
    <row r="85" spans="2:61" ht="20.399999999999999" customHeight="1" x14ac:dyDescent="0.45">
      <c r="B85" s="133"/>
      <c r="C85" s="27"/>
      <c r="D85" s="27"/>
      <c r="E85" s="27"/>
      <c r="F85" s="27"/>
      <c r="G85" s="134"/>
      <c r="H85" s="135"/>
      <c r="I85" s="27"/>
      <c r="J85" s="140" t="s">
        <v>263</v>
      </c>
      <c r="K85" s="51"/>
      <c r="L85" s="51"/>
      <c r="M85" s="51"/>
      <c r="N85" s="51"/>
      <c r="O85" s="51"/>
      <c r="P85" s="51"/>
      <c r="Q85" s="51"/>
      <c r="R85" s="140" t="s">
        <v>264</v>
      </c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138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139"/>
    </row>
    <row r="86" spans="2:61" ht="20.399999999999999" customHeight="1" x14ac:dyDescent="0.45">
      <c r="B86" s="133"/>
      <c r="C86" s="27"/>
      <c r="D86" s="27"/>
      <c r="E86" s="27"/>
      <c r="F86" s="27"/>
      <c r="G86" s="134"/>
      <c r="H86" s="135"/>
      <c r="I86" s="27"/>
      <c r="J86" s="140" t="s">
        <v>265</v>
      </c>
      <c r="K86" s="51"/>
      <c r="L86" s="51"/>
      <c r="M86" s="51"/>
      <c r="N86" s="51"/>
      <c r="O86" s="51"/>
      <c r="P86" s="51"/>
      <c r="Q86" s="51"/>
      <c r="R86" s="140" t="s">
        <v>266</v>
      </c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138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139"/>
    </row>
    <row r="87" spans="2:61" ht="20.100000000000001" customHeight="1" x14ac:dyDescent="0.45">
      <c r="B87" s="133"/>
      <c r="C87" s="27"/>
      <c r="D87" s="27"/>
      <c r="E87" s="27"/>
      <c r="F87" s="27"/>
      <c r="G87" s="134"/>
      <c r="H87" s="135"/>
      <c r="I87" s="27"/>
      <c r="J87" s="140" t="s">
        <v>267</v>
      </c>
      <c r="K87" s="51"/>
      <c r="L87" s="51"/>
      <c r="M87" s="51"/>
      <c r="N87" s="51"/>
      <c r="O87" s="51"/>
      <c r="P87" s="51"/>
      <c r="Q87" s="51"/>
      <c r="R87" s="140" t="s">
        <v>268</v>
      </c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138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139"/>
    </row>
    <row r="88" spans="2:61" ht="20.100000000000001" customHeight="1" x14ac:dyDescent="0.45">
      <c r="B88" s="133"/>
      <c r="C88" s="27"/>
      <c r="D88" s="27"/>
      <c r="E88" s="27"/>
      <c r="F88" s="27"/>
      <c r="G88" s="134"/>
      <c r="H88" s="135"/>
      <c r="I88" s="27"/>
      <c r="J88" s="140" t="s">
        <v>269</v>
      </c>
      <c r="K88" s="51"/>
      <c r="L88" s="51"/>
      <c r="M88" s="51"/>
      <c r="N88" s="51"/>
      <c r="O88" s="51"/>
      <c r="P88" s="51"/>
      <c r="Q88" s="51"/>
      <c r="R88" s="136" t="s">
        <v>270</v>
      </c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138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139"/>
    </row>
    <row r="89" spans="2:61" ht="20.100000000000001" customHeight="1" x14ac:dyDescent="0.45">
      <c r="B89" s="133"/>
      <c r="C89" s="27"/>
      <c r="D89" s="27"/>
      <c r="E89" s="27"/>
      <c r="F89" s="27"/>
      <c r="G89" s="134"/>
      <c r="H89" s="135"/>
      <c r="I89" s="27"/>
      <c r="J89" s="140" t="s">
        <v>271</v>
      </c>
      <c r="K89" s="51"/>
      <c r="L89" s="51"/>
      <c r="M89" s="51"/>
      <c r="N89" s="51"/>
      <c r="O89" s="51"/>
      <c r="P89" s="51"/>
      <c r="Q89" s="51"/>
      <c r="R89" s="140" t="s">
        <v>272</v>
      </c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138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139"/>
    </row>
    <row r="90" spans="2:61" ht="20.100000000000001" customHeight="1" x14ac:dyDescent="0.45">
      <c r="B90" s="133"/>
      <c r="C90" s="27"/>
      <c r="D90" s="27"/>
      <c r="E90" s="27"/>
      <c r="F90" s="27"/>
      <c r="G90" s="134"/>
      <c r="H90" s="135"/>
      <c r="I90" s="27"/>
      <c r="J90" s="140" t="s">
        <v>273</v>
      </c>
      <c r="K90" s="51"/>
      <c r="L90" s="51"/>
      <c r="M90" s="51"/>
      <c r="N90" s="51"/>
      <c r="O90" s="51"/>
      <c r="P90" s="51"/>
      <c r="Q90" s="51"/>
      <c r="R90" s="140" t="s">
        <v>274</v>
      </c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138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139"/>
    </row>
    <row r="91" spans="2:61" ht="20.100000000000001" customHeight="1" x14ac:dyDescent="0.45">
      <c r="B91" s="133"/>
      <c r="C91" s="27"/>
      <c r="D91" s="27"/>
      <c r="E91" s="27"/>
      <c r="F91" s="27"/>
      <c r="G91" s="134"/>
      <c r="H91" s="135"/>
      <c r="I91" s="27"/>
      <c r="J91" s="140" t="s">
        <v>275</v>
      </c>
      <c r="K91" s="51"/>
      <c r="L91" s="51"/>
      <c r="M91" s="51"/>
      <c r="N91" s="51"/>
      <c r="O91" s="51"/>
      <c r="P91" s="51"/>
      <c r="Q91" s="51"/>
      <c r="R91" s="140" t="s">
        <v>276</v>
      </c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138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139"/>
    </row>
    <row r="92" spans="2:61" ht="20.100000000000001" customHeight="1" x14ac:dyDescent="0.45">
      <c r="B92" s="133"/>
      <c r="C92" s="27"/>
      <c r="D92" s="27"/>
      <c r="E92" s="27"/>
      <c r="F92" s="27"/>
      <c r="G92" s="134"/>
      <c r="H92" s="135"/>
      <c r="I92" s="27"/>
      <c r="J92" s="140" t="s">
        <v>277</v>
      </c>
      <c r="K92" s="51"/>
      <c r="L92" s="51"/>
      <c r="M92" s="51"/>
      <c r="N92" s="51"/>
      <c r="O92" s="51"/>
      <c r="P92" s="51"/>
      <c r="Q92" s="51"/>
      <c r="R92" s="140" t="s">
        <v>278</v>
      </c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138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139"/>
    </row>
    <row r="93" spans="2:61" ht="20.100000000000001" customHeight="1" x14ac:dyDescent="0.45">
      <c r="B93" s="133"/>
      <c r="C93" s="27"/>
      <c r="D93" s="27"/>
      <c r="E93" s="27"/>
      <c r="F93" s="27"/>
      <c r="G93" s="134"/>
      <c r="H93" s="135"/>
      <c r="I93" s="27"/>
      <c r="J93" s="140" t="s">
        <v>279</v>
      </c>
      <c r="K93" s="51"/>
      <c r="L93" s="51"/>
      <c r="M93" s="51"/>
      <c r="N93" s="51"/>
      <c r="O93" s="51"/>
      <c r="P93" s="51"/>
      <c r="Q93" s="51"/>
      <c r="R93" s="140" t="s">
        <v>280</v>
      </c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138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139"/>
    </row>
    <row r="94" spans="2:61" ht="20.100000000000001" customHeight="1" x14ac:dyDescent="0.45">
      <c r="B94" s="133"/>
      <c r="C94" s="27"/>
      <c r="D94" s="27"/>
      <c r="E94" s="27"/>
      <c r="F94" s="27"/>
      <c r="G94" s="134"/>
      <c r="H94" s="135"/>
      <c r="I94" s="27"/>
      <c r="J94" s="140" t="s">
        <v>281</v>
      </c>
      <c r="K94" s="51"/>
      <c r="L94" s="51"/>
      <c r="M94" s="51"/>
      <c r="N94" s="51"/>
      <c r="O94" s="51"/>
      <c r="P94" s="51"/>
      <c r="Q94" s="51"/>
      <c r="R94" s="141" t="s">
        <v>282</v>
      </c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138" t="s">
        <v>283</v>
      </c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139"/>
    </row>
    <row r="95" spans="2:61" ht="20.100000000000001" customHeight="1" x14ac:dyDescent="0.45">
      <c r="B95" s="133"/>
      <c r="C95" s="27"/>
      <c r="D95" s="27"/>
      <c r="E95" s="27"/>
      <c r="F95" s="27"/>
      <c r="G95" s="134"/>
      <c r="H95" s="135"/>
      <c r="I95" s="27"/>
      <c r="J95" s="140" t="s">
        <v>284</v>
      </c>
      <c r="K95" s="51"/>
      <c r="L95" s="51"/>
      <c r="M95" s="51"/>
      <c r="N95" s="51"/>
      <c r="O95" s="51"/>
      <c r="P95" s="51"/>
      <c r="Q95" s="51"/>
      <c r="R95" s="140" t="s">
        <v>285</v>
      </c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138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139"/>
    </row>
    <row r="96" spans="2:61" ht="20.100000000000001" customHeight="1" x14ac:dyDescent="0.45">
      <c r="B96" s="133"/>
      <c r="C96" s="27"/>
      <c r="D96" s="27"/>
      <c r="E96" s="27"/>
      <c r="F96" s="27"/>
      <c r="G96" s="134"/>
      <c r="H96" s="135"/>
      <c r="I96" s="27"/>
      <c r="J96" s="140" t="s">
        <v>286</v>
      </c>
      <c r="K96" s="51"/>
      <c r="L96" s="51"/>
      <c r="M96" s="51"/>
      <c r="N96" s="51"/>
      <c r="O96" s="51"/>
      <c r="P96" s="51"/>
      <c r="Q96" s="51"/>
      <c r="R96" s="140" t="s">
        <v>287</v>
      </c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138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139"/>
    </row>
    <row r="97" spans="2:61" ht="20.100000000000001" customHeight="1" x14ac:dyDescent="0.45">
      <c r="B97" s="133"/>
      <c r="C97" s="27"/>
      <c r="D97" s="27"/>
      <c r="E97" s="27"/>
      <c r="F97" s="27"/>
      <c r="G97" s="134"/>
      <c r="H97" s="135"/>
      <c r="I97" s="27"/>
      <c r="J97" s="140" t="s">
        <v>288</v>
      </c>
      <c r="K97" s="51"/>
      <c r="L97" s="51"/>
      <c r="M97" s="51"/>
      <c r="N97" s="51"/>
      <c r="O97" s="51"/>
      <c r="P97" s="51"/>
      <c r="Q97" s="51"/>
      <c r="R97" s="140" t="s">
        <v>289</v>
      </c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138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139"/>
    </row>
    <row r="98" spans="2:61" ht="20.100000000000001" customHeight="1" x14ac:dyDescent="0.45">
      <c r="B98" s="133"/>
      <c r="C98" s="27"/>
      <c r="D98" s="27"/>
      <c r="E98" s="27"/>
      <c r="F98" s="27"/>
      <c r="G98" s="134"/>
      <c r="H98" s="135"/>
      <c r="I98" s="27"/>
      <c r="J98" s="140" t="s">
        <v>290</v>
      </c>
      <c r="K98" s="51"/>
      <c r="L98" s="51"/>
      <c r="M98" s="51"/>
      <c r="N98" s="51"/>
      <c r="O98" s="51"/>
      <c r="P98" s="51"/>
      <c r="Q98" s="51"/>
      <c r="R98" s="141" t="s">
        <v>291</v>
      </c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138" t="s">
        <v>292</v>
      </c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139"/>
    </row>
    <row r="99" spans="2:61" ht="20.100000000000001" customHeight="1" x14ac:dyDescent="0.45">
      <c r="B99" s="133"/>
      <c r="C99" s="27"/>
      <c r="D99" s="27"/>
      <c r="E99" s="27"/>
      <c r="F99" s="27"/>
      <c r="G99" s="134"/>
      <c r="H99" s="135"/>
      <c r="I99" s="27"/>
      <c r="J99" s="140" t="s">
        <v>177</v>
      </c>
      <c r="K99" s="51"/>
      <c r="L99" s="51"/>
      <c r="M99" s="51"/>
      <c r="N99" s="51"/>
      <c r="O99" s="51"/>
      <c r="P99" s="51"/>
      <c r="Q99" s="51"/>
      <c r="R99" s="140" t="s">
        <v>293</v>
      </c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138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139"/>
    </row>
    <row r="100" spans="2:61" ht="20.100000000000001" customHeight="1" x14ac:dyDescent="0.45">
      <c r="B100" s="133"/>
      <c r="C100" s="27"/>
      <c r="D100" s="27"/>
      <c r="E100" s="27"/>
      <c r="F100" s="27"/>
      <c r="G100" s="134"/>
      <c r="H100" s="135"/>
      <c r="I100" s="27"/>
      <c r="J100" s="140" t="s">
        <v>294</v>
      </c>
      <c r="K100" s="51"/>
      <c r="L100" s="51"/>
      <c r="M100" s="51"/>
      <c r="N100" s="51"/>
      <c r="O100" s="51"/>
      <c r="P100" s="51"/>
      <c r="Q100" s="51"/>
      <c r="R100" s="140" t="s">
        <v>295</v>
      </c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138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139"/>
    </row>
    <row r="101" spans="2:61" ht="20.100000000000001" customHeight="1" x14ac:dyDescent="0.45">
      <c r="B101" s="133"/>
      <c r="C101" s="27"/>
      <c r="D101" s="27"/>
      <c r="E101" s="27"/>
      <c r="F101" s="27"/>
      <c r="G101" s="134"/>
      <c r="H101" s="135"/>
      <c r="I101" s="27"/>
      <c r="J101" s="140" t="s">
        <v>296</v>
      </c>
      <c r="K101" s="51"/>
      <c r="L101" s="51"/>
      <c r="M101" s="51"/>
      <c r="N101" s="51"/>
      <c r="O101" s="51"/>
      <c r="P101" s="51"/>
      <c r="Q101" s="51"/>
      <c r="R101" s="140" t="s">
        <v>297</v>
      </c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138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139"/>
    </row>
    <row r="102" spans="2:61" ht="20.100000000000001" customHeight="1" x14ac:dyDescent="0.45">
      <c r="B102" s="133"/>
      <c r="C102" s="27"/>
      <c r="D102" s="27"/>
      <c r="E102" s="27"/>
      <c r="F102" s="27"/>
      <c r="G102" s="134"/>
      <c r="H102" s="135"/>
      <c r="I102" s="27"/>
      <c r="J102" s="140" t="s">
        <v>298</v>
      </c>
      <c r="K102" s="51"/>
      <c r="L102" s="51"/>
      <c r="M102" s="51"/>
      <c r="N102" s="51"/>
      <c r="O102" s="51"/>
      <c r="P102" s="51"/>
      <c r="Q102" s="51"/>
      <c r="R102" s="140" t="s">
        <v>299</v>
      </c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138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139"/>
    </row>
    <row r="103" spans="2:61" ht="20.100000000000001" customHeight="1" x14ac:dyDescent="0.45">
      <c r="B103" s="133"/>
      <c r="C103" s="27"/>
      <c r="D103" s="27"/>
      <c r="E103" s="27"/>
      <c r="F103" s="27"/>
      <c r="G103" s="134"/>
      <c r="H103" s="135"/>
      <c r="I103" s="27"/>
      <c r="J103" s="140" t="s">
        <v>300</v>
      </c>
      <c r="K103" s="51"/>
      <c r="L103" s="51"/>
      <c r="M103" s="51"/>
      <c r="N103" s="51"/>
      <c r="O103" s="51"/>
      <c r="P103" s="51"/>
      <c r="Q103" s="51"/>
      <c r="R103" s="140" t="s">
        <v>301</v>
      </c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138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139"/>
    </row>
    <row r="104" spans="2:61" ht="20.100000000000001" customHeight="1" x14ac:dyDescent="0.45">
      <c r="B104" s="133"/>
      <c r="C104" s="27"/>
      <c r="D104" s="27"/>
      <c r="E104" s="27"/>
      <c r="F104" s="27"/>
      <c r="G104" s="134"/>
      <c r="H104" s="135"/>
      <c r="I104" s="27"/>
      <c r="J104" s="140" t="s">
        <v>302</v>
      </c>
      <c r="K104" s="51"/>
      <c r="L104" s="51"/>
      <c r="M104" s="51"/>
      <c r="N104" s="51"/>
      <c r="O104" s="51"/>
      <c r="P104" s="51"/>
      <c r="Q104" s="51"/>
      <c r="R104" s="140" t="s">
        <v>303</v>
      </c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138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139"/>
    </row>
    <row r="105" spans="2:61" ht="20.100000000000001" customHeight="1" x14ac:dyDescent="0.45">
      <c r="B105" s="133"/>
      <c r="C105" s="27"/>
      <c r="D105" s="27"/>
      <c r="E105" s="27"/>
      <c r="F105" s="27"/>
      <c r="G105" s="134"/>
      <c r="H105" s="135"/>
      <c r="I105" s="27"/>
      <c r="J105" s="140" t="s">
        <v>304</v>
      </c>
      <c r="K105" s="51"/>
      <c r="L105" s="51"/>
      <c r="M105" s="51"/>
      <c r="N105" s="51"/>
      <c r="O105" s="51"/>
      <c r="P105" s="51"/>
      <c r="Q105" s="51"/>
      <c r="R105" s="140" t="s">
        <v>305</v>
      </c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138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139"/>
    </row>
    <row r="106" spans="2:61" ht="20.100000000000001" customHeight="1" x14ac:dyDescent="0.45">
      <c r="B106" s="133"/>
      <c r="C106" s="27"/>
      <c r="D106" s="27"/>
      <c r="E106" s="27"/>
      <c r="F106" s="27"/>
      <c r="G106" s="134"/>
      <c r="H106" s="135"/>
      <c r="I106" s="27"/>
      <c r="J106" s="140" t="s">
        <v>306</v>
      </c>
      <c r="K106" s="51"/>
      <c r="L106" s="51"/>
      <c r="M106" s="51"/>
      <c r="N106" s="51"/>
      <c r="O106" s="51"/>
      <c r="P106" s="51"/>
      <c r="Q106" s="51"/>
      <c r="R106" s="140" t="s">
        <v>307</v>
      </c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138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139"/>
    </row>
    <row r="107" spans="2:61" ht="20.100000000000001" customHeight="1" x14ac:dyDescent="0.45">
      <c r="B107" s="133"/>
      <c r="C107" s="27"/>
      <c r="D107" s="27"/>
      <c r="E107" s="27"/>
      <c r="F107" s="27"/>
      <c r="G107" s="134"/>
      <c r="H107" s="135"/>
      <c r="I107" s="27"/>
      <c r="J107" s="140" t="s">
        <v>308</v>
      </c>
      <c r="K107" s="51"/>
      <c r="L107" s="51"/>
      <c r="M107" s="51"/>
      <c r="N107" s="51"/>
      <c r="O107" s="51"/>
      <c r="P107" s="51"/>
      <c r="Q107" s="51"/>
      <c r="R107" s="140" t="s">
        <v>309</v>
      </c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138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139"/>
    </row>
    <row r="108" spans="2:61" ht="20.100000000000001" customHeight="1" x14ac:dyDescent="0.45">
      <c r="B108" s="133"/>
      <c r="C108" s="27"/>
      <c r="D108" s="27"/>
      <c r="E108" s="27"/>
      <c r="F108" s="27"/>
      <c r="G108" s="134"/>
      <c r="H108" s="135"/>
      <c r="I108" s="27"/>
      <c r="J108" s="140" t="s">
        <v>310</v>
      </c>
      <c r="K108" s="51"/>
      <c r="L108" s="51"/>
      <c r="M108" s="51"/>
      <c r="N108" s="51"/>
      <c r="O108" s="51"/>
      <c r="P108" s="51"/>
      <c r="Q108" s="51"/>
      <c r="R108" s="140" t="s">
        <v>311</v>
      </c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138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139"/>
    </row>
    <row r="109" spans="2:61" ht="20.100000000000001" customHeight="1" x14ac:dyDescent="0.45">
      <c r="B109" s="133"/>
      <c r="C109" s="27"/>
      <c r="D109" s="27"/>
      <c r="E109" s="27"/>
      <c r="F109" s="27"/>
      <c r="G109" s="134"/>
      <c r="H109" s="140" t="s">
        <v>159</v>
      </c>
      <c r="I109" s="51"/>
      <c r="J109" s="140" t="s">
        <v>312</v>
      </c>
      <c r="K109" s="51"/>
      <c r="L109" s="48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14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142"/>
    </row>
    <row r="110" spans="2:61" ht="20.100000000000001" customHeight="1" x14ac:dyDescent="0.45">
      <c r="B110" s="133"/>
      <c r="C110" s="27"/>
      <c r="D110" s="27"/>
      <c r="E110" s="27"/>
      <c r="F110" s="27"/>
      <c r="G110" s="134"/>
      <c r="H110" s="140" t="s">
        <v>160</v>
      </c>
      <c r="I110" s="51"/>
      <c r="J110" s="140" t="s">
        <v>313</v>
      </c>
      <c r="K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14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142"/>
    </row>
    <row r="111" spans="2:61" ht="20.100000000000001" customHeight="1" x14ac:dyDescent="0.45">
      <c r="B111" s="133"/>
      <c r="C111" s="27"/>
      <c r="D111" s="27"/>
      <c r="E111" s="27"/>
      <c r="F111" s="27"/>
      <c r="G111" s="134"/>
      <c r="H111" s="135"/>
      <c r="I111" s="27"/>
      <c r="J111" s="135" t="s">
        <v>314</v>
      </c>
      <c r="K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138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139"/>
    </row>
    <row r="112" spans="2:61" ht="20.100000000000001" customHeight="1" x14ac:dyDescent="0.45">
      <c r="B112" s="133"/>
      <c r="C112" s="27"/>
      <c r="D112" s="27"/>
      <c r="E112" s="27"/>
      <c r="F112" s="27"/>
      <c r="G112" s="134"/>
      <c r="H112" s="135"/>
      <c r="I112" s="27"/>
      <c r="J112" s="135" t="s">
        <v>315</v>
      </c>
      <c r="K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138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139"/>
    </row>
    <row r="113" spans="2:61" ht="20.100000000000001" customHeight="1" x14ac:dyDescent="0.45">
      <c r="B113" s="133"/>
      <c r="C113" s="27"/>
      <c r="D113" s="27"/>
      <c r="E113" s="27"/>
      <c r="F113" s="27"/>
      <c r="G113" s="134"/>
      <c r="H113" s="135"/>
      <c r="I113" s="27"/>
      <c r="J113" s="144"/>
      <c r="K113" s="27" t="s">
        <v>316</v>
      </c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138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139"/>
    </row>
    <row r="114" spans="2:61" ht="20.100000000000001" customHeight="1" x14ac:dyDescent="0.45">
      <c r="B114" s="143"/>
      <c r="C114" s="27"/>
      <c r="D114" s="27"/>
      <c r="E114" s="27"/>
      <c r="F114" s="27"/>
      <c r="G114" s="134"/>
      <c r="H114" s="140" t="s">
        <v>161</v>
      </c>
      <c r="I114" s="51"/>
      <c r="J114" s="140" t="s">
        <v>317</v>
      </c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14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142"/>
    </row>
    <row r="115" spans="2:61" ht="20.100000000000001" customHeight="1" x14ac:dyDescent="0.45">
      <c r="B115" s="143"/>
      <c r="C115" s="27"/>
      <c r="D115" s="27"/>
      <c r="E115" s="27"/>
      <c r="F115" s="27"/>
      <c r="G115" s="134"/>
      <c r="H115" s="135"/>
      <c r="I115" s="27"/>
      <c r="J115" s="135" t="s">
        <v>318</v>
      </c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138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139"/>
    </row>
    <row r="116" spans="2:61" ht="20.100000000000001" customHeight="1" thickBot="1" x14ac:dyDescent="0.5">
      <c r="B116" s="143"/>
      <c r="C116" s="27"/>
      <c r="D116" s="27"/>
      <c r="E116" s="27"/>
      <c r="F116" s="27"/>
      <c r="G116" s="134"/>
      <c r="H116" s="135"/>
      <c r="I116" s="27"/>
      <c r="J116" s="135" t="s">
        <v>319</v>
      </c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138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139"/>
    </row>
    <row r="117" spans="2:61" ht="20.100000000000001" customHeight="1" x14ac:dyDescent="0.45">
      <c r="B117" s="124" t="s">
        <v>232</v>
      </c>
      <c r="C117" s="125"/>
      <c r="D117" s="125"/>
      <c r="E117" s="125"/>
      <c r="F117" s="125"/>
      <c r="G117" s="126"/>
      <c r="H117" s="127" t="s">
        <v>158</v>
      </c>
      <c r="I117" s="125"/>
      <c r="J117" s="128" t="s">
        <v>241</v>
      </c>
      <c r="K117" s="129"/>
      <c r="L117" s="129"/>
      <c r="M117" s="129"/>
      <c r="N117" s="129"/>
      <c r="O117" s="129"/>
      <c r="P117" s="129"/>
      <c r="Q117" s="130"/>
      <c r="R117" s="129">
        <v>1</v>
      </c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30"/>
      <c r="AK117" s="131" t="s">
        <v>320</v>
      </c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  <c r="BI117" s="132"/>
    </row>
    <row r="118" spans="2:61" ht="20.100000000000001" customHeight="1" x14ac:dyDescent="0.45">
      <c r="B118" s="133"/>
      <c r="C118" s="27"/>
      <c r="D118" s="27"/>
      <c r="E118" s="27"/>
      <c r="F118" s="27"/>
      <c r="G118" s="134"/>
      <c r="H118" s="135"/>
      <c r="I118" s="27"/>
      <c r="J118" s="144" t="s">
        <v>163</v>
      </c>
      <c r="K118" s="145"/>
      <c r="L118" s="145"/>
      <c r="M118" s="145"/>
      <c r="N118" s="145"/>
      <c r="O118" s="145"/>
      <c r="P118" s="145"/>
      <c r="Q118" s="156"/>
      <c r="R118" s="145" t="s">
        <v>164</v>
      </c>
      <c r="S118" s="145"/>
      <c r="T118" s="145"/>
      <c r="U118" s="145"/>
      <c r="V118" s="145"/>
      <c r="W118" s="145"/>
      <c r="X118" s="145"/>
      <c r="Y118" s="145"/>
      <c r="Z118" s="145"/>
      <c r="AA118" s="145"/>
      <c r="AB118" s="145"/>
      <c r="AC118" s="145"/>
      <c r="AD118" s="145"/>
      <c r="AE118" s="145"/>
      <c r="AF118" s="145"/>
      <c r="AG118" s="145"/>
      <c r="AH118" s="145"/>
      <c r="AI118" s="145"/>
      <c r="AJ118" s="156"/>
      <c r="AK118" s="138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139"/>
    </row>
    <row r="119" spans="2:61" ht="20.100000000000001" customHeight="1" x14ac:dyDescent="0.45">
      <c r="B119" s="133"/>
      <c r="C119" s="27"/>
      <c r="D119" s="27"/>
      <c r="E119" s="27"/>
      <c r="F119" s="27"/>
      <c r="G119" s="134"/>
      <c r="H119" s="135"/>
      <c r="I119" s="27"/>
      <c r="J119" s="136" t="s">
        <v>244</v>
      </c>
      <c r="K119" s="48"/>
      <c r="L119" s="48"/>
      <c r="M119" s="48"/>
      <c r="N119" s="48"/>
      <c r="O119" s="48"/>
      <c r="P119" s="48"/>
      <c r="Q119" s="137"/>
      <c r="R119" s="48" t="s">
        <v>245</v>
      </c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137"/>
      <c r="AK119" s="138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139"/>
    </row>
    <row r="120" spans="2:61" ht="20.100000000000001" customHeight="1" x14ac:dyDescent="0.45">
      <c r="B120" s="133"/>
      <c r="C120" s="27"/>
      <c r="D120" s="27"/>
      <c r="E120" s="27"/>
      <c r="F120" s="27"/>
      <c r="G120" s="134"/>
      <c r="H120" s="135"/>
      <c r="I120" s="27"/>
      <c r="J120" s="140" t="s">
        <v>247</v>
      </c>
      <c r="K120" s="51"/>
      <c r="L120" s="51"/>
      <c r="M120" s="51"/>
      <c r="N120" s="51"/>
      <c r="O120" s="51"/>
      <c r="P120" s="51"/>
      <c r="Q120" s="51"/>
      <c r="R120" s="140" t="s">
        <v>248</v>
      </c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138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139"/>
    </row>
    <row r="121" spans="2:61" ht="20.100000000000001" customHeight="1" x14ac:dyDescent="0.45">
      <c r="B121" s="133"/>
      <c r="C121" s="27"/>
      <c r="D121" s="27"/>
      <c r="E121" s="27"/>
      <c r="F121" s="27"/>
      <c r="G121" s="134"/>
      <c r="H121" s="135"/>
      <c r="I121" s="27"/>
      <c r="J121" s="140" t="s">
        <v>249</v>
      </c>
      <c r="K121" s="51"/>
      <c r="L121" s="51"/>
      <c r="M121" s="51"/>
      <c r="N121" s="51"/>
      <c r="O121" s="51"/>
      <c r="P121" s="51"/>
      <c r="Q121" s="51"/>
      <c r="R121" s="140" t="s">
        <v>250</v>
      </c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138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139"/>
    </row>
    <row r="122" spans="2:61" ht="20.399999999999999" customHeight="1" x14ac:dyDescent="0.45">
      <c r="B122" s="133"/>
      <c r="C122" s="27"/>
      <c r="D122" s="27"/>
      <c r="E122" s="27"/>
      <c r="F122" s="27"/>
      <c r="G122" s="134"/>
      <c r="H122" s="135"/>
      <c r="I122" s="27"/>
      <c r="J122" s="140" t="s">
        <v>251</v>
      </c>
      <c r="K122" s="51"/>
      <c r="L122" s="51"/>
      <c r="M122" s="51"/>
      <c r="N122" s="51"/>
      <c r="O122" s="51"/>
      <c r="P122" s="51"/>
      <c r="Q122" s="51"/>
      <c r="R122" s="140" t="s">
        <v>252</v>
      </c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138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139"/>
    </row>
    <row r="123" spans="2:61" ht="20.399999999999999" customHeight="1" x14ac:dyDescent="0.45">
      <c r="B123" s="133"/>
      <c r="C123" s="27"/>
      <c r="D123" s="27"/>
      <c r="E123" s="27"/>
      <c r="F123" s="27"/>
      <c r="G123" s="134"/>
      <c r="H123" s="135"/>
      <c r="I123" s="27"/>
      <c r="J123" s="140" t="s">
        <v>253</v>
      </c>
      <c r="K123" s="51"/>
      <c r="L123" s="51"/>
      <c r="M123" s="51"/>
      <c r="N123" s="51"/>
      <c r="O123" s="51"/>
      <c r="P123" s="51"/>
      <c r="Q123" s="51"/>
      <c r="R123" s="140" t="s">
        <v>254</v>
      </c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138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139"/>
    </row>
    <row r="124" spans="2:61" ht="20.399999999999999" customHeight="1" x14ac:dyDescent="0.45">
      <c r="B124" s="133"/>
      <c r="C124" s="27"/>
      <c r="D124" s="27"/>
      <c r="E124" s="27"/>
      <c r="F124" s="27"/>
      <c r="G124" s="134"/>
      <c r="H124" s="135"/>
      <c r="I124" s="27"/>
      <c r="J124" s="140" t="s">
        <v>255</v>
      </c>
      <c r="K124" s="51"/>
      <c r="L124" s="51"/>
      <c r="M124" s="51"/>
      <c r="N124" s="51"/>
      <c r="O124" s="51"/>
      <c r="P124" s="51"/>
      <c r="Q124" s="51"/>
      <c r="R124" s="140" t="s">
        <v>256</v>
      </c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138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139"/>
    </row>
    <row r="125" spans="2:61" ht="20.399999999999999" customHeight="1" x14ac:dyDescent="0.45">
      <c r="B125" s="133"/>
      <c r="C125" s="27"/>
      <c r="D125" s="27"/>
      <c r="E125" s="27"/>
      <c r="F125" s="27"/>
      <c r="G125" s="134"/>
      <c r="H125" s="135"/>
      <c r="I125" s="27"/>
      <c r="J125" s="140" t="s">
        <v>257</v>
      </c>
      <c r="K125" s="51"/>
      <c r="L125" s="51"/>
      <c r="M125" s="51"/>
      <c r="N125" s="51"/>
      <c r="O125" s="51"/>
      <c r="P125" s="51"/>
      <c r="Q125" s="51"/>
      <c r="R125" s="140" t="s">
        <v>258</v>
      </c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138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139"/>
    </row>
    <row r="126" spans="2:61" ht="20.399999999999999" customHeight="1" x14ac:dyDescent="0.45">
      <c r="B126" s="133"/>
      <c r="C126" s="27"/>
      <c r="D126" s="27"/>
      <c r="E126" s="27"/>
      <c r="F126" s="27"/>
      <c r="G126" s="134"/>
      <c r="H126" s="135"/>
      <c r="I126" s="27"/>
      <c r="J126" s="140" t="s">
        <v>259</v>
      </c>
      <c r="K126" s="51"/>
      <c r="L126" s="51"/>
      <c r="M126" s="51"/>
      <c r="N126" s="51"/>
      <c r="O126" s="51"/>
      <c r="P126" s="51"/>
      <c r="Q126" s="51"/>
      <c r="R126" s="140" t="s">
        <v>260</v>
      </c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138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139"/>
    </row>
    <row r="127" spans="2:61" ht="20.399999999999999" customHeight="1" x14ac:dyDescent="0.45">
      <c r="B127" s="133"/>
      <c r="C127" s="27"/>
      <c r="D127" s="27"/>
      <c r="E127" s="27"/>
      <c r="F127" s="27"/>
      <c r="G127" s="134"/>
      <c r="H127" s="135"/>
      <c r="I127" s="27"/>
      <c r="J127" s="140" t="s">
        <v>261</v>
      </c>
      <c r="K127" s="51"/>
      <c r="L127" s="51"/>
      <c r="M127" s="51"/>
      <c r="N127" s="51"/>
      <c r="O127" s="51"/>
      <c r="P127" s="51"/>
      <c r="Q127" s="51"/>
      <c r="R127" s="140" t="s">
        <v>262</v>
      </c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138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139"/>
    </row>
    <row r="128" spans="2:61" ht="20.399999999999999" customHeight="1" x14ac:dyDescent="0.45">
      <c r="B128" s="133"/>
      <c r="C128" s="27"/>
      <c r="D128" s="27"/>
      <c r="E128" s="27"/>
      <c r="F128" s="27"/>
      <c r="G128" s="134"/>
      <c r="H128" s="135"/>
      <c r="I128" s="27"/>
      <c r="J128" s="140" t="s">
        <v>263</v>
      </c>
      <c r="K128" s="51"/>
      <c r="L128" s="51"/>
      <c r="M128" s="51"/>
      <c r="N128" s="51"/>
      <c r="O128" s="51"/>
      <c r="P128" s="51"/>
      <c r="Q128" s="51"/>
      <c r="R128" s="140" t="s">
        <v>264</v>
      </c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138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139"/>
    </row>
    <row r="129" spans="2:61" ht="20.399999999999999" customHeight="1" x14ac:dyDescent="0.45">
      <c r="B129" s="133"/>
      <c r="C129" s="27"/>
      <c r="D129" s="27"/>
      <c r="E129" s="27"/>
      <c r="F129" s="27"/>
      <c r="G129" s="134"/>
      <c r="H129" s="135"/>
      <c r="I129" s="27"/>
      <c r="J129" s="140" t="s">
        <v>265</v>
      </c>
      <c r="K129" s="51"/>
      <c r="L129" s="51"/>
      <c r="M129" s="51"/>
      <c r="N129" s="51"/>
      <c r="O129" s="51"/>
      <c r="P129" s="51"/>
      <c r="Q129" s="51"/>
      <c r="R129" s="140" t="s">
        <v>266</v>
      </c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138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139"/>
    </row>
    <row r="130" spans="2:61" ht="20.100000000000001" customHeight="1" x14ac:dyDescent="0.45">
      <c r="B130" s="133"/>
      <c r="C130" s="27"/>
      <c r="D130" s="27"/>
      <c r="E130" s="27"/>
      <c r="F130" s="27"/>
      <c r="G130" s="134"/>
      <c r="H130" s="135"/>
      <c r="I130" s="27"/>
      <c r="J130" s="140" t="s">
        <v>267</v>
      </c>
      <c r="K130" s="51"/>
      <c r="L130" s="51"/>
      <c r="M130" s="51"/>
      <c r="N130" s="51"/>
      <c r="O130" s="51"/>
      <c r="P130" s="51"/>
      <c r="Q130" s="51"/>
      <c r="R130" s="140" t="s">
        <v>268</v>
      </c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138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139"/>
    </row>
    <row r="131" spans="2:61" ht="20.100000000000001" customHeight="1" x14ac:dyDescent="0.45">
      <c r="B131" s="133"/>
      <c r="C131" s="27"/>
      <c r="D131" s="27"/>
      <c r="E131" s="27"/>
      <c r="F131" s="27"/>
      <c r="G131" s="134"/>
      <c r="H131" s="135"/>
      <c r="I131" s="27"/>
      <c r="J131" s="140" t="s">
        <v>269</v>
      </c>
      <c r="K131" s="51"/>
      <c r="L131" s="51"/>
      <c r="M131" s="51"/>
      <c r="N131" s="51"/>
      <c r="O131" s="51"/>
      <c r="P131" s="51"/>
      <c r="Q131" s="51"/>
      <c r="R131" s="136" t="s">
        <v>270</v>
      </c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138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139"/>
    </row>
    <row r="132" spans="2:61" ht="20.100000000000001" customHeight="1" x14ac:dyDescent="0.45">
      <c r="B132" s="133"/>
      <c r="C132" s="27"/>
      <c r="D132" s="27"/>
      <c r="E132" s="27"/>
      <c r="F132" s="27"/>
      <c r="G132" s="134"/>
      <c r="H132" s="135"/>
      <c r="I132" s="27"/>
      <c r="J132" s="140" t="s">
        <v>271</v>
      </c>
      <c r="K132" s="51"/>
      <c r="L132" s="51"/>
      <c r="M132" s="51"/>
      <c r="N132" s="51"/>
      <c r="O132" s="51"/>
      <c r="P132" s="51"/>
      <c r="Q132" s="51"/>
      <c r="R132" s="140" t="s">
        <v>272</v>
      </c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138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139"/>
    </row>
    <row r="133" spans="2:61" ht="20.100000000000001" customHeight="1" x14ac:dyDescent="0.45">
      <c r="B133" s="133"/>
      <c r="C133" s="27"/>
      <c r="D133" s="27"/>
      <c r="E133" s="27"/>
      <c r="F133" s="27"/>
      <c r="G133" s="134"/>
      <c r="H133" s="135"/>
      <c r="I133" s="27"/>
      <c r="J133" s="140" t="s">
        <v>273</v>
      </c>
      <c r="K133" s="51"/>
      <c r="L133" s="51"/>
      <c r="M133" s="51"/>
      <c r="N133" s="51"/>
      <c r="O133" s="51"/>
      <c r="P133" s="51"/>
      <c r="Q133" s="51"/>
      <c r="R133" s="140" t="s">
        <v>274</v>
      </c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138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139"/>
    </row>
    <row r="134" spans="2:61" ht="20.100000000000001" customHeight="1" x14ac:dyDescent="0.45">
      <c r="B134" s="133"/>
      <c r="C134" s="27"/>
      <c r="D134" s="27"/>
      <c r="E134" s="27"/>
      <c r="F134" s="27"/>
      <c r="G134" s="134"/>
      <c r="H134" s="135"/>
      <c r="I134" s="27"/>
      <c r="J134" s="140" t="s">
        <v>275</v>
      </c>
      <c r="K134" s="51"/>
      <c r="L134" s="51"/>
      <c r="M134" s="51"/>
      <c r="N134" s="51"/>
      <c r="O134" s="51"/>
      <c r="P134" s="51"/>
      <c r="Q134" s="51"/>
      <c r="R134" s="140" t="s">
        <v>276</v>
      </c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138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139"/>
    </row>
    <row r="135" spans="2:61" ht="20.100000000000001" customHeight="1" x14ac:dyDescent="0.45">
      <c r="B135" s="133"/>
      <c r="C135" s="27"/>
      <c r="D135" s="27"/>
      <c r="E135" s="27"/>
      <c r="F135" s="27"/>
      <c r="G135" s="134"/>
      <c r="H135" s="135"/>
      <c r="I135" s="27"/>
      <c r="J135" s="140" t="s">
        <v>277</v>
      </c>
      <c r="K135" s="51"/>
      <c r="L135" s="51"/>
      <c r="M135" s="51"/>
      <c r="N135" s="51"/>
      <c r="O135" s="51"/>
      <c r="P135" s="51"/>
      <c r="Q135" s="51"/>
      <c r="R135" s="140" t="s">
        <v>278</v>
      </c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138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139"/>
    </row>
    <row r="136" spans="2:61" ht="20.100000000000001" customHeight="1" x14ac:dyDescent="0.45">
      <c r="B136" s="133"/>
      <c r="C136" s="27"/>
      <c r="D136" s="27"/>
      <c r="E136" s="27"/>
      <c r="F136" s="27"/>
      <c r="G136" s="134"/>
      <c r="H136" s="135"/>
      <c r="I136" s="27"/>
      <c r="J136" s="140" t="s">
        <v>279</v>
      </c>
      <c r="K136" s="51"/>
      <c r="L136" s="51"/>
      <c r="M136" s="51"/>
      <c r="N136" s="51"/>
      <c r="O136" s="51"/>
      <c r="P136" s="51"/>
      <c r="Q136" s="51"/>
      <c r="R136" s="140" t="s">
        <v>280</v>
      </c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138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139"/>
    </row>
    <row r="137" spans="2:61" ht="20.100000000000001" customHeight="1" x14ac:dyDescent="0.45">
      <c r="B137" s="133"/>
      <c r="C137" s="27"/>
      <c r="D137" s="27"/>
      <c r="E137" s="27"/>
      <c r="F137" s="27"/>
      <c r="G137" s="134"/>
      <c r="H137" s="135"/>
      <c r="I137" s="27"/>
      <c r="J137" s="140" t="s">
        <v>281</v>
      </c>
      <c r="K137" s="51"/>
      <c r="L137" s="51"/>
      <c r="M137" s="51"/>
      <c r="N137" s="51"/>
      <c r="O137" s="51"/>
      <c r="P137" s="51"/>
      <c r="Q137" s="51"/>
      <c r="R137" s="141" t="s">
        <v>282</v>
      </c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138" t="s">
        <v>283</v>
      </c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139"/>
    </row>
    <row r="138" spans="2:61" ht="20.100000000000001" customHeight="1" x14ac:dyDescent="0.45">
      <c r="B138" s="133"/>
      <c r="C138" s="27"/>
      <c r="D138" s="27"/>
      <c r="E138" s="27"/>
      <c r="F138" s="27"/>
      <c r="G138" s="134"/>
      <c r="H138" s="135"/>
      <c r="I138" s="27"/>
      <c r="J138" s="140" t="s">
        <v>284</v>
      </c>
      <c r="K138" s="51"/>
      <c r="L138" s="51"/>
      <c r="M138" s="51"/>
      <c r="N138" s="51"/>
      <c r="O138" s="51"/>
      <c r="P138" s="51"/>
      <c r="Q138" s="51"/>
      <c r="R138" s="140" t="s">
        <v>285</v>
      </c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138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139"/>
    </row>
    <row r="139" spans="2:61" ht="20.100000000000001" customHeight="1" x14ac:dyDescent="0.45">
      <c r="B139" s="133"/>
      <c r="C139" s="27"/>
      <c r="D139" s="27"/>
      <c r="E139" s="27"/>
      <c r="F139" s="27"/>
      <c r="G139" s="134"/>
      <c r="H139" s="135"/>
      <c r="I139" s="27"/>
      <c r="J139" s="140" t="s">
        <v>286</v>
      </c>
      <c r="K139" s="51"/>
      <c r="L139" s="51"/>
      <c r="M139" s="51"/>
      <c r="N139" s="51"/>
      <c r="O139" s="51"/>
      <c r="P139" s="51"/>
      <c r="Q139" s="51"/>
      <c r="R139" s="140" t="s">
        <v>287</v>
      </c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138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139"/>
    </row>
    <row r="140" spans="2:61" ht="20.100000000000001" customHeight="1" x14ac:dyDescent="0.45">
      <c r="B140" s="133"/>
      <c r="C140" s="27"/>
      <c r="D140" s="27"/>
      <c r="E140" s="27"/>
      <c r="F140" s="27"/>
      <c r="G140" s="134"/>
      <c r="H140" s="135"/>
      <c r="I140" s="27"/>
      <c r="J140" s="140" t="s">
        <v>288</v>
      </c>
      <c r="K140" s="51"/>
      <c r="L140" s="51"/>
      <c r="M140" s="51"/>
      <c r="N140" s="51"/>
      <c r="O140" s="51"/>
      <c r="P140" s="51"/>
      <c r="Q140" s="51"/>
      <c r="R140" s="140" t="s">
        <v>289</v>
      </c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138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139"/>
    </row>
    <row r="141" spans="2:61" ht="20.100000000000001" customHeight="1" x14ac:dyDescent="0.45">
      <c r="B141" s="133"/>
      <c r="C141" s="27"/>
      <c r="D141" s="27"/>
      <c r="E141" s="27"/>
      <c r="F141" s="27"/>
      <c r="G141" s="134"/>
      <c r="H141" s="135"/>
      <c r="I141" s="27"/>
      <c r="J141" s="140" t="s">
        <v>290</v>
      </c>
      <c r="K141" s="51"/>
      <c r="L141" s="51"/>
      <c r="M141" s="51"/>
      <c r="N141" s="51"/>
      <c r="O141" s="51"/>
      <c r="P141" s="51"/>
      <c r="Q141" s="51"/>
      <c r="R141" s="141" t="s">
        <v>291</v>
      </c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138" t="s">
        <v>292</v>
      </c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139"/>
    </row>
    <row r="142" spans="2:61" ht="20.100000000000001" customHeight="1" x14ac:dyDescent="0.45">
      <c r="B142" s="133"/>
      <c r="C142" s="27"/>
      <c r="D142" s="27"/>
      <c r="E142" s="27"/>
      <c r="F142" s="27"/>
      <c r="G142" s="134"/>
      <c r="H142" s="135"/>
      <c r="I142" s="27"/>
      <c r="J142" s="140" t="s">
        <v>177</v>
      </c>
      <c r="K142" s="51"/>
      <c r="L142" s="51"/>
      <c r="M142" s="51"/>
      <c r="N142" s="51"/>
      <c r="O142" s="51"/>
      <c r="P142" s="51"/>
      <c r="Q142" s="51"/>
      <c r="R142" s="140" t="s">
        <v>293</v>
      </c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138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139"/>
    </row>
    <row r="143" spans="2:61" ht="20.100000000000001" customHeight="1" x14ac:dyDescent="0.45">
      <c r="B143" s="133"/>
      <c r="C143" s="27"/>
      <c r="D143" s="27"/>
      <c r="E143" s="27"/>
      <c r="F143" s="27"/>
      <c r="G143" s="134"/>
      <c r="H143" s="135"/>
      <c r="I143" s="27"/>
      <c r="J143" s="140" t="s">
        <v>294</v>
      </c>
      <c r="K143" s="51"/>
      <c r="L143" s="51"/>
      <c r="M143" s="51"/>
      <c r="N143" s="51"/>
      <c r="O143" s="51"/>
      <c r="P143" s="51"/>
      <c r="Q143" s="51"/>
      <c r="R143" s="140" t="s">
        <v>295</v>
      </c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138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139"/>
    </row>
    <row r="144" spans="2:61" ht="20.100000000000001" customHeight="1" x14ac:dyDescent="0.45">
      <c r="B144" s="133"/>
      <c r="C144" s="27"/>
      <c r="D144" s="27"/>
      <c r="E144" s="27"/>
      <c r="F144" s="27"/>
      <c r="G144" s="134"/>
      <c r="H144" s="135"/>
      <c r="I144" s="27"/>
      <c r="J144" s="140" t="s">
        <v>296</v>
      </c>
      <c r="K144" s="51"/>
      <c r="L144" s="51"/>
      <c r="M144" s="51"/>
      <c r="N144" s="51"/>
      <c r="O144" s="51"/>
      <c r="P144" s="51"/>
      <c r="Q144" s="51"/>
      <c r="R144" s="140" t="s">
        <v>297</v>
      </c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138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139"/>
    </row>
    <row r="145" spans="2:61" ht="20.100000000000001" customHeight="1" x14ac:dyDescent="0.45">
      <c r="B145" s="133"/>
      <c r="C145" s="27"/>
      <c r="D145" s="27"/>
      <c r="E145" s="27"/>
      <c r="F145" s="27"/>
      <c r="G145" s="134"/>
      <c r="H145" s="135"/>
      <c r="I145" s="27"/>
      <c r="J145" s="140" t="s">
        <v>298</v>
      </c>
      <c r="K145" s="51"/>
      <c r="L145" s="51"/>
      <c r="M145" s="51"/>
      <c r="N145" s="51"/>
      <c r="O145" s="51"/>
      <c r="P145" s="51"/>
      <c r="Q145" s="51"/>
      <c r="R145" s="140" t="s">
        <v>299</v>
      </c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138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139"/>
    </row>
    <row r="146" spans="2:61" ht="20.100000000000001" customHeight="1" x14ac:dyDescent="0.45">
      <c r="B146" s="133"/>
      <c r="C146" s="27"/>
      <c r="D146" s="27"/>
      <c r="E146" s="27"/>
      <c r="F146" s="27"/>
      <c r="G146" s="134"/>
      <c r="H146" s="135"/>
      <c r="I146" s="27"/>
      <c r="J146" s="140" t="s">
        <v>300</v>
      </c>
      <c r="K146" s="51"/>
      <c r="L146" s="51"/>
      <c r="M146" s="51"/>
      <c r="N146" s="51"/>
      <c r="O146" s="51"/>
      <c r="P146" s="51"/>
      <c r="Q146" s="51"/>
      <c r="R146" s="140" t="s">
        <v>301</v>
      </c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138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139"/>
    </row>
    <row r="147" spans="2:61" ht="20.100000000000001" customHeight="1" x14ac:dyDescent="0.45">
      <c r="B147" s="133"/>
      <c r="C147" s="27"/>
      <c r="D147" s="27"/>
      <c r="E147" s="27"/>
      <c r="F147" s="27"/>
      <c r="G147" s="134"/>
      <c r="H147" s="135"/>
      <c r="I147" s="27"/>
      <c r="J147" s="140" t="s">
        <v>302</v>
      </c>
      <c r="K147" s="51"/>
      <c r="L147" s="51"/>
      <c r="M147" s="51"/>
      <c r="N147" s="51"/>
      <c r="O147" s="51"/>
      <c r="P147" s="51"/>
      <c r="Q147" s="51"/>
      <c r="R147" s="140" t="s">
        <v>303</v>
      </c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138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139"/>
    </row>
    <row r="148" spans="2:61" ht="20.100000000000001" customHeight="1" x14ac:dyDescent="0.45">
      <c r="B148" s="133"/>
      <c r="C148" s="27"/>
      <c r="D148" s="27"/>
      <c r="E148" s="27"/>
      <c r="F148" s="27"/>
      <c r="G148" s="134"/>
      <c r="H148" s="135"/>
      <c r="I148" s="27"/>
      <c r="J148" s="140" t="s">
        <v>304</v>
      </c>
      <c r="K148" s="51"/>
      <c r="L148" s="51"/>
      <c r="M148" s="51"/>
      <c r="N148" s="51"/>
      <c r="O148" s="51"/>
      <c r="P148" s="51"/>
      <c r="Q148" s="51"/>
      <c r="R148" s="140" t="s">
        <v>305</v>
      </c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138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139"/>
    </row>
    <row r="149" spans="2:61" ht="20.100000000000001" customHeight="1" x14ac:dyDescent="0.45">
      <c r="B149" s="133"/>
      <c r="C149" s="27"/>
      <c r="D149" s="27"/>
      <c r="E149" s="27"/>
      <c r="F149" s="27"/>
      <c r="G149" s="134"/>
      <c r="H149" s="135"/>
      <c r="I149" s="27"/>
      <c r="J149" s="140" t="s">
        <v>306</v>
      </c>
      <c r="K149" s="51"/>
      <c r="L149" s="51"/>
      <c r="M149" s="51"/>
      <c r="N149" s="51"/>
      <c r="O149" s="51"/>
      <c r="P149" s="51"/>
      <c r="Q149" s="51"/>
      <c r="R149" s="140" t="s">
        <v>307</v>
      </c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138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139"/>
    </row>
    <row r="150" spans="2:61" ht="20.100000000000001" customHeight="1" x14ac:dyDescent="0.45">
      <c r="B150" s="133"/>
      <c r="C150" s="27"/>
      <c r="D150" s="27"/>
      <c r="E150" s="27"/>
      <c r="F150" s="27"/>
      <c r="G150" s="134"/>
      <c r="H150" s="135"/>
      <c r="I150" s="27"/>
      <c r="J150" s="140" t="s">
        <v>308</v>
      </c>
      <c r="K150" s="51"/>
      <c r="L150" s="51"/>
      <c r="M150" s="51"/>
      <c r="N150" s="51"/>
      <c r="O150" s="51"/>
      <c r="P150" s="51"/>
      <c r="Q150" s="51"/>
      <c r="R150" s="140" t="s">
        <v>309</v>
      </c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138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139"/>
    </row>
    <row r="151" spans="2:61" ht="20.100000000000001" customHeight="1" x14ac:dyDescent="0.45">
      <c r="B151" s="133"/>
      <c r="C151" s="27"/>
      <c r="D151" s="27"/>
      <c r="E151" s="27"/>
      <c r="F151" s="27"/>
      <c r="G151" s="134"/>
      <c r="H151" s="135"/>
      <c r="I151" s="27"/>
      <c r="J151" s="140" t="s">
        <v>310</v>
      </c>
      <c r="K151" s="51"/>
      <c r="L151" s="51"/>
      <c r="M151" s="51"/>
      <c r="N151" s="51"/>
      <c r="O151" s="51"/>
      <c r="P151" s="51"/>
      <c r="Q151" s="51"/>
      <c r="R151" s="140" t="s">
        <v>311</v>
      </c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138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139"/>
    </row>
    <row r="152" spans="2:61" ht="20.100000000000001" customHeight="1" x14ac:dyDescent="0.45">
      <c r="B152" s="133"/>
      <c r="C152" s="27"/>
      <c r="D152" s="27"/>
      <c r="E152" s="27"/>
      <c r="F152" s="27"/>
      <c r="G152" s="134"/>
      <c r="H152" s="140" t="s">
        <v>159</v>
      </c>
      <c r="I152" s="51"/>
      <c r="J152" s="140" t="s">
        <v>312</v>
      </c>
      <c r="K152" s="51"/>
      <c r="L152" s="48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14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142"/>
    </row>
    <row r="153" spans="2:61" ht="20.100000000000001" customHeight="1" x14ac:dyDescent="0.45">
      <c r="B153" s="133"/>
      <c r="C153" s="27"/>
      <c r="D153" s="27"/>
      <c r="E153" s="27"/>
      <c r="F153" s="27"/>
      <c r="G153" s="134"/>
      <c r="H153" s="140" t="s">
        <v>160</v>
      </c>
      <c r="I153" s="51"/>
      <c r="J153" s="140" t="s">
        <v>313</v>
      </c>
      <c r="K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14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142"/>
    </row>
    <row r="154" spans="2:61" ht="20.100000000000001" customHeight="1" x14ac:dyDescent="0.45">
      <c r="B154" s="133"/>
      <c r="C154" s="27"/>
      <c r="D154" s="27"/>
      <c r="E154" s="27"/>
      <c r="F154" s="27"/>
      <c r="G154" s="134"/>
      <c r="H154" s="135"/>
      <c r="I154" s="27"/>
      <c r="J154" s="135" t="s">
        <v>314</v>
      </c>
      <c r="K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138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139"/>
    </row>
    <row r="155" spans="2:61" ht="20.100000000000001" customHeight="1" x14ac:dyDescent="0.45">
      <c r="B155" s="133"/>
      <c r="C155" s="27"/>
      <c r="D155" s="27"/>
      <c r="E155" s="27"/>
      <c r="F155" s="27"/>
      <c r="G155" s="134"/>
      <c r="H155" s="135"/>
      <c r="I155" s="27"/>
      <c r="J155" s="135" t="s">
        <v>315</v>
      </c>
      <c r="K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138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139"/>
    </row>
    <row r="156" spans="2:61" ht="20.100000000000001" customHeight="1" x14ac:dyDescent="0.45">
      <c r="B156" s="133"/>
      <c r="C156" s="27"/>
      <c r="D156" s="27"/>
      <c r="E156" s="27"/>
      <c r="F156" s="27"/>
      <c r="G156" s="134"/>
      <c r="H156" s="135"/>
      <c r="I156" s="27"/>
      <c r="J156" s="144"/>
      <c r="K156" s="27" t="s">
        <v>316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138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139"/>
    </row>
    <row r="157" spans="2:61" ht="20.100000000000001" customHeight="1" x14ac:dyDescent="0.45">
      <c r="B157" s="143"/>
      <c r="C157" s="27"/>
      <c r="D157" s="27"/>
      <c r="E157" s="27"/>
      <c r="F157" s="27"/>
      <c r="G157" s="134"/>
      <c r="H157" s="140" t="s">
        <v>161</v>
      </c>
      <c r="I157" s="51"/>
      <c r="J157" s="140" t="s">
        <v>317</v>
      </c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14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142"/>
    </row>
    <row r="158" spans="2:61" ht="20.100000000000001" customHeight="1" x14ac:dyDescent="0.45">
      <c r="B158" s="143"/>
      <c r="C158" s="27"/>
      <c r="D158" s="27"/>
      <c r="E158" s="27"/>
      <c r="F158" s="27"/>
      <c r="G158" s="134"/>
      <c r="H158" s="135"/>
      <c r="I158" s="27"/>
      <c r="J158" s="135" t="s">
        <v>321</v>
      </c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138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139"/>
    </row>
    <row r="159" spans="2:61" ht="20.100000000000001" customHeight="1" x14ac:dyDescent="0.45">
      <c r="B159" s="143"/>
      <c r="C159" s="27"/>
      <c r="D159" s="27"/>
      <c r="E159" s="27"/>
      <c r="F159" s="27"/>
      <c r="G159" s="134"/>
      <c r="H159" s="135"/>
      <c r="I159" s="27"/>
      <c r="J159" s="135" t="s">
        <v>322</v>
      </c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138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139"/>
    </row>
    <row r="160" spans="2:61" ht="20.100000000000001" customHeight="1" x14ac:dyDescent="0.45">
      <c r="B160" s="143"/>
      <c r="C160" s="27"/>
      <c r="D160" s="27"/>
      <c r="E160" s="27"/>
      <c r="F160" s="27"/>
      <c r="G160" s="134"/>
      <c r="H160" s="135"/>
      <c r="I160" s="27"/>
      <c r="J160" s="135"/>
      <c r="K160" s="27" t="s">
        <v>234</v>
      </c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138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139"/>
    </row>
    <row r="161" spans="2:61" ht="20.100000000000001" customHeight="1" thickBot="1" x14ac:dyDescent="0.5">
      <c r="B161" s="143"/>
      <c r="C161" s="27"/>
      <c r="D161" s="27"/>
      <c r="E161" s="27"/>
      <c r="F161" s="27"/>
      <c r="G161" s="134"/>
      <c r="H161" s="135"/>
      <c r="I161" s="27"/>
      <c r="J161" s="135"/>
      <c r="K161" s="27" t="s">
        <v>324</v>
      </c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138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139"/>
    </row>
    <row r="162" spans="2:61" ht="20.100000000000001" customHeight="1" x14ac:dyDescent="0.45">
      <c r="B162" s="124" t="s">
        <v>234</v>
      </c>
      <c r="C162" s="125"/>
      <c r="D162" s="125"/>
      <c r="E162" s="125"/>
      <c r="F162" s="125"/>
      <c r="G162" s="126"/>
      <c r="H162" s="127" t="s">
        <v>158</v>
      </c>
      <c r="I162" s="125"/>
      <c r="J162" s="128" t="s">
        <v>275</v>
      </c>
      <c r="K162" s="129"/>
      <c r="L162" s="129"/>
      <c r="M162" s="129"/>
      <c r="N162" s="129"/>
      <c r="O162" s="129"/>
      <c r="P162" s="129"/>
      <c r="Q162" s="130"/>
      <c r="R162" s="129" t="s">
        <v>327</v>
      </c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30"/>
      <c r="AK162" s="131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  <c r="BI162" s="132"/>
    </row>
    <row r="163" spans="2:61" ht="20.100000000000001" customHeight="1" x14ac:dyDescent="0.45">
      <c r="B163" s="133"/>
      <c r="C163" s="27"/>
      <c r="D163" s="27"/>
      <c r="E163" s="27"/>
      <c r="F163" s="27"/>
      <c r="G163" s="134"/>
      <c r="H163" s="140" t="s">
        <v>159</v>
      </c>
      <c r="I163" s="51"/>
      <c r="J163" s="140" t="s">
        <v>328</v>
      </c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14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142"/>
    </row>
    <row r="164" spans="2:61" ht="20.100000000000001" customHeight="1" x14ac:dyDescent="0.45">
      <c r="B164" s="143"/>
      <c r="C164" s="27"/>
      <c r="D164" s="27"/>
      <c r="E164" s="27"/>
      <c r="F164" s="27"/>
      <c r="G164" s="134"/>
      <c r="H164" s="140" t="s">
        <v>160</v>
      </c>
      <c r="I164" s="51"/>
      <c r="J164" s="140" t="s">
        <v>329</v>
      </c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14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142"/>
    </row>
    <row r="165" spans="2:61" ht="20.100000000000001" customHeight="1" x14ac:dyDescent="0.45">
      <c r="B165" s="143"/>
      <c r="C165" s="27"/>
      <c r="D165" s="27"/>
      <c r="E165" s="27"/>
      <c r="F165" s="27"/>
      <c r="G165" s="134"/>
      <c r="H165" s="140" t="s">
        <v>161</v>
      </c>
      <c r="I165" s="51"/>
      <c r="J165" s="140" t="s">
        <v>330</v>
      </c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14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142"/>
    </row>
    <row r="166" spans="2:61" ht="20.100000000000001" customHeight="1" x14ac:dyDescent="0.45">
      <c r="B166" s="143"/>
      <c r="C166" s="27"/>
      <c r="D166" s="27"/>
      <c r="E166" s="27"/>
      <c r="F166" s="27"/>
      <c r="G166" s="134"/>
      <c r="H166" s="135"/>
      <c r="I166" s="27"/>
      <c r="J166" s="135"/>
      <c r="K166" s="27" t="s">
        <v>331</v>
      </c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138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139"/>
    </row>
    <row r="167" spans="2:61" ht="20.100000000000001" customHeight="1" x14ac:dyDescent="0.45">
      <c r="B167" s="143"/>
      <c r="C167" s="27"/>
      <c r="D167" s="27"/>
      <c r="E167" s="27"/>
      <c r="F167" s="27"/>
      <c r="G167" s="134"/>
      <c r="H167" s="135"/>
      <c r="I167" s="27"/>
      <c r="J167" s="135"/>
      <c r="K167" s="27" t="s">
        <v>332</v>
      </c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138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139"/>
    </row>
    <row r="168" spans="2:61" ht="20.100000000000001" customHeight="1" x14ac:dyDescent="0.45">
      <c r="B168" s="143"/>
      <c r="C168" s="27"/>
      <c r="D168" s="27"/>
      <c r="E168" s="27"/>
      <c r="F168" s="27"/>
      <c r="G168" s="134"/>
      <c r="H168" s="135"/>
      <c r="I168" s="27"/>
      <c r="J168" s="135"/>
      <c r="K168" s="27" t="s">
        <v>333</v>
      </c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138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139"/>
    </row>
    <row r="169" spans="2:61" ht="20.100000000000001" customHeight="1" thickBot="1" x14ac:dyDescent="0.5">
      <c r="B169" s="143"/>
      <c r="C169" s="27"/>
      <c r="D169" s="27"/>
      <c r="E169" s="27"/>
      <c r="F169" s="27"/>
      <c r="G169" s="134"/>
      <c r="H169" s="140" t="s">
        <v>334</v>
      </c>
      <c r="I169" s="51"/>
      <c r="J169" s="140" t="s">
        <v>335</v>
      </c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14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142"/>
    </row>
    <row r="170" spans="2:61" ht="20.100000000000001" customHeight="1" x14ac:dyDescent="0.45">
      <c r="B170" s="124" t="s">
        <v>323</v>
      </c>
      <c r="C170" s="125"/>
      <c r="D170" s="125"/>
      <c r="E170" s="125"/>
      <c r="F170" s="125"/>
      <c r="G170" s="126"/>
      <c r="H170" s="127" t="s">
        <v>158</v>
      </c>
      <c r="I170" s="125"/>
      <c r="J170" s="128" t="s">
        <v>241</v>
      </c>
      <c r="K170" s="129"/>
      <c r="L170" s="129"/>
      <c r="M170" s="129"/>
      <c r="N170" s="129"/>
      <c r="O170" s="129"/>
      <c r="P170" s="129"/>
      <c r="Q170" s="130"/>
      <c r="R170" s="129">
        <v>1</v>
      </c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30"/>
      <c r="AK170" s="131" t="s">
        <v>336</v>
      </c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  <c r="BI170" s="132"/>
    </row>
    <row r="171" spans="2:61" ht="20.100000000000001" customHeight="1" x14ac:dyDescent="0.45">
      <c r="B171" s="133"/>
      <c r="C171" s="27"/>
      <c r="D171" s="27"/>
      <c r="E171" s="27"/>
      <c r="F171" s="27"/>
      <c r="G171" s="134"/>
      <c r="H171" s="135"/>
      <c r="I171" s="27"/>
      <c r="J171" s="144" t="s">
        <v>163</v>
      </c>
      <c r="K171" s="145"/>
      <c r="L171" s="145"/>
      <c r="M171" s="145"/>
      <c r="N171" s="145"/>
      <c r="O171" s="145"/>
      <c r="P171" s="145"/>
      <c r="Q171" s="156"/>
      <c r="R171" s="145" t="s">
        <v>164</v>
      </c>
      <c r="S171" s="145"/>
      <c r="T171" s="145"/>
      <c r="U171" s="145"/>
      <c r="V171" s="145"/>
      <c r="W171" s="145"/>
      <c r="X171" s="145"/>
      <c r="Y171" s="145"/>
      <c r="Z171" s="145"/>
      <c r="AA171" s="145"/>
      <c r="AB171" s="145"/>
      <c r="AC171" s="145"/>
      <c r="AD171" s="145"/>
      <c r="AE171" s="145"/>
      <c r="AF171" s="145"/>
      <c r="AG171" s="145"/>
      <c r="AH171" s="145"/>
      <c r="AI171" s="145"/>
      <c r="AJ171" s="156"/>
      <c r="AK171" s="138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139"/>
    </row>
    <row r="172" spans="2:61" ht="20.100000000000001" customHeight="1" x14ac:dyDescent="0.45">
      <c r="B172" s="133"/>
      <c r="C172" s="27"/>
      <c r="D172" s="27"/>
      <c r="E172" s="27"/>
      <c r="F172" s="27"/>
      <c r="G172" s="134"/>
      <c r="H172" s="135"/>
      <c r="I172" s="27"/>
      <c r="J172" s="136" t="s">
        <v>244</v>
      </c>
      <c r="K172" s="48"/>
      <c r="L172" s="48"/>
      <c r="M172" s="48"/>
      <c r="N172" s="48"/>
      <c r="O172" s="48"/>
      <c r="P172" s="48"/>
      <c r="Q172" s="137"/>
      <c r="R172" s="48" t="s">
        <v>245</v>
      </c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137"/>
      <c r="AK172" s="138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139"/>
    </row>
    <row r="173" spans="2:61" ht="20.100000000000001" customHeight="1" x14ac:dyDescent="0.45">
      <c r="B173" s="133"/>
      <c r="C173" s="27"/>
      <c r="D173" s="27"/>
      <c r="E173" s="27"/>
      <c r="F173" s="27"/>
      <c r="G173" s="134"/>
      <c r="H173" s="135"/>
      <c r="I173" s="27"/>
      <c r="J173" s="140" t="s">
        <v>247</v>
      </c>
      <c r="K173" s="51"/>
      <c r="L173" s="51"/>
      <c r="M173" s="51"/>
      <c r="N173" s="51"/>
      <c r="O173" s="51"/>
      <c r="P173" s="51"/>
      <c r="Q173" s="51"/>
      <c r="R173" s="140" t="s">
        <v>248</v>
      </c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138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139"/>
    </row>
    <row r="174" spans="2:61" ht="20.100000000000001" customHeight="1" x14ac:dyDescent="0.45">
      <c r="B174" s="133"/>
      <c r="C174" s="27"/>
      <c r="D174" s="27"/>
      <c r="E174" s="27"/>
      <c r="F174" s="27"/>
      <c r="G174" s="134"/>
      <c r="H174" s="135"/>
      <c r="I174" s="27"/>
      <c r="J174" s="140" t="s">
        <v>249</v>
      </c>
      <c r="K174" s="51"/>
      <c r="L174" s="51"/>
      <c r="M174" s="51"/>
      <c r="N174" s="51"/>
      <c r="O174" s="51"/>
      <c r="P174" s="51"/>
      <c r="Q174" s="51"/>
      <c r="R174" s="140" t="s">
        <v>250</v>
      </c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138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139"/>
    </row>
    <row r="175" spans="2:61" ht="20.399999999999999" customHeight="1" x14ac:dyDescent="0.45">
      <c r="B175" s="133"/>
      <c r="C175" s="27"/>
      <c r="D175" s="27"/>
      <c r="E175" s="27"/>
      <c r="F175" s="27"/>
      <c r="G175" s="134"/>
      <c r="H175" s="135"/>
      <c r="I175" s="27"/>
      <c r="J175" s="140" t="s">
        <v>251</v>
      </c>
      <c r="K175" s="51"/>
      <c r="L175" s="51"/>
      <c r="M175" s="51"/>
      <c r="N175" s="51"/>
      <c r="O175" s="51"/>
      <c r="P175" s="51"/>
      <c r="Q175" s="51"/>
      <c r="R175" s="140" t="s">
        <v>252</v>
      </c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138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139"/>
    </row>
    <row r="176" spans="2:61" ht="20.399999999999999" customHeight="1" x14ac:dyDescent="0.45">
      <c r="B176" s="133"/>
      <c r="C176" s="27"/>
      <c r="D176" s="27"/>
      <c r="E176" s="27"/>
      <c r="F176" s="27"/>
      <c r="G176" s="134"/>
      <c r="H176" s="135"/>
      <c r="I176" s="27"/>
      <c r="J176" s="140" t="s">
        <v>253</v>
      </c>
      <c r="K176" s="51"/>
      <c r="L176" s="51"/>
      <c r="M176" s="51"/>
      <c r="N176" s="51"/>
      <c r="O176" s="51"/>
      <c r="P176" s="51"/>
      <c r="Q176" s="51"/>
      <c r="R176" s="140" t="s">
        <v>254</v>
      </c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138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139"/>
    </row>
    <row r="177" spans="2:61" ht="20.399999999999999" customHeight="1" x14ac:dyDescent="0.45">
      <c r="B177" s="133"/>
      <c r="C177" s="27"/>
      <c r="D177" s="27"/>
      <c r="E177" s="27"/>
      <c r="F177" s="27"/>
      <c r="G177" s="134"/>
      <c r="H177" s="135"/>
      <c r="I177" s="27"/>
      <c r="J177" s="140" t="s">
        <v>255</v>
      </c>
      <c r="K177" s="51"/>
      <c r="L177" s="51"/>
      <c r="M177" s="51"/>
      <c r="N177" s="51"/>
      <c r="O177" s="51"/>
      <c r="P177" s="51"/>
      <c r="Q177" s="51"/>
      <c r="R177" s="140" t="s">
        <v>256</v>
      </c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138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139"/>
    </row>
    <row r="178" spans="2:61" ht="20.399999999999999" customHeight="1" x14ac:dyDescent="0.45">
      <c r="B178" s="133"/>
      <c r="C178" s="27"/>
      <c r="D178" s="27"/>
      <c r="E178" s="27"/>
      <c r="F178" s="27"/>
      <c r="G178" s="134"/>
      <c r="H178" s="135"/>
      <c r="I178" s="27"/>
      <c r="J178" s="140" t="s">
        <v>257</v>
      </c>
      <c r="K178" s="51"/>
      <c r="L178" s="51"/>
      <c r="M178" s="51"/>
      <c r="N178" s="51"/>
      <c r="O178" s="51"/>
      <c r="P178" s="51"/>
      <c r="Q178" s="51"/>
      <c r="R178" s="140" t="s">
        <v>258</v>
      </c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138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139"/>
    </row>
    <row r="179" spans="2:61" ht="20.399999999999999" customHeight="1" x14ac:dyDescent="0.45">
      <c r="B179" s="133"/>
      <c r="C179" s="27"/>
      <c r="D179" s="27"/>
      <c r="E179" s="27"/>
      <c r="F179" s="27"/>
      <c r="G179" s="134"/>
      <c r="H179" s="135"/>
      <c r="I179" s="27"/>
      <c r="J179" s="140" t="s">
        <v>259</v>
      </c>
      <c r="K179" s="51"/>
      <c r="L179" s="51"/>
      <c r="M179" s="51"/>
      <c r="N179" s="51"/>
      <c r="O179" s="51"/>
      <c r="P179" s="51"/>
      <c r="Q179" s="51"/>
      <c r="R179" s="140" t="s">
        <v>260</v>
      </c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138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139"/>
    </row>
    <row r="180" spans="2:61" ht="20.399999999999999" customHeight="1" x14ac:dyDescent="0.45">
      <c r="B180" s="133"/>
      <c r="C180" s="27"/>
      <c r="D180" s="27"/>
      <c r="E180" s="27"/>
      <c r="F180" s="27"/>
      <c r="G180" s="134"/>
      <c r="H180" s="135"/>
      <c r="I180" s="27"/>
      <c r="J180" s="140" t="s">
        <v>261</v>
      </c>
      <c r="K180" s="51"/>
      <c r="L180" s="51"/>
      <c r="M180" s="51"/>
      <c r="N180" s="51"/>
      <c r="O180" s="51"/>
      <c r="P180" s="51"/>
      <c r="Q180" s="51"/>
      <c r="R180" s="140" t="s">
        <v>262</v>
      </c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138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139"/>
    </row>
    <row r="181" spans="2:61" ht="20.399999999999999" customHeight="1" x14ac:dyDescent="0.45">
      <c r="B181" s="133"/>
      <c r="C181" s="27"/>
      <c r="D181" s="27"/>
      <c r="E181" s="27"/>
      <c r="F181" s="27"/>
      <c r="G181" s="134"/>
      <c r="H181" s="135"/>
      <c r="I181" s="27"/>
      <c r="J181" s="140" t="s">
        <v>263</v>
      </c>
      <c r="K181" s="51"/>
      <c r="L181" s="51"/>
      <c r="M181" s="51"/>
      <c r="N181" s="51"/>
      <c r="O181" s="51"/>
      <c r="P181" s="51"/>
      <c r="Q181" s="51"/>
      <c r="R181" s="140" t="s">
        <v>264</v>
      </c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138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139"/>
    </row>
    <row r="182" spans="2:61" ht="20.399999999999999" customHeight="1" x14ac:dyDescent="0.45">
      <c r="B182" s="133"/>
      <c r="C182" s="27"/>
      <c r="D182" s="27"/>
      <c r="E182" s="27"/>
      <c r="F182" s="27"/>
      <c r="G182" s="134"/>
      <c r="H182" s="135"/>
      <c r="I182" s="27"/>
      <c r="J182" s="140" t="s">
        <v>265</v>
      </c>
      <c r="K182" s="51"/>
      <c r="L182" s="51"/>
      <c r="M182" s="51"/>
      <c r="N182" s="51"/>
      <c r="O182" s="51"/>
      <c r="P182" s="51"/>
      <c r="Q182" s="51"/>
      <c r="R182" s="140" t="s">
        <v>266</v>
      </c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138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139"/>
    </row>
    <row r="183" spans="2:61" ht="20.100000000000001" customHeight="1" x14ac:dyDescent="0.45">
      <c r="B183" s="133"/>
      <c r="C183" s="27"/>
      <c r="D183" s="27"/>
      <c r="E183" s="27"/>
      <c r="F183" s="27"/>
      <c r="G183" s="134"/>
      <c r="H183" s="135"/>
      <c r="I183" s="27"/>
      <c r="J183" s="140" t="s">
        <v>267</v>
      </c>
      <c r="K183" s="51"/>
      <c r="L183" s="51"/>
      <c r="M183" s="51"/>
      <c r="N183" s="51"/>
      <c r="O183" s="51"/>
      <c r="P183" s="51"/>
      <c r="Q183" s="51"/>
      <c r="R183" s="140" t="s">
        <v>268</v>
      </c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138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139"/>
    </row>
    <row r="184" spans="2:61" ht="20.100000000000001" customHeight="1" x14ac:dyDescent="0.45">
      <c r="B184" s="133"/>
      <c r="C184" s="27"/>
      <c r="D184" s="27"/>
      <c r="E184" s="27"/>
      <c r="F184" s="27"/>
      <c r="G184" s="134"/>
      <c r="H184" s="135"/>
      <c r="I184" s="27"/>
      <c r="J184" s="140" t="s">
        <v>269</v>
      </c>
      <c r="K184" s="51"/>
      <c r="L184" s="51"/>
      <c r="M184" s="51"/>
      <c r="N184" s="51"/>
      <c r="O184" s="51"/>
      <c r="P184" s="51"/>
      <c r="Q184" s="51"/>
      <c r="R184" s="136" t="s">
        <v>270</v>
      </c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138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139"/>
    </row>
    <row r="185" spans="2:61" ht="20.100000000000001" customHeight="1" x14ac:dyDescent="0.45">
      <c r="B185" s="133"/>
      <c r="C185" s="27"/>
      <c r="D185" s="27"/>
      <c r="E185" s="27"/>
      <c r="F185" s="27"/>
      <c r="G185" s="134"/>
      <c r="H185" s="135"/>
      <c r="I185" s="27"/>
      <c r="J185" s="140" t="s">
        <v>271</v>
      </c>
      <c r="K185" s="51"/>
      <c r="L185" s="51"/>
      <c r="M185" s="51"/>
      <c r="N185" s="51"/>
      <c r="O185" s="51"/>
      <c r="P185" s="51"/>
      <c r="Q185" s="51"/>
      <c r="R185" s="140" t="s">
        <v>272</v>
      </c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138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139"/>
    </row>
    <row r="186" spans="2:61" ht="20.100000000000001" customHeight="1" x14ac:dyDescent="0.45">
      <c r="B186" s="133"/>
      <c r="C186" s="27"/>
      <c r="D186" s="27"/>
      <c r="E186" s="27"/>
      <c r="F186" s="27"/>
      <c r="G186" s="134"/>
      <c r="H186" s="135"/>
      <c r="I186" s="27"/>
      <c r="J186" s="140" t="s">
        <v>273</v>
      </c>
      <c r="K186" s="51"/>
      <c r="L186" s="51"/>
      <c r="M186" s="51"/>
      <c r="N186" s="51"/>
      <c r="O186" s="51"/>
      <c r="P186" s="51"/>
      <c r="Q186" s="51"/>
      <c r="R186" s="140" t="s">
        <v>274</v>
      </c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138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139"/>
    </row>
    <row r="187" spans="2:61" ht="20.100000000000001" customHeight="1" x14ac:dyDescent="0.45">
      <c r="B187" s="133"/>
      <c r="C187" s="27"/>
      <c r="D187" s="27"/>
      <c r="E187" s="27"/>
      <c r="F187" s="27"/>
      <c r="G187" s="134"/>
      <c r="H187" s="135"/>
      <c r="I187" s="27"/>
      <c r="J187" s="140" t="s">
        <v>275</v>
      </c>
      <c r="K187" s="51"/>
      <c r="L187" s="51"/>
      <c r="M187" s="51"/>
      <c r="N187" s="51"/>
      <c r="O187" s="51"/>
      <c r="P187" s="51"/>
      <c r="Q187" s="51"/>
      <c r="R187" s="140" t="s">
        <v>276</v>
      </c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138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139"/>
    </row>
    <row r="188" spans="2:61" ht="20.100000000000001" customHeight="1" x14ac:dyDescent="0.45">
      <c r="B188" s="133"/>
      <c r="C188" s="27"/>
      <c r="D188" s="27"/>
      <c r="E188" s="27"/>
      <c r="F188" s="27"/>
      <c r="G188" s="134"/>
      <c r="H188" s="135"/>
      <c r="I188" s="27"/>
      <c r="J188" s="140" t="s">
        <v>277</v>
      </c>
      <c r="K188" s="51"/>
      <c r="L188" s="51"/>
      <c r="M188" s="51"/>
      <c r="N188" s="51"/>
      <c r="O188" s="51"/>
      <c r="P188" s="51"/>
      <c r="Q188" s="51"/>
      <c r="R188" s="140" t="s">
        <v>278</v>
      </c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138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139"/>
    </row>
    <row r="189" spans="2:61" ht="20.100000000000001" customHeight="1" x14ac:dyDescent="0.45">
      <c r="B189" s="133"/>
      <c r="C189" s="27"/>
      <c r="D189" s="27"/>
      <c r="E189" s="27"/>
      <c r="F189" s="27"/>
      <c r="G189" s="134"/>
      <c r="H189" s="135"/>
      <c r="I189" s="27"/>
      <c r="J189" s="140" t="s">
        <v>279</v>
      </c>
      <c r="K189" s="51"/>
      <c r="L189" s="51"/>
      <c r="M189" s="51"/>
      <c r="N189" s="51"/>
      <c r="O189" s="51"/>
      <c r="P189" s="51"/>
      <c r="Q189" s="51"/>
      <c r="R189" s="140" t="s">
        <v>280</v>
      </c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138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139"/>
    </row>
    <row r="190" spans="2:61" ht="20.100000000000001" customHeight="1" x14ac:dyDescent="0.45">
      <c r="B190" s="133"/>
      <c r="C190" s="27"/>
      <c r="D190" s="27"/>
      <c r="E190" s="27"/>
      <c r="F190" s="27"/>
      <c r="G190" s="134"/>
      <c r="H190" s="135"/>
      <c r="I190" s="27"/>
      <c r="J190" s="140" t="s">
        <v>281</v>
      </c>
      <c r="K190" s="51"/>
      <c r="L190" s="51"/>
      <c r="M190" s="51"/>
      <c r="N190" s="51"/>
      <c r="O190" s="51"/>
      <c r="P190" s="51"/>
      <c r="Q190" s="51"/>
      <c r="R190" s="141" t="s">
        <v>282</v>
      </c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138" t="s">
        <v>283</v>
      </c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139"/>
    </row>
    <row r="191" spans="2:61" ht="20.100000000000001" customHeight="1" x14ac:dyDescent="0.45">
      <c r="B191" s="133"/>
      <c r="C191" s="27"/>
      <c r="D191" s="27"/>
      <c r="E191" s="27"/>
      <c r="F191" s="27"/>
      <c r="G191" s="134"/>
      <c r="H191" s="135"/>
      <c r="I191" s="27"/>
      <c r="J191" s="140" t="s">
        <v>284</v>
      </c>
      <c r="K191" s="51"/>
      <c r="L191" s="51"/>
      <c r="M191" s="51"/>
      <c r="N191" s="51"/>
      <c r="O191" s="51"/>
      <c r="P191" s="51"/>
      <c r="Q191" s="51"/>
      <c r="R191" s="140" t="s">
        <v>285</v>
      </c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138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139"/>
    </row>
    <row r="192" spans="2:61" ht="20.100000000000001" customHeight="1" x14ac:dyDescent="0.45">
      <c r="B192" s="133"/>
      <c r="C192" s="27"/>
      <c r="D192" s="27"/>
      <c r="E192" s="27"/>
      <c r="F192" s="27"/>
      <c r="G192" s="134"/>
      <c r="H192" s="135"/>
      <c r="I192" s="27"/>
      <c r="J192" s="140" t="s">
        <v>286</v>
      </c>
      <c r="K192" s="51"/>
      <c r="L192" s="51"/>
      <c r="M192" s="51"/>
      <c r="N192" s="51"/>
      <c r="O192" s="51"/>
      <c r="P192" s="51"/>
      <c r="Q192" s="51"/>
      <c r="R192" s="140" t="s">
        <v>287</v>
      </c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138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139"/>
    </row>
    <row r="193" spans="2:61" ht="20.100000000000001" customHeight="1" x14ac:dyDescent="0.45">
      <c r="B193" s="133"/>
      <c r="C193" s="27"/>
      <c r="D193" s="27"/>
      <c r="E193" s="27"/>
      <c r="F193" s="27"/>
      <c r="G193" s="134"/>
      <c r="H193" s="135"/>
      <c r="I193" s="27"/>
      <c r="J193" s="140" t="s">
        <v>288</v>
      </c>
      <c r="K193" s="51"/>
      <c r="L193" s="51"/>
      <c r="M193" s="51"/>
      <c r="N193" s="51"/>
      <c r="O193" s="51"/>
      <c r="P193" s="51"/>
      <c r="Q193" s="51"/>
      <c r="R193" s="140" t="s">
        <v>289</v>
      </c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138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139"/>
    </row>
    <row r="194" spans="2:61" ht="20.100000000000001" customHeight="1" x14ac:dyDescent="0.45">
      <c r="B194" s="133"/>
      <c r="C194" s="27"/>
      <c r="D194" s="27"/>
      <c r="E194" s="27"/>
      <c r="F194" s="27"/>
      <c r="G194" s="134"/>
      <c r="H194" s="135"/>
      <c r="I194" s="27"/>
      <c r="J194" s="140" t="s">
        <v>290</v>
      </c>
      <c r="K194" s="51"/>
      <c r="L194" s="51"/>
      <c r="M194" s="51"/>
      <c r="N194" s="51"/>
      <c r="O194" s="51"/>
      <c r="P194" s="51"/>
      <c r="Q194" s="51"/>
      <c r="R194" s="141" t="s">
        <v>291</v>
      </c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138" t="s">
        <v>292</v>
      </c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139"/>
    </row>
    <row r="195" spans="2:61" ht="20.100000000000001" customHeight="1" x14ac:dyDescent="0.45">
      <c r="B195" s="133"/>
      <c r="C195" s="27"/>
      <c r="D195" s="27"/>
      <c r="E195" s="27"/>
      <c r="F195" s="27"/>
      <c r="G195" s="134"/>
      <c r="H195" s="135"/>
      <c r="I195" s="27"/>
      <c r="J195" s="140" t="s">
        <v>177</v>
      </c>
      <c r="K195" s="51"/>
      <c r="L195" s="51"/>
      <c r="M195" s="51"/>
      <c r="N195" s="51"/>
      <c r="O195" s="51"/>
      <c r="P195" s="51"/>
      <c r="Q195" s="51"/>
      <c r="R195" s="140" t="s">
        <v>293</v>
      </c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138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139"/>
    </row>
    <row r="196" spans="2:61" ht="20.100000000000001" customHeight="1" x14ac:dyDescent="0.45">
      <c r="B196" s="133"/>
      <c r="C196" s="27"/>
      <c r="D196" s="27"/>
      <c r="E196" s="27"/>
      <c r="F196" s="27"/>
      <c r="G196" s="134"/>
      <c r="H196" s="135"/>
      <c r="I196" s="27"/>
      <c r="J196" s="140" t="s">
        <v>294</v>
      </c>
      <c r="K196" s="51"/>
      <c r="L196" s="51"/>
      <c r="M196" s="51"/>
      <c r="N196" s="51"/>
      <c r="O196" s="51"/>
      <c r="P196" s="51"/>
      <c r="Q196" s="51"/>
      <c r="R196" s="140" t="s">
        <v>295</v>
      </c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138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139"/>
    </row>
    <row r="197" spans="2:61" ht="20.100000000000001" customHeight="1" x14ac:dyDescent="0.45">
      <c r="B197" s="133"/>
      <c r="C197" s="27"/>
      <c r="D197" s="27"/>
      <c r="E197" s="27"/>
      <c r="F197" s="27"/>
      <c r="G197" s="134"/>
      <c r="H197" s="135"/>
      <c r="I197" s="27"/>
      <c r="J197" s="140" t="s">
        <v>296</v>
      </c>
      <c r="K197" s="51"/>
      <c r="L197" s="51"/>
      <c r="M197" s="51"/>
      <c r="N197" s="51"/>
      <c r="O197" s="51"/>
      <c r="P197" s="51"/>
      <c r="Q197" s="51"/>
      <c r="R197" s="140" t="s">
        <v>297</v>
      </c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138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139"/>
    </row>
    <row r="198" spans="2:61" ht="20.100000000000001" customHeight="1" x14ac:dyDescent="0.45">
      <c r="B198" s="133"/>
      <c r="C198" s="27"/>
      <c r="D198" s="27"/>
      <c r="E198" s="27"/>
      <c r="F198" s="27"/>
      <c r="G198" s="134"/>
      <c r="H198" s="135"/>
      <c r="I198" s="27"/>
      <c r="J198" s="140" t="s">
        <v>298</v>
      </c>
      <c r="K198" s="51"/>
      <c r="L198" s="51"/>
      <c r="M198" s="51"/>
      <c r="N198" s="51"/>
      <c r="O198" s="51"/>
      <c r="P198" s="51"/>
      <c r="Q198" s="51"/>
      <c r="R198" s="140" t="s">
        <v>299</v>
      </c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138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139"/>
    </row>
    <row r="199" spans="2:61" ht="20.100000000000001" customHeight="1" x14ac:dyDescent="0.45">
      <c r="B199" s="133"/>
      <c r="C199" s="27"/>
      <c r="D199" s="27"/>
      <c r="E199" s="27"/>
      <c r="F199" s="27"/>
      <c r="G199" s="134"/>
      <c r="H199" s="135"/>
      <c r="I199" s="27"/>
      <c r="J199" s="140" t="s">
        <v>300</v>
      </c>
      <c r="K199" s="51"/>
      <c r="L199" s="51"/>
      <c r="M199" s="51"/>
      <c r="N199" s="51"/>
      <c r="O199" s="51"/>
      <c r="P199" s="51"/>
      <c r="Q199" s="51"/>
      <c r="R199" s="140" t="s">
        <v>301</v>
      </c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138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139"/>
    </row>
    <row r="200" spans="2:61" ht="20.100000000000001" customHeight="1" x14ac:dyDescent="0.45">
      <c r="B200" s="133"/>
      <c r="C200" s="27"/>
      <c r="D200" s="27"/>
      <c r="E200" s="27"/>
      <c r="F200" s="27"/>
      <c r="G200" s="134"/>
      <c r="H200" s="135"/>
      <c r="I200" s="27"/>
      <c r="J200" s="140" t="s">
        <v>302</v>
      </c>
      <c r="K200" s="51"/>
      <c r="L200" s="51"/>
      <c r="M200" s="51"/>
      <c r="N200" s="51"/>
      <c r="O200" s="51"/>
      <c r="P200" s="51"/>
      <c r="Q200" s="51"/>
      <c r="R200" s="140" t="s">
        <v>303</v>
      </c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138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139"/>
    </row>
    <row r="201" spans="2:61" ht="20.100000000000001" customHeight="1" x14ac:dyDescent="0.45">
      <c r="B201" s="133"/>
      <c r="C201" s="27"/>
      <c r="D201" s="27"/>
      <c r="E201" s="27"/>
      <c r="F201" s="27"/>
      <c r="G201" s="134"/>
      <c r="H201" s="135"/>
      <c r="I201" s="27"/>
      <c r="J201" s="140" t="s">
        <v>304</v>
      </c>
      <c r="K201" s="51"/>
      <c r="L201" s="51"/>
      <c r="M201" s="51"/>
      <c r="N201" s="51"/>
      <c r="O201" s="51"/>
      <c r="P201" s="51"/>
      <c r="Q201" s="51"/>
      <c r="R201" s="140" t="s">
        <v>305</v>
      </c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138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139"/>
    </row>
    <row r="202" spans="2:61" ht="20.100000000000001" customHeight="1" x14ac:dyDescent="0.45">
      <c r="B202" s="133"/>
      <c r="C202" s="27"/>
      <c r="D202" s="27"/>
      <c r="E202" s="27"/>
      <c r="F202" s="27"/>
      <c r="G202" s="134"/>
      <c r="H202" s="135"/>
      <c r="I202" s="27"/>
      <c r="J202" s="140" t="s">
        <v>306</v>
      </c>
      <c r="K202" s="51"/>
      <c r="L202" s="51"/>
      <c r="M202" s="51"/>
      <c r="N202" s="51"/>
      <c r="O202" s="51"/>
      <c r="P202" s="51"/>
      <c r="Q202" s="51"/>
      <c r="R202" s="140" t="s">
        <v>307</v>
      </c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138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139"/>
    </row>
    <row r="203" spans="2:61" ht="20.100000000000001" customHeight="1" x14ac:dyDescent="0.45">
      <c r="B203" s="133"/>
      <c r="C203" s="27"/>
      <c r="D203" s="27"/>
      <c r="E203" s="27"/>
      <c r="F203" s="27"/>
      <c r="G203" s="134"/>
      <c r="H203" s="135"/>
      <c r="I203" s="27"/>
      <c r="J203" s="140" t="s">
        <v>308</v>
      </c>
      <c r="K203" s="51"/>
      <c r="L203" s="51"/>
      <c r="M203" s="51"/>
      <c r="N203" s="51"/>
      <c r="O203" s="51"/>
      <c r="P203" s="51"/>
      <c r="Q203" s="51"/>
      <c r="R203" s="140" t="s">
        <v>309</v>
      </c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138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139"/>
    </row>
    <row r="204" spans="2:61" ht="20.100000000000001" customHeight="1" x14ac:dyDescent="0.45">
      <c r="B204" s="133"/>
      <c r="C204" s="27"/>
      <c r="D204" s="27"/>
      <c r="E204" s="27"/>
      <c r="F204" s="27"/>
      <c r="G204" s="134"/>
      <c r="H204" s="135"/>
      <c r="I204" s="27"/>
      <c r="J204" s="140" t="s">
        <v>310</v>
      </c>
      <c r="K204" s="51"/>
      <c r="L204" s="51"/>
      <c r="M204" s="51"/>
      <c r="N204" s="51"/>
      <c r="O204" s="51"/>
      <c r="P204" s="51"/>
      <c r="Q204" s="51"/>
      <c r="R204" s="140" t="s">
        <v>311</v>
      </c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138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139"/>
    </row>
    <row r="205" spans="2:61" ht="20.100000000000001" customHeight="1" x14ac:dyDescent="0.45">
      <c r="B205" s="133"/>
      <c r="C205" s="27"/>
      <c r="D205" s="27"/>
      <c r="E205" s="27"/>
      <c r="F205" s="27"/>
      <c r="G205" s="134"/>
      <c r="H205" s="140" t="s">
        <v>159</v>
      </c>
      <c r="I205" s="51"/>
      <c r="J205" s="140" t="s">
        <v>312</v>
      </c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14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142"/>
    </row>
    <row r="206" spans="2:61" ht="20.100000000000001" customHeight="1" x14ac:dyDescent="0.45">
      <c r="B206" s="133"/>
      <c r="C206" s="27"/>
      <c r="D206" s="27"/>
      <c r="E206" s="27"/>
      <c r="F206" s="27"/>
      <c r="G206" s="134"/>
      <c r="H206" s="140" t="s">
        <v>160</v>
      </c>
      <c r="I206" s="51"/>
      <c r="J206" s="140" t="s">
        <v>313</v>
      </c>
      <c r="K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14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142"/>
    </row>
    <row r="207" spans="2:61" ht="20.100000000000001" customHeight="1" x14ac:dyDescent="0.45">
      <c r="B207" s="133"/>
      <c r="C207" s="27"/>
      <c r="D207" s="27"/>
      <c r="E207" s="27"/>
      <c r="F207" s="27"/>
      <c r="G207" s="134"/>
      <c r="H207" s="135"/>
      <c r="I207" s="27"/>
      <c r="J207" s="135" t="s">
        <v>314</v>
      </c>
      <c r="K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138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139"/>
    </row>
    <row r="208" spans="2:61" ht="20.100000000000001" customHeight="1" x14ac:dyDescent="0.45">
      <c r="B208" s="133"/>
      <c r="C208" s="27"/>
      <c r="D208" s="27"/>
      <c r="E208" s="27"/>
      <c r="F208" s="27"/>
      <c r="G208" s="134"/>
      <c r="H208" s="135"/>
      <c r="I208" s="27"/>
      <c r="J208" s="135" t="s">
        <v>315</v>
      </c>
      <c r="K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138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139"/>
    </row>
    <row r="209" spans="2:61" ht="20.100000000000001" customHeight="1" x14ac:dyDescent="0.45">
      <c r="B209" s="133"/>
      <c r="C209" s="27"/>
      <c r="D209" s="27"/>
      <c r="E209" s="27"/>
      <c r="F209" s="27"/>
      <c r="G209" s="134"/>
      <c r="H209" s="135"/>
      <c r="I209" s="27"/>
      <c r="J209" s="144"/>
      <c r="K209" s="145" t="s">
        <v>316</v>
      </c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138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139"/>
    </row>
    <row r="210" spans="2:61" ht="20.100000000000001" customHeight="1" x14ac:dyDescent="0.45">
      <c r="B210" s="143"/>
      <c r="C210" s="27"/>
      <c r="D210" s="27"/>
      <c r="E210" s="27"/>
      <c r="F210" s="27"/>
      <c r="G210" s="134"/>
      <c r="H210" s="140" t="s">
        <v>161</v>
      </c>
      <c r="I210" s="51"/>
      <c r="J210" s="140" t="s">
        <v>317</v>
      </c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14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142"/>
    </row>
    <row r="211" spans="2:61" ht="20.100000000000001" customHeight="1" x14ac:dyDescent="0.45">
      <c r="B211" s="143"/>
      <c r="C211" s="27"/>
      <c r="D211" s="27"/>
      <c r="E211" s="27"/>
      <c r="F211" s="27"/>
      <c r="G211" s="134"/>
      <c r="H211" s="135"/>
      <c r="I211" s="27"/>
      <c r="J211" s="135" t="s">
        <v>337</v>
      </c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138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139"/>
    </row>
    <row r="212" spans="2:61" ht="20.100000000000001" customHeight="1" x14ac:dyDescent="0.45">
      <c r="B212" s="143"/>
      <c r="C212" s="27"/>
      <c r="D212" s="27"/>
      <c r="E212" s="27"/>
      <c r="F212" s="27"/>
      <c r="G212" s="134"/>
      <c r="H212" s="135"/>
      <c r="I212" s="27"/>
      <c r="J212" s="135"/>
      <c r="K212" s="27" t="s">
        <v>338</v>
      </c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138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139"/>
    </row>
    <row r="213" spans="2:61" ht="20.100000000000001" customHeight="1" x14ac:dyDescent="0.45">
      <c r="B213" s="143"/>
      <c r="C213" s="27"/>
      <c r="D213" s="27"/>
      <c r="E213" s="27"/>
      <c r="F213" s="27"/>
      <c r="G213" s="134"/>
      <c r="H213" s="135"/>
      <c r="I213" s="27"/>
      <c r="J213" s="135" t="s">
        <v>322</v>
      </c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138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139"/>
    </row>
    <row r="214" spans="2:61" ht="20.100000000000001" customHeight="1" x14ac:dyDescent="0.45">
      <c r="B214" s="143"/>
      <c r="C214" s="27"/>
      <c r="D214" s="27"/>
      <c r="E214" s="27"/>
      <c r="F214" s="27"/>
      <c r="G214" s="134"/>
      <c r="H214" s="135"/>
      <c r="I214" s="27"/>
      <c r="J214" s="135"/>
      <c r="K214" s="27" t="s">
        <v>325</v>
      </c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138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139"/>
    </row>
    <row r="215" spans="2:61" ht="20.100000000000001" customHeight="1" thickBot="1" x14ac:dyDescent="0.5">
      <c r="B215" s="143"/>
      <c r="C215" s="27"/>
      <c r="D215" s="27"/>
      <c r="E215" s="27"/>
      <c r="F215" s="27"/>
      <c r="G215" s="134"/>
      <c r="H215" s="135"/>
      <c r="I215" s="27"/>
      <c r="J215" s="135"/>
      <c r="K215" s="27" t="s">
        <v>324</v>
      </c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138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139"/>
    </row>
    <row r="216" spans="2:61" ht="20.100000000000001" customHeight="1" x14ac:dyDescent="0.45">
      <c r="B216" s="124" t="s">
        <v>325</v>
      </c>
      <c r="C216" s="125"/>
      <c r="D216" s="125"/>
      <c r="E216" s="125"/>
      <c r="F216" s="125"/>
      <c r="G216" s="126"/>
      <c r="H216" s="127" t="s">
        <v>158</v>
      </c>
      <c r="I216" s="125"/>
      <c r="J216" s="128" t="s">
        <v>275</v>
      </c>
      <c r="K216" s="129"/>
      <c r="L216" s="129"/>
      <c r="M216" s="129"/>
      <c r="N216" s="129"/>
      <c r="O216" s="129"/>
      <c r="P216" s="129"/>
      <c r="Q216" s="130"/>
      <c r="R216" s="129" t="s">
        <v>327</v>
      </c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30"/>
      <c r="AK216" s="131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  <c r="BI216" s="132"/>
    </row>
    <row r="217" spans="2:61" ht="20.100000000000001" customHeight="1" x14ac:dyDescent="0.45">
      <c r="B217" s="133"/>
      <c r="C217" s="27"/>
      <c r="D217" s="27"/>
      <c r="E217" s="27"/>
      <c r="F217" s="27"/>
      <c r="G217" s="134"/>
      <c r="H217" s="140" t="s">
        <v>159</v>
      </c>
      <c r="I217" s="51"/>
      <c r="J217" s="140" t="s">
        <v>328</v>
      </c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14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142"/>
    </row>
    <row r="218" spans="2:61" ht="20.100000000000001" customHeight="1" x14ac:dyDescent="0.45">
      <c r="B218" s="143"/>
      <c r="C218" s="27"/>
      <c r="D218" s="27"/>
      <c r="E218" s="27"/>
      <c r="F218" s="27"/>
      <c r="G218" s="134"/>
      <c r="H218" s="140" t="s">
        <v>160</v>
      </c>
      <c r="I218" s="51"/>
      <c r="J218" s="140" t="s">
        <v>329</v>
      </c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14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142"/>
    </row>
    <row r="219" spans="2:61" ht="20.100000000000001" customHeight="1" x14ac:dyDescent="0.45">
      <c r="B219" s="143"/>
      <c r="C219" s="27"/>
      <c r="D219" s="27"/>
      <c r="E219" s="27"/>
      <c r="F219" s="27"/>
      <c r="G219" s="134"/>
      <c r="H219" s="140" t="s">
        <v>161</v>
      </c>
      <c r="I219" s="51"/>
      <c r="J219" s="140" t="s">
        <v>330</v>
      </c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14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142"/>
    </row>
    <row r="220" spans="2:61" ht="20.100000000000001" customHeight="1" x14ac:dyDescent="0.45">
      <c r="B220" s="143"/>
      <c r="C220" s="27"/>
      <c r="D220" s="27"/>
      <c r="E220" s="27"/>
      <c r="F220" s="27"/>
      <c r="G220" s="134"/>
      <c r="H220" s="135"/>
      <c r="I220" s="27"/>
      <c r="J220" s="135"/>
      <c r="K220" s="27" t="s">
        <v>331</v>
      </c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138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139"/>
    </row>
    <row r="221" spans="2:61" ht="20.100000000000001" customHeight="1" x14ac:dyDescent="0.45">
      <c r="B221" s="143"/>
      <c r="C221" s="27"/>
      <c r="D221" s="27"/>
      <c r="E221" s="27"/>
      <c r="F221" s="27"/>
      <c r="G221" s="134"/>
      <c r="H221" s="135"/>
      <c r="I221" s="27"/>
      <c r="J221" s="135"/>
      <c r="K221" s="27" t="s">
        <v>332</v>
      </c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138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139"/>
    </row>
    <row r="222" spans="2:61" ht="20.100000000000001" customHeight="1" x14ac:dyDescent="0.45">
      <c r="B222" s="143"/>
      <c r="C222" s="27"/>
      <c r="D222" s="27"/>
      <c r="E222" s="27"/>
      <c r="F222" s="27"/>
      <c r="G222" s="134"/>
      <c r="H222" s="135"/>
      <c r="I222" s="27"/>
      <c r="J222" s="135"/>
      <c r="K222" s="27" t="s">
        <v>342</v>
      </c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138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139"/>
    </row>
    <row r="223" spans="2:61" ht="20.100000000000001" customHeight="1" thickBot="1" x14ac:dyDescent="0.5">
      <c r="B223" s="143"/>
      <c r="C223" s="27"/>
      <c r="D223" s="27"/>
      <c r="E223" s="27"/>
      <c r="F223" s="27"/>
      <c r="G223" s="134"/>
      <c r="H223" s="140" t="s">
        <v>334</v>
      </c>
      <c r="I223" s="51"/>
      <c r="J223" s="140" t="s">
        <v>343</v>
      </c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14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142"/>
    </row>
    <row r="224" spans="2:61" ht="20.100000000000001" customHeight="1" x14ac:dyDescent="0.45">
      <c r="B224" s="124" t="s">
        <v>326</v>
      </c>
      <c r="C224" s="125"/>
      <c r="D224" s="125"/>
      <c r="E224" s="125"/>
      <c r="F224" s="125"/>
      <c r="G224" s="126"/>
      <c r="H224" s="127" t="s">
        <v>158</v>
      </c>
      <c r="I224" s="125"/>
      <c r="J224" s="128" t="s">
        <v>241</v>
      </c>
      <c r="K224" s="129"/>
      <c r="L224" s="129"/>
      <c r="M224" s="129"/>
      <c r="N224" s="129"/>
      <c r="O224" s="129"/>
      <c r="P224" s="129"/>
      <c r="Q224" s="130"/>
      <c r="R224" s="129">
        <v>1</v>
      </c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30"/>
      <c r="AK224" s="131" t="s">
        <v>346</v>
      </c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  <c r="BI224" s="132"/>
    </row>
    <row r="225" spans="2:61" ht="20.100000000000001" customHeight="1" x14ac:dyDescent="0.45">
      <c r="B225" s="133"/>
      <c r="C225" s="27"/>
      <c r="D225" s="27"/>
      <c r="E225" s="27"/>
      <c r="F225" s="27"/>
      <c r="G225" s="134"/>
      <c r="H225" s="135"/>
      <c r="I225" s="27"/>
      <c r="J225" s="144" t="s">
        <v>163</v>
      </c>
      <c r="K225" s="145"/>
      <c r="L225" s="145"/>
      <c r="M225" s="145"/>
      <c r="N225" s="145"/>
      <c r="O225" s="145"/>
      <c r="P225" s="145"/>
      <c r="Q225" s="156"/>
      <c r="R225" s="145" t="s">
        <v>164</v>
      </c>
      <c r="S225" s="145"/>
      <c r="T225" s="145"/>
      <c r="U225" s="145"/>
      <c r="V225" s="145"/>
      <c r="W225" s="145"/>
      <c r="X225" s="145"/>
      <c r="Y225" s="145"/>
      <c r="Z225" s="145"/>
      <c r="AA225" s="145"/>
      <c r="AB225" s="145"/>
      <c r="AC225" s="145"/>
      <c r="AD225" s="145"/>
      <c r="AE225" s="145"/>
      <c r="AF225" s="145"/>
      <c r="AG225" s="145"/>
      <c r="AH225" s="145"/>
      <c r="AI225" s="145"/>
      <c r="AJ225" s="156"/>
      <c r="AK225" s="138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139"/>
    </row>
    <row r="226" spans="2:61" ht="20.100000000000001" customHeight="1" x14ac:dyDescent="0.45">
      <c r="B226" s="133"/>
      <c r="C226" s="27"/>
      <c r="D226" s="27"/>
      <c r="E226" s="27"/>
      <c r="F226" s="27"/>
      <c r="G226" s="134"/>
      <c r="H226" s="135"/>
      <c r="I226" s="27"/>
      <c r="J226" s="136" t="s">
        <v>244</v>
      </c>
      <c r="K226" s="48"/>
      <c r="L226" s="48"/>
      <c r="M226" s="48"/>
      <c r="N226" s="48"/>
      <c r="O226" s="48"/>
      <c r="P226" s="48"/>
      <c r="Q226" s="137"/>
      <c r="R226" s="157" t="s">
        <v>344</v>
      </c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137"/>
      <c r="AK226" s="138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139"/>
    </row>
    <row r="227" spans="2:61" ht="20.100000000000001" customHeight="1" x14ac:dyDescent="0.45">
      <c r="B227" s="133"/>
      <c r="C227" s="27"/>
      <c r="D227" s="27"/>
      <c r="E227" s="27"/>
      <c r="F227" s="27"/>
      <c r="G227" s="134"/>
      <c r="H227" s="135"/>
      <c r="I227" s="27"/>
      <c r="J227" s="140" t="s">
        <v>247</v>
      </c>
      <c r="K227" s="51"/>
      <c r="L227" s="51"/>
      <c r="M227" s="51"/>
      <c r="N227" s="51"/>
      <c r="O227" s="51"/>
      <c r="P227" s="51"/>
      <c r="Q227" s="51"/>
      <c r="R227" s="141" t="s">
        <v>345</v>
      </c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138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139"/>
    </row>
    <row r="228" spans="2:61" ht="20.100000000000001" customHeight="1" x14ac:dyDescent="0.45">
      <c r="B228" s="133"/>
      <c r="C228" s="27"/>
      <c r="D228" s="27"/>
      <c r="E228" s="27"/>
      <c r="F228" s="27"/>
      <c r="G228" s="134"/>
      <c r="H228" s="135"/>
      <c r="I228" s="27"/>
      <c r="J228" s="140" t="s">
        <v>249</v>
      </c>
      <c r="K228" s="51"/>
      <c r="L228" s="51"/>
      <c r="M228" s="51"/>
      <c r="N228" s="51"/>
      <c r="O228" s="51"/>
      <c r="P228" s="51"/>
      <c r="Q228" s="51"/>
      <c r="R228" s="140" t="s">
        <v>250</v>
      </c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138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139"/>
    </row>
    <row r="229" spans="2:61" ht="20.399999999999999" customHeight="1" x14ac:dyDescent="0.45">
      <c r="B229" s="133"/>
      <c r="C229" s="27"/>
      <c r="D229" s="27"/>
      <c r="E229" s="27"/>
      <c r="F229" s="27"/>
      <c r="G229" s="134"/>
      <c r="H229" s="135"/>
      <c r="I229" s="27"/>
      <c r="J229" s="140" t="s">
        <v>251</v>
      </c>
      <c r="K229" s="51"/>
      <c r="L229" s="51"/>
      <c r="M229" s="51"/>
      <c r="N229" s="51"/>
      <c r="O229" s="51"/>
      <c r="P229" s="51"/>
      <c r="Q229" s="51"/>
      <c r="R229" s="140" t="s">
        <v>252</v>
      </c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138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139"/>
    </row>
    <row r="230" spans="2:61" ht="20.399999999999999" customHeight="1" x14ac:dyDescent="0.45">
      <c r="B230" s="133"/>
      <c r="C230" s="27"/>
      <c r="D230" s="27"/>
      <c r="E230" s="27"/>
      <c r="F230" s="27"/>
      <c r="G230" s="134"/>
      <c r="H230" s="135"/>
      <c r="I230" s="27"/>
      <c r="J230" s="140" t="s">
        <v>253</v>
      </c>
      <c r="K230" s="51"/>
      <c r="L230" s="51"/>
      <c r="M230" s="51"/>
      <c r="N230" s="51"/>
      <c r="O230" s="51"/>
      <c r="P230" s="51"/>
      <c r="Q230" s="51"/>
      <c r="R230" s="140" t="s">
        <v>254</v>
      </c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138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139"/>
    </row>
    <row r="231" spans="2:61" ht="20.399999999999999" customHeight="1" x14ac:dyDescent="0.45">
      <c r="B231" s="133"/>
      <c r="C231" s="27"/>
      <c r="D231" s="27"/>
      <c r="E231" s="27"/>
      <c r="F231" s="27"/>
      <c r="G231" s="134"/>
      <c r="H231" s="135"/>
      <c r="I231" s="27"/>
      <c r="J231" s="140" t="s">
        <v>255</v>
      </c>
      <c r="K231" s="51"/>
      <c r="L231" s="51"/>
      <c r="M231" s="51"/>
      <c r="N231" s="51"/>
      <c r="O231" s="51"/>
      <c r="P231" s="51"/>
      <c r="Q231" s="51"/>
      <c r="R231" s="140" t="s">
        <v>256</v>
      </c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138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139"/>
    </row>
    <row r="232" spans="2:61" ht="20.399999999999999" customHeight="1" x14ac:dyDescent="0.45">
      <c r="B232" s="133"/>
      <c r="C232" s="27"/>
      <c r="D232" s="27"/>
      <c r="E232" s="27"/>
      <c r="F232" s="27"/>
      <c r="G232" s="134"/>
      <c r="H232" s="135"/>
      <c r="I232" s="27"/>
      <c r="J232" s="140" t="s">
        <v>257</v>
      </c>
      <c r="K232" s="51"/>
      <c r="L232" s="51"/>
      <c r="M232" s="51"/>
      <c r="N232" s="51"/>
      <c r="O232" s="51"/>
      <c r="P232" s="51"/>
      <c r="Q232" s="51"/>
      <c r="R232" s="140" t="s">
        <v>258</v>
      </c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138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139"/>
    </row>
    <row r="233" spans="2:61" ht="20.399999999999999" customHeight="1" x14ac:dyDescent="0.45">
      <c r="B233" s="133"/>
      <c r="C233" s="27"/>
      <c r="D233" s="27"/>
      <c r="E233" s="27"/>
      <c r="F233" s="27"/>
      <c r="G233" s="134"/>
      <c r="H233" s="135"/>
      <c r="I233" s="27"/>
      <c r="J233" s="140" t="s">
        <v>259</v>
      </c>
      <c r="K233" s="51"/>
      <c r="L233" s="51"/>
      <c r="M233" s="51"/>
      <c r="N233" s="51"/>
      <c r="O233" s="51"/>
      <c r="P233" s="51"/>
      <c r="Q233" s="51"/>
      <c r="R233" s="140" t="s">
        <v>260</v>
      </c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138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139"/>
    </row>
    <row r="234" spans="2:61" ht="20.399999999999999" customHeight="1" x14ac:dyDescent="0.45">
      <c r="B234" s="133"/>
      <c r="C234" s="27"/>
      <c r="D234" s="27"/>
      <c r="E234" s="27"/>
      <c r="F234" s="27"/>
      <c r="G234" s="134"/>
      <c r="H234" s="135"/>
      <c r="I234" s="27"/>
      <c r="J234" s="140" t="s">
        <v>261</v>
      </c>
      <c r="K234" s="51"/>
      <c r="L234" s="51"/>
      <c r="M234" s="51"/>
      <c r="N234" s="51"/>
      <c r="O234" s="51"/>
      <c r="P234" s="51"/>
      <c r="Q234" s="51"/>
      <c r="R234" s="140" t="s">
        <v>262</v>
      </c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138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139"/>
    </row>
    <row r="235" spans="2:61" ht="20.399999999999999" customHeight="1" x14ac:dyDescent="0.45">
      <c r="B235" s="133"/>
      <c r="C235" s="27"/>
      <c r="D235" s="27"/>
      <c r="E235" s="27"/>
      <c r="F235" s="27"/>
      <c r="G235" s="134"/>
      <c r="H235" s="135"/>
      <c r="I235" s="27"/>
      <c r="J235" s="140" t="s">
        <v>263</v>
      </c>
      <c r="K235" s="51"/>
      <c r="L235" s="51"/>
      <c r="M235" s="51"/>
      <c r="N235" s="51"/>
      <c r="O235" s="51"/>
      <c r="P235" s="51"/>
      <c r="Q235" s="51"/>
      <c r="R235" s="140" t="s">
        <v>264</v>
      </c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138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139"/>
    </row>
    <row r="236" spans="2:61" ht="20.399999999999999" customHeight="1" x14ac:dyDescent="0.45">
      <c r="B236" s="133"/>
      <c r="C236" s="27"/>
      <c r="D236" s="27"/>
      <c r="E236" s="27"/>
      <c r="F236" s="27"/>
      <c r="G236" s="134"/>
      <c r="H236" s="135"/>
      <c r="I236" s="27"/>
      <c r="J236" s="140" t="s">
        <v>265</v>
      </c>
      <c r="K236" s="51"/>
      <c r="L236" s="51"/>
      <c r="M236" s="51"/>
      <c r="N236" s="51"/>
      <c r="O236" s="51"/>
      <c r="P236" s="51"/>
      <c r="Q236" s="51"/>
      <c r="R236" s="140" t="s">
        <v>266</v>
      </c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138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139"/>
    </row>
    <row r="237" spans="2:61" ht="20.100000000000001" customHeight="1" x14ac:dyDescent="0.45">
      <c r="B237" s="133"/>
      <c r="C237" s="27"/>
      <c r="D237" s="27"/>
      <c r="E237" s="27"/>
      <c r="F237" s="27"/>
      <c r="G237" s="134"/>
      <c r="H237" s="135"/>
      <c r="I237" s="27"/>
      <c r="J237" s="140" t="s">
        <v>267</v>
      </c>
      <c r="K237" s="51"/>
      <c r="L237" s="51"/>
      <c r="M237" s="51"/>
      <c r="N237" s="51"/>
      <c r="O237" s="51"/>
      <c r="P237" s="51"/>
      <c r="Q237" s="51"/>
      <c r="R237" s="140" t="s">
        <v>268</v>
      </c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138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139"/>
    </row>
    <row r="238" spans="2:61" ht="20.100000000000001" customHeight="1" x14ac:dyDescent="0.45">
      <c r="B238" s="133"/>
      <c r="C238" s="27"/>
      <c r="D238" s="27"/>
      <c r="E238" s="27"/>
      <c r="F238" s="27"/>
      <c r="G238" s="134"/>
      <c r="H238" s="135"/>
      <c r="I238" s="27"/>
      <c r="J238" s="140" t="s">
        <v>269</v>
      </c>
      <c r="K238" s="51"/>
      <c r="L238" s="51"/>
      <c r="M238" s="51"/>
      <c r="N238" s="51"/>
      <c r="O238" s="51"/>
      <c r="P238" s="51"/>
      <c r="Q238" s="51"/>
      <c r="R238" s="136" t="s">
        <v>270</v>
      </c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138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139"/>
    </row>
    <row r="239" spans="2:61" ht="20.100000000000001" customHeight="1" x14ac:dyDescent="0.45">
      <c r="B239" s="133"/>
      <c r="C239" s="27"/>
      <c r="D239" s="27"/>
      <c r="E239" s="27"/>
      <c r="F239" s="27"/>
      <c r="G239" s="134"/>
      <c r="H239" s="135"/>
      <c r="I239" s="27"/>
      <c r="J239" s="140" t="s">
        <v>271</v>
      </c>
      <c r="K239" s="51"/>
      <c r="L239" s="51"/>
      <c r="M239" s="51"/>
      <c r="N239" s="51"/>
      <c r="O239" s="51"/>
      <c r="P239" s="51"/>
      <c r="Q239" s="51"/>
      <c r="R239" s="140" t="s">
        <v>272</v>
      </c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138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139"/>
    </row>
    <row r="240" spans="2:61" ht="20.100000000000001" customHeight="1" x14ac:dyDescent="0.45">
      <c r="B240" s="133"/>
      <c r="C240" s="27"/>
      <c r="D240" s="27"/>
      <c r="E240" s="27"/>
      <c r="F240" s="27"/>
      <c r="G240" s="134"/>
      <c r="H240" s="135"/>
      <c r="I240" s="27"/>
      <c r="J240" s="140" t="s">
        <v>273</v>
      </c>
      <c r="K240" s="51"/>
      <c r="L240" s="51"/>
      <c r="M240" s="51"/>
      <c r="N240" s="51"/>
      <c r="O240" s="51"/>
      <c r="P240" s="51"/>
      <c r="Q240" s="51"/>
      <c r="R240" s="140" t="s">
        <v>274</v>
      </c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138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139"/>
    </row>
    <row r="241" spans="2:61" ht="20.100000000000001" customHeight="1" x14ac:dyDescent="0.45">
      <c r="B241" s="133"/>
      <c r="C241" s="27"/>
      <c r="D241" s="27"/>
      <c r="E241" s="27"/>
      <c r="F241" s="27"/>
      <c r="G241" s="134"/>
      <c r="H241" s="135"/>
      <c r="I241" s="27"/>
      <c r="J241" s="140" t="s">
        <v>348</v>
      </c>
      <c r="K241" s="51"/>
      <c r="L241" s="51"/>
      <c r="M241" s="51"/>
      <c r="N241" s="51"/>
      <c r="O241" s="51"/>
      <c r="P241" s="51"/>
      <c r="Q241" s="51"/>
      <c r="R241" s="140" t="s">
        <v>347</v>
      </c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138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139"/>
    </row>
    <row r="242" spans="2:61" ht="20.100000000000001" customHeight="1" x14ac:dyDescent="0.45">
      <c r="B242" s="133"/>
      <c r="C242" s="27"/>
      <c r="D242" s="27"/>
      <c r="E242" s="27"/>
      <c r="F242" s="27"/>
      <c r="G242" s="134"/>
      <c r="H242" s="135"/>
      <c r="I242" s="27"/>
      <c r="J242" s="140" t="s">
        <v>277</v>
      </c>
      <c r="K242" s="51"/>
      <c r="L242" s="51"/>
      <c r="M242" s="51"/>
      <c r="N242" s="51"/>
      <c r="O242" s="51"/>
      <c r="P242" s="51"/>
      <c r="Q242" s="51"/>
      <c r="R242" s="140" t="s">
        <v>278</v>
      </c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138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139"/>
    </row>
    <row r="243" spans="2:61" ht="20.100000000000001" customHeight="1" x14ac:dyDescent="0.45">
      <c r="B243" s="133"/>
      <c r="C243" s="27"/>
      <c r="D243" s="27"/>
      <c r="E243" s="27"/>
      <c r="F243" s="27"/>
      <c r="G243" s="134"/>
      <c r="H243" s="135"/>
      <c r="I243" s="27"/>
      <c r="J243" s="140" t="s">
        <v>279</v>
      </c>
      <c r="K243" s="51"/>
      <c r="L243" s="51"/>
      <c r="M243" s="51"/>
      <c r="N243" s="51"/>
      <c r="O243" s="51"/>
      <c r="P243" s="51"/>
      <c r="Q243" s="51"/>
      <c r="R243" s="140" t="s">
        <v>280</v>
      </c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138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139"/>
    </row>
    <row r="244" spans="2:61" ht="20.100000000000001" customHeight="1" x14ac:dyDescent="0.45">
      <c r="B244" s="133"/>
      <c r="C244" s="27"/>
      <c r="D244" s="27"/>
      <c r="E244" s="27"/>
      <c r="F244" s="27"/>
      <c r="G244" s="134"/>
      <c r="H244" s="135"/>
      <c r="I244" s="27"/>
      <c r="J244" s="140" t="s">
        <v>281</v>
      </c>
      <c r="K244" s="51"/>
      <c r="L244" s="51"/>
      <c r="M244" s="51"/>
      <c r="N244" s="51"/>
      <c r="O244" s="51"/>
      <c r="P244" s="51"/>
      <c r="Q244" s="51"/>
      <c r="R244" s="141" t="s">
        <v>350</v>
      </c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138" t="s">
        <v>349</v>
      </c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139"/>
    </row>
    <row r="245" spans="2:61" ht="20.100000000000001" customHeight="1" x14ac:dyDescent="0.45">
      <c r="B245" s="133"/>
      <c r="C245" s="27"/>
      <c r="D245" s="27"/>
      <c r="E245" s="27"/>
      <c r="F245" s="27"/>
      <c r="G245" s="134"/>
      <c r="H245" s="135"/>
      <c r="I245" s="27"/>
      <c r="J245" s="140" t="s">
        <v>284</v>
      </c>
      <c r="K245" s="51"/>
      <c r="L245" s="51"/>
      <c r="M245" s="51"/>
      <c r="N245" s="51"/>
      <c r="O245" s="51"/>
      <c r="P245" s="51"/>
      <c r="Q245" s="51"/>
      <c r="R245" s="140" t="s">
        <v>285</v>
      </c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138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139"/>
    </row>
    <row r="246" spans="2:61" ht="20.100000000000001" customHeight="1" x14ac:dyDescent="0.45">
      <c r="B246" s="133"/>
      <c r="C246" s="27"/>
      <c r="D246" s="27"/>
      <c r="E246" s="27"/>
      <c r="F246" s="27"/>
      <c r="G246" s="134"/>
      <c r="H246" s="135"/>
      <c r="I246" s="27"/>
      <c r="J246" s="140" t="s">
        <v>286</v>
      </c>
      <c r="K246" s="51"/>
      <c r="L246" s="51"/>
      <c r="M246" s="51"/>
      <c r="N246" s="51"/>
      <c r="O246" s="51"/>
      <c r="P246" s="51"/>
      <c r="Q246" s="51"/>
      <c r="R246" s="140" t="s">
        <v>287</v>
      </c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138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139"/>
    </row>
    <row r="247" spans="2:61" ht="20.100000000000001" customHeight="1" x14ac:dyDescent="0.45">
      <c r="B247" s="133"/>
      <c r="C247" s="27"/>
      <c r="D247" s="27"/>
      <c r="E247" s="27"/>
      <c r="F247" s="27"/>
      <c r="G247" s="134"/>
      <c r="H247" s="135"/>
      <c r="I247" s="27"/>
      <c r="J247" s="140" t="s">
        <v>288</v>
      </c>
      <c r="K247" s="51"/>
      <c r="L247" s="51"/>
      <c r="M247" s="51"/>
      <c r="N247" s="51"/>
      <c r="O247" s="51"/>
      <c r="P247" s="51"/>
      <c r="Q247" s="51"/>
      <c r="R247" s="140" t="s">
        <v>289</v>
      </c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138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139"/>
    </row>
    <row r="248" spans="2:61" ht="20.100000000000001" customHeight="1" x14ac:dyDescent="0.45">
      <c r="B248" s="133"/>
      <c r="C248" s="27"/>
      <c r="D248" s="27"/>
      <c r="E248" s="27"/>
      <c r="F248" s="27"/>
      <c r="G248" s="134"/>
      <c r="H248" s="135"/>
      <c r="I248" s="27"/>
      <c r="J248" s="140" t="s">
        <v>290</v>
      </c>
      <c r="K248" s="51"/>
      <c r="L248" s="51"/>
      <c r="M248" s="51"/>
      <c r="N248" s="51"/>
      <c r="O248" s="51"/>
      <c r="P248" s="51"/>
      <c r="Q248" s="51"/>
      <c r="R248" s="141" t="s">
        <v>352</v>
      </c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138" t="s">
        <v>351</v>
      </c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139"/>
    </row>
    <row r="249" spans="2:61" ht="20.100000000000001" customHeight="1" x14ac:dyDescent="0.45">
      <c r="B249" s="133"/>
      <c r="C249" s="27"/>
      <c r="D249" s="27"/>
      <c r="E249" s="27"/>
      <c r="F249" s="27"/>
      <c r="G249" s="134"/>
      <c r="H249" s="135"/>
      <c r="I249" s="27"/>
      <c r="J249" s="140" t="s">
        <v>177</v>
      </c>
      <c r="K249" s="51"/>
      <c r="L249" s="51"/>
      <c r="M249" s="51"/>
      <c r="N249" s="51"/>
      <c r="O249" s="51"/>
      <c r="P249" s="51"/>
      <c r="Q249" s="51"/>
      <c r="R249" s="140" t="s">
        <v>293</v>
      </c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138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139"/>
    </row>
    <row r="250" spans="2:61" ht="20.100000000000001" customHeight="1" x14ac:dyDescent="0.45">
      <c r="B250" s="133"/>
      <c r="C250" s="27"/>
      <c r="D250" s="27"/>
      <c r="E250" s="27"/>
      <c r="F250" s="27"/>
      <c r="G250" s="134"/>
      <c r="H250" s="135"/>
      <c r="I250" s="27"/>
      <c r="J250" s="140" t="s">
        <v>294</v>
      </c>
      <c r="K250" s="51"/>
      <c r="L250" s="51"/>
      <c r="M250" s="51"/>
      <c r="N250" s="51"/>
      <c r="O250" s="51"/>
      <c r="P250" s="51"/>
      <c r="Q250" s="51"/>
      <c r="R250" s="140" t="s">
        <v>295</v>
      </c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138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139"/>
    </row>
    <row r="251" spans="2:61" ht="20.100000000000001" customHeight="1" x14ac:dyDescent="0.45">
      <c r="B251" s="133"/>
      <c r="C251" s="27"/>
      <c r="D251" s="27"/>
      <c r="E251" s="27"/>
      <c r="F251" s="27"/>
      <c r="G251" s="134"/>
      <c r="H251" s="135"/>
      <c r="I251" s="27"/>
      <c r="J251" s="140" t="s">
        <v>296</v>
      </c>
      <c r="K251" s="51"/>
      <c r="L251" s="51"/>
      <c r="M251" s="51"/>
      <c r="N251" s="51"/>
      <c r="O251" s="51"/>
      <c r="P251" s="51"/>
      <c r="Q251" s="51"/>
      <c r="R251" s="140" t="s">
        <v>297</v>
      </c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138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139"/>
    </row>
    <row r="252" spans="2:61" ht="20.100000000000001" customHeight="1" x14ac:dyDescent="0.45">
      <c r="B252" s="133"/>
      <c r="C252" s="27"/>
      <c r="D252" s="27"/>
      <c r="E252" s="27"/>
      <c r="F252" s="27"/>
      <c r="G252" s="134"/>
      <c r="H252" s="135"/>
      <c r="I252" s="27"/>
      <c r="J252" s="140" t="s">
        <v>298</v>
      </c>
      <c r="K252" s="51"/>
      <c r="L252" s="51"/>
      <c r="M252" s="51"/>
      <c r="N252" s="51"/>
      <c r="O252" s="51"/>
      <c r="P252" s="51"/>
      <c r="Q252" s="51"/>
      <c r="R252" s="140" t="s">
        <v>299</v>
      </c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138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139"/>
    </row>
    <row r="253" spans="2:61" ht="20.100000000000001" customHeight="1" x14ac:dyDescent="0.45">
      <c r="B253" s="133"/>
      <c r="C253" s="27"/>
      <c r="D253" s="27"/>
      <c r="E253" s="27"/>
      <c r="F253" s="27"/>
      <c r="G253" s="134"/>
      <c r="H253" s="135"/>
      <c r="I253" s="27"/>
      <c r="J253" s="140" t="s">
        <v>300</v>
      </c>
      <c r="K253" s="51"/>
      <c r="L253" s="51"/>
      <c r="M253" s="51"/>
      <c r="N253" s="51"/>
      <c r="O253" s="51"/>
      <c r="P253" s="51"/>
      <c r="Q253" s="51"/>
      <c r="R253" s="140" t="s">
        <v>301</v>
      </c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138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139"/>
    </row>
    <row r="254" spans="2:61" ht="20.100000000000001" customHeight="1" x14ac:dyDescent="0.45">
      <c r="B254" s="133"/>
      <c r="C254" s="27"/>
      <c r="D254" s="27"/>
      <c r="E254" s="27"/>
      <c r="F254" s="27"/>
      <c r="G254" s="134"/>
      <c r="H254" s="135"/>
      <c r="I254" s="27"/>
      <c r="J254" s="140" t="s">
        <v>302</v>
      </c>
      <c r="K254" s="51"/>
      <c r="L254" s="51"/>
      <c r="M254" s="51"/>
      <c r="N254" s="51"/>
      <c r="O254" s="51"/>
      <c r="P254" s="51"/>
      <c r="Q254" s="51"/>
      <c r="R254" s="140" t="s">
        <v>303</v>
      </c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138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139"/>
    </row>
    <row r="255" spans="2:61" ht="20.100000000000001" customHeight="1" x14ac:dyDescent="0.45">
      <c r="B255" s="133"/>
      <c r="C255" s="27"/>
      <c r="D255" s="27"/>
      <c r="E255" s="27"/>
      <c r="F255" s="27"/>
      <c r="G255" s="134"/>
      <c r="H255" s="135"/>
      <c r="I255" s="27"/>
      <c r="J255" s="140" t="s">
        <v>304</v>
      </c>
      <c r="K255" s="51"/>
      <c r="L255" s="51"/>
      <c r="M255" s="51"/>
      <c r="N255" s="51"/>
      <c r="O255" s="51"/>
      <c r="P255" s="51"/>
      <c r="Q255" s="51"/>
      <c r="R255" s="140" t="s">
        <v>305</v>
      </c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138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139"/>
    </row>
    <row r="256" spans="2:61" ht="20.100000000000001" customHeight="1" x14ac:dyDescent="0.45">
      <c r="B256" s="133"/>
      <c r="C256" s="27"/>
      <c r="D256" s="27"/>
      <c r="E256" s="27"/>
      <c r="F256" s="27"/>
      <c r="G256" s="134"/>
      <c r="H256" s="135"/>
      <c r="I256" s="27"/>
      <c r="J256" s="140" t="s">
        <v>306</v>
      </c>
      <c r="K256" s="51"/>
      <c r="L256" s="51"/>
      <c r="M256" s="51"/>
      <c r="N256" s="51"/>
      <c r="O256" s="51"/>
      <c r="P256" s="51"/>
      <c r="Q256" s="51"/>
      <c r="R256" s="140" t="s">
        <v>307</v>
      </c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138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139"/>
    </row>
    <row r="257" spans="2:61" ht="20.100000000000001" customHeight="1" x14ac:dyDescent="0.45">
      <c r="B257" s="133"/>
      <c r="C257" s="27"/>
      <c r="D257" s="27"/>
      <c r="E257" s="27"/>
      <c r="F257" s="27"/>
      <c r="G257" s="134"/>
      <c r="H257" s="135"/>
      <c r="I257" s="27"/>
      <c r="J257" s="140" t="s">
        <v>308</v>
      </c>
      <c r="K257" s="51"/>
      <c r="L257" s="51"/>
      <c r="M257" s="51"/>
      <c r="N257" s="51"/>
      <c r="O257" s="51"/>
      <c r="P257" s="51"/>
      <c r="Q257" s="51"/>
      <c r="R257" s="140" t="s">
        <v>309</v>
      </c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138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139"/>
    </row>
    <row r="258" spans="2:61" ht="20.100000000000001" customHeight="1" x14ac:dyDescent="0.45">
      <c r="B258" s="133"/>
      <c r="C258" s="27"/>
      <c r="D258" s="27"/>
      <c r="E258" s="27"/>
      <c r="F258" s="27"/>
      <c r="G258" s="134"/>
      <c r="H258" s="135"/>
      <c r="I258" s="27"/>
      <c r="J258" s="140" t="s">
        <v>310</v>
      </c>
      <c r="K258" s="51"/>
      <c r="L258" s="51"/>
      <c r="M258" s="51"/>
      <c r="N258" s="51"/>
      <c r="O258" s="51"/>
      <c r="P258" s="51"/>
      <c r="Q258" s="51"/>
      <c r="R258" s="140" t="s">
        <v>311</v>
      </c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138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139"/>
    </row>
    <row r="259" spans="2:61" ht="20.100000000000001" customHeight="1" x14ac:dyDescent="0.45">
      <c r="B259" s="133"/>
      <c r="C259" s="27"/>
      <c r="D259" s="27"/>
      <c r="E259" s="27"/>
      <c r="F259" s="27"/>
      <c r="G259" s="134"/>
      <c r="H259" s="140" t="s">
        <v>159</v>
      </c>
      <c r="I259" s="51"/>
      <c r="J259" s="140" t="s">
        <v>312</v>
      </c>
      <c r="K259" s="51"/>
      <c r="L259" s="48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14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142"/>
    </row>
    <row r="260" spans="2:61" ht="20.100000000000001" customHeight="1" x14ac:dyDescent="0.45">
      <c r="B260" s="133"/>
      <c r="C260" s="27"/>
      <c r="D260" s="27"/>
      <c r="E260" s="27"/>
      <c r="F260" s="27"/>
      <c r="G260" s="134"/>
      <c r="H260" s="140" t="s">
        <v>160</v>
      </c>
      <c r="I260" s="51"/>
      <c r="J260" s="140" t="s">
        <v>313</v>
      </c>
      <c r="K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14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142"/>
    </row>
    <row r="261" spans="2:61" ht="20.100000000000001" customHeight="1" x14ac:dyDescent="0.45">
      <c r="B261" s="143"/>
      <c r="C261" s="27"/>
      <c r="D261" s="27"/>
      <c r="E261" s="27"/>
      <c r="F261" s="27"/>
      <c r="G261" s="134"/>
      <c r="H261" s="140" t="s">
        <v>161</v>
      </c>
      <c r="I261" s="51"/>
      <c r="J261" s="140" t="s">
        <v>317</v>
      </c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14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142"/>
    </row>
    <row r="262" spans="2:61" ht="20.100000000000001" customHeight="1" x14ac:dyDescent="0.45">
      <c r="B262" s="143"/>
      <c r="C262" s="27"/>
      <c r="D262" s="27"/>
      <c r="E262" s="27"/>
      <c r="F262" s="27"/>
      <c r="G262" s="134"/>
      <c r="H262" s="135"/>
      <c r="I262" s="27"/>
      <c r="J262" s="135" t="s">
        <v>318</v>
      </c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138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139"/>
    </row>
    <row r="263" spans="2:61" ht="20.100000000000001" customHeight="1" x14ac:dyDescent="0.45">
      <c r="B263" s="143"/>
      <c r="C263" s="27"/>
      <c r="D263" s="27"/>
      <c r="E263" s="27"/>
      <c r="F263" s="27"/>
      <c r="G263" s="134"/>
      <c r="H263" s="135"/>
      <c r="I263" s="27"/>
      <c r="J263" s="135" t="s">
        <v>353</v>
      </c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138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139"/>
    </row>
    <row r="264" spans="2:61" ht="20.100000000000001" customHeight="1" thickBot="1" x14ac:dyDescent="0.5">
      <c r="B264" s="143"/>
      <c r="C264" s="27"/>
      <c r="D264" s="27"/>
      <c r="E264" s="27"/>
      <c r="F264" s="27"/>
      <c r="G264" s="134"/>
      <c r="H264" s="135"/>
      <c r="I264" s="27"/>
      <c r="J264" s="135"/>
      <c r="K264" s="27" t="s">
        <v>354</v>
      </c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138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139"/>
    </row>
    <row r="265" spans="2:61" ht="20.100000000000001" customHeight="1" x14ac:dyDescent="0.45">
      <c r="B265" s="124" t="s">
        <v>235</v>
      </c>
      <c r="C265" s="125"/>
      <c r="D265" s="125"/>
      <c r="E265" s="125"/>
      <c r="F265" s="125"/>
      <c r="G265" s="126"/>
      <c r="H265" s="127" t="s">
        <v>158</v>
      </c>
      <c r="I265" s="125"/>
      <c r="J265" s="128" t="s">
        <v>241</v>
      </c>
      <c r="K265" s="129"/>
      <c r="L265" s="129"/>
      <c r="M265" s="129"/>
      <c r="N265" s="129"/>
      <c r="O265" s="129"/>
      <c r="P265" s="129"/>
      <c r="Q265" s="130"/>
      <c r="R265" s="129">
        <v>1</v>
      </c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30"/>
      <c r="AK265" s="131" t="s">
        <v>320</v>
      </c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  <c r="BI265" s="132"/>
    </row>
    <row r="266" spans="2:61" ht="20.100000000000001" customHeight="1" x14ac:dyDescent="0.45">
      <c r="B266" s="133"/>
      <c r="C266" s="27"/>
      <c r="D266" s="27"/>
      <c r="E266" s="27"/>
      <c r="F266" s="27"/>
      <c r="G266" s="134"/>
      <c r="H266" s="135"/>
      <c r="I266" s="27"/>
      <c r="J266" s="144" t="s">
        <v>163</v>
      </c>
      <c r="K266" s="145"/>
      <c r="L266" s="145"/>
      <c r="M266" s="145"/>
      <c r="N266" s="145"/>
      <c r="O266" s="145"/>
      <c r="P266" s="145"/>
      <c r="Q266" s="156"/>
      <c r="R266" s="145" t="s">
        <v>164</v>
      </c>
      <c r="S266" s="145"/>
      <c r="T266" s="145"/>
      <c r="U266" s="145"/>
      <c r="V266" s="145"/>
      <c r="W266" s="145"/>
      <c r="X266" s="145"/>
      <c r="Y266" s="145"/>
      <c r="Z266" s="145"/>
      <c r="AA266" s="145"/>
      <c r="AB266" s="145"/>
      <c r="AC266" s="145"/>
      <c r="AD266" s="145"/>
      <c r="AE266" s="145"/>
      <c r="AF266" s="145"/>
      <c r="AG266" s="145"/>
      <c r="AH266" s="145"/>
      <c r="AI266" s="145"/>
      <c r="AJ266" s="156"/>
      <c r="AK266" s="138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139"/>
    </row>
    <row r="267" spans="2:61" ht="20.100000000000001" customHeight="1" x14ac:dyDescent="0.45">
      <c r="B267" s="133"/>
      <c r="C267" s="27"/>
      <c r="D267" s="27"/>
      <c r="E267" s="27"/>
      <c r="F267" s="27"/>
      <c r="G267" s="134"/>
      <c r="H267" s="135"/>
      <c r="I267" s="27"/>
      <c r="J267" s="136" t="s">
        <v>244</v>
      </c>
      <c r="K267" s="48"/>
      <c r="L267" s="48"/>
      <c r="M267" s="48"/>
      <c r="N267" s="48"/>
      <c r="O267" s="48"/>
      <c r="P267" s="48"/>
      <c r="Q267" s="137"/>
      <c r="R267" s="157" t="s">
        <v>344</v>
      </c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137"/>
      <c r="AK267" s="138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139"/>
    </row>
    <row r="268" spans="2:61" ht="20.100000000000001" customHeight="1" x14ac:dyDescent="0.45">
      <c r="B268" s="133"/>
      <c r="C268" s="27"/>
      <c r="D268" s="27"/>
      <c r="E268" s="27"/>
      <c r="F268" s="27"/>
      <c r="G268" s="134"/>
      <c r="H268" s="135"/>
      <c r="I268" s="27"/>
      <c r="J268" s="140" t="s">
        <v>247</v>
      </c>
      <c r="K268" s="51"/>
      <c r="L268" s="51"/>
      <c r="M268" s="51"/>
      <c r="N268" s="51"/>
      <c r="O268" s="51"/>
      <c r="P268" s="51"/>
      <c r="Q268" s="51"/>
      <c r="R268" s="141" t="s">
        <v>345</v>
      </c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138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139"/>
    </row>
    <row r="269" spans="2:61" ht="20.100000000000001" customHeight="1" x14ac:dyDescent="0.45">
      <c r="B269" s="133"/>
      <c r="C269" s="27"/>
      <c r="D269" s="27"/>
      <c r="E269" s="27"/>
      <c r="F269" s="27"/>
      <c r="G269" s="134"/>
      <c r="H269" s="135"/>
      <c r="I269" s="27"/>
      <c r="J269" s="140" t="s">
        <v>249</v>
      </c>
      <c r="K269" s="51"/>
      <c r="L269" s="51"/>
      <c r="M269" s="51"/>
      <c r="N269" s="51"/>
      <c r="O269" s="51"/>
      <c r="P269" s="51"/>
      <c r="Q269" s="51"/>
      <c r="R269" s="140" t="s">
        <v>250</v>
      </c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138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139"/>
    </row>
    <row r="270" spans="2:61" ht="20.399999999999999" customHeight="1" x14ac:dyDescent="0.45">
      <c r="B270" s="133"/>
      <c r="C270" s="27"/>
      <c r="D270" s="27"/>
      <c r="E270" s="27"/>
      <c r="F270" s="27"/>
      <c r="G270" s="134"/>
      <c r="H270" s="135"/>
      <c r="I270" s="27"/>
      <c r="J270" s="140" t="s">
        <v>251</v>
      </c>
      <c r="K270" s="51"/>
      <c r="L270" s="51"/>
      <c r="M270" s="51"/>
      <c r="N270" s="51"/>
      <c r="O270" s="51"/>
      <c r="P270" s="51"/>
      <c r="Q270" s="51"/>
      <c r="R270" s="140" t="s">
        <v>252</v>
      </c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138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139"/>
    </row>
    <row r="271" spans="2:61" ht="20.399999999999999" customHeight="1" x14ac:dyDescent="0.45">
      <c r="B271" s="133"/>
      <c r="C271" s="27"/>
      <c r="D271" s="27"/>
      <c r="E271" s="27"/>
      <c r="F271" s="27"/>
      <c r="G271" s="134"/>
      <c r="H271" s="135"/>
      <c r="I271" s="27"/>
      <c r="J271" s="140" t="s">
        <v>253</v>
      </c>
      <c r="K271" s="51"/>
      <c r="L271" s="51"/>
      <c r="M271" s="51"/>
      <c r="N271" s="51"/>
      <c r="O271" s="51"/>
      <c r="P271" s="51"/>
      <c r="Q271" s="51"/>
      <c r="R271" s="140" t="s">
        <v>254</v>
      </c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138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139"/>
    </row>
    <row r="272" spans="2:61" ht="20.399999999999999" customHeight="1" x14ac:dyDescent="0.45">
      <c r="B272" s="133"/>
      <c r="C272" s="27"/>
      <c r="D272" s="27"/>
      <c r="E272" s="27"/>
      <c r="F272" s="27"/>
      <c r="G272" s="134"/>
      <c r="H272" s="135"/>
      <c r="I272" s="27"/>
      <c r="J272" s="140" t="s">
        <v>255</v>
      </c>
      <c r="K272" s="51"/>
      <c r="L272" s="51"/>
      <c r="M272" s="51"/>
      <c r="N272" s="51"/>
      <c r="O272" s="51"/>
      <c r="P272" s="51"/>
      <c r="Q272" s="51"/>
      <c r="R272" s="140" t="s">
        <v>256</v>
      </c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138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139"/>
    </row>
    <row r="273" spans="2:61" ht="20.399999999999999" customHeight="1" x14ac:dyDescent="0.45">
      <c r="B273" s="133"/>
      <c r="C273" s="27"/>
      <c r="D273" s="27"/>
      <c r="E273" s="27"/>
      <c r="F273" s="27"/>
      <c r="G273" s="134"/>
      <c r="H273" s="135"/>
      <c r="I273" s="27"/>
      <c r="J273" s="140" t="s">
        <v>257</v>
      </c>
      <c r="K273" s="51"/>
      <c r="L273" s="51"/>
      <c r="M273" s="51"/>
      <c r="N273" s="51"/>
      <c r="O273" s="51"/>
      <c r="P273" s="51"/>
      <c r="Q273" s="51"/>
      <c r="R273" s="140" t="s">
        <v>258</v>
      </c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138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139"/>
    </row>
    <row r="274" spans="2:61" ht="20.399999999999999" customHeight="1" x14ac:dyDescent="0.45">
      <c r="B274" s="133"/>
      <c r="C274" s="27"/>
      <c r="D274" s="27"/>
      <c r="E274" s="27"/>
      <c r="F274" s="27"/>
      <c r="G274" s="134"/>
      <c r="H274" s="135"/>
      <c r="I274" s="27"/>
      <c r="J274" s="140" t="s">
        <v>259</v>
      </c>
      <c r="K274" s="51"/>
      <c r="L274" s="51"/>
      <c r="M274" s="51"/>
      <c r="N274" s="51"/>
      <c r="O274" s="51"/>
      <c r="P274" s="51"/>
      <c r="Q274" s="51"/>
      <c r="R274" s="140" t="s">
        <v>260</v>
      </c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138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139"/>
    </row>
    <row r="275" spans="2:61" ht="20.399999999999999" customHeight="1" x14ac:dyDescent="0.45">
      <c r="B275" s="133"/>
      <c r="C275" s="27"/>
      <c r="D275" s="27"/>
      <c r="E275" s="27"/>
      <c r="F275" s="27"/>
      <c r="G275" s="134"/>
      <c r="H275" s="135"/>
      <c r="I275" s="27"/>
      <c r="J275" s="140" t="s">
        <v>261</v>
      </c>
      <c r="K275" s="51"/>
      <c r="L275" s="51"/>
      <c r="M275" s="51"/>
      <c r="N275" s="51"/>
      <c r="O275" s="51"/>
      <c r="P275" s="51"/>
      <c r="Q275" s="51"/>
      <c r="R275" s="140" t="s">
        <v>262</v>
      </c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138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139"/>
    </row>
    <row r="276" spans="2:61" ht="20.399999999999999" customHeight="1" x14ac:dyDescent="0.45">
      <c r="B276" s="133"/>
      <c r="C276" s="27"/>
      <c r="D276" s="27"/>
      <c r="E276" s="27"/>
      <c r="F276" s="27"/>
      <c r="G276" s="134"/>
      <c r="H276" s="135"/>
      <c r="I276" s="27"/>
      <c r="J276" s="140" t="s">
        <v>263</v>
      </c>
      <c r="K276" s="51"/>
      <c r="L276" s="51"/>
      <c r="M276" s="51"/>
      <c r="N276" s="51"/>
      <c r="O276" s="51"/>
      <c r="P276" s="51"/>
      <c r="Q276" s="51"/>
      <c r="R276" s="140" t="s">
        <v>264</v>
      </c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138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139"/>
    </row>
    <row r="277" spans="2:61" ht="20.399999999999999" customHeight="1" x14ac:dyDescent="0.45">
      <c r="B277" s="133"/>
      <c r="C277" s="27"/>
      <c r="D277" s="27"/>
      <c r="E277" s="27"/>
      <c r="F277" s="27"/>
      <c r="G277" s="134"/>
      <c r="H277" s="135"/>
      <c r="I277" s="27"/>
      <c r="J277" s="140" t="s">
        <v>265</v>
      </c>
      <c r="K277" s="51"/>
      <c r="L277" s="51"/>
      <c r="M277" s="51"/>
      <c r="N277" s="51"/>
      <c r="O277" s="51"/>
      <c r="P277" s="51"/>
      <c r="Q277" s="51"/>
      <c r="R277" s="140" t="s">
        <v>266</v>
      </c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138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139"/>
    </row>
    <row r="278" spans="2:61" ht="20.100000000000001" customHeight="1" x14ac:dyDescent="0.45">
      <c r="B278" s="133"/>
      <c r="C278" s="27"/>
      <c r="D278" s="27"/>
      <c r="E278" s="27"/>
      <c r="F278" s="27"/>
      <c r="G278" s="134"/>
      <c r="H278" s="135"/>
      <c r="I278" s="27"/>
      <c r="J278" s="140" t="s">
        <v>267</v>
      </c>
      <c r="K278" s="51"/>
      <c r="L278" s="51"/>
      <c r="M278" s="51"/>
      <c r="N278" s="51"/>
      <c r="O278" s="51"/>
      <c r="P278" s="51"/>
      <c r="Q278" s="51"/>
      <c r="R278" s="140" t="s">
        <v>268</v>
      </c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138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139"/>
    </row>
    <row r="279" spans="2:61" ht="20.100000000000001" customHeight="1" x14ac:dyDescent="0.45">
      <c r="B279" s="133"/>
      <c r="C279" s="27"/>
      <c r="D279" s="27"/>
      <c r="E279" s="27"/>
      <c r="F279" s="27"/>
      <c r="G279" s="134"/>
      <c r="H279" s="135"/>
      <c r="I279" s="27"/>
      <c r="J279" s="140" t="s">
        <v>269</v>
      </c>
      <c r="K279" s="51"/>
      <c r="L279" s="51"/>
      <c r="M279" s="51"/>
      <c r="N279" s="51"/>
      <c r="O279" s="51"/>
      <c r="P279" s="51"/>
      <c r="Q279" s="51"/>
      <c r="R279" s="136" t="s">
        <v>270</v>
      </c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138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139"/>
    </row>
    <row r="280" spans="2:61" ht="20.100000000000001" customHeight="1" x14ac:dyDescent="0.45">
      <c r="B280" s="133"/>
      <c r="C280" s="27"/>
      <c r="D280" s="27"/>
      <c r="E280" s="27"/>
      <c r="F280" s="27"/>
      <c r="G280" s="134"/>
      <c r="H280" s="135"/>
      <c r="I280" s="27"/>
      <c r="J280" s="140" t="s">
        <v>271</v>
      </c>
      <c r="K280" s="51"/>
      <c r="L280" s="51"/>
      <c r="M280" s="51"/>
      <c r="N280" s="51"/>
      <c r="O280" s="51"/>
      <c r="P280" s="51"/>
      <c r="Q280" s="51"/>
      <c r="R280" s="140" t="s">
        <v>272</v>
      </c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138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139"/>
    </row>
    <row r="281" spans="2:61" ht="20.100000000000001" customHeight="1" x14ac:dyDescent="0.45">
      <c r="B281" s="133"/>
      <c r="C281" s="27"/>
      <c r="D281" s="27"/>
      <c r="E281" s="27"/>
      <c r="F281" s="27"/>
      <c r="G281" s="134"/>
      <c r="H281" s="135"/>
      <c r="I281" s="27"/>
      <c r="J281" s="140" t="s">
        <v>273</v>
      </c>
      <c r="K281" s="51"/>
      <c r="L281" s="51"/>
      <c r="M281" s="51"/>
      <c r="N281" s="51"/>
      <c r="O281" s="51"/>
      <c r="P281" s="51"/>
      <c r="Q281" s="51"/>
      <c r="R281" s="140" t="s">
        <v>274</v>
      </c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138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139"/>
    </row>
    <row r="282" spans="2:61" ht="20.100000000000001" customHeight="1" x14ac:dyDescent="0.45">
      <c r="B282" s="133"/>
      <c r="C282" s="27"/>
      <c r="D282" s="27"/>
      <c r="E282" s="27"/>
      <c r="F282" s="27"/>
      <c r="G282" s="134"/>
      <c r="H282" s="135"/>
      <c r="I282" s="27"/>
      <c r="J282" s="140" t="s">
        <v>348</v>
      </c>
      <c r="K282" s="51"/>
      <c r="L282" s="51"/>
      <c r="M282" s="51"/>
      <c r="N282" s="51"/>
      <c r="O282" s="51"/>
      <c r="P282" s="51"/>
      <c r="Q282" s="51"/>
      <c r="R282" s="140" t="s">
        <v>347</v>
      </c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138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139"/>
    </row>
    <row r="283" spans="2:61" ht="20.100000000000001" customHeight="1" x14ac:dyDescent="0.45">
      <c r="B283" s="133"/>
      <c r="C283" s="27"/>
      <c r="D283" s="27"/>
      <c r="E283" s="27"/>
      <c r="F283" s="27"/>
      <c r="G283" s="134"/>
      <c r="H283" s="135"/>
      <c r="I283" s="27"/>
      <c r="J283" s="140" t="s">
        <v>277</v>
      </c>
      <c r="K283" s="51"/>
      <c r="L283" s="51"/>
      <c r="M283" s="51"/>
      <c r="N283" s="51"/>
      <c r="O283" s="51"/>
      <c r="P283" s="51"/>
      <c r="Q283" s="51"/>
      <c r="R283" s="140" t="s">
        <v>278</v>
      </c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138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139"/>
    </row>
    <row r="284" spans="2:61" ht="20.100000000000001" customHeight="1" x14ac:dyDescent="0.45">
      <c r="B284" s="133"/>
      <c r="C284" s="27"/>
      <c r="D284" s="27"/>
      <c r="E284" s="27"/>
      <c r="F284" s="27"/>
      <c r="G284" s="134"/>
      <c r="H284" s="135"/>
      <c r="I284" s="27"/>
      <c r="J284" s="140" t="s">
        <v>279</v>
      </c>
      <c r="K284" s="51"/>
      <c r="L284" s="51"/>
      <c r="M284" s="51"/>
      <c r="N284" s="51"/>
      <c r="O284" s="51"/>
      <c r="P284" s="51"/>
      <c r="Q284" s="51"/>
      <c r="R284" s="140" t="s">
        <v>359</v>
      </c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138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139"/>
    </row>
    <row r="285" spans="2:61" ht="20.100000000000001" customHeight="1" x14ac:dyDescent="0.45">
      <c r="B285" s="133"/>
      <c r="C285" s="27"/>
      <c r="D285" s="27"/>
      <c r="E285" s="27"/>
      <c r="F285" s="27"/>
      <c r="G285" s="134"/>
      <c r="H285" s="135"/>
      <c r="I285" s="27"/>
      <c r="J285" s="140" t="s">
        <v>281</v>
      </c>
      <c r="K285" s="51"/>
      <c r="L285" s="51"/>
      <c r="M285" s="51"/>
      <c r="N285" s="51"/>
      <c r="O285" s="51"/>
      <c r="P285" s="51"/>
      <c r="Q285" s="51"/>
      <c r="R285" s="141" t="s">
        <v>360</v>
      </c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138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139"/>
    </row>
    <row r="286" spans="2:61" ht="20.100000000000001" customHeight="1" x14ac:dyDescent="0.45">
      <c r="B286" s="133"/>
      <c r="C286" s="27"/>
      <c r="D286" s="27"/>
      <c r="E286" s="27"/>
      <c r="F286" s="27"/>
      <c r="G286" s="134"/>
      <c r="H286" s="135"/>
      <c r="I286" s="27"/>
      <c r="J286" s="140" t="s">
        <v>284</v>
      </c>
      <c r="K286" s="51"/>
      <c r="L286" s="51"/>
      <c r="M286" s="51"/>
      <c r="N286" s="51"/>
      <c r="O286" s="51"/>
      <c r="P286" s="51"/>
      <c r="Q286" s="51"/>
      <c r="R286" s="140" t="s">
        <v>285</v>
      </c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138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139"/>
    </row>
    <row r="287" spans="2:61" ht="20.100000000000001" customHeight="1" x14ac:dyDescent="0.45">
      <c r="B287" s="133"/>
      <c r="C287" s="27"/>
      <c r="D287" s="27"/>
      <c r="E287" s="27"/>
      <c r="F287" s="27"/>
      <c r="G287" s="134"/>
      <c r="H287" s="135"/>
      <c r="I287" s="27"/>
      <c r="J287" s="140" t="s">
        <v>286</v>
      </c>
      <c r="K287" s="51"/>
      <c r="L287" s="51"/>
      <c r="M287" s="51"/>
      <c r="N287" s="51"/>
      <c r="O287" s="51"/>
      <c r="P287" s="51"/>
      <c r="Q287" s="51"/>
      <c r="R287" s="140" t="s">
        <v>287</v>
      </c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138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139"/>
    </row>
    <row r="288" spans="2:61" ht="20.100000000000001" customHeight="1" x14ac:dyDescent="0.45">
      <c r="B288" s="133"/>
      <c r="C288" s="27"/>
      <c r="D288" s="27"/>
      <c r="E288" s="27"/>
      <c r="F288" s="27"/>
      <c r="G288" s="134"/>
      <c r="H288" s="135"/>
      <c r="I288" s="27"/>
      <c r="J288" s="140" t="s">
        <v>288</v>
      </c>
      <c r="K288" s="51"/>
      <c r="L288" s="51"/>
      <c r="M288" s="51"/>
      <c r="N288" s="51"/>
      <c r="O288" s="51"/>
      <c r="P288" s="51"/>
      <c r="Q288" s="51"/>
      <c r="R288" s="140" t="s">
        <v>362</v>
      </c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138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139"/>
    </row>
    <row r="289" spans="2:61" ht="20.100000000000001" customHeight="1" x14ac:dyDescent="0.45">
      <c r="B289" s="133"/>
      <c r="C289" s="27"/>
      <c r="D289" s="27"/>
      <c r="E289" s="27"/>
      <c r="F289" s="27"/>
      <c r="G289" s="134"/>
      <c r="H289" s="135"/>
      <c r="I289" s="27"/>
      <c r="J289" s="140" t="s">
        <v>290</v>
      </c>
      <c r="K289" s="51"/>
      <c r="L289" s="51"/>
      <c r="M289" s="51"/>
      <c r="N289" s="51"/>
      <c r="O289" s="51"/>
      <c r="P289" s="51"/>
      <c r="Q289" s="51"/>
      <c r="R289" s="141" t="s">
        <v>363</v>
      </c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138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139"/>
    </row>
    <row r="290" spans="2:61" ht="20.100000000000001" customHeight="1" x14ac:dyDescent="0.45">
      <c r="B290" s="133"/>
      <c r="C290" s="27"/>
      <c r="D290" s="27"/>
      <c r="E290" s="27"/>
      <c r="F290" s="27"/>
      <c r="G290" s="134"/>
      <c r="H290" s="135"/>
      <c r="I290" s="27"/>
      <c r="J290" s="140" t="s">
        <v>177</v>
      </c>
      <c r="K290" s="51"/>
      <c r="L290" s="51"/>
      <c r="M290" s="51"/>
      <c r="N290" s="51"/>
      <c r="O290" s="51"/>
      <c r="P290" s="51"/>
      <c r="Q290" s="51"/>
      <c r="R290" s="140" t="s">
        <v>293</v>
      </c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138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139"/>
    </row>
    <row r="291" spans="2:61" ht="20.100000000000001" customHeight="1" x14ac:dyDescent="0.45">
      <c r="B291" s="133"/>
      <c r="C291" s="27"/>
      <c r="D291" s="27"/>
      <c r="E291" s="27"/>
      <c r="F291" s="27"/>
      <c r="G291" s="134"/>
      <c r="H291" s="135"/>
      <c r="I291" s="27"/>
      <c r="J291" s="140" t="s">
        <v>294</v>
      </c>
      <c r="K291" s="51"/>
      <c r="L291" s="51"/>
      <c r="M291" s="51"/>
      <c r="N291" s="51"/>
      <c r="O291" s="51"/>
      <c r="P291" s="51"/>
      <c r="Q291" s="51"/>
      <c r="R291" s="140" t="s">
        <v>295</v>
      </c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138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139"/>
    </row>
    <row r="292" spans="2:61" ht="20.100000000000001" customHeight="1" x14ac:dyDescent="0.45">
      <c r="B292" s="133"/>
      <c r="C292" s="27"/>
      <c r="D292" s="27"/>
      <c r="E292" s="27"/>
      <c r="F292" s="27"/>
      <c r="G292" s="134"/>
      <c r="H292" s="135"/>
      <c r="I292" s="27"/>
      <c r="J292" s="140" t="s">
        <v>296</v>
      </c>
      <c r="K292" s="51"/>
      <c r="L292" s="51"/>
      <c r="M292" s="51"/>
      <c r="N292" s="51"/>
      <c r="O292" s="51"/>
      <c r="P292" s="51"/>
      <c r="Q292" s="51"/>
      <c r="R292" s="140" t="s">
        <v>297</v>
      </c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138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139"/>
    </row>
    <row r="293" spans="2:61" ht="20.100000000000001" customHeight="1" x14ac:dyDescent="0.45">
      <c r="B293" s="133"/>
      <c r="C293" s="27"/>
      <c r="D293" s="27"/>
      <c r="E293" s="27"/>
      <c r="F293" s="27"/>
      <c r="G293" s="134"/>
      <c r="H293" s="135"/>
      <c r="I293" s="27"/>
      <c r="J293" s="140" t="s">
        <v>298</v>
      </c>
      <c r="K293" s="51"/>
      <c r="L293" s="51"/>
      <c r="M293" s="51"/>
      <c r="N293" s="51"/>
      <c r="O293" s="51"/>
      <c r="P293" s="51"/>
      <c r="Q293" s="51"/>
      <c r="R293" s="140" t="s">
        <v>299</v>
      </c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138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139"/>
    </row>
    <row r="294" spans="2:61" ht="20.100000000000001" customHeight="1" x14ac:dyDescent="0.45">
      <c r="B294" s="133"/>
      <c r="C294" s="27"/>
      <c r="D294" s="27"/>
      <c r="E294" s="27"/>
      <c r="F294" s="27"/>
      <c r="G294" s="134"/>
      <c r="H294" s="135"/>
      <c r="I294" s="27"/>
      <c r="J294" s="140" t="s">
        <v>300</v>
      </c>
      <c r="K294" s="51"/>
      <c r="L294" s="51"/>
      <c r="M294" s="51"/>
      <c r="N294" s="51"/>
      <c r="O294" s="51"/>
      <c r="P294" s="51"/>
      <c r="Q294" s="51"/>
      <c r="R294" s="140" t="s">
        <v>301</v>
      </c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138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139"/>
    </row>
    <row r="295" spans="2:61" ht="20.100000000000001" customHeight="1" x14ac:dyDescent="0.45">
      <c r="B295" s="133"/>
      <c r="C295" s="27"/>
      <c r="D295" s="27"/>
      <c r="E295" s="27"/>
      <c r="F295" s="27"/>
      <c r="G295" s="134"/>
      <c r="H295" s="135"/>
      <c r="I295" s="27"/>
      <c r="J295" s="140" t="s">
        <v>302</v>
      </c>
      <c r="K295" s="51"/>
      <c r="L295" s="51"/>
      <c r="M295" s="51"/>
      <c r="N295" s="51"/>
      <c r="O295" s="51"/>
      <c r="P295" s="51"/>
      <c r="Q295" s="51"/>
      <c r="R295" s="140" t="s">
        <v>303</v>
      </c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138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139"/>
    </row>
    <row r="296" spans="2:61" ht="20.100000000000001" customHeight="1" x14ac:dyDescent="0.45">
      <c r="B296" s="133"/>
      <c r="C296" s="27"/>
      <c r="D296" s="27"/>
      <c r="E296" s="27"/>
      <c r="F296" s="27"/>
      <c r="G296" s="134"/>
      <c r="H296" s="135"/>
      <c r="I296" s="27"/>
      <c r="J296" s="140" t="s">
        <v>304</v>
      </c>
      <c r="K296" s="51"/>
      <c r="L296" s="51"/>
      <c r="M296" s="51"/>
      <c r="N296" s="51"/>
      <c r="O296" s="51"/>
      <c r="P296" s="51"/>
      <c r="Q296" s="51"/>
      <c r="R296" s="140" t="s">
        <v>305</v>
      </c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138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139"/>
    </row>
    <row r="297" spans="2:61" ht="20.100000000000001" customHeight="1" x14ac:dyDescent="0.45">
      <c r="B297" s="133"/>
      <c r="C297" s="27"/>
      <c r="D297" s="27"/>
      <c r="E297" s="27"/>
      <c r="F297" s="27"/>
      <c r="G297" s="134"/>
      <c r="H297" s="135"/>
      <c r="I297" s="27"/>
      <c r="J297" s="140" t="s">
        <v>306</v>
      </c>
      <c r="K297" s="51"/>
      <c r="L297" s="51"/>
      <c r="M297" s="51"/>
      <c r="N297" s="51"/>
      <c r="O297" s="51"/>
      <c r="P297" s="51"/>
      <c r="Q297" s="51"/>
      <c r="R297" s="140" t="s">
        <v>307</v>
      </c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138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139"/>
    </row>
    <row r="298" spans="2:61" ht="20.100000000000001" customHeight="1" x14ac:dyDescent="0.45">
      <c r="B298" s="133"/>
      <c r="C298" s="27"/>
      <c r="D298" s="27"/>
      <c r="E298" s="27"/>
      <c r="F298" s="27"/>
      <c r="G298" s="134"/>
      <c r="H298" s="135"/>
      <c r="I298" s="27"/>
      <c r="J298" s="140" t="s">
        <v>308</v>
      </c>
      <c r="K298" s="51"/>
      <c r="L298" s="51"/>
      <c r="M298" s="51"/>
      <c r="N298" s="51"/>
      <c r="O298" s="51"/>
      <c r="P298" s="51"/>
      <c r="Q298" s="51"/>
      <c r="R298" s="140" t="s">
        <v>309</v>
      </c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138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139"/>
    </row>
    <row r="299" spans="2:61" ht="20.100000000000001" customHeight="1" x14ac:dyDescent="0.45">
      <c r="B299" s="133"/>
      <c r="C299" s="27"/>
      <c r="D299" s="27"/>
      <c r="E299" s="27"/>
      <c r="F299" s="27"/>
      <c r="G299" s="134"/>
      <c r="H299" s="135"/>
      <c r="I299" s="27"/>
      <c r="J299" s="140" t="s">
        <v>310</v>
      </c>
      <c r="K299" s="51"/>
      <c r="L299" s="51"/>
      <c r="M299" s="51"/>
      <c r="N299" s="51"/>
      <c r="O299" s="51"/>
      <c r="P299" s="51"/>
      <c r="Q299" s="51"/>
      <c r="R299" s="140" t="s">
        <v>311</v>
      </c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138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139"/>
    </row>
    <row r="300" spans="2:61" ht="20.100000000000001" customHeight="1" x14ac:dyDescent="0.45">
      <c r="B300" s="133"/>
      <c r="C300" s="27"/>
      <c r="D300" s="27"/>
      <c r="E300" s="27"/>
      <c r="F300" s="27"/>
      <c r="G300" s="134"/>
      <c r="H300" s="140" t="s">
        <v>159</v>
      </c>
      <c r="I300" s="51"/>
      <c r="J300" s="140" t="s">
        <v>312</v>
      </c>
      <c r="K300" s="51"/>
      <c r="L300" s="48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14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142"/>
    </row>
    <row r="301" spans="2:61" ht="20.100000000000001" customHeight="1" x14ac:dyDescent="0.45">
      <c r="B301" s="133"/>
      <c r="C301" s="27"/>
      <c r="D301" s="27"/>
      <c r="E301" s="27"/>
      <c r="F301" s="27"/>
      <c r="G301" s="134"/>
      <c r="H301" s="140" t="s">
        <v>160</v>
      </c>
      <c r="I301" s="51"/>
      <c r="J301" s="140" t="s">
        <v>313</v>
      </c>
      <c r="K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14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142"/>
    </row>
    <row r="302" spans="2:61" ht="20.100000000000001" customHeight="1" x14ac:dyDescent="0.45">
      <c r="B302" s="143"/>
      <c r="C302" s="27"/>
      <c r="D302" s="27"/>
      <c r="E302" s="27"/>
      <c r="F302" s="27"/>
      <c r="G302" s="134"/>
      <c r="H302" s="140" t="s">
        <v>161</v>
      </c>
      <c r="I302" s="51"/>
      <c r="J302" s="140" t="s">
        <v>317</v>
      </c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14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142"/>
    </row>
    <row r="303" spans="2:61" ht="20.100000000000001" customHeight="1" x14ac:dyDescent="0.45">
      <c r="B303" s="143"/>
      <c r="C303" s="27"/>
      <c r="D303" s="27"/>
      <c r="E303" s="27"/>
      <c r="F303" s="27"/>
      <c r="G303" s="134"/>
      <c r="H303" s="135"/>
      <c r="I303" s="27"/>
      <c r="J303" s="135" t="s">
        <v>321</v>
      </c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138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139"/>
    </row>
    <row r="304" spans="2:61" ht="20.100000000000001" customHeight="1" x14ac:dyDescent="0.45">
      <c r="B304" s="143"/>
      <c r="C304" s="27"/>
      <c r="D304" s="27"/>
      <c r="E304" s="27"/>
      <c r="F304" s="27"/>
      <c r="G304" s="134"/>
      <c r="H304" s="135"/>
      <c r="I304" s="27"/>
      <c r="J304" s="135" t="s">
        <v>322</v>
      </c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138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139"/>
    </row>
    <row r="305" spans="2:61" ht="20.100000000000001" customHeight="1" x14ac:dyDescent="0.45">
      <c r="B305" s="143"/>
      <c r="C305" s="27"/>
      <c r="D305" s="27"/>
      <c r="E305" s="27"/>
      <c r="F305" s="27"/>
      <c r="G305" s="134"/>
      <c r="H305" s="135"/>
      <c r="I305" s="27"/>
      <c r="J305" s="135"/>
      <c r="K305" s="27" t="s">
        <v>339</v>
      </c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138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139"/>
    </row>
    <row r="306" spans="2:61" ht="20.100000000000001" customHeight="1" x14ac:dyDescent="0.45">
      <c r="B306" s="143"/>
      <c r="C306" s="27"/>
      <c r="D306" s="27"/>
      <c r="E306" s="27"/>
      <c r="F306" s="27"/>
      <c r="G306" s="134"/>
      <c r="H306" s="135"/>
      <c r="I306" s="27"/>
      <c r="J306" s="135"/>
      <c r="K306" s="27" t="s">
        <v>355</v>
      </c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138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139"/>
    </row>
    <row r="307" spans="2:61" ht="20.100000000000001" customHeight="1" x14ac:dyDescent="0.45">
      <c r="B307" s="143"/>
      <c r="C307" s="27"/>
      <c r="D307" s="27"/>
      <c r="E307" s="27"/>
      <c r="F307" s="27"/>
      <c r="G307" s="134"/>
      <c r="H307" s="135"/>
      <c r="I307" s="27"/>
      <c r="J307" s="135" t="s">
        <v>356</v>
      </c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138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139"/>
    </row>
    <row r="308" spans="2:61" ht="20.100000000000001" customHeight="1" x14ac:dyDescent="0.45">
      <c r="B308" s="143"/>
      <c r="C308" s="27"/>
      <c r="D308" s="27"/>
      <c r="E308" s="27"/>
      <c r="F308" s="27"/>
      <c r="G308" s="134"/>
      <c r="H308" s="135"/>
      <c r="I308" s="27"/>
      <c r="J308" s="135"/>
      <c r="K308" s="27" t="s">
        <v>340</v>
      </c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138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139"/>
    </row>
    <row r="309" spans="2:61" ht="20.100000000000001" customHeight="1" thickBot="1" x14ac:dyDescent="0.5">
      <c r="B309" s="143"/>
      <c r="C309" s="27"/>
      <c r="D309" s="27"/>
      <c r="E309" s="27"/>
      <c r="F309" s="27"/>
      <c r="G309" s="134"/>
      <c r="H309" s="135"/>
      <c r="I309" s="27"/>
      <c r="J309" s="135"/>
      <c r="K309" s="27" t="s">
        <v>355</v>
      </c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138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139"/>
    </row>
    <row r="310" spans="2:61" ht="20.100000000000001" customHeight="1" x14ac:dyDescent="0.45">
      <c r="B310" s="124" t="s">
        <v>339</v>
      </c>
      <c r="C310" s="125"/>
      <c r="D310" s="125"/>
      <c r="E310" s="125"/>
      <c r="F310" s="125"/>
      <c r="G310" s="126"/>
      <c r="H310" s="127" t="s">
        <v>158</v>
      </c>
      <c r="I310" s="125"/>
      <c r="J310" s="128" t="s">
        <v>302</v>
      </c>
      <c r="K310" s="129"/>
      <c r="L310" s="129"/>
      <c r="M310" s="129"/>
      <c r="N310" s="129"/>
      <c r="O310" s="129"/>
      <c r="P310" s="129"/>
      <c r="Q310" s="130"/>
      <c r="R310" s="129" t="s">
        <v>357</v>
      </c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30"/>
      <c r="AK310" s="131"/>
      <c r="AL310" s="125"/>
      <c r="AM310" s="125"/>
      <c r="AN310" s="125"/>
      <c r="AO310" s="125"/>
      <c r="AP310" s="125"/>
      <c r="AQ310" s="125"/>
      <c r="AR310" s="125"/>
      <c r="AS310" s="125"/>
      <c r="AT310" s="125"/>
      <c r="AU310" s="125"/>
      <c r="AV310" s="125"/>
      <c r="AW310" s="125"/>
      <c r="AX310" s="125"/>
      <c r="AY310" s="125"/>
      <c r="AZ310" s="125"/>
      <c r="BA310" s="125"/>
      <c r="BB310" s="125"/>
      <c r="BC310" s="125"/>
      <c r="BD310" s="125"/>
      <c r="BE310" s="125"/>
      <c r="BF310" s="125"/>
      <c r="BG310" s="125"/>
      <c r="BH310" s="125"/>
      <c r="BI310" s="132"/>
    </row>
    <row r="311" spans="2:61" ht="20.100000000000001" customHeight="1" x14ac:dyDescent="0.45">
      <c r="B311" s="133"/>
      <c r="C311" s="27"/>
      <c r="D311" s="27"/>
      <c r="E311" s="27"/>
      <c r="F311" s="27"/>
      <c r="G311" s="134"/>
      <c r="H311" s="140" t="s">
        <v>159</v>
      </c>
      <c r="I311" s="51"/>
      <c r="J311" s="140" t="s">
        <v>328</v>
      </c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14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142"/>
    </row>
    <row r="312" spans="2:61" ht="20.100000000000001" customHeight="1" x14ac:dyDescent="0.45">
      <c r="B312" s="143"/>
      <c r="C312" s="27"/>
      <c r="D312" s="27"/>
      <c r="E312" s="27"/>
      <c r="F312" s="27"/>
      <c r="G312" s="134"/>
      <c r="H312" s="140" t="s">
        <v>161</v>
      </c>
      <c r="I312" s="51"/>
      <c r="J312" s="140" t="s">
        <v>330</v>
      </c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14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142"/>
    </row>
    <row r="313" spans="2:61" ht="20.100000000000001" customHeight="1" x14ac:dyDescent="0.45">
      <c r="B313" s="143"/>
      <c r="C313" s="27"/>
      <c r="D313" s="27"/>
      <c r="E313" s="27"/>
      <c r="F313" s="27"/>
      <c r="G313" s="134"/>
      <c r="H313" s="135"/>
      <c r="I313" s="27"/>
      <c r="J313" s="135"/>
      <c r="K313" s="27" t="s">
        <v>331</v>
      </c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138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139"/>
    </row>
    <row r="314" spans="2:61" ht="20.100000000000001" customHeight="1" x14ac:dyDescent="0.45">
      <c r="B314" s="143"/>
      <c r="C314" s="27"/>
      <c r="D314" s="27"/>
      <c r="E314" s="27"/>
      <c r="F314" s="27"/>
      <c r="G314" s="134"/>
      <c r="H314" s="135"/>
      <c r="I314" s="27"/>
      <c r="J314" s="135"/>
      <c r="K314" s="27" t="s">
        <v>333</v>
      </c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138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139"/>
    </row>
    <row r="315" spans="2:61" ht="20.100000000000001" customHeight="1" thickBot="1" x14ac:dyDescent="0.5">
      <c r="B315" s="143"/>
      <c r="C315" s="27"/>
      <c r="D315" s="27"/>
      <c r="E315" s="27"/>
      <c r="F315" s="27"/>
      <c r="G315" s="134"/>
      <c r="H315" s="140" t="s">
        <v>334</v>
      </c>
      <c r="I315" s="51"/>
      <c r="J315" s="140" t="s">
        <v>335</v>
      </c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14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142"/>
    </row>
    <row r="316" spans="2:61" ht="20.100000000000001" customHeight="1" x14ac:dyDescent="0.45">
      <c r="B316" s="124" t="s">
        <v>340</v>
      </c>
      <c r="C316" s="125"/>
      <c r="D316" s="125"/>
      <c r="E316" s="125"/>
      <c r="F316" s="125"/>
      <c r="G316" s="126"/>
      <c r="H316" s="127" t="s">
        <v>158</v>
      </c>
      <c r="I316" s="125"/>
      <c r="J316" s="128" t="s">
        <v>304</v>
      </c>
      <c r="K316" s="129"/>
      <c r="L316" s="129"/>
      <c r="M316" s="129"/>
      <c r="N316" s="129"/>
      <c r="O316" s="129"/>
      <c r="P316" s="129"/>
      <c r="Q316" s="130"/>
      <c r="R316" s="129" t="s">
        <v>358</v>
      </c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30"/>
      <c r="AK316" s="131"/>
      <c r="AL316" s="125"/>
      <c r="AM316" s="125"/>
      <c r="AN316" s="125"/>
      <c r="AO316" s="125"/>
      <c r="AP316" s="125"/>
      <c r="AQ316" s="125"/>
      <c r="AR316" s="125"/>
      <c r="AS316" s="125"/>
      <c r="AT316" s="125"/>
      <c r="AU316" s="125"/>
      <c r="AV316" s="125"/>
      <c r="AW316" s="125"/>
      <c r="AX316" s="125"/>
      <c r="AY316" s="125"/>
      <c r="AZ316" s="125"/>
      <c r="BA316" s="125"/>
      <c r="BB316" s="125"/>
      <c r="BC316" s="125"/>
      <c r="BD316" s="125"/>
      <c r="BE316" s="125"/>
      <c r="BF316" s="125"/>
      <c r="BG316" s="125"/>
      <c r="BH316" s="125"/>
      <c r="BI316" s="132"/>
    </row>
    <row r="317" spans="2:61" ht="20.100000000000001" customHeight="1" x14ac:dyDescent="0.45">
      <c r="B317" s="133"/>
      <c r="C317" s="27"/>
      <c r="D317" s="27"/>
      <c r="E317" s="27"/>
      <c r="F317" s="27"/>
      <c r="G317" s="134"/>
      <c r="H317" s="140" t="s">
        <v>159</v>
      </c>
      <c r="I317" s="51"/>
      <c r="J317" s="140" t="s">
        <v>328</v>
      </c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14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142"/>
    </row>
    <row r="318" spans="2:61" ht="20.100000000000001" customHeight="1" x14ac:dyDescent="0.45">
      <c r="B318" s="143"/>
      <c r="C318" s="27"/>
      <c r="D318" s="27"/>
      <c r="E318" s="27"/>
      <c r="F318" s="27"/>
      <c r="G318" s="134"/>
      <c r="H318" s="140" t="s">
        <v>161</v>
      </c>
      <c r="I318" s="51"/>
      <c r="J318" s="140" t="s">
        <v>330</v>
      </c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14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142"/>
    </row>
    <row r="319" spans="2:61" ht="20.100000000000001" customHeight="1" x14ac:dyDescent="0.45">
      <c r="B319" s="143"/>
      <c r="C319" s="27"/>
      <c r="D319" s="27"/>
      <c r="E319" s="27"/>
      <c r="F319" s="27"/>
      <c r="G319" s="134"/>
      <c r="H319" s="135"/>
      <c r="I319" s="27"/>
      <c r="J319" s="135"/>
      <c r="K319" s="27" t="s">
        <v>331</v>
      </c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138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139"/>
    </row>
    <row r="320" spans="2:61" ht="20.100000000000001" customHeight="1" x14ac:dyDescent="0.45">
      <c r="B320" s="143"/>
      <c r="C320" s="27"/>
      <c r="D320" s="27"/>
      <c r="E320" s="27"/>
      <c r="F320" s="27"/>
      <c r="G320" s="134"/>
      <c r="H320" s="135"/>
      <c r="I320" s="27"/>
      <c r="J320" s="135"/>
      <c r="K320" s="27" t="s">
        <v>333</v>
      </c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138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139"/>
    </row>
    <row r="321" spans="2:61" ht="20.100000000000001" customHeight="1" thickBot="1" x14ac:dyDescent="0.5">
      <c r="B321" s="143"/>
      <c r="C321" s="27"/>
      <c r="D321" s="27"/>
      <c r="E321" s="27"/>
      <c r="F321" s="27"/>
      <c r="G321" s="134"/>
      <c r="H321" s="140" t="s">
        <v>334</v>
      </c>
      <c r="I321" s="51"/>
      <c r="J321" s="140" t="s">
        <v>335</v>
      </c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14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142"/>
    </row>
    <row r="322" spans="2:61" ht="20.100000000000001" customHeight="1" x14ac:dyDescent="0.45">
      <c r="B322" s="124" t="s">
        <v>341</v>
      </c>
      <c r="C322" s="125"/>
      <c r="D322" s="125"/>
      <c r="E322" s="125"/>
      <c r="F322" s="125"/>
      <c r="G322" s="126"/>
      <c r="H322" s="127" t="s">
        <v>158</v>
      </c>
      <c r="I322" s="125"/>
      <c r="J322" s="128" t="s">
        <v>241</v>
      </c>
      <c r="K322" s="129"/>
      <c r="L322" s="129"/>
      <c r="M322" s="129"/>
      <c r="N322" s="129"/>
      <c r="O322" s="129"/>
      <c r="P322" s="129"/>
      <c r="Q322" s="130"/>
      <c r="R322" s="129">
        <v>1</v>
      </c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30"/>
      <c r="AK322" s="131" t="s">
        <v>336</v>
      </c>
      <c r="AL322" s="125"/>
      <c r="AM322" s="125"/>
      <c r="AN322" s="125"/>
      <c r="AO322" s="125"/>
      <c r="AP322" s="125"/>
      <c r="AQ322" s="125"/>
      <c r="AR322" s="125"/>
      <c r="AS322" s="125"/>
      <c r="AT322" s="125"/>
      <c r="AU322" s="125"/>
      <c r="AV322" s="125"/>
      <c r="AW322" s="125"/>
      <c r="AX322" s="125"/>
      <c r="AY322" s="125"/>
      <c r="AZ322" s="125"/>
      <c r="BA322" s="125"/>
      <c r="BB322" s="125"/>
      <c r="BC322" s="125"/>
      <c r="BD322" s="125"/>
      <c r="BE322" s="125"/>
      <c r="BF322" s="125"/>
      <c r="BG322" s="125"/>
      <c r="BH322" s="125"/>
      <c r="BI322" s="132"/>
    </row>
    <row r="323" spans="2:61" ht="20.100000000000001" customHeight="1" x14ac:dyDescent="0.45">
      <c r="B323" s="133"/>
      <c r="C323" s="27"/>
      <c r="D323" s="27"/>
      <c r="E323" s="27"/>
      <c r="F323" s="27"/>
      <c r="G323" s="134"/>
      <c r="H323" s="135"/>
      <c r="I323" s="27"/>
      <c r="J323" s="144" t="s">
        <v>163</v>
      </c>
      <c r="K323" s="145"/>
      <c r="L323" s="145"/>
      <c r="M323" s="145"/>
      <c r="N323" s="145"/>
      <c r="O323" s="145"/>
      <c r="P323" s="145"/>
      <c r="Q323" s="156"/>
      <c r="R323" s="145" t="s">
        <v>164</v>
      </c>
      <c r="S323" s="145"/>
      <c r="T323" s="145"/>
      <c r="U323" s="145"/>
      <c r="V323" s="145"/>
      <c r="W323" s="145"/>
      <c r="X323" s="145"/>
      <c r="Y323" s="145"/>
      <c r="Z323" s="145"/>
      <c r="AA323" s="145"/>
      <c r="AB323" s="145"/>
      <c r="AC323" s="145"/>
      <c r="AD323" s="145"/>
      <c r="AE323" s="145"/>
      <c r="AF323" s="145"/>
      <c r="AG323" s="145"/>
      <c r="AH323" s="145"/>
      <c r="AI323" s="145"/>
      <c r="AJ323" s="156"/>
      <c r="AK323" s="138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139"/>
    </row>
    <row r="324" spans="2:61" ht="20.100000000000001" customHeight="1" x14ac:dyDescent="0.45">
      <c r="B324" s="133"/>
      <c r="C324" s="27"/>
      <c r="D324" s="27"/>
      <c r="E324" s="27"/>
      <c r="F324" s="27"/>
      <c r="G324" s="134"/>
      <c r="H324" s="135"/>
      <c r="I324" s="27"/>
      <c r="J324" s="136" t="s">
        <v>244</v>
      </c>
      <c r="K324" s="48"/>
      <c r="L324" s="48"/>
      <c r="M324" s="48"/>
      <c r="N324" s="48"/>
      <c r="O324" s="48"/>
      <c r="P324" s="48"/>
      <c r="Q324" s="137"/>
      <c r="R324" s="157" t="s">
        <v>344</v>
      </c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137"/>
      <c r="AK324" s="138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139"/>
    </row>
    <row r="325" spans="2:61" ht="20.100000000000001" customHeight="1" x14ac:dyDescent="0.45">
      <c r="B325" s="133"/>
      <c r="C325" s="27"/>
      <c r="D325" s="27"/>
      <c r="E325" s="27"/>
      <c r="F325" s="27"/>
      <c r="G325" s="134"/>
      <c r="H325" s="135"/>
      <c r="I325" s="27"/>
      <c r="J325" s="140" t="s">
        <v>247</v>
      </c>
      <c r="K325" s="51"/>
      <c r="L325" s="51"/>
      <c r="M325" s="51"/>
      <c r="N325" s="51"/>
      <c r="O325" s="51"/>
      <c r="P325" s="51"/>
      <c r="Q325" s="51"/>
      <c r="R325" s="141" t="s">
        <v>345</v>
      </c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138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139"/>
    </row>
    <row r="326" spans="2:61" ht="20.100000000000001" customHeight="1" x14ac:dyDescent="0.45">
      <c r="B326" s="133"/>
      <c r="C326" s="27"/>
      <c r="D326" s="27"/>
      <c r="E326" s="27"/>
      <c r="F326" s="27"/>
      <c r="G326" s="134"/>
      <c r="H326" s="135"/>
      <c r="I326" s="27"/>
      <c r="J326" s="140" t="s">
        <v>249</v>
      </c>
      <c r="K326" s="51"/>
      <c r="L326" s="51"/>
      <c r="M326" s="51"/>
      <c r="N326" s="51"/>
      <c r="O326" s="51"/>
      <c r="P326" s="51"/>
      <c r="Q326" s="51"/>
      <c r="R326" s="140" t="s">
        <v>250</v>
      </c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138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139"/>
    </row>
    <row r="327" spans="2:61" ht="20.399999999999999" customHeight="1" x14ac:dyDescent="0.45">
      <c r="B327" s="133"/>
      <c r="C327" s="27"/>
      <c r="D327" s="27"/>
      <c r="E327" s="27"/>
      <c r="F327" s="27"/>
      <c r="G327" s="134"/>
      <c r="H327" s="135"/>
      <c r="I327" s="27"/>
      <c r="J327" s="140" t="s">
        <v>251</v>
      </c>
      <c r="K327" s="51"/>
      <c r="L327" s="51"/>
      <c r="M327" s="51"/>
      <c r="N327" s="51"/>
      <c r="O327" s="51"/>
      <c r="P327" s="51"/>
      <c r="Q327" s="51"/>
      <c r="R327" s="140" t="s">
        <v>252</v>
      </c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138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139"/>
    </row>
    <row r="328" spans="2:61" ht="20.399999999999999" customHeight="1" x14ac:dyDescent="0.45">
      <c r="B328" s="133"/>
      <c r="C328" s="27"/>
      <c r="D328" s="27"/>
      <c r="E328" s="27"/>
      <c r="F328" s="27"/>
      <c r="G328" s="134"/>
      <c r="H328" s="135"/>
      <c r="I328" s="27"/>
      <c r="J328" s="140" t="s">
        <v>253</v>
      </c>
      <c r="K328" s="51"/>
      <c r="L328" s="51"/>
      <c r="M328" s="51"/>
      <c r="N328" s="51"/>
      <c r="O328" s="51"/>
      <c r="P328" s="51"/>
      <c r="Q328" s="51"/>
      <c r="R328" s="140" t="s">
        <v>254</v>
      </c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138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139"/>
    </row>
    <row r="329" spans="2:61" ht="20.399999999999999" customHeight="1" x14ac:dyDescent="0.45">
      <c r="B329" s="133"/>
      <c r="C329" s="27"/>
      <c r="D329" s="27"/>
      <c r="E329" s="27"/>
      <c r="F329" s="27"/>
      <c r="G329" s="134"/>
      <c r="H329" s="135"/>
      <c r="I329" s="27"/>
      <c r="J329" s="140" t="s">
        <v>255</v>
      </c>
      <c r="K329" s="51"/>
      <c r="L329" s="51"/>
      <c r="M329" s="51"/>
      <c r="N329" s="51"/>
      <c r="O329" s="51"/>
      <c r="P329" s="51"/>
      <c r="Q329" s="51"/>
      <c r="R329" s="140" t="s">
        <v>256</v>
      </c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138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139"/>
    </row>
    <row r="330" spans="2:61" ht="20.399999999999999" customHeight="1" x14ac:dyDescent="0.45">
      <c r="B330" s="133"/>
      <c r="C330" s="27"/>
      <c r="D330" s="27"/>
      <c r="E330" s="27"/>
      <c r="F330" s="27"/>
      <c r="G330" s="134"/>
      <c r="H330" s="135"/>
      <c r="I330" s="27"/>
      <c r="J330" s="140" t="s">
        <v>257</v>
      </c>
      <c r="K330" s="51"/>
      <c r="L330" s="51"/>
      <c r="M330" s="51"/>
      <c r="N330" s="51"/>
      <c r="O330" s="51"/>
      <c r="P330" s="51"/>
      <c r="Q330" s="51"/>
      <c r="R330" s="140" t="s">
        <v>258</v>
      </c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138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139"/>
    </row>
    <row r="331" spans="2:61" ht="20.399999999999999" customHeight="1" x14ac:dyDescent="0.45">
      <c r="B331" s="133"/>
      <c r="C331" s="27"/>
      <c r="D331" s="27"/>
      <c r="E331" s="27"/>
      <c r="F331" s="27"/>
      <c r="G331" s="134"/>
      <c r="H331" s="135"/>
      <c r="I331" s="27"/>
      <c r="J331" s="140" t="s">
        <v>259</v>
      </c>
      <c r="K331" s="51"/>
      <c r="L331" s="51"/>
      <c r="M331" s="51"/>
      <c r="N331" s="51"/>
      <c r="O331" s="51"/>
      <c r="P331" s="51"/>
      <c r="Q331" s="51"/>
      <c r="R331" s="140" t="s">
        <v>260</v>
      </c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138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139"/>
    </row>
    <row r="332" spans="2:61" ht="20.399999999999999" customHeight="1" x14ac:dyDescent="0.45">
      <c r="B332" s="133"/>
      <c r="C332" s="27"/>
      <c r="D332" s="27"/>
      <c r="E332" s="27"/>
      <c r="F332" s="27"/>
      <c r="G332" s="134"/>
      <c r="H332" s="135"/>
      <c r="I332" s="27"/>
      <c r="J332" s="140" t="s">
        <v>261</v>
      </c>
      <c r="K332" s="51"/>
      <c r="L332" s="51"/>
      <c r="M332" s="51"/>
      <c r="N332" s="51"/>
      <c r="O332" s="51"/>
      <c r="P332" s="51"/>
      <c r="Q332" s="51"/>
      <c r="R332" s="140" t="s">
        <v>262</v>
      </c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138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139"/>
    </row>
    <row r="333" spans="2:61" ht="20.399999999999999" customHeight="1" x14ac:dyDescent="0.45">
      <c r="B333" s="133"/>
      <c r="C333" s="27"/>
      <c r="D333" s="27"/>
      <c r="E333" s="27"/>
      <c r="F333" s="27"/>
      <c r="G333" s="134"/>
      <c r="H333" s="135"/>
      <c r="I333" s="27"/>
      <c r="J333" s="140" t="s">
        <v>263</v>
      </c>
      <c r="K333" s="51"/>
      <c r="L333" s="51"/>
      <c r="M333" s="51"/>
      <c r="N333" s="51"/>
      <c r="O333" s="51"/>
      <c r="P333" s="51"/>
      <c r="Q333" s="51"/>
      <c r="R333" s="140" t="s">
        <v>264</v>
      </c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138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139"/>
    </row>
    <row r="334" spans="2:61" ht="20.399999999999999" customHeight="1" x14ac:dyDescent="0.45">
      <c r="B334" s="133"/>
      <c r="C334" s="27"/>
      <c r="D334" s="27"/>
      <c r="E334" s="27"/>
      <c r="F334" s="27"/>
      <c r="G334" s="134"/>
      <c r="H334" s="135"/>
      <c r="I334" s="27"/>
      <c r="J334" s="140" t="s">
        <v>265</v>
      </c>
      <c r="K334" s="51"/>
      <c r="L334" s="51"/>
      <c r="M334" s="51"/>
      <c r="N334" s="51"/>
      <c r="O334" s="51"/>
      <c r="P334" s="51"/>
      <c r="Q334" s="51"/>
      <c r="R334" s="140" t="s">
        <v>266</v>
      </c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138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139"/>
    </row>
    <row r="335" spans="2:61" ht="20.100000000000001" customHeight="1" x14ac:dyDescent="0.45">
      <c r="B335" s="133"/>
      <c r="C335" s="27"/>
      <c r="D335" s="27"/>
      <c r="E335" s="27"/>
      <c r="F335" s="27"/>
      <c r="G335" s="134"/>
      <c r="H335" s="135"/>
      <c r="I335" s="27"/>
      <c r="J335" s="140" t="s">
        <v>267</v>
      </c>
      <c r="K335" s="51"/>
      <c r="L335" s="51"/>
      <c r="M335" s="51"/>
      <c r="N335" s="51"/>
      <c r="O335" s="51"/>
      <c r="P335" s="51"/>
      <c r="Q335" s="51"/>
      <c r="R335" s="140" t="s">
        <v>268</v>
      </c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138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139"/>
    </row>
    <row r="336" spans="2:61" ht="20.100000000000001" customHeight="1" x14ac:dyDescent="0.45">
      <c r="B336" s="133"/>
      <c r="C336" s="27"/>
      <c r="D336" s="27"/>
      <c r="E336" s="27"/>
      <c r="F336" s="27"/>
      <c r="G336" s="134"/>
      <c r="H336" s="135"/>
      <c r="I336" s="27"/>
      <c r="J336" s="140" t="s">
        <v>269</v>
      </c>
      <c r="K336" s="51"/>
      <c r="L336" s="51"/>
      <c r="M336" s="51"/>
      <c r="N336" s="51"/>
      <c r="O336" s="51"/>
      <c r="P336" s="51"/>
      <c r="Q336" s="51"/>
      <c r="R336" s="136" t="s">
        <v>270</v>
      </c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138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139"/>
    </row>
    <row r="337" spans="2:61" ht="20.100000000000001" customHeight="1" x14ac:dyDescent="0.45">
      <c r="B337" s="133"/>
      <c r="C337" s="27"/>
      <c r="D337" s="27"/>
      <c r="E337" s="27"/>
      <c r="F337" s="27"/>
      <c r="G337" s="134"/>
      <c r="H337" s="135"/>
      <c r="I337" s="27"/>
      <c r="J337" s="140" t="s">
        <v>271</v>
      </c>
      <c r="K337" s="51"/>
      <c r="L337" s="51"/>
      <c r="M337" s="51"/>
      <c r="N337" s="51"/>
      <c r="O337" s="51"/>
      <c r="P337" s="51"/>
      <c r="Q337" s="51"/>
      <c r="R337" s="140" t="s">
        <v>272</v>
      </c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138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139"/>
    </row>
    <row r="338" spans="2:61" ht="20.100000000000001" customHeight="1" x14ac:dyDescent="0.45">
      <c r="B338" s="133"/>
      <c r="C338" s="27"/>
      <c r="D338" s="27"/>
      <c r="E338" s="27"/>
      <c r="F338" s="27"/>
      <c r="G338" s="134"/>
      <c r="H338" s="135"/>
      <c r="I338" s="27"/>
      <c r="J338" s="140" t="s">
        <v>273</v>
      </c>
      <c r="K338" s="51"/>
      <c r="L338" s="51"/>
      <c r="M338" s="51"/>
      <c r="N338" s="51"/>
      <c r="O338" s="51"/>
      <c r="P338" s="51"/>
      <c r="Q338" s="51"/>
      <c r="R338" s="140" t="s">
        <v>274</v>
      </c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138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139"/>
    </row>
    <row r="339" spans="2:61" ht="20.100000000000001" customHeight="1" x14ac:dyDescent="0.45">
      <c r="B339" s="133"/>
      <c r="C339" s="27"/>
      <c r="D339" s="27"/>
      <c r="E339" s="27"/>
      <c r="F339" s="27"/>
      <c r="G339" s="134"/>
      <c r="H339" s="135"/>
      <c r="I339" s="27"/>
      <c r="J339" s="140" t="s">
        <v>348</v>
      </c>
      <c r="K339" s="51"/>
      <c r="L339" s="51"/>
      <c r="M339" s="51"/>
      <c r="N339" s="51"/>
      <c r="O339" s="51"/>
      <c r="P339" s="51"/>
      <c r="Q339" s="51"/>
      <c r="R339" s="140" t="s">
        <v>347</v>
      </c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138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139"/>
    </row>
    <row r="340" spans="2:61" ht="20.100000000000001" customHeight="1" x14ac:dyDescent="0.45">
      <c r="B340" s="133"/>
      <c r="C340" s="27"/>
      <c r="D340" s="27"/>
      <c r="E340" s="27"/>
      <c r="F340" s="27"/>
      <c r="G340" s="134"/>
      <c r="H340" s="135"/>
      <c r="I340" s="27"/>
      <c r="J340" s="140" t="s">
        <v>277</v>
      </c>
      <c r="K340" s="51"/>
      <c r="L340" s="51"/>
      <c r="M340" s="51"/>
      <c r="N340" s="51"/>
      <c r="O340" s="51"/>
      <c r="P340" s="51"/>
      <c r="Q340" s="51"/>
      <c r="R340" s="140" t="s">
        <v>278</v>
      </c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138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139"/>
    </row>
    <row r="341" spans="2:61" ht="20.100000000000001" customHeight="1" x14ac:dyDescent="0.45">
      <c r="B341" s="133"/>
      <c r="C341" s="27"/>
      <c r="D341" s="27"/>
      <c r="E341" s="27"/>
      <c r="F341" s="27"/>
      <c r="G341" s="134"/>
      <c r="H341" s="135"/>
      <c r="I341" s="27"/>
      <c r="J341" s="140" t="s">
        <v>279</v>
      </c>
      <c r="K341" s="51"/>
      <c r="L341" s="51"/>
      <c r="M341" s="51"/>
      <c r="N341" s="51"/>
      <c r="O341" s="51"/>
      <c r="P341" s="51"/>
      <c r="Q341" s="51"/>
      <c r="R341" s="140" t="s">
        <v>359</v>
      </c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138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139"/>
    </row>
    <row r="342" spans="2:61" ht="20.100000000000001" customHeight="1" x14ac:dyDescent="0.45">
      <c r="B342" s="133"/>
      <c r="C342" s="27"/>
      <c r="D342" s="27"/>
      <c r="E342" s="27"/>
      <c r="F342" s="27"/>
      <c r="G342" s="134"/>
      <c r="H342" s="135"/>
      <c r="I342" s="27"/>
      <c r="J342" s="140" t="s">
        <v>281</v>
      </c>
      <c r="K342" s="51"/>
      <c r="L342" s="51"/>
      <c r="M342" s="51"/>
      <c r="N342" s="51"/>
      <c r="O342" s="51"/>
      <c r="P342" s="51"/>
      <c r="Q342" s="51"/>
      <c r="R342" s="141" t="s">
        <v>360</v>
      </c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138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139"/>
    </row>
    <row r="343" spans="2:61" ht="20.100000000000001" customHeight="1" x14ac:dyDescent="0.45">
      <c r="B343" s="133"/>
      <c r="C343" s="27"/>
      <c r="D343" s="27"/>
      <c r="E343" s="27"/>
      <c r="F343" s="27"/>
      <c r="G343" s="134"/>
      <c r="H343" s="135"/>
      <c r="I343" s="27"/>
      <c r="J343" s="140" t="s">
        <v>284</v>
      </c>
      <c r="K343" s="51"/>
      <c r="L343" s="51"/>
      <c r="M343" s="51"/>
      <c r="N343" s="51"/>
      <c r="O343" s="51"/>
      <c r="P343" s="51"/>
      <c r="Q343" s="51"/>
      <c r="R343" s="140" t="s">
        <v>285</v>
      </c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138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139"/>
    </row>
    <row r="344" spans="2:61" ht="20.100000000000001" customHeight="1" x14ac:dyDescent="0.45">
      <c r="B344" s="133"/>
      <c r="C344" s="27"/>
      <c r="D344" s="27"/>
      <c r="E344" s="27"/>
      <c r="F344" s="27"/>
      <c r="G344" s="134"/>
      <c r="H344" s="135"/>
      <c r="I344" s="27"/>
      <c r="J344" s="140" t="s">
        <v>286</v>
      </c>
      <c r="K344" s="51"/>
      <c r="L344" s="51"/>
      <c r="M344" s="51"/>
      <c r="N344" s="51"/>
      <c r="O344" s="51"/>
      <c r="P344" s="51"/>
      <c r="Q344" s="51"/>
      <c r="R344" s="140" t="s">
        <v>287</v>
      </c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138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139"/>
    </row>
    <row r="345" spans="2:61" ht="20.100000000000001" customHeight="1" x14ac:dyDescent="0.45">
      <c r="B345" s="133"/>
      <c r="C345" s="27"/>
      <c r="D345" s="27"/>
      <c r="E345" s="27"/>
      <c r="F345" s="27"/>
      <c r="G345" s="134"/>
      <c r="H345" s="135"/>
      <c r="I345" s="27"/>
      <c r="J345" s="140" t="s">
        <v>288</v>
      </c>
      <c r="K345" s="51"/>
      <c r="L345" s="51"/>
      <c r="M345" s="51"/>
      <c r="N345" s="51"/>
      <c r="O345" s="51"/>
      <c r="P345" s="51"/>
      <c r="Q345" s="51"/>
      <c r="R345" s="140" t="s">
        <v>289</v>
      </c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138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139"/>
    </row>
    <row r="346" spans="2:61" ht="20.100000000000001" customHeight="1" x14ac:dyDescent="0.45">
      <c r="B346" s="133"/>
      <c r="C346" s="27"/>
      <c r="D346" s="27"/>
      <c r="E346" s="27"/>
      <c r="F346" s="27"/>
      <c r="G346" s="134"/>
      <c r="H346" s="135"/>
      <c r="I346" s="27"/>
      <c r="J346" s="140" t="s">
        <v>290</v>
      </c>
      <c r="K346" s="51"/>
      <c r="L346" s="51"/>
      <c r="M346" s="51"/>
      <c r="N346" s="51"/>
      <c r="O346" s="51"/>
      <c r="P346" s="51"/>
      <c r="Q346" s="51"/>
      <c r="R346" s="141" t="s">
        <v>361</v>
      </c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138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139"/>
    </row>
    <row r="347" spans="2:61" ht="20.100000000000001" customHeight="1" x14ac:dyDescent="0.45">
      <c r="B347" s="133"/>
      <c r="C347" s="27"/>
      <c r="D347" s="27"/>
      <c r="E347" s="27"/>
      <c r="F347" s="27"/>
      <c r="G347" s="134"/>
      <c r="H347" s="135"/>
      <c r="I347" s="27"/>
      <c r="J347" s="140" t="s">
        <v>177</v>
      </c>
      <c r="K347" s="51"/>
      <c r="L347" s="51"/>
      <c r="M347" s="51"/>
      <c r="N347" s="51"/>
      <c r="O347" s="51"/>
      <c r="P347" s="51"/>
      <c r="Q347" s="51"/>
      <c r="R347" s="140" t="s">
        <v>293</v>
      </c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138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139"/>
    </row>
    <row r="348" spans="2:61" ht="20.100000000000001" customHeight="1" x14ac:dyDescent="0.45">
      <c r="B348" s="133"/>
      <c r="C348" s="27"/>
      <c r="D348" s="27"/>
      <c r="E348" s="27"/>
      <c r="F348" s="27"/>
      <c r="G348" s="134"/>
      <c r="H348" s="135"/>
      <c r="I348" s="27"/>
      <c r="J348" s="140" t="s">
        <v>294</v>
      </c>
      <c r="K348" s="51"/>
      <c r="L348" s="51"/>
      <c r="M348" s="51"/>
      <c r="N348" s="51"/>
      <c r="O348" s="51"/>
      <c r="P348" s="51"/>
      <c r="Q348" s="51"/>
      <c r="R348" s="140" t="s">
        <v>295</v>
      </c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138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139"/>
    </row>
    <row r="349" spans="2:61" ht="20.100000000000001" customHeight="1" x14ac:dyDescent="0.45">
      <c r="B349" s="133"/>
      <c r="C349" s="27"/>
      <c r="D349" s="27"/>
      <c r="E349" s="27"/>
      <c r="F349" s="27"/>
      <c r="G349" s="134"/>
      <c r="H349" s="135"/>
      <c r="I349" s="27"/>
      <c r="J349" s="140" t="s">
        <v>296</v>
      </c>
      <c r="K349" s="51"/>
      <c r="L349" s="51"/>
      <c r="M349" s="51"/>
      <c r="N349" s="51"/>
      <c r="O349" s="51"/>
      <c r="P349" s="51"/>
      <c r="Q349" s="51"/>
      <c r="R349" s="140" t="s">
        <v>297</v>
      </c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138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139"/>
    </row>
    <row r="350" spans="2:61" ht="20.100000000000001" customHeight="1" x14ac:dyDescent="0.45">
      <c r="B350" s="133"/>
      <c r="C350" s="27"/>
      <c r="D350" s="27"/>
      <c r="E350" s="27"/>
      <c r="F350" s="27"/>
      <c r="G350" s="134"/>
      <c r="H350" s="135"/>
      <c r="I350" s="27"/>
      <c r="J350" s="140" t="s">
        <v>298</v>
      </c>
      <c r="K350" s="51"/>
      <c r="L350" s="51"/>
      <c r="M350" s="51"/>
      <c r="N350" s="51"/>
      <c r="O350" s="51"/>
      <c r="P350" s="51"/>
      <c r="Q350" s="51"/>
      <c r="R350" s="140" t="s">
        <v>299</v>
      </c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138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139"/>
    </row>
    <row r="351" spans="2:61" ht="20.100000000000001" customHeight="1" x14ac:dyDescent="0.45">
      <c r="B351" s="133"/>
      <c r="C351" s="27"/>
      <c r="D351" s="27"/>
      <c r="E351" s="27"/>
      <c r="F351" s="27"/>
      <c r="G351" s="134"/>
      <c r="H351" s="135"/>
      <c r="I351" s="27"/>
      <c r="J351" s="140" t="s">
        <v>300</v>
      </c>
      <c r="K351" s="51"/>
      <c r="L351" s="51"/>
      <c r="M351" s="51"/>
      <c r="N351" s="51"/>
      <c r="O351" s="51"/>
      <c r="P351" s="51"/>
      <c r="Q351" s="51"/>
      <c r="R351" s="140" t="s">
        <v>301</v>
      </c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138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139"/>
    </row>
    <row r="352" spans="2:61" ht="20.100000000000001" customHeight="1" x14ac:dyDescent="0.45">
      <c r="B352" s="133"/>
      <c r="C352" s="27"/>
      <c r="D352" s="27"/>
      <c r="E352" s="27"/>
      <c r="F352" s="27"/>
      <c r="G352" s="134"/>
      <c r="H352" s="135"/>
      <c r="I352" s="27"/>
      <c r="J352" s="140" t="s">
        <v>302</v>
      </c>
      <c r="K352" s="51"/>
      <c r="L352" s="51"/>
      <c r="M352" s="51"/>
      <c r="N352" s="51"/>
      <c r="O352" s="51"/>
      <c r="P352" s="51"/>
      <c r="Q352" s="51"/>
      <c r="R352" s="140" t="s">
        <v>303</v>
      </c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138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139"/>
    </row>
    <row r="353" spans="2:61" ht="20.100000000000001" customHeight="1" x14ac:dyDescent="0.45">
      <c r="B353" s="133"/>
      <c r="C353" s="27"/>
      <c r="D353" s="27"/>
      <c r="E353" s="27"/>
      <c r="F353" s="27"/>
      <c r="G353" s="134"/>
      <c r="H353" s="135"/>
      <c r="I353" s="27"/>
      <c r="J353" s="140" t="s">
        <v>304</v>
      </c>
      <c r="K353" s="51"/>
      <c r="L353" s="51"/>
      <c r="M353" s="51"/>
      <c r="N353" s="51"/>
      <c r="O353" s="51"/>
      <c r="P353" s="51"/>
      <c r="Q353" s="51"/>
      <c r="R353" s="140" t="s">
        <v>305</v>
      </c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138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139"/>
    </row>
    <row r="354" spans="2:61" ht="20.100000000000001" customHeight="1" x14ac:dyDescent="0.45">
      <c r="B354" s="133"/>
      <c r="C354" s="27"/>
      <c r="D354" s="27"/>
      <c r="E354" s="27"/>
      <c r="F354" s="27"/>
      <c r="G354" s="134"/>
      <c r="H354" s="135"/>
      <c r="I354" s="27"/>
      <c r="J354" s="140" t="s">
        <v>306</v>
      </c>
      <c r="K354" s="51"/>
      <c r="L354" s="51"/>
      <c r="M354" s="51"/>
      <c r="N354" s="51"/>
      <c r="O354" s="51"/>
      <c r="P354" s="51"/>
      <c r="Q354" s="51"/>
      <c r="R354" s="140" t="s">
        <v>307</v>
      </c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138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139"/>
    </row>
    <row r="355" spans="2:61" ht="20.100000000000001" customHeight="1" x14ac:dyDescent="0.45">
      <c r="B355" s="133"/>
      <c r="C355" s="27"/>
      <c r="D355" s="27"/>
      <c r="E355" s="27"/>
      <c r="F355" s="27"/>
      <c r="G355" s="134"/>
      <c r="H355" s="135"/>
      <c r="I355" s="27"/>
      <c r="J355" s="140" t="s">
        <v>308</v>
      </c>
      <c r="K355" s="51"/>
      <c r="L355" s="51"/>
      <c r="M355" s="51"/>
      <c r="N355" s="51"/>
      <c r="O355" s="51"/>
      <c r="P355" s="51"/>
      <c r="Q355" s="51"/>
      <c r="R355" s="140" t="s">
        <v>309</v>
      </c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138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139"/>
    </row>
    <row r="356" spans="2:61" ht="20.100000000000001" customHeight="1" x14ac:dyDescent="0.45">
      <c r="B356" s="133"/>
      <c r="C356" s="27"/>
      <c r="D356" s="27"/>
      <c r="E356" s="27"/>
      <c r="F356" s="27"/>
      <c r="G356" s="134"/>
      <c r="H356" s="135"/>
      <c r="I356" s="27"/>
      <c r="J356" s="140" t="s">
        <v>310</v>
      </c>
      <c r="K356" s="51"/>
      <c r="L356" s="51"/>
      <c r="M356" s="51"/>
      <c r="N356" s="51"/>
      <c r="O356" s="51"/>
      <c r="P356" s="51"/>
      <c r="Q356" s="51"/>
      <c r="R356" s="140" t="s">
        <v>311</v>
      </c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138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139"/>
    </row>
    <row r="357" spans="2:61" ht="20.100000000000001" customHeight="1" x14ac:dyDescent="0.45">
      <c r="B357" s="133"/>
      <c r="C357" s="27"/>
      <c r="D357" s="27"/>
      <c r="E357" s="27"/>
      <c r="F357" s="27"/>
      <c r="G357" s="134"/>
      <c r="H357" s="140" t="s">
        <v>159</v>
      </c>
      <c r="I357" s="51"/>
      <c r="J357" s="140" t="s">
        <v>312</v>
      </c>
      <c r="K357" s="51"/>
      <c r="L357" s="48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14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142"/>
    </row>
    <row r="358" spans="2:61" ht="20.100000000000001" customHeight="1" x14ac:dyDescent="0.45">
      <c r="B358" s="133"/>
      <c r="C358" s="27"/>
      <c r="D358" s="27"/>
      <c r="E358" s="27"/>
      <c r="F358" s="27"/>
      <c r="G358" s="134"/>
      <c r="H358" s="140" t="s">
        <v>160</v>
      </c>
      <c r="I358" s="51"/>
      <c r="J358" s="140" t="s">
        <v>313</v>
      </c>
      <c r="K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14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142"/>
    </row>
    <row r="359" spans="2:61" ht="20.100000000000001" customHeight="1" x14ac:dyDescent="0.45">
      <c r="B359" s="143"/>
      <c r="C359" s="27"/>
      <c r="D359" s="27"/>
      <c r="E359" s="27"/>
      <c r="F359" s="27"/>
      <c r="G359" s="134"/>
      <c r="H359" s="140" t="s">
        <v>161</v>
      </c>
      <c r="I359" s="51"/>
      <c r="J359" s="140" t="s">
        <v>317</v>
      </c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14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142"/>
    </row>
    <row r="360" spans="2:61" ht="20.100000000000001" customHeight="1" x14ac:dyDescent="0.45">
      <c r="B360" s="143"/>
      <c r="C360" s="27"/>
      <c r="D360" s="27"/>
      <c r="E360" s="27"/>
      <c r="F360" s="27"/>
      <c r="G360" s="134"/>
      <c r="H360" s="135"/>
      <c r="I360" s="27"/>
      <c r="J360" s="135" t="s">
        <v>337</v>
      </c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138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139"/>
    </row>
    <row r="361" spans="2:61" ht="20.100000000000001" customHeight="1" x14ac:dyDescent="0.45">
      <c r="B361" s="143"/>
      <c r="C361" s="27"/>
      <c r="D361" s="27"/>
      <c r="E361" s="27"/>
      <c r="F361" s="27"/>
      <c r="G361" s="134"/>
      <c r="H361" s="135"/>
      <c r="I361" s="27"/>
      <c r="J361" s="135"/>
      <c r="K361" s="27" t="s">
        <v>338</v>
      </c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138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139"/>
    </row>
    <row r="362" spans="2:61" ht="20.100000000000001" customHeight="1" x14ac:dyDescent="0.45">
      <c r="B362" s="143"/>
      <c r="C362" s="27"/>
      <c r="D362" s="27"/>
      <c r="E362" s="27"/>
      <c r="F362" s="27"/>
      <c r="G362" s="134"/>
      <c r="H362" s="135"/>
      <c r="I362" s="27"/>
      <c r="J362" s="135" t="s">
        <v>322</v>
      </c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138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139"/>
    </row>
    <row r="363" spans="2:61" ht="20.100000000000001" customHeight="1" x14ac:dyDescent="0.45">
      <c r="B363" s="143"/>
      <c r="C363" s="27"/>
      <c r="D363" s="27"/>
      <c r="E363" s="27"/>
      <c r="F363" s="27"/>
      <c r="G363" s="134"/>
      <c r="H363" s="135"/>
      <c r="I363" s="27"/>
      <c r="J363" s="135"/>
      <c r="K363" s="27" t="s">
        <v>236</v>
      </c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138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139"/>
    </row>
    <row r="364" spans="2:61" ht="20.100000000000001" customHeight="1" x14ac:dyDescent="0.45">
      <c r="B364" s="143"/>
      <c r="C364" s="27"/>
      <c r="D364" s="27"/>
      <c r="E364" s="27"/>
      <c r="F364" s="27"/>
      <c r="G364" s="134"/>
      <c r="H364" s="135"/>
      <c r="I364" s="27"/>
      <c r="J364" s="135"/>
      <c r="K364" s="27" t="s">
        <v>355</v>
      </c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138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139"/>
    </row>
    <row r="365" spans="2:61" ht="20.100000000000001" customHeight="1" x14ac:dyDescent="0.45">
      <c r="B365" s="143"/>
      <c r="C365" s="27"/>
      <c r="D365" s="27"/>
      <c r="E365" s="27"/>
      <c r="F365" s="27"/>
      <c r="G365" s="134"/>
      <c r="H365" s="135"/>
      <c r="I365" s="27"/>
      <c r="J365" s="135" t="s">
        <v>356</v>
      </c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138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139"/>
    </row>
    <row r="366" spans="2:61" ht="20.100000000000001" customHeight="1" x14ac:dyDescent="0.45">
      <c r="B366" s="143"/>
      <c r="C366" s="27"/>
      <c r="D366" s="27"/>
      <c r="E366" s="27"/>
      <c r="F366" s="27"/>
      <c r="G366" s="134"/>
      <c r="H366" s="135"/>
      <c r="I366" s="27"/>
      <c r="J366" s="135"/>
      <c r="K366" s="27" t="s">
        <v>237</v>
      </c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138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139"/>
    </row>
    <row r="367" spans="2:61" ht="20.100000000000001" customHeight="1" thickBot="1" x14ac:dyDescent="0.5">
      <c r="B367" s="143"/>
      <c r="C367" s="27"/>
      <c r="D367" s="27"/>
      <c r="E367" s="27"/>
      <c r="F367" s="27"/>
      <c r="G367" s="134"/>
      <c r="H367" s="135"/>
      <c r="I367" s="27"/>
      <c r="J367" s="135"/>
      <c r="K367" s="27" t="s">
        <v>355</v>
      </c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138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139"/>
    </row>
    <row r="368" spans="2:61" ht="20.100000000000001" customHeight="1" x14ac:dyDescent="0.45">
      <c r="B368" s="124" t="s">
        <v>236</v>
      </c>
      <c r="C368" s="125"/>
      <c r="D368" s="125"/>
      <c r="E368" s="125"/>
      <c r="F368" s="125"/>
      <c r="G368" s="126"/>
      <c r="H368" s="127" t="s">
        <v>158</v>
      </c>
      <c r="I368" s="125"/>
      <c r="J368" s="128" t="s">
        <v>302</v>
      </c>
      <c r="K368" s="129"/>
      <c r="L368" s="129"/>
      <c r="M368" s="129"/>
      <c r="N368" s="129"/>
      <c r="O368" s="129"/>
      <c r="P368" s="129"/>
      <c r="Q368" s="130"/>
      <c r="R368" s="129" t="s">
        <v>357</v>
      </c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30"/>
      <c r="AK368" s="131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  <c r="BI368" s="132"/>
    </row>
    <row r="369" spans="2:61" ht="20.100000000000001" customHeight="1" x14ac:dyDescent="0.45">
      <c r="B369" s="133"/>
      <c r="C369" s="27"/>
      <c r="D369" s="27"/>
      <c r="E369" s="27"/>
      <c r="F369" s="27"/>
      <c r="G369" s="134"/>
      <c r="H369" s="140" t="s">
        <v>159</v>
      </c>
      <c r="I369" s="51"/>
      <c r="J369" s="140" t="s">
        <v>328</v>
      </c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14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142"/>
    </row>
    <row r="370" spans="2:61" ht="20.100000000000001" customHeight="1" x14ac:dyDescent="0.45">
      <c r="B370" s="143"/>
      <c r="C370" s="27"/>
      <c r="D370" s="27"/>
      <c r="E370" s="27"/>
      <c r="F370" s="27"/>
      <c r="G370" s="134"/>
      <c r="H370" s="140" t="s">
        <v>161</v>
      </c>
      <c r="I370" s="51"/>
      <c r="J370" s="140" t="s">
        <v>330</v>
      </c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14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142"/>
    </row>
    <row r="371" spans="2:61" ht="20.100000000000001" customHeight="1" x14ac:dyDescent="0.45">
      <c r="B371" s="143"/>
      <c r="C371" s="27"/>
      <c r="D371" s="27"/>
      <c r="E371" s="27"/>
      <c r="F371" s="27"/>
      <c r="G371" s="134"/>
      <c r="H371" s="135"/>
      <c r="I371" s="27"/>
      <c r="J371" s="135"/>
      <c r="K371" s="27" t="s">
        <v>331</v>
      </c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138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139"/>
    </row>
    <row r="372" spans="2:61" ht="20.100000000000001" customHeight="1" x14ac:dyDescent="0.45">
      <c r="B372" s="143"/>
      <c r="C372" s="27"/>
      <c r="D372" s="27"/>
      <c r="E372" s="27"/>
      <c r="F372" s="27"/>
      <c r="G372" s="134"/>
      <c r="H372" s="135"/>
      <c r="I372" s="27"/>
      <c r="J372" s="135"/>
      <c r="K372" s="27" t="s">
        <v>333</v>
      </c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138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139"/>
    </row>
    <row r="373" spans="2:61" ht="20.100000000000001" customHeight="1" thickBot="1" x14ac:dyDescent="0.5">
      <c r="B373" s="143"/>
      <c r="C373" s="27"/>
      <c r="D373" s="27"/>
      <c r="E373" s="27"/>
      <c r="F373" s="27"/>
      <c r="G373" s="134"/>
      <c r="H373" s="140" t="s">
        <v>334</v>
      </c>
      <c r="I373" s="51"/>
      <c r="J373" s="140" t="s">
        <v>364</v>
      </c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14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142"/>
    </row>
    <row r="374" spans="2:61" ht="20.100000000000001" customHeight="1" x14ac:dyDescent="0.45">
      <c r="B374" s="124" t="s">
        <v>237</v>
      </c>
      <c r="C374" s="125"/>
      <c r="D374" s="125"/>
      <c r="E374" s="125"/>
      <c r="F374" s="125"/>
      <c r="G374" s="126"/>
      <c r="H374" s="127" t="s">
        <v>158</v>
      </c>
      <c r="I374" s="125"/>
      <c r="J374" s="128" t="s">
        <v>304</v>
      </c>
      <c r="K374" s="129"/>
      <c r="L374" s="129"/>
      <c r="M374" s="129"/>
      <c r="N374" s="129"/>
      <c r="O374" s="129"/>
      <c r="P374" s="129"/>
      <c r="Q374" s="130"/>
      <c r="R374" s="129" t="s">
        <v>358</v>
      </c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30"/>
      <c r="AK374" s="131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  <c r="BI374" s="132"/>
    </row>
    <row r="375" spans="2:61" ht="20.100000000000001" customHeight="1" x14ac:dyDescent="0.45">
      <c r="B375" s="133"/>
      <c r="C375" s="27"/>
      <c r="D375" s="27"/>
      <c r="E375" s="27"/>
      <c r="F375" s="27"/>
      <c r="G375" s="134"/>
      <c r="H375" s="140" t="s">
        <v>159</v>
      </c>
      <c r="I375" s="51"/>
      <c r="J375" s="140" t="s">
        <v>328</v>
      </c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14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142"/>
    </row>
    <row r="376" spans="2:61" ht="20.100000000000001" customHeight="1" x14ac:dyDescent="0.45">
      <c r="B376" s="143"/>
      <c r="C376" s="27"/>
      <c r="D376" s="27"/>
      <c r="E376" s="27"/>
      <c r="F376" s="27"/>
      <c r="G376" s="134"/>
      <c r="H376" s="140" t="s">
        <v>161</v>
      </c>
      <c r="I376" s="51"/>
      <c r="J376" s="140" t="s">
        <v>330</v>
      </c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14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142"/>
    </row>
    <row r="377" spans="2:61" ht="20.100000000000001" customHeight="1" x14ac:dyDescent="0.45">
      <c r="B377" s="143"/>
      <c r="C377" s="27"/>
      <c r="D377" s="27"/>
      <c r="E377" s="27"/>
      <c r="F377" s="27"/>
      <c r="G377" s="134"/>
      <c r="H377" s="135"/>
      <c r="I377" s="27"/>
      <c r="J377" s="135"/>
      <c r="K377" s="27" t="s">
        <v>331</v>
      </c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138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139"/>
    </row>
    <row r="378" spans="2:61" ht="20.100000000000001" customHeight="1" x14ac:dyDescent="0.45">
      <c r="B378" s="143"/>
      <c r="C378" s="27"/>
      <c r="D378" s="27"/>
      <c r="E378" s="27"/>
      <c r="F378" s="27"/>
      <c r="G378" s="134"/>
      <c r="H378" s="135"/>
      <c r="I378" s="27"/>
      <c r="J378" s="135"/>
      <c r="K378" s="27" t="s">
        <v>333</v>
      </c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138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139"/>
    </row>
    <row r="379" spans="2:61" ht="20.100000000000001" customHeight="1" thickBot="1" x14ac:dyDescent="0.5">
      <c r="B379" s="143"/>
      <c r="C379" s="27"/>
      <c r="D379" s="27"/>
      <c r="E379" s="27"/>
      <c r="F379" s="27"/>
      <c r="G379" s="134"/>
      <c r="H379" s="140" t="s">
        <v>334</v>
      </c>
      <c r="I379" s="51"/>
      <c r="J379" s="140" t="s">
        <v>364</v>
      </c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14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142"/>
    </row>
    <row r="380" spans="2:61" ht="20.100000000000001" customHeight="1" x14ac:dyDescent="0.45">
      <c r="B380" s="124" t="s">
        <v>402</v>
      </c>
      <c r="C380" s="125"/>
      <c r="D380" s="125"/>
      <c r="E380" s="125"/>
      <c r="F380" s="125"/>
      <c r="G380" s="126"/>
      <c r="H380" s="127" t="s">
        <v>158</v>
      </c>
      <c r="I380" s="125"/>
      <c r="J380" s="128" t="s">
        <v>241</v>
      </c>
      <c r="K380" s="129"/>
      <c r="L380" s="129"/>
      <c r="M380" s="129"/>
      <c r="N380" s="129"/>
      <c r="O380" s="129"/>
      <c r="P380" s="129"/>
      <c r="Q380" s="130"/>
      <c r="R380" s="129">
        <v>1</v>
      </c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30"/>
      <c r="AK380" s="131" t="s">
        <v>366</v>
      </c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  <c r="BI380" s="132"/>
    </row>
    <row r="381" spans="2:61" ht="20.100000000000001" customHeight="1" x14ac:dyDescent="0.45">
      <c r="B381" s="133"/>
      <c r="C381" s="27"/>
      <c r="D381" s="27"/>
      <c r="E381" s="27"/>
      <c r="F381" s="27"/>
      <c r="G381" s="134"/>
      <c r="H381" s="135"/>
      <c r="I381" s="27"/>
      <c r="J381" s="144" t="s">
        <v>163</v>
      </c>
      <c r="K381" s="145"/>
      <c r="L381" s="145"/>
      <c r="M381" s="145"/>
      <c r="N381" s="145"/>
      <c r="O381" s="145"/>
      <c r="P381" s="145"/>
      <c r="Q381" s="156"/>
      <c r="R381" s="145" t="s">
        <v>163</v>
      </c>
      <c r="S381" s="145"/>
      <c r="T381" s="145"/>
      <c r="U381" s="145"/>
      <c r="V381" s="145"/>
      <c r="W381" s="145"/>
      <c r="X381" s="145"/>
      <c r="Y381" s="145"/>
      <c r="Z381" s="145"/>
      <c r="AA381" s="145"/>
      <c r="AB381" s="145"/>
      <c r="AC381" s="145"/>
      <c r="AD381" s="145"/>
      <c r="AE381" s="145"/>
      <c r="AF381" s="145"/>
      <c r="AG381" s="145"/>
      <c r="AH381" s="145"/>
      <c r="AI381" s="145"/>
      <c r="AJ381" s="156"/>
      <c r="AK381" s="138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139"/>
    </row>
    <row r="382" spans="2:61" ht="20.100000000000001" customHeight="1" x14ac:dyDescent="0.45">
      <c r="B382" s="133"/>
      <c r="C382" s="27"/>
      <c r="D382" s="27"/>
      <c r="E382" s="27"/>
      <c r="F382" s="27"/>
      <c r="G382" s="134"/>
      <c r="H382" s="135"/>
      <c r="I382" s="27"/>
      <c r="J382" s="136" t="s">
        <v>244</v>
      </c>
      <c r="K382" s="48"/>
      <c r="L382" s="48"/>
      <c r="M382" s="48"/>
      <c r="N382" s="48"/>
      <c r="O382" s="48"/>
      <c r="P382" s="48"/>
      <c r="Q382" s="137"/>
      <c r="R382" s="157" t="s">
        <v>367</v>
      </c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137"/>
      <c r="AK382" s="138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139"/>
    </row>
    <row r="383" spans="2:61" ht="20.100000000000001" customHeight="1" x14ac:dyDescent="0.45">
      <c r="B383" s="133"/>
      <c r="C383" s="27"/>
      <c r="D383" s="27"/>
      <c r="E383" s="27"/>
      <c r="F383" s="27"/>
      <c r="G383" s="134"/>
      <c r="H383" s="135"/>
      <c r="I383" s="27"/>
      <c r="J383" s="140" t="s">
        <v>247</v>
      </c>
      <c r="K383" s="51"/>
      <c r="L383" s="51"/>
      <c r="M383" s="51"/>
      <c r="N383" s="51"/>
      <c r="O383" s="51"/>
      <c r="P383" s="51"/>
      <c r="Q383" s="51"/>
      <c r="R383" s="141" t="s">
        <v>368</v>
      </c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138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139"/>
    </row>
    <row r="384" spans="2:61" ht="20.100000000000001" customHeight="1" x14ac:dyDescent="0.45">
      <c r="B384" s="133"/>
      <c r="C384" s="27"/>
      <c r="D384" s="27"/>
      <c r="E384" s="27"/>
      <c r="F384" s="27"/>
      <c r="G384" s="134"/>
      <c r="H384" s="135"/>
      <c r="I384" s="27"/>
      <c r="J384" s="140" t="s">
        <v>249</v>
      </c>
      <c r="K384" s="51"/>
      <c r="L384" s="51"/>
      <c r="M384" s="51"/>
      <c r="N384" s="51"/>
      <c r="O384" s="51"/>
      <c r="P384" s="51"/>
      <c r="Q384" s="51"/>
      <c r="R384" s="140" t="s">
        <v>369</v>
      </c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138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139"/>
    </row>
    <row r="385" spans="2:61" ht="20.399999999999999" customHeight="1" x14ac:dyDescent="0.45">
      <c r="B385" s="133"/>
      <c r="C385" s="27"/>
      <c r="D385" s="27"/>
      <c r="E385" s="27"/>
      <c r="F385" s="27"/>
      <c r="G385" s="134"/>
      <c r="H385" s="135"/>
      <c r="I385" s="27"/>
      <c r="J385" s="140" t="s">
        <v>251</v>
      </c>
      <c r="K385" s="51"/>
      <c r="L385" s="51"/>
      <c r="M385" s="51"/>
      <c r="N385" s="51"/>
      <c r="O385" s="51"/>
      <c r="P385" s="51"/>
      <c r="Q385" s="51"/>
      <c r="R385" s="141" t="s">
        <v>370</v>
      </c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138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139"/>
    </row>
    <row r="386" spans="2:61" ht="20.399999999999999" customHeight="1" x14ac:dyDescent="0.45">
      <c r="B386" s="133"/>
      <c r="C386" s="27"/>
      <c r="D386" s="27"/>
      <c r="E386" s="27"/>
      <c r="F386" s="27"/>
      <c r="G386" s="134"/>
      <c r="H386" s="135"/>
      <c r="I386" s="27"/>
      <c r="J386" s="140" t="s">
        <v>253</v>
      </c>
      <c r="K386" s="51"/>
      <c r="L386" s="51"/>
      <c r="M386" s="51"/>
      <c r="N386" s="51"/>
      <c r="O386" s="51"/>
      <c r="P386" s="51"/>
      <c r="Q386" s="51"/>
      <c r="R386" s="141" t="s">
        <v>371</v>
      </c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138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139"/>
    </row>
    <row r="387" spans="2:61" ht="20.399999999999999" customHeight="1" x14ac:dyDescent="0.45">
      <c r="B387" s="133"/>
      <c r="C387" s="27"/>
      <c r="D387" s="27"/>
      <c r="E387" s="27"/>
      <c r="F387" s="27"/>
      <c r="G387" s="134"/>
      <c r="H387" s="135"/>
      <c r="I387" s="27"/>
      <c r="J387" s="140" t="s">
        <v>255</v>
      </c>
      <c r="K387" s="51"/>
      <c r="L387" s="51"/>
      <c r="M387" s="51"/>
      <c r="N387" s="51"/>
      <c r="O387" s="51"/>
      <c r="P387" s="51"/>
      <c r="Q387" s="51"/>
      <c r="R387" s="141" t="s">
        <v>372</v>
      </c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138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139"/>
    </row>
    <row r="388" spans="2:61" ht="20.399999999999999" customHeight="1" x14ac:dyDescent="0.45">
      <c r="B388" s="133"/>
      <c r="C388" s="27"/>
      <c r="D388" s="27"/>
      <c r="E388" s="27"/>
      <c r="F388" s="27"/>
      <c r="G388" s="134"/>
      <c r="H388" s="135"/>
      <c r="I388" s="27"/>
      <c r="J388" s="140" t="s">
        <v>257</v>
      </c>
      <c r="K388" s="51"/>
      <c r="L388" s="51"/>
      <c r="M388" s="51"/>
      <c r="N388" s="51"/>
      <c r="O388" s="51"/>
      <c r="P388" s="51"/>
      <c r="Q388" s="51"/>
      <c r="R388" s="141" t="s">
        <v>373</v>
      </c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138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139"/>
    </row>
    <row r="389" spans="2:61" ht="20.399999999999999" customHeight="1" x14ac:dyDescent="0.45">
      <c r="B389" s="133"/>
      <c r="C389" s="27"/>
      <c r="D389" s="27"/>
      <c r="E389" s="27"/>
      <c r="F389" s="27"/>
      <c r="G389" s="134"/>
      <c r="H389" s="135"/>
      <c r="I389" s="27"/>
      <c r="J389" s="140" t="s">
        <v>259</v>
      </c>
      <c r="K389" s="51"/>
      <c r="L389" s="51"/>
      <c r="M389" s="51"/>
      <c r="N389" s="51"/>
      <c r="O389" s="51"/>
      <c r="P389" s="51"/>
      <c r="Q389" s="51"/>
      <c r="R389" s="141" t="s">
        <v>374</v>
      </c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138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139"/>
    </row>
    <row r="390" spans="2:61" ht="20.399999999999999" customHeight="1" x14ac:dyDescent="0.45">
      <c r="B390" s="133"/>
      <c r="C390" s="27"/>
      <c r="D390" s="27"/>
      <c r="E390" s="27"/>
      <c r="F390" s="27"/>
      <c r="G390" s="134"/>
      <c r="H390" s="135"/>
      <c r="I390" s="27"/>
      <c r="J390" s="140" t="s">
        <v>261</v>
      </c>
      <c r="K390" s="51"/>
      <c r="L390" s="51"/>
      <c r="M390" s="51"/>
      <c r="N390" s="51"/>
      <c r="O390" s="51"/>
      <c r="P390" s="51"/>
      <c r="Q390" s="51"/>
      <c r="R390" s="141" t="s">
        <v>375</v>
      </c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138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139"/>
    </row>
    <row r="391" spans="2:61" ht="20.399999999999999" customHeight="1" x14ac:dyDescent="0.45">
      <c r="B391" s="133"/>
      <c r="C391" s="27"/>
      <c r="D391" s="27"/>
      <c r="E391" s="27"/>
      <c r="F391" s="27"/>
      <c r="G391" s="134"/>
      <c r="H391" s="135"/>
      <c r="I391" s="27"/>
      <c r="J391" s="140" t="s">
        <v>263</v>
      </c>
      <c r="K391" s="51"/>
      <c r="L391" s="51"/>
      <c r="M391" s="51"/>
      <c r="N391" s="51"/>
      <c r="O391" s="51"/>
      <c r="P391" s="51"/>
      <c r="Q391" s="51"/>
      <c r="R391" s="141" t="s">
        <v>376</v>
      </c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138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139"/>
    </row>
    <row r="392" spans="2:61" ht="20.399999999999999" customHeight="1" x14ac:dyDescent="0.45">
      <c r="B392" s="133"/>
      <c r="C392" s="27"/>
      <c r="D392" s="27"/>
      <c r="E392" s="27"/>
      <c r="F392" s="27"/>
      <c r="G392" s="134"/>
      <c r="H392" s="135"/>
      <c r="I392" s="27"/>
      <c r="J392" s="140" t="s">
        <v>265</v>
      </c>
      <c r="K392" s="51"/>
      <c r="L392" s="51"/>
      <c r="M392" s="51"/>
      <c r="N392" s="51"/>
      <c r="O392" s="51"/>
      <c r="P392" s="51"/>
      <c r="Q392" s="51"/>
      <c r="R392" s="141" t="s">
        <v>377</v>
      </c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138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139"/>
    </row>
    <row r="393" spans="2:61" ht="20.100000000000001" customHeight="1" x14ac:dyDescent="0.45">
      <c r="B393" s="133"/>
      <c r="C393" s="27"/>
      <c r="D393" s="27"/>
      <c r="E393" s="27"/>
      <c r="F393" s="27"/>
      <c r="G393" s="134"/>
      <c r="H393" s="135"/>
      <c r="I393" s="27"/>
      <c r="J393" s="140" t="s">
        <v>267</v>
      </c>
      <c r="K393" s="51"/>
      <c r="L393" s="51"/>
      <c r="M393" s="51"/>
      <c r="N393" s="51"/>
      <c r="O393" s="51"/>
      <c r="P393" s="51"/>
      <c r="Q393" s="51"/>
      <c r="R393" s="141" t="s">
        <v>378</v>
      </c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138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139"/>
    </row>
    <row r="394" spans="2:61" ht="20.100000000000001" customHeight="1" x14ac:dyDescent="0.45">
      <c r="B394" s="133"/>
      <c r="C394" s="27"/>
      <c r="D394" s="27"/>
      <c r="E394" s="27"/>
      <c r="F394" s="27"/>
      <c r="G394" s="134"/>
      <c r="H394" s="135"/>
      <c r="I394" s="27"/>
      <c r="J394" s="140" t="s">
        <v>269</v>
      </c>
      <c r="K394" s="51"/>
      <c r="L394" s="51"/>
      <c r="M394" s="51"/>
      <c r="N394" s="51"/>
      <c r="O394" s="51"/>
      <c r="P394" s="51"/>
      <c r="Q394" s="51"/>
      <c r="R394" s="141" t="s">
        <v>379</v>
      </c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138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139"/>
    </row>
    <row r="395" spans="2:61" ht="20.100000000000001" customHeight="1" x14ac:dyDescent="0.45">
      <c r="B395" s="133"/>
      <c r="C395" s="27"/>
      <c r="D395" s="27"/>
      <c r="E395" s="27"/>
      <c r="F395" s="27"/>
      <c r="G395" s="134"/>
      <c r="H395" s="135"/>
      <c r="I395" s="27"/>
      <c r="J395" s="140" t="s">
        <v>271</v>
      </c>
      <c r="K395" s="51"/>
      <c r="L395" s="51"/>
      <c r="M395" s="51"/>
      <c r="N395" s="51"/>
      <c r="O395" s="51"/>
      <c r="P395" s="51"/>
      <c r="Q395" s="51"/>
      <c r="R395" s="141" t="s">
        <v>380</v>
      </c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138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139"/>
    </row>
    <row r="396" spans="2:61" ht="20.100000000000001" customHeight="1" x14ac:dyDescent="0.45">
      <c r="B396" s="133"/>
      <c r="C396" s="27"/>
      <c r="D396" s="27"/>
      <c r="E396" s="27"/>
      <c r="F396" s="27"/>
      <c r="G396" s="134"/>
      <c r="H396" s="135"/>
      <c r="I396" s="27"/>
      <c r="J396" s="140" t="s">
        <v>273</v>
      </c>
      <c r="K396" s="51"/>
      <c r="L396" s="51"/>
      <c r="M396" s="51"/>
      <c r="N396" s="51"/>
      <c r="O396" s="51"/>
      <c r="P396" s="51"/>
      <c r="Q396" s="51"/>
      <c r="R396" s="141" t="s">
        <v>381</v>
      </c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138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139"/>
    </row>
    <row r="397" spans="2:61" ht="20.100000000000001" customHeight="1" x14ac:dyDescent="0.45">
      <c r="B397" s="133"/>
      <c r="C397" s="27"/>
      <c r="D397" s="27"/>
      <c r="E397" s="27"/>
      <c r="F397" s="27"/>
      <c r="G397" s="134"/>
      <c r="H397" s="135"/>
      <c r="I397" s="27"/>
      <c r="J397" s="140" t="s">
        <v>382</v>
      </c>
      <c r="K397" s="51"/>
      <c r="L397" s="51"/>
      <c r="M397" s="51"/>
      <c r="N397" s="51"/>
      <c r="O397" s="51"/>
      <c r="P397" s="51"/>
      <c r="Q397" s="51"/>
      <c r="R397" s="141" t="s">
        <v>383</v>
      </c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138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139"/>
    </row>
    <row r="398" spans="2:61" ht="20.100000000000001" customHeight="1" x14ac:dyDescent="0.45">
      <c r="B398" s="133"/>
      <c r="C398" s="27"/>
      <c r="D398" s="27"/>
      <c r="E398" s="27"/>
      <c r="F398" s="27"/>
      <c r="G398" s="134"/>
      <c r="H398" s="135"/>
      <c r="I398" s="27"/>
      <c r="J398" s="140" t="s">
        <v>277</v>
      </c>
      <c r="K398" s="51"/>
      <c r="L398" s="51"/>
      <c r="M398" s="51"/>
      <c r="N398" s="51"/>
      <c r="O398" s="51"/>
      <c r="P398" s="51"/>
      <c r="Q398" s="51"/>
      <c r="R398" s="141" t="s">
        <v>384</v>
      </c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138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139"/>
    </row>
    <row r="399" spans="2:61" ht="20.100000000000001" customHeight="1" x14ac:dyDescent="0.45">
      <c r="B399" s="133"/>
      <c r="C399" s="27"/>
      <c r="D399" s="27"/>
      <c r="E399" s="27"/>
      <c r="F399" s="27"/>
      <c r="G399" s="134"/>
      <c r="H399" s="135"/>
      <c r="I399" s="27"/>
      <c r="J399" s="140" t="s">
        <v>279</v>
      </c>
      <c r="K399" s="51"/>
      <c r="L399" s="51"/>
      <c r="M399" s="51"/>
      <c r="N399" s="51"/>
      <c r="O399" s="51"/>
      <c r="P399" s="51"/>
      <c r="Q399" s="51"/>
      <c r="R399" s="141" t="s">
        <v>385</v>
      </c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138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139"/>
    </row>
    <row r="400" spans="2:61" ht="20.100000000000001" customHeight="1" x14ac:dyDescent="0.45">
      <c r="B400" s="133"/>
      <c r="C400" s="27"/>
      <c r="D400" s="27"/>
      <c r="E400" s="27"/>
      <c r="F400" s="27"/>
      <c r="G400" s="134"/>
      <c r="H400" s="135"/>
      <c r="I400" s="27"/>
      <c r="J400" s="140" t="s">
        <v>281</v>
      </c>
      <c r="K400" s="51"/>
      <c r="L400" s="51"/>
      <c r="M400" s="51"/>
      <c r="N400" s="51"/>
      <c r="O400" s="51"/>
      <c r="P400" s="51"/>
      <c r="Q400" s="51"/>
      <c r="R400" s="141" t="s">
        <v>386</v>
      </c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138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139"/>
    </row>
    <row r="401" spans="2:61" ht="20.100000000000001" customHeight="1" x14ac:dyDescent="0.45">
      <c r="B401" s="133"/>
      <c r="C401" s="27"/>
      <c r="D401" s="27"/>
      <c r="E401" s="27"/>
      <c r="F401" s="27"/>
      <c r="G401" s="134"/>
      <c r="H401" s="135"/>
      <c r="I401" s="27"/>
      <c r="J401" s="140" t="s">
        <v>284</v>
      </c>
      <c r="K401" s="51"/>
      <c r="L401" s="51"/>
      <c r="M401" s="51"/>
      <c r="N401" s="51"/>
      <c r="O401" s="51"/>
      <c r="P401" s="51"/>
      <c r="Q401" s="51"/>
      <c r="R401" s="141" t="s">
        <v>387</v>
      </c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138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139"/>
    </row>
    <row r="402" spans="2:61" ht="20.100000000000001" customHeight="1" x14ac:dyDescent="0.45">
      <c r="B402" s="133"/>
      <c r="C402" s="27"/>
      <c r="D402" s="27"/>
      <c r="E402" s="27"/>
      <c r="F402" s="27"/>
      <c r="G402" s="134"/>
      <c r="H402" s="135"/>
      <c r="I402" s="27"/>
      <c r="J402" s="140" t="s">
        <v>286</v>
      </c>
      <c r="K402" s="51"/>
      <c r="L402" s="51"/>
      <c r="M402" s="51"/>
      <c r="N402" s="51"/>
      <c r="O402" s="51"/>
      <c r="P402" s="51"/>
      <c r="Q402" s="51"/>
      <c r="R402" s="141" t="s">
        <v>388</v>
      </c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138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139"/>
    </row>
    <row r="403" spans="2:61" ht="20.100000000000001" customHeight="1" x14ac:dyDescent="0.45">
      <c r="B403" s="133"/>
      <c r="C403" s="27"/>
      <c r="D403" s="27"/>
      <c r="E403" s="27"/>
      <c r="F403" s="27"/>
      <c r="G403" s="134"/>
      <c r="H403" s="135"/>
      <c r="I403" s="27"/>
      <c r="J403" s="140" t="s">
        <v>288</v>
      </c>
      <c r="K403" s="51"/>
      <c r="L403" s="51"/>
      <c r="M403" s="51"/>
      <c r="N403" s="51"/>
      <c r="O403" s="51"/>
      <c r="P403" s="51"/>
      <c r="Q403" s="51"/>
      <c r="R403" s="141" t="s">
        <v>389</v>
      </c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138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139"/>
    </row>
    <row r="404" spans="2:61" ht="20.100000000000001" customHeight="1" x14ac:dyDescent="0.45">
      <c r="B404" s="133"/>
      <c r="C404" s="27"/>
      <c r="D404" s="27"/>
      <c r="E404" s="27"/>
      <c r="F404" s="27"/>
      <c r="G404" s="134"/>
      <c r="H404" s="135"/>
      <c r="I404" s="27"/>
      <c r="J404" s="140" t="s">
        <v>290</v>
      </c>
      <c r="K404" s="51"/>
      <c r="L404" s="51"/>
      <c r="M404" s="51"/>
      <c r="N404" s="51"/>
      <c r="O404" s="51"/>
      <c r="P404" s="51"/>
      <c r="Q404" s="51"/>
      <c r="R404" s="141" t="s">
        <v>390</v>
      </c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138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139"/>
    </row>
    <row r="405" spans="2:61" ht="20.100000000000001" customHeight="1" x14ac:dyDescent="0.45">
      <c r="B405" s="133"/>
      <c r="C405" s="27"/>
      <c r="D405" s="27"/>
      <c r="E405" s="27"/>
      <c r="F405" s="27"/>
      <c r="G405" s="134"/>
      <c r="H405" s="135"/>
      <c r="I405" s="27"/>
      <c r="J405" s="140" t="s">
        <v>177</v>
      </c>
      <c r="K405" s="51"/>
      <c r="L405" s="51"/>
      <c r="M405" s="51"/>
      <c r="N405" s="51"/>
      <c r="O405" s="51"/>
      <c r="P405" s="51"/>
      <c r="Q405" s="51"/>
      <c r="R405" s="141" t="s">
        <v>391</v>
      </c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138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139"/>
    </row>
    <row r="406" spans="2:61" ht="20.100000000000001" customHeight="1" x14ac:dyDescent="0.45">
      <c r="B406" s="133"/>
      <c r="C406" s="27"/>
      <c r="D406" s="27"/>
      <c r="E406" s="27"/>
      <c r="F406" s="27"/>
      <c r="G406" s="134"/>
      <c r="H406" s="135"/>
      <c r="I406" s="27"/>
      <c r="J406" s="140" t="s">
        <v>294</v>
      </c>
      <c r="K406" s="51"/>
      <c r="L406" s="51"/>
      <c r="M406" s="51"/>
      <c r="N406" s="51"/>
      <c r="O406" s="51"/>
      <c r="P406" s="51"/>
      <c r="Q406" s="51"/>
      <c r="R406" s="141" t="s">
        <v>392</v>
      </c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138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139"/>
    </row>
    <row r="407" spans="2:61" ht="20.100000000000001" customHeight="1" x14ac:dyDescent="0.45">
      <c r="B407" s="133"/>
      <c r="C407" s="27"/>
      <c r="D407" s="27"/>
      <c r="E407" s="27"/>
      <c r="F407" s="27"/>
      <c r="G407" s="134"/>
      <c r="H407" s="135"/>
      <c r="I407" s="27"/>
      <c r="J407" s="140" t="s">
        <v>296</v>
      </c>
      <c r="K407" s="51"/>
      <c r="L407" s="51"/>
      <c r="M407" s="51"/>
      <c r="N407" s="51"/>
      <c r="O407" s="51"/>
      <c r="P407" s="51"/>
      <c r="Q407" s="51"/>
      <c r="R407" s="141" t="s">
        <v>393</v>
      </c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138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139"/>
    </row>
    <row r="408" spans="2:61" ht="20.100000000000001" customHeight="1" x14ac:dyDescent="0.45">
      <c r="B408" s="133"/>
      <c r="C408" s="27"/>
      <c r="D408" s="27"/>
      <c r="E408" s="27"/>
      <c r="F408" s="27"/>
      <c r="G408" s="134"/>
      <c r="H408" s="135"/>
      <c r="I408" s="27"/>
      <c r="J408" s="140" t="s">
        <v>298</v>
      </c>
      <c r="K408" s="51"/>
      <c r="L408" s="51"/>
      <c r="M408" s="51"/>
      <c r="N408" s="51"/>
      <c r="O408" s="51"/>
      <c r="P408" s="51"/>
      <c r="Q408" s="51"/>
      <c r="R408" s="141" t="s">
        <v>394</v>
      </c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138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139"/>
    </row>
    <row r="409" spans="2:61" ht="20.100000000000001" customHeight="1" x14ac:dyDescent="0.45">
      <c r="B409" s="133"/>
      <c r="C409" s="27"/>
      <c r="D409" s="27"/>
      <c r="E409" s="27"/>
      <c r="F409" s="27"/>
      <c r="G409" s="134"/>
      <c r="H409" s="135"/>
      <c r="I409" s="27"/>
      <c r="J409" s="140" t="s">
        <v>300</v>
      </c>
      <c r="K409" s="51"/>
      <c r="L409" s="51"/>
      <c r="M409" s="51"/>
      <c r="N409" s="51"/>
      <c r="O409" s="51"/>
      <c r="P409" s="51"/>
      <c r="Q409" s="51"/>
      <c r="R409" s="141" t="s">
        <v>395</v>
      </c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138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139"/>
    </row>
    <row r="410" spans="2:61" ht="20.100000000000001" customHeight="1" x14ac:dyDescent="0.45">
      <c r="B410" s="133"/>
      <c r="C410" s="27"/>
      <c r="D410" s="27"/>
      <c r="E410" s="27"/>
      <c r="F410" s="27"/>
      <c r="G410" s="134"/>
      <c r="H410" s="135"/>
      <c r="I410" s="27"/>
      <c r="J410" s="140" t="s">
        <v>302</v>
      </c>
      <c r="K410" s="51"/>
      <c r="L410" s="51"/>
      <c r="M410" s="51"/>
      <c r="N410" s="51"/>
      <c r="O410" s="51"/>
      <c r="P410" s="51"/>
      <c r="Q410" s="51"/>
      <c r="R410" s="141" t="s">
        <v>396</v>
      </c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138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139"/>
    </row>
    <row r="411" spans="2:61" ht="20.100000000000001" customHeight="1" x14ac:dyDescent="0.45">
      <c r="B411" s="133"/>
      <c r="C411" s="27"/>
      <c r="D411" s="27"/>
      <c r="E411" s="27"/>
      <c r="F411" s="27"/>
      <c r="G411" s="134"/>
      <c r="H411" s="135"/>
      <c r="I411" s="27"/>
      <c r="J411" s="140" t="s">
        <v>304</v>
      </c>
      <c r="K411" s="51"/>
      <c r="L411" s="51"/>
      <c r="M411" s="51"/>
      <c r="N411" s="51"/>
      <c r="O411" s="51"/>
      <c r="P411" s="51"/>
      <c r="Q411" s="51"/>
      <c r="R411" s="141" t="s">
        <v>397</v>
      </c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138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139"/>
    </row>
    <row r="412" spans="2:61" ht="20.100000000000001" customHeight="1" x14ac:dyDescent="0.45">
      <c r="B412" s="133"/>
      <c r="C412" s="27"/>
      <c r="D412" s="27"/>
      <c r="E412" s="27"/>
      <c r="F412" s="27"/>
      <c r="G412" s="134"/>
      <c r="H412" s="135"/>
      <c r="I412" s="27"/>
      <c r="J412" s="140" t="s">
        <v>306</v>
      </c>
      <c r="K412" s="51"/>
      <c r="L412" s="51"/>
      <c r="M412" s="51"/>
      <c r="N412" s="51"/>
      <c r="O412" s="51"/>
      <c r="P412" s="51"/>
      <c r="Q412" s="51"/>
      <c r="R412" s="141" t="s">
        <v>398</v>
      </c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138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139"/>
    </row>
    <row r="413" spans="2:61" ht="20.100000000000001" customHeight="1" x14ac:dyDescent="0.45">
      <c r="B413" s="133"/>
      <c r="C413" s="27"/>
      <c r="D413" s="27"/>
      <c r="E413" s="27"/>
      <c r="F413" s="27"/>
      <c r="G413" s="134"/>
      <c r="H413" s="135"/>
      <c r="I413" s="27"/>
      <c r="J413" s="140" t="s">
        <v>308</v>
      </c>
      <c r="K413" s="51"/>
      <c r="L413" s="51"/>
      <c r="M413" s="51"/>
      <c r="N413" s="51"/>
      <c r="O413" s="51"/>
      <c r="P413" s="51"/>
      <c r="Q413" s="51"/>
      <c r="R413" s="141" t="s">
        <v>399</v>
      </c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138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139"/>
    </row>
    <row r="414" spans="2:61" ht="20.100000000000001" customHeight="1" x14ac:dyDescent="0.45">
      <c r="B414" s="133"/>
      <c r="C414" s="27"/>
      <c r="D414" s="27"/>
      <c r="E414" s="27"/>
      <c r="F414" s="27"/>
      <c r="G414" s="134"/>
      <c r="H414" s="135"/>
      <c r="I414" s="27"/>
      <c r="J414" s="140" t="s">
        <v>310</v>
      </c>
      <c r="K414" s="51"/>
      <c r="L414" s="51"/>
      <c r="M414" s="51"/>
      <c r="N414" s="51"/>
      <c r="O414" s="51"/>
      <c r="P414" s="51"/>
      <c r="Q414" s="51"/>
      <c r="R414" s="141" t="s">
        <v>400</v>
      </c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138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139"/>
    </row>
    <row r="415" spans="2:61" ht="20.100000000000001" customHeight="1" x14ac:dyDescent="0.45">
      <c r="B415" s="133"/>
      <c r="C415" s="27"/>
      <c r="D415" s="27"/>
      <c r="E415" s="27"/>
      <c r="F415" s="27"/>
      <c r="G415" s="134"/>
      <c r="H415" s="140" t="s">
        <v>159</v>
      </c>
      <c r="I415" s="51"/>
      <c r="J415" s="140" t="s">
        <v>312</v>
      </c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14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142"/>
    </row>
    <row r="416" spans="2:61" ht="20.100000000000001" customHeight="1" x14ac:dyDescent="0.45">
      <c r="B416" s="143"/>
      <c r="C416" s="27"/>
      <c r="D416" s="27"/>
      <c r="E416" s="27"/>
      <c r="F416" s="27"/>
      <c r="G416" s="134"/>
      <c r="H416" s="140" t="s">
        <v>161</v>
      </c>
      <c r="I416" s="51"/>
      <c r="J416" s="140" t="s">
        <v>317</v>
      </c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14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142"/>
    </row>
    <row r="417" spans="2:61" ht="20.100000000000001" customHeight="1" thickBot="1" x14ac:dyDescent="0.5">
      <c r="B417" s="143"/>
      <c r="C417" s="27"/>
      <c r="D417" s="27"/>
      <c r="E417" s="27"/>
      <c r="F417" s="27"/>
      <c r="G417" s="134"/>
      <c r="H417" s="135"/>
      <c r="I417" s="27"/>
      <c r="J417" s="135" t="s">
        <v>401</v>
      </c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138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139"/>
    </row>
    <row r="418" spans="2:61" ht="20.100000000000001" customHeight="1" x14ac:dyDescent="0.45">
      <c r="B418" s="124" t="s">
        <v>725</v>
      </c>
      <c r="C418" s="125"/>
      <c r="D418" s="125"/>
      <c r="E418" s="125"/>
      <c r="F418" s="125"/>
      <c r="G418" s="126"/>
      <c r="H418" s="127" t="s">
        <v>158</v>
      </c>
      <c r="I418" s="125"/>
      <c r="J418" s="128" t="s">
        <v>404</v>
      </c>
      <c r="K418" s="129"/>
      <c r="L418" s="129"/>
      <c r="M418" s="129"/>
      <c r="N418" s="129"/>
      <c r="O418" s="129"/>
      <c r="P418" s="129"/>
      <c r="Q418" s="130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30"/>
      <c r="AK418" s="131" t="s">
        <v>405</v>
      </c>
      <c r="AL418" s="125"/>
      <c r="AM418" s="125"/>
      <c r="AN418" s="125"/>
      <c r="AO418" s="125"/>
      <c r="AP418" s="125"/>
      <c r="AQ418" s="158"/>
      <c r="AR418" s="158" t="s">
        <v>406</v>
      </c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  <c r="BI418" s="132"/>
    </row>
    <row r="419" spans="2:61" ht="20.100000000000001" customHeight="1" x14ac:dyDescent="0.45">
      <c r="B419" s="133"/>
      <c r="C419" s="27"/>
      <c r="D419" s="27"/>
      <c r="E419" s="27"/>
      <c r="F419" s="27"/>
      <c r="G419" s="134"/>
      <c r="H419" s="140" t="s">
        <v>159</v>
      </c>
      <c r="I419" s="51"/>
      <c r="J419" s="140" t="s">
        <v>231</v>
      </c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14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142"/>
    </row>
    <row r="420" spans="2:61" ht="20.100000000000001" customHeight="1" x14ac:dyDescent="0.45">
      <c r="B420" s="133"/>
      <c r="C420" s="27"/>
      <c r="D420" s="27"/>
      <c r="E420" s="27"/>
      <c r="F420" s="27"/>
      <c r="G420" s="134"/>
      <c r="H420" s="135"/>
      <c r="I420" s="27"/>
      <c r="J420" s="135"/>
      <c r="K420" s="27" t="s">
        <v>726</v>
      </c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138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139"/>
    </row>
    <row r="421" spans="2:61" ht="20.100000000000001" customHeight="1" thickBot="1" x14ac:dyDescent="0.5">
      <c r="B421" s="133"/>
      <c r="C421" s="27"/>
      <c r="D421" s="27"/>
      <c r="E421" s="27"/>
      <c r="F421" s="27"/>
      <c r="G421" s="134"/>
      <c r="H421" s="135"/>
      <c r="I421" s="27"/>
      <c r="J421" s="135"/>
      <c r="K421" s="27" t="s">
        <v>408</v>
      </c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138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139"/>
    </row>
    <row r="422" spans="2:61" ht="20.100000000000001" customHeight="1" x14ac:dyDescent="0.45">
      <c r="B422" s="124" t="s">
        <v>726</v>
      </c>
      <c r="C422" s="125"/>
      <c r="D422" s="125"/>
      <c r="E422" s="125"/>
      <c r="F422" s="125"/>
      <c r="G422" s="126"/>
      <c r="H422" s="127" t="s">
        <v>158</v>
      </c>
      <c r="I422" s="125"/>
      <c r="J422" s="128" t="s">
        <v>241</v>
      </c>
      <c r="K422" s="129"/>
      <c r="L422" s="129"/>
      <c r="M422" s="129"/>
      <c r="N422" s="129"/>
      <c r="O422" s="129"/>
      <c r="P422" s="129"/>
      <c r="Q422" s="130"/>
      <c r="R422" s="129">
        <v>1</v>
      </c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30"/>
      <c r="AK422" s="131"/>
      <c r="AL422" s="125"/>
      <c r="AM422" s="125"/>
      <c r="AN422" s="125"/>
      <c r="AO422" s="125"/>
      <c r="AP422" s="125"/>
      <c r="AQ422" s="158"/>
      <c r="AR422" s="158"/>
      <c r="AS422" s="125"/>
      <c r="AT422" s="125"/>
      <c r="AU422" s="125"/>
      <c r="AV422" s="125"/>
      <c r="AW422" s="125"/>
      <c r="AX422" s="125"/>
      <c r="AY422" s="125"/>
      <c r="AZ422" s="125"/>
      <c r="BA422" s="125"/>
      <c r="BB422" s="125"/>
      <c r="BC422" s="125"/>
      <c r="BD422" s="125"/>
      <c r="BE422" s="125"/>
      <c r="BF422" s="125"/>
      <c r="BG422" s="125"/>
      <c r="BH422" s="125"/>
      <c r="BI422" s="132"/>
    </row>
    <row r="423" spans="2:61" ht="20.100000000000001" customHeight="1" x14ac:dyDescent="0.45">
      <c r="B423" s="133"/>
      <c r="C423" s="27"/>
      <c r="D423" s="27"/>
      <c r="E423" s="27"/>
      <c r="F423" s="27"/>
      <c r="G423" s="134"/>
      <c r="H423" s="135"/>
      <c r="I423" s="27"/>
      <c r="J423" s="144" t="s">
        <v>163</v>
      </c>
      <c r="K423" s="145"/>
      <c r="L423" s="145"/>
      <c r="M423" s="145"/>
      <c r="N423" s="145"/>
      <c r="O423" s="145"/>
      <c r="P423" s="145"/>
      <c r="Q423" s="156"/>
      <c r="R423" s="145" t="s">
        <v>727</v>
      </c>
      <c r="S423" s="145"/>
      <c r="T423" s="145"/>
      <c r="U423" s="145"/>
      <c r="V423" s="145"/>
      <c r="W423" s="145"/>
      <c r="X423" s="145"/>
      <c r="Y423" s="145"/>
      <c r="Z423" s="145"/>
      <c r="AA423" s="145"/>
      <c r="AB423" s="145"/>
      <c r="AC423" s="145"/>
      <c r="AD423" s="145"/>
      <c r="AE423" s="145"/>
      <c r="AF423" s="145"/>
      <c r="AG423" s="145"/>
      <c r="AH423" s="145"/>
      <c r="AI423" s="145"/>
      <c r="AJ423" s="156"/>
      <c r="AK423" s="138"/>
      <c r="AL423" s="27"/>
      <c r="AM423" s="27"/>
      <c r="AN423" s="27"/>
      <c r="AO423" s="27"/>
      <c r="AP423" s="27"/>
      <c r="AQ423" s="148"/>
      <c r="AR423" s="148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139"/>
    </row>
    <row r="424" spans="2:61" ht="20.100000000000001" customHeight="1" x14ac:dyDescent="0.45">
      <c r="B424" s="133"/>
      <c r="C424" s="27"/>
      <c r="D424" s="27"/>
      <c r="E424" s="27"/>
      <c r="F424" s="27"/>
      <c r="G424" s="134"/>
      <c r="H424" s="135"/>
      <c r="I424" s="27"/>
      <c r="J424" s="144" t="s">
        <v>199</v>
      </c>
      <c r="K424" s="145"/>
      <c r="L424" s="145"/>
      <c r="M424" s="145"/>
      <c r="N424" s="145"/>
      <c r="O424" s="145"/>
      <c r="P424" s="145"/>
      <c r="Q424" s="156"/>
      <c r="R424" s="145" t="s">
        <v>728</v>
      </c>
      <c r="S424" s="145"/>
      <c r="T424" s="145"/>
      <c r="U424" s="145"/>
      <c r="V424" s="145"/>
      <c r="W424" s="145"/>
      <c r="X424" s="145"/>
      <c r="Y424" s="145"/>
      <c r="Z424" s="145"/>
      <c r="AA424" s="145"/>
      <c r="AB424" s="145"/>
      <c r="AC424" s="145"/>
      <c r="AD424" s="145"/>
      <c r="AE424" s="145"/>
      <c r="AF424" s="145"/>
      <c r="AG424" s="145"/>
      <c r="AH424" s="145"/>
      <c r="AI424" s="145"/>
      <c r="AJ424" s="156"/>
      <c r="AK424" s="138"/>
      <c r="AL424" s="27"/>
      <c r="AM424" s="27"/>
      <c r="AN424" s="27"/>
      <c r="AO424" s="27"/>
      <c r="AP424" s="27"/>
      <c r="AQ424" s="148"/>
      <c r="AR424" s="148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139"/>
    </row>
    <row r="425" spans="2:61" ht="20.100000000000001" customHeight="1" x14ac:dyDescent="0.45">
      <c r="B425" s="133"/>
      <c r="C425" s="27"/>
      <c r="D425" s="27"/>
      <c r="E425" s="27"/>
      <c r="F425" s="27"/>
      <c r="G425" s="134"/>
      <c r="H425" s="135"/>
      <c r="I425" s="27"/>
      <c r="J425" s="144" t="s">
        <v>200</v>
      </c>
      <c r="K425" s="145"/>
      <c r="L425" s="145"/>
      <c r="M425" s="145"/>
      <c r="N425" s="145"/>
      <c r="O425" s="145"/>
      <c r="P425" s="145"/>
      <c r="Q425" s="156"/>
      <c r="R425" s="145" t="s">
        <v>737</v>
      </c>
      <c r="S425" s="145"/>
      <c r="T425" s="145"/>
      <c r="U425" s="145"/>
      <c r="V425" s="145"/>
      <c r="W425" s="145"/>
      <c r="X425" s="145"/>
      <c r="Y425" s="145"/>
      <c r="Z425" s="145"/>
      <c r="AA425" s="145"/>
      <c r="AB425" s="145"/>
      <c r="AC425" s="145"/>
      <c r="AD425" s="145"/>
      <c r="AE425" s="145"/>
      <c r="AF425" s="145"/>
      <c r="AG425" s="145"/>
      <c r="AH425" s="145"/>
      <c r="AI425" s="145"/>
      <c r="AJ425" s="156"/>
      <c r="AK425" s="138"/>
      <c r="AL425" s="27"/>
      <c r="AM425" s="27"/>
      <c r="AN425" s="27"/>
      <c r="AO425" s="27"/>
      <c r="AP425" s="27"/>
      <c r="AQ425" s="148"/>
      <c r="AR425" s="148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139"/>
    </row>
    <row r="426" spans="2:61" ht="20.100000000000001" customHeight="1" x14ac:dyDescent="0.45">
      <c r="B426" s="133"/>
      <c r="C426" s="27"/>
      <c r="D426" s="27"/>
      <c r="E426" s="27"/>
      <c r="F426" s="27"/>
      <c r="G426" s="134"/>
      <c r="H426" s="135"/>
      <c r="I426" s="27"/>
      <c r="J426" s="144" t="s">
        <v>201</v>
      </c>
      <c r="K426" s="145"/>
      <c r="L426" s="145"/>
      <c r="M426" s="145"/>
      <c r="N426" s="145"/>
      <c r="O426" s="145"/>
      <c r="P426" s="145"/>
      <c r="Q426" s="156"/>
      <c r="R426" s="145" t="s">
        <v>729</v>
      </c>
      <c r="S426" s="145"/>
      <c r="T426" s="145"/>
      <c r="U426" s="145"/>
      <c r="V426" s="145"/>
      <c r="W426" s="145"/>
      <c r="X426" s="145"/>
      <c r="Y426" s="145"/>
      <c r="Z426" s="145"/>
      <c r="AA426" s="145"/>
      <c r="AB426" s="145"/>
      <c r="AC426" s="145"/>
      <c r="AD426" s="145"/>
      <c r="AE426" s="145"/>
      <c r="AF426" s="145"/>
      <c r="AG426" s="145"/>
      <c r="AH426" s="145"/>
      <c r="AI426" s="145"/>
      <c r="AJ426" s="156"/>
      <c r="AK426" s="138"/>
      <c r="AL426" s="27"/>
      <c r="AM426" s="27"/>
      <c r="AN426" s="27"/>
      <c r="AO426" s="27"/>
      <c r="AP426" s="27"/>
      <c r="AQ426" s="148"/>
      <c r="AR426" s="148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139"/>
    </row>
    <row r="427" spans="2:61" ht="20.100000000000001" customHeight="1" x14ac:dyDescent="0.45">
      <c r="B427" s="133"/>
      <c r="C427" s="27"/>
      <c r="D427" s="27"/>
      <c r="E427" s="27"/>
      <c r="F427" s="27"/>
      <c r="G427" s="134"/>
      <c r="H427" s="135"/>
      <c r="I427" s="27"/>
      <c r="J427" s="144" t="s">
        <v>202</v>
      </c>
      <c r="K427" s="145"/>
      <c r="L427" s="145"/>
      <c r="M427" s="145"/>
      <c r="N427" s="145"/>
      <c r="O427" s="145"/>
      <c r="P427" s="145"/>
      <c r="Q427" s="156"/>
      <c r="R427" s="145" t="s">
        <v>738</v>
      </c>
      <c r="S427" s="145"/>
      <c r="T427" s="145"/>
      <c r="U427" s="145"/>
      <c r="V427" s="145"/>
      <c r="W427" s="145"/>
      <c r="X427" s="145"/>
      <c r="Y427" s="145"/>
      <c r="Z427" s="145"/>
      <c r="AA427" s="145"/>
      <c r="AB427" s="145"/>
      <c r="AC427" s="145"/>
      <c r="AD427" s="145"/>
      <c r="AE427" s="145"/>
      <c r="AF427" s="145"/>
      <c r="AG427" s="145"/>
      <c r="AH427" s="145"/>
      <c r="AI427" s="145"/>
      <c r="AJ427" s="156"/>
      <c r="AK427" s="138"/>
      <c r="AL427" s="27"/>
      <c r="AM427" s="27"/>
      <c r="AN427" s="27"/>
      <c r="AO427" s="27"/>
      <c r="AP427" s="27"/>
      <c r="AQ427" s="148"/>
      <c r="AR427" s="148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139"/>
    </row>
    <row r="428" spans="2:61" ht="20.100000000000001" customHeight="1" x14ac:dyDescent="0.45">
      <c r="B428" s="133"/>
      <c r="C428" s="27"/>
      <c r="D428" s="27"/>
      <c r="E428" s="27"/>
      <c r="F428" s="27"/>
      <c r="G428" s="134"/>
      <c r="H428" s="135"/>
      <c r="I428" s="27"/>
      <c r="J428" s="144" t="s">
        <v>203</v>
      </c>
      <c r="K428" s="145"/>
      <c r="L428" s="145"/>
      <c r="M428" s="145"/>
      <c r="N428" s="145"/>
      <c r="O428" s="145"/>
      <c r="P428" s="145"/>
      <c r="Q428" s="156"/>
      <c r="R428" s="145" t="s">
        <v>739</v>
      </c>
      <c r="S428" s="145"/>
      <c r="T428" s="145"/>
      <c r="U428" s="145"/>
      <c r="V428" s="145"/>
      <c r="W428" s="145"/>
      <c r="X428" s="145"/>
      <c r="Y428" s="145"/>
      <c r="Z428" s="145"/>
      <c r="AA428" s="145"/>
      <c r="AB428" s="145"/>
      <c r="AC428" s="145"/>
      <c r="AD428" s="145"/>
      <c r="AE428" s="145"/>
      <c r="AF428" s="145"/>
      <c r="AG428" s="145"/>
      <c r="AH428" s="145"/>
      <c r="AI428" s="145"/>
      <c r="AJ428" s="156"/>
      <c r="AK428" s="138"/>
      <c r="AL428" s="27"/>
      <c r="AM428" s="27"/>
      <c r="AN428" s="27"/>
      <c r="AO428" s="27"/>
      <c r="AP428" s="27"/>
      <c r="AQ428" s="148"/>
      <c r="AR428" s="148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139"/>
    </row>
    <row r="429" spans="2:61" ht="20.100000000000001" customHeight="1" x14ac:dyDescent="0.45">
      <c r="B429" s="133"/>
      <c r="C429" s="27"/>
      <c r="D429" s="27"/>
      <c r="E429" s="27"/>
      <c r="F429" s="27"/>
      <c r="G429" s="134"/>
      <c r="H429" s="135"/>
      <c r="I429" s="27"/>
      <c r="J429" s="144" t="s">
        <v>204</v>
      </c>
      <c r="K429" s="145"/>
      <c r="L429" s="145"/>
      <c r="M429" s="145"/>
      <c r="N429" s="145"/>
      <c r="O429" s="145"/>
      <c r="P429" s="145"/>
      <c r="Q429" s="156"/>
      <c r="R429" s="145" t="s">
        <v>740</v>
      </c>
      <c r="S429" s="145"/>
      <c r="T429" s="145"/>
      <c r="U429" s="145"/>
      <c r="V429" s="145"/>
      <c r="W429" s="145"/>
      <c r="X429" s="145"/>
      <c r="Y429" s="145"/>
      <c r="Z429" s="145"/>
      <c r="AA429" s="145"/>
      <c r="AB429" s="145"/>
      <c r="AC429" s="145"/>
      <c r="AD429" s="145"/>
      <c r="AE429" s="145"/>
      <c r="AF429" s="145"/>
      <c r="AG429" s="145"/>
      <c r="AH429" s="145"/>
      <c r="AI429" s="145"/>
      <c r="AJ429" s="156"/>
      <c r="AK429" s="138"/>
      <c r="AL429" s="27"/>
      <c r="AM429" s="27"/>
      <c r="AN429" s="27"/>
      <c r="AO429" s="27"/>
      <c r="AP429" s="27"/>
      <c r="AQ429" s="148"/>
      <c r="AR429" s="148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139"/>
    </row>
    <row r="430" spans="2:61" ht="20.100000000000001" customHeight="1" x14ac:dyDescent="0.45">
      <c r="B430" s="133"/>
      <c r="C430" s="27"/>
      <c r="D430" s="27"/>
      <c r="E430" s="27"/>
      <c r="F430" s="27"/>
      <c r="G430" s="134"/>
      <c r="H430" s="135"/>
      <c r="I430" s="27"/>
      <c r="J430" s="144" t="s">
        <v>205</v>
      </c>
      <c r="K430" s="145"/>
      <c r="L430" s="145"/>
      <c r="M430" s="145"/>
      <c r="N430" s="145"/>
      <c r="O430" s="145"/>
      <c r="P430" s="145"/>
      <c r="Q430" s="156"/>
      <c r="R430" s="145" t="s">
        <v>741</v>
      </c>
      <c r="S430" s="145"/>
      <c r="T430" s="145"/>
      <c r="U430" s="145"/>
      <c r="V430" s="145"/>
      <c r="W430" s="145"/>
      <c r="X430" s="145"/>
      <c r="Y430" s="145"/>
      <c r="Z430" s="145"/>
      <c r="AA430" s="145"/>
      <c r="AB430" s="145"/>
      <c r="AC430" s="145"/>
      <c r="AD430" s="145"/>
      <c r="AE430" s="145"/>
      <c r="AF430" s="145"/>
      <c r="AG430" s="145"/>
      <c r="AH430" s="145"/>
      <c r="AI430" s="145"/>
      <c r="AJ430" s="156"/>
      <c r="AK430" s="138"/>
      <c r="AL430" s="27"/>
      <c r="AM430" s="27"/>
      <c r="AN430" s="27"/>
      <c r="AO430" s="27"/>
      <c r="AP430" s="27"/>
      <c r="AQ430" s="148"/>
      <c r="AR430" s="148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139"/>
    </row>
    <row r="431" spans="2:61" ht="20.100000000000001" customHeight="1" x14ac:dyDescent="0.45">
      <c r="B431" s="133"/>
      <c r="C431" s="27"/>
      <c r="D431" s="27"/>
      <c r="E431" s="27"/>
      <c r="F431" s="27"/>
      <c r="G431" s="134"/>
      <c r="H431" s="135"/>
      <c r="I431" s="27"/>
      <c r="J431" s="144" t="s">
        <v>206</v>
      </c>
      <c r="K431" s="145"/>
      <c r="L431" s="145"/>
      <c r="M431" s="145"/>
      <c r="N431" s="145"/>
      <c r="O431" s="145"/>
      <c r="P431" s="145"/>
      <c r="Q431" s="156"/>
      <c r="R431" s="145" t="s">
        <v>742</v>
      </c>
      <c r="S431" s="145"/>
      <c r="T431" s="145"/>
      <c r="U431" s="145"/>
      <c r="V431" s="145"/>
      <c r="W431" s="145"/>
      <c r="X431" s="145"/>
      <c r="Y431" s="145"/>
      <c r="Z431" s="145"/>
      <c r="AA431" s="145"/>
      <c r="AB431" s="145"/>
      <c r="AC431" s="145"/>
      <c r="AD431" s="145"/>
      <c r="AE431" s="145"/>
      <c r="AF431" s="145"/>
      <c r="AG431" s="145"/>
      <c r="AH431" s="145"/>
      <c r="AI431" s="145"/>
      <c r="AJ431" s="156"/>
      <c r="AK431" s="138"/>
      <c r="AL431" s="27"/>
      <c r="AM431" s="27"/>
      <c r="AN431" s="27"/>
      <c r="AO431" s="27"/>
      <c r="AP431" s="27"/>
      <c r="AQ431" s="148"/>
      <c r="AR431" s="148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139"/>
    </row>
    <row r="432" spans="2:61" ht="20.100000000000001" customHeight="1" x14ac:dyDescent="0.45">
      <c r="B432" s="133"/>
      <c r="C432" s="27"/>
      <c r="D432" s="27"/>
      <c r="E432" s="27"/>
      <c r="F432" s="27"/>
      <c r="G432" s="134"/>
      <c r="H432" s="135"/>
      <c r="I432" s="27"/>
      <c r="J432" s="144" t="s">
        <v>207</v>
      </c>
      <c r="K432" s="145"/>
      <c r="L432" s="145"/>
      <c r="M432" s="145"/>
      <c r="N432" s="145"/>
      <c r="O432" s="145"/>
      <c r="P432" s="145"/>
      <c r="Q432" s="156"/>
      <c r="R432" s="145" t="s">
        <v>743</v>
      </c>
      <c r="S432" s="145"/>
      <c r="T432" s="145"/>
      <c r="U432" s="145"/>
      <c r="V432" s="145"/>
      <c r="W432" s="145"/>
      <c r="X432" s="145"/>
      <c r="Y432" s="145"/>
      <c r="Z432" s="145"/>
      <c r="AA432" s="145"/>
      <c r="AB432" s="145"/>
      <c r="AC432" s="145"/>
      <c r="AD432" s="145"/>
      <c r="AE432" s="145"/>
      <c r="AF432" s="145"/>
      <c r="AG432" s="145"/>
      <c r="AH432" s="145"/>
      <c r="AI432" s="145"/>
      <c r="AJ432" s="156"/>
      <c r="AK432" s="138"/>
      <c r="AL432" s="27"/>
      <c r="AM432" s="27"/>
      <c r="AN432" s="27"/>
      <c r="AO432" s="27"/>
      <c r="AP432" s="27"/>
      <c r="AQ432" s="148"/>
      <c r="AR432" s="148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139"/>
    </row>
    <row r="433" spans="2:61" ht="20.100000000000001" customHeight="1" x14ac:dyDescent="0.45">
      <c r="B433" s="133"/>
      <c r="C433" s="27"/>
      <c r="D433" s="27"/>
      <c r="E433" s="27"/>
      <c r="F433" s="27"/>
      <c r="G433" s="134"/>
      <c r="H433" s="135"/>
      <c r="I433" s="27"/>
      <c r="J433" s="144" t="s">
        <v>208</v>
      </c>
      <c r="K433" s="145"/>
      <c r="L433" s="145"/>
      <c r="M433" s="145"/>
      <c r="N433" s="145"/>
      <c r="O433" s="145"/>
      <c r="P433" s="145"/>
      <c r="Q433" s="156"/>
      <c r="R433" s="145" t="s">
        <v>744</v>
      </c>
      <c r="S433" s="145"/>
      <c r="T433" s="145"/>
      <c r="U433" s="145"/>
      <c r="V433" s="145"/>
      <c r="W433" s="145"/>
      <c r="X433" s="145"/>
      <c r="Y433" s="145"/>
      <c r="Z433" s="145"/>
      <c r="AA433" s="145"/>
      <c r="AB433" s="145"/>
      <c r="AC433" s="145"/>
      <c r="AD433" s="145"/>
      <c r="AE433" s="145"/>
      <c r="AF433" s="145"/>
      <c r="AG433" s="145"/>
      <c r="AH433" s="145"/>
      <c r="AI433" s="145"/>
      <c r="AJ433" s="156"/>
      <c r="AK433" s="138"/>
      <c r="AL433" s="27"/>
      <c r="AM433" s="27"/>
      <c r="AN433" s="27"/>
      <c r="AO433" s="27"/>
      <c r="AP433" s="27"/>
      <c r="AQ433" s="148"/>
      <c r="AR433" s="148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139"/>
    </row>
    <row r="434" spans="2:61" ht="20.100000000000001" customHeight="1" x14ac:dyDescent="0.45">
      <c r="B434" s="133"/>
      <c r="C434" s="27"/>
      <c r="D434" s="27"/>
      <c r="E434" s="27"/>
      <c r="F434" s="27"/>
      <c r="G434" s="134"/>
      <c r="H434" s="135"/>
      <c r="I434" s="27"/>
      <c r="J434" s="144" t="s">
        <v>209</v>
      </c>
      <c r="K434" s="145"/>
      <c r="L434" s="145"/>
      <c r="M434" s="145"/>
      <c r="N434" s="145"/>
      <c r="O434" s="145"/>
      <c r="P434" s="145"/>
      <c r="Q434" s="156"/>
      <c r="R434" s="145" t="s">
        <v>745</v>
      </c>
      <c r="S434" s="145"/>
      <c r="T434" s="145"/>
      <c r="U434" s="145"/>
      <c r="V434" s="145"/>
      <c r="W434" s="145"/>
      <c r="X434" s="145"/>
      <c r="Y434" s="145"/>
      <c r="Z434" s="145"/>
      <c r="AA434" s="145"/>
      <c r="AB434" s="145"/>
      <c r="AC434" s="145"/>
      <c r="AD434" s="145"/>
      <c r="AE434" s="145"/>
      <c r="AF434" s="145"/>
      <c r="AG434" s="145"/>
      <c r="AH434" s="145"/>
      <c r="AI434" s="145"/>
      <c r="AJ434" s="156"/>
      <c r="AK434" s="138"/>
      <c r="AL434" s="27"/>
      <c r="AM434" s="27"/>
      <c r="AN434" s="27"/>
      <c r="AO434" s="27"/>
      <c r="AP434" s="27"/>
      <c r="AQ434" s="148"/>
      <c r="AR434" s="148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139"/>
    </row>
    <row r="435" spans="2:61" ht="20.100000000000001" customHeight="1" x14ac:dyDescent="0.45">
      <c r="B435" s="133"/>
      <c r="C435" s="27"/>
      <c r="D435" s="27"/>
      <c r="E435" s="27"/>
      <c r="F435" s="27"/>
      <c r="G435" s="134"/>
      <c r="H435" s="135"/>
      <c r="I435" s="27"/>
      <c r="J435" s="144" t="s">
        <v>210</v>
      </c>
      <c r="K435" s="145"/>
      <c r="L435" s="145"/>
      <c r="M435" s="145"/>
      <c r="N435" s="145"/>
      <c r="O435" s="145"/>
      <c r="P435" s="145"/>
      <c r="Q435" s="156"/>
      <c r="R435" s="145" t="s">
        <v>746</v>
      </c>
      <c r="S435" s="145"/>
      <c r="T435" s="145"/>
      <c r="U435" s="145"/>
      <c r="V435" s="145"/>
      <c r="W435" s="145"/>
      <c r="X435" s="145"/>
      <c r="Y435" s="145"/>
      <c r="Z435" s="145"/>
      <c r="AA435" s="145"/>
      <c r="AB435" s="145"/>
      <c r="AC435" s="145"/>
      <c r="AD435" s="145"/>
      <c r="AE435" s="145"/>
      <c r="AF435" s="145"/>
      <c r="AG435" s="145"/>
      <c r="AH435" s="145"/>
      <c r="AI435" s="145"/>
      <c r="AJ435" s="156"/>
      <c r="AK435" s="138"/>
      <c r="AL435" s="27"/>
      <c r="AM435" s="27"/>
      <c r="AN435" s="27"/>
      <c r="AO435" s="27"/>
      <c r="AP435" s="27"/>
      <c r="AQ435" s="148"/>
      <c r="AR435" s="148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139"/>
    </row>
    <row r="436" spans="2:61" ht="20.100000000000001" customHeight="1" x14ac:dyDescent="0.45">
      <c r="B436" s="133"/>
      <c r="C436" s="27"/>
      <c r="D436" s="27"/>
      <c r="E436" s="27"/>
      <c r="F436" s="27"/>
      <c r="G436" s="134"/>
      <c r="H436" s="135"/>
      <c r="I436" s="27"/>
      <c r="J436" s="144" t="s">
        <v>211</v>
      </c>
      <c r="K436" s="145"/>
      <c r="L436" s="145"/>
      <c r="M436" s="145"/>
      <c r="N436" s="145"/>
      <c r="O436" s="145"/>
      <c r="P436" s="145"/>
      <c r="Q436" s="156"/>
      <c r="R436" s="145" t="s">
        <v>747</v>
      </c>
      <c r="S436" s="145"/>
      <c r="T436" s="145"/>
      <c r="U436" s="145"/>
      <c r="V436" s="145"/>
      <c r="W436" s="145"/>
      <c r="X436" s="145"/>
      <c r="Y436" s="145"/>
      <c r="Z436" s="145"/>
      <c r="AA436" s="145"/>
      <c r="AB436" s="145"/>
      <c r="AC436" s="145"/>
      <c r="AD436" s="145"/>
      <c r="AE436" s="145"/>
      <c r="AF436" s="145"/>
      <c r="AG436" s="145"/>
      <c r="AH436" s="145"/>
      <c r="AI436" s="145"/>
      <c r="AJ436" s="156"/>
      <c r="AK436" s="138"/>
      <c r="AL436" s="27"/>
      <c r="AM436" s="27"/>
      <c r="AN436" s="27"/>
      <c r="AO436" s="27"/>
      <c r="AP436" s="27"/>
      <c r="AQ436" s="148"/>
      <c r="AR436" s="148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139"/>
    </row>
    <row r="437" spans="2:61" ht="20.100000000000001" customHeight="1" x14ac:dyDescent="0.45">
      <c r="B437" s="133"/>
      <c r="C437" s="27"/>
      <c r="D437" s="27"/>
      <c r="E437" s="27"/>
      <c r="F437" s="27"/>
      <c r="G437" s="134"/>
      <c r="H437" s="135"/>
      <c r="I437" s="27"/>
      <c r="J437" s="144" t="s">
        <v>212</v>
      </c>
      <c r="K437" s="145"/>
      <c r="L437" s="145"/>
      <c r="M437" s="145"/>
      <c r="N437" s="145"/>
      <c r="O437" s="145"/>
      <c r="P437" s="145"/>
      <c r="Q437" s="156"/>
      <c r="R437" s="145" t="s">
        <v>747</v>
      </c>
      <c r="S437" s="145"/>
      <c r="T437" s="145"/>
      <c r="U437" s="145"/>
      <c r="V437" s="145"/>
      <c r="W437" s="145"/>
      <c r="X437" s="145"/>
      <c r="Y437" s="145"/>
      <c r="Z437" s="145"/>
      <c r="AA437" s="145"/>
      <c r="AB437" s="145"/>
      <c r="AC437" s="145"/>
      <c r="AD437" s="145"/>
      <c r="AE437" s="145"/>
      <c r="AF437" s="145"/>
      <c r="AG437" s="145"/>
      <c r="AH437" s="145"/>
      <c r="AI437" s="145"/>
      <c r="AJ437" s="156"/>
      <c r="AK437" s="138"/>
      <c r="AL437" s="27"/>
      <c r="AM437" s="27"/>
      <c r="AN437" s="27"/>
      <c r="AO437" s="27"/>
      <c r="AP437" s="27"/>
      <c r="AQ437" s="148"/>
      <c r="AR437" s="148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139"/>
    </row>
    <row r="438" spans="2:61" ht="20.100000000000001" customHeight="1" x14ac:dyDescent="0.45">
      <c r="B438" s="133"/>
      <c r="C438" s="27"/>
      <c r="D438" s="27"/>
      <c r="E438" s="27"/>
      <c r="F438" s="27"/>
      <c r="G438" s="134"/>
      <c r="H438" s="135"/>
      <c r="I438" s="27"/>
      <c r="J438" s="144" t="s">
        <v>213</v>
      </c>
      <c r="K438" s="145"/>
      <c r="L438" s="145"/>
      <c r="M438" s="145"/>
      <c r="N438" s="145"/>
      <c r="O438" s="145"/>
      <c r="P438" s="145"/>
      <c r="Q438" s="156"/>
      <c r="R438" s="145" t="s">
        <v>748</v>
      </c>
      <c r="S438" s="145"/>
      <c r="T438" s="145"/>
      <c r="U438" s="145"/>
      <c r="V438" s="145"/>
      <c r="W438" s="145"/>
      <c r="X438" s="145"/>
      <c r="Y438" s="145"/>
      <c r="Z438" s="145"/>
      <c r="AA438" s="145"/>
      <c r="AB438" s="145"/>
      <c r="AC438" s="145"/>
      <c r="AD438" s="145"/>
      <c r="AE438" s="145"/>
      <c r="AF438" s="145"/>
      <c r="AG438" s="145"/>
      <c r="AH438" s="145"/>
      <c r="AI438" s="145"/>
      <c r="AJ438" s="156"/>
      <c r="AK438" s="138"/>
      <c r="AL438" s="27"/>
      <c r="AM438" s="27"/>
      <c r="AN438" s="27"/>
      <c r="AO438" s="27"/>
      <c r="AP438" s="27"/>
      <c r="AQ438" s="148"/>
      <c r="AR438" s="148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139"/>
    </row>
    <row r="439" spans="2:61" ht="20.100000000000001" customHeight="1" x14ac:dyDescent="0.45">
      <c r="B439" s="133"/>
      <c r="C439" s="27"/>
      <c r="D439" s="27"/>
      <c r="E439" s="27"/>
      <c r="F439" s="27"/>
      <c r="G439" s="134"/>
      <c r="H439" s="135"/>
      <c r="I439" s="27"/>
      <c r="J439" s="144" t="s">
        <v>409</v>
      </c>
      <c r="K439" s="145"/>
      <c r="L439" s="145"/>
      <c r="M439" s="145"/>
      <c r="N439" s="145"/>
      <c r="O439" s="145"/>
      <c r="P439" s="145"/>
      <c r="Q439" s="156"/>
      <c r="R439" s="145" t="s">
        <v>730</v>
      </c>
      <c r="S439" s="145"/>
      <c r="T439" s="145"/>
      <c r="U439" s="145"/>
      <c r="V439" s="145"/>
      <c r="W439" s="145"/>
      <c r="X439" s="145"/>
      <c r="Y439" s="145"/>
      <c r="Z439" s="145"/>
      <c r="AA439" s="145"/>
      <c r="AB439" s="145"/>
      <c r="AC439" s="145"/>
      <c r="AD439" s="145"/>
      <c r="AE439" s="145"/>
      <c r="AF439" s="145"/>
      <c r="AG439" s="145"/>
      <c r="AH439" s="145"/>
      <c r="AI439" s="145"/>
      <c r="AJ439" s="156"/>
      <c r="AK439" s="138"/>
      <c r="AL439" s="27"/>
      <c r="AM439" s="27"/>
      <c r="AN439" s="27"/>
      <c r="AO439" s="27"/>
      <c r="AP439" s="27"/>
      <c r="AQ439" s="148"/>
      <c r="AR439" s="148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139"/>
    </row>
    <row r="440" spans="2:61" ht="20.100000000000001" customHeight="1" x14ac:dyDescent="0.45">
      <c r="B440" s="133"/>
      <c r="C440" s="27"/>
      <c r="D440" s="27"/>
      <c r="E440" s="27"/>
      <c r="F440" s="27"/>
      <c r="G440" s="134"/>
      <c r="H440" s="135"/>
      <c r="I440" s="27"/>
      <c r="J440" s="144" t="s">
        <v>214</v>
      </c>
      <c r="K440" s="145"/>
      <c r="L440" s="145"/>
      <c r="M440" s="145"/>
      <c r="N440" s="145"/>
      <c r="O440" s="145"/>
      <c r="P440" s="145"/>
      <c r="Q440" s="156"/>
      <c r="R440" s="145" t="s">
        <v>749</v>
      </c>
      <c r="S440" s="145"/>
      <c r="T440" s="145"/>
      <c r="U440" s="145"/>
      <c r="V440" s="145"/>
      <c r="W440" s="145"/>
      <c r="X440" s="145"/>
      <c r="Y440" s="145"/>
      <c r="Z440" s="145"/>
      <c r="AA440" s="145"/>
      <c r="AB440" s="145"/>
      <c r="AC440" s="145"/>
      <c r="AD440" s="145"/>
      <c r="AE440" s="145"/>
      <c r="AF440" s="145"/>
      <c r="AG440" s="145"/>
      <c r="AH440" s="145"/>
      <c r="AI440" s="145"/>
      <c r="AJ440" s="156"/>
      <c r="AK440" s="138"/>
      <c r="AL440" s="27"/>
      <c r="AM440" s="27"/>
      <c r="AN440" s="27"/>
      <c r="AO440" s="27"/>
      <c r="AP440" s="27"/>
      <c r="AQ440" s="148"/>
      <c r="AR440" s="148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139"/>
    </row>
    <row r="441" spans="2:61" ht="20.100000000000001" customHeight="1" x14ac:dyDescent="0.45">
      <c r="B441" s="133"/>
      <c r="C441" s="27"/>
      <c r="D441" s="27"/>
      <c r="E441" s="27"/>
      <c r="F441" s="27"/>
      <c r="G441" s="134"/>
      <c r="H441" s="135"/>
      <c r="I441" s="27"/>
      <c r="J441" s="144" t="s">
        <v>215</v>
      </c>
      <c r="K441" s="145"/>
      <c r="L441" s="145"/>
      <c r="M441" s="145"/>
      <c r="N441" s="145"/>
      <c r="O441" s="145"/>
      <c r="P441" s="145"/>
      <c r="Q441" s="156"/>
      <c r="R441" s="145" t="s">
        <v>731</v>
      </c>
      <c r="S441" s="145"/>
      <c r="T441" s="145"/>
      <c r="U441" s="145"/>
      <c r="V441" s="145"/>
      <c r="W441" s="145"/>
      <c r="X441" s="145"/>
      <c r="Y441" s="145"/>
      <c r="Z441" s="145"/>
      <c r="AA441" s="145"/>
      <c r="AB441" s="145"/>
      <c r="AC441" s="145"/>
      <c r="AD441" s="145"/>
      <c r="AE441" s="145"/>
      <c r="AF441" s="145"/>
      <c r="AG441" s="145"/>
      <c r="AH441" s="145"/>
      <c r="AI441" s="145"/>
      <c r="AJ441" s="156"/>
      <c r="AK441" s="138"/>
      <c r="AL441" s="27"/>
      <c r="AM441" s="27"/>
      <c r="AN441" s="27"/>
      <c r="AO441" s="27"/>
      <c r="AP441" s="27"/>
      <c r="AQ441" s="148"/>
      <c r="AR441" s="148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139"/>
    </row>
    <row r="442" spans="2:61" ht="20.100000000000001" customHeight="1" x14ac:dyDescent="0.45">
      <c r="B442" s="133"/>
      <c r="C442" s="27"/>
      <c r="D442" s="27"/>
      <c r="E442" s="27"/>
      <c r="F442" s="27"/>
      <c r="G442" s="134"/>
      <c r="H442" s="135"/>
      <c r="I442" s="27"/>
      <c r="J442" s="144" t="s">
        <v>216</v>
      </c>
      <c r="K442" s="145"/>
      <c r="L442" s="145"/>
      <c r="M442" s="145"/>
      <c r="N442" s="145"/>
      <c r="O442" s="145"/>
      <c r="P442" s="145"/>
      <c r="Q442" s="156"/>
      <c r="R442" s="145" t="s">
        <v>732</v>
      </c>
      <c r="S442" s="145"/>
      <c r="T442" s="145"/>
      <c r="U442" s="145"/>
      <c r="V442" s="145"/>
      <c r="W442" s="145"/>
      <c r="X442" s="145"/>
      <c r="Y442" s="145"/>
      <c r="Z442" s="145"/>
      <c r="AA442" s="145"/>
      <c r="AB442" s="145"/>
      <c r="AC442" s="145"/>
      <c r="AD442" s="145"/>
      <c r="AE442" s="145"/>
      <c r="AF442" s="145"/>
      <c r="AG442" s="145"/>
      <c r="AH442" s="145"/>
      <c r="AI442" s="145"/>
      <c r="AJ442" s="156"/>
      <c r="AK442" s="138"/>
      <c r="AL442" s="27"/>
      <c r="AM442" s="27"/>
      <c r="AN442" s="27"/>
      <c r="AO442" s="27"/>
      <c r="AP442" s="27"/>
      <c r="AQ442" s="148"/>
      <c r="AR442" s="148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139"/>
    </row>
    <row r="443" spans="2:61" ht="20.100000000000001" customHeight="1" x14ac:dyDescent="0.45">
      <c r="B443" s="133"/>
      <c r="C443" s="27"/>
      <c r="D443" s="27"/>
      <c r="E443" s="27"/>
      <c r="F443" s="27"/>
      <c r="G443" s="134"/>
      <c r="H443" s="135"/>
      <c r="I443" s="27"/>
      <c r="J443" s="144" t="s">
        <v>217</v>
      </c>
      <c r="K443" s="145"/>
      <c r="L443" s="145"/>
      <c r="M443" s="145"/>
      <c r="N443" s="145"/>
      <c r="O443" s="145"/>
      <c r="P443" s="145"/>
      <c r="Q443" s="156"/>
      <c r="R443" s="136" t="s">
        <v>750</v>
      </c>
      <c r="S443" s="145"/>
      <c r="T443" s="145"/>
      <c r="U443" s="145"/>
      <c r="V443" s="145"/>
      <c r="W443" s="145"/>
      <c r="X443" s="145"/>
      <c r="Y443" s="145"/>
      <c r="Z443" s="145"/>
      <c r="AA443" s="145"/>
      <c r="AB443" s="145"/>
      <c r="AC443" s="145"/>
      <c r="AD443" s="145"/>
      <c r="AE443" s="145"/>
      <c r="AF443" s="145"/>
      <c r="AG443" s="145"/>
      <c r="AH443" s="145"/>
      <c r="AI443" s="145"/>
      <c r="AJ443" s="156"/>
      <c r="AK443" s="138"/>
      <c r="AL443" s="27"/>
      <c r="AM443" s="27"/>
      <c r="AN443" s="27"/>
      <c r="AO443" s="27"/>
      <c r="AP443" s="27"/>
      <c r="AQ443" s="148"/>
      <c r="AR443" s="148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139"/>
    </row>
    <row r="444" spans="2:61" ht="20.100000000000001" customHeight="1" x14ac:dyDescent="0.45">
      <c r="B444" s="133"/>
      <c r="C444" s="27"/>
      <c r="D444" s="27"/>
      <c r="E444" s="27"/>
      <c r="F444" s="27"/>
      <c r="G444" s="134"/>
      <c r="H444" s="135"/>
      <c r="I444" s="27"/>
      <c r="J444" s="144" t="s">
        <v>218</v>
      </c>
      <c r="K444" s="145"/>
      <c r="L444" s="145"/>
      <c r="M444" s="145"/>
      <c r="N444" s="145"/>
      <c r="O444" s="145"/>
      <c r="P444" s="145"/>
      <c r="Q444" s="156"/>
      <c r="R444" s="145" t="s">
        <v>751</v>
      </c>
      <c r="S444" s="145"/>
      <c r="T444" s="145"/>
      <c r="U444" s="145"/>
      <c r="V444" s="145"/>
      <c r="W444" s="145"/>
      <c r="X444" s="145"/>
      <c r="Y444" s="145"/>
      <c r="Z444" s="145"/>
      <c r="AA444" s="145"/>
      <c r="AB444" s="145"/>
      <c r="AC444" s="145"/>
      <c r="AD444" s="145"/>
      <c r="AE444" s="145"/>
      <c r="AF444" s="145"/>
      <c r="AG444" s="145"/>
      <c r="AH444" s="145"/>
      <c r="AI444" s="145"/>
      <c r="AJ444" s="156"/>
      <c r="AK444" s="138"/>
      <c r="AL444" s="27"/>
      <c r="AM444" s="27"/>
      <c r="AN444" s="27"/>
      <c r="AO444" s="27"/>
      <c r="AP444" s="27"/>
      <c r="AQ444" s="148"/>
      <c r="AR444" s="148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139"/>
    </row>
    <row r="445" spans="2:61" ht="20.100000000000001" customHeight="1" x14ac:dyDescent="0.45">
      <c r="B445" s="133"/>
      <c r="C445" s="27"/>
      <c r="D445" s="27"/>
      <c r="E445" s="27"/>
      <c r="F445" s="27"/>
      <c r="G445" s="134"/>
      <c r="H445" s="135"/>
      <c r="I445" s="27"/>
      <c r="J445" s="144" t="s">
        <v>219</v>
      </c>
      <c r="K445" s="145"/>
      <c r="L445" s="145"/>
      <c r="M445" s="145"/>
      <c r="N445" s="145"/>
      <c r="O445" s="145"/>
      <c r="P445" s="145"/>
      <c r="Q445" s="156"/>
      <c r="R445" s="145" t="s">
        <v>733</v>
      </c>
      <c r="S445" s="145"/>
      <c r="T445" s="145"/>
      <c r="U445" s="145"/>
      <c r="V445" s="145"/>
      <c r="W445" s="145"/>
      <c r="X445" s="145"/>
      <c r="Y445" s="145"/>
      <c r="Z445" s="145"/>
      <c r="AA445" s="145"/>
      <c r="AB445" s="145"/>
      <c r="AC445" s="145"/>
      <c r="AD445" s="145"/>
      <c r="AE445" s="145"/>
      <c r="AF445" s="145"/>
      <c r="AG445" s="145"/>
      <c r="AH445" s="145"/>
      <c r="AI445" s="145"/>
      <c r="AJ445" s="156"/>
      <c r="AK445" s="138"/>
      <c r="AL445" s="27"/>
      <c r="AM445" s="27"/>
      <c r="AN445" s="27"/>
      <c r="AO445" s="27"/>
      <c r="AP445" s="27"/>
      <c r="AQ445" s="148"/>
      <c r="AR445" s="148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139"/>
    </row>
    <row r="446" spans="2:61" ht="20.100000000000001" customHeight="1" x14ac:dyDescent="0.45">
      <c r="B446" s="133"/>
      <c r="C446" s="27"/>
      <c r="D446" s="27"/>
      <c r="E446" s="27"/>
      <c r="F446" s="27"/>
      <c r="G446" s="134"/>
      <c r="H446" s="135"/>
      <c r="I446" s="27"/>
      <c r="J446" s="144" t="s">
        <v>220</v>
      </c>
      <c r="K446" s="145"/>
      <c r="L446" s="145"/>
      <c r="M446" s="145"/>
      <c r="N446" s="145"/>
      <c r="O446" s="145"/>
      <c r="P446" s="145"/>
      <c r="Q446" s="156"/>
      <c r="R446" s="145" t="s">
        <v>734</v>
      </c>
      <c r="S446" s="145"/>
      <c r="T446" s="145"/>
      <c r="U446" s="145"/>
      <c r="V446" s="145"/>
      <c r="W446" s="145"/>
      <c r="X446" s="145"/>
      <c r="Y446" s="145"/>
      <c r="Z446" s="145"/>
      <c r="AA446" s="145"/>
      <c r="AB446" s="145"/>
      <c r="AC446" s="145"/>
      <c r="AD446" s="145"/>
      <c r="AE446" s="145"/>
      <c r="AF446" s="145"/>
      <c r="AG446" s="145"/>
      <c r="AH446" s="145"/>
      <c r="AI446" s="145"/>
      <c r="AJ446" s="156"/>
      <c r="AK446" s="138"/>
      <c r="AL446" s="27"/>
      <c r="AM446" s="27"/>
      <c r="AN446" s="27"/>
      <c r="AO446" s="27"/>
      <c r="AP446" s="27"/>
      <c r="AQ446" s="148"/>
      <c r="AR446" s="148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139"/>
    </row>
    <row r="447" spans="2:61" ht="20.100000000000001" customHeight="1" x14ac:dyDescent="0.45">
      <c r="B447" s="133"/>
      <c r="C447" s="27"/>
      <c r="D447" s="27"/>
      <c r="E447" s="27"/>
      <c r="F447" s="27"/>
      <c r="G447" s="134"/>
      <c r="H447" s="135"/>
      <c r="I447" s="27"/>
      <c r="J447" s="144" t="s">
        <v>221</v>
      </c>
      <c r="K447" s="145"/>
      <c r="L447" s="145"/>
      <c r="M447" s="145"/>
      <c r="N447" s="145"/>
      <c r="O447" s="145"/>
      <c r="P447" s="145"/>
      <c r="Q447" s="156"/>
      <c r="R447" s="145" t="s">
        <v>752</v>
      </c>
      <c r="S447" s="145"/>
      <c r="T447" s="145"/>
      <c r="U447" s="145"/>
      <c r="V447" s="145"/>
      <c r="W447" s="145"/>
      <c r="X447" s="145"/>
      <c r="Y447" s="145"/>
      <c r="Z447" s="145"/>
      <c r="AA447" s="145"/>
      <c r="AB447" s="145"/>
      <c r="AC447" s="145"/>
      <c r="AD447" s="145"/>
      <c r="AE447" s="145"/>
      <c r="AF447" s="145"/>
      <c r="AG447" s="145"/>
      <c r="AH447" s="145"/>
      <c r="AI447" s="145"/>
      <c r="AJ447" s="156"/>
      <c r="AK447" s="138"/>
      <c r="AL447" s="27"/>
      <c r="AM447" s="27"/>
      <c r="AN447" s="27"/>
      <c r="AO447" s="27"/>
      <c r="AP447" s="27"/>
      <c r="AQ447" s="148"/>
      <c r="AR447" s="148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139"/>
    </row>
    <row r="448" spans="2:61" ht="20.100000000000001" customHeight="1" x14ac:dyDescent="0.45">
      <c r="B448" s="133"/>
      <c r="C448" s="27"/>
      <c r="D448" s="27"/>
      <c r="E448" s="27"/>
      <c r="F448" s="27"/>
      <c r="G448" s="134"/>
      <c r="H448" s="135"/>
      <c r="I448" s="27"/>
      <c r="J448" s="144" t="s">
        <v>222</v>
      </c>
      <c r="K448" s="145"/>
      <c r="L448" s="145"/>
      <c r="M448" s="145"/>
      <c r="N448" s="145"/>
      <c r="O448" s="145"/>
      <c r="P448" s="145"/>
      <c r="Q448" s="156"/>
      <c r="R448" s="145" t="s">
        <v>753</v>
      </c>
      <c r="S448" s="145"/>
      <c r="T448" s="145"/>
      <c r="U448" s="145"/>
      <c r="V448" s="145"/>
      <c r="W448" s="145"/>
      <c r="X448" s="145"/>
      <c r="Y448" s="145"/>
      <c r="Z448" s="145"/>
      <c r="AA448" s="145"/>
      <c r="AB448" s="145"/>
      <c r="AC448" s="145"/>
      <c r="AD448" s="145"/>
      <c r="AE448" s="145"/>
      <c r="AF448" s="145"/>
      <c r="AG448" s="145"/>
      <c r="AH448" s="145"/>
      <c r="AI448" s="145"/>
      <c r="AJ448" s="156"/>
      <c r="AK448" s="138"/>
      <c r="AL448" s="27"/>
      <c r="AM448" s="27"/>
      <c r="AN448" s="27"/>
      <c r="AO448" s="27"/>
      <c r="AP448" s="27"/>
      <c r="AQ448" s="148"/>
      <c r="AR448" s="148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139"/>
    </row>
    <row r="449" spans="2:61" ht="20.100000000000001" customHeight="1" x14ac:dyDescent="0.45">
      <c r="B449" s="133"/>
      <c r="C449" s="27"/>
      <c r="D449" s="27"/>
      <c r="E449" s="27"/>
      <c r="F449" s="27"/>
      <c r="G449" s="134"/>
      <c r="H449" s="135"/>
      <c r="I449" s="27"/>
      <c r="J449" s="144" t="s">
        <v>223</v>
      </c>
      <c r="K449" s="145"/>
      <c r="L449" s="145"/>
      <c r="M449" s="145"/>
      <c r="N449" s="145"/>
      <c r="O449" s="145"/>
      <c r="P449" s="145"/>
      <c r="Q449" s="156"/>
      <c r="R449" s="145" t="s">
        <v>754</v>
      </c>
      <c r="S449" s="145"/>
      <c r="T449" s="145"/>
      <c r="U449" s="145"/>
      <c r="V449" s="145"/>
      <c r="W449" s="145"/>
      <c r="X449" s="145"/>
      <c r="Y449" s="145"/>
      <c r="Z449" s="145"/>
      <c r="AA449" s="145"/>
      <c r="AB449" s="145"/>
      <c r="AC449" s="145"/>
      <c r="AD449" s="145"/>
      <c r="AE449" s="145"/>
      <c r="AF449" s="145"/>
      <c r="AG449" s="145"/>
      <c r="AH449" s="145"/>
      <c r="AI449" s="145"/>
      <c r="AJ449" s="156"/>
      <c r="AK449" s="138"/>
      <c r="AL449" s="27"/>
      <c r="AM449" s="27"/>
      <c r="AN449" s="27"/>
      <c r="AO449" s="27"/>
      <c r="AP449" s="27"/>
      <c r="AQ449" s="148"/>
      <c r="AR449" s="148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139"/>
    </row>
    <row r="450" spans="2:61" ht="20.100000000000001" customHeight="1" x14ac:dyDescent="0.45">
      <c r="B450" s="133"/>
      <c r="C450" s="27"/>
      <c r="D450" s="27"/>
      <c r="E450" s="27"/>
      <c r="F450" s="27"/>
      <c r="G450" s="134"/>
      <c r="H450" s="135"/>
      <c r="I450" s="27"/>
      <c r="J450" s="144" t="s">
        <v>224</v>
      </c>
      <c r="K450" s="145"/>
      <c r="L450" s="145"/>
      <c r="M450" s="145"/>
      <c r="N450" s="145"/>
      <c r="O450" s="145"/>
      <c r="P450" s="145"/>
      <c r="Q450" s="156"/>
      <c r="R450" s="145" t="s">
        <v>755</v>
      </c>
      <c r="S450" s="145"/>
      <c r="T450" s="145"/>
      <c r="U450" s="145"/>
      <c r="V450" s="145"/>
      <c r="W450" s="145"/>
      <c r="X450" s="145"/>
      <c r="Y450" s="145"/>
      <c r="Z450" s="145"/>
      <c r="AA450" s="145"/>
      <c r="AB450" s="145"/>
      <c r="AC450" s="145"/>
      <c r="AD450" s="145"/>
      <c r="AE450" s="145"/>
      <c r="AF450" s="145"/>
      <c r="AG450" s="145"/>
      <c r="AH450" s="145"/>
      <c r="AI450" s="145"/>
      <c r="AJ450" s="156"/>
      <c r="AK450" s="138"/>
      <c r="AL450" s="27"/>
      <c r="AM450" s="27"/>
      <c r="AN450" s="27"/>
      <c r="AO450" s="27"/>
      <c r="AP450" s="27"/>
      <c r="AQ450" s="148"/>
      <c r="AR450" s="148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139"/>
    </row>
    <row r="451" spans="2:61" ht="20.100000000000001" customHeight="1" x14ac:dyDescent="0.45">
      <c r="B451" s="133"/>
      <c r="C451" s="27"/>
      <c r="D451" s="27"/>
      <c r="E451" s="27"/>
      <c r="F451" s="27"/>
      <c r="G451" s="134"/>
      <c r="H451" s="135"/>
      <c r="I451" s="27"/>
      <c r="J451" s="144" t="s">
        <v>225</v>
      </c>
      <c r="K451" s="145"/>
      <c r="L451" s="145"/>
      <c r="M451" s="145"/>
      <c r="N451" s="145"/>
      <c r="O451" s="145"/>
      <c r="P451" s="145"/>
      <c r="Q451" s="156"/>
      <c r="R451" s="145" t="s">
        <v>756</v>
      </c>
      <c r="S451" s="145"/>
      <c r="T451" s="145"/>
      <c r="U451" s="145"/>
      <c r="V451" s="145"/>
      <c r="W451" s="145"/>
      <c r="X451" s="145"/>
      <c r="Y451" s="145"/>
      <c r="Z451" s="145"/>
      <c r="AA451" s="145"/>
      <c r="AB451" s="145"/>
      <c r="AC451" s="145"/>
      <c r="AD451" s="145"/>
      <c r="AE451" s="145"/>
      <c r="AF451" s="145"/>
      <c r="AG451" s="145"/>
      <c r="AH451" s="145"/>
      <c r="AI451" s="145"/>
      <c r="AJ451" s="156"/>
      <c r="AK451" s="138"/>
      <c r="AL451" s="27"/>
      <c r="AM451" s="27"/>
      <c r="AN451" s="27"/>
      <c r="AO451" s="27"/>
      <c r="AP451" s="27"/>
      <c r="AQ451" s="148"/>
      <c r="AR451" s="148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139"/>
    </row>
    <row r="452" spans="2:61" ht="20.100000000000001" customHeight="1" x14ac:dyDescent="0.45">
      <c r="B452" s="133"/>
      <c r="C452" s="27"/>
      <c r="D452" s="27"/>
      <c r="E452" s="27"/>
      <c r="F452" s="27"/>
      <c r="G452" s="134"/>
      <c r="H452" s="135"/>
      <c r="I452" s="27"/>
      <c r="J452" s="144" t="s">
        <v>226</v>
      </c>
      <c r="K452" s="145"/>
      <c r="L452" s="145"/>
      <c r="M452" s="145"/>
      <c r="N452" s="145"/>
      <c r="O452" s="145"/>
      <c r="P452" s="145"/>
      <c r="Q452" s="156"/>
      <c r="R452" s="145" t="s">
        <v>757</v>
      </c>
      <c r="S452" s="145"/>
      <c r="T452" s="145"/>
      <c r="U452" s="145"/>
      <c r="V452" s="145"/>
      <c r="W452" s="145"/>
      <c r="X452" s="145"/>
      <c r="Y452" s="145"/>
      <c r="Z452" s="145"/>
      <c r="AA452" s="145"/>
      <c r="AB452" s="145"/>
      <c r="AC452" s="145"/>
      <c r="AD452" s="145"/>
      <c r="AE452" s="145"/>
      <c r="AF452" s="145"/>
      <c r="AG452" s="145"/>
      <c r="AH452" s="145"/>
      <c r="AI452" s="145"/>
      <c r="AJ452" s="156"/>
      <c r="AK452" s="138"/>
      <c r="AL452" s="27"/>
      <c r="AM452" s="27"/>
      <c r="AN452" s="27"/>
      <c r="AO452" s="27"/>
      <c r="AP452" s="27"/>
      <c r="AQ452" s="148"/>
      <c r="AR452" s="148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139"/>
    </row>
    <row r="453" spans="2:61" ht="20.100000000000001" customHeight="1" x14ac:dyDescent="0.45">
      <c r="B453" s="133"/>
      <c r="C453" s="27"/>
      <c r="D453" s="27"/>
      <c r="E453" s="27"/>
      <c r="F453" s="27"/>
      <c r="G453" s="134"/>
      <c r="H453" s="135"/>
      <c r="I453" s="27"/>
      <c r="J453" s="144" t="s">
        <v>227</v>
      </c>
      <c r="K453" s="145"/>
      <c r="L453" s="145"/>
      <c r="M453" s="145"/>
      <c r="N453" s="145"/>
      <c r="O453" s="145"/>
      <c r="P453" s="145"/>
      <c r="Q453" s="156"/>
      <c r="R453" s="145" t="s">
        <v>758</v>
      </c>
      <c r="S453" s="145"/>
      <c r="T453" s="145"/>
      <c r="U453" s="145"/>
      <c r="V453" s="145"/>
      <c r="W453" s="145"/>
      <c r="X453" s="145"/>
      <c r="Y453" s="145"/>
      <c r="Z453" s="145"/>
      <c r="AA453" s="145"/>
      <c r="AB453" s="145"/>
      <c r="AC453" s="145"/>
      <c r="AD453" s="145"/>
      <c r="AE453" s="145"/>
      <c r="AF453" s="145"/>
      <c r="AG453" s="145"/>
      <c r="AH453" s="145"/>
      <c r="AI453" s="145"/>
      <c r="AJ453" s="156"/>
      <c r="AK453" s="138"/>
      <c r="AL453" s="27"/>
      <c r="AM453" s="27"/>
      <c r="AN453" s="27"/>
      <c r="AO453" s="27"/>
      <c r="AP453" s="27"/>
      <c r="AQ453" s="148"/>
      <c r="AR453" s="148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139"/>
    </row>
    <row r="454" spans="2:61" ht="20.100000000000001" customHeight="1" x14ac:dyDescent="0.45">
      <c r="B454" s="133"/>
      <c r="C454" s="27"/>
      <c r="D454" s="27"/>
      <c r="E454" s="27"/>
      <c r="F454" s="27"/>
      <c r="G454" s="134"/>
      <c r="H454" s="135"/>
      <c r="I454" s="27"/>
      <c r="J454" s="144" t="s">
        <v>228</v>
      </c>
      <c r="K454" s="145"/>
      <c r="L454" s="145"/>
      <c r="M454" s="145"/>
      <c r="N454" s="145"/>
      <c r="O454" s="145"/>
      <c r="P454" s="145"/>
      <c r="Q454" s="156"/>
      <c r="R454" s="145" t="s">
        <v>759</v>
      </c>
      <c r="S454" s="145"/>
      <c r="T454" s="145"/>
      <c r="U454" s="145"/>
      <c r="V454" s="145"/>
      <c r="W454" s="145"/>
      <c r="X454" s="145"/>
      <c r="Y454" s="145"/>
      <c r="Z454" s="145"/>
      <c r="AA454" s="145"/>
      <c r="AB454" s="145"/>
      <c r="AC454" s="145"/>
      <c r="AD454" s="145"/>
      <c r="AE454" s="145"/>
      <c r="AF454" s="145"/>
      <c r="AG454" s="145"/>
      <c r="AH454" s="145"/>
      <c r="AI454" s="145"/>
      <c r="AJ454" s="156"/>
      <c r="AK454" s="138"/>
      <c r="AL454" s="27"/>
      <c r="AM454" s="27"/>
      <c r="AN454" s="27"/>
      <c r="AO454" s="27"/>
      <c r="AP454" s="27"/>
      <c r="AQ454" s="148"/>
      <c r="AR454" s="148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139"/>
    </row>
    <row r="455" spans="2:61" ht="20.100000000000001" customHeight="1" x14ac:dyDescent="0.45">
      <c r="B455" s="133"/>
      <c r="C455" s="27"/>
      <c r="D455" s="27"/>
      <c r="E455" s="27"/>
      <c r="F455" s="27"/>
      <c r="G455" s="134"/>
      <c r="H455" s="135"/>
      <c r="I455" s="27"/>
      <c r="J455" s="144" t="s">
        <v>229</v>
      </c>
      <c r="K455" s="145"/>
      <c r="L455" s="145"/>
      <c r="M455" s="145"/>
      <c r="N455" s="145"/>
      <c r="O455" s="145"/>
      <c r="P455" s="145"/>
      <c r="Q455" s="156"/>
      <c r="R455" s="145" t="s">
        <v>760</v>
      </c>
      <c r="S455" s="145"/>
      <c r="T455" s="145"/>
      <c r="U455" s="145"/>
      <c r="V455" s="145"/>
      <c r="W455" s="145"/>
      <c r="X455" s="145"/>
      <c r="Y455" s="145"/>
      <c r="Z455" s="145"/>
      <c r="AA455" s="145"/>
      <c r="AB455" s="145"/>
      <c r="AC455" s="145"/>
      <c r="AD455" s="145"/>
      <c r="AE455" s="145"/>
      <c r="AF455" s="145"/>
      <c r="AG455" s="145"/>
      <c r="AH455" s="145"/>
      <c r="AI455" s="145"/>
      <c r="AJ455" s="156"/>
      <c r="AK455" s="138"/>
      <c r="AL455" s="27"/>
      <c r="AM455" s="27"/>
      <c r="AN455" s="27"/>
      <c r="AO455" s="27"/>
      <c r="AP455" s="27"/>
      <c r="AQ455" s="148"/>
      <c r="AR455" s="148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139"/>
    </row>
    <row r="456" spans="2:61" ht="20.100000000000001" customHeight="1" x14ac:dyDescent="0.45">
      <c r="B456" s="133"/>
      <c r="C456" s="27"/>
      <c r="D456" s="27"/>
      <c r="E456" s="27"/>
      <c r="F456" s="27"/>
      <c r="G456" s="134"/>
      <c r="H456" s="135"/>
      <c r="I456" s="27"/>
      <c r="J456" s="144" t="s">
        <v>230</v>
      </c>
      <c r="K456" s="145"/>
      <c r="L456" s="145"/>
      <c r="M456" s="145"/>
      <c r="N456" s="145"/>
      <c r="O456" s="145"/>
      <c r="P456" s="145"/>
      <c r="Q456" s="156"/>
      <c r="R456" s="145" t="s">
        <v>735</v>
      </c>
      <c r="S456" s="145"/>
      <c r="T456" s="145"/>
      <c r="U456" s="145"/>
      <c r="V456" s="145"/>
      <c r="W456" s="145"/>
      <c r="X456" s="145"/>
      <c r="Y456" s="145"/>
      <c r="Z456" s="145"/>
      <c r="AA456" s="145"/>
      <c r="AB456" s="145"/>
      <c r="AC456" s="145"/>
      <c r="AD456" s="145"/>
      <c r="AE456" s="145"/>
      <c r="AF456" s="145"/>
      <c r="AG456" s="145"/>
      <c r="AH456" s="145"/>
      <c r="AI456" s="145"/>
      <c r="AJ456" s="156"/>
      <c r="AK456" s="138"/>
      <c r="AL456" s="27"/>
      <c r="AM456" s="27"/>
      <c r="AN456" s="27"/>
      <c r="AO456" s="27"/>
      <c r="AP456" s="27"/>
      <c r="AQ456" s="148"/>
      <c r="AR456" s="148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139"/>
    </row>
    <row r="457" spans="2:61" ht="20.100000000000001" customHeight="1" x14ac:dyDescent="0.45">
      <c r="B457" s="133"/>
      <c r="C457" s="27"/>
      <c r="D457" s="27"/>
      <c r="E457" s="27"/>
      <c r="F457" s="27"/>
      <c r="G457" s="134"/>
      <c r="H457" s="140" t="s">
        <v>159</v>
      </c>
      <c r="I457" s="51"/>
      <c r="J457" s="140" t="s">
        <v>231</v>
      </c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14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142"/>
    </row>
    <row r="458" spans="2:61" ht="20.100000000000001" customHeight="1" x14ac:dyDescent="0.45">
      <c r="B458" s="133"/>
      <c r="C458" s="27"/>
      <c r="D458" s="27"/>
      <c r="E458" s="27"/>
      <c r="F458" s="27"/>
      <c r="G458" s="134"/>
      <c r="H458" s="135"/>
      <c r="I458" s="27"/>
      <c r="J458" s="135"/>
      <c r="K458" s="27" t="s">
        <v>238</v>
      </c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138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139"/>
    </row>
    <row r="459" spans="2:61" ht="20.100000000000001" customHeight="1" x14ac:dyDescent="0.45">
      <c r="B459" s="133"/>
      <c r="C459" s="27"/>
      <c r="D459" s="27"/>
      <c r="E459" s="27"/>
      <c r="F459" s="27"/>
      <c r="G459" s="134"/>
      <c r="H459" s="135"/>
      <c r="I459" s="27"/>
      <c r="J459" s="135"/>
      <c r="K459" s="27" t="s">
        <v>408</v>
      </c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138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139"/>
    </row>
    <row r="460" spans="2:61" ht="20.100000000000001" customHeight="1" x14ac:dyDescent="0.45">
      <c r="B460" s="133"/>
      <c r="C460" s="27"/>
      <c r="D460" s="27"/>
      <c r="E460" s="27"/>
      <c r="F460" s="27"/>
      <c r="G460" s="134"/>
      <c r="H460" s="140" t="s">
        <v>160</v>
      </c>
      <c r="I460" s="51"/>
      <c r="J460" s="140" t="s">
        <v>411</v>
      </c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14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142"/>
    </row>
    <row r="461" spans="2:61" ht="20.100000000000001" customHeight="1" x14ac:dyDescent="0.45">
      <c r="B461" s="133"/>
      <c r="C461" s="27"/>
      <c r="D461" s="27"/>
      <c r="E461" s="27"/>
      <c r="F461" s="27"/>
      <c r="G461" s="134"/>
      <c r="H461" s="135"/>
      <c r="I461" s="27"/>
      <c r="J461" s="135"/>
      <c r="K461" s="27" t="s">
        <v>736</v>
      </c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138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139"/>
    </row>
    <row r="462" spans="2:61" ht="20.100000000000001" customHeight="1" x14ac:dyDescent="0.45">
      <c r="B462" s="133"/>
      <c r="C462" s="27"/>
      <c r="D462" s="27"/>
      <c r="E462" s="27"/>
      <c r="F462" s="27"/>
      <c r="G462" s="134"/>
      <c r="H462" s="135"/>
      <c r="I462" s="27"/>
      <c r="J462" s="135"/>
      <c r="K462" s="27" t="s">
        <v>413</v>
      </c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138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139"/>
    </row>
    <row r="463" spans="2:61" ht="20.100000000000001" customHeight="1" x14ac:dyDescent="0.45">
      <c r="B463" s="133"/>
      <c r="C463" s="27"/>
      <c r="D463" s="27"/>
      <c r="E463" s="27"/>
      <c r="F463" s="27"/>
      <c r="G463" s="134"/>
      <c r="H463" s="135"/>
      <c r="I463" s="27"/>
      <c r="J463" s="135" t="s">
        <v>414</v>
      </c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138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139"/>
    </row>
    <row r="464" spans="2:61" ht="20.100000000000001" customHeight="1" x14ac:dyDescent="0.45">
      <c r="B464" s="133"/>
      <c r="C464" s="27"/>
      <c r="D464" s="27"/>
      <c r="E464" s="27"/>
      <c r="F464" s="27"/>
      <c r="G464" s="134"/>
      <c r="H464" s="135"/>
      <c r="I464" s="27"/>
      <c r="J464" s="135" t="s">
        <v>415</v>
      </c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138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139"/>
    </row>
    <row r="465" spans="2:61" ht="20.100000000000001" customHeight="1" x14ac:dyDescent="0.45">
      <c r="B465" s="133"/>
      <c r="C465" s="27"/>
      <c r="D465" s="27"/>
      <c r="E465" s="27"/>
      <c r="F465" s="27"/>
      <c r="G465" s="134"/>
      <c r="H465" s="135"/>
      <c r="I465" s="27"/>
      <c r="J465" s="135" t="s">
        <v>416</v>
      </c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138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139"/>
    </row>
    <row r="466" spans="2:61" ht="20.100000000000001" customHeight="1" thickBot="1" x14ac:dyDescent="0.5">
      <c r="B466" s="133"/>
      <c r="C466" s="27"/>
      <c r="D466" s="27"/>
      <c r="E466" s="27"/>
      <c r="F466" s="27"/>
      <c r="G466" s="134"/>
      <c r="H466" s="135"/>
      <c r="I466" s="27"/>
      <c r="J466" s="135" t="s">
        <v>417</v>
      </c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138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139"/>
    </row>
    <row r="467" spans="2:61" ht="20.100000000000001" customHeight="1" x14ac:dyDescent="0.45">
      <c r="B467" s="124" t="s">
        <v>238</v>
      </c>
      <c r="C467" s="125"/>
      <c r="D467" s="125"/>
      <c r="E467" s="125"/>
      <c r="F467" s="125"/>
      <c r="G467" s="126"/>
      <c r="H467" s="127" t="s">
        <v>158</v>
      </c>
      <c r="I467" s="125"/>
      <c r="J467" s="128" t="s">
        <v>163</v>
      </c>
      <c r="K467" s="129"/>
      <c r="L467" s="129"/>
      <c r="M467" s="129"/>
      <c r="N467" s="129"/>
      <c r="O467" s="129"/>
      <c r="P467" s="129"/>
      <c r="Q467" s="130"/>
      <c r="R467" s="129" t="s">
        <v>418</v>
      </c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30"/>
      <c r="AK467" s="131"/>
      <c r="AL467" s="125"/>
      <c r="AM467" s="125"/>
      <c r="AN467" s="125"/>
      <c r="AO467" s="125"/>
      <c r="AP467" s="125"/>
      <c r="AQ467" s="158"/>
      <c r="AR467" s="158"/>
      <c r="AS467" s="125"/>
      <c r="AT467" s="125"/>
      <c r="AU467" s="125"/>
      <c r="AV467" s="125"/>
      <c r="AW467" s="125"/>
      <c r="AX467" s="125"/>
      <c r="AY467" s="125"/>
      <c r="AZ467" s="125"/>
      <c r="BA467" s="125"/>
      <c r="BB467" s="125"/>
      <c r="BC467" s="125"/>
      <c r="BD467" s="125"/>
      <c r="BE467" s="125"/>
      <c r="BF467" s="125"/>
      <c r="BG467" s="125"/>
      <c r="BH467" s="125"/>
      <c r="BI467" s="132"/>
    </row>
    <row r="468" spans="2:61" ht="20.100000000000001" customHeight="1" x14ac:dyDescent="0.45">
      <c r="B468" s="133"/>
      <c r="C468" s="27"/>
      <c r="D468" s="27"/>
      <c r="E468" s="27"/>
      <c r="F468" s="27"/>
      <c r="G468" s="134"/>
      <c r="H468" s="135"/>
      <c r="I468" s="27"/>
      <c r="J468" s="144" t="s">
        <v>244</v>
      </c>
      <c r="K468" s="145"/>
      <c r="L468" s="145"/>
      <c r="M468" s="145"/>
      <c r="N468" s="145"/>
      <c r="O468" s="145"/>
      <c r="P468" s="145"/>
      <c r="Q468" s="156"/>
      <c r="R468" s="145" t="s">
        <v>419</v>
      </c>
      <c r="S468" s="145"/>
      <c r="T468" s="145"/>
      <c r="U468" s="145"/>
      <c r="V468" s="145"/>
      <c r="W468" s="145"/>
      <c r="X468" s="145"/>
      <c r="Y468" s="145"/>
      <c r="Z468" s="145"/>
      <c r="AA468" s="145"/>
      <c r="AB468" s="145"/>
      <c r="AC468" s="145"/>
      <c r="AD468" s="145"/>
      <c r="AE468" s="145"/>
      <c r="AF468" s="145"/>
      <c r="AG468" s="145"/>
      <c r="AH468" s="145"/>
      <c r="AI468" s="145"/>
      <c r="AJ468" s="156"/>
      <c r="AK468" s="138"/>
      <c r="AL468" s="27"/>
      <c r="AM468" s="27"/>
      <c r="AN468" s="27"/>
      <c r="AO468" s="27"/>
      <c r="AP468" s="27"/>
      <c r="AQ468" s="148"/>
      <c r="AR468" s="148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139"/>
    </row>
    <row r="469" spans="2:61" ht="20.100000000000001" customHeight="1" x14ac:dyDescent="0.45">
      <c r="B469" s="133"/>
      <c r="C469" s="27"/>
      <c r="D469" s="27"/>
      <c r="E469" s="27"/>
      <c r="F469" s="27"/>
      <c r="G469" s="134"/>
      <c r="H469" s="135"/>
      <c r="I469" s="27"/>
      <c r="J469" s="144" t="s">
        <v>310</v>
      </c>
      <c r="K469" s="145"/>
      <c r="L469" s="145"/>
      <c r="M469" s="145"/>
      <c r="N469" s="145"/>
      <c r="O469" s="145"/>
      <c r="P469" s="145"/>
      <c r="Q469" s="156"/>
      <c r="R469" s="145" t="s">
        <v>420</v>
      </c>
      <c r="S469" s="145"/>
      <c r="T469" s="145"/>
      <c r="U469" s="145"/>
      <c r="V469" s="145"/>
      <c r="W469" s="145"/>
      <c r="X469" s="145"/>
      <c r="Y469" s="145"/>
      <c r="Z469" s="145"/>
      <c r="AA469" s="145"/>
      <c r="AB469" s="145"/>
      <c r="AC469" s="145"/>
      <c r="AD469" s="145"/>
      <c r="AE469" s="145"/>
      <c r="AF469" s="145"/>
      <c r="AG469" s="145"/>
      <c r="AH469" s="145"/>
      <c r="AI469" s="145"/>
      <c r="AJ469" s="156"/>
      <c r="AK469" s="138"/>
      <c r="AL469" s="27"/>
      <c r="AM469" s="27"/>
      <c r="AN469" s="27"/>
      <c r="AO469" s="27"/>
      <c r="AP469" s="27"/>
      <c r="AQ469" s="148"/>
      <c r="AR469" s="148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139"/>
    </row>
    <row r="470" spans="2:61" ht="20.100000000000001" customHeight="1" x14ac:dyDescent="0.45">
      <c r="B470" s="133"/>
      <c r="C470" s="27"/>
      <c r="D470" s="27"/>
      <c r="E470" s="27"/>
      <c r="F470" s="27"/>
      <c r="G470" s="134"/>
      <c r="H470" s="135"/>
      <c r="I470" s="27"/>
      <c r="J470" s="144" t="s">
        <v>249</v>
      </c>
      <c r="K470" s="145"/>
      <c r="L470" s="145"/>
      <c r="M470" s="145"/>
      <c r="N470" s="145"/>
      <c r="O470" s="145"/>
      <c r="P470" s="145"/>
      <c r="Q470" s="156"/>
      <c r="R470" s="145" t="s">
        <v>421</v>
      </c>
      <c r="S470" s="145"/>
      <c r="T470" s="145"/>
      <c r="U470" s="145"/>
      <c r="V470" s="145"/>
      <c r="W470" s="145"/>
      <c r="X470" s="145"/>
      <c r="Y470" s="145"/>
      <c r="Z470" s="145"/>
      <c r="AA470" s="145"/>
      <c r="AB470" s="145"/>
      <c r="AC470" s="145"/>
      <c r="AD470" s="145"/>
      <c r="AE470" s="145"/>
      <c r="AF470" s="145"/>
      <c r="AG470" s="145"/>
      <c r="AH470" s="145"/>
      <c r="AI470" s="145"/>
      <c r="AJ470" s="156"/>
      <c r="AK470" s="138"/>
      <c r="AL470" s="27"/>
      <c r="AM470" s="27"/>
      <c r="AN470" s="27"/>
      <c r="AO470" s="27"/>
      <c r="AP470" s="27"/>
      <c r="AQ470" s="148"/>
      <c r="AR470" s="148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139"/>
    </row>
    <row r="471" spans="2:61" ht="20.100000000000001" customHeight="1" x14ac:dyDescent="0.45">
      <c r="B471" s="133"/>
      <c r="C471" s="27"/>
      <c r="D471" s="27"/>
      <c r="E471" s="27"/>
      <c r="F471" s="27"/>
      <c r="G471" s="134"/>
      <c r="H471" s="135"/>
      <c r="I471" s="27"/>
      <c r="J471" s="144" t="s">
        <v>275</v>
      </c>
      <c r="K471" s="145"/>
      <c r="L471" s="145"/>
      <c r="M471" s="145"/>
      <c r="N471" s="145"/>
      <c r="O471" s="145"/>
      <c r="P471" s="145"/>
      <c r="Q471" s="156"/>
      <c r="R471" s="145" t="s">
        <v>422</v>
      </c>
      <c r="S471" s="145"/>
      <c r="T471" s="145"/>
      <c r="U471" s="145"/>
      <c r="V471" s="145"/>
      <c r="W471" s="145"/>
      <c r="X471" s="145"/>
      <c r="Y471" s="145"/>
      <c r="Z471" s="145"/>
      <c r="AA471" s="145"/>
      <c r="AB471" s="145"/>
      <c r="AC471" s="145"/>
      <c r="AD471" s="145"/>
      <c r="AE471" s="145"/>
      <c r="AF471" s="145"/>
      <c r="AG471" s="145"/>
      <c r="AH471" s="145"/>
      <c r="AI471" s="145"/>
      <c r="AJ471" s="156"/>
      <c r="AK471" s="138"/>
      <c r="AL471" s="27"/>
      <c r="AM471" s="27"/>
      <c r="AN471" s="27"/>
      <c r="AO471" s="27"/>
      <c r="AP471" s="27"/>
      <c r="AQ471" s="148"/>
      <c r="AR471" s="148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139"/>
    </row>
    <row r="472" spans="2:61" ht="20.100000000000001" customHeight="1" x14ac:dyDescent="0.45">
      <c r="B472" s="133"/>
      <c r="C472" s="27"/>
      <c r="D472" s="27"/>
      <c r="E472" s="27"/>
      <c r="F472" s="27"/>
      <c r="G472" s="134"/>
      <c r="H472" s="135"/>
      <c r="I472" s="27"/>
      <c r="J472" s="144" t="s">
        <v>290</v>
      </c>
      <c r="K472" s="145"/>
      <c r="L472" s="145"/>
      <c r="M472" s="145"/>
      <c r="N472" s="145"/>
      <c r="O472" s="145"/>
      <c r="P472" s="145"/>
      <c r="Q472" s="156"/>
      <c r="R472" s="145" t="s">
        <v>423</v>
      </c>
      <c r="S472" s="145"/>
      <c r="T472" s="145"/>
      <c r="U472" s="145"/>
      <c r="V472" s="145"/>
      <c r="W472" s="145"/>
      <c r="X472" s="145"/>
      <c r="Y472" s="145"/>
      <c r="Z472" s="145"/>
      <c r="AA472" s="145"/>
      <c r="AB472" s="145"/>
      <c r="AC472" s="145"/>
      <c r="AD472" s="145"/>
      <c r="AE472" s="145"/>
      <c r="AF472" s="145"/>
      <c r="AG472" s="145"/>
      <c r="AH472" s="145"/>
      <c r="AI472" s="145"/>
      <c r="AJ472" s="156"/>
      <c r="AK472" s="138"/>
      <c r="AL472" s="27"/>
      <c r="AM472" s="27"/>
      <c r="AN472" s="27"/>
      <c r="AO472" s="27"/>
      <c r="AP472" s="27"/>
      <c r="AQ472" s="148"/>
      <c r="AR472" s="148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139"/>
    </row>
    <row r="473" spans="2:61" ht="20.100000000000001" customHeight="1" x14ac:dyDescent="0.45">
      <c r="B473" s="133"/>
      <c r="C473" s="27"/>
      <c r="D473" s="27"/>
      <c r="E473" s="27"/>
      <c r="F473" s="27"/>
      <c r="G473" s="134"/>
      <c r="H473" s="135"/>
      <c r="I473" s="27"/>
      <c r="J473" s="144" t="s">
        <v>281</v>
      </c>
      <c r="K473" s="145"/>
      <c r="L473" s="145"/>
      <c r="M473" s="145"/>
      <c r="N473" s="145"/>
      <c r="O473" s="145"/>
      <c r="P473" s="145"/>
      <c r="Q473" s="156"/>
      <c r="R473" s="145" t="s">
        <v>424</v>
      </c>
      <c r="S473" s="145"/>
      <c r="T473" s="145"/>
      <c r="U473" s="145"/>
      <c r="V473" s="145"/>
      <c r="W473" s="145"/>
      <c r="X473" s="145"/>
      <c r="Y473" s="145"/>
      <c r="Z473" s="145"/>
      <c r="AA473" s="145"/>
      <c r="AB473" s="145"/>
      <c r="AC473" s="145"/>
      <c r="AD473" s="145"/>
      <c r="AE473" s="145"/>
      <c r="AF473" s="145"/>
      <c r="AG473" s="145"/>
      <c r="AH473" s="145"/>
      <c r="AI473" s="145"/>
      <c r="AJ473" s="156"/>
      <c r="AK473" s="138"/>
      <c r="AL473" s="27"/>
      <c r="AM473" s="27"/>
      <c r="AN473" s="27"/>
      <c r="AO473" s="27"/>
      <c r="AP473" s="27"/>
      <c r="AQ473" s="148"/>
      <c r="AR473" s="148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139"/>
    </row>
    <row r="474" spans="2:61" ht="20.100000000000001" customHeight="1" x14ac:dyDescent="0.45">
      <c r="B474" s="133"/>
      <c r="C474" s="27"/>
      <c r="D474" s="27"/>
      <c r="E474" s="27"/>
      <c r="F474" s="27"/>
      <c r="G474" s="134"/>
      <c r="H474" s="140" t="s">
        <v>159</v>
      </c>
      <c r="I474" s="51"/>
      <c r="J474" s="140" t="s">
        <v>425</v>
      </c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14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142"/>
    </row>
    <row r="475" spans="2:61" ht="20.100000000000001" customHeight="1" x14ac:dyDescent="0.45">
      <c r="B475" s="133"/>
      <c r="C475" s="27"/>
      <c r="D475" s="27"/>
      <c r="E475" s="27"/>
      <c r="F475" s="27"/>
      <c r="G475" s="134"/>
      <c r="H475" s="140" t="s">
        <v>161</v>
      </c>
      <c r="I475" s="51"/>
      <c r="J475" s="140" t="s">
        <v>426</v>
      </c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14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142"/>
    </row>
    <row r="476" spans="2:61" ht="20.100000000000001" customHeight="1" thickBot="1" x14ac:dyDescent="0.5">
      <c r="B476" s="133"/>
      <c r="C476" s="27"/>
      <c r="D476" s="27"/>
      <c r="E476" s="27"/>
      <c r="F476" s="27"/>
      <c r="G476" s="134"/>
      <c r="H476" s="140" t="s">
        <v>427</v>
      </c>
      <c r="I476" s="51"/>
      <c r="J476" s="140" t="s">
        <v>428</v>
      </c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14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142"/>
    </row>
    <row r="477" spans="2:61" ht="20.100000000000001" customHeight="1" x14ac:dyDescent="0.45">
      <c r="B477" s="124" t="s">
        <v>736</v>
      </c>
      <c r="C477" s="125"/>
      <c r="D477" s="125"/>
      <c r="E477" s="125"/>
      <c r="F477" s="125"/>
      <c r="G477" s="126"/>
      <c r="H477" s="127" t="s">
        <v>158</v>
      </c>
      <c r="I477" s="125"/>
      <c r="J477" s="128" t="s">
        <v>429</v>
      </c>
      <c r="K477" s="129"/>
      <c r="L477" s="129"/>
      <c r="M477" s="129"/>
      <c r="N477" s="129"/>
      <c r="O477" s="129"/>
      <c r="P477" s="129"/>
      <c r="Q477" s="130"/>
      <c r="R477" s="129" t="s">
        <v>430</v>
      </c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30"/>
      <c r="AK477" s="131"/>
      <c r="AL477" s="125"/>
      <c r="AM477" s="125"/>
      <c r="AN477" s="125"/>
      <c r="AO477" s="125"/>
      <c r="AP477" s="125"/>
      <c r="AQ477" s="158"/>
      <c r="AR477" s="158"/>
      <c r="AS477" s="125"/>
      <c r="AT477" s="125"/>
      <c r="AU477" s="125"/>
      <c r="AV477" s="125"/>
      <c r="AW477" s="125"/>
      <c r="AX477" s="125"/>
      <c r="AY477" s="125"/>
      <c r="AZ477" s="125"/>
      <c r="BA477" s="125"/>
      <c r="BB477" s="125"/>
      <c r="BC477" s="125"/>
      <c r="BD477" s="125"/>
      <c r="BE477" s="125"/>
      <c r="BF477" s="125"/>
      <c r="BG477" s="125"/>
      <c r="BH477" s="125"/>
      <c r="BI477" s="132"/>
    </row>
    <row r="478" spans="2:61" ht="20.100000000000001" customHeight="1" x14ac:dyDescent="0.45">
      <c r="B478" s="133"/>
      <c r="C478" s="27"/>
      <c r="D478" s="27"/>
      <c r="E478" s="27"/>
      <c r="F478" s="27"/>
      <c r="G478" s="134"/>
      <c r="H478" s="135"/>
      <c r="I478" s="27"/>
      <c r="J478" s="144" t="s">
        <v>431</v>
      </c>
      <c r="K478" s="145"/>
      <c r="L478" s="145"/>
      <c r="M478" s="145"/>
      <c r="N478" s="145"/>
      <c r="O478" s="145"/>
      <c r="P478" s="145"/>
      <c r="Q478" s="156"/>
      <c r="R478" s="145" t="s">
        <v>432</v>
      </c>
      <c r="S478" s="145"/>
      <c r="T478" s="145"/>
      <c r="U478" s="145"/>
      <c r="V478" s="145"/>
      <c r="W478" s="145"/>
      <c r="X478" s="145"/>
      <c r="Y478" s="145"/>
      <c r="Z478" s="145"/>
      <c r="AA478" s="145"/>
      <c r="AB478" s="145"/>
      <c r="AC478" s="145"/>
      <c r="AD478" s="145"/>
      <c r="AE478" s="145"/>
      <c r="AF478" s="145"/>
      <c r="AG478" s="145"/>
      <c r="AH478" s="145"/>
      <c r="AI478" s="145"/>
      <c r="AJ478" s="156"/>
      <c r="AK478" s="138"/>
      <c r="AL478" s="27"/>
      <c r="AM478" s="27"/>
      <c r="AN478" s="27"/>
      <c r="AO478" s="27"/>
      <c r="AP478" s="27"/>
      <c r="AQ478" s="148"/>
      <c r="AR478" s="148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139"/>
    </row>
    <row r="479" spans="2:61" ht="20.100000000000001" customHeight="1" x14ac:dyDescent="0.45">
      <c r="B479" s="133"/>
      <c r="C479" s="27"/>
      <c r="D479" s="27"/>
      <c r="E479" s="27"/>
      <c r="F479" s="27"/>
      <c r="G479" s="134"/>
      <c r="H479" s="135"/>
      <c r="I479" s="27"/>
      <c r="J479" s="144" t="s">
        <v>433</v>
      </c>
      <c r="K479" s="145"/>
      <c r="L479" s="145"/>
      <c r="M479" s="145"/>
      <c r="N479" s="145"/>
      <c r="O479" s="145"/>
      <c r="P479" s="145"/>
      <c r="Q479" s="156"/>
      <c r="R479" s="145" t="s">
        <v>434</v>
      </c>
      <c r="S479" s="145"/>
      <c r="T479" s="145"/>
      <c r="U479" s="145"/>
      <c r="V479" s="145"/>
      <c r="W479" s="145"/>
      <c r="X479" s="145"/>
      <c r="Y479" s="145"/>
      <c r="Z479" s="145"/>
      <c r="AA479" s="145"/>
      <c r="AB479" s="145"/>
      <c r="AC479" s="145"/>
      <c r="AD479" s="145"/>
      <c r="AE479" s="145"/>
      <c r="AF479" s="145"/>
      <c r="AG479" s="145"/>
      <c r="AH479" s="145"/>
      <c r="AI479" s="145"/>
      <c r="AJ479" s="156"/>
      <c r="AK479" s="138"/>
      <c r="AL479" s="27"/>
      <c r="AM479" s="27"/>
      <c r="AN479" s="27"/>
      <c r="AO479" s="27"/>
      <c r="AP479" s="27"/>
      <c r="AQ479" s="148"/>
      <c r="AR479" s="148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139"/>
    </row>
    <row r="480" spans="2:61" ht="20.100000000000001" customHeight="1" x14ac:dyDescent="0.45">
      <c r="B480" s="133"/>
      <c r="C480" s="27"/>
      <c r="D480" s="27"/>
      <c r="E480" s="27"/>
      <c r="F480" s="27"/>
      <c r="G480" s="134"/>
      <c r="H480" s="135"/>
      <c r="I480" s="27"/>
      <c r="J480" s="144" t="s">
        <v>435</v>
      </c>
      <c r="K480" s="145"/>
      <c r="L480" s="145"/>
      <c r="M480" s="145"/>
      <c r="N480" s="145"/>
      <c r="O480" s="145"/>
      <c r="P480" s="145"/>
      <c r="Q480" s="156"/>
      <c r="R480" s="145" t="s">
        <v>436</v>
      </c>
      <c r="S480" s="145"/>
      <c r="T480" s="145"/>
      <c r="U480" s="145"/>
      <c r="V480" s="145"/>
      <c r="W480" s="145"/>
      <c r="X480" s="145"/>
      <c r="Y480" s="145"/>
      <c r="Z480" s="145"/>
      <c r="AA480" s="145"/>
      <c r="AB480" s="145"/>
      <c r="AC480" s="145"/>
      <c r="AD480" s="145"/>
      <c r="AE480" s="145"/>
      <c r="AF480" s="145"/>
      <c r="AG480" s="145"/>
      <c r="AH480" s="145"/>
      <c r="AI480" s="145"/>
      <c r="AJ480" s="156"/>
      <c r="AK480" s="138"/>
      <c r="AL480" s="27"/>
      <c r="AM480" s="27"/>
      <c r="AN480" s="27"/>
      <c r="AO480" s="27"/>
      <c r="AP480" s="27"/>
      <c r="AQ480" s="148"/>
      <c r="AR480" s="148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139"/>
    </row>
    <row r="481" spans="2:61" ht="20.100000000000001" customHeight="1" x14ac:dyDescent="0.45">
      <c r="B481" s="133"/>
      <c r="C481" s="27"/>
      <c r="D481" s="27"/>
      <c r="E481" s="27"/>
      <c r="F481" s="27"/>
      <c r="G481" s="134"/>
      <c r="H481" s="135"/>
      <c r="I481" s="27"/>
      <c r="J481" s="144" t="s">
        <v>437</v>
      </c>
      <c r="K481" s="145"/>
      <c r="L481" s="145"/>
      <c r="M481" s="145"/>
      <c r="N481" s="145"/>
      <c r="O481" s="145"/>
      <c r="P481" s="145"/>
      <c r="Q481" s="156"/>
      <c r="R481" s="145" t="s">
        <v>438</v>
      </c>
      <c r="S481" s="145"/>
      <c r="T481" s="145"/>
      <c r="U481" s="145"/>
      <c r="V481" s="145"/>
      <c r="W481" s="145"/>
      <c r="X481" s="145"/>
      <c r="Y481" s="145"/>
      <c r="Z481" s="145"/>
      <c r="AA481" s="145"/>
      <c r="AB481" s="145"/>
      <c r="AC481" s="145"/>
      <c r="AD481" s="145"/>
      <c r="AE481" s="145"/>
      <c r="AF481" s="145"/>
      <c r="AG481" s="145"/>
      <c r="AH481" s="145"/>
      <c r="AI481" s="145"/>
      <c r="AJ481" s="156"/>
      <c r="AK481" s="138"/>
      <c r="AL481" s="27"/>
      <c r="AM481" s="27"/>
      <c r="AN481" s="27"/>
      <c r="AO481" s="27"/>
      <c r="AP481" s="27"/>
      <c r="AQ481" s="148"/>
      <c r="AR481" s="148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139"/>
    </row>
    <row r="482" spans="2:61" ht="20.100000000000001" customHeight="1" x14ac:dyDescent="0.45">
      <c r="B482" s="133"/>
      <c r="C482" s="27"/>
      <c r="D482" s="27"/>
      <c r="E482" s="27"/>
      <c r="F482" s="27"/>
      <c r="G482" s="134"/>
      <c r="H482" s="135"/>
      <c r="I482" s="27"/>
      <c r="J482" s="144" t="s">
        <v>439</v>
      </c>
      <c r="K482" s="145"/>
      <c r="L482" s="145"/>
      <c r="M482" s="145"/>
      <c r="N482" s="145"/>
      <c r="O482" s="145"/>
      <c r="P482" s="145"/>
      <c r="Q482" s="156"/>
      <c r="R482" s="145" t="s">
        <v>440</v>
      </c>
      <c r="S482" s="145"/>
      <c r="T482" s="145"/>
      <c r="U482" s="145"/>
      <c r="V482" s="145"/>
      <c r="W482" s="145"/>
      <c r="X482" s="145"/>
      <c r="Y482" s="145"/>
      <c r="Z482" s="145"/>
      <c r="AA482" s="145"/>
      <c r="AB482" s="145"/>
      <c r="AC482" s="145"/>
      <c r="AD482" s="145"/>
      <c r="AE482" s="145"/>
      <c r="AF482" s="145"/>
      <c r="AG482" s="145"/>
      <c r="AH482" s="145"/>
      <c r="AI482" s="145"/>
      <c r="AJ482" s="156"/>
      <c r="AK482" s="138"/>
      <c r="AL482" s="27"/>
      <c r="AM482" s="27"/>
      <c r="AN482" s="27"/>
      <c r="AO482" s="27"/>
      <c r="AP482" s="27"/>
      <c r="AQ482" s="148"/>
      <c r="AR482" s="148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139"/>
    </row>
    <row r="483" spans="2:61" ht="20.100000000000001" customHeight="1" x14ac:dyDescent="0.45">
      <c r="B483" s="133"/>
      <c r="C483" s="27"/>
      <c r="D483" s="27"/>
      <c r="E483" s="27"/>
      <c r="F483" s="27"/>
      <c r="G483" s="134"/>
      <c r="H483" s="135"/>
      <c r="I483" s="27"/>
      <c r="J483" s="144" t="s">
        <v>441</v>
      </c>
      <c r="K483" s="145"/>
      <c r="L483" s="145"/>
      <c r="M483" s="145"/>
      <c r="N483" s="145"/>
      <c r="O483" s="145"/>
      <c r="P483" s="145"/>
      <c r="Q483" s="156"/>
      <c r="R483" s="145" t="s">
        <v>442</v>
      </c>
      <c r="S483" s="145"/>
      <c r="T483" s="145"/>
      <c r="U483" s="145"/>
      <c r="V483" s="145"/>
      <c r="W483" s="145"/>
      <c r="X483" s="145"/>
      <c r="Y483" s="145"/>
      <c r="Z483" s="145"/>
      <c r="AA483" s="145"/>
      <c r="AB483" s="145"/>
      <c r="AC483" s="145"/>
      <c r="AD483" s="145"/>
      <c r="AE483" s="145"/>
      <c r="AF483" s="145"/>
      <c r="AG483" s="145"/>
      <c r="AH483" s="145"/>
      <c r="AI483" s="145"/>
      <c r="AJ483" s="156"/>
      <c r="AK483" s="138"/>
      <c r="AL483" s="27"/>
      <c r="AM483" s="27"/>
      <c r="AN483" s="27"/>
      <c r="AO483" s="27"/>
      <c r="AP483" s="27"/>
      <c r="AQ483" s="148"/>
      <c r="AR483" s="148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139"/>
    </row>
    <row r="484" spans="2:61" ht="20.100000000000001" customHeight="1" x14ac:dyDescent="0.45">
      <c r="B484" s="133"/>
      <c r="C484" s="27"/>
      <c r="D484" s="27"/>
      <c r="E484" s="27"/>
      <c r="F484" s="27"/>
      <c r="G484" s="134"/>
      <c r="H484" s="135"/>
      <c r="I484" s="27"/>
      <c r="J484" s="144" t="s">
        <v>443</v>
      </c>
      <c r="K484" s="145"/>
      <c r="L484" s="145"/>
      <c r="M484" s="145"/>
      <c r="N484" s="145"/>
      <c r="O484" s="145"/>
      <c r="P484" s="145"/>
      <c r="Q484" s="156"/>
      <c r="R484" s="145" t="s">
        <v>444</v>
      </c>
      <c r="S484" s="145"/>
      <c r="T484" s="145"/>
      <c r="U484" s="145"/>
      <c r="V484" s="145"/>
      <c r="W484" s="145"/>
      <c r="X484" s="145"/>
      <c r="Y484" s="145"/>
      <c r="Z484" s="145"/>
      <c r="AA484" s="145"/>
      <c r="AB484" s="145"/>
      <c r="AC484" s="145"/>
      <c r="AD484" s="145"/>
      <c r="AE484" s="145"/>
      <c r="AF484" s="145"/>
      <c r="AG484" s="145"/>
      <c r="AH484" s="145"/>
      <c r="AI484" s="145"/>
      <c r="AJ484" s="156"/>
      <c r="AK484" s="138"/>
      <c r="AL484" s="27"/>
      <c r="AM484" s="27"/>
      <c r="AN484" s="27"/>
      <c r="AO484" s="27"/>
      <c r="AP484" s="27"/>
      <c r="AQ484" s="148"/>
      <c r="AR484" s="148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139"/>
    </row>
    <row r="485" spans="2:61" ht="20.100000000000001" customHeight="1" x14ac:dyDescent="0.45">
      <c r="B485" s="133"/>
      <c r="C485" s="27"/>
      <c r="D485" s="27"/>
      <c r="E485" s="27"/>
      <c r="F485" s="27"/>
      <c r="G485" s="134"/>
      <c r="H485" s="135"/>
      <c r="I485" s="27"/>
      <c r="J485" s="144" t="s">
        <v>445</v>
      </c>
      <c r="K485" s="145"/>
      <c r="L485" s="145"/>
      <c r="M485" s="145"/>
      <c r="N485" s="145"/>
      <c r="O485" s="145"/>
      <c r="P485" s="145"/>
      <c r="Q485" s="156"/>
      <c r="R485" s="145" t="s">
        <v>446</v>
      </c>
      <c r="S485" s="145"/>
      <c r="T485" s="145"/>
      <c r="U485" s="145"/>
      <c r="V485" s="145"/>
      <c r="W485" s="145"/>
      <c r="X485" s="145"/>
      <c r="Y485" s="145"/>
      <c r="Z485" s="145"/>
      <c r="AA485" s="145"/>
      <c r="AB485" s="145"/>
      <c r="AC485" s="145"/>
      <c r="AD485" s="145"/>
      <c r="AE485" s="145"/>
      <c r="AF485" s="145"/>
      <c r="AG485" s="145"/>
      <c r="AH485" s="145"/>
      <c r="AI485" s="145"/>
      <c r="AJ485" s="156"/>
      <c r="AK485" s="138"/>
      <c r="AL485" s="27"/>
      <c r="AM485" s="27"/>
      <c r="AN485" s="27"/>
      <c r="AO485" s="27"/>
      <c r="AP485" s="27"/>
      <c r="AQ485" s="148"/>
      <c r="AR485" s="148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139"/>
    </row>
    <row r="486" spans="2:61" ht="20.100000000000001" customHeight="1" x14ac:dyDescent="0.45">
      <c r="B486" s="133"/>
      <c r="C486" s="27"/>
      <c r="D486" s="27"/>
      <c r="E486" s="27"/>
      <c r="F486" s="27"/>
      <c r="G486" s="134"/>
      <c r="H486" s="135"/>
      <c r="I486" s="27"/>
      <c r="J486" s="144" t="s">
        <v>447</v>
      </c>
      <c r="K486" s="145"/>
      <c r="L486" s="145"/>
      <c r="M486" s="145"/>
      <c r="N486" s="145"/>
      <c r="O486" s="145"/>
      <c r="P486" s="145"/>
      <c r="Q486" s="156"/>
      <c r="R486" s="145" t="s">
        <v>448</v>
      </c>
      <c r="S486" s="145"/>
      <c r="T486" s="145"/>
      <c r="U486" s="145"/>
      <c r="V486" s="145"/>
      <c r="W486" s="145"/>
      <c r="X486" s="145"/>
      <c r="Y486" s="145"/>
      <c r="Z486" s="145"/>
      <c r="AA486" s="145"/>
      <c r="AB486" s="145"/>
      <c r="AC486" s="145"/>
      <c r="AD486" s="145"/>
      <c r="AE486" s="145"/>
      <c r="AF486" s="145"/>
      <c r="AG486" s="145"/>
      <c r="AH486" s="145"/>
      <c r="AI486" s="145"/>
      <c r="AJ486" s="156"/>
      <c r="AK486" s="138"/>
      <c r="AL486" s="27"/>
      <c r="AM486" s="27"/>
      <c r="AN486" s="27"/>
      <c r="AO486" s="27"/>
      <c r="AP486" s="27"/>
      <c r="AQ486" s="148"/>
      <c r="AR486" s="148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139"/>
    </row>
    <row r="487" spans="2:61" ht="20.100000000000001" customHeight="1" x14ac:dyDescent="0.45">
      <c r="B487" s="133"/>
      <c r="C487" s="27"/>
      <c r="D487" s="27"/>
      <c r="E487" s="27"/>
      <c r="F487" s="27"/>
      <c r="G487" s="134"/>
      <c r="H487" s="135"/>
      <c r="I487" s="27"/>
      <c r="J487" s="144" t="s">
        <v>449</v>
      </c>
      <c r="K487" s="145"/>
      <c r="L487" s="145"/>
      <c r="M487" s="145"/>
      <c r="N487" s="145"/>
      <c r="O487" s="145"/>
      <c r="P487" s="145"/>
      <c r="Q487" s="156"/>
      <c r="R487" s="145" t="s">
        <v>450</v>
      </c>
      <c r="S487" s="145"/>
      <c r="T487" s="145"/>
      <c r="U487" s="145"/>
      <c r="V487" s="145"/>
      <c r="W487" s="145"/>
      <c r="X487" s="145"/>
      <c r="Y487" s="145"/>
      <c r="Z487" s="145"/>
      <c r="AA487" s="145"/>
      <c r="AB487" s="145"/>
      <c r="AC487" s="145"/>
      <c r="AD487" s="145"/>
      <c r="AE487" s="145"/>
      <c r="AF487" s="145"/>
      <c r="AG487" s="145"/>
      <c r="AH487" s="145"/>
      <c r="AI487" s="145"/>
      <c r="AJ487" s="156"/>
      <c r="AK487" s="138"/>
      <c r="AL487" s="27"/>
      <c r="AM487" s="27"/>
      <c r="AN487" s="27"/>
      <c r="AO487" s="27"/>
      <c r="AP487" s="27"/>
      <c r="AQ487" s="148"/>
      <c r="AR487" s="148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139"/>
    </row>
    <row r="488" spans="2:61" ht="20.100000000000001" customHeight="1" x14ac:dyDescent="0.45">
      <c r="B488" s="133"/>
      <c r="C488" s="27"/>
      <c r="D488" s="27"/>
      <c r="E488" s="27"/>
      <c r="F488" s="27"/>
      <c r="G488" s="134"/>
      <c r="H488" s="135"/>
      <c r="I488" s="27"/>
      <c r="J488" s="144" t="s">
        <v>451</v>
      </c>
      <c r="K488" s="145"/>
      <c r="L488" s="145"/>
      <c r="M488" s="145"/>
      <c r="N488" s="145"/>
      <c r="O488" s="145"/>
      <c r="P488" s="145"/>
      <c r="Q488" s="156"/>
      <c r="R488" s="145" t="s">
        <v>452</v>
      </c>
      <c r="S488" s="145"/>
      <c r="T488" s="145"/>
      <c r="U488" s="145"/>
      <c r="V488" s="145"/>
      <c r="W488" s="145"/>
      <c r="X488" s="145"/>
      <c r="Y488" s="145"/>
      <c r="Z488" s="145"/>
      <c r="AA488" s="145"/>
      <c r="AB488" s="145"/>
      <c r="AC488" s="145"/>
      <c r="AD488" s="145"/>
      <c r="AE488" s="145"/>
      <c r="AF488" s="145"/>
      <c r="AG488" s="145"/>
      <c r="AH488" s="145"/>
      <c r="AI488" s="145"/>
      <c r="AJ488" s="156"/>
      <c r="AK488" s="138"/>
      <c r="AL488" s="27"/>
      <c r="AM488" s="27"/>
      <c r="AN488" s="27"/>
      <c r="AO488" s="27"/>
      <c r="AP488" s="27"/>
      <c r="AQ488" s="148"/>
      <c r="AR488" s="148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139"/>
    </row>
    <row r="489" spans="2:61" ht="20.100000000000001" customHeight="1" x14ac:dyDescent="0.45">
      <c r="B489" s="133"/>
      <c r="C489" s="27"/>
      <c r="D489" s="27"/>
      <c r="E489" s="27"/>
      <c r="F489" s="27"/>
      <c r="G489" s="134"/>
      <c r="H489" s="135"/>
      <c r="I489" s="27"/>
      <c r="J489" s="144" t="s">
        <v>453</v>
      </c>
      <c r="K489" s="145"/>
      <c r="L489" s="145"/>
      <c r="M489" s="145"/>
      <c r="N489" s="145"/>
      <c r="O489" s="145"/>
      <c r="P489" s="145"/>
      <c r="Q489" s="156"/>
      <c r="R489" s="145" t="s">
        <v>454</v>
      </c>
      <c r="S489" s="145"/>
      <c r="T489" s="145"/>
      <c r="U489" s="145"/>
      <c r="V489" s="145"/>
      <c r="W489" s="145"/>
      <c r="X489" s="145"/>
      <c r="Y489" s="145"/>
      <c r="Z489" s="145"/>
      <c r="AA489" s="145"/>
      <c r="AB489" s="145"/>
      <c r="AC489" s="145"/>
      <c r="AD489" s="145"/>
      <c r="AE489" s="145"/>
      <c r="AF489" s="145"/>
      <c r="AG489" s="145"/>
      <c r="AH489" s="145"/>
      <c r="AI489" s="145"/>
      <c r="AJ489" s="156"/>
      <c r="AK489" s="138"/>
      <c r="AL489" s="27"/>
      <c r="AM489" s="27"/>
      <c r="AN489" s="27"/>
      <c r="AO489" s="27"/>
      <c r="AP489" s="27"/>
      <c r="AQ489" s="148"/>
      <c r="AR489" s="148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139"/>
    </row>
    <row r="490" spans="2:61" ht="20.100000000000001" customHeight="1" x14ac:dyDescent="0.45">
      <c r="B490" s="133"/>
      <c r="C490" s="27"/>
      <c r="D490" s="27"/>
      <c r="E490" s="27"/>
      <c r="F490" s="27"/>
      <c r="G490" s="134"/>
      <c r="H490" s="135"/>
      <c r="I490" s="27"/>
      <c r="J490" s="144" t="s">
        <v>455</v>
      </c>
      <c r="K490" s="145"/>
      <c r="L490" s="145"/>
      <c r="M490" s="145"/>
      <c r="N490" s="145"/>
      <c r="O490" s="145"/>
      <c r="P490" s="145"/>
      <c r="Q490" s="156"/>
      <c r="R490" s="145" t="s">
        <v>456</v>
      </c>
      <c r="S490" s="145"/>
      <c r="T490" s="145"/>
      <c r="U490" s="145"/>
      <c r="V490" s="145"/>
      <c r="W490" s="145"/>
      <c r="X490" s="145"/>
      <c r="Y490" s="145"/>
      <c r="Z490" s="145"/>
      <c r="AA490" s="145"/>
      <c r="AB490" s="145"/>
      <c r="AC490" s="145"/>
      <c r="AD490" s="145"/>
      <c r="AE490" s="145"/>
      <c r="AF490" s="145"/>
      <c r="AG490" s="145"/>
      <c r="AH490" s="145"/>
      <c r="AI490" s="145"/>
      <c r="AJ490" s="156"/>
      <c r="AK490" s="138"/>
      <c r="AL490" s="27"/>
      <c r="AM490" s="27"/>
      <c r="AN490" s="27"/>
      <c r="AO490" s="27"/>
      <c r="AP490" s="27"/>
      <c r="AQ490" s="148"/>
      <c r="AR490" s="148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139"/>
    </row>
    <row r="491" spans="2:61" ht="20.100000000000001" customHeight="1" x14ac:dyDescent="0.45">
      <c r="B491" s="133"/>
      <c r="C491" s="27"/>
      <c r="D491" s="27"/>
      <c r="E491" s="27"/>
      <c r="F491" s="27"/>
      <c r="G491" s="134"/>
      <c r="H491" s="135"/>
      <c r="I491" s="27"/>
      <c r="J491" s="144" t="s">
        <v>457</v>
      </c>
      <c r="K491" s="145"/>
      <c r="L491" s="145"/>
      <c r="M491" s="145"/>
      <c r="N491" s="145"/>
      <c r="O491" s="145"/>
      <c r="P491" s="145"/>
      <c r="Q491" s="156"/>
      <c r="R491" s="145" t="s">
        <v>458</v>
      </c>
      <c r="S491" s="145"/>
      <c r="T491" s="145"/>
      <c r="U491" s="145"/>
      <c r="V491" s="145"/>
      <c r="W491" s="145"/>
      <c r="X491" s="145"/>
      <c r="Y491" s="145"/>
      <c r="Z491" s="145"/>
      <c r="AA491" s="145"/>
      <c r="AB491" s="145"/>
      <c r="AC491" s="145"/>
      <c r="AD491" s="145"/>
      <c r="AE491" s="145"/>
      <c r="AF491" s="145"/>
      <c r="AG491" s="145"/>
      <c r="AH491" s="145"/>
      <c r="AI491" s="145"/>
      <c r="AJ491" s="156"/>
      <c r="AK491" s="138"/>
      <c r="AL491" s="27"/>
      <c r="AM491" s="27"/>
      <c r="AN491" s="27"/>
      <c r="AO491" s="27"/>
      <c r="AP491" s="27"/>
      <c r="AQ491" s="148"/>
      <c r="AR491" s="148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139"/>
    </row>
    <row r="492" spans="2:61" ht="20.100000000000001" customHeight="1" x14ac:dyDescent="0.45">
      <c r="B492" s="133"/>
      <c r="C492" s="27"/>
      <c r="D492" s="27"/>
      <c r="E492" s="27"/>
      <c r="F492" s="27"/>
      <c r="G492" s="134"/>
      <c r="H492" s="135"/>
      <c r="I492" s="27"/>
      <c r="J492" s="144" t="s">
        <v>459</v>
      </c>
      <c r="K492" s="145"/>
      <c r="L492" s="145"/>
      <c r="M492" s="145"/>
      <c r="N492" s="145"/>
      <c r="O492" s="145"/>
      <c r="P492" s="145"/>
      <c r="Q492" s="156"/>
      <c r="R492" s="145" t="s">
        <v>460</v>
      </c>
      <c r="S492" s="145"/>
      <c r="T492" s="145"/>
      <c r="U492" s="145"/>
      <c r="V492" s="145"/>
      <c r="W492" s="145"/>
      <c r="X492" s="145"/>
      <c r="Y492" s="145"/>
      <c r="Z492" s="145"/>
      <c r="AA492" s="145"/>
      <c r="AB492" s="145"/>
      <c r="AC492" s="145"/>
      <c r="AD492" s="145"/>
      <c r="AE492" s="145"/>
      <c r="AF492" s="145"/>
      <c r="AG492" s="145"/>
      <c r="AH492" s="145"/>
      <c r="AI492" s="145"/>
      <c r="AJ492" s="156"/>
      <c r="AK492" s="138"/>
      <c r="AL492" s="27"/>
      <c r="AM492" s="27"/>
      <c r="AN492" s="27"/>
      <c r="AO492" s="27"/>
      <c r="AP492" s="27"/>
      <c r="AQ492" s="148"/>
      <c r="AR492" s="148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139"/>
    </row>
    <row r="493" spans="2:61" ht="20.100000000000001" customHeight="1" x14ac:dyDescent="0.45">
      <c r="B493" s="133"/>
      <c r="C493" s="27"/>
      <c r="D493" s="27"/>
      <c r="E493" s="27"/>
      <c r="F493" s="27"/>
      <c r="G493" s="134"/>
      <c r="H493" s="135"/>
      <c r="I493" s="27"/>
      <c r="J493" s="144" t="s">
        <v>461</v>
      </c>
      <c r="K493" s="145"/>
      <c r="L493" s="145"/>
      <c r="M493" s="145"/>
      <c r="N493" s="145"/>
      <c r="O493" s="145"/>
      <c r="P493" s="145"/>
      <c r="Q493" s="156"/>
      <c r="R493" s="159" t="s">
        <v>462</v>
      </c>
      <c r="S493" s="145"/>
      <c r="T493" s="145"/>
      <c r="U493" s="145"/>
      <c r="V493" s="145"/>
      <c r="W493" s="145"/>
      <c r="X493" s="145"/>
      <c r="Y493" s="145"/>
      <c r="Z493" s="145"/>
      <c r="AA493" s="145"/>
      <c r="AB493" s="145"/>
      <c r="AC493" s="145"/>
      <c r="AD493" s="145"/>
      <c r="AE493" s="145"/>
      <c r="AF493" s="145"/>
      <c r="AG493" s="145"/>
      <c r="AH493" s="145"/>
      <c r="AI493" s="145"/>
      <c r="AJ493" s="156"/>
      <c r="AK493" s="138"/>
      <c r="AL493" s="27"/>
      <c r="AM493" s="27"/>
      <c r="AN493" s="27"/>
      <c r="AO493" s="27"/>
      <c r="AP493" s="27"/>
      <c r="AQ493" s="148"/>
      <c r="AR493" s="148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139"/>
    </row>
    <row r="494" spans="2:61" ht="20.100000000000001" customHeight="1" x14ac:dyDescent="0.45">
      <c r="B494" s="133"/>
      <c r="C494" s="27"/>
      <c r="D494" s="27"/>
      <c r="E494" s="27"/>
      <c r="F494" s="27"/>
      <c r="G494" s="134"/>
      <c r="H494" s="135"/>
      <c r="I494" s="27"/>
      <c r="J494" s="144" t="s">
        <v>463</v>
      </c>
      <c r="K494" s="145"/>
      <c r="L494" s="145"/>
      <c r="M494" s="145"/>
      <c r="N494" s="145"/>
      <c r="O494" s="145"/>
      <c r="P494" s="145"/>
      <c r="Q494" s="156"/>
      <c r="R494" s="159" t="s">
        <v>464</v>
      </c>
      <c r="S494" s="145"/>
      <c r="T494" s="145"/>
      <c r="U494" s="145"/>
      <c r="V494" s="145"/>
      <c r="W494" s="145"/>
      <c r="X494" s="145"/>
      <c r="Y494" s="145"/>
      <c r="Z494" s="145"/>
      <c r="AA494" s="145"/>
      <c r="AB494" s="145"/>
      <c r="AC494" s="145"/>
      <c r="AD494" s="145"/>
      <c r="AE494" s="145"/>
      <c r="AF494" s="145"/>
      <c r="AG494" s="145"/>
      <c r="AH494" s="145"/>
      <c r="AI494" s="145"/>
      <c r="AJ494" s="156"/>
      <c r="AK494" s="138"/>
      <c r="AL494" s="27"/>
      <c r="AM494" s="27"/>
      <c r="AN494" s="27"/>
      <c r="AO494" s="27"/>
      <c r="AP494" s="27"/>
      <c r="AQ494" s="148"/>
      <c r="AR494" s="148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139"/>
    </row>
    <row r="495" spans="2:61" ht="20.100000000000001" customHeight="1" x14ac:dyDescent="0.45">
      <c r="B495" s="133"/>
      <c r="C495" s="27"/>
      <c r="D495" s="27"/>
      <c r="E495" s="27"/>
      <c r="F495" s="27"/>
      <c r="G495" s="134"/>
      <c r="H495" s="135"/>
      <c r="I495" s="27"/>
      <c r="J495" s="144" t="s">
        <v>465</v>
      </c>
      <c r="K495" s="145"/>
      <c r="L495" s="145"/>
      <c r="M495" s="145"/>
      <c r="N495" s="145"/>
      <c r="O495" s="145"/>
      <c r="P495" s="145"/>
      <c r="Q495" s="156"/>
      <c r="R495" s="145" t="s">
        <v>466</v>
      </c>
      <c r="S495" s="145"/>
      <c r="T495" s="145"/>
      <c r="U495" s="145"/>
      <c r="V495" s="145"/>
      <c r="W495" s="145"/>
      <c r="X495" s="145"/>
      <c r="Y495" s="145"/>
      <c r="Z495" s="145"/>
      <c r="AA495" s="145"/>
      <c r="AB495" s="145"/>
      <c r="AC495" s="145"/>
      <c r="AD495" s="145"/>
      <c r="AE495" s="145"/>
      <c r="AF495" s="145"/>
      <c r="AG495" s="145"/>
      <c r="AH495" s="145"/>
      <c r="AI495" s="145"/>
      <c r="AJ495" s="156"/>
      <c r="AK495" s="138"/>
      <c r="AL495" s="27"/>
      <c r="AM495" s="27"/>
      <c r="AN495" s="27"/>
      <c r="AO495" s="27"/>
      <c r="AP495" s="27"/>
      <c r="AQ495" s="148"/>
      <c r="AR495" s="148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139"/>
    </row>
    <row r="496" spans="2:61" ht="20.100000000000001" customHeight="1" x14ac:dyDescent="0.45">
      <c r="B496" s="133"/>
      <c r="C496" s="27"/>
      <c r="D496" s="27"/>
      <c r="E496" s="27"/>
      <c r="F496" s="27"/>
      <c r="G496" s="134"/>
      <c r="H496" s="135"/>
      <c r="I496" s="27"/>
      <c r="J496" s="144" t="s">
        <v>467</v>
      </c>
      <c r="K496" s="145"/>
      <c r="L496" s="145"/>
      <c r="M496" s="145"/>
      <c r="N496" s="145"/>
      <c r="O496" s="145"/>
      <c r="P496" s="145"/>
      <c r="Q496" s="156"/>
      <c r="R496" s="145" t="s">
        <v>468</v>
      </c>
      <c r="S496" s="145"/>
      <c r="T496" s="145"/>
      <c r="U496" s="145"/>
      <c r="V496" s="145"/>
      <c r="W496" s="145"/>
      <c r="X496" s="145"/>
      <c r="Y496" s="145"/>
      <c r="Z496" s="145"/>
      <c r="AA496" s="145"/>
      <c r="AB496" s="145"/>
      <c r="AC496" s="145"/>
      <c r="AD496" s="145"/>
      <c r="AE496" s="145"/>
      <c r="AF496" s="145"/>
      <c r="AG496" s="145"/>
      <c r="AH496" s="145"/>
      <c r="AI496" s="145"/>
      <c r="AJ496" s="156"/>
      <c r="AK496" s="138"/>
      <c r="AL496" s="27"/>
      <c r="AM496" s="27"/>
      <c r="AN496" s="27"/>
      <c r="AO496" s="27"/>
      <c r="AP496" s="27"/>
      <c r="AQ496" s="148"/>
      <c r="AR496" s="148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139"/>
    </row>
    <row r="497" spans="2:61" ht="20.100000000000001" customHeight="1" x14ac:dyDescent="0.45">
      <c r="B497" s="133"/>
      <c r="C497" s="27"/>
      <c r="D497" s="27"/>
      <c r="E497" s="27"/>
      <c r="F497" s="27"/>
      <c r="G497" s="134"/>
      <c r="H497" s="135"/>
      <c r="I497" s="27"/>
      <c r="J497" s="144" t="s">
        <v>469</v>
      </c>
      <c r="K497" s="145"/>
      <c r="L497" s="145"/>
      <c r="M497" s="145"/>
      <c r="N497" s="145"/>
      <c r="O497" s="145"/>
      <c r="P497" s="145"/>
      <c r="Q497" s="156"/>
      <c r="R497" s="159" t="s">
        <v>470</v>
      </c>
      <c r="S497" s="145"/>
      <c r="T497" s="145"/>
      <c r="U497" s="145"/>
      <c r="V497" s="145"/>
      <c r="W497" s="145"/>
      <c r="X497" s="145"/>
      <c r="Y497" s="145"/>
      <c r="Z497" s="145"/>
      <c r="AA497" s="145"/>
      <c r="AB497" s="145"/>
      <c r="AC497" s="145"/>
      <c r="AD497" s="145"/>
      <c r="AE497" s="145"/>
      <c r="AF497" s="145"/>
      <c r="AG497" s="145"/>
      <c r="AH497" s="145"/>
      <c r="AI497" s="145"/>
      <c r="AJ497" s="156"/>
      <c r="AK497" s="138"/>
      <c r="AL497" s="27"/>
      <c r="AM497" s="27"/>
      <c r="AN497" s="27"/>
      <c r="AO497" s="27"/>
      <c r="AP497" s="27"/>
      <c r="AQ497" s="148"/>
      <c r="AR497" s="148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139"/>
    </row>
    <row r="498" spans="2:61" ht="20.100000000000001" customHeight="1" x14ac:dyDescent="0.45">
      <c r="B498" s="133"/>
      <c r="C498" s="27"/>
      <c r="D498" s="27"/>
      <c r="E498" s="27"/>
      <c r="F498" s="27"/>
      <c r="G498" s="134"/>
      <c r="H498" s="135"/>
      <c r="I498" s="27"/>
      <c r="J498" s="144" t="s">
        <v>471</v>
      </c>
      <c r="K498" s="145"/>
      <c r="L498" s="145"/>
      <c r="M498" s="145"/>
      <c r="N498" s="145"/>
      <c r="O498" s="145"/>
      <c r="P498" s="145"/>
      <c r="Q498" s="156"/>
      <c r="R498" s="159" t="s">
        <v>472</v>
      </c>
      <c r="S498" s="145"/>
      <c r="T498" s="145"/>
      <c r="U498" s="145"/>
      <c r="V498" s="145"/>
      <c r="W498" s="145"/>
      <c r="X498" s="145"/>
      <c r="Y498" s="145"/>
      <c r="Z498" s="145"/>
      <c r="AA498" s="145"/>
      <c r="AB498" s="145"/>
      <c r="AC498" s="145"/>
      <c r="AD498" s="145"/>
      <c r="AE498" s="145"/>
      <c r="AF498" s="145"/>
      <c r="AG498" s="145"/>
      <c r="AH498" s="145"/>
      <c r="AI498" s="145"/>
      <c r="AJ498" s="156"/>
      <c r="AK498" s="138"/>
      <c r="AL498" s="27"/>
      <c r="AM498" s="27"/>
      <c r="AN498" s="27"/>
      <c r="AO498" s="27"/>
      <c r="AP498" s="27"/>
      <c r="AQ498" s="148"/>
      <c r="AR498" s="148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139"/>
    </row>
    <row r="499" spans="2:61" ht="20.100000000000001" customHeight="1" x14ac:dyDescent="0.45">
      <c r="B499" s="133"/>
      <c r="C499" s="27"/>
      <c r="D499" s="27"/>
      <c r="E499" s="27"/>
      <c r="F499" s="27"/>
      <c r="G499" s="134"/>
      <c r="H499" s="135"/>
      <c r="I499" s="27"/>
      <c r="J499" s="144" t="s">
        <v>473</v>
      </c>
      <c r="K499" s="145"/>
      <c r="L499" s="145"/>
      <c r="M499" s="145"/>
      <c r="N499" s="145"/>
      <c r="O499" s="145"/>
      <c r="P499" s="145"/>
      <c r="Q499" s="156"/>
      <c r="R499" s="145" t="s">
        <v>474</v>
      </c>
      <c r="S499" s="145"/>
      <c r="T499" s="145"/>
      <c r="U499" s="145"/>
      <c r="V499" s="145"/>
      <c r="W499" s="145"/>
      <c r="X499" s="145"/>
      <c r="Y499" s="145"/>
      <c r="Z499" s="145"/>
      <c r="AA499" s="145"/>
      <c r="AB499" s="145"/>
      <c r="AC499" s="145"/>
      <c r="AD499" s="145"/>
      <c r="AE499" s="145"/>
      <c r="AF499" s="145"/>
      <c r="AG499" s="145"/>
      <c r="AH499" s="145"/>
      <c r="AI499" s="145"/>
      <c r="AJ499" s="156"/>
      <c r="AK499" s="138"/>
      <c r="AL499" s="27"/>
      <c r="AM499" s="27"/>
      <c r="AN499" s="27"/>
      <c r="AO499" s="27"/>
      <c r="AP499" s="27"/>
      <c r="AQ499" s="148"/>
      <c r="AR499" s="148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139"/>
    </row>
    <row r="500" spans="2:61" ht="20.100000000000001" customHeight="1" x14ac:dyDescent="0.45">
      <c r="B500" s="133"/>
      <c r="C500" s="27"/>
      <c r="D500" s="27"/>
      <c r="E500" s="27"/>
      <c r="F500" s="27"/>
      <c r="G500" s="134"/>
      <c r="H500" s="135"/>
      <c r="I500" s="27"/>
      <c r="J500" s="144" t="s">
        <v>475</v>
      </c>
      <c r="K500" s="145"/>
      <c r="L500" s="145"/>
      <c r="M500" s="145"/>
      <c r="N500" s="145"/>
      <c r="O500" s="145"/>
      <c r="P500" s="145"/>
      <c r="Q500" s="156"/>
      <c r="R500" s="145" t="s">
        <v>476</v>
      </c>
      <c r="S500" s="145"/>
      <c r="T500" s="145"/>
      <c r="U500" s="145"/>
      <c r="V500" s="145"/>
      <c r="W500" s="145"/>
      <c r="X500" s="145"/>
      <c r="Y500" s="145"/>
      <c r="Z500" s="145"/>
      <c r="AA500" s="145"/>
      <c r="AB500" s="145"/>
      <c r="AC500" s="145"/>
      <c r="AD500" s="145"/>
      <c r="AE500" s="145"/>
      <c r="AF500" s="145"/>
      <c r="AG500" s="145"/>
      <c r="AH500" s="145"/>
      <c r="AI500" s="145"/>
      <c r="AJ500" s="156"/>
      <c r="AK500" s="138"/>
      <c r="AL500" s="27"/>
      <c r="AM500" s="27"/>
      <c r="AN500" s="27"/>
      <c r="AO500" s="27"/>
      <c r="AP500" s="27"/>
      <c r="AQ500" s="148"/>
      <c r="AR500" s="148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139"/>
    </row>
    <row r="501" spans="2:61" ht="20.100000000000001" customHeight="1" x14ac:dyDescent="0.45">
      <c r="B501" s="133"/>
      <c r="C501" s="27"/>
      <c r="D501" s="27"/>
      <c r="E501" s="27"/>
      <c r="F501" s="27"/>
      <c r="G501" s="134"/>
      <c r="H501" s="135"/>
      <c r="I501" s="27"/>
      <c r="J501" s="144" t="s">
        <v>477</v>
      </c>
      <c r="K501" s="145"/>
      <c r="L501" s="145"/>
      <c r="M501" s="145"/>
      <c r="N501" s="145"/>
      <c r="O501" s="145"/>
      <c r="P501" s="145"/>
      <c r="Q501" s="156"/>
      <c r="R501" s="145" t="s">
        <v>478</v>
      </c>
      <c r="S501" s="145"/>
      <c r="T501" s="145"/>
      <c r="U501" s="145"/>
      <c r="V501" s="145"/>
      <c r="W501" s="145"/>
      <c r="X501" s="145"/>
      <c r="Y501" s="145"/>
      <c r="Z501" s="145"/>
      <c r="AA501" s="145"/>
      <c r="AB501" s="145"/>
      <c r="AC501" s="145"/>
      <c r="AD501" s="145"/>
      <c r="AE501" s="145"/>
      <c r="AF501" s="145"/>
      <c r="AG501" s="145"/>
      <c r="AH501" s="145"/>
      <c r="AI501" s="145"/>
      <c r="AJ501" s="156"/>
      <c r="AK501" s="138"/>
      <c r="AL501" s="27"/>
      <c r="AM501" s="27"/>
      <c r="AN501" s="27"/>
      <c r="AO501" s="27"/>
      <c r="AP501" s="27"/>
      <c r="AQ501" s="148"/>
      <c r="AR501" s="148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139"/>
    </row>
    <row r="502" spans="2:61" ht="20.100000000000001" customHeight="1" x14ac:dyDescent="0.45">
      <c r="B502" s="133"/>
      <c r="C502" s="27"/>
      <c r="D502" s="27"/>
      <c r="E502" s="27"/>
      <c r="F502" s="27"/>
      <c r="G502" s="134"/>
      <c r="H502" s="135"/>
      <c r="I502" s="27"/>
      <c r="J502" s="144" t="s">
        <v>479</v>
      </c>
      <c r="K502" s="145"/>
      <c r="L502" s="145"/>
      <c r="M502" s="145"/>
      <c r="N502" s="145"/>
      <c r="O502" s="145"/>
      <c r="P502" s="145"/>
      <c r="Q502" s="156"/>
      <c r="R502" s="145" t="s">
        <v>480</v>
      </c>
      <c r="S502" s="145"/>
      <c r="T502" s="145"/>
      <c r="U502" s="145"/>
      <c r="V502" s="145"/>
      <c r="W502" s="145"/>
      <c r="X502" s="145"/>
      <c r="Y502" s="145"/>
      <c r="Z502" s="145"/>
      <c r="AA502" s="145"/>
      <c r="AB502" s="145"/>
      <c r="AC502" s="145"/>
      <c r="AD502" s="145"/>
      <c r="AE502" s="145"/>
      <c r="AF502" s="145"/>
      <c r="AG502" s="145"/>
      <c r="AH502" s="145"/>
      <c r="AI502" s="145"/>
      <c r="AJ502" s="156"/>
      <c r="AK502" s="138"/>
      <c r="AL502" s="27"/>
      <c r="AM502" s="27"/>
      <c r="AN502" s="27"/>
      <c r="AO502" s="27"/>
      <c r="AP502" s="27"/>
      <c r="AQ502" s="148"/>
      <c r="AR502" s="148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139"/>
    </row>
    <row r="503" spans="2:61" ht="20.100000000000001" customHeight="1" x14ac:dyDescent="0.45">
      <c r="B503" s="133"/>
      <c r="C503" s="27"/>
      <c r="D503" s="27"/>
      <c r="E503" s="27"/>
      <c r="F503" s="27"/>
      <c r="G503" s="134"/>
      <c r="H503" s="135"/>
      <c r="I503" s="27"/>
      <c r="J503" s="144" t="s">
        <v>481</v>
      </c>
      <c r="K503" s="145"/>
      <c r="L503" s="145"/>
      <c r="M503" s="145"/>
      <c r="N503" s="145"/>
      <c r="O503" s="145"/>
      <c r="P503" s="145"/>
      <c r="Q503" s="156"/>
      <c r="R503" s="145" t="s">
        <v>482</v>
      </c>
      <c r="S503" s="145"/>
      <c r="T503" s="145"/>
      <c r="U503" s="145"/>
      <c r="V503" s="145"/>
      <c r="W503" s="145"/>
      <c r="X503" s="145"/>
      <c r="Y503" s="145"/>
      <c r="Z503" s="145"/>
      <c r="AA503" s="145"/>
      <c r="AB503" s="145"/>
      <c r="AC503" s="145"/>
      <c r="AD503" s="145"/>
      <c r="AE503" s="145"/>
      <c r="AF503" s="145"/>
      <c r="AG503" s="145"/>
      <c r="AH503" s="145"/>
      <c r="AI503" s="145"/>
      <c r="AJ503" s="156"/>
      <c r="AK503" s="138"/>
      <c r="AL503" s="27"/>
      <c r="AM503" s="27"/>
      <c r="AN503" s="27"/>
      <c r="AO503" s="27"/>
      <c r="AP503" s="27"/>
      <c r="AQ503" s="148"/>
      <c r="AR503" s="148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139"/>
    </row>
    <row r="504" spans="2:61" ht="20.100000000000001" customHeight="1" x14ac:dyDescent="0.45">
      <c r="B504" s="133"/>
      <c r="C504" s="27"/>
      <c r="D504" s="27"/>
      <c r="E504" s="27"/>
      <c r="F504" s="27"/>
      <c r="G504" s="134"/>
      <c r="H504" s="135"/>
      <c r="I504" s="27"/>
      <c r="J504" s="144" t="s">
        <v>483</v>
      </c>
      <c r="K504" s="145"/>
      <c r="L504" s="145"/>
      <c r="M504" s="145"/>
      <c r="N504" s="145"/>
      <c r="O504" s="145"/>
      <c r="P504" s="145"/>
      <c r="Q504" s="156"/>
      <c r="R504" s="145" t="s">
        <v>484</v>
      </c>
      <c r="S504" s="145"/>
      <c r="T504" s="145"/>
      <c r="U504" s="145"/>
      <c r="V504" s="145"/>
      <c r="W504" s="145"/>
      <c r="X504" s="145"/>
      <c r="Y504" s="145"/>
      <c r="Z504" s="145"/>
      <c r="AA504" s="145"/>
      <c r="AB504" s="145"/>
      <c r="AC504" s="145"/>
      <c r="AD504" s="145"/>
      <c r="AE504" s="145"/>
      <c r="AF504" s="145"/>
      <c r="AG504" s="145"/>
      <c r="AH504" s="145"/>
      <c r="AI504" s="145"/>
      <c r="AJ504" s="156"/>
      <c r="AK504" s="138"/>
      <c r="AL504" s="27"/>
      <c r="AM504" s="27"/>
      <c r="AN504" s="27"/>
      <c r="AO504" s="27"/>
      <c r="AP504" s="27"/>
      <c r="AQ504" s="148"/>
      <c r="AR504" s="148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139"/>
    </row>
    <row r="505" spans="2:61" ht="20.100000000000001" customHeight="1" thickBot="1" x14ac:dyDescent="0.5">
      <c r="B505" s="133"/>
      <c r="C505" s="27"/>
      <c r="D505" s="27"/>
      <c r="E505" s="27"/>
      <c r="F505" s="27"/>
      <c r="G505" s="134"/>
      <c r="H505" s="140" t="s">
        <v>159</v>
      </c>
      <c r="I505" s="51"/>
      <c r="J505" s="140" t="s">
        <v>485</v>
      </c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  <c r="AB505" s="51"/>
      <c r="AC505" s="51"/>
      <c r="AD505" s="51"/>
      <c r="AE505" s="51"/>
      <c r="AF505" s="51"/>
      <c r="AG505" s="51"/>
      <c r="AH505" s="51"/>
      <c r="AI505" s="51"/>
      <c r="AJ505" s="51"/>
      <c r="AK505" s="141"/>
      <c r="AL505" s="51"/>
      <c r="AM505" s="51"/>
      <c r="AN505" s="51"/>
      <c r="AO505" s="51"/>
      <c r="AP505" s="51"/>
      <c r="AQ505" s="51"/>
      <c r="AR505" s="51"/>
      <c r="AS505" s="51"/>
      <c r="AT505" s="51"/>
      <c r="AU505" s="51"/>
      <c r="AV505" s="51"/>
      <c r="AW505" s="51"/>
      <c r="AX505" s="51"/>
      <c r="AY505" s="51"/>
      <c r="AZ505" s="51"/>
      <c r="BA505" s="51"/>
      <c r="BB505" s="51"/>
      <c r="BC505" s="51"/>
      <c r="BD505" s="51"/>
      <c r="BE505" s="51"/>
      <c r="BF505" s="51"/>
      <c r="BG505" s="51"/>
      <c r="BH505" s="51"/>
      <c r="BI505" s="142"/>
    </row>
    <row r="506" spans="2:61" ht="20.100000000000001" customHeight="1" x14ac:dyDescent="0.45">
      <c r="B506" s="124" t="s">
        <v>761</v>
      </c>
      <c r="C506" s="125"/>
      <c r="D506" s="125"/>
      <c r="E506" s="125"/>
      <c r="F506" s="125"/>
      <c r="G506" s="126"/>
      <c r="H506" s="127" t="s">
        <v>487</v>
      </c>
      <c r="I506" s="125"/>
      <c r="J506" s="128" t="s">
        <v>488</v>
      </c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30"/>
      <c r="AK506" s="131" t="s">
        <v>489</v>
      </c>
      <c r="AL506" s="125"/>
      <c r="AM506" s="125"/>
      <c r="AN506" s="125"/>
      <c r="AO506" s="125"/>
      <c r="AP506" s="125"/>
      <c r="AQ506" s="158"/>
      <c r="AR506" s="158"/>
      <c r="AS506" s="125"/>
      <c r="AT506" s="125"/>
      <c r="AU506" s="125"/>
      <c r="AV506" s="125"/>
      <c r="AW506" s="125"/>
      <c r="AX506" s="125"/>
      <c r="AY506" s="125"/>
      <c r="AZ506" s="125"/>
      <c r="BA506" s="125"/>
      <c r="BB506" s="125"/>
      <c r="BC506" s="125"/>
      <c r="BD506" s="125"/>
      <c r="BE506" s="125"/>
      <c r="BF506" s="125"/>
      <c r="BG506" s="125"/>
      <c r="BH506" s="125"/>
      <c r="BI506" s="132"/>
    </row>
    <row r="507" spans="2:61" ht="21" customHeight="1" thickBot="1" x14ac:dyDescent="0.5">
      <c r="B507" s="133"/>
      <c r="C507" s="27"/>
      <c r="D507" s="27"/>
      <c r="E507" s="27"/>
      <c r="F507" s="27"/>
      <c r="G507" s="134"/>
      <c r="H507" s="140" t="s">
        <v>161</v>
      </c>
      <c r="I507" s="51"/>
      <c r="J507" s="140" t="s">
        <v>490</v>
      </c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  <c r="AB507" s="51"/>
      <c r="AC507" s="51"/>
      <c r="AD507" s="51"/>
      <c r="AE507" s="51"/>
      <c r="AF507" s="51"/>
      <c r="AG507" s="51"/>
      <c r="AH507" s="51"/>
      <c r="AI507" s="51"/>
      <c r="AJ507" s="51"/>
      <c r="AK507" s="141"/>
      <c r="AL507" s="51"/>
      <c r="AM507" s="51"/>
      <c r="AN507" s="51"/>
      <c r="AO507" s="51"/>
      <c r="AP507" s="51"/>
      <c r="AQ507" s="51"/>
      <c r="AR507" s="51"/>
      <c r="AS507" s="51"/>
      <c r="AT507" s="51"/>
      <c r="AU507" s="51"/>
      <c r="AV507" s="51"/>
      <c r="AW507" s="51"/>
      <c r="AX507" s="51"/>
      <c r="AY507" s="51"/>
      <c r="AZ507" s="51"/>
      <c r="BA507" s="51"/>
      <c r="BB507" s="51"/>
      <c r="BC507" s="51"/>
      <c r="BD507" s="51"/>
      <c r="BE507" s="51"/>
      <c r="BF507" s="51"/>
      <c r="BG507" s="51"/>
      <c r="BH507" s="51"/>
      <c r="BI507" s="142"/>
    </row>
    <row r="508" spans="2:61" ht="20.100000000000001" customHeight="1" x14ac:dyDescent="0.45">
      <c r="B508" s="124" t="s">
        <v>762</v>
      </c>
      <c r="C508" s="125"/>
      <c r="D508" s="125"/>
      <c r="E508" s="125"/>
      <c r="F508" s="125"/>
      <c r="G508" s="126"/>
      <c r="H508" s="127" t="s">
        <v>492</v>
      </c>
      <c r="I508" s="125"/>
      <c r="J508" s="128" t="s">
        <v>404</v>
      </c>
      <c r="K508" s="129"/>
      <c r="L508" s="129"/>
      <c r="M508" s="129"/>
      <c r="N508" s="129"/>
      <c r="O508" s="129"/>
      <c r="P508" s="129"/>
      <c r="Q508" s="129"/>
      <c r="R508" s="128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30"/>
      <c r="AK508" s="131" t="s">
        <v>493</v>
      </c>
      <c r="AL508" s="125"/>
      <c r="AM508" s="125"/>
      <c r="AN508" s="125"/>
      <c r="AO508" s="125"/>
      <c r="AP508" s="125"/>
      <c r="AQ508" s="158"/>
      <c r="AR508" s="158" t="s">
        <v>494</v>
      </c>
      <c r="AS508" s="125"/>
      <c r="AT508" s="125"/>
      <c r="AU508" s="125"/>
      <c r="AV508" s="125"/>
      <c r="AW508" s="125"/>
      <c r="AX508" s="125"/>
      <c r="AY508" s="125"/>
      <c r="AZ508" s="125"/>
      <c r="BA508" s="125"/>
      <c r="BB508" s="125"/>
      <c r="BC508" s="125"/>
      <c r="BD508" s="125"/>
      <c r="BE508" s="125"/>
      <c r="BF508" s="125"/>
      <c r="BG508" s="125"/>
      <c r="BH508" s="125"/>
      <c r="BI508" s="132"/>
    </row>
    <row r="509" spans="2:61" ht="21" customHeight="1" thickBot="1" x14ac:dyDescent="0.5">
      <c r="B509" s="133"/>
      <c r="C509" s="27"/>
      <c r="D509" s="27"/>
      <c r="E509" s="27"/>
      <c r="F509" s="27"/>
      <c r="G509" s="134"/>
      <c r="H509" s="140" t="s">
        <v>159</v>
      </c>
      <c r="I509" s="51"/>
      <c r="J509" s="140" t="s">
        <v>495</v>
      </c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  <c r="AB509" s="51"/>
      <c r="AC509" s="51"/>
      <c r="AD509" s="51"/>
      <c r="AE509" s="51"/>
      <c r="AF509" s="51"/>
      <c r="AG509" s="51"/>
      <c r="AH509" s="51"/>
      <c r="AI509" s="51"/>
      <c r="AJ509" s="51"/>
      <c r="AK509" s="141"/>
      <c r="AL509" s="51"/>
      <c r="AM509" s="51"/>
      <c r="AN509" s="51"/>
      <c r="AO509" s="51"/>
      <c r="AP509" s="51"/>
      <c r="AQ509" s="51"/>
      <c r="AR509" s="51"/>
      <c r="AS509" s="51"/>
      <c r="AT509" s="51"/>
      <c r="AU509" s="51"/>
      <c r="AV509" s="51"/>
      <c r="AW509" s="51"/>
      <c r="AX509" s="51"/>
      <c r="AY509" s="51"/>
      <c r="AZ509" s="51"/>
      <c r="BA509" s="51"/>
      <c r="BB509" s="51"/>
      <c r="BC509" s="51"/>
      <c r="BD509" s="51"/>
      <c r="BE509" s="51"/>
      <c r="BF509" s="51"/>
      <c r="BG509" s="51"/>
      <c r="BH509" s="51"/>
      <c r="BI509" s="142"/>
    </row>
    <row r="510" spans="2:61" ht="20.100000000000001" customHeight="1" x14ac:dyDescent="0.45">
      <c r="B510" s="124" t="s">
        <v>239</v>
      </c>
      <c r="C510" s="125"/>
      <c r="D510" s="125"/>
      <c r="E510" s="125"/>
      <c r="F510" s="125"/>
      <c r="G510" s="126"/>
      <c r="H510" s="127" t="s">
        <v>158</v>
      </c>
      <c r="I510" s="125"/>
      <c r="J510" s="128" t="s">
        <v>241</v>
      </c>
      <c r="K510" s="129"/>
      <c r="L510" s="129"/>
      <c r="M510" s="129"/>
      <c r="N510" s="129"/>
      <c r="O510" s="129"/>
      <c r="P510" s="129"/>
      <c r="Q510" s="130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30"/>
      <c r="AK510" s="131" t="s">
        <v>197</v>
      </c>
      <c r="AL510" s="125"/>
      <c r="AM510" s="125"/>
      <c r="AN510" s="125"/>
      <c r="AO510" s="125"/>
      <c r="AP510" s="125" t="s">
        <v>198</v>
      </c>
      <c r="AQ510" s="125"/>
      <c r="AR510" s="125"/>
      <c r="AS510" s="125"/>
      <c r="AT510" s="125"/>
      <c r="AU510" s="125"/>
      <c r="AV510" s="125"/>
      <c r="AW510" s="125"/>
      <c r="AX510" s="125"/>
      <c r="AY510" s="125"/>
      <c r="AZ510" s="125"/>
      <c r="BA510" s="125"/>
      <c r="BB510" s="125"/>
      <c r="BC510" s="125"/>
      <c r="BD510" s="125"/>
      <c r="BE510" s="125"/>
      <c r="BF510" s="125"/>
      <c r="BG510" s="125"/>
      <c r="BH510" s="125"/>
      <c r="BI510" s="132"/>
    </row>
    <row r="511" spans="2:61" ht="20.100000000000001" customHeight="1" x14ac:dyDescent="0.45">
      <c r="B511" s="133"/>
      <c r="C511" s="27"/>
      <c r="D511" s="27"/>
      <c r="E511" s="27"/>
      <c r="F511" s="27"/>
      <c r="G511" s="134"/>
      <c r="H511" s="135"/>
      <c r="I511" s="27"/>
      <c r="J511" s="144" t="s">
        <v>163</v>
      </c>
      <c r="K511" s="145"/>
      <c r="L511" s="145"/>
      <c r="M511" s="145"/>
      <c r="N511" s="145"/>
      <c r="O511" s="145"/>
      <c r="P511" s="145"/>
      <c r="Q511" s="156"/>
      <c r="R511" s="145"/>
      <c r="S511" s="145"/>
      <c r="T511" s="145"/>
      <c r="U511" s="145"/>
      <c r="V511" s="145"/>
      <c r="W511" s="145"/>
      <c r="X511" s="145"/>
      <c r="Y511" s="145"/>
      <c r="Z511" s="145"/>
      <c r="AA511" s="145"/>
      <c r="AB511" s="145"/>
      <c r="AC511" s="145"/>
      <c r="AD511" s="145"/>
      <c r="AE511" s="145"/>
      <c r="AF511" s="145"/>
      <c r="AG511" s="145"/>
      <c r="AH511" s="145"/>
      <c r="AI511" s="145"/>
      <c r="AJ511" s="156"/>
      <c r="AK511" s="138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139"/>
    </row>
    <row r="512" spans="2:61" ht="20.100000000000001" customHeight="1" x14ac:dyDescent="0.45">
      <c r="B512" s="133"/>
      <c r="C512" s="27"/>
      <c r="D512" s="27"/>
      <c r="E512" s="27"/>
      <c r="F512" s="27"/>
      <c r="G512" s="134"/>
      <c r="H512" s="135"/>
      <c r="I512" s="27"/>
      <c r="J512" s="144" t="s">
        <v>199</v>
      </c>
      <c r="K512" s="145"/>
      <c r="L512" s="145"/>
      <c r="M512" s="145"/>
      <c r="N512" s="145"/>
      <c r="O512" s="145"/>
      <c r="P512" s="145"/>
      <c r="Q512" s="156"/>
      <c r="R512" s="145"/>
      <c r="S512" s="145"/>
      <c r="T512" s="145"/>
      <c r="U512" s="145"/>
      <c r="V512" s="145"/>
      <c r="W512" s="145"/>
      <c r="X512" s="145"/>
      <c r="Y512" s="145"/>
      <c r="Z512" s="145"/>
      <c r="AA512" s="145"/>
      <c r="AB512" s="145"/>
      <c r="AC512" s="145"/>
      <c r="AD512" s="145"/>
      <c r="AE512" s="145"/>
      <c r="AF512" s="145"/>
      <c r="AG512" s="145"/>
      <c r="AH512" s="145"/>
      <c r="AI512" s="145"/>
      <c r="AJ512" s="156"/>
      <c r="AK512" s="138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139"/>
    </row>
    <row r="513" spans="2:61" ht="20.100000000000001" customHeight="1" x14ac:dyDescent="0.45">
      <c r="B513" s="133"/>
      <c r="C513" s="27"/>
      <c r="D513" s="27"/>
      <c r="E513" s="27"/>
      <c r="F513" s="27"/>
      <c r="G513" s="134"/>
      <c r="H513" s="135"/>
      <c r="I513" s="27"/>
      <c r="J513" s="144" t="s">
        <v>200</v>
      </c>
      <c r="K513" s="145"/>
      <c r="L513" s="145"/>
      <c r="M513" s="145"/>
      <c r="N513" s="145"/>
      <c r="O513" s="145"/>
      <c r="P513" s="145"/>
      <c r="Q513" s="156"/>
      <c r="R513" s="145"/>
      <c r="S513" s="145"/>
      <c r="T513" s="145"/>
      <c r="U513" s="145"/>
      <c r="V513" s="145"/>
      <c r="W513" s="145"/>
      <c r="X513" s="145"/>
      <c r="Y513" s="145"/>
      <c r="Z513" s="145"/>
      <c r="AA513" s="145"/>
      <c r="AB513" s="145"/>
      <c r="AC513" s="145"/>
      <c r="AD513" s="145"/>
      <c r="AE513" s="145"/>
      <c r="AF513" s="145"/>
      <c r="AG513" s="145"/>
      <c r="AH513" s="145"/>
      <c r="AI513" s="145"/>
      <c r="AJ513" s="156"/>
      <c r="AK513" s="138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139"/>
    </row>
    <row r="514" spans="2:61" ht="20.100000000000001" customHeight="1" x14ac:dyDescent="0.45">
      <c r="B514" s="133"/>
      <c r="C514" s="27"/>
      <c r="D514" s="27"/>
      <c r="E514" s="27"/>
      <c r="F514" s="27"/>
      <c r="G514" s="134"/>
      <c r="H514" s="135"/>
      <c r="I514" s="27"/>
      <c r="J514" s="144" t="s">
        <v>201</v>
      </c>
      <c r="K514" s="145"/>
      <c r="L514" s="145"/>
      <c r="M514" s="145"/>
      <c r="N514" s="145"/>
      <c r="O514" s="145"/>
      <c r="P514" s="145"/>
      <c r="Q514" s="156"/>
      <c r="R514" s="145"/>
      <c r="S514" s="145"/>
      <c r="T514" s="145"/>
      <c r="U514" s="145"/>
      <c r="V514" s="145"/>
      <c r="W514" s="145"/>
      <c r="X514" s="145"/>
      <c r="Y514" s="145"/>
      <c r="Z514" s="145"/>
      <c r="AA514" s="145"/>
      <c r="AB514" s="145"/>
      <c r="AC514" s="145"/>
      <c r="AD514" s="145"/>
      <c r="AE514" s="145"/>
      <c r="AF514" s="145"/>
      <c r="AG514" s="145"/>
      <c r="AH514" s="145"/>
      <c r="AI514" s="145"/>
      <c r="AJ514" s="156"/>
      <c r="AK514" s="138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139"/>
    </row>
    <row r="515" spans="2:61" ht="20.100000000000001" customHeight="1" x14ac:dyDescent="0.45">
      <c r="B515" s="133"/>
      <c r="C515" s="27"/>
      <c r="D515" s="27"/>
      <c r="E515" s="27"/>
      <c r="F515" s="27"/>
      <c r="G515" s="134"/>
      <c r="H515" s="135"/>
      <c r="I515" s="27"/>
      <c r="J515" s="144" t="s">
        <v>202</v>
      </c>
      <c r="K515" s="145"/>
      <c r="L515" s="145"/>
      <c r="M515" s="145"/>
      <c r="N515" s="145"/>
      <c r="O515" s="145"/>
      <c r="P515" s="145"/>
      <c r="Q515" s="156"/>
      <c r="R515" s="145"/>
      <c r="S515" s="145"/>
      <c r="T515" s="145"/>
      <c r="U515" s="145"/>
      <c r="V515" s="145"/>
      <c r="W515" s="145"/>
      <c r="X515" s="145"/>
      <c r="Y515" s="145"/>
      <c r="Z515" s="145"/>
      <c r="AA515" s="145"/>
      <c r="AB515" s="145"/>
      <c r="AC515" s="145"/>
      <c r="AD515" s="145"/>
      <c r="AE515" s="145"/>
      <c r="AF515" s="145"/>
      <c r="AG515" s="145"/>
      <c r="AH515" s="145"/>
      <c r="AI515" s="145"/>
      <c r="AJ515" s="156"/>
      <c r="AK515" s="138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139"/>
    </row>
    <row r="516" spans="2:61" ht="20.100000000000001" customHeight="1" x14ac:dyDescent="0.45">
      <c r="B516" s="133"/>
      <c r="C516" s="27"/>
      <c r="D516" s="27"/>
      <c r="E516" s="27"/>
      <c r="F516" s="27"/>
      <c r="G516" s="134"/>
      <c r="H516" s="135"/>
      <c r="I516" s="27"/>
      <c r="J516" s="144" t="s">
        <v>203</v>
      </c>
      <c r="K516" s="145"/>
      <c r="L516" s="145"/>
      <c r="M516" s="145"/>
      <c r="N516" s="145"/>
      <c r="O516" s="145"/>
      <c r="P516" s="145"/>
      <c r="Q516" s="156"/>
      <c r="R516" s="145"/>
      <c r="S516" s="145"/>
      <c r="T516" s="145"/>
      <c r="U516" s="145"/>
      <c r="V516" s="145"/>
      <c r="W516" s="145"/>
      <c r="X516" s="145"/>
      <c r="Y516" s="145"/>
      <c r="Z516" s="145"/>
      <c r="AA516" s="145"/>
      <c r="AB516" s="145"/>
      <c r="AC516" s="145"/>
      <c r="AD516" s="145"/>
      <c r="AE516" s="145"/>
      <c r="AF516" s="145"/>
      <c r="AG516" s="145"/>
      <c r="AH516" s="145"/>
      <c r="AI516" s="145"/>
      <c r="AJ516" s="156"/>
      <c r="AK516" s="138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139"/>
    </row>
    <row r="517" spans="2:61" ht="20.100000000000001" customHeight="1" x14ac:dyDescent="0.45">
      <c r="B517" s="133"/>
      <c r="C517" s="27"/>
      <c r="D517" s="27"/>
      <c r="E517" s="27"/>
      <c r="F517" s="27"/>
      <c r="G517" s="134"/>
      <c r="H517" s="135"/>
      <c r="I517" s="27"/>
      <c r="J517" s="144" t="s">
        <v>204</v>
      </c>
      <c r="K517" s="145"/>
      <c r="L517" s="145"/>
      <c r="M517" s="145"/>
      <c r="N517" s="145"/>
      <c r="O517" s="145"/>
      <c r="P517" s="145"/>
      <c r="Q517" s="156"/>
      <c r="R517" s="145"/>
      <c r="S517" s="145"/>
      <c r="T517" s="145"/>
      <c r="U517" s="145"/>
      <c r="V517" s="145"/>
      <c r="W517" s="145"/>
      <c r="X517" s="145"/>
      <c r="Y517" s="145"/>
      <c r="Z517" s="145"/>
      <c r="AA517" s="145"/>
      <c r="AB517" s="145"/>
      <c r="AC517" s="145"/>
      <c r="AD517" s="145"/>
      <c r="AE517" s="145"/>
      <c r="AF517" s="145"/>
      <c r="AG517" s="145"/>
      <c r="AH517" s="145"/>
      <c r="AI517" s="145"/>
      <c r="AJ517" s="156"/>
      <c r="AK517" s="138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139"/>
    </row>
    <row r="518" spans="2:61" ht="20.100000000000001" customHeight="1" x14ac:dyDescent="0.45">
      <c r="B518" s="133"/>
      <c r="C518" s="27"/>
      <c r="D518" s="27"/>
      <c r="E518" s="27"/>
      <c r="F518" s="27"/>
      <c r="G518" s="134"/>
      <c r="H518" s="135"/>
      <c r="I518" s="27"/>
      <c r="J518" s="144" t="s">
        <v>205</v>
      </c>
      <c r="K518" s="145"/>
      <c r="L518" s="145"/>
      <c r="M518" s="145"/>
      <c r="N518" s="145"/>
      <c r="O518" s="145"/>
      <c r="P518" s="145"/>
      <c r="Q518" s="156"/>
      <c r="R518" s="145"/>
      <c r="S518" s="145"/>
      <c r="T518" s="145"/>
      <c r="U518" s="145"/>
      <c r="V518" s="145"/>
      <c r="W518" s="145"/>
      <c r="X518" s="145"/>
      <c r="Y518" s="145"/>
      <c r="Z518" s="145"/>
      <c r="AA518" s="145"/>
      <c r="AB518" s="145"/>
      <c r="AC518" s="145"/>
      <c r="AD518" s="145"/>
      <c r="AE518" s="145"/>
      <c r="AF518" s="145"/>
      <c r="AG518" s="145"/>
      <c r="AH518" s="145"/>
      <c r="AI518" s="145"/>
      <c r="AJ518" s="156"/>
      <c r="AK518" s="138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139"/>
    </row>
    <row r="519" spans="2:61" ht="20.100000000000001" customHeight="1" x14ac:dyDescent="0.45">
      <c r="B519" s="133"/>
      <c r="C519" s="27"/>
      <c r="D519" s="27"/>
      <c r="E519" s="27"/>
      <c r="F519" s="27"/>
      <c r="G519" s="134"/>
      <c r="H519" s="135"/>
      <c r="I519" s="27"/>
      <c r="J519" s="144" t="s">
        <v>206</v>
      </c>
      <c r="K519" s="145"/>
      <c r="L519" s="145"/>
      <c r="M519" s="145"/>
      <c r="N519" s="145"/>
      <c r="O519" s="145"/>
      <c r="P519" s="145"/>
      <c r="Q519" s="156"/>
      <c r="R519" s="145"/>
      <c r="S519" s="145"/>
      <c r="T519" s="145"/>
      <c r="U519" s="145"/>
      <c r="V519" s="145"/>
      <c r="W519" s="145"/>
      <c r="X519" s="145"/>
      <c r="Y519" s="145"/>
      <c r="Z519" s="145"/>
      <c r="AA519" s="145"/>
      <c r="AB519" s="145"/>
      <c r="AC519" s="145"/>
      <c r="AD519" s="145"/>
      <c r="AE519" s="145"/>
      <c r="AF519" s="145"/>
      <c r="AG519" s="145"/>
      <c r="AH519" s="145"/>
      <c r="AI519" s="145"/>
      <c r="AJ519" s="156"/>
      <c r="AK519" s="138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139"/>
    </row>
    <row r="520" spans="2:61" ht="20.100000000000001" customHeight="1" x14ac:dyDescent="0.45">
      <c r="B520" s="133"/>
      <c r="C520" s="27"/>
      <c r="D520" s="27"/>
      <c r="E520" s="27"/>
      <c r="F520" s="27"/>
      <c r="G520" s="134"/>
      <c r="H520" s="135"/>
      <c r="I520" s="27"/>
      <c r="J520" s="144" t="s">
        <v>207</v>
      </c>
      <c r="K520" s="145"/>
      <c r="L520" s="145"/>
      <c r="M520" s="145"/>
      <c r="N520" s="145"/>
      <c r="O520" s="145"/>
      <c r="P520" s="145"/>
      <c r="Q520" s="156"/>
      <c r="R520" s="145"/>
      <c r="S520" s="145"/>
      <c r="T520" s="145"/>
      <c r="U520" s="145"/>
      <c r="V520" s="145"/>
      <c r="W520" s="145"/>
      <c r="X520" s="145"/>
      <c r="Y520" s="145"/>
      <c r="Z520" s="145"/>
      <c r="AA520" s="145"/>
      <c r="AB520" s="145"/>
      <c r="AC520" s="145"/>
      <c r="AD520" s="145"/>
      <c r="AE520" s="145"/>
      <c r="AF520" s="145"/>
      <c r="AG520" s="145"/>
      <c r="AH520" s="145"/>
      <c r="AI520" s="145"/>
      <c r="AJ520" s="156"/>
      <c r="AK520" s="138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139"/>
    </row>
    <row r="521" spans="2:61" ht="20.100000000000001" customHeight="1" x14ac:dyDescent="0.45">
      <c r="B521" s="133"/>
      <c r="C521" s="27"/>
      <c r="D521" s="27"/>
      <c r="E521" s="27"/>
      <c r="F521" s="27"/>
      <c r="G521" s="134"/>
      <c r="H521" s="135"/>
      <c r="I521" s="27"/>
      <c r="J521" s="144" t="s">
        <v>208</v>
      </c>
      <c r="K521" s="145"/>
      <c r="L521" s="145"/>
      <c r="M521" s="145"/>
      <c r="N521" s="145"/>
      <c r="O521" s="145"/>
      <c r="P521" s="145"/>
      <c r="Q521" s="156"/>
      <c r="R521" s="145"/>
      <c r="S521" s="145"/>
      <c r="T521" s="145"/>
      <c r="U521" s="145"/>
      <c r="V521" s="145"/>
      <c r="W521" s="145"/>
      <c r="X521" s="145"/>
      <c r="Y521" s="145"/>
      <c r="Z521" s="145"/>
      <c r="AA521" s="145"/>
      <c r="AB521" s="145"/>
      <c r="AC521" s="145"/>
      <c r="AD521" s="145"/>
      <c r="AE521" s="145"/>
      <c r="AF521" s="145"/>
      <c r="AG521" s="145"/>
      <c r="AH521" s="145"/>
      <c r="AI521" s="145"/>
      <c r="AJ521" s="156"/>
      <c r="AK521" s="138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139"/>
    </row>
    <row r="522" spans="2:61" ht="20.100000000000001" customHeight="1" x14ac:dyDescent="0.45">
      <c r="B522" s="133"/>
      <c r="C522" s="27"/>
      <c r="D522" s="27"/>
      <c r="E522" s="27"/>
      <c r="F522" s="27"/>
      <c r="G522" s="134"/>
      <c r="H522" s="135"/>
      <c r="I522" s="27"/>
      <c r="J522" s="144" t="s">
        <v>209</v>
      </c>
      <c r="K522" s="145"/>
      <c r="L522" s="145"/>
      <c r="M522" s="145"/>
      <c r="N522" s="145"/>
      <c r="O522" s="145"/>
      <c r="P522" s="145"/>
      <c r="Q522" s="156"/>
      <c r="R522" s="145"/>
      <c r="S522" s="145"/>
      <c r="T522" s="145"/>
      <c r="U522" s="145"/>
      <c r="V522" s="145"/>
      <c r="W522" s="145"/>
      <c r="X522" s="145"/>
      <c r="Y522" s="145"/>
      <c r="Z522" s="145"/>
      <c r="AA522" s="145"/>
      <c r="AB522" s="145"/>
      <c r="AC522" s="145"/>
      <c r="AD522" s="145"/>
      <c r="AE522" s="145"/>
      <c r="AF522" s="145"/>
      <c r="AG522" s="145"/>
      <c r="AH522" s="145"/>
      <c r="AI522" s="145"/>
      <c r="AJ522" s="156"/>
      <c r="AK522" s="138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139"/>
    </row>
    <row r="523" spans="2:61" ht="20.100000000000001" customHeight="1" x14ac:dyDescent="0.45">
      <c r="B523" s="133"/>
      <c r="C523" s="27"/>
      <c r="D523" s="27"/>
      <c r="E523" s="27"/>
      <c r="F523" s="27"/>
      <c r="G523" s="134"/>
      <c r="H523" s="135"/>
      <c r="I523" s="27"/>
      <c r="J523" s="144" t="s">
        <v>210</v>
      </c>
      <c r="K523" s="145"/>
      <c r="L523" s="145"/>
      <c r="M523" s="145"/>
      <c r="N523" s="145"/>
      <c r="O523" s="145"/>
      <c r="P523" s="145"/>
      <c r="Q523" s="156"/>
      <c r="R523" s="145"/>
      <c r="S523" s="145"/>
      <c r="T523" s="145"/>
      <c r="U523" s="145"/>
      <c r="V523" s="145"/>
      <c r="W523" s="145"/>
      <c r="X523" s="145"/>
      <c r="Y523" s="145"/>
      <c r="Z523" s="145"/>
      <c r="AA523" s="145"/>
      <c r="AB523" s="145"/>
      <c r="AC523" s="145"/>
      <c r="AD523" s="145"/>
      <c r="AE523" s="145"/>
      <c r="AF523" s="145"/>
      <c r="AG523" s="145"/>
      <c r="AH523" s="145"/>
      <c r="AI523" s="145"/>
      <c r="AJ523" s="156"/>
      <c r="AK523" s="138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139"/>
    </row>
    <row r="524" spans="2:61" ht="20.100000000000001" customHeight="1" x14ac:dyDescent="0.45">
      <c r="B524" s="133"/>
      <c r="C524" s="27"/>
      <c r="D524" s="27"/>
      <c r="E524" s="27"/>
      <c r="F524" s="27"/>
      <c r="G524" s="134"/>
      <c r="H524" s="135"/>
      <c r="I524" s="27"/>
      <c r="J524" s="144" t="s">
        <v>211</v>
      </c>
      <c r="K524" s="145"/>
      <c r="L524" s="145"/>
      <c r="M524" s="145"/>
      <c r="N524" s="145"/>
      <c r="O524" s="145"/>
      <c r="P524" s="145"/>
      <c r="Q524" s="156"/>
      <c r="R524" s="145"/>
      <c r="S524" s="145"/>
      <c r="T524" s="145"/>
      <c r="U524" s="145"/>
      <c r="V524" s="145"/>
      <c r="W524" s="145"/>
      <c r="X524" s="145"/>
      <c r="Y524" s="145"/>
      <c r="Z524" s="145"/>
      <c r="AA524" s="145"/>
      <c r="AB524" s="145"/>
      <c r="AC524" s="145"/>
      <c r="AD524" s="145"/>
      <c r="AE524" s="145"/>
      <c r="AF524" s="145"/>
      <c r="AG524" s="145"/>
      <c r="AH524" s="145"/>
      <c r="AI524" s="145"/>
      <c r="AJ524" s="156"/>
      <c r="AK524" s="138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139"/>
    </row>
    <row r="525" spans="2:61" ht="20.100000000000001" customHeight="1" x14ac:dyDescent="0.45">
      <c r="B525" s="133"/>
      <c r="C525" s="27"/>
      <c r="D525" s="27"/>
      <c r="E525" s="27"/>
      <c r="F525" s="27"/>
      <c r="G525" s="134"/>
      <c r="H525" s="135"/>
      <c r="I525" s="27"/>
      <c r="J525" s="144" t="s">
        <v>212</v>
      </c>
      <c r="K525" s="145"/>
      <c r="L525" s="145"/>
      <c r="M525" s="145"/>
      <c r="N525" s="145"/>
      <c r="O525" s="145"/>
      <c r="P525" s="145"/>
      <c r="Q525" s="156"/>
      <c r="R525" s="145"/>
      <c r="S525" s="145"/>
      <c r="T525" s="145"/>
      <c r="U525" s="145"/>
      <c r="V525" s="145"/>
      <c r="W525" s="145"/>
      <c r="X525" s="145"/>
      <c r="Y525" s="145"/>
      <c r="Z525" s="145"/>
      <c r="AA525" s="145"/>
      <c r="AB525" s="145"/>
      <c r="AC525" s="145"/>
      <c r="AD525" s="145"/>
      <c r="AE525" s="145"/>
      <c r="AF525" s="145"/>
      <c r="AG525" s="145"/>
      <c r="AH525" s="145"/>
      <c r="AI525" s="145"/>
      <c r="AJ525" s="156"/>
      <c r="AK525" s="138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139"/>
    </row>
    <row r="526" spans="2:61" ht="20.100000000000001" customHeight="1" x14ac:dyDescent="0.45">
      <c r="B526" s="133"/>
      <c r="C526" s="27"/>
      <c r="D526" s="27"/>
      <c r="E526" s="27"/>
      <c r="F526" s="27"/>
      <c r="G526" s="134"/>
      <c r="H526" s="135"/>
      <c r="I526" s="27"/>
      <c r="J526" s="144" t="s">
        <v>213</v>
      </c>
      <c r="K526" s="145"/>
      <c r="L526" s="145"/>
      <c r="M526" s="145"/>
      <c r="N526" s="145"/>
      <c r="O526" s="145"/>
      <c r="P526" s="145"/>
      <c r="Q526" s="156"/>
      <c r="R526" s="145"/>
      <c r="S526" s="145"/>
      <c r="T526" s="145"/>
      <c r="U526" s="145"/>
      <c r="V526" s="145"/>
      <c r="W526" s="145"/>
      <c r="X526" s="145"/>
      <c r="Y526" s="145"/>
      <c r="Z526" s="145"/>
      <c r="AA526" s="145"/>
      <c r="AB526" s="145"/>
      <c r="AC526" s="145"/>
      <c r="AD526" s="145"/>
      <c r="AE526" s="145"/>
      <c r="AF526" s="145"/>
      <c r="AG526" s="145"/>
      <c r="AH526" s="145"/>
      <c r="AI526" s="145"/>
      <c r="AJ526" s="156"/>
      <c r="AK526" s="138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139"/>
    </row>
    <row r="527" spans="2:61" ht="20.100000000000001" customHeight="1" x14ac:dyDescent="0.45">
      <c r="B527" s="133"/>
      <c r="C527" s="27"/>
      <c r="D527" s="27"/>
      <c r="E527" s="27"/>
      <c r="F527" s="27"/>
      <c r="G527" s="134"/>
      <c r="H527" s="135"/>
      <c r="I527" s="27"/>
      <c r="J527" s="144" t="s">
        <v>76</v>
      </c>
      <c r="K527" s="145"/>
      <c r="L527" s="145"/>
      <c r="M527" s="145"/>
      <c r="N527" s="145"/>
      <c r="O527" s="145"/>
      <c r="P527" s="145"/>
      <c r="Q527" s="156"/>
      <c r="R527" s="145"/>
      <c r="S527" s="145"/>
      <c r="T527" s="145"/>
      <c r="U527" s="145"/>
      <c r="V527" s="145"/>
      <c r="W527" s="145"/>
      <c r="X527" s="145"/>
      <c r="Y527" s="145"/>
      <c r="Z527" s="145"/>
      <c r="AA527" s="145"/>
      <c r="AB527" s="145"/>
      <c r="AC527" s="145"/>
      <c r="AD527" s="145"/>
      <c r="AE527" s="145"/>
      <c r="AF527" s="145"/>
      <c r="AG527" s="145"/>
      <c r="AH527" s="145"/>
      <c r="AI527" s="145"/>
      <c r="AJ527" s="156"/>
      <c r="AK527" s="138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139"/>
    </row>
    <row r="528" spans="2:61" ht="20.100000000000001" customHeight="1" x14ac:dyDescent="0.45">
      <c r="B528" s="133"/>
      <c r="C528" s="27"/>
      <c r="D528" s="27"/>
      <c r="E528" s="27"/>
      <c r="F528" s="27"/>
      <c r="G528" s="134"/>
      <c r="H528" s="135"/>
      <c r="I528" s="27"/>
      <c r="J528" s="144" t="s">
        <v>214</v>
      </c>
      <c r="K528" s="145"/>
      <c r="L528" s="145"/>
      <c r="M528" s="145"/>
      <c r="N528" s="145"/>
      <c r="O528" s="145"/>
      <c r="P528" s="145"/>
      <c r="Q528" s="156"/>
      <c r="R528" s="145"/>
      <c r="S528" s="145"/>
      <c r="T528" s="145"/>
      <c r="U528" s="145"/>
      <c r="V528" s="145"/>
      <c r="W528" s="145"/>
      <c r="X528" s="145"/>
      <c r="Y528" s="145"/>
      <c r="Z528" s="145"/>
      <c r="AA528" s="145"/>
      <c r="AB528" s="145"/>
      <c r="AC528" s="145"/>
      <c r="AD528" s="145"/>
      <c r="AE528" s="145"/>
      <c r="AF528" s="145"/>
      <c r="AG528" s="145"/>
      <c r="AH528" s="145"/>
      <c r="AI528" s="145"/>
      <c r="AJ528" s="156"/>
      <c r="AK528" s="138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139"/>
    </row>
    <row r="529" spans="2:61" ht="20.100000000000001" customHeight="1" x14ac:dyDescent="0.45">
      <c r="B529" s="133"/>
      <c r="C529" s="27"/>
      <c r="D529" s="27"/>
      <c r="E529" s="27"/>
      <c r="F529" s="27"/>
      <c r="G529" s="134"/>
      <c r="H529" s="135"/>
      <c r="I529" s="27"/>
      <c r="J529" s="144" t="s">
        <v>215</v>
      </c>
      <c r="K529" s="145"/>
      <c r="L529" s="145"/>
      <c r="M529" s="145"/>
      <c r="N529" s="145"/>
      <c r="O529" s="145"/>
      <c r="P529" s="145"/>
      <c r="Q529" s="156"/>
      <c r="R529" s="145"/>
      <c r="S529" s="145"/>
      <c r="T529" s="145"/>
      <c r="U529" s="145"/>
      <c r="V529" s="145"/>
      <c r="W529" s="145"/>
      <c r="X529" s="145"/>
      <c r="Y529" s="145"/>
      <c r="Z529" s="145"/>
      <c r="AA529" s="145"/>
      <c r="AB529" s="145"/>
      <c r="AC529" s="145"/>
      <c r="AD529" s="145"/>
      <c r="AE529" s="145"/>
      <c r="AF529" s="145"/>
      <c r="AG529" s="145"/>
      <c r="AH529" s="145"/>
      <c r="AI529" s="145"/>
      <c r="AJ529" s="156"/>
      <c r="AK529" s="138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139"/>
    </row>
    <row r="530" spans="2:61" ht="20.100000000000001" customHeight="1" x14ac:dyDescent="0.45">
      <c r="B530" s="133"/>
      <c r="C530" s="27"/>
      <c r="D530" s="27"/>
      <c r="E530" s="27"/>
      <c r="F530" s="27"/>
      <c r="G530" s="134"/>
      <c r="H530" s="135"/>
      <c r="I530" s="27"/>
      <c r="J530" s="144" t="s">
        <v>216</v>
      </c>
      <c r="K530" s="145"/>
      <c r="L530" s="145"/>
      <c r="M530" s="145"/>
      <c r="N530" s="145"/>
      <c r="O530" s="145"/>
      <c r="P530" s="145"/>
      <c r="Q530" s="156"/>
      <c r="R530" s="145"/>
      <c r="S530" s="145"/>
      <c r="T530" s="145"/>
      <c r="U530" s="145"/>
      <c r="V530" s="145"/>
      <c r="W530" s="145"/>
      <c r="X530" s="145"/>
      <c r="Y530" s="145"/>
      <c r="Z530" s="145"/>
      <c r="AA530" s="145"/>
      <c r="AB530" s="145"/>
      <c r="AC530" s="145"/>
      <c r="AD530" s="145"/>
      <c r="AE530" s="145"/>
      <c r="AF530" s="145"/>
      <c r="AG530" s="145"/>
      <c r="AH530" s="145"/>
      <c r="AI530" s="145"/>
      <c r="AJ530" s="156"/>
      <c r="AK530" s="138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139"/>
    </row>
    <row r="531" spans="2:61" ht="20.100000000000001" customHeight="1" x14ac:dyDescent="0.45">
      <c r="B531" s="133"/>
      <c r="C531" s="27"/>
      <c r="D531" s="27"/>
      <c r="E531" s="27"/>
      <c r="F531" s="27"/>
      <c r="G531" s="134"/>
      <c r="H531" s="135"/>
      <c r="I531" s="27"/>
      <c r="J531" s="144" t="s">
        <v>217</v>
      </c>
      <c r="K531" s="145"/>
      <c r="L531" s="145"/>
      <c r="M531" s="145"/>
      <c r="N531" s="145"/>
      <c r="O531" s="145"/>
      <c r="P531" s="145"/>
      <c r="Q531" s="156"/>
      <c r="R531" s="145"/>
      <c r="S531" s="145"/>
      <c r="T531" s="145"/>
      <c r="U531" s="145"/>
      <c r="V531" s="145"/>
      <c r="W531" s="145"/>
      <c r="X531" s="145"/>
      <c r="Y531" s="145"/>
      <c r="Z531" s="145"/>
      <c r="AA531" s="145"/>
      <c r="AB531" s="145"/>
      <c r="AC531" s="145"/>
      <c r="AD531" s="145"/>
      <c r="AE531" s="145"/>
      <c r="AF531" s="145"/>
      <c r="AG531" s="145"/>
      <c r="AH531" s="145"/>
      <c r="AI531" s="145"/>
      <c r="AJ531" s="156"/>
      <c r="AK531" s="138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139"/>
    </row>
    <row r="532" spans="2:61" ht="20.100000000000001" customHeight="1" x14ac:dyDescent="0.45">
      <c r="B532" s="133"/>
      <c r="C532" s="27"/>
      <c r="D532" s="27"/>
      <c r="E532" s="27"/>
      <c r="F532" s="27"/>
      <c r="G532" s="134"/>
      <c r="H532" s="135"/>
      <c r="I532" s="27"/>
      <c r="J532" s="144" t="s">
        <v>218</v>
      </c>
      <c r="K532" s="145"/>
      <c r="L532" s="145"/>
      <c r="M532" s="145"/>
      <c r="N532" s="145"/>
      <c r="O532" s="145"/>
      <c r="P532" s="145"/>
      <c r="Q532" s="156"/>
      <c r="R532" s="145"/>
      <c r="S532" s="145"/>
      <c r="T532" s="145"/>
      <c r="U532" s="145"/>
      <c r="V532" s="145"/>
      <c r="W532" s="145"/>
      <c r="X532" s="145"/>
      <c r="Y532" s="145"/>
      <c r="Z532" s="145"/>
      <c r="AA532" s="145"/>
      <c r="AB532" s="145"/>
      <c r="AC532" s="145"/>
      <c r="AD532" s="145"/>
      <c r="AE532" s="145"/>
      <c r="AF532" s="145"/>
      <c r="AG532" s="145"/>
      <c r="AH532" s="145"/>
      <c r="AI532" s="145"/>
      <c r="AJ532" s="156"/>
      <c r="AK532" s="138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139"/>
    </row>
    <row r="533" spans="2:61" ht="20.100000000000001" customHeight="1" x14ac:dyDescent="0.45">
      <c r="B533" s="133"/>
      <c r="C533" s="27"/>
      <c r="D533" s="27"/>
      <c r="E533" s="27"/>
      <c r="F533" s="27"/>
      <c r="G533" s="134"/>
      <c r="H533" s="135"/>
      <c r="I533" s="27"/>
      <c r="J533" s="144" t="s">
        <v>219</v>
      </c>
      <c r="K533" s="145"/>
      <c r="L533" s="145"/>
      <c r="M533" s="145"/>
      <c r="N533" s="145"/>
      <c r="O533" s="145"/>
      <c r="P533" s="145"/>
      <c r="Q533" s="156"/>
      <c r="R533" s="145"/>
      <c r="S533" s="145"/>
      <c r="T533" s="145"/>
      <c r="U533" s="145"/>
      <c r="V533" s="145"/>
      <c r="W533" s="145"/>
      <c r="X533" s="145"/>
      <c r="Y533" s="145"/>
      <c r="Z533" s="145"/>
      <c r="AA533" s="145"/>
      <c r="AB533" s="145"/>
      <c r="AC533" s="145"/>
      <c r="AD533" s="145"/>
      <c r="AE533" s="145"/>
      <c r="AF533" s="145"/>
      <c r="AG533" s="145"/>
      <c r="AH533" s="145"/>
      <c r="AI533" s="145"/>
      <c r="AJ533" s="156"/>
      <c r="AK533" s="138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139"/>
    </row>
    <row r="534" spans="2:61" ht="20.100000000000001" customHeight="1" x14ac:dyDescent="0.45">
      <c r="B534" s="133"/>
      <c r="C534" s="27"/>
      <c r="D534" s="27"/>
      <c r="E534" s="27"/>
      <c r="F534" s="27"/>
      <c r="G534" s="134"/>
      <c r="H534" s="135"/>
      <c r="I534" s="27"/>
      <c r="J534" s="144" t="s">
        <v>220</v>
      </c>
      <c r="K534" s="145"/>
      <c r="L534" s="145"/>
      <c r="M534" s="145"/>
      <c r="N534" s="145"/>
      <c r="O534" s="145"/>
      <c r="P534" s="145"/>
      <c r="Q534" s="156"/>
      <c r="R534" s="145"/>
      <c r="S534" s="145"/>
      <c r="T534" s="145"/>
      <c r="U534" s="145"/>
      <c r="V534" s="145"/>
      <c r="W534" s="145"/>
      <c r="X534" s="145"/>
      <c r="Y534" s="145"/>
      <c r="Z534" s="145"/>
      <c r="AA534" s="145"/>
      <c r="AB534" s="145"/>
      <c r="AC534" s="145"/>
      <c r="AD534" s="145"/>
      <c r="AE534" s="145"/>
      <c r="AF534" s="145"/>
      <c r="AG534" s="145"/>
      <c r="AH534" s="145"/>
      <c r="AI534" s="145"/>
      <c r="AJ534" s="156"/>
      <c r="AK534" s="138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139"/>
    </row>
    <row r="535" spans="2:61" ht="20.100000000000001" customHeight="1" x14ac:dyDescent="0.45">
      <c r="B535" s="133"/>
      <c r="C535" s="27"/>
      <c r="D535" s="27"/>
      <c r="E535" s="27"/>
      <c r="F535" s="27"/>
      <c r="G535" s="134"/>
      <c r="H535" s="135"/>
      <c r="I535" s="27"/>
      <c r="J535" s="144" t="s">
        <v>221</v>
      </c>
      <c r="K535" s="145"/>
      <c r="L535" s="145"/>
      <c r="M535" s="145"/>
      <c r="N535" s="145"/>
      <c r="O535" s="145"/>
      <c r="P535" s="145"/>
      <c r="Q535" s="156"/>
      <c r="R535" s="145"/>
      <c r="S535" s="145"/>
      <c r="T535" s="145"/>
      <c r="U535" s="145"/>
      <c r="V535" s="145"/>
      <c r="W535" s="145"/>
      <c r="X535" s="145"/>
      <c r="Y535" s="145"/>
      <c r="Z535" s="145"/>
      <c r="AA535" s="145"/>
      <c r="AB535" s="145"/>
      <c r="AC535" s="145"/>
      <c r="AD535" s="145"/>
      <c r="AE535" s="145"/>
      <c r="AF535" s="145"/>
      <c r="AG535" s="145"/>
      <c r="AH535" s="145"/>
      <c r="AI535" s="145"/>
      <c r="AJ535" s="156"/>
      <c r="AK535" s="138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139"/>
    </row>
    <row r="536" spans="2:61" ht="20.100000000000001" customHeight="1" x14ac:dyDescent="0.45">
      <c r="B536" s="133"/>
      <c r="C536" s="27"/>
      <c r="D536" s="27"/>
      <c r="E536" s="27"/>
      <c r="F536" s="27"/>
      <c r="G536" s="134"/>
      <c r="H536" s="135"/>
      <c r="I536" s="27"/>
      <c r="J536" s="144" t="s">
        <v>222</v>
      </c>
      <c r="K536" s="145"/>
      <c r="L536" s="145"/>
      <c r="M536" s="145"/>
      <c r="N536" s="145"/>
      <c r="O536" s="145"/>
      <c r="P536" s="145"/>
      <c r="Q536" s="156"/>
      <c r="R536" s="145"/>
      <c r="S536" s="145"/>
      <c r="T536" s="145"/>
      <c r="U536" s="145"/>
      <c r="V536" s="145"/>
      <c r="W536" s="145"/>
      <c r="X536" s="145"/>
      <c r="Y536" s="145"/>
      <c r="Z536" s="145"/>
      <c r="AA536" s="145"/>
      <c r="AB536" s="145"/>
      <c r="AC536" s="145"/>
      <c r="AD536" s="145"/>
      <c r="AE536" s="145"/>
      <c r="AF536" s="145"/>
      <c r="AG536" s="145"/>
      <c r="AH536" s="145"/>
      <c r="AI536" s="145"/>
      <c r="AJ536" s="156"/>
      <c r="AK536" s="138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139"/>
    </row>
    <row r="537" spans="2:61" ht="20.100000000000001" customHeight="1" x14ac:dyDescent="0.45">
      <c r="B537" s="133"/>
      <c r="C537" s="27"/>
      <c r="D537" s="27"/>
      <c r="E537" s="27"/>
      <c r="F537" s="27"/>
      <c r="G537" s="134"/>
      <c r="H537" s="135"/>
      <c r="I537" s="27"/>
      <c r="J537" s="144" t="s">
        <v>223</v>
      </c>
      <c r="K537" s="145"/>
      <c r="L537" s="145"/>
      <c r="M537" s="145"/>
      <c r="N537" s="145"/>
      <c r="O537" s="145"/>
      <c r="P537" s="145"/>
      <c r="Q537" s="156"/>
      <c r="R537" s="145"/>
      <c r="S537" s="145"/>
      <c r="T537" s="145"/>
      <c r="U537" s="145"/>
      <c r="V537" s="145"/>
      <c r="W537" s="145"/>
      <c r="X537" s="145"/>
      <c r="Y537" s="145"/>
      <c r="Z537" s="145"/>
      <c r="AA537" s="145"/>
      <c r="AB537" s="145"/>
      <c r="AC537" s="145"/>
      <c r="AD537" s="145"/>
      <c r="AE537" s="145"/>
      <c r="AF537" s="145"/>
      <c r="AG537" s="145"/>
      <c r="AH537" s="145"/>
      <c r="AI537" s="145"/>
      <c r="AJ537" s="156"/>
      <c r="AK537" s="138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139"/>
    </row>
    <row r="538" spans="2:61" ht="20.100000000000001" customHeight="1" x14ac:dyDescent="0.45">
      <c r="B538" s="133"/>
      <c r="C538" s="27"/>
      <c r="D538" s="27"/>
      <c r="E538" s="27"/>
      <c r="F538" s="27"/>
      <c r="G538" s="134"/>
      <c r="H538" s="135"/>
      <c r="I538" s="27"/>
      <c r="J538" s="144" t="s">
        <v>224</v>
      </c>
      <c r="K538" s="145"/>
      <c r="L538" s="145"/>
      <c r="M538" s="145"/>
      <c r="N538" s="145"/>
      <c r="O538" s="145"/>
      <c r="P538" s="145"/>
      <c r="Q538" s="156"/>
      <c r="R538" s="145"/>
      <c r="S538" s="145"/>
      <c r="T538" s="145"/>
      <c r="U538" s="145"/>
      <c r="V538" s="145"/>
      <c r="W538" s="145"/>
      <c r="X538" s="145"/>
      <c r="Y538" s="145"/>
      <c r="Z538" s="145"/>
      <c r="AA538" s="145"/>
      <c r="AB538" s="145"/>
      <c r="AC538" s="145"/>
      <c r="AD538" s="145"/>
      <c r="AE538" s="145"/>
      <c r="AF538" s="145"/>
      <c r="AG538" s="145"/>
      <c r="AH538" s="145"/>
      <c r="AI538" s="145"/>
      <c r="AJ538" s="156"/>
      <c r="AK538" s="138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139"/>
    </row>
    <row r="539" spans="2:61" ht="20.100000000000001" customHeight="1" x14ac:dyDescent="0.45">
      <c r="B539" s="133"/>
      <c r="C539" s="27"/>
      <c r="D539" s="27"/>
      <c r="E539" s="27"/>
      <c r="F539" s="27"/>
      <c r="G539" s="134"/>
      <c r="H539" s="135"/>
      <c r="I539" s="27"/>
      <c r="J539" s="144" t="s">
        <v>225</v>
      </c>
      <c r="K539" s="145"/>
      <c r="L539" s="145"/>
      <c r="M539" s="145"/>
      <c r="N539" s="145"/>
      <c r="O539" s="145"/>
      <c r="P539" s="145"/>
      <c r="Q539" s="156"/>
      <c r="R539" s="145"/>
      <c r="S539" s="145"/>
      <c r="T539" s="145"/>
      <c r="U539" s="145"/>
      <c r="V539" s="145"/>
      <c r="W539" s="145"/>
      <c r="X539" s="145"/>
      <c r="Y539" s="145"/>
      <c r="Z539" s="145"/>
      <c r="AA539" s="145"/>
      <c r="AB539" s="145"/>
      <c r="AC539" s="145"/>
      <c r="AD539" s="145"/>
      <c r="AE539" s="145"/>
      <c r="AF539" s="145"/>
      <c r="AG539" s="145"/>
      <c r="AH539" s="145"/>
      <c r="AI539" s="145"/>
      <c r="AJ539" s="156"/>
      <c r="AK539" s="138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139"/>
    </row>
    <row r="540" spans="2:61" ht="20.100000000000001" customHeight="1" x14ac:dyDescent="0.45">
      <c r="B540" s="133"/>
      <c r="C540" s="27"/>
      <c r="D540" s="27"/>
      <c r="E540" s="27"/>
      <c r="F540" s="27"/>
      <c r="G540" s="134"/>
      <c r="H540" s="135"/>
      <c r="I540" s="27"/>
      <c r="J540" s="144" t="s">
        <v>226</v>
      </c>
      <c r="K540" s="145"/>
      <c r="L540" s="145"/>
      <c r="M540" s="145"/>
      <c r="N540" s="145"/>
      <c r="O540" s="145"/>
      <c r="P540" s="145"/>
      <c r="Q540" s="156"/>
      <c r="R540" s="145"/>
      <c r="S540" s="145"/>
      <c r="T540" s="145"/>
      <c r="U540" s="145"/>
      <c r="V540" s="145"/>
      <c r="W540" s="145"/>
      <c r="X540" s="145"/>
      <c r="Y540" s="145"/>
      <c r="Z540" s="145"/>
      <c r="AA540" s="145"/>
      <c r="AB540" s="145"/>
      <c r="AC540" s="145"/>
      <c r="AD540" s="145"/>
      <c r="AE540" s="145"/>
      <c r="AF540" s="145"/>
      <c r="AG540" s="145"/>
      <c r="AH540" s="145"/>
      <c r="AI540" s="145"/>
      <c r="AJ540" s="156"/>
      <c r="AK540" s="138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139"/>
    </row>
    <row r="541" spans="2:61" ht="20.100000000000001" customHeight="1" x14ac:dyDescent="0.45">
      <c r="B541" s="133"/>
      <c r="C541" s="27"/>
      <c r="D541" s="27"/>
      <c r="E541" s="27"/>
      <c r="F541" s="27"/>
      <c r="G541" s="134"/>
      <c r="H541" s="135"/>
      <c r="I541" s="27"/>
      <c r="J541" s="144" t="s">
        <v>227</v>
      </c>
      <c r="K541" s="145"/>
      <c r="L541" s="145"/>
      <c r="M541" s="145"/>
      <c r="N541" s="145"/>
      <c r="O541" s="145"/>
      <c r="P541" s="145"/>
      <c r="Q541" s="156"/>
      <c r="R541" s="145"/>
      <c r="S541" s="145"/>
      <c r="T541" s="145"/>
      <c r="U541" s="145"/>
      <c r="V541" s="145"/>
      <c r="W541" s="145"/>
      <c r="X541" s="145"/>
      <c r="Y541" s="145"/>
      <c r="Z541" s="145"/>
      <c r="AA541" s="145"/>
      <c r="AB541" s="145"/>
      <c r="AC541" s="145"/>
      <c r="AD541" s="145"/>
      <c r="AE541" s="145"/>
      <c r="AF541" s="145"/>
      <c r="AG541" s="145"/>
      <c r="AH541" s="145"/>
      <c r="AI541" s="145"/>
      <c r="AJ541" s="156"/>
      <c r="AK541" s="138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139"/>
    </row>
    <row r="542" spans="2:61" ht="20.100000000000001" customHeight="1" x14ac:dyDescent="0.45">
      <c r="B542" s="133"/>
      <c r="C542" s="27"/>
      <c r="D542" s="27"/>
      <c r="E542" s="27"/>
      <c r="F542" s="27"/>
      <c r="G542" s="134"/>
      <c r="H542" s="135"/>
      <c r="I542" s="27"/>
      <c r="J542" s="144" t="s">
        <v>228</v>
      </c>
      <c r="K542" s="145"/>
      <c r="L542" s="145"/>
      <c r="M542" s="145"/>
      <c r="N542" s="145"/>
      <c r="O542" s="145"/>
      <c r="P542" s="145"/>
      <c r="Q542" s="156"/>
      <c r="R542" s="145"/>
      <c r="S542" s="145"/>
      <c r="T542" s="145"/>
      <c r="U542" s="145"/>
      <c r="V542" s="145"/>
      <c r="W542" s="145"/>
      <c r="X542" s="145"/>
      <c r="Y542" s="145"/>
      <c r="Z542" s="145"/>
      <c r="AA542" s="145"/>
      <c r="AB542" s="145"/>
      <c r="AC542" s="145"/>
      <c r="AD542" s="145"/>
      <c r="AE542" s="145"/>
      <c r="AF542" s="145"/>
      <c r="AG542" s="145"/>
      <c r="AH542" s="145"/>
      <c r="AI542" s="145"/>
      <c r="AJ542" s="156"/>
      <c r="AK542" s="138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139"/>
    </row>
    <row r="543" spans="2:61" ht="20.100000000000001" customHeight="1" x14ac:dyDescent="0.45">
      <c r="B543" s="133"/>
      <c r="C543" s="27"/>
      <c r="D543" s="27"/>
      <c r="E543" s="27"/>
      <c r="F543" s="27"/>
      <c r="G543" s="134"/>
      <c r="H543" s="135"/>
      <c r="I543" s="27"/>
      <c r="J543" s="144" t="s">
        <v>229</v>
      </c>
      <c r="K543" s="145"/>
      <c r="L543" s="145"/>
      <c r="M543" s="145"/>
      <c r="N543" s="145"/>
      <c r="O543" s="145"/>
      <c r="P543" s="145"/>
      <c r="Q543" s="156"/>
      <c r="R543" s="145"/>
      <c r="S543" s="145"/>
      <c r="T543" s="145"/>
      <c r="U543" s="145"/>
      <c r="V543" s="145"/>
      <c r="W543" s="145"/>
      <c r="X543" s="145"/>
      <c r="Y543" s="145"/>
      <c r="Z543" s="145"/>
      <c r="AA543" s="145"/>
      <c r="AB543" s="145"/>
      <c r="AC543" s="145"/>
      <c r="AD543" s="145"/>
      <c r="AE543" s="145"/>
      <c r="AF543" s="145"/>
      <c r="AG543" s="145"/>
      <c r="AH543" s="145"/>
      <c r="AI543" s="145"/>
      <c r="AJ543" s="156"/>
      <c r="AK543" s="138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139"/>
    </row>
    <row r="544" spans="2:61" ht="20.100000000000001" customHeight="1" x14ac:dyDescent="0.45">
      <c r="B544" s="133"/>
      <c r="C544" s="27"/>
      <c r="D544" s="27"/>
      <c r="E544" s="27"/>
      <c r="F544" s="27"/>
      <c r="G544" s="134"/>
      <c r="H544" s="135"/>
      <c r="I544" s="27"/>
      <c r="J544" s="136" t="s">
        <v>230</v>
      </c>
      <c r="K544" s="48"/>
      <c r="L544" s="48"/>
      <c r="M544" s="48"/>
      <c r="N544" s="48"/>
      <c r="O544" s="48"/>
      <c r="P544" s="48"/>
      <c r="Q544" s="137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137"/>
      <c r="AK544" s="138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139"/>
    </row>
    <row r="545" spans="2:61" ht="20.100000000000001" customHeight="1" x14ac:dyDescent="0.45">
      <c r="B545" s="133"/>
      <c r="C545" s="27"/>
      <c r="D545" s="27"/>
      <c r="E545" s="27"/>
      <c r="F545" s="27"/>
      <c r="G545" s="134"/>
      <c r="H545" s="140" t="s">
        <v>159</v>
      </c>
      <c r="I545" s="51"/>
      <c r="J545" s="140" t="s">
        <v>231</v>
      </c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  <c r="AB545" s="51"/>
      <c r="AC545" s="51"/>
      <c r="AD545" s="51"/>
      <c r="AE545" s="51"/>
      <c r="AF545" s="51"/>
      <c r="AG545" s="51"/>
      <c r="AH545" s="51"/>
      <c r="AI545" s="51"/>
      <c r="AJ545" s="51"/>
      <c r="AK545" s="141"/>
      <c r="AL545" s="51"/>
      <c r="AM545" s="51"/>
      <c r="AN545" s="51"/>
      <c r="AO545" s="51"/>
      <c r="AP545" s="51"/>
      <c r="AQ545" s="51"/>
      <c r="AR545" s="51"/>
      <c r="AS545" s="51"/>
      <c r="AT545" s="51"/>
      <c r="AU545" s="51"/>
      <c r="AV545" s="51"/>
      <c r="AW545" s="51"/>
      <c r="AX545" s="51"/>
      <c r="AY545" s="51"/>
      <c r="AZ545" s="51"/>
      <c r="BA545" s="51"/>
      <c r="BB545" s="51"/>
      <c r="BC545" s="51"/>
      <c r="BD545" s="51"/>
      <c r="BE545" s="51"/>
      <c r="BF545" s="51"/>
      <c r="BG545" s="51"/>
      <c r="BH545" s="51"/>
      <c r="BI545" s="142"/>
    </row>
    <row r="546" spans="2:61" ht="20.100000000000001" customHeight="1" x14ac:dyDescent="0.45">
      <c r="B546" s="133"/>
      <c r="C546" s="27"/>
      <c r="D546" s="27"/>
      <c r="E546" s="27"/>
      <c r="F546" s="27"/>
      <c r="G546" s="134"/>
      <c r="H546" s="135"/>
      <c r="I546" s="27"/>
      <c r="J546" s="135" t="s">
        <v>763</v>
      </c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138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139"/>
    </row>
    <row r="547" spans="2:61" ht="20.100000000000001" customHeight="1" x14ac:dyDescent="0.45">
      <c r="B547" s="133"/>
      <c r="C547" s="27"/>
      <c r="D547" s="27"/>
      <c r="E547" s="27"/>
      <c r="F547" s="27"/>
      <c r="G547" s="134"/>
      <c r="H547" s="135"/>
      <c r="I547" s="27"/>
      <c r="J547" s="135" t="s">
        <v>233</v>
      </c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138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139"/>
    </row>
    <row r="548" spans="2:61" ht="20.100000000000001" customHeight="1" x14ac:dyDescent="0.45">
      <c r="B548" s="133"/>
      <c r="C548" s="27"/>
      <c r="D548" s="27"/>
      <c r="E548" s="27"/>
      <c r="F548" s="27"/>
      <c r="G548" s="134"/>
      <c r="H548" s="135"/>
      <c r="I548" s="27"/>
      <c r="J548" s="135" t="s">
        <v>764</v>
      </c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138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139"/>
    </row>
    <row r="549" spans="2:61" ht="20.100000000000001" customHeight="1" x14ac:dyDescent="0.45">
      <c r="B549" s="133"/>
      <c r="C549" s="27"/>
      <c r="D549" s="27"/>
      <c r="E549" s="27"/>
      <c r="F549" s="27"/>
      <c r="G549" s="134"/>
      <c r="H549" s="135"/>
      <c r="I549" s="27"/>
      <c r="J549" s="135" t="s">
        <v>233</v>
      </c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138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139"/>
    </row>
    <row r="550" spans="2:61" ht="20.100000000000001" customHeight="1" x14ac:dyDescent="0.45">
      <c r="B550" s="133"/>
      <c r="C550" s="27"/>
      <c r="D550" s="27"/>
      <c r="E550" s="27"/>
      <c r="F550" s="27"/>
      <c r="G550" s="134"/>
      <c r="H550" s="135"/>
      <c r="I550" s="27"/>
      <c r="J550" s="135" t="s">
        <v>765</v>
      </c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138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139"/>
    </row>
    <row r="551" spans="2:61" ht="20.100000000000001" customHeight="1" x14ac:dyDescent="0.45">
      <c r="B551" s="133"/>
      <c r="C551" s="27"/>
      <c r="D551" s="27"/>
      <c r="E551" s="27"/>
      <c r="F551" s="27"/>
      <c r="G551" s="134"/>
      <c r="H551" s="135"/>
      <c r="I551" s="27"/>
      <c r="J551" s="135" t="s">
        <v>233</v>
      </c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138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139"/>
    </row>
    <row r="552" spans="2:61" ht="20.100000000000001" customHeight="1" x14ac:dyDescent="0.45">
      <c r="B552" s="133"/>
      <c r="C552" s="27"/>
      <c r="D552" s="27"/>
      <c r="E552" s="27"/>
      <c r="F552" s="27"/>
      <c r="G552" s="134"/>
      <c r="H552" s="135"/>
      <c r="I552" s="27"/>
      <c r="J552" s="135" t="s">
        <v>766</v>
      </c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138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139"/>
    </row>
    <row r="553" spans="2:61" ht="20.100000000000001" customHeight="1" x14ac:dyDescent="0.45">
      <c r="B553" s="133"/>
      <c r="C553" s="27"/>
      <c r="D553" s="27"/>
      <c r="E553" s="27"/>
      <c r="F553" s="27"/>
      <c r="G553" s="134"/>
      <c r="H553" s="135"/>
      <c r="I553" s="27"/>
      <c r="J553" s="135" t="s">
        <v>233</v>
      </c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138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139"/>
    </row>
    <row r="554" spans="2:61" ht="20.100000000000001" customHeight="1" x14ac:dyDescent="0.45">
      <c r="B554" s="133"/>
      <c r="C554" s="27"/>
      <c r="D554" s="27"/>
      <c r="E554" s="27"/>
      <c r="F554" s="27"/>
      <c r="G554" s="134"/>
      <c r="H554" s="135"/>
      <c r="I554" s="27"/>
      <c r="J554" s="135" t="s">
        <v>767</v>
      </c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138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139"/>
    </row>
    <row r="555" spans="2:61" ht="20.100000000000001" customHeight="1" x14ac:dyDescent="0.45">
      <c r="B555" s="133"/>
      <c r="C555" s="27"/>
      <c r="D555" s="27"/>
      <c r="E555" s="27"/>
      <c r="F555" s="27"/>
      <c r="G555" s="134"/>
      <c r="H555" s="135"/>
      <c r="I555" s="27"/>
      <c r="J555" s="135" t="s">
        <v>233</v>
      </c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138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139"/>
    </row>
    <row r="556" spans="2:61" ht="20.100000000000001" customHeight="1" x14ac:dyDescent="0.45">
      <c r="B556" s="133"/>
      <c r="C556" s="27"/>
      <c r="D556" s="27"/>
      <c r="E556" s="27"/>
      <c r="F556" s="27"/>
      <c r="G556" s="134"/>
      <c r="H556" s="135"/>
      <c r="I556" s="27"/>
      <c r="J556" s="135" t="s">
        <v>768</v>
      </c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138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139"/>
    </row>
    <row r="557" spans="2:61" ht="20.100000000000001" customHeight="1" x14ac:dyDescent="0.45">
      <c r="B557" s="133"/>
      <c r="C557" s="27"/>
      <c r="D557" s="27"/>
      <c r="E557" s="27"/>
      <c r="F557" s="27"/>
      <c r="G557" s="134"/>
      <c r="H557" s="135"/>
      <c r="I557" s="27"/>
      <c r="J557" s="135" t="s">
        <v>233</v>
      </c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138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139"/>
    </row>
    <row r="558" spans="2:61" ht="20.100000000000001" customHeight="1" x14ac:dyDescent="0.45">
      <c r="B558" s="133"/>
      <c r="C558" s="27"/>
      <c r="D558" s="27"/>
      <c r="E558" s="27"/>
      <c r="F558" s="27"/>
      <c r="G558" s="134"/>
      <c r="H558" s="135"/>
      <c r="I558" s="27"/>
      <c r="J558" s="135" t="s">
        <v>769</v>
      </c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138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139"/>
    </row>
    <row r="559" spans="2:61" ht="20.100000000000001" customHeight="1" thickBot="1" x14ac:dyDescent="0.5">
      <c r="B559" s="133"/>
      <c r="C559" s="27"/>
      <c r="D559" s="27"/>
      <c r="E559" s="27"/>
      <c r="F559" s="27"/>
      <c r="G559" s="134"/>
      <c r="H559" s="135"/>
      <c r="I559" s="27"/>
      <c r="J559" s="135" t="s">
        <v>240</v>
      </c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138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139"/>
    </row>
    <row r="560" spans="2:61" ht="20.100000000000001" customHeight="1" x14ac:dyDescent="0.45">
      <c r="B560" s="124" t="s">
        <v>763</v>
      </c>
      <c r="C560" s="125"/>
      <c r="D560" s="125"/>
      <c r="E560" s="125"/>
      <c r="F560" s="125"/>
      <c r="G560" s="126"/>
      <c r="H560" s="127" t="s">
        <v>158</v>
      </c>
      <c r="I560" s="125"/>
      <c r="J560" s="128" t="s">
        <v>241</v>
      </c>
      <c r="K560" s="129"/>
      <c r="L560" s="129"/>
      <c r="M560" s="129"/>
      <c r="N560" s="129"/>
      <c r="O560" s="129"/>
      <c r="P560" s="129"/>
      <c r="Q560" s="130"/>
      <c r="R560" s="129">
        <v>2</v>
      </c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30"/>
      <c r="AK560" s="131" t="s">
        <v>246</v>
      </c>
      <c r="AL560" s="125"/>
      <c r="AM560" s="125"/>
      <c r="AN560" s="125"/>
      <c r="AO560" s="125"/>
      <c r="AP560" s="125"/>
      <c r="AQ560" s="125"/>
      <c r="AR560" s="125"/>
      <c r="AS560" s="125"/>
      <c r="AT560" s="125"/>
      <c r="AU560" s="125"/>
      <c r="AV560" s="125"/>
      <c r="AW560" s="125"/>
      <c r="AX560" s="125"/>
      <c r="AY560" s="125"/>
      <c r="AZ560" s="125"/>
      <c r="BA560" s="125"/>
      <c r="BB560" s="125"/>
      <c r="BC560" s="125"/>
      <c r="BD560" s="125"/>
      <c r="BE560" s="125"/>
      <c r="BF560" s="125"/>
      <c r="BG560" s="125"/>
      <c r="BH560" s="125"/>
      <c r="BI560" s="132"/>
    </row>
    <row r="561" spans="2:61" ht="20.100000000000001" customHeight="1" x14ac:dyDescent="0.45">
      <c r="B561" s="133"/>
      <c r="C561" s="27"/>
      <c r="D561" s="27"/>
      <c r="E561" s="27"/>
      <c r="F561" s="27"/>
      <c r="G561" s="134"/>
      <c r="H561" s="135"/>
      <c r="I561" s="27"/>
      <c r="J561" s="144" t="s">
        <v>163</v>
      </c>
      <c r="K561" s="145"/>
      <c r="L561" s="145"/>
      <c r="M561" s="145"/>
      <c r="N561" s="145"/>
      <c r="O561" s="145"/>
      <c r="P561" s="145"/>
      <c r="Q561" s="156"/>
      <c r="R561" s="145" t="s">
        <v>164</v>
      </c>
      <c r="S561" s="145"/>
      <c r="T561" s="145"/>
      <c r="U561" s="145"/>
      <c r="V561" s="145"/>
      <c r="W561" s="145"/>
      <c r="X561" s="145"/>
      <c r="Y561" s="145"/>
      <c r="Z561" s="145"/>
      <c r="AA561" s="145"/>
      <c r="AB561" s="145"/>
      <c r="AC561" s="145"/>
      <c r="AD561" s="145"/>
      <c r="AE561" s="145"/>
      <c r="AF561" s="145"/>
      <c r="AG561" s="145"/>
      <c r="AH561" s="145"/>
      <c r="AI561" s="145"/>
      <c r="AJ561" s="156"/>
      <c r="AK561" s="138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139"/>
    </row>
    <row r="562" spans="2:61" ht="20.100000000000001" customHeight="1" x14ac:dyDescent="0.45">
      <c r="B562" s="133"/>
      <c r="C562" s="27"/>
      <c r="D562" s="27"/>
      <c r="E562" s="27"/>
      <c r="F562" s="27"/>
      <c r="G562" s="134"/>
      <c r="H562" s="135"/>
      <c r="I562" s="27"/>
      <c r="J562" s="136" t="s">
        <v>244</v>
      </c>
      <c r="K562" s="48"/>
      <c r="L562" s="48"/>
      <c r="M562" s="48"/>
      <c r="N562" s="48"/>
      <c r="O562" s="48"/>
      <c r="P562" s="48"/>
      <c r="Q562" s="137"/>
      <c r="R562" s="48" t="s">
        <v>245</v>
      </c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137"/>
      <c r="AK562" s="138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139"/>
    </row>
    <row r="563" spans="2:61" ht="20.100000000000001" customHeight="1" x14ac:dyDescent="0.45">
      <c r="B563" s="133"/>
      <c r="C563" s="27"/>
      <c r="D563" s="27"/>
      <c r="E563" s="27"/>
      <c r="F563" s="27"/>
      <c r="G563" s="134"/>
      <c r="H563" s="135"/>
      <c r="I563" s="27"/>
      <c r="J563" s="140" t="s">
        <v>247</v>
      </c>
      <c r="K563" s="51"/>
      <c r="L563" s="51"/>
      <c r="M563" s="51"/>
      <c r="N563" s="51"/>
      <c r="O563" s="51"/>
      <c r="P563" s="51"/>
      <c r="Q563" s="51"/>
      <c r="R563" s="140" t="s">
        <v>248</v>
      </c>
      <c r="S563" s="51"/>
      <c r="T563" s="51"/>
      <c r="U563" s="51"/>
      <c r="V563" s="51"/>
      <c r="W563" s="51"/>
      <c r="X563" s="51"/>
      <c r="Y563" s="51"/>
      <c r="Z563" s="51"/>
      <c r="AA563" s="51"/>
      <c r="AB563" s="51"/>
      <c r="AC563" s="51"/>
      <c r="AD563" s="51"/>
      <c r="AE563" s="51"/>
      <c r="AF563" s="51"/>
      <c r="AG563" s="51"/>
      <c r="AH563" s="51"/>
      <c r="AI563" s="51"/>
      <c r="AJ563" s="51"/>
      <c r="AK563" s="138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139"/>
    </row>
    <row r="564" spans="2:61" ht="20.100000000000001" customHeight="1" x14ac:dyDescent="0.45">
      <c r="B564" s="133"/>
      <c r="C564" s="27"/>
      <c r="D564" s="27"/>
      <c r="E564" s="27"/>
      <c r="F564" s="27"/>
      <c r="G564" s="134"/>
      <c r="H564" s="135"/>
      <c r="I564" s="27"/>
      <c r="J564" s="140" t="s">
        <v>249</v>
      </c>
      <c r="K564" s="51"/>
      <c r="L564" s="51"/>
      <c r="M564" s="51"/>
      <c r="N564" s="51"/>
      <c r="O564" s="51"/>
      <c r="P564" s="51"/>
      <c r="Q564" s="51"/>
      <c r="R564" s="140" t="s">
        <v>250</v>
      </c>
      <c r="S564" s="51"/>
      <c r="T564" s="51"/>
      <c r="U564" s="51"/>
      <c r="V564" s="51"/>
      <c r="W564" s="51"/>
      <c r="X564" s="51"/>
      <c r="Y564" s="51"/>
      <c r="Z564" s="51"/>
      <c r="AA564" s="51"/>
      <c r="AB564" s="51"/>
      <c r="AC564" s="51"/>
      <c r="AD564" s="51"/>
      <c r="AE564" s="51"/>
      <c r="AF564" s="51"/>
      <c r="AG564" s="51"/>
      <c r="AH564" s="51"/>
      <c r="AI564" s="51"/>
      <c r="AJ564" s="51"/>
      <c r="AK564" s="138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139"/>
    </row>
    <row r="565" spans="2:61" ht="20.399999999999999" customHeight="1" x14ac:dyDescent="0.45">
      <c r="B565" s="133"/>
      <c r="C565" s="27"/>
      <c r="D565" s="27"/>
      <c r="E565" s="27"/>
      <c r="F565" s="27"/>
      <c r="G565" s="134"/>
      <c r="H565" s="135"/>
      <c r="I565" s="27"/>
      <c r="J565" s="140" t="s">
        <v>251</v>
      </c>
      <c r="K565" s="51"/>
      <c r="L565" s="51"/>
      <c r="M565" s="51"/>
      <c r="N565" s="51"/>
      <c r="O565" s="51"/>
      <c r="P565" s="51"/>
      <c r="Q565" s="51"/>
      <c r="R565" s="140" t="s">
        <v>252</v>
      </c>
      <c r="S565" s="51"/>
      <c r="T565" s="51"/>
      <c r="U565" s="51"/>
      <c r="V565" s="51"/>
      <c r="W565" s="51"/>
      <c r="X565" s="51"/>
      <c r="Y565" s="51"/>
      <c r="Z565" s="51"/>
      <c r="AA565" s="51"/>
      <c r="AB565" s="51"/>
      <c r="AC565" s="51"/>
      <c r="AD565" s="51"/>
      <c r="AE565" s="51"/>
      <c r="AF565" s="51"/>
      <c r="AG565" s="51"/>
      <c r="AH565" s="51"/>
      <c r="AI565" s="51"/>
      <c r="AJ565" s="51"/>
      <c r="AK565" s="138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139"/>
    </row>
    <row r="566" spans="2:61" ht="20.399999999999999" customHeight="1" x14ac:dyDescent="0.45">
      <c r="B566" s="133"/>
      <c r="C566" s="27"/>
      <c r="D566" s="27"/>
      <c r="E566" s="27"/>
      <c r="F566" s="27"/>
      <c r="G566" s="134"/>
      <c r="H566" s="135"/>
      <c r="I566" s="27"/>
      <c r="J566" s="140" t="s">
        <v>253</v>
      </c>
      <c r="K566" s="51"/>
      <c r="L566" s="51"/>
      <c r="M566" s="51"/>
      <c r="N566" s="51"/>
      <c r="O566" s="51"/>
      <c r="P566" s="51"/>
      <c r="Q566" s="51"/>
      <c r="R566" s="140" t="s">
        <v>254</v>
      </c>
      <c r="S566" s="51"/>
      <c r="T566" s="51"/>
      <c r="U566" s="51"/>
      <c r="V566" s="51"/>
      <c r="W566" s="51"/>
      <c r="X566" s="51"/>
      <c r="Y566" s="51"/>
      <c r="Z566" s="51"/>
      <c r="AA566" s="51"/>
      <c r="AB566" s="51"/>
      <c r="AC566" s="51"/>
      <c r="AD566" s="51"/>
      <c r="AE566" s="51"/>
      <c r="AF566" s="51"/>
      <c r="AG566" s="51"/>
      <c r="AH566" s="51"/>
      <c r="AI566" s="51"/>
      <c r="AJ566" s="51"/>
      <c r="AK566" s="138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139"/>
    </row>
    <row r="567" spans="2:61" ht="20.399999999999999" customHeight="1" x14ac:dyDescent="0.45">
      <c r="B567" s="133"/>
      <c r="C567" s="27"/>
      <c r="D567" s="27"/>
      <c r="E567" s="27"/>
      <c r="F567" s="27"/>
      <c r="G567" s="134"/>
      <c r="H567" s="135"/>
      <c r="I567" s="27"/>
      <c r="J567" s="140" t="s">
        <v>255</v>
      </c>
      <c r="K567" s="51"/>
      <c r="L567" s="51"/>
      <c r="M567" s="51"/>
      <c r="N567" s="51"/>
      <c r="O567" s="51"/>
      <c r="P567" s="51"/>
      <c r="Q567" s="51"/>
      <c r="R567" s="140" t="s">
        <v>256</v>
      </c>
      <c r="S567" s="51"/>
      <c r="T567" s="51"/>
      <c r="U567" s="51"/>
      <c r="V567" s="51"/>
      <c r="W567" s="51"/>
      <c r="X567" s="51"/>
      <c r="Y567" s="51"/>
      <c r="Z567" s="51"/>
      <c r="AA567" s="51"/>
      <c r="AB567" s="51"/>
      <c r="AC567" s="51"/>
      <c r="AD567" s="51"/>
      <c r="AE567" s="51"/>
      <c r="AF567" s="51"/>
      <c r="AG567" s="51"/>
      <c r="AH567" s="51"/>
      <c r="AI567" s="51"/>
      <c r="AJ567" s="51"/>
      <c r="AK567" s="138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139"/>
    </row>
    <row r="568" spans="2:61" ht="20.399999999999999" customHeight="1" x14ac:dyDescent="0.45">
      <c r="B568" s="133"/>
      <c r="C568" s="27"/>
      <c r="D568" s="27"/>
      <c r="E568" s="27"/>
      <c r="F568" s="27"/>
      <c r="G568" s="134"/>
      <c r="H568" s="135"/>
      <c r="I568" s="27"/>
      <c r="J568" s="140" t="s">
        <v>257</v>
      </c>
      <c r="K568" s="51"/>
      <c r="L568" s="51"/>
      <c r="M568" s="51"/>
      <c r="N568" s="51"/>
      <c r="O568" s="51"/>
      <c r="P568" s="51"/>
      <c r="Q568" s="51"/>
      <c r="R568" s="140" t="s">
        <v>258</v>
      </c>
      <c r="S568" s="51"/>
      <c r="T568" s="51"/>
      <c r="U568" s="51"/>
      <c r="V568" s="51"/>
      <c r="W568" s="51"/>
      <c r="X568" s="51"/>
      <c r="Y568" s="51"/>
      <c r="Z568" s="51"/>
      <c r="AA568" s="51"/>
      <c r="AB568" s="51"/>
      <c r="AC568" s="51"/>
      <c r="AD568" s="51"/>
      <c r="AE568" s="51"/>
      <c r="AF568" s="51"/>
      <c r="AG568" s="51"/>
      <c r="AH568" s="51"/>
      <c r="AI568" s="51"/>
      <c r="AJ568" s="51"/>
      <c r="AK568" s="138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139"/>
    </row>
    <row r="569" spans="2:61" ht="20.399999999999999" customHeight="1" x14ac:dyDescent="0.45">
      <c r="B569" s="133"/>
      <c r="C569" s="27"/>
      <c r="D569" s="27"/>
      <c r="E569" s="27"/>
      <c r="F569" s="27"/>
      <c r="G569" s="134"/>
      <c r="H569" s="135"/>
      <c r="I569" s="27"/>
      <c r="J569" s="140" t="s">
        <v>259</v>
      </c>
      <c r="K569" s="51"/>
      <c r="L569" s="51"/>
      <c r="M569" s="51"/>
      <c r="N569" s="51"/>
      <c r="O569" s="51"/>
      <c r="P569" s="51"/>
      <c r="Q569" s="51"/>
      <c r="R569" s="140" t="s">
        <v>260</v>
      </c>
      <c r="S569" s="51"/>
      <c r="T569" s="51"/>
      <c r="U569" s="51"/>
      <c r="V569" s="51"/>
      <c r="W569" s="51"/>
      <c r="X569" s="51"/>
      <c r="Y569" s="51"/>
      <c r="Z569" s="51"/>
      <c r="AA569" s="51"/>
      <c r="AB569" s="51"/>
      <c r="AC569" s="51"/>
      <c r="AD569" s="51"/>
      <c r="AE569" s="51"/>
      <c r="AF569" s="51"/>
      <c r="AG569" s="51"/>
      <c r="AH569" s="51"/>
      <c r="AI569" s="51"/>
      <c r="AJ569" s="51"/>
      <c r="AK569" s="138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139"/>
    </row>
    <row r="570" spans="2:61" ht="20.399999999999999" customHeight="1" x14ac:dyDescent="0.45">
      <c r="B570" s="133"/>
      <c r="C570" s="27"/>
      <c r="D570" s="27"/>
      <c r="E570" s="27"/>
      <c r="F570" s="27"/>
      <c r="G570" s="134"/>
      <c r="H570" s="135"/>
      <c r="I570" s="27"/>
      <c r="J570" s="140" t="s">
        <v>261</v>
      </c>
      <c r="K570" s="51"/>
      <c r="L570" s="51"/>
      <c r="M570" s="51"/>
      <c r="N570" s="51"/>
      <c r="O570" s="51"/>
      <c r="P570" s="51"/>
      <c r="Q570" s="51"/>
      <c r="R570" s="140" t="s">
        <v>262</v>
      </c>
      <c r="S570" s="51"/>
      <c r="T570" s="51"/>
      <c r="U570" s="51"/>
      <c r="V570" s="51"/>
      <c r="W570" s="51"/>
      <c r="X570" s="51"/>
      <c r="Y570" s="51"/>
      <c r="Z570" s="51"/>
      <c r="AA570" s="51"/>
      <c r="AB570" s="51"/>
      <c r="AC570" s="51"/>
      <c r="AD570" s="51"/>
      <c r="AE570" s="51"/>
      <c r="AF570" s="51"/>
      <c r="AG570" s="51"/>
      <c r="AH570" s="51"/>
      <c r="AI570" s="51"/>
      <c r="AJ570" s="51"/>
      <c r="AK570" s="138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139"/>
    </row>
    <row r="571" spans="2:61" ht="20.399999999999999" customHeight="1" x14ac:dyDescent="0.45">
      <c r="B571" s="133"/>
      <c r="C571" s="27"/>
      <c r="D571" s="27"/>
      <c r="E571" s="27"/>
      <c r="F571" s="27"/>
      <c r="G571" s="134"/>
      <c r="H571" s="135"/>
      <c r="I571" s="27"/>
      <c r="J571" s="140" t="s">
        <v>263</v>
      </c>
      <c r="K571" s="51"/>
      <c r="L571" s="51"/>
      <c r="M571" s="51"/>
      <c r="N571" s="51"/>
      <c r="O571" s="51"/>
      <c r="P571" s="51"/>
      <c r="Q571" s="51"/>
      <c r="R571" s="140" t="s">
        <v>264</v>
      </c>
      <c r="S571" s="51"/>
      <c r="T571" s="51"/>
      <c r="U571" s="51"/>
      <c r="V571" s="51"/>
      <c r="W571" s="51"/>
      <c r="X571" s="51"/>
      <c r="Y571" s="51"/>
      <c r="Z571" s="51"/>
      <c r="AA571" s="51"/>
      <c r="AB571" s="51"/>
      <c r="AC571" s="51"/>
      <c r="AD571" s="51"/>
      <c r="AE571" s="51"/>
      <c r="AF571" s="51"/>
      <c r="AG571" s="51"/>
      <c r="AH571" s="51"/>
      <c r="AI571" s="51"/>
      <c r="AJ571" s="51"/>
      <c r="AK571" s="138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139"/>
    </row>
    <row r="572" spans="2:61" ht="20.399999999999999" customHeight="1" x14ac:dyDescent="0.45">
      <c r="B572" s="133"/>
      <c r="C572" s="27"/>
      <c r="D572" s="27"/>
      <c r="E572" s="27"/>
      <c r="F572" s="27"/>
      <c r="G572" s="134"/>
      <c r="H572" s="135"/>
      <c r="I572" s="27"/>
      <c r="J572" s="140" t="s">
        <v>265</v>
      </c>
      <c r="K572" s="51"/>
      <c r="L572" s="51"/>
      <c r="M572" s="51"/>
      <c r="N572" s="51"/>
      <c r="O572" s="51"/>
      <c r="P572" s="51"/>
      <c r="Q572" s="51"/>
      <c r="R572" s="140" t="s">
        <v>266</v>
      </c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51"/>
      <c r="AG572" s="51"/>
      <c r="AH572" s="51"/>
      <c r="AI572" s="51"/>
      <c r="AJ572" s="51"/>
      <c r="AK572" s="138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139"/>
    </row>
    <row r="573" spans="2:61" ht="20.100000000000001" customHeight="1" x14ac:dyDescent="0.45">
      <c r="B573" s="133"/>
      <c r="C573" s="27"/>
      <c r="D573" s="27"/>
      <c r="E573" s="27"/>
      <c r="F573" s="27"/>
      <c r="G573" s="134"/>
      <c r="H573" s="135"/>
      <c r="I573" s="27"/>
      <c r="J573" s="140" t="s">
        <v>267</v>
      </c>
      <c r="K573" s="51"/>
      <c r="L573" s="51"/>
      <c r="M573" s="51"/>
      <c r="N573" s="51"/>
      <c r="O573" s="51"/>
      <c r="P573" s="51"/>
      <c r="Q573" s="51"/>
      <c r="R573" s="140" t="s">
        <v>268</v>
      </c>
      <c r="S573" s="51"/>
      <c r="T573" s="51"/>
      <c r="U573" s="51"/>
      <c r="V573" s="51"/>
      <c r="W573" s="51"/>
      <c r="X573" s="51"/>
      <c r="Y573" s="51"/>
      <c r="Z573" s="51"/>
      <c r="AA573" s="51"/>
      <c r="AB573" s="51"/>
      <c r="AC573" s="51"/>
      <c r="AD573" s="51"/>
      <c r="AE573" s="51"/>
      <c r="AF573" s="51"/>
      <c r="AG573" s="51"/>
      <c r="AH573" s="51"/>
      <c r="AI573" s="51"/>
      <c r="AJ573" s="51"/>
      <c r="AK573" s="138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139"/>
    </row>
    <row r="574" spans="2:61" ht="20.100000000000001" customHeight="1" x14ac:dyDescent="0.45">
      <c r="B574" s="133"/>
      <c r="C574" s="27"/>
      <c r="D574" s="27"/>
      <c r="E574" s="27"/>
      <c r="F574" s="27"/>
      <c r="G574" s="134"/>
      <c r="H574" s="135"/>
      <c r="I574" s="27"/>
      <c r="J574" s="140" t="s">
        <v>269</v>
      </c>
      <c r="K574" s="51"/>
      <c r="L574" s="51"/>
      <c r="M574" s="51"/>
      <c r="N574" s="51"/>
      <c r="O574" s="51"/>
      <c r="P574" s="51"/>
      <c r="Q574" s="51"/>
      <c r="R574" s="136" t="s">
        <v>270</v>
      </c>
      <c r="S574" s="51"/>
      <c r="T574" s="51"/>
      <c r="U574" s="51"/>
      <c r="V574" s="51"/>
      <c r="W574" s="51"/>
      <c r="X574" s="51"/>
      <c r="Y574" s="51"/>
      <c r="Z574" s="51"/>
      <c r="AA574" s="51"/>
      <c r="AB574" s="51"/>
      <c r="AC574" s="51"/>
      <c r="AD574" s="51"/>
      <c r="AE574" s="51"/>
      <c r="AF574" s="51"/>
      <c r="AG574" s="51"/>
      <c r="AH574" s="51"/>
      <c r="AI574" s="51"/>
      <c r="AJ574" s="51"/>
      <c r="AK574" s="138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139"/>
    </row>
    <row r="575" spans="2:61" ht="20.100000000000001" customHeight="1" x14ac:dyDescent="0.45">
      <c r="B575" s="133"/>
      <c r="C575" s="27"/>
      <c r="D575" s="27"/>
      <c r="E575" s="27"/>
      <c r="F575" s="27"/>
      <c r="G575" s="134"/>
      <c r="H575" s="135"/>
      <c r="I575" s="27"/>
      <c r="J575" s="140" t="s">
        <v>271</v>
      </c>
      <c r="K575" s="51"/>
      <c r="L575" s="51"/>
      <c r="M575" s="51"/>
      <c r="N575" s="51"/>
      <c r="O575" s="51"/>
      <c r="P575" s="51"/>
      <c r="Q575" s="51"/>
      <c r="R575" s="140" t="s">
        <v>272</v>
      </c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1"/>
      <c r="AF575" s="51"/>
      <c r="AG575" s="51"/>
      <c r="AH575" s="51"/>
      <c r="AI575" s="51"/>
      <c r="AJ575" s="51"/>
      <c r="AK575" s="138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139"/>
    </row>
    <row r="576" spans="2:61" ht="20.100000000000001" customHeight="1" x14ac:dyDescent="0.45">
      <c r="B576" s="133"/>
      <c r="C576" s="27"/>
      <c r="D576" s="27"/>
      <c r="E576" s="27"/>
      <c r="F576" s="27"/>
      <c r="G576" s="134"/>
      <c r="H576" s="135"/>
      <c r="I576" s="27"/>
      <c r="J576" s="140" t="s">
        <v>273</v>
      </c>
      <c r="K576" s="51"/>
      <c r="L576" s="51"/>
      <c r="M576" s="51"/>
      <c r="N576" s="51"/>
      <c r="O576" s="51"/>
      <c r="P576" s="51"/>
      <c r="Q576" s="51"/>
      <c r="R576" s="140" t="s">
        <v>274</v>
      </c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  <c r="AJ576" s="51"/>
      <c r="AK576" s="138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139"/>
    </row>
    <row r="577" spans="2:61" ht="20.100000000000001" customHeight="1" x14ac:dyDescent="0.45">
      <c r="B577" s="133"/>
      <c r="C577" s="27"/>
      <c r="D577" s="27"/>
      <c r="E577" s="27"/>
      <c r="F577" s="27"/>
      <c r="G577" s="134"/>
      <c r="H577" s="135"/>
      <c r="I577" s="27"/>
      <c r="J577" s="140" t="s">
        <v>275</v>
      </c>
      <c r="K577" s="51"/>
      <c r="L577" s="51"/>
      <c r="M577" s="51"/>
      <c r="N577" s="51"/>
      <c r="O577" s="51"/>
      <c r="P577" s="51"/>
      <c r="Q577" s="51"/>
      <c r="R577" s="140" t="s">
        <v>276</v>
      </c>
      <c r="S577" s="51"/>
      <c r="T577" s="51"/>
      <c r="U577" s="51"/>
      <c r="V577" s="51"/>
      <c r="W577" s="51"/>
      <c r="X577" s="51"/>
      <c r="Y577" s="51"/>
      <c r="Z577" s="51"/>
      <c r="AA577" s="51"/>
      <c r="AB577" s="51"/>
      <c r="AC577" s="51"/>
      <c r="AD577" s="51"/>
      <c r="AE577" s="51"/>
      <c r="AF577" s="51"/>
      <c r="AG577" s="51"/>
      <c r="AH577" s="51"/>
      <c r="AI577" s="51"/>
      <c r="AJ577" s="51"/>
      <c r="AK577" s="138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139"/>
    </row>
    <row r="578" spans="2:61" ht="20.100000000000001" customHeight="1" x14ac:dyDescent="0.45">
      <c r="B578" s="133"/>
      <c r="C578" s="27"/>
      <c r="D578" s="27"/>
      <c r="E578" s="27"/>
      <c r="F578" s="27"/>
      <c r="G578" s="134"/>
      <c r="H578" s="135"/>
      <c r="I578" s="27"/>
      <c r="J578" s="140" t="s">
        <v>277</v>
      </c>
      <c r="K578" s="51"/>
      <c r="L578" s="51"/>
      <c r="M578" s="51"/>
      <c r="N578" s="51"/>
      <c r="O578" s="51"/>
      <c r="P578" s="51"/>
      <c r="Q578" s="51"/>
      <c r="R578" s="140" t="s">
        <v>278</v>
      </c>
      <c r="S578" s="51"/>
      <c r="T578" s="51"/>
      <c r="U578" s="51"/>
      <c r="V578" s="51"/>
      <c r="W578" s="51"/>
      <c r="X578" s="51"/>
      <c r="Y578" s="51"/>
      <c r="Z578" s="51"/>
      <c r="AA578" s="51"/>
      <c r="AB578" s="51"/>
      <c r="AC578" s="51"/>
      <c r="AD578" s="51"/>
      <c r="AE578" s="51"/>
      <c r="AF578" s="51"/>
      <c r="AG578" s="51"/>
      <c r="AH578" s="51"/>
      <c r="AI578" s="51"/>
      <c r="AJ578" s="51"/>
      <c r="AK578" s="138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139"/>
    </row>
    <row r="579" spans="2:61" ht="20.100000000000001" customHeight="1" x14ac:dyDescent="0.45">
      <c r="B579" s="133"/>
      <c r="C579" s="27"/>
      <c r="D579" s="27"/>
      <c r="E579" s="27"/>
      <c r="F579" s="27"/>
      <c r="G579" s="134"/>
      <c r="H579" s="135"/>
      <c r="I579" s="27"/>
      <c r="J579" s="140" t="s">
        <v>279</v>
      </c>
      <c r="K579" s="51"/>
      <c r="L579" s="51"/>
      <c r="M579" s="51"/>
      <c r="N579" s="51"/>
      <c r="O579" s="51"/>
      <c r="P579" s="51"/>
      <c r="Q579" s="51"/>
      <c r="R579" s="140" t="s">
        <v>280</v>
      </c>
      <c r="S579" s="51"/>
      <c r="T579" s="51"/>
      <c r="U579" s="51"/>
      <c r="V579" s="51"/>
      <c r="W579" s="51"/>
      <c r="X579" s="51"/>
      <c r="Y579" s="51"/>
      <c r="Z579" s="51"/>
      <c r="AA579" s="51"/>
      <c r="AB579" s="51"/>
      <c r="AC579" s="51"/>
      <c r="AD579" s="51"/>
      <c r="AE579" s="51"/>
      <c r="AF579" s="51"/>
      <c r="AG579" s="51"/>
      <c r="AH579" s="51"/>
      <c r="AI579" s="51"/>
      <c r="AJ579" s="51"/>
      <c r="AK579" s="138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139"/>
    </row>
    <row r="580" spans="2:61" ht="20.100000000000001" customHeight="1" x14ac:dyDescent="0.45">
      <c r="B580" s="133"/>
      <c r="C580" s="27"/>
      <c r="D580" s="27"/>
      <c r="E580" s="27"/>
      <c r="F580" s="27"/>
      <c r="G580" s="134"/>
      <c r="H580" s="135"/>
      <c r="I580" s="27"/>
      <c r="J580" s="140" t="s">
        <v>281</v>
      </c>
      <c r="K580" s="51"/>
      <c r="L580" s="51"/>
      <c r="M580" s="51"/>
      <c r="N580" s="51"/>
      <c r="O580" s="51"/>
      <c r="P580" s="51"/>
      <c r="Q580" s="51"/>
      <c r="R580" s="141" t="s">
        <v>282</v>
      </c>
      <c r="S580" s="51"/>
      <c r="T580" s="51"/>
      <c r="U580" s="51"/>
      <c r="V580" s="51"/>
      <c r="W580" s="51"/>
      <c r="X580" s="51"/>
      <c r="Y580" s="51"/>
      <c r="Z580" s="51"/>
      <c r="AA580" s="51"/>
      <c r="AB580" s="51"/>
      <c r="AC580" s="51"/>
      <c r="AD580" s="51"/>
      <c r="AE580" s="51"/>
      <c r="AF580" s="51"/>
      <c r="AG580" s="51"/>
      <c r="AH580" s="51"/>
      <c r="AI580" s="51"/>
      <c r="AJ580" s="51"/>
      <c r="AK580" s="138" t="s">
        <v>283</v>
      </c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139"/>
    </row>
    <row r="581" spans="2:61" ht="20.100000000000001" customHeight="1" x14ac:dyDescent="0.45">
      <c r="B581" s="133"/>
      <c r="C581" s="27"/>
      <c r="D581" s="27"/>
      <c r="E581" s="27"/>
      <c r="F581" s="27"/>
      <c r="G581" s="134"/>
      <c r="H581" s="135"/>
      <c r="I581" s="27"/>
      <c r="J581" s="140" t="s">
        <v>284</v>
      </c>
      <c r="K581" s="51"/>
      <c r="L581" s="51"/>
      <c r="M581" s="51"/>
      <c r="N581" s="51"/>
      <c r="O581" s="51"/>
      <c r="P581" s="51"/>
      <c r="Q581" s="51"/>
      <c r="R581" s="140" t="s">
        <v>285</v>
      </c>
      <c r="S581" s="51"/>
      <c r="T581" s="51"/>
      <c r="U581" s="51"/>
      <c r="V581" s="51"/>
      <c r="W581" s="51"/>
      <c r="X581" s="51"/>
      <c r="Y581" s="51"/>
      <c r="Z581" s="51"/>
      <c r="AA581" s="51"/>
      <c r="AB581" s="51"/>
      <c r="AC581" s="51"/>
      <c r="AD581" s="51"/>
      <c r="AE581" s="51"/>
      <c r="AF581" s="51"/>
      <c r="AG581" s="51"/>
      <c r="AH581" s="51"/>
      <c r="AI581" s="51"/>
      <c r="AJ581" s="51"/>
      <c r="AK581" s="138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139"/>
    </row>
    <row r="582" spans="2:61" ht="20.100000000000001" customHeight="1" x14ac:dyDescent="0.45">
      <c r="B582" s="133"/>
      <c r="C582" s="27"/>
      <c r="D582" s="27"/>
      <c r="E582" s="27"/>
      <c r="F582" s="27"/>
      <c r="G582" s="134"/>
      <c r="H582" s="135"/>
      <c r="I582" s="27"/>
      <c r="J582" s="140" t="s">
        <v>286</v>
      </c>
      <c r="K582" s="51"/>
      <c r="L582" s="51"/>
      <c r="M582" s="51"/>
      <c r="N582" s="51"/>
      <c r="O582" s="51"/>
      <c r="P582" s="51"/>
      <c r="Q582" s="51"/>
      <c r="R582" s="140" t="s">
        <v>287</v>
      </c>
      <c r="S582" s="51"/>
      <c r="T582" s="51"/>
      <c r="U582" s="51"/>
      <c r="V582" s="51"/>
      <c r="W582" s="51"/>
      <c r="X582" s="51"/>
      <c r="Y582" s="51"/>
      <c r="Z582" s="51"/>
      <c r="AA582" s="51"/>
      <c r="AB582" s="51"/>
      <c r="AC582" s="51"/>
      <c r="AD582" s="51"/>
      <c r="AE582" s="51"/>
      <c r="AF582" s="51"/>
      <c r="AG582" s="51"/>
      <c r="AH582" s="51"/>
      <c r="AI582" s="51"/>
      <c r="AJ582" s="51"/>
      <c r="AK582" s="138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139"/>
    </row>
    <row r="583" spans="2:61" ht="20.100000000000001" customHeight="1" x14ac:dyDescent="0.45">
      <c r="B583" s="133"/>
      <c r="C583" s="27"/>
      <c r="D583" s="27"/>
      <c r="E583" s="27"/>
      <c r="F583" s="27"/>
      <c r="G583" s="134"/>
      <c r="H583" s="135"/>
      <c r="I583" s="27"/>
      <c r="J583" s="140" t="s">
        <v>288</v>
      </c>
      <c r="K583" s="51"/>
      <c r="L583" s="51"/>
      <c r="M583" s="51"/>
      <c r="N583" s="51"/>
      <c r="O583" s="51"/>
      <c r="P583" s="51"/>
      <c r="Q583" s="51"/>
      <c r="R583" s="140" t="s">
        <v>289</v>
      </c>
      <c r="S583" s="51"/>
      <c r="T583" s="51"/>
      <c r="U583" s="51"/>
      <c r="V583" s="51"/>
      <c r="W583" s="51"/>
      <c r="X583" s="51"/>
      <c r="Y583" s="51"/>
      <c r="Z583" s="51"/>
      <c r="AA583" s="51"/>
      <c r="AB583" s="51"/>
      <c r="AC583" s="51"/>
      <c r="AD583" s="51"/>
      <c r="AE583" s="51"/>
      <c r="AF583" s="51"/>
      <c r="AG583" s="51"/>
      <c r="AH583" s="51"/>
      <c r="AI583" s="51"/>
      <c r="AJ583" s="51"/>
      <c r="AK583" s="138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139"/>
    </row>
    <row r="584" spans="2:61" ht="20.100000000000001" customHeight="1" x14ac:dyDescent="0.45">
      <c r="B584" s="133"/>
      <c r="C584" s="27"/>
      <c r="D584" s="27"/>
      <c r="E584" s="27"/>
      <c r="F584" s="27"/>
      <c r="G584" s="134"/>
      <c r="H584" s="135"/>
      <c r="I584" s="27"/>
      <c r="J584" s="140" t="s">
        <v>290</v>
      </c>
      <c r="K584" s="51"/>
      <c r="L584" s="51"/>
      <c r="M584" s="51"/>
      <c r="N584" s="51"/>
      <c r="O584" s="51"/>
      <c r="P584" s="51"/>
      <c r="Q584" s="51"/>
      <c r="R584" s="141" t="s">
        <v>291</v>
      </c>
      <c r="S584" s="51"/>
      <c r="T584" s="51"/>
      <c r="U584" s="51"/>
      <c r="V584" s="51"/>
      <c r="W584" s="51"/>
      <c r="X584" s="51"/>
      <c r="Y584" s="51"/>
      <c r="Z584" s="51"/>
      <c r="AA584" s="51"/>
      <c r="AB584" s="51"/>
      <c r="AC584" s="51"/>
      <c r="AD584" s="51"/>
      <c r="AE584" s="51"/>
      <c r="AF584" s="51"/>
      <c r="AG584" s="51"/>
      <c r="AH584" s="51"/>
      <c r="AI584" s="51"/>
      <c r="AJ584" s="51"/>
      <c r="AK584" s="138" t="s">
        <v>292</v>
      </c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139"/>
    </row>
    <row r="585" spans="2:61" ht="20.100000000000001" customHeight="1" x14ac:dyDescent="0.45">
      <c r="B585" s="133"/>
      <c r="C585" s="27"/>
      <c r="D585" s="27"/>
      <c r="E585" s="27"/>
      <c r="F585" s="27"/>
      <c r="G585" s="134"/>
      <c r="H585" s="135"/>
      <c r="I585" s="27"/>
      <c r="J585" s="140" t="s">
        <v>177</v>
      </c>
      <c r="K585" s="51"/>
      <c r="L585" s="51"/>
      <c r="M585" s="51"/>
      <c r="N585" s="51"/>
      <c r="O585" s="51"/>
      <c r="P585" s="51"/>
      <c r="Q585" s="51"/>
      <c r="R585" s="140" t="s">
        <v>293</v>
      </c>
      <c r="S585" s="51"/>
      <c r="T585" s="51"/>
      <c r="U585" s="51"/>
      <c r="V585" s="51"/>
      <c r="W585" s="51"/>
      <c r="X585" s="51"/>
      <c r="Y585" s="51"/>
      <c r="Z585" s="51"/>
      <c r="AA585" s="51"/>
      <c r="AB585" s="51"/>
      <c r="AC585" s="51"/>
      <c r="AD585" s="51"/>
      <c r="AE585" s="51"/>
      <c r="AF585" s="51"/>
      <c r="AG585" s="51"/>
      <c r="AH585" s="51"/>
      <c r="AI585" s="51"/>
      <c r="AJ585" s="51"/>
      <c r="AK585" s="138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139"/>
    </row>
    <row r="586" spans="2:61" ht="20.100000000000001" customHeight="1" x14ac:dyDescent="0.45">
      <c r="B586" s="133"/>
      <c r="C586" s="27"/>
      <c r="D586" s="27"/>
      <c r="E586" s="27"/>
      <c r="F586" s="27"/>
      <c r="G586" s="134"/>
      <c r="H586" s="135"/>
      <c r="I586" s="27"/>
      <c r="J586" s="140" t="s">
        <v>294</v>
      </c>
      <c r="K586" s="51"/>
      <c r="L586" s="51"/>
      <c r="M586" s="51"/>
      <c r="N586" s="51"/>
      <c r="O586" s="51"/>
      <c r="P586" s="51"/>
      <c r="Q586" s="51"/>
      <c r="R586" s="140" t="s">
        <v>295</v>
      </c>
      <c r="S586" s="51"/>
      <c r="T586" s="51"/>
      <c r="U586" s="51"/>
      <c r="V586" s="51"/>
      <c r="W586" s="51"/>
      <c r="X586" s="51"/>
      <c r="Y586" s="51"/>
      <c r="Z586" s="51"/>
      <c r="AA586" s="51"/>
      <c r="AB586" s="51"/>
      <c r="AC586" s="51"/>
      <c r="AD586" s="51"/>
      <c r="AE586" s="51"/>
      <c r="AF586" s="51"/>
      <c r="AG586" s="51"/>
      <c r="AH586" s="51"/>
      <c r="AI586" s="51"/>
      <c r="AJ586" s="51"/>
      <c r="AK586" s="138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139"/>
    </row>
    <row r="587" spans="2:61" ht="20.100000000000001" customHeight="1" x14ac:dyDescent="0.45">
      <c r="B587" s="133"/>
      <c r="C587" s="27"/>
      <c r="D587" s="27"/>
      <c r="E587" s="27"/>
      <c r="F587" s="27"/>
      <c r="G587" s="134"/>
      <c r="H587" s="135"/>
      <c r="I587" s="27"/>
      <c r="J587" s="140" t="s">
        <v>296</v>
      </c>
      <c r="K587" s="51"/>
      <c r="L587" s="51"/>
      <c r="M587" s="51"/>
      <c r="N587" s="51"/>
      <c r="O587" s="51"/>
      <c r="P587" s="51"/>
      <c r="Q587" s="51"/>
      <c r="R587" s="140" t="s">
        <v>297</v>
      </c>
      <c r="S587" s="51"/>
      <c r="T587" s="51"/>
      <c r="U587" s="51"/>
      <c r="V587" s="51"/>
      <c r="W587" s="51"/>
      <c r="X587" s="51"/>
      <c r="Y587" s="51"/>
      <c r="Z587" s="51"/>
      <c r="AA587" s="51"/>
      <c r="AB587" s="51"/>
      <c r="AC587" s="51"/>
      <c r="AD587" s="51"/>
      <c r="AE587" s="51"/>
      <c r="AF587" s="51"/>
      <c r="AG587" s="51"/>
      <c r="AH587" s="51"/>
      <c r="AI587" s="51"/>
      <c r="AJ587" s="51"/>
      <c r="AK587" s="138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139"/>
    </row>
    <row r="588" spans="2:61" ht="20.100000000000001" customHeight="1" x14ac:dyDescent="0.45">
      <c r="B588" s="133"/>
      <c r="C588" s="27"/>
      <c r="D588" s="27"/>
      <c r="E588" s="27"/>
      <c r="F588" s="27"/>
      <c r="G588" s="134"/>
      <c r="H588" s="135"/>
      <c r="I588" s="27"/>
      <c r="J588" s="140" t="s">
        <v>298</v>
      </c>
      <c r="K588" s="51"/>
      <c r="L588" s="51"/>
      <c r="M588" s="51"/>
      <c r="N588" s="51"/>
      <c r="O588" s="51"/>
      <c r="P588" s="51"/>
      <c r="Q588" s="51"/>
      <c r="R588" s="140" t="s">
        <v>299</v>
      </c>
      <c r="S588" s="51"/>
      <c r="T588" s="51"/>
      <c r="U588" s="51"/>
      <c r="V588" s="51"/>
      <c r="W588" s="51"/>
      <c r="X588" s="51"/>
      <c r="Y588" s="51"/>
      <c r="Z588" s="51"/>
      <c r="AA588" s="51"/>
      <c r="AB588" s="51"/>
      <c r="AC588" s="51"/>
      <c r="AD588" s="51"/>
      <c r="AE588" s="51"/>
      <c r="AF588" s="51"/>
      <c r="AG588" s="51"/>
      <c r="AH588" s="51"/>
      <c r="AI588" s="51"/>
      <c r="AJ588" s="51"/>
      <c r="AK588" s="138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139"/>
    </row>
    <row r="589" spans="2:61" ht="20.100000000000001" customHeight="1" x14ac:dyDescent="0.45">
      <c r="B589" s="133"/>
      <c r="C589" s="27"/>
      <c r="D589" s="27"/>
      <c r="E589" s="27"/>
      <c r="F589" s="27"/>
      <c r="G589" s="134"/>
      <c r="H589" s="135"/>
      <c r="I589" s="27"/>
      <c r="J589" s="140" t="s">
        <v>300</v>
      </c>
      <c r="K589" s="51"/>
      <c r="L589" s="51"/>
      <c r="M589" s="51"/>
      <c r="N589" s="51"/>
      <c r="O589" s="51"/>
      <c r="P589" s="51"/>
      <c r="Q589" s="51"/>
      <c r="R589" s="140" t="s">
        <v>301</v>
      </c>
      <c r="S589" s="51"/>
      <c r="T589" s="51"/>
      <c r="U589" s="51"/>
      <c r="V589" s="51"/>
      <c r="W589" s="51"/>
      <c r="X589" s="51"/>
      <c r="Y589" s="51"/>
      <c r="Z589" s="51"/>
      <c r="AA589" s="51"/>
      <c r="AB589" s="51"/>
      <c r="AC589" s="51"/>
      <c r="AD589" s="51"/>
      <c r="AE589" s="51"/>
      <c r="AF589" s="51"/>
      <c r="AG589" s="51"/>
      <c r="AH589" s="51"/>
      <c r="AI589" s="51"/>
      <c r="AJ589" s="51"/>
      <c r="AK589" s="138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139"/>
    </row>
    <row r="590" spans="2:61" ht="20.100000000000001" customHeight="1" x14ac:dyDescent="0.45">
      <c r="B590" s="133"/>
      <c r="C590" s="27"/>
      <c r="D590" s="27"/>
      <c r="E590" s="27"/>
      <c r="F590" s="27"/>
      <c r="G590" s="134"/>
      <c r="H590" s="135"/>
      <c r="I590" s="27"/>
      <c r="J590" s="140" t="s">
        <v>302</v>
      </c>
      <c r="K590" s="51"/>
      <c r="L590" s="51"/>
      <c r="M590" s="51"/>
      <c r="N590" s="51"/>
      <c r="O590" s="51"/>
      <c r="P590" s="51"/>
      <c r="Q590" s="51"/>
      <c r="R590" s="140" t="s">
        <v>303</v>
      </c>
      <c r="S590" s="51"/>
      <c r="T590" s="51"/>
      <c r="U590" s="51"/>
      <c r="V590" s="51"/>
      <c r="W590" s="51"/>
      <c r="X590" s="51"/>
      <c r="Y590" s="51"/>
      <c r="Z590" s="51"/>
      <c r="AA590" s="51"/>
      <c r="AB590" s="51"/>
      <c r="AC590" s="51"/>
      <c r="AD590" s="51"/>
      <c r="AE590" s="51"/>
      <c r="AF590" s="51"/>
      <c r="AG590" s="51"/>
      <c r="AH590" s="51"/>
      <c r="AI590" s="51"/>
      <c r="AJ590" s="51"/>
      <c r="AK590" s="138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139"/>
    </row>
    <row r="591" spans="2:61" ht="20.100000000000001" customHeight="1" x14ac:dyDescent="0.45">
      <c r="B591" s="133"/>
      <c r="C591" s="27"/>
      <c r="D591" s="27"/>
      <c r="E591" s="27"/>
      <c r="F591" s="27"/>
      <c r="G591" s="134"/>
      <c r="H591" s="135"/>
      <c r="I591" s="27"/>
      <c r="J591" s="140" t="s">
        <v>304</v>
      </c>
      <c r="K591" s="51"/>
      <c r="L591" s="51"/>
      <c r="M591" s="51"/>
      <c r="N591" s="51"/>
      <c r="O591" s="51"/>
      <c r="P591" s="51"/>
      <c r="Q591" s="51"/>
      <c r="R591" s="140" t="s">
        <v>305</v>
      </c>
      <c r="S591" s="51"/>
      <c r="T591" s="51"/>
      <c r="U591" s="51"/>
      <c r="V591" s="51"/>
      <c r="W591" s="51"/>
      <c r="X591" s="51"/>
      <c r="Y591" s="51"/>
      <c r="Z591" s="51"/>
      <c r="AA591" s="51"/>
      <c r="AB591" s="51"/>
      <c r="AC591" s="51"/>
      <c r="AD591" s="51"/>
      <c r="AE591" s="51"/>
      <c r="AF591" s="51"/>
      <c r="AG591" s="51"/>
      <c r="AH591" s="51"/>
      <c r="AI591" s="51"/>
      <c r="AJ591" s="51"/>
      <c r="AK591" s="138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139"/>
    </row>
    <row r="592" spans="2:61" ht="20.100000000000001" customHeight="1" x14ac:dyDescent="0.45">
      <c r="B592" s="133"/>
      <c r="C592" s="27"/>
      <c r="D592" s="27"/>
      <c r="E592" s="27"/>
      <c r="F592" s="27"/>
      <c r="G592" s="134"/>
      <c r="H592" s="135"/>
      <c r="I592" s="27"/>
      <c r="J592" s="140" t="s">
        <v>306</v>
      </c>
      <c r="K592" s="51"/>
      <c r="L592" s="51"/>
      <c r="M592" s="51"/>
      <c r="N592" s="51"/>
      <c r="O592" s="51"/>
      <c r="P592" s="51"/>
      <c r="Q592" s="51"/>
      <c r="R592" s="140" t="s">
        <v>307</v>
      </c>
      <c r="S592" s="51"/>
      <c r="T592" s="51"/>
      <c r="U592" s="51"/>
      <c r="V592" s="51"/>
      <c r="W592" s="51"/>
      <c r="X592" s="51"/>
      <c r="Y592" s="51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138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139"/>
    </row>
    <row r="593" spans="2:61" ht="20.100000000000001" customHeight="1" x14ac:dyDescent="0.45">
      <c r="B593" s="133"/>
      <c r="C593" s="27"/>
      <c r="D593" s="27"/>
      <c r="E593" s="27"/>
      <c r="F593" s="27"/>
      <c r="G593" s="134"/>
      <c r="H593" s="135"/>
      <c r="I593" s="27"/>
      <c r="J593" s="140" t="s">
        <v>308</v>
      </c>
      <c r="K593" s="51"/>
      <c r="L593" s="51"/>
      <c r="M593" s="51"/>
      <c r="N593" s="51"/>
      <c r="O593" s="51"/>
      <c r="P593" s="51"/>
      <c r="Q593" s="51"/>
      <c r="R593" s="140" t="s">
        <v>309</v>
      </c>
      <c r="S593" s="51"/>
      <c r="T593" s="51"/>
      <c r="U593" s="51"/>
      <c r="V593" s="51"/>
      <c r="W593" s="51"/>
      <c r="X593" s="51"/>
      <c r="Y593" s="51"/>
      <c r="Z593" s="51"/>
      <c r="AA593" s="51"/>
      <c r="AB593" s="51"/>
      <c r="AC593" s="51"/>
      <c r="AD593" s="51"/>
      <c r="AE593" s="51"/>
      <c r="AF593" s="51"/>
      <c r="AG593" s="51"/>
      <c r="AH593" s="51"/>
      <c r="AI593" s="51"/>
      <c r="AJ593" s="51"/>
      <c r="AK593" s="138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139"/>
    </row>
    <row r="594" spans="2:61" ht="20.100000000000001" customHeight="1" x14ac:dyDescent="0.45">
      <c r="B594" s="133"/>
      <c r="C594" s="27"/>
      <c r="D594" s="27"/>
      <c r="E594" s="27"/>
      <c r="F594" s="27"/>
      <c r="G594" s="134"/>
      <c r="H594" s="135"/>
      <c r="I594" s="27"/>
      <c r="J594" s="140" t="s">
        <v>310</v>
      </c>
      <c r="K594" s="51"/>
      <c r="L594" s="51"/>
      <c r="M594" s="51"/>
      <c r="N594" s="51"/>
      <c r="O594" s="51"/>
      <c r="P594" s="51"/>
      <c r="Q594" s="51"/>
      <c r="R594" s="140" t="s">
        <v>311</v>
      </c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51"/>
      <c r="AG594" s="51"/>
      <c r="AH594" s="51"/>
      <c r="AI594" s="51"/>
      <c r="AJ594" s="51"/>
      <c r="AK594" s="138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139"/>
    </row>
    <row r="595" spans="2:61" ht="20.100000000000001" customHeight="1" x14ac:dyDescent="0.45">
      <c r="B595" s="133"/>
      <c r="C595" s="27"/>
      <c r="D595" s="27"/>
      <c r="E595" s="27"/>
      <c r="F595" s="27"/>
      <c r="G595" s="134"/>
      <c r="H595" s="140" t="s">
        <v>159</v>
      </c>
      <c r="I595" s="51"/>
      <c r="J595" s="140" t="s">
        <v>312</v>
      </c>
      <c r="K595" s="51"/>
      <c r="L595" s="48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  <c r="AB595" s="51"/>
      <c r="AC595" s="51"/>
      <c r="AD595" s="51"/>
      <c r="AE595" s="51"/>
      <c r="AF595" s="51"/>
      <c r="AG595" s="51"/>
      <c r="AH595" s="51"/>
      <c r="AI595" s="51"/>
      <c r="AJ595" s="51"/>
      <c r="AK595" s="141"/>
      <c r="AL595" s="51"/>
      <c r="AM595" s="51"/>
      <c r="AN595" s="51"/>
      <c r="AO595" s="51"/>
      <c r="AP595" s="51"/>
      <c r="AQ595" s="51"/>
      <c r="AR595" s="51"/>
      <c r="AS595" s="51"/>
      <c r="AT595" s="51"/>
      <c r="AU595" s="51"/>
      <c r="AV595" s="51"/>
      <c r="AW595" s="51"/>
      <c r="AX595" s="51"/>
      <c r="AY595" s="51"/>
      <c r="AZ595" s="51"/>
      <c r="BA595" s="51"/>
      <c r="BB595" s="51"/>
      <c r="BC595" s="51"/>
      <c r="BD595" s="51"/>
      <c r="BE595" s="51"/>
      <c r="BF595" s="51"/>
      <c r="BG595" s="51"/>
      <c r="BH595" s="51"/>
      <c r="BI595" s="142"/>
    </row>
    <row r="596" spans="2:61" ht="20.100000000000001" customHeight="1" x14ac:dyDescent="0.45">
      <c r="B596" s="133"/>
      <c r="C596" s="27"/>
      <c r="D596" s="27"/>
      <c r="E596" s="27"/>
      <c r="F596" s="27"/>
      <c r="G596" s="134"/>
      <c r="H596" s="140" t="s">
        <v>160</v>
      </c>
      <c r="I596" s="51"/>
      <c r="J596" s="140" t="s">
        <v>313</v>
      </c>
      <c r="K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  <c r="AB596" s="51"/>
      <c r="AC596" s="51"/>
      <c r="AD596" s="51"/>
      <c r="AE596" s="51"/>
      <c r="AF596" s="51"/>
      <c r="AG596" s="51"/>
      <c r="AH596" s="51"/>
      <c r="AI596" s="51"/>
      <c r="AJ596" s="51"/>
      <c r="AK596" s="141"/>
      <c r="AL596" s="51"/>
      <c r="AM596" s="51"/>
      <c r="AN596" s="51"/>
      <c r="AO596" s="51"/>
      <c r="AP596" s="51"/>
      <c r="AQ596" s="51"/>
      <c r="AR596" s="51"/>
      <c r="AS596" s="51"/>
      <c r="AT596" s="51"/>
      <c r="AU596" s="51"/>
      <c r="AV596" s="51"/>
      <c r="AW596" s="51"/>
      <c r="AX596" s="51"/>
      <c r="AY596" s="51"/>
      <c r="AZ596" s="51"/>
      <c r="BA596" s="51"/>
      <c r="BB596" s="51"/>
      <c r="BC596" s="51"/>
      <c r="BD596" s="51"/>
      <c r="BE596" s="51"/>
      <c r="BF596" s="51"/>
      <c r="BG596" s="51"/>
      <c r="BH596" s="51"/>
      <c r="BI596" s="142"/>
    </row>
    <row r="597" spans="2:61" ht="20.100000000000001" customHeight="1" x14ac:dyDescent="0.45">
      <c r="B597" s="133"/>
      <c r="C597" s="27"/>
      <c r="D597" s="27"/>
      <c r="E597" s="27"/>
      <c r="F597" s="27"/>
      <c r="G597" s="134"/>
      <c r="H597" s="135"/>
      <c r="I597" s="27"/>
      <c r="J597" s="135" t="s">
        <v>314</v>
      </c>
      <c r="K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138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139"/>
    </row>
    <row r="598" spans="2:61" ht="20.100000000000001" customHeight="1" x14ac:dyDescent="0.45">
      <c r="B598" s="133"/>
      <c r="C598" s="27"/>
      <c r="D598" s="27"/>
      <c r="E598" s="27"/>
      <c r="F598" s="27"/>
      <c r="G598" s="134"/>
      <c r="H598" s="135"/>
      <c r="I598" s="27"/>
      <c r="J598" s="135" t="s">
        <v>315</v>
      </c>
      <c r="K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138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139"/>
    </row>
    <row r="599" spans="2:61" ht="20.100000000000001" customHeight="1" x14ac:dyDescent="0.45">
      <c r="B599" s="133"/>
      <c r="C599" s="27"/>
      <c r="D599" s="27"/>
      <c r="E599" s="27"/>
      <c r="F599" s="27"/>
      <c r="G599" s="134"/>
      <c r="H599" s="135"/>
      <c r="I599" s="27"/>
      <c r="J599" s="144"/>
      <c r="K599" s="27" t="s">
        <v>316</v>
      </c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138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139"/>
    </row>
    <row r="600" spans="2:61" ht="20.100000000000001" customHeight="1" x14ac:dyDescent="0.45">
      <c r="B600" s="143"/>
      <c r="C600" s="27"/>
      <c r="D600" s="27"/>
      <c r="E600" s="27"/>
      <c r="F600" s="27"/>
      <c r="G600" s="134"/>
      <c r="H600" s="140" t="s">
        <v>161</v>
      </c>
      <c r="I600" s="51"/>
      <c r="J600" s="140" t="s">
        <v>317</v>
      </c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  <c r="AB600" s="51"/>
      <c r="AC600" s="51"/>
      <c r="AD600" s="51"/>
      <c r="AE600" s="51"/>
      <c r="AF600" s="51"/>
      <c r="AG600" s="51"/>
      <c r="AH600" s="51"/>
      <c r="AI600" s="51"/>
      <c r="AJ600" s="51"/>
      <c r="AK600" s="141"/>
      <c r="AL600" s="51"/>
      <c r="AM600" s="51"/>
      <c r="AN600" s="51"/>
      <c r="AO600" s="51"/>
      <c r="AP600" s="51"/>
      <c r="AQ600" s="51"/>
      <c r="AR600" s="51"/>
      <c r="AS600" s="51"/>
      <c r="AT600" s="51"/>
      <c r="AU600" s="51"/>
      <c r="AV600" s="51"/>
      <c r="AW600" s="51"/>
      <c r="AX600" s="51"/>
      <c r="AY600" s="51"/>
      <c r="AZ600" s="51"/>
      <c r="BA600" s="51"/>
      <c r="BB600" s="51"/>
      <c r="BC600" s="51"/>
      <c r="BD600" s="51"/>
      <c r="BE600" s="51"/>
      <c r="BF600" s="51"/>
      <c r="BG600" s="51"/>
      <c r="BH600" s="51"/>
      <c r="BI600" s="142"/>
    </row>
    <row r="601" spans="2:61" ht="20.100000000000001" customHeight="1" x14ac:dyDescent="0.45">
      <c r="B601" s="143"/>
      <c r="C601" s="27"/>
      <c r="D601" s="27"/>
      <c r="E601" s="27"/>
      <c r="F601" s="27"/>
      <c r="G601" s="134"/>
      <c r="H601" s="135"/>
      <c r="I601" s="27"/>
      <c r="J601" s="135" t="s">
        <v>318</v>
      </c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138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139"/>
    </row>
    <row r="602" spans="2:61" ht="20.100000000000001" customHeight="1" thickBot="1" x14ac:dyDescent="0.5">
      <c r="B602" s="143"/>
      <c r="C602" s="27"/>
      <c r="D602" s="27"/>
      <c r="E602" s="27"/>
      <c r="F602" s="27"/>
      <c r="G602" s="134"/>
      <c r="H602" s="135"/>
      <c r="I602" s="27"/>
      <c r="J602" s="135" t="s">
        <v>319</v>
      </c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138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139"/>
    </row>
    <row r="603" spans="2:61" ht="20.100000000000001" customHeight="1" x14ac:dyDescent="0.45">
      <c r="B603" s="124" t="s">
        <v>764</v>
      </c>
      <c r="C603" s="125"/>
      <c r="D603" s="125"/>
      <c r="E603" s="125"/>
      <c r="F603" s="125"/>
      <c r="G603" s="126"/>
      <c r="H603" s="127" t="s">
        <v>158</v>
      </c>
      <c r="I603" s="125"/>
      <c r="J603" s="128" t="s">
        <v>241</v>
      </c>
      <c r="K603" s="129"/>
      <c r="L603" s="129"/>
      <c r="M603" s="129"/>
      <c r="N603" s="129"/>
      <c r="O603" s="129"/>
      <c r="P603" s="129"/>
      <c r="Q603" s="130"/>
      <c r="R603" s="129">
        <v>2</v>
      </c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30"/>
      <c r="AK603" s="131" t="s">
        <v>320</v>
      </c>
      <c r="AL603" s="125"/>
      <c r="AM603" s="125"/>
      <c r="AN603" s="125"/>
      <c r="AO603" s="125"/>
      <c r="AP603" s="125"/>
      <c r="AQ603" s="125"/>
      <c r="AR603" s="125"/>
      <c r="AS603" s="125"/>
      <c r="AT603" s="125"/>
      <c r="AU603" s="125"/>
      <c r="AV603" s="125"/>
      <c r="AW603" s="125"/>
      <c r="AX603" s="125"/>
      <c r="AY603" s="125"/>
      <c r="AZ603" s="125"/>
      <c r="BA603" s="125"/>
      <c r="BB603" s="125"/>
      <c r="BC603" s="125"/>
      <c r="BD603" s="125"/>
      <c r="BE603" s="125"/>
      <c r="BF603" s="125"/>
      <c r="BG603" s="125"/>
      <c r="BH603" s="125"/>
      <c r="BI603" s="132"/>
    </row>
    <row r="604" spans="2:61" ht="20.100000000000001" customHeight="1" x14ac:dyDescent="0.45">
      <c r="B604" s="133"/>
      <c r="C604" s="27"/>
      <c r="D604" s="27"/>
      <c r="E604" s="27"/>
      <c r="F604" s="27"/>
      <c r="G604" s="134"/>
      <c r="H604" s="135"/>
      <c r="I604" s="27"/>
      <c r="J604" s="144" t="s">
        <v>163</v>
      </c>
      <c r="K604" s="145"/>
      <c r="L604" s="145"/>
      <c r="M604" s="145"/>
      <c r="N604" s="145"/>
      <c r="O604" s="145"/>
      <c r="P604" s="145"/>
      <c r="Q604" s="156"/>
      <c r="R604" s="145" t="s">
        <v>164</v>
      </c>
      <c r="S604" s="145"/>
      <c r="T604" s="145"/>
      <c r="U604" s="145"/>
      <c r="V604" s="145"/>
      <c r="W604" s="145"/>
      <c r="X604" s="145"/>
      <c r="Y604" s="145"/>
      <c r="Z604" s="145"/>
      <c r="AA604" s="145"/>
      <c r="AB604" s="145"/>
      <c r="AC604" s="145"/>
      <c r="AD604" s="145"/>
      <c r="AE604" s="145"/>
      <c r="AF604" s="145"/>
      <c r="AG604" s="145"/>
      <c r="AH604" s="145"/>
      <c r="AI604" s="145"/>
      <c r="AJ604" s="156"/>
      <c r="AK604" s="138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139"/>
    </row>
    <row r="605" spans="2:61" ht="20.100000000000001" customHeight="1" x14ac:dyDescent="0.45">
      <c r="B605" s="133"/>
      <c r="C605" s="27"/>
      <c r="D605" s="27"/>
      <c r="E605" s="27"/>
      <c r="F605" s="27"/>
      <c r="G605" s="134"/>
      <c r="H605" s="135"/>
      <c r="I605" s="27"/>
      <c r="J605" s="136" t="s">
        <v>244</v>
      </c>
      <c r="K605" s="48"/>
      <c r="L605" s="48"/>
      <c r="M605" s="48"/>
      <c r="N605" s="48"/>
      <c r="O605" s="48"/>
      <c r="P605" s="48"/>
      <c r="Q605" s="137"/>
      <c r="R605" s="48" t="s">
        <v>245</v>
      </c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137"/>
      <c r="AK605" s="138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139"/>
    </row>
    <row r="606" spans="2:61" ht="20.100000000000001" customHeight="1" x14ac:dyDescent="0.45">
      <c r="B606" s="133"/>
      <c r="C606" s="27"/>
      <c r="D606" s="27"/>
      <c r="E606" s="27"/>
      <c r="F606" s="27"/>
      <c r="G606" s="134"/>
      <c r="H606" s="135"/>
      <c r="I606" s="27"/>
      <c r="J606" s="140" t="s">
        <v>247</v>
      </c>
      <c r="K606" s="51"/>
      <c r="L606" s="51"/>
      <c r="M606" s="51"/>
      <c r="N606" s="51"/>
      <c r="O606" s="51"/>
      <c r="P606" s="51"/>
      <c r="Q606" s="51"/>
      <c r="R606" s="140" t="s">
        <v>248</v>
      </c>
      <c r="S606" s="51"/>
      <c r="T606" s="51"/>
      <c r="U606" s="51"/>
      <c r="V606" s="51"/>
      <c r="W606" s="51"/>
      <c r="X606" s="51"/>
      <c r="Y606" s="51"/>
      <c r="Z606" s="51"/>
      <c r="AA606" s="51"/>
      <c r="AB606" s="51"/>
      <c r="AC606" s="51"/>
      <c r="AD606" s="51"/>
      <c r="AE606" s="51"/>
      <c r="AF606" s="51"/>
      <c r="AG606" s="51"/>
      <c r="AH606" s="51"/>
      <c r="AI606" s="51"/>
      <c r="AJ606" s="51"/>
      <c r="AK606" s="138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139"/>
    </row>
    <row r="607" spans="2:61" ht="20.100000000000001" customHeight="1" x14ac:dyDescent="0.45">
      <c r="B607" s="133"/>
      <c r="C607" s="27"/>
      <c r="D607" s="27"/>
      <c r="E607" s="27"/>
      <c r="F607" s="27"/>
      <c r="G607" s="134"/>
      <c r="H607" s="135"/>
      <c r="I607" s="27"/>
      <c r="J607" s="140" t="s">
        <v>249</v>
      </c>
      <c r="K607" s="51"/>
      <c r="L607" s="51"/>
      <c r="M607" s="51"/>
      <c r="N607" s="51"/>
      <c r="O607" s="51"/>
      <c r="P607" s="51"/>
      <c r="Q607" s="51"/>
      <c r="R607" s="140" t="s">
        <v>250</v>
      </c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51"/>
      <c r="AG607" s="51"/>
      <c r="AH607" s="51"/>
      <c r="AI607" s="51"/>
      <c r="AJ607" s="51"/>
      <c r="AK607" s="138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139"/>
    </row>
    <row r="608" spans="2:61" ht="20.399999999999999" customHeight="1" x14ac:dyDescent="0.45">
      <c r="B608" s="133"/>
      <c r="C608" s="27"/>
      <c r="D608" s="27"/>
      <c r="E608" s="27"/>
      <c r="F608" s="27"/>
      <c r="G608" s="134"/>
      <c r="H608" s="135"/>
      <c r="I608" s="27"/>
      <c r="J608" s="140" t="s">
        <v>251</v>
      </c>
      <c r="K608" s="51"/>
      <c r="L608" s="51"/>
      <c r="M608" s="51"/>
      <c r="N608" s="51"/>
      <c r="O608" s="51"/>
      <c r="P608" s="51"/>
      <c r="Q608" s="51"/>
      <c r="R608" s="140" t="s">
        <v>252</v>
      </c>
      <c r="S608" s="51"/>
      <c r="T608" s="51"/>
      <c r="U608" s="51"/>
      <c r="V608" s="51"/>
      <c r="W608" s="51"/>
      <c r="X608" s="51"/>
      <c r="Y608" s="51"/>
      <c r="Z608" s="51"/>
      <c r="AA608" s="51"/>
      <c r="AB608" s="51"/>
      <c r="AC608" s="51"/>
      <c r="AD608" s="51"/>
      <c r="AE608" s="51"/>
      <c r="AF608" s="51"/>
      <c r="AG608" s="51"/>
      <c r="AH608" s="51"/>
      <c r="AI608" s="51"/>
      <c r="AJ608" s="51"/>
      <c r="AK608" s="138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139"/>
    </row>
    <row r="609" spans="2:61" ht="20.399999999999999" customHeight="1" x14ac:dyDescent="0.45">
      <c r="B609" s="133"/>
      <c r="C609" s="27"/>
      <c r="D609" s="27"/>
      <c r="E609" s="27"/>
      <c r="F609" s="27"/>
      <c r="G609" s="134"/>
      <c r="H609" s="135"/>
      <c r="I609" s="27"/>
      <c r="J609" s="140" t="s">
        <v>253</v>
      </c>
      <c r="K609" s="51"/>
      <c r="L609" s="51"/>
      <c r="M609" s="51"/>
      <c r="N609" s="51"/>
      <c r="O609" s="51"/>
      <c r="P609" s="51"/>
      <c r="Q609" s="51"/>
      <c r="R609" s="140" t="s">
        <v>254</v>
      </c>
      <c r="S609" s="51"/>
      <c r="T609" s="51"/>
      <c r="U609" s="51"/>
      <c r="V609" s="51"/>
      <c r="W609" s="51"/>
      <c r="X609" s="51"/>
      <c r="Y609" s="51"/>
      <c r="Z609" s="51"/>
      <c r="AA609" s="51"/>
      <c r="AB609" s="51"/>
      <c r="AC609" s="51"/>
      <c r="AD609" s="51"/>
      <c r="AE609" s="51"/>
      <c r="AF609" s="51"/>
      <c r="AG609" s="51"/>
      <c r="AH609" s="51"/>
      <c r="AI609" s="51"/>
      <c r="AJ609" s="51"/>
      <c r="AK609" s="138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139"/>
    </row>
    <row r="610" spans="2:61" ht="20.399999999999999" customHeight="1" x14ac:dyDescent="0.45">
      <c r="B610" s="133"/>
      <c r="C610" s="27"/>
      <c r="D610" s="27"/>
      <c r="E610" s="27"/>
      <c r="F610" s="27"/>
      <c r="G610" s="134"/>
      <c r="H610" s="135"/>
      <c r="I610" s="27"/>
      <c r="J610" s="140" t="s">
        <v>255</v>
      </c>
      <c r="K610" s="51"/>
      <c r="L610" s="51"/>
      <c r="M610" s="51"/>
      <c r="N610" s="51"/>
      <c r="O610" s="51"/>
      <c r="P610" s="51"/>
      <c r="Q610" s="51"/>
      <c r="R610" s="140" t="s">
        <v>256</v>
      </c>
      <c r="S610" s="51"/>
      <c r="T610" s="51"/>
      <c r="U610" s="51"/>
      <c r="V610" s="51"/>
      <c r="W610" s="51"/>
      <c r="X610" s="51"/>
      <c r="Y610" s="51"/>
      <c r="Z610" s="51"/>
      <c r="AA610" s="51"/>
      <c r="AB610" s="51"/>
      <c r="AC610" s="51"/>
      <c r="AD610" s="51"/>
      <c r="AE610" s="51"/>
      <c r="AF610" s="51"/>
      <c r="AG610" s="51"/>
      <c r="AH610" s="51"/>
      <c r="AI610" s="51"/>
      <c r="AJ610" s="51"/>
      <c r="AK610" s="138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139"/>
    </row>
    <row r="611" spans="2:61" ht="20.399999999999999" customHeight="1" x14ac:dyDescent="0.45">
      <c r="B611" s="133"/>
      <c r="C611" s="27"/>
      <c r="D611" s="27"/>
      <c r="E611" s="27"/>
      <c r="F611" s="27"/>
      <c r="G611" s="134"/>
      <c r="H611" s="135"/>
      <c r="I611" s="27"/>
      <c r="J611" s="140" t="s">
        <v>257</v>
      </c>
      <c r="K611" s="51"/>
      <c r="L611" s="51"/>
      <c r="M611" s="51"/>
      <c r="N611" s="51"/>
      <c r="O611" s="51"/>
      <c r="P611" s="51"/>
      <c r="Q611" s="51"/>
      <c r="R611" s="140" t="s">
        <v>258</v>
      </c>
      <c r="S611" s="51"/>
      <c r="T611" s="51"/>
      <c r="U611" s="51"/>
      <c r="V611" s="51"/>
      <c r="W611" s="51"/>
      <c r="X611" s="51"/>
      <c r="Y611" s="51"/>
      <c r="Z611" s="51"/>
      <c r="AA611" s="51"/>
      <c r="AB611" s="51"/>
      <c r="AC611" s="51"/>
      <c r="AD611" s="51"/>
      <c r="AE611" s="51"/>
      <c r="AF611" s="51"/>
      <c r="AG611" s="51"/>
      <c r="AH611" s="51"/>
      <c r="AI611" s="51"/>
      <c r="AJ611" s="51"/>
      <c r="AK611" s="138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139"/>
    </row>
    <row r="612" spans="2:61" ht="20.399999999999999" customHeight="1" x14ac:dyDescent="0.45">
      <c r="B612" s="133"/>
      <c r="C612" s="27"/>
      <c r="D612" s="27"/>
      <c r="E612" s="27"/>
      <c r="F612" s="27"/>
      <c r="G612" s="134"/>
      <c r="H612" s="135"/>
      <c r="I612" s="27"/>
      <c r="J612" s="140" t="s">
        <v>259</v>
      </c>
      <c r="K612" s="51"/>
      <c r="L612" s="51"/>
      <c r="M612" s="51"/>
      <c r="N612" s="51"/>
      <c r="O612" s="51"/>
      <c r="P612" s="51"/>
      <c r="Q612" s="51"/>
      <c r="R612" s="140" t="s">
        <v>260</v>
      </c>
      <c r="S612" s="51"/>
      <c r="T612" s="51"/>
      <c r="U612" s="51"/>
      <c r="V612" s="51"/>
      <c r="W612" s="51"/>
      <c r="X612" s="51"/>
      <c r="Y612" s="51"/>
      <c r="Z612" s="51"/>
      <c r="AA612" s="51"/>
      <c r="AB612" s="51"/>
      <c r="AC612" s="51"/>
      <c r="AD612" s="51"/>
      <c r="AE612" s="51"/>
      <c r="AF612" s="51"/>
      <c r="AG612" s="51"/>
      <c r="AH612" s="51"/>
      <c r="AI612" s="51"/>
      <c r="AJ612" s="51"/>
      <c r="AK612" s="138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139"/>
    </row>
    <row r="613" spans="2:61" ht="20.399999999999999" customHeight="1" x14ac:dyDescent="0.45">
      <c r="B613" s="133"/>
      <c r="C613" s="27"/>
      <c r="D613" s="27"/>
      <c r="E613" s="27"/>
      <c r="F613" s="27"/>
      <c r="G613" s="134"/>
      <c r="H613" s="135"/>
      <c r="I613" s="27"/>
      <c r="J613" s="140" t="s">
        <v>261</v>
      </c>
      <c r="K613" s="51"/>
      <c r="L613" s="51"/>
      <c r="M613" s="51"/>
      <c r="N613" s="51"/>
      <c r="O613" s="51"/>
      <c r="P613" s="51"/>
      <c r="Q613" s="51"/>
      <c r="R613" s="140" t="s">
        <v>262</v>
      </c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51"/>
      <c r="AG613" s="51"/>
      <c r="AH613" s="51"/>
      <c r="AI613" s="51"/>
      <c r="AJ613" s="51"/>
      <c r="AK613" s="138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139"/>
    </row>
    <row r="614" spans="2:61" ht="20.399999999999999" customHeight="1" x14ac:dyDescent="0.45">
      <c r="B614" s="133"/>
      <c r="C614" s="27"/>
      <c r="D614" s="27"/>
      <c r="E614" s="27"/>
      <c r="F614" s="27"/>
      <c r="G614" s="134"/>
      <c r="H614" s="135"/>
      <c r="I614" s="27"/>
      <c r="J614" s="140" t="s">
        <v>263</v>
      </c>
      <c r="K614" s="51"/>
      <c r="L614" s="51"/>
      <c r="M614" s="51"/>
      <c r="N614" s="51"/>
      <c r="O614" s="51"/>
      <c r="P614" s="51"/>
      <c r="Q614" s="51"/>
      <c r="R614" s="140" t="s">
        <v>264</v>
      </c>
      <c r="S614" s="51"/>
      <c r="T614" s="51"/>
      <c r="U614" s="51"/>
      <c r="V614" s="51"/>
      <c r="W614" s="51"/>
      <c r="X614" s="51"/>
      <c r="Y614" s="51"/>
      <c r="Z614" s="51"/>
      <c r="AA614" s="51"/>
      <c r="AB614" s="51"/>
      <c r="AC614" s="51"/>
      <c r="AD614" s="51"/>
      <c r="AE614" s="51"/>
      <c r="AF614" s="51"/>
      <c r="AG614" s="51"/>
      <c r="AH614" s="51"/>
      <c r="AI614" s="51"/>
      <c r="AJ614" s="51"/>
      <c r="AK614" s="138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139"/>
    </row>
    <row r="615" spans="2:61" ht="20.399999999999999" customHeight="1" x14ac:dyDescent="0.45">
      <c r="B615" s="133"/>
      <c r="C615" s="27"/>
      <c r="D615" s="27"/>
      <c r="E615" s="27"/>
      <c r="F615" s="27"/>
      <c r="G615" s="134"/>
      <c r="H615" s="135"/>
      <c r="I615" s="27"/>
      <c r="J615" s="140" t="s">
        <v>265</v>
      </c>
      <c r="K615" s="51"/>
      <c r="L615" s="51"/>
      <c r="M615" s="51"/>
      <c r="N615" s="51"/>
      <c r="O615" s="51"/>
      <c r="P615" s="51"/>
      <c r="Q615" s="51"/>
      <c r="R615" s="140" t="s">
        <v>266</v>
      </c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1"/>
      <c r="AF615" s="51"/>
      <c r="AG615" s="51"/>
      <c r="AH615" s="51"/>
      <c r="AI615" s="51"/>
      <c r="AJ615" s="51"/>
      <c r="AK615" s="138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139"/>
    </row>
    <row r="616" spans="2:61" ht="20.100000000000001" customHeight="1" x14ac:dyDescent="0.45">
      <c r="B616" s="133"/>
      <c r="C616" s="27"/>
      <c r="D616" s="27"/>
      <c r="E616" s="27"/>
      <c r="F616" s="27"/>
      <c r="G616" s="134"/>
      <c r="H616" s="135"/>
      <c r="I616" s="27"/>
      <c r="J616" s="140" t="s">
        <v>267</v>
      </c>
      <c r="K616" s="51"/>
      <c r="L616" s="51"/>
      <c r="M616" s="51"/>
      <c r="N616" s="51"/>
      <c r="O616" s="51"/>
      <c r="P616" s="51"/>
      <c r="Q616" s="51"/>
      <c r="R616" s="140" t="s">
        <v>268</v>
      </c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1"/>
      <c r="AF616" s="51"/>
      <c r="AG616" s="51"/>
      <c r="AH616" s="51"/>
      <c r="AI616" s="51"/>
      <c r="AJ616" s="51"/>
      <c r="AK616" s="138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139"/>
    </row>
    <row r="617" spans="2:61" ht="20.100000000000001" customHeight="1" x14ac:dyDescent="0.45">
      <c r="B617" s="133"/>
      <c r="C617" s="27"/>
      <c r="D617" s="27"/>
      <c r="E617" s="27"/>
      <c r="F617" s="27"/>
      <c r="G617" s="134"/>
      <c r="H617" s="135"/>
      <c r="I617" s="27"/>
      <c r="J617" s="140" t="s">
        <v>269</v>
      </c>
      <c r="K617" s="51"/>
      <c r="L617" s="51"/>
      <c r="M617" s="51"/>
      <c r="N617" s="51"/>
      <c r="O617" s="51"/>
      <c r="P617" s="51"/>
      <c r="Q617" s="51"/>
      <c r="R617" s="136" t="s">
        <v>270</v>
      </c>
      <c r="S617" s="51"/>
      <c r="T617" s="51"/>
      <c r="U617" s="51"/>
      <c r="V617" s="51"/>
      <c r="W617" s="51"/>
      <c r="X617" s="51"/>
      <c r="Y617" s="51"/>
      <c r="Z617" s="51"/>
      <c r="AA617" s="51"/>
      <c r="AB617" s="51"/>
      <c r="AC617" s="51"/>
      <c r="AD617" s="51"/>
      <c r="AE617" s="51"/>
      <c r="AF617" s="51"/>
      <c r="AG617" s="51"/>
      <c r="AH617" s="51"/>
      <c r="AI617" s="51"/>
      <c r="AJ617" s="51"/>
      <c r="AK617" s="138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139"/>
    </row>
    <row r="618" spans="2:61" ht="20.100000000000001" customHeight="1" x14ac:dyDescent="0.45">
      <c r="B618" s="133"/>
      <c r="C618" s="27"/>
      <c r="D618" s="27"/>
      <c r="E618" s="27"/>
      <c r="F618" s="27"/>
      <c r="G618" s="134"/>
      <c r="H618" s="135"/>
      <c r="I618" s="27"/>
      <c r="J618" s="140" t="s">
        <v>271</v>
      </c>
      <c r="K618" s="51"/>
      <c r="L618" s="51"/>
      <c r="M618" s="51"/>
      <c r="N618" s="51"/>
      <c r="O618" s="51"/>
      <c r="P618" s="51"/>
      <c r="Q618" s="51"/>
      <c r="R618" s="140" t="s">
        <v>272</v>
      </c>
      <c r="S618" s="51"/>
      <c r="T618" s="51"/>
      <c r="U618" s="51"/>
      <c r="V618" s="51"/>
      <c r="W618" s="51"/>
      <c r="X618" s="51"/>
      <c r="Y618" s="51"/>
      <c r="Z618" s="51"/>
      <c r="AA618" s="51"/>
      <c r="AB618" s="51"/>
      <c r="AC618" s="51"/>
      <c r="AD618" s="51"/>
      <c r="AE618" s="51"/>
      <c r="AF618" s="51"/>
      <c r="AG618" s="51"/>
      <c r="AH618" s="51"/>
      <c r="AI618" s="51"/>
      <c r="AJ618" s="51"/>
      <c r="AK618" s="138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139"/>
    </row>
    <row r="619" spans="2:61" ht="20.100000000000001" customHeight="1" x14ac:dyDescent="0.45">
      <c r="B619" s="133"/>
      <c r="C619" s="27"/>
      <c r="D619" s="27"/>
      <c r="E619" s="27"/>
      <c r="F619" s="27"/>
      <c r="G619" s="134"/>
      <c r="H619" s="135"/>
      <c r="I619" s="27"/>
      <c r="J619" s="140" t="s">
        <v>273</v>
      </c>
      <c r="K619" s="51"/>
      <c r="L619" s="51"/>
      <c r="M619" s="51"/>
      <c r="N619" s="51"/>
      <c r="O619" s="51"/>
      <c r="P619" s="51"/>
      <c r="Q619" s="51"/>
      <c r="R619" s="140" t="s">
        <v>274</v>
      </c>
      <c r="S619" s="51"/>
      <c r="T619" s="51"/>
      <c r="U619" s="51"/>
      <c r="V619" s="51"/>
      <c r="W619" s="51"/>
      <c r="X619" s="51"/>
      <c r="Y619" s="51"/>
      <c r="Z619" s="51"/>
      <c r="AA619" s="51"/>
      <c r="AB619" s="51"/>
      <c r="AC619" s="51"/>
      <c r="AD619" s="51"/>
      <c r="AE619" s="51"/>
      <c r="AF619" s="51"/>
      <c r="AG619" s="51"/>
      <c r="AH619" s="51"/>
      <c r="AI619" s="51"/>
      <c r="AJ619" s="51"/>
      <c r="AK619" s="138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139"/>
    </row>
    <row r="620" spans="2:61" ht="20.100000000000001" customHeight="1" x14ac:dyDescent="0.45">
      <c r="B620" s="133"/>
      <c r="C620" s="27"/>
      <c r="D620" s="27"/>
      <c r="E620" s="27"/>
      <c r="F620" s="27"/>
      <c r="G620" s="134"/>
      <c r="H620" s="135"/>
      <c r="I620" s="27"/>
      <c r="J620" s="140" t="s">
        <v>275</v>
      </c>
      <c r="K620" s="51"/>
      <c r="L620" s="51"/>
      <c r="M620" s="51"/>
      <c r="N620" s="51"/>
      <c r="O620" s="51"/>
      <c r="P620" s="51"/>
      <c r="Q620" s="51"/>
      <c r="R620" s="140" t="s">
        <v>276</v>
      </c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51"/>
      <c r="AG620" s="51"/>
      <c r="AH620" s="51"/>
      <c r="AI620" s="51"/>
      <c r="AJ620" s="51"/>
      <c r="AK620" s="138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139"/>
    </row>
    <row r="621" spans="2:61" ht="20.100000000000001" customHeight="1" x14ac:dyDescent="0.45">
      <c r="B621" s="133"/>
      <c r="C621" s="27"/>
      <c r="D621" s="27"/>
      <c r="E621" s="27"/>
      <c r="F621" s="27"/>
      <c r="G621" s="134"/>
      <c r="H621" s="135"/>
      <c r="I621" s="27"/>
      <c r="J621" s="140" t="s">
        <v>277</v>
      </c>
      <c r="K621" s="51"/>
      <c r="L621" s="51"/>
      <c r="M621" s="51"/>
      <c r="N621" s="51"/>
      <c r="O621" s="51"/>
      <c r="P621" s="51"/>
      <c r="Q621" s="51"/>
      <c r="R621" s="140" t="s">
        <v>278</v>
      </c>
      <c r="S621" s="51"/>
      <c r="T621" s="51"/>
      <c r="U621" s="51"/>
      <c r="V621" s="51"/>
      <c r="W621" s="51"/>
      <c r="X621" s="51"/>
      <c r="Y621" s="51"/>
      <c r="Z621" s="51"/>
      <c r="AA621" s="51"/>
      <c r="AB621" s="51"/>
      <c r="AC621" s="51"/>
      <c r="AD621" s="51"/>
      <c r="AE621" s="51"/>
      <c r="AF621" s="51"/>
      <c r="AG621" s="51"/>
      <c r="AH621" s="51"/>
      <c r="AI621" s="51"/>
      <c r="AJ621" s="51"/>
      <c r="AK621" s="138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139"/>
    </row>
    <row r="622" spans="2:61" ht="20.100000000000001" customHeight="1" x14ac:dyDescent="0.45">
      <c r="B622" s="133"/>
      <c r="C622" s="27"/>
      <c r="D622" s="27"/>
      <c r="E622" s="27"/>
      <c r="F622" s="27"/>
      <c r="G622" s="134"/>
      <c r="H622" s="135"/>
      <c r="I622" s="27"/>
      <c r="J622" s="140" t="s">
        <v>279</v>
      </c>
      <c r="K622" s="51"/>
      <c r="L622" s="51"/>
      <c r="M622" s="51"/>
      <c r="N622" s="51"/>
      <c r="O622" s="51"/>
      <c r="P622" s="51"/>
      <c r="Q622" s="51"/>
      <c r="R622" s="140" t="s">
        <v>280</v>
      </c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51"/>
      <c r="AG622" s="51"/>
      <c r="AH622" s="51"/>
      <c r="AI622" s="51"/>
      <c r="AJ622" s="51"/>
      <c r="AK622" s="138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139"/>
    </row>
    <row r="623" spans="2:61" ht="20.100000000000001" customHeight="1" x14ac:dyDescent="0.45">
      <c r="B623" s="133"/>
      <c r="C623" s="27"/>
      <c r="D623" s="27"/>
      <c r="E623" s="27"/>
      <c r="F623" s="27"/>
      <c r="G623" s="134"/>
      <c r="H623" s="135"/>
      <c r="I623" s="27"/>
      <c r="J623" s="140" t="s">
        <v>281</v>
      </c>
      <c r="K623" s="51"/>
      <c r="L623" s="51"/>
      <c r="M623" s="51"/>
      <c r="N623" s="51"/>
      <c r="O623" s="51"/>
      <c r="P623" s="51"/>
      <c r="Q623" s="51"/>
      <c r="R623" s="141" t="s">
        <v>282</v>
      </c>
      <c r="S623" s="51"/>
      <c r="T623" s="51"/>
      <c r="U623" s="51"/>
      <c r="V623" s="51"/>
      <c r="W623" s="51"/>
      <c r="X623" s="51"/>
      <c r="Y623" s="51"/>
      <c r="Z623" s="51"/>
      <c r="AA623" s="51"/>
      <c r="AB623" s="51"/>
      <c r="AC623" s="51"/>
      <c r="AD623" s="51"/>
      <c r="AE623" s="51"/>
      <c r="AF623" s="51"/>
      <c r="AG623" s="51"/>
      <c r="AH623" s="51"/>
      <c r="AI623" s="51"/>
      <c r="AJ623" s="51"/>
      <c r="AK623" s="138" t="s">
        <v>283</v>
      </c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139"/>
    </row>
    <row r="624" spans="2:61" ht="20.100000000000001" customHeight="1" x14ac:dyDescent="0.45">
      <c r="B624" s="133"/>
      <c r="C624" s="27"/>
      <c r="D624" s="27"/>
      <c r="E624" s="27"/>
      <c r="F624" s="27"/>
      <c r="G624" s="134"/>
      <c r="H624" s="135"/>
      <c r="I624" s="27"/>
      <c r="J624" s="140" t="s">
        <v>284</v>
      </c>
      <c r="K624" s="51"/>
      <c r="L624" s="51"/>
      <c r="M624" s="51"/>
      <c r="N624" s="51"/>
      <c r="O624" s="51"/>
      <c r="P624" s="51"/>
      <c r="Q624" s="51"/>
      <c r="R624" s="140" t="s">
        <v>285</v>
      </c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51"/>
      <c r="AG624" s="51"/>
      <c r="AH624" s="51"/>
      <c r="AI624" s="51"/>
      <c r="AJ624" s="51"/>
      <c r="AK624" s="138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139"/>
    </row>
    <row r="625" spans="2:61" ht="20.100000000000001" customHeight="1" x14ac:dyDescent="0.45">
      <c r="B625" s="133"/>
      <c r="C625" s="27"/>
      <c r="D625" s="27"/>
      <c r="E625" s="27"/>
      <c r="F625" s="27"/>
      <c r="G625" s="134"/>
      <c r="H625" s="135"/>
      <c r="I625" s="27"/>
      <c r="J625" s="140" t="s">
        <v>286</v>
      </c>
      <c r="K625" s="51"/>
      <c r="L625" s="51"/>
      <c r="M625" s="51"/>
      <c r="N625" s="51"/>
      <c r="O625" s="51"/>
      <c r="P625" s="51"/>
      <c r="Q625" s="51"/>
      <c r="R625" s="140" t="s">
        <v>287</v>
      </c>
      <c r="S625" s="51"/>
      <c r="T625" s="51"/>
      <c r="U625" s="51"/>
      <c r="V625" s="51"/>
      <c r="W625" s="51"/>
      <c r="X625" s="51"/>
      <c r="Y625" s="51"/>
      <c r="Z625" s="51"/>
      <c r="AA625" s="51"/>
      <c r="AB625" s="51"/>
      <c r="AC625" s="51"/>
      <c r="AD625" s="51"/>
      <c r="AE625" s="51"/>
      <c r="AF625" s="51"/>
      <c r="AG625" s="51"/>
      <c r="AH625" s="51"/>
      <c r="AI625" s="51"/>
      <c r="AJ625" s="51"/>
      <c r="AK625" s="138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139"/>
    </row>
    <row r="626" spans="2:61" ht="20.100000000000001" customHeight="1" x14ac:dyDescent="0.45">
      <c r="B626" s="133"/>
      <c r="C626" s="27"/>
      <c r="D626" s="27"/>
      <c r="E626" s="27"/>
      <c r="F626" s="27"/>
      <c r="G626" s="134"/>
      <c r="H626" s="135"/>
      <c r="I626" s="27"/>
      <c r="J626" s="140" t="s">
        <v>288</v>
      </c>
      <c r="K626" s="51"/>
      <c r="L626" s="51"/>
      <c r="M626" s="51"/>
      <c r="N626" s="51"/>
      <c r="O626" s="51"/>
      <c r="P626" s="51"/>
      <c r="Q626" s="51"/>
      <c r="R626" s="140" t="s">
        <v>289</v>
      </c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51"/>
      <c r="AG626" s="51"/>
      <c r="AH626" s="51"/>
      <c r="AI626" s="51"/>
      <c r="AJ626" s="51"/>
      <c r="AK626" s="138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139"/>
    </row>
    <row r="627" spans="2:61" ht="20.100000000000001" customHeight="1" x14ac:dyDescent="0.45">
      <c r="B627" s="133"/>
      <c r="C627" s="27"/>
      <c r="D627" s="27"/>
      <c r="E627" s="27"/>
      <c r="F627" s="27"/>
      <c r="G627" s="134"/>
      <c r="H627" s="135"/>
      <c r="I627" s="27"/>
      <c r="J627" s="140" t="s">
        <v>290</v>
      </c>
      <c r="K627" s="51"/>
      <c r="L627" s="51"/>
      <c r="M627" s="51"/>
      <c r="N627" s="51"/>
      <c r="O627" s="51"/>
      <c r="P627" s="51"/>
      <c r="Q627" s="51"/>
      <c r="R627" s="141" t="s">
        <v>291</v>
      </c>
      <c r="S627" s="51"/>
      <c r="T627" s="51"/>
      <c r="U627" s="51"/>
      <c r="V627" s="51"/>
      <c r="W627" s="51"/>
      <c r="X627" s="51"/>
      <c r="Y627" s="51"/>
      <c r="Z627" s="51"/>
      <c r="AA627" s="51"/>
      <c r="AB627" s="51"/>
      <c r="AC627" s="51"/>
      <c r="AD627" s="51"/>
      <c r="AE627" s="51"/>
      <c r="AF627" s="51"/>
      <c r="AG627" s="51"/>
      <c r="AH627" s="51"/>
      <c r="AI627" s="51"/>
      <c r="AJ627" s="51"/>
      <c r="AK627" s="138" t="s">
        <v>292</v>
      </c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139"/>
    </row>
    <row r="628" spans="2:61" ht="20.100000000000001" customHeight="1" x14ac:dyDescent="0.45">
      <c r="B628" s="133"/>
      <c r="C628" s="27"/>
      <c r="D628" s="27"/>
      <c r="E628" s="27"/>
      <c r="F628" s="27"/>
      <c r="G628" s="134"/>
      <c r="H628" s="135"/>
      <c r="I628" s="27"/>
      <c r="J628" s="140" t="s">
        <v>177</v>
      </c>
      <c r="K628" s="51"/>
      <c r="L628" s="51"/>
      <c r="M628" s="51"/>
      <c r="N628" s="51"/>
      <c r="O628" s="51"/>
      <c r="P628" s="51"/>
      <c r="Q628" s="51"/>
      <c r="R628" s="140" t="s">
        <v>293</v>
      </c>
      <c r="S628" s="51"/>
      <c r="T628" s="51"/>
      <c r="U628" s="51"/>
      <c r="V628" s="51"/>
      <c r="W628" s="51"/>
      <c r="X628" s="51"/>
      <c r="Y628" s="51"/>
      <c r="Z628" s="51"/>
      <c r="AA628" s="51"/>
      <c r="AB628" s="51"/>
      <c r="AC628" s="51"/>
      <c r="AD628" s="51"/>
      <c r="AE628" s="51"/>
      <c r="AF628" s="51"/>
      <c r="AG628" s="51"/>
      <c r="AH628" s="51"/>
      <c r="AI628" s="51"/>
      <c r="AJ628" s="51"/>
      <c r="AK628" s="138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139"/>
    </row>
    <row r="629" spans="2:61" ht="20.100000000000001" customHeight="1" x14ac:dyDescent="0.45">
      <c r="B629" s="133"/>
      <c r="C629" s="27"/>
      <c r="D629" s="27"/>
      <c r="E629" s="27"/>
      <c r="F629" s="27"/>
      <c r="G629" s="134"/>
      <c r="H629" s="135"/>
      <c r="I629" s="27"/>
      <c r="J629" s="140" t="s">
        <v>294</v>
      </c>
      <c r="K629" s="51"/>
      <c r="L629" s="51"/>
      <c r="M629" s="51"/>
      <c r="N629" s="51"/>
      <c r="O629" s="51"/>
      <c r="P629" s="51"/>
      <c r="Q629" s="51"/>
      <c r="R629" s="140" t="s">
        <v>295</v>
      </c>
      <c r="S629" s="51"/>
      <c r="T629" s="51"/>
      <c r="U629" s="51"/>
      <c r="V629" s="51"/>
      <c r="W629" s="51"/>
      <c r="X629" s="51"/>
      <c r="Y629" s="51"/>
      <c r="Z629" s="51"/>
      <c r="AA629" s="51"/>
      <c r="AB629" s="51"/>
      <c r="AC629" s="51"/>
      <c r="AD629" s="51"/>
      <c r="AE629" s="51"/>
      <c r="AF629" s="51"/>
      <c r="AG629" s="51"/>
      <c r="AH629" s="51"/>
      <c r="AI629" s="51"/>
      <c r="AJ629" s="51"/>
      <c r="AK629" s="138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139"/>
    </row>
    <row r="630" spans="2:61" ht="20.100000000000001" customHeight="1" x14ac:dyDescent="0.45">
      <c r="B630" s="133"/>
      <c r="C630" s="27"/>
      <c r="D630" s="27"/>
      <c r="E630" s="27"/>
      <c r="F630" s="27"/>
      <c r="G630" s="134"/>
      <c r="H630" s="135"/>
      <c r="I630" s="27"/>
      <c r="J630" s="140" t="s">
        <v>296</v>
      </c>
      <c r="K630" s="51"/>
      <c r="L630" s="51"/>
      <c r="M630" s="51"/>
      <c r="N630" s="51"/>
      <c r="O630" s="51"/>
      <c r="P630" s="51"/>
      <c r="Q630" s="51"/>
      <c r="R630" s="140" t="s">
        <v>297</v>
      </c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138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139"/>
    </row>
    <row r="631" spans="2:61" ht="20.100000000000001" customHeight="1" x14ac:dyDescent="0.45">
      <c r="B631" s="133"/>
      <c r="C631" s="27"/>
      <c r="D631" s="27"/>
      <c r="E631" s="27"/>
      <c r="F631" s="27"/>
      <c r="G631" s="134"/>
      <c r="H631" s="135"/>
      <c r="I631" s="27"/>
      <c r="J631" s="140" t="s">
        <v>298</v>
      </c>
      <c r="K631" s="51"/>
      <c r="L631" s="51"/>
      <c r="M631" s="51"/>
      <c r="N631" s="51"/>
      <c r="O631" s="51"/>
      <c r="P631" s="51"/>
      <c r="Q631" s="51"/>
      <c r="R631" s="140" t="s">
        <v>299</v>
      </c>
      <c r="S631" s="51"/>
      <c r="T631" s="51"/>
      <c r="U631" s="51"/>
      <c r="V631" s="51"/>
      <c r="W631" s="51"/>
      <c r="X631" s="51"/>
      <c r="Y631" s="51"/>
      <c r="Z631" s="51"/>
      <c r="AA631" s="51"/>
      <c r="AB631" s="51"/>
      <c r="AC631" s="51"/>
      <c r="AD631" s="51"/>
      <c r="AE631" s="51"/>
      <c r="AF631" s="51"/>
      <c r="AG631" s="51"/>
      <c r="AH631" s="51"/>
      <c r="AI631" s="51"/>
      <c r="AJ631" s="51"/>
      <c r="AK631" s="138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139"/>
    </row>
    <row r="632" spans="2:61" ht="20.100000000000001" customHeight="1" x14ac:dyDescent="0.45">
      <c r="B632" s="133"/>
      <c r="C632" s="27"/>
      <c r="D632" s="27"/>
      <c r="E632" s="27"/>
      <c r="F632" s="27"/>
      <c r="G632" s="134"/>
      <c r="H632" s="135"/>
      <c r="I632" s="27"/>
      <c r="J632" s="140" t="s">
        <v>300</v>
      </c>
      <c r="K632" s="51"/>
      <c r="L632" s="51"/>
      <c r="M632" s="51"/>
      <c r="N632" s="51"/>
      <c r="O632" s="51"/>
      <c r="P632" s="51"/>
      <c r="Q632" s="51"/>
      <c r="R632" s="140" t="s">
        <v>301</v>
      </c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51"/>
      <c r="AG632" s="51"/>
      <c r="AH632" s="51"/>
      <c r="AI632" s="51"/>
      <c r="AJ632" s="51"/>
      <c r="AK632" s="138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139"/>
    </row>
    <row r="633" spans="2:61" ht="20.100000000000001" customHeight="1" x14ac:dyDescent="0.45">
      <c r="B633" s="133"/>
      <c r="C633" s="27"/>
      <c r="D633" s="27"/>
      <c r="E633" s="27"/>
      <c r="F633" s="27"/>
      <c r="G633" s="134"/>
      <c r="H633" s="135"/>
      <c r="I633" s="27"/>
      <c r="J633" s="140" t="s">
        <v>302</v>
      </c>
      <c r="K633" s="51"/>
      <c r="L633" s="51"/>
      <c r="M633" s="51"/>
      <c r="N633" s="51"/>
      <c r="O633" s="51"/>
      <c r="P633" s="51"/>
      <c r="Q633" s="51"/>
      <c r="R633" s="140" t="s">
        <v>303</v>
      </c>
      <c r="S633" s="51"/>
      <c r="T633" s="51"/>
      <c r="U633" s="51"/>
      <c r="V633" s="51"/>
      <c r="W633" s="51"/>
      <c r="X633" s="51"/>
      <c r="Y633" s="51"/>
      <c r="Z633" s="51"/>
      <c r="AA633" s="51"/>
      <c r="AB633" s="51"/>
      <c r="AC633" s="51"/>
      <c r="AD633" s="51"/>
      <c r="AE633" s="51"/>
      <c r="AF633" s="51"/>
      <c r="AG633" s="51"/>
      <c r="AH633" s="51"/>
      <c r="AI633" s="51"/>
      <c r="AJ633" s="51"/>
      <c r="AK633" s="138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139"/>
    </row>
    <row r="634" spans="2:61" ht="20.100000000000001" customHeight="1" x14ac:dyDescent="0.45">
      <c r="B634" s="133"/>
      <c r="C634" s="27"/>
      <c r="D634" s="27"/>
      <c r="E634" s="27"/>
      <c r="F634" s="27"/>
      <c r="G634" s="134"/>
      <c r="H634" s="135"/>
      <c r="I634" s="27"/>
      <c r="J634" s="140" t="s">
        <v>304</v>
      </c>
      <c r="K634" s="51"/>
      <c r="L634" s="51"/>
      <c r="M634" s="51"/>
      <c r="N634" s="51"/>
      <c r="O634" s="51"/>
      <c r="P634" s="51"/>
      <c r="Q634" s="51"/>
      <c r="R634" s="140" t="s">
        <v>305</v>
      </c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51"/>
      <c r="AG634" s="51"/>
      <c r="AH634" s="51"/>
      <c r="AI634" s="51"/>
      <c r="AJ634" s="51"/>
      <c r="AK634" s="138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139"/>
    </row>
    <row r="635" spans="2:61" ht="20.100000000000001" customHeight="1" x14ac:dyDescent="0.45">
      <c r="B635" s="133"/>
      <c r="C635" s="27"/>
      <c r="D635" s="27"/>
      <c r="E635" s="27"/>
      <c r="F635" s="27"/>
      <c r="G635" s="134"/>
      <c r="H635" s="135"/>
      <c r="I635" s="27"/>
      <c r="J635" s="140" t="s">
        <v>306</v>
      </c>
      <c r="K635" s="51"/>
      <c r="L635" s="51"/>
      <c r="M635" s="51"/>
      <c r="N635" s="51"/>
      <c r="O635" s="51"/>
      <c r="P635" s="51"/>
      <c r="Q635" s="51"/>
      <c r="R635" s="140" t="s">
        <v>307</v>
      </c>
      <c r="S635" s="51"/>
      <c r="T635" s="51"/>
      <c r="U635" s="51"/>
      <c r="V635" s="51"/>
      <c r="W635" s="51"/>
      <c r="X635" s="51"/>
      <c r="Y635" s="51"/>
      <c r="Z635" s="51"/>
      <c r="AA635" s="51"/>
      <c r="AB635" s="51"/>
      <c r="AC635" s="51"/>
      <c r="AD635" s="51"/>
      <c r="AE635" s="51"/>
      <c r="AF635" s="51"/>
      <c r="AG635" s="51"/>
      <c r="AH635" s="51"/>
      <c r="AI635" s="51"/>
      <c r="AJ635" s="51"/>
      <c r="AK635" s="138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139"/>
    </row>
    <row r="636" spans="2:61" ht="20.100000000000001" customHeight="1" x14ac:dyDescent="0.45">
      <c r="B636" s="133"/>
      <c r="C636" s="27"/>
      <c r="D636" s="27"/>
      <c r="E636" s="27"/>
      <c r="F636" s="27"/>
      <c r="G636" s="134"/>
      <c r="H636" s="135"/>
      <c r="I636" s="27"/>
      <c r="J636" s="140" t="s">
        <v>308</v>
      </c>
      <c r="K636" s="51"/>
      <c r="L636" s="51"/>
      <c r="M636" s="51"/>
      <c r="N636" s="51"/>
      <c r="O636" s="51"/>
      <c r="P636" s="51"/>
      <c r="Q636" s="51"/>
      <c r="R636" s="140" t="s">
        <v>309</v>
      </c>
      <c r="S636" s="51"/>
      <c r="T636" s="51"/>
      <c r="U636" s="51"/>
      <c r="V636" s="51"/>
      <c r="W636" s="51"/>
      <c r="X636" s="51"/>
      <c r="Y636" s="51"/>
      <c r="Z636" s="51"/>
      <c r="AA636" s="51"/>
      <c r="AB636" s="51"/>
      <c r="AC636" s="51"/>
      <c r="AD636" s="51"/>
      <c r="AE636" s="51"/>
      <c r="AF636" s="51"/>
      <c r="AG636" s="51"/>
      <c r="AH636" s="51"/>
      <c r="AI636" s="51"/>
      <c r="AJ636" s="51"/>
      <c r="AK636" s="138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139"/>
    </row>
    <row r="637" spans="2:61" ht="20.100000000000001" customHeight="1" x14ac:dyDescent="0.45">
      <c r="B637" s="133"/>
      <c r="C637" s="27"/>
      <c r="D637" s="27"/>
      <c r="E637" s="27"/>
      <c r="F637" s="27"/>
      <c r="G637" s="134"/>
      <c r="H637" s="135"/>
      <c r="I637" s="27"/>
      <c r="J637" s="140" t="s">
        <v>310</v>
      </c>
      <c r="K637" s="51"/>
      <c r="L637" s="51"/>
      <c r="M637" s="51"/>
      <c r="N637" s="51"/>
      <c r="O637" s="51"/>
      <c r="P637" s="51"/>
      <c r="Q637" s="51"/>
      <c r="R637" s="140" t="s">
        <v>311</v>
      </c>
      <c r="S637" s="51"/>
      <c r="T637" s="51"/>
      <c r="U637" s="51"/>
      <c r="V637" s="51"/>
      <c r="W637" s="51"/>
      <c r="X637" s="51"/>
      <c r="Y637" s="51"/>
      <c r="Z637" s="51"/>
      <c r="AA637" s="51"/>
      <c r="AB637" s="51"/>
      <c r="AC637" s="51"/>
      <c r="AD637" s="51"/>
      <c r="AE637" s="51"/>
      <c r="AF637" s="51"/>
      <c r="AG637" s="51"/>
      <c r="AH637" s="51"/>
      <c r="AI637" s="51"/>
      <c r="AJ637" s="51"/>
      <c r="AK637" s="138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139"/>
    </row>
    <row r="638" spans="2:61" ht="20.100000000000001" customHeight="1" x14ac:dyDescent="0.45">
      <c r="B638" s="133"/>
      <c r="C638" s="27"/>
      <c r="D638" s="27"/>
      <c r="E638" s="27"/>
      <c r="F638" s="27"/>
      <c r="G638" s="134"/>
      <c r="H638" s="140" t="s">
        <v>159</v>
      </c>
      <c r="I638" s="51"/>
      <c r="J638" s="140" t="s">
        <v>312</v>
      </c>
      <c r="K638" s="51"/>
      <c r="L638" s="48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  <c r="AB638" s="51"/>
      <c r="AC638" s="51"/>
      <c r="AD638" s="51"/>
      <c r="AE638" s="51"/>
      <c r="AF638" s="51"/>
      <c r="AG638" s="51"/>
      <c r="AH638" s="51"/>
      <c r="AI638" s="51"/>
      <c r="AJ638" s="51"/>
      <c r="AK638" s="141"/>
      <c r="AL638" s="51"/>
      <c r="AM638" s="51"/>
      <c r="AN638" s="51"/>
      <c r="AO638" s="51"/>
      <c r="AP638" s="51"/>
      <c r="AQ638" s="51"/>
      <c r="AR638" s="51"/>
      <c r="AS638" s="51"/>
      <c r="AT638" s="51"/>
      <c r="AU638" s="51"/>
      <c r="AV638" s="51"/>
      <c r="AW638" s="51"/>
      <c r="AX638" s="51"/>
      <c r="AY638" s="51"/>
      <c r="AZ638" s="51"/>
      <c r="BA638" s="51"/>
      <c r="BB638" s="51"/>
      <c r="BC638" s="51"/>
      <c r="BD638" s="51"/>
      <c r="BE638" s="51"/>
      <c r="BF638" s="51"/>
      <c r="BG638" s="51"/>
      <c r="BH638" s="51"/>
      <c r="BI638" s="142"/>
    </row>
    <row r="639" spans="2:61" ht="20.100000000000001" customHeight="1" x14ac:dyDescent="0.45">
      <c r="B639" s="133"/>
      <c r="C639" s="27"/>
      <c r="D639" s="27"/>
      <c r="E639" s="27"/>
      <c r="F639" s="27"/>
      <c r="G639" s="134"/>
      <c r="H639" s="140" t="s">
        <v>160</v>
      </c>
      <c r="I639" s="51"/>
      <c r="J639" s="140" t="s">
        <v>313</v>
      </c>
      <c r="K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  <c r="AB639" s="51"/>
      <c r="AC639" s="51"/>
      <c r="AD639" s="51"/>
      <c r="AE639" s="51"/>
      <c r="AF639" s="51"/>
      <c r="AG639" s="51"/>
      <c r="AH639" s="51"/>
      <c r="AI639" s="51"/>
      <c r="AJ639" s="51"/>
      <c r="AK639" s="141"/>
      <c r="AL639" s="51"/>
      <c r="AM639" s="51"/>
      <c r="AN639" s="51"/>
      <c r="AO639" s="51"/>
      <c r="AP639" s="51"/>
      <c r="AQ639" s="51"/>
      <c r="AR639" s="51"/>
      <c r="AS639" s="51"/>
      <c r="AT639" s="51"/>
      <c r="AU639" s="51"/>
      <c r="AV639" s="51"/>
      <c r="AW639" s="51"/>
      <c r="AX639" s="51"/>
      <c r="AY639" s="51"/>
      <c r="AZ639" s="51"/>
      <c r="BA639" s="51"/>
      <c r="BB639" s="51"/>
      <c r="BC639" s="51"/>
      <c r="BD639" s="51"/>
      <c r="BE639" s="51"/>
      <c r="BF639" s="51"/>
      <c r="BG639" s="51"/>
      <c r="BH639" s="51"/>
      <c r="BI639" s="142"/>
    </row>
    <row r="640" spans="2:61" ht="20.100000000000001" customHeight="1" x14ac:dyDescent="0.45">
      <c r="B640" s="133"/>
      <c r="C640" s="27"/>
      <c r="D640" s="27"/>
      <c r="E640" s="27"/>
      <c r="F640" s="27"/>
      <c r="G640" s="134"/>
      <c r="H640" s="135"/>
      <c r="I640" s="27"/>
      <c r="J640" s="135" t="s">
        <v>314</v>
      </c>
      <c r="K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138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139"/>
    </row>
    <row r="641" spans="2:61" ht="20.100000000000001" customHeight="1" x14ac:dyDescent="0.45">
      <c r="B641" s="133"/>
      <c r="C641" s="27"/>
      <c r="D641" s="27"/>
      <c r="E641" s="27"/>
      <c r="F641" s="27"/>
      <c r="G641" s="134"/>
      <c r="H641" s="135"/>
      <c r="I641" s="27"/>
      <c r="J641" s="135" t="s">
        <v>315</v>
      </c>
      <c r="K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138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139"/>
    </row>
    <row r="642" spans="2:61" ht="20.100000000000001" customHeight="1" x14ac:dyDescent="0.45">
      <c r="B642" s="133"/>
      <c r="C642" s="27"/>
      <c r="D642" s="27"/>
      <c r="E642" s="27"/>
      <c r="F642" s="27"/>
      <c r="G642" s="134"/>
      <c r="H642" s="135"/>
      <c r="I642" s="27"/>
      <c r="J642" s="144"/>
      <c r="K642" s="27" t="s">
        <v>316</v>
      </c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138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139"/>
    </row>
    <row r="643" spans="2:61" ht="20.100000000000001" customHeight="1" x14ac:dyDescent="0.45">
      <c r="B643" s="143"/>
      <c r="C643" s="27"/>
      <c r="D643" s="27"/>
      <c r="E643" s="27"/>
      <c r="F643" s="27"/>
      <c r="G643" s="134"/>
      <c r="H643" s="140" t="s">
        <v>161</v>
      </c>
      <c r="I643" s="51"/>
      <c r="J643" s="140" t="s">
        <v>317</v>
      </c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  <c r="AB643" s="51"/>
      <c r="AC643" s="51"/>
      <c r="AD643" s="51"/>
      <c r="AE643" s="51"/>
      <c r="AF643" s="51"/>
      <c r="AG643" s="51"/>
      <c r="AH643" s="51"/>
      <c r="AI643" s="51"/>
      <c r="AJ643" s="51"/>
      <c r="AK643" s="141"/>
      <c r="AL643" s="51"/>
      <c r="AM643" s="51"/>
      <c r="AN643" s="51"/>
      <c r="AO643" s="51"/>
      <c r="AP643" s="51"/>
      <c r="AQ643" s="51"/>
      <c r="AR643" s="51"/>
      <c r="AS643" s="51"/>
      <c r="AT643" s="51"/>
      <c r="AU643" s="51"/>
      <c r="AV643" s="51"/>
      <c r="AW643" s="51"/>
      <c r="AX643" s="51"/>
      <c r="AY643" s="51"/>
      <c r="AZ643" s="51"/>
      <c r="BA643" s="51"/>
      <c r="BB643" s="51"/>
      <c r="BC643" s="51"/>
      <c r="BD643" s="51"/>
      <c r="BE643" s="51"/>
      <c r="BF643" s="51"/>
      <c r="BG643" s="51"/>
      <c r="BH643" s="51"/>
      <c r="BI643" s="142"/>
    </row>
    <row r="644" spans="2:61" ht="20.100000000000001" customHeight="1" x14ac:dyDescent="0.45">
      <c r="B644" s="143"/>
      <c r="C644" s="27"/>
      <c r="D644" s="27"/>
      <c r="E644" s="27"/>
      <c r="F644" s="27"/>
      <c r="G644" s="134"/>
      <c r="H644" s="135"/>
      <c r="I644" s="27"/>
      <c r="J644" s="135" t="s">
        <v>321</v>
      </c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138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139"/>
    </row>
    <row r="645" spans="2:61" ht="20.100000000000001" customHeight="1" x14ac:dyDescent="0.45">
      <c r="B645" s="143"/>
      <c r="C645" s="27"/>
      <c r="D645" s="27"/>
      <c r="E645" s="27"/>
      <c r="F645" s="27"/>
      <c r="G645" s="134"/>
      <c r="H645" s="135"/>
      <c r="I645" s="27"/>
      <c r="J645" s="135" t="s">
        <v>322</v>
      </c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138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139"/>
    </row>
    <row r="646" spans="2:61" ht="20.100000000000001" customHeight="1" x14ac:dyDescent="0.45">
      <c r="B646" s="143"/>
      <c r="C646" s="27"/>
      <c r="D646" s="27"/>
      <c r="E646" s="27"/>
      <c r="F646" s="27"/>
      <c r="G646" s="134"/>
      <c r="H646" s="135"/>
      <c r="I646" s="27"/>
      <c r="J646" s="135"/>
      <c r="K646" s="27" t="s">
        <v>770</v>
      </c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138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139"/>
    </row>
    <row r="647" spans="2:61" ht="20.100000000000001" customHeight="1" thickBot="1" x14ac:dyDescent="0.5">
      <c r="B647" s="143"/>
      <c r="C647" s="27"/>
      <c r="D647" s="27"/>
      <c r="E647" s="27"/>
      <c r="F647" s="27"/>
      <c r="G647" s="134"/>
      <c r="H647" s="135"/>
      <c r="I647" s="27"/>
      <c r="J647" s="135"/>
      <c r="K647" s="27" t="s">
        <v>324</v>
      </c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138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139"/>
    </row>
    <row r="648" spans="2:61" ht="20.100000000000001" customHeight="1" x14ac:dyDescent="0.45">
      <c r="B648" s="124" t="s">
        <v>770</v>
      </c>
      <c r="C648" s="125"/>
      <c r="D648" s="125"/>
      <c r="E648" s="125"/>
      <c r="F648" s="125"/>
      <c r="G648" s="126"/>
      <c r="H648" s="127" t="s">
        <v>158</v>
      </c>
      <c r="I648" s="125"/>
      <c r="J648" s="128" t="s">
        <v>275</v>
      </c>
      <c r="K648" s="129"/>
      <c r="L648" s="129"/>
      <c r="M648" s="129"/>
      <c r="N648" s="129"/>
      <c r="O648" s="129"/>
      <c r="P648" s="129"/>
      <c r="Q648" s="130"/>
      <c r="R648" s="129" t="s">
        <v>327</v>
      </c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30"/>
      <c r="AK648" s="131"/>
      <c r="AL648" s="125"/>
      <c r="AM648" s="125"/>
      <c r="AN648" s="125"/>
      <c r="AO648" s="125"/>
      <c r="AP648" s="125"/>
      <c r="AQ648" s="125"/>
      <c r="AR648" s="125"/>
      <c r="AS648" s="125"/>
      <c r="AT648" s="125"/>
      <c r="AU648" s="125"/>
      <c r="AV648" s="125"/>
      <c r="AW648" s="125"/>
      <c r="AX648" s="125"/>
      <c r="AY648" s="125"/>
      <c r="AZ648" s="125"/>
      <c r="BA648" s="125"/>
      <c r="BB648" s="125"/>
      <c r="BC648" s="125"/>
      <c r="BD648" s="125"/>
      <c r="BE648" s="125"/>
      <c r="BF648" s="125"/>
      <c r="BG648" s="125"/>
      <c r="BH648" s="125"/>
      <c r="BI648" s="132"/>
    </row>
    <row r="649" spans="2:61" ht="20.100000000000001" customHeight="1" x14ac:dyDescent="0.45">
      <c r="B649" s="133"/>
      <c r="C649" s="27"/>
      <c r="D649" s="27"/>
      <c r="E649" s="27"/>
      <c r="F649" s="27"/>
      <c r="G649" s="134"/>
      <c r="H649" s="140" t="s">
        <v>159</v>
      </c>
      <c r="I649" s="51"/>
      <c r="J649" s="140" t="s">
        <v>328</v>
      </c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  <c r="AB649" s="51"/>
      <c r="AC649" s="51"/>
      <c r="AD649" s="51"/>
      <c r="AE649" s="51"/>
      <c r="AF649" s="51"/>
      <c r="AG649" s="51"/>
      <c r="AH649" s="51"/>
      <c r="AI649" s="51"/>
      <c r="AJ649" s="51"/>
      <c r="AK649" s="141"/>
      <c r="AL649" s="51"/>
      <c r="AM649" s="51"/>
      <c r="AN649" s="51"/>
      <c r="AO649" s="51"/>
      <c r="AP649" s="51"/>
      <c r="AQ649" s="51"/>
      <c r="AR649" s="51"/>
      <c r="AS649" s="51"/>
      <c r="AT649" s="51"/>
      <c r="AU649" s="51"/>
      <c r="AV649" s="51"/>
      <c r="AW649" s="51"/>
      <c r="AX649" s="51"/>
      <c r="AY649" s="51"/>
      <c r="AZ649" s="51"/>
      <c r="BA649" s="51"/>
      <c r="BB649" s="51"/>
      <c r="BC649" s="51"/>
      <c r="BD649" s="51"/>
      <c r="BE649" s="51"/>
      <c r="BF649" s="51"/>
      <c r="BG649" s="51"/>
      <c r="BH649" s="51"/>
      <c r="BI649" s="142"/>
    </row>
    <row r="650" spans="2:61" ht="20.100000000000001" customHeight="1" x14ac:dyDescent="0.45">
      <c r="B650" s="143"/>
      <c r="C650" s="27"/>
      <c r="D650" s="27"/>
      <c r="E650" s="27"/>
      <c r="F650" s="27"/>
      <c r="G650" s="134"/>
      <c r="H650" s="140" t="s">
        <v>160</v>
      </c>
      <c r="I650" s="51"/>
      <c r="J650" s="140" t="s">
        <v>329</v>
      </c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  <c r="AB650" s="51"/>
      <c r="AC650" s="51"/>
      <c r="AD650" s="51"/>
      <c r="AE650" s="51"/>
      <c r="AF650" s="51"/>
      <c r="AG650" s="51"/>
      <c r="AH650" s="51"/>
      <c r="AI650" s="51"/>
      <c r="AJ650" s="51"/>
      <c r="AK650" s="141"/>
      <c r="AL650" s="51"/>
      <c r="AM650" s="51"/>
      <c r="AN650" s="51"/>
      <c r="AO650" s="51"/>
      <c r="AP650" s="51"/>
      <c r="AQ650" s="51"/>
      <c r="AR650" s="51"/>
      <c r="AS650" s="51"/>
      <c r="AT650" s="51"/>
      <c r="AU650" s="51"/>
      <c r="AV650" s="51"/>
      <c r="AW650" s="51"/>
      <c r="AX650" s="51"/>
      <c r="AY650" s="51"/>
      <c r="AZ650" s="51"/>
      <c r="BA650" s="51"/>
      <c r="BB650" s="51"/>
      <c r="BC650" s="51"/>
      <c r="BD650" s="51"/>
      <c r="BE650" s="51"/>
      <c r="BF650" s="51"/>
      <c r="BG650" s="51"/>
      <c r="BH650" s="51"/>
      <c r="BI650" s="142"/>
    </row>
    <row r="651" spans="2:61" ht="20.100000000000001" customHeight="1" x14ac:dyDescent="0.45">
      <c r="B651" s="143"/>
      <c r="C651" s="27"/>
      <c r="D651" s="27"/>
      <c r="E651" s="27"/>
      <c r="F651" s="27"/>
      <c r="G651" s="134"/>
      <c r="H651" s="140" t="s">
        <v>161</v>
      </c>
      <c r="I651" s="51"/>
      <c r="J651" s="140" t="s">
        <v>330</v>
      </c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  <c r="AB651" s="51"/>
      <c r="AC651" s="51"/>
      <c r="AD651" s="51"/>
      <c r="AE651" s="51"/>
      <c r="AF651" s="51"/>
      <c r="AG651" s="51"/>
      <c r="AH651" s="51"/>
      <c r="AI651" s="51"/>
      <c r="AJ651" s="51"/>
      <c r="AK651" s="141"/>
      <c r="AL651" s="51"/>
      <c r="AM651" s="51"/>
      <c r="AN651" s="51"/>
      <c r="AO651" s="51"/>
      <c r="AP651" s="51"/>
      <c r="AQ651" s="51"/>
      <c r="AR651" s="51"/>
      <c r="AS651" s="51"/>
      <c r="AT651" s="51"/>
      <c r="AU651" s="51"/>
      <c r="AV651" s="51"/>
      <c r="AW651" s="51"/>
      <c r="AX651" s="51"/>
      <c r="AY651" s="51"/>
      <c r="AZ651" s="51"/>
      <c r="BA651" s="51"/>
      <c r="BB651" s="51"/>
      <c r="BC651" s="51"/>
      <c r="BD651" s="51"/>
      <c r="BE651" s="51"/>
      <c r="BF651" s="51"/>
      <c r="BG651" s="51"/>
      <c r="BH651" s="51"/>
      <c r="BI651" s="142"/>
    </row>
    <row r="652" spans="2:61" ht="20.100000000000001" customHeight="1" x14ac:dyDescent="0.45">
      <c r="B652" s="143"/>
      <c r="C652" s="27"/>
      <c r="D652" s="27"/>
      <c r="E652" s="27"/>
      <c r="F652" s="27"/>
      <c r="G652" s="134"/>
      <c r="H652" s="135"/>
      <c r="I652" s="27"/>
      <c r="J652" s="135"/>
      <c r="K652" s="27" t="s">
        <v>331</v>
      </c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138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139"/>
    </row>
    <row r="653" spans="2:61" ht="20.100000000000001" customHeight="1" x14ac:dyDescent="0.45">
      <c r="B653" s="143"/>
      <c r="C653" s="27"/>
      <c r="D653" s="27"/>
      <c r="E653" s="27"/>
      <c r="F653" s="27"/>
      <c r="G653" s="134"/>
      <c r="H653" s="135"/>
      <c r="I653" s="27"/>
      <c r="J653" s="135"/>
      <c r="K653" s="27" t="s">
        <v>332</v>
      </c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138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139"/>
    </row>
    <row r="654" spans="2:61" ht="20.100000000000001" customHeight="1" x14ac:dyDescent="0.45">
      <c r="B654" s="143"/>
      <c r="C654" s="27"/>
      <c r="D654" s="27"/>
      <c r="E654" s="27"/>
      <c r="F654" s="27"/>
      <c r="G654" s="134"/>
      <c r="H654" s="135"/>
      <c r="I654" s="27"/>
      <c r="J654" s="135"/>
      <c r="K654" s="27" t="s">
        <v>333</v>
      </c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138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139"/>
    </row>
    <row r="655" spans="2:61" ht="20.100000000000001" customHeight="1" thickBot="1" x14ac:dyDescent="0.5">
      <c r="B655" s="143"/>
      <c r="C655" s="27"/>
      <c r="D655" s="27"/>
      <c r="E655" s="27"/>
      <c r="F655" s="27"/>
      <c r="G655" s="134"/>
      <c r="H655" s="140" t="s">
        <v>334</v>
      </c>
      <c r="I655" s="51"/>
      <c r="J655" s="140" t="s">
        <v>335</v>
      </c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  <c r="AB655" s="51"/>
      <c r="AC655" s="51"/>
      <c r="AD655" s="51"/>
      <c r="AE655" s="51"/>
      <c r="AF655" s="51"/>
      <c r="AG655" s="51"/>
      <c r="AH655" s="51"/>
      <c r="AI655" s="51"/>
      <c r="AJ655" s="51"/>
      <c r="AK655" s="141"/>
      <c r="AL655" s="51"/>
      <c r="AM655" s="51"/>
      <c r="AN655" s="51"/>
      <c r="AO655" s="51"/>
      <c r="AP655" s="51"/>
      <c r="AQ655" s="51"/>
      <c r="AR655" s="51"/>
      <c r="AS655" s="51"/>
      <c r="AT655" s="51"/>
      <c r="AU655" s="51"/>
      <c r="AV655" s="51"/>
      <c r="AW655" s="51"/>
      <c r="AX655" s="51"/>
      <c r="AY655" s="51"/>
      <c r="AZ655" s="51"/>
      <c r="BA655" s="51"/>
      <c r="BB655" s="51"/>
      <c r="BC655" s="51"/>
      <c r="BD655" s="51"/>
      <c r="BE655" s="51"/>
      <c r="BF655" s="51"/>
      <c r="BG655" s="51"/>
      <c r="BH655" s="51"/>
      <c r="BI655" s="142"/>
    </row>
    <row r="656" spans="2:61" ht="20.100000000000001" customHeight="1" x14ac:dyDescent="0.45">
      <c r="B656" s="124" t="s">
        <v>765</v>
      </c>
      <c r="C656" s="125"/>
      <c r="D656" s="125"/>
      <c r="E656" s="125"/>
      <c r="F656" s="125"/>
      <c r="G656" s="126"/>
      <c r="H656" s="127" t="s">
        <v>158</v>
      </c>
      <c r="I656" s="125"/>
      <c r="J656" s="128" t="s">
        <v>241</v>
      </c>
      <c r="K656" s="129"/>
      <c r="L656" s="129"/>
      <c r="M656" s="129"/>
      <c r="N656" s="129"/>
      <c r="O656" s="129"/>
      <c r="P656" s="129"/>
      <c r="Q656" s="130"/>
      <c r="R656" s="129">
        <v>2</v>
      </c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30"/>
      <c r="AK656" s="131" t="s">
        <v>336</v>
      </c>
      <c r="AL656" s="125"/>
      <c r="AM656" s="125"/>
      <c r="AN656" s="125"/>
      <c r="AO656" s="125"/>
      <c r="AP656" s="125"/>
      <c r="AQ656" s="125"/>
      <c r="AR656" s="125"/>
      <c r="AS656" s="125"/>
      <c r="AT656" s="125"/>
      <c r="AU656" s="125"/>
      <c r="AV656" s="125"/>
      <c r="AW656" s="125"/>
      <c r="AX656" s="125"/>
      <c r="AY656" s="125"/>
      <c r="AZ656" s="125"/>
      <c r="BA656" s="125"/>
      <c r="BB656" s="125"/>
      <c r="BC656" s="125"/>
      <c r="BD656" s="125"/>
      <c r="BE656" s="125"/>
      <c r="BF656" s="125"/>
      <c r="BG656" s="125"/>
      <c r="BH656" s="125"/>
      <c r="BI656" s="132"/>
    </row>
    <row r="657" spans="2:61" ht="20.100000000000001" customHeight="1" x14ac:dyDescent="0.45">
      <c r="B657" s="133"/>
      <c r="C657" s="27"/>
      <c r="D657" s="27"/>
      <c r="E657" s="27"/>
      <c r="F657" s="27"/>
      <c r="G657" s="134"/>
      <c r="H657" s="135"/>
      <c r="I657" s="27"/>
      <c r="J657" s="144" t="s">
        <v>163</v>
      </c>
      <c r="K657" s="145"/>
      <c r="L657" s="145"/>
      <c r="M657" s="145"/>
      <c r="N657" s="145"/>
      <c r="O657" s="145"/>
      <c r="P657" s="145"/>
      <c r="Q657" s="156"/>
      <c r="R657" s="145" t="s">
        <v>164</v>
      </c>
      <c r="S657" s="145"/>
      <c r="T657" s="145"/>
      <c r="U657" s="145"/>
      <c r="V657" s="145"/>
      <c r="W657" s="145"/>
      <c r="X657" s="145"/>
      <c r="Y657" s="145"/>
      <c r="Z657" s="145"/>
      <c r="AA657" s="145"/>
      <c r="AB657" s="145"/>
      <c r="AC657" s="145"/>
      <c r="AD657" s="145"/>
      <c r="AE657" s="145"/>
      <c r="AF657" s="145"/>
      <c r="AG657" s="145"/>
      <c r="AH657" s="145"/>
      <c r="AI657" s="145"/>
      <c r="AJ657" s="156"/>
      <c r="AK657" s="138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139"/>
    </row>
    <row r="658" spans="2:61" ht="20.100000000000001" customHeight="1" x14ac:dyDescent="0.45">
      <c r="B658" s="133"/>
      <c r="C658" s="27"/>
      <c r="D658" s="27"/>
      <c r="E658" s="27"/>
      <c r="F658" s="27"/>
      <c r="G658" s="134"/>
      <c r="H658" s="135"/>
      <c r="I658" s="27"/>
      <c r="J658" s="136" t="s">
        <v>244</v>
      </c>
      <c r="K658" s="48"/>
      <c r="L658" s="48"/>
      <c r="M658" s="48"/>
      <c r="N658" s="48"/>
      <c r="O658" s="48"/>
      <c r="P658" s="48"/>
      <c r="Q658" s="137"/>
      <c r="R658" s="48" t="s">
        <v>245</v>
      </c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137"/>
      <c r="AK658" s="138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139"/>
    </row>
    <row r="659" spans="2:61" ht="20.100000000000001" customHeight="1" x14ac:dyDescent="0.45">
      <c r="B659" s="133"/>
      <c r="C659" s="27"/>
      <c r="D659" s="27"/>
      <c r="E659" s="27"/>
      <c r="F659" s="27"/>
      <c r="G659" s="134"/>
      <c r="H659" s="135"/>
      <c r="I659" s="27"/>
      <c r="J659" s="140" t="s">
        <v>247</v>
      </c>
      <c r="K659" s="51"/>
      <c r="L659" s="51"/>
      <c r="M659" s="51"/>
      <c r="N659" s="51"/>
      <c r="O659" s="51"/>
      <c r="P659" s="51"/>
      <c r="Q659" s="51"/>
      <c r="R659" s="140" t="s">
        <v>248</v>
      </c>
      <c r="S659" s="51"/>
      <c r="T659" s="51"/>
      <c r="U659" s="51"/>
      <c r="V659" s="51"/>
      <c r="W659" s="51"/>
      <c r="X659" s="51"/>
      <c r="Y659" s="51"/>
      <c r="Z659" s="51"/>
      <c r="AA659" s="51"/>
      <c r="AB659" s="51"/>
      <c r="AC659" s="51"/>
      <c r="AD659" s="51"/>
      <c r="AE659" s="51"/>
      <c r="AF659" s="51"/>
      <c r="AG659" s="51"/>
      <c r="AH659" s="51"/>
      <c r="AI659" s="51"/>
      <c r="AJ659" s="51"/>
      <c r="AK659" s="138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139"/>
    </row>
    <row r="660" spans="2:61" ht="20.100000000000001" customHeight="1" x14ac:dyDescent="0.45">
      <c r="B660" s="133"/>
      <c r="C660" s="27"/>
      <c r="D660" s="27"/>
      <c r="E660" s="27"/>
      <c r="F660" s="27"/>
      <c r="G660" s="134"/>
      <c r="H660" s="135"/>
      <c r="I660" s="27"/>
      <c r="J660" s="140" t="s">
        <v>249</v>
      </c>
      <c r="K660" s="51"/>
      <c r="L660" s="51"/>
      <c r="M660" s="51"/>
      <c r="N660" s="51"/>
      <c r="O660" s="51"/>
      <c r="P660" s="51"/>
      <c r="Q660" s="51"/>
      <c r="R660" s="140" t="s">
        <v>250</v>
      </c>
      <c r="S660" s="51"/>
      <c r="T660" s="51"/>
      <c r="U660" s="51"/>
      <c r="V660" s="51"/>
      <c r="W660" s="51"/>
      <c r="X660" s="51"/>
      <c r="Y660" s="51"/>
      <c r="Z660" s="51"/>
      <c r="AA660" s="51"/>
      <c r="AB660" s="51"/>
      <c r="AC660" s="51"/>
      <c r="AD660" s="51"/>
      <c r="AE660" s="51"/>
      <c r="AF660" s="51"/>
      <c r="AG660" s="51"/>
      <c r="AH660" s="51"/>
      <c r="AI660" s="51"/>
      <c r="AJ660" s="51"/>
      <c r="AK660" s="138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139"/>
    </row>
    <row r="661" spans="2:61" ht="20.399999999999999" customHeight="1" x14ac:dyDescent="0.45">
      <c r="B661" s="133"/>
      <c r="C661" s="27"/>
      <c r="D661" s="27"/>
      <c r="E661" s="27"/>
      <c r="F661" s="27"/>
      <c r="G661" s="134"/>
      <c r="H661" s="135"/>
      <c r="I661" s="27"/>
      <c r="J661" s="140" t="s">
        <v>251</v>
      </c>
      <c r="K661" s="51"/>
      <c r="L661" s="51"/>
      <c r="M661" s="51"/>
      <c r="N661" s="51"/>
      <c r="O661" s="51"/>
      <c r="P661" s="51"/>
      <c r="Q661" s="51"/>
      <c r="R661" s="140" t="s">
        <v>252</v>
      </c>
      <c r="S661" s="51"/>
      <c r="T661" s="51"/>
      <c r="U661" s="51"/>
      <c r="V661" s="51"/>
      <c r="W661" s="51"/>
      <c r="X661" s="51"/>
      <c r="Y661" s="51"/>
      <c r="Z661" s="51"/>
      <c r="AA661" s="51"/>
      <c r="AB661" s="51"/>
      <c r="AC661" s="51"/>
      <c r="AD661" s="51"/>
      <c r="AE661" s="51"/>
      <c r="AF661" s="51"/>
      <c r="AG661" s="51"/>
      <c r="AH661" s="51"/>
      <c r="AI661" s="51"/>
      <c r="AJ661" s="51"/>
      <c r="AK661" s="138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139"/>
    </row>
    <row r="662" spans="2:61" ht="20.399999999999999" customHeight="1" x14ac:dyDescent="0.45">
      <c r="B662" s="133"/>
      <c r="C662" s="27"/>
      <c r="D662" s="27"/>
      <c r="E662" s="27"/>
      <c r="F662" s="27"/>
      <c r="G662" s="134"/>
      <c r="H662" s="135"/>
      <c r="I662" s="27"/>
      <c r="J662" s="140" t="s">
        <v>253</v>
      </c>
      <c r="K662" s="51"/>
      <c r="L662" s="51"/>
      <c r="M662" s="51"/>
      <c r="N662" s="51"/>
      <c r="O662" s="51"/>
      <c r="P662" s="51"/>
      <c r="Q662" s="51"/>
      <c r="R662" s="140" t="s">
        <v>254</v>
      </c>
      <c r="S662" s="51"/>
      <c r="T662" s="51"/>
      <c r="U662" s="51"/>
      <c r="V662" s="51"/>
      <c r="W662" s="51"/>
      <c r="X662" s="51"/>
      <c r="Y662" s="51"/>
      <c r="Z662" s="51"/>
      <c r="AA662" s="51"/>
      <c r="AB662" s="51"/>
      <c r="AC662" s="51"/>
      <c r="AD662" s="51"/>
      <c r="AE662" s="51"/>
      <c r="AF662" s="51"/>
      <c r="AG662" s="51"/>
      <c r="AH662" s="51"/>
      <c r="AI662" s="51"/>
      <c r="AJ662" s="51"/>
      <c r="AK662" s="138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139"/>
    </row>
    <row r="663" spans="2:61" ht="20.399999999999999" customHeight="1" x14ac:dyDescent="0.45">
      <c r="B663" s="133"/>
      <c r="C663" s="27"/>
      <c r="D663" s="27"/>
      <c r="E663" s="27"/>
      <c r="F663" s="27"/>
      <c r="G663" s="134"/>
      <c r="H663" s="135"/>
      <c r="I663" s="27"/>
      <c r="J663" s="140" t="s">
        <v>255</v>
      </c>
      <c r="K663" s="51"/>
      <c r="L663" s="51"/>
      <c r="M663" s="51"/>
      <c r="N663" s="51"/>
      <c r="O663" s="51"/>
      <c r="P663" s="51"/>
      <c r="Q663" s="51"/>
      <c r="R663" s="140" t="s">
        <v>256</v>
      </c>
      <c r="S663" s="51"/>
      <c r="T663" s="51"/>
      <c r="U663" s="51"/>
      <c r="V663" s="51"/>
      <c r="W663" s="51"/>
      <c r="X663" s="51"/>
      <c r="Y663" s="51"/>
      <c r="Z663" s="51"/>
      <c r="AA663" s="51"/>
      <c r="AB663" s="51"/>
      <c r="AC663" s="51"/>
      <c r="AD663" s="51"/>
      <c r="AE663" s="51"/>
      <c r="AF663" s="51"/>
      <c r="AG663" s="51"/>
      <c r="AH663" s="51"/>
      <c r="AI663" s="51"/>
      <c r="AJ663" s="51"/>
      <c r="AK663" s="138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139"/>
    </row>
    <row r="664" spans="2:61" ht="20.399999999999999" customHeight="1" x14ac:dyDescent="0.45">
      <c r="B664" s="133"/>
      <c r="C664" s="27"/>
      <c r="D664" s="27"/>
      <c r="E664" s="27"/>
      <c r="F664" s="27"/>
      <c r="G664" s="134"/>
      <c r="H664" s="135"/>
      <c r="I664" s="27"/>
      <c r="J664" s="140" t="s">
        <v>257</v>
      </c>
      <c r="K664" s="51"/>
      <c r="L664" s="51"/>
      <c r="M664" s="51"/>
      <c r="N664" s="51"/>
      <c r="O664" s="51"/>
      <c r="P664" s="51"/>
      <c r="Q664" s="51"/>
      <c r="R664" s="140" t="s">
        <v>258</v>
      </c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  <c r="AJ664" s="51"/>
      <c r="AK664" s="138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139"/>
    </row>
    <row r="665" spans="2:61" ht="20.399999999999999" customHeight="1" x14ac:dyDescent="0.45">
      <c r="B665" s="133"/>
      <c r="C665" s="27"/>
      <c r="D665" s="27"/>
      <c r="E665" s="27"/>
      <c r="F665" s="27"/>
      <c r="G665" s="134"/>
      <c r="H665" s="135"/>
      <c r="I665" s="27"/>
      <c r="J665" s="140" t="s">
        <v>259</v>
      </c>
      <c r="K665" s="51"/>
      <c r="L665" s="51"/>
      <c r="M665" s="51"/>
      <c r="N665" s="51"/>
      <c r="O665" s="51"/>
      <c r="P665" s="51"/>
      <c r="Q665" s="51"/>
      <c r="R665" s="140" t="s">
        <v>260</v>
      </c>
      <c r="S665" s="51"/>
      <c r="T665" s="51"/>
      <c r="U665" s="51"/>
      <c r="V665" s="51"/>
      <c r="W665" s="51"/>
      <c r="X665" s="51"/>
      <c r="Y665" s="51"/>
      <c r="Z665" s="51"/>
      <c r="AA665" s="51"/>
      <c r="AB665" s="51"/>
      <c r="AC665" s="51"/>
      <c r="AD665" s="51"/>
      <c r="AE665" s="51"/>
      <c r="AF665" s="51"/>
      <c r="AG665" s="51"/>
      <c r="AH665" s="51"/>
      <c r="AI665" s="51"/>
      <c r="AJ665" s="51"/>
      <c r="AK665" s="138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139"/>
    </row>
    <row r="666" spans="2:61" ht="20.399999999999999" customHeight="1" x14ac:dyDescent="0.45">
      <c r="B666" s="133"/>
      <c r="C666" s="27"/>
      <c r="D666" s="27"/>
      <c r="E666" s="27"/>
      <c r="F666" s="27"/>
      <c r="G666" s="134"/>
      <c r="H666" s="135"/>
      <c r="I666" s="27"/>
      <c r="J666" s="140" t="s">
        <v>261</v>
      </c>
      <c r="K666" s="51"/>
      <c r="L666" s="51"/>
      <c r="M666" s="51"/>
      <c r="N666" s="51"/>
      <c r="O666" s="51"/>
      <c r="P666" s="51"/>
      <c r="Q666" s="51"/>
      <c r="R666" s="140" t="s">
        <v>262</v>
      </c>
      <c r="S666" s="51"/>
      <c r="T666" s="51"/>
      <c r="U666" s="51"/>
      <c r="V666" s="51"/>
      <c r="W666" s="51"/>
      <c r="X666" s="51"/>
      <c r="Y666" s="51"/>
      <c r="Z666" s="51"/>
      <c r="AA666" s="51"/>
      <c r="AB666" s="51"/>
      <c r="AC666" s="51"/>
      <c r="AD666" s="51"/>
      <c r="AE666" s="51"/>
      <c r="AF666" s="51"/>
      <c r="AG666" s="51"/>
      <c r="AH666" s="51"/>
      <c r="AI666" s="51"/>
      <c r="AJ666" s="51"/>
      <c r="AK666" s="138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139"/>
    </row>
    <row r="667" spans="2:61" ht="20.399999999999999" customHeight="1" x14ac:dyDescent="0.45">
      <c r="B667" s="133"/>
      <c r="C667" s="27"/>
      <c r="D667" s="27"/>
      <c r="E667" s="27"/>
      <c r="F667" s="27"/>
      <c r="G667" s="134"/>
      <c r="H667" s="135"/>
      <c r="I667" s="27"/>
      <c r="J667" s="140" t="s">
        <v>263</v>
      </c>
      <c r="K667" s="51"/>
      <c r="L667" s="51"/>
      <c r="M667" s="51"/>
      <c r="N667" s="51"/>
      <c r="O667" s="51"/>
      <c r="P667" s="51"/>
      <c r="Q667" s="51"/>
      <c r="R667" s="140" t="s">
        <v>264</v>
      </c>
      <c r="S667" s="51"/>
      <c r="T667" s="51"/>
      <c r="U667" s="51"/>
      <c r="V667" s="51"/>
      <c r="W667" s="51"/>
      <c r="X667" s="51"/>
      <c r="Y667" s="51"/>
      <c r="Z667" s="51"/>
      <c r="AA667" s="51"/>
      <c r="AB667" s="51"/>
      <c r="AC667" s="51"/>
      <c r="AD667" s="51"/>
      <c r="AE667" s="51"/>
      <c r="AF667" s="51"/>
      <c r="AG667" s="51"/>
      <c r="AH667" s="51"/>
      <c r="AI667" s="51"/>
      <c r="AJ667" s="51"/>
      <c r="AK667" s="138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139"/>
    </row>
    <row r="668" spans="2:61" ht="20.399999999999999" customHeight="1" x14ac:dyDescent="0.45">
      <c r="B668" s="133"/>
      <c r="C668" s="27"/>
      <c r="D668" s="27"/>
      <c r="E668" s="27"/>
      <c r="F668" s="27"/>
      <c r="G668" s="134"/>
      <c r="H668" s="135"/>
      <c r="I668" s="27"/>
      <c r="J668" s="140" t="s">
        <v>265</v>
      </c>
      <c r="K668" s="51"/>
      <c r="L668" s="51"/>
      <c r="M668" s="51"/>
      <c r="N668" s="51"/>
      <c r="O668" s="51"/>
      <c r="P668" s="51"/>
      <c r="Q668" s="51"/>
      <c r="R668" s="140" t="s">
        <v>266</v>
      </c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138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139"/>
    </row>
    <row r="669" spans="2:61" ht="20.100000000000001" customHeight="1" x14ac:dyDescent="0.45">
      <c r="B669" s="133"/>
      <c r="C669" s="27"/>
      <c r="D669" s="27"/>
      <c r="E669" s="27"/>
      <c r="F669" s="27"/>
      <c r="G669" s="134"/>
      <c r="H669" s="135"/>
      <c r="I669" s="27"/>
      <c r="J669" s="140" t="s">
        <v>267</v>
      </c>
      <c r="K669" s="51"/>
      <c r="L669" s="51"/>
      <c r="M669" s="51"/>
      <c r="N669" s="51"/>
      <c r="O669" s="51"/>
      <c r="P669" s="51"/>
      <c r="Q669" s="51"/>
      <c r="R669" s="140" t="s">
        <v>268</v>
      </c>
      <c r="S669" s="51"/>
      <c r="T669" s="51"/>
      <c r="U669" s="51"/>
      <c r="V669" s="51"/>
      <c r="W669" s="51"/>
      <c r="X669" s="51"/>
      <c r="Y669" s="51"/>
      <c r="Z669" s="51"/>
      <c r="AA669" s="51"/>
      <c r="AB669" s="51"/>
      <c r="AC669" s="51"/>
      <c r="AD669" s="51"/>
      <c r="AE669" s="51"/>
      <c r="AF669" s="51"/>
      <c r="AG669" s="51"/>
      <c r="AH669" s="51"/>
      <c r="AI669" s="51"/>
      <c r="AJ669" s="51"/>
      <c r="AK669" s="138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139"/>
    </row>
    <row r="670" spans="2:61" ht="20.100000000000001" customHeight="1" x14ac:dyDescent="0.45">
      <c r="B670" s="133"/>
      <c r="C670" s="27"/>
      <c r="D670" s="27"/>
      <c r="E670" s="27"/>
      <c r="F670" s="27"/>
      <c r="G670" s="134"/>
      <c r="H670" s="135"/>
      <c r="I670" s="27"/>
      <c r="J670" s="140" t="s">
        <v>269</v>
      </c>
      <c r="K670" s="51"/>
      <c r="L670" s="51"/>
      <c r="M670" s="51"/>
      <c r="N670" s="51"/>
      <c r="O670" s="51"/>
      <c r="P670" s="51"/>
      <c r="Q670" s="51"/>
      <c r="R670" s="136" t="s">
        <v>270</v>
      </c>
      <c r="S670" s="51"/>
      <c r="T670" s="51"/>
      <c r="U670" s="51"/>
      <c r="V670" s="51"/>
      <c r="W670" s="51"/>
      <c r="X670" s="51"/>
      <c r="Y670" s="51"/>
      <c r="Z670" s="51"/>
      <c r="AA670" s="51"/>
      <c r="AB670" s="51"/>
      <c r="AC670" s="51"/>
      <c r="AD670" s="51"/>
      <c r="AE670" s="51"/>
      <c r="AF670" s="51"/>
      <c r="AG670" s="51"/>
      <c r="AH670" s="51"/>
      <c r="AI670" s="51"/>
      <c r="AJ670" s="51"/>
      <c r="AK670" s="138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139"/>
    </row>
    <row r="671" spans="2:61" ht="20.100000000000001" customHeight="1" x14ac:dyDescent="0.45">
      <c r="B671" s="133"/>
      <c r="C671" s="27"/>
      <c r="D671" s="27"/>
      <c r="E671" s="27"/>
      <c r="F671" s="27"/>
      <c r="G671" s="134"/>
      <c r="H671" s="135"/>
      <c r="I671" s="27"/>
      <c r="J671" s="140" t="s">
        <v>271</v>
      </c>
      <c r="K671" s="51"/>
      <c r="L671" s="51"/>
      <c r="M671" s="51"/>
      <c r="N671" s="51"/>
      <c r="O671" s="51"/>
      <c r="P671" s="51"/>
      <c r="Q671" s="51"/>
      <c r="R671" s="140" t="s">
        <v>272</v>
      </c>
      <c r="S671" s="51"/>
      <c r="T671" s="51"/>
      <c r="U671" s="51"/>
      <c r="V671" s="51"/>
      <c r="W671" s="51"/>
      <c r="X671" s="51"/>
      <c r="Y671" s="51"/>
      <c r="Z671" s="51"/>
      <c r="AA671" s="51"/>
      <c r="AB671" s="51"/>
      <c r="AC671" s="51"/>
      <c r="AD671" s="51"/>
      <c r="AE671" s="51"/>
      <c r="AF671" s="51"/>
      <c r="AG671" s="51"/>
      <c r="AH671" s="51"/>
      <c r="AI671" s="51"/>
      <c r="AJ671" s="51"/>
      <c r="AK671" s="138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139"/>
    </row>
    <row r="672" spans="2:61" ht="20.100000000000001" customHeight="1" x14ac:dyDescent="0.45">
      <c r="B672" s="133"/>
      <c r="C672" s="27"/>
      <c r="D672" s="27"/>
      <c r="E672" s="27"/>
      <c r="F672" s="27"/>
      <c r="G672" s="134"/>
      <c r="H672" s="135"/>
      <c r="I672" s="27"/>
      <c r="J672" s="140" t="s">
        <v>273</v>
      </c>
      <c r="K672" s="51"/>
      <c r="L672" s="51"/>
      <c r="M672" s="51"/>
      <c r="N672" s="51"/>
      <c r="O672" s="51"/>
      <c r="P672" s="51"/>
      <c r="Q672" s="51"/>
      <c r="R672" s="140" t="s">
        <v>274</v>
      </c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1"/>
      <c r="AF672" s="51"/>
      <c r="AG672" s="51"/>
      <c r="AH672" s="51"/>
      <c r="AI672" s="51"/>
      <c r="AJ672" s="51"/>
      <c r="AK672" s="138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139"/>
    </row>
    <row r="673" spans="2:61" ht="20.100000000000001" customHeight="1" x14ac:dyDescent="0.45">
      <c r="B673" s="133"/>
      <c r="C673" s="27"/>
      <c r="D673" s="27"/>
      <c r="E673" s="27"/>
      <c r="F673" s="27"/>
      <c r="G673" s="134"/>
      <c r="H673" s="135"/>
      <c r="I673" s="27"/>
      <c r="J673" s="140" t="s">
        <v>275</v>
      </c>
      <c r="K673" s="51"/>
      <c r="L673" s="51"/>
      <c r="M673" s="51"/>
      <c r="N673" s="51"/>
      <c r="O673" s="51"/>
      <c r="P673" s="51"/>
      <c r="Q673" s="51"/>
      <c r="R673" s="140" t="s">
        <v>276</v>
      </c>
      <c r="S673" s="51"/>
      <c r="T673" s="51"/>
      <c r="U673" s="51"/>
      <c r="V673" s="51"/>
      <c r="W673" s="51"/>
      <c r="X673" s="51"/>
      <c r="Y673" s="51"/>
      <c r="Z673" s="51"/>
      <c r="AA673" s="51"/>
      <c r="AB673" s="51"/>
      <c r="AC673" s="51"/>
      <c r="AD673" s="51"/>
      <c r="AE673" s="51"/>
      <c r="AF673" s="51"/>
      <c r="AG673" s="51"/>
      <c r="AH673" s="51"/>
      <c r="AI673" s="51"/>
      <c r="AJ673" s="51"/>
      <c r="AK673" s="138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139"/>
    </row>
    <row r="674" spans="2:61" ht="20.100000000000001" customHeight="1" x14ac:dyDescent="0.45">
      <c r="B674" s="133"/>
      <c r="C674" s="27"/>
      <c r="D674" s="27"/>
      <c r="E674" s="27"/>
      <c r="F674" s="27"/>
      <c r="G674" s="134"/>
      <c r="H674" s="135"/>
      <c r="I674" s="27"/>
      <c r="J674" s="140" t="s">
        <v>277</v>
      </c>
      <c r="K674" s="51"/>
      <c r="L674" s="51"/>
      <c r="M674" s="51"/>
      <c r="N674" s="51"/>
      <c r="O674" s="51"/>
      <c r="P674" s="51"/>
      <c r="Q674" s="51"/>
      <c r="R674" s="140" t="s">
        <v>278</v>
      </c>
      <c r="S674" s="51"/>
      <c r="T674" s="51"/>
      <c r="U674" s="51"/>
      <c r="V674" s="51"/>
      <c r="W674" s="51"/>
      <c r="X674" s="51"/>
      <c r="Y674" s="51"/>
      <c r="Z674" s="51"/>
      <c r="AA674" s="51"/>
      <c r="AB674" s="51"/>
      <c r="AC674" s="51"/>
      <c r="AD674" s="51"/>
      <c r="AE674" s="51"/>
      <c r="AF674" s="51"/>
      <c r="AG674" s="51"/>
      <c r="AH674" s="51"/>
      <c r="AI674" s="51"/>
      <c r="AJ674" s="51"/>
      <c r="AK674" s="138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139"/>
    </row>
    <row r="675" spans="2:61" ht="20.100000000000001" customHeight="1" x14ac:dyDescent="0.45">
      <c r="B675" s="133"/>
      <c r="C675" s="27"/>
      <c r="D675" s="27"/>
      <c r="E675" s="27"/>
      <c r="F675" s="27"/>
      <c r="G675" s="134"/>
      <c r="H675" s="135"/>
      <c r="I675" s="27"/>
      <c r="J675" s="140" t="s">
        <v>279</v>
      </c>
      <c r="K675" s="51"/>
      <c r="L675" s="51"/>
      <c r="M675" s="51"/>
      <c r="N675" s="51"/>
      <c r="O675" s="51"/>
      <c r="P675" s="51"/>
      <c r="Q675" s="51"/>
      <c r="R675" s="140" t="s">
        <v>280</v>
      </c>
      <c r="S675" s="51"/>
      <c r="T675" s="51"/>
      <c r="U675" s="51"/>
      <c r="V675" s="51"/>
      <c r="W675" s="51"/>
      <c r="X675" s="51"/>
      <c r="Y675" s="51"/>
      <c r="Z675" s="51"/>
      <c r="AA675" s="51"/>
      <c r="AB675" s="51"/>
      <c r="AC675" s="51"/>
      <c r="AD675" s="51"/>
      <c r="AE675" s="51"/>
      <c r="AF675" s="51"/>
      <c r="AG675" s="51"/>
      <c r="AH675" s="51"/>
      <c r="AI675" s="51"/>
      <c r="AJ675" s="51"/>
      <c r="AK675" s="138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139"/>
    </row>
    <row r="676" spans="2:61" ht="20.100000000000001" customHeight="1" x14ac:dyDescent="0.45">
      <c r="B676" s="133"/>
      <c r="C676" s="27"/>
      <c r="D676" s="27"/>
      <c r="E676" s="27"/>
      <c r="F676" s="27"/>
      <c r="G676" s="134"/>
      <c r="H676" s="135"/>
      <c r="I676" s="27"/>
      <c r="J676" s="140" t="s">
        <v>281</v>
      </c>
      <c r="K676" s="51"/>
      <c r="L676" s="51"/>
      <c r="M676" s="51"/>
      <c r="N676" s="51"/>
      <c r="O676" s="51"/>
      <c r="P676" s="51"/>
      <c r="Q676" s="51"/>
      <c r="R676" s="141" t="s">
        <v>282</v>
      </c>
      <c r="S676" s="51"/>
      <c r="T676" s="51"/>
      <c r="U676" s="51"/>
      <c r="V676" s="51"/>
      <c r="W676" s="51"/>
      <c r="X676" s="51"/>
      <c r="Y676" s="51"/>
      <c r="Z676" s="51"/>
      <c r="AA676" s="51"/>
      <c r="AB676" s="51"/>
      <c r="AC676" s="51"/>
      <c r="AD676" s="51"/>
      <c r="AE676" s="51"/>
      <c r="AF676" s="51"/>
      <c r="AG676" s="51"/>
      <c r="AH676" s="51"/>
      <c r="AI676" s="51"/>
      <c r="AJ676" s="51"/>
      <c r="AK676" s="138" t="s">
        <v>283</v>
      </c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139"/>
    </row>
    <row r="677" spans="2:61" ht="20.100000000000001" customHeight="1" x14ac:dyDescent="0.45">
      <c r="B677" s="133"/>
      <c r="C677" s="27"/>
      <c r="D677" s="27"/>
      <c r="E677" s="27"/>
      <c r="F677" s="27"/>
      <c r="G677" s="134"/>
      <c r="H677" s="135"/>
      <c r="I677" s="27"/>
      <c r="J677" s="140" t="s">
        <v>284</v>
      </c>
      <c r="K677" s="51"/>
      <c r="L677" s="51"/>
      <c r="M677" s="51"/>
      <c r="N677" s="51"/>
      <c r="O677" s="51"/>
      <c r="P677" s="51"/>
      <c r="Q677" s="51"/>
      <c r="R677" s="140" t="s">
        <v>285</v>
      </c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  <c r="AJ677" s="51"/>
      <c r="AK677" s="138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139"/>
    </row>
    <row r="678" spans="2:61" ht="20.100000000000001" customHeight="1" x14ac:dyDescent="0.45">
      <c r="B678" s="133"/>
      <c r="C678" s="27"/>
      <c r="D678" s="27"/>
      <c r="E678" s="27"/>
      <c r="F678" s="27"/>
      <c r="G678" s="134"/>
      <c r="H678" s="135"/>
      <c r="I678" s="27"/>
      <c r="J678" s="140" t="s">
        <v>286</v>
      </c>
      <c r="K678" s="51"/>
      <c r="L678" s="51"/>
      <c r="M678" s="51"/>
      <c r="N678" s="51"/>
      <c r="O678" s="51"/>
      <c r="P678" s="51"/>
      <c r="Q678" s="51"/>
      <c r="R678" s="140" t="s">
        <v>287</v>
      </c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1"/>
      <c r="AF678" s="51"/>
      <c r="AG678" s="51"/>
      <c r="AH678" s="51"/>
      <c r="AI678" s="51"/>
      <c r="AJ678" s="51"/>
      <c r="AK678" s="138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139"/>
    </row>
    <row r="679" spans="2:61" ht="20.100000000000001" customHeight="1" x14ac:dyDescent="0.45">
      <c r="B679" s="133"/>
      <c r="C679" s="27"/>
      <c r="D679" s="27"/>
      <c r="E679" s="27"/>
      <c r="F679" s="27"/>
      <c r="G679" s="134"/>
      <c r="H679" s="135"/>
      <c r="I679" s="27"/>
      <c r="J679" s="140" t="s">
        <v>288</v>
      </c>
      <c r="K679" s="51"/>
      <c r="L679" s="51"/>
      <c r="M679" s="51"/>
      <c r="N679" s="51"/>
      <c r="O679" s="51"/>
      <c r="P679" s="51"/>
      <c r="Q679" s="51"/>
      <c r="R679" s="140" t="s">
        <v>289</v>
      </c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1"/>
      <c r="AF679" s="51"/>
      <c r="AG679" s="51"/>
      <c r="AH679" s="51"/>
      <c r="AI679" s="51"/>
      <c r="AJ679" s="51"/>
      <c r="AK679" s="138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139"/>
    </row>
    <row r="680" spans="2:61" ht="20.100000000000001" customHeight="1" x14ac:dyDescent="0.45">
      <c r="B680" s="133"/>
      <c r="C680" s="27"/>
      <c r="D680" s="27"/>
      <c r="E680" s="27"/>
      <c r="F680" s="27"/>
      <c r="G680" s="134"/>
      <c r="H680" s="135"/>
      <c r="I680" s="27"/>
      <c r="J680" s="140" t="s">
        <v>290</v>
      </c>
      <c r="K680" s="51"/>
      <c r="L680" s="51"/>
      <c r="M680" s="51"/>
      <c r="N680" s="51"/>
      <c r="O680" s="51"/>
      <c r="P680" s="51"/>
      <c r="Q680" s="51"/>
      <c r="R680" s="141" t="s">
        <v>291</v>
      </c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  <c r="AJ680" s="51"/>
      <c r="AK680" s="138" t="s">
        <v>292</v>
      </c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139"/>
    </row>
    <row r="681" spans="2:61" ht="20.100000000000001" customHeight="1" x14ac:dyDescent="0.45">
      <c r="B681" s="133"/>
      <c r="C681" s="27"/>
      <c r="D681" s="27"/>
      <c r="E681" s="27"/>
      <c r="F681" s="27"/>
      <c r="G681" s="134"/>
      <c r="H681" s="135"/>
      <c r="I681" s="27"/>
      <c r="J681" s="140" t="s">
        <v>177</v>
      </c>
      <c r="K681" s="51"/>
      <c r="L681" s="51"/>
      <c r="M681" s="51"/>
      <c r="N681" s="51"/>
      <c r="O681" s="51"/>
      <c r="P681" s="51"/>
      <c r="Q681" s="51"/>
      <c r="R681" s="140" t="s">
        <v>293</v>
      </c>
      <c r="S681" s="51"/>
      <c r="T681" s="51"/>
      <c r="U681" s="51"/>
      <c r="V681" s="51"/>
      <c r="W681" s="51"/>
      <c r="X681" s="51"/>
      <c r="Y681" s="51"/>
      <c r="Z681" s="51"/>
      <c r="AA681" s="51"/>
      <c r="AB681" s="51"/>
      <c r="AC681" s="51"/>
      <c r="AD681" s="51"/>
      <c r="AE681" s="51"/>
      <c r="AF681" s="51"/>
      <c r="AG681" s="51"/>
      <c r="AH681" s="51"/>
      <c r="AI681" s="51"/>
      <c r="AJ681" s="51"/>
      <c r="AK681" s="138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139"/>
    </row>
    <row r="682" spans="2:61" ht="20.100000000000001" customHeight="1" x14ac:dyDescent="0.45">
      <c r="B682" s="133"/>
      <c r="C682" s="27"/>
      <c r="D682" s="27"/>
      <c r="E682" s="27"/>
      <c r="F682" s="27"/>
      <c r="G682" s="134"/>
      <c r="H682" s="135"/>
      <c r="I682" s="27"/>
      <c r="J682" s="140" t="s">
        <v>294</v>
      </c>
      <c r="K682" s="51"/>
      <c r="L682" s="51"/>
      <c r="M682" s="51"/>
      <c r="N682" s="51"/>
      <c r="O682" s="51"/>
      <c r="P682" s="51"/>
      <c r="Q682" s="51"/>
      <c r="R682" s="140" t="s">
        <v>295</v>
      </c>
      <c r="S682" s="51"/>
      <c r="T682" s="51"/>
      <c r="U682" s="51"/>
      <c r="V682" s="51"/>
      <c r="W682" s="51"/>
      <c r="X682" s="51"/>
      <c r="Y682" s="51"/>
      <c r="Z682" s="51"/>
      <c r="AA682" s="51"/>
      <c r="AB682" s="51"/>
      <c r="AC682" s="51"/>
      <c r="AD682" s="51"/>
      <c r="AE682" s="51"/>
      <c r="AF682" s="51"/>
      <c r="AG682" s="51"/>
      <c r="AH682" s="51"/>
      <c r="AI682" s="51"/>
      <c r="AJ682" s="51"/>
      <c r="AK682" s="138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139"/>
    </row>
    <row r="683" spans="2:61" ht="20.100000000000001" customHeight="1" x14ac:dyDescent="0.45">
      <c r="B683" s="133"/>
      <c r="C683" s="27"/>
      <c r="D683" s="27"/>
      <c r="E683" s="27"/>
      <c r="F683" s="27"/>
      <c r="G683" s="134"/>
      <c r="H683" s="135"/>
      <c r="I683" s="27"/>
      <c r="J683" s="140" t="s">
        <v>296</v>
      </c>
      <c r="K683" s="51"/>
      <c r="L683" s="51"/>
      <c r="M683" s="51"/>
      <c r="N683" s="51"/>
      <c r="O683" s="51"/>
      <c r="P683" s="51"/>
      <c r="Q683" s="51"/>
      <c r="R683" s="140" t="s">
        <v>297</v>
      </c>
      <c r="S683" s="51"/>
      <c r="T683" s="51"/>
      <c r="U683" s="51"/>
      <c r="V683" s="51"/>
      <c r="W683" s="51"/>
      <c r="X683" s="51"/>
      <c r="Y683" s="51"/>
      <c r="Z683" s="51"/>
      <c r="AA683" s="51"/>
      <c r="AB683" s="51"/>
      <c r="AC683" s="51"/>
      <c r="AD683" s="51"/>
      <c r="AE683" s="51"/>
      <c r="AF683" s="51"/>
      <c r="AG683" s="51"/>
      <c r="AH683" s="51"/>
      <c r="AI683" s="51"/>
      <c r="AJ683" s="51"/>
      <c r="AK683" s="138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139"/>
    </row>
    <row r="684" spans="2:61" ht="20.100000000000001" customHeight="1" x14ac:dyDescent="0.45">
      <c r="B684" s="133"/>
      <c r="C684" s="27"/>
      <c r="D684" s="27"/>
      <c r="E684" s="27"/>
      <c r="F684" s="27"/>
      <c r="G684" s="134"/>
      <c r="H684" s="135"/>
      <c r="I684" s="27"/>
      <c r="J684" s="140" t="s">
        <v>298</v>
      </c>
      <c r="K684" s="51"/>
      <c r="L684" s="51"/>
      <c r="M684" s="51"/>
      <c r="N684" s="51"/>
      <c r="O684" s="51"/>
      <c r="P684" s="51"/>
      <c r="Q684" s="51"/>
      <c r="R684" s="140" t="s">
        <v>299</v>
      </c>
      <c r="S684" s="51"/>
      <c r="T684" s="51"/>
      <c r="U684" s="51"/>
      <c r="V684" s="51"/>
      <c r="W684" s="51"/>
      <c r="X684" s="51"/>
      <c r="Y684" s="51"/>
      <c r="Z684" s="51"/>
      <c r="AA684" s="51"/>
      <c r="AB684" s="51"/>
      <c r="AC684" s="51"/>
      <c r="AD684" s="51"/>
      <c r="AE684" s="51"/>
      <c r="AF684" s="51"/>
      <c r="AG684" s="51"/>
      <c r="AH684" s="51"/>
      <c r="AI684" s="51"/>
      <c r="AJ684" s="51"/>
      <c r="AK684" s="138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139"/>
    </row>
    <row r="685" spans="2:61" ht="20.100000000000001" customHeight="1" x14ac:dyDescent="0.45">
      <c r="B685" s="133"/>
      <c r="C685" s="27"/>
      <c r="D685" s="27"/>
      <c r="E685" s="27"/>
      <c r="F685" s="27"/>
      <c r="G685" s="134"/>
      <c r="H685" s="135"/>
      <c r="I685" s="27"/>
      <c r="J685" s="140" t="s">
        <v>300</v>
      </c>
      <c r="K685" s="51"/>
      <c r="L685" s="51"/>
      <c r="M685" s="51"/>
      <c r="N685" s="51"/>
      <c r="O685" s="51"/>
      <c r="P685" s="51"/>
      <c r="Q685" s="51"/>
      <c r="R685" s="140" t="s">
        <v>301</v>
      </c>
      <c r="S685" s="51"/>
      <c r="T685" s="51"/>
      <c r="U685" s="51"/>
      <c r="V685" s="51"/>
      <c r="W685" s="51"/>
      <c r="X685" s="51"/>
      <c r="Y685" s="51"/>
      <c r="Z685" s="51"/>
      <c r="AA685" s="51"/>
      <c r="AB685" s="51"/>
      <c r="AC685" s="51"/>
      <c r="AD685" s="51"/>
      <c r="AE685" s="51"/>
      <c r="AF685" s="51"/>
      <c r="AG685" s="51"/>
      <c r="AH685" s="51"/>
      <c r="AI685" s="51"/>
      <c r="AJ685" s="51"/>
      <c r="AK685" s="138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139"/>
    </row>
    <row r="686" spans="2:61" ht="20.100000000000001" customHeight="1" x14ac:dyDescent="0.45">
      <c r="B686" s="133"/>
      <c r="C686" s="27"/>
      <c r="D686" s="27"/>
      <c r="E686" s="27"/>
      <c r="F686" s="27"/>
      <c r="G686" s="134"/>
      <c r="H686" s="135"/>
      <c r="I686" s="27"/>
      <c r="J686" s="140" t="s">
        <v>302</v>
      </c>
      <c r="K686" s="51"/>
      <c r="L686" s="51"/>
      <c r="M686" s="51"/>
      <c r="N686" s="51"/>
      <c r="O686" s="51"/>
      <c r="P686" s="51"/>
      <c r="Q686" s="51"/>
      <c r="R686" s="140" t="s">
        <v>303</v>
      </c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1"/>
      <c r="AF686" s="51"/>
      <c r="AG686" s="51"/>
      <c r="AH686" s="51"/>
      <c r="AI686" s="51"/>
      <c r="AJ686" s="51"/>
      <c r="AK686" s="138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139"/>
    </row>
    <row r="687" spans="2:61" ht="20.100000000000001" customHeight="1" x14ac:dyDescent="0.45">
      <c r="B687" s="133"/>
      <c r="C687" s="27"/>
      <c r="D687" s="27"/>
      <c r="E687" s="27"/>
      <c r="F687" s="27"/>
      <c r="G687" s="134"/>
      <c r="H687" s="135"/>
      <c r="I687" s="27"/>
      <c r="J687" s="140" t="s">
        <v>304</v>
      </c>
      <c r="K687" s="51"/>
      <c r="L687" s="51"/>
      <c r="M687" s="51"/>
      <c r="N687" s="51"/>
      <c r="O687" s="51"/>
      <c r="P687" s="51"/>
      <c r="Q687" s="51"/>
      <c r="R687" s="140" t="s">
        <v>305</v>
      </c>
      <c r="S687" s="51"/>
      <c r="T687" s="51"/>
      <c r="U687" s="51"/>
      <c r="V687" s="51"/>
      <c r="W687" s="51"/>
      <c r="X687" s="51"/>
      <c r="Y687" s="51"/>
      <c r="Z687" s="51"/>
      <c r="AA687" s="51"/>
      <c r="AB687" s="51"/>
      <c r="AC687" s="51"/>
      <c r="AD687" s="51"/>
      <c r="AE687" s="51"/>
      <c r="AF687" s="51"/>
      <c r="AG687" s="51"/>
      <c r="AH687" s="51"/>
      <c r="AI687" s="51"/>
      <c r="AJ687" s="51"/>
      <c r="AK687" s="138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139"/>
    </row>
    <row r="688" spans="2:61" ht="20.100000000000001" customHeight="1" x14ac:dyDescent="0.45">
      <c r="B688" s="133"/>
      <c r="C688" s="27"/>
      <c r="D688" s="27"/>
      <c r="E688" s="27"/>
      <c r="F688" s="27"/>
      <c r="G688" s="134"/>
      <c r="H688" s="135"/>
      <c r="I688" s="27"/>
      <c r="J688" s="140" t="s">
        <v>306</v>
      </c>
      <c r="K688" s="51"/>
      <c r="L688" s="51"/>
      <c r="M688" s="51"/>
      <c r="N688" s="51"/>
      <c r="O688" s="51"/>
      <c r="P688" s="51"/>
      <c r="Q688" s="51"/>
      <c r="R688" s="140" t="s">
        <v>307</v>
      </c>
      <c r="S688" s="51"/>
      <c r="T688" s="51"/>
      <c r="U688" s="51"/>
      <c r="V688" s="51"/>
      <c r="W688" s="51"/>
      <c r="X688" s="51"/>
      <c r="Y688" s="51"/>
      <c r="Z688" s="51"/>
      <c r="AA688" s="51"/>
      <c r="AB688" s="51"/>
      <c r="AC688" s="51"/>
      <c r="AD688" s="51"/>
      <c r="AE688" s="51"/>
      <c r="AF688" s="51"/>
      <c r="AG688" s="51"/>
      <c r="AH688" s="51"/>
      <c r="AI688" s="51"/>
      <c r="AJ688" s="51"/>
      <c r="AK688" s="138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139"/>
    </row>
    <row r="689" spans="2:61" ht="20.100000000000001" customHeight="1" x14ac:dyDescent="0.45">
      <c r="B689" s="133"/>
      <c r="C689" s="27"/>
      <c r="D689" s="27"/>
      <c r="E689" s="27"/>
      <c r="F689" s="27"/>
      <c r="G689" s="134"/>
      <c r="H689" s="135"/>
      <c r="I689" s="27"/>
      <c r="J689" s="140" t="s">
        <v>308</v>
      </c>
      <c r="K689" s="51"/>
      <c r="L689" s="51"/>
      <c r="M689" s="51"/>
      <c r="N689" s="51"/>
      <c r="O689" s="51"/>
      <c r="P689" s="51"/>
      <c r="Q689" s="51"/>
      <c r="R689" s="140" t="s">
        <v>309</v>
      </c>
      <c r="S689" s="51"/>
      <c r="T689" s="51"/>
      <c r="U689" s="51"/>
      <c r="V689" s="51"/>
      <c r="W689" s="51"/>
      <c r="X689" s="51"/>
      <c r="Y689" s="51"/>
      <c r="Z689" s="51"/>
      <c r="AA689" s="51"/>
      <c r="AB689" s="51"/>
      <c r="AC689" s="51"/>
      <c r="AD689" s="51"/>
      <c r="AE689" s="51"/>
      <c r="AF689" s="51"/>
      <c r="AG689" s="51"/>
      <c r="AH689" s="51"/>
      <c r="AI689" s="51"/>
      <c r="AJ689" s="51"/>
      <c r="AK689" s="138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139"/>
    </row>
    <row r="690" spans="2:61" ht="20.100000000000001" customHeight="1" x14ac:dyDescent="0.45">
      <c r="B690" s="133"/>
      <c r="C690" s="27"/>
      <c r="D690" s="27"/>
      <c r="E690" s="27"/>
      <c r="F690" s="27"/>
      <c r="G690" s="134"/>
      <c r="H690" s="135"/>
      <c r="I690" s="27"/>
      <c r="J690" s="140" t="s">
        <v>310</v>
      </c>
      <c r="K690" s="51"/>
      <c r="L690" s="51"/>
      <c r="M690" s="51"/>
      <c r="N690" s="51"/>
      <c r="O690" s="51"/>
      <c r="P690" s="51"/>
      <c r="Q690" s="51"/>
      <c r="R690" s="140" t="s">
        <v>311</v>
      </c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1"/>
      <c r="AF690" s="51"/>
      <c r="AG690" s="51"/>
      <c r="AH690" s="51"/>
      <c r="AI690" s="51"/>
      <c r="AJ690" s="51"/>
      <c r="AK690" s="138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139"/>
    </row>
    <row r="691" spans="2:61" ht="20.100000000000001" customHeight="1" x14ac:dyDescent="0.45">
      <c r="B691" s="133"/>
      <c r="C691" s="27"/>
      <c r="D691" s="27"/>
      <c r="E691" s="27"/>
      <c r="F691" s="27"/>
      <c r="G691" s="134"/>
      <c r="H691" s="140" t="s">
        <v>159</v>
      </c>
      <c r="I691" s="51"/>
      <c r="J691" s="140" t="s">
        <v>312</v>
      </c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  <c r="AB691" s="51"/>
      <c r="AC691" s="51"/>
      <c r="AD691" s="51"/>
      <c r="AE691" s="51"/>
      <c r="AF691" s="51"/>
      <c r="AG691" s="51"/>
      <c r="AH691" s="51"/>
      <c r="AI691" s="51"/>
      <c r="AJ691" s="51"/>
      <c r="AK691" s="141"/>
      <c r="AL691" s="51"/>
      <c r="AM691" s="51"/>
      <c r="AN691" s="51"/>
      <c r="AO691" s="51"/>
      <c r="AP691" s="51"/>
      <c r="AQ691" s="51"/>
      <c r="AR691" s="51"/>
      <c r="AS691" s="51"/>
      <c r="AT691" s="51"/>
      <c r="AU691" s="51"/>
      <c r="AV691" s="51"/>
      <c r="AW691" s="51"/>
      <c r="AX691" s="51"/>
      <c r="AY691" s="51"/>
      <c r="AZ691" s="51"/>
      <c r="BA691" s="51"/>
      <c r="BB691" s="51"/>
      <c r="BC691" s="51"/>
      <c r="BD691" s="51"/>
      <c r="BE691" s="51"/>
      <c r="BF691" s="51"/>
      <c r="BG691" s="51"/>
      <c r="BH691" s="51"/>
      <c r="BI691" s="142"/>
    </row>
    <row r="692" spans="2:61" ht="20.100000000000001" customHeight="1" x14ac:dyDescent="0.45">
      <c r="B692" s="133"/>
      <c r="C692" s="27"/>
      <c r="D692" s="27"/>
      <c r="E692" s="27"/>
      <c r="F692" s="27"/>
      <c r="G692" s="134"/>
      <c r="H692" s="140" t="s">
        <v>160</v>
      </c>
      <c r="I692" s="51"/>
      <c r="J692" s="140" t="s">
        <v>313</v>
      </c>
      <c r="K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  <c r="AB692" s="51"/>
      <c r="AC692" s="51"/>
      <c r="AD692" s="51"/>
      <c r="AE692" s="51"/>
      <c r="AF692" s="51"/>
      <c r="AG692" s="51"/>
      <c r="AH692" s="51"/>
      <c r="AI692" s="51"/>
      <c r="AJ692" s="51"/>
      <c r="AK692" s="141"/>
      <c r="AL692" s="51"/>
      <c r="AM692" s="51"/>
      <c r="AN692" s="51"/>
      <c r="AO692" s="51"/>
      <c r="AP692" s="51"/>
      <c r="AQ692" s="51"/>
      <c r="AR692" s="51"/>
      <c r="AS692" s="51"/>
      <c r="AT692" s="51"/>
      <c r="AU692" s="51"/>
      <c r="AV692" s="51"/>
      <c r="AW692" s="51"/>
      <c r="AX692" s="51"/>
      <c r="AY692" s="51"/>
      <c r="AZ692" s="51"/>
      <c r="BA692" s="51"/>
      <c r="BB692" s="51"/>
      <c r="BC692" s="51"/>
      <c r="BD692" s="51"/>
      <c r="BE692" s="51"/>
      <c r="BF692" s="51"/>
      <c r="BG692" s="51"/>
      <c r="BH692" s="51"/>
      <c r="BI692" s="142"/>
    </row>
    <row r="693" spans="2:61" ht="20.100000000000001" customHeight="1" x14ac:dyDescent="0.45">
      <c r="B693" s="133"/>
      <c r="C693" s="27"/>
      <c r="D693" s="27"/>
      <c r="E693" s="27"/>
      <c r="F693" s="27"/>
      <c r="G693" s="134"/>
      <c r="H693" s="135"/>
      <c r="I693" s="27"/>
      <c r="J693" s="135" t="s">
        <v>314</v>
      </c>
      <c r="K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138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139"/>
    </row>
    <row r="694" spans="2:61" ht="20.100000000000001" customHeight="1" x14ac:dyDescent="0.45">
      <c r="B694" s="133"/>
      <c r="C694" s="27"/>
      <c r="D694" s="27"/>
      <c r="E694" s="27"/>
      <c r="F694" s="27"/>
      <c r="G694" s="134"/>
      <c r="H694" s="135"/>
      <c r="I694" s="27"/>
      <c r="J694" s="135" t="s">
        <v>315</v>
      </c>
      <c r="K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138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139"/>
    </row>
    <row r="695" spans="2:61" ht="20.100000000000001" customHeight="1" x14ac:dyDescent="0.45">
      <c r="B695" s="133"/>
      <c r="C695" s="27"/>
      <c r="D695" s="27"/>
      <c r="E695" s="27"/>
      <c r="F695" s="27"/>
      <c r="G695" s="134"/>
      <c r="H695" s="135"/>
      <c r="I695" s="27"/>
      <c r="J695" s="144"/>
      <c r="K695" s="145" t="s">
        <v>316</v>
      </c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138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139"/>
    </row>
    <row r="696" spans="2:61" ht="20.100000000000001" customHeight="1" x14ac:dyDescent="0.45">
      <c r="B696" s="143"/>
      <c r="C696" s="27"/>
      <c r="D696" s="27"/>
      <c r="E696" s="27"/>
      <c r="F696" s="27"/>
      <c r="G696" s="134"/>
      <c r="H696" s="140" t="s">
        <v>161</v>
      </c>
      <c r="I696" s="51"/>
      <c r="J696" s="140" t="s">
        <v>317</v>
      </c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  <c r="AB696" s="51"/>
      <c r="AC696" s="51"/>
      <c r="AD696" s="51"/>
      <c r="AE696" s="51"/>
      <c r="AF696" s="51"/>
      <c r="AG696" s="51"/>
      <c r="AH696" s="51"/>
      <c r="AI696" s="51"/>
      <c r="AJ696" s="51"/>
      <c r="AK696" s="141"/>
      <c r="AL696" s="51"/>
      <c r="AM696" s="51"/>
      <c r="AN696" s="51"/>
      <c r="AO696" s="51"/>
      <c r="AP696" s="51"/>
      <c r="AQ696" s="51"/>
      <c r="AR696" s="51"/>
      <c r="AS696" s="51"/>
      <c r="AT696" s="51"/>
      <c r="AU696" s="51"/>
      <c r="AV696" s="51"/>
      <c r="AW696" s="51"/>
      <c r="AX696" s="51"/>
      <c r="AY696" s="51"/>
      <c r="AZ696" s="51"/>
      <c r="BA696" s="51"/>
      <c r="BB696" s="51"/>
      <c r="BC696" s="51"/>
      <c r="BD696" s="51"/>
      <c r="BE696" s="51"/>
      <c r="BF696" s="51"/>
      <c r="BG696" s="51"/>
      <c r="BH696" s="51"/>
      <c r="BI696" s="142"/>
    </row>
    <row r="697" spans="2:61" ht="20.100000000000001" customHeight="1" x14ac:dyDescent="0.45">
      <c r="B697" s="143"/>
      <c r="C697" s="27"/>
      <c r="D697" s="27"/>
      <c r="E697" s="27"/>
      <c r="F697" s="27"/>
      <c r="G697" s="134"/>
      <c r="H697" s="135"/>
      <c r="I697" s="27"/>
      <c r="J697" s="135" t="s">
        <v>337</v>
      </c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138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139"/>
    </row>
    <row r="698" spans="2:61" ht="20.100000000000001" customHeight="1" x14ac:dyDescent="0.45">
      <c r="B698" s="143"/>
      <c r="C698" s="27"/>
      <c r="D698" s="27"/>
      <c r="E698" s="27"/>
      <c r="F698" s="27"/>
      <c r="G698" s="134"/>
      <c r="H698" s="135"/>
      <c r="I698" s="27"/>
      <c r="J698" s="135"/>
      <c r="K698" s="27" t="s">
        <v>338</v>
      </c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138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139"/>
    </row>
    <row r="699" spans="2:61" ht="20.100000000000001" customHeight="1" x14ac:dyDescent="0.45">
      <c r="B699" s="143"/>
      <c r="C699" s="27"/>
      <c r="D699" s="27"/>
      <c r="E699" s="27"/>
      <c r="F699" s="27"/>
      <c r="G699" s="134"/>
      <c r="H699" s="135"/>
      <c r="I699" s="27"/>
      <c r="J699" s="135" t="s">
        <v>322</v>
      </c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138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139"/>
    </row>
    <row r="700" spans="2:61" ht="20.100000000000001" customHeight="1" x14ac:dyDescent="0.45">
      <c r="B700" s="143"/>
      <c r="C700" s="27"/>
      <c r="D700" s="27"/>
      <c r="E700" s="27"/>
      <c r="F700" s="27"/>
      <c r="G700" s="134"/>
      <c r="H700" s="135"/>
      <c r="I700" s="27"/>
      <c r="J700" s="135"/>
      <c r="K700" s="27" t="s">
        <v>771</v>
      </c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138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139"/>
    </row>
    <row r="701" spans="2:61" ht="20.100000000000001" customHeight="1" thickBot="1" x14ac:dyDescent="0.5">
      <c r="B701" s="143"/>
      <c r="C701" s="27"/>
      <c r="D701" s="27"/>
      <c r="E701" s="27"/>
      <c r="F701" s="27"/>
      <c r="G701" s="134"/>
      <c r="H701" s="135"/>
      <c r="I701" s="27"/>
      <c r="J701" s="135"/>
      <c r="K701" s="27" t="s">
        <v>324</v>
      </c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138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139"/>
    </row>
    <row r="702" spans="2:61" ht="20.100000000000001" customHeight="1" x14ac:dyDescent="0.45">
      <c r="B702" s="124" t="s">
        <v>771</v>
      </c>
      <c r="C702" s="125"/>
      <c r="D702" s="125"/>
      <c r="E702" s="125"/>
      <c r="F702" s="125"/>
      <c r="G702" s="126"/>
      <c r="H702" s="127" t="s">
        <v>158</v>
      </c>
      <c r="I702" s="125"/>
      <c r="J702" s="128" t="s">
        <v>275</v>
      </c>
      <c r="K702" s="129"/>
      <c r="L702" s="129"/>
      <c r="M702" s="129"/>
      <c r="N702" s="129"/>
      <c r="O702" s="129"/>
      <c r="P702" s="129"/>
      <c r="Q702" s="130"/>
      <c r="R702" s="129" t="s">
        <v>327</v>
      </c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30"/>
      <c r="AK702" s="131"/>
      <c r="AL702" s="125"/>
      <c r="AM702" s="125"/>
      <c r="AN702" s="125"/>
      <c r="AO702" s="125"/>
      <c r="AP702" s="125"/>
      <c r="AQ702" s="125"/>
      <c r="AR702" s="125"/>
      <c r="AS702" s="125"/>
      <c r="AT702" s="125"/>
      <c r="AU702" s="125"/>
      <c r="AV702" s="125"/>
      <c r="AW702" s="125"/>
      <c r="AX702" s="125"/>
      <c r="AY702" s="125"/>
      <c r="AZ702" s="125"/>
      <c r="BA702" s="125"/>
      <c r="BB702" s="125"/>
      <c r="BC702" s="125"/>
      <c r="BD702" s="125"/>
      <c r="BE702" s="125"/>
      <c r="BF702" s="125"/>
      <c r="BG702" s="125"/>
      <c r="BH702" s="125"/>
      <c r="BI702" s="132"/>
    </row>
    <row r="703" spans="2:61" ht="20.100000000000001" customHeight="1" x14ac:dyDescent="0.45">
      <c r="B703" s="133"/>
      <c r="C703" s="27"/>
      <c r="D703" s="27"/>
      <c r="E703" s="27"/>
      <c r="F703" s="27"/>
      <c r="G703" s="134"/>
      <c r="H703" s="140" t="s">
        <v>159</v>
      </c>
      <c r="I703" s="51"/>
      <c r="J703" s="140" t="s">
        <v>328</v>
      </c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  <c r="AB703" s="51"/>
      <c r="AC703" s="51"/>
      <c r="AD703" s="51"/>
      <c r="AE703" s="51"/>
      <c r="AF703" s="51"/>
      <c r="AG703" s="51"/>
      <c r="AH703" s="51"/>
      <c r="AI703" s="51"/>
      <c r="AJ703" s="51"/>
      <c r="AK703" s="141"/>
      <c r="AL703" s="51"/>
      <c r="AM703" s="51"/>
      <c r="AN703" s="51"/>
      <c r="AO703" s="51"/>
      <c r="AP703" s="51"/>
      <c r="AQ703" s="51"/>
      <c r="AR703" s="51"/>
      <c r="AS703" s="51"/>
      <c r="AT703" s="51"/>
      <c r="AU703" s="51"/>
      <c r="AV703" s="51"/>
      <c r="AW703" s="51"/>
      <c r="AX703" s="51"/>
      <c r="AY703" s="51"/>
      <c r="AZ703" s="51"/>
      <c r="BA703" s="51"/>
      <c r="BB703" s="51"/>
      <c r="BC703" s="51"/>
      <c r="BD703" s="51"/>
      <c r="BE703" s="51"/>
      <c r="BF703" s="51"/>
      <c r="BG703" s="51"/>
      <c r="BH703" s="51"/>
      <c r="BI703" s="142"/>
    </row>
    <row r="704" spans="2:61" ht="20.100000000000001" customHeight="1" x14ac:dyDescent="0.45">
      <c r="B704" s="143"/>
      <c r="C704" s="27"/>
      <c r="D704" s="27"/>
      <c r="E704" s="27"/>
      <c r="F704" s="27"/>
      <c r="G704" s="134"/>
      <c r="H704" s="140" t="s">
        <v>160</v>
      </c>
      <c r="I704" s="51"/>
      <c r="J704" s="140" t="s">
        <v>329</v>
      </c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  <c r="AB704" s="51"/>
      <c r="AC704" s="51"/>
      <c r="AD704" s="51"/>
      <c r="AE704" s="51"/>
      <c r="AF704" s="51"/>
      <c r="AG704" s="51"/>
      <c r="AH704" s="51"/>
      <c r="AI704" s="51"/>
      <c r="AJ704" s="51"/>
      <c r="AK704" s="141"/>
      <c r="AL704" s="51"/>
      <c r="AM704" s="51"/>
      <c r="AN704" s="51"/>
      <c r="AO704" s="51"/>
      <c r="AP704" s="51"/>
      <c r="AQ704" s="51"/>
      <c r="AR704" s="51"/>
      <c r="AS704" s="51"/>
      <c r="AT704" s="51"/>
      <c r="AU704" s="51"/>
      <c r="AV704" s="51"/>
      <c r="AW704" s="51"/>
      <c r="AX704" s="51"/>
      <c r="AY704" s="51"/>
      <c r="AZ704" s="51"/>
      <c r="BA704" s="51"/>
      <c r="BB704" s="51"/>
      <c r="BC704" s="51"/>
      <c r="BD704" s="51"/>
      <c r="BE704" s="51"/>
      <c r="BF704" s="51"/>
      <c r="BG704" s="51"/>
      <c r="BH704" s="51"/>
      <c r="BI704" s="142"/>
    </row>
    <row r="705" spans="2:61" ht="20.100000000000001" customHeight="1" x14ac:dyDescent="0.45">
      <c r="B705" s="143"/>
      <c r="C705" s="27"/>
      <c r="D705" s="27"/>
      <c r="E705" s="27"/>
      <c r="F705" s="27"/>
      <c r="G705" s="134"/>
      <c r="H705" s="140" t="s">
        <v>161</v>
      </c>
      <c r="I705" s="51"/>
      <c r="J705" s="140" t="s">
        <v>330</v>
      </c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  <c r="AB705" s="51"/>
      <c r="AC705" s="51"/>
      <c r="AD705" s="51"/>
      <c r="AE705" s="51"/>
      <c r="AF705" s="51"/>
      <c r="AG705" s="51"/>
      <c r="AH705" s="51"/>
      <c r="AI705" s="51"/>
      <c r="AJ705" s="51"/>
      <c r="AK705" s="141"/>
      <c r="AL705" s="51"/>
      <c r="AM705" s="51"/>
      <c r="AN705" s="51"/>
      <c r="AO705" s="51"/>
      <c r="AP705" s="51"/>
      <c r="AQ705" s="51"/>
      <c r="AR705" s="51"/>
      <c r="AS705" s="51"/>
      <c r="AT705" s="51"/>
      <c r="AU705" s="51"/>
      <c r="AV705" s="51"/>
      <c r="AW705" s="51"/>
      <c r="AX705" s="51"/>
      <c r="AY705" s="51"/>
      <c r="AZ705" s="51"/>
      <c r="BA705" s="51"/>
      <c r="BB705" s="51"/>
      <c r="BC705" s="51"/>
      <c r="BD705" s="51"/>
      <c r="BE705" s="51"/>
      <c r="BF705" s="51"/>
      <c r="BG705" s="51"/>
      <c r="BH705" s="51"/>
      <c r="BI705" s="142"/>
    </row>
    <row r="706" spans="2:61" ht="20.100000000000001" customHeight="1" x14ac:dyDescent="0.45">
      <c r="B706" s="143"/>
      <c r="C706" s="27"/>
      <c r="D706" s="27"/>
      <c r="E706" s="27"/>
      <c r="F706" s="27"/>
      <c r="G706" s="134"/>
      <c r="H706" s="135"/>
      <c r="I706" s="27"/>
      <c r="J706" s="135"/>
      <c r="K706" s="27" t="s">
        <v>331</v>
      </c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138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139"/>
    </row>
    <row r="707" spans="2:61" ht="20.100000000000001" customHeight="1" x14ac:dyDescent="0.45">
      <c r="B707" s="143"/>
      <c r="C707" s="27"/>
      <c r="D707" s="27"/>
      <c r="E707" s="27"/>
      <c r="F707" s="27"/>
      <c r="G707" s="134"/>
      <c r="H707" s="135"/>
      <c r="I707" s="27"/>
      <c r="J707" s="135"/>
      <c r="K707" s="27" t="s">
        <v>332</v>
      </c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138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139"/>
    </row>
    <row r="708" spans="2:61" ht="20.100000000000001" customHeight="1" x14ac:dyDescent="0.45">
      <c r="B708" s="143"/>
      <c r="C708" s="27"/>
      <c r="D708" s="27"/>
      <c r="E708" s="27"/>
      <c r="F708" s="27"/>
      <c r="G708" s="134"/>
      <c r="H708" s="135"/>
      <c r="I708" s="27"/>
      <c r="J708" s="135"/>
      <c r="K708" s="27" t="s">
        <v>342</v>
      </c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138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139"/>
    </row>
    <row r="709" spans="2:61" ht="20.100000000000001" customHeight="1" thickBot="1" x14ac:dyDescent="0.5">
      <c r="B709" s="143"/>
      <c r="C709" s="27"/>
      <c r="D709" s="27"/>
      <c r="E709" s="27"/>
      <c r="F709" s="27"/>
      <c r="G709" s="134"/>
      <c r="H709" s="140" t="s">
        <v>334</v>
      </c>
      <c r="I709" s="51"/>
      <c r="J709" s="140" t="s">
        <v>343</v>
      </c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  <c r="AB709" s="51"/>
      <c r="AC709" s="51"/>
      <c r="AD709" s="51"/>
      <c r="AE709" s="51"/>
      <c r="AF709" s="51"/>
      <c r="AG709" s="51"/>
      <c r="AH709" s="51"/>
      <c r="AI709" s="51"/>
      <c r="AJ709" s="51"/>
      <c r="AK709" s="141"/>
      <c r="AL709" s="51"/>
      <c r="AM709" s="51"/>
      <c r="AN709" s="51"/>
      <c r="AO709" s="51"/>
      <c r="AP709" s="51"/>
      <c r="AQ709" s="51"/>
      <c r="AR709" s="51"/>
      <c r="AS709" s="51"/>
      <c r="AT709" s="51"/>
      <c r="AU709" s="51"/>
      <c r="AV709" s="51"/>
      <c r="AW709" s="51"/>
      <c r="AX709" s="51"/>
      <c r="AY709" s="51"/>
      <c r="AZ709" s="51"/>
      <c r="BA709" s="51"/>
      <c r="BB709" s="51"/>
      <c r="BC709" s="51"/>
      <c r="BD709" s="51"/>
      <c r="BE709" s="51"/>
      <c r="BF709" s="51"/>
      <c r="BG709" s="51"/>
      <c r="BH709" s="51"/>
      <c r="BI709" s="142"/>
    </row>
    <row r="710" spans="2:61" ht="20.100000000000001" customHeight="1" x14ac:dyDescent="0.45">
      <c r="B710" s="124" t="s">
        <v>766</v>
      </c>
      <c r="C710" s="125"/>
      <c r="D710" s="125"/>
      <c r="E710" s="125"/>
      <c r="F710" s="125"/>
      <c r="G710" s="126"/>
      <c r="H710" s="127" t="s">
        <v>158</v>
      </c>
      <c r="I710" s="125"/>
      <c r="J710" s="128" t="s">
        <v>241</v>
      </c>
      <c r="K710" s="129"/>
      <c r="L710" s="129"/>
      <c r="M710" s="129"/>
      <c r="N710" s="129"/>
      <c r="O710" s="129"/>
      <c r="P710" s="129"/>
      <c r="Q710" s="130"/>
      <c r="R710" s="129">
        <v>2</v>
      </c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30"/>
      <c r="AK710" s="131" t="s">
        <v>346</v>
      </c>
      <c r="AL710" s="125"/>
      <c r="AM710" s="125"/>
      <c r="AN710" s="125"/>
      <c r="AO710" s="125"/>
      <c r="AP710" s="125"/>
      <c r="AQ710" s="125"/>
      <c r="AR710" s="125"/>
      <c r="AS710" s="125"/>
      <c r="AT710" s="125"/>
      <c r="AU710" s="125"/>
      <c r="AV710" s="125"/>
      <c r="AW710" s="125"/>
      <c r="AX710" s="125"/>
      <c r="AY710" s="125"/>
      <c r="AZ710" s="125"/>
      <c r="BA710" s="125"/>
      <c r="BB710" s="125"/>
      <c r="BC710" s="125"/>
      <c r="BD710" s="125"/>
      <c r="BE710" s="125"/>
      <c r="BF710" s="125"/>
      <c r="BG710" s="125"/>
      <c r="BH710" s="125"/>
      <c r="BI710" s="132"/>
    </row>
    <row r="711" spans="2:61" ht="20.100000000000001" customHeight="1" x14ac:dyDescent="0.45">
      <c r="B711" s="133"/>
      <c r="C711" s="27"/>
      <c r="D711" s="27"/>
      <c r="E711" s="27"/>
      <c r="F711" s="27"/>
      <c r="G711" s="134"/>
      <c r="H711" s="135"/>
      <c r="I711" s="27"/>
      <c r="J711" s="144" t="s">
        <v>163</v>
      </c>
      <c r="K711" s="145"/>
      <c r="L711" s="145"/>
      <c r="M711" s="145"/>
      <c r="N711" s="145"/>
      <c r="O711" s="145"/>
      <c r="P711" s="145"/>
      <c r="Q711" s="156"/>
      <c r="R711" s="145" t="s">
        <v>164</v>
      </c>
      <c r="S711" s="145"/>
      <c r="T711" s="145"/>
      <c r="U711" s="145"/>
      <c r="V711" s="145"/>
      <c r="W711" s="145"/>
      <c r="X711" s="145"/>
      <c r="Y711" s="145"/>
      <c r="Z711" s="145"/>
      <c r="AA711" s="145"/>
      <c r="AB711" s="145"/>
      <c r="AC711" s="145"/>
      <c r="AD711" s="145"/>
      <c r="AE711" s="145"/>
      <c r="AF711" s="145"/>
      <c r="AG711" s="145"/>
      <c r="AH711" s="145"/>
      <c r="AI711" s="145"/>
      <c r="AJ711" s="156"/>
      <c r="AK711" s="138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139"/>
    </row>
    <row r="712" spans="2:61" ht="20.100000000000001" customHeight="1" x14ac:dyDescent="0.45">
      <c r="B712" s="133"/>
      <c r="C712" s="27"/>
      <c r="D712" s="27"/>
      <c r="E712" s="27"/>
      <c r="F712" s="27"/>
      <c r="G712" s="134"/>
      <c r="H712" s="135"/>
      <c r="I712" s="27"/>
      <c r="J712" s="136" t="s">
        <v>244</v>
      </c>
      <c r="K712" s="48"/>
      <c r="L712" s="48"/>
      <c r="M712" s="48"/>
      <c r="N712" s="48"/>
      <c r="O712" s="48"/>
      <c r="P712" s="48"/>
      <c r="Q712" s="137"/>
      <c r="R712" s="157" t="s">
        <v>344</v>
      </c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137"/>
      <c r="AK712" s="138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139"/>
    </row>
    <row r="713" spans="2:61" ht="20.100000000000001" customHeight="1" x14ac:dyDescent="0.45">
      <c r="B713" s="133"/>
      <c r="C713" s="27"/>
      <c r="D713" s="27"/>
      <c r="E713" s="27"/>
      <c r="F713" s="27"/>
      <c r="G713" s="134"/>
      <c r="H713" s="135"/>
      <c r="I713" s="27"/>
      <c r="J713" s="140" t="s">
        <v>247</v>
      </c>
      <c r="K713" s="51"/>
      <c r="L713" s="51"/>
      <c r="M713" s="51"/>
      <c r="N713" s="51"/>
      <c r="O713" s="51"/>
      <c r="P713" s="51"/>
      <c r="Q713" s="51"/>
      <c r="R713" s="141" t="s">
        <v>345</v>
      </c>
      <c r="S713" s="51"/>
      <c r="T713" s="51"/>
      <c r="U713" s="51"/>
      <c r="V713" s="51"/>
      <c r="W713" s="51"/>
      <c r="X713" s="51"/>
      <c r="Y713" s="51"/>
      <c r="Z713" s="51"/>
      <c r="AA713" s="51"/>
      <c r="AB713" s="51"/>
      <c r="AC713" s="51"/>
      <c r="AD713" s="51"/>
      <c r="AE713" s="51"/>
      <c r="AF713" s="51"/>
      <c r="AG713" s="51"/>
      <c r="AH713" s="51"/>
      <c r="AI713" s="51"/>
      <c r="AJ713" s="51"/>
      <c r="AK713" s="138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139"/>
    </row>
    <row r="714" spans="2:61" ht="20.100000000000001" customHeight="1" x14ac:dyDescent="0.45">
      <c r="B714" s="133"/>
      <c r="C714" s="27"/>
      <c r="D714" s="27"/>
      <c r="E714" s="27"/>
      <c r="F714" s="27"/>
      <c r="G714" s="134"/>
      <c r="H714" s="135"/>
      <c r="I714" s="27"/>
      <c r="J714" s="140" t="s">
        <v>249</v>
      </c>
      <c r="K714" s="51"/>
      <c r="L714" s="51"/>
      <c r="M714" s="51"/>
      <c r="N714" s="51"/>
      <c r="O714" s="51"/>
      <c r="P714" s="51"/>
      <c r="Q714" s="51"/>
      <c r="R714" s="140" t="s">
        <v>250</v>
      </c>
      <c r="S714" s="51"/>
      <c r="T714" s="51"/>
      <c r="U714" s="51"/>
      <c r="V714" s="51"/>
      <c r="W714" s="51"/>
      <c r="X714" s="51"/>
      <c r="Y714" s="51"/>
      <c r="Z714" s="51"/>
      <c r="AA714" s="51"/>
      <c r="AB714" s="51"/>
      <c r="AC714" s="51"/>
      <c r="AD714" s="51"/>
      <c r="AE714" s="51"/>
      <c r="AF714" s="51"/>
      <c r="AG714" s="51"/>
      <c r="AH714" s="51"/>
      <c r="AI714" s="51"/>
      <c r="AJ714" s="51"/>
      <c r="AK714" s="138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139"/>
    </row>
    <row r="715" spans="2:61" ht="20.399999999999999" customHeight="1" x14ac:dyDescent="0.45">
      <c r="B715" s="133"/>
      <c r="C715" s="27"/>
      <c r="D715" s="27"/>
      <c r="E715" s="27"/>
      <c r="F715" s="27"/>
      <c r="G715" s="134"/>
      <c r="H715" s="135"/>
      <c r="I715" s="27"/>
      <c r="J715" s="140" t="s">
        <v>251</v>
      </c>
      <c r="K715" s="51"/>
      <c r="L715" s="51"/>
      <c r="M715" s="51"/>
      <c r="N715" s="51"/>
      <c r="O715" s="51"/>
      <c r="P715" s="51"/>
      <c r="Q715" s="51"/>
      <c r="R715" s="140" t="s">
        <v>252</v>
      </c>
      <c r="S715" s="51"/>
      <c r="T715" s="51"/>
      <c r="U715" s="51"/>
      <c r="V715" s="51"/>
      <c r="W715" s="51"/>
      <c r="X715" s="51"/>
      <c r="Y715" s="51"/>
      <c r="Z715" s="51"/>
      <c r="AA715" s="51"/>
      <c r="AB715" s="51"/>
      <c r="AC715" s="51"/>
      <c r="AD715" s="51"/>
      <c r="AE715" s="51"/>
      <c r="AF715" s="51"/>
      <c r="AG715" s="51"/>
      <c r="AH715" s="51"/>
      <c r="AI715" s="51"/>
      <c r="AJ715" s="51"/>
      <c r="AK715" s="138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139"/>
    </row>
    <row r="716" spans="2:61" ht="20.399999999999999" customHeight="1" x14ac:dyDescent="0.45">
      <c r="B716" s="133"/>
      <c r="C716" s="27"/>
      <c r="D716" s="27"/>
      <c r="E716" s="27"/>
      <c r="F716" s="27"/>
      <c r="G716" s="134"/>
      <c r="H716" s="135"/>
      <c r="I716" s="27"/>
      <c r="J716" s="140" t="s">
        <v>253</v>
      </c>
      <c r="K716" s="51"/>
      <c r="L716" s="51"/>
      <c r="M716" s="51"/>
      <c r="N716" s="51"/>
      <c r="O716" s="51"/>
      <c r="P716" s="51"/>
      <c r="Q716" s="51"/>
      <c r="R716" s="140" t="s">
        <v>254</v>
      </c>
      <c r="S716" s="51"/>
      <c r="T716" s="51"/>
      <c r="U716" s="51"/>
      <c r="V716" s="51"/>
      <c r="W716" s="51"/>
      <c r="X716" s="51"/>
      <c r="Y716" s="51"/>
      <c r="Z716" s="51"/>
      <c r="AA716" s="51"/>
      <c r="AB716" s="51"/>
      <c r="AC716" s="51"/>
      <c r="AD716" s="51"/>
      <c r="AE716" s="51"/>
      <c r="AF716" s="51"/>
      <c r="AG716" s="51"/>
      <c r="AH716" s="51"/>
      <c r="AI716" s="51"/>
      <c r="AJ716" s="51"/>
      <c r="AK716" s="138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139"/>
    </row>
    <row r="717" spans="2:61" ht="20.399999999999999" customHeight="1" x14ac:dyDescent="0.45">
      <c r="B717" s="133"/>
      <c r="C717" s="27"/>
      <c r="D717" s="27"/>
      <c r="E717" s="27"/>
      <c r="F717" s="27"/>
      <c r="G717" s="134"/>
      <c r="H717" s="135"/>
      <c r="I717" s="27"/>
      <c r="J717" s="140" t="s">
        <v>255</v>
      </c>
      <c r="K717" s="51"/>
      <c r="L717" s="51"/>
      <c r="M717" s="51"/>
      <c r="N717" s="51"/>
      <c r="O717" s="51"/>
      <c r="P717" s="51"/>
      <c r="Q717" s="51"/>
      <c r="R717" s="140" t="s">
        <v>256</v>
      </c>
      <c r="S717" s="51"/>
      <c r="T717" s="51"/>
      <c r="U717" s="51"/>
      <c r="V717" s="51"/>
      <c r="W717" s="51"/>
      <c r="X717" s="51"/>
      <c r="Y717" s="51"/>
      <c r="Z717" s="51"/>
      <c r="AA717" s="51"/>
      <c r="AB717" s="51"/>
      <c r="AC717" s="51"/>
      <c r="AD717" s="51"/>
      <c r="AE717" s="51"/>
      <c r="AF717" s="51"/>
      <c r="AG717" s="51"/>
      <c r="AH717" s="51"/>
      <c r="AI717" s="51"/>
      <c r="AJ717" s="51"/>
      <c r="AK717" s="138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139"/>
    </row>
    <row r="718" spans="2:61" ht="20.399999999999999" customHeight="1" x14ac:dyDescent="0.45">
      <c r="B718" s="133"/>
      <c r="C718" s="27"/>
      <c r="D718" s="27"/>
      <c r="E718" s="27"/>
      <c r="F718" s="27"/>
      <c r="G718" s="134"/>
      <c r="H718" s="135"/>
      <c r="I718" s="27"/>
      <c r="J718" s="140" t="s">
        <v>257</v>
      </c>
      <c r="K718" s="51"/>
      <c r="L718" s="51"/>
      <c r="M718" s="51"/>
      <c r="N718" s="51"/>
      <c r="O718" s="51"/>
      <c r="P718" s="51"/>
      <c r="Q718" s="51"/>
      <c r="R718" s="140" t="s">
        <v>258</v>
      </c>
      <c r="S718" s="51"/>
      <c r="T718" s="51"/>
      <c r="U718" s="51"/>
      <c r="V718" s="51"/>
      <c r="W718" s="51"/>
      <c r="X718" s="51"/>
      <c r="Y718" s="51"/>
      <c r="Z718" s="51"/>
      <c r="AA718" s="51"/>
      <c r="AB718" s="51"/>
      <c r="AC718" s="51"/>
      <c r="AD718" s="51"/>
      <c r="AE718" s="51"/>
      <c r="AF718" s="51"/>
      <c r="AG718" s="51"/>
      <c r="AH718" s="51"/>
      <c r="AI718" s="51"/>
      <c r="AJ718" s="51"/>
      <c r="AK718" s="138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139"/>
    </row>
    <row r="719" spans="2:61" ht="20.399999999999999" customHeight="1" x14ac:dyDescent="0.45">
      <c r="B719" s="133"/>
      <c r="C719" s="27"/>
      <c r="D719" s="27"/>
      <c r="E719" s="27"/>
      <c r="F719" s="27"/>
      <c r="G719" s="134"/>
      <c r="H719" s="135"/>
      <c r="I719" s="27"/>
      <c r="J719" s="140" t="s">
        <v>259</v>
      </c>
      <c r="K719" s="51"/>
      <c r="L719" s="51"/>
      <c r="M719" s="51"/>
      <c r="N719" s="51"/>
      <c r="O719" s="51"/>
      <c r="P719" s="51"/>
      <c r="Q719" s="51"/>
      <c r="R719" s="140" t="s">
        <v>260</v>
      </c>
      <c r="S719" s="51"/>
      <c r="T719" s="51"/>
      <c r="U719" s="51"/>
      <c r="V719" s="51"/>
      <c r="W719" s="51"/>
      <c r="X719" s="51"/>
      <c r="Y719" s="51"/>
      <c r="Z719" s="51"/>
      <c r="AA719" s="51"/>
      <c r="AB719" s="51"/>
      <c r="AC719" s="51"/>
      <c r="AD719" s="51"/>
      <c r="AE719" s="51"/>
      <c r="AF719" s="51"/>
      <c r="AG719" s="51"/>
      <c r="AH719" s="51"/>
      <c r="AI719" s="51"/>
      <c r="AJ719" s="51"/>
      <c r="AK719" s="138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139"/>
    </row>
    <row r="720" spans="2:61" ht="20.399999999999999" customHeight="1" x14ac:dyDescent="0.45">
      <c r="B720" s="133"/>
      <c r="C720" s="27"/>
      <c r="D720" s="27"/>
      <c r="E720" s="27"/>
      <c r="F720" s="27"/>
      <c r="G720" s="134"/>
      <c r="H720" s="135"/>
      <c r="I720" s="27"/>
      <c r="J720" s="140" t="s">
        <v>261</v>
      </c>
      <c r="K720" s="51"/>
      <c r="L720" s="51"/>
      <c r="M720" s="51"/>
      <c r="N720" s="51"/>
      <c r="O720" s="51"/>
      <c r="P720" s="51"/>
      <c r="Q720" s="51"/>
      <c r="R720" s="140" t="s">
        <v>262</v>
      </c>
      <c r="S720" s="51"/>
      <c r="T720" s="51"/>
      <c r="U720" s="51"/>
      <c r="V720" s="51"/>
      <c r="W720" s="51"/>
      <c r="X720" s="51"/>
      <c r="Y720" s="51"/>
      <c r="Z720" s="51"/>
      <c r="AA720" s="51"/>
      <c r="AB720" s="51"/>
      <c r="AC720" s="51"/>
      <c r="AD720" s="51"/>
      <c r="AE720" s="51"/>
      <c r="AF720" s="51"/>
      <c r="AG720" s="51"/>
      <c r="AH720" s="51"/>
      <c r="AI720" s="51"/>
      <c r="AJ720" s="51"/>
      <c r="AK720" s="138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139"/>
    </row>
    <row r="721" spans="2:61" ht="20.399999999999999" customHeight="1" x14ac:dyDescent="0.45">
      <c r="B721" s="133"/>
      <c r="C721" s="27"/>
      <c r="D721" s="27"/>
      <c r="E721" s="27"/>
      <c r="F721" s="27"/>
      <c r="G721" s="134"/>
      <c r="H721" s="135"/>
      <c r="I721" s="27"/>
      <c r="J721" s="140" t="s">
        <v>263</v>
      </c>
      <c r="K721" s="51"/>
      <c r="L721" s="51"/>
      <c r="M721" s="51"/>
      <c r="N721" s="51"/>
      <c r="O721" s="51"/>
      <c r="P721" s="51"/>
      <c r="Q721" s="51"/>
      <c r="R721" s="140" t="s">
        <v>264</v>
      </c>
      <c r="S721" s="51"/>
      <c r="T721" s="51"/>
      <c r="U721" s="51"/>
      <c r="V721" s="51"/>
      <c r="W721" s="51"/>
      <c r="X721" s="51"/>
      <c r="Y721" s="51"/>
      <c r="Z721" s="51"/>
      <c r="AA721" s="51"/>
      <c r="AB721" s="51"/>
      <c r="AC721" s="51"/>
      <c r="AD721" s="51"/>
      <c r="AE721" s="51"/>
      <c r="AF721" s="51"/>
      <c r="AG721" s="51"/>
      <c r="AH721" s="51"/>
      <c r="AI721" s="51"/>
      <c r="AJ721" s="51"/>
      <c r="AK721" s="138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139"/>
    </row>
    <row r="722" spans="2:61" ht="20.399999999999999" customHeight="1" x14ac:dyDescent="0.45">
      <c r="B722" s="133"/>
      <c r="C722" s="27"/>
      <c r="D722" s="27"/>
      <c r="E722" s="27"/>
      <c r="F722" s="27"/>
      <c r="G722" s="134"/>
      <c r="H722" s="135"/>
      <c r="I722" s="27"/>
      <c r="J722" s="140" t="s">
        <v>265</v>
      </c>
      <c r="K722" s="51"/>
      <c r="L722" s="51"/>
      <c r="M722" s="51"/>
      <c r="N722" s="51"/>
      <c r="O722" s="51"/>
      <c r="P722" s="51"/>
      <c r="Q722" s="51"/>
      <c r="R722" s="140" t="s">
        <v>266</v>
      </c>
      <c r="S722" s="51"/>
      <c r="T722" s="51"/>
      <c r="U722" s="51"/>
      <c r="V722" s="51"/>
      <c r="W722" s="51"/>
      <c r="X722" s="51"/>
      <c r="Y722" s="51"/>
      <c r="Z722" s="51"/>
      <c r="AA722" s="51"/>
      <c r="AB722" s="51"/>
      <c r="AC722" s="51"/>
      <c r="AD722" s="51"/>
      <c r="AE722" s="51"/>
      <c r="AF722" s="51"/>
      <c r="AG722" s="51"/>
      <c r="AH722" s="51"/>
      <c r="AI722" s="51"/>
      <c r="AJ722" s="51"/>
      <c r="AK722" s="138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139"/>
    </row>
    <row r="723" spans="2:61" ht="20.100000000000001" customHeight="1" x14ac:dyDescent="0.45">
      <c r="B723" s="133"/>
      <c r="C723" s="27"/>
      <c r="D723" s="27"/>
      <c r="E723" s="27"/>
      <c r="F723" s="27"/>
      <c r="G723" s="134"/>
      <c r="H723" s="135"/>
      <c r="I723" s="27"/>
      <c r="J723" s="140" t="s">
        <v>267</v>
      </c>
      <c r="K723" s="51"/>
      <c r="L723" s="51"/>
      <c r="M723" s="51"/>
      <c r="N723" s="51"/>
      <c r="O723" s="51"/>
      <c r="P723" s="51"/>
      <c r="Q723" s="51"/>
      <c r="R723" s="140" t="s">
        <v>268</v>
      </c>
      <c r="S723" s="51"/>
      <c r="T723" s="51"/>
      <c r="U723" s="51"/>
      <c r="V723" s="51"/>
      <c r="W723" s="51"/>
      <c r="X723" s="51"/>
      <c r="Y723" s="51"/>
      <c r="Z723" s="51"/>
      <c r="AA723" s="51"/>
      <c r="AB723" s="51"/>
      <c r="AC723" s="51"/>
      <c r="AD723" s="51"/>
      <c r="AE723" s="51"/>
      <c r="AF723" s="51"/>
      <c r="AG723" s="51"/>
      <c r="AH723" s="51"/>
      <c r="AI723" s="51"/>
      <c r="AJ723" s="51"/>
      <c r="AK723" s="138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139"/>
    </row>
    <row r="724" spans="2:61" ht="20.100000000000001" customHeight="1" x14ac:dyDescent="0.45">
      <c r="B724" s="133"/>
      <c r="C724" s="27"/>
      <c r="D724" s="27"/>
      <c r="E724" s="27"/>
      <c r="F724" s="27"/>
      <c r="G724" s="134"/>
      <c r="H724" s="135"/>
      <c r="I724" s="27"/>
      <c r="J724" s="140" t="s">
        <v>269</v>
      </c>
      <c r="K724" s="51"/>
      <c r="L724" s="51"/>
      <c r="M724" s="51"/>
      <c r="N724" s="51"/>
      <c r="O724" s="51"/>
      <c r="P724" s="51"/>
      <c r="Q724" s="51"/>
      <c r="R724" s="136" t="s">
        <v>270</v>
      </c>
      <c r="S724" s="51"/>
      <c r="T724" s="51"/>
      <c r="U724" s="51"/>
      <c r="V724" s="51"/>
      <c r="W724" s="51"/>
      <c r="X724" s="51"/>
      <c r="Y724" s="51"/>
      <c r="Z724" s="51"/>
      <c r="AA724" s="51"/>
      <c r="AB724" s="51"/>
      <c r="AC724" s="51"/>
      <c r="AD724" s="51"/>
      <c r="AE724" s="51"/>
      <c r="AF724" s="51"/>
      <c r="AG724" s="51"/>
      <c r="AH724" s="51"/>
      <c r="AI724" s="51"/>
      <c r="AJ724" s="51"/>
      <c r="AK724" s="138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139"/>
    </row>
    <row r="725" spans="2:61" ht="20.100000000000001" customHeight="1" x14ac:dyDescent="0.45">
      <c r="B725" s="133"/>
      <c r="C725" s="27"/>
      <c r="D725" s="27"/>
      <c r="E725" s="27"/>
      <c r="F725" s="27"/>
      <c r="G725" s="134"/>
      <c r="H725" s="135"/>
      <c r="I725" s="27"/>
      <c r="J725" s="140" t="s">
        <v>271</v>
      </c>
      <c r="K725" s="51"/>
      <c r="L725" s="51"/>
      <c r="M725" s="51"/>
      <c r="N725" s="51"/>
      <c r="O725" s="51"/>
      <c r="P725" s="51"/>
      <c r="Q725" s="51"/>
      <c r="R725" s="140" t="s">
        <v>272</v>
      </c>
      <c r="S725" s="51"/>
      <c r="T725" s="51"/>
      <c r="U725" s="51"/>
      <c r="V725" s="51"/>
      <c r="W725" s="51"/>
      <c r="X725" s="51"/>
      <c r="Y725" s="51"/>
      <c r="Z725" s="51"/>
      <c r="AA725" s="51"/>
      <c r="AB725" s="51"/>
      <c r="AC725" s="51"/>
      <c r="AD725" s="51"/>
      <c r="AE725" s="51"/>
      <c r="AF725" s="51"/>
      <c r="AG725" s="51"/>
      <c r="AH725" s="51"/>
      <c r="AI725" s="51"/>
      <c r="AJ725" s="51"/>
      <c r="AK725" s="138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139"/>
    </row>
    <row r="726" spans="2:61" ht="20.100000000000001" customHeight="1" x14ac:dyDescent="0.45">
      <c r="B726" s="133"/>
      <c r="C726" s="27"/>
      <c r="D726" s="27"/>
      <c r="E726" s="27"/>
      <c r="F726" s="27"/>
      <c r="G726" s="134"/>
      <c r="H726" s="135"/>
      <c r="I726" s="27"/>
      <c r="J726" s="140" t="s">
        <v>273</v>
      </c>
      <c r="K726" s="51"/>
      <c r="L726" s="51"/>
      <c r="M726" s="51"/>
      <c r="N726" s="51"/>
      <c r="O726" s="51"/>
      <c r="P726" s="51"/>
      <c r="Q726" s="51"/>
      <c r="R726" s="140" t="s">
        <v>274</v>
      </c>
      <c r="S726" s="51"/>
      <c r="T726" s="51"/>
      <c r="U726" s="51"/>
      <c r="V726" s="51"/>
      <c r="W726" s="51"/>
      <c r="X726" s="51"/>
      <c r="Y726" s="51"/>
      <c r="Z726" s="51"/>
      <c r="AA726" s="51"/>
      <c r="AB726" s="51"/>
      <c r="AC726" s="51"/>
      <c r="AD726" s="51"/>
      <c r="AE726" s="51"/>
      <c r="AF726" s="51"/>
      <c r="AG726" s="51"/>
      <c r="AH726" s="51"/>
      <c r="AI726" s="51"/>
      <c r="AJ726" s="51"/>
      <c r="AK726" s="138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139"/>
    </row>
    <row r="727" spans="2:61" ht="20.100000000000001" customHeight="1" x14ac:dyDescent="0.45">
      <c r="B727" s="133"/>
      <c r="C727" s="27"/>
      <c r="D727" s="27"/>
      <c r="E727" s="27"/>
      <c r="F727" s="27"/>
      <c r="G727" s="134"/>
      <c r="H727" s="135"/>
      <c r="I727" s="27"/>
      <c r="J727" s="140" t="s">
        <v>348</v>
      </c>
      <c r="K727" s="51"/>
      <c r="L727" s="51"/>
      <c r="M727" s="51"/>
      <c r="N727" s="51"/>
      <c r="O727" s="51"/>
      <c r="P727" s="51"/>
      <c r="Q727" s="51"/>
      <c r="R727" s="140" t="s">
        <v>347</v>
      </c>
      <c r="S727" s="51"/>
      <c r="T727" s="51"/>
      <c r="U727" s="51"/>
      <c r="V727" s="51"/>
      <c r="W727" s="51"/>
      <c r="X727" s="51"/>
      <c r="Y727" s="51"/>
      <c r="Z727" s="51"/>
      <c r="AA727" s="51"/>
      <c r="AB727" s="51"/>
      <c r="AC727" s="51"/>
      <c r="AD727" s="51"/>
      <c r="AE727" s="51"/>
      <c r="AF727" s="51"/>
      <c r="AG727" s="51"/>
      <c r="AH727" s="51"/>
      <c r="AI727" s="51"/>
      <c r="AJ727" s="51"/>
      <c r="AK727" s="138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139"/>
    </row>
    <row r="728" spans="2:61" ht="20.100000000000001" customHeight="1" x14ac:dyDescent="0.45">
      <c r="B728" s="133"/>
      <c r="C728" s="27"/>
      <c r="D728" s="27"/>
      <c r="E728" s="27"/>
      <c r="F728" s="27"/>
      <c r="G728" s="134"/>
      <c r="H728" s="135"/>
      <c r="I728" s="27"/>
      <c r="J728" s="140" t="s">
        <v>277</v>
      </c>
      <c r="K728" s="51"/>
      <c r="L728" s="51"/>
      <c r="M728" s="51"/>
      <c r="N728" s="51"/>
      <c r="O728" s="51"/>
      <c r="P728" s="51"/>
      <c r="Q728" s="51"/>
      <c r="R728" s="140" t="s">
        <v>278</v>
      </c>
      <c r="S728" s="51"/>
      <c r="T728" s="51"/>
      <c r="U728" s="51"/>
      <c r="V728" s="51"/>
      <c r="W728" s="51"/>
      <c r="X728" s="51"/>
      <c r="Y728" s="51"/>
      <c r="Z728" s="51"/>
      <c r="AA728" s="51"/>
      <c r="AB728" s="51"/>
      <c r="AC728" s="51"/>
      <c r="AD728" s="51"/>
      <c r="AE728" s="51"/>
      <c r="AF728" s="51"/>
      <c r="AG728" s="51"/>
      <c r="AH728" s="51"/>
      <c r="AI728" s="51"/>
      <c r="AJ728" s="51"/>
      <c r="AK728" s="138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139"/>
    </row>
    <row r="729" spans="2:61" ht="20.100000000000001" customHeight="1" x14ac:dyDescent="0.45">
      <c r="B729" s="133"/>
      <c r="C729" s="27"/>
      <c r="D729" s="27"/>
      <c r="E729" s="27"/>
      <c r="F729" s="27"/>
      <c r="G729" s="134"/>
      <c r="H729" s="135"/>
      <c r="I729" s="27"/>
      <c r="J729" s="140" t="s">
        <v>279</v>
      </c>
      <c r="K729" s="51"/>
      <c r="L729" s="51"/>
      <c r="M729" s="51"/>
      <c r="N729" s="51"/>
      <c r="O729" s="51"/>
      <c r="P729" s="51"/>
      <c r="Q729" s="51"/>
      <c r="R729" s="140" t="s">
        <v>280</v>
      </c>
      <c r="S729" s="51"/>
      <c r="T729" s="51"/>
      <c r="U729" s="51"/>
      <c r="V729" s="51"/>
      <c r="W729" s="51"/>
      <c r="X729" s="51"/>
      <c r="Y729" s="51"/>
      <c r="Z729" s="51"/>
      <c r="AA729" s="51"/>
      <c r="AB729" s="51"/>
      <c r="AC729" s="51"/>
      <c r="AD729" s="51"/>
      <c r="AE729" s="51"/>
      <c r="AF729" s="51"/>
      <c r="AG729" s="51"/>
      <c r="AH729" s="51"/>
      <c r="AI729" s="51"/>
      <c r="AJ729" s="51"/>
      <c r="AK729" s="138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139"/>
    </row>
    <row r="730" spans="2:61" ht="20.100000000000001" customHeight="1" x14ac:dyDescent="0.45">
      <c r="B730" s="133"/>
      <c r="C730" s="27"/>
      <c r="D730" s="27"/>
      <c r="E730" s="27"/>
      <c r="F730" s="27"/>
      <c r="G730" s="134"/>
      <c r="H730" s="135"/>
      <c r="I730" s="27"/>
      <c r="J730" s="140" t="s">
        <v>281</v>
      </c>
      <c r="K730" s="51"/>
      <c r="L730" s="51"/>
      <c r="M730" s="51"/>
      <c r="N730" s="51"/>
      <c r="O730" s="51"/>
      <c r="P730" s="51"/>
      <c r="Q730" s="51"/>
      <c r="R730" s="141" t="s">
        <v>350</v>
      </c>
      <c r="S730" s="51"/>
      <c r="T730" s="51"/>
      <c r="U730" s="51"/>
      <c r="V730" s="51"/>
      <c r="W730" s="51"/>
      <c r="X730" s="51"/>
      <c r="Y730" s="51"/>
      <c r="Z730" s="51"/>
      <c r="AA730" s="51"/>
      <c r="AB730" s="51"/>
      <c r="AC730" s="51"/>
      <c r="AD730" s="51"/>
      <c r="AE730" s="51"/>
      <c r="AF730" s="51"/>
      <c r="AG730" s="51"/>
      <c r="AH730" s="51"/>
      <c r="AI730" s="51"/>
      <c r="AJ730" s="51"/>
      <c r="AK730" s="138" t="s">
        <v>349</v>
      </c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139"/>
    </row>
    <row r="731" spans="2:61" ht="20.100000000000001" customHeight="1" x14ac:dyDescent="0.45">
      <c r="B731" s="133"/>
      <c r="C731" s="27"/>
      <c r="D731" s="27"/>
      <c r="E731" s="27"/>
      <c r="F731" s="27"/>
      <c r="G731" s="134"/>
      <c r="H731" s="135"/>
      <c r="I731" s="27"/>
      <c r="J731" s="140" t="s">
        <v>284</v>
      </c>
      <c r="K731" s="51"/>
      <c r="L731" s="51"/>
      <c r="M731" s="51"/>
      <c r="N731" s="51"/>
      <c r="O731" s="51"/>
      <c r="P731" s="51"/>
      <c r="Q731" s="51"/>
      <c r="R731" s="140" t="s">
        <v>285</v>
      </c>
      <c r="S731" s="51"/>
      <c r="T731" s="51"/>
      <c r="U731" s="51"/>
      <c r="V731" s="51"/>
      <c r="W731" s="51"/>
      <c r="X731" s="51"/>
      <c r="Y731" s="51"/>
      <c r="Z731" s="51"/>
      <c r="AA731" s="51"/>
      <c r="AB731" s="51"/>
      <c r="AC731" s="51"/>
      <c r="AD731" s="51"/>
      <c r="AE731" s="51"/>
      <c r="AF731" s="51"/>
      <c r="AG731" s="51"/>
      <c r="AH731" s="51"/>
      <c r="AI731" s="51"/>
      <c r="AJ731" s="51"/>
      <c r="AK731" s="138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139"/>
    </row>
    <row r="732" spans="2:61" ht="20.100000000000001" customHeight="1" x14ac:dyDescent="0.45">
      <c r="B732" s="133"/>
      <c r="C732" s="27"/>
      <c r="D732" s="27"/>
      <c r="E732" s="27"/>
      <c r="F732" s="27"/>
      <c r="G732" s="134"/>
      <c r="H732" s="135"/>
      <c r="I732" s="27"/>
      <c r="J732" s="140" t="s">
        <v>286</v>
      </c>
      <c r="K732" s="51"/>
      <c r="L732" s="51"/>
      <c r="M732" s="51"/>
      <c r="N732" s="51"/>
      <c r="O732" s="51"/>
      <c r="P732" s="51"/>
      <c r="Q732" s="51"/>
      <c r="R732" s="140" t="s">
        <v>287</v>
      </c>
      <c r="S732" s="51"/>
      <c r="T732" s="51"/>
      <c r="U732" s="51"/>
      <c r="V732" s="51"/>
      <c r="W732" s="51"/>
      <c r="X732" s="51"/>
      <c r="Y732" s="51"/>
      <c r="Z732" s="51"/>
      <c r="AA732" s="51"/>
      <c r="AB732" s="51"/>
      <c r="AC732" s="51"/>
      <c r="AD732" s="51"/>
      <c r="AE732" s="51"/>
      <c r="AF732" s="51"/>
      <c r="AG732" s="51"/>
      <c r="AH732" s="51"/>
      <c r="AI732" s="51"/>
      <c r="AJ732" s="51"/>
      <c r="AK732" s="138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139"/>
    </row>
    <row r="733" spans="2:61" ht="20.100000000000001" customHeight="1" x14ac:dyDescent="0.45">
      <c r="B733" s="133"/>
      <c r="C733" s="27"/>
      <c r="D733" s="27"/>
      <c r="E733" s="27"/>
      <c r="F733" s="27"/>
      <c r="G733" s="134"/>
      <c r="H733" s="135"/>
      <c r="I733" s="27"/>
      <c r="J733" s="140" t="s">
        <v>288</v>
      </c>
      <c r="K733" s="51"/>
      <c r="L733" s="51"/>
      <c r="M733" s="51"/>
      <c r="N733" s="51"/>
      <c r="O733" s="51"/>
      <c r="P733" s="51"/>
      <c r="Q733" s="51"/>
      <c r="R733" s="140" t="s">
        <v>289</v>
      </c>
      <c r="S733" s="51"/>
      <c r="T733" s="51"/>
      <c r="U733" s="51"/>
      <c r="V733" s="51"/>
      <c r="W733" s="51"/>
      <c r="X733" s="51"/>
      <c r="Y733" s="51"/>
      <c r="Z733" s="51"/>
      <c r="AA733" s="51"/>
      <c r="AB733" s="51"/>
      <c r="AC733" s="51"/>
      <c r="AD733" s="51"/>
      <c r="AE733" s="51"/>
      <c r="AF733" s="51"/>
      <c r="AG733" s="51"/>
      <c r="AH733" s="51"/>
      <c r="AI733" s="51"/>
      <c r="AJ733" s="51"/>
      <c r="AK733" s="138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139"/>
    </row>
    <row r="734" spans="2:61" ht="20.100000000000001" customHeight="1" x14ac:dyDescent="0.45">
      <c r="B734" s="133"/>
      <c r="C734" s="27"/>
      <c r="D734" s="27"/>
      <c r="E734" s="27"/>
      <c r="F734" s="27"/>
      <c r="G734" s="134"/>
      <c r="H734" s="135"/>
      <c r="I734" s="27"/>
      <c r="J734" s="140" t="s">
        <v>290</v>
      </c>
      <c r="K734" s="51"/>
      <c r="L734" s="51"/>
      <c r="M734" s="51"/>
      <c r="N734" s="51"/>
      <c r="O734" s="51"/>
      <c r="P734" s="51"/>
      <c r="Q734" s="51"/>
      <c r="R734" s="141" t="s">
        <v>352</v>
      </c>
      <c r="S734" s="51"/>
      <c r="T734" s="51"/>
      <c r="U734" s="51"/>
      <c r="V734" s="51"/>
      <c r="W734" s="51"/>
      <c r="X734" s="51"/>
      <c r="Y734" s="51"/>
      <c r="Z734" s="51"/>
      <c r="AA734" s="51"/>
      <c r="AB734" s="51"/>
      <c r="AC734" s="51"/>
      <c r="AD734" s="51"/>
      <c r="AE734" s="51"/>
      <c r="AF734" s="51"/>
      <c r="AG734" s="51"/>
      <c r="AH734" s="51"/>
      <c r="AI734" s="51"/>
      <c r="AJ734" s="51"/>
      <c r="AK734" s="138" t="s">
        <v>351</v>
      </c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139"/>
    </row>
    <row r="735" spans="2:61" ht="20.100000000000001" customHeight="1" x14ac:dyDescent="0.45">
      <c r="B735" s="133"/>
      <c r="C735" s="27"/>
      <c r="D735" s="27"/>
      <c r="E735" s="27"/>
      <c r="F735" s="27"/>
      <c r="G735" s="134"/>
      <c r="H735" s="135"/>
      <c r="I735" s="27"/>
      <c r="J735" s="140" t="s">
        <v>177</v>
      </c>
      <c r="K735" s="51"/>
      <c r="L735" s="51"/>
      <c r="M735" s="51"/>
      <c r="N735" s="51"/>
      <c r="O735" s="51"/>
      <c r="P735" s="51"/>
      <c r="Q735" s="51"/>
      <c r="R735" s="140" t="s">
        <v>293</v>
      </c>
      <c r="S735" s="51"/>
      <c r="T735" s="51"/>
      <c r="U735" s="51"/>
      <c r="V735" s="51"/>
      <c r="W735" s="51"/>
      <c r="X735" s="51"/>
      <c r="Y735" s="51"/>
      <c r="Z735" s="51"/>
      <c r="AA735" s="51"/>
      <c r="AB735" s="51"/>
      <c r="AC735" s="51"/>
      <c r="AD735" s="51"/>
      <c r="AE735" s="51"/>
      <c r="AF735" s="51"/>
      <c r="AG735" s="51"/>
      <c r="AH735" s="51"/>
      <c r="AI735" s="51"/>
      <c r="AJ735" s="51"/>
      <c r="AK735" s="138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139"/>
    </row>
    <row r="736" spans="2:61" ht="20.100000000000001" customHeight="1" x14ac:dyDescent="0.45">
      <c r="B736" s="133"/>
      <c r="C736" s="27"/>
      <c r="D736" s="27"/>
      <c r="E736" s="27"/>
      <c r="F736" s="27"/>
      <c r="G736" s="134"/>
      <c r="H736" s="135"/>
      <c r="I736" s="27"/>
      <c r="J736" s="140" t="s">
        <v>294</v>
      </c>
      <c r="K736" s="51"/>
      <c r="L736" s="51"/>
      <c r="M736" s="51"/>
      <c r="N736" s="51"/>
      <c r="O736" s="51"/>
      <c r="P736" s="51"/>
      <c r="Q736" s="51"/>
      <c r="R736" s="140" t="s">
        <v>295</v>
      </c>
      <c r="S736" s="51"/>
      <c r="T736" s="51"/>
      <c r="U736" s="51"/>
      <c r="V736" s="51"/>
      <c r="W736" s="51"/>
      <c r="X736" s="51"/>
      <c r="Y736" s="51"/>
      <c r="Z736" s="51"/>
      <c r="AA736" s="51"/>
      <c r="AB736" s="51"/>
      <c r="AC736" s="51"/>
      <c r="AD736" s="51"/>
      <c r="AE736" s="51"/>
      <c r="AF736" s="51"/>
      <c r="AG736" s="51"/>
      <c r="AH736" s="51"/>
      <c r="AI736" s="51"/>
      <c r="AJ736" s="51"/>
      <c r="AK736" s="138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139"/>
    </row>
    <row r="737" spans="2:61" ht="20.100000000000001" customHeight="1" x14ac:dyDescent="0.45">
      <c r="B737" s="133"/>
      <c r="C737" s="27"/>
      <c r="D737" s="27"/>
      <c r="E737" s="27"/>
      <c r="F737" s="27"/>
      <c r="G737" s="134"/>
      <c r="H737" s="135"/>
      <c r="I737" s="27"/>
      <c r="J737" s="140" t="s">
        <v>296</v>
      </c>
      <c r="K737" s="51"/>
      <c r="L737" s="51"/>
      <c r="M737" s="51"/>
      <c r="N737" s="51"/>
      <c r="O737" s="51"/>
      <c r="P737" s="51"/>
      <c r="Q737" s="51"/>
      <c r="R737" s="140" t="s">
        <v>297</v>
      </c>
      <c r="S737" s="51"/>
      <c r="T737" s="51"/>
      <c r="U737" s="51"/>
      <c r="V737" s="51"/>
      <c r="W737" s="51"/>
      <c r="X737" s="51"/>
      <c r="Y737" s="51"/>
      <c r="Z737" s="51"/>
      <c r="AA737" s="51"/>
      <c r="AB737" s="51"/>
      <c r="AC737" s="51"/>
      <c r="AD737" s="51"/>
      <c r="AE737" s="51"/>
      <c r="AF737" s="51"/>
      <c r="AG737" s="51"/>
      <c r="AH737" s="51"/>
      <c r="AI737" s="51"/>
      <c r="AJ737" s="51"/>
      <c r="AK737" s="138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139"/>
    </row>
    <row r="738" spans="2:61" ht="20.100000000000001" customHeight="1" x14ac:dyDescent="0.45">
      <c r="B738" s="133"/>
      <c r="C738" s="27"/>
      <c r="D738" s="27"/>
      <c r="E738" s="27"/>
      <c r="F738" s="27"/>
      <c r="G738" s="134"/>
      <c r="H738" s="135"/>
      <c r="I738" s="27"/>
      <c r="J738" s="140" t="s">
        <v>298</v>
      </c>
      <c r="K738" s="51"/>
      <c r="L738" s="51"/>
      <c r="M738" s="51"/>
      <c r="N738" s="51"/>
      <c r="O738" s="51"/>
      <c r="P738" s="51"/>
      <c r="Q738" s="51"/>
      <c r="R738" s="140" t="s">
        <v>299</v>
      </c>
      <c r="S738" s="51"/>
      <c r="T738" s="51"/>
      <c r="U738" s="51"/>
      <c r="V738" s="51"/>
      <c r="W738" s="51"/>
      <c r="X738" s="51"/>
      <c r="Y738" s="51"/>
      <c r="Z738" s="51"/>
      <c r="AA738" s="51"/>
      <c r="AB738" s="51"/>
      <c r="AC738" s="51"/>
      <c r="AD738" s="51"/>
      <c r="AE738" s="51"/>
      <c r="AF738" s="51"/>
      <c r="AG738" s="51"/>
      <c r="AH738" s="51"/>
      <c r="AI738" s="51"/>
      <c r="AJ738" s="51"/>
      <c r="AK738" s="138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139"/>
    </row>
    <row r="739" spans="2:61" ht="20.100000000000001" customHeight="1" x14ac:dyDescent="0.45">
      <c r="B739" s="133"/>
      <c r="C739" s="27"/>
      <c r="D739" s="27"/>
      <c r="E739" s="27"/>
      <c r="F739" s="27"/>
      <c r="G739" s="134"/>
      <c r="H739" s="135"/>
      <c r="I739" s="27"/>
      <c r="J739" s="140" t="s">
        <v>300</v>
      </c>
      <c r="K739" s="51"/>
      <c r="L739" s="51"/>
      <c r="M739" s="51"/>
      <c r="N739" s="51"/>
      <c r="O739" s="51"/>
      <c r="P739" s="51"/>
      <c r="Q739" s="51"/>
      <c r="R739" s="140" t="s">
        <v>301</v>
      </c>
      <c r="S739" s="51"/>
      <c r="T739" s="51"/>
      <c r="U739" s="51"/>
      <c r="V739" s="51"/>
      <c r="W739" s="51"/>
      <c r="X739" s="51"/>
      <c r="Y739" s="51"/>
      <c r="Z739" s="51"/>
      <c r="AA739" s="51"/>
      <c r="AB739" s="51"/>
      <c r="AC739" s="51"/>
      <c r="AD739" s="51"/>
      <c r="AE739" s="51"/>
      <c r="AF739" s="51"/>
      <c r="AG739" s="51"/>
      <c r="AH739" s="51"/>
      <c r="AI739" s="51"/>
      <c r="AJ739" s="51"/>
      <c r="AK739" s="138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139"/>
    </row>
    <row r="740" spans="2:61" ht="20.100000000000001" customHeight="1" x14ac:dyDescent="0.45">
      <c r="B740" s="133"/>
      <c r="C740" s="27"/>
      <c r="D740" s="27"/>
      <c r="E740" s="27"/>
      <c r="F740" s="27"/>
      <c r="G740" s="134"/>
      <c r="H740" s="135"/>
      <c r="I740" s="27"/>
      <c r="J740" s="140" t="s">
        <v>302</v>
      </c>
      <c r="K740" s="51"/>
      <c r="L740" s="51"/>
      <c r="M740" s="51"/>
      <c r="N740" s="51"/>
      <c r="O740" s="51"/>
      <c r="P740" s="51"/>
      <c r="Q740" s="51"/>
      <c r="R740" s="140" t="s">
        <v>303</v>
      </c>
      <c r="S740" s="51"/>
      <c r="T740" s="51"/>
      <c r="U740" s="51"/>
      <c r="V740" s="51"/>
      <c r="W740" s="51"/>
      <c r="X740" s="51"/>
      <c r="Y740" s="51"/>
      <c r="Z740" s="51"/>
      <c r="AA740" s="51"/>
      <c r="AB740" s="51"/>
      <c r="AC740" s="51"/>
      <c r="AD740" s="51"/>
      <c r="AE740" s="51"/>
      <c r="AF740" s="51"/>
      <c r="AG740" s="51"/>
      <c r="AH740" s="51"/>
      <c r="AI740" s="51"/>
      <c r="AJ740" s="51"/>
      <c r="AK740" s="138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139"/>
    </row>
    <row r="741" spans="2:61" ht="20.100000000000001" customHeight="1" x14ac:dyDescent="0.45">
      <c r="B741" s="133"/>
      <c r="C741" s="27"/>
      <c r="D741" s="27"/>
      <c r="E741" s="27"/>
      <c r="F741" s="27"/>
      <c r="G741" s="134"/>
      <c r="H741" s="135"/>
      <c r="I741" s="27"/>
      <c r="J741" s="140" t="s">
        <v>304</v>
      </c>
      <c r="K741" s="51"/>
      <c r="L741" s="51"/>
      <c r="M741" s="51"/>
      <c r="N741" s="51"/>
      <c r="O741" s="51"/>
      <c r="P741" s="51"/>
      <c r="Q741" s="51"/>
      <c r="R741" s="140" t="s">
        <v>305</v>
      </c>
      <c r="S741" s="51"/>
      <c r="T741" s="51"/>
      <c r="U741" s="51"/>
      <c r="V741" s="51"/>
      <c r="W741" s="51"/>
      <c r="X741" s="51"/>
      <c r="Y741" s="51"/>
      <c r="Z741" s="51"/>
      <c r="AA741" s="51"/>
      <c r="AB741" s="51"/>
      <c r="AC741" s="51"/>
      <c r="AD741" s="51"/>
      <c r="AE741" s="51"/>
      <c r="AF741" s="51"/>
      <c r="AG741" s="51"/>
      <c r="AH741" s="51"/>
      <c r="AI741" s="51"/>
      <c r="AJ741" s="51"/>
      <c r="AK741" s="138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139"/>
    </row>
    <row r="742" spans="2:61" ht="20.100000000000001" customHeight="1" x14ac:dyDescent="0.45">
      <c r="B742" s="133"/>
      <c r="C742" s="27"/>
      <c r="D742" s="27"/>
      <c r="E742" s="27"/>
      <c r="F742" s="27"/>
      <c r="G742" s="134"/>
      <c r="H742" s="135"/>
      <c r="I742" s="27"/>
      <c r="J742" s="140" t="s">
        <v>306</v>
      </c>
      <c r="K742" s="51"/>
      <c r="L742" s="51"/>
      <c r="M742" s="51"/>
      <c r="N742" s="51"/>
      <c r="O742" s="51"/>
      <c r="P742" s="51"/>
      <c r="Q742" s="51"/>
      <c r="R742" s="140" t="s">
        <v>307</v>
      </c>
      <c r="S742" s="51"/>
      <c r="T742" s="51"/>
      <c r="U742" s="51"/>
      <c r="V742" s="51"/>
      <c r="W742" s="51"/>
      <c r="X742" s="51"/>
      <c r="Y742" s="51"/>
      <c r="Z742" s="51"/>
      <c r="AA742" s="51"/>
      <c r="AB742" s="51"/>
      <c r="AC742" s="51"/>
      <c r="AD742" s="51"/>
      <c r="AE742" s="51"/>
      <c r="AF742" s="51"/>
      <c r="AG742" s="51"/>
      <c r="AH742" s="51"/>
      <c r="AI742" s="51"/>
      <c r="AJ742" s="51"/>
      <c r="AK742" s="138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139"/>
    </row>
    <row r="743" spans="2:61" ht="20.100000000000001" customHeight="1" x14ac:dyDescent="0.45">
      <c r="B743" s="133"/>
      <c r="C743" s="27"/>
      <c r="D743" s="27"/>
      <c r="E743" s="27"/>
      <c r="F743" s="27"/>
      <c r="G743" s="134"/>
      <c r="H743" s="135"/>
      <c r="I743" s="27"/>
      <c r="J743" s="140" t="s">
        <v>308</v>
      </c>
      <c r="K743" s="51"/>
      <c r="L743" s="51"/>
      <c r="M743" s="51"/>
      <c r="N743" s="51"/>
      <c r="O743" s="51"/>
      <c r="P743" s="51"/>
      <c r="Q743" s="51"/>
      <c r="R743" s="140" t="s">
        <v>309</v>
      </c>
      <c r="S743" s="51"/>
      <c r="T743" s="51"/>
      <c r="U743" s="51"/>
      <c r="V743" s="51"/>
      <c r="W743" s="51"/>
      <c r="X743" s="51"/>
      <c r="Y743" s="51"/>
      <c r="Z743" s="51"/>
      <c r="AA743" s="51"/>
      <c r="AB743" s="51"/>
      <c r="AC743" s="51"/>
      <c r="AD743" s="51"/>
      <c r="AE743" s="51"/>
      <c r="AF743" s="51"/>
      <c r="AG743" s="51"/>
      <c r="AH743" s="51"/>
      <c r="AI743" s="51"/>
      <c r="AJ743" s="51"/>
      <c r="AK743" s="138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139"/>
    </row>
    <row r="744" spans="2:61" ht="20.100000000000001" customHeight="1" x14ac:dyDescent="0.45">
      <c r="B744" s="133"/>
      <c r="C744" s="27"/>
      <c r="D744" s="27"/>
      <c r="E744" s="27"/>
      <c r="F744" s="27"/>
      <c r="G744" s="134"/>
      <c r="H744" s="135"/>
      <c r="I744" s="27"/>
      <c r="J744" s="140" t="s">
        <v>310</v>
      </c>
      <c r="K744" s="51"/>
      <c r="L744" s="51"/>
      <c r="M744" s="51"/>
      <c r="N744" s="51"/>
      <c r="O744" s="51"/>
      <c r="P744" s="51"/>
      <c r="Q744" s="51"/>
      <c r="R744" s="140" t="s">
        <v>311</v>
      </c>
      <c r="S744" s="51"/>
      <c r="T744" s="51"/>
      <c r="U744" s="51"/>
      <c r="V744" s="51"/>
      <c r="W744" s="51"/>
      <c r="X744" s="51"/>
      <c r="Y744" s="51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138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139"/>
    </row>
    <row r="745" spans="2:61" ht="20.100000000000001" customHeight="1" x14ac:dyDescent="0.45">
      <c r="B745" s="133"/>
      <c r="C745" s="27"/>
      <c r="D745" s="27"/>
      <c r="E745" s="27"/>
      <c r="F745" s="27"/>
      <c r="G745" s="134"/>
      <c r="H745" s="140" t="s">
        <v>159</v>
      </c>
      <c r="I745" s="51"/>
      <c r="J745" s="140" t="s">
        <v>312</v>
      </c>
      <c r="K745" s="51"/>
      <c r="L745" s="48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  <c r="AB745" s="51"/>
      <c r="AC745" s="51"/>
      <c r="AD745" s="51"/>
      <c r="AE745" s="51"/>
      <c r="AF745" s="51"/>
      <c r="AG745" s="51"/>
      <c r="AH745" s="51"/>
      <c r="AI745" s="51"/>
      <c r="AJ745" s="51"/>
      <c r="AK745" s="141"/>
      <c r="AL745" s="51"/>
      <c r="AM745" s="51"/>
      <c r="AN745" s="51"/>
      <c r="AO745" s="51"/>
      <c r="AP745" s="51"/>
      <c r="AQ745" s="51"/>
      <c r="AR745" s="51"/>
      <c r="AS745" s="51"/>
      <c r="AT745" s="51"/>
      <c r="AU745" s="51"/>
      <c r="AV745" s="51"/>
      <c r="AW745" s="51"/>
      <c r="AX745" s="51"/>
      <c r="AY745" s="51"/>
      <c r="AZ745" s="51"/>
      <c r="BA745" s="51"/>
      <c r="BB745" s="51"/>
      <c r="BC745" s="51"/>
      <c r="BD745" s="51"/>
      <c r="BE745" s="51"/>
      <c r="BF745" s="51"/>
      <c r="BG745" s="51"/>
      <c r="BH745" s="51"/>
      <c r="BI745" s="142"/>
    </row>
    <row r="746" spans="2:61" ht="20.100000000000001" customHeight="1" x14ac:dyDescent="0.45">
      <c r="B746" s="133"/>
      <c r="C746" s="27"/>
      <c r="D746" s="27"/>
      <c r="E746" s="27"/>
      <c r="F746" s="27"/>
      <c r="G746" s="134"/>
      <c r="H746" s="140" t="s">
        <v>160</v>
      </c>
      <c r="I746" s="51"/>
      <c r="J746" s="140" t="s">
        <v>313</v>
      </c>
      <c r="K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  <c r="AB746" s="51"/>
      <c r="AC746" s="51"/>
      <c r="AD746" s="51"/>
      <c r="AE746" s="51"/>
      <c r="AF746" s="51"/>
      <c r="AG746" s="51"/>
      <c r="AH746" s="51"/>
      <c r="AI746" s="51"/>
      <c r="AJ746" s="51"/>
      <c r="AK746" s="141"/>
      <c r="AL746" s="51"/>
      <c r="AM746" s="51"/>
      <c r="AN746" s="51"/>
      <c r="AO746" s="51"/>
      <c r="AP746" s="51"/>
      <c r="AQ746" s="51"/>
      <c r="AR746" s="51"/>
      <c r="AS746" s="51"/>
      <c r="AT746" s="51"/>
      <c r="AU746" s="51"/>
      <c r="AV746" s="51"/>
      <c r="AW746" s="51"/>
      <c r="AX746" s="51"/>
      <c r="AY746" s="51"/>
      <c r="AZ746" s="51"/>
      <c r="BA746" s="51"/>
      <c r="BB746" s="51"/>
      <c r="BC746" s="51"/>
      <c r="BD746" s="51"/>
      <c r="BE746" s="51"/>
      <c r="BF746" s="51"/>
      <c r="BG746" s="51"/>
      <c r="BH746" s="51"/>
      <c r="BI746" s="142"/>
    </row>
    <row r="747" spans="2:61" ht="20.100000000000001" customHeight="1" x14ac:dyDescent="0.45">
      <c r="B747" s="143"/>
      <c r="C747" s="27"/>
      <c r="D747" s="27"/>
      <c r="E747" s="27"/>
      <c r="F747" s="27"/>
      <c r="G747" s="134"/>
      <c r="H747" s="140" t="s">
        <v>161</v>
      </c>
      <c r="I747" s="51"/>
      <c r="J747" s="140" t="s">
        <v>317</v>
      </c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  <c r="AB747" s="51"/>
      <c r="AC747" s="51"/>
      <c r="AD747" s="51"/>
      <c r="AE747" s="51"/>
      <c r="AF747" s="51"/>
      <c r="AG747" s="51"/>
      <c r="AH747" s="51"/>
      <c r="AI747" s="51"/>
      <c r="AJ747" s="51"/>
      <c r="AK747" s="141"/>
      <c r="AL747" s="51"/>
      <c r="AM747" s="51"/>
      <c r="AN747" s="51"/>
      <c r="AO747" s="51"/>
      <c r="AP747" s="51"/>
      <c r="AQ747" s="51"/>
      <c r="AR747" s="51"/>
      <c r="AS747" s="51"/>
      <c r="AT747" s="51"/>
      <c r="AU747" s="51"/>
      <c r="AV747" s="51"/>
      <c r="AW747" s="51"/>
      <c r="AX747" s="51"/>
      <c r="AY747" s="51"/>
      <c r="AZ747" s="51"/>
      <c r="BA747" s="51"/>
      <c r="BB747" s="51"/>
      <c r="BC747" s="51"/>
      <c r="BD747" s="51"/>
      <c r="BE747" s="51"/>
      <c r="BF747" s="51"/>
      <c r="BG747" s="51"/>
      <c r="BH747" s="51"/>
      <c r="BI747" s="142"/>
    </row>
    <row r="748" spans="2:61" ht="20.100000000000001" customHeight="1" x14ac:dyDescent="0.45">
      <c r="B748" s="143"/>
      <c r="C748" s="27"/>
      <c r="D748" s="27"/>
      <c r="E748" s="27"/>
      <c r="F748" s="27"/>
      <c r="G748" s="134"/>
      <c r="H748" s="135"/>
      <c r="I748" s="27"/>
      <c r="J748" s="135" t="s">
        <v>318</v>
      </c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138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139"/>
    </row>
    <row r="749" spans="2:61" ht="20.100000000000001" customHeight="1" x14ac:dyDescent="0.45">
      <c r="B749" s="143"/>
      <c r="C749" s="27"/>
      <c r="D749" s="27"/>
      <c r="E749" s="27"/>
      <c r="F749" s="27"/>
      <c r="G749" s="134"/>
      <c r="H749" s="135"/>
      <c r="I749" s="27"/>
      <c r="J749" s="135" t="s">
        <v>353</v>
      </c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138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139"/>
    </row>
    <row r="750" spans="2:61" ht="20.100000000000001" customHeight="1" thickBot="1" x14ac:dyDescent="0.5">
      <c r="B750" s="143"/>
      <c r="C750" s="27"/>
      <c r="D750" s="27"/>
      <c r="E750" s="27"/>
      <c r="F750" s="27"/>
      <c r="G750" s="134"/>
      <c r="H750" s="135"/>
      <c r="I750" s="27"/>
      <c r="J750" s="135"/>
      <c r="K750" s="27" t="s">
        <v>354</v>
      </c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138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139"/>
    </row>
    <row r="751" spans="2:61" ht="20.100000000000001" customHeight="1" x14ac:dyDescent="0.45">
      <c r="B751" s="124" t="s">
        <v>767</v>
      </c>
      <c r="C751" s="125"/>
      <c r="D751" s="125"/>
      <c r="E751" s="125"/>
      <c r="F751" s="125"/>
      <c r="G751" s="126"/>
      <c r="H751" s="127" t="s">
        <v>158</v>
      </c>
      <c r="I751" s="125"/>
      <c r="J751" s="128" t="s">
        <v>241</v>
      </c>
      <c r="K751" s="129"/>
      <c r="L751" s="129"/>
      <c r="M751" s="129"/>
      <c r="N751" s="129"/>
      <c r="O751" s="129"/>
      <c r="P751" s="129"/>
      <c r="Q751" s="130"/>
      <c r="R751" s="129">
        <v>2</v>
      </c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30"/>
      <c r="AK751" s="131" t="s">
        <v>320</v>
      </c>
      <c r="AL751" s="125"/>
      <c r="AM751" s="125"/>
      <c r="AN751" s="125"/>
      <c r="AO751" s="125"/>
      <c r="AP751" s="125"/>
      <c r="AQ751" s="125"/>
      <c r="AR751" s="125"/>
      <c r="AS751" s="125"/>
      <c r="AT751" s="125"/>
      <c r="AU751" s="125"/>
      <c r="AV751" s="125"/>
      <c r="AW751" s="125"/>
      <c r="AX751" s="125"/>
      <c r="AY751" s="125"/>
      <c r="AZ751" s="125"/>
      <c r="BA751" s="125"/>
      <c r="BB751" s="125"/>
      <c r="BC751" s="125"/>
      <c r="BD751" s="125"/>
      <c r="BE751" s="125"/>
      <c r="BF751" s="125"/>
      <c r="BG751" s="125"/>
      <c r="BH751" s="125"/>
      <c r="BI751" s="132"/>
    </row>
    <row r="752" spans="2:61" ht="20.100000000000001" customHeight="1" x14ac:dyDescent="0.45">
      <c r="B752" s="133"/>
      <c r="C752" s="27"/>
      <c r="D752" s="27"/>
      <c r="E752" s="27"/>
      <c r="F752" s="27"/>
      <c r="G752" s="134"/>
      <c r="H752" s="135"/>
      <c r="I752" s="27"/>
      <c r="J752" s="144" t="s">
        <v>163</v>
      </c>
      <c r="K752" s="145"/>
      <c r="L752" s="145"/>
      <c r="M752" s="145"/>
      <c r="N752" s="145"/>
      <c r="O752" s="145"/>
      <c r="P752" s="145"/>
      <c r="Q752" s="156"/>
      <c r="R752" s="145" t="s">
        <v>164</v>
      </c>
      <c r="S752" s="145"/>
      <c r="T752" s="145"/>
      <c r="U752" s="145"/>
      <c r="V752" s="145"/>
      <c r="W752" s="145"/>
      <c r="X752" s="145"/>
      <c r="Y752" s="145"/>
      <c r="Z752" s="145"/>
      <c r="AA752" s="145"/>
      <c r="AB752" s="145"/>
      <c r="AC752" s="145"/>
      <c r="AD752" s="145"/>
      <c r="AE752" s="145"/>
      <c r="AF752" s="145"/>
      <c r="AG752" s="145"/>
      <c r="AH752" s="145"/>
      <c r="AI752" s="145"/>
      <c r="AJ752" s="156"/>
      <c r="AK752" s="138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139"/>
    </row>
    <row r="753" spans="2:61" ht="20.100000000000001" customHeight="1" x14ac:dyDescent="0.45">
      <c r="B753" s="133"/>
      <c r="C753" s="27"/>
      <c r="D753" s="27"/>
      <c r="E753" s="27"/>
      <c r="F753" s="27"/>
      <c r="G753" s="134"/>
      <c r="H753" s="135"/>
      <c r="I753" s="27"/>
      <c r="J753" s="136" t="s">
        <v>244</v>
      </c>
      <c r="K753" s="48"/>
      <c r="L753" s="48"/>
      <c r="M753" s="48"/>
      <c r="N753" s="48"/>
      <c r="O753" s="48"/>
      <c r="P753" s="48"/>
      <c r="Q753" s="137"/>
      <c r="R753" s="157" t="s">
        <v>344</v>
      </c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137"/>
      <c r="AK753" s="138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139"/>
    </row>
    <row r="754" spans="2:61" ht="20.100000000000001" customHeight="1" x14ac:dyDescent="0.45">
      <c r="B754" s="133"/>
      <c r="C754" s="27"/>
      <c r="D754" s="27"/>
      <c r="E754" s="27"/>
      <c r="F754" s="27"/>
      <c r="G754" s="134"/>
      <c r="H754" s="135"/>
      <c r="I754" s="27"/>
      <c r="J754" s="140" t="s">
        <v>247</v>
      </c>
      <c r="K754" s="51"/>
      <c r="L754" s="51"/>
      <c r="M754" s="51"/>
      <c r="N754" s="51"/>
      <c r="O754" s="51"/>
      <c r="P754" s="51"/>
      <c r="Q754" s="51"/>
      <c r="R754" s="141" t="s">
        <v>345</v>
      </c>
      <c r="S754" s="51"/>
      <c r="T754" s="51"/>
      <c r="U754" s="51"/>
      <c r="V754" s="51"/>
      <c r="W754" s="51"/>
      <c r="X754" s="51"/>
      <c r="Y754" s="51"/>
      <c r="Z754" s="51"/>
      <c r="AA754" s="51"/>
      <c r="AB754" s="51"/>
      <c r="AC754" s="51"/>
      <c r="AD754" s="51"/>
      <c r="AE754" s="51"/>
      <c r="AF754" s="51"/>
      <c r="AG754" s="51"/>
      <c r="AH754" s="51"/>
      <c r="AI754" s="51"/>
      <c r="AJ754" s="51"/>
      <c r="AK754" s="138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139"/>
    </row>
    <row r="755" spans="2:61" ht="20.100000000000001" customHeight="1" x14ac:dyDescent="0.45">
      <c r="B755" s="133"/>
      <c r="C755" s="27"/>
      <c r="D755" s="27"/>
      <c r="E755" s="27"/>
      <c r="F755" s="27"/>
      <c r="G755" s="134"/>
      <c r="H755" s="135"/>
      <c r="I755" s="27"/>
      <c r="J755" s="140" t="s">
        <v>249</v>
      </c>
      <c r="K755" s="51"/>
      <c r="L755" s="51"/>
      <c r="M755" s="51"/>
      <c r="N755" s="51"/>
      <c r="O755" s="51"/>
      <c r="P755" s="51"/>
      <c r="Q755" s="51"/>
      <c r="R755" s="140" t="s">
        <v>250</v>
      </c>
      <c r="S755" s="51"/>
      <c r="T755" s="51"/>
      <c r="U755" s="51"/>
      <c r="V755" s="51"/>
      <c r="W755" s="51"/>
      <c r="X755" s="51"/>
      <c r="Y755" s="51"/>
      <c r="Z755" s="51"/>
      <c r="AA755" s="51"/>
      <c r="AB755" s="51"/>
      <c r="AC755" s="51"/>
      <c r="AD755" s="51"/>
      <c r="AE755" s="51"/>
      <c r="AF755" s="51"/>
      <c r="AG755" s="51"/>
      <c r="AH755" s="51"/>
      <c r="AI755" s="51"/>
      <c r="AJ755" s="51"/>
      <c r="AK755" s="138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139"/>
    </row>
    <row r="756" spans="2:61" ht="20.399999999999999" customHeight="1" x14ac:dyDescent="0.45">
      <c r="B756" s="133"/>
      <c r="C756" s="27"/>
      <c r="D756" s="27"/>
      <c r="E756" s="27"/>
      <c r="F756" s="27"/>
      <c r="G756" s="134"/>
      <c r="H756" s="135"/>
      <c r="I756" s="27"/>
      <c r="J756" s="140" t="s">
        <v>251</v>
      </c>
      <c r="K756" s="51"/>
      <c r="L756" s="51"/>
      <c r="M756" s="51"/>
      <c r="N756" s="51"/>
      <c r="O756" s="51"/>
      <c r="P756" s="51"/>
      <c r="Q756" s="51"/>
      <c r="R756" s="140" t="s">
        <v>252</v>
      </c>
      <c r="S756" s="51"/>
      <c r="T756" s="51"/>
      <c r="U756" s="51"/>
      <c r="V756" s="51"/>
      <c r="W756" s="51"/>
      <c r="X756" s="51"/>
      <c r="Y756" s="51"/>
      <c r="Z756" s="51"/>
      <c r="AA756" s="51"/>
      <c r="AB756" s="51"/>
      <c r="AC756" s="51"/>
      <c r="AD756" s="51"/>
      <c r="AE756" s="51"/>
      <c r="AF756" s="51"/>
      <c r="AG756" s="51"/>
      <c r="AH756" s="51"/>
      <c r="AI756" s="51"/>
      <c r="AJ756" s="51"/>
      <c r="AK756" s="138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139"/>
    </row>
    <row r="757" spans="2:61" ht="20.399999999999999" customHeight="1" x14ac:dyDescent="0.45">
      <c r="B757" s="133"/>
      <c r="C757" s="27"/>
      <c r="D757" s="27"/>
      <c r="E757" s="27"/>
      <c r="F757" s="27"/>
      <c r="G757" s="134"/>
      <c r="H757" s="135"/>
      <c r="I757" s="27"/>
      <c r="J757" s="140" t="s">
        <v>253</v>
      </c>
      <c r="K757" s="51"/>
      <c r="L757" s="51"/>
      <c r="M757" s="51"/>
      <c r="N757" s="51"/>
      <c r="O757" s="51"/>
      <c r="P757" s="51"/>
      <c r="Q757" s="51"/>
      <c r="R757" s="140" t="s">
        <v>254</v>
      </c>
      <c r="S757" s="51"/>
      <c r="T757" s="51"/>
      <c r="U757" s="51"/>
      <c r="V757" s="51"/>
      <c r="W757" s="51"/>
      <c r="X757" s="51"/>
      <c r="Y757" s="51"/>
      <c r="Z757" s="51"/>
      <c r="AA757" s="51"/>
      <c r="AB757" s="51"/>
      <c r="AC757" s="51"/>
      <c r="AD757" s="51"/>
      <c r="AE757" s="51"/>
      <c r="AF757" s="51"/>
      <c r="AG757" s="51"/>
      <c r="AH757" s="51"/>
      <c r="AI757" s="51"/>
      <c r="AJ757" s="51"/>
      <c r="AK757" s="138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139"/>
    </row>
    <row r="758" spans="2:61" ht="20.399999999999999" customHeight="1" x14ac:dyDescent="0.45">
      <c r="B758" s="133"/>
      <c r="C758" s="27"/>
      <c r="D758" s="27"/>
      <c r="E758" s="27"/>
      <c r="F758" s="27"/>
      <c r="G758" s="134"/>
      <c r="H758" s="135"/>
      <c r="I758" s="27"/>
      <c r="J758" s="140" t="s">
        <v>255</v>
      </c>
      <c r="K758" s="51"/>
      <c r="L758" s="51"/>
      <c r="M758" s="51"/>
      <c r="N758" s="51"/>
      <c r="O758" s="51"/>
      <c r="P758" s="51"/>
      <c r="Q758" s="51"/>
      <c r="R758" s="140" t="s">
        <v>256</v>
      </c>
      <c r="S758" s="51"/>
      <c r="T758" s="51"/>
      <c r="U758" s="51"/>
      <c r="V758" s="51"/>
      <c r="W758" s="51"/>
      <c r="X758" s="51"/>
      <c r="Y758" s="51"/>
      <c r="Z758" s="51"/>
      <c r="AA758" s="51"/>
      <c r="AB758" s="51"/>
      <c r="AC758" s="51"/>
      <c r="AD758" s="51"/>
      <c r="AE758" s="51"/>
      <c r="AF758" s="51"/>
      <c r="AG758" s="51"/>
      <c r="AH758" s="51"/>
      <c r="AI758" s="51"/>
      <c r="AJ758" s="51"/>
      <c r="AK758" s="138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139"/>
    </row>
    <row r="759" spans="2:61" ht="20.399999999999999" customHeight="1" x14ac:dyDescent="0.45">
      <c r="B759" s="133"/>
      <c r="C759" s="27"/>
      <c r="D759" s="27"/>
      <c r="E759" s="27"/>
      <c r="F759" s="27"/>
      <c r="G759" s="134"/>
      <c r="H759" s="135"/>
      <c r="I759" s="27"/>
      <c r="J759" s="140" t="s">
        <v>257</v>
      </c>
      <c r="K759" s="51"/>
      <c r="L759" s="51"/>
      <c r="M759" s="51"/>
      <c r="N759" s="51"/>
      <c r="O759" s="51"/>
      <c r="P759" s="51"/>
      <c r="Q759" s="51"/>
      <c r="R759" s="140" t="s">
        <v>258</v>
      </c>
      <c r="S759" s="51"/>
      <c r="T759" s="51"/>
      <c r="U759" s="51"/>
      <c r="V759" s="51"/>
      <c r="W759" s="51"/>
      <c r="X759" s="51"/>
      <c r="Y759" s="51"/>
      <c r="Z759" s="51"/>
      <c r="AA759" s="51"/>
      <c r="AB759" s="51"/>
      <c r="AC759" s="51"/>
      <c r="AD759" s="51"/>
      <c r="AE759" s="51"/>
      <c r="AF759" s="51"/>
      <c r="AG759" s="51"/>
      <c r="AH759" s="51"/>
      <c r="AI759" s="51"/>
      <c r="AJ759" s="51"/>
      <c r="AK759" s="138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139"/>
    </row>
    <row r="760" spans="2:61" ht="20.399999999999999" customHeight="1" x14ac:dyDescent="0.45">
      <c r="B760" s="133"/>
      <c r="C760" s="27"/>
      <c r="D760" s="27"/>
      <c r="E760" s="27"/>
      <c r="F760" s="27"/>
      <c r="G760" s="134"/>
      <c r="H760" s="135"/>
      <c r="I760" s="27"/>
      <c r="J760" s="140" t="s">
        <v>259</v>
      </c>
      <c r="K760" s="51"/>
      <c r="L760" s="51"/>
      <c r="M760" s="51"/>
      <c r="N760" s="51"/>
      <c r="O760" s="51"/>
      <c r="P760" s="51"/>
      <c r="Q760" s="51"/>
      <c r="R760" s="140" t="s">
        <v>260</v>
      </c>
      <c r="S760" s="51"/>
      <c r="T760" s="51"/>
      <c r="U760" s="51"/>
      <c r="V760" s="51"/>
      <c r="W760" s="51"/>
      <c r="X760" s="51"/>
      <c r="Y760" s="51"/>
      <c r="Z760" s="51"/>
      <c r="AA760" s="51"/>
      <c r="AB760" s="51"/>
      <c r="AC760" s="51"/>
      <c r="AD760" s="51"/>
      <c r="AE760" s="51"/>
      <c r="AF760" s="51"/>
      <c r="AG760" s="51"/>
      <c r="AH760" s="51"/>
      <c r="AI760" s="51"/>
      <c r="AJ760" s="51"/>
      <c r="AK760" s="138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139"/>
    </row>
    <row r="761" spans="2:61" ht="20.399999999999999" customHeight="1" x14ac:dyDescent="0.45">
      <c r="B761" s="133"/>
      <c r="C761" s="27"/>
      <c r="D761" s="27"/>
      <c r="E761" s="27"/>
      <c r="F761" s="27"/>
      <c r="G761" s="134"/>
      <c r="H761" s="135"/>
      <c r="I761" s="27"/>
      <c r="J761" s="140" t="s">
        <v>261</v>
      </c>
      <c r="K761" s="51"/>
      <c r="L761" s="51"/>
      <c r="M761" s="51"/>
      <c r="N761" s="51"/>
      <c r="O761" s="51"/>
      <c r="P761" s="51"/>
      <c r="Q761" s="51"/>
      <c r="R761" s="140" t="s">
        <v>262</v>
      </c>
      <c r="S761" s="51"/>
      <c r="T761" s="51"/>
      <c r="U761" s="51"/>
      <c r="V761" s="51"/>
      <c r="W761" s="51"/>
      <c r="X761" s="51"/>
      <c r="Y761" s="51"/>
      <c r="Z761" s="51"/>
      <c r="AA761" s="51"/>
      <c r="AB761" s="51"/>
      <c r="AC761" s="51"/>
      <c r="AD761" s="51"/>
      <c r="AE761" s="51"/>
      <c r="AF761" s="51"/>
      <c r="AG761" s="51"/>
      <c r="AH761" s="51"/>
      <c r="AI761" s="51"/>
      <c r="AJ761" s="51"/>
      <c r="AK761" s="138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139"/>
    </row>
    <row r="762" spans="2:61" ht="20.399999999999999" customHeight="1" x14ac:dyDescent="0.45">
      <c r="B762" s="133"/>
      <c r="C762" s="27"/>
      <c r="D762" s="27"/>
      <c r="E762" s="27"/>
      <c r="F762" s="27"/>
      <c r="G762" s="134"/>
      <c r="H762" s="135"/>
      <c r="I762" s="27"/>
      <c r="J762" s="140" t="s">
        <v>263</v>
      </c>
      <c r="K762" s="51"/>
      <c r="L762" s="51"/>
      <c r="M762" s="51"/>
      <c r="N762" s="51"/>
      <c r="O762" s="51"/>
      <c r="P762" s="51"/>
      <c r="Q762" s="51"/>
      <c r="R762" s="140" t="s">
        <v>264</v>
      </c>
      <c r="S762" s="51"/>
      <c r="T762" s="51"/>
      <c r="U762" s="51"/>
      <c r="V762" s="51"/>
      <c r="W762" s="51"/>
      <c r="X762" s="51"/>
      <c r="Y762" s="51"/>
      <c r="Z762" s="51"/>
      <c r="AA762" s="51"/>
      <c r="AB762" s="51"/>
      <c r="AC762" s="51"/>
      <c r="AD762" s="51"/>
      <c r="AE762" s="51"/>
      <c r="AF762" s="51"/>
      <c r="AG762" s="51"/>
      <c r="AH762" s="51"/>
      <c r="AI762" s="51"/>
      <c r="AJ762" s="51"/>
      <c r="AK762" s="138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139"/>
    </row>
    <row r="763" spans="2:61" ht="20.399999999999999" customHeight="1" x14ac:dyDescent="0.45">
      <c r="B763" s="133"/>
      <c r="C763" s="27"/>
      <c r="D763" s="27"/>
      <c r="E763" s="27"/>
      <c r="F763" s="27"/>
      <c r="G763" s="134"/>
      <c r="H763" s="135"/>
      <c r="I763" s="27"/>
      <c r="J763" s="140" t="s">
        <v>265</v>
      </c>
      <c r="K763" s="51"/>
      <c r="L763" s="51"/>
      <c r="M763" s="51"/>
      <c r="N763" s="51"/>
      <c r="O763" s="51"/>
      <c r="P763" s="51"/>
      <c r="Q763" s="51"/>
      <c r="R763" s="140" t="s">
        <v>266</v>
      </c>
      <c r="S763" s="51"/>
      <c r="T763" s="51"/>
      <c r="U763" s="51"/>
      <c r="V763" s="51"/>
      <c r="W763" s="51"/>
      <c r="X763" s="51"/>
      <c r="Y763" s="51"/>
      <c r="Z763" s="51"/>
      <c r="AA763" s="51"/>
      <c r="AB763" s="51"/>
      <c r="AC763" s="51"/>
      <c r="AD763" s="51"/>
      <c r="AE763" s="51"/>
      <c r="AF763" s="51"/>
      <c r="AG763" s="51"/>
      <c r="AH763" s="51"/>
      <c r="AI763" s="51"/>
      <c r="AJ763" s="51"/>
      <c r="AK763" s="138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139"/>
    </row>
    <row r="764" spans="2:61" ht="20.100000000000001" customHeight="1" x14ac:dyDescent="0.45">
      <c r="B764" s="133"/>
      <c r="C764" s="27"/>
      <c r="D764" s="27"/>
      <c r="E764" s="27"/>
      <c r="F764" s="27"/>
      <c r="G764" s="134"/>
      <c r="H764" s="135"/>
      <c r="I764" s="27"/>
      <c r="J764" s="140" t="s">
        <v>267</v>
      </c>
      <c r="K764" s="51"/>
      <c r="L764" s="51"/>
      <c r="M764" s="51"/>
      <c r="N764" s="51"/>
      <c r="O764" s="51"/>
      <c r="P764" s="51"/>
      <c r="Q764" s="51"/>
      <c r="R764" s="140" t="s">
        <v>268</v>
      </c>
      <c r="S764" s="51"/>
      <c r="T764" s="51"/>
      <c r="U764" s="51"/>
      <c r="V764" s="51"/>
      <c r="W764" s="51"/>
      <c r="X764" s="51"/>
      <c r="Y764" s="51"/>
      <c r="Z764" s="51"/>
      <c r="AA764" s="51"/>
      <c r="AB764" s="51"/>
      <c r="AC764" s="51"/>
      <c r="AD764" s="51"/>
      <c r="AE764" s="51"/>
      <c r="AF764" s="51"/>
      <c r="AG764" s="51"/>
      <c r="AH764" s="51"/>
      <c r="AI764" s="51"/>
      <c r="AJ764" s="51"/>
      <c r="AK764" s="138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139"/>
    </row>
    <row r="765" spans="2:61" ht="20.100000000000001" customHeight="1" x14ac:dyDescent="0.45">
      <c r="B765" s="133"/>
      <c r="C765" s="27"/>
      <c r="D765" s="27"/>
      <c r="E765" s="27"/>
      <c r="F765" s="27"/>
      <c r="G765" s="134"/>
      <c r="H765" s="135"/>
      <c r="I765" s="27"/>
      <c r="J765" s="140" t="s">
        <v>269</v>
      </c>
      <c r="K765" s="51"/>
      <c r="L765" s="51"/>
      <c r="M765" s="51"/>
      <c r="N765" s="51"/>
      <c r="O765" s="51"/>
      <c r="P765" s="51"/>
      <c r="Q765" s="51"/>
      <c r="R765" s="136" t="s">
        <v>270</v>
      </c>
      <c r="S765" s="51"/>
      <c r="T765" s="51"/>
      <c r="U765" s="51"/>
      <c r="V765" s="51"/>
      <c r="W765" s="51"/>
      <c r="X765" s="51"/>
      <c r="Y765" s="51"/>
      <c r="Z765" s="51"/>
      <c r="AA765" s="51"/>
      <c r="AB765" s="51"/>
      <c r="AC765" s="51"/>
      <c r="AD765" s="51"/>
      <c r="AE765" s="51"/>
      <c r="AF765" s="51"/>
      <c r="AG765" s="51"/>
      <c r="AH765" s="51"/>
      <c r="AI765" s="51"/>
      <c r="AJ765" s="51"/>
      <c r="AK765" s="138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139"/>
    </row>
    <row r="766" spans="2:61" ht="20.100000000000001" customHeight="1" x14ac:dyDescent="0.45">
      <c r="B766" s="133"/>
      <c r="C766" s="27"/>
      <c r="D766" s="27"/>
      <c r="E766" s="27"/>
      <c r="F766" s="27"/>
      <c r="G766" s="134"/>
      <c r="H766" s="135"/>
      <c r="I766" s="27"/>
      <c r="J766" s="140" t="s">
        <v>271</v>
      </c>
      <c r="K766" s="51"/>
      <c r="L766" s="51"/>
      <c r="M766" s="51"/>
      <c r="N766" s="51"/>
      <c r="O766" s="51"/>
      <c r="P766" s="51"/>
      <c r="Q766" s="51"/>
      <c r="R766" s="140" t="s">
        <v>272</v>
      </c>
      <c r="S766" s="51"/>
      <c r="T766" s="51"/>
      <c r="U766" s="51"/>
      <c r="V766" s="51"/>
      <c r="W766" s="51"/>
      <c r="X766" s="51"/>
      <c r="Y766" s="51"/>
      <c r="Z766" s="51"/>
      <c r="AA766" s="51"/>
      <c r="AB766" s="51"/>
      <c r="AC766" s="51"/>
      <c r="AD766" s="51"/>
      <c r="AE766" s="51"/>
      <c r="AF766" s="51"/>
      <c r="AG766" s="51"/>
      <c r="AH766" s="51"/>
      <c r="AI766" s="51"/>
      <c r="AJ766" s="51"/>
      <c r="AK766" s="138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139"/>
    </row>
    <row r="767" spans="2:61" ht="20.100000000000001" customHeight="1" x14ac:dyDescent="0.45">
      <c r="B767" s="133"/>
      <c r="C767" s="27"/>
      <c r="D767" s="27"/>
      <c r="E767" s="27"/>
      <c r="F767" s="27"/>
      <c r="G767" s="134"/>
      <c r="H767" s="135"/>
      <c r="I767" s="27"/>
      <c r="J767" s="140" t="s">
        <v>273</v>
      </c>
      <c r="K767" s="51"/>
      <c r="L767" s="51"/>
      <c r="M767" s="51"/>
      <c r="N767" s="51"/>
      <c r="O767" s="51"/>
      <c r="P767" s="51"/>
      <c r="Q767" s="51"/>
      <c r="R767" s="140" t="s">
        <v>274</v>
      </c>
      <c r="S767" s="51"/>
      <c r="T767" s="51"/>
      <c r="U767" s="51"/>
      <c r="V767" s="51"/>
      <c r="W767" s="51"/>
      <c r="X767" s="51"/>
      <c r="Y767" s="51"/>
      <c r="Z767" s="51"/>
      <c r="AA767" s="51"/>
      <c r="AB767" s="51"/>
      <c r="AC767" s="51"/>
      <c r="AD767" s="51"/>
      <c r="AE767" s="51"/>
      <c r="AF767" s="51"/>
      <c r="AG767" s="51"/>
      <c r="AH767" s="51"/>
      <c r="AI767" s="51"/>
      <c r="AJ767" s="51"/>
      <c r="AK767" s="138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139"/>
    </row>
    <row r="768" spans="2:61" ht="20.100000000000001" customHeight="1" x14ac:dyDescent="0.45">
      <c r="B768" s="133"/>
      <c r="C768" s="27"/>
      <c r="D768" s="27"/>
      <c r="E768" s="27"/>
      <c r="F768" s="27"/>
      <c r="G768" s="134"/>
      <c r="H768" s="135"/>
      <c r="I768" s="27"/>
      <c r="J768" s="140" t="s">
        <v>348</v>
      </c>
      <c r="K768" s="51"/>
      <c r="L768" s="51"/>
      <c r="M768" s="51"/>
      <c r="N768" s="51"/>
      <c r="O768" s="51"/>
      <c r="P768" s="51"/>
      <c r="Q768" s="51"/>
      <c r="R768" s="140" t="s">
        <v>347</v>
      </c>
      <c r="S768" s="51"/>
      <c r="T768" s="51"/>
      <c r="U768" s="51"/>
      <c r="V768" s="51"/>
      <c r="W768" s="51"/>
      <c r="X768" s="51"/>
      <c r="Y768" s="51"/>
      <c r="Z768" s="51"/>
      <c r="AA768" s="51"/>
      <c r="AB768" s="51"/>
      <c r="AC768" s="51"/>
      <c r="AD768" s="51"/>
      <c r="AE768" s="51"/>
      <c r="AF768" s="51"/>
      <c r="AG768" s="51"/>
      <c r="AH768" s="51"/>
      <c r="AI768" s="51"/>
      <c r="AJ768" s="51"/>
      <c r="AK768" s="138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139"/>
    </row>
    <row r="769" spans="2:61" ht="20.100000000000001" customHeight="1" x14ac:dyDescent="0.45">
      <c r="B769" s="133"/>
      <c r="C769" s="27"/>
      <c r="D769" s="27"/>
      <c r="E769" s="27"/>
      <c r="F769" s="27"/>
      <c r="G769" s="134"/>
      <c r="H769" s="135"/>
      <c r="I769" s="27"/>
      <c r="J769" s="140" t="s">
        <v>277</v>
      </c>
      <c r="K769" s="51"/>
      <c r="L769" s="51"/>
      <c r="M769" s="51"/>
      <c r="N769" s="51"/>
      <c r="O769" s="51"/>
      <c r="P769" s="51"/>
      <c r="Q769" s="51"/>
      <c r="R769" s="140" t="s">
        <v>278</v>
      </c>
      <c r="S769" s="51"/>
      <c r="T769" s="51"/>
      <c r="U769" s="51"/>
      <c r="V769" s="51"/>
      <c r="W769" s="51"/>
      <c r="X769" s="51"/>
      <c r="Y769" s="51"/>
      <c r="Z769" s="51"/>
      <c r="AA769" s="51"/>
      <c r="AB769" s="51"/>
      <c r="AC769" s="51"/>
      <c r="AD769" s="51"/>
      <c r="AE769" s="51"/>
      <c r="AF769" s="51"/>
      <c r="AG769" s="51"/>
      <c r="AH769" s="51"/>
      <c r="AI769" s="51"/>
      <c r="AJ769" s="51"/>
      <c r="AK769" s="138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139"/>
    </row>
    <row r="770" spans="2:61" ht="20.100000000000001" customHeight="1" x14ac:dyDescent="0.45">
      <c r="B770" s="133"/>
      <c r="C770" s="27"/>
      <c r="D770" s="27"/>
      <c r="E770" s="27"/>
      <c r="F770" s="27"/>
      <c r="G770" s="134"/>
      <c r="H770" s="135"/>
      <c r="I770" s="27"/>
      <c r="J770" s="140" t="s">
        <v>279</v>
      </c>
      <c r="K770" s="51"/>
      <c r="L770" s="51"/>
      <c r="M770" s="51"/>
      <c r="N770" s="51"/>
      <c r="O770" s="51"/>
      <c r="P770" s="51"/>
      <c r="Q770" s="51"/>
      <c r="R770" s="140" t="s">
        <v>359</v>
      </c>
      <c r="S770" s="51"/>
      <c r="T770" s="51"/>
      <c r="U770" s="51"/>
      <c r="V770" s="51"/>
      <c r="W770" s="51"/>
      <c r="X770" s="51"/>
      <c r="Y770" s="51"/>
      <c r="Z770" s="51"/>
      <c r="AA770" s="51"/>
      <c r="AB770" s="51"/>
      <c r="AC770" s="51"/>
      <c r="AD770" s="51"/>
      <c r="AE770" s="51"/>
      <c r="AF770" s="51"/>
      <c r="AG770" s="51"/>
      <c r="AH770" s="51"/>
      <c r="AI770" s="51"/>
      <c r="AJ770" s="51"/>
      <c r="AK770" s="138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139"/>
    </row>
    <row r="771" spans="2:61" ht="20.100000000000001" customHeight="1" x14ac:dyDescent="0.45">
      <c r="B771" s="133"/>
      <c r="C771" s="27"/>
      <c r="D771" s="27"/>
      <c r="E771" s="27"/>
      <c r="F771" s="27"/>
      <c r="G771" s="134"/>
      <c r="H771" s="135"/>
      <c r="I771" s="27"/>
      <c r="J771" s="140" t="s">
        <v>281</v>
      </c>
      <c r="K771" s="51"/>
      <c r="L771" s="51"/>
      <c r="M771" s="51"/>
      <c r="N771" s="51"/>
      <c r="O771" s="51"/>
      <c r="P771" s="51"/>
      <c r="Q771" s="51"/>
      <c r="R771" s="141" t="s">
        <v>360</v>
      </c>
      <c r="S771" s="51"/>
      <c r="T771" s="51"/>
      <c r="U771" s="51"/>
      <c r="V771" s="51"/>
      <c r="W771" s="51"/>
      <c r="X771" s="51"/>
      <c r="Y771" s="51"/>
      <c r="Z771" s="51"/>
      <c r="AA771" s="51"/>
      <c r="AB771" s="51"/>
      <c r="AC771" s="51"/>
      <c r="AD771" s="51"/>
      <c r="AE771" s="51"/>
      <c r="AF771" s="51"/>
      <c r="AG771" s="51"/>
      <c r="AH771" s="51"/>
      <c r="AI771" s="51"/>
      <c r="AJ771" s="51"/>
      <c r="AK771" s="138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139"/>
    </row>
    <row r="772" spans="2:61" ht="20.100000000000001" customHeight="1" x14ac:dyDescent="0.45">
      <c r="B772" s="133"/>
      <c r="C772" s="27"/>
      <c r="D772" s="27"/>
      <c r="E772" s="27"/>
      <c r="F772" s="27"/>
      <c r="G772" s="134"/>
      <c r="H772" s="135"/>
      <c r="I772" s="27"/>
      <c r="J772" s="140" t="s">
        <v>284</v>
      </c>
      <c r="K772" s="51"/>
      <c r="L772" s="51"/>
      <c r="M772" s="51"/>
      <c r="N772" s="51"/>
      <c r="O772" s="51"/>
      <c r="P772" s="51"/>
      <c r="Q772" s="51"/>
      <c r="R772" s="140" t="s">
        <v>285</v>
      </c>
      <c r="S772" s="51"/>
      <c r="T772" s="51"/>
      <c r="U772" s="51"/>
      <c r="V772" s="51"/>
      <c r="W772" s="51"/>
      <c r="X772" s="51"/>
      <c r="Y772" s="51"/>
      <c r="Z772" s="51"/>
      <c r="AA772" s="51"/>
      <c r="AB772" s="51"/>
      <c r="AC772" s="51"/>
      <c r="AD772" s="51"/>
      <c r="AE772" s="51"/>
      <c r="AF772" s="51"/>
      <c r="AG772" s="51"/>
      <c r="AH772" s="51"/>
      <c r="AI772" s="51"/>
      <c r="AJ772" s="51"/>
      <c r="AK772" s="138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139"/>
    </row>
    <row r="773" spans="2:61" ht="20.100000000000001" customHeight="1" x14ac:dyDescent="0.45">
      <c r="B773" s="133"/>
      <c r="C773" s="27"/>
      <c r="D773" s="27"/>
      <c r="E773" s="27"/>
      <c r="F773" s="27"/>
      <c r="G773" s="134"/>
      <c r="H773" s="135"/>
      <c r="I773" s="27"/>
      <c r="J773" s="140" t="s">
        <v>286</v>
      </c>
      <c r="K773" s="51"/>
      <c r="L773" s="51"/>
      <c r="M773" s="51"/>
      <c r="N773" s="51"/>
      <c r="O773" s="51"/>
      <c r="P773" s="51"/>
      <c r="Q773" s="51"/>
      <c r="R773" s="140" t="s">
        <v>287</v>
      </c>
      <c r="S773" s="51"/>
      <c r="T773" s="51"/>
      <c r="U773" s="51"/>
      <c r="V773" s="51"/>
      <c r="W773" s="51"/>
      <c r="X773" s="51"/>
      <c r="Y773" s="51"/>
      <c r="Z773" s="51"/>
      <c r="AA773" s="51"/>
      <c r="AB773" s="51"/>
      <c r="AC773" s="51"/>
      <c r="AD773" s="51"/>
      <c r="AE773" s="51"/>
      <c r="AF773" s="51"/>
      <c r="AG773" s="51"/>
      <c r="AH773" s="51"/>
      <c r="AI773" s="51"/>
      <c r="AJ773" s="51"/>
      <c r="AK773" s="138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139"/>
    </row>
    <row r="774" spans="2:61" ht="20.100000000000001" customHeight="1" x14ac:dyDescent="0.45">
      <c r="B774" s="133"/>
      <c r="C774" s="27"/>
      <c r="D774" s="27"/>
      <c r="E774" s="27"/>
      <c r="F774" s="27"/>
      <c r="G774" s="134"/>
      <c r="H774" s="135"/>
      <c r="I774" s="27"/>
      <c r="J774" s="140" t="s">
        <v>288</v>
      </c>
      <c r="K774" s="51"/>
      <c r="L774" s="51"/>
      <c r="M774" s="51"/>
      <c r="N774" s="51"/>
      <c r="O774" s="51"/>
      <c r="P774" s="51"/>
      <c r="Q774" s="51"/>
      <c r="R774" s="140" t="s">
        <v>362</v>
      </c>
      <c r="S774" s="51"/>
      <c r="T774" s="51"/>
      <c r="U774" s="51"/>
      <c r="V774" s="51"/>
      <c r="W774" s="51"/>
      <c r="X774" s="51"/>
      <c r="Y774" s="51"/>
      <c r="Z774" s="51"/>
      <c r="AA774" s="51"/>
      <c r="AB774" s="51"/>
      <c r="AC774" s="51"/>
      <c r="AD774" s="51"/>
      <c r="AE774" s="51"/>
      <c r="AF774" s="51"/>
      <c r="AG774" s="51"/>
      <c r="AH774" s="51"/>
      <c r="AI774" s="51"/>
      <c r="AJ774" s="51"/>
      <c r="AK774" s="138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139"/>
    </row>
    <row r="775" spans="2:61" ht="20.100000000000001" customHeight="1" x14ac:dyDescent="0.45">
      <c r="B775" s="133"/>
      <c r="C775" s="27"/>
      <c r="D775" s="27"/>
      <c r="E775" s="27"/>
      <c r="F775" s="27"/>
      <c r="G775" s="134"/>
      <c r="H775" s="135"/>
      <c r="I775" s="27"/>
      <c r="J775" s="140" t="s">
        <v>290</v>
      </c>
      <c r="K775" s="51"/>
      <c r="L775" s="51"/>
      <c r="M775" s="51"/>
      <c r="N775" s="51"/>
      <c r="O775" s="51"/>
      <c r="P775" s="51"/>
      <c r="Q775" s="51"/>
      <c r="R775" s="141" t="s">
        <v>363</v>
      </c>
      <c r="S775" s="51"/>
      <c r="T775" s="51"/>
      <c r="U775" s="51"/>
      <c r="V775" s="51"/>
      <c r="W775" s="51"/>
      <c r="X775" s="51"/>
      <c r="Y775" s="51"/>
      <c r="Z775" s="51"/>
      <c r="AA775" s="51"/>
      <c r="AB775" s="51"/>
      <c r="AC775" s="51"/>
      <c r="AD775" s="51"/>
      <c r="AE775" s="51"/>
      <c r="AF775" s="51"/>
      <c r="AG775" s="51"/>
      <c r="AH775" s="51"/>
      <c r="AI775" s="51"/>
      <c r="AJ775" s="51"/>
      <c r="AK775" s="138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139"/>
    </row>
    <row r="776" spans="2:61" ht="20.100000000000001" customHeight="1" x14ac:dyDescent="0.45">
      <c r="B776" s="133"/>
      <c r="C776" s="27"/>
      <c r="D776" s="27"/>
      <c r="E776" s="27"/>
      <c r="F776" s="27"/>
      <c r="G776" s="134"/>
      <c r="H776" s="135"/>
      <c r="I776" s="27"/>
      <c r="J776" s="140" t="s">
        <v>177</v>
      </c>
      <c r="K776" s="51"/>
      <c r="L776" s="51"/>
      <c r="M776" s="51"/>
      <c r="N776" s="51"/>
      <c r="O776" s="51"/>
      <c r="P776" s="51"/>
      <c r="Q776" s="51"/>
      <c r="R776" s="140" t="s">
        <v>293</v>
      </c>
      <c r="S776" s="51"/>
      <c r="T776" s="51"/>
      <c r="U776" s="51"/>
      <c r="V776" s="51"/>
      <c r="W776" s="51"/>
      <c r="X776" s="51"/>
      <c r="Y776" s="51"/>
      <c r="Z776" s="51"/>
      <c r="AA776" s="51"/>
      <c r="AB776" s="51"/>
      <c r="AC776" s="51"/>
      <c r="AD776" s="51"/>
      <c r="AE776" s="51"/>
      <c r="AF776" s="51"/>
      <c r="AG776" s="51"/>
      <c r="AH776" s="51"/>
      <c r="AI776" s="51"/>
      <c r="AJ776" s="51"/>
      <c r="AK776" s="138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139"/>
    </row>
    <row r="777" spans="2:61" ht="20.100000000000001" customHeight="1" x14ac:dyDescent="0.45">
      <c r="B777" s="133"/>
      <c r="C777" s="27"/>
      <c r="D777" s="27"/>
      <c r="E777" s="27"/>
      <c r="F777" s="27"/>
      <c r="G777" s="134"/>
      <c r="H777" s="135"/>
      <c r="I777" s="27"/>
      <c r="J777" s="140" t="s">
        <v>294</v>
      </c>
      <c r="K777" s="51"/>
      <c r="L777" s="51"/>
      <c r="M777" s="51"/>
      <c r="N777" s="51"/>
      <c r="O777" s="51"/>
      <c r="P777" s="51"/>
      <c r="Q777" s="51"/>
      <c r="R777" s="140" t="s">
        <v>295</v>
      </c>
      <c r="S777" s="51"/>
      <c r="T777" s="51"/>
      <c r="U777" s="51"/>
      <c r="V777" s="51"/>
      <c r="W777" s="51"/>
      <c r="X777" s="51"/>
      <c r="Y777" s="51"/>
      <c r="Z777" s="51"/>
      <c r="AA777" s="51"/>
      <c r="AB777" s="51"/>
      <c r="AC777" s="51"/>
      <c r="AD777" s="51"/>
      <c r="AE777" s="51"/>
      <c r="AF777" s="51"/>
      <c r="AG777" s="51"/>
      <c r="AH777" s="51"/>
      <c r="AI777" s="51"/>
      <c r="AJ777" s="51"/>
      <c r="AK777" s="138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139"/>
    </row>
    <row r="778" spans="2:61" ht="20.100000000000001" customHeight="1" x14ac:dyDescent="0.45">
      <c r="B778" s="133"/>
      <c r="C778" s="27"/>
      <c r="D778" s="27"/>
      <c r="E778" s="27"/>
      <c r="F778" s="27"/>
      <c r="G778" s="134"/>
      <c r="H778" s="135"/>
      <c r="I778" s="27"/>
      <c r="J778" s="140" t="s">
        <v>296</v>
      </c>
      <c r="K778" s="51"/>
      <c r="L778" s="51"/>
      <c r="M778" s="51"/>
      <c r="N778" s="51"/>
      <c r="O778" s="51"/>
      <c r="P778" s="51"/>
      <c r="Q778" s="51"/>
      <c r="R778" s="140" t="s">
        <v>297</v>
      </c>
      <c r="S778" s="51"/>
      <c r="T778" s="51"/>
      <c r="U778" s="51"/>
      <c r="V778" s="51"/>
      <c r="W778" s="51"/>
      <c r="X778" s="51"/>
      <c r="Y778" s="51"/>
      <c r="Z778" s="51"/>
      <c r="AA778" s="51"/>
      <c r="AB778" s="51"/>
      <c r="AC778" s="51"/>
      <c r="AD778" s="51"/>
      <c r="AE778" s="51"/>
      <c r="AF778" s="51"/>
      <c r="AG778" s="51"/>
      <c r="AH778" s="51"/>
      <c r="AI778" s="51"/>
      <c r="AJ778" s="51"/>
      <c r="AK778" s="138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139"/>
    </row>
    <row r="779" spans="2:61" ht="20.100000000000001" customHeight="1" x14ac:dyDescent="0.45">
      <c r="B779" s="133"/>
      <c r="C779" s="27"/>
      <c r="D779" s="27"/>
      <c r="E779" s="27"/>
      <c r="F779" s="27"/>
      <c r="G779" s="134"/>
      <c r="H779" s="135"/>
      <c r="I779" s="27"/>
      <c r="J779" s="140" t="s">
        <v>298</v>
      </c>
      <c r="K779" s="51"/>
      <c r="L779" s="51"/>
      <c r="M779" s="51"/>
      <c r="N779" s="51"/>
      <c r="O779" s="51"/>
      <c r="P779" s="51"/>
      <c r="Q779" s="51"/>
      <c r="R779" s="140" t="s">
        <v>299</v>
      </c>
      <c r="S779" s="51"/>
      <c r="T779" s="51"/>
      <c r="U779" s="51"/>
      <c r="V779" s="51"/>
      <c r="W779" s="51"/>
      <c r="X779" s="51"/>
      <c r="Y779" s="51"/>
      <c r="Z779" s="51"/>
      <c r="AA779" s="51"/>
      <c r="AB779" s="51"/>
      <c r="AC779" s="51"/>
      <c r="AD779" s="51"/>
      <c r="AE779" s="51"/>
      <c r="AF779" s="51"/>
      <c r="AG779" s="51"/>
      <c r="AH779" s="51"/>
      <c r="AI779" s="51"/>
      <c r="AJ779" s="51"/>
      <c r="AK779" s="138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139"/>
    </row>
    <row r="780" spans="2:61" ht="20.100000000000001" customHeight="1" x14ac:dyDescent="0.45">
      <c r="B780" s="133"/>
      <c r="C780" s="27"/>
      <c r="D780" s="27"/>
      <c r="E780" s="27"/>
      <c r="F780" s="27"/>
      <c r="G780" s="134"/>
      <c r="H780" s="135"/>
      <c r="I780" s="27"/>
      <c r="J780" s="140" t="s">
        <v>300</v>
      </c>
      <c r="K780" s="51"/>
      <c r="L780" s="51"/>
      <c r="M780" s="51"/>
      <c r="N780" s="51"/>
      <c r="O780" s="51"/>
      <c r="P780" s="51"/>
      <c r="Q780" s="51"/>
      <c r="R780" s="140" t="s">
        <v>301</v>
      </c>
      <c r="S780" s="51"/>
      <c r="T780" s="51"/>
      <c r="U780" s="51"/>
      <c r="V780" s="51"/>
      <c r="W780" s="51"/>
      <c r="X780" s="51"/>
      <c r="Y780" s="51"/>
      <c r="Z780" s="51"/>
      <c r="AA780" s="51"/>
      <c r="AB780" s="51"/>
      <c r="AC780" s="51"/>
      <c r="AD780" s="51"/>
      <c r="AE780" s="51"/>
      <c r="AF780" s="51"/>
      <c r="AG780" s="51"/>
      <c r="AH780" s="51"/>
      <c r="AI780" s="51"/>
      <c r="AJ780" s="51"/>
      <c r="AK780" s="138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139"/>
    </row>
    <row r="781" spans="2:61" ht="20.100000000000001" customHeight="1" x14ac:dyDescent="0.45">
      <c r="B781" s="133"/>
      <c r="C781" s="27"/>
      <c r="D781" s="27"/>
      <c r="E781" s="27"/>
      <c r="F781" s="27"/>
      <c r="G781" s="134"/>
      <c r="H781" s="135"/>
      <c r="I781" s="27"/>
      <c r="J781" s="140" t="s">
        <v>302</v>
      </c>
      <c r="K781" s="51"/>
      <c r="L781" s="51"/>
      <c r="M781" s="51"/>
      <c r="N781" s="51"/>
      <c r="O781" s="51"/>
      <c r="P781" s="51"/>
      <c r="Q781" s="51"/>
      <c r="R781" s="140" t="s">
        <v>303</v>
      </c>
      <c r="S781" s="51"/>
      <c r="T781" s="51"/>
      <c r="U781" s="51"/>
      <c r="V781" s="51"/>
      <c r="W781" s="51"/>
      <c r="X781" s="51"/>
      <c r="Y781" s="51"/>
      <c r="Z781" s="51"/>
      <c r="AA781" s="51"/>
      <c r="AB781" s="51"/>
      <c r="AC781" s="51"/>
      <c r="AD781" s="51"/>
      <c r="AE781" s="51"/>
      <c r="AF781" s="51"/>
      <c r="AG781" s="51"/>
      <c r="AH781" s="51"/>
      <c r="AI781" s="51"/>
      <c r="AJ781" s="51"/>
      <c r="AK781" s="138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139"/>
    </row>
    <row r="782" spans="2:61" ht="20.100000000000001" customHeight="1" x14ac:dyDescent="0.45">
      <c r="B782" s="133"/>
      <c r="C782" s="27"/>
      <c r="D782" s="27"/>
      <c r="E782" s="27"/>
      <c r="F782" s="27"/>
      <c r="G782" s="134"/>
      <c r="H782" s="135"/>
      <c r="I782" s="27"/>
      <c r="J782" s="140" t="s">
        <v>304</v>
      </c>
      <c r="K782" s="51"/>
      <c r="L782" s="51"/>
      <c r="M782" s="51"/>
      <c r="N782" s="51"/>
      <c r="O782" s="51"/>
      <c r="P782" s="51"/>
      <c r="Q782" s="51"/>
      <c r="R782" s="140" t="s">
        <v>305</v>
      </c>
      <c r="S782" s="51"/>
      <c r="T782" s="51"/>
      <c r="U782" s="51"/>
      <c r="V782" s="51"/>
      <c r="W782" s="51"/>
      <c r="X782" s="51"/>
      <c r="Y782" s="51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138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139"/>
    </row>
    <row r="783" spans="2:61" ht="20.100000000000001" customHeight="1" x14ac:dyDescent="0.45">
      <c r="B783" s="133"/>
      <c r="C783" s="27"/>
      <c r="D783" s="27"/>
      <c r="E783" s="27"/>
      <c r="F783" s="27"/>
      <c r="G783" s="134"/>
      <c r="H783" s="135"/>
      <c r="I783" s="27"/>
      <c r="J783" s="140" t="s">
        <v>306</v>
      </c>
      <c r="K783" s="51"/>
      <c r="L783" s="51"/>
      <c r="M783" s="51"/>
      <c r="N783" s="51"/>
      <c r="O783" s="51"/>
      <c r="P783" s="51"/>
      <c r="Q783" s="51"/>
      <c r="R783" s="140" t="s">
        <v>307</v>
      </c>
      <c r="S783" s="51"/>
      <c r="T783" s="51"/>
      <c r="U783" s="51"/>
      <c r="V783" s="51"/>
      <c r="W783" s="51"/>
      <c r="X783" s="51"/>
      <c r="Y783" s="51"/>
      <c r="Z783" s="51"/>
      <c r="AA783" s="51"/>
      <c r="AB783" s="51"/>
      <c r="AC783" s="51"/>
      <c r="AD783" s="51"/>
      <c r="AE783" s="51"/>
      <c r="AF783" s="51"/>
      <c r="AG783" s="51"/>
      <c r="AH783" s="51"/>
      <c r="AI783" s="51"/>
      <c r="AJ783" s="51"/>
      <c r="AK783" s="138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139"/>
    </row>
    <row r="784" spans="2:61" ht="20.100000000000001" customHeight="1" x14ac:dyDescent="0.45">
      <c r="B784" s="133"/>
      <c r="C784" s="27"/>
      <c r="D784" s="27"/>
      <c r="E784" s="27"/>
      <c r="F784" s="27"/>
      <c r="G784" s="134"/>
      <c r="H784" s="135"/>
      <c r="I784" s="27"/>
      <c r="J784" s="140" t="s">
        <v>308</v>
      </c>
      <c r="K784" s="51"/>
      <c r="L784" s="51"/>
      <c r="M784" s="51"/>
      <c r="N784" s="51"/>
      <c r="O784" s="51"/>
      <c r="P784" s="51"/>
      <c r="Q784" s="51"/>
      <c r="R784" s="140" t="s">
        <v>309</v>
      </c>
      <c r="S784" s="51"/>
      <c r="T784" s="51"/>
      <c r="U784" s="51"/>
      <c r="V784" s="51"/>
      <c r="W784" s="51"/>
      <c r="X784" s="51"/>
      <c r="Y784" s="51"/>
      <c r="Z784" s="51"/>
      <c r="AA784" s="51"/>
      <c r="AB784" s="51"/>
      <c r="AC784" s="51"/>
      <c r="AD784" s="51"/>
      <c r="AE784" s="51"/>
      <c r="AF784" s="51"/>
      <c r="AG784" s="51"/>
      <c r="AH784" s="51"/>
      <c r="AI784" s="51"/>
      <c r="AJ784" s="51"/>
      <c r="AK784" s="138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139"/>
    </row>
    <row r="785" spans="2:61" ht="20.100000000000001" customHeight="1" x14ac:dyDescent="0.45">
      <c r="B785" s="133"/>
      <c r="C785" s="27"/>
      <c r="D785" s="27"/>
      <c r="E785" s="27"/>
      <c r="F785" s="27"/>
      <c r="G785" s="134"/>
      <c r="H785" s="135"/>
      <c r="I785" s="27"/>
      <c r="J785" s="140" t="s">
        <v>310</v>
      </c>
      <c r="K785" s="51"/>
      <c r="L785" s="51"/>
      <c r="M785" s="51"/>
      <c r="N785" s="51"/>
      <c r="O785" s="51"/>
      <c r="P785" s="51"/>
      <c r="Q785" s="51"/>
      <c r="R785" s="140" t="s">
        <v>311</v>
      </c>
      <c r="S785" s="51"/>
      <c r="T785" s="51"/>
      <c r="U785" s="51"/>
      <c r="V785" s="51"/>
      <c r="W785" s="51"/>
      <c r="X785" s="51"/>
      <c r="Y785" s="51"/>
      <c r="Z785" s="51"/>
      <c r="AA785" s="51"/>
      <c r="AB785" s="51"/>
      <c r="AC785" s="51"/>
      <c r="AD785" s="51"/>
      <c r="AE785" s="51"/>
      <c r="AF785" s="51"/>
      <c r="AG785" s="51"/>
      <c r="AH785" s="51"/>
      <c r="AI785" s="51"/>
      <c r="AJ785" s="51"/>
      <c r="AK785" s="138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139"/>
    </row>
    <row r="786" spans="2:61" ht="20.100000000000001" customHeight="1" x14ac:dyDescent="0.45">
      <c r="B786" s="133"/>
      <c r="C786" s="27"/>
      <c r="D786" s="27"/>
      <c r="E786" s="27"/>
      <c r="F786" s="27"/>
      <c r="G786" s="134"/>
      <c r="H786" s="140" t="s">
        <v>159</v>
      </c>
      <c r="I786" s="51"/>
      <c r="J786" s="140" t="s">
        <v>312</v>
      </c>
      <c r="K786" s="51"/>
      <c r="L786" s="48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  <c r="AB786" s="51"/>
      <c r="AC786" s="51"/>
      <c r="AD786" s="51"/>
      <c r="AE786" s="51"/>
      <c r="AF786" s="51"/>
      <c r="AG786" s="51"/>
      <c r="AH786" s="51"/>
      <c r="AI786" s="51"/>
      <c r="AJ786" s="51"/>
      <c r="AK786" s="141"/>
      <c r="AL786" s="51"/>
      <c r="AM786" s="51"/>
      <c r="AN786" s="51"/>
      <c r="AO786" s="51"/>
      <c r="AP786" s="51"/>
      <c r="AQ786" s="51"/>
      <c r="AR786" s="51"/>
      <c r="AS786" s="51"/>
      <c r="AT786" s="51"/>
      <c r="AU786" s="51"/>
      <c r="AV786" s="51"/>
      <c r="AW786" s="51"/>
      <c r="AX786" s="51"/>
      <c r="AY786" s="51"/>
      <c r="AZ786" s="51"/>
      <c r="BA786" s="51"/>
      <c r="BB786" s="51"/>
      <c r="BC786" s="51"/>
      <c r="BD786" s="51"/>
      <c r="BE786" s="51"/>
      <c r="BF786" s="51"/>
      <c r="BG786" s="51"/>
      <c r="BH786" s="51"/>
      <c r="BI786" s="142"/>
    </row>
    <row r="787" spans="2:61" ht="20.100000000000001" customHeight="1" x14ac:dyDescent="0.45">
      <c r="B787" s="133"/>
      <c r="C787" s="27"/>
      <c r="D787" s="27"/>
      <c r="E787" s="27"/>
      <c r="F787" s="27"/>
      <c r="G787" s="134"/>
      <c r="H787" s="140" t="s">
        <v>160</v>
      </c>
      <c r="I787" s="51"/>
      <c r="J787" s="140" t="s">
        <v>313</v>
      </c>
      <c r="K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  <c r="AB787" s="51"/>
      <c r="AC787" s="51"/>
      <c r="AD787" s="51"/>
      <c r="AE787" s="51"/>
      <c r="AF787" s="51"/>
      <c r="AG787" s="51"/>
      <c r="AH787" s="51"/>
      <c r="AI787" s="51"/>
      <c r="AJ787" s="51"/>
      <c r="AK787" s="141"/>
      <c r="AL787" s="51"/>
      <c r="AM787" s="51"/>
      <c r="AN787" s="51"/>
      <c r="AO787" s="51"/>
      <c r="AP787" s="51"/>
      <c r="AQ787" s="51"/>
      <c r="AR787" s="51"/>
      <c r="AS787" s="51"/>
      <c r="AT787" s="51"/>
      <c r="AU787" s="51"/>
      <c r="AV787" s="51"/>
      <c r="AW787" s="51"/>
      <c r="AX787" s="51"/>
      <c r="AY787" s="51"/>
      <c r="AZ787" s="51"/>
      <c r="BA787" s="51"/>
      <c r="BB787" s="51"/>
      <c r="BC787" s="51"/>
      <c r="BD787" s="51"/>
      <c r="BE787" s="51"/>
      <c r="BF787" s="51"/>
      <c r="BG787" s="51"/>
      <c r="BH787" s="51"/>
      <c r="BI787" s="142"/>
    </row>
    <row r="788" spans="2:61" ht="20.100000000000001" customHeight="1" x14ac:dyDescent="0.45">
      <c r="B788" s="143"/>
      <c r="C788" s="27"/>
      <c r="D788" s="27"/>
      <c r="E788" s="27"/>
      <c r="F788" s="27"/>
      <c r="G788" s="134"/>
      <c r="H788" s="140" t="s">
        <v>161</v>
      </c>
      <c r="I788" s="51"/>
      <c r="J788" s="140" t="s">
        <v>317</v>
      </c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  <c r="AB788" s="51"/>
      <c r="AC788" s="51"/>
      <c r="AD788" s="51"/>
      <c r="AE788" s="51"/>
      <c r="AF788" s="51"/>
      <c r="AG788" s="51"/>
      <c r="AH788" s="51"/>
      <c r="AI788" s="51"/>
      <c r="AJ788" s="51"/>
      <c r="AK788" s="141"/>
      <c r="AL788" s="51"/>
      <c r="AM788" s="51"/>
      <c r="AN788" s="51"/>
      <c r="AO788" s="51"/>
      <c r="AP788" s="51"/>
      <c r="AQ788" s="51"/>
      <c r="AR788" s="51"/>
      <c r="AS788" s="51"/>
      <c r="AT788" s="51"/>
      <c r="AU788" s="51"/>
      <c r="AV788" s="51"/>
      <c r="AW788" s="51"/>
      <c r="AX788" s="51"/>
      <c r="AY788" s="51"/>
      <c r="AZ788" s="51"/>
      <c r="BA788" s="51"/>
      <c r="BB788" s="51"/>
      <c r="BC788" s="51"/>
      <c r="BD788" s="51"/>
      <c r="BE788" s="51"/>
      <c r="BF788" s="51"/>
      <c r="BG788" s="51"/>
      <c r="BH788" s="51"/>
      <c r="BI788" s="142"/>
    </row>
    <row r="789" spans="2:61" ht="20.100000000000001" customHeight="1" x14ac:dyDescent="0.45">
      <c r="B789" s="143"/>
      <c r="C789" s="27"/>
      <c r="D789" s="27"/>
      <c r="E789" s="27"/>
      <c r="F789" s="27"/>
      <c r="G789" s="134"/>
      <c r="H789" s="135"/>
      <c r="I789" s="27"/>
      <c r="J789" s="135" t="s">
        <v>321</v>
      </c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138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139"/>
    </row>
    <row r="790" spans="2:61" ht="20.100000000000001" customHeight="1" x14ac:dyDescent="0.45">
      <c r="B790" s="143"/>
      <c r="C790" s="27"/>
      <c r="D790" s="27"/>
      <c r="E790" s="27"/>
      <c r="F790" s="27"/>
      <c r="G790" s="134"/>
      <c r="H790" s="135"/>
      <c r="I790" s="27"/>
      <c r="J790" s="135" t="s">
        <v>322</v>
      </c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138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139"/>
    </row>
    <row r="791" spans="2:61" ht="20.100000000000001" customHeight="1" x14ac:dyDescent="0.45">
      <c r="B791" s="143"/>
      <c r="C791" s="27"/>
      <c r="D791" s="27"/>
      <c r="E791" s="27"/>
      <c r="F791" s="27"/>
      <c r="G791" s="134"/>
      <c r="H791" s="135"/>
      <c r="I791" s="27"/>
      <c r="J791" s="135"/>
      <c r="K791" s="27" t="s">
        <v>772</v>
      </c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138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139"/>
    </row>
    <row r="792" spans="2:61" ht="20.100000000000001" customHeight="1" x14ac:dyDescent="0.45">
      <c r="B792" s="143"/>
      <c r="C792" s="27"/>
      <c r="D792" s="27"/>
      <c r="E792" s="27"/>
      <c r="F792" s="27"/>
      <c r="G792" s="134"/>
      <c r="H792" s="135"/>
      <c r="I792" s="27"/>
      <c r="J792" s="135"/>
      <c r="K792" s="27" t="s">
        <v>355</v>
      </c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138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139"/>
    </row>
    <row r="793" spans="2:61" ht="20.100000000000001" customHeight="1" x14ac:dyDescent="0.45">
      <c r="B793" s="143"/>
      <c r="C793" s="27"/>
      <c r="D793" s="27"/>
      <c r="E793" s="27"/>
      <c r="F793" s="27"/>
      <c r="G793" s="134"/>
      <c r="H793" s="135"/>
      <c r="I793" s="27"/>
      <c r="J793" s="135" t="s">
        <v>356</v>
      </c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138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139"/>
    </row>
    <row r="794" spans="2:61" ht="20.100000000000001" customHeight="1" x14ac:dyDescent="0.45">
      <c r="B794" s="143"/>
      <c r="C794" s="27"/>
      <c r="D794" s="27"/>
      <c r="E794" s="27"/>
      <c r="F794" s="27"/>
      <c r="G794" s="134"/>
      <c r="H794" s="135"/>
      <c r="I794" s="27"/>
      <c r="J794" s="135"/>
      <c r="K794" s="27" t="s">
        <v>773</v>
      </c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138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139"/>
    </row>
    <row r="795" spans="2:61" ht="20.100000000000001" customHeight="1" thickBot="1" x14ac:dyDescent="0.5">
      <c r="B795" s="143"/>
      <c r="C795" s="27"/>
      <c r="D795" s="27"/>
      <c r="E795" s="27"/>
      <c r="F795" s="27"/>
      <c r="G795" s="134"/>
      <c r="H795" s="135"/>
      <c r="I795" s="27"/>
      <c r="J795" s="135"/>
      <c r="K795" s="27" t="s">
        <v>355</v>
      </c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138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139"/>
    </row>
    <row r="796" spans="2:61" ht="20.100000000000001" customHeight="1" x14ac:dyDescent="0.45">
      <c r="B796" s="124" t="s">
        <v>772</v>
      </c>
      <c r="C796" s="125"/>
      <c r="D796" s="125"/>
      <c r="E796" s="125"/>
      <c r="F796" s="125"/>
      <c r="G796" s="126"/>
      <c r="H796" s="127" t="s">
        <v>158</v>
      </c>
      <c r="I796" s="125"/>
      <c r="J796" s="128" t="s">
        <v>302</v>
      </c>
      <c r="K796" s="129"/>
      <c r="L796" s="129"/>
      <c r="M796" s="129"/>
      <c r="N796" s="129"/>
      <c r="O796" s="129"/>
      <c r="P796" s="129"/>
      <c r="Q796" s="130"/>
      <c r="R796" s="129" t="s">
        <v>357</v>
      </c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30"/>
      <c r="AK796" s="131"/>
      <c r="AL796" s="125"/>
      <c r="AM796" s="125"/>
      <c r="AN796" s="125"/>
      <c r="AO796" s="125"/>
      <c r="AP796" s="125"/>
      <c r="AQ796" s="125"/>
      <c r="AR796" s="125"/>
      <c r="AS796" s="125"/>
      <c r="AT796" s="125"/>
      <c r="AU796" s="125"/>
      <c r="AV796" s="125"/>
      <c r="AW796" s="125"/>
      <c r="AX796" s="125"/>
      <c r="AY796" s="125"/>
      <c r="AZ796" s="125"/>
      <c r="BA796" s="125"/>
      <c r="BB796" s="125"/>
      <c r="BC796" s="125"/>
      <c r="BD796" s="125"/>
      <c r="BE796" s="125"/>
      <c r="BF796" s="125"/>
      <c r="BG796" s="125"/>
      <c r="BH796" s="125"/>
      <c r="BI796" s="132"/>
    </row>
    <row r="797" spans="2:61" ht="20.100000000000001" customHeight="1" x14ac:dyDescent="0.45">
      <c r="B797" s="133"/>
      <c r="C797" s="27"/>
      <c r="D797" s="27"/>
      <c r="E797" s="27"/>
      <c r="F797" s="27"/>
      <c r="G797" s="134"/>
      <c r="H797" s="140" t="s">
        <v>159</v>
      </c>
      <c r="I797" s="51"/>
      <c r="J797" s="140" t="s">
        <v>328</v>
      </c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  <c r="AB797" s="51"/>
      <c r="AC797" s="51"/>
      <c r="AD797" s="51"/>
      <c r="AE797" s="51"/>
      <c r="AF797" s="51"/>
      <c r="AG797" s="51"/>
      <c r="AH797" s="51"/>
      <c r="AI797" s="51"/>
      <c r="AJ797" s="51"/>
      <c r="AK797" s="141"/>
      <c r="AL797" s="51"/>
      <c r="AM797" s="51"/>
      <c r="AN797" s="51"/>
      <c r="AO797" s="51"/>
      <c r="AP797" s="51"/>
      <c r="AQ797" s="51"/>
      <c r="AR797" s="51"/>
      <c r="AS797" s="51"/>
      <c r="AT797" s="51"/>
      <c r="AU797" s="51"/>
      <c r="AV797" s="51"/>
      <c r="AW797" s="51"/>
      <c r="AX797" s="51"/>
      <c r="AY797" s="51"/>
      <c r="AZ797" s="51"/>
      <c r="BA797" s="51"/>
      <c r="BB797" s="51"/>
      <c r="BC797" s="51"/>
      <c r="BD797" s="51"/>
      <c r="BE797" s="51"/>
      <c r="BF797" s="51"/>
      <c r="BG797" s="51"/>
      <c r="BH797" s="51"/>
      <c r="BI797" s="142"/>
    </row>
    <row r="798" spans="2:61" ht="20.100000000000001" customHeight="1" x14ac:dyDescent="0.45">
      <c r="B798" s="143"/>
      <c r="C798" s="27"/>
      <c r="D798" s="27"/>
      <c r="E798" s="27"/>
      <c r="F798" s="27"/>
      <c r="G798" s="134"/>
      <c r="H798" s="140" t="s">
        <v>161</v>
      </c>
      <c r="I798" s="51"/>
      <c r="J798" s="140" t="s">
        <v>330</v>
      </c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  <c r="AB798" s="51"/>
      <c r="AC798" s="51"/>
      <c r="AD798" s="51"/>
      <c r="AE798" s="51"/>
      <c r="AF798" s="51"/>
      <c r="AG798" s="51"/>
      <c r="AH798" s="51"/>
      <c r="AI798" s="51"/>
      <c r="AJ798" s="51"/>
      <c r="AK798" s="141"/>
      <c r="AL798" s="51"/>
      <c r="AM798" s="51"/>
      <c r="AN798" s="51"/>
      <c r="AO798" s="51"/>
      <c r="AP798" s="51"/>
      <c r="AQ798" s="51"/>
      <c r="AR798" s="51"/>
      <c r="AS798" s="51"/>
      <c r="AT798" s="51"/>
      <c r="AU798" s="51"/>
      <c r="AV798" s="51"/>
      <c r="AW798" s="51"/>
      <c r="AX798" s="51"/>
      <c r="AY798" s="51"/>
      <c r="AZ798" s="51"/>
      <c r="BA798" s="51"/>
      <c r="BB798" s="51"/>
      <c r="BC798" s="51"/>
      <c r="BD798" s="51"/>
      <c r="BE798" s="51"/>
      <c r="BF798" s="51"/>
      <c r="BG798" s="51"/>
      <c r="BH798" s="51"/>
      <c r="BI798" s="142"/>
    </row>
    <row r="799" spans="2:61" ht="20.100000000000001" customHeight="1" x14ac:dyDescent="0.45">
      <c r="B799" s="143"/>
      <c r="C799" s="27"/>
      <c r="D799" s="27"/>
      <c r="E799" s="27"/>
      <c r="F799" s="27"/>
      <c r="G799" s="134"/>
      <c r="H799" s="135"/>
      <c r="I799" s="27"/>
      <c r="J799" s="135"/>
      <c r="K799" s="27" t="s">
        <v>331</v>
      </c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138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139"/>
    </row>
    <row r="800" spans="2:61" ht="20.100000000000001" customHeight="1" x14ac:dyDescent="0.45">
      <c r="B800" s="143"/>
      <c r="C800" s="27"/>
      <c r="D800" s="27"/>
      <c r="E800" s="27"/>
      <c r="F800" s="27"/>
      <c r="G800" s="134"/>
      <c r="H800" s="135"/>
      <c r="I800" s="27"/>
      <c r="J800" s="135"/>
      <c r="K800" s="27" t="s">
        <v>333</v>
      </c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138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139"/>
    </row>
    <row r="801" spans="2:61" ht="20.100000000000001" customHeight="1" thickBot="1" x14ac:dyDescent="0.5">
      <c r="B801" s="143"/>
      <c r="C801" s="27"/>
      <c r="D801" s="27"/>
      <c r="E801" s="27"/>
      <c r="F801" s="27"/>
      <c r="G801" s="134"/>
      <c r="H801" s="140" t="s">
        <v>334</v>
      </c>
      <c r="I801" s="51"/>
      <c r="J801" s="140" t="s">
        <v>335</v>
      </c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  <c r="AB801" s="51"/>
      <c r="AC801" s="51"/>
      <c r="AD801" s="51"/>
      <c r="AE801" s="51"/>
      <c r="AF801" s="51"/>
      <c r="AG801" s="51"/>
      <c r="AH801" s="51"/>
      <c r="AI801" s="51"/>
      <c r="AJ801" s="51"/>
      <c r="AK801" s="141"/>
      <c r="AL801" s="51"/>
      <c r="AM801" s="51"/>
      <c r="AN801" s="51"/>
      <c r="AO801" s="51"/>
      <c r="AP801" s="51"/>
      <c r="AQ801" s="51"/>
      <c r="AR801" s="51"/>
      <c r="AS801" s="51"/>
      <c r="AT801" s="51"/>
      <c r="AU801" s="51"/>
      <c r="AV801" s="51"/>
      <c r="AW801" s="51"/>
      <c r="AX801" s="51"/>
      <c r="AY801" s="51"/>
      <c r="AZ801" s="51"/>
      <c r="BA801" s="51"/>
      <c r="BB801" s="51"/>
      <c r="BC801" s="51"/>
      <c r="BD801" s="51"/>
      <c r="BE801" s="51"/>
      <c r="BF801" s="51"/>
      <c r="BG801" s="51"/>
      <c r="BH801" s="51"/>
      <c r="BI801" s="142"/>
    </row>
    <row r="802" spans="2:61" ht="20.100000000000001" customHeight="1" x14ac:dyDescent="0.45">
      <c r="B802" s="124" t="s">
        <v>773</v>
      </c>
      <c r="C802" s="125"/>
      <c r="D802" s="125"/>
      <c r="E802" s="125"/>
      <c r="F802" s="125"/>
      <c r="G802" s="126"/>
      <c r="H802" s="127" t="s">
        <v>158</v>
      </c>
      <c r="I802" s="125"/>
      <c r="J802" s="128" t="s">
        <v>304</v>
      </c>
      <c r="K802" s="129"/>
      <c r="L802" s="129"/>
      <c r="M802" s="129"/>
      <c r="N802" s="129"/>
      <c r="O802" s="129"/>
      <c r="P802" s="129"/>
      <c r="Q802" s="130"/>
      <c r="R802" s="129" t="s">
        <v>358</v>
      </c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30"/>
      <c r="AK802" s="131"/>
      <c r="AL802" s="125"/>
      <c r="AM802" s="125"/>
      <c r="AN802" s="125"/>
      <c r="AO802" s="125"/>
      <c r="AP802" s="125"/>
      <c r="AQ802" s="125"/>
      <c r="AR802" s="125"/>
      <c r="AS802" s="125"/>
      <c r="AT802" s="125"/>
      <c r="AU802" s="125"/>
      <c r="AV802" s="125"/>
      <c r="AW802" s="125"/>
      <c r="AX802" s="125"/>
      <c r="AY802" s="125"/>
      <c r="AZ802" s="125"/>
      <c r="BA802" s="125"/>
      <c r="BB802" s="125"/>
      <c r="BC802" s="125"/>
      <c r="BD802" s="125"/>
      <c r="BE802" s="125"/>
      <c r="BF802" s="125"/>
      <c r="BG802" s="125"/>
      <c r="BH802" s="125"/>
      <c r="BI802" s="132"/>
    </row>
    <row r="803" spans="2:61" ht="20.100000000000001" customHeight="1" x14ac:dyDescent="0.45">
      <c r="B803" s="133"/>
      <c r="C803" s="27"/>
      <c r="D803" s="27"/>
      <c r="E803" s="27"/>
      <c r="F803" s="27"/>
      <c r="G803" s="134"/>
      <c r="H803" s="140" t="s">
        <v>159</v>
      </c>
      <c r="I803" s="51"/>
      <c r="J803" s="140" t="s">
        <v>328</v>
      </c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  <c r="AB803" s="51"/>
      <c r="AC803" s="51"/>
      <c r="AD803" s="51"/>
      <c r="AE803" s="51"/>
      <c r="AF803" s="51"/>
      <c r="AG803" s="51"/>
      <c r="AH803" s="51"/>
      <c r="AI803" s="51"/>
      <c r="AJ803" s="51"/>
      <c r="AK803" s="141"/>
      <c r="AL803" s="51"/>
      <c r="AM803" s="51"/>
      <c r="AN803" s="51"/>
      <c r="AO803" s="51"/>
      <c r="AP803" s="51"/>
      <c r="AQ803" s="51"/>
      <c r="AR803" s="51"/>
      <c r="AS803" s="51"/>
      <c r="AT803" s="51"/>
      <c r="AU803" s="51"/>
      <c r="AV803" s="51"/>
      <c r="AW803" s="51"/>
      <c r="AX803" s="51"/>
      <c r="AY803" s="51"/>
      <c r="AZ803" s="51"/>
      <c r="BA803" s="51"/>
      <c r="BB803" s="51"/>
      <c r="BC803" s="51"/>
      <c r="BD803" s="51"/>
      <c r="BE803" s="51"/>
      <c r="BF803" s="51"/>
      <c r="BG803" s="51"/>
      <c r="BH803" s="51"/>
      <c r="BI803" s="142"/>
    </row>
    <row r="804" spans="2:61" ht="20.100000000000001" customHeight="1" x14ac:dyDescent="0.45">
      <c r="B804" s="143"/>
      <c r="C804" s="27"/>
      <c r="D804" s="27"/>
      <c r="E804" s="27"/>
      <c r="F804" s="27"/>
      <c r="G804" s="134"/>
      <c r="H804" s="140" t="s">
        <v>161</v>
      </c>
      <c r="I804" s="51"/>
      <c r="J804" s="140" t="s">
        <v>330</v>
      </c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  <c r="AB804" s="51"/>
      <c r="AC804" s="51"/>
      <c r="AD804" s="51"/>
      <c r="AE804" s="51"/>
      <c r="AF804" s="51"/>
      <c r="AG804" s="51"/>
      <c r="AH804" s="51"/>
      <c r="AI804" s="51"/>
      <c r="AJ804" s="51"/>
      <c r="AK804" s="141"/>
      <c r="AL804" s="51"/>
      <c r="AM804" s="51"/>
      <c r="AN804" s="51"/>
      <c r="AO804" s="51"/>
      <c r="AP804" s="51"/>
      <c r="AQ804" s="51"/>
      <c r="AR804" s="51"/>
      <c r="AS804" s="51"/>
      <c r="AT804" s="51"/>
      <c r="AU804" s="51"/>
      <c r="AV804" s="51"/>
      <c r="AW804" s="51"/>
      <c r="AX804" s="51"/>
      <c r="AY804" s="51"/>
      <c r="AZ804" s="51"/>
      <c r="BA804" s="51"/>
      <c r="BB804" s="51"/>
      <c r="BC804" s="51"/>
      <c r="BD804" s="51"/>
      <c r="BE804" s="51"/>
      <c r="BF804" s="51"/>
      <c r="BG804" s="51"/>
      <c r="BH804" s="51"/>
      <c r="BI804" s="142"/>
    </row>
    <row r="805" spans="2:61" ht="20.100000000000001" customHeight="1" x14ac:dyDescent="0.45">
      <c r="B805" s="143"/>
      <c r="C805" s="27"/>
      <c r="D805" s="27"/>
      <c r="E805" s="27"/>
      <c r="F805" s="27"/>
      <c r="G805" s="134"/>
      <c r="H805" s="135"/>
      <c r="I805" s="27"/>
      <c r="J805" s="135"/>
      <c r="K805" s="27" t="s">
        <v>331</v>
      </c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138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139"/>
    </row>
    <row r="806" spans="2:61" ht="20.100000000000001" customHeight="1" x14ac:dyDescent="0.45">
      <c r="B806" s="143"/>
      <c r="C806" s="27"/>
      <c r="D806" s="27"/>
      <c r="E806" s="27"/>
      <c r="F806" s="27"/>
      <c r="G806" s="134"/>
      <c r="H806" s="135"/>
      <c r="I806" s="27"/>
      <c r="J806" s="135"/>
      <c r="K806" s="27" t="s">
        <v>333</v>
      </c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138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139"/>
    </row>
    <row r="807" spans="2:61" ht="20.100000000000001" customHeight="1" thickBot="1" x14ac:dyDescent="0.5">
      <c r="B807" s="143"/>
      <c r="C807" s="27"/>
      <c r="D807" s="27"/>
      <c r="E807" s="27"/>
      <c r="F807" s="27"/>
      <c r="G807" s="134"/>
      <c r="H807" s="140" t="s">
        <v>334</v>
      </c>
      <c r="I807" s="51"/>
      <c r="J807" s="140" t="s">
        <v>335</v>
      </c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  <c r="AB807" s="51"/>
      <c r="AC807" s="51"/>
      <c r="AD807" s="51"/>
      <c r="AE807" s="51"/>
      <c r="AF807" s="51"/>
      <c r="AG807" s="51"/>
      <c r="AH807" s="51"/>
      <c r="AI807" s="51"/>
      <c r="AJ807" s="51"/>
      <c r="AK807" s="141"/>
      <c r="AL807" s="51"/>
      <c r="AM807" s="51"/>
      <c r="AN807" s="51"/>
      <c r="AO807" s="51"/>
      <c r="AP807" s="51"/>
      <c r="AQ807" s="51"/>
      <c r="AR807" s="51"/>
      <c r="AS807" s="51"/>
      <c r="AT807" s="51"/>
      <c r="AU807" s="51"/>
      <c r="AV807" s="51"/>
      <c r="AW807" s="51"/>
      <c r="AX807" s="51"/>
      <c r="AY807" s="51"/>
      <c r="AZ807" s="51"/>
      <c r="BA807" s="51"/>
      <c r="BB807" s="51"/>
      <c r="BC807" s="51"/>
      <c r="BD807" s="51"/>
      <c r="BE807" s="51"/>
      <c r="BF807" s="51"/>
      <c r="BG807" s="51"/>
      <c r="BH807" s="51"/>
      <c r="BI807" s="142"/>
    </row>
    <row r="808" spans="2:61" ht="20.100000000000001" customHeight="1" x14ac:dyDescent="0.45">
      <c r="B808" s="124" t="s">
        <v>768</v>
      </c>
      <c r="C808" s="125"/>
      <c r="D808" s="125"/>
      <c r="E808" s="125"/>
      <c r="F808" s="125"/>
      <c r="G808" s="126"/>
      <c r="H808" s="127" t="s">
        <v>158</v>
      </c>
      <c r="I808" s="125"/>
      <c r="J808" s="128" t="s">
        <v>241</v>
      </c>
      <c r="K808" s="129"/>
      <c r="L808" s="129"/>
      <c r="M808" s="129"/>
      <c r="N808" s="129"/>
      <c r="O808" s="129"/>
      <c r="P808" s="129"/>
      <c r="Q808" s="130"/>
      <c r="R808" s="129">
        <v>2</v>
      </c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30"/>
      <c r="AK808" s="131" t="s">
        <v>336</v>
      </c>
      <c r="AL808" s="125"/>
      <c r="AM808" s="125"/>
      <c r="AN808" s="125"/>
      <c r="AO808" s="125"/>
      <c r="AP808" s="125"/>
      <c r="AQ808" s="125"/>
      <c r="AR808" s="125"/>
      <c r="AS808" s="125"/>
      <c r="AT808" s="125"/>
      <c r="AU808" s="125"/>
      <c r="AV808" s="125"/>
      <c r="AW808" s="125"/>
      <c r="AX808" s="125"/>
      <c r="AY808" s="125"/>
      <c r="AZ808" s="125"/>
      <c r="BA808" s="125"/>
      <c r="BB808" s="125"/>
      <c r="BC808" s="125"/>
      <c r="BD808" s="125"/>
      <c r="BE808" s="125"/>
      <c r="BF808" s="125"/>
      <c r="BG808" s="125"/>
      <c r="BH808" s="125"/>
      <c r="BI808" s="132"/>
    </row>
    <row r="809" spans="2:61" ht="20.100000000000001" customHeight="1" x14ac:dyDescent="0.45">
      <c r="B809" s="133"/>
      <c r="C809" s="27"/>
      <c r="D809" s="27"/>
      <c r="E809" s="27"/>
      <c r="F809" s="27"/>
      <c r="G809" s="134"/>
      <c r="H809" s="135"/>
      <c r="I809" s="27"/>
      <c r="J809" s="144" t="s">
        <v>163</v>
      </c>
      <c r="K809" s="145"/>
      <c r="L809" s="145"/>
      <c r="M809" s="145"/>
      <c r="N809" s="145"/>
      <c r="O809" s="145"/>
      <c r="P809" s="145"/>
      <c r="Q809" s="156"/>
      <c r="R809" s="145" t="s">
        <v>164</v>
      </c>
      <c r="S809" s="145"/>
      <c r="T809" s="145"/>
      <c r="U809" s="145"/>
      <c r="V809" s="145"/>
      <c r="W809" s="145"/>
      <c r="X809" s="145"/>
      <c r="Y809" s="145"/>
      <c r="Z809" s="145"/>
      <c r="AA809" s="145"/>
      <c r="AB809" s="145"/>
      <c r="AC809" s="145"/>
      <c r="AD809" s="145"/>
      <c r="AE809" s="145"/>
      <c r="AF809" s="145"/>
      <c r="AG809" s="145"/>
      <c r="AH809" s="145"/>
      <c r="AI809" s="145"/>
      <c r="AJ809" s="156"/>
      <c r="AK809" s="138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139"/>
    </row>
    <row r="810" spans="2:61" ht="20.100000000000001" customHeight="1" x14ac:dyDescent="0.45">
      <c r="B810" s="133"/>
      <c r="C810" s="27"/>
      <c r="D810" s="27"/>
      <c r="E810" s="27"/>
      <c r="F810" s="27"/>
      <c r="G810" s="134"/>
      <c r="H810" s="135"/>
      <c r="I810" s="27"/>
      <c r="J810" s="136" t="s">
        <v>244</v>
      </c>
      <c r="K810" s="48"/>
      <c r="L810" s="48"/>
      <c r="M810" s="48"/>
      <c r="N810" s="48"/>
      <c r="O810" s="48"/>
      <c r="P810" s="48"/>
      <c r="Q810" s="137"/>
      <c r="R810" s="157" t="s">
        <v>344</v>
      </c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137"/>
      <c r="AK810" s="138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139"/>
    </row>
    <row r="811" spans="2:61" ht="20.100000000000001" customHeight="1" x14ac:dyDescent="0.45">
      <c r="B811" s="133"/>
      <c r="C811" s="27"/>
      <c r="D811" s="27"/>
      <c r="E811" s="27"/>
      <c r="F811" s="27"/>
      <c r="G811" s="134"/>
      <c r="H811" s="135"/>
      <c r="I811" s="27"/>
      <c r="J811" s="140" t="s">
        <v>247</v>
      </c>
      <c r="K811" s="51"/>
      <c r="L811" s="51"/>
      <c r="M811" s="51"/>
      <c r="N811" s="51"/>
      <c r="O811" s="51"/>
      <c r="P811" s="51"/>
      <c r="Q811" s="51"/>
      <c r="R811" s="141" t="s">
        <v>345</v>
      </c>
      <c r="S811" s="51"/>
      <c r="T811" s="51"/>
      <c r="U811" s="51"/>
      <c r="V811" s="51"/>
      <c r="W811" s="51"/>
      <c r="X811" s="51"/>
      <c r="Y811" s="51"/>
      <c r="Z811" s="51"/>
      <c r="AA811" s="51"/>
      <c r="AB811" s="51"/>
      <c r="AC811" s="51"/>
      <c r="AD811" s="51"/>
      <c r="AE811" s="51"/>
      <c r="AF811" s="51"/>
      <c r="AG811" s="51"/>
      <c r="AH811" s="51"/>
      <c r="AI811" s="51"/>
      <c r="AJ811" s="51"/>
      <c r="AK811" s="138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139"/>
    </row>
    <row r="812" spans="2:61" ht="20.100000000000001" customHeight="1" x14ac:dyDescent="0.45">
      <c r="B812" s="133"/>
      <c r="C812" s="27"/>
      <c r="D812" s="27"/>
      <c r="E812" s="27"/>
      <c r="F812" s="27"/>
      <c r="G812" s="134"/>
      <c r="H812" s="135"/>
      <c r="I812" s="27"/>
      <c r="J812" s="140" t="s">
        <v>249</v>
      </c>
      <c r="K812" s="51"/>
      <c r="L812" s="51"/>
      <c r="M812" s="51"/>
      <c r="N812" s="51"/>
      <c r="O812" s="51"/>
      <c r="P812" s="51"/>
      <c r="Q812" s="51"/>
      <c r="R812" s="140" t="s">
        <v>250</v>
      </c>
      <c r="S812" s="51"/>
      <c r="T812" s="51"/>
      <c r="U812" s="51"/>
      <c r="V812" s="51"/>
      <c r="W812" s="51"/>
      <c r="X812" s="51"/>
      <c r="Y812" s="51"/>
      <c r="Z812" s="51"/>
      <c r="AA812" s="51"/>
      <c r="AB812" s="51"/>
      <c r="AC812" s="51"/>
      <c r="AD812" s="51"/>
      <c r="AE812" s="51"/>
      <c r="AF812" s="51"/>
      <c r="AG812" s="51"/>
      <c r="AH812" s="51"/>
      <c r="AI812" s="51"/>
      <c r="AJ812" s="51"/>
      <c r="AK812" s="138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139"/>
    </row>
    <row r="813" spans="2:61" ht="20.399999999999999" customHeight="1" x14ac:dyDescent="0.45">
      <c r="B813" s="133"/>
      <c r="C813" s="27"/>
      <c r="D813" s="27"/>
      <c r="E813" s="27"/>
      <c r="F813" s="27"/>
      <c r="G813" s="134"/>
      <c r="H813" s="135"/>
      <c r="I813" s="27"/>
      <c r="J813" s="140" t="s">
        <v>251</v>
      </c>
      <c r="K813" s="51"/>
      <c r="L813" s="51"/>
      <c r="M813" s="51"/>
      <c r="N813" s="51"/>
      <c r="O813" s="51"/>
      <c r="P813" s="51"/>
      <c r="Q813" s="51"/>
      <c r="R813" s="140" t="s">
        <v>252</v>
      </c>
      <c r="S813" s="51"/>
      <c r="T813" s="51"/>
      <c r="U813" s="51"/>
      <c r="V813" s="51"/>
      <c r="W813" s="51"/>
      <c r="X813" s="51"/>
      <c r="Y813" s="51"/>
      <c r="Z813" s="51"/>
      <c r="AA813" s="51"/>
      <c r="AB813" s="51"/>
      <c r="AC813" s="51"/>
      <c r="AD813" s="51"/>
      <c r="AE813" s="51"/>
      <c r="AF813" s="51"/>
      <c r="AG813" s="51"/>
      <c r="AH813" s="51"/>
      <c r="AI813" s="51"/>
      <c r="AJ813" s="51"/>
      <c r="AK813" s="138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139"/>
    </row>
    <row r="814" spans="2:61" ht="20.399999999999999" customHeight="1" x14ac:dyDescent="0.45">
      <c r="B814" s="133"/>
      <c r="C814" s="27"/>
      <c r="D814" s="27"/>
      <c r="E814" s="27"/>
      <c r="F814" s="27"/>
      <c r="G814" s="134"/>
      <c r="H814" s="135"/>
      <c r="I814" s="27"/>
      <c r="J814" s="140" t="s">
        <v>253</v>
      </c>
      <c r="K814" s="51"/>
      <c r="L814" s="51"/>
      <c r="M814" s="51"/>
      <c r="N814" s="51"/>
      <c r="O814" s="51"/>
      <c r="P814" s="51"/>
      <c r="Q814" s="51"/>
      <c r="R814" s="140" t="s">
        <v>254</v>
      </c>
      <c r="S814" s="51"/>
      <c r="T814" s="51"/>
      <c r="U814" s="51"/>
      <c r="V814" s="51"/>
      <c r="W814" s="51"/>
      <c r="X814" s="51"/>
      <c r="Y814" s="51"/>
      <c r="Z814" s="51"/>
      <c r="AA814" s="51"/>
      <c r="AB814" s="51"/>
      <c r="AC814" s="51"/>
      <c r="AD814" s="51"/>
      <c r="AE814" s="51"/>
      <c r="AF814" s="51"/>
      <c r="AG814" s="51"/>
      <c r="AH814" s="51"/>
      <c r="AI814" s="51"/>
      <c r="AJ814" s="51"/>
      <c r="AK814" s="138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139"/>
    </row>
    <row r="815" spans="2:61" ht="20.399999999999999" customHeight="1" x14ac:dyDescent="0.45">
      <c r="B815" s="133"/>
      <c r="C815" s="27"/>
      <c r="D815" s="27"/>
      <c r="E815" s="27"/>
      <c r="F815" s="27"/>
      <c r="G815" s="134"/>
      <c r="H815" s="135"/>
      <c r="I815" s="27"/>
      <c r="J815" s="140" t="s">
        <v>255</v>
      </c>
      <c r="K815" s="51"/>
      <c r="L815" s="51"/>
      <c r="M815" s="51"/>
      <c r="N815" s="51"/>
      <c r="O815" s="51"/>
      <c r="P815" s="51"/>
      <c r="Q815" s="51"/>
      <c r="R815" s="140" t="s">
        <v>256</v>
      </c>
      <c r="S815" s="51"/>
      <c r="T815" s="51"/>
      <c r="U815" s="51"/>
      <c r="V815" s="51"/>
      <c r="W815" s="51"/>
      <c r="X815" s="51"/>
      <c r="Y815" s="51"/>
      <c r="Z815" s="51"/>
      <c r="AA815" s="51"/>
      <c r="AB815" s="51"/>
      <c r="AC815" s="51"/>
      <c r="AD815" s="51"/>
      <c r="AE815" s="51"/>
      <c r="AF815" s="51"/>
      <c r="AG815" s="51"/>
      <c r="AH815" s="51"/>
      <c r="AI815" s="51"/>
      <c r="AJ815" s="51"/>
      <c r="AK815" s="138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139"/>
    </row>
    <row r="816" spans="2:61" ht="20.399999999999999" customHeight="1" x14ac:dyDescent="0.45">
      <c r="B816" s="133"/>
      <c r="C816" s="27"/>
      <c r="D816" s="27"/>
      <c r="E816" s="27"/>
      <c r="F816" s="27"/>
      <c r="G816" s="134"/>
      <c r="H816" s="135"/>
      <c r="I816" s="27"/>
      <c r="J816" s="140" t="s">
        <v>257</v>
      </c>
      <c r="K816" s="51"/>
      <c r="L816" s="51"/>
      <c r="M816" s="51"/>
      <c r="N816" s="51"/>
      <c r="O816" s="51"/>
      <c r="P816" s="51"/>
      <c r="Q816" s="51"/>
      <c r="R816" s="140" t="s">
        <v>258</v>
      </c>
      <c r="S816" s="51"/>
      <c r="T816" s="51"/>
      <c r="U816" s="51"/>
      <c r="V816" s="51"/>
      <c r="W816" s="51"/>
      <c r="X816" s="51"/>
      <c r="Y816" s="51"/>
      <c r="Z816" s="51"/>
      <c r="AA816" s="51"/>
      <c r="AB816" s="51"/>
      <c r="AC816" s="51"/>
      <c r="AD816" s="51"/>
      <c r="AE816" s="51"/>
      <c r="AF816" s="51"/>
      <c r="AG816" s="51"/>
      <c r="AH816" s="51"/>
      <c r="AI816" s="51"/>
      <c r="AJ816" s="51"/>
      <c r="AK816" s="138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139"/>
    </row>
    <row r="817" spans="2:61" ht="20.399999999999999" customHeight="1" x14ac:dyDescent="0.45">
      <c r="B817" s="133"/>
      <c r="C817" s="27"/>
      <c r="D817" s="27"/>
      <c r="E817" s="27"/>
      <c r="F817" s="27"/>
      <c r="G817" s="134"/>
      <c r="H817" s="135"/>
      <c r="I817" s="27"/>
      <c r="J817" s="140" t="s">
        <v>259</v>
      </c>
      <c r="K817" s="51"/>
      <c r="L817" s="51"/>
      <c r="M817" s="51"/>
      <c r="N817" s="51"/>
      <c r="O817" s="51"/>
      <c r="P817" s="51"/>
      <c r="Q817" s="51"/>
      <c r="R817" s="140" t="s">
        <v>260</v>
      </c>
      <c r="S817" s="51"/>
      <c r="T817" s="51"/>
      <c r="U817" s="51"/>
      <c r="V817" s="51"/>
      <c r="W817" s="51"/>
      <c r="X817" s="51"/>
      <c r="Y817" s="51"/>
      <c r="Z817" s="51"/>
      <c r="AA817" s="51"/>
      <c r="AB817" s="51"/>
      <c r="AC817" s="51"/>
      <c r="AD817" s="51"/>
      <c r="AE817" s="51"/>
      <c r="AF817" s="51"/>
      <c r="AG817" s="51"/>
      <c r="AH817" s="51"/>
      <c r="AI817" s="51"/>
      <c r="AJ817" s="51"/>
      <c r="AK817" s="138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139"/>
    </row>
    <row r="818" spans="2:61" ht="20.399999999999999" customHeight="1" x14ac:dyDescent="0.45">
      <c r="B818" s="133"/>
      <c r="C818" s="27"/>
      <c r="D818" s="27"/>
      <c r="E818" s="27"/>
      <c r="F818" s="27"/>
      <c r="G818" s="134"/>
      <c r="H818" s="135"/>
      <c r="I818" s="27"/>
      <c r="J818" s="140" t="s">
        <v>261</v>
      </c>
      <c r="K818" s="51"/>
      <c r="L818" s="51"/>
      <c r="M818" s="51"/>
      <c r="N818" s="51"/>
      <c r="O818" s="51"/>
      <c r="P818" s="51"/>
      <c r="Q818" s="51"/>
      <c r="R818" s="140" t="s">
        <v>262</v>
      </c>
      <c r="S818" s="51"/>
      <c r="T818" s="51"/>
      <c r="U818" s="51"/>
      <c r="V818" s="51"/>
      <c r="W818" s="51"/>
      <c r="X818" s="51"/>
      <c r="Y818" s="51"/>
      <c r="Z818" s="51"/>
      <c r="AA818" s="51"/>
      <c r="AB818" s="51"/>
      <c r="AC818" s="51"/>
      <c r="AD818" s="51"/>
      <c r="AE818" s="51"/>
      <c r="AF818" s="51"/>
      <c r="AG818" s="51"/>
      <c r="AH818" s="51"/>
      <c r="AI818" s="51"/>
      <c r="AJ818" s="51"/>
      <c r="AK818" s="138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139"/>
    </row>
    <row r="819" spans="2:61" ht="20.399999999999999" customHeight="1" x14ac:dyDescent="0.45">
      <c r="B819" s="133"/>
      <c r="C819" s="27"/>
      <c r="D819" s="27"/>
      <c r="E819" s="27"/>
      <c r="F819" s="27"/>
      <c r="G819" s="134"/>
      <c r="H819" s="135"/>
      <c r="I819" s="27"/>
      <c r="J819" s="140" t="s">
        <v>263</v>
      </c>
      <c r="K819" s="51"/>
      <c r="L819" s="51"/>
      <c r="M819" s="51"/>
      <c r="N819" s="51"/>
      <c r="O819" s="51"/>
      <c r="P819" s="51"/>
      <c r="Q819" s="51"/>
      <c r="R819" s="140" t="s">
        <v>264</v>
      </c>
      <c r="S819" s="51"/>
      <c r="T819" s="51"/>
      <c r="U819" s="51"/>
      <c r="V819" s="51"/>
      <c r="W819" s="51"/>
      <c r="X819" s="51"/>
      <c r="Y819" s="51"/>
      <c r="Z819" s="51"/>
      <c r="AA819" s="51"/>
      <c r="AB819" s="51"/>
      <c r="AC819" s="51"/>
      <c r="AD819" s="51"/>
      <c r="AE819" s="51"/>
      <c r="AF819" s="51"/>
      <c r="AG819" s="51"/>
      <c r="AH819" s="51"/>
      <c r="AI819" s="51"/>
      <c r="AJ819" s="51"/>
      <c r="AK819" s="138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139"/>
    </row>
    <row r="820" spans="2:61" ht="20.399999999999999" customHeight="1" x14ac:dyDescent="0.45">
      <c r="B820" s="133"/>
      <c r="C820" s="27"/>
      <c r="D820" s="27"/>
      <c r="E820" s="27"/>
      <c r="F820" s="27"/>
      <c r="G820" s="134"/>
      <c r="H820" s="135"/>
      <c r="I820" s="27"/>
      <c r="J820" s="140" t="s">
        <v>265</v>
      </c>
      <c r="K820" s="51"/>
      <c r="L820" s="51"/>
      <c r="M820" s="51"/>
      <c r="N820" s="51"/>
      <c r="O820" s="51"/>
      <c r="P820" s="51"/>
      <c r="Q820" s="51"/>
      <c r="R820" s="140" t="s">
        <v>266</v>
      </c>
      <c r="S820" s="51"/>
      <c r="T820" s="51"/>
      <c r="U820" s="51"/>
      <c r="V820" s="51"/>
      <c r="W820" s="51"/>
      <c r="X820" s="51"/>
      <c r="Y820" s="51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138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139"/>
    </row>
    <row r="821" spans="2:61" ht="20.100000000000001" customHeight="1" x14ac:dyDescent="0.45">
      <c r="B821" s="133"/>
      <c r="C821" s="27"/>
      <c r="D821" s="27"/>
      <c r="E821" s="27"/>
      <c r="F821" s="27"/>
      <c r="G821" s="134"/>
      <c r="H821" s="135"/>
      <c r="I821" s="27"/>
      <c r="J821" s="140" t="s">
        <v>267</v>
      </c>
      <c r="K821" s="51"/>
      <c r="L821" s="51"/>
      <c r="M821" s="51"/>
      <c r="N821" s="51"/>
      <c r="O821" s="51"/>
      <c r="P821" s="51"/>
      <c r="Q821" s="51"/>
      <c r="R821" s="140" t="s">
        <v>268</v>
      </c>
      <c r="S821" s="51"/>
      <c r="T821" s="51"/>
      <c r="U821" s="51"/>
      <c r="V821" s="51"/>
      <c r="W821" s="51"/>
      <c r="X821" s="51"/>
      <c r="Y821" s="51"/>
      <c r="Z821" s="51"/>
      <c r="AA821" s="51"/>
      <c r="AB821" s="51"/>
      <c r="AC821" s="51"/>
      <c r="AD821" s="51"/>
      <c r="AE821" s="51"/>
      <c r="AF821" s="51"/>
      <c r="AG821" s="51"/>
      <c r="AH821" s="51"/>
      <c r="AI821" s="51"/>
      <c r="AJ821" s="51"/>
      <c r="AK821" s="138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139"/>
    </row>
    <row r="822" spans="2:61" ht="20.100000000000001" customHeight="1" x14ac:dyDescent="0.45">
      <c r="B822" s="133"/>
      <c r="C822" s="27"/>
      <c r="D822" s="27"/>
      <c r="E822" s="27"/>
      <c r="F822" s="27"/>
      <c r="G822" s="134"/>
      <c r="H822" s="135"/>
      <c r="I822" s="27"/>
      <c r="J822" s="140" t="s">
        <v>269</v>
      </c>
      <c r="K822" s="51"/>
      <c r="L822" s="51"/>
      <c r="M822" s="51"/>
      <c r="N822" s="51"/>
      <c r="O822" s="51"/>
      <c r="P822" s="51"/>
      <c r="Q822" s="51"/>
      <c r="R822" s="136" t="s">
        <v>270</v>
      </c>
      <c r="S822" s="51"/>
      <c r="T822" s="51"/>
      <c r="U822" s="51"/>
      <c r="V822" s="51"/>
      <c r="W822" s="51"/>
      <c r="X822" s="51"/>
      <c r="Y822" s="51"/>
      <c r="Z822" s="51"/>
      <c r="AA822" s="51"/>
      <c r="AB822" s="51"/>
      <c r="AC822" s="51"/>
      <c r="AD822" s="51"/>
      <c r="AE822" s="51"/>
      <c r="AF822" s="51"/>
      <c r="AG822" s="51"/>
      <c r="AH822" s="51"/>
      <c r="AI822" s="51"/>
      <c r="AJ822" s="51"/>
      <c r="AK822" s="138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139"/>
    </row>
    <row r="823" spans="2:61" ht="20.100000000000001" customHeight="1" x14ac:dyDescent="0.45">
      <c r="B823" s="133"/>
      <c r="C823" s="27"/>
      <c r="D823" s="27"/>
      <c r="E823" s="27"/>
      <c r="F823" s="27"/>
      <c r="G823" s="134"/>
      <c r="H823" s="135"/>
      <c r="I823" s="27"/>
      <c r="J823" s="140" t="s">
        <v>271</v>
      </c>
      <c r="K823" s="51"/>
      <c r="L823" s="51"/>
      <c r="M823" s="51"/>
      <c r="N823" s="51"/>
      <c r="O823" s="51"/>
      <c r="P823" s="51"/>
      <c r="Q823" s="51"/>
      <c r="R823" s="140" t="s">
        <v>272</v>
      </c>
      <c r="S823" s="51"/>
      <c r="T823" s="51"/>
      <c r="U823" s="51"/>
      <c r="V823" s="51"/>
      <c r="W823" s="51"/>
      <c r="X823" s="51"/>
      <c r="Y823" s="51"/>
      <c r="Z823" s="51"/>
      <c r="AA823" s="51"/>
      <c r="AB823" s="51"/>
      <c r="AC823" s="51"/>
      <c r="AD823" s="51"/>
      <c r="AE823" s="51"/>
      <c r="AF823" s="51"/>
      <c r="AG823" s="51"/>
      <c r="AH823" s="51"/>
      <c r="AI823" s="51"/>
      <c r="AJ823" s="51"/>
      <c r="AK823" s="138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139"/>
    </row>
    <row r="824" spans="2:61" ht="20.100000000000001" customHeight="1" x14ac:dyDescent="0.45">
      <c r="B824" s="133"/>
      <c r="C824" s="27"/>
      <c r="D824" s="27"/>
      <c r="E824" s="27"/>
      <c r="F824" s="27"/>
      <c r="G824" s="134"/>
      <c r="H824" s="135"/>
      <c r="I824" s="27"/>
      <c r="J824" s="140" t="s">
        <v>273</v>
      </c>
      <c r="K824" s="51"/>
      <c r="L824" s="51"/>
      <c r="M824" s="51"/>
      <c r="N824" s="51"/>
      <c r="O824" s="51"/>
      <c r="P824" s="51"/>
      <c r="Q824" s="51"/>
      <c r="R824" s="140" t="s">
        <v>274</v>
      </c>
      <c r="S824" s="51"/>
      <c r="T824" s="51"/>
      <c r="U824" s="51"/>
      <c r="V824" s="51"/>
      <c r="W824" s="51"/>
      <c r="X824" s="51"/>
      <c r="Y824" s="51"/>
      <c r="Z824" s="51"/>
      <c r="AA824" s="51"/>
      <c r="AB824" s="51"/>
      <c r="AC824" s="51"/>
      <c r="AD824" s="51"/>
      <c r="AE824" s="51"/>
      <c r="AF824" s="51"/>
      <c r="AG824" s="51"/>
      <c r="AH824" s="51"/>
      <c r="AI824" s="51"/>
      <c r="AJ824" s="51"/>
      <c r="AK824" s="138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139"/>
    </row>
    <row r="825" spans="2:61" ht="20.100000000000001" customHeight="1" x14ac:dyDescent="0.45">
      <c r="B825" s="133"/>
      <c r="C825" s="27"/>
      <c r="D825" s="27"/>
      <c r="E825" s="27"/>
      <c r="F825" s="27"/>
      <c r="G825" s="134"/>
      <c r="H825" s="135"/>
      <c r="I825" s="27"/>
      <c r="J825" s="140" t="s">
        <v>348</v>
      </c>
      <c r="K825" s="51"/>
      <c r="L825" s="51"/>
      <c r="M825" s="51"/>
      <c r="N825" s="51"/>
      <c r="O825" s="51"/>
      <c r="P825" s="51"/>
      <c r="Q825" s="51"/>
      <c r="R825" s="140" t="s">
        <v>347</v>
      </c>
      <c r="S825" s="51"/>
      <c r="T825" s="51"/>
      <c r="U825" s="51"/>
      <c r="V825" s="51"/>
      <c r="W825" s="51"/>
      <c r="X825" s="51"/>
      <c r="Y825" s="51"/>
      <c r="Z825" s="51"/>
      <c r="AA825" s="51"/>
      <c r="AB825" s="51"/>
      <c r="AC825" s="51"/>
      <c r="AD825" s="51"/>
      <c r="AE825" s="51"/>
      <c r="AF825" s="51"/>
      <c r="AG825" s="51"/>
      <c r="AH825" s="51"/>
      <c r="AI825" s="51"/>
      <c r="AJ825" s="51"/>
      <c r="AK825" s="138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139"/>
    </row>
    <row r="826" spans="2:61" ht="20.100000000000001" customHeight="1" x14ac:dyDescent="0.45">
      <c r="B826" s="133"/>
      <c r="C826" s="27"/>
      <c r="D826" s="27"/>
      <c r="E826" s="27"/>
      <c r="F826" s="27"/>
      <c r="G826" s="134"/>
      <c r="H826" s="135"/>
      <c r="I826" s="27"/>
      <c r="J826" s="140" t="s">
        <v>277</v>
      </c>
      <c r="K826" s="51"/>
      <c r="L826" s="51"/>
      <c r="M826" s="51"/>
      <c r="N826" s="51"/>
      <c r="O826" s="51"/>
      <c r="P826" s="51"/>
      <c r="Q826" s="51"/>
      <c r="R826" s="140" t="s">
        <v>278</v>
      </c>
      <c r="S826" s="51"/>
      <c r="T826" s="51"/>
      <c r="U826" s="51"/>
      <c r="V826" s="51"/>
      <c r="W826" s="51"/>
      <c r="X826" s="51"/>
      <c r="Y826" s="51"/>
      <c r="Z826" s="51"/>
      <c r="AA826" s="51"/>
      <c r="AB826" s="51"/>
      <c r="AC826" s="51"/>
      <c r="AD826" s="51"/>
      <c r="AE826" s="51"/>
      <c r="AF826" s="51"/>
      <c r="AG826" s="51"/>
      <c r="AH826" s="51"/>
      <c r="AI826" s="51"/>
      <c r="AJ826" s="51"/>
      <c r="AK826" s="138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139"/>
    </row>
    <row r="827" spans="2:61" ht="20.100000000000001" customHeight="1" x14ac:dyDescent="0.45">
      <c r="B827" s="133"/>
      <c r="C827" s="27"/>
      <c r="D827" s="27"/>
      <c r="E827" s="27"/>
      <c r="F827" s="27"/>
      <c r="G827" s="134"/>
      <c r="H827" s="135"/>
      <c r="I827" s="27"/>
      <c r="J827" s="140" t="s">
        <v>279</v>
      </c>
      <c r="K827" s="51"/>
      <c r="L827" s="51"/>
      <c r="M827" s="51"/>
      <c r="N827" s="51"/>
      <c r="O827" s="51"/>
      <c r="P827" s="51"/>
      <c r="Q827" s="51"/>
      <c r="R827" s="140" t="s">
        <v>359</v>
      </c>
      <c r="S827" s="51"/>
      <c r="T827" s="51"/>
      <c r="U827" s="51"/>
      <c r="V827" s="51"/>
      <c r="W827" s="51"/>
      <c r="X827" s="51"/>
      <c r="Y827" s="51"/>
      <c r="Z827" s="51"/>
      <c r="AA827" s="51"/>
      <c r="AB827" s="51"/>
      <c r="AC827" s="51"/>
      <c r="AD827" s="51"/>
      <c r="AE827" s="51"/>
      <c r="AF827" s="51"/>
      <c r="AG827" s="51"/>
      <c r="AH827" s="51"/>
      <c r="AI827" s="51"/>
      <c r="AJ827" s="51"/>
      <c r="AK827" s="138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139"/>
    </row>
    <row r="828" spans="2:61" ht="20.100000000000001" customHeight="1" x14ac:dyDescent="0.45">
      <c r="B828" s="133"/>
      <c r="C828" s="27"/>
      <c r="D828" s="27"/>
      <c r="E828" s="27"/>
      <c r="F828" s="27"/>
      <c r="G828" s="134"/>
      <c r="H828" s="135"/>
      <c r="I828" s="27"/>
      <c r="J828" s="140" t="s">
        <v>281</v>
      </c>
      <c r="K828" s="51"/>
      <c r="L828" s="51"/>
      <c r="M828" s="51"/>
      <c r="N828" s="51"/>
      <c r="O828" s="51"/>
      <c r="P828" s="51"/>
      <c r="Q828" s="51"/>
      <c r="R828" s="141" t="s">
        <v>360</v>
      </c>
      <c r="S828" s="51"/>
      <c r="T828" s="51"/>
      <c r="U828" s="51"/>
      <c r="V828" s="51"/>
      <c r="W828" s="51"/>
      <c r="X828" s="51"/>
      <c r="Y828" s="51"/>
      <c r="Z828" s="51"/>
      <c r="AA828" s="51"/>
      <c r="AB828" s="51"/>
      <c r="AC828" s="51"/>
      <c r="AD828" s="51"/>
      <c r="AE828" s="51"/>
      <c r="AF828" s="51"/>
      <c r="AG828" s="51"/>
      <c r="AH828" s="51"/>
      <c r="AI828" s="51"/>
      <c r="AJ828" s="51"/>
      <c r="AK828" s="138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139"/>
    </row>
    <row r="829" spans="2:61" ht="20.100000000000001" customHeight="1" x14ac:dyDescent="0.45">
      <c r="B829" s="133"/>
      <c r="C829" s="27"/>
      <c r="D829" s="27"/>
      <c r="E829" s="27"/>
      <c r="F829" s="27"/>
      <c r="G829" s="134"/>
      <c r="H829" s="135"/>
      <c r="I829" s="27"/>
      <c r="J829" s="140" t="s">
        <v>284</v>
      </c>
      <c r="K829" s="51"/>
      <c r="L829" s="51"/>
      <c r="M829" s="51"/>
      <c r="N829" s="51"/>
      <c r="O829" s="51"/>
      <c r="P829" s="51"/>
      <c r="Q829" s="51"/>
      <c r="R829" s="140" t="s">
        <v>285</v>
      </c>
      <c r="S829" s="51"/>
      <c r="T829" s="51"/>
      <c r="U829" s="51"/>
      <c r="V829" s="51"/>
      <c r="W829" s="51"/>
      <c r="X829" s="51"/>
      <c r="Y829" s="51"/>
      <c r="Z829" s="51"/>
      <c r="AA829" s="51"/>
      <c r="AB829" s="51"/>
      <c r="AC829" s="51"/>
      <c r="AD829" s="51"/>
      <c r="AE829" s="51"/>
      <c r="AF829" s="51"/>
      <c r="AG829" s="51"/>
      <c r="AH829" s="51"/>
      <c r="AI829" s="51"/>
      <c r="AJ829" s="51"/>
      <c r="AK829" s="138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139"/>
    </row>
    <row r="830" spans="2:61" ht="20.100000000000001" customHeight="1" x14ac:dyDescent="0.45">
      <c r="B830" s="133"/>
      <c r="C830" s="27"/>
      <c r="D830" s="27"/>
      <c r="E830" s="27"/>
      <c r="F830" s="27"/>
      <c r="G830" s="134"/>
      <c r="H830" s="135"/>
      <c r="I830" s="27"/>
      <c r="J830" s="140" t="s">
        <v>286</v>
      </c>
      <c r="K830" s="51"/>
      <c r="L830" s="51"/>
      <c r="M830" s="51"/>
      <c r="N830" s="51"/>
      <c r="O830" s="51"/>
      <c r="P830" s="51"/>
      <c r="Q830" s="51"/>
      <c r="R830" s="140" t="s">
        <v>287</v>
      </c>
      <c r="S830" s="51"/>
      <c r="T830" s="51"/>
      <c r="U830" s="51"/>
      <c r="V830" s="51"/>
      <c r="W830" s="51"/>
      <c r="X830" s="51"/>
      <c r="Y830" s="51"/>
      <c r="Z830" s="51"/>
      <c r="AA830" s="51"/>
      <c r="AB830" s="51"/>
      <c r="AC830" s="51"/>
      <c r="AD830" s="51"/>
      <c r="AE830" s="51"/>
      <c r="AF830" s="51"/>
      <c r="AG830" s="51"/>
      <c r="AH830" s="51"/>
      <c r="AI830" s="51"/>
      <c r="AJ830" s="51"/>
      <c r="AK830" s="138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139"/>
    </row>
    <row r="831" spans="2:61" ht="20.100000000000001" customHeight="1" x14ac:dyDescent="0.45">
      <c r="B831" s="133"/>
      <c r="C831" s="27"/>
      <c r="D831" s="27"/>
      <c r="E831" s="27"/>
      <c r="F831" s="27"/>
      <c r="G831" s="134"/>
      <c r="H831" s="135"/>
      <c r="I831" s="27"/>
      <c r="J831" s="140" t="s">
        <v>288</v>
      </c>
      <c r="K831" s="51"/>
      <c r="L831" s="51"/>
      <c r="M831" s="51"/>
      <c r="N831" s="51"/>
      <c r="O831" s="51"/>
      <c r="P831" s="51"/>
      <c r="Q831" s="51"/>
      <c r="R831" s="140" t="s">
        <v>289</v>
      </c>
      <c r="S831" s="51"/>
      <c r="T831" s="51"/>
      <c r="U831" s="51"/>
      <c r="V831" s="51"/>
      <c r="W831" s="51"/>
      <c r="X831" s="51"/>
      <c r="Y831" s="51"/>
      <c r="Z831" s="51"/>
      <c r="AA831" s="51"/>
      <c r="AB831" s="51"/>
      <c r="AC831" s="51"/>
      <c r="AD831" s="51"/>
      <c r="AE831" s="51"/>
      <c r="AF831" s="51"/>
      <c r="AG831" s="51"/>
      <c r="AH831" s="51"/>
      <c r="AI831" s="51"/>
      <c r="AJ831" s="51"/>
      <c r="AK831" s="138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139"/>
    </row>
    <row r="832" spans="2:61" ht="20.100000000000001" customHeight="1" x14ac:dyDescent="0.45">
      <c r="B832" s="133"/>
      <c r="C832" s="27"/>
      <c r="D832" s="27"/>
      <c r="E832" s="27"/>
      <c r="F832" s="27"/>
      <c r="G832" s="134"/>
      <c r="H832" s="135"/>
      <c r="I832" s="27"/>
      <c r="J832" s="140" t="s">
        <v>290</v>
      </c>
      <c r="K832" s="51"/>
      <c r="L832" s="51"/>
      <c r="M832" s="51"/>
      <c r="N832" s="51"/>
      <c r="O832" s="51"/>
      <c r="P832" s="51"/>
      <c r="Q832" s="51"/>
      <c r="R832" s="141" t="s">
        <v>361</v>
      </c>
      <c r="S832" s="51"/>
      <c r="T832" s="51"/>
      <c r="U832" s="51"/>
      <c r="V832" s="51"/>
      <c r="W832" s="51"/>
      <c r="X832" s="51"/>
      <c r="Y832" s="51"/>
      <c r="Z832" s="51"/>
      <c r="AA832" s="51"/>
      <c r="AB832" s="51"/>
      <c r="AC832" s="51"/>
      <c r="AD832" s="51"/>
      <c r="AE832" s="51"/>
      <c r="AF832" s="51"/>
      <c r="AG832" s="51"/>
      <c r="AH832" s="51"/>
      <c r="AI832" s="51"/>
      <c r="AJ832" s="51"/>
      <c r="AK832" s="138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139"/>
    </row>
    <row r="833" spans="2:61" ht="20.100000000000001" customHeight="1" x14ac:dyDescent="0.45">
      <c r="B833" s="133"/>
      <c r="C833" s="27"/>
      <c r="D833" s="27"/>
      <c r="E833" s="27"/>
      <c r="F833" s="27"/>
      <c r="G833" s="134"/>
      <c r="H833" s="135"/>
      <c r="I833" s="27"/>
      <c r="J833" s="140" t="s">
        <v>177</v>
      </c>
      <c r="K833" s="51"/>
      <c r="L833" s="51"/>
      <c r="M833" s="51"/>
      <c r="N833" s="51"/>
      <c r="O833" s="51"/>
      <c r="P833" s="51"/>
      <c r="Q833" s="51"/>
      <c r="R833" s="140" t="s">
        <v>293</v>
      </c>
      <c r="S833" s="51"/>
      <c r="T833" s="51"/>
      <c r="U833" s="51"/>
      <c r="V833" s="51"/>
      <c r="W833" s="51"/>
      <c r="X833" s="51"/>
      <c r="Y833" s="51"/>
      <c r="Z833" s="51"/>
      <c r="AA833" s="51"/>
      <c r="AB833" s="51"/>
      <c r="AC833" s="51"/>
      <c r="AD833" s="51"/>
      <c r="AE833" s="51"/>
      <c r="AF833" s="51"/>
      <c r="AG833" s="51"/>
      <c r="AH833" s="51"/>
      <c r="AI833" s="51"/>
      <c r="AJ833" s="51"/>
      <c r="AK833" s="138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139"/>
    </row>
    <row r="834" spans="2:61" ht="20.100000000000001" customHeight="1" x14ac:dyDescent="0.45">
      <c r="B834" s="133"/>
      <c r="C834" s="27"/>
      <c r="D834" s="27"/>
      <c r="E834" s="27"/>
      <c r="F834" s="27"/>
      <c r="G834" s="134"/>
      <c r="H834" s="135"/>
      <c r="I834" s="27"/>
      <c r="J834" s="140" t="s">
        <v>294</v>
      </c>
      <c r="K834" s="51"/>
      <c r="L834" s="51"/>
      <c r="M834" s="51"/>
      <c r="N834" s="51"/>
      <c r="O834" s="51"/>
      <c r="P834" s="51"/>
      <c r="Q834" s="51"/>
      <c r="R834" s="140" t="s">
        <v>295</v>
      </c>
      <c r="S834" s="51"/>
      <c r="T834" s="51"/>
      <c r="U834" s="51"/>
      <c r="V834" s="51"/>
      <c r="W834" s="51"/>
      <c r="X834" s="51"/>
      <c r="Y834" s="51"/>
      <c r="Z834" s="51"/>
      <c r="AA834" s="51"/>
      <c r="AB834" s="51"/>
      <c r="AC834" s="51"/>
      <c r="AD834" s="51"/>
      <c r="AE834" s="51"/>
      <c r="AF834" s="51"/>
      <c r="AG834" s="51"/>
      <c r="AH834" s="51"/>
      <c r="AI834" s="51"/>
      <c r="AJ834" s="51"/>
      <c r="AK834" s="138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139"/>
    </row>
    <row r="835" spans="2:61" ht="20.100000000000001" customHeight="1" x14ac:dyDescent="0.45">
      <c r="B835" s="133"/>
      <c r="C835" s="27"/>
      <c r="D835" s="27"/>
      <c r="E835" s="27"/>
      <c r="F835" s="27"/>
      <c r="G835" s="134"/>
      <c r="H835" s="135"/>
      <c r="I835" s="27"/>
      <c r="J835" s="140" t="s">
        <v>296</v>
      </c>
      <c r="K835" s="51"/>
      <c r="L835" s="51"/>
      <c r="M835" s="51"/>
      <c r="N835" s="51"/>
      <c r="O835" s="51"/>
      <c r="P835" s="51"/>
      <c r="Q835" s="51"/>
      <c r="R835" s="140" t="s">
        <v>297</v>
      </c>
      <c r="S835" s="51"/>
      <c r="T835" s="51"/>
      <c r="U835" s="51"/>
      <c r="V835" s="51"/>
      <c r="W835" s="51"/>
      <c r="X835" s="51"/>
      <c r="Y835" s="51"/>
      <c r="Z835" s="51"/>
      <c r="AA835" s="51"/>
      <c r="AB835" s="51"/>
      <c r="AC835" s="51"/>
      <c r="AD835" s="51"/>
      <c r="AE835" s="51"/>
      <c r="AF835" s="51"/>
      <c r="AG835" s="51"/>
      <c r="AH835" s="51"/>
      <c r="AI835" s="51"/>
      <c r="AJ835" s="51"/>
      <c r="AK835" s="138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139"/>
    </row>
    <row r="836" spans="2:61" ht="20.100000000000001" customHeight="1" x14ac:dyDescent="0.45">
      <c r="B836" s="133"/>
      <c r="C836" s="27"/>
      <c r="D836" s="27"/>
      <c r="E836" s="27"/>
      <c r="F836" s="27"/>
      <c r="G836" s="134"/>
      <c r="H836" s="135"/>
      <c r="I836" s="27"/>
      <c r="J836" s="140" t="s">
        <v>298</v>
      </c>
      <c r="K836" s="51"/>
      <c r="L836" s="51"/>
      <c r="M836" s="51"/>
      <c r="N836" s="51"/>
      <c r="O836" s="51"/>
      <c r="P836" s="51"/>
      <c r="Q836" s="51"/>
      <c r="R836" s="140" t="s">
        <v>299</v>
      </c>
      <c r="S836" s="51"/>
      <c r="T836" s="51"/>
      <c r="U836" s="51"/>
      <c r="V836" s="51"/>
      <c r="W836" s="51"/>
      <c r="X836" s="51"/>
      <c r="Y836" s="51"/>
      <c r="Z836" s="51"/>
      <c r="AA836" s="51"/>
      <c r="AB836" s="51"/>
      <c r="AC836" s="51"/>
      <c r="AD836" s="51"/>
      <c r="AE836" s="51"/>
      <c r="AF836" s="51"/>
      <c r="AG836" s="51"/>
      <c r="AH836" s="51"/>
      <c r="AI836" s="51"/>
      <c r="AJ836" s="51"/>
      <c r="AK836" s="138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139"/>
    </row>
    <row r="837" spans="2:61" ht="20.100000000000001" customHeight="1" x14ac:dyDescent="0.45">
      <c r="B837" s="133"/>
      <c r="C837" s="27"/>
      <c r="D837" s="27"/>
      <c r="E837" s="27"/>
      <c r="F837" s="27"/>
      <c r="G837" s="134"/>
      <c r="H837" s="135"/>
      <c r="I837" s="27"/>
      <c r="J837" s="140" t="s">
        <v>300</v>
      </c>
      <c r="K837" s="51"/>
      <c r="L837" s="51"/>
      <c r="M837" s="51"/>
      <c r="N837" s="51"/>
      <c r="O837" s="51"/>
      <c r="P837" s="51"/>
      <c r="Q837" s="51"/>
      <c r="R837" s="140" t="s">
        <v>301</v>
      </c>
      <c r="S837" s="51"/>
      <c r="T837" s="51"/>
      <c r="U837" s="51"/>
      <c r="V837" s="51"/>
      <c r="W837" s="51"/>
      <c r="X837" s="51"/>
      <c r="Y837" s="51"/>
      <c r="Z837" s="51"/>
      <c r="AA837" s="51"/>
      <c r="AB837" s="51"/>
      <c r="AC837" s="51"/>
      <c r="AD837" s="51"/>
      <c r="AE837" s="51"/>
      <c r="AF837" s="51"/>
      <c r="AG837" s="51"/>
      <c r="AH837" s="51"/>
      <c r="AI837" s="51"/>
      <c r="AJ837" s="51"/>
      <c r="AK837" s="138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139"/>
    </row>
    <row r="838" spans="2:61" ht="20.100000000000001" customHeight="1" x14ac:dyDescent="0.45">
      <c r="B838" s="133"/>
      <c r="C838" s="27"/>
      <c r="D838" s="27"/>
      <c r="E838" s="27"/>
      <c r="F838" s="27"/>
      <c r="G838" s="134"/>
      <c r="H838" s="135"/>
      <c r="I838" s="27"/>
      <c r="J838" s="140" t="s">
        <v>302</v>
      </c>
      <c r="K838" s="51"/>
      <c r="L838" s="51"/>
      <c r="M838" s="51"/>
      <c r="N838" s="51"/>
      <c r="O838" s="51"/>
      <c r="P838" s="51"/>
      <c r="Q838" s="51"/>
      <c r="R838" s="140" t="s">
        <v>303</v>
      </c>
      <c r="S838" s="51"/>
      <c r="T838" s="51"/>
      <c r="U838" s="51"/>
      <c r="V838" s="51"/>
      <c r="W838" s="51"/>
      <c r="X838" s="51"/>
      <c r="Y838" s="51"/>
      <c r="Z838" s="51"/>
      <c r="AA838" s="51"/>
      <c r="AB838" s="51"/>
      <c r="AC838" s="51"/>
      <c r="AD838" s="51"/>
      <c r="AE838" s="51"/>
      <c r="AF838" s="51"/>
      <c r="AG838" s="51"/>
      <c r="AH838" s="51"/>
      <c r="AI838" s="51"/>
      <c r="AJ838" s="51"/>
      <c r="AK838" s="138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139"/>
    </row>
    <row r="839" spans="2:61" ht="20.100000000000001" customHeight="1" x14ac:dyDescent="0.45">
      <c r="B839" s="133"/>
      <c r="C839" s="27"/>
      <c r="D839" s="27"/>
      <c r="E839" s="27"/>
      <c r="F839" s="27"/>
      <c r="G839" s="134"/>
      <c r="H839" s="135"/>
      <c r="I839" s="27"/>
      <c r="J839" s="140" t="s">
        <v>304</v>
      </c>
      <c r="K839" s="51"/>
      <c r="L839" s="51"/>
      <c r="M839" s="51"/>
      <c r="N839" s="51"/>
      <c r="O839" s="51"/>
      <c r="P839" s="51"/>
      <c r="Q839" s="51"/>
      <c r="R839" s="140" t="s">
        <v>305</v>
      </c>
      <c r="S839" s="51"/>
      <c r="T839" s="51"/>
      <c r="U839" s="51"/>
      <c r="V839" s="51"/>
      <c r="W839" s="51"/>
      <c r="X839" s="51"/>
      <c r="Y839" s="51"/>
      <c r="Z839" s="51"/>
      <c r="AA839" s="51"/>
      <c r="AB839" s="51"/>
      <c r="AC839" s="51"/>
      <c r="AD839" s="51"/>
      <c r="AE839" s="51"/>
      <c r="AF839" s="51"/>
      <c r="AG839" s="51"/>
      <c r="AH839" s="51"/>
      <c r="AI839" s="51"/>
      <c r="AJ839" s="51"/>
      <c r="AK839" s="138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139"/>
    </row>
    <row r="840" spans="2:61" ht="20.100000000000001" customHeight="1" x14ac:dyDescent="0.45">
      <c r="B840" s="133"/>
      <c r="C840" s="27"/>
      <c r="D840" s="27"/>
      <c r="E840" s="27"/>
      <c r="F840" s="27"/>
      <c r="G840" s="134"/>
      <c r="H840" s="135"/>
      <c r="I840" s="27"/>
      <c r="J840" s="140" t="s">
        <v>306</v>
      </c>
      <c r="K840" s="51"/>
      <c r="L840" s="51"/>
      <c r="M840" s="51"/>
      <c r="N840" s="51"/>
      <c r="O840" s="51"/>
      <c r="P840" s="51"/>
      <c r="Q840" s="51"/>
      <c r="R840" s="140" t="s">
        <v>307</v>
      </c>
      <c r="S840" s="51"/>
      <c r="T840" s="51"/>
      <c r="U840" s="51"/>
      <c r="V840" s="51"/>
      <c r="W840" s="51"/>
      <c r="X840" s="51"/>
      <c r="Y840" s="51"/>
      <c r="Z840" s="51"/>
      <c r="AA840" s="51"/>
      <c r="AB840" s="51"/>
      <c r="AC840" s="51"/>
      <c r="AD840" s="51"/>
      <c r="AE840" s="51"/>
      <c r="AF840" s="51"/>
      <c r="AG840" s="51"/>
      <c r="AH840" s="51"/>
      <c r="AI840" s="51"/>
      <c r="AJ840" s="51"/>
      <c r="AK840" s="138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139"/>
    </row>
    <row r="841" spans="2:61" ht="20.100000000000001" customHeight="1" x14ac:dyDescent="0.45">
      <c r="B841" s="133"/>
      <c r="C841" s="27"/>
      <c r="D841" s="27"/>
      <c r="E841" s="27"/>
      <c r="F841" s="27"/>
      <c r="G841" s="134"/>
      <c r="H841" s="135"/>
      <c r="I841" s="27"/>
      <c r="J841" s="140" t="s">
        <v>308</v>
      </c>
      <c r="K841" s="51"/>
      <c r="L841" s="51"/>
      <c r="M841" s="51"/>
      <c r="N841" s="51"/>
      <c r="O841" s="51"/>
      <c r="P841" s="51"/>
      <c r="Q841" s="51"/>
      <c r="R841" s="140" t="s">
        <v>309</v>
      </c>
      <c r="S841" s="51"/>
      <c r="T841" s="51"/>
      <c r="U841" s="51"/>
      <c r="V841" s="51"/>
      <c r="W841" s="51"/>
      <c r="X841" s="51"/>
      <c r="Y841" s="51"/>
      <c r="Z841" s="51"/>
      <c r="AA841" s="51"/>
      <c r="AB841" s="51"/>
      <c r="AC841" s="51"/>
      <c r="AD841" s="51"/>
      <c r="AE841" s="51"/>
      <c r="AF841" s="51"/>
      <c r="AG841" s="51"/>
      <c r="AH841" s="51"/>
      <c r="AI841" s="51"/>
      <c r="AJ841" s="51"/>
      <c r="AK841" s="138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139"/>
    </row>
    <row r="842" spans="2:61" ht="20.100000000000001" customHeight="1" x14ac:dyDescent="0.45">
      <c r="B842" s="133"/>
      <c r="C842" s="27"/>
      <c r="D842" s="27"/>
      <c r="E842" s="27"/>
      <c r="F842" s="27"/>
      <c r="G842" s="134"/>
      <c r="H842" s="135"/>
      <c r="I842" s="27"/>
      <c r="J842" s="140" t="s">
        <v>310</v>
      </c>
      <c r="K842" s="51"/>
      <c r="L842" s="51"/>
      <c r="M842" s="51"/>
      <c r="N842" s="51"/>
      <c r="O842" s="51"/>
      <c r="P842" s="51"/>
      <c r="Q842" s="51"/>
      <c r="R842" s="140" t="s">
        <v>311</v>
      </c>
      <c r="S842" s="51"/>
      <c r="T842" s="51"/>
      <c r="U842" s="51"/>
      <c r="V842" s="51"/>
      <c r="W842" s="51"/>
      <c r="X842" s="51"/>
      <c r="Y842" s="51"/>
      <c r="Z842" s="51"/>
      <c r="AA842" s="51"/>
      <c r="AB842" s="51"/>
      <c r="AC842" s="51"/>
      <c r="AD842" s="51"/>
      <c r="AE842" s="51"/>
      <c r="AF842" s="51"/>
      <c r="AG842" s="51"/>
      <c r="AH842" s="51"/>
      <c r="AI842" s="51"/>
      <c r="AJ842" s="51"/>
      <c r="AK842" s="138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139"/>
    </row>
    <row r="843" spans="2:61" ht="20.100000000000001" customHeight="1" x14ac:dyDescent="0.45">
      <c r="B843" s="133"/>
      <c r="C843" s="27"/>
      <c r="D843" s="27"/>
      <c r="E843" s="27"/>
      <c r="F843" s="27"/>
      <c r="G843" s="134"/>
      <c r="H843" s="140" t="s">
        <v>159</v>
      </c>
      <c r="I843" s="51"/>
      <c r="J843" s="140" t="s">
        <v>312</v>
      </c>
      <c r="K843" s="51"/>
      <c r="L843" s="48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  <c r="AB843" s="51"/>
      <c r="AC843" s="51"/>
      <c r="AD843" s="51"/>
      <c r="AE843" s="51"/>
      <c r="AF843" s="51"/>
      <c r="AG843" s="51"/>
      <c r="AH843" s="51"/>
      <c r="AI843" s="51"/>
      <c r="AJ843" s="51"/>
      <c r="AK843" s="141"/>
      <c r="AL843" s="51"/>
      <c r="AM843" s="51"/>
      <c r="AN843" s="51"/>
      <c r="AO843" s="51"/>
      <c r="AP843" s="51"/>
      <c r="AQ843" s="51"/>
      <c r="AR843" s="51"/>
      <c r="AS843" s="51"/>
      <c r="AT843" s="51"/>
      <c r="AU843" s="51"/>
      <c r="AV843" s="51"/>
      <c r="AW843" s="51"/>
      <c r="AX843" s="51"/>
      <c r="AY843" s="51"/>
      <c r="AZ843" s="51"/>
      <c r="BA843" s="51"/>
      <c r="BB843" s="51"/>
      <c r="BC843" s="51"/>
      <c r="BD843" s="51"/>
      <c r="BE843" s="51"/>
      <c r="BF843" s="51"/>
      <c r="BG843" s="51"/>
      <c r="BH843" s="51"/>
      <c r="BI843" s="142"/>
    </row>
    <row r="844" spans="2:61" ht="20.100000000000001" customHeight="1" x14ac:dyDescent="0.45">
      <c r="B844" s="133"/>
      <c r="C844" s="27"/>
      <c r="D844" s="27"/>
      <c r="E844" s="27"/>
      <c r="F844" s="27"/>
      <c r="G844" s="134"/>
      <c r="H844" s="140" t="s">
        <v>160</v>
      </c>
      <c r="I844" s="51"/>
      <c r="J844" s="140" t="s">
        <v>313</v>
      </c>
      <c r="K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  <c r="AB844" s="51"/>
      <c r="AC844" s="51"/>
      <c r="AD844" s="51"/>
      <c r="AE844" s="51"/>
      <c r="AF844" s="51"/>
      <c r="AG844" s="51"/>
      <c r="AH844" s="51"/>
      <c r="AI844" s="51"/>
      <c r="AJ844" s="51"/>
      <c r="AK844" s="141"/>
      <c r="AL844" s="51"/>
      <c r="AM844" s="51"/>
      <c r="AN844" s="51"/>
      <c r="AO844" s="51"/>
      <c r="AP844" s="51"/>
      <c r="AQ844" s="51"/>
      <c r="AR844" s="51"/>
      <c r="AS844" s="51"/>
      <c r="AT844" s="51"/>
      <c r="AU844" s="51"/>
      <c r="AV844" s="51"/>
      <c r="AW844" s="51"/>
      <c r="AX844" s="51"/>
      <c r="AY844" s="51"/>
      <c r="AZ844" s="51"/>
      <c r="BA844" s="51"/>
      <c r="BB844" s="51"/>
      <c r="BC844" s="51"/>
      <c r="BD844" s="51"/>
      <c r="BE844" s="51"/>
      <c r="BF844" s="51"/>
      <c r="BG844" s="51"/>
      <c r="BH844" s="51"/>
      <c r="BI844" s="142"/>
    </row>
    <row r="845" spans="2:61" ht="20.100000000000001" customHeight="1" x14ac:dyDescent="0.45">
      <c r="B845" s="143"/>
      <c r="C845" s="27"/>
      <c r="D845" s="27"/>
      <c r="E845" s="27"/>
      <c r="F845" s="27"/>
      <c r="G845" s="134"/>
      <c r="H845" s="140" t="s">
        <v>161</v>
      </c>
      <c r="I845" s="51"/>
      <c r="J845" s="140" t="s">
        <v>317</v>
      </c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  <c r="AB845" s="51"/>
      <c r="AC845" s="51"/>
      <c r="AD845" s="51"/>
      <c r="AE845" s="51"/>
      <c r="AF845" s="51"/>
      <c r="AG845" s="51"/>
      <c r="AH845" s="51"/>
      <c r="AI845" s="51"/>
      <c r="AJ845" s="51"/>
      <c r="AK845" s="141"/>
      <c r="AL845" s="51"/>
      <c r="AM845" s="51"/>
      <c r="AN845" s="51"/>
      <c r="AO845" s="51"/>
      <c r="AP845" s="51"/>
      <c r="AQ845" s="51"/>
      <c r="AR845" s="51"/>
      <c r="AS845" s="51"/>
      <c r="AT845" s="51"/>
      <c r="AU845" s="51"/>
      <c r="AV845" s="51"/>
      <c r="AW845" s="51"/>
      <c r="AX845" s="51"/>
      <c r="AY845" s="51"/>
      <c r="AZ845" s="51"/>
      <c r="BA845" s="51"/>
      <c r="BB845" s="51"/>
      <c r="BC845" s="51"/>
      <c r="BD845" s="51"/>
      <c r="BE845" s="51"/>
      <c r="BF845" s="51"/>
      <c r="BG845" s="51"/>
      <c r="BH845" s="51"/>
      <c r="BI845" s="142"/>
    </row>
    <row r="846" spans="2:61" ht="20.100000000000001" customHeight="1" x14ac:dyDescent="0.45">
      <c r="B846" s="143"/>
      <c r="C846" s="27"/>
      <c r="D846" s="27"/>
      <c r="E846" s="27"/>
      <c r="F846" s="27"/>
      <c r="G846" s="134"/>
      <c r="H846" s="135"/>
      <c r="I846" s="27"/>
      <c r="J846" s="135" t="s">
        <v>337</v>
      </c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138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139"/>
    </row>
    <row r="847" spans="2:61" ht="20.100000000000001" customHeight="1" x14ac:dyDescent="0.45">
      <c r="B847" s="143"/>
      <c r="C847" s="27"/>
      <c r="D847" s="27"/>
      <c r="E847" s="27"/>
      <c r="F847" s="27"/>
      <c r="G847" s="134"/>
      <c r="H847" s="135"/>
      <c r="I847" s="27"/>
      <c r="J847" s="135"/>
      <c r="K847" s="27" t="s">
        <v>338</v>
      </c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138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139"/>
    </row>
    <row r="848" spans="2:61" ht="20.100000000000001" customHeight="1" x14ac:dyDescent="0.45">
      <c r="B848" s="143"/>
      <c r="C848" s="27"/>
      <c r="D848" s="27"/>
      <c r="E848" s="27"/>
      <c r="F848" s="27"/>
      <c r="G848" s="134"/>
      <c r="H848" s="135"/>
      <c r="I848" s="27"/>
      <c r="J848" s="135" t="s">
        <v>322</v>
      </c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138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139"/>
    </row>
    <row r="849" spans="2:61" ht="20.100000000000001" customHeight="1" x14ac:dyDescent="0.45">
      <c r="B849" s="143"/>
      <c r="C849" s="27"/>
      <c r="D849" s="27"/>
      <c r="E849" s="27"/>
      <c r="F849" s="27"/>
      <c r="G849" s="134"/>
      <c r="H849" s="135"/>
      <c r="I849" s="27"/>
      <c r="J849" s="135"/>
      <c r="K849" s="27" t="s">
        <v>774</v>
      </c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138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139"/>
    </row>
    <row r="850" spans="2:61" ht="20.100000000000001" customHeight="1" x14ac:dyDescent="0.45">
      <c r="B850" s="143"/>
      <c r="C850" s="27"/>
      <c r="D850" s="27"/>
      <c r="E850" s="27"/>
      <c r="F850" s="27"/>
      <c r="G850" s="134"/>
      <c r="H850" s="135"/>
      <c r="I850" s="27"/>
      <c r="J850" s="135"/>
      <c r="K850" s="27" t="s">
        <v>355</v>
      </c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138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139"/>
    </row>
    <row r="851" spans="2:61" ht="20.100000000000001" customHeight="1" x14ac:dyDescent="0.45">
      <c r="B851" s="143"/>
      <c r="C851" s="27"/>
      <c r="D851" s="27"/>
      <c r="E851" s="27"/>
      <c r="F851" s="27"/>
      <c r="G851" s="134"/>
      <c r="H851" s="135"/>
      <c r="I851" s="27"/>
      <c r="J851" s="135" t="s">
        <v>356</v>
      </c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138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139"/>
    </row>
    <row r="852" spans="2:61" ht="20.100000000000001" customHeight="1" x14ac:dyDescent="0.45">
      <c r="B852" s="143"/>
      <c r="C852" s="27"/>
      <c r="D852" s="27"/>
      <c r="E852" s="27"/>
      <c r="F852" s="27"/>
      <c r="G852" s="134"/>
      <c r="H852" s="135"/>
      <c r="I852" s="27"/>
      <c r="J852" s="135"/>
      <c r="K852" s="27" t="s">
        <v>775</v>
      </c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138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139"/>
    </row>
    <row r="853" spans="2:61" ht="20.100000000000001" customHeight="1" thickBot="1" x14ac:dyDescent="0.5">
      <c r="B853" s="143"/>
      <c r="C853" s="27"/>
      <c r="D853" s="27"/>
      <c r="E853" s="27"/>
      <c r="F853" s="27"/>
      <c r="G853" s="134"/>
      <c r="H853" s="135"/>
      <c r="I853" s="27"/>
      <c r="J853" s="135"/>
      <c r="K853" s="27" t="s">
        <v>355</v>
      </c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138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139"/>
    </row>
    <row r="854" spans="2:61" ht="20.100000000000001" customHeight="1" x14ac:dyDescent="0.45">
      <c r="B854" s="124" t="s">
        <v>774</v>
      </c>
      <c r="C854" s="125"/>
      <c r="D854" s="125"/>
      <c r="E854" s="125"/>
      <c r="F854" s="125"/>
      <c r="G854" s="126"/>
      <c r="H854" s="127" t="s">
        <v>158</v>
      </c>
      <c r="I854" s="125"/>
      <c r="J854" s="128" t="s">
        <v>302</v>
      </c>
      <c r="K854" s="129"/>
      <c r="L854" s="129"/>
      <c r="M854" s="129"/>
      <c r="N854" s="129"/>
      <c r="O854" s="129"/>
      <c r="P854" s="129"/>
      <c r="Q854" s="130"/>
      <c r="R854" s="129" t="s">
        <v>357</v>
      </c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30"/>
      <c r="AK854" s="131"/>
      <c r="AL854" s="125"/>
      <c r="AM854" s="125"/>
      <c r="AN854" s="125"/>
      <c r="AO854" s="125"/>
      <c r="AP854" s="125"/>
      <c r="AQ854" s="125"/>
      <c r="AR854" s="125"/>
      <c r="AS854" s="125"/>
      <c r="AT854" s="125"/>
      <c r="AU854" s="125"/>
      <c r="AV854" s="125"/>
      <c r="AW854" s="125"/>
      <c r="AX854" s="125"/>
      <c r="AY854" s="125"/>
      <c r="AZ854" s="125"/>
      <c r="BA854" s="125"/>
      <c r="BB854" s="125"/>
      <c r="BC854" s="125"/>
      <c r="BD854" s="125"/>
      <c r="BE854" s="125"/>
      <c r="BF854" s="125"/>
      <c r="BG854" s="125"/>
      <c r="BH854" s="125"/>
      <c r="BI854" s="132"/>
    </row>
    <row r="855" spans="2:61" ht="20.100000000000001" customHeight="1" x14ac:dyDescent="0.45">
      <c r="B855" s="133"/>
      <c r="C855" s="27"/>
      <c r="D855" s="27"/>
      <c r="E855" s="27"/>
      <c r="F855" s="27"/>
      <c r="G855" s="134"/>
      <c r="H855" s="140" t="s">
        <v>159</v>
      </c>
      <c r="I855" s="51"/>
      <c r="J855" s="140" t="s">
        <v>328</v>
      </c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  <c r="AB855" s="51"/>
      <c r="AC855" s="51"/>
      <c r="AD855" s="51"/>
      <c r="AE855" s="51"/>
      <c r="AF855" s="51"/>
      <c r="AG855" s="51"/>
      <c r="AH855" s="51"/>
      <c r="AI855" s="51"/>
      <c r="AJ855" s="51"/>
      <c r="AK855" s="141"/>
      <c r="AL855" s="51"/>
      <c r="AM855" s="51"/>
      <c r="AN855" s="51"/>
      <c r="AO855" s="51"/>
      <c r="AP855" s="51"/>
      <c r="AQ855" s="51"/>
      <c r="AR855" s="51"/>
      <c r="AS855" s="51"/>
      <c r="AT855" s="51"/>
      <c r="AU855" s="51"/>
      <c r="AV855" s="51"/>
      <c r="AW855" s="51"/>
      <c r="AX855" s="51"/>
      <c r="AY855" s="51"/>
      <c r="AZ855" s="51"/>
      <c r="BA855" s="51"/>
      <c r="BB855" s="51"/>
      <c r="BC855" s="51"/>
      <c r="BD855" s="51"/>
      <c r="BE855" s="51"/>
      <c r="BF855" s="51"/>
      <c r="BG855" s="51"/>
      <c r="BH855" s="51"/>
      <c r="BI855" s="142"/>
    </row>
    <row r="856" spans="2:61" ht="20.100000000000001" customHeight="1" x14ac:dyDescent="0.45">
      <c r="B856" s="143"/>
      <c r="C856" s="27"/>
      <c r="D856" s="27"/>
      <c r="E856" s="27"/>
      <c r="F856" s="27"/>
      <c r="G856" s="134"/>
      <c r="H856" s="140" t="s">
        <v>161</v>
      </c>
      <c r="I856" s="51"/>
      <c r="J856" s="140" t="s">
        <v>330</v>
      </c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  <c r="AB856" s="51"/>
      <c r="AC856" s="51"/>
      <c r="AD856" s="51"/>
      <c r="AE856" s="51"/>
      <c r="AF856" s="51"/>
      <c r="AG856" s="51"/>
      <c r="AH856" s="51"/>
      <c r="AI856" s="51"/>
      <c r="AJ856" s="51"/>
      <c r="AK856" s="141"/>
      <c r="AL856" s="51"/>
      <c r="AM856" s="51"/>
      <c r="AN856" s="51"/>
      <c r="AO856" s="51"/>
      <c r="AP856" s="51"/>
      <c r="AQ856" s="51"/>
      <c r="AR856" s="51"/>
      <c r="AS856" s="51"/>
      <c r="AT856" s="51"/>
      <c r="AU856" s="51"/>
      <c r="AV856" s="51"/>
      <c r="AW856" s="51"/>
      <c r="AX856" s="51"/>
      <c r="AY856" s="51"/>
      <c r="AZ856" s="51"/>
      <c r="BA856" s="51"/>
      <c r="BB856" s="51"/>
      <c r="BC856" s="51"/>
      <c r="BD856" s="51"/>
      <c r="BE856" s="51"/>
      <c r="BF856" s="51"/>
      <c r="BG856" s="51"/>
      <c r="BH856" s="51"/>
      <c r="BI856" s="142"/>
    </row>
    <row r="857" spans="2:61" ht="20.100000000000001" customHeight="1" x14ac:dyDescent="0.45">
      <c r="B857" s="143"/>
      <c r="C857" s="27"/>
      <c r="D857" s="27"/>
      <c r="E857" s="27"/>
      <c r="F857" s="27"/>
      <c r="G857" s="134"/>
      <c r="H857" s="135"/>
      <c r="I857" s="27"/>
      <c r="J857" s="135"/>
      <c r="K857" s="27" t="s">
        <v>331</v>
      </c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138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139"/>
    </row>
    <row r="858" spans="2:61" ht="20.100000000000001" customHeight="1" x14ac:dyDescent="0.45">
      <c r="B858" s="143"/>
      <c r="C858" s="27"/>
      <c r="D858" s="27"/>
      <c r="E858" s="27"/>
      <c r="F858" s="27"/>
      <c r="G858" s="134"/>
      <c r="H858" s="135"/>
      <c r="I858" s="27"/>
      <c r="J858" s="135"/>
      <c r="K858" s="27" t="s">
        <v>333</v>
      </c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138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139"/>
    </row>
    <row r="859" spans="2:61" ht="20.100000000000001" customHeight="1" thickBot="1" x14ac:dyDescent="0.5">
      <c r="B859" s="143"/>
      <c r="C859" s="27"/>
      <c r="D859" s="27"/>
      <c r="E859" s="27"/>
      <c r="F859" s="27"/>
      <c r="G859" s="134"/>
      <c r="H859" s="140" t="s">
        <v>334</v>
      </c>
      <c r="I859" s="51"/>
      <c r="J859" s="140" t="s">
        <v>364</v>
      </c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1"/>
      <c r="AF859" s="51"/>
      <c r="AG859" s="51"/>
      <c r="AH859" s="51"/>
      <c r="AI859" s="51"/>
      <c r="AJ859" s="51"/>
      <c r="AK859" s="141"/>
      <c r="AL859" s="51"/>
      <c r="AM859" s="51"/>
      <c r="AN859" s="51"/>
      <c r="AO859" s="51"/>
      <c r="AP859" s="51"/>
      <c r="AQ859" s="51"/>
      <c r="AR859" s="51"/>
      <c r="AS859" s="51"/>
      <c r="AT859" s="51"/>
      <c r="AU859" s="51"/>
      <c r="AV859" s="51"/>
      <c r="AW859" s="51"/>
      <c r="AX859" s="51"/>
      <c r="AY859" s="51"/>
      <c r="AZ859" s="51"/>
      <c r="BA859" s="51"/>
      <c r="BB859" s="51"/>
      <c r="BC859" s="51"/>
      <c r="BD859" s="51"/>
      <c r="BE859" s="51"/>
      <c r="BF859" s="51"/>
      <c r="BG859" s="51"/>
      <c r="BH859" s="51"/>
      <c r="BI859" s="142"/>
    </row>
    <row r="860" spans="2:61" ht="20.100000000000001" customHeight="1" x14ac:dyDescent="0.45">
      <c r="B860" s="124" t="s">
        <v>775</v>
      </c>
      <c r="C860" s="125"/>
      <c r="D860" s="125"/>
      <c r="E860" s="125"/>
      <c r="F860" s="125"/>
      <c r="G860" s="126"/>
      <c r="H860" s="127" t="s">
        <v>158</v>
      </c>
      <c r="I860" s="125"/>
      <c r="J860" s="128" t="s">
        <v>304</v>
      </c>
      <c r="K860" s="129"/>
      <c r="L860" s="129"/>
      <c r="M860" s="129"/>
      <c r="N860" s="129"/>
      <c r="O860" s="129"/>
      <c r="P860" s="129"/>
      <c r="Q860" s="130"/>
      <c r="R860" s="129" t="s">
        <v>358</v>
      </c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30"/>
      <c r="AK860" s="131"/>
      <c r="AL860" s="125"/>
      <c r="AM860" s="125"/>
      <c r="AN860" s="125"/>
      <c r="AO860" s="125"/>
      <c r="AP860" s="125"/>
      <c r="AQ860" s="125"/>
      <c r="AR860" s="125"/>
      <c r="AS860" s="125"/>
      <c r="AT860" s="125"/>
      <c r="AU860" s="125"/>
      <c r="AV860" s="125"/>
      <c r="AW860" s="125"/>
      <c r="AX860" s="125"/>
      <c r="AY860" s="125"/>
      <c r="AZ860" s="125"/>
      <c r="BA860" s="125"/>
      <c r="BB860" s="125"/>
      <c r="BC860" s="125"/>
      <c r="BD860" s="125"/>
      <c r="BE860" s="125"/>
      <c r="BF860" s="125"/>
      <c r="BG860" s="125"/>
      <c r="BH860" s="125"/>
      <c r="BI860" s="132"/>
    </row>
    <row r="861" spans="2:61" ht="20.100000000000001" customHeight="1" x14ac:dyDescent="0.45">
      <c r="B861" s="133"/>
      <c r="C861" s="27"/>
      <c r="D861" s="27"/>
      <c r="E861" s="27"/>
      <c r="F861" s="27"/>
      <c r="G861" s="134"/>
      <c r="H861" s="140" t="s">
        <v>159</v>
      </c>
      <c r="I861" s="51"/>
      <c r="J861" s="140" t="s">
        <v>328</v>
      </c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  <c r="AB861" s="51"/>
      <c r="AC861" s="51"/>
      <c r="AD861" s="51"/>
      <c r="AE861" s="51"/>
      <c r="AF861" s="51"/>
      <c r="AG861" s="51"/>
      <c r="AH861" s="51"/>
      <c r="AI861" s="51"/>
      <c r="AJ861" s="51"/>
      <c r="AK861" s="141"/>
      <c r="AL861" s="51"/>
      <c r="AM861" s="51"/>
      <c r="AN861" s="51"/>
      <c r="AO861" s="51"/>
      <c r="AP861" s="51"/>
      <c r="AQ861" s="51"/>
      <c r="AR861" s="51"/>
      <c r="AS861" s="51"/>
      <c r="AT861" s="51"/>
      <c r="AU861" s="51"/>
      <c r="AV861" s="51"/>
      <c r="AW861" s="51"/>
      <c r="AX861" s="51"/>
      <c r="AY861" s="51"/>
      <c r="AZ861" s="51"/>
      <c r="BA861" s="51"/>
      <c r="BB861" s="51"/>
      <c r="BC861" s="51"/>
      <c r="BD861" s="51"/>
      <c r="BE861" s="51"/>
      <c r="BF861" s="51"/>
      <c r="BG861" s="51"/>
      <c r="BH861" s="51"/>
      <c r="BI861" s="142"/>
    </row>
    <row r="862" spans="2:61" ht="20.100000000000001" customHeight="1" x14ac:dyDescent="0.45">
      <c r="B862" s="143"/>
      <c r="C862" s="27"/>
      <c r="D862" s="27"/>
      <c r="E862" s="27"/>
      <c r="F862" s="27"/>
      <c r="G862" s="134"/>
      <c r="H862" s="140" t="s">
        <v>161</v>
      </c>
      <c r="I862" s="51"/>
      <c r="J862" s="140" t="s">
        <v>330</v>
      </c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51"/>
      <c r="AG862" s="51"/>
      <c r="AH862" s="51"/>
      <c r="AI862" s="51"/>
      <c r="AJ862" s="51"/>
      <c r="AK862" s="141"/>
      <c r="AL862" s="51"/>
      <c r="AM862" s="51"/>
      <c r="AN862" s="51"/>
      <c r="AO862" s="51"/>
      <c r="AP862" s="51"/>
      <c r="AQ862" s="51"/>
      <c r="AR862" s="51"/>
      <c r="AS862" s="51"/>
      <c r="AT862" s="51"/>
      <c r="AU862" s="51"/>
      <c r="AV862" s="51"/>
      <c r="AW862" s="51"/>
      <c r="AX862" s="51"/>
      <c r="AY862" s="51"/>
      <c r="AZ862" s="51"/>
      <c r="BA862" s="51"/>
      <c r="BB862" s="51"/>
      <c r="BC862" s="51"/>
      <c r="BD862" s="51"/>
      <c r="BE862" s="51"/>
      <c r="BF862" s="51"/>
      <c r="BG862" s="51"/>
      <c r="BH862" s="51"/>
      <c r="BI862" s="142"/>
    </row>
    <row r="863" spans="2:61" ht="20.100000000000001" customHeight="1" x14ac:dyDescent="0.45">
      <c r="B863" s="143"/>
      <c r="C863" s="27"/>
      <c r="D863" s="27"/>
      <c r="E863" s="27"/>
      <c r="F863" s="27"/>
      <c r="G863" s="134"/>
      <c r="H863" s="135"/>
      <c r="I863" s="27"/>
      <c r="J863" s="135"/>
      <c r="K863" s="27" t="s">
        <v>331</v>
      </c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138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139"/>
    </row>
    <row r="864" spans="2:61" ht="20.100000000000001" customHeight="1" x14ac:dyDescent="0.45">
      <c r="B864" s="143"/>
      <c r="C864" s="27"/>
      <c r="D864" s="27"/>
      <c r="E864" s="27"/>
      <c r="F864" s="27"/>
      <c r="G864" s="134"/>
      <c r="H864" s="135"/>
      <c r="I864" s="27"/>
      <c r="J864" s="135"/>
      <c r="K864" s="27" t="s">
        <v>333</v>
      </c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138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139"/>
    </row>
    <row r="865" spans="2:61" ht="20.100000000000001" customHeight="1" thickBot="1" x14ac:dyDescent="0.5">
      <c r="B865" s="143"/>
      <c r="C865" s="27"/>
      <c r="D865" s="27"/>
      <c r="E865" s="27"/>
      <c r="F865" s="27"/>
      <c r="G865" s="134"/>
      <c r="H865" s="140" t="s">
        <v>334</v>
      </c>
      <c r="I865" s="51"/>
      <c r="J865" s="140" t="s">
        <v>364</v>
      </c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  <c r="AB865" s="51"/>
      <c r="AC865" s="51"/>
      <c r="AD865" s="51"/>
      <c r="AE865" s="51"/>
      <c r="AF865" s="51"/>
      <c r="AG865" s="51"/>
      <c r="AH865" s="51"/>
      <c r="AI865" s="51"/>
      <c r="AJ865" s="51"/>
      <c r="AK865" s="141"/>
      <c r="AL865" s="51"/>
      <c r="AM865" s="51"/>
      <c r="AN865" s="51"/>
      <c r="AO865" s="51"/>
      <c r="AP865" s="51"/>
      <c r="AQ865" s="51"/>
      <c r="AR865" s="51"/>
      <c r="AS865" s="51"/>
      <c r="AT865" s="51"/>
      <c r="AU865" s="51"/>
      <c r="AV865" s="51"/>
      <c r="AW865" s="51"/>
      <c r="AX865" s="51"/>
      <c r="AY865" s="51"/>
      <c r="AZ865" s="51"/>
      <c r="BA865" s="51"/>
      <c r="BB865" s="51"/>
      <c r="BC865" s="51"/>
      <c r="BD865" s="51"/>
      <c r="BE865" s="51"/>
      <c r="BF865" s="51"/>
      <c r="BG865" s="51"/>
      <c r="BH865" s="51"/>
      <c r="BI865" s="142"/>
    </row>
    <row r="866" spans="2:61" ht="20.100000000000001" customHeight="1" x14ac:dyDescent="0.45">
      <c r="B866" s="124" t="s">
        <v>769</v>
      </c>
      <c r="C866" s="125"/>
      <c r="D866" s="125"/>
      <c r="E866" s="125"/>
      <c r="F866" s="125"/>
      <c r="G866" s="126"/>
      <c r="H866" s="127" t="s">
        <v>158</v>
      </c>
      <c r="I866" s="125"/>
      <c r="J866" s="128" t="s">
        <v>241</v>
      </c>
      <c r="K866" s="129"/>
      <c r="L866" s="129"/>
      <c r="M866" s="129"/>
      <c r="N866" s="129"/>
      <c r="O866" s="129"/>
      <c r="P866" s="129"/>
      <c r="Q866" s="130"/>
      <c r="R866" s="129">
        <v>2</v>
      </c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30"/>
      <c r="AK866" s="131" t="s">
        <v>366</v>
      </c>
      <c r="AL866" s="125"/>
      <c r="AM866" s="125"/>
      <c r="AN866" s="125"/>
      <c r="AO866" s="125"/>
      <c r="AP866" s="125"/>
      <c r="AQ866" s="125"/>
      <c r="AR866" s="125"/>
      <c r="AS866" s="125"/>
      <c r="AT866" s="125"/>
      <c r="AU866" s="125"/>
      <c r="AV866" s="125"/>
      <c r="AW866" s="125"/>
      <c r="AX866" s="125"/>
      <c r="AY866" s="125"/>
      <c r="AZ866" s="125"/>
      <c r="BA866" s="125"/>
      <c r="BB866" s="125"/>
      <c r="BC866" s="125"/>
      <c r="BD866" s="125"/>
      <c r="BE866" s="125"/>
      <c r="BF866" s="125"/>
      <c r="BG866" s="125"/>
      <c r="BH866" s="125"/>
      <c r="BI866" s="132"/>
    </row>
    <row r="867" spans="2:61" ht="20.100000000000001" customHeight="1" x14ac:dyDescent="0.45">
      <c r="B867" s="133"/>
      <c r="C867" s="27"/>
      <c r="D867" s="27"/>
      <c r="E867" s="27"/>
      <c r="F867" s="27"/>
      <c r="G867" s="134"/>
      <c r="H867" s="135"/>
      <c r="I867" s="27"/>
      <c r="J867" s="144" t="s">
        <v>163</v>
      </c>
      <c r="K867" s="145"/>
      <c r="L867" s="145"/>
      <c r="M867" s="145"/>
      <c r="N867" s="145"/>
      <c r="O867" s="145"/>
      <c r="P867" s="145"/>
      <c r="Q867" s="156"/>
      <c r="R867" s="145" t="s">
        <v>163</v>
      </c>
      <c r="S867" s="145"/>
      <c r="T867" s="145"/>
      <c r="U867" s="145"/>
      <c r="V867" s="145"/>
      <c r="W867" s="145"/>
      <c r="X867" s="145"/>
      <c r="Y867" s="145"/>
      <c r="Z867" s="145"/>
      <c r="AA867" s="145"/>
      <c r="AB867" s="145"/>
      <c r="AC867" s="145"/>
      <c r="AD867" s="145"/>
      <c r="AE867" s="145"/>
      <c r="AF867" s="145"/>
      <c r="AG867" s="145"/>
      <c r="AH867" s="145"/>
      <c r="AI867" s="145"/>
      <c r="AJ867" s="156"/>
      <c r="AK867" s="138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139"/>
    </row>
    <row r="868" spans="2:61" ht="20.100000000000001" customHeight="1" x14ac:dyDescent="0.45">
      <c r="B868" s="133"/>
      <c r="C868" s="27"/>
      <c r="D868" s="27"/>
      <c r="E868" s="27"/>
      <c r="F868" s="27"/>
      <c r="G868" s="134"/>
      <c r="H868" s="135"/>
      <c r="I868" s="27"/>
      <c r="J868" s="136" t="s">
        <v>244</v>
      </c>
      <c r="K868" s="48"/>
      <c r="L868" s="48"/>
      <c r="M868" s="48"/>
      <c r="N868" s="48"/>
      <c r="O868" s="48"/>
      <c r="P868" s="48"/>
      <c r="Q868" s="137"/>
      <c r="R868" s="157" t="s">
        <v>367</v>
      </c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137"/>
      <c r="AK868" s="138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139"/>
    </row>
    <row r="869" spans="2:61" ht="20.100000000000001" customHeight="1" x14ac:dyDescent="0.45">
      <c r="B869" s="133"/>
      <c r="C869" s="27"/>
      <c r="D869" s="27"/>
      <c r="E869" s="27"/>
      <c r="F869" s="27"/>
      <c r="G869" s="134"/>
      <c r="H869" s="135"/>
      <c r="I869" s="27"/>
      <c r="J869" s="140" t="s">
        <v>247</v>
      </c>
      <c r="K869" s="51"/>
      <c r="L869" s="51"/>
      <c r="M869" s="51"/>
      <c r="N869" s="51"/>
      <c r="O869" s="51"/>
      <c r="P869" s="51"/>
      <c r="Q869" s="51"/>
      <c r="R869" s="141" t="s">
        <v>368</v>
      </c>
      <c r="S869" s="51"/>
      <c r="T869" s="51"/>
      <c r="U869" s="51"/>
      <c r="V869" s="51"/>
      <c r="W869" s="51"/>
      <c r="X869" s="51"/>
      <c r="Y869" s="51"/>
      <c r="Z869" s="51"/>
      <c r="AA869" s="51"/>
      <c r="AB869" s="51"/>
      <c r="AC869" s="51"/>
      <c r="AD869" s="51"/>
      <c r="AE869" s="51"/>
      <c r="AF869" s="51"/>
      <c r="AG869" s="51"/>
      <c r="AH869" s="51"/>
      <c r="AI869" s="51"/>
      <c r="AJ869" s="51"/>
      <c r="AK869" s="138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139"/>
    </row>
    <row r="870" spans="2:61" ht="20.100000000000001" customHeight="1" x14ac:dyDescent="0.45">
      <c r="B870" s="133"/>
      <c r="C870" s="27"/>
      <c r="D870" s="27"/>
      <c r="E870" s="27"/>
      <c r="F870" s="27"/>
      <c r="G870" s="134"/>
      <c r="H870" s="135"/>
      <c r="I870" s="27"/>
      <c r="J870" s="140" t="s">
        <v>249</v>
      </c>
      <c r="K870" s="51"/>
      <c r="L870" s="51"/>
      <c r="M870" s="51"/>
      <c r="N870" s="51"/>
      <c r="O870" s="51"/>
      <c r="P870" s="51"/>
      <c r="Q870" s="51"/>
      <c r="R870" s="140" t="s">
        <v>369</v>
      </c>
      <c r="S870" s="51"/>
      <c r="T870" s="51"/>
      <c r="U870" s="51"/>
      <c r="V870" s="51"/>
      <c r="W870" s="51"/>
      <c r="X870" s="51"/>
      <c r="Y870" s="51"/>
      <c r="Z870" s="51"/>
      <c r="AA870" s="51"/>
      <c r="AB870" s="51"/>
      <c r="AC870" s="51"/>
      <c r="AD870" s="51"/>
      <c r="AE870" s="51"/>
      <c r="AF870" s="51"/>
      <c r="AG870" s="51"/>
      <c r="AH870" s="51"/>
      <c r="AI870" s="51"/>
      <c r="AJ870" s="51"/>
      <c r="AK870" s="138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139"/>
    </row>
    <row r="871" spans="2:61" ht="20.399999999999999" customHeight="1" x14ac:dyDescent="0.45">
      <c r="B871" s="133"/>
      <c r="C871" s="27"/>
      <c r="D871" s="27"/>
      <c r="E871" s="27"/>
      <c r="F871" s="27"/>
      <c r="G871" s="134"/>
      <c r="H871" s="135"/>
      <c r="I871" s="27"/>
      <c r="J871" s="140" t="s">
        <v>251</v>
      </c>
      <c r="K871" s="51"/>
      <c r="L871" s="51"/>
      <c r="M871" s="51"/>
      <c r="N871" s="51"/>
      <c r="O871" s="51"/>
      <c r="P871" s="51"/>
      <c r="Q871" s="51"/>
      <c r="R871" s="141" t="s">
        <v>370</v>
      </c>
      <c r="S871" s="51"/>
      <c r="T871" s="51"/>
      <c r="U871" s="51"/>
      <c r="V871" s="51"/>
      <c r="W871" s="51"/>
      <c r="X871" s="51"/>
      <c r="Y871" s="51"/>
      <c r="Z871" s="51"/>
      <c r="AA871" s="51"/>
      <c r="AB871" s="51"/>
      <c r="AC871" s="51"/>
      <c r="AD871" s="51"/>
      <c r="AE871" s="51"/>
      <c r="AF871" s="51"/>
      <c r="AG871" s="51"/>
      <c r="AH871" s="51"/>
      <c r="AI871" s="51"/>
      <c r="AJ871" s="51"/>
      <c r="AK871" s="138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139"/>
    </row>
    <row r="872" spans="2:61" ht="20.399999999999999" customHeight="1" x14ac:dyDescent="0.45">
      <c r="B872" s="133"/>
      <c r="C872" s="27"/>
      <c r="D872" s="27"/>
      <c r="E872" s="27"/>
      <c r="F872" s="27"/>
      <c r="G872" s="134"/>
      <c r="H872" s="135"/>
      <c r="I872" s="27"/>
      <c r="J872" s="140" t="s">
        <v>253</v>
      </c>
      <c r="K872" s="51"/>
      <c r="L872" s="51"/>
      <c r="M872" s="51"/>
      <c r="N872" s="51"/>
      <c r="O872" s="51"/>
      <c r="P872" s="51"/>
      <c r="Q872" s="51"/>
      <c r="R872" s="141" t="s">
        <v>371</v>
      </c>
      <c r="S872" s="51"/>
      <c r="T872" s="51"/>
      <c r="U872" s="51"/>
      <c r="V872" s="51"/>
      <c r="W872" s="51"/>
      <c r="X872" s="51"/>
      <c r="Y872" s="51"/>
      <c r="Z872" s="51"/>
      <c r="AA872" s="51"/>
      <c r="AB872" s="51"/>
      <c r="AC872" s="51"/>
      <c r="AD872" s="51"/>
      <c r="AE872" s="51"/>
      <c r="AF872" s="51"/>
      <c r="AG872" s="51"/>
      <c r="AH872" s="51"/>
      <c r="AI872" s="51"/>
      <c r="AJ872" s="51"/>
      <c r="AK872" s="138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139"/>
    </row>
    <row r="873" spans="2:61" ht="20.399999999999999" customHeight="1" x14ac:dyDescent="0.45">
      <c r="B873" s="133"/>
      <c r="C873" s="27"/>
      <c r="D873" s="27"/>
      <c r="E873" s="27"/>
      <c r="F873" s="27"/>
      <c r="G873" s="134"/>
      <c r="H873" s="135"/>
      <c r="I873" s="27"/>
      <c r="J873" s="140" t="s">
        <v>255</v>
      </c>
      <c r="K873" s="51"/>
      <c r="L873" s="51"/>
      <c r="M873" s="51"/>
      <c r="N873" s="51"/>
      <c r="O873" s="51"/>
      <c r="P873" s="51"/>
      <c r="Q873" s="51"/>
      <c r="R873" s="141" t="s">
        <v>372</v>
      </c>
      <c r="S873" s="51"/>
      <c r="T873" s="51"/>
      <c r="U873" s="51"/>
      <c r="V873" s="51"/>
      <c r="W873" s="51"/>
      <c r="X873" s="51"/>
      <c r="Y873" s="51"/>
      <c r="Z873" s="51"/>
      <c r="AA873" s="51"/>
      <c r="AB873" s="51"/>
      <c r="AC873" s="51"/>
      <c r="AD873" s="51"/>
      <c r="AE873" s="51"/>
      <c r="AF873" s="51"/>
      <c r="AG873" s="51"/>
      <c r="AH873" s="51"/>
      <c r="AI873" s="51"/>
      <c r="AJ873" s="51"/>
      <c r="AK873" s="138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139"/>
    </row>
    <row r="874" spans="2:61" ht="20.399999999999999" customHeight="1" x14ac:dyDescent="0.45">
      <c r="B874" s="133"/>
      <c r="C874" s="27"/>
      <c r="D874" s="27"/>
      <c r="E874" s="27"/>
      <c r="F874" s="27"/>
      <c r="G874" s="134"/>
      <c r="H874" s="135"/>
      <c r="I874" s="27"/>
      <c r="J874" s="140" t="s">
        <v>257</v>
      </c>
      <c r="K874" s="51"/>
      <c r="L874" s="51"/>
      <c r="M874" s="51"/>
      <c r="N874" s="51"/>
      <c r="O874" s="51"/>
      <c r="P874" s="51"/>
      <c r="Q874" s="51"/>
      <c r="R874" s="141" t="s">
        <v>373</v>
      </c>
      <c r="S874" s="51"/>
      <c r="T874" s="51"/>
      <c r="U874" s="51"/>
      <c r="V874" s="51"/>
      <c r="W874" s="51"/>
      <c r="X874" s="51"/>
      <c r="Y874" s="51"/>
      <c r="Z874" s="51"/>
      <c r="AA874" s="51"/>
      <c r="AB874" s="51"/>
      <c r="AC874" s="51"/>
      <c r="AD874" s="51"/>
      <c r="AE874" s="51"/>
      <c r="AF874" s="51"/>
      <c r="AG874" s="51"/>
      <c r="AH874" s="51"/>
      <c r="AI874" s="51"/>
      <c r="AJ874" s="51"/>
      <c r="AK874" s="138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139"/>
    </row>
    <row r="875" spans="2:61" ht="20.399999999999999" customHeight="1" x14ac:dyDescent="0.45">
      <c r="B875" s="133"/>
      <c r="C875" s="27"/>
      <c r="D875" s="27"/>
      <c r="E875" s="27"/>
      <c r="F875" s="27"/>
      <c r="G875" s="134"/>
      <c r="H875" s="135"/>
      <c r="I875" s="27"/>
      <c r="J875" s="140" t="s">
        <v>259</v>
      </c>
      <c r="K875" s="51"/>
      <c r="L875" s="51"/>
      <c r="M875" s="51"/>
      <c r="N875" s="51"/>
      <c r="O875" s="51"/>
      <c r="P875" s="51"/>
      <c r="Q875" s="51"/>
      <c r="R875" s="141" t="s">
        <v>374</v>
      </c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51"/>
      <c r="AG875" s="51"/>
      <c r="AH875" s="51"/>
      <c r="AI875" s="51"/>
      <c r="AJ875" s="51"/>
      <c r="AK875" s="138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139"/>
    </row>
    <row r="876" spans="2:61" ht="20.399999999999999" customHeight="1" x14ac:dyDescent="0.45">
      <c r="B876" s="133"/>
      <c r="C876" s="27"/>
      <c r="D876" s="27"/>
      <c r="E876" s="27"/>
      <c r="F876" s="27"/>
      <c r="G876" s="134"/>
      <c r="H876" s="135"/>
      <c r="I876" s="27"/>
      <c r="J876" s="140" t="s">
        <v>261</v>
      </c>
      <c r="K876" s="51"/>
      <c r="L876" s="51"/>
      <c r="M876" s="51"/>
      <c r="N876" s="51"/>
      <c r="O876" s="51"/>
      <c r="P876" s="51"/>
      <c r="Q876" s="51"/>
      <c r="R876" s="141" t="s">
        <v>375</v>
      </c>
      <c r="S876" s="51"/>
      <c r="T876" s="51"/>
      <c r="U876" s="51"/>
      <c r="V876" s="51"/>
      <c r="W876" s="51"/>
      <c r="X876" s="51"/>
      <c r="Y876" s="51"/>
      <c r="Z876" s="51"/>
      <c r="AA876" s="51"/>
      <c r="AB876" s="51"/>
      <c r="AC876" s="51"/>
      <c r="AD876" s="51"/>
      <c r="AE876" s="51"/>
      <c r="AF876" s="51"/>
      <c r="AG876" s="51"/>
      <c r="AH876" s="51"/>
      <c r="AI876" s="51"/>
      <c r="AJ876" s="51"/>
      <c r="AK876" s="138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139"/>
    </row>
    <row r="877" spans="2:61" ht="20.399999999999999" customHeight="1" x14ac:dyDescent="0.45">
      <c r="B877" s="133"/>
      <c r="C877" s="27"/>
      <c r="D877" s="27"/>
      <c r="E877" s="27"/>
      <c r="F877" s="27"/>
      <c r="G877" s="134"/>
      <c r="H877" s="135"/>
      <c r="I877" s="27"/>
      <c r="J877" s="140" t="s">
        <v>263</v>
      </c>
      <c r="K877" s="51"/>
      <c r="L877" s="51"/>
      <c r="M877" s="51"/>
      <c r="N877" s="51"/>
      <c r="O877" s="51"/>
      <c r="P877" s="51"/>
      <c r="Q877" s="51"/>
      <c r="R877" s="141" t="s">
        <v>376</v>
      </c>
      <c r="S877" s="51"/>
      <c r="T877" s="51"/>
      <c r="U877" s="51"/>
      <c r="V877" s="51"/>
      <c r="W877" s="51"/>
      <c r="X877" s="51"/>
      <c r="Y877" s="51"/>
      <c r="Z877" s="51"/>
      <c r="AA877" s="51"/>
      <c r="AB877" s="51"/>
      <c r="AC877" s="51"/>
      <c r="AD877" s="51"/>
      <c r="AE877" s="51"/>
      <c r="AF877" s="51"/>
      <c r="AG877" s="51"/>
      <c r="AH877" s="51"/>
      <c r="AI877" s="51"/>
      <c r="AJ877" s="51"/>
      <c r="AK877" s="138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139"/>
    </row>
    <row r="878" spans="2:61" ht="20.399999999999999" customHeight="1" x14ac:dyDescent="0.45">
      <c r="B878" s="133"/>
      <c r="C878" s="27"/>
      <c r="D878" s="27"/>
      <c r="E878" s="27"/>
      <c r="F878" s="27"/>
      <c r="G878" s="134"/>
      <c r="H878" s="135"/>
      <c r="I878" s="27"/>
      <c r="J878" s="140" t="s">
        <v>265</v>
      </c>
      <c r="K878" s="51"/>
      <c r="L878" s="51"/>
      <c r="M878" s="51"/>
      <c r="N878" s="51"/>
      <c r="O878" s="51"/>
      <c r="P878" s="51"/>
      <c r="Q878" s="51"/>
      <c r="R878" s="141" t="s">
        <v>377</v>
      </c>
      <c r="S878" s="51"/>
      <c r="T878" s="51"/>
      <c r="U878" s="51"/>
      <c r="V878" s="51"/>
      <c r="W878" s="51"/>
      <c r="X878" s="51"/>
      <c r="Y878" s="51"/>
      <c r="Z878" s="51"/>
      <c r="AA878" s="51"/>
      <c r="AB878" s="51"/>
      <c r="AC878" s="51"/>
      <c r="AD878" s="51"/>
      <c r="AE878" s="51"/>
      <c r="AF878" s="51"/>
      <c r="AG878" s="51"/>
      <c r="AH878" s="51"/>
      <c r="AI878" s="51"/>
      <c r="AJ878" s="51"/>
      <c r="AK878" s="138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139"/>
    </row>
    <row r="879" spans="2:61" ht="20.100000000000001" customHeight="1" x14ac:dyDescent="0.45">
      <c r="B879" s="133"/>
      <c r="C879" s="27"/>
      <c r="D879" s="27"/>
      <c r="E879" s="27"/>
      <c r="F879" s="27"/>
      <c r="G879" s="134"/>
      <c r="H879" s="135"/>
      <c r="I879" s="27"/>
      <c r="J879" s="140" t="s">
        <v>267</v>
      </c>
      <c r="K879" s="51"/>
      <c r="L879" s="51"/>
      <c r="M879" s="51"/>
      <c r="N879" s="51"/>
      <c r="O879" s="51"/>
      <c r="P879" s="51"/>
      <c r="Q879" s="51"/>
      <c r="R879" s="141" t="s">
        <v>378</v>
      </c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51"/>
      <c r="AG879" s="51"/>
      <c r="AH879" s="51"/>
      <c r="AI879" s="51"/>
      <c r="AJ879" s="51"/>
      <c r="AK879" s="138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139"/>
    </row>
    <row r="880" spans="2:61" ht="20.100000000000001" customHeight="1" x14ac:dyDescent="0.45">
      <c r="B880" s="133"/>
      <c r="C880" s="27"/>
      <c r="D880" s="27"/>
      <c r="E880" s="27"/>
      <c r="F880" s="27"/>
      <c r="G880" s="134"/>
      <c r="H880" s="135"/>
      <c r="I880" s="27"/>
      <c r="J880" s="140" t="s">
        <v>269</v>
      </c>
      <c r="K880" s="51"/>
      <c r="L880" s="51"/>
      <c r="M880" s="51"/>
      <c r="N880" s="51"/>
      <c r="O880" s="51"/>
      <c r="P880" s="51"/>
      <c r="Q880" s="51"/>
      <c r="R880" s="141" t="s">
        <v>379</v>
      </c>
      <c r="S880" s="51"/>
      <c r="T880" s="51"/>
      <c r="U880" s="51"/>
      <c r="V880" s="51"/>
      <c r="W880" s="51"/>
      <c r="X880" s="51"/>
      <c r="Y880" s="51"/>
      <c r="Z880" s="51"/>
      <c r="AA880" s="51"/>
      <c r="AB880" s="51"/>
      <c r="AC880" s="51"/>
      <c r="AD880" s="51"/>
      <c r="AE880" s="51"/>
      <c r="AF880" s="51"/>
      <c r="AG880" s="51"/>
      <c r="AH880" s="51"/>
      <c r="AI880" s="51"/>
      <c r="AJ880" s="51"/>
      <c r="AK880" s="138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139"/>
    </row>
    <row r="881" spans="2:61" ht="20.100000000000001" customHeight="1" x14ac:dyDescent="0.45">
      <c r="B881" s="133"/>
      <c r="C881" s="27"/>
      <c r="D881" s="27"/>
      <c r="E881" s="27"/>
      <c r="F881" s="27"/>
      <c r="G881" s="134"/>
      <c r="H881" s="135"/>
      <c r="I881" s="27"/>
      <c r="J881" s="140" t="s">
        <v>271</v>
      </c>
      <c r="K881" s="51"/>
      <c r="L881" s="51"/>
      <c r="M881" s="51"/>
      <c r="N881" s="51"/>
      <c r="O881" s="51"/>
      <c r="P881" s="51"/>
      <c r="Q881" s="51"/>
      <c r="R881" s="141" t="s">
        <v>380</v>
      </c>
      <c r="S881" s="51"/>
      <c r="T881" s="51"/>
      <c r="U881" s="51"/>
      <c r="V881" s="51"/>
      <c r="W881" s="51"/>
      <c r="X881" s="51"/>
      <c r="Y881" s="51"/>
      <c r="Z881" s="51"/>
      <c r="AA881" s="51"/>
      <c r="AB881" s="51"/>
      <c r="AC881" s="51"/>
      <c r="AD881" s="51"/>
      <c r="AE881" s="51"/>
      <c r="AF881" s="51"/>
      <c r="AG881" s="51"/>
      <c r="AH881" s="51"/>
      <c r="AI881" s="51"/>
      <c r="AJ881" s="51"/>
      <c r="AK881" s="138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139"/>
    </row>
    <row r="882" spans="2:61" ht="20.100000000000001" customHeight="1" x14ac:dyDescent="0.45">
      <c r="B882" s="133"/>
      <c r="C882" s="27"/>
      <c r="D882" s="27"/>
      <c r="E882" s="27"/>
      <c r="F882" s="27"/>
      <c r="G882" s="134"/>
      <c r="H882" s="135"/>
      <c r="I882" s="27"/>
      <c r="J882" s="140" t="s">
        <v>273</v>
      </c>
      <c r="K882" s="51"/>
      <c r="L882" s="51"/>
      <c r="M882" s="51"/>
      <c r="N882" s="51"/>
      <c r="O882" s="51"/>
      <c r="P882" s="51"/>
      <c r="Q882" s="51"/>
      <c r="R882" s="141" t="s">
        <v>381</v>
      </c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51"/>
      <c r="AG882" s="51"/>
      <c r="AH882" s="51"/>
      <c r="AI882" s="51"/>
      <c r="AJ882" s="51"/>
      <c r="AK882" s="138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139"/>
    </row>
    <row r="883" spans="2:61" ht="20.100000000000001" customHeight="1" x14ac:dyDescent="0.45">
      <c r="B883" s="133"/>
      <c r="C883" s="27"/>
      <c r="D883" s="27"/>
      <c r="E883" s="27"/>
      <c r="F883" s="27"/>
      <c r="G883" s="134"/>
      <c r="H883" s="135"/>
      <c r="I883" s="27"/>
      <c r="J883" s="140" t="s">
        <v>382</v>
      </c>
      <c r="K883" s="51"/>
      <c r="L883" s="51"/>
      <c r="M883" s="51"/>
      <c r="N883" s="51"/>
      <c r="O883" s="51"/>
      <c r="P883" s="51"/>
      <c r="Q883" s="51"/>
      <c r="R883" s="141" t="s">
        <v>383</v>
      </c>
      <c r="S883" s="51"/>
      <c r="T883" s="51"/>
      <c r="U883" s="51"/>
      <c r="V883" s="51"/>
      <c r="W883" s="51"/>
      <c r="X883" s="51"/>
      <c r="Y883" s="51"/>
      <c r="Z883" s="51"/>
      <c r="AA883" s="51"/>
      <c r="AB883" s="51"/>
      <c r="AC883" s="51"/>
      <c r="AD883" s="51"/>
      <c r="AE883" s="51"/>
      <c r="AF883" s="51"/>
      <c r="AG883" s="51"/>
      <c r="AH883" s="51"/>
      <c r="AI883" s="51"/>
      <c r="AJ883" s="51"/>
      <c r="AK883" s="138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139"/>
    </row>
    <row r="884" spans="2:61" ht="20.100000000000001" customHeight="1" x14ac:dyDescent="0.45">
      <c r="B884" s="133"/>
      <c r="C884" s="27"/>
      <c r="D884" s="27"/>
      <c r="E884" s="27"/>
      <c r="F884" s="27"/>
      <c r="G884" s="134"/>
      <c r="H884" s="135"/>
      <c r="I884" s="27"/>
      <c r="J884" s="140" t="s">
        <v>277</v>
      </c>
      <c r="K884" s="51"/>
      <c r="L884" s="51"/>
      <c r="M884" s="51"/>
      <c r="N884" s="51"/>
      <c r="O884" s="51"/>
      <c r="P884" s="51"/>
      <c r="Q884" s="51"/>
      <c r="R884" s="141" t="s">
        <v>384</v>
      </c>
      <c r="S884" s="51"/>
      <c r="T884" s="51"/>
      <c r="U884" s="51"/>
      <c r="V884" s="51"/>
      <c r="W884" s="51"/>
      <c r="X884" s="51"/>
      <c r="Y884" s="51"/>
      <c r="Z884" s="51"/>
      <c r="AA884" s="51"/>
      <c r="AB884" s="51"/>
      <c r="AC884" s="51"/>
      <c r="AD884" s="51"/>
      <c r="AE884" s="51"/>
      <c r="AF884" s="51"/>
      <c r="AG884" s="51"/>
      <c r="AH884" s="51"/>
      <c r="AI884" s="51"/>
      <c r="AJ884" s="51"/>
      <c r="AK884" s="138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139"/>
    </row>
    <row r="885" spans="2:61" ht="20.100000000000001" customHeight="1" x14ac:dyDescent="0.45">
      <c r="B885" s="133"/>
      <c r="C885" s="27"/>
      <c r="D885" s="27"/>
      <c r="E885" s="27"/>
      <c r="F885" s="27"/>
      <c r="G885" s="134"/>
      <c r="H885" s="135"/>
      <c r="I885" s="27"/>
      <c r="J885" s="140" t="s">
        <v>279</v>
      </c>
      <c r="K885" s="51"/>
      <c r="L885" s="51"/>
      <c r="M885" s="51"/>
      <c r="N885" s="51"/>
      <c r="O885" s="51"/>
      <c r="P885" s="51"/>
      <c r="Q885" s="51"/>
      <c r="R885" s="141" t="s">
        <v>385</v>
      </c>
      <c r="S885" s="51"/>
      <c r="T885" s="51"/>
      <c r="U885" s="51"/>
      <c r="V885" s="51"/>
      <c r="W885" s="51"/>
      <c r="X885" s="51"/>
      <c r="Y885" s="51"/>
      <c r="Z885" s="51"/>
      <c r="AA885" s="51"/>
      <c r="AB885" s="51"/>
      <c r="AC885" s="51"/>
      <c r="AD885" s="51"/>
      <c r="AE885" s="51"/>
      <c r="AF885" s="51"/>
      <c r="AG885" s="51"/>
      <c r="AH885" s="51"/>
      <c r="AI885" s="51"/>
      <c r="AJ885" s="51"/>
      <c r="AK885" s="138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139"/>
    </row>
    <row r="886" spans="2:61" ht="20.100000000000001" customHeight="1" x14ac:dyDescent="0.45">
      <c r="B886" s="133"/>
      <c r="C886" s="27"/>
      <c r="D886" s="27"/>
      <c r="E886" s="27"/>
      <c r="F886" s="27"/>
      <c r="G886" s="134"/>
      <c r="H886" s="135"/>
      <c r="I886" s="27"/>
      <c r="J886" s="140" t="s">
        <v>281</v>
      </c>
      <c r="K886" s="51"/>
      <c r="L886" s="51"/>
      <c r="M886" s="51"/>
      <c r="N886" s="51"/>
      <c r="O886" s="51"/>
      <c r="P886" s="51"/>
      <c r="Q886" s="51"/>
      <c r="R886" s="141" t="s">
        <v>386</v>
      </c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51"/>
      <c r="AG886" s="51"/>
      <c r="AH886" s="51"/>
      <c r="AI886" s="51"/>
      <c r="AJ886" s="51"/>
      <c r="AK886" s="138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139"/>
    </row>
    <row r="887" spans="2:61" ht="20.100000000000001" customHeight="1" x14ac:dyDescent="0.45">
      <c r="B887" s="133"/>
      <c r="C887" s="27"/>
      <c r="D887" s="27"/>
      <c r="E887" s="27"/>
      <c r="F887" s="27"/>
      <c r="G887" s="134"/>
      <c r="H887" s="135"/>
      <c r="I887" s="27"/>
      <c r="J887" s="140" t="s">
        <v>284</v>
      </c>
      <c r="K887" s="51"/>
      <c r="L887" s="51"/>
      <c r="M887" s="51"/>
      <c r="N887" s="51"/>
      <c r="O887" s="51"/>
      <c r="P887" s="51"/>
      <c r="Q887" s="51"/>
      <c r="R887" s="141" t="s">
        <v>387</v>
      </c>
      <c r="S887" s="51"/>
      <c r="T887" s="51"/>
      <c r="U887" s="51"/>
      <c r="V887" s="51"/>
      <c r="W887" s="51"/>
      <c r="X887" s="51"/>
      <c r="Y887" s="51"/>
      <c r="Z887" s="51"/>
      <c r="AA887" s="51"/>
      <c r="AB887" s="51"/>
      <c r="AC887" s="51"/>
      <c r="AD887" s="51"/>
      <c r="AE887" s="51"/>
      <c r="AF887" s="51"/>
      <c r="AG887" s="51"/>
      <c r="AH887" s="51"/>
      <c r="AI887" s="51"/>
      <c r="AJ887" s="51"/>
      <c r="AK887" s="138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139"/>
    </row>
    <row r="888" spans="2:61" ht="20.100000000000001" customHeight="1" x14ac:dyDescent="0.45">
      <c r="B888" s="133"/>
      <c r="C888" s="27"/>
      <c r="D888" s="27"/>
      <c r="E888" s="27"/>
      <c r="F888" s="27"/>
      <c r="G888" s="134"/>
      <c r="H888" s="135"/>
      <c r="I888" s="27"/>
      <c r="J888" s="140" t="s">
        <v>286</v>
      </c>
      <c r="K888" s="51"/>
      <c r="L888" s="51"/>
      <c r="M888" s="51"/>
      <c r="N888" s="51"/>
      <c r="O888" s="51"/>
      <c r="P888" s="51"/>
      <c r="Q888" s="51"/>
      <c r="R888" s="141" t="s">
        <v>388</v>
      </c>
      <c r="S888" s="51"/>
      <c r="T888" s="51"/>
      <c r="U888" s="51"/>
      <c r="V888" s="51"/>
      <c r="W888" s="51"/>
      <c r="X888" s="51"/>
      <c r="Y888" s="51"/>
      <c r="Z888" s="51"/>
      <c r="AA888" s="51"/>
      <c r="AB888" s="51"/>
      <c r="AC888" s="51"/>
      <c r="AD888" s="51"/>
      <c r="AE888" s="51"/>
      <c r="AF888" s="51"/>
      <c r="AG888" s="51"/>
      <c r="AH888" s="51"/>
      <c r="AI888" s="51"/>
      <c r="AJ888" s="51"/>
      <c r="AK888" s="138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139"/>
    </row>
    <row r="889" spans="2:61" ht="20.100000000000001" customHeight="1" x14ac:dyDescent="0.45">
      <c r="B889" s="133"/>
      <c r="C889" s="27"/>
      <c r="D889" s="27"/>
      <c r="E889" s="27"/>
      <c r="F889" s="27"/>
      <c r="G889" s="134"/>
      <c r="H889" s="135"/>
      <c r="I889" s="27"/>
      <c r="J889" s="140" t="s">
        <v>288</v>
      </c>
      <c r="K889" s="51"/>
      <c r="L889" s="51"/>
      <c r="M889" s="51"/>
      <c r="N889" s="51"/>
      <c r="O889" s="51"/>
      <c r="P889" s="51"/>
      <c r="Q889" s="51"/>
      <c r="R889" s="141" t="s">
        <v>389</v>
      </c>
      <c r="S889" s="51"/>
      <c r="T889" s="51"/>
      <c r="U889" s="51"/>
      <c r="V889" s="51"/>
      <c r="W889" s="51"/>
      <c r="X889" s="51"/>
      <c r="Y889" s="51"/>
      <c r="Z889" s="51"/>
      <c r="AA889" s="51"/>
      <c r="AB889" s="51"/>
      <c r="AC889" s="51"/>
      <c r="AD889" s="51"/>
      <c r="AE889" s="51"/>
      <c r="AF889" s="51"/>
      <c r="AG889" s="51"/>
      <c r="AH889" s="51"/>
      <c r="AI889" s="51"/>
      <c r="AJ889" s="51"/>
      <c r="AK889" s="138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139"/>
    </row>
    <row r="890" spans="2:61" ht="20.100000000000001" customHeight="1" x14ac:dyDescent="0.45">
      <c r="B890" s="133"/>
      <c r="C890" s="27"/>
      <c r="D890" s="27"/>
      <c r="E890" s="27"/>
      <c r="F890" s="27"/>
      <c r="G890" s="134"/>
      <c r="H890" s="135"/>
      <c r="I890" s="27"/>
      <c r="J890" s="140" t="s">
        <v>290</v>
      </c>
      <c r="K890" s="51"/>
      <c r="L890" s="51"/>
      <c r="M890" s="51"/>
      <c r="N890" s="51"/>
      <c r="O890" s="51"/>
      <c r="P890" s="51"/>
      <c r="Q890" s="51"/>
      <c r="R890" s="141" t="s">
        <v>390</v>
      </c>
      <c r="S890" s="51"/>
      <c r="T890" s="51"/>
      <c r="U890" s="51"/>
      <c r="V890" s="51"/>
      <c r="W890" s="51"/>
      <c r="X890" s="51"/>
      <c r="Y890" s="51"/>
      <c r="Z890" s="51"/>
      <c r="AA890" s="51"/>
      <c r="AB890" s="51"/>
      <c r="AC890" s="51"/>
      <c r="AD890" s="51"/>
      <c r="AE890" s="51"/>
      <c r="AF890" s="51"/>
      <c r="AG890" s="51"/>
      <c r="AH890" s="51"/>
      <c r="AI890" s="51"/>
      <c r="AJ890" s="51"/>
      <c r="AK890" s="138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139"/>
    </row>
    <row r="891" spans="2:61" ht="20.100000000000001" customHeight="1" x14ac:dyDescent="0.45">
      <c r="B891" s="133"/>
      <c r="C891" s="27"/>
      <c r="D891" s="27"/>
      <c r="E891" s="27"/>
      <c r="F891" s="27"/>
      <c r="G891" s="134"/>
      <c r="H891" s="135"/>
      <c r="I891" s="27"/>
      <c r="J891" s="140" t="s">
        <v>177</v>
      </c>
      <c r="K891" s="51"/>
      <c r="L891" s="51"/>
      <c r="M891" s="51"/>
      <c r="N891" s="51"/>
      <c r="O891" s="51"/>
      <c r="P891" s="51"/>
      <c r="Q891" s="51"/>
      <c r="R891" s="141" t="s">
        <v>391</v>
      </c>
      <c r="S891" s="51"/>
      <c r="T891" s="51"/>
      <c r="U891" s="51"/>
      <c r="V891" s="51"/>
      <c r="W891" s="51"/>
      <c r="X891" s="51"/>
      <c r="Y891" s="51"/>
      <c r="Z891" s="51"/>
      <c r="AA891" s="51"/>
      <c r="AB891" s="51"/>
      <c r="AC891" s="51"/>
      <c r="AD891" s="51"/>
      <c r="AE891" s="51"/>
      <c r="AF891" s="51"/>
      <c r="AG891" s="51"/>
      <c r="AH891" s="51"/>
      <c r="AI891" s="51"/>
      <c r="AJ891" s="51"/>
      <c r="AK891" s="138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139"/>
    </row>
    <row r="892" spans="2:61" ht="20.100000000000001" customHeight="1" x14ac:dyDescent="0.45">
      <c r="B892" s="133"/>
      <c r="C892" s="27"/>
      <c r="D892" s="27"/>
      <c r="E892" s="27"/>
      <c r="F892" s="27"/>
      <c r="G892" s="134"/>
      <c r="H892" s="135"/>
      <c r="I892" s="27"/>
      <c r="J892" s="140" t="s">
        <v>294</v>
      </c>
      <c r="K892" s="51"/>
      <c r="L892" s="51"/>
      <c r="M892" s="51"/>
      <c r="N892" s="51"/>
      <c r="O892" s="51"/>
      <c r="P892" s="51"/>
      <c r="Q892" s="51"/>
      <c r="R892" s="141" t="s">
        <v>392</v>
      </c>
      <c r="S892" s="51"/>
      <c r="T892" s="51"/>
      <c r="U892" s="51"/>
      <c r="V892" s="51"/>
      <c r="W892" s="51"/>
      <c r="X892" s="51"/>
      <c r="Y892" s="51"/>
      <c r="Z892" s="51"/>
      <c r="AA892" s="51"/>
      <c r="AB892" s="51"/>
      <c r="AC892" s="51"/>
      <c r="AD892" s="51"/>
      <c r="AE892" s="51"/>
      <c r="AF892" s="51"/>
      <c r="AG892" s="51"/>
      <c r="AH892" s="51"/>
      <c r="AI892" s="51"/>
      <c r="AJ892" s="51"/>
      <c r="AK892" s="138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139"/>
    </row>
    <row r="893" spans="2:61" ht="20.100000000000001" customHeight="1" x14ac:dyDescent="0.45">
      <c r="B893" s="133"/>
      <c r="C893" s="27"/>
      <c r="D893" s="27"/>
      <c r="E893" s="27"/>
      <c r="F893" s="27"/>
      <c r="G893" s="134"/>
      <c r="H893" s="135"/>
      <c r="I893" s="27"/>
      <c r="J893" s="140" t="s">
        <v>296</v>
      </c>
      <c r="K893" s="51"/>
      <c r="L893" s="51"/>
      <c r="M893" s="51"/>
      <c r="N893" s="51"/>
      <c r="O893" s="51"/>
      <c r="P893" s="51"/>
      <c r="Q893" s="51"/>
      <c r="R893" s="141" t="s">
        <v>393</v>
      </c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  <c r="AJ893" s="51"/>
      <c r="AK893" s="138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139"/>
    </row>
    <row r="894" spans="2:61" ht="20.100000000000001" customHeight="1" x14ac:dyDescent="0.45">
      <c r="B894" s="133"/>
      <c r="C894" s="27"/>
      <c r="D894" s="27"/>
      <c r="E894" s="27"/>
      <c r="F894" s="27"/>
      <c r="G894" s="134"/>
      <c r="H894" s="135"/>
      <c r="I894" s="27"/>
      <c r="J894" s="140" t="s">
        <v>298</v>
      </c>
      <c r="K894" s="51"/>
      <c r="L894" s="51"/>
      <c r="M894" s="51"/>
      <c r="N894" s="51"/>
      <c r="O894" s="51"/>
      <c r="P894" s="51"/>
      <c r="Q894" s="51"/>
      <c r="R894" s="141" t="s">
        <v>394</v>
      </c>
      <c r="S894" s="51"/>
      <c r="T894" s="51"/>
      <c r="U894" s="51"/>
      <c r="V894" s="51"/>
      <c r="W894" s="51"/>
      <c r="X894" s="51"/>
      <c r="Y894" s="51"/>
      <c r="Z894" s="51"/>
      <c r="AA894" s="51"/>
      <c r="AB894" s="51"/>
      <c r="AC894" s="51"/>
      <c r="AD894" s="51"/>
      <c r="AE894" s="51"/>
      <c r="AF894" s="51"/>
      <c r="AG894" s="51"/>
      <c r="AH894" s="51"/>
      <c r="AI894" s="51"/>
      <c r="AJ894" s="51"/>
      <c r="AK894" s="138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139"/>
    </row>
    <row r="895" spans="2:61" ht="20.100000000000001" customHeight="1" x14ac:dyDescent="0.45">
      <c r="B895" s="133"/>
      <c r="C895" s="27"/>
      <c r="D895" s="27"/>
      <c r="E895" s="27"/>
      <c r="F895" s="27"/>
      <c r="G895" s="134"/>
      <c r="H895" s="135"/>
      <c r="I895" s="27"/>
      <c r="J895" s="140" t="s">
        <v>300</v>
      </c>
      <c r="K895" s="51"/>
      <c r="L895" s="51"/>
      <c r="M895" s="51"/>
      <c r="N895" s="51"/>
      <c r="O895" s="51"/>
      <c r="P895" s="51"/>
      <c r="Q895" s="51"/>
      <c r="R895" s="141" t="s">
        <v>395</v>
      </c>
      <c r="S895" s="51"/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  <c r="AJ895" s="51"/>
      <c r="AK895" s="138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139"/>
    </row>
    <row r="896" spans="2:61" ht="20.100000000000001" customHeight="1" x14ac:dyDescent="0.45">
      <c r="B896" s="133"/>
      <c r="C896" s="27"/>
      <c r="D896" s="27"/>
      <c r="E896" s="27"/>
      <c r="F896" s="27"/>
      <c r="G896" s="134"/>
      <c r="H896" s="135"/>
      <c r="I896" s="27"/>
      <c r="J896" s="140" t="s">
        <v>302</v>
      </c>
      <c r="K896" s="51"/>
      <c r="L896" s="51"/>
      <c r="M896" s="51"/>
      <c r="N896" s="51"/>
      <c r="O896" s="51"/>
      <c r="P896" s="51"/>
      <c r="Q896" s="51"/>
      <c r="R896" s="141" t="s">
        <v>396</v>
      </c>
      <c r="S896" s="51"/>
      <c r="T896" s="51"/>
      <c r="U896" s="51"/>
      <c r="V896" s="51"/>
      <c r="W896" s="51"/>
      <c r="X896" s="51"/>
      <c r="Y896" s="51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138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139"/>
    </row>
    <row r="897" spans="2:61" ht="20.100000000000001" customHeight="1" x14ac:dyDescent="0.45">
      <c r="B897" s="133"/>
      <c r="C897" s="27"/>
      <c r="D897" s="27"/>
      <c r="E897" s="27"/>
      <c r="F897" s="27"/>
      <c r="G897" s="134"/>
      <c r="H897" s="135"/>
      <c r="I897" s="27"/>
      <c r="J897" s="140" t="s">
        <v>304</v>
      </c>
      <c r="K897" s="51"/>
      <c r="L897" s="51"/>
      <c r="M897" s="51"/>
      <c r="N897" s="51"/>
      <c r="O897" s="51"/>
      <c r="P897" s="51"/>
      <c r="Q897" s="51"/>
      <c r="R897" s="141" t="s">
        <v>397</v>
      </c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51"/>
      <c r="AG897" s="51"/>
      <c r="AH897" s="51"/>
      <c r="AI897" s="51"/>
      <c r="AJ897" s="51"/>
      <c r="AK897" s="138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139"/>
    </row>
    <row r="898" spans="2:61" ht="20.100000000000001" customHeight="1" x14ac:dyDescent="0.45">
      <c r="B898" s="133"/>
      <c r="C898" s="27"/>
      <c r="D898" s="27"/>
      <c r="E898" s="27"/>
      <c r="F898" s="27"/>
      <c r="G898" s="134"/>
      <c r="H898" s="135"/>
      <c r="I898" s="27"/>
      <c r="J898" s="140" t="s">
        <v>306</v>
      </c>
      <c r="K898" s="51"/>
      <c r="L898" s="51"/>
      <c r="M898" s="51"/>
      <c r="N898" s="51"/>
      <c r="O898" s="51"/>
      <c r="P898" s="51"/>
      <c r="Q898" s="51"/>
      <c r="R898" s="141" t="s">
        <v>398</v>
      </c>
      <c r="S898" s="51"/>
      <c r="T898" s="51"/>
      <c r="U898" s="51"/>
      <c r="V898" s="51"/>
      <c r="W898" s="51"/>
      <c r="X898" s="51"/>
      <c r="Y898" s="51"/>
      <c r="Z898" s="51"/>
      <c r="AA898" s="51"/>
      <c r="AB898" s="51"/>
      <c r="AC898" s="51"/>
      <c r="AD898" s="51"/>
      <c r="AE898" s="51"/>
      <c r="AF898" s="51"/>
      <c r="AG898" s="51"/>
      <c r="AH898" s="51"/>
      <c r="AI898" s="51"/>
      <c r="AJ898" s="51"/>
      <c r="AK898" s="138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139"/>
    </row>
    <row r="899" spans="2:61" ht="20.100000000000001" customHeight="1" x14ac:dyDescent="0.45">
      <c r="B899" s="133"/>
      <c r="C899" s="27"/>
      <c r="D899" s="27"/>
      <c r="E899" s="27"/>
      <c r="F899" s="27"/>
      <c r="G899" s="134"/>
      <c r="H899" s="135"/>
      <c r="I899" s="27"/>
      <c r="J899" s="140" t="s">
        <v>308</v>
      </c>
      <c r="K899" s="51"/>
      <c r="L899" s="51"/>
      <c r="M899" s="51"/>
      <c r="N899" s="51"/>
      <c r="O899" s="51"/>
      <c r="P899" s="51"/>
      <c r="Q899" s="51"/>
      <c r="R899" s="141" t="s">
        <v>399</v>
      </c>
      <c r="S899" s="51"/>
      <c r="T899" s="51"/>
      <c r="U899" s="51"/>
      <c r="V899" s="51"/>
      <c r="W899" s="51"/>
      <c r="X899" s="51"/>
      <c r="Y899" s="51"/>
      <c r="Z899" s="51"/>
      <c r="AA899" s="51"/>
      <c r="AB899" s="51"/>
      <c r="AC899" s="51"/>
      <c r="AD899" s="51"/>
      <c r="AE899" s="51"/>
      <c r="AF899" s="51"/>
      <c r="AG899" s="51"/>
      <c r="AH899" s="51"/>
      <c r="AI899" s="51"/>
      <c r="AJ899" s="51"/>
      <c r="AK899" s="138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139"/>
    </row>
    <row r="900" spans="2:61" ht="20.100000000000001" customHeight="1" x14ac:dyDescent="0.45">
      <c r="B900" s="133"/>
      <c r="C900" s="27"/>
      <c r="D900" s="27"/>
      <c r="E900" s="27"/>
      <c r="F900" s="27"/>
      <c r="G900" s="134"/>
      <c r="H900" s="135"/>
      <c r="I900" s="27"/>
      <c r="J900" s="140" t="s">
        <v>310</v>
      </c>
      <c r="K900" s="51"/>
      <c r="L900" s="51"/>
      <c r="M900" s="51"/>
      <c r="N900" s="51"/>
      <c r="O900" s="51"/>
      <c r="P900" s="51"/>
      <c r="Q900" s="51"/>
      <c r="R900" s="141" t="s">
        <v>400</v>
      </c>
      <c r="S900" s="51"/>
      <c r="T900" s="51"/>
      <c r="U900" s="51"/>
      <c r="V900" s="51"/>
      <c r="W900" s="51"/>
      <c r="X900" s="51"/>
      <c r="Y900" s="51"/>
      <c r="Z900" s="51"/>
      <c r="AA900" s="51"/>
      <c r="AB900" s="51"/>
      <c r="AC900" s="51"/>
      <c r="AD900" s="51"/>
      <c r="AE900" s="51"/>
      <c r="AF900" s="51"/>
      <c r="AG900" s="51"/>
      <c r="AH900" s="51"/>
      <c r="AI900" s="51"/>
      <c r="AJ900" s="51"/>
      <c r="AK900" s="138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139"/>
    </row>
    <row r="901" spans="2:61" ht="20.100000000000001" customHeight="1" x14ac:dyDescent="0.45">
      <c r="B901" s="133"/>
      <c r="C901" s="27"/>
      <c r="D901" s="27"/>
      <c r="E901" s="27"/>
      <c r="F901" s="27"/>
      <c r="G901" s="134"/>
      <c r="H901" s="140" t="s">
        <v>159</v>
      </c>
      <c r="I901" s="51"/>
      <c r="J901" s="140" t="s">
        <v>312</v>
      </c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  <c r="AB901" s="51"/>
      <c r="AC901" s="51"/>
      <c r="AD901" s="51"/>
      <c r="AE901" s="51"/>
      <c r="AF901" s="51"/>
      <c r="AG901" s="51"/>
      <c r="AH901" s="51"/>
      <c r="AI901" s="51"/>
      <c r="AJ901" s="51"/>
      <c r="AK901" s="141"/>
      <c r="AL901" s="51"/>
      <c r="AM901" s="51"/>
      <c r="AN901" s="51"/>
      <c r="AO901" s="51"/>
      <c r="AP901" s="51"/>
      <c r="AQ901" s="51"/>
      <c r="AR901" s="51"/>
      <c r="AS901" s="51"/>
      <c r="AT901" s="51"/>
      <c r="AU901" s="51"/>
      <c r="AV901" s="51"/>
      <c r="AW901" s="51"/>
      <c r="AX901" s="51"/>
      <c r="AY901" s="51"/>
      <c r="AZ901" s="51"/>
      <c r="BA901" s="51"/>
      <c r="BB901" s="51"/>
      <c r="BC901" s="51"/>
      <c r="BD901" s="51"/>
      <c r="BE901" s="51"/>
      <c r="BF901" s="51"/>
      <c r="BG901" s="51"/>
      <c r="BH901" s="51"/>
      <c r="BI901" s="142"/>
    </row>
    <row r="902" spans="2:61" ht="20.100000000000001" customHeight="1" x14ac:dyDescent="0.45">
      <c r="B902" s="143"/>
      <c r="C902" s="27"/>
      <c r="D902" s="27"/>
      <c r="E902" s="27"/>
      <c r="F902" s="27"/>
      <c r="G902" s="134"/>
      <c r="H902" s="140" t="s">
        <v>161</v>
      </c>
      <c r="I902" s="51"/>
      <c r="J902" s="140" t="s">
        <v>317</v>
      </c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  <c r="AB902" s="51"/>
      <c r="AC902" s="51"/>
      <c r="AD902" s="51"/>
      <c r="AE902" s="51"/>
      <c r="AF902" s="51"/>
      <c r="AG902" s="51"/>
      <c r="AH902" s="51"/>
      <c r="AI902" s="51"/>
      <c r="AJ902" s="51"/>
      <c r="AK902" s="141"/>
      <c r="AL902" s="51"/>
      <c r="AM902" s="51"/>
      <c r="AN902" s="51"/>
      <c r="AO902" s="51"/>
      <c r="AP902" s="51"/>
      <c r="AQ902" s="51"/>
      <c r="AR902" s="51"/>
      <c r="AS902" s="51"/>
      <c r="AT902" s="51"/>
      <c r="AU902" s="51"/>
      <c r="AV902" s="51"/>
      <c r="AW902" s="51"/>
      <c r="AX902" s="51"/>
      <c r="AY902" s="51"/>
      <c r="AZ902" s="51"/>
      <c r="BA902" s="51"/>
      <c r="BB902" s="51"/>
      <c r="BC902" s="51"/>
      <c r="BD902" s="51"/>
      <c r="BE902" s="51"/>
      <c r="BF902" s="51"/>
      <c r="BG902" s="51"/>
      <c r="BH902" s="51"/>
      <c r="BI902" s="142"/>
    </row>
    <row r="903" spans="2:61" ht="20.100000000000001" customHeight="1" thickBot="1" x14ac:dyDescent="0.5">
      <c r="B903" s="143"/>
      <c r="C903" s="27"/>
      <c r="D903" s="27"/>
      <c r="E903" s="27"/>
      <c r="F903" s="27"/>
      <c r="G903" s="134"/>
      <c r="H903" s="135"/>
      <c r="I903" s="27"/>
      <c r="J903" s="135" t="s">
        <v>401</v>
      </c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138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139"/>
    </row>
    <row r="904" spans="2:61" ht="20.100000000000001" customHeight="1" x14ac:dyDescent="0.45">
      <c r="B904" s="124" t="s">
        <v>776</v>
      </c>
      <c r="C904" s="125"/>
      <c r="D904" s="125"/>
      <c r="E904" s="125"/>
      <c r="F904" s="125"/>
      <c r="G904" s="126"/>
      <c r="H904" s="127" t="s">
        <v>158</v>
      </c>
      <c r="I904" s="125"/>
      <c r="J904" s="128" t="s">
        <v>404</v>
      </c>
      <c r="K904" s="129"/>
      <c r="L904" s="129"/>
      <c r="M904" s="129"/>
      <c r="N904" s="129"/>
      <c r="O904" s="129"/>
      <c r="P904" s="129"/>
      <c r="Q904" s="130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30"/>
      <c r="AK904" s="131" t="s">
        <v>405</v>
      </c>
      <c r="AL904" s="125"/>
      <c r="AM904" s="125"/>
      <c r="AN904" s="125"/>
      <c r="AO904" s="125"/>
      <c r="AP904" s="125"/>
      <c r="AQ904" s="158"/>
      <c r="AR904" s="158" t="s">
        <v>406</v>
      </c>
      <c r="AS904" s="125"/>
      <c r="AT904" s="125"/>
      <c r="AU904" s="125"/>
      <c r="AV904" s="125"/>
      <c r="AW904" s="125"/>
      <c r="AX904" s="125"/>
      <c r="AY904" s="125"/>
      <c r="AZ904" s="125"/>
      <c r="BA904" s="125"/>
      <c r="BB904" s="125"/>
      <c r="BC904" s="125"/>
      <c r="BD904" s="125"/>
      <c r="BE904" s="125"/>
      <c r="BF904" s="125"/>
      <c r="BG904" s="125"/>
      <c r="BH904" s="125"/>
      <c r="BI904" s="132"/>
    </row>
    <row r="905" spans="2:61" ht="20.100000000000001" customHeight="1" x14ac:dyDescent="0.45">
      <c r="B905" s="133"/>
      <c r="C905" s="27"/>
      <c r="D905" s="27"/>
      <c r="E905" s="27"/>
      <c r="F905" s="27"/>
      <c r="G905" s="134"/>
      <c r="H905" s="140" t="s">
        <v>159</v>
      </c>
      <c r="I905" s="51"/>
      <c r="J905" s="140" t="s">
        <v>231</v>
      </c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  <c r="AB905" s="51"/>
      <c r="AC905" s="51"/>
      <c r="AD905" s="51"/>
      <c r="AE905" s="51"/>
      <c r="AF905" s="51"/>
      <c r="AG905" s="51"/>
      <c r="AH905" s="51"/>
      <c r="AI905" s="51"/>
      <c r="AJ905" s="51"/>
      <c r="AK905" s="141"/>
      <c r="AL905" s="51"/>
      <c r="AM905" s="51"/>
      <c r="AN905" s="51"/>
      <c r="AO905" s="51"/>
      <c r="AP905" s="51"/>
      <c r="AQ905" s="51"/>
      <c r="AR905" s="51"/>
      <c r="AS905" s="51"/>
      <c r="AT905" s="51"/>
      <c r="AU905" s="51"/>
      <c r="AV905" s="51"/>
      <c r="AW905" s="51"/>
      <c r="AX905" s="51"/>
      <c r="AY905" s="51"/>
      <c r="AZ905" s="51"/>
      <c r="BA905" s="51"/>
      <c r="BB905" s="51"/>
      <c r="BC905" s="51"/>
      <c r="BD905" s="51"/>
      <c r="BE905" s="51"/>
      <c r="BF905" s="51"/>
      <c r="BG905" s="51"/>
      <c r="BH905" s="51"/>
      <c r="BI905" s="142"/>
    </row>
    <row r="906" spans="2:61" ht="20.100000000000001" customHeight="1" x14ac:dyDescent="0.45">
      <c r="B906" s="133"/>
      <c r="C906" s="27"/>
      <c r="D906" s="27"/>
      <c r="E906" s="27"/>
      <c r="F906" s="27"/>
      <c r="G906" s="134"/>
      <c r="H906" s="135"/>
      <c r="I906" s="27"/>
      <c r="J906" s="135"/>
      <c r="K906" s="27" t="s">
        <v>726</v>
      </c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138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139"/>
    </row>
    <row r="907" spans="2:61" ht="20.100000000000001" customHeight="1" thickBot="1" x14ac:dyDescent="0.5">
      <c r="B907" s="133"/>
      <c r="C907" s="27"/>
      <c r="D907" s="27"/>
      <c r="E907" s="27"/>
      <c r="F907" s="27"/>
      <c r="G907" s="134"/>
      <c r="H907" s="135"/>
      <c r="I907" s="27"/>
      <c r="J907" s="135"/>
      <c r="K907" s="27" t="s">
        <v>408</v>
      </c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138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139"/>
    </row>
    <row r="908" spans="2:61" ht="20.100000000000001" customHeight="1" x14ac:dyDescent="0.45">
      <c r="B908" s="124" t="s">
        <v>777</v>
      </c>
      <c r="C908" s="125"/>
      <c r="D908" s="125"/>
      <c r="E908" s="125"/>
      <c r="F908" s="125"/>
      <c r="G908" s="126"/>
      <c r="H908" s="127" t="s">
        <v>158</v>
      </c>
      <c r="I908" s="125"/>
      <c r="J908" s="128" t="s">
        <v>241</v>
      </c>
      <c r="K908" s="129"/>
      <c r="L908" s="129"/>
      <c r="M908" s="129"/>
      <c r="N908" s="129"/>
      <c r="O908" s="129"/>
      <c r="P908" s="129"/>
      <c r="Q908" s="130"/>
      <c r="R908" s="129">
        <v>2</v>
      </c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30"/>
      <c r="AK908" s="131"/>
      <c r="AL908" s="125"/>
      <c r="AM908" s="125"/>
      <c r="AN908" s="125"/>
      <c r="AO908" s="125"/>
      <c r="AP908" s="125"/>
      <c r="AQ908" s="158"/>
      <c r="AR908" s="158"/>
      <c r="AS908" s="125"/>
      <c r="AT908" s="125"/>
      <c r="AU908" s="125"/>
      <c r="AV908" s="125"/>
      <c r="AW908" s="125"/>
      <c r="AX908" s="125"/>
      <c r="AY908" s="125"/>
      <c r="AZ908" s="125"/>
      <c r="BA908" s="125"/>
      <c r="BB908" s="125"/>
      <c r="BC908" s="125"/>
      <c r="BD908" s="125"/>
      <c r="BE908" s="125"/>
      <c r="BF908" s="125"/>
      <c r="BG908" s="125"/>
      <c r="BH908" s="125"/>
      <c r="BI908" s="132"/>
    </row>
    <row r="909" spans="2:61" ht="20.100000000000001" customHeight="1" x14ac:dyDescent="0.45">
      <c r="B909" s="133"/>
      <c r="C909" s="27"/>
      <c r="D909" s="27"/>
      <c r="E909" s="27"/>
      <c r="F909" s="27"/>
      <c r="G909" s="134"/>
      <c r="H909" s="135"/>
      <c r="I909" s="27"/>
      <c r="J909" s="144" t="s">
        <v>163</v>
      </c>
      <c r="K909" s="145"/>
      <c r="L909" s="145"/>
      <c r="M909" s="145"/>
      <c r="N909" s="145"/>
      <c r="O909" s="145"/>
      <c r="P909" s="145"/>
      <c r="Q909" s="156"/>
      <c r="R909" s="145" t="s">
        <v>778</v>
      </c>
      <c r="S909" s="145"/>
      <c r="T909" s="145"/>
      <c r="U909" s="145"/>
      <c r="V909" s="145"/>
      <c r="W909" s="145"/>
      <c r="X909" s="145"/>
      <c r="Y909" s="145"/>
      <c r="Z909" s="145"/>
      <c r="AA909" s="145"/>
      <c r="AB909" s="145"/>
      <c r="AC909" s="145"/>
      <c r="AD909" s="145"/>
      <c r="AE909" s="145"/>
      <c r="AF909" s="145"/>
      <c r="AG909" s="145"/>
      <c r="AH909" s="145"/>
      <c r="AI909" s="145"/>
      <c r="AJ909" s="156"/>
      <c r="AK909" s="138"/>
      <c r="AL909" s="27"/>
      <c r="AM909" s="27"/>
      <c r="AN909" s="27"/>
      <c r="AO909" s="27"/>
      <c r="AP909" s="27"/>
      <c r="AQ909" s="148"/>
      <c r="AR909" s="148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139"/>
    </row>
    <row r="910" spans="2:61" ht="20.100000000000001" customHeight="1" x14ac:dyDescent="0.45">
      <c r="B910" s="133"/>
      <c r="C910" s="27"/>
      <c r="D910" s="27"/>
      <c r="E910" s="27"/>
      <c r="F910" s="27"/>
      <c r="G910" s="134"/>
      <c r="H910" s="135"/>
      <c r="I910" s="27"/>
      <c r="J910" s="144" t="s">
        <v>199</v>
      </c>
      <c r="K910" s="145"/>
      <c r="L910" s="145"/>
      <c r="M910" s="145"/>
      <c r="N910" s="145"/>
      <c r="O910" s="145"/>
      <c r="P910" s="145"/>
      <c r="Q910" s="156"/>
      <c r="R910" s="145" t="s">
        <v>779</v>
      </c>
      <c r="S910" s="145"/>
      <c r="T910" s="145"/>
      <c r="U910" s="145"/>
      <c r="V910" s="145"/>
      <c r="W910" s="145"/>
      <c r="X910" s="145"/>
      <c r="Y910" s="145"/>
      <c r="Z910" s="145"/>
      <c r="AA910" s="145"/>
      <c r="AB910" s="145"/>
      <c r="AC910" s="145"/>
      <c r="AD910" s="145"/>
      <c r="AE910" s="145"/>
      <c r="AF910" s="145"/>
      <c r="AG910" s="145"/>
      <c r="AH910" s="145"/>
      <c r="AI910" s="145"/>
      <c r="AJ910" s="156"/>
      <c r="AK910" s="138"/>
      <c r="AL910" s="27"/>
      <c r="AM910" s="27"/>
      <c r="AN910" s="27"/>
      <c r="AO910" s="27"/>
      <c r="AP910" s="27"/>
      <c r="AQ910" s="148"/>
      <c r="AR910" s="148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139"/>
    </row>
    <row r="911" spans="2:61" ht="20.100000000000001" customHeight="1" x14ac:dyDescent="0.45">
      <c r="B911" s="133"/>
      <c r="C911" s="27"/>
      <c r="D911" s="27"/>
      <c r="E911" s="27"/>
      <c r="F911" s="27"/>
      <c r="G911" s="134"/>
      <c r="H911" s="135"/>
      <c r="I911" s="27"/>
      <c r="J911" s="144" t="s">
        <v>200</v>
      </c>
      <c r="K911" s="145"/>
      <c r="L911" s="145"/>
      <c r="M911" s="145"/>
      <c r="N911" s="145"/>
      <c r="O911" s="145"/>
      <c r="P911" s="145"/>
      <c r="Q911" s="156"/>
      <c r="R911" s="145" t="s">
        <v>790</v>
      </c>
      <c r="S911" s="145"/>
      <c r="T911" s="145"/>
      <c r="U911" s="145"/>
      <c r="V911" s="145"/>
      <c r="W911" s="145"/>
      <c r="X911" s="145"/>
      <c r="Y911" s="145"/>
      <c r="Z911" s="145"/>
      <c r="AA911" s="145"/>
      <c r="AB911" s="145"/>
      <c r="AC911" s="145"/>
      <c r="AD911" s="145"/>
      <c r="AE911" s="145"/>
      <c r="AF911" s="145"/>
      <c r="AG911" s="145"/>
      <c r="AH911" s="145"/>
      <c r="AI911" s="145"/>
      <c r="AJ911" s="156"/>
      <c r="AK911" s="138"/>
      <c r="AL911" s="27"/>
      <c r="AM911" s="27"/>
      <c r="AN911" s="27"/>
      <c r="AO911" s="27"/>
      <c r="AP911" s="27"/>
      <c r="AQ911" s="148"/>
      <c r="AR911" s="148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139"/>
    </row>
    <row r="912" spans="2:61" ht="20.100000000000001" customHeight="1" x14ac:dyDescent="0.45">
      <c r="B912" s="133"/>
      <c r="C912" s="27"/>
      <c r="D912" s="27"/>
      <c r="E912" s="27"/>
      <c r="F912" s="27"/>
      <c r="G912" s="134"/>
      <c r="H912" s="135"/>
      <c r="I912" s="27"/>
      <c r="J912" s="144" t="s">
        <v>201</v>
      </c>
      <c r="K912" s="145"/>
      <c r="L912" s="145"/>
      <c r="M912" s="145"/>
      <c r="N912" s="145"/>
      <c r="O912" s="145"/>
      <c r="P912" s="145"/>
      <c r="Q912" s="156"/>
      <c r="R912" s="145" t="s">
        <v>780</v>
      </c>
      <c r="S912" s="145"/>
      <c r="T912" s="145"/>
      <c r="U912" s="145"/>
      <c r="V912" s="145"/>
      <c r="W912" s="145"/>
      <c r="X912" s="145"/>
      <c r="Y912" s="145"/>
      <c r="Z912" s="145"/>
      <c r="AA912" s="145"/>
      <c r="AB912" s="145"/>
      <c r="AC912" s="145"/>
      <c r="AD912" s="145"/>
      <c r="AE912" s="145"/>
      <c r="AF912" s="145"/>
      <c r="AG912" s="145"/>
      <c r="AH912" s="145"/>
      <c r="AI912" s="145"/>
      <c r="AJ912" s="156"/>
      <c r="AK912" s="138"/>
      <c r="AL912" s="27"/>
      <c r="AM912" s="27"/>
      <c r="AN912" s="27"/>
      <c r="AO912" s="27"/>
      <c r="AP912" s="27"/>
      <c r="AQ912" s="148"/>
      <c r="AR912" s="148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139"/>
    </row>
    <row r="913" spans="2:61" ht="20.100000000000001" customHeight="1" x14ac:dyDescent="0.45">
      <c r="B913" s="133"/>
      <c r="C913" s="27"/>
      <c r="D913" s="27"/>
      <c r="E913" s="27"/>
      <c r="F913" s="27"/>
      <c r="G913" s="134"/>
      <c r="H913" s="135"/>
      <c r="I913" s="27"/>
      <c r="J913" s="144" t="s">
        <v>202</v>
      </c>
      <c r="K913" s="145"/>
      <c r="L913" s="145"/>
      <c r="M913" s="145"/>
      <c r="N913" s="145"/>
      <c r="O913" s="145"/>
      <c r="P913" s="145"/>
      <c r="Q913" s="156"/>
      <c r="R913" s="145" t="s">
        <v>791</v>
      </c>
      <c r="S913" s="145"/>
      <c r="T913" s="145"/>
      <c r="U913" s="145"/>
      <c r="V913" s="145"/>
      <c r="W913" s="145"/>
      <c r="X913" s="145"/>
      <c r="Y913" s="145"/>
      <c r="Z913" s="145"/>
      <c r="AA913" s="145"/>
      <c r="AB913" s="145"/>
      <c r="AC913" s="145"/>
      <c r="AD913" s="145"/>
      <c r="AE913" s="145"/>
      <c r="AF913" s="145"/>
      <c r="AG913" s="145"/>
      <c r="AH913" s="145"/>
      <c r="AI913" s="145"/>
      <c r="AJ913" s="156"/>
      <c r="AK913" s="138"/>
      <c r="AL913" s="27"/>
      <c r="AM913" s="27"/>
      <c r="AN913" s="27"/>
      <c r="AO913" s="27"/>
      <c r="AP913" s="27"/>
      <c r="AQ913" s="148"/>
      <c r="AR913" s="148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139"/>
    </row>
    <row r="914" spans="2:61" ht="20.100000000000001" customHeight="1" x14ac:dyDescent="0.45">
      <c r="B914" s="133"/>
      <c r="C914" s="27"/>
      <c r="D914" s="27"/>
      <c r="E914" s="27"/>
      <c r="F914" s="27"/>
      <c r="G914" s="134"/>
      <c r="H914" s="135"/>
      <c r="I914" s="27"/>
      <c r="J914" s="144" t="s">
        <v>203</v>
      </c>
      <c r="K914" s="145"/>
      <c r="L914" s="145"/>
      <c r="M914" s="145"/>
      <c r="N914" s="145"/>
      <c r="O914" s="145"/>
      <c r="P914" s="145"/>
      <c r="Q914" s="156"/>
      <c r="R914" s="145" t="s">
        <v>792</v>
      </c>
      <c r="S914" s="145"/>
      <c r="T914" s="145"/>
      <c r="U914" s="145"/>
      <c r="V914" s="145"/>
      <c r="W914" s="145"/>
      <c r="X914" s="145"/>
      <c r="Y914" s="145"/>
      <c r="Z914" s="145"/>
      <c r="AA914" s="145"/>
      <c r="AB914" s="145"/>
      <c r="AC914" s="145"/>
      <c r="AD914" s="145"/>
      <c r="AE914" s="145"/>
      <c r="AF914" s="145"/>
      <c r="AG914" s="145"/>
      <c r="AH914" s="145"/>
      <c r="AI914" s="145"/>
      <c r="AJ914" s="156"/>
      <c r="AK914" s="138"/>
      <c r="AL914" s="27"/>
      <c r="AM914" s="27"/>
      <c r="AN914" s="27"/>
      <c r="AO914" s="27"/>
      <c r="AP914" s="27"/>
      <c r="AQ914" s="148"/>
      <c r="AR914" s="148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139"/>
    </row>
    <row r="915" spans="2:61" ht="20.100000000000001" customHeight="1" x14ac:dyDescent="0.45">
      <c r="B915" s="133"/>
      <c r="C915" s="27"/>
      <c r="D915" s="27"/>
      <c r="E915" s="27"/>
      <c r="F915" s="27"/>
      <c r="G915" s="134"/>
      <c r="H915" s="135"/>
      <c r="I915" s="27"/>
      <c r="J915" s="144" t="s">
        <v>204</v>
      </c>
      <c r="K915" s="145"/>
      <c r="L915" s="145"/>
      <c r="M915" s="145"/>
      <c r="N915" s="145"/>
      <c r="O915" s="145"/>
      <c r="P915" s="145"/>
      <c r="Q915" s="156"/>
      <c r="R915" s="145" t="s">
        <v>793</v>
      </c>
      <c r="S915" s="145"/>
      <c r="T915" s="145"/>
      <c r="U915" s="145"/>
      <c r="V915" s="145"/>
      <c r="W915" s="145"/>
      <c r="X915" s="145"/>
      <c r="Y915" s="145"/>
      <c r="Z915" s="145"/>
      <c r="AA915" s="145"/>
      <c r="AB915" s="145"/>
      <c r="AC915" s="145"/>
      <c r="AD915" s="145"/>
      <c r="AE915" s="145"/>
      <c r="AF915" s="145"/>
      <c r="AG915" s="145"/>
      <c r="AH915" s="145"/>
      <c r="AI915" s="145"/>
      <c r="AJ915" s="156"/>
      <c r="AK915" s="138"/>
      <c r="AL915" s="27"/>
      <c r="AM915" s="27"/>
      <c r="AN915" s="27"/>
      <c r="AO915" s="27"/>
      <c r="AP915" s="27"/>
      <c r="AQ915" s="148"/>
      <c r="AR915" s="148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139"/>
    </row>
    <row r="916" spans="2:61" ht="20.100000000000001" customHeight="1" x14ac:dyDescent="0.45">
      <c r="B916" s="133"/>
      <c r="C916" s="27"/>
      <c r="D916" s="27"/>
      <c r="E916" s="27"/>
      <c r="F916" s="27"/>
      <c r="G916" s="134"/>
      <c r="H916" s="135"/>
      <c r="I916" s="27"/>
      <c r="J916" s="144" t="s">
        <v>205</v>
      </c>
      <c r="K916" s="145"/>
      <c r="L916" s="145"/>
      <c r="M916" s="145"/>
      <c r="N916" s="145"/>
      <c r="O916" s="145"/>
      <c r="P916" s="145"/>
      <c r="Q916" s="156"/>
      <c r="R916" s="145" t="s">
        <v>794</v>
      </c>
      <c r="S916" s="145"/>
      <c r="T916" s="145"/>
      <c r="U916" s="145"/>
      <c r="V916" s="145"/>
      <c r="W916" s="145"/>
      <c r="X916" s="145"/>
      <c r="Y916" s="145"/>
      <c r="Z916" s="145"/>
      <c r="AA916" s="145"/>
      <c r="AB916" s="145"/>
      <c r="AC916" s="145"/>
      <c r="AD916" s="145"/>
      <c r="AE916" s="145"/>
      <c r="AF916" s="145"/>
      <c r="AG916" s="145"/>
      <c r="AH916" s="145"/>
      <c r="AI916" s="145"/>
      <c r="AJ916" s="156"/>
      <c r="AK916" s="138"/>
      <c r="AL916" s="27"/>
      <c r="AM916" s="27"/>
      <c r="AN916" s="27"/>
      <c r="AO916" s="27"/>
      <c r="AP916" s="27"/>
      <c r="AQ916" s="148"/>
      <c r="AR916" s="148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139"/>
    </row>
    <row r="917" spans="2:61" ht="20.100000000000001" customHeight="1" x14ac:dyDescent="0.45">
      <c r="B917" s="133"/>
      <c r="C917" s="27"/>
      <c r="D917" s="27"/>
      <c r="E917" s="27"/>
      <c r="F917" s="27"/>
      <c r="G917" s="134"/>
      <c r="H917" s="135"/>
      <c r="I917" s="27"/>
      <c r="J917" s="144" t="s">
        <v>206</v>
      </c>
      <c r="K917" s="145"/>
      <c r="L917" s="145"/>
      <c r="M917" s="145"/>
      <c r="N917" s="145"/>
      <c r="O917" s="145"/>
      <c r="P917" s="145"/>
      <c r="Q917" s="156"/>
      <c r="R917" s="145" t="s">
        <v>795</v>
      </c>
      <c r="S917" s="145"/>
      <c r="T917" s="145"/>
      <c r="U917" s="145"/>
      <c r="V917" s="145"/>
      <c r="W917" s="145"/>
      <c r="X917" s="145"/>
      <c r="Y917" s="145"/>
      <c r="Z917" s="145"/>
      <c r="AA917" s="145"/>
      <c r="AB917" s="145"/>
      <c r="AC917" s="145"/>
      <c r="AD917" s="145"/>
      <c r="AE917" s="145"/>
      <c r="AF917" s="145"/>
      <c r="AG917" s="145"/>
      <c r="AH917" s="145"/>
      <c r="AI917" s="145"/>
      <c r="AJ917" s="156"/>
      <c r="AK917" s="138"/>
      <c r="AL917" s="27"/>
      <c r="AM917" s="27"/>
      <c r="AN917" s="27"/>
      <c r="AO917" s="27"/>
      <c r="AP917" s="27"/>
      <c r="AQ917" s="148"/>
      <c r="AR917" s="148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139"/>
    </row>
    <row r="918" spans="2:61" ht="20.100000000000001" customHeight="1" x14ac:dyDescent="0.45">
      <c r="B918" s="133"/>
      <c r="C918" s="27"/>
      <c r="D918" s="27"/>
      <c r="E918" s="27"/>
      <c r="F918" s="27"/>
      <c r="G918" s="134"/>
      <c r="H918" s="135"/>
      <c r="I918" s="27"/>
      <c r="J918" s="144" t="s">
        <v>207</v>
      </c>
      <c r="K918" s="145"/>
      <c r="L918" s="145"/>
      <c r="M918" s="145"/>
      <c r="N918" s="145"/>
      <c r="O918" s="145"/>
      <c r="P918" s="145"/>
      <c r="Q918" s="156"/>
      <c r="R918" s="145" t="s">
        <v>796</v>
      </c>
      <c r="S918" s="145"/>
      <c r="T918" s="145"/>
      <c r="U918" s="145"/>
      <c r="V918" s="145"/>
      <c r="W918" s="145"/>
      <c r="X918" s="145"/>
      <c r="Y918" s="145"/>
      <c r="Z918" s="145"/>
      <c r="AA918" s="145"/>
      <c r="AB918" s="145"/>
      <c r="AC918" s="145"/>
      <c r="AD918" s="145"/>
      <c r="AE918" s="145"/>
      <c r="AF918" s="145"/>
      <c r="AG918" s="145"/>
      <c r="AH918" s="145"/>
      <c r="AI918" s="145"/>
      <c r="AJ918" s="156"/>
      <c r="AK918" s="138"/>
      <c r="AL918" s="27"/>
      <c r="AM918" s="27"/>
      <c r="AN918" s="27"/>
      <c r="AO918" s="27"/>
      <c r="AP918" s="27"/>
      <c r="AQ918" s="148"/>
      <c r="AR918" s="148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139"/>
    </row>
    <row r="919" spans="2:61" ht="20.100000000000001" customHeight="1" x14ac:dyDescent="0.45">
      <c r="B919" s="133"/>
      <c r="C919" s="27"/>
      <c r="D919" s="27"/>
      <c r="E919" s="27"/>
      <c r="F919" s="27"/>
      <c r="G919" s="134"/>
      <c r="H919" s="135"/>
      <c r="I919" s="27"/>
      <c r="J919" s="144" t="s">
        <v>208</v>
      </c>
      <c r="K919" s="145"/>
      <c r="L919" s="145"/>
      <c r="M919" s="145"/>
      <c r="N919" s="145"/>
      <c r="O919" s="145"/>
      <c r="P919" s="145"/>
      <c r="Q919" s="156"/>
      <c r="R919" s="145" t="s">
        <v>797</v>
      </c>
      <c r="S919" s="145"/>
      <c r="T919" s="145"/>
      <c r="U919" s="145"/>
      <c r="V919" s="145"/>
      <c r="W919" s="145"/>
      <c r="X919" s="145"/>
      <c r="Y919" s="145"/>
      <c r="Z919" s="145"/>
      <c r="AA919" s="145"/>
      <c r="AB919" s="145"/>
      <c r="AC919" s="145"/>
      <c r="AD919" s="145"/>
      <c r="AE919" s="145"/>
      <c r="AF919" s="145"/>
      <c r="AG919" s="145"/>
      <c r="AH919" s="145"/>
      <c r="AI919" s="145"/>
      <c r="AJ919" s="156"/>
      <c r="AK919" s="138"/>
      <c r="AL919" s="27"/>
      <c r="AM919" s="27"/>
      <c r="AN919" s="27"/>
      <c r="AO919" s="27"/>
      <c r="AP919" s="27"/>
      <c r="AQ919" s="148"/>
      <c r="AR919" s="148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139"/>
    </row>
    <row r="920" spans="2:61" ht="20.100000000000001" customHeight="1" x14ac:dyDescent="0.45">
      <c r="B920" s="133"/>
      <c r="C920" s="27"/>
      <c r="D920" s="27"/>
      <c r="E920" s="27"/>
      <c r="F920" s="27"/>
      <c r="G920" s="134"/>
      <c r="H920" s="135"/>
      <c r="I920" s="27"/>
      <c r="J920" s="144" t="s">
        <v>209</v>
      </c>
      <c r="K920" s="145"/>
      <c r="L920" s="145"/>
      <c r="M920" s="145"/>
      <c r="N920" s="145"/>
      <c r="O920" s="145"/>
      <c r="P920" s="145"/>
      <c r="Q920" s="156"/>
      <c r="R920" s="145" t="s">
        <v>798</v>
      </c>
      <c r="S920" s="145"/>
      <c r="T920" s="145"/>
      <c r="U920" s="145"/>
      <c r="V920" s="145"/>
      <c r="W920" s="145"/>
      <c r="X920" s="145"/>
      <c r="Y920" s="145"/>
      <c r="Z920" s="145"/>
      <c r="AA920" s="145"/>
      <c r="AB920" s="145"/>
      <c r="AC920" s="145"/>
      <c r="AD920" s="145"/>
      <c r="AE920" s="145"/>
      <c r="AF920" s="145"/>
      <c r="AG920" s="145"/>
      <c r="AH920" s="145"/>
      <c r="AI920" s="145"/>
      <c r="AJ920" s="156"/>
      <c r="AK920" s="138"/>
      <c r="AL920" s="27"/>
      <c r="AM920" s="27"/>
      <c r="AN920" s="27"/>
      <c r="AO920" s="27"/>
      <c r="AP920" s="27"/>
      <c r="AQ920" s="148"/>
      <c r="AR920" s="148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139"/>
    </row>
    <row r="921" spans="2:61" ht="20.100000000000001" customHeight="1" x14ac:dyDescent="0.45">
      <c r="B921" s="133"/>
      <c r="C921" s="27"/>
      <c r="D921" s="27"/>
      <c r="E921" s="27"/>
      <c r="F921" s="27"/>
      <c r="G921" s="134"/>
      <c r="H921" s="135"/>
      <c r="I921" s="27"/>
      <c r="J921" s="144" t="s">
        <v>210</v>
      </c>
      <c r="K921" s="145"/>
      <c r="L921" s="145"/>
      <c r="M921" s="145"/>
      <c r="N921" s="145"/>
      <c r="O921" s="145"/>
      <c r="P921" s="145"/>
      <c r="Q921" s="156"/>
      <c r="R921" s="145" t="s">
        <v>799</v>
      </c>
      <c r="S921" s="145"/>
      <c r="T921" s="145"/>
      <c r="U921" s="145"/>
      <c r="V921" s="145"/>
      <c r="W921" s="145"/>
      <c r="X921" s="145"/>
      <c r="Y921" s="145"/>
      <c r="Z921" s="145"/>
      <c r="AA921" s="145"/>
      <c r="AB921" s="145"/>
      <c r="AC921" s="145"/>
      <c r="AD921" s="145"/>
      <c r="AE921" s="145"/>
      <c r="AF921" s="145"/>
      <c r="AG921" s="145"/>
      <c r="AH921" s="145"/>
      <c r="AI921" s="145"/>
      <c r="AJ921" s="156"/>
      <c r="AK921" s="138"/>
      <c r="AL921" s="27"/>
      <c r="AM921" s="27"/>
      <c r="AN921" s="27"/>
      <c r="AO921" s="27"/>
      <c r="AP921" s="27"/>
      <c r="AQ921" s="148"/>
      <c r="AR921" s="148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139"/>
    </row>
    <row r="922" spans="2:61" ht="20.100000000000001" customHeight="1" x14ac:dyDescent="0.45">
      <c r="B922" s="133"/>
      <c r="C922" s="27"/>
      <c r="D922" s="27"/>
      <c r="E922" s="27"/>
      <c r="F922" s="27"/>
      <c r="G922" s="134"/>
      <c r="H922" s="135"/>
      <c r="I922" s="27"/>
      <c r="J922" s="144" t="s">
        <v>211</v>
      </c>
      <c r="K922" s="145"/>
      <c r="L922" s="145"/>
      <c r="M922" s="145"/>
      <c r="N922" s="145"/>
      <c r="O922" s="145"/>
      <c r="P922" s="145"/>
      <c r="Q922" s="156"/>
      <c r="R922" s="145" t="s">
        <v>800</v>
      </c>
      <c r="S922" s="145"/>
      <c r="T922" s="145"/>
      <c r="U922" s="145"/>
      <c r="V922" s="145"/>
      <c r="W922" s="145"/>
      <c r="X922" s="145"/>
      <c r="Y922" s="145"/>
      <c r="Z922" s="145"/>
      <c r="AA922" s="145"/>
      <c r="AB922" s="145"/>
      <c r="AC922" s="145"/>
      <c r="AD922" s="145"/>
      <c r="AE922" s="145"/>
      <c r="AF922" s="145"/>
      <c r="AG922" s="145"/>
      <c r="AH922" s="145"/>
      <c r="AI922" s="145"/>
      <c r="AJ922" s="156"/>
      <c r="AK922" s="138"/>
      <c r="AL922" s="27"/>
      <c r="AM922" s="27"/>
      <c r="AN922" s="27"/>
      <c r="AO922" s="27"/>
      <c r="AP922" s="27"/>
      <c r="AQ922" s="148"/>
      <c r="AR922" s="148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139"/>
    </row>
    <row r="923" spans="2:61" ht="20.100000000000001" customHeight="1" x14ac:dyDescent="0.45">
      <c r="B923" s="133"/>
      <c r="C923" s="27"/>
      <c r="D923" s="27"/>
      <c r="E923" s="27"/>
      <c r="F923" s="27"/>
      <c r="G923" s="134"/>
      <c r="H923" s="135"/>
      <c r="I923" s="27"/>
      <c r="J923" s="144" t="s">
        <v>212</v>
      </c>
      <c r="K923" s="145"/>
      <c r="L923" s="145"/>
      <c r="M923" s="145"/>
      <c r="N923" s="145"/>
      <c r="O923" s="145"/>
      <c r="P923" s="145"/>
      <c r="Q923" s="156"/>
      <c r="R923" s="145" t="s">
        <v>800</v>
      </c>
      <c r="S923" s="145"/>
      <c r="T923" s="145"/>
      <c r="U923" s="145"/>
      <c r="V923" s="145"/>
      <c r="W923" s="145"/>
      <c r="X923" s="145"/>
      <c r="Y923" s="145"/>
      <c r="Z923" s="145"/>
      <c r="AA923" s="145"/>
      <c r="AB923" s="145"/>
      <c r="AC923" s="145"/>
      <c r="AD923" s="145"/>
      <c r="AE923" s="145"/>
      <c r="AF923" s="145"/>
      <c r="AG923" s="145"/>
      <c r="AH923" s="145"/>
      <c r="AI923" s="145"/>
      <c r="AJ923" s="156"/>
      <c r="AK923" s="138"/>
      <c r="AL923" s="27"/>
      <c r="AM923" s="27"/>
      <c r="AN923" s="27"/>
      <c r="AO923" s="27"/>
      <c r="AP923" s="27"/>
      <c r="AQ923" s="148"/>
      <c r="AR923" s="148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139"/>
    </row>
    <row r="924" spans="2:61" ht="20.100000000000001" customHeight="1" x14ac:dyDescent="0.45">
      <c r="B924" s="133"/>
      <c r="C924" s="27"/>
      <c r="D924" s="27"/>
      <c r="E924" s="27"/>
      <c r="F924" s="27"/>
      <c r="G924" s="134"/>
      <c r="H924" s="135"/>
      <c r="I924" s="27"/>
      <c r="J924" s="144" t="s">
        <v>213</v>
      </c>
      <c r="K924" s="145"/>
      <c r="L924" s="145"/>
      <c r="M924" s="145"/>
      <c r="N924" s="145"/>
      <c r="O924" s="145"/>
      <c r="P924" s="145"/>
      <c r="Q924" s="156"/>
      <c r="R924" s="145" t="s">
        <v>801</v>
      </c>
      <c r="S924" s="145"/>
      <c r="T924" s="145"/>
      <c r="U924" s="145"/>
      <c r="V924" s="145"/>
      <c r="W924" s="145"/>
      <c r="X924" s="145"/>
      <c r="Y924" s="145"/>
      <c r="Z924" s="145"/>
      <c r="AA924" s="145"/>
      <c r="AB924" s="145"/>
      <c r="AC924" s="145"/>
      <c r="AD924" s="145"/>
      <c r="AE924" s="145"/>
      <c r="AF924" s="145"/>
      <c r="AG924" s="145"/>
      <c r="AH924" s="145"/>
      <c r="AI924" s="145"/>
      <c r="AJ924" s="156"/>
      <c r="AK924" s="138"/>
      <c r="AL924" s="27"/>
      <c r="AM924" s="27"/>
      <c r="AN924" s="27"/>
      <c r="AO924" s="27"/>
      <c r="AP924" s="27"/>
      <c r="AQ924" s="148"/>
      <c r="AR924" s="148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139"/>
    </row>
    <row r="925" spans="2:61" ht="20.100000000000001" customHeight="1" x14ac:dyDescent="0.45">
      <c r="B925" s="133"/>
      <c r="C925" s="27"/>
      <c r="D925" s="27"/>
      <c r="E925" s="27"/>
      <c r="F925" s="27"/>
      <c r="G925" s="134"/>
      <c r="H925" s="135"/>
      <c r="I925" s="27"/>
      <c r="J925" s="144" t="s">
        <v>409</v>
      </c>
      <c r="K925" s="145"/>
      <c r="L925" s="145"/>
      <c r="M925" s="145"/>
      <c r="N925" s="145"/>
      <c r="O925" s="145"/>
      <c r="P925" s="145"/>
      <c r="Q925" s="156"/>
      <c r="R925" s="145" t="s">
        <v>781</v>
      </c>
      <c r="S925" s="145"/>
      <c r="T925" s="145"/>
      <c r="U925" s="145"/>
      <c r="V925" s="145"/>
      <c r="W925" s="145"/>
      <c r="X925" s="145"/>
      <c r="Y925" s="145"/>
      <c r="Z925" s="145"/>
      <c r="AA925" s="145"/>
      <c r="AB925" s="145"/>
      <c r="AC925" s="145"/>
      <c r="AD925" s="145"/>
      <c r="AE925" s="145"/>
      <c r="AF925" s="145"/>
      <c r="AG925" s="145"/>
      <c r="AH925" s="145"/>
      <c r="AI925" s="145"/>
      <c r="AJ925" s="156"/>
      <c r="AK925" s="138"/>
      <c r="AL925" s="27"/>
      <c r="AM925" s="27"/>
      <c r="AN925" s="27"/>
      <c r="AO925" s="27"/>
      <c r="AP925" s="27"/>
      <c r="AQ925" s="148"/>
      <c r="AR925" s="148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139"/>
    </row>
    <row r="926" spans="2:61" ht="20.100000000000001" customHeight="1" x14ac:dyDescent="0.45">
      <c r="B926" s="133"/>
      <c r="C926" s="27"/>
      <c r="D926" s="27"/>
      <c r="E926" s="27"/>
      <c r="F926" s="27"/>
      <c r="G926" s="134"/>
      <c r="H926" s="135"/>
      <c r="I926" s="27"/>
      <c r="J926" s="144" t="s">
        <v>214</v>
      </c>
      <c r="K926" s="145"/>
      <c r="L926" s="145"/>
      <c r="M926" s="145"/>
      <c r="N926" s="145"/>
      <c r="O926" s="145"/>
      <c r="P926" s="145"/>
      <c r="Q926" s="156"/>
      <c r="R926" s="145" t="s">
        <v>802</v>
      </c>
      <c r="S926" s="145"/>
      <c r="T926" s="145"/>
      <c r="U926" s="145"/>
      <c r="V926" s="145"/>
      <c r="W926" s="145"/>
      <c r="X926" s="145"/>
      <c r="Y926" s="145"/>
      <c r="Z926" s="145"/>
      <c r="AA926" s="145"/>
      <c r="AB926" s="145"/>
      <c r="AC926" s="145"/>
      <c r="AD926" s="145"/>
      <c r="AE926" s="145"/>
      <c r="AF926" s="145"/>
      <c r="AG926" s="145"/>
      <c r="AH926" s="145"/>
      <c r="AI926" s="145"/>
      <c r="AJ926" s="156"/>
      <c r="AK926" s="138"/>
      <c r="AL926" s="27"/>
      <c r="AM926" s="27"/>
      <c r="AN926" s="27"/>
      <c r="AO926" s="27"/>
      <c r="AP926" s="27"/>
      <c r="AQ926" s="148"/>
      <c r="AR926" s="148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139"/>
    </row>
    <row r="927" spans="2:61" ht="20.100000000000001" customHeight="1" x14ac:dyDescent="0.45">
      <c r="B927" s="133"/>
      <c r="C927" s="27"/>
      <c r="D927" s="27"/>
      <c r="E927" s="27"/>
      <c r="F927" s="27"/>
      <c r="G927" s="134"/>
      <c r="H927" s="135"/>
      <c r="I927" s="27"/>
      <c r="J927" s="144" t="s">
        <v>215</v>
      </c>
      <c r="K927" s="145"/>
      <c r="L927" s="145"/>
      <c r="M927" s="145"/>
      <c r="N927" s="145"/>
      <c r="O927" s="145"/>
      <c r="P927" s="145"/>
      <c r="Q927" s="156"/>
      <c r="R927" s="145" t="s">
        <v>782</v>
      </c>
      <c r="S927" s="145"/>
      <c r="T927" s="145"/>
      <c r="U927" s="145"/>
      <c r="V927" s="145"/>
      <c r="W927" s="145"/>
      <c r="X927" s="145"/>
      <c r="Y927" s="145"/>
      <c r="Z927" s="145"/>
      <c r="AA927" s="145"/>
      <c r="AB927" s="145"/>
      <c r="AC927" s="145"/>
      <c r="AD927" s="145"/>
      <c r="AE927" s="145"/>
      <c r="AF927" s="145"/>
      <c r="AG927" s="145"/>
      <c r="AH927" s="145"/>
      <c r="AI927" s="145"/>
      <c r="AJ927" s="156"/>
      <c r="AK927" s="138"/>
      <c r="AL927" s="27"/>
      <c r="AM927" s="27"/>
      <c r="AN927" s="27"/>
      <c r="AO927" s="27"/>
      <c r="AP927" s="27"/>
      <c r="AQ927" s="148"/>
      <c r="AR927" s="148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139"/>
    </row>
    <row r="928" spans="2:61" ht="20.100000000000001" customHeight="1" x14ac:dyDescent="0.45">
      <c r="B928" s="133"/>
      <c r="C928" s="27"/>
      <c r="D928" s="27"/>
      <c r="E928" s="27"/>
      <c r="F928" s="27"/>
      <c r="G928" s="134"/>
      <c r="H928" s="135"/>
      <c r="I928" s="27"/>
      <c r="J928" s="144" t="s">
        <v>216</v>
      </c>
      <c r="K928" s="145"/>
      <c r="L928" s="145"/>
      <c r="M928" s="145"/>
      <c r="N928" s="145"/>
      <c r="O928" s="145"/>
      <c r="P928" s="145"/>
      <c r="Q928" s="156"/>
      <c r="R928" s="145" t="s">
        <v>783</v>
      </c>
      <c r="S928" s="145"/>
      <c r="T928" s="145"/>
      <c r="U928" s="145"/>
      <c r="V928" s="145"/>
      <c r="W928" s="145"/>
      <c r="X928" s="145"/>
      <c r="Y928" s="145"/>
      <c r="Z928" s="145"/>
      <c r="AA928" s="145"/>
      <c r="AB928" s="145"/>
      <c r="AC928" s="145"/>
      <c r="AD928" s="145"/>
      <c r="AE928" s="145"/>
      <c r="AF928" s="145"/>
      <c r="AG928" s="145"/>
      <c r="AH928" s="145"/>
      <c r="AI928" s="145"/>
      <c r="AJ928" s="156"/>
      <c r="AK928" s="138"/>
      <c r="AL928" s="27"/>
      <c r="AM928" s="27"/>
      <c r="AN928" s="27"/>
      <c r="AO928" s="27"/>
      <c r="AP928" s="27"/>
      <c r="AQ928" s="148"/>
      <c r="AR928" s="148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139"/>
    </row>
    <row r="929" spans="2:61" ht="20.100000000000001" customHeight="1" x14ac:dyDescent="0.45">
      <c r="B929" s="133"/>
      <c r="C929" s="27"/>
      <c r="D929" s="27"/>
      <c r="E929" s="27"/>
      <c r="F929" s="27"/>
      <c r="G929" s="134"/>
      <c r="H929" s="135"/>
      <c r="I929" s="27"/>
      <c r="J929" s="144" t="s">
        <v>217</v>
      </c>
      <c r="K929" s="145"/>
      <c r="L929" s="145"/>
      <c r="M929" s="145"/>
      <c r="N929" s="145"/>
      <c r="O929" s="145"/>
      <c r="P929" s="145"/>
      <c r="Q929" s="156"/>
      <c r="R929" s="136" t="s">
        <v>803</v>
      </c>
      <c r="S929" s="145"/>
      <c r="T929" s="145"/>
      <c r="U929" s="145"/>
      <c r="V929" s="145"/>
      <c r="W929" s="145"/>
      <c r="X929" s="145"/>
      <c r="Y929" s="145"/>
      <c r="Z929" s="145"/>
      <c r="AA929" s="145"/>
      <c r="AB929" s="145"/>
      <c r="AC929" s="145"/>
      <c r="AD929" s="145"/>
      <c r="AE929" s="145"/>
      <c r="AF929" s="145"/>
      <c r="AG929" s="145"/>
      <c r="AH929" s="145"/>
      <c r="AI929" s="145"/>
      <c r="AJ929" s="156"/>
      <c r="AK929" s="138"/>
      <c r="AL929" s="27"/>
      <c r="AM929" s="27"/>
      <c r="AN929" s="27"/>
      <c r="AO929" s="27"/>
      <c r="AP929" s="27"/>
      <c r="AQ929" s="148"/>
      <c r="AR929" s="148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139"/>
    </row>
    <row r="930" spans="2:61" ht="20.100000000000001" customHeight="1" x14ac:dyDescent="0.45">
      <c r="B930" s="133"/>
      <c r="C930" s="27"/>
      <c r="D930" s="27"/>
      <c r="E930" s="27"/>
      <c r="F930" s="27"/>
      <c r="G930" s="134"/>
      <c r="H930" s="135"/>
      <c r="I930" s="27"/>
      <c r="J930" s="144" t="s">
        <v>218</v>
      </c>
      <c r="K930" s="145"/>
      <c r="L930" s="145"/>
      <c r="M930" s="145"/>
      <c r="N930" s="145"/>
      <c r="O930" s="145"/>
      <c r="P930" s="145"/>
      <c r="Q930" s="156"/>
      <c r="R930" s="145" t="s">
        <v>804</v>
      </c>
      <c r="S930" s="145"/>
      <c r="T930" s="145"/>
      <c r="U930" s="145"/>
      <c r="V930" s="145"/>
      <c r="W930" s="145"/>
      <c r="X930" s="145"/>
      <c r="Y930" s="145"/>
      <c r="Z930" s="145"/>
      <c r="AA930" s="145"/>
      <c r="AB930" s="145"/>
      <c r="AC930" s="145"/>
      <c r="AD930" s="145"/>
      <c r="AE930" s="145"/>
      <c r="AF930" s="145"/>
      <c r="AG930" s="145"/>
      <c r="AH930" s="145"/>
      <c r="AI930" s="145"/>
      <c r="AJ930" s="156"/>
      <c r="AK930" s="138"/>
      <c r="AL930" s="27"/>
      <c r="AM930" s="27"/>
      <c r="AN930" s="27"/>
      <c r="AO930" s="27"/>
      <c r="AP930" s="27"/>
      <c r="AQ930" s="148"/>
      <c r="AR930" s="148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139"/>
    </row>
    <row r="931" spans="2:61" ht="20.100000000000001" customHeight="1" x14ac:dyDescent="0.45">
      <c r="B931" s="133"/>
      <c r="C931" s="27"/>
      <c r="D931" s="27"/>
      <c r="E931" s="27"/>
      <c r="F931" s="27"/>
      <c r="G931" s="134"/>
      <c r="H931" s="135"/>
      <c r="I931" s="27"/>
      <c r="J931" s="144" t="s">
        <v>219</v>
      </c>
      <c r="K931" s="145"/>
      <c r="L931" s="145"/>
      <c r="M931" s="145"/>
      <c r="N931" s="145"/>
      <c r="O931" s="145"/>
      <c r="P931" s="145"/>
      <c r="Q931" s="156"/>
      <c r="R931" s="145" t="s">
        <v>784</v>
      </c>
      <c r="S931" s="145"/>
      <c r="T931" s="145"/>
      <c r="U931" s="145"/>
      <c r="V931" s="145"/>
      <c r="W931" s="145"/>
      <c r="X931" s="145"/>
      <c r="Y931" s="145"/>
      <c r="Z931" s="145"/>
      <c r="AA931" s="145"/>
      <c r="AB931" s="145"/>
      <c r="AC931" s="145"/>
      <c r="AD931" s="145"/>
      <c r="AE931" s="145"/>
      <c r="AF931" s="145"/>
      <c r="AG931" s="145"/>
      <c r="AH931" s="145"/>
      <c r="AI931" s="145"/>
      <c r="AJ931" s="156"/>
      <c r="AK931" s="138"/>
      <c r="AL931" s="27"/>
      <c r="AM931" s="27"/>
      <c r="AN931" s="27"/>
      <c r="AO931" s="27"/>
      <c r="AP931" s="27"/>
      <c r="AQ931" s="148"/>
      <c r="AR931" s="148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139"/>
    </row>
    <row r="932" spans="2:61" ht="20.100000000000001" customHeight="1" x14ac:dyDescent="0.45">
      <c r="B932" s="133"/>
      <c r="C932" s="27"/>
      <c r="D932" s="27"/>
      <c r="E932" s="27"/>
      <c r="F932" s="27"/>
      <c r="G932" s="134"/>
      <c r="H932" s="135"/>
      <c r="I932" s="27"/>
      <c r="J932" s="144" t="s">
        <v>220</v>
      </c>
      <c r="K932" s="145"/>
      <c r="L932" s="145"/>
      <c r="M932" s="145"/>
      <c r="N932" s="145"/>
      <c r="O932" s="145"/>
      <c r="P932" s="145"/>
      <c r="Q932" s="156"/>
      <c r="R932" s="145" t="s">
        <v>785</v>
      </c>
      <c r="S932" s="145"/>
      <c r="T932" s="145"/>
      <c r="U932" s="145"/>
      <c r="V932" s="145"/>
      <c r="W932" s="145"/>
      <c r="X932" s="145"/>
      <c r="Y932" s="145"/>
      <c r="Z932" s="145"/>
      <c r="AA932" s="145"/>
      <c r="AB932" s="145"/>
      <c r="AC932" s="145"/>
      <c r="AD932" s="145"/>
      <c r="AE932" s="145"/>
      <c r="AF932" s="145"/>
      <c r="AG932" s="145"/>
      <c r="AH932" s="145"/>
      <c r="AI932" s="145"/>
      <c r="AJ932" s="156"/>
      <c r="AK932" s="138"/>
      <c r="AL932" s="27"/>
      <c r="AM932" s="27"/>
      <c r="AN932" s="27"/>
      <c r="AO932" s="27"/>
      <c r="AP932" s="27"/>
      <c r="AQ932" s="148"/>
      <c r="AR932" s="148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139"/>
    </row>
    <row r="933" spans="2:61" ht="20.100000000000001" customHeight="1" x14ac:dyDescent="0.45">
      <c r="B933" s="133"/>
      <c r="C933" s="27"/>
      <c r="D933" s="27"/>
      <c r="E933" s="27"/>
      <c r="F933" s="27"/>
      <c r="G933" s="134"/>
      <c r="H933" s="135"/>
      <c r="I933" s="27"/>
      <c r="J933" s="144" t="s">
        <v>221</v>
      </c>
      <c r="K933" s="145"/>
      <c r="L933" s="145"/>
      <c r="M933" s="145"/>
      <c r="N933" s="145"/>
      <c r="O933" s="145"/>
      <c r="P933" s="145"/>
      <c r="Q933" s="156"/>
      <c r="R933" s="145" t="s">
        <v>805</v>
      </c>
      <c r="S933" s="145"/>
      <c r="T933" s="145"/>
      <c r="U933" s="145"/>
      <c r="V933" s="145"/>
      <c r="W933" s="145"/>
      <c r="X933" s="145"/>
      <c r="Y933" s="145"/>
      <c r="Z933" s="145"/>
      <c r="AA933" s="145"/>
      <c r="AB933" s="145"/>
      <c r="AC933" s="145"/>
      <c r="AD933" s="145"/>
      <c r="AE933" s="145"/>
      <c r="AF933" s="145"/>
      <c r="AG933" s="145"/>
      <c r="AH933" s="145"/>
      <c r="AI933" s="145"/>
      <c r="AJ933" s="156"/>
      <c r="AK933" s="138"/>
      <c r="AL933" s="27"/>
      <c r="AM933" s="27"/>
      <c r="AN933" s="27"/>
      <c r="AO933" s="27"/>
      <c r="AP933" s="27"/>
      <c r="AQ933" s="148"/>
      <c r="AR933" s="148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139"/>
    </row>
    <row r="934" spans="2:61" ht="20.100000000000001" customHeight="1" x14ac:dyDescent="0.45">
      <c r="B934" s="133"/>
      <c r="C934" s="27"/>
      <c r="D934" s="27"/>
      <c r="E934" s="27"/>
      <c r="F934" s="27"/>
      <c r="G934" s="134"/>
      <c r="H934" s="135"/>
      <c r="I934" s="27"/>
      <c r="J934" s="144" t="s">
        <v>222</v>
      </c>
      <c r="K934" s="145"/>
      <c r="L934" s="145"/>
      <c r="M934" s="145"/>
      <c r="N934" s="145"/>
      <c r="O934" s="145"/>
      <c r="P934" s="145"/>
      <c r="Q934" s="156"/>
      <c r="R934" s="145" t="s">
        <v>806</v>
      </c>
      <c r="S934" s="145"/>
      <c r="T934" s="145"/>
      <c r="U934" s="145"/>
      <c r="V934" s="145"/>
      <c r="W934" s="145"/>
      <c r="X934" s="145"/>
      <c r="Y934" s="145"/>
      <c r="Z934" s="145"/>
      <c r="AA934" s="145"/>
      <c r="AB934" s="145"/>
      <c r="AC934" s="145"/>
      <c r="AD934" s="145"/>
      <c r="AE934" s="145"/>
      <c r="AF934" s="145"/>
      <c r="AG934" s="145"/>
      <c r="AH934" s="145"/>
      <c r="AI934" s="145"/>
      <c r="AJ934" s="156"/>
      <c r="AK934" s="138"/>
      <c r="AL934" s="27"/>
      <c r="AM934" s="27"/>
      <c r="AN934" s="27"/>
      <c r="AO934" s="27"/>
      <c r="AP934" s="27"/>
      <c r="AQ934" s="148"/>
      <c r="AR934" s="148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139"/>
    </row>
    <row r="935" spans="2:61" ht="20.100000000000001" customHeight="1" x14ac:dyDescent="0.45">
      <c r="B935" s="133"/>
      <c r="C935" s="27"/>
      <c r="D935" s="27"/>
      <c r="E935" s="27"/>
      <c r="F935" s="27"/>
      <c r="G935" s="134"/>
      <c r="H935" s="135"/>
      <c r="I935" s="27"/>
      <c r="J935" s="144" t="s">
        <v>223</v>
      </c>
      <c r="K935" s="145"/>
      <c r="L935" s="145"/>
      <c r="M935" s="145"/>
      <c r="N935" s="145"/>
      <c r="O935" s="145"/>
      <c r="P935" s="145"/>
      <c r="Q935" s="156"/>
      <c r="R935" s="145" t="s">
        <v>807</v>
      </c>
      <c r="S935" s="145"/>
      <c r="T935" s="145"/>
      <c r="U935" s="145"/>
      <c r="V935" s="145"/>
      <c r="W935" s="145"/>
      <c r="X935" s="145"/>
      <c r="Y935" s="145"/>
      <c r="Z935" s="145"/>
      <c r="AA935" s="145"/>
      <c r="AB935" s="145"/>
      <c r="AC935" s="145"/>
      <c r="AD935" s="145"/>
      <c r="AE935" s="145"/>
      <c r="AF935" s="145"/>
      <c r="AG935" s="145"/>
      <c r="AH935" s="145"/>
      <c r="AI935" s="145"/>
      <c r="AJ935" s="156"/>
      <c r="AK935" s="138"/>
      <c r="AL935" s="27"/>
      <c r="AM935" s="27"/>
      <c r="AN935" s="27"/>
      <c r="AO935" s="27"/>
      <c r="AP935" s="27"/>
      <c r="AQ935" s="148"/>
      <c r="AR935" s="148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139"/>
    </row>
    <row r="936" spans="2:61" ht="20.100000000000001" customHeight="1" x14ac:dyDescent="0.45">
      <c r="B936" s="133"/>
      <c r="C936" s="27"/>
      <c r="D936" s="27"/>
      <c r="E936" s="27"/>
      <c r="F936" s="27"/>
      <c r="G936" s="134"/>
      <c r="H936" s="135"/>
      <c r="I936" s="27"/>
      <c r="J936" s="144" t="s">
        <v>224</v>
      </c>
      <c r="K936" s="145"/>
      <c r="L936" s="145"/>
      <c r="M936" s="145"/>
      <c r="N936" s="145"/>
      <c r="O936" s="145"/>
      <c r="P936" s="145"/>
      <c r="Q936" s="156"/>
      <c r="R936" s="145" t="s">
        <v>808</v>
      </c>
      <c r="S936" s="145"/>
      <c r="T936" s="145"/>
      <c r="U936" s="145"/>
      <c r="V936" s="145"/>
      <c r="W936" s="145"/>
      <c r="X936" s="145"/>
      <c r="Y936" s="145"/>
      <c r="Z936" s="145"/>
      <c r="AA936" s="145"/>
      <c r="AB936" s="145"/>
      <c r="AC936" s="145"/>
      <c r="AD936" s="145"/>
      <c r="AE936" s="145"/>
      <c r="AF936" s="145"/>
      <c r="AG936" s="145"/>
      <c r="AH936" s="145"/>
      <c r="AI936" s="145"/>
      <c r="AJ936" s="156"/>
      <c r="AK936" s="138"/>
      <c r="AL936" s="27"/>
      <c r="AM936" s="27"/>
      <c r="AN936" s="27"/>
      <c r="AO936" s="27"/>
      <c r="AP936" s="27"/>
      <c r="AQ936" s="148"/>
      <c r="AR936" s="148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139"/>
    </row>
    <row r="937" spans="2:61" ht="20.100000000000001" customHeight="1" x14ac:dyDescent="0.45">
      <c r="B937" s="133"/>
      <c r="C937" s="27"/>
      <c r="D937" s="27"/>
      <c r="E937" s="27"/>
      <c r="F937" s="27"/>
      <c r="G937" s="134"/>
      <c r="H937" s="135"/>
      <c r="I937" s="27"/>
      <c r="J937" s="144" t="s">
        <v>225</v>
      </c>
      <c r="K937" s="145"/>
      <c r="L937" s="145"/>
      <c r="M937" s="145"/>
      <c r="N937" s="145"/>
      <c r="O937" s="145"/>
      <c r="P937" s="145"/>
      <c r="Q937" s="156"/>
      <c r="R937" s="145" t="s">
        <v>809</v>
      </c>
      <c r="S937" s="145"/>
      <c r="T937" s="145"/>
      <c r="U937" s="145"/>
      <c r="V937" s="145"/>
      <c r="W937" s="145"/>
      <c r="X937" s="145"/>
      <c r="Y937" s="145"/>
      <c r="Z937" s="145"/>
      <c r="AA937" s="145"/>
      <c r="AB937" s="145"/>
      <c r="AC937" s="145"/>
      <c r="AD937" s="145"/>
      <c r="AE937" s="145"/>
      <c r="AF937" s="145"/>
      <c r="AG937" s="145"/>
      <c r="AH937" s="145"/>
      <c r="AI937" s="145"/>
      <c r="AJ937" s="156"/>
      <c r="AK937" s="138"/>
      <c r="AL937" s="27"/>
      <c r="AM937" s="27"/>
      <c r="AN937" s="27"/>
      <c r="AO937" s="27"/>
      <c r="AP937" s="27"/>
      <c r="AQ937" s="148"/>
      <c r="AR937" s="148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139"/>
    </row>
    <row r="938" spans="2:61" ht="20.100000000000001" customHeight="1" x14ac:dyDescent="0.45">
      <c r="B938" s="133"/>
      <c r="C938" s="27"/>
      <c r="D938" s="27"/>
      <c r="E938" s="27"/>
      <c r="F938" s="27"/>
      <c r="G938" s="134"/>
      <c r="H938" s="135"/>
      <c r="I938" s="27"/>
      <c r="J938" s="144" t="s">
        <v>226</v>
      </c>
      <c r="K938" s="145"/>
      <c r="L938" s="145"/>
      <c r="M938" s="145"/>
      <c r="N938" s="145"/>
      <c r="O938" s="145"/>
      <c r="P938" s="145"/>
      <c r="Q938" s="156"/>
      <c r="R938" s="145" t="s">
        <v>810</v>
      </c>
      <c r="S938" s="145"/>
      <c r="T938" s="145"/>
      <c r="U938" s="145"/>
      <c r="V938" s="145"/>
      <c r="W938" s="145"/>
      <c r="X938" s="145"/>
      <c r="Y938" s="145"/>
      <c r="Z938" s="145"/>
      <c r="AA938" s="145"/>
      <c r="AB938" s="145"/>
      <c r="AC938" s="145"/>
      <c r="AD938" s="145"/>
      <c r="AE938" s="145"/>
      <c r="AF938" s="145"/>
      <c r="AG938" s="145"/>
      <c r="AH938" s="145"/>
      <c r="AI938" s="145"/>
      <c r="AJ938" s="156"/>
      <c r="AK938" s="138"/>
      <c r="AL938" s="27"/>
      <c r="AM938" s="27"/>
      <c r="AN938" s="27"/>
      <c r="AO938" s="27"/>
      <c r="AP938" s="27"/>
      <c r="AQ938" s="148"/>
      <c r="AR938" s="148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139"/>
    </row>
    <row r="939" spans="2:61" ht="20.100000000000001" customHeight="1" x14ac:dyDescent="0.45">
      <c r="B939" s="133"/>
      <c r="C939" s="27"/>
      <c r="D939" s="27"/>
      <c r="E939" s="27"/>
      <c r="F939" s="27"/>
      <c r="G939" s="134"/>
      <c r="H939" s="135"/>
      <c r="I939" s="27"/>
      <c r="J939" s="144" t="s">
        <v>227</v>
      </c>
      <c r="K939" s="145"/>
      <c r="L939" s="145"/>
      <c r="M939" s="145"/>
      <c r="N939" s="145"/>
      <c r="O939" s="145"/>
      <c r="P939" s="145"/>
      <c r="Q939" s="156"/>
      <c r="R939" s="145" t="s">
        <v>811</v>
      </c>
      <c r="S939" s="145"/>
      <c r="T939" s="145"/>
      <c r="U939" s="145"/>
      <c r="V939" s="145"/>
      <c r="W939" s="145"/>
      <c r="X939" s="145"/>
      <c r="Y939" s="145"/>
      <c r="Z939" s="145"/>
      <c r="AA939" s="145"/>
      <c r="AB939" s="145"/>
      <c r="AC939" s="145"/>
      <c r="AD939" s="145"/>
      <c r="AE939" s="145"/>
      <c r="AF939" s="145"/>
      <c r="AG939" s="145"/>
      <c r="AH939" s="145"/>
      <c r="AI939" s="145"/>
      <c r="AJ939" s="156"/>
      <c r="AK939" s="138"/>
      <c r="AL939" s="27"/>
      <c r="AM939" s="27"/>
      <c r="AN939" s="27"/>
      <c r="AO939" s="27"/>
      <c r="AP939" s="27"/>
      <c r="AQ939" s="148"/>
      <c r="AR939" s="148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139"/>
    </row>
    <row r="940" spans="2:61" ht="20.100000000000001" customHeight="1" x14ac:dyDescent="0.45">
      <c r="B940" s="133"/>
      <c r="C940" s="27"/>
      <c r="D940" s="27"/>
      <c r="E940" s="27"/>
      <c r="F940" s="27"/>
      <c r="G940" s="134"/>
      <c r="H940" s="135"/>
      <c r="I940" s="27"/>
      <c r="J940" s="144" t="s">
        <v>228</v>
      </c>
      <c r="K940" s="145"/>
      <c r="L940" s="145"/>
      <c r="M940" s="145"/>
      <c r="N940" s="145"/>
      <c r="O940" s="145"/>
      <c r="P940" s="145"/>
      <c r="Q940" s="156"/>
      <c r="R940" s="145" t="s">
        <v>812</v>
      </c>
      <c r="S940" s="145"/>
      <c r="T940" s="145"/>
      <c r="U940" s="145"/>
      <c r="V940" s="145"/>
      <c r="W940" s="145"/>
      <c r="X940" s="145"/>
      <c r="Y940" s="145"/>
      <c r="Z940" s="145"/>
      <c r="AA940" s="145"/>
      <c r="AB940" s="145"/>
      <c r="AC940" s="145"/>
      <c r="AD940" s="145"/>
      <c r="AE940" s="145"/>
      <c r="AF940" s="145"/>
      <c r="AG940" s="145"/>
      <c r="AH940" s="145"/>
      <c r="AI940" s="145"/>
      <c r="AJ940" s="156"/>
      <c r="AK940" s="138"/>
      <c r="AL940" s="27"/>
      <c r="AM940" s="27"/>
      <c r="AN940" s="27"/>
      <c r="AO940" s="27"/>
      <c r="AP940" s="27"/>
      <c r="AQ940" s="148"/>
      <c r="AR940" s="148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139"/>
    </row>
    <row r="941" spans="2:61" ht="20.100000000000001" customHeight="1" x14ac:dyDescent="0.45">
      <c r="B941" s="133"/>
      <c r="C941" s="27"/>
      <c r="D941" s="27"/>
      <c r="E941" s="27"/>
      <c r="F941" s="27"/>
      <c r="G941" s="134"/>
      <c r="H941" s="135"/>
      <c r="I941" s="27"/>
      <c r="J941" s="144" t="s">
        <v>229</v>
      </c>
      <c r="K941" s="145"/>
      <c r="L941" s="145"/>
      <c r="M941" s="145"/>
      <c r="N941" s="145"/>
      <c r="O941" s="145"/>
      <c r="P941" s="145"/>
      <c r="Q941" s="156"/>
      <c r="R941" s="145" t="s">
        <v>813</v>
      </c>
      <c r="S941" s="145"/>
      <c r="T941" s="145"/>
      <c r="U941" s="145"/>
      <c r="V941" s="145"/>
      <c r="W941" s="145"/>
      <c r="X941" s="145"/>
      <c r="Y941" s="145"/>
      <c r="Z941" s="145"/>
      <c r="AA941" s="145"/>
      <c r="AB941" s="145"/>
      <c r="AC941" s="145"/>
      <c r="AD941" s="145"/>
      <c r="AE941" s="145"/>
      <c r="AF941" s="145"/>
      <c r="AG941" s="145"/>
      <c r="AH941" s="145"/>
      <c r="AI941" s="145"/>
      <c r="AJ941" s="156"/>
      <c r="AK941" s="138"/>
      <c r="AL941" s="27"/>
      <c r="AM941" s="27"/>
      <c r="AN941" s="27"/>
      <c r="AO941" s="27"/>
      <c r="AP941" s="27"/>
      <c r="AQ941" s="148"/>
      <c r="AR941" s="148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139"/>
    </row>
    <row r="942" spans="2:61" ht="20.100000000000001" customHeight="1" x14ac:dyDescent="0.45">
      <c r="B942" s="133"/>
      <c r="C942" s="27"/>
      <c r="D942" s="27"/>
      <c r="E942" s="27"/>
      <c r="F942" s="27"/>
      <c r="G942" s="134"/>
      <c r="H942" s="135"/>
      <c r="I942" s="27"/>
      <c r="J942" s="144" t="s">
        <v>230</v>
      </c>
      <c r="K942" s="145"/>
      <c r="L942" s="145"/>
      <c r="M942" s="145"/>
      <c r="N942" s="145"/>
      <c r="O942" s="145"/>
      <c r="P942" s="145"/>
      <c r="Q942" s="156"/>
      <c r="R942" s="145" t="s">
        <v>786</v>
      </c>
      <c r="S942" s="145"/>
      <c r="T942" s="145"/>
      <c r="U942" s="145"/>
      <c r="V942" s="145"/>
      <c r="W942" s="145"/>
      <c r="X942" s="145"/>
      <c r="Y942" s="145"/>
      <c r="Z942" s="145"/>
      <c r="AA942" s="145"/>
      <c r="AB942" s="145"/>
      <c r="AC942" s="145"/>
      <c r="AD942" s="145"/>
      <c r="AE942" s="145"/>
      <c r="AF942" s="145"/>
      <c r="AG942" s="145"/>
      <c r="AH942" s="145"/>
      <c r="AI942" s="145"/>
      <c r="AJ942" s="156"/>
      <c r="AK942" s="138"/>
      <c r="AL942" s="27"/>
      <c r="AM942" s="27"/>
      <c r="AN942" s="27"/>
      <c r="AO942" s="27"/>
      <c r="AP942" s="27"/>
      <c r="AQ942" s="148"/>
      <c r="AR942" s="148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139"/>
    </row>
    <row r="943" spans="2:61" ht="20.100000000000001" customHeight="1" x14ac:dyDescent="0.45">
      <c r="B943" s="133"/>
      <c r="C943" s="27"/>
      <c r="D943" s="27"/>
      <c r="E943" s="27"/>
      <c r="F943" s="27"/>
      <c r="G943" s="134"/>
      <c r="H943" s="140" t="s">
        <v>159</v>
      </c>
      <c r="I943" s="51"/>
      <c r="J943" s="140" t="s">
        <v>231</v>
      </c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  <c r="AB943" s="51"/>
      <c r="AC943" s="51"/>
      <c r="AD943" s="51"/>
      <c r="AE943" s="51"/>
      <c r="AF943" s="51"/>
      <c r="AG943" s="51"/>
      <c r="AH943" s="51"/>
      <c r="AI943" s="51"/>
      <c r="AJ943" s="51"/>
      <c r="AK943" s="141"/>
      <c r="AL943" s="51"/>
      <c r="AM943" s="51"/>
      <c r="AN943" s="51"/>
      <c r="AO943" s="51"/>
      <c r="AP943" s="51"/>
      <c r="AQ943" s="51"/>
      <c r="AR943" s="51"/>
      <c r="AS943" s="51"/>
      <c r="AT943" s="51"/>
      <c r="AU943" s="51"/>
      <c r="AV943" s="51"/>
      <c r="AW943" s="51"/>
      <c r="AX943" s="51"/>
      <c r="AY943" s="51"/>
      <c r="AZ943" s="51"/>
      <c r="BA943" s="51"/>
      <c r="BB943" s="51"/>
      <c r="BC943" s="51"/>
      <c r="BD943" s="51"/>
      <c r="BE943" s="51"/>
      <c r="BF943" s="51"/>
      <c r="BG943" s="51"/>
      <c r="BH943" s="51"/>
      <c r="BI943" s="142"/>
    </row>
    <row r="944" spans="2:61" ht="20.100000000000001" customHeight="1" x14ac:dyDescent="0.45">
      <c r="B944" s="133"/>
      <c r="C944" s="27"/>
      <c r="D944" s="27"/>
      <c r="E944" s="27"/>
      <c r="F944" s="27"/>
      <c r="G944" s="134"/>
      <c r="H944" s="135"/>
      <c r="I944" s="27"/>
      <c r="J944" s="135"/>
      <c r="K944" s="27" t="s">
        <v>787</v>
      </c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138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139"/>
    </row>
    <row r="945" spans="2:61" ht="20.100000000000001" customHeight="1" x14ac:dyDescent="0.45">
      <c r="B945" s="133"/>
      <c r="C945" s="27"/>
      <c r="D945" s="27"/>
      <c r="E945" s="27"/>
      <c r="F945" s="27"/>
      <c r="G945" s="134"/>
      <c r="H945" s="135"/>
      <c r="I945" s="27"/>
      <c r="J945" s="135"/>
      <c r="K945" s="27" t="s">
        <v>408</v>
      </c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138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139"/>
    </row>
    <row r="946" spans="2:61" ht="20.100000000000001" customHeight="1" x14ac:dyDescent="0.45">
      <c r="B946" s="133"/>
      <c r="C946" s="27"/>
      <c r="D946" s="27"/>
      <c r="E946" s="27"/>
      <c r="F946" s="27"/>
      <c r="G946" s="134"/>
      <c r="H946" s="140" t="s">
        <v>160</v>
      </c>
      <c r="I946" s="51"/>
      <c r="J946" s="140" t="s">
        <v>411</v>
      </c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  <c r="AB946" s="51"/>
      <c r="AC946" s="51"/>
      <c r="AD946" s="51"/>
      <c r="AE946" s="51"/>
      <c r="AF946" s="51"/>
      <c r="AG946" s="51"/>
      <c r="AH946" s="51"/>
      <c r="AI946" s="51"/>
      <c r="AJ946" s="51"/>
      <c r="AK946" s="141"/>
      <c r="AL946" s="51"/>
      <c r="AM946" s="51"/>
      <c r="AN946" s="51"/>
      <c r="AO946" s="51"/>
      <c r="AP946" s="51"/>
      <c r="AQ946" s="51"/>
      <c r="AR946" s="51"/>
      <c r="AS946" s="51"/>
      <c r="AT946" s="51"/>
      <c r="AU946" s="51"/>
      <c r="AV946" s="51"/>
      <c r="AW946" s="51"/>
      <c r="AX946" s="51"/>
      <c r="AY946" s="51"/>
      <c r="AZ946" s="51"/>
      <c r="BA946" s="51"/>
      <c r="BB946" s="51"/>
      <c r="BC946" s="51"/>
      <c r="BD946" s="51"/>
      <c r="BE946" s="51"/>
      <c r="BF946" s="51"/>
      <c r="BG946" s="51"/>
      <c r="BH946" s="51"/>
      <c r="BI946" s="142"/>
    </row>
    <row r="947" spans="2:61" ht="20.100000000000001" customHeight="1" x14ac:dyDescent="0.45">
      <c r="B947" s="133"/>
      <c r="C947" s="27"/>
      <c r="D947" s="27"/>
      <c r="E947" s="27"/>
      <c r="F947" s="27"/>
      <c r="G947" s="134"/>
      <c r="H947" s="135"/>
      <c r="I947" s="27"/>
      <c r="J947" s="135"/>
      <c r="K947" s="27" t="s">
        <v>789</v>
      </c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138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139"/>
    </row>
    <row r="948" spans="2:61" ht="20.100000000000001" customHeight="1" x14ac:dyDescent="0.45">
      <c r="B948" s="133"/>
      <c r="C948" s="27"/>
      <c r="D948" s="27"/>
      <c r="E948" s="27"/>
      <c r="F948" s="27"/>
      <c r="G948" s="134"/>
      <c r="H948" s="135"/>
      <c r="I948" s="27"/>
      <c r="J948" s="135"/>
      <c r="K948" s="27" t="s">
        <v>413</v>
      </c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138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139"/>
    </row>
    <row r="949" spans="2:61" ht="20.100000000000001" customHeight="1" x14ac:dyDescent="0.45">
      <c r="B949" s="133"/>
      <c r="C949" s="27"/>
      <c r="D949" s="27"/>
      <c r="E949" s="27"/>
      <c r="F949" s="27"/>
      <c r="G949" s="134"/>
      <c r="H949" s="135"/>
      <c r="I949" s="27"/>
      <c r="J949" s="135" t="s">
        <v>414</v>
      </c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138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139"/>
    </row>
    <row r="950" spans="2:61" ht="20.100000000000001" customHeight="1" x14ac:dyDescent="0.45">
      <c r="B950" s="133"/>
      <c r="C950" s="27"/>
      <c r="D950" s="27"/>
      <c r="E950" s="27"/>
      <c r="F950" s="27"/>
      <c r="G950" s="134"/>
      <c r="H950" s="135"/>
      <c r="I950" s="27"/>
      <c r="J950" s="135" t="s">
        <v>415</v>
      </c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138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139"/>
    </row>
    <row r="951" spans="2:61" ht="20.100000000000001" customHeight="1" x14ac:dyDescent="0.45">
      <c r="B951" s="133"/>
      <c r="C951" s="27"/>
      <c r="D951" s="27"/>
      <c r="E951" s="27"/>
      <c r="F951" s="27"/>
      <c r="G951" s="134"/>
      <c r="H951" s="135"/>
      <c r="I951" s="27"/>
      <c r="J951" s="135" t="s">
        <v>416</v>
      </c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138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139"/>
    </row>
    <row r="952" spans="2:61" ht="20.100000000000001" customHeight="1" thickBot="1" x14ac:dyDescent="0.5">
      <c r="B952" s="133"/>
      <c r="C952" s="27"/>
      <c r="D952" s="27"/>
      <c r="E952" s="27"/>
      <c r="F952" s="27"/>
      <c r="G952" s="134"/>
      <c r="H952" s="135"/>
      <c r="I952" s="27"/>
      <c r="J952" s="135" t="s">
        <v>417</v>
      </c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138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139"/>
    </row>
    <row r="953" spans="2:61" ht="20.100000000000001" customHeight="1" x14ac:dyDescent="0.45">
      <c r="B953" s="124" t="s">
        <v>787</v>
      </c>
      <c r="C953" s="125"/>
      <c r="D953" s="125"/>
      <c r="E953" s="125"/>
      <c r="F953" s="125"/>
      <c r="G953" s="126"/>
      <c r="H953" s="127" t="s">
        <v>158</v>
      </c>
      <c r="I953" s="125"/>
      <c r="J953" s="128" t="s">
        <v>163</v>
      </c>
      <c r="K953" s="129"/>
      <c r="L953" s="129"/>
      <c r="M953" s="129"/>
      <c r="N953" s="129"/>
      <c r="O953" s="129"/>
      <c r="P953" s="129"/>
      <c r="Q953" s="130"/>
      <c r="R953" s="129" t="s">
        <v>418</v>
      </c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30"/>
      <c r="AK953" s="131"/>
      <c r="AL953" s="125"/>
      <c r="AM953" s="125"/>
      <c r="AN953" s="125"/>
      <c r="AO953" s="125"/>
      <c r="AP953" s="125"/>
      <c r="AQ953" s="158"/>
      <c r="AR953" s="158"/>
      <c r="AS953" s="125"/>
      <c r="AT953" s="125"/>
      <c r="AU953" s="125"/>
      <c r="AV953" s="125"/>
      <c r="AW953" s="125"/>
      <c r="AX953" s="125"/>
      <c r="AY953" s="125"/>
      <c r="AZ953" s="125"/>
      <c r="BA953" s="125"/>
      <c r="BB953" s="125"/>
      <c r="BC953" s="125"/>
      <c r="BD953" s="125"/>
      <c r="BE953" s="125"/>
      <c r="BF953" s="125"/>
      <c r="BG953" s="125"/>
      <c r="BH953" s="125"/>
      <c r="BI953" s="132"/>
    </row>
    <row r="954" spans="2:61" ht="20.100000000000001" customHeight="1" x14ac:dyDescent="0.45">
      <c r="B954" s="133"/>
      <c r="C954" s="27"/>
      <c r="D954" s="27"/>
      <c r="E954" s="27"/>
      <c r="F954" s="27"/>
      <c r="G954" s="134"/>
      <c r="H954" s="135"/>
      <c r="I954" s="27"/>
      <c r="J954" s="144" t="s">
        <v>244</v>
      </c>
      <c r="K954" s="145"/>
      <c r="L954" s="145"/>
      <c r="M954" s="145"/>
      <c r="N954" s="145"/>
      <c r="O954" s="145"/>
      <c r="P954" s="145"/>
      <c r="Q954" s="156"/>
      <c r="R954" s="145" t="s">
        <v>419</v>
      </c>
      <c r="S954" s="145"/>
      <c r="T954" s="145"/>
      <c r="U954" s="145"/>
      <c r="V954" s="145"/>
      <c r="W954" s="145"/>
      <c r="X954" s="145"/>
      <c r="Y954" s="145"/>
      <c r="Z954" s="145"/>
      <c r="AA954" s="145"/>
      <c r="AB954" s="145"/>
      <c r="AC954" s="145"/>
      <c r="AD954" s="145"/>
      <c r="AE954" s="145"/>
      <c r="AF954" s="145"/>
      <c r="AG954" s="145"/>
      <c r="AH954" s="145"/>
      <c r="AI954" s="145"/>
      <c r="AJ954" s="156"/>
      <c r="AK954" s="138"/>
      <c r="AL954" s="27"/>
      <c r="AM954" s="27"/>
      <c r="AN954" s="27"/>
      <c r="AO954" s="27"/>
      <c r="AP954" s="27"/>
      <c r="AQ954" s="148"/>
      <c r="AR954" s="148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139"/>
    </row>
    <row r="955" spans="2:61" ht="20.100000000000001" customHeight="1" x14ac:dyDescent="0.45">
      <c r="B955" s="133"/>
      <c r="C955" s="27"/>
      <c r="D955" s="27"/>
      <c r="E955" s="27"/>
      <c r="F955" s="27"/>
      <c r="G955" s="134"/>
      <c r="H955" s="135"/>
      <c r="I955" s="27"/>
      <c r="J955" s="144" t="s">
        <v>310</v>
      </c>
      <c r="K955" s="145"/>
      <c r="L955" s="145"/>
      <c r="M955" s="145"/>
      <c r="N955" s="145"/>
      <c r="O955" s="145"/>
      <c r="P955" s="145"/>
      <c r="Q955" s="156"/>
      <c r="R955" s="145" t="s">
        <v>420</v>
      </c>
      <c r="S955" s="145"/>
      <c r="T955" s="145"/>
      <c r="U955" s="145"/>
      <c r="V955" s="145"/>
      <c r="W955" s="145"/>
      <c r="X955" s="145"/>
      <c r="Y955" s="145"/>
      <c r="Z955" s="145"/>
      <c r="AA955" s="145"/>
      <c r="AB955" s="145"/>
      <c r="AC955" s="145"/>
      <c r="AD955" s="145"/>
      <c r="AE955" s="145"/>
      <c r="AF955" s="145"/>
      <c r="AG955" s="145"/>
      <c r="AH955" s="145"/>
      <c r="AI955" s="145"/>
      <c r="AJ955" s="156"/>
      <c r="AK955" s="138"/>
      <c r="AL955" s="27"/>
      <c r="AM955" s="27"/>
      <c r="AN955" s="27"/>
      <c r="AO955" s="27"/>
      <c r="AP955" s="27"/>
      <c r="AQ955" s="148"/>
      <c r="AR955" s="148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139"/>
    </row>
    <row r="956" spans="2:61" ht="20.100000000000001" customHeight="1" x14ac:dyDescent="0.45">
      <c r="B956" s="133"/>
      <c r="C956" s="27"/>
      <c r="D956" s="27"/>
      <c r="E956" s="27"/>
      <c r="F956" s="27"/>
      <c r="G956" s="134"/>
      <c r="H956" s="135"/>
      <c r="I956" s="27"/>
      <c r="J956" s="144" t="s">
        <v>249</v>
      </c>
      <c r="K956" s="145"/>
      <c r="L956" s="145"/>
      <c r="M956" s="145"/>
      <c r="N956" s="145"/>
      <c r="O956" s="145"/>
      <c r="P956" s="145"/>
      <c r="Q956" s="156"/>
      <c r="R956" s="145" t="s">
        <v>421</v>
      </c>
      <c r="S956" s="145"/>
      <c r="T956" s="145"/>
      <c r="U956" s="145"/>
      <c r="V956" s="145"/>
      <c r="W956" s="145"/>
      <c r="X956" s="145"/>
      <c r="Y956" s="145"/>
      <c r="Z956" s="145"/>
      <c r="AA956" s="145"/>
      <c r="AB956" s="145"/>
      <c r="AC956" s="145"/>
      <c r="AD956" s="145"/>
      <c r="AE956" s="145"/>
      <c r="AF956" s="145"/>
      <c r="AG956" s="145"/>
      <c r="AH956" s="145"/>
      <c r="AI956" s="145"/>
      <c r="AJ956" s="156"/>
      <c r="AK956" s="138"/>
      <c r="AL956" s="27"/>
      <c r="AM956" s="27"/>
      <c r="AN956" s="27"/>
      <c r="AO956" s="27"/>
      <c r="AP956" s="27"/>
      <c r="AQ956" s="148"/>
      <c r="AR956" s="148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139"/>
    </row>
    <row r="957" spans="2:61" ht="20.100000000000001" customHeight="1" x14ac:dyDescent="0.45">
      <c r="B957" s="133"/>
      <c r="C957" s="27"/>
      <c r="D957" s="27"/>
      <c r="E957" s="27"/>
      <c r="F957" s="27"/>
      <c r="G957" s="134"/>
      <c r="H957" s="135"/>
      <c r="I957" s="27"/>
      <c r="J957" s="144" t="s">
        <v>275</v>
      </c>
      <c r="K957" s="145"/>
      <c r="L957" s="145"/>
      <c r="M957" s="145"/>
      <c r="N957" s="145"/>
      <c r="O957" s="145"/>
      <c r="P957" s="145"/>
      <c r="Q957" s="156"/>
      <c r="R957" s="145" t="s">
        <v>422</v>
      </c>
      <c r="S957" s="145"/>
      <c r="T957" s="145"/>
      <c r="U957" s="145"/>
      <c r="V957" s="145"/>
      <c r="W957" s="145"/>
      <c r="X957" s="145"/>
      <c r="Y957" s="145"/>
      <c r="Z957" s="145"/>
      <c r="AA957" s="145"/>
      <c r="AB957" s="145"/>
      <c r="AC957" s="145"/>
      <c r="AD957" s="145"/>
      <c r="AE957" s="145"/>
      <c r="AF957" s="145"/>
      <c r="AG957" s="145"/>
      <c r="AH957" s="145"/>
      <c r="AI957" s="145"/>
      <c r="AJ957" s="156"/>
      <c r="AK957" s="138"/>
      <c r="AL957" s="27"/>
      <c r="AM957" s="27"/>
      <c r="AN957" s="27"/>
      <c r="AO957" s="27"/>
      <c r="AP957" s="27"/>
      <c r="AQ957" s="148"/>
      <c r="AR957" s="148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139"/>
    </row>
    <row r="958" spans="2:61" ht="20.100000000000001" customHeight="1" x14ac:dyDescent="0.45">
      <c r="B958" s="133"/>
      <c r="C958" s="27"/>
      <c r="D958" s="27"/>
      <c r="E958" s="27"/>
      <c r="F958" s="27"/>
      <c r="G958" s="134"/>
      <c r="H958" s="135"/>
      <c r="I958" s="27"/>
      <c r="J958" s="144" t="s">
        <v>290</v>
      </c>
      <c r="K958" s="145"/>
      <c r="L958" s="145"/>
      <c r="M958" s="145"/>
      <c r="N958" s="145"/>
      <c r="O958" s="145"/>
      <c r="P958" s="145"/>
      <c r="Q958" s="156"/>
      <c r="R958" s="145" t="s">
        <v>423</v>
      </c>
      <c r="S958" s="145"/>
      <c r="T958" s="145"/>
      <c r="U958" s="145"/>
      <c r="V958" s="145"/>
      <c r="W958" s="145"/>
      <c r="X958" s="145"/>
      <c r="Y958" s="145"/>
      <c r="Z958" s="145"/>
      <c r="AA958" s="145"/>
      <c r="AB958" s="145"/>
      <c r="AC958" s="145"/>
      <c r="AD958" s="145"/>
      <c r="AE958" s="145"/>
      <c r="AF958" s="145"/>
      <c r="AG958" s="145"/>
      <c r="AH958" s="145"/>
      <c r="AI958" s="145"/>
      <c r="AJ958" s="156"/>
      <c r="AK958" s="138"/>
      <c r="AL958" s="27"/>
      <c r="AM958" s="27"/>
      <c r="AN958" s="27"/>
      <c r="AO958" s="27"/>
      <c r="AP958" s="27"/>
      <c r="AQ958" s="148"/>
      <c r="AR958" s="148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139"/>
    </row>
    <row r="959" spans="2:61" ht="20.100000000000001" customHeight="1" x14ac:dyDescent="0.45">
      <c r="B959" s="133"/>
      <c r="C959" s="27"/>
      <c r="D959" s="27"/>
      <c r="E959" s="27"/>
      <c r="F959" s="27"/>
      <c r="G959" s="134"/>
      <c r="H959" s="135"/>
      <c r="I959" s="27"/>
      <c r="J959" s="144" t="s">
        <v>281</v>
      </c>
      <c r="K959" s="145"/>
      <c r="L959" s="145"/>
      <c r="M959" s="145"/>
      <c r="N959" s="145"/>
      <c r="O959" s="145"/>
      <c r="P959" s="145"/>
      <c r="Q959" s="156"/>
      <c r="R959" s="145" t="s">
        <v>424</v>
      </c>
      <c r="S959" s="145"/>
      <c r="T959" s="145"/>
      <c r="U959" s="145"/>
      <c r="V959" s="145"/>
      <c r="W959" s="145"/>
      <c r="X959" s="145"/>
      <c r="Y959" s="145"/>
      <c r="Z959" s="145"/>
      <c r="AA959" s="145"/>
      <c r="AB959" s="145"/>
      <c r="AC959" s="145"/>
      <c r="AD959" s="145"/>
      <c r="AE959" s="145"/>
      <c r="AF959" s="145"/>
      <c r="AG959" s="145"/>
      <c r="AH959" s="145"/>
      <c r="AI959" s="145"/>
      <c r="AJ959" s="156"/>
      <c r="AK959" s="138"/>
      <c r="AL959" s="27"/>
      <c r="AM959" s="27"/>
      <c r="AN959" s="27"/>
      <c r="AO959" s="27"/>
      <c r="AP959" s="27"/>
      <c r="AQ959" s="148"/>
      <c r="AR959" s="148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139"/>
    </row>
    <row r="960" spans="2:61" ht="20.100000000000001" customHeight="1" x14ac:dyDescent="0.45">
      <c r="B960" s="133"/>
      <c r="C960" s="27"/>
      <c r="D960" s="27"/>
      <c r="E960" s="27"/>
      <c r="F960" s="27"/>
      <c r="G960" s="134"/>
      <c r="H960" s="140" t="s">
        <v>159</v>
      </c>
      <c r="I960" s="51"/>
      <c r="J960" s="140" t="s">
        <v>425</v>
      </c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  <c r="AB960" s="51"/>
      <c r="AC960" s="51"/>
      <c r="AD960" s="51"/>
      <c r="AE960" s="51"/>
      <c r="AF960" s="51"/>
      <c r="AG960" s="51"/>
      <c r="AH960" s="51"/>
      <c r="AI960" s="51"/>
      <c r="AJ960" s="51"/>
      <c r="AK960" s="141"/>
      <c r="AL960" s="51"/>
      <c r="AM960" s="51"/>
      <c r="AN960" s="51"/>
      <c r="AO960" s="51"/>
      <c r="AP960" s="51"/>
      <c r="AQ960" s="51"/>
      <c r="AR960" s="51"/>
      <c r="AS960" s="51"/>
      <c r="AT960" s="51"/>
      <c r="AU960" s="51"/>
      <c r="AV960" s="51"/>
      <c r="AW960" s="51"/>
      <c r="AX960" s="51"/>
      <c r="AY960" s="51"/>
      <c r="AZ960" s="51"/>
      <c r="BA960" s="51"/>
      <c r="BB960" s="51"/>
      <c r="BC960" s="51"/>
      <c r="BD960" s="51"/>
      <c r="BE960" s="51"/>
      <c r="BF960" s="51"/>
      <c r="BG960" s="51"/>
      <c r="BH960" s="51"/>
      <c r="BI960" s="142"/>
    </row>
    <row r="961" spans="2:61" ht="20.100000000000001" customHeight="1" x14ac:dyDescent="0.45">
      <c r="B961" s="133"/>
      <c r="C961" s="27"/>
      <c r="D961" s="27"/>
      <c r="E961" s="27"/>
      <c r="F961" s="27"/>
      <c r="G961" s="134"/>
      <c r="H961" s="140" t="s">
        <v>161</v>
      </c>
      <c r="I961" s="51"/>
      <c r="J961" s="140" t="s">
        <v>426</v>
      </c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  <c r="AB961" s="51"/>
      <c r="AC961" s="51"/>
      <c r="AD961" s="51"/>
      <c r="AE961" s="51"/>
      <c r="AF961" s="51"/>
      <c r="AG961" s="51"/>
      <c r="AH961" s="51"/>
      <c r="AI961" s="51"/>
      <c r="AJ961" s="51"/>
      <c r="AK961" s="141"/>
      <c r="AL961" s="51"/>
      <c r="AM961" s="51"/>
      <c r="AN961" s="51"/>
      <c r="AO961" s="51"/>
      <c r="AP961" s="51"/>
      <c r="AQ961" s="51"/>
      <c r="AR961" s="51"/>
      <c r="AS961" s="51"/>
      <c r="AT961" s="51"/>
      <c r="AU961" s="51"/>
      <c r="AV961" s="51"/>
      <c r="AW961" s="51"/>
      <c r="AX961" s="51"/>
      <c r="AY961" s="51"/>
      <c r="AZ961" s="51"/>
      <c r="BA961" s="51"/>
      <c r="BB961" s="51"/>
      <c r="BC961" s="51"/>
      <c r="BD961" s="51"/>
      <c r="BE961" s="51"/>
      <c r="BF961" s="51"/>
      <c r="BG961" s="51"/>
      <c r="BH961" s="51"/>
      <c r="BI961" s="142"/>
    </row>
    <row r="962" spans="2:61" ht="20.100000000000001" customHeight="1" thickBot="1" x14ac:dyDescent="0.5">
      <c r="B962" s="133"/>
      <c r="C962" s="27"/>
      <c r="D962" s="27"/>
      <c r="E962" s="27"/>
      <c r="F962" s="27"/>
      <c r="G962" s="134"/>
      <c r="H962" s="140" t="s">
        <v>427</v>
      </c>
      <c r="I962" s="51"/>
      <c r="J962" s="140" t="s">
        <v>428</v>
      </c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  <c r="AB962" s="51"/>
      <c r="AC962" s="51"/>
      <c r="AD962" s="51"/>
      <c r="AE962" s="51"/>
      <c r="AF962" s="51"/>
      <c r="AG962" s="51"/>
      <c r="AH962" s="51"/>
      <c r="AI962" s="51"/>
      <c r="AJ962" s="51"/>
      <c r="AK962" s="141"/>
      <c r="AL962" s="51"/>
      <c r="AM962" s="51"/>
      <c r="AN962" s="51"/>
      <c r="AO962" s="51"/>
      <c r="AP962" s="51"/>
      <c r="AQ962" s="51"/>
      <c r="AR962" s="51"/>
      <c r="AS962" s="51"/>
      <c r="AT962" s="51"/>
      <c r="AU962" s="51"/>
      <c r="AV962" s="51"/>
      <c r="AW962" s="51"/>
      <c r="AX962" s="51"/>
      <c r="AY962" s="51"/>
      <c r="AZ962" s="51"/>
      <c r="BA962" s="51"/>
      <c r="BB962" s="51"/>
      <c r="BC962" s="51"/>
      <c r="BD962" s="51"/>
      <c r="BE962" s="51"/>
      <c r="BF962" s="51"/>
      <c r="BG962" s="51"/>
      <c r="BH962" s="51"/>
      <c r="BI962" s="142"/>
    </row>
    <row r="963" spans="2:61" ht="20.100000000000001" customHeight="1" x14ac:dyDescent="0.45">
      <c r="B963" s="124" t="s">
        <v>788</v>
      </c>
      <c r="C963" s="125"/>
      <c r="D963" s="125"/>
      <c r="E963" s="125"/>
      <c r="F963" s="125"/>
      <c r="G963" s="126"/>
      <c r="H963" s="127" t="s">
        <v>158</v>
      </c>
      <c r="I963" s="125"/>
      <c r="J963" s="128" t="s">
        <v>429</v>
      </c>
      <c r="K963" s="129"/>
      <c r="L963" s="129"/>
      <c r="M963" s="129"/>
      <c r="N963" s="129"/>
      <c r="O963" s="129"/>
      <c r="P963" s="129"/>
      <c r="Q963" s="130"/>
      <c r="R963" s="129" t="s">
        <v>430</v>
      </c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30"/>
      <c r="AK963" s="131"/>
      <c r="AL963" s="125"/>
      <c r="AM963" s="125"/>
      <c r="AN963" s="125"/>
      <c r="AO963" s="125"/>
      <c r="AP963" s="125"/>
      <c r="AQ963" s="158"/>
      <c r="AR963" s="158"/>
      <c r="AS963" s="125"/>
      <c r="AT963" s="125"/>
      <c r="AU963" s="125"/>
      <c r="AV963" s="125"/>
      <c r="AW963" s="125"/>
      <c r="AX963" s="125"/>
      <c r="AY963" s="125"/>
      <c r="AZ963" s="125"/>
      <c r="BA963" s="125"/>
      <c r="BB963" s="125"/>
      <c r="BC963" s="125"/>
      <c r="BD963" s="125"/>
      <c r="BE963" s="125"/>
      <c r="BF963" s="125"/>
      <c r="BG963" s="125"/>
      <c r="BH963" s="125"/>
      <c r="BI963" s="132"/>
    </row>
    <row r="964" spans="2:61" ht="20.100000000000001" customHeight="1" x14ac:dyDescent="0.45">
      <c r="B964" s="133"/>
      <c r="C964" s="27"/>
      <c r="D964" s="27"/>
      <c r="E964" s="27"/>
      <c r="F964" s="27"/>
      <c r="G964" s="134"/>
      <c r="H964" s="135"/>
      <c r="I964" s="27"/>
      <c r="J964" s="144" t="s">
        <v>431</v>
      </c>
      <c r="K964" s="145"/>
      <c r="L964" s="145"/>
      <c r="M964" s="145"/>
      <c r="N964" s="145"/>
      <c r="O964" s="145"/>
      <c r="P964" s="145"/>
      <c r="Q964" s="156"/>
      <c r="R964" s="145" t="s">
        <v>432</v>
      </c>
      <c r="S964" s="145"/>
      <c r="T964" s="145"/>
      <c r="U964" s="145"/>
      <c r="V964" s="145"/>
      <c r="W964" s="145"/>
      <c r="X964" s="145"/>
      <c r="Y964" s="145"/>
      <c r="Z964" s="145"/>
      <c r="AA964" s="145"/>
      <c r="AB964" s="145"/>
      <c r="AC964" s="145"/>
      <c r="AD964" s="145"/>
      <c r="AE964" s="145"/>
      <c r="AF964" s="145"/>
      <c r="AG964" s="145"/>
      <c r="AH964" s="145"/>
      <c r="AI964" s="145"/>
      <c r="AJ964" s="156"/>
      <c r="AK964" s="138"/>
      <c r="AL964" s="27"/>
      <c r="AM964" s="27"/>
      <c r="AN964" s="27"/>
      <c r="AO964" s="27"/>
      <c r="AP964" s="27"/>
      <c r="AQ964" s="148"/>
      <c r="AR964" s="148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139"/>
    </row>
    <row r="965" spans="2:61" ht="20.100000000000001" customHeight="1" x14ac:dyDescent="0.45">
      <c r="B965" s="133"/>
      <c r="C965" s="27"/>
      <c r="D965" s="27"/>
      <c r="E965" s="27"/>
      <c r="F965" s="27"/>
      <c r="G965" s="134"/>
      <c r="H965" s="135"/>
      <c r="I965" s="27"/>
      <c r="J965" s="144" t="s">
        <v>433</v>
      </c>
      <c r="K965" s="145"/>
      <c r="L965" s="145"/>
      <c r="M965" s="145"/>
      <c r="N965" s="145"/>
      <c r="O965" s="145"/>
      <c r="P965" s="145"/>
      <c r="Q965" s="156"/>
      <c r="R965" s="145" t="s">
        <v>434</v>
      </c>
      <c r="S965" s="145"/>
      <c r="T965" s="145"/>
      <c r="U965" s="145"/>
      <c r="V965" s="145"/>
      <c r="W965" s="145"/>
      <c r="X965" s="145"/>
      <c r="Y965" s="145"/>
      <c r="Z965" s="145"/>
      <c r="AA965" s="145"/>
      <c r="AB965" s="145"/>
      <c r="AC965" s="145"/>
      <c r="AD965" s="145"/>
      <c r="AE965" s="145"/>
      <c r="AF965" s="145"/>
      <c r="AG965" s="145"/>
      <c r="AH965" s="145"/>
      <c r="AI965" s="145"/>
      <c r="AJ965" s="156"/>
      <c r="AK965" s="138"/>
      <c r="AL965" s="27"/>
      <c r="AM965" s="27"/>
      <c r="AN965" s="27"/>
      <c r="AO965" s="27"/>
      <c r="AP965" s="27"/>
      <c r="AQ965" s="148"/>
      <c r="AR965" s="148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139"/>
    </row>
    <row r="966" spans="2:61" ht="20.100000000000001" customHeight="1" x14ac:dyDescent="0.45">
      <c r="B966" s="133"/>
      <c r="C966" s="27"/>
      <c r="D966" s="27"/>
      <c r="E966" s="27"/>
      <c r="F966" s="27"/>
      <c r="G966" s="134"/>
      <c r="H966" s="135"/>
      <c r="I966" s="27"/>
      <c r="J966" s="144" t="s">
        <v>435</v>
      </c>
      <c r="K966" s="145"/>
      <c r="L966" s="145"/>
      <c r="M966" s="145"/>
      <c r="N966" s="145"/>
      <c r="O966" s="145"/>
      <c r="P966" s="145"/>
      <c r="Q966" s="156"/>
      <c r="R966" s="145" t="s">
        <v>436</v>
      </c>
      <c r="S966" s="145"/>
      <c r="T966" s="145"/>
      <c r="U966" s="145"/>
      <c r="V966" s="145"/>
      <c r="W966" s="145"/>
      <c r="X966" s="145"/>
      <c r="Y966" s="145"/>
      <c r="Z966" s="145"/>
      <c r="AA966" s="145"/>
      <c r="AB966" s="145"/>
      <c r="AC966" s="145"/>
      <c r="AD966" s="145"/>
      <c r="AE966" s="145"/>
      <c r="AF966" s="145"/>
      <c r="AG966" s="145"/>
      <c r="AH966" s="145"/>
      <c r="AI966" s="145"/>
      <c r="AJ966" s="156"/>
      <c r="AK966" s="138"/>
      <c r="AL966" s="27"/>
      <c r="AM966" s="27"/>
      <c r="AN966" s="27"/>
      <c r="AO966" s="27"/>
      <c r="AP966" s="27"/>
      <c r="AQ966" s="148"/>
      <c r="AR966" s="148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139"/>
    </row>
    <row r="967" spans="2:61" ht="20.100000000000001" customHeight="1" x14ac:dyDescent="0.45">
      <c r="B967" s="133"/>
      <c r="C967" s="27"/>
      <c r="D967" s="27"/>
      <c r="E967" s="27"/>
      <c r="F967" s="27"/>
      <c r="G967" s="134"/>
      <c r="H967" s="135"/>
      <c r="I967" s="27"/>
      <c r="J967" s="144" t="s">
        <v>437</v>
      </c>
      <c r="K967" s="145"/>
      <c r="L967" s="145"/>
      <c r="M967" s="145"/>
      <c r="N967" s="145"/>
      <c r="O967" s="145"/>
      <c r="P967" s="145"/>
      <c r="Q967" s="156"/>
      <c r="R967" s="145" t="s">
        <v>438</v>
      </c>
      <c r="S967" s="145"/>
      <c r="T967" s="145"/>
      <c r="U967" s="145"/>
      <c r="V967" s="145"/>
      <c r="W967" s="145"/>
      <c r="X967" s="145"/>
      <c r="Y967" s="145"/>
      <c r="Z967" s="145"/>
      <c r="AA967" s="145"/>
      <c r="AB967" s="145"/>
      <c r="AC967" s="145"/>
      <c r="AD967" s="145"/>
      <c r="AE967" s="145"/>
      <c r="AF967" s="145"/>
      <c r="AG967" s="145"/>
      <c r="AH967" s="145"/>
      <c r="AI967" s="145"/>
      <c r="AJ967" s="156"/>
      <c r="AK967" s="138"/>
      <c r="AL967" s="27"/>
      <c r="AM967" s="27"/>
      <c r="AN967" s="27"/>
      <c r="AO967" s="27"/>
      <c r="AP967" s="27"/>
      <c r="AQ967" s="148"/>
      <c r="AR967" s="148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139"/>
    </row>
    <row r="968" spans="2:61" ht="20.100000000000001" customHeight="1" x14ac:dyDescent="0.45">
      <c r="B968" s="133"/>
      <c r="C968" s="27"/>
      <c r="D968" s="27"/>
      <c r="E968" s="27"/>
      <c r="F968" s="27"/>
      <c r="G968" s="134"/>
      <c r="H968" s="135"/>
      <c r="I968" s="27"/>
      <c r="J968" s="144" t="s">
        <v>439</v>
      </c>
      <c r="K968" s="145"/>
      <c r="L968" s="145"/>
      <c r="M968" s="145"/>
      <c r="N968" s="145"/>
      <c r="O968" s="145"/>
      <c r="P968" s="145"/>
      <c r="Q968" s="156"/>
      <c r="R968" s="145" t="s">
        <v>440</v>
      </c>
      <c r="S968" s="145"/>
      <c r="T968" s="145"/>
      <c r="U968" s="145"/>
      <c r="V968" s="145"/>
      <c r="W968" s="145"/>
      <c r="X968" s="145"/>
      <c r="Y968" s="145"/>
      <c r="Z968" s="145"/>
      <c r="AA968" s="145"/>
      <c r="AB968" s="145"/>
      <c r="AC968" s="145"/>
      <c r="AD968" s="145"/>
      <c r="AE968" s="145"/>
      <c r="AF968" s="145"/>
      <c r="AG968" s="145"/>
      <c r="AH968" s="145"/>
      <c r="AI968" s="145"/>
      <c r="AJ968" s="156"/>
      <c r="AK968" s="138"/>
      <c r="AL968" s="27"/>
      <c r="AM968" s="27"/>
      <c r="AN968" s="27"/>
      <c r="AO968" s="27"/>
      <c r="AP968" s="27"/>
      <c r="AQ968" s="148"/>
      <c r="AR968" s="148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139"/>
    </row>
    <row r="969" spans="2:61" ht="20.100000000000001" customHeight="1" x14ac:dyDescent="0.45">
      <c r="B969" s="133"/>
      <c r="C969" s="27"/>
      <c r="D969" s="27"/>
      <c r="E969" s="27"/>
      <c r="F969" s="27"/>
      <c r="G969" s="134"/>
      <c r="H969" s="135"/>
      <c r="I969" s="27"/>
      <c r="J969" s="144" t="s">
        <v>441</v>
      </c>
      <c r="K969" s="145"/>
      <c r="L969" s="145"/>
      <c r="M969" s="145"/>
      <c r="N969" s="145"/>
      <c r="O969" s="145"/>
      <c r="P969" s="145"/>
      <c r="Q969" s="156"/>
      <c r="R969" s="145" t="s">
        <v>442</v>
      </c>
      <c r="S969" s="145"/>
      <c r="T969" s="145"/>
      <c r="U969" s="145"/>
      <c r="V969" s="145"/>
      <c r="W969" s="145"/>
      <c r="X969" s="145"/>
      <c r="Y969" s="145"/>
      <c r="Z969" s="145"/>
      <c r="AA969" s="145"/>
      <c r="AB969" s="145"/>
      <c r="AC969" s="145"/>
      <c r="AD969" s="145"/>
      <c r="AE969" s="145"/>
      <c r="AF969" s="145"/>
      <c r="AG969" s="145"/>
      <c r="AH969" s="145"/>
      <c r="AI969" s="145"/>
      <c r="AJ969" s="156"/>
      <c r="AK969" s="138"/>
      <c r="AL969" s="27"/>
      <c r="AM969" s="27"/>
      <c r="AN969" s="27"/>
      <c r="AO969" s="27"/>
      <c r="AP969" s="27"/>
      <c r="AQ969" s="148"/>
      <c r="AR969" s="148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139"/>
    </row>
    <row r="970" spans="2:61" ht="20.100000000000001" customHeight="1" x14ac:dyDescent="0.45">
      <c r="B970" s="133"/>
      <c r="C970" s="27"/>
      <c r="D970" s="27"/>
      <c r="E970" s="27"/>
      <c r="F970" s="27"/>
      <c r="G970" s="134"/>
      <c r="H970" s="135"/>
      <c r="I970" s="27"/>
      <c r="J970" s="144" t="s">
        <v>443</v>
      </c>
      <c r="K970" s="145"/>
      <c r="L970" s="145"/>
      <c r="M970" s="145"/>
      <c r="N970" s="145"/>
      <c r="O970" s="145"/>
      <c r="P970" s="145"/>
      <c r="Q970" s="156"/>
      <c r="R970" s="145" t="s">
        <v>444</v>
      </c>
      <c r="S970" s="145"/>
      <c r="T970" s="145"/>
      <c r="U970" s="145"/>
      <c r="V970" s="145"/>
      <c r="W970" s="145"/>
      <c r="X970" s="145"/>
      <c r="Y970" s="145"/>
      <c r="Z970" s="145"/>
      <c r="AA970" s="145"/>
      <c r="AB970" s="145"/>
      <c r="AC970" s="145"/>
      <c r="AD970" s="145"/>
      <c r="AE970" s="145"/>
      <c r="AF970" s="145"/>
      <c r="AG970" s="145"/>
      <c r="AH970" s="145"/>
      <c r="AI970" s="145"/>
      <c r="AJ970" s="156"/>
      <c r="AK970" s="138"/>
      <c r="AL970" s="27"/>
      <c r="AM970" s="27"/>
      <c r="AN970" s="27"/>
      <c r="AO970" s="27"/>
      <c r="AP970" s="27"/>
      <c r="AQ970" s="148"/>
      <c r="AR970" s="148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139"/>
    </row>
    <row r="971" spans="2:61" ht="20.100000000000001" customHeight="1" x14ac:dyDescent="0.45">
      <c r="B971" s="133"/>
      <c r="C971" s="27"/>
      <c r="D971" s="27"/>
      <c r="E971" s="27"/>
      <c r="F971" s="27"/>
      <c r="G971" s="134"/>
      <c r="H971" s="135"/>
      <c r="I971" s="27"/>
      <c r="J971" s="144" t="s">
        <v>445</v>
      </c>
      <c r="K971" s="145"/>
      <c r="L971" s="145"/>
      <c r="M971" s="145"/>
      <c r="N971" s="145"/>
      <c r="O971" s="145"/>
      <c r="P971" s="145"/>
      <c r="Q971" s="156"/>
      <c r="R971" s="145" t="s">
        <v>446</v>
      </c>
      <c r="S971" s="145"/>
      <c r="T971" s="145"/>
      <c r="U971" s="145"/>
      <c r="V971" s="145"/>
      <c r="W971" s="145"/>
      <c r="X971" s="145"/>
      <c r="Y971" s="145"/>
      <c r="Z971" s="145"/>
      <c r="AA971" s="145"/>
      <c r="AB971" s="145"/>
      <c r="AC971" s="145"/>
      <c r="AD971" s="145"/>
      <c r="AE971" s="145"/>
      <c r="AF971" s="145"/>
      <c r="AG971" s="145"/>
      <c r="AH971" s="145"/>
      <c r="AI971" s="145"/>
      <c r="AJ971" s="156"/>
      <c r="AK971" s="138"/>
      <c r="AL971" s="27"/>
      <c r="AM971" s="27"/>
      <c r="AN971" s="27"/>
      <c r="AO971" s="27"/>
      <c r="AP971" s="27"/>
      <c r="AQ971" s="148"/>
      <c r="AR971" s="148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139"/>
    </row>
    <row r="972" spans="2:61" ht="20.100000000000001" customHeight="1" x14ac:dyDescent="0.45">
      <c r="B972" s="133"/>
      <c r="C972" s="27"/>
      <c r="D972" s="27"/>
      <c r="E972" s="27"/>
      <c r="F972" s="27"/>
      <c r="G972" s="134"/>
      <c r="H972" s="135"/>
      <c r="I972" s="27"/>
      <c r="J972" s="144" t="s">
        <v>447</v>
      </c>
      <c r="K972" s="145"/>
      <c r="L972" s="145"/>
      <c r="M972" s="145"/>
      <c r="N972" s="145"/>
      <c r="O972" s="145"/>
      <c r="P972" s="145"/>
      <c r="Q972" s="156"/>
      <c r="R972" s="145" t="s">
        <v>448</v>
      </c>
      <c r="S972" s="145"/>
      <c r="T972" s="145"/>
      <c r="U972" s="145"/>
      <c r="V972" s="145"/>
      <c r="W972" s="145"/>
      <c r="X972" s="145"/>
      <c r="Y972" s="145"/>
      <c r="Z972" s="145"/>
      <c r="AA972" s="145"/>
      <c r="AB972" s="145"/>
      <c r="AC972" s="145"/>
      <c r="AD972" s="145"/>
      <c r="AE972" s="145"/>
      <c r="AF972" s="145"/>
      <c r="AG972" s="145"/>
      <c r="AH972" s="145"/>
      <c r="AI972" s="145"/>
      <c r="AJ972" s="156"/>
      <c r="AK972" s="138"/>
      <c r="AL972" s="27"/>
      <c r="AM972" s="27"/>
      <c r="AN972" s="27"/>
      <c r="AO972" s="27"/>
      <c r="AP972" s="27"/>
      <c r="AQ972" s="148"/>
      <c r="AR972" s="148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139"/>
    </row>
    <row r="973" spans="2:61" ht="20.100000000000001" customHeight="1" x14ac:dyDescent="0.45">
      <c r="B973" s="133"/>
      <c r="C973" s="27"/>
      <c r="D973" s="27"/>
      <c r="E973" s="27"/>
      <c r="F973" s="27"/>
      <c r="G973" s="134"/>
      <c r="H973" s="135"/>
      <c r="I973" s="27"/>
      <c r="J973" s="144" t="s">
        <v>449</v>
      </c>
      <c r="K973" s="145"/>
      <c r="L973" s="145"/>
      <c r="M973" s="145"/>
      <c r="N973" s="145"/>
      <c r="O973" s="145"/>
      <c r="P973" s="145"/>
      <c r="Q973" s="156"/>
      <c r="R973" s="145" t="s">
        <v>450</v>
      </c>
      <c r="S973" s="145"/>
      <c r="T973" s="145"/>
      <c r="U973" s="145"/>
      <c r="V973" s="145"/>
      <c r="W973" s="145"/>
      <c r="X973" s="145"/>
      <c r="Y973" s="145"/>
      <c r="Z973" s="145"/>
      <c r="AA973" s="145"/>
      <c r="AB973" s="145"/>
      <c r="AC973" s="145"/>
      <c r="AD973" s="145"/>
      <c r="AE973" s="145"/>
      <c r="AF973" s="145"/>
      <c r="AG973" s="145"/>
      <c r="AH973" s="145"/>
      <c r="AI973" s="145"/>
      <c r="AJ973" s="156"/>
      <c r="AK973" s="138"/>
      <c r="AL973" s="27"/>
      <c r="AM973" s="27"/>
      <c r="AN973" s="27"/>
      <c r="AO973" s="27"/>
      <c r="AP973" s="27"/>
      <c r="AQ973" s="148"/>
      <c r="AR973" s="148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139"/>
    </row>
    <row r="974" spans="2:61" ht="20.100000000000001" customHeight="1" x14ac:dyDescent="0.45">
      <c r="B974" s="133"/>
      <c r="C974" s="27"/>
      <c r="D974" s="27"/>
      <c r="E974" s="27"/>
      <c r="F974" s="27"/>
      <c r="G974" s="134"/>
      <c r="H974" s="135"/>
      <c r="I974" s="27"/>
      <c r="J974" s="144" t="s">
        <v>451</v>
      </c>
      <c r="K974" s="145"/>
      <c r="L974" s="145"/>
      <c r="M974" s="145"/>
      <c r="N974" s="145"/>
      <c r="O974" s="145"/>
      <c r="P974" s="145"/>
      <c r="Q974" s="156"/>
      <c r="R974" s="145" t="s">
        <v>452</v>
      </c>
      <c r="S974" s="145"/>
      <c r="T974" s="145"/>
      <c r="U974" s="145"/>
      <c r="V974" s="145"/>
      <c r="W974" s="145"/>
      <c r="X974" s="145"/>
      <c r="Y974" s="145"/>
      <c r="Z974" s="145"/>
      <c r="AA974" s="145"/>
      <c r="AB974" s="145"/>
      <c r="AC974" s="145"/>
      <c r="AD974" s="145"/>
      <c r="AE974" s="145"/>
      <c r="AF974" s="145"/>
      <c r="AG974" s="145"/>
      <c r="AH974" s="145"/>
      <c r="AI974" s="145"/>
      <c r="AJ974" s="156"/>
      <c r="AK974" s="138"/>
      <c r="AL974" s="27"/>
      <c r="AM974" s="27"/>
      <c r="AN974" s="27"/>
      <c r="AO974" s="27"/>
      <c r="AP974" s="27"/>
      <c r="AQ974" s="148"/>
      <c r="AR974" s="148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139"/>
    </row>
    <row r="975" spans="2:61" ht="20.100000000000001" customHeight="1" x14ac:dyDescent="0.45">
      <c r="B975" s="133"/>
      <c r="C975" s="27"/>
      <c r="D975" s="27"/>
      <c r="E975" s="27"/>
      <c r="F975" s="27"/>
      <c r="G975" s="134"/>
      <c r="H975" s="135"/>
      <c r="I975" s="27"/>
      <c r="J975" s="144" t="s">
        <v>453</v>
      </c>
      <c r="K975" s="145"/>
      <c r="L975" s="145"/>
      <c r="M975" s="145"/>
      <c r="N975" s="145"/>
      <c r="O975" s="145"/>
      <c r="P975" s="145"/>
      <c r="Q975" s="156"/>
      <c r="R975" s="145" t="s">
        <v>454</v>
      </c>
      <c r="S975" s="145"/>
      <c r="T975" s="145"/>
      <c r="U975" s="145"/>
      <c r="V975" s="145"/>
      <c r="W975" s="145"/>
      <c r="X975" s="145"/>
      <c r="Y975" s="145"/>
      <c r="Z975" s="145"/>
      <c r="AA975" s="145"/>
      <c r="AB975" s="145"/>
      <c r="AC975" s="145"/>
      <c r="AD975" s="145"/>
      <c r="AE975" s="145"/>
      <c r="AF975" s="145"/>
      <c r="AG975" s="145"/>
      <c r="AH975" s="145"/>
      <c r="AI975" s="145"/>
      <c r="AJ975" s="156"/>
      <c r="AK975" s="138"/>
      <c r="AL975" s="27"/>
      <c r="AM975" s="27"/>
      <c r="AN975" s="27"/>
      <c r="AO975" s="27"/>
      <c r="AP975" s="27"/>
      <c r="AQ975" s="148"/>
      <c r="AR975" s="148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139"/>
    </row>
    <row r="976" spans="2:61" ht="20.100000000000001" customHeight="1" x14ac:dyDescent="0.45">
      <c r="B976" s="133"/>
      <c r="C976" s="27"/>
      <c r="D976" s="27"/>
      <c r="E976" s="27"/>
      <c r="F976" s="27"/>
      <c r="G976" s="134"/>
      <c r="H976" s="135"/>
      <c r="I976" s="27"/>
      <c r="J976" s="144" t="s">
        <v>455</v>
      </c>
      <c r="K976" s="145"/>
      <c r="L976" s="145"/>
      <c r="M976" s="145"/>
      <c r="N976" s="145"/>
      <c r="O976" s="145"/>
      <c r="P976" s="145"/>
      <c r="Q976" s="156"/>
      <c r="R976" s="145" t="s">
        <v>456</v>
      </c>
      <c r="S976" s="145"/>
      <c r="T976" s="145"/>
      <c r="U976" s="145"/>
      <c r="V976" s="145"/>
      <c r="W976" s="145"/>
      <c r="X976" s="145"/>
      <c r="Y976" s="145"/>
      <c r="Z976" s="145"/>
      <c r="AA976" s="145"/>
      <c r="AB976" s="145"/>
      <c r="AC976" s="145"/>
      <c r="AD976" s="145"/>
      <c r="AE976" s="145"/>
      <c r="AF976" s="145"/>
      <c r="AG976" s="145"/>
      <c r="AH976" s="145"/>
      <c r="AI976" s="145"/>
      <c r="AJ976" s="156"/>
      <c r="AK976" s="138"/>
      <c r="AL976" s="27"/>
      <c r="AM976" s="27"/>
      <c r="AN976" s="27"/>
      <c r="AO976" s="27"/>
      <c r="AP976" s="27"/>
      <c r="AQ976" s="148"/>
      <c r="AR976" s="148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139"/>
    </row>
    <row r="977" spans="2:61" ht="20.100000000000001" customHeight="1" x14ac:dyDescent="0.45">
      <c r="B977" s="133"/>
      <c r="C977" s="27"/>
      <c r="D977" s="27"/>
      <c r="E977" s="27"/>
      <c r="F977" s="27"/>
      <c r="G977" s="134"/>
      <c r="H977" s="135"/>
      <c r="I977" s="27"/>
      <c r="J977" s="144" t="s">
        <v>457</v>
      </c>
      <c r="K977" s="145"/>
      <c r="L977" s="145"/>
      <c r="M977" s="145"/>
      <c r="N977" s="145"/>
      <c r="O977" s="145"/>
      <c r="P977" s="145"/>
      <c r="Q977" s="156"/>
      <c r="R977" s="145" t="s">
        <v>458</v>
      </c>
      <c r="S977" s="145"/>
      <c r="T977" s="145"/>
      <c r="U977" s="145"/>
      <c r="V977" s="145"/>
      <c r="W977" s="145"/>
      <c r="X977" s="145"/>
      <c r="Y977" s="145"/>
      <c r="Z977" s="145"/>
      <c r="AA977" s="145"/>
      <c r="AB977" s="145"/>
      <c r="AC977" s="145"/>
      <c r="AD977" s="145"/>
      <c r="AE977" s="145"/>
      <c r="AF977" s="145"/>
      <c r="AG977" s="145"/>
      <c r="AH977" s="145"/>
      <c r="AI977" s="145"/>
      <c r="AJ977" s="156"/>
      <c r="AK977" s="138"/>
      <c r="AL977" s="27"/>
      <c r="AM977" s="27"/>
      <c r="AN977" s="27"/>
      <c r="AO977" s="27"/>
      <c r="AP977" s="27"/>
      <c r="AQ977" s="148"/>
      <c r="AR977" s="148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139"/>
    </row>
    <row r="978" spans="2:61" ht="20.100000000000001" customHeight="1" x14ac:dyDescent="0.45">
      <c r="B978" s="133"/>
      <c r="C978" s="27"/>
      <c r="D978" s="27"/>
      <c r="E978" s="27"/>
      <c r="F978" s="27"/>
      <c r="G978" s="134"/>
      <c r="H978" s="135"/>
      <c r="I978" s="27"/>
      <c r="J978" s="144" t="s">
        <v>459</v>
      </c>
      <c r="K978" s="145"/>
      <c r="L978" s="145"/>
      <c r="M978" s="145"/>
      <c r="N978" s="145"/>
      <c r="O978" s="145"/>
      <c r="P978" s="145"/>
      <c r="Q978" s="156"/>
      <c r="R978" s="145" t="s">
        <v>460</v>
      </c>
      <c r="S978" s="145"/>
      <c r="T978" s="145"/>
      <c r="U978" s="145"/>
      <c r="V978" s="145"/>
      <c r="W978" s="145"/>
      <c r="X978" s="145"/>
      <c r="Y978" s="145"/>
      <c r="Z978" s="145"/>
      <c r="AA978" s="145"/>
      <c r="AB978" s="145"/>
      <c r="AC978" s="145"/>
      <c r="AD978" s="145"/>
      <c r="AE978" s="145"/>
      <c r="AF978" s="145"/>
      <c r="AG978" s="145"/>
      <c r="AH978" s="145"/>
      <c r="AI978" s="145"/>
      <c r="AJ978" s="156"/>
      <c r="AK978" s="138"/>
      <c r="AL978" s="27"/>
      <c r="AM978" s="27"/>
      <c r="AN978" s="27"/>
      <c r="AO978" s="27"/>
      <c r="AP978" s="27"/>
      <c r="AQ978" s="148"/>
      <c r="AR978" s="148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139"/>
    </row>
    <row r="979" spans="2:61" ht="20.100000000000001" customHeight="1" x14ac:dyDescent="0.45">
      <c r="B979" s="133"/>
      <c r="C979" s="27"/>
      <c r="D979" s="27"/>
      <c r="E979" s="27"/>
      <c r="F979" s="27"/>
      <c r="G979" s="134"/>
      <c r="H979" s="135"/>
      <c r="I979" s="27"/>
      <c r="J979" s="144" t="s">
        <v>461</v>
      </c>
      <c r="K979" s="145"/>
      <c r="L979" s="145"/>
      <c r="M979" s="145"/>
      <c r="N979" s="145"/>
      <c r="O979" s="145"/>
      <c r="P979" s="145"/>
      <c r="Q979" s="156"/>
      <c r="R979" s="159" t="s">
        <v>462</v>
      </c>
      <c r="S979" s="145"/>
      <c r="T979" s="145"/>
      <c r="U979" s="145"/>
      <c r="V979" s="145"/>
      <c r="W979" s="145"/>
      <c r="X979" s="145"/>
      <c r="Y979" s="145"/>
      <c r="Z979" s="145"/>
      <c r="AA979" s="145"/>
      <c r="AB979" s="145"/>
      <c r="AC979" s="145"/>
      <c r="AD979" s="145"/>
      <c r="AE979" s="145"/>
      <c r="AF979" s="145"/>
      <c r="AG979" s="145"/>
      <c r="AH979" s="145"/>
      <c r="AI979" s="145"/>
      <c r="AJ979" s="156"/>
      <c r="AK979" s="138"/>
      <c r="AL979" s="27"/>
      <c r="AM979" s="27"/>
      <c r="AN979" s="27"/>
      <c r="AO979" s="27"/>
      <c r="AP979" s="27"/>
      <c r="AQ979" s="148"/>
      <c r="AR979" s="148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139"/>
    </row>
    <row r="980" spans="2:61" ht="20.100000000000001" customHeight="1" x14ac:dyDescent="0.45">
      <c r="B980" s="133"/>
      <c r="C980" s="27"/>
      <c r="D980" s="27"/>
      <c r="E980" s="27"/>
      <c r="F980" s="27"/>
      <c r="G980" s="134"/>
      <c r="H980" s="135"/>
      <c r="I980" s="27"/>
      <c r="J980" s="144" t="s">
        <v>463</v>
      </c>
      <c r="K980" s="145"/>
      <c r="L980" s="145"/>
      <c r="M980" s="145"/>
      <c r="N980" s="145"/>
      <c r="O980" s="145"/>
      <c r="P980" s="145"/>
      <c r="Q980" s="156"/>
      <c r="R980" s="159" t="s">
        <v>464</v>
      </c>
      <c r="S980" s="145"/>
      <c r="T980" s="145"/>
      <c r="U980" s="145"/>
      <c r="V980" s="145"/>
      <c r="W980" s="145"/>
      <c r="X980" s="145"/>
      <c r="Y980" s="145"/>
      <c r="Z980" s="145"/>
      <c r="AA980" s="145"/>
      <c r="AB980" s="145"/>
      <c r="AC980" s="145"/>
      <c r="AD980" s="145"/>
      <c r="AE980" s="145"/>
      <c r="AF980" s="145"/>
      <c r="AG980" s="145"/>
      <c r="AH980" s="145"/>
      <c r="AI980" s="145"/>
      <c r="AJ980" s="156"/>
      <c r="AK980" s="138"/>
      <c r="AL980" s="27"/>
      <c r="AM980" s="27"/>
      <c r="AN980" s="27"/>
      <c r="AO980" s="27"/>
      <c r="AP980" s="27"/>
      <c r="AQ980" s="148"/>
      <c r="AR980" s="148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139"/>
    </row>
    <row r="981" spans="2:61" ht="20.100000000000001" customHeight="1" x14ac:dyDescent="0.45">
      <c r="B981" s="133"/>
      <c r="C981" s="27"/>
      <c r="D981" s="27"/>
      <c r="E981" s="27"/>
      <c r="F981" s="27"/>
      <c r="G981" s="134"/>
      <c r="H981" s="135"/>
      <c r="I981" s="27"/>
      <c r="J981" s="144" t="s">
        <v>465</v>
      </c>
      <c r="K981" s="145"/>
      <c r="L981" s="145"/>
      <c r="M981" s="145"/>
      <c r="N981" s="145"/>
      <c r="O981" s="145"/>
      <c r="P981" s="145"/>
      <c r="Q981" s="156"/>
      <c r="R981" s="145" t="s">
        <v>466</v>
      </c>
      <c r="S981" s="145"/>
      <c r="T981" s="145"/>
      <c r="U981" s="145"/>
      <c r="V981" s="145"/>
      <c r="W981" s="145"/>
      <c r="X981" s="145"/>
      <c r="Y981" s="145"/>
      <c r="Z981" s="145"/>
      <c r="AA981" s="145"/>
      <c r="AB981" s="145"/>
      <c r="AC981" s="145"/>
      <c r="AD981" s="145"/>
      <c r="AE981" s="145"/>
      <c r="AF981" s="145"/>
      <c r="AG981" s="145"/>
      <c r="AH981" s="145"/>
      <c r="AI981" s="145"/>
      <c r="AJ981" s="156"/>
      <c r="AK981" s="138"/>
      <c r="AL981" s="27"/>
      <c r="AM981" s="27"/>
      <c r="AN981" s="27"/>
      <c r="AO981" s="27"/>
      <c r="AP981" s="27"/>
      <c r="AQ981" s="148"/>
      <c r="AR981" s="148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139"/>
    </row>
    <row r="982" spans="2:61" ht="20.100000000000001" customHeight="1" x14ac:dyDescent="0.45">
      <c r="B982" s="133"/>
      <c r="C982" s="27"/>
      <c r="D982" s="27"/>
      <c r="E982" s="27"/>
      <c r="F982" s="27"/>
      <c r="G982" s="134"/>
      <c r="H982" s="135"/>
      <c r="I982" s="27"/>
      <c r="J982" s="144" t="s">
        <v>467</v>
      </c>
      <c r="K982" s="145"/>
      <c r="L982" s="145"/>
      <c r="M982" s="145"/>
      <c r="N982" s="145"/>
      <c r="O982" s="145"/>
      <c r="P982" s="145"/>
      <c r="Q982" s="156"/>
      <c r="R982" s="145" t="s">
        <v>468</v>
      </c>
      <c r="S982" s="145"/>
      <c r="T982" s="145"/>
      <c r="U982" s="145"/>
      <c r="V982" s="145"/>
      <c r="W982" s="145"/>
      <c r="X982" s="145"/>
      <c r="Y982" s="145"/>
      <c r="Z982" s="145"/>
      <c r="AA982" s="145"/>
      <c r="AB982" s="145"/>
      <c r="AC982" s="145"/>
      <c r="AD982" s="145"/>
      <c r="AE982" s="145"/>
      <c r="AF982" s="145"/>
      <c r="AG982" s="145"/>
      <c r="AH982" s="145"/>
      <c r="AI982" s="145"/>
      <c r="AJ982" s="156"/>
      <c r="AK982" s="138"/>
      <c r="AL982" s="27"/>
      <c r="AM982" s="27"/>
      <c r="AN982" s="27"/>
      <c r="AO982" s="27"/>
      <c r="AP982" s="27"/>
      <c r="AQ982" s="148"/>
      <c r="AR982" s="148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139"/>
    </row>
    <row r="983" spans="2:61" ht="20.100000000000001" customHeight="1" x14ac:dyDescent="0.45">
      <c r="B983" s="133"/>
      <c r="C983" s="27"/>
      <c r="D983" s="27"/>
      <c r="E983" s="27"/>
      <c r="F983" s="27"/>
      <c r="G983" s="134"/>
      <c r="H983" s="135"/>
      <c r="I983" s="27"/>
      <c r="J983" s="144" t="s">
        <v>469</v>
      </c>
      <c r="K983" s="145"/>
      <c r="L983" s="145"/>
      <c r="M983" s="145"/>
      <c r="N983" s="145"/>
      <c r="O983" s="145"/>
      <c r="P983" s="145"/>
      <c r="Q983" s="156"/>
      <c r="R983" s="159" t="s">
        <v>470</v>
      </c>
      <c r="S983" s="145"/>
      <c r="T983" s="145"/>
      <c r="U983" s="145"/>
      <c r="V983" s="145"/>
      <c r="W983" s="145"/>
      <c r="X983" s="145"/>
      <c r="Y983" s="145"/>
      <c r="Z983" s="145"/>
      <c r="AA983" s="145"/>
      <c r="AB983" s="145"/>
      <c r="AC983" s="145"/>
      <c r="AD983" s="145"/>
      <c r="AE983" s="145"/>
      <c r="AF983" s="145"/>
      <c r="AG983" s="145"/>
      <c r="AH983" s="145"/>
      <c r="AI983" s="145"/>
      <c r="AJ983" s="156"/>
      <c r="AK983" s="138"/>
      <c r="AL983" s="27"/>
      <c r="AM983" s="27"/>
      <c r="AN983" s="27"/>
      <c r="AO983" s="27"/>
      <c r="AP983" s="27"/>
      <c r="AQ983" s="148"/>
      <c r="AR983" s="148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139"/>
    </row>
    <row r="984" spans="2:61" ht="20.100000000000001" customHeight="1" x14ac:dyDescent="0.45">
      <c r="B984" s="133"/>
      <c r="C984" s="27"/>
      <c r="D984" s="27"/>
      <c r="E984" s="27"/>
      <c r="F984" s="27"/>
      <c r="G984" s="134"/>
      <c r="H984" s="135"/>
      <c r="I984" s="27"/>
      <c r="J984" s="144" t="s">
        <v>471</v>
      </c>
      <c r="K984" s="145"/>
      <c r="L984" s="145"/>
      <c r="M984" s="145"/>
      <c r="N984" s="145"/>
      <c r="O984" s="145"/>
      <c r="P984" s="145"/>
      <c r="Q984" s="156"/>
      <c r="R984" s="159" t="s">
        <v>472</v>
      </c>
      <c r="S984" s="145"/>
      <c r="T984" s="145"/>
      <c r="U984" s="145"/>
      <c r="V984" s="145"/>
      <c r="W984" s="145"/>
      <c r="X984" s="145"/>
      <c r="Y984" s="145"/>
      <c r="Z984" s="145"/>
      <c r="AA984" s="145"/>
      <c r="AB984" s="145"/>
      <c r="AC984" s="145"/>
      <c r="AD984" s="145"/>
      <c r="AE984" s="145"/>
      <c r="AF984" s="145"/>
      <c r="AG984" s="145"/>
      <c r="AH984" s="145"/>
      <c r="AI984" s="145"/>
      <c r="AJ984" s="156"/>
      <c r="AK984" s="138"/>
      <c r="AL984" s="27"/>
      <c r="AM984" s="27"/>
      <c r="AN984" s="27"/>
      <c r="AO984" s="27"/>
      <c r="AP984" s="27"/>
      <c r="AQ984" s="148"/>
      <c r="AR984" s="148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139"/>
    </row>
    <row r="985" spans="2:61" ht="20.100000000000001" customHeight="1" x14ac:dyDescent="0.45">
      <c r="B985" s="133"/>
      <c r="C985" s="27"/>
      <c r="D985" s="27"/>
      <c r="E985" s="27"/>
      <c r="F985" s="27"/>
      <c r="G985" s="134"/>
      <c r="H985" s="135"/>
      <c r="I985" s="27"/>
      <c r="J985" s="144" t="s">
        <v>473</v>
      </c>
      <c r="K985" s="145"/>
      <c r="L985" s="145"/>
      <c r="M985" s="145"/>
      <c r="N985" s="145"/>
      <c r="O985" s="145"/>
      <c r="P985" s="145"/>
      <c r="Q985" s="156"/>
      <c r="R985" s="145" t="s">
        <v>474</v>
      </c>
      <c r="S985" s="145"/>
      <c r="T985" s="145"/>
      <c r="U985" s="145"/>
      <c r="V985" s="145"/>
      <c r="W985" s="145"/>
      <c r="X985" s="145"/>
      <c r="Y985" s="145"/>
      <c r="Z985" s="145"/>
      <c r="AA985" s="145"/>
      <c r="AB985" s="145"/>
      <c r="AC985" s="145"/>
      <c r="AD985" s="145"/>
      <c r="AE985" s="145"/>
      <c r="AF985" s="145"/>
      <c r="AG985" s="145"/>
      <c r="AH985" s="145"/>
      <c r="AI985" s="145"/>
      <c r="AJ985" s="156"/>
      <c r="AK985" s="138"/>
      <c r="AL985" s="27"/>
      <c r="AM985" s="27"/>
      <c r="AN985" s="27"/>
      <c r="AO985" s="27"/>
      <c r="AP985" s="27"/>
      <c r="AQ985" s="148"/>
      <c r="AR985" s="148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139"/>
    </row>
    <row r="986" spans="2:61" ht="20.100000000000001" customHeight="1" x14ac:dyDescent="0.45">
      <c r="B986" s="133"/>
      <c r="C986" s="27"/>
      <c r="D986" s="27"/>
      <c r="E986" s="27"/>
      <c r="F986" s="27"/>
      <c r="G986" s="134"/>
      <c r="H986" s="135"/>
      <c r="I986" s="27"/>
      <c r="J986" s="144" t="s">
        <v>475</v>
      </c>
      <c r="K986" s="145"/>
      <c r="L986" s="145"/>
      <c r="M986" s="145"/>
      <c r="N986" s="145"/>
      <c r="O986" s="145"/>
      <c r="P986" s="145"/>
      <c r="Q986" s="156"/>
      <c r="R986" s="145" t="s">
        <v>476</v>
      </c>
      <c r="S986" s="145"/>
      <c r="T986" s="145"/>
      <c r="U986" s="145"/>
      <c r="V986" s="145"/>
      <c r="W986" s="145"/>
      <c r="X986" s="145"/>
      <c r="Y986" s="145"/>
      <c r="Z986" s="145"/>
      <c r="AA986" s="145"/>
      <c r="AB986" s="145"/>
      <c r="AC986" s="145"/>
      <c r="AD986" s="145"/>
      <c r="AE986" s="145"/>
      <c r="AF986" s="145"/>
      <c r="AG986" s="145"/>
      <c r="AH986" s="145"/>
      <c r="AI986" s="145"/>
      <c r="AJ986" s="156"/>
      <c r="AK986" s="138"/>
      <c r="AL986" s="27"/>
      <c r="AM986" s="27"/>
      <c r="AN986" s="27"/>
      <c r="AO986" s="27"/>
      <c r="AP986" s="27"/>
      <c r="AQ986" s="148"/>
      <c r="AR986" s="148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139"/>
    </row>
    <row r="987" spans="2:61" ht="20.100000000000001" customHeight="1" x14ac:dyDescent="0.45">
      <c r="B987" s="133"/>
      <c r="C987" s="27"/>
      <c r="D987" s="27"/>
      <c r="E987" s="27"/>
      <c r="F987" s="27"/>
      <c r="G987" s="134"/>
      <c r="H987" s="135"/>
      <c r="I987" s="27"/>
      <c r="J987" s="144" t="s">
        <v>477</v>
      </c>
      <c r="K987" s="145"/>
      <c r="L987" s="145"/>
      <c r="M987" s="145"/>
      <c r="N987" s="145"/>
      <c r="O987" s="145"/>
      <c r="P987" s="145"/>
      <c r="Q987" s="156"/>
      <c r="R987" s="145" t="s">
        <v>478</v>
      </c>
      <c r="S987" s="145"/>
      <c r="T987" s="145"/>
      <c r="U987" s="145"/>
      <c r="V987" s="145"/>
      <c r="W987" s="145"/>
      <c r="X987" s="145"/>
      <c r="Y987" s="145"/>
      <c r="Z987" s="145"/>
      <c r="AA987" s="145"/>
      <c r="AB987" s="145"/>
      <c r="AC987" s="145"/>
      <c r="AD987" s="145"/>
      <c r="AE987" s="145"/>
      <c r="AF987" s="145"/>
      <c r="AG987" s="145"/>
      <c r="AH987" s="145"/>
      <c r="AI987" s="145"/>
      <c r="AJ987" s="156"/>
      <c r="AK987" s="138"/>
      <c r="AL987" s="27"/>
      <c r="AM987" s="27"/>
      <c r="AN987" s="27"/>
      <c r="AO987" s="27"/>
      <c r="AP987" s="27"/>
      <c r="AQ987" s="148"/>
      <c r="AR987" s="148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139"/>
    </row>
    <row r="988" spans="2:61" ht="20.100000000000001" customHeight="1" x14ac:dyDescent="0.45">
      <c r="B988" s="133"/>
      <c r="C988" s="27"/>
      <c r="D988" s="27"/>
      <c r="E988" s="27"/>
      <c r="F988" s="27"/>
      <c r="G988" s="134"/>
      <c r="H988" s="135"/>
      <c r="I988" s="27"/>
      <c r="J988" s="144" t="s">
        <v>479</v>
      </c>
      <c r="K988" s="145"/>
      <c r="L988" s="145"/>
      <c r="M988" s="145"/>
      <c r="N988" s="145"/>
      <c r="O988" s="145"/>
      <c r="P988" s="145"/>
      <c r="Q988" s="156"/>
      <c r="R988" s="145" t="s">
        <v>480</v>
      </c>
      <c r="S988" s="145"/>
      <c r="T988" s="145"/>
      <c r="U988" s="145"/>
      <c r="V988" s="145"/>
      <c r="W988" s="145"/>
      <c r="X988" s="145"/>
      <c r="Y988" s="145"/>
      <c r="Z988" s="145"/>
      <c r="AA988" s="145"/>
      <c r="AB988" s="145"/>
      <c r="AC988" s="145"/>
      <c r="AD988" s="145"/>
      <c r="AE988" s="145"/>
      <c r="AF988" s="145"/>
      <c r="AG988" s="145"/>
      <c r="AH988" s="145"/>
      <c r="AI988" s="145"/>
      <c r="AJ988" s="156"/>
      <c r="AK988" s="138"/>
      <c r="AL988" s="27"/>
      <c r="AM988" s="27"/>
      <c r="AN988" s="27"/>
      <c r="AO988" s="27"/>
      <c r="AP988" s="27"/>
      <c r="AQ988" s="148"/>
      <c r="AR988" s="148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139"/>
    </row>
    <row r="989" spans="2:61" ht="20.100000000000001" customHeight="1" x14ac:dyDescent="0.45">
      <c r="B989" s="133"/>
      <c r="C989" s="27"/>
      <c r="D989" s="27"/>
      <c r="E989" s="27"/>
      <c r="F989" s="27"/>
      <c r="G989" s="134"/>
      <c r="H989" s="135"/>
      <c r="I989" s="27"/>
      <c r="J989" s="144" t="s">
        <v>481</v>
      </c>
      <c r="K989" s="145"/>
      <c r="L989" s="145"/>
      <c r="M989" s="145"/>
      <c r="N989" s="145"/>
      <c r="O989" s="145"/>
      <c r="P989" s="145"/>
      <c r="Q989" s="156"/>
      <c r="R989" s="145" t="s">
        <v>482</v>
      </c>
      <c r="S989" s="145"/>
      <c r="T989" s="145"/>
      <c r="U989" s="145"/>
      <c r="V989" s="145"/>
      <c r="W989" s="145"/>
      <c r="X989" s="145"/>
      <c r="Y989" s="145"/>
      <c r="Z989" s="145"/>
      <c r="AA989" s="145"/>
      <c r="AB989" s="145"/>
      <c r="AC989" s="145"/>
      <c r="AD989" s="145"/>
      <c r="AE989" s="145"/>
      <c r="AF989" s="145"/>
      <c r="AG989" s="145"/>
      <c r="AH989" s="145"/>
      <c r="AI989" s="145"/>
      <c r="AJ989" s="156"/>
      <c r="AK989" s="138"/>
      <c r="AL989" s="27"/>
      <c r="AM989" s="27"/>
      <c r="AN989" s="27"/>
      <c r="AO989" s="27"/>
      <c r="AP989" s="27"/>
      <c r="AQ989" s="148"/>
      <c r="AR989" s="148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139"/>
    </row>
    <row r="990" spans="2:61" ht="20.100000000000001" customHeight="1" x14ac:dyDescent="0.45">
      <c r="B990" s="133"/>
      <c r="C990" s="27"/>
      <c r="D990" s="27"/>
      <c r="E990" s="27"/>
      <c r="F990" s="27"/>
      <c r="G990" s="134"/>
      <c r="H990" s="135"/>
      <c r="I990" s="27"/>
      <c r="J990" s="144" t="s">
        <v>483</v>
      </c>
      <c r="K990" s="145"/>
      <c r="L990" s="145"/>
      <c r="M990" s="145"/>
      <c r="N990" s="145"/>
      <c r="O990" s="145"/>
      <c r="P990" s="145"/>
      <c r="Q990" s="156"/>
      <c r="R990" s="145" t="s">
        <v>484</v>
      </c>
      <c r="S990" s="145"/>
      <c r="T990" s="145"/>
      <c r="U990" s="145"/>
      <c r="V990" s="145"/>
      <c r="W990" s="145"/>
      <c r="X990" s="145"/>
      <c r="Y990" s="145"/>
      <c r="Z990" s="145"/>
      <c r="AA990" s="145"/>
      <c r="AB990" s="145"/>
      <c r="AC990" s="145"/>
      <c r="AD990" s="145"/>
      <c r="AE990" s="145"/>
      <c r="AF990" s="145"/>
      <c r="AG990" s="145"/>
      <c r="AH990" s="145"/>
      <c r="AI990" s="145"/>
      <c r="AJ990" s="156"/>
      <c r="AK990" s="138"/>
      <c r="AL990" s="27"/>
      <c r="AM990" s="27"/>
      <c r="AN990" s="27"/>
      <c r="AO990" s="27"/>
      <c r="AP990" s="27"/>
      <c r="AQ990" s="148"/>
      <c r="AR990" s="148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139"/>
    </row>
    <row r="991" spans="2:61" ht="20.100000000000001" customHeight="1" thickBot="1" x14ac:dyDescent="0.5">
      <c r="B991" s="133"/>
      <c r="C991" s="27"/>
      <c r="D991" s="27"/>
      <c r="E991" s="27"/>
      <c r="F991" s="27"/>
      <c r="G991" s="134"/>
      <c r="H991" s="140" t="s">
        <v>159</v>
      </c>
      <c r="I991" s="51"/>
      <c r="J991" s="140" t="s">
        <v>485</v>
      </c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  <c r="AB991" s="51"/>
      <c r="AC991" s="51"/>
      <c r="AD991" s="51"/>
      <c r="AE991" s="51"/>
      <c r="AF991" s="51"/>
      <c r="AG991" s="51"/>
      <c r="AH991" s="51"/>
      <c r="AI991" s="51"/>
      <c r="AJ991" s="51"/>
      <c r="AK991" s="141"/>
      <c r="AL991" s="51"/>
      <c r="AM991" s="51"/>
      <c r="AN991" s="51"/>
      <c r="AO991" s="51"/>
      <c r="AP991" s="51"/>
      <c r="AQ991" s="51"/>
      <c r="AR991" s="51"/>
      <c r="AS991" s="51"/>
      <c r="AT991" s="51"/>
      <c r="AU991" s="51"/>
      <c r="AV991" s="51"/>
      <c r="AW991" s="51"/>
      <c r="AX991" s="51"/>
      <c r="AY991" s="51"/>
      <c r="AZ991" s="51"/>
      <c r="BA991" s="51"/>
      <c r="BB991" s="51"/>
      <c r="BC991" s="51"/>
      <c r="BD991" s="51"/>
      <c r="BE991" s="51"/>
      <c r="BF991" s="51"/>
      <c r="BG991" s="51"/>
      <c r="BH991" s="51"/>
      <c r="BI991" s="142"/>
    </row>
    <row r="992" spans="2:61" ht="20.100000000000001" customHeight="1" x14ac:dyDescent="0.45">
      <c r="B992" s="124" t="s">
        <v>814</v>
      </c>
      <c r="C992" s="125"/>
      <c r="D992" s="125"/>
      <c r="E992" s="125"/>
      <c r="F992" s="125"/>
      <c r="G992" s="126"/>
      <c r="H992" s="127" t="s">
        <v>487</v>
      </c>
      <c r="I992" s="125"/>
      <c r="J992" s="128" t="s">
        <v>488</v>
      </c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30"/>
      <c r="AK992" s="131" t="s">
        <v>489</v>
      </c>
      <c r="AL992" s="125"/>
      <c r="AM992" s="125"/>
      <c r="AN992" s="125"/>
      <c r="AO992" s="125"/>
      <c r="AP992" s="125"/>
      <c r="AQ992" s="158"/>
      <c r="AR992" s="158"/>
      <c r="AS992" s="125"/>
      <c r="AT992" s="125"/>
      <c r="AU992" s="125"/>
      <c r="AV992" s="125"/>
      <c r="AW992" s="125"/>
      <c r="AX992" s="125"/>
      <c r="AY992" s="125"/>
      <c r="AZ992" s="125"/>
      <c r="BA992" s="125"/>
      <c r="BB992" s="125"/>
      <c r="BC992" s="125"/>
      <c r="BD992" s="125"/>
      <c r="BE992" s="125"/>
      <c r="BF992" s="125"/>
      <c r="BG992" s="125"/>
      <c r="BH992" s="125"/>
      <c r="BI992" s="132"/>
    </row>
    <row r="993" spans="2:61" ht="21" customHeight="1" thickBot="1" x14ac:dyDescent="0.5">
      <c r="B993" s="133"/>
      <c r="C993" s="27"/>
      <c r="D993" s="27"/>
      <c r="E993" s="27"/>
      <c r="F993" s="27"/>
      <c r="G993" s="134"/>
      <c r="H993" s="140" t="s">
        <v>161</v>
      </c>
      <c r="I993" s="51"/>
      <c r="J993" s="140" t="s">
        <v>490</v>
      </c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  <c r="AB993" s="51"/>
      <c r="AC993" s="51"/>
      <c r="AD993" s="51"/>
      <c r="AE993" s="51"/>
      <c r="AF993" s="51"/>
      <c r="AG993" s="51"/>
      <c r="AH993" s="51"/>
      <c r="AI993" s="51"/>
      <c r="AJ993" s="51"/>
      <c r="AK993" s="141"/>
      <c r="AL993" s="51"/>
      <c r="AM993" s="51"/>
      <c r="AN993" s="51"/>
      <c r="AO993" s="51"/>
      <c r="AP993" s="51"/>
      <c r="AQ993" s="51"/>
      <c r="AR993" s="51"/>
      <c r="AS993" s="51"/>
      <c r="AT993" s="51"/>
      <c r="AU993" s="51"/>
      <c r="AV993" s="51"/>
      <c r="AW993" s="51"/>
      <c r="AX993" s="51"/>
      <c r="AY993" s="51"/>
      <c r="AZ993" s="51"/>
      <c r="BA993" s="51"/>
      <c r="BB993" s="51"/>
      <c r="BC993" s="51"/>
      <c r="BD993" s="51"/>
      <c r="BE993" s="51"/>
      <c r="BF993" s="51"/>
      <c r="BG993" s="51"/>
      <c r="BH993" s="51"/>
      <c r="BI993" s="142"/>
    </row>
    <row r="994" spans="2:61" ht="20.100000000000001" customHeight="1" x14ac:dyDescent="0.45">
      <c r="B994" s="124" t="s">
        <v>815</v>
      </c>
      <c r="C994" s="125"/>
      <c r="D994" s="125"/>
      <c r="E994" s="125"/>
      <c r="F994" s="125"/>
      <c r="G994" s="126"/>
      <c r="H994" s="127" t="s">
        <v>492</v>
      </c>
      <c r="I994" s="125"/>
      <c r="J994" s="128" t="s">
        <v>404</v>
      </c>
      <c r="K994" s="129"/>
      <c r="L994" s="129"/>
      <c r="M994" s="129"/>
      <c r="N994" s="129"/>
      <c r="O994" s="129"/>
      <c r="P994" s="129"/>
      <c r="Q994" s="129"/>
      <c r="R994" s="128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30"/>
      <c r="AK994" s="131" t="s">
        <v>493</v>
      </c>
      <c r="AL994" s="125"/>
      <c r="AM994" s="125"/>
      <c r="AN994" s="125"/>
      <c r="AO994" s="125"/>
      <c r="AP994" s="125"/>
      <c r="AQ994" s="158"/>
      <c r="AR994" s="158" t="s">
        <v>494</v>
      </c>
      <c r="AS994" s="125"/>
      <c r="AT994" s="125"/>
      <c r="AU994" s="125"/>
      <c r="AV994" s="125"/>
      <c r="AW994" s="125"/>
      <c r="AX994" s="125"/>
      <c r="AY994" s="125"/>
      <c r="AZ994" s="125"/>
      <c r="BA994" s="125"/>
      <c r="BB994" s="125"/>
      <c r="BC994" s="125"/>
      <c r="BD994" s="125"/>
      <c r="BE994" s="125"/>
      <c r="BF994" s="125"/>
      <c r="BG994" s="125"/>
      <c r="BH994" s="125"/>
      <c r="BI994" s="132"/>
    </row>
    <row r="995" spans="2:61" ht="21" customHeight="1" thickBot="1" x14ac:dyDescent="0.5">
      <c r="B995" s="133"/>
      <c r="C995" s="27"/>
      <c r="D995" s="27"/>
      <c r="E995" s="27"/>
      <c r="F995" s="27"/>
      <c r="G995" s="134"/>
      <c r="H995" s="140" t="s">
        <v>159</v>
      </c>
      <c r="I995" s="51"/>
      <c r="J995" s="140" t="s">
        <v>495</v>
      </c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  <c r="AB995" s="51"/>
      <c r="AC995" s="51"/>
      <c r="AD995" s="51"/>
      <c r="AE995" s="51"/>
      <c r="AF995" s="51"/>
      <c r="AG995" s="51"/>
      <c r="AH995" s="51"/>
      <c r="AI995" s="51"/>
      <c r="AJ995" s="51"/>
      <c r="AK995" s="141"/>
      <c r="AL995" s="51"/>
      <c r="AM995" s="51"/>
      <c r="AN995" s="51"/>
      <c r="AO995" s="51"/>
      <c r="AP995" s="51"/>
      <c r="AQ995" s="51"/>
      <c r="AR995" s="51"/>
      <c r="AS995" s="51"/>
      <c r="AT995" s="51"/>
      <c r="AU995" s="51"/>
      <c r="AV995" s="51"/>
      <c r="AW995" s="51"/>
      <c r="AX995" s="51"/>
      <c r="AY995" s="51"/>
      <c r="AZ995" s="51"/>
      <c r="BA995" s="51"/>
      <c r="BB995" s="51"/>
      <c r="BC995" s="51"/>
      <c r="BD995" s="51"/>
      <c r="BE995" s="51"/>
      <c r="BF995" s="51"/>
      <c r="BG995" s="51"/>
      <c r="BH995" s="51"/>
      <c r="BI995" s="142"/>
    </row>
    <row r="996" spans="2:61" ht="20.100000000000001" customHeight="1" x14ac:dyDescent="0.45">
      <c r="B996" s="124" t="s">
        <v>816</v>
      </c>
      <c r="C996" s="125"/>
      <c r="D996" s="125"/>
      <c r="E996" s="125"/>
      <c r="F996" s="125"/>
      <c r="G996" s="126"/>
      <c r="H996" s="127" t="s">
        <v>492</v>
      </c>
      <c r="I996" s="125"/>
      <c r="J996" s="128" t="s">
        <v>404</v>
      </c>
      <c r="K996" s="129"/>
      <c r="L996" s="129"/>
      <c r="M996" s="129"/>
      <c r="N996" s="129"/>
      <c r="O996" s="129"/>
      <c r="P996" s="129"/>
      <c r="Q996" s="129"/>
      <c r="R996" s="128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30"/>
      <c r="AK996" s="131" t="s">
        <v>493</v>
      </c>
      <c r="AL996" s="125"/>
      <c r="AM996" s="125"/>
      <c r="AN996" s="125"/>
      <c r="AO996" s="125"/>
      <c r="AP996" s="125"/>
      <c r="AQ996" s="158"/>
      <c r="AR996" s="158" t="s">
        <v>817</v>
      </c>
      <c r="AS996" s="125"/>
      <c r="AT996" s="125"/>
      <c r="AU996" s="125"/>
      <c r="AV996" s="125"/>
      <c r="AW996" s="125"/>
      <c r="AX996" s="125"/>
      <c r="AY996" s="125"/>
      <c r="AZ996" s="125"/>
      <c r="BA996" s="125"/>
      <c r="BB996" s="125"/>
      <c r="BC996" s="125"/>
      <c r="BD996" s="125"/>
      <c r="BE996" s="125"/>
      <c r="BF996" s="125"/>
      <c r="BG996" s="125"/>
      <c r="BH996" s="125"/>
      <c r="BI996" s="132"/>
    </row>
    <row r="997" spans="2:61" ht="21" customHeight="1" thickBot="1" x14ac:dyDescent="0.5">
      <c r="B997" s="133"/>
      <c r="C997" s="27"/>
      <c r="D997" s="27"/>
      <c r="E997" s="27"/>
      <c r="F997" s="27"/>
      <c r="G997" s="134"/>
      <c r="H997" s="140" t="s">
        <v>159</v>
      </c>
      <c r="I997" s="51"/>
      <c r="J997" s="140" t="s">
        <v>818</v>
      </c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  <c r="AB997" s="51"/>
      <c r="AC997" s="51"/>
      <c r="AD997" s="51"/>
      <c r="AE997" s="51"/>
      <c r="AF997" s="51"/>
      <c r="AG997" s="51"/>
      <c r="AH997" s="51"/>
      <c r="AI997" s="51"/>
      <c r="AJ997" s="51"/>
      <c r="AK997" s="141"/>
      <c r="AL997" s="51"/>
      <c r="AM997" s="51"/>
      <c r="AN997" s="51"/>
      <c r="AO997" s="51"/>
      <c r="AP997" s="51"/>
      <c r="AQ997" s="51"/>
      <c r="AR997" s="51"/>
      <c r="AS997" s="51"/>
      <c r="AT997" s="51"/>
      <c r="AU997" s="51"/>
      <c r="AV997" s="51"/>
      <c r="AW997" s="51"/>
      <c r="AX997" s="51"/>
      <c r="AY997" s="51"/>
      <c r="AZ997" s="51"/>
      <c r="BA997" s="51"/>
      <c r="BB997" s="51"/>
      <c r="BC997" s="51"/>
      <c r="BD997" s="51"/>
      <c r="BE997" s="51"/>
      <c r="BF997" s="51"/>
      <c r="BG997" s="51"/>
      <c r="BH997" s="51"/>
      <c r="BI997" s="142"/>
    </row>
    <row r="998" spans="2:61" ht="20.100000000000001" customHeight="1" x14ac:dyDescent="0.45">
      <c r="B998" s="124" t="s">
        <v>819</v>
      </c>
      <c r="C998" s="125"/>
      <c r="D998" s="125"/>
      <c r="E998" s="125"/>
      <c r="F998" s="125"/>
      <c r="G998" s="126"/>
      <c r="H998" s="127" t="s">
        <v>158</v>
      </c>
      <c r="I998" s="125"/>
      <c r="J998" s="128" t="s">
        <v>163</v>
      </c>
      <c r="K998" s="129"/>
      <c r="L998" s="129"/>
      <c r="M998" s="129"/>
      <c r="N998" s="129"/>
      <c r="O998" s="129"/>
      <c r="P998" s="129"/>
      <c r="Q998" s="130"/>
      <c r="R998" s="129" t="s">
        <v>164</v>
      </c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30"/>
      <c r="AK998" s="131" t="s">
        <v>497</v>
      </c>
      <c r="AL998" s="125"/>
      <c r="AM998" s="125"/>
      <c r="AN998" s="125"/>
      <c r="AO998" s="125"/>
      <c r="AP998" s="125"/>
      <c r="AQ998" s="158"/>
      <c r="AR998" s="158"/>
      <c r="AS998" s="125"/>
      <c r="AT998" s="125"/>
      <c r="AU998" s="125"/>
      <c r="AV998" s="125"/>
      <c r="AW998" s="125"/>
      <c r="AX998" s="125"/>
      <c r="AY998" s="125"/>
      <c r="AZ998" s="125"/>
      <c r="BA998" s="125"/>
      <c r="BB998" s="125"/>
      <c r="BC998" s="125"/>
      <c r="BD998" s="125"/>
      <c r="BE998" s="125"/>
      <c r="BF998" s="125"/>
      <c r="BG998" s="125"/>
      <c r="BH998" s="125"/>
      <c r="BI998" s="132"/>
    </row>
    <row r="999" spans="2:61" ht="20.100000000000001" customHeight="1" x14ac:dyDescent="0.45">
      <c r="B999" s="133"/>
      <c r="C999" s="27"/>
      <c r="D999" s="27"/>
      <c r="E999" s="27"/>
      <c r="F999" s="27"/>
      <c r="G999" s="134"/>
      <c r="H999" s="135"/>
      <c r="I999" s="27"/>
      <c r="J999" s="144" t="s">
        <v>498</v>
      </c>
      <c r="K999" s="145"/>
      <c r="L999" s="145"/>
      <c r="M999" s="145"/>
      <c r="N999" s="145"/>
      <c r="O999" s="145"/>
      <c r="P999" s="145"/>
      <c r="Q999" s="156"/>
      <c r="R999" s="145" t="s">
        <v>499</v>
      </c>
      <c r="S999" s="145"/>
      <c r="T999" s="145"/>
      <c r="U999" s="145"/>
      <c r="V999" s="145"/>
      <c r="W999" s="145"/>
      <c r="X999" s="145"/>
      <c r="Y999" s="145"/>
      <c r="Z999" s="145"/>
      <c r="AA999" s="145"/>
      <c r="AB999" s="145"/>
      <c r="AC999" s="145"/>
      <c r="AD999" s="145"/>
      <c r="AE999" s="145"/>
      <c r="AF999" s="145"/>
      <c r="AG999" s="145"/>
      <c r="AH999" s="145"/>
      <c r="AI999" s="145"/>
      <c r="AJ999" s="156"/>
      <c r="AK999" s="138"/>
      <c r="AL999" s="27"/>
      <c r="AM999" s="27"/>
      <c r="AN999" s="27"/>
      <c r="AO999" s="27"/>
      <c r="AP999" s="27"/>
      <c r="AQ999" s="148"/>
      <c r="AR999" s="148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139"/>
    </row>
    <row r="1000" spans="2:61" ht="20.100000000000001" customHeight="1" x14ac:dyDescent="0.45">
      <c r="B1000" s="133"/>
      <c r="C1000" s="27"/>
      <c r="D1000" s="27"/>
      <c r="E1000" s="27"/>
      <c r="F1000" s="27"/>
      <c r="G1000" s="134"/>
      <c r="H1000" s="135"/>
      <c r="I1000" s="27"/>
      <c r="J1000" s="144" t="s">
        <v>500</v>
      </c>
      <c r="K1000" s="145"/>
      <c r="L1000" s="145"/>
      <c r="M1000" s="145"/>
      <c r="N1000" s="145"/>
      <c r="O1000" s="145"/>
      <c r="P1000" s="145"/>
      <c r="Q1000" s="156"/>
      <c r="R1000" s="145" t="s">
        <v>501</v>
      </c>
      <c r="S1000" s="145"/>
      <c r="T1000" s="145"/>
      <c r="U1000" s="145"/>
      <c r="V1000" s="145"/>
      <c r="W1000" s="145"/>
      <c r="X1000" s="145"/>
      <c r="Y1000" s="145"/>
      <c r="Z1000" s="145"/>
      <c r="AA1000" s="145"/>
      <c r="AB1000" s="145"/>
      <c r="AC1000" s="145"/>
      <c r="AD1000" s="145"/>
      <c r="AE1000" s="145"/>
      <c r="AF1000" s="145"/>
      <c r="AG1000" s="145"/>
      <c r="AH1000" s="145"/>
      <c r="AI1000" s="145"/>
      <c r="AJ1000" s="156"/>
      <c r="AK1000" s="138"/>
      <c r="AL1000" s="27"/>
      <c r="AM1000" s="27"/>
      <c r="AN1000" s="27"/>
      <c r="AO1000" s="27"/>
      <c r="AP1000" s="27"/>
      <c r="AQ1000" s="148"/>
      <c r="AR1000" s="148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139"/>
    </row>
    <row r="1001" spans="2:61" ht="20.100000000000001" customHeight="1" x14ac:dyDescent="0.45">
      <c r="B1001" s="133"/>
      <c r="C1001" s="27"/>
      <c r="D1001" s="27"/>
      <c r="E1001" s="27"/>
      <c r="F1001" s="27"/>
      <c r="G1001" s="134"/>
      <c r="H1001" s="135"/>
      <c r="I1001" s="27"/>
      <c r="J1001" s="144" t="s">
        <v>502</v>
      </c>
      <c r="K1001" s="145"/>
      <c r="L1001" s="145"/>
      <c r="M1001" s="145"/>
      <c r="N1001" s="145"/>
      <c r="O1001" s="145"/>
      <c r="P1001" s="145"/>
      <c r="Q1001" s="156"/>
      <c r="R1001" s="145" t="s">
        <v>503</v>
      </c>
      <c r="S1001" s="145"/>
      <c r="T1001" s="145"/>
      <c r="U1001" s="145"/>
      <c r="V1001" s="145"/>
      <c r="W1001" s="145"/>
      <c r="X1001" s="145"/>
      <c r="Y1001" s="145"/>
      <c r="Z1001" s="145"/>
      <c r="AA1001" s="145"/>
      <c r="AB1001" s="145"/>
      <c r="AC1001" s="145"/>
      <c r="AD1001" s="145"/>
      <c r="AE1001" s="145"/>
      <c r="AF1001" s="145"/>
      <c r="AG1001" s="145"/>
      <c r="AH1001" s="145"/>
      <c r="AI1001" s="145"/>
      <c r="AJ1001" s="156"/>
      <c r="AK1001" s="138"/>
      <c r="AL1001" s="27"/>
      <c r="AM1001" s="27"/>
      <c r="AN1001" s="27"/>
      <c r="AO1001" s="27"/>
      <c r="AP1001" s="27"/>
      <c r="AQ1001" s="148"/>
      <c r="AR1001" s="148"/>
      <c r="AS1001" s="27"/>
      <c r="AT1001" s="27"/>
      <c r="AU1001" s="27"/>
      <c r="AV1001" s="27"/>
      <c r="AW1001" s="27"/>
      <c r="AX1001" s="27"/>
      <c r="AY1001" s="27"/>
      <c r="AZ1001" s="27"/>
      <c r="BA1001" s="27"/>
      <c r="BB1001" s="27"/>
      <c r="BC1001" s="27"/>
      <c r="BD1001" s="27"/>
      <c r="BE1001" s="27"/>
      <c r="BF1001" s="27"/>
      <c r="BG1001" s="27"/>
      <c r="BH1001" s="27"/>
      <c r="BI1001" s="139"/>
    </row>
    <row r="1002" spans="2:61" ht="20.100000000000001" customHeight="1" x14ac:dyDescent="0.45">
      <c r="B1002" s="133"/>
      <c r="C1002" s="27"/>
      <c r="D1002" s="27"/>
      <c r="E1002" s="27"/>
      <c r="F1002" s="27"/>
      <c r="G1002" s="134"/>
      <c r="H1002" s="135"/>
      <c r="I1002" s="27"/>
      <c r="J1002" s="144" t="s">
        <v>504</v>
      </c>
      <c r="K1002" s="145"/>
      <c r="L1002" s="145"/>
      <c r="M1002" s="145"/>
      <c r="N1002" s="145"/>
      <c r="O1002" s="145"/>
      <c r="P1002" s="145"/>
      <c r="Q1002" s="156"/>
      <c r="R1002" s="145" t="s">
        <v>505</v>
      </c>
      <c r="S1002" s="145"/>
      <c r="T1002" s="145"/>
      <c r="U1002" s="145"/>
      <c r="V1002" s="145"/>
      <c r="W1002" s="145"/>
      <c r="X1002" s="145"/>
      <c r="Y1002" s="145"/>
      <c r="Z1002" s="145"/>
      <c r="AA1002" s="145"/>
      <c r="AB1002" s="145"/>
      <c r="AC1002" s="145"/>
      <c r="AD1002" s="145"/>
      <c r="AE1002" s="145"/>
      <c r="AF1002" s="145"/>
      <c r="AG1002" s="145"/>
      <c r="AH1002" s="145"/>
      <c r="AI1002" s="145"/>
      <c r="AJ1002" s="156"/>
      <c r="AK1002" s="138"/>
      <c r="AL1002" s="27"/>
      <c r="AM1002" s="27"/>
      <c r="AN1002" s="27"/>
      <c r="AO1002" s="27"/>
      <c r="AP1002" s="27"/>
      <c r="AQ1002" s="148"/>
      <c r="AR1002" s="148"/>
      <c r="AS1002" s="27"/>
      <c r="AT1002" s="27"/>
      <c r="AU1002" s="27"/>
      <c r="AV1002" s="27"/>
      <c r="AW1002" s="27"/>
      <c r="AX1002" s="27"/>
      <c r="AY1002" s="27"/>
      <c r="AZ1002" s="27"/>
      <c r="BA1002" s="27"/>
      <c r="BB1002" s="27"/>
      <c r="BC1002" s="27"/>
      <c r="BD1002" s="27"/>
      <c r="BE1002" s="27"/>
      <c r="BF1002" s="27"/>
      <c r="BG1002" s="27"/>
      <c r="BH1002" s="27"/>
      <c r="BI1002" s="139"/>
    </row>
    <row r="1003" spans="2:61" ht="20.100000000000001" customHeight="1" x14ac:dyDescent="0.45">
      <c r="B1003" s="133"/>
      <c r="C1003" s="27"/>
      <c r="D1003" s="27"/>
      <c r="E1003" s="27"/>
      <c r="F1003" s="27"/>
      <c r="G1003" s="134"/>
      <c r="H1003" s="135"/>
      <c r="I1003" s="27"/>
      <c r="J1003" s="144" t="s">
        <v>506</v>
      </c>
      <c r="K1003" s="145"/>
      <c r="L1003" s="145"/>
      <c r="M1003" s="145"/>
      <c r="N1003" s="145"/>
      <c r="O1003" s="145"/>
      <c r="P1003" s="145"/>
      <c r="Q1003" s="156"/>
      <c r="R1003" s="145" t="s">
        <v>507</v>
      </c>
      <c r="S1003" s="145"/>
      <c r="T1003" s="145"/>
      <c r="U1003" s="145"/>
      <c r="V1003" s="145"/>
      <c r="W1003" s="145"/>
      <c r="X1003" s="145"/>
      <c r="Y1003" s="145"/>
      <c r="Z1003" s="145"/>
      <c r="AA1003" s="145"/>
      <c r="AB1003" s="145"/>
      <c r="AC1003" s="145"/>
      <c r="AD1003" s="145"/>
      <c r="AE1003" s="145"/>
      <c r="AF1003" s="145"/>
      <c r="AG1003" s="145"/>
      <c r="AH1003" s="145"/>
      <c r="AI1003" s="145"/>
      <c r="AJ1003" s="156"/>
      <c r="AK1003" s="138"/>
      <c r="AL1003" s="27"/>
      <c r="AM1003" s="27"/>
      <c r="AN1003" s="27"/>
      <c r="AO1003" s="27"/>
      <c r="AP1003" s="27"/>
      <c r="AQ1003" s="148"/>
      <c r="AR1003" s="148"/>
      <c r="AS1003" s="27"/>
      <c r="AT1003" s="27"/>
      <c r="AU1003" s="27"/>
      <c r="AV1003" s="27"/>
      <c r="AW1003" s="27"/>
      <c r="AX1003" s="27"/>
      <c r="AY1003" s="27"/>
      <c r="AZ1003" s="27"/>
      <c r="BA1003" s="27"/>
      <c r="BB1003" s="27"/>
      <c r="BC1003" s="27"/>
      <c r="BD1003" s="27"/>
      <c r="BE1003" s="27"/>
      <c r="BF1003" s="27"/>
      <c r="BG1003" s="27"/>
      <c r="BH1003" s="27"/>
      <c r="BI1003" s="139"/>
    </row>
    <row r="1004" spans="2:61" ht="20.100000000000001" customHeight="1" x14ac:dyDescent="0.45">
      <c r="B1004" s="133"/>
      <c r="C1004" s="27"/>
      <c r="D1004" s="27"/>
      <c r="E1004" s="27"/>
      <c r="F1004" s="27"/>
      <c r="G1004" s="134"/>
      <c r="H1004" s="135"/>
      <c r="I1004" s="27"/>
      <c r="J1004" s="144" t="s">
        <v>508</v>
      </c>
      <c r="K1004" s="145"/>
      <c r="L1004" s="145"/>
      <c r="M1004" s="145"/>
      <c r="N1004" s="145"/>
      <c r="O1004" s="145"/>
      <c r="P1004" s="145"/>
      <c r="Q1004" s="156"/>
      <c r="R1004" s="145" t="s">
        <v>509</v>
      </c>
      <c r="S1004" s="145"/>
      <c r="T1004" s="145"/>
      <c r="U1004" s="145"/>
      <c r="V1004" s="145"/>
      <c r="W1004" s="145"/>
      <c r="X1004" s="145"/>
      <c r="Y1004" s="145"/>
      <c r="Z1004" s="145"/>
      <c r="AA1004" s="145"/>
      <c r="AB1004" s="145"/>
      <c r="AC1004" s="145"/>
      <c r="AD1004" s="145"/>
      <c r="AE1004" s="145"/>
      <c r="AF1004" s="145"/>
      <c r="AG1004" s="145"/>
      <c r="AH1004" s="145"/>
      <c r="AI1004" s="145"/>
      <c r="AJ1004" s="156"/>
      <c r="AK1004" s="138"/>
      <c r="AL1004" s="27"/>
      <c r="AM1004" s="27"/>
      <c r="AN1004" s="27"/>
      <c r="AO1004" s="27"/>
      <c r="AP1004" s="27"/>
      <c r="AQ1004" s="148"/>
      <c r="AR1004" s="148"/>
      <c r="AS1004" s="27"/>
      <c r="AT1004" s="27"/>
      <c r="AU1004" s="27"/>
      <c r="AV1004" s="27"/>
      <c r="AW1004" s="27"/>
      <c r="AX1004" s="27"/>
      <c r="AY1004" s="27"/>
      <c r="AZ1004" s="27"/>
      <c r="BA1004" s="27"/>
      <c r="BB1004" s="27"/>
      <c r="BC1004" s="27"/>
      <c r="BD1004" s="27"/>
      <c r="BE1004" s="27"/>
      <c r="BF1004" s="27"/>
      <c r="BG1004" s="27"/>
      <c r="BH1004" s="27"/>
      <c r="BI1004" s="139"/>
    </row>
    <row r="1005" spans="2:61" ht="20.100000000000001" customHeight="1" x14ac:dyDescent="0.45">
      <c r="B1005" s="133"/>
      <c r="C1005" s="27"/>
      <c r="D1005" s="27"/>
      <c r="E1005" s="27"/>
      <c r="F1005" s="27"/>
      <c r="G1005" s="134"/>
      <c r="H1005" s="135"/>
      <c r="I1005" s="27"/>
      <c r="J1005" s="144" t="s">
        <v>510</v>
      </c>
      <c r="K1005" s="145"/>
      <c r="L1005" s="145"/>
      <c r="M1005" s="145"/>
      <c r="N1005" s="145"/>
      <c r="O1005" s="145"/>
      <c r="P1005" s="145"/>
      <c r="Q1005" s="156"/>
      <c r="R1005" s="145" t="s">
        <v>511</v>
      </c>
      <c r="S1005" s="145"/>
      <c r="T1005" s="145"/>
      <c r="U1005" s="145"/>
      <c r="V1005" s="145"/>
      <c r="W1005" s="145"/>
      <c r="X1005" s="145"/>
      <c r="Y1005" s="145"/>
      <c r="Z1005" s="145"/>
      <c r="AA1005" s="145"/>
      <c r="AB1005" s="145"/>
      <c r="AC1005" s="145"/>
      <c r="AD1005" s="145"/>
      <c r="AE1005" s="145"/>
      <c r="AF1005" s="145"/>
      <c r="AG1005" s="145"/>
      <c r="AH1005" s="145"/>
      <c r="AI1005" s="145"/>
      <c r="AJ1005" s="156"/>
      <c r="AK1005" s="138"/>
      <c r="AL1005" s="27"/>
      <c r="AM1005" s="27"/>
      <c r="AN1005" s="27"/>
      <c r="AO1005" s="27"/>
      <c r="AP1005" s="27"/>
      <c r="AQ1005" s="148"/>
      <c r="AR1005" s="148"/>
      <c r="AS1005" s="27"/>
      <c r="AT1005" s="27"/>
      <c r="AU1005" s="27"/>
      <c r="AV1005" s="27"/>
      <c r="AW1005" s="27"/>
      <c r="AX1005" s="27"/>
      <c r="AY1005" s="27"/>
      <c r="AZ1005" s="27"/>
      <c r="BA1005" s="27"/>
      <c r="BB1005" s="27"/>
      <c r="BC1005" s="27"/>
      <c r="BD1005" s="27"/>
      <c r="BE1005" s="27"/>
      <c r="BF1005" s="27"/>
      <c r="BG1005" s="27"/>
      <c r="BH1005" s="27"/>
      <c r="BI1005" s="139"/>
    </row>
    <row r="1006" spans="2:61" ht="20.100000000000001" customHeight="1" x14ac:dyDescent="0.45">
      <c r="B1006" s="133"/>
      <c r="C1006" s="27"/>
      <c r="D1006" s="27"/>
      <c r="E1006" s="27"/>
      <c r="F1006" s="27"/>
      <c r="G1006" s="134"/>
      <c r="H1006" s="135"/>
      <c r="I1006" s="27"/>
      <c r="J1006" s="144" t="s">
        <v>512</v>
      </c>
      <c r="K1006" s="145"/>
      <c r="L1006" s="145"/>
      <c r="M1006" s="145"/>
      <c r="N1006" s="145"/>
      <c r="O1006" s="145"/>
      <c r="P1006" s="145"/>
      <c r="Q1006" s="156"/>
      <c r="R1006" s="145" t="s">
        <v>513</v>
      </c>
      <c r="S1006" s="145"/>
      <c r="T1006" s="145"/>
      <c r="U1006" s="145"/>
      <c r="V1006" s="145"/>
      <c r="W1006" s="145"/>
      <c r="X1006" s="145"/>
      <c r="Y1006" s="145"/>
      <c r="Z1006" s="145"/>
      <c r="AA1006" s="145"/>
      <c r="AB1006" s="145"/>
      <c r="AC1006" s="145"/>
      <c r="AD1006" s="145"/>
      <c r="AE1006" s="145"/>
      <c r="AF1006" s="145"/>
      <c r="AG1006" s="145"/>
      <c r="AH1006" s="145"/>
      <c r="AI1006" s="145"/>
      <c r="AJ1006" s="156"/>
      <c r="AK1006" s="138"/>
      <c r="AL1006" s="27"/>
      <c r="AM1006" s="27"/>
      <c r="AN1006" s="27"/>
      <c r="AO1006" s="27"/>
      <c r="AP1006" s="27"/>
      <c r="AQ1006" s="148"/>
      <c r="AR1006" s="148"/>
      <c r="AS1006" s="27"/>
      <c r="AT1006" s="27"/>
      <c r="AU1006" s="27"/>
      <c r="AV1006" s="27"/>
      <c r="AW1006" s="27"/>
      <c r="AX1006" s="27"/>
      <c r="AY1006" s="27"/>
      <c r="AZ1006" s="27"/>
      <c r="BA1006" s="27"/>
      <c r="BB1006" s="27"/>
      <c r="BC1006" s="27"/>
      <c r="BD1006" s="27"/>
      <c r="BE1006" s="27"/>
      <c r="BF1006" s="27"/>
      <c r="BG1006" s="27"/>
      <c r="BH1006" s="27"/>
      <c r="BI1006" s="139"/>
    </row>
    <row r="1007" spans="2:61" ht="20.100000000000001" customHeight="1" x14ac:dyDescent="0.45">
      <c r="B1007" s="133"/>
      <c r="C1007" s="27"/>
      <c r="D1007" s="27"/>
      <c r="E1007" s="27"/>
      <c r="F1007" s="27"/>
      <c r="G1007" s="134"/>
      <c r="H1007" s="135"/>
      <c r="I1007" s="27"/>
      <c r="J1007" s="144" t="s">
        <v>514</v>
      </c>
      <c r="K1007" s="145"/>
      <c r="L1007" s="145"/>
      <c r="M1007" s="145"/>
      <c r="N1007" s="145"/>
      <c r="O1007" s="145"/>
      <c r="P1007" s="145"/>
      <c r="Q1007" s="156"/>
      <c r="R1007" s="145" t="s">
        <v>515</v>
      </c>
      <c r="S1007" s="145"/>
      <c r="T1007" s="145"/>
      <c r="U1007" s="145"/>
      <c r="V1007" s="145"/>
      <c r="W1007" s="145"/>
      <c r="X1007" s="145"/>
      <c r="Y1007" s="145"/>
      <c r="Z1007" s="145"/>
      <c r="AA1007" s="145"/>
      <c r="AB1007" s="145"/>
      <c r="AC1007" s="145"/>
      <c r="AD1007" s="145"/>
      <c r="AE1007" s="145"/>
      <c r="AF1007" s="145"/>
      <c r="AG1007" s="145"/>
      <c r="AH1007" s="145"/>
      <c r="AI1007" s="145"/>
      <c r="AJ1007" s="156"/>
      <c r="AK1007" s="138"/>
      <c r="AL1007" s="27"/>
      <c r="AM1007" s="27"/>
      <c r="AN1007" s="27"/>
      <c r="AO1007" s="27"/>
      <c r="AP1007" s="27"/>
      <c r="AQ1007" s="148"/>
      <c r="AR1007" s="148"/>
      <c r="AS1007" s="27"/>
      <c r="AT1007" s="27"/>
      <c r="AU1007" s="27"/>
      <c r="AV1007" s="27"/>
      <c r="AW1007" s="27"/>
      <c r="AX1007" s="27"/>
      <c r="AY1007" s="27"/>
      <c r="AZ1007" s="27"/>
      <c r="BA1007" s="27"/>
      <c r="BB1007" s="27"/>
      <c r="BC1007" s="27"/>
      <c r="BD1007" s="27"/>
      <c r="BE1007" s="27"/>
      <c r="BF1007" s="27"/>
      <c r="BG1007" s="27"/>
      <c r="BH1007" s="27"/>
      <c r="BI1007" s="139"/>
    </row>
    <row r="1008" spans="2:61" ht="20.100000000000001" customHeight="1" x14ac:dyDescent="0.45">
      <c r="B1008" s="133"/>
      <c r="C1008" s="27"/>
      <c r="D1008" s="27"/>
      <c r="E1008" s="27"/>
      <c r="F1008" s="27"/>
      <c r="G1008" s="134"/>
      <c r="H1008" s="135"/>
      <c r="I1008" s="27"/>
      <c r="J1008" s="144" t="s">
        <v>516</v>
      </c>
      <c r="K1008" s="145"/>
      <c r="L1008" s="145"/>
      <c r="M1008" s="145"/>
      <c r="N1008" s="145"/>
      <c r="O1008" s="145"/>
      <c r="P1008" s="145"/>
      <c r="Q1008" s="156"/>
      <c r="R1008" s="145" t="s">
        <v>517</v>
      </c>
      <c r="S1008" s="145"/>
      <c r="T1008" s="145"/>
      <c r="U1008" s="145"/>
      <c r="V1008" s="145"/>
      <c r="W1008" s="145"/>
      <c r="X1008" s="145"/>
      <c r="Y1008" s="145"/>
      <c r="Z1008" s="145"/>
      <c r="AA1008" s="145"/>
      <c r="AB1008" s="145"/>
      <c r="AC1008" s="145"/>
      <c r="AD1008" s="145"/>
      <c r="AE1008" s="145"/>
      <c r="AF1008" s="145"/>
      <c r="AG1008" s="145"/>
      <c r="AH1008" s="145"/>
      <c r="AI1008" s="145"/>
      <c r="AJ1008" s="156"/>
      <c r="AK1008" s="138"/>
      <c r="AL1008" s="27"/>
      <c r="AM1008" s="27"/>
      <c r="AN1008" s="27"/>
      <c r="AO1008" s="27"/>
      <c r="AP1008" s="27"/>
      <c r="AQ1008" s="148"/>
      <c r="AR1008" s="148"/>
      <c r="AS1008" s="27"/>
      <c r="AT1008" s="27"/>
      <c r="AU1008" s="27"/>
      <c r="AV1008" s="27"/>
      <c r="AW1008" s="27"/>
      <c r="AX1008" s="27"/>
      <c r="AY1008" s="27"/>
      <c r="AZ1008" s="27"/>
      <c r="BA1008" s="27"/>
      <c r="BB1008" s="27"/>
      <c r="BC1008" s="27"/>
      <c r="BD1008" s="27"/>
      <c r="BE1008" s="27"/>
      <c r="BF1008" s="27"/>
      <c r="BG1008" s="27"/>
      <c r="BH1008" s="27"/>
      <c r="BI1008" s="139"/>
    </row>
    <row r="1009" spans="2:61" ht="20.100000000000001" customHeight="1" x14ac:dyDescent="0.45">
      <c r="B1009" s="133"/>
      <c r="C1009" s="27"/>
      <c r="D1009" s="27"/>
      <c r="E1009" s="27"/>
      <c r="F1009" s="27"/>
      <c r="G1009" s="134"/>
      <c r="H1009" s="135"/>
      <c r="I1009" s="27"/>
      <c r="J1009" s="144" t="s">
        <v>518</v>
      </c>
      <c r="K1009" s="145"/>
      <c r="L1009" s="145"/>
      <c r="M1009" s="145"/>
      <c r="N1009" s="145"/>
      <c r="O1009" s="145"/>
      <c r="P1009" s="145"/>
      <c r="Q1009" s="156"/>
      <c r="R1009" s="145" t="s">
        <v>519</v>
      </c>
      <c r="S1009" s="145"/>
      <c r="T1009" s="145"/>
      <c r="U1009" s="145"/>
      <c r="V1009" s="145"/>
      <c r="W1009" s="145"/>
      <c r="X1009" s="145"/>
      <c r="Y1009" s="145"/>
      <c r="Z1009" s="145"/>
      <c r="AA1009" s="145"/>
      <c r="AB1009" s="145"/>
      <c r="AC1009" s="145"/>
      <c r="AD1009" s="145"/>
      <c r="AE1009" s="145"/>
      <c r="AF1009" s="145"/>
      <c r="AG1009" s="145"/>
      <c r="AH1009" s="145"/>
      <c r="AI1009" s="145"/>
      <c r="AJ1009" s="156"/>
      <c r="AK1009" s="138"/>
      <c r="AL1009" s="27"/>
      <c r="AM1009" s="27"/>
      <c r="AN1009" s="27"/>
      <c r="AO1009" s="27"/>
      <c r="AP1009" s="27"/>
      <c r="AQ1009" s="148"/>
      <c r="AR1009" s="148"/>
      <c r="AS1009" s="27"/>
      <c r="AT1009" s="27"/>
      <c r="AU1009" s="27"/>
      <c r="AV1009" s="27"/>
      <c r="AW1009" s="27"/>
      <c r="AX1009" s="27"/>
      <c r="AY1009" s="27"/>
      <c r="AZ1009" s="27"/>
      <c r="BA1009" s="27"/>
      <c r="BB1009" s="27"/>
      <c r="BC1009" s="27"/>
      <c r="BD1009" s="27"/>
      <c r="BE1009" s="27"/>
      <c r="BF1009" s="27"/>
      <c r="BG1009" s="27"/>
      <c r="BH1009" s="27"/>
      <c r="BI1009" s="139"/>
    </row>
    <row r="1010" spans="2:61" ht="20.100000000000001" customHeight="1" x14ac:dyDescent="0.45">
      <c r="B1010" s="133"/>
      <c r="C1010" s="27"/>
      <c r="D1010" s="27"/>
      <c r="E1010" s="27"/>
      <c r="F1010" s="27"/>
      <c r="G1010" s="134"/>
      <c r="H1010" s="135"/>
      <c r="I1010" s="27"/>
      <c r="J1010" s="144" t="s">
        <v>520</v>
      </c>
      <c r="K1010" s="145"/>
      <c r="L1010" s="145"/>
      <c r="M1010" s="145"/>
      <c r="N1010" s="145"/>
      <c r="O1010" s="145"/>
      <c r="P1010" s="145"/>
      <c r="Q1010" s="156"/>
      <c r="R1010" s="145" t="s">
        <v>521</v>
      </c>
      <c r="S1010" s="145"/>
      <c r="T1010" s="145"/>
      <c r="U1010" s="145"/>
      <c r="V1010" s="145"/>
      <c r="W1010" s="145"/>
      <c r="X1010" s="145"/>
      <c r="Y1010" s="145"/>
      <c r="Z1010" s="145"/>
      <c r="AA1010" s="145"/>
      <c r="AB1010" s="145"/>
      <c r="AC1010" s="145"/>
      <c r="AD1010" s="145"/>
      <c r="AE1010" s="145"/>
      <c r="AF1010" s="145"/>
      <c r="AG1010" s="145"/>
      <c r="AH1010" s="145"/>
      <c r="AI1010" s="145"/>
      <c r="AJ1010" s="156"/>
      <c r="AK1010" s="138"/>
      <c r="AL1010" s="27"/>
      <c r="AM1010" s="27"/>
      <c r="AN1010" s="27"/>
      <c r="AO1010" s="27"/>
      <c r="AP1010" s="27"/>
      <c r="AQ1010" s="148"/>
      <c r="AR1010" s="148"/>
      <c r="AS1010" s="27"/>
      <c r="AT1010" s="27"/>
      <c r="AU1010" s="27"/>
      <c r="AV1010" s="27"/>
      <c r="AW1010" s="27"/>
      <c r="AX1010" s="27"/>
      <c r="AY1010" s="27"/>
      <c r="AZ1010" s="27"/>
      <c r="BA1010" s="27"/>
      <c r="BB1010" s="27"/>
      <c r="BC1010" s="27"/>
      <c r="BD1010" s="27"/>
      <c r="BE1010" s="27"/>
      <c r="BF1010" s="27"/>
      <c r="BG1010" s="27"/>
      <c r="BH1010" s="27"/>
      <c r="BI1010" s="139"/>
    </row>
    <row r="1011" spans="2:61" ht="20.100000000000001" customHeight="1" x14ac:dyDescent="0.45">
      <c r="B1011" s="133"/>
      <c r="C1011" s="27"/>
      <c r="D1011" s="27"/>
      <c r="E1011" s="27"/>
      <c r="F1011" s="27"/>
      <c r="G1011" s="134"/>
      <c r="H1011" s="135"/>
      <c r="I1011" s="27"/>
      <c r="J1011" s="144" t="s">
        <v>522</v>
      </c>
      <c r="K1011" s="145"/>
      <c r="L1011" s="145"/>
      <c r="M1011" s="145"/>
      <c r="N1011" s="145"/>
      <c r="O1011" s="145"/>
      <c r="P1011" s="145"/>
      <c r="Q1011" s="156"/>
      <c r="R1011" s="145" t="s">
        <v>523</v>
      </c>
      <c r="S1011" s="145"/>
      <c r="T1011" s="145"/>
      <c r="U1011" s="145"/>
      <c r="V1011" s="145"/>
      <c r="W1011" s="145"/>
      <c r="X1011" s="145"/>
      <c r="Y1011" s="145"/>
      <c r="Z1011" s="145"/>
      <c r="AA1011" s="145"/>
      <c r="AB1011" s="145"/>
      <c r="AC1011" s="145"/>
      <c r="AD1011" s="145"/>
      <c r="AE1011" s="145"/>
      <c r="AF1011" s="145"/>
      <c r="AG1011" s="145"/>
      <c r="AH1011" s="145"/>
      <c r="AI1011" s="145"/>
      <c r="AJ1011" s="156"/>
      <c r="AK1011" s="138"/>
      <c r="AL1011" s="27"/>
      <c r="AM1011" s="27"/>
      <c r="AN1011" s="27"/>
      <c r="AO1011" s="27"/>
      <c r="AP1011" s="27"/>
      <c r="AQ1011" s="148"/>
      <c r="AR1011" s="148"/>
      <c r="AS1011" s="27"/>
      <c r="AT1011" s="27"/>
      <c r="AU1011" s="27"/>
      <c r="AV1011" s="27"/>
      <c r="AW1011" s="27"/>
      <c r="AX1011" s="27"/>
      <c r="AY1011" s="27"/>
      <c r="AZ1011" s="27"/>
      <c r="BA1011" s="27"/>
      <c r="BB1011" s="27"/>
      <c r="BC1011" s="27"/>
      <c r="BD1011" s="27"/>
      <c r="BE1011" s="27"/>
      <c r="BF1011" s="27"/>
      <c r="BG1011" s="27"/>
      <c r="BH1011" s="27"/>
      <c r="BI1011" s="139"/>
    </row>
    <row r="1012" spans="2:61" ht="20.100000000000001" customHeight="1" x14ac:dyDescent="0.45">
      <c r="B1012" s="133"/>
      <c r="C1012" s="27"/>
      <c r="D1012" s="27"/>
      <c r="E1012" s="27"/>
      <c r="F1012" s="27"/>
      <c r="G1012" s="134"/>
      <c r="H1012" s="135"/>
      <c r="I1012" s="27"/>
      <c r="J1012" s="144" t="s">
        <v>524</v>
      </c>
      <c r="K1012" s="145"/>
      <c r="L1012" s="145"/>
      <c r="M1012" s="145"/>
      <c r="N1012" s="145"/>
      <c r="O1012" s="145"/>
      <c r="P1012" s="145"/>
      <c r="Q1012" s="156"/>
      <c r="R1012" s="145" t="s">
        <v>525</v>
      </c>
      <c r="S1012" s="145"/>
      <c r="T1012" s="145"/>
      <c r="U1012" s="145"/>
      <c r="V1012" s="145"/>
      <c r="W1012" s="145"/>
      <c r="X1012" s="145"/>
      <c r="Y1012" s="145"/>
      <c r="Z1012" s="145"/>
      <c r="AA1012" s="145"/>
      <c r="AB1012" s="145"/>
      <c r="AC1012" s="145"/>
      <c r="AD1012" s="145"/>
      <c r="AE1012" s="145"/>
      <c r="AF1012" s="145"/>
      <c r="AG1012" s="145"/>
      <c r="AH1012" s="145"/>
      <c r="AI1012" s="145"/>
      <c r="AJ1012" s="156"/>
      <c r="AK1012" s="138"/>
      <c r="AL1012" s="27"/>
      <c r="AM1012" s="27"/>
      <c r="AN1012" s="27"/>
      <c r="AO1012" s="27"/>
      <c r="AP1012" s="27"/>
      <c r="AQ1012" s="148"/>
      <c r="AR1012" s="148"/>
      <c r="AS1012" s="27"/>
      <c r="AT1012" s="27"/>
      <c r="AU1012" s="27"/>
      <c r="AV1012" s="27"/>
      <c r="AW1012" s="27"/>
      <c r="AX1012" s="27"/>
      <c r="AY1012" s="27"/>
      <c r="AZ1012" s="27"/>
      <c r="BA1012" s="27"/>
      <c r="BB1012" s="27"/>
      <c r="BC1012" s="27"/>
      <c r="BD1012" s="27"/>
      <c r="BE1012" s="27"/>
      <c r="BF1012" s="27"/>
      <c r="BG1012" s="27"/>
      <c r="BH1012" s="27"/>
      <c r="BI1012" s="139"/>
    </row>
    <row r="1013" spans="2:61" ht="20.100000000000001" customHeight="1" x14ac:dyDescent="0.45">
      <c r="B1013" s="133"/>
      <c r="C1013" s="27"/>
      <c r="D1013" s="27"/>
      <c r="E1013" s="27"/>
      <c r="F1013" s="27"/>
      <c r="G1013" s="134"/>
      <c r="H1013" s="135"/>
      <c r="I1013" s="27"/>
      <c r="J1013" s="144" t="s">
        <v>526</v>
      </c>
      <c r="K1013" s="145"/>
      <c r="L1013" s="145"/>
      <c r="M1013" s="145"/>
      <c r="N1013" s="145"/>
      <c r="O1013" s="145"/>
      <c r="P1013" s="145"/>
      <c r="Q1013" s="156"/>
      <c r="R1013" s="145" t="s">
        <v>527</v>
      </c>
      <c r="S1013" s="145"/>
      <c r="T1013" s="145"/>
      <c r="U1013" s="145"/>
      <c r="V1013" s="145"/>
      <c r="W1013" s="145"/>
      <c r="X1013" s="145"/>
      <c r="Y1013" s="145"/>
      <c r="Z1013" s="145"/>
      <c r="AA1013" s="145"/>
      <c r="AB1013" s="145"/>
      <c r="AC1013" s="145"/>
      <c r="AD1013" s="145"/>
      <c r="AE1013" s="145"/>
      <c r="AF1013" s="145"/>
      <c r="AG1013" s="145"/>
      <c r="AH1013" s="145"/>
      <c r="AI1013" s="145"/>
      <c r="AJ1013" s="156"/>
      <c r="AK1013" s="138"/>
      <c r="AL1013" s="27"/>
      <c r="AM1013" s="27"/>
      <c r="AN1013" s="27"/>
      <c r="AO1013" s="27"/>
      <c r="AP1013" s="27"/>
      <c r="AQ1013" s="148"/>
      <c r="AR1013" s="148"/>
      <c r="AS1013" s="27"/>
      <c r="AT1013" s="27"/>
      <c r="AU1013" s="27"/>
      <c r="AV1013" s="27"/>
      <c r="AW1013" s="27"/>
      <c r="AX1013" s="27"/>
      <c r="AY1013" s="27"/>
      <c r="AZ1013" s="27"/>
      <c r="BA1013" s="27"/>
      <c r="BB1013" s="27"/>
      <c r="BC1013" s="27"/>
      <c r="BD1013" s="27"/>
      <c r="BE1013" s="27"/>
      <c r="BF1013" s="27"/>
      <c r="BG1013" s="27"/>
      <c r="BH1013" s="27"/>
      <c r="BI1013" s="139"/>
    </row>
    <row r="1014" spans="2:61" ht="20.100000000000001" customHeight="1" x14ac:dyDescent="0.45">
      <c r="B1014" s="133"/>
      <c r="C1014" s="27"/>
      <c r="D1014" s="27"/>
      <c r="E1014" s="27"/>
      <c r="F1014" s="27"/>
      <c r="G1014" s="134"/>
      <c r="H1014" s="135"/>
      <c r="I1014" s="27"/>
      <c r="J1014" s="144" t="s">
        <v>528</v>
      </c>
      <c r="K1014" s="145"/>
      <c r="L1014" s="145"/>
      <c r="M1014" s="145"/>
      <c r="N1014" s="145"/>
      <c r="O1014" s="145"/>
      <c r="P1014" s="145"/>
      <c r="Q1014" s="156"/>
      <c r="R1014" s="159" t="s">
        <v>529</v>
      </c>
      <c r="S1014" s="145"/>
      <c r="T1014" s="145"/>
      <c r="U1014" s="145"/>
      <c r="V1014" s="145"/>
      <c r="W1014" s="145"/>
      <c r="X1014" s="145"/>
      <c r="Y1014" s="145"/>
      <c r="Z1014" s="145"/>
      <c r="AA1014" s="145"/>
      <c r="AB1014" s="145"/>
      <c r="AC1014" s="145"/>
      <c r="AD1014" s="145"/>
      <c r="AE1014" s="145"/>
      <c r="AF1014" s="145"/>
      <c r="AG1014" s="145"/>
      <c r="AH1014" s="145"/>
      <c r="AI1014" s="145"/>
      <c r="AJ1014" s="156"/>
      <c r="AK1014" s="138"/>
      <c r="AL1014" s="27"/>
      <c r="AM1014" s="27"/>
      <c r="AN1014" s="27"/>
      <c r="AO1014" s="27"/>
      <c r="AP1014" s="27"/>
      <c r="AQ1014" s="148"/>
      <c r="AR1014" s="148"/>
      <c r="AS1014" s="27"/>
      <c r="AT1014" s="27"/>
      <c r="AU1014" s="27"/>
      <c r="AV1014" s="27"/>
      <c r="AW1014" s="27"/>
      <c r="AX1014" s="27"/>
      <c r="AY1014" s="27"/>
      <c r="AZ1014" s="27"/>
      <c r="BA1014" s="27"/>
      <c r="BB1014" s="27"/>
      <c r="BC1014" s="27"/>
      <c r="BD1014" s="27"/>
      <c r="BE1014" s="27"/>
      <c r="BF1014" s="27"/>
      <c r="BG1014" s="27"/>
      <c r="BH1014" s="27"/>
      <c r="BI1014" s="139"/>
    </row>
    <row r="1015" spans="2:61" ht="20.100000000000001" customHeight="1" x14ac:dyDescent="0.45">
      <c r="B1015" s="133"/>
      <c r="C1015" s="27"/>
      <c r="D1015" s="27"/>
      <c r="E1015" s="27"/>
      <c r="F1015" s="27"/>
      <c r="G1015" s="134"/>
      <c r="H1015" s="135"/>
      <c r="I1015" s="27"/>
      <c r="J1015" s="144" t="s">
        <v>530</v>
      </c>
      <c r="K1015" s="145"/>
      <c r="L1015" s="145"/>
      <c r="M1015" s="145"/>
      <c r="N1015" s="145"/>
      <c r="O1015" s="145"/>
      <c r="P1015" s="145"/>
      <c r="Q1015" s="156"/>
      <c r="R1015" s="159" t="s">
        <v>531</v>
      </c>
      <c r="S1015" s="145"/>
      <c r="T1015" s="145"/>
      <c r="U1015" s="145"/>
      <c r="V1015" s="145"/>
      <c r="W1015" s="145"/>
      <c r="X1015" s="145"/>
      <c r="Y1015" s="145"/>
      <c r="Z1015" s="145"/>
      <c r="AA1015" s="145"/>
      <c r="AB1015" s="145"/>
      <c r="AC1015" s="145"/>
      <c r="AD1015" s="145"/>
      <c r="AE1015" s="145"/>
      <c r="AF1015" s="145"/>
      <c r="AG1015" s="145"/>
      <c r="AH1015" s="145"/>
      <c r="AI1015" s="145"/>
      <c r="AJ1015" s="156"/>
      <c r="AK1015" s="138"/>
      <c r="AL1015" s="27"/>
      <c r="AM1015" s="27"/>
      <c r="AN1015" s="27"/>
      <c r="AO1015" s="27"/>
      <c r="AP1015" s="27"/>
      <c r="AQ1015" s="148"/>
      <c r="AR1015" s="148"/>
      <c r="AS1015" s="27"/>
      <c r="AT1015" s="27"/>
      <c r="AU1015" s="27"/>
      <c r="AV1015" s="27"/>
      <c r="AW1015" s="27"/>
      <c r="AX1015" s="27"/>
      <c r="AY1015" s="27"/>
      <c r="AZ1015" s="27"/>
      <c r="BA1015" s="27"/>
      <c r="BB1015" s="27"/>
      <c r="BC1015" s="27"/>
      <c r="BD1015" s="27"/>
      <c r="BE1015" s="27"/>
      <c r="BF1015" s="27"/>
      <c r="BG1015" s="27"/>
      <c r="BH1015" s="27"/>
      <c r="BI1015" s="139"/>
    </row>
    <row r="1016" spans="2:61" ht="20.100000000000001" customHeight="1" x14ac:dyDescent="0.45">
      <c r="B1016" s="133"/>
      <c r="C1016" s="27"/>
      <c r="D1016" s="27"/>
      <c r="E1016" s="27"/>
      <c r="F1016" s="27"/>
      <c r="G1016" s="134"/>
      <c r="H1016" s="135"/>
      <c r="I1016" s="27"/>
      <c r="J1016" s="144" t="s">
        <v>532</v>
      </c>
      <c r="K1016" s="145"/>
      <c r="L1016" s="145"/>
      <c r="M1016" s="145"/>
      <c r="N1016" s="145"/>
      <c r="O1016" s="145"/>
      <c r="P1016" s="145"/>
      <c r="Q1016" s="156"/>
      <c r="R1016" s="145" t="s">
        <v>533</v>
      </c>
      <c r="S1016" s="145"/>
      <c r="T1016" s="145"/>
      <c r="U1016" s="145"/>
      <c r="V1016" s="145"/>
      <c r="W1016" s="145"/>
      <c r="X1016" s="145"/>
      <c r="Y1016" s="145"/>
      <c r="Z1016" s="145"/>
      <c r="AA1016" s="145"/>
      <c r="AB1016" s="145"/>
      <c r="AC1016" s="145"/>
      <c r="AD1016" s="145"/>
      <c r="AE1016" s="145"/>
      <c r="AF1016" s="145"/>
      <c r="AG1016" s="145"/>
      <c r="AH1016" s="145"/>
      <c r="AI1016" s="145"/>
      <c r="AJ1016" s="156"/>
      <c r="AK1016" s="138"/>
      <c r="AL1016" s="27"/>
      <c r="AM1016" s="27"/>
      <c r="AN1016" s="27"/>
      <c r="AO1016" s="27"/>
      <c r="AP1016" s="27"/>
      <c r="AQ1016" s="148"/>
      <c r="AR1016" s="148"/>
      <c r="AS1016" s="27"/>
      <c r="AT1016" s="27"/>
      <c r="AU1016" s="27"/>
      <c r="AV1016" s="27"/>
      <c r="AW1016" s="27"/>
      <c r="AX1016" s="27"/>
      <c r="AY1016" s="27"/>
      <c r="AZ1016" s="27"/>
      <c r="BA1016" s="27"/>
      <c r="BB1016" s="27"/>
      <c r="BC1016" s="27"/>
      <c r="BD1016" s="27"/>
      <c r="BE1016" s="27"/>
      <c r="BF1016" s="27"/>
      <c r="BG1016" s="27"/>
      <c r="BH1016" s="27"/>
      <c r="BI1016" s="139"/>
    </row>
    <row r="1017" spans="2:61" ht="20.100000000000001" customHeight="1" x14ac:dyDescent="0.45">
      <c r="B1017" s="133"/>
      <c r="C1017" s="27"/>
      <c r="D1017" s="27"/>
      <c r="E1017" s="27"/>
      <c r="F1017" s="27"/>
      <c r="G1017" s="134"/>
      <c r="H1017" s="135"/>
      <c r="I1017" s="27"/>
      <c r="J1017" s="144" t="s">
        <v>534</v>
      </c>
      <c r="K1017" s="145"/>
      <c r="L1017" s="145"/>
      <c r="M1017" s="145"/>
      <c r="N1017" s="145"/>
      <c r="O1017" s="145"/>
      <c r="P1017" s="145"/>
      <c r="Q1017" s="156"/>
      <c r="R1017" s="145" t="s">
        <v>535</v>
      </c>
      <c r="S1017" s="145"/>
      <c r="T1017" s="145"/>
      <c r="U1017" s="145"/>
      <c r="V1017" s="145"/>
      <c r="W1017" s="145"/>
      <c r="X1017" s="145"/>
      <c r="Y1017" s="145"/>
      <c r="Z1017" s="145"/>
      <c r="AA1017" s="145"/>
      <c r="AB1017" s="145"/>
      <c r="AC1017" s="145"/>
      <c r="AD1017" s="145"/>
      <c r="AE1017" s="145"/>
      <c r="AF1017" s="145"/>
      <c r="AG1017" s="145"/>
      <c r="AH1017" s="145"/>
      <c r="AI1017" s="145"/>
      <c r="AJ1017" s="156"/>
      <c r="AK1017" s="138"/>
      <c r="AL1017" s="27"/>
      <c r="AM1017" s="27"/>
      <c r="AN1017" s="27"/>
      <c r="AO1017" s="27"/>
      <c r="AP1017" s="27"/>
      <c r="AQ1017" s="148"/>
      <c r="AR1017" s="148"/>
      <c r="AS1017" s="27"/>
      <c r="AT1017" s="27"/>
      <c r="AU1017" s="27"/>
      <c r="AV1017" s="27"/>
      <c r="AW1017" s="27"/>
      <c r="AX1017" s="27"/>
      <c r="AY1017" s="27"/>
      <c r="AZ1017" s="27"/>
      <c r="BA1017" s="27"/>
      <c r="BB1017" s="27"/>
      <c r="BC1017" s="27"/>
      <c r="BD1017" s="27"/>
      <c r="BE1017" s="27"/>
      <c r="BF1017" s="27"/>
      <c r="BG1017" s="27"/>
      <c r="BH1017" s="27"/>
      <c r="BI1017" s="139"/>
    </row>
    <row r="1018" spans="2:61" ht="20.100000000000001" customHeight="1" x14ac:dyDescent="0.45">
      <c r="B1018" s="133"/>
      <c r="C1018" s="27"/>
      <c r="D1018" s="27"/>
      <c r="E1018" s="27"/>
      <c r="F1018" s="27"/>
      <c r="G1018" s="134"/>
      <c r="H1018" s="135"/>
      <c r="I1018" s="27"/>
      <c r="J1018" s="144" t="s">
        <v>536</v>
      </c>
      <c r="K1018" s="145"/>
      <c r="L1018" s="145"/>
      <c r="M1018" s="145"/>
      <c r="N1018" s="145"/>
      <c r="O1018" s="145"/>
      <c r="P1018" s="145"/>
      <c r="Q1018" s="156"/>
      <c r="R1018" s="159" t="s">
        <v>537</v>
      </c>
      <c r="S1018" s="145"/>
      <c r="T1018" s="145"/>
      <c r="U1018" s="145"/>
      <c r="V1018" s="145"/>
      <c r="W1018" s="145"/>
      <c r="X1018" s="145"/>
      <c r="Y1018" s="145"/>
      <c r="Z1018" s="145"/>
      <c r="AA1018" s="145"/>
      <c r="AB1018" s="145"/>
      <c r="AC1018" s="145"/>
      <c r="AD1018" s="145"/>
      <c r="AE1018" s="145"/>
      <c r="AF1018" s="145"/>
      <c r="AG1018" s="145"/>
      <c r="AH1018" s="145"/>
      <c r="AI1018" s="145"/>
      <c r="AJ1018" s="156"/>
      <c r="AK1018" s="138"/>
      <c r="AL1018" s="27"/>
      <c r="AM1018" s="27"/>
      <c r="AN1018" s="27"/>
      <c r="AO1018" s="27"/>
      <c r="AP1018" s="27"/>
      <c r="AQ1018" s="148"/>
      <c r="AR1018" s="148"/>
      <c r="AS1018" s="27"/>
      <c r="AT1018" s="27"/>
      <c r="AU1018" s="27"/>
      <c r="AV1018" s="27"/>
      <c r="AW1018" s="27"/>
      <c r="AX1018" s="27"/>
      <c r="AY1018" s="27"/>
      <c r="AZ1018" s="27"/>
      <c r="BA1018" s="27"/>
      <c r="BB1018" s="27"/>
      <c r="BC1018" s="27"/>
      <c r="BD1018" s="27"/>
      <c r="BE1018" s="27"/>
      <c r="BF1018" s="27"/>
      <c r="BG1018" s="27"/>
      <c r="BH1018" s="27"/>
      <c r="BI1018" s="139"/>
    </row>
    <row r="1019" spans="2:61" ht="20.100000000000001" customHeight="1" x14ac:dyDescent="0.45">
      <c r="B1019" s="133"/>
      <c r="C1019" s="27"/>
      <c r="D1019" s="27"/>
      <c r="E1019" s="27"/>
      <c r="F1019" s="27"/>
      <c r="G1019" s="134"/>
      <c r="H1019" s="135"/>
      <c r="I1019" s="27"/>
      <c r="J1019" s="144" t="s">
        <v>538</v>
      </c>
      <c r="K1019" s="145"/>
      <c r="L1019" s="145"/>
      <c r="M1019" s="145"/>
      <c r="N1019" s="145"/>
      <c r="O1019" s="145"/>
      <c r="P1019" s="145"/>
      <c r="Q1019" s="156"/>
      <c r="R1019" s="159" t="s">
        <v>539</v>
      </c>
      <c r="S1019" s="145"/>
      <c r="T1019" s="145"/>
      <c r="U1019" s="145"/>
      <c r="V1019" s="145"/>
      <c r="W1019" s="145"/>
      <c r="X1019" s="145"/>
      <c r="Y1019" s="145"/>
      <c r="Z1019" s="145"/>
      <c r="AA1019" s="145"/>
      <c r="AB1019" s="145"/>
      <c r="AC1019" s="145"/>
      <c r="AD1019" s="145"/>
      <c r="AE1019" s="145"/>
      <c r="AF1019" s="145"/>
      <c r="AG1019" s="145"/>
      <c r="AH1019" s="145"/>
      <c r="AI1019" s="145"/>
      <c r="AJ1019" s="156"/>
      <c r="AK1019" s="138"/>
      <c r="AL1019" s="27"/>
      <c r="AM1019" s="27"/>
      <c r="AN1019" s="27"/>
      <c r="AO1019" s="27"/>
      <c r="AP1019" s="27"/>
      <c r="AQ1019" s="148"/>
      <c r="AR1019" s="148"/>
      <c r="AS1019" s="27"/>
      <c r="AT1019" s="27"/>
      <c r="AU1019" s="27"/>
      <c r="AV1019" s="27"/>
      <c r="AW1019" s="27"/>
      <c r="AX1019" s="27"/>
      <c r="AY1019" s="27"/>
      <c r="AZ1019" s="27"/>
      <c r="BA1019" s="27"/>
      <c r="BB1019" s="27"/>
      <c r="BC1019" s="27"/>
      <c r="BD1019" s="27"/>
      <c r="BE1019" s="27"/>
      <c r="BF1019" s="27"/>
      <c r="BG1019" s="27"/>
      <c r="BH1019" s="27"/>
      <c r="BI1019" s="139"/>
    </row>
    <row r="1020" spans="2:61" ht="20.100000000000001" customHeight="1" x14ac:dyDescent="0.45">
      <c r="B1020" s="133"/>
      <c r="C1020" s="27"/>
      <c r="D1020" s="27"/>
      <c r="E1020" s="27"/>
      <c r="F1020" s="27"/>
      <c r="G1020" s="134"/>
      <c r="H1020" s="135"/>
      <c r="I1020" s="27"/>
      <c r="J1020" s="144" t="s">
        <v>540</v>
      </c>
      <c r="K1020" s="145"/>
      <c r="L1020" s="145"/>
      <c r="M1020" s="145"/>
      <c r="N1020" s="145"/>
      <c r="O1020" s="145"/>
      <c r="P1020" s="145"/>
      <c r="Q1020" s="156"/>
      <c r="R1020" s="145" t="s">
        <v>541</v>
      </c>
      <c r="S1020" s="145"/>
      <c r="T1020" s="145"/>
      <c r="U1020" s="145"/>
      <c r="V1020" s="145"/>
      <c r="W1020" s="145"/>
      <c r="X1020" s="145"/>
      <c r="Y1020" s="145"/>
      <c r="Z1020" s="145"/>
      <c r="AA1020" s="145"/>
      <c r="AB1020" s="145"/>
      <c r="AC1020" s="145"/>
      <c r="AD1020" s="145"/>
      <c r="AE1020" s="145"/>
      <c r="AF1020" s="145"/>
      <c r="AG1020" s="145"/>
      <c r="AH1020" s="145"/>
      <c r="AI1020" s="145"/>
      <c r="AJ1020" s="156"/>
      <c r="AK1020" s="138"/>
      <c r="AL1020" s="27"/>
      <c r="AM1020" s="27"/>
      <c r="AN1020" s="27"/>
      <c r="AO1020" s="27"/>
      <c r="AP1020" s="27"/>
      <c r="AQ1020" s="148"/>
      <c r="AR1020" s="148"/>
      <c r="AS1020" s="27"/>
      <c r="AT1020" s="27"/>
      <c r="AU1020" s="27"/>
      <c r="AV1020" s="27"/>
      <c r="AW1020" s="27"/>
      <c r="AX1020" s="27"/>
      <c r="AY1020" s="27"/>
      <c r="AZ1020" s="27"/>
      <c r="BA1020" s="27"/>
      <c r="BB1020" s="27"/>
      <c r="BC1020" s="27"/>
      <c r="BD1020" s="27"/>
      <c r="BE1020" s="27"/>
      <c r="BF1020" s="27"/>
      <c r="BG1020" s="27"/>
      <c r="BH1020" s="27"/>
      <c r="BI1020" s="139"/>
    </row>
    <row r="1021" spans="2:61" ht="20.100000000000001" customHeight="1" x14ac:dyDescent="0.45">
      <c r="B1021" s="133"/>
      <c r="C1021" s="27"/>
      <c r="D1021" s="27"/>
      <c r="E1021" s="27"/>
      <c r="F1021" s="27"/>
      <c r="G1021" s="134"/>
      <c r="H1021" s="135"/>
      <c r="I1021" s="27"/>
      <c r="J1021" s="144" t="s">
        <v>542</v>
      </c>
      <c r="K1021" s="145"/>
      <c r="L1021" s="145"/>
      <c r="M1021" s="145"/>
      <c r="N1021" s="145"/>
      <c r="O1021" s="145"/>
      <c r="P1021" s="145"/>
      <c r="Q1021" s="156"/>
      <c r="R1021" s="145" t="s">
        <v>543</v>
      </c>
      <c r="S1021" s="145"/>
      <c r="T1021" s="145"/>
      <c r="U1021" s="145"/>
      <c r="V1021" s="145"/>
      <c r="W1021" s="145"/>
      <c r="X1021" s="145"/>
      <c r="Y1021" s="145"/>
      <c r="Z1021" s="145"/>
      <c r="AA1021" s="145"/>
      <c r="AB1021" s="145"/>
      <c r="AC1021" s="145"/>
      <c r="AD1021" s="145"/>
      <c r="AE1021" s="145"/>
      <c r="AF1021" s="145"/>
      <c r="AG1021" s="145"/>
      <c r="AH1021" s="145"/>
      <c r="AI1021" s="145"/>
      <c r="AJ1021" s="156"/>
      <c r="AK1021" s="138"/>
      <c r="AL1021" s="27"/>
      <c r="AM1021" s="27"/>
      <c r="AN1021" s="27"/>
      <c r="AO1021" s="27"/>
      <c r="AP1021" s="27"/>
      <c r="AQ1021" s="148"/>
      <c r="AR1021" s="148"/>
      <c r="AS1021" s="27"/>
      <c r="AT1021" s="27"/>
      <c r="AU1021" s="27"/>
      <c r="AV1021" s="27"/>
      <c r="AW1021" s="27"/>
      <c r="AX1021" s="27"/>
      <c r="AY1021" s="27"/>
      <c r="AZ1021" s="27"/>
      <c r="BA1021" s="27"/>
      <c r="BB1021" s="27"/>
      <c r="BC1021" s="27"/>
      <c r="BD1021" s="27"/>
      <c r="BE1021" s="27"/>
      <c r="BF1021" s="27"/>
      <c r="BG1021" s="27"/>
      <c r="BH1021" s="27"/>
      <c r="BI1021" s="139"/>
    </row>
    <row r="1022" spans="2:61" ht="20.100000000000001" customHeight="1" x14ac:dyDescent="0.45">
      <c r="B1022" s="133"/>
      <c r="C1022" s="27"/>
      <c r="D1022" s="27"/>
      <c r="E1022" s="27"/>
      <c r="F1022" s="27"/>
      <c r="G1022" s="134"/>
      <c r="H1022" s="135"/>
      <c r="I1022" s="27"/>
      <c r="J1022" s="144" t="s">
        <v>544</v>
      </c>
      <c r="K1022" s="145"/>
      <c r="L1022" s="145"/>
      <c r="M1022" s="145"/>
      <c r="N1022" s="145"/>
      <c r="O1022" s="145"/>
      <c r="P1022" s="145"/>
      <c r="Q1022" s="156"/>
      <c r="R1022" s="145" t="s">
        <v>545</v>
      </c>
      <c r="S1022" s="145"/>
      <c r="T1022" s="145"/>
      <c r="U1022" s="145"/>
      <c r="V1022" s="145"/>
      <c r="W1022" s="145"/>
      <c r="X1022" s="145"/>
      <c r="Y1022" s="145"/>
      <c r="Z1022" s="145"/>
      <c r="AA1022" s="145"/>
      <c r="AB1022" s="145"/>
      <c r="AC1022" s="145"/>
      <c r="AD1022" s="145"/>
      <c r="AE1022" s="145"/>
      <c r="AF1022" s="145"/>
      <c r="AG1022" s="145"/>
      <c r="AH1022" s="145"/>
      <c r="AI1022" s="145"/>
      <c r="AJ1022" s="156"/>
      <c r="AK1022" s="138"/>
      <c r="AL1022" s="27"/>
      <c r="AM1022" s="27"/>
      <c r="AN1022" s="27"/>
      <c r="AO1022" s="27"/>
      <c r="AP1022" s="27"/>
      <c r="AQ1022" s="148"/>
      <c r="AR1022" s="148"/>
      <c r="AS1022" s="27"/>
      <c r="AT1022" s="27"/>
      <c r="AU1022" s="27"/>
      <c r="AV1022" s="27"/>
      <c r="AW1022" s="27"/>
      <c r="AX1022" s="27"/>
      <c r="AY1022" s="27"/>
      <c r="AZ1022" s="27"/>
      <c r="BA1022" s="27"/>
      <c r="BB1022" s="27"/>
      <c r="BC1022" s="27"/>
      <c r="BD1022" s="27"/>
      <c r="BE1022" s="27"/>
      <c r="BF1022" s="27"/>
      <c r="BG1022" s="27"/>
      <c r="BH1022" s="27"/>
      <c r="BI1022" s="139"/>
    </row>
    <row r="1023" spans="2:61" ht="20.100000000000001" customHeight="1" x14ac:dyDescent="0.45">
      <c r="B1023" s="133"/>
      <c r="C1023" s="27"/>
      <c r="D1023" s="27"/>
      <c r="E1023" s="27"/>
      <c r="F1023" s="27"/>
      <c r="G1023" s="134"/>
      <c r="H1023" s="135"/>
      <c r="I1023" s="27"/>
      <c r="J1023" s="144" t="s">
        <v>546</v>
      </c>
      <c r="K1023" s="145"/>
      <c r="L1023" s="145"/>
      <c r="M1023" s="145"/>
      <c r="N1023" s="145"/>
      <c r="O1023" s="145"/>
      <c r="P1023" s="145"/>
      <c r="Q1023" s="156"/>
      <c r="R1023" s="145" t="s">
        <v>547</v>
      </c>
      <c r="S1023" s="145"/>
      <c r="T1023" s="145"/>
      <c r="U1023" s="145"/>
      <c r="V1023" s="145"/>
      <c r="W1023" s="145"/>
      <c r="X1023" s="145"/>
      <c r="Y1023" s="145"/>
      <c r="Z1023" s="145"/>
      <c r="AA1023" s="145"/>
      <c r="AB1023" s="145"/>
      <c r="AC1023" s="145"/>
      <c r="AD1023" s="145"/>
      <c r="AE1023" s="145"/>
      <c r="AF1023" s="145"/>
      <c r="AG1023" s="145"/>
      <c r="AH1023" s="145"/>
      <c r="AI1023" s="145"/>
      <c r="AJ1023" s="156"/>
      <c r="AK1023" s="138"/>
      <c r="AL1023" s="27"/>
      <c r="AM1023" s="27"/>
      <c r="AN1023" s="27"/>
      <c r="AO1023" s="27"/>
      <c r="AP1023" s="27"/>
      <c r="AQ1023" s="148"/>
      <c r="AR1023" s="148"/>
      <c r="AS1023" s="27"/>
      <c r="AT1023" s="27"/>
      <c r="AU1023" s="27"/>
      <c r="AV1023" s="27"/>
      <c r="AW1023" s="27"/>
      <c r="AX1023" s="27"/>
      <c r="AY1023" s="27"/>
      <c r="AZ1023" s="27"/>
      <c r="BA1023" s="27"/>
      <c r="BB1023" s="27"/>
      <c r="BC1023" s="27"/>
      <c r="BD1023" s="27"/>
      <c r="BE1023" s="27"/>
      <c r="BF1023" s="27"/>
      <c r="BG1023" s="27"/>
      <c r="BH1023" s="27"/>
      <c r="BI1023" s="139"/>
    </row>
    <row r="1024" spans="2:61" ht="20.100000000000001" customHeight="1" x14ac:dyDescent="0.45">
      <c r="B1024" s="133"/>
      <c r="C1024" s="27"/>
      <c r="D1024" s="27"/>
      <c r="E1024" s="27"/>
      <c r="F1024" s="27"/>
      <c r="G1024" s="134"/>
      <c r="H1024" s="135"/>
      <c r="I1024" s="27"/>
      <c r="J1024" s="144" t="s">
        <v>548</v>
      </c>
      <c r="K1024" s="145"/>
      <c r="L1024" s="145"/>
      <c r="M1024" s="145"/>
      <c r="N1024" s="145"/>
      <c r="O1024" s="145"/>
      <c r="P1024" s="145"/>
      <c r="Q1024" s="156"/>
      <c r="R1024" s="145" t="s">
        <v>549</v>
      </c>
      <c r="S1024" s="145"/>
      <c r="T1024" s="145"/>
      <c r="U1024" s="145"/>
      <c r="V1024" s="145"/>
      <c r="W1024" s="145"/>
      <c r="X1024" s="145"/>
      <c r="Y1024" s="145"/>
      <c r="Z1024" s="145"/>
      <c r="AA1024" s="145"/>
      <c r="AB1024" s="145"/>
      <c r="AC1024" s="145"/>
      <c r="AD1024" s="145"/>
      <c r="AE1024" s="145"/>
      <c r="AF1024" s="145"/>
      <c r="AG1024" s="145"/>
      <c r="AH1024" s="145"/>
      <c r="AI1024" s="145"/>
      <c r="AJ1024" s="156"/>
      <c r="AK1024" s="138"/>
      <c r="AL1024" s="27"/>
      <c r="AM1024" s="27"/>
      <c r="AN1024" s="27"/>
      <c r="AO1024" s="27"/>
      <c r="AP1024" s="27"/>
      <c r="AQ1024" s="148"/>
      <c r="AR1024" s="148"/>
      <c r="AS1024" s="27"/>
      <c r="AT1024" s="27"/>
      <c r="AU1024" s="27"/>
      <c r="AV1024" s="27"/>
      <c r="AW1024" s="27"/>
      <c r="AX1024" s="27"/>
      <c r="AY1024" s="27"/>
      <c r="AZ1024" s="27"/>
      <c r="BA1024" s="27"/>
      <c r="BB1024" s="27"/>
      <c r="BC1024" s="27"/>
      <c r="BD1024" s="27"/>
      <c r="BE1024" s="27"/>
      <c r="BF1024" s="27"/>
      <c r="BG1024" s="27"/>
      <c r="BH1024" s="27"/>
      <c r="BI1024" s="139"/>
    </row>
    <row r="1025" spans="2:61" ht="20.100000000000001" customHeight="1" x14ac:dyDescent="0.45">
      <c r="B1025" s="133"/>
      <c r="C1025" s="27"/>
      <c r="D1025" s="27"/>
      <c r="E1025" s="27"/>
      <c r="F1025" s="27"/>
      <c r="G1025" s="134"/>
      <c r="H1025" s="135"/>
      <c r="I1025" s="27"/>
      <c r="J1025" s="144" t="s">
        <v>550</v>
      </c>
      <c r="K1025" s="145"/>
      <c r="L1025" s="145"/>
      <c r="M1025" s="145"/>
      <c r="N1025" s="145"/>
      <c r="O1025" s="145"/>
      <c r="P1025" s="145"/>
      <c r="Q1025" s="156"/>
      <c r="R1025" s="145" t="s">
        <v>551</v>
      </c>
      <c r="S1025" s="145"/>
      <c r="T1025" s="145"/>
      <c r="U1025" s="145"/>
      <c r="V1025" s="145"/>
      <c r="W1025" s="145"/>
      <c r="X1025" s="145"/>
      <c r="Y1025" s="145"/>
      <c r="Z1025" s="145"/>
      <c r="AA1025" s="145"/>
      <c r="AB1025" s="145"/>
      <c r="AC1025" s="145"/>
      <c r="AD1025" s="145"/>
      <c r="AE1025" s="145"/>
      <c r="AF1025" s="145"/>
      <c r="AG1025" s="145"/>
      <c r="AH1025" s="145"/>
      <c r="AI1025" s="145"/>
      <c r="AJ1025" s="156"/>
      <c r="AK1025" s="138"/>
      <c r="AL1025" s="27"/>
      <c r="AM1025" s="27"/>
      <c r="AN1025" s="27"/>
      <c r="AO1025" s="27"/>
      <c r="AP1025" s="27"/>
      <c r="AQ1025" s="148"/>
      <c r="AR1025" s="148"/>
      <c r="AS1025" s="27"/>
      <c r="AT1025" s="27"/>
      <c r="AU1025" s="27"/>
      <c r="AV1025" s="27"/>
      <c r="AW1025" s="27"/>
      <c r="AX1025" s="27"/>
      <c r="AY1025" s="27"/>
      <c r="AZ1025" s="27"/>
      <c r="BA1025" s="27"/>
      <c r="BB1025" s="27"/>
      <c r="BC1025" s="27"/>
      <c r="BD1025" s="27"/>
      <c r="BE1025" s="27"/>
      <c r="BF1025" s="27"/>
      <c r="BG1025" s="27"/>
      <c r="BH1025" s="27"/>
      <c r="BI1025" s="139"/>
    </row>
    <row r="1026" spans="2:61" ht="20.100000000000001" customHeight="1" x14ac:dyDescent="0.45">
      <c r="B1026" s="133"/>
      <c r="C1026" s="27"/>
      <c r="D1026" s="27"/>
      <c r="E1026" s="27"/>
      <c r="F1026" s="27"/>
      <c r="G1026" s="134"/>
      <c r="H1026" s="135"/>
      <c r="I1026" s="27"/>
      <c r="J1026" s="144" t="s">
        <v>552</v>
      </c>
      <c r="K1026" s="145"/>
      <c r="L1026" s="145"/>
      <c r="M1026" s="145"/>
      <c r="N1026" s="145"/>
      <c r="O1026" s="145"/>
      <c r="P1026" s="145"/>
      <c r="Q1026" s="156"/>
      <c r="R1026" s="145" t="s">
        <v>553</v>
      </c>
      <c r="S1026" s="145"/>
      <c r="T1026" s="145"/>
      <c r="U1026" s="145"/>
      <c r="V1026" s="145"/>
      <c r="W1026" s="145"/>
      <c r="X1026" s="145"/>
      <c r="Y1026" s="145"/>
      <c r="Z1026" s="145"/>
      <c r="AA1026" s="145"/>
      <c r="AB1026" s="145"/>
      <c r="AC1026" s="145"/>
      <c r="AD1026" s="145"/>
      <c r="AE1026" s="145"/>
      <c r="AF1026" s="145"/>
      <c r="AG1026" s="145"/>
      <c r="AH1026" s="145"/>
      <c r="AI1026" s="145"/>
      <c r="AJ1026" s="156"/>
      <c r="AK1026" s="138"/>
      <c r="AL1026" s="27"/>
      <c r="AM1026" s="27"/>
      <c r="AN1026" s="27"/>
      <c r="AO1026" s="27"/>
      <c r="AP1026" s="27"/>
      <c r="AQ1026" s="148"/>
      <c r="AR1026" s="148"/>
      <c r="AS1026" s="27"/>
      <c r="AT1026" s="27"/>
      <c r="AU1026" s="27"/>
      <c r="AV1026" s="27"/>
      <c r="AW1026" s="27"/>
      <c r="AX1026" s="27"/>
      <c r="AY1026" s="27"/>
      <c r="AZ1026" s="27"/>
      <c r="BA1026" s="27"/>
      <c r="BB1026" s="27"/>
      <c r="BC1026" s="27"/>
      <c r="BD1026" s="27"/>
      <c r="BE1026" s="27"/>
      <c r="BF1026" s="27"/>
      <c r="BG1026" s="27"/>
      <c r="BH1026" s="27"/>
      <c r="BI1026" s="139"/>
    </row>
    <row r="1027" spans="2:61" ht="20.100000000000001" customHeight="1" x14ac:dyDescent="0.45">
      <c r="B1027" s="133"/>
      <c r="C1027" s="27"/>
      <c r="D1027" s="27"/>
      <c r="E1027" s="27"/>
      <c r="F1027" s="27"/>
      <c r="G1027" s="134"/>
      <c r="H1027" s="135"/>
      <c r="I1027" s="27"/>
      <c r="J1027" s="144" t="s">
        <v>554</v>
      </c>
      <c r="K1027" s="145"/>
      <c r="L1027" s="145"/>
      <c r="M1027" s="145"/>
      <c r="N1027" s="145"/>
      <c r="O1027" s="145"/>
      <c r="P1027" s="145"/>
      <c r="Q1027" s="156"/>
      <c r="R1027" s="145" t="s">
        <v>555</v>
      </c>
      <c r="S1027" s="145"/>
      <c r="T1027" s="145"/>
      <c r="U1027" s="145"/>
      <c r="V1027" s="145"/>
      <c r="W1027" s="145"/>
      <c r="X1027" s="145"/>
      <c r="Y1027" s="145"/>
      <c r="Z1027" s="145"/>
      <c r="AA1027" s="145"/>
      <c r="AB1027" s="145"/>
      <c r="AC1027" s="145"/>
      <c r="AD1027" s="145"/>
      <c r="AE1027" s="145"/>
      <c r="AF1027" s="145"/>
      <c r="AG1027" s="145"/>
      <c r="AH1027" s="145"/>
      <c r="AI1027" s="145"/>
      <c r="AJ1027" s="156"/>
      <c r="AK1027" s="138"/>
      <c r="AL1027" s="27"/>
      <c r="AM1027" s="27"/>
      <c r="AN1027" s="27"/>
      <c r="AO1027" s="27"/>
      <c r="AP1027" s="27"/>
      <c r="AQ1027" s="148"/>
      <c r="AR1027" s="148"/>
      <c r="AS1027" s="27"/>
      <c r="AT1027" s="27"/>
      <c r="AU1027" s="27"/>
      <c r="AV1027" s="27"/>
      <c r="AW1027" s="27"/>
      <c r="AX1027" s="27"/>
      <c r="AY1027" s="27"/>
      <c r="AZ1027" s="27"/>
      <c r="BA1027" s="27"/>
      <c r="BB1027" s="27"/>
      <c r="BC1027" s="27"/>
      <c r="BD1027" s="27"/>
      <c r="BE1027" s="27"/>
      <c r="BF1027" s="27"/>
      <c r="BG1027" s="27"/>
      <c r="BH1027" s="27"/>
      <c r="BI1027" s="139"/>
    </row>
    <row r="1028" spans="2:61" ht="20.100000000000001" customHeight="1" x14ac:dyDescent="0.45">
      <c r="B1028" s="133"/>
      <c r="C1028" s="27"/>
      <c r="D1028" s="27"/>
      <c r="E1028" s="27"/>
      <c r="F1028" s="27"/>
      <c r="G1028" s="134"/>
      <c r="H1028" s="135"/>
      <c r="I1028" s="27"/>
      <c r="J1028" s="144" t="s">
        <v>556</v>
      </c>
      <c r="K1028" s="145"/>
      <c r="L1028" s="145"/>
      <c r="M1028" s="145"/>
      <c r="N1028" s="145"/>
      <c r="O1028" s="145"/>
      <c r="P1028" s="145"/>
      <c r="Q1028" s="156"/>
      <c r="R1028" s="145" t="s">
        <v>557</v>
      </c>
      <c r="S1028" s="145"/>
      <c r="T1028" s="145"/>
      <c r="U1028" s="145"/>
      <c r="V1028" s="145"/>
      <c r="W1028" s="145"/>
      <c r="X1028" s="145"/>
      <c r="Y1028" s="145"/>
      <c r="Z1028" s="145"/>
      <c r="AA1028" s="145"/>
      <c r="AB1028" s="145"/>
      <c r="AC1028" s="145"/>
      <c r="AD1028" s="145"/>
      <c r="AE1028" s="145"/>
      <c r="AF1028" s="145"/>
      <c r="AG1028" s="145"/>
      <c r="AH1028" s="145"/>
      <c r="AI1028" s="145"/>
      <c r="AJ1028" s="156"/>
      <c r="AK1028" s="138"/>
      <c r="AL1028" s="27"/>
      <c r="AM1028" s="27"/>
      <c r="AN1028" s="27"/>
      <c r="AO1028" s="27"/>
      <c r="AP1028" s="27"/>
      <c r="AQ1028" s="148"/>
      <c r="AR1028" s="148"/>
      <c r="AS1028" s="27"/>
      <c r="AT1028" s="27"/>
      <c r="AU1028" s="27"/>
      <c r="AV1028" s="27"/>
      <c r="AW1028" s="27"/>
      <c r="AX1028" s="27"/>
      <c r="AY1028" s="27"/>
      <c r="AZ1028" s="27"/>
      <c r="BA1028" s="27"/>
      <c r="BB1028" s="27"/>
      <c r="BC1028" s="27"/>
      <c r="BD1028" s="27"/>
      <c r="BE1028" s="27"/>
      <c r="BF1028" s="27"/>
      <c r="BG1028" s="27"/>
      <c r="BH1028" s="27"/>
      <c r="BI1028" s="139"/>
    </row>
    <row r="1029" spans="2:61" ht="20.100000000000001" customHeight="1" x14ac:dyDescent="0.45">
      <c r="B1029" s="133"/>
      <c r="C1029" s="27"/>
      <c r="D1029" s="27"/>
      <c r="E1029" s="27"/>
      <c r="F1029" s="27"/>
      <c r="G1029" s="134"/>
      <c r="H1029" s="135"/>
      <c r="I1029" s="27"/>
      <c r="J1029" s="144" t="s">
        <v>558</v>
      </c>
      <c r="K1029" s="145"/>
      <c r="L1029" s="145"/>
      <c r="M1029" s="145"/>
      <c r="N1029" s="145"/>
      <c r="O1029" s="145"/>
      <c r="P1029" s="145"/>
      <c r="Q1029" s="156"/>
      <c r="R1029" s="145" t="s">
        <v>559</v>
      </c>
      <c r="S1029" s="145"/>
      <c r="T1029" s="145"/>
      <c r="U1029" s="145"/>
      <c r="V1029" s="145"/>
      <c r="W1029" s="145"/>
      <c r="X1029" s="145"/>
      <c r="Y1029" s="145"/>
      <c r="Z1029" s="145"/>
      <c r="AA1029" s="145"/>
      <c r="AB1029" s="145"/>
      <c r="AC1029" s="145"/>
      <c r="AD1029" s="145"/>
      <c r="AE1029" s="145"/>
      <c r="AF1029" s="145"/>
      <c r="AG1029" s="145"/>
      <c r="AH1029" s="145"/>
      <c r="AI1029" s="145"/>
      <c r="AJ1029" s="156"/>
      <c r="AK1029" s="138"/>
      <c r="AL1029" s="27"/>
      <c r="AM1029" s="27"/>
      <c r="AN1029" s="27"/>
      <c r="AO1029" s="27"/>
      <c r="AP1029" s="27"/>
      <c r="AQ1029" s="148"/>
      <c r="AR1029" s="148"/>
      <c r="AS1029" s="27"/>
      <c r="AT1029" s="27"/>
      <c r="AU1029" s="27"/>
      <c r="AV1029" s="27"/>
      <c r="AW1029" s="27"/>
      <c r="AX1029" s="27"/>
      <c r="AY1029" s="27"/>
      <c r="AZ1029" s="27"/>
      <c r="BA1029" s="27"/>
      <c r="BB1029" s="27"/>
      <c r="BC1029" s="27"/>
      <c r="BD1029" s="27"/>
      <c r="BE1029" s="27"/>
      <c r="BF1029" s="27"/>
      <c r="BG1029" s="27"/>
      <c r="BH1029" s="27"/>
      <c r="BI1029" s="139"/>
    </row>
    <row r="1030" spans="2:61" ht="20.100000000000001" customHeight="1" x14ac:dyDescent="0.45">
      <c r="B1030" s="133"/>
      <c r="C1030" s="27"/>
      <c r="D1030" s="27"/>
      <c r="E1030" s="27"/>
      <c r="F1030" s="27"/>
      <c r="G1030" s="134"/>
      <c r="H1030" s="135"/>
      <c r="I1030" s="27"/>
      <c r="J1030" s="144" t="s">
        <v>560</v>
      </c>
      <c r="K1030" s="145"/>
      <c r="L1030" s="145"/>
      <c r="M1030" s="145"/>
      <c r="N1030" s="145"/>
      <c r="O1030" s="145"/>
      <c r="P1030" s="145"/>
      <c r="Q1030" s="156"/>
      <c r="R1030" s="145" t="s">
        <v>561</v>
      </c>
      <c r="S1030" s="145"/>
      <c r="T1030" s="145"/>
      <c r="U1030" s="145"/>
      <c r="V1030" s="145"/>
      <c r="W1030" s="145"/>
      <c r="X1030" s="145"/>
      <c r="Y1030" s="145"/>
      <c r="Z1030" s="145"/>
      <c r="AA1030" s="145"/>
      <c r="AB1030" s="145"/>
      <c r="AC1030" s="145"/>
      <c r="AD1030" s="145"/>
      <c r="AE1030" s="145"/>
      <c r="AF1030" s="145"/>
      <c r="AG1030" s="145"/>
      <c r="AH1030" s="145"/>
      <c r="AI1030" s="145"/>
      <c r="AJ1030" s="156"/>
      <c r="AK1030" s="138"/>
      <c r="AL1030" s="27"/>
      <c r="AM1030" s="27"/>
      <c r="AN1030" s="27"/>
      <c r="AO1030" s="27"/>
      <c r="AP1030" s="27"/>
      <c r="AQ1030" s="148"/>
      <c r="AR1030" s="148"/>
      <c r="AS1030" s="27"/>
      <c r="AT1030" s="27"/>
      <c r="AU1030" s="27"/>
      <c r="AV1030" s="27"/>
      <c r="AW1030" s="27"/>
      <c r="AX1030" s="27"/>
      <c r="AY1030" s="27"/>
      <c r="AZ1030" s="27"/>
      <c r="BA1030" s="27"/>
      <c r="BB1030" s="27"/>
      <c r="BC1030" s="27"/>
      <c r="BD1030" s="27"/>
      <c r="BE1030" s="27"/>
      <c r="BF1030" s="27"/>
      <c r="BG1030" s="27"/>
      <c r="BH1030" s="27"/>
      <c r="BI1030" s="139"/>
    </row>
    <row r="1031" spans="2:61" ht="20.100000000000001" customHeight="1" x14ac:dyDescent="0.45">
      <c r="B1031" s="133"/>
      <c r="C1031" s="27"/>
      <c r="D1031" s="27"/>
      <c r="E1031" s="27"/>
      <c r="F1031" s="27"/>
      <c r="G1031" s="134"/>
      <c r="H1031" s="135"/>
      <c r="I1031" s="27"/>
      <c r="J1031" s="144" t="s">
        <v>562</v>
      </c>
      <c r="K1031" s="145"/>
      <c r="L1031" s="145"/>
      <c r="M1031" s="145"/>
      <c r="N1031" s="145"/>
      <c r="O1031" s="145"/>
      <c r="P1031" s="145"/>
      <c r="Q1031" s="156"/>
      <c r="R1031" s="145" t="s">
        <v>563</v>
      </c>
      <c r="S1031" s="145"/>
      <c r="T1031" s="145"/>
      <c r="U1031" s="145"/>
      <c r="V1031" s="145"/>
      <c r="W1031" s="145"/>
      <c r="X1031" s="145"/>
      <c r="Y1031" s="145"/>
      <c r="Z1031" s="145"/>
      <c r="AA1031" s="145"/>
      <c r="AB1031" s="145"/>
      <c r="AC1031" s="145"/>
      <c r="AD1031" s="145"/>
      <c r="AE1031" s="145"/>
      <c r="AF1031" s="145"/>
      <c r="AG1031" s="145"/>
      <c r="AH1031" s="145"/>
      <c r="AI1031" s="145"/>
      <c r="AJ1031" s="156"/>
      <c r="AK1031" s="138"/>
      <c r="AL1031" s="27"/>
      <c r="AM1031" s="27"/>
      <c r="AN1031" s="27"/>
      <c r="AO1031" s="27"/>
      <c r="AP1031" s="27"/>
      <c r="AQ1031" s="148"/>
      <c r="AR1031" s="148"/>
      <c r="AS1031" s="27"/>
      <c r="AT1031" s="27"/>
      <c r="AU1031" s="27"/>
      <c r="AV1031" s="27"/>
      <c r="AW1031" s="27"/>
      <c r="AX1031" s="27"/>
      <c r="AY1031" s="27"/>
      <c r="AZ1031" s="27"/>
      <c r="BA1031" s="27"/>
      <c r="BB1031" s="27"/>
      <c r="BC1031" s="27"/>
      <c r="BD1031" s="27"/>
      <c r="BE1031" s="27"/>
      <c r="BF1031" s="27"/>
      <c r="BG1031" s="27"/>
      <c r="BH1031" s="27"/>
      <c r="BI1031" s="139"/>
    </row>
    <row r="1032" spans="2:61" ht="20.100000000000001" customHeight="1" x14ac:dyDescent="0.45">
      <c r="B1032" s="133"/>
      <c r="C1032" s="27"/>
      <c r="D1032" s="27"/>
      <c r="E1032" s="27"/>
      <c r="F1032" s="27"/>
      <c r="G1032" s="134"/>
      <c r="H1032" s="135"/>
      <c r="I1032" s="27"/>
      <c r="J1032" s="144" t="s">
        <v>564</v>
      </c>
      <c r="K1032" s="145"/>
      <c r="L1032" s="145"/>
      <c r="M1032" s="145"/>
      <c r="N1032" s="145"/>
      <c r="O1032" s="145"/>
      <c r="P1032" s="145"/>
      <c r="Q1032" s="156"/>
      <c r="R1032" s="145" t="s">
        <v>565</v>
      </c>
      <c r="S1032" s="145"/>
      <c r="T1032" s="145"/>
      <c r="U1032" s="145"/>
      <c r="V1032" s="145"/>
      <c r="W1032" s="145"/>
      <c r="X1032" s="145"/>
      <c r="Y1032" s="145"/>
      <c r="Z1032" s="145"/>
      <c r="AA1032" s="145"/>
      <c r="AB1032" s="145"/>
      <c r="AC1032" s="145"/>
      <c r="AD1032" s="145"/>
      <c r="AE1032" s="145"/>
      <c r="AF1032" s="145"/>
      <c r="AG1032" s="145"/>
      <c r="AH1032" s="145"/>
      <c r="AI1032" s="145"/>
      <c r="AJ1032" s="156"/>
      <c r="AK1032" s="138"/>
      <c r="AL1032" s="27"/>
      <c r="AM1032" s="27"/>
      <c r="AN1032" s="27"/>
      <c r="AO1032" s="27"/>
      <c r="AP1032" s="27"/>
      <c r="AQ1032" s="148"/>
      <c r="AR1032" s="148"/>
      <c r="AS1032" s="27"/>
      <c r="AT1032" s="27"/>
      <c r="AU1032" s="27"/>
      <c r="AV1032" s="27"/>
      <c r="AW1032" s="27"/>
      <c r="AX1032" s="27"/>
      <c r="AY1032" s="27"/>
      <c r="AZ1032" s="27"/>
      <c r="BA1032" s="27"/>
      <c r="BB1032" s="27"/>
      <c r="BC1032" s="27"/>
      <c r="BD1032" s="27"/>
      <c r="BE1032" s="27"/>
      <c r="BF1032" s="27"/>
      <c r="BG1032" s="27"/>
      <c r="BH1032" s="27"/>
      <c r="BI1032" s="139"/>
    </row>
    <row r="1033" spans="2:61" ht="20.100000000000001" customHeight="1" x14ac:dyDescent="0.45">
      <c r="B1033" s="133"/>
      <c r="C1033" s="27"/>
      <c r="D1033" s="27"/>
      <c r="E1033" s="27"/>
      <c r="F1033" s="27"/>
      <c r="G1033" s="134"/>
      <c r="H1033" s="135"/>
      <c r="I1033" s="27"/>
      <c r="J1033" s="144" t="s">
        <v>566</v>
      </c>
      <c r="K1033" s="145"/>
      <c r="L1033" s="145"/>
      <c r="M1033" s="145"/>
      <c r="N1033" s="145"/>
      <c r="O1033" s="145"/>
      <c r="P1033" s="145"/>
      <c r="Q1033" s="156"/>
      <c r="R1033" s="145" t="s">
        <v>567</v>
      </c>
      <c r="S1033" s="145"/>
      <c r="T1033" s="145"/>
      <c r="U1033" s="145"/>
      <c r="V1033" s="145"/>
      <c r="W1033" s="145"/>
      <c r="X1033" s="145"/>
      <c r="Y1033" s="145"/>
      <c r="Z1033" s="145"/>
      <c r="AA1033" s="145"/>
      <c r="AB1033" s="145"/>
      <c r="AC1033" s="145"/>
      <c r="AD1033" s="145"/>
      <c r="AE1033" s="145"/>
      <c r="AF1033" s="145"/>
      <c r="AG1033" s="145"/>
      <c r="AH1033" s="145"/>
      <c r="AI1033" s="145"/>
      <c r="AJ1033" s="156"/>
      <c r="AK1033" s="138"/>
      <c r="AL1033" s="27"/>
      <c r="AM1033" s="27"/>
      <c r="AN1033" s="27"/>
      <c r="AO1033" s="27"/>
      <c r="AP1033" s="27"/>
      <c r="AQ1033" s="148"/>
      <c r="AR1033" s="148"/>
      <c r="AS1033" s="27"/>
      <c r="AT1033" s="27"/>
      <c r="AU1033" s="27"/>
      <c r="AV1033" s="27"/>
      <c r="AW1033" s="27"/>
      <c r="AX1033" s="27"/>
      <c r="AY1033" s="27"/>
      <c r="AZ1033" s="27"/>
      <c r="BA1033" s="27"/>
      <c r="BB1033" s="27"/>
      <c r="BC1033" s="27"/>
      <c r="BD1033" s="27"/>
      <c r="BE1033" s="27"/>
      <c r="BF1033" s="27"/>
      <c r="BG1033" s="27"/>
      <c r="BH1033" s="27"/>
      <c r="BI1033" s="139"/>
    </row>
    <row r="1034" spans="2:61" ht="20.100000000000001" customHeight="1" x14ac:dyDescent="0.45">
      <c r="B1034" s="133"/>
      <c r="C1034" s="27"/>
      <c r="D1034" s="27"/>
      <c r="E1034" s="27"/>
      <c r="F1034" s="27"/>
      <c r="G1034" s="134"/>
      <c r="H1034" s="135"/>
      <c r="I1034" s="27"/>
      <c r="J1034" s="144" t="s">
        <v>568</v>
      </c>
      <c r="K1034" s="145"/>
      <c r="L1034" s="145"/>
      <c r="M1034" s="145"/>
      <c r="N1034" s="145"/>
      <c r="O1034" s="145"/>
      <c r="P1034" s="145"/>
      <c r="Q1034" s="156"/>
      <c r="R1034" s="145" t="s">
        <v>569</v>
      </c>
      <c r="S1034" s="145"/>
      <c r="T1034" s="145"/>
      <c r="U1034" s="145"/>
      <c r="V1034" s="145"/>
      <c r="W1034" s="145"/>
      <c r="X1034" s="145"/>
      <c r="Y1034" s="145"/>
      <c r="Z1034" s="145"/>
      <c r="AA1034" s="145"/>
      <c r="AB1034" s="145"/>
      <c r="AC1034" s="145"/>
      <c r="AD1034" s="145"/>
      <c r="AE1034" s="145"/>
      <c r="AF1034" s="145"/>
      <c r="AG1034" s="145"/>
      <c r="AH1034" s="145"/>
      <c r="AI1034" s="145"/>
      <c r="AJ1034" s="156"/>
      <c r="AK1034" s="138"/>
      <c r="AL1034" s="27"/>
      <c r="AM1034" s="27"/>
      <c r="AN1034" s="27"/>
      <c r="AO1034" s="27"/>
      <c r="AP1034" s="27"/>
      <c r="AQ1034" s="148"/>
      <c r="AR1034" s="148"/>
      <c r="AS1034" s="27"/>
      <c r="AT1034" s="27"/>
      <c r="AU1034" s="27"/>
      <c r="AV1034" s="27"/>
      <c r="AW1034" s="27"/>
      <c r="AX1034" s="27"/>
      <c r="AY1034" s="27"/>
      <c r="AZ1034" s="27"/>
      <c r="BA1034" s="27"/>
      <c r="BB1034" s="27"/>
      <c r="BC1034" s="27"/>
      <c r="BD1034" s="27"/>
      <c r="BE1034" s="27"/>
      <c r="BF1034" s="27"/>
      <c r="BG1034" s="27"/>
      <c r="BH1034" s="27"/>
      <c r="BI1034" s="139"/>
    </row>
    <row r="1035" spans="2:61" ht="20.100000000000001" customHeight="1" x14ac:dyDescent="0.45">
      <c r="B1035" s="133"/>
      <c r="C1035" s="27"/>
      <c r="D1035" s="27"/>
      <c r="E1035" s="27"/>
      <c r="F1035" s="27"/>
      <c r="G1035" s="134"/>
      <c r="H1035" s="135"/>
      <c r="I1035" s="27"/>
      <c r="J1035" s="144" t="s">
        <v>570</v>
      </c>
      <c r="K1035" s="145"/>
      <c r="L1035" s="145"/>
      <c r="M1035" s="145"/>
      <c r="N1035" s="145"/>
      <c r="O1035" s="145"/>
      <c r="P1035" s="145"/>
      <c r="Q1035" s="156"/>
      <c r="R1035" s="145" t="s">
        <v>571</v>
      </c>
      <c r="S1035" s="145"/>
      <c r="T1035" s="145"/>
      <c r="U1035" s="145"/>
      <c r="V1035" s="145"/>
      <c r="W1035" s="145"/>
      <c r="X1035" s="145"/>
      <c r="Y1035" s="145"/>
      <c r="Z1035" s="145"/>
      <c r="AA1035" s="145"/>
      <c r="AB1035" s="145"/>
      <c r="AC1035" s="145"/>
      <c r="AD1035" s="145"/>
      <c r="AE1035" s="145"/>
      <c r="AF1035" s="145"/>
      <c r="AG1035" s="145"/>
      <c r="AH1035" s="145"/>
      <c r="AI1035" s="145"/>
      <c r="AJ1035" s="156"/>
      <c r="AK1035" s="138"/>
      <c r="AL1035" s="27"/>
      <c r="AM1035" s="27"/>
      <c r="AN1035" s="27"/>
      <c r="AO1035" s="27"/>
      <c r="AP1035" s="27"/>
      <c r="AQ1035" s="148"/>
      <c r="AR1035" s="148"/>
      <c r="AS1035" s="27"/>
      <c r="AT1035" s="27"/>
      <c r="AU1035" s="27"/>
      <c r="AV1035" s="27"/>
      <c r="AW1035" s="27"/>
      <c r="AX1035" s="27"/>
      <c r="AY1035" s="27"/>
      <c r="AZ1035" s="27"/>
      <c r="BA1035" s="27"/>
      <c r="BB1035" s="27"/>
      <c r="BC1035" s="27"/>
      <c r="BD1035" s="27"/>
      <c r="BE1035" s="27"/>
      <c r="BF1035" s="27"/>
      <c r="BG1035" s="27"/>
      <c r="BH1035" s="27"/>
      <c r="BI1035" s="139"/>
    </row>
    <row r="1036" spans="2:61" ht="20.100000000000001" customHeight="1" x14ac:dyDescent="0.45">
      <c r="B1036" s="133"/>
      <c r="C1036" s="27"/>
      <c r="D1036" s="27"/>
      <c r="E1036" s="27"/>
      <c r="F1036" s="27"/>
      <c r="G1036" s="134"/>
      <c r="H1036" s="135"/>
      <c r="I1036" s="27"/>
      <c r="J1036" s="144" t="s">
        <v>572</v>
      </c>
      <c r="K1036" s="145"/>
      <c r="L1036" s="145"/>
      <c r="M1036" s="145"/>
      <c r="N1036" s="145"/>
      <c r="O1036" s="145"/>
      <c r="P1036" s="145"/>
      <c r="Q1036" s="156"/>
      <c r="R1036" s="145" t="s">
        <v>573</v>
      </c>
      <c r="S1036" s="145"/>
      <c r="T1036" s="145"/>
      <c r="U1036" s="145"/>
      <c r="V1036" s="145"/>
      <c r="W1036" s="145"/>
      <c r="X1036" s="145"/>
      <c r="Y1036" s="145"/>
      <c r="Z1036" s="145"/>
      <c r="AA1036" s="145"/>
      <c r="AB1036" s="145"/>
      <c r="AC1036" s="145"/>
      <c r="AD1036" s="145"/>
      <c r="AE1036" s="145"/>
      <c r="AF1036" s="145"/>
      <c r="AG1036" s="145"/>
      <c r="AH1036" s="145"/>
      <c r="AI1036" s="145"/>
      <c r="AJ1036" s="156"/>
      <c r="AK1036" s="138"/>
      <c r="AL1036" s="27"/>
      <c r="AM1036" s="27"/>
      <c r="AN1036" s="27"/>
      <c r="AO1036" s="27"/>
      <c r="AP1036" s="27"/>
      <c r="AQ1036" s="148"/>
      <c r="AR1036" s="148"/>
      <c r="AS1036" s="27"/>
      <c r="AT1036" s="27"/>
      <c r="AU1036" s="27"/>
      <c r="AV1036" s="27"/>
      <c r="AW1036" s="27"/>
      <c r="AX1036" s="27"/>
      <c r="AY1036" s="27"/>
      <c r="AZ1036" s="27"/>
      <c r="BA1036" s="27"/>
      <c r="BB1036" s="27"/>
      <c r="BC1036" s="27"/>
      <c r="BD1036" s="27"/>
      <c r="BE1036" s="27"/>
      <c r="BF1036" s="27"/>
      <c r="BG1036" s="27"/>
      <c r="BH1036" s="27"/>
      <c r="BI1036" s="139"/>
    </row>
    <row r="1037" spans="2:61" ht="20.100000000000001" customHeight="1" x14ac:dyDescent="0.45">
      <c r="B1037" s="133"/>
      <c r="C1037" s="27"/>
      <c r="D1037" s="27"/>
      <c r="E1037" s="27"/>
      <c r="F1037" s="27"/>
      <c r="G1037" s="134"/>
      <c r="H1037" s="135"/>
      <c r="I1037" s="27"/>
      <c r="J1037" s="144" t="s">
        <v>574</v>
      </c>
      <c r="K1037" s="145"/>
      <c r="L1037" s="145"/>
      <c r="M1037" s="145"/>
      <c r="N1037" s="145"/>
      <c r="O1037" s="145"/>
      <c r="P1037" s="145"/>
      <c r="Q1037" s="156"/>
      <c r="R1037" s="145" t="s">
        <v>575</v>
      </c>
      <c r="S1037" s="145"/>
      <c r="T1037" s="145"/>
      <c r="U1037" s="145"/>
      <c r="V1037" s="145"/>
      <c r="W1037" s="145"/>
      <c r="X1037" s="145"/>
      <c r="Y1037" s="145"/>
      <c r="Z1037" s="145"/>
      <c r="AA1037" s="145"/>
      <c r="AB1037" s="145"/>
      <c r="AC1037" s="145"/>
      <c r="AD1037" s="145"/>
      <c r="AE1037" s="145"/>
      <c r="AF1037" s="145"/>
      <c r="AG1037" s="145"/>
      <c r="AH1037" s="145"/>
      <c r="AI1037" s="145"/>
      <c r="AJ1037" s="156"/>
      <c r="AK1037" s="138"/>
      <c r="AL1037" s="27"/>
      <c r="AM1037" s="27"/>
      <c r="AN1037" s="27"/>
      <c r="AO1037" s="27"/>
      <c r="AP1037" s="27"/>
      <c r="AQ1037" s="148"/>
      <c r="AR1037" s="148"/>
      <c r="AS1037" s="27"/>
      <c r="AT1037" s="27"/>
      <c r="AU1037" s="27"/>
      <c r="AV1037" s="27"/>
      <c r="AW1037" s="27"/>
      <c r="AX1037" s="27"/>
      <c r="AY1037" s="27"/>
      <c r="AZ1037" s="27"/>
      <c r="BA1037" s="27"/>
      <c r="BB1037" s="27"/>
      <c r="BC1037" s="27"/>
      <c r="BD1037" s="27"/>
      <c r="BE1037" s="27"/>
      <c r="BF1037" s="27"/>
      <c r="BG1037" s="27"/>
      <c r="BH1037" s="27"/>
      <c r="BI1037" s="139"/>
    </row>
    <row r="1038" spans="2:61" ht="20.100000000000001" customHeight="1" x14ac:dyDescent="0.45">
      <c r="B1038" s="133"/>
      <c r="C1038" s="27"/>
      <c r="D1038" s="27"/>
      <c r="E1038" s="27"/>
      <c r="F1038" s="27"/>
      <c r="G1038" s="134"/>
      <c r="H1038" s="135"/>
      <c r="I1038" s="27"/>
      <c r="J1038" s="144" t="s">
        <v>576</v>
      </c>
      <c r="K1038" s="145"/>
      <c r="L1038" s="145"/>
      <c r="M1038" s="145"/>
      <c r="N1038" s="145"/>
      <c r="O1038" s="145"/>
      <c r="P1038" s="145"/>
      <c r="Q1038" s="156"/>
      <c r="R1038" s="145" t="s">
        <v>577</v>
      </c>
      <c r="S1038" s="145"/>
      <c r="T1038" s="145"/>
      <c r="U1038" s="145"/>
      <c r="V1038" s="145"/>
      <c r="W1038" s="145"/>
      <c r="X1038" s="145"/>
      <c r="Y1038" s="145"/>
      <c r="Z1038" s="145"/>
      <c r="AA1038" s="145"/>
      <c r="AB1038" s="145"/>
      <c r="AC1038" s="145"/>
      <c r="AD1038" s="145"/>
      <c r="AE1038" s="145"/>
      <c r="AF1038" s="145"/>
      <c r="AG1038" s="145"/>
      <c r="AH1038" s="145"/>
      <c r="AI1038" s="145"/>
      <c r="AJ1038" s="156"/>
      <c r="AK1038" s="138"/>
      <c r="AL1038" s="27"/>
      <c r="AM1038" s="27"/>
      <c r="AN1038" s="27"/>
      <c r="AO1038" s="27"/>
      <c r="AP1038" s="27"/>
      <c r="AQ1038" s="148"/>
      <c r="AR1038" s="148"/>
      <c r="AS1038" s="27"/>
      <c r="AT1038" s="27"/>
      <c r="AU1038" s="27"/>
      <c r="AV1038" s="27"/>
      <c r="AW1038" s="27"/>
      <c r="AX1038" s="27"/>
      <c r="AY1038" s="27"/>
      <c r="AZ1038" s="27"/>
      <c r="BA1038" s="27"/>
      <c r="BB1038" s="27"/>
      <c r="BC1038" s="27"/>
      <c r="BD1038" s="27"/>
      <c r="BE1038" s="27"/>
      <c r="BF1038" s="27"/>
      <c r="BG1038" s="27"/>
      <c r="BH1038" s="27"/>
      <c r="BI1038" s="139"/>
    </row>
    <row r="1039" spans="2:61" ht="20.100000000000001" customHeight="1" x14ac:dyDescent="0.45">
      <c r="B1039" s="133"/>
      <c r="C1039" s="27"/>
      <c r="D1039" s="27"/>
      <c r="E1039" s="27"/>
      <c r="F1039" s="27"/>
      <c r="G1039" s="134"/>
      <c r="H1039" s="135"/>
      <c r="I1039" s="27"/>
      <c r="J1039" s="144" t="s">
        <v>578</v>
      </c>
      <c r="K1039" s="145"/>
      <c r="L1039" s="145"/>
      <c r="M1039" s="145"/>
      <c r="N1039" s="145"/>
      <c r="O1039" s="145"/>
      <c r="P1039" s="145"/>
      <c r="Q1039" s="156"/>
      <c r="R1039" s="145" t="s">
        <v>579</v>
      </c>
      <c r="S1039" s="145"/>
      <c r="T1039" s="145"/>
      <c r="U1039" s="145"/>
      <c r="V1039" s="145"/>
      <c r="W1039" s="145"/>
      <c r="X1039" s="145"/>
      <c r="Y1039" s="145"/>
      <c r="Z1039" s="145"/>
      <c r="AA1039" s="145"/>
      <c r="AB1039" s="145"/>
      <c r="AC1039" s="145"/>
      <c r="AD1039" s="145"/>
      <c r="AE1039" s="145"/>
      <c r="AF1039" s="145"/>
      <c r="AG1039" s="145"/>
      <c r="AH1039" s="145"/>
      <c r="AI1039" s="145"/>
      <c r="AJ1039" s="156"/>
      <c r="AK1039" s="138"/>
      <c r="AL1039" s="27"/>
      <c r="AM1039" s="27"/>
      <c r="AN1039" s="27"/>
      <c r="AO1039" s="27"/>
      <c r="AP1039" s="27"/>
      <c r="AQ1039" s="148"/>
      <c r="AR1039" s="148"/>
      <c r="AS1039" s="27"/>
      <c r="AT1039" s="27"/>
      <c r="AU1039" s="27"/>
      <c r="AV1039" s="27"/>
      <c r="AW1039" s="27"/>
      <c r="AX1039" s="27"/>
      <c r="AY1039" s="27"/>
      <c r="AZ1039" s="27"/>
      <c r="BA1039" s="27"/>
      <c r="BB1039" s="27"/>
      <c r="BC1039" s="27"/>
      <c r="BD1039" s="27"/>
      <c r="BE1039" s="27"/>
      <c r="BF1039" s="27"/>
      <c r="BG1039" s="27"/>
      <c r="BH1039" s="27"/>
      <c r="BI1039" s="139"/>
    </row>
    <row r="1040" spans="2:61" ht="20.100000000000001" customHeight="1" x14ac:dyDescent="0.45">
      <c r="B1040" s="133"/>
      <c r="C1040" s="27"/>
      <c r="D1040" s="27"/>
      <c r="E1040" s="27"/>
      <c r="F1040" s="27"/>
      <c r="G1040" s="134"/>
      <c r="H1040" s="135"/>
      <c r="I1040" s="27"/>
      <c r="J1040" s="144" t="s">
        <v>580</v>
      </c>
      <c r="K1040" s="145"/>
      <c r="L1040" s="145"/>
      <c r="M1040" s="145"/>
      <c r="N1040" s="145"/>
      <c r="O1040" s="145"/>
      <c r="P1040" s="145"/>
      <c r="Q1040" s="156"/>
      <c r="R1040" s="145" t="s">
        <v>581</v>
      </c>
      <c r="S1040" s="145"/>
      <c r="T1040" s="145"/>
      <c r="U1040" s="145"/>
      <c r="V1040" s="145"/>
      <c r="W1040" s="145"/>
      <c r="X1040" s="145"/>
      <c r="Y1040" s="145"/>
      <c r="Z1040" s="145"/>
      <c r="AA1040" s="145"/>
      <c r="AB1040" s="145"/>
      <c r="AC1040" s="145"/>
      <c r="AD1040" s="145"/>
      <c r="AE1040" s="145"/>
      <c r="AF1040" s="145"/>
      <c r="AG1040" s="145"/>
      <c r="AH1040" s="145"/>
      <c r="AI1040" s="145"/>
      <c r="AJ1040" s="156"/>
      <c r="AK1040" s="138"/>
      <c r="AL1040" s="27"/>
      <c r="AM1040" s="27"/>
      <c r="AN1040" s="27"/>
      <c r="AO1040" s="27"/>
      <c r="AP1040" s="27"/>
      <c r="AQ1040" s="148"/>
      <c r="AR1040" s="148"/>
      <c r="AS1040" s="27"/>
      <c r="AT1040" s="27"/>
      <c r="AU1040" s="27"/>
      <c r="AV1040" s="27"/>
      <c r="AW1040" s="27"/>
      <c r="AX1040" s="27"/>
      <c r="AY1040" s="27"/>
      <c r="AZ1040" s="27"/>
      <c r="BA1040" s="27"/>
      <c r="BB1040" s="27"/>
      <c r="BC1040" s="27"/>
      <c r="BD1040" s="27"/>
      <c r="BE1040" s="27"/>
      <c r="BF1040" s="27"/>
      <c r="BG1040" s="27"/>
      <c r="BH1040" s="27"/>
      <c r="BI1040" s="139"/>
    </row>
    <row r="1041" spans="2:61" ht="20.100000000000001" customHeight="1" x14ac:dyDescent="0.45">
      <c r="B1041" s="133"/>
      <c r="C1041" s="27"/>
      <c r="D1041" s="27"/>
      <c r="E1041" s="27"/>
      <c r="F1041" s="27"/>
      <c r="G1041" s="134"/>
      <c r="H1041" s="135"/>
      <c r="I1041" s="27"/>
      <c r="J1041" s="144" t="s">
        <v>582</v>
      </c>
      <c r="K1041" s="145"/>
      <c r="L1041" s="145"/>
      <c r="M1041" s="145"/>
      <c r="N1041" s="145"/>
      <c r="O1041" s="145"/>
      <c r="P1041" s="145"/>
      <c r="Q1041" s="156"/>
      <c r="R1041" s="145" t="s">
        <v>583</v>
      </c>
      <c r="S1041" s="145"/>
      <c r="T1041" s="145"/>
      <c r="U1041" s="145"/>
      <c r="V1041" s="145"/>
      <c r="W1041" s="145"/>
      <c r="X1041" s="145"/>
      <c r="Y1041" s="145"/>
      <c r="Z1041" s="145"/>
      <c r="AA1041" s="145"/>
      <c r="AB1041" s="145"/>
      <c r="AC1041" s="145"/>
      <c r="AD1041" s="145"/>
      <c r="AE1041" s="145"/>
      <c r="AF1041" s="145"/>
      <c r="AG1041" s="145"/>
      <c r="AH1041" s="145"/>
      <c r="AI1041" s="145"/>
      <c r="AJ1041" s="156"/>
      <c r="AK1041" s="138"/>
      <c r="AL1041" s="27"/>
      <c r="AM1041" s="27"/>
      <c r="AN1041" s="27"/>
      <c r="AO1041" s="27"/>
      <c r="AP1041" s="27"/>
      <c r="AQ1041" s="148"/>
      <c r="AR1041" s="148"/>
      <c r="AS1041" s="27"/>
      <c r="AT1041" s="27"/>
      <c r="AU1041" s="27"/>
      <c r="AV1041" s="27"/>
      <c r="AW1041" s="27"/>
      <c r="AX1041" s="27"/>
      <c r="AY1041" s="27"/>
      <c r="AZ1041" s="27"/>
      <c r="BA1041" s="27"/>
      <c r="BB1041" s="27"/>
      <c r="BC1041" s="27"/>
      <c r="BD1041" s="27"/>
      <c r="BE1041" s="27"/>
      <c r="BF1041" s="27"/>
      <c r="BG1041" s="27"/>
      <c r="BH1041" s="27"/>
      <c r="BI1041" s="139"/>
    </row>
    <row r="1042" spans="2:61" ht="20.100000000000001" customHeight="1" x14ac:dyDescent="0.45">
      <c r="B1042" s="133"/>
      <c r="C1042" s="27"/>
      <c r="D1042" s="27"/>
      <c r="E1042" s="27"/>
      <c r="F1042" s="27"/>
      <c r="G1042" s="134"/>
      <c r="H1042" s="135"/>
      <c r="I1042" s="27"/>
      <c r="J1042" s="144" t="s">
        <v>584</v>
      </c>
      <c r="K1042" s="145"/>
      <c r="L1042" s="145"/>
      <c r="M1042" s="145"/>
      <c r="N1042" s="145"/>
      <c r="O1042" s="145"/>
      <c r="P1042" s="145"/>
      <c r="Q1042" s="156"/>
      <c r="R1042" s="145" t="s">
        <v>585</v>
      </c>
      <c r="S1042" s="145"/>
      <c r="T1042" s="145"/>
      <c r="U1042" s="145"/>
      <c r="V1042" s="145"/>
      <c r="W1042" s="145"/>
      <c r="X1042" s="145"/>
      <c r="Y1042" s="145"/>
      <c r="Z1042" s="145"/>
      <c r="AA1042" s="145"/>
      <c r="AB1042" s="145"/>
      <c r="AC1042" s="145"/>
      <c r="AD1042" s="145"/>
      <c r="AE1042" s="145"/>
      <c r="AF1042" s="145"/>
      <c r="AG1042" s="145"/>
      <c r="AH1042" s="145"/>
      <c r="AI1042" s="145"/>
      <c r="AJ1042" s="156"/>
      <c r="AK1042" s="138"/>
      <c r="AL1042" s="27"/>
      <c r="AM1042" s="27"/>
      <c r="AN1042" s="27"/>
      <c r="AO1042" s="27"/>
      <c r="AP1042" s="27"/>
      <c r="AQ1042" s="148"/>
      <c r="AR1042" s="148"/>
      <c r="AS1042" s="27"/>
      <c r="AT1042" s="27"/>
      <c r="AU1042" s="27"/>
      <c r="AV1042" s="27"/>
      <c r="AW1042" s="27"/>
      <c r="AX1042" s="27"/>
      <c r="AY1042" s="27"/>
      <c r="AZ1042" s="27"/>
      <c r="BA1042" s="27"/>
      <c r="BB1042" s="27"/>
      <c r="BC1042" s="27"/>
      <c r="BD1042" s="27"/>
      <c r="BE1042" s="27"/>
      <c r="BF1042" s="27"/>
      <c r="BG1042" s="27"/>
      <c r="BH1042" s="27"/>
      <c r="BI1042" s="139"/>
    </row>
    <row r="1043" spans="2:61" ht="20.100000000000001" customHeight="1" x14ac:dyDescent="0.45">
      <c r="B1043" s="133"/>
      <c r="C1043" s="27"/>
      <c r="D1043" s="27"/>
      <c r="E1043" s="27"/>
      <c r="F1043" s="27"/>
      <c r="G1043" s="134"/>
      <c r="H1043" s="135"/>
      <c r="I1043" s="27"/>
      <c r="J1043" s="144" t="s">
        <v>586</v>
      </c>
      <c r="K1043" s="145"/>
      <c r="L1043" s="145"/>
      <c r="M1043" s="145"/>
      <c r="N1043" s="145"/>
      <c r="O1043" s="145"/>
      <c r="P1043" s="145"/>
      <c r="Q1043" s="156"/>
      <c r="R1043" s="145" t="s">
        <v>587</v>
      </c>
      <c r="S1043" s="145"/>
      <c r="T1043" s="145"/>
      <c r="U1043" s="145"/>
      <c r="V1043" s="145"/>
      <c r="W1043" s="145"/>
      <c r="X1043" s="145"/>
      <c r="Y1043" s="145"/>
      <c r="Z1043" s="145"/>
      <c r="AA1043" s="145"/>
      <c r="AB1043" s="145"/>
      <c r="AC1043" s="145"/>
      <c r="AD1043" s="145"/>
      <c r="AE1043" s="145"/>
      <c r="AF1043" s="145"/>
      <c r="AG1043" s="145"/>
      <c r="AH1043" s="145"/>
      <c r="AI1043" s="145"/>
      <c r="AJ1043" s="156"/>
      <c r="AK1043" s="138"/>
      <c r="AL1043" s="27"/>
      <c r="AM1043" s="27"/>
      <c r="AN1043" s="27"/>
      <c r="AO1043" s="27"/>
      <c r="AP1043" s="27"/>
      <c r="AQ1043" s="148"/>
      <c r="AR1043" s="148"/>
      <c r="AS1043" s="27"/>
      <c r="AT1043" s="27"/>
      <c r="AU1043" s="27"/>
      <c r="AV1043" s="27"/>
      <c r="AW1043" s="27"/>
      <c r="AX1043" s="27"/>
      <c r="AY1043" s="27"/>
      <c r="AZ1043" s="27"/>
      <c r="BA1043" s="27"/>
      <c r="BB1043" s="27"/>
      <c r="BC1043" s="27"/>
      <c r="BD1043" s="27"/>
      <c r="BE1043" s="27"/>
      <c r="BF1043" s="27"/>
      <c r="BG1043" s="27"/>
      <c r="BH1043" s="27"/>
      <c r="BI1043" s="139"/>
    </row>
    <row r="1044" spans="2:61" ht="20.100000000000001" customHeight="1" x14ac:dyDescent="0.45">
      <c r="B1044" s="133"/>
      <c r="C1044" s="27"/>
      <c r="D1044" s="27"/>
      <c r="E1044" s="27"/>
      <c r="F1044" s="27"/>
      <c r="G1044" s="134"/>
      <c r="H1044" s="135"/>
      <c r="I1044" s="27"/>
      <c r="J1044" s="144" t="s">
        <v>588</v>
      </c>
      <c r="K1044" s="145"/>
      <c r="L1044" s="145"/>
      <c r="M1044" s="145"/>
      <c r="N1044" s="145"/>
      <c r="O1044" s="145"/>
      <c r="P1044" s="145"/>
      <c r="Q1044" s="156"/>
      <c r="R1044" s="145" t="s">
        <v>589</v>
      </c>
      <c r="S1044" s="145"/>
      <c r="T1044" s="145"/>
      <c r="U1044" s="145"/>
      <c r="V1044" s="145"/>
      <c r="W1044" s="145"/>
      <c r="X1044" s="145"/>
      <c r="Y1044" s="145"/>
      <c r="Z1044" s="145"/>
      <c r="AA1044" s="145"/>
      <c r="AB1044" s="145"/>
      <c r="AC1044" s="145"/>
      <c r="AD1044" s="145"/>
      <c r="AE1044" s="145"/>
      <c r="AF1044" s="145"/>
      <c r="AG1044" s="145"/>
      <c r="AH1044" s="145"/>
      <c r="AI1044" s="145"/>
      <c r="AJ1044" s="156"/>
      <c r="AK1044" s="138"/>
      <c r="AL1044" s="27"/>
      <c r="AM1044" s="27"/>
      <c r="AN1044" s="27"/>
      <c r="AO1044" s="27"/>
      <c r="AP1044" s="27"/>
      <c r="AQ1044" s="148"/>
      <c r="AR1044" s="148"/>
      <c r="AS1044" s="27"/>
      <c r="AT1044" s="27"/>
      <c r="AU1044" s="27"/>
      <c r="AV1044" s="27"/>
      <c r="AW1044" s="27"/>
      <c r="AX1044" s="27"/>
      <c r="AY1044" s="27"/>
      <c r="AZ1044" s="27"/>
      <c r="BA1044" s="27"/>
      <c r="BB1044" s="27"/>
      <c r="BC1044" s="27"/>
      <c r="BD1044" s="27"/>
      <c r="BE1044" s="27"/>
      <c r="BF1044" s="27"/>
      <c r="BG1044" s="27"/>
      <c r="BH1044" s="27"/>
      <c r="BI1044" s="139"/>
    </row>
    <row r="1045" spans="2:61" ht="20.100000000000001" customHeight="1" x14ac:dyDescent="0.45">
      <c r="B1045" s="133"/>
      <c r="C1045" s="27"/>
      <c r="D1045" s="27"/>
      <c r="E1045" s="27"/>
      <c r="F1045" s="27"/>
      <c r="G1045" s="134"/>
      <c r="H1045" s="135"/>
      <c r="I1045" s="27"/>
      <c r="J1045" s="144" t="s">
        <v>590</v>
      </c>
      <c r="K1045" s="145"/>
      <c r="L1045" s="145"/>
      <c r="M1045" s="145"/>
      <c r="N1045" s="145"/>
      <c r="O1045" s="145"/>
      <c r="P1045" s="145"/>
      <c r="Q1045" s="156"/>
      <c r="R1045" s="145" t="s">
        <v>591</v>
      </c>
      <c r="S1045" s="145"/>
      <c r="T1045" s="145"/>
      <c r="U1045" s="145"/>
      <c r="V1045" s="145"/>
      <c r="W1045" s="145"/>
      <c r="X1045" s="145"/>
      <c r="Y1045" s="145"/>
      <c r="Z1045" s="145"/>
      <c r="AA1045" s="145"/>
      <c r="AB1045" s="145"/>
      <c r="AC1045" s="145"/>
      <c r="AD1045" s="145"/>
      <c r="AE1045" s="145"/>
      <c r="AF1045" s="145"/>
      <c r="AG1045" s="145"/>
      <c r="AH1045" s="145"/>
      <c r="AI1045" s="145"/>
      <c r="AJ1045" s="156"/>
      <c r="AK1045" s="138"/>
      <c r="AL1045" s="27"/>
      <c r="AM1045" s="27"/>
      <c r="AN1045" s="27"/>
      <c r="AO1045" s="27"/>
      <c r="AP1045" s="27"/>
      <c r="AQ1045" s="148"/>
      <c r="AR1045" s="148"/>
      <c r="AS1045" s="27"/>
      <c r="AT1045" s="27"/>
      <c r="AU1045" s="27"/>
      <c r="AV1045" s="27"/>
      <c r="AW1045" s="27"/>
      <c r="AX1045" s="27"/>
      <c r="AY1045" s="27"/>
      <c r="AZ1045" s="27"/>
      <c r="BA1045" s="27"/>
      <c r="BB1045" s="27"/>
      <c r="BC1045" s="27"/>
      <c r="BD1045" s="27"/>
      <c r="BE1045" s="27"/>
      <c r="BF1045" s="27"/>
      <c r="BG1045" s="27"/>
      <c r="BH1045" s="27"/>
      <c r="BI1045" s="139"/>
    </row>
    <row r="1046" spans="2:61" ht="20.100000000000001" customHeight="1" x14ac:dyDescent="0.45">
      <c r="B1046" s="133"/>
      <c r="C1046" s="27"/>
      <c r="D1046" s="27"/>
      <c r="E1046" s="27"/>
      <c r="F1046" s="27"/>
      <c r="G1046" s="134"/>
      <c r="H1046" s="135"/>
      <c r="I1046" s="27"/>
      <c r="J1046" s="144" t="s">
        <v>592</v>
      </c>
      <c r="K1046" s="145"/>
      <c r="L1046" s="145"/>
      <c r="M1046" s="145"/>
      <c r="N1046" s="145"/>
      <c r="O1046" s="145"/>
      <c r="P1046" s="145"/>
      <c r="Q1046" s="156"/>
      <c r="R1046" s="145" t="s">
        <v>593</v>
      </c>
      <c r="S1046" s="145"/>
      <c r="T1046" s="145"/>
      <c r="U1046" s="145"/>
      <c r="V1046" s="145"/>
      <c r="W1046" s="145"/>
      <c r="X1046" s="145"/>
      <c r="Y1046" s="145"/>
      <c r="Z1046" s="145"/>
      <c r="AA1046" s="145"/>
      <c r="AB1046" s="145"/>
      <c r="AC1046" s="145"/>
      <c r="AD1046" s="145"/>
      <c r="AE1046" s="145"/>
      <c r="AF1046" s="145"/>
      <c r="AG1046" s="145"/>
      <c r="AH1046" s="145"/>
      <c r="AI1046" s="145"/>
      <c r="AJ1046" s="156"/>
      <c r="AK1046" s="138"/>
      <c r="AL1046" s="27"/>
      <c r="AM1046" s="27"/>
      <c r="AN1046" s="27"/>
      <c r="AO1046" s="27"/>
      <c r="AP1046" s="27"/>
      <c r="AQ1046" s="148"/>
      <c r="AR1046" s="148"/>
      <c r="AS1046" s="27"/>
      <c r="AT1046" s="27"/>
      <c r="AU1046" s="27"/>
      <c r="AV1046" s="27"/>
      <c r="AW1046" s="27"/>
      <c r="AX1046" s="27"/>
      <c r="AY1046" s="27"/>
      <c r="AZ1046" s="27"/>
      <c r="BA1046" s="27"/>
      <c r="BB1046" s="27"/>
      <c r="BC1046" s="27"/>
      <c r="BD1046" s="27"/>
      <c r="BE1046" s="27"/>
      <c r="BF1046" s="27"/>
      <c r="BG1046" s="27"/>
      <c r="BH1046" s="27"/>
      <c r="BI1046" s="139"/>
    </row>
    <row r="1047" spans="2:61" ht="20.100000000000001" customHeight="1" x14ac:dyDescent="0.45">
      <c r="B1047" s="133"/>
      <c r="C1047" s="27"/>
      <c r="D1047" s="27"/>
      <c r="E1047" s="27"/>
      <c r="F1047" s="27"/>
      <c r="G1047" s="134"/>
      <c r="H1047" s="135"/>
      <c r="I1047" s="27"/>
      <c r="J1047" s="144" t="s">
        <v>594</v>
      </c>
      <c r="K1047" s="145"/>
      <c r="L1047" s="145"/>
      <c r="M1047" s="145"/>
      <c r="N1047" s="145"/>
      <c r="O1047" s="145"/>
      <c r="P1047" s="145"/>
      <c r="Q1047" s="156"/>
      <c r="R1047" s="145" t="s">
        <v>595</v>
      </c>
      <c r="S1047" s="145"/>
      <c r="T1047" s="145"/>
      <c r="U1047" s="145"/>
      <c r="V1047" s="145"/>
      <c r="W1047" s="145"/>
      <c r="X1047" s="145"/>
      <c r="Y1047" s="145"/>
      <c r="Z1047" s="145"/>
      <c r="AA1047" s="145"/>
      <c r="AB1047" s="145"/>
      <c r="AC1047" s="145"/>
      <c r="AD1047" s="145"/>
      <c r="AE1047" s="145"/>
      <c r="AF1047" s="145"/>
      <c r="AG1047" s="145"/>
      <c r="AH1047" s="145"/>
      <c r="AI1047" s="145"/>
      <c r="AJ1047" s="156"/>
      <c r="AK1047" s="138"/>
      <c r="AL1047" s="27"/>
      <c r="AM1047" s="27"/>
      <c r="AN1047" s="27"/>
      <c r="AO1047" s="27"/>
      <c r="AP1047" s="27"/>
      <c r="AQ1047" s="148"/>
      <c r="AR1047" s="148"/>
      <c r="AS1047" s="27"/>
      <c r="AT1047" s="27"/>
      <c r="AU1047" s="27"/>
      <c r="AV1047" s="27"/>
      <c r="AW1047" s="27"/>
      <c r="AX1047" s="27"/>
      <c r="AY1047" s="27"/>
      <c r="AZ1047" s="27"/>
      <c r="BA1047" s="27"/>
      <c r="BB1047" s="27"/>
      <c r="BC1047" s="27"/>
      <c r="BD1047" s="27"/>
      <c r="BE1047" s="27"/>
      <c r="BF1047" s="27"/>
      <c r="BG1047" s="27"/>
      <c r="BH1047" s="27"/>
      <c r="BI1047" s="139"/>
    </row>
    <row r="1048" spans="2:61" ht="20.100000000000001" customHeight="1" x14ac:dyDescent="0.45">
      <c r="B1048" s="133"/>
      <c r="C1048" s="27"/>
      <c r="D1048" s="27"/>
      <c r="E1048" s="27"/>
      <c r="F1048" s="27"/>
      <c r="G1048" s="134"/>
      <c r="H1048" s="135"/>
      <c r="I1048" s="27"/>
      <c r="J1048" s="144" t="s">
        <v>596</v>
      </c>
      <c r="K1048" s="145"/>
      <c r="L1048" s="145"/>
      <c r="M1048" s="145"/>
      <c r="N1048" s="145"/>
      <c r="O1048" s="145"/>
      <c r="P1048" s="145"/>
      <c r="Q1048" s="156"/>
      <c r="R1048" s="145" t="s">
        <v>597</v>
      </c>
      <c r="S1048" s="145"/>
      <c r="T1048" s="145"/>
      <c r="U1048" s="145"/>
      <c r="V1048" s="145"/>
      <c r="W1048" s="145"/>
      <c r="X1048" s="145"/>
      <c r="Y1048" s="145"/>
      <c r="Z1048" s="145"/>
      <c r="AA1048" s="145"/>
      <c r="AB1048" s="145"/>
      <c r="AC1048" s="145"/>
      <c r="AD1048" s="145"/>
      <c r="AE1048" s="145"/>
      <c r="AF1048" s="145"/>
      <c r="AG1048" s="145"/>
      <c r="AH1048" s="145"/>
      <c r="AI1048" s="145"/>
      <c r="AJ1048" s="156"/>
      <c r="AK1048" s="138"/>
      <c r="AL1048" s="27"/>
      <c r="AM1048" s="27"/>
      <c r="AN1048" s="27"/>
      <c r="AO1048" s="27"/>
      <c r="AP1048" s="27"/>
      <c r="AQ1048" s="148"/>
      <c r="AR1048" s="148"/>
      <c r="AS1048" s="27"/>
      <c r="AT1048" s="27"/>
      <c r="AU1048" s="27"/>
      <c r="AV1048" s="27"/>
      <c r="AW1048" s="27"/>
      <c r="AX1048" s="27"/>
      <c r="AY1048" s="27"/>
      <c r="AZ1048" s="27"/>
      <c r="BA1048" s="27"/>
      <c r="BB1048" s="27"/>
      <c r="BC1048" s="27"/>
      <c r="BD1048" s="27"/>
      <c r="BE1048" s="27"/>
      <c r="BF1048" s="27"/>
      <c r="BG1048" s="27"/>
      <c r="BH1048" s="27"/>
      <c r="BI1048" s="139"/>
    </row>
    <row r="1049" spans="2:61" ht="20.100000000000001" customHeight="1" x14ac:dyDescent="0.45">
      <c r="B1049" s="133"/>
      <c r="C1049" s="27"/>
      <c r="D1049" s="27"/>
      <c r="E1049" s="27"/>
      <c r="F1049" s="27"/>
      <c r="G1049" s="134"/>
      <c r="H1049" s="135"/>
      <c r="I1049" s="27"/>
      <c r="J1049" s="144" t="s">
        <v>310</v>
      </c>
      <c r="K1049" s="145"/>
      <c r="L1049" s="145"/>
      <c r="M1049" s="145"/>
      <c r="N1049" s="145"/>
      <c r="O1049" s="145"/>
      <c r="P1049" s="145"/>
      <c r="Q1049" s="156"/>
      <c r="R1049" s="145" t="s">
        <v>598</v>
      </c>
      <c r="S1049" s="145"/>
      <c r="T1049" s="145"/>
      <c r="U1049" s="145"/>
      <c r="V1049" s="145"/>
      <c r="W1049" s="145"/>
      <c r="X1049" s="145"/>
      <c r="Y1049" s="145"/>
      <c r="Z1049" s="145"/>
      <c r="AA1049" s="145"/>
      <c r="AB1049" s="145"/>
      <c r="AC1049" s="145"/>
      <c r="AD1049" s="145"/>
      <c r="AE1049" s="145"/>
      <c r="AF1049" s="145"/>
      <c r="AG1049" s="145"/>
      <c r="AH1049" s="145"/>
      <c r="AI1049" s="145"/>
      <c r="AJ1049" s="156"/>
      <c r="AK1049" s="138"/>
      <c r="AL1049" s="27"/>
      <c r="AM1049" s="27"/>
      <c r="AN1049" s="27"/>
      <c r="AO1049" s="27"/>
      <c r="AP1049" s="27"/>
      <c r="AQ1049" s="148"/>
      <c r="AR1049" s="148"/>
      <c r="AS1049" s="27"/>
      <c r="AT1049" s="27"/>
      <c r="AU1049" s="27"/>
      <c r="AV1049" s="27"/>
      <c r="AW1049" s="27"/>
      <c r="AX1049" s="27"/>
      <c r="AY1049" s="27"/>
      <c r="AZ1049" s="27"/>
      <c r="BA1049" s="27"/>
      <c r="BB1049" s="27"/>
      <c r="BC1049" s="27"/>
      <c r="BD1049" s="27"/>
      <c r="BE1049" s="27"/>
      <c r="BF1049" s="27"/>
      <c r="BG1049" s="27"/>
      <c r="BH1049" s="27"/>
      <c r="BI1049" s="139"/>
    </row>
    <row r="1050" spans="2:61" ht="20.100000000000001" customHeight="1" x14ac:dyDescent="0.45">
      <c r="B1050" s="133"/>
      <c r="C1050" s="27"/>
      <c r="D1050" s="27"/>
      <c r="E1050" s="27"/>
      <c r="F1050" s="27"/>
      <c r="G1050" s="134"/>
      <c r="H1050" s="135"/>
      <c r="I1050" s="27"/>
      <c r="J1050" s="144" t="s">
        <v>599</v>
      </c>
      <c r="K1050" s="145"/>
      <c r="L1050" s="145"/>
      <c r="M1050" s="145"/>
      <c r="N1050" s="145"/>
      <c r="O1050" s="145"/>
      <c r="P1050" s="145"/>
      <c r="Q1050" s="156"/>
      <c r="R1050" s="145" t="s">
        <v>600</v>
      </c>
      <c r="S1050" s="145"/>
      <c r="T1050" s="145"/>
      <c r="U1050" s="145"/>
      <c r="V1050" s="145"/>
      <c r="W1050" s="145"/>
      <c r="X1050" s="145"/>
      <c r="Y1050" s="145"/>
      <c r="Z1050" s="145"/>
      <c r="AA1050" s="145"/>
      <c r="AB1050" s="145"/>
      <c r="AC1050" s="145"/>
      <c r="AD1050" s="145"/>
      <c r="AE1050" s="145"/>
      <c r="AF1050" s="145"/>
      <c r="AG1050" s="145"/>
      <c r="AH1050" s="145"/>
      <c r="AI1050" s="145"/>
      <c r="AJ1050" s="156"/>
      <c r="AK1050" s="138"/>
      <c r="AL1050" s="27"/>
      <c r="AM1050" s="27"/>
      <c r="AN1050" s="27"/>
      <c r="AO1050" s="27"/>
      <c r="AP1050" s="27"/>
      <c r="AQ1050" s="148"/>
      <c r="AR1050" s="148"/>
      <c r="AS1050" s="27"/>
      <c r="AT1050" s="27"/>
      <c r="AU1050" s="27"/>
      <c r="AV1050" s="27"/>
      <c r="AW1050" s="27"/>
      <c r="AX1050" s="27"/>
      <c r="AY1050" s="27"/>
      <c r="AZ1050" s="27"/>
      <c r="BA1050" s="27"/>
      <c r="BB1050" s="27"/>
      <c r="BC1050" s="27"/>
      <c r="BD1050" s="27"/>
      <c r="BE1050" s="27"/>
      <c r="BF1050" s="27"/>
      <c r="BG1050" s="27"/>
      <c r="BH1050" s="27"/>
      <c r="BI1050" s="139"/>
    </row>
    <row r="1051" spans="2:61" ht="20.100000000000001" customHeight="1" x14ac:dyDescent="0.45">
      <c r="B1051" s="133"/>
      <c r="C1051" s="27"/>
      <c r="D1051" s="27"/>
      <c r="E1051" s="27"/>
      <c r="F1051" s="27"/>
      <c r="G1051" s="134"/>
      <c r="H1051" s="135"/>
      <c r="I1051" s="27"/>
      <c r="J1051" s="144" t="s">
        <v>601</v>
      </c>
      <c r="K1051" s="145"/>
      <c r="L1051" s="145"/>
      <c r="M1051" s="145"/>
      <c r="N1051" s="145"/>
      <c r="O1051" s="145"/>
      <c r="P1051" s="145"/>
      <c r="Q1051" s="156"/>
      <c r="R1051" s="145" t="s">
        <v>602</v>
      </c>
      <c r="S1051" s="145"/>
      <c r="T1051" s="145"/>
      <c r="U1051" s="145"/>
      <c r="V1051" s="145"/>
      <c r="W1051" s="145"/>
      <c r="X1051" s="145"/>
      <c r="Y1051" s="145"/>
      <c r="Z1051" s="145"/>
      <c r="AA1051" s="145"/>
      <c r="AB1051" s="145"/>
      <c r="AC1051" s="145"/>
      <c r="AD1051" s="145"/>
      <c r="AE1051" s="145"/>
      <c r="AF1051" s="145"/>
      <c r="AG1051" s="145"/>
      <c r="AH1051" s="145"/>
      <c r="AI1051" s="145"/>
      <c r="AJ1051" s="156"/>
      <c r="AK1051" s="138"/>
      <c r="AL1051" s="27"/>
      <c r="AM1051" s="27"/>
      <c r="AN1051" s="27"/>
      <c r="AO1051" s="27"/>
      <c r="AP1051" s="27"/>
      <c r="AQ1051" s="148"/>
      <c r="AR1051" s="148"/>
      <c r="AS1051" s="27"/>
      <c r="AT1051" s="27"/>
      <c r="AU1051" s="27"/>
      <c r="AV1051" s="27"/>
      <c r="AW1051" s="27"/>
      <c r="AX1051" s="27"/>
      <c r="AY1051" s="27"/>
      <c r="AZ1051" s="27"/>
      <c r="BA1051" s="27"/>
      <c r="BB1051" s="27"/>
      <c r="BC1051" s="27"/>
      <c r="BD1051" s="27"/>
      <c r="BE1051" s="27"/>
      <c r="BF1051" s="27"/>
      <c r="BG1051" s="27"/>
      <c r="BH1051" s="27"/>
      <c r="BI1051" s="139"/>
    </row>
    <row r="1052" spans="2:61" ht="20.100000000000001" customHeight="1" x14ac:dyDescent="0.45">
      <c r="B1052" s="133"/>
      <c r="C1052" s="27"/>
      <c r="D1052" s="27"/>
      <c r="E1052" s="27"/>
      <c r="F1052" s="27"/>
      <c r="G1052" s="134"/>
      <c r="H1052" s="135"/>
      <c r="I1052" s="27"/>
      <c r="J1052" s="144" t="s">
        <v>603</v>
      </c>
      <c r="K1052" s="145"/>
      <c r="L1052" s="145"/>
      <c r="M1052" s="145"/>
      <c r="N1052" s="145"/>
      <c r="O1052" s="145"/>
      <c r="P1052" s="145"/>
      <c r="Q1052" s="156"/>
      <c r="R1052" s="145" t="s">
        <v>604</v>
      </c>
      <c r="S1052" s="145"/>
      <c r="T1052" s="145"/>
      <c r="U1052" s="145"/>
      <c r="V1052" s="145"/>
      <c r="W1052" s="145"/>
      <c r="X1052" s="145"/>
      <c r="Y1052" s="145"/>
      <c r="Z1052" s="145"/>
      <c r="AA1052" s="145"/>
      <c r="AB1052" s="145"/>
      <c r="AC1052" s="145"/>
      <c r="AD1052" s="145"/>
      <c r="AE1052" s="145"/>
      <c r="AF1052" s="145"/>
      <c r="AG1052" s="145"/>
      <c r="AH1052" s="145"/>
      <c r="AI1052" s="145"/>
      <c r="AJ1052" s="156"/>
      <c r="AK1052" s="138"/>
      <c r="AL1052" s="27"/>
      <c r="AM1052" s="27"/>
      <c r="AN1052" s="27"/>
      <c r="AO1052" s="27"/>
      <c r="AP1052" s="27"/>
      <c r="AQ1052" s="148"/>
      <c r="AR1052" s="148"/>
      <c r="AS1052" s="27"/>
      <c r="AT1052" s="27"/>
      <c r="AU1052" s="27"/>
      <c r="AV1052" s="27"/>
      <c r="AW1052" s="27"/>
      <c r="AX1052" s="27"/>
      <c r="AY1052" s="27"/>
      <c r="AZ1052" s="27"/>
      <c r="BA1052" s="27"/>
      <c r="BB1052" s="27"/>
      <c r="BC1052" s="27"/>
      <c r="BD1052" s="27"/>
      <c r="BE1052" s="27"/>
      <c r="BF1052" s="27"/>
      <c r="BG1052" s="27"/>
      <c r="BH1052" s="27"/>
      <c r="BI1052" s="139"/>
    </row>
    <row r="1053" spans="2:61" ht="20.100000000000001" customHeight="1" x14ac:dyDescent="0.45">
      <c r="B1053" s="133"/>
      <c r="C1053" s="27"/>
      <c r="D1053" s="27"/>
      <c r="E1053" s="27"/>
      <c r="F1053" s="27"/>
      <c r="G1053" s="134"/>
      <c r="H1053" s="135"/>
      <c r="I1053" s="27"/>
      <c r="J1053" s="144" t="s">
        <v>605</v>
      </c>
      <c r="K1053" s="145"/>
      <c r="L1053" s="145"/>
      <c r="M1053" s="145"/>
      <c r="N1053" s="145"/>
      <c r="O1053" s="145"/>
      <c r="P1053" s="145"/>
      <c r="Q1053" s="156"/>
      <c r="R1053" s="145" t="s">
        <v>606</v>
      </c>
      <c r="S1053" s="145"/>
      <c r="T1053" s="145"/>
      <c r="U1053" s="145"/>
      <c r="V1053" s="145"/>
      <c r="W1053" s="145"/>
      <c r="X1053" s="145"/>
      <c r="Y1053" s="145"/>
      <c r="Z1053" s="145"/>
      <c r="AA1053" s="145"/>
      <c r="AB1053" s="145"/>
      <c r="AC1053" s="145"/>
      <c r="AD1053" s="145"/>
      <c r="AE1053" s="145"/>
      <c r="AF1053" s="145"/>
      <c r="AG1053" s="145"/>
      <c r="AH1053" s="145"/>
      <c r="AI1053" s="145"/>
      <c r="AJ1053" s="156"/>
      <c r="AK1053" s="138"/>
      <c r="AL1053" s="27"/>
      <c r="AM1053" s="27"/>
      <c r="AN1053" s="27"/>
      <c r="AO1053" s="27"/>
      <c r="AP1053" s="27"/>
      <c r="AQ1053" s="148"/>
      <c r="AR1053" s="148"/>
      <c r="AS1053" s="27"/>
      <c r="AT1053" s="27"/>
      <c r="AU1053" s="27"/>
      <c r="AV1053" s="27"/>
      <c r="AW1053" s="27"/>
      <c r="AX1053" s="27"/>
      <c r="AY1053" s="27"/>
      <c r="AZ1053" s="27"/>
      <c r="BA1053" s="27"/>
      <c r="BB1053" s="27"/>
      <c r="BC1053" s="27"/>
      <c r="BD1053" s="27"/>
      <c r="BE1053" s="27"/>
      <c r="BF1053" s="27"/>
      <c r="BG1053" s="27"/>
      <c r="BH1053" s="27"/>
      <c r="BI1053" s="139"/>
    </row>
    <row r="1054" spans="2:61" ht="20.100000000000001" customHeight="1" x14ac:dyDescent="0.45">
      <c r="B1054" s="133"/>
      <c r="C1054" s="27"/>
      <c r="D1054" s="27"/>
      <c r="E1054" s="27"/>
      <c r="F1054" s="27"/>
      <c r="G1054" s="134"/>
      <c r="H1054" s="135"/>
      <c r="I1054" s="27"/>
      <c r="J1054" s="144" t="s">
        <v>607</v>
      </c>
      <c r="K1054" s="145"/>
      <c r="L1054" s="145"/>
      <c r="M1054" s="145"/>
      <c r="N1054" s="145"/>
      <c r="O1054" s="145"/>
      <c r="P1054" s="145"/>
      <c r="Q1054" s="156"/>
      <c r="R1054" s="145" t="s">
        <v>608</v>
      </c>
      <c r="S1054" s="145"/>
      <c r="T1054" s="145"/>
      <c r="U1054" s="145"/>
      <c r="V1054" s="145"/>
      <c r="W1054" s="145"/>
      <c r="X1054" s="145"/>
      <c r="Y1054" s="145"/>
      <c r="Z1054" s="145"/>
      <c r="AA1054" s="145"/>
      <c r="AB1054" s="145"/>
      <c r="AC1054" s="145"/>
      <c r="AD1054" s="145"/>
      <c r="AE1054" s="145"/>
      <c r="AF1054" s="145"/>
      <c r="AG1054" s="145"/>
      <c r="AH1054" s="145"/>
      <c r="AI1054" s="145"/>
      <c r="AJ1054" s="156"/>
      <c r="AK1054" s="138"/>
      <c r="AL1054" s="27"/>
      <c r="AM1054" s="27"/>
      <c r="AN1054" s="27"/>
      <c r="AO1054" s="27"/>
      <c r="AP1054" s="27"/>
      <c r="AQ1054" s="148"/>
      <c r="AR1054" s="148"/>
      <c r="AS1054" s="27"/>
      <c r="AT1054" s="27"/>
      <c r="AU1054" s="27"/>
      <c r="AV1054" s="27"/>
      <c r="AW1054" s="27"/>
      <c r="AX1054" s="27"/>
      <c r="AY1054" s="27"/>
      <c r="AZ1054" s="27"/>
      <c r="BA1054" s="27"/>
      <c r="BB1054" s="27"/>
      <c r="BC1054" s="27"/>
      <c r="BD1054" s="27"/>
      <c r="BE1054" s="27"/>
      <c r="BF1054" s="27"/>
      <c r="BG1054" s="27"/>
      <c r="BH1054" s="27"/>
      <c r="BI1054" s="139"/>
    </row>
    <row r="1055" spans="2:61" ht="20.100000000000001" customHeight="1" x14ac:dyDescent="0.45">
      <c r="B1055" s="133"/>
      <c r="C1055" s="27"/>
      <c r="D1055" s="27"/>
      <c r="E1055" s="27"/>
      <c r="F1055" s="27"/>
      <c r="G1055" s="134"/>
      <c r="H1055" s="135"/>
      <c r="I1055" s="27"/>
      <c r="J1055" s="144" t="s">
        <v>609</v>
      </c>
      <c r="K1055" s="145"/>
      <c r="L1055" s="145"/>
      <c r="M1055" s="145"/>
      <c r="N1055" s="145"/>
      <c r="O1055" s="145"/>
      <c r="P1055" s="145"/>
      <c r="Q1055" s="156"/>
      <c r="R1055" s="145" t="s">
        <v>610</v>
      </c>
      <c r="S1055" s="145"/>
      <c r="T1055" s="145"/>
      <c r="U1055" s="145"/>
      <c r="V1055" s="145"/>
      <c r="W1055" s="145"/>
      <c r="X1055" s="145"/>
      <c r="Y1055" s="145"/>
      <c r="Z1055" s="145"/>
      <c r="AA1055" s="145"/>
      <c r="AB1055" s="145"/>
      <c r="AC1055" s="145"/>
      <c r="AD1055" s="145"/>
      <c r="AE1055" s="145"/>
      <c r="AF1055" s="145"/>
      <c r="AG1055" s="145"/>
      <c r="AH1055" s="145"/>
      <c r="AI1055" s="145"/>
      <c r="AJ1055" s="156"/>
      <c r="AK1055" s="138"/>
      <c r="AL1055" s="27"/>
      <c r="AM1055" s="27"/>
      <c r="AN1055" s="27"/>
      <c r="AO1055" s="27"/>
      <c r="AP1055" s="27"/>
      <c r="AQ1055" s="148"/>
      <c r="AR1055" s="148"/>
      <c r="AS1055" s="27"/>
      <c r="AT1055" s="27"/>
      <c r="AU1055" s="27"/>
      <c r="AV1055" s="27"/>
      <c r="AW1055" s="27"/>
      <c r="AX1055" s="27"/>
      <c r="AY1055" s="27"/>
      <c r="AZ1055" s="27"/>
      <c r="BA1055" s="27"/>
      <c r="BB1055" s="27"/>
      <c r="BC1055" s="27"/>
      <c r="BD1055" s="27"/>
      <c r="BE1055" s="27"/>
      <c r="BF1055" s="27"/>
      <c r="BG1055" s="27"/>
      <c r="BH1055" s="27"/>
      <c r="BI1055" s="139"/>
    </row>
    <row r="1056" spans="2:61" ht="20.100000000000001" customHeight="1" x14ac:dyDescent="0.45">
      <c r="B1056" s="133"/>
      <c r="C1056" s="27"/>
      <c r="D1056" s="27"/>
      <c r="E1056" s="27"/>
      <c r="F1056" s="27"/>
      <c r="G1056" s="134"/>
      <c r="H1056" s="135"/>
      <c r="I1056" s="27"/>
      <c r="J1056" s="144" t="s">
        <v>611</v>
      </c>
      <c r="K1056" s="145"/>
      <c r="L1056" s="145"/>
      <c r="M1056" s="145"/>
      <c r="N1056" s="145"/>
      <c r="O1056" s="145"/>
      <c r="P1056" s="145"/>
      <c r="Q1056" s="156"/>
      <c r="R1056" s="145" t="s">
        <v>612</v>
      </c>
      <c r="S1056" s="145"/>
      <c r="T1056" s="145"/>
      <c r="U1056" s="145"/>
      <c r="V1056" s="145"/>
      <c r="W1056" s="145"/>
      <c r="X1056" s="145"/>
      <c r="Y1056" s="145"/>
      <c r="Z1056" s="145"/>
      <c r="AA1056" s="145"/>
      <c r="AB1056" s="145"/>
      <c r="AC1056" s="145"/>
      <c r="AD1056" s="145"/>
      <c r="AE1056" s="145"/>
      <c r="AF1056" s="145"/>
      <c r="AG1056" s="145"/>
      <c r="AH1056" s="145"/>
      <c r="AI1056" s="145"/>
      <c r="AJ1056" s="156"/>
      <c r="AK1056" s="138"/>
      <c r="AL1056" s="27"/>
      <c r="AM1056" s="27"/>
      <c r="AN1056" s="27"/>
      <c r="AO1056" s="27"/>
      <c r="AP1056" s="27"/>
      <c r="AQ1056" s="148"/>
      <c r="AR1056" s="148"/>
      <c r="AS1056" s="27"/>
      <c r="AT1056" s="27"/>
      <c r="AU1056" s="27"/>
      <c r="AV1056" s="27"/>
      <c r="AW1056" s="27"/>
      <c r="AX1056" s="27"/>
      <c r="AY1056" s="27"/>
      <c r="AZ1056" s="27"/>
      <c r="BA1056" s="27"/>
      <c r="BB1056" s="27"/>
      <c r="BC1056" s="27"/>
      <c r="BD1056" s="27"/>
      <c r="BE1056" s="27"/>
      <c r="BF1056" s="27"/>
      <c r="BG1056" s="27"/>
      <c r="BH1056" s="27"/>
      <c r="BI1056" s="139"/>
    </row>
    <row r="1057" spans="2:61" ht="20.100000000000001" customHeight="1" x14ac:dyDescent="0.45">
      <c r="B1057" s="133"/>
      <c r="C1057" s="27"/>
      <c r="D1057" s="27"/>
      <c r="E1057" s="27"/>
      <c r="F1057" s="27"/>
      <c r="G1057" s="134"/>
      <c r="H1057" s="135"/>
      <c r="I1057" s="27"/>
      <c r="J1057" s="144" t="s">
        <v>613</v>
      </c>
      <c r="K1057" s="145"/>
      <c r="L1057" s="145"/>
      <c r="M1057" s="145"/>
      <c r="N1057" s="145"/>
      <c r="O1057" s="145"/>
      <c r="P1057" s="145"/>
      <c r="Q1057" s="156"/>
      <c r="R1057" s="145" t="s">
        <v>614</v>
      </c>
      <c r="S1057" s="145"/>
      <c r="T1057" s="145"/>
      <c r="U1057" s="145"/>
      <c r="V1057" s="145"/>
      <c r="W1057" s="145"/>
      <c r="X1057" s="145"/>
      <c r="Y1057" s="145"/>
      <c r="Z1057" s="145"/>
      <c r="AA1057" s="145"/>
      <c r="AB1057" s="145"/>
      <c r="AC1057" s="145"/>
      <c r="AD1057" s="145"/>
      <c r="AE1057" s="145"/>
      <c r="AF1057" s="145"/>
      <c r="AG1057" s="145"/>
      <c r="AH1057" s="145"/>
      <c r="AI1057" s="145"/>
      <c r="AJ1057" s="156"/>
      <c r="AK1057" s="138"/>
      <c r="AL1057" s="27"/>
      <c r="AM1057" s="27"/>
      <c r="AN1057" s="27"/>
      <c r="AO1057" s="27"/>
      <c r="AP1057" s="27"/>
      <c r="AQ1057" s="148"/>
      <c r="AR1057" s="148"/>
      <c r="AS1057" s="27"/>
      <c r="AT1057" s="27"/>
      <c r="AU1057" s="27"/>
      <c r="AV1057" s="27"/>
      <c r="AW1057" s="27"/>
      <c r="AX1057" s="27"/>
      <c r="AY1057" s="27"/>
      <c r="AZ1057" s="27"/>
      <c r="BA1057" s="27"/>
      <c r="BB1057" s="27"/>
      <c r="BC1057" s="27"/>
      <c r="BD1057" s="27"/>
      <c r="BE1057" s="27"/>
      <c r="BF1057" s="27"/>
      <c r="BG1057" s="27"/>
      <c r="BH1057" s="27"/>
      <c r="BI1057" s="139"/>
    </row>
    <row r="1058" spans="2:61" ht="20.100000000000001" customHeight="1" x14ac:dyDescent="0.45">
      <c r="B1058" s="133"/>
      <c r="C1058" s="27"/>
      <c r="D1058" s="27"/>
      <c r="E1058" s="27"/>
      <c r="F1058" s="27"/>
      <c r="G1058" s="134"/>
      <c r="H1058" s="135"/>
      <c r="I1058" s="27"/>
      <c r="J1058" s="144" t="s">
        <v>615</v>
      </c>
      <c r="K1058" s="145"/>
      <c r="L1058" s="145"/>
      <c r="M1058" s="145"/>
      <c r="N1058" s="145"/>
      <c r="O1058" s="145"/>
      <c r="P1058" s="145"/>
      <c r="Q1058" s="156"/>
      <c r="R1058" s="145" t="s">
        <v>616</v>
      </c>
      <c r="S1058" s="145"/>
      <c r="T1058" s="145"/>
      <c r="U1058" s="145"/>
      <c r="V1058" s="145"/>
      <c r="W1058" s="145"/>
      <c r="X1058" s="145"/>
      <c r="Y1058" s="145"/>
      <c r="Z1058" s="145"/>
      <c r="AA1058" s="145"/>
      <c r="AB1058" s="145"/>
      <c r="AC1058" s="145"/>
      <c r="AD1058" s="145"/>
      <c r="AE1058" s="145"/>
      <c r="AF1058" s="145"/>
      <c r="AG1058" s="145"/>
      <c r="AH1058" s="145"/>
      <c r="AI1058" s="145"/>
      <c r="AJ1058" s="156"/>
      <c r="AK1058" s="138"/>
      <c r="AL1058" s="27"/>
      <c r="AM1058" s="27"/>
      <c r="AN1058" s="27"/>
      <c r="AO1058" s="27"/>
      <c r="AP1058" s="27"/>
      <c r="AQ1058" s="148"/>
      <c r="AR1058" s="148"/>
      <c r="AS1058" s="27"/>
      <c r="AT1058" s="27"/>
      <c r="AU1058" s="27"/>
      <c r="AV1058" s="27"/>
      <c r="AW1058" s="27"/>
      <c r="AX1058" s="27"/>
      <c r="AY1058" s="27"/>
      <c r="AZ1058" s="27"/>
      <c r="BA1058" s="27"/>
      <c r="BB1058" s="27"/>
      <c r="BC1058" s="27"/>
      <c r="BD1058" s="27"/>
      <c r="BE1058" s="27"/>
      <c r="BF1058" s="27"/>
      <c r="BG1058" s="27"/>
      <c r="BH1058" s="27"/>
      <c r="BI1058" s="139"/>
    </row>
    <row r="1059" spans="2:61" ht="20.100000000000001" customHeight="1" x14ac:dyDescent="0.45">
      <c r="B1059" s="133"/>
      <c r="C1059" s="27"/>
      <c r="D1059" s="27"/>
      <c r="E1059" s="27"/>
      <c r="F1059" s="27"/>
      <c r="G1059" s="134"/>
      <c r="H1059" s="135"/>
      <c r="I1059" s="27"/>
      <c r="J1059" s="144" t="s">
        <v>617</v>
      </c>
      <c r="K1059" s="145"/>
      <c r="L1059" s="145"/>
      <c r="M1059" s="145"/>
      <c r="N1059" s="145"/>
      <c r="O1059" s="145"/>
      <c r="P1059" s="145"/>
      <c r="Q1059" s="156"/>
      <c r="R1059" s="145" t="s">
        <v>618</v>
      </c>
      <c r="S1059" s="145"/>
      <c r="T1059" s="145"/>
      <c r="U1059" s="145"/>
      <c r="V1059" s="145"/>
      <c r="W1059" s="145"/>
      <c r="X1059" s="145"/>
      <c r="Y1059" s="145"/>
      <c r="Z1059" s="145"/>
      <c r="AA1059" s="145"/>
      <c r="AB1059" s="145"/>
      <c r="AC1059" s="145"/>
      <c r="AD1059" s="145"/>
      <c r="AE1059" s="145"/>
      <c r="AF1059" s="145"/>
      <c r="AG1059" s="145"/>
      <c r="AH1059" s="145"/>
      <c r="AI1059" s="145"/>
      <c r="AJ1059" s="156"/>
      <c r="AK1059" s="138"/>
      <c r="AL1059" s="27"/>
      <c r="AM1059" s="27"/>
      <c r="AN1059" s="27"/>
      <c r="AO1059" s="27"/>
      <c r="AP1059" s="27"/>
      <c r="AQ1059" s="148"/>
      <c r="AR1059" s="148"/>
      <c r="AS1059" s="27"/>
      <c r="AT1059" s="27"/>
      <c r="AU1059" s="27"/>
      <c r="AV1059" s="27"/>
      <c r="AW1059" s="27"/>
      <c r="AX1059" s="27"/>
      <c r="AY1059" s="27"/>
      <c r="AZ1059" s="27"/>
      <c r="BA1059" s="27"/>
      <c r="BB1059" s="27"/>
      <c r="BC1059" s="27"/>
      <c r="BD1059" s="27"/>
      <c r="BE1059" s="27"/>
      <c r="BF1059" s="27"/>
      <c r="BG1059" s="27"/>
      <c r="BH1059" s="27"/>
      <c r="BI1059" s="139"/>
    </row>
    <row r="1060" spans="2:61" ht="20.100000000000001" customHeight="1" x14ac:dyDescent="0.45">
      <c r="B1060" s="133"/>
      <c r="C1060" s="27"/>
      <c r="D1060" s="27"/>
      <c r="E1060" s="27"/>
      <c r="F1060" s="27"/>
      <c r="G1060" s="134"/>
      <c r="H1060" s="135"/>
      <c r="I1060" s="27"/>
      <c r="J1060" s="144" t="s">
        <v>619</v>
      </c>
      <c r="K1060" s="145"/>
      <c r="L1060" s="145"/>
      <c r="M1060" s="145"/>
      <c r="N1060" s="145"/>
      <c r="O1060" s="145"/>
      <c r="P1060" s="145"/>
      <c r="Q1060" s="156"/>
      <c r="R1060" s="145" t="s">
        <v>620</v>
      </c>
      <c r="S1060" s="145"/>
      <c r="T1060" s="145"/>
      <c r="U1060" s="145"/>
      <c r="V1060" s="145"/>
      <c r="W1060" s="145"/>
      <c r="X1060" s="145"/>
      <c r="Y1060" s="145"/>
      <c r="Z1060" s="145"/>
      <c r="AA1060" s="145"/>
      <c r="AB1060" s="145"/>
      <c r="AC1060" s="145"/>
      <c r="AD1060" s="145"/>
      <c r="AE1060" s="145"/>
      <c r="AF1060" s="145"/>
      <c r="AG1060" s="145"/>
      <c r="AH1060" s="145"/>
      <c r="AI1060" s="145"/>
      <c r="AJ1060" s="156"/>
      <c r="AK1060" s="138"/>
      <c r="AL1060" s="27"/>
      <c r="AM1060" s="27"/>
      <c r="AN1060" s="27"/>
      <c r="AO1060" s="27"/>
      <c r="AP1060" s="27"/>
      <c r="AQ1060" s="148"/>
      <c r="AR1060" s="148"/>
      <c r="AS1060" s="27"/>
      <c r="AT1060" s="27"/>
      <c r="AU1060" s="27"/>
      <c r="AV1060" s="27"/>
      <c r="AW1060" s="27"/>
      <c r="AX1060" s="27"/>
      <c r="AY1060" s="27"/>
      <c r="AZ1060" s="27"/>
      <c r="BA1060" s="27"/>
      <c r="BB1060" s="27"/>
      <c r="BC1060" s="27"/>
      <c r="BD1060" s="27"/>
      <c r="BE1060" s="27"/>
      <c r="BF1060" s="27"/>
      <c r="BG1060" s="27"/>
      <c r="BH1060" s="27"/>
      <c r="BI1060" s="139"/>
    </row>
    <row r="1061" spans="2:61" ht="20.100000000000001" customHeight="1" x14ac:dyDescent="0.45">
      <c r="B1061" s="133"/>
      <c r="C1061" s="27"/>
      <c r="D1061" s="27"/>
      <c r="E1061" s="27"/>
      <c r="F1061" s="27"/>
      <c r="G1061" s="134"/>
      <c r="H1061" s="135"/>
      <c r="I1061" s="27"/>
      <c r="J1061" s="144" t="s">
        <v>621</v>
      </c>
      <c r="K1061" s="145"/>
      <c r="L1061" s="145"/>
      <c r="M1061" s="145"/>
      <c r="N1061" s="145"/>
      <c r="O1061" s="145"/>
      <c r="P1061" s="145"/>
      <c r="Q1061" s="156"/>
      <c r="R1061" s="145" t="s">
        <v>622</v>
      </c>
      <c r="S1061" s="145"/>
      <c r="T1061" s="145"/>
      <c r="U1061" s="145"/>
      <c r="V1061" s="145"/>
      <c r="W1061" s="145"/>
      <c r="X1061" s="145"/>
      <c r="Y1061" s="145"/>
      <c r="Z1061" s="145"/>
      <c r="AA1061" s="145"/>
      <c r="AB1061" s="145"/>
      <c r="AC1061" s="145"/>
      <c r="AD1061" s="145"/>
      <c r="AE1061" s="145"/>
      <c r="AF1061" s="145"/>
      <c r="AG1061" s="145"/>
      <c r="AH1061" s="145"/>
      <c r="AI1061" s="145"/>
      <c r="AJ1061" s="156"/>
      <c r="AK1061" s="138"/>
      <c r="AL1061" s="27"/>
      <c r="AM1061" s="27"/>
      <c r="AN1061" s="27"/>
      <c r="AO1061" s="27"/>
      <c r="AP1061" s="27"/>
      <c r="AQ1061" s="148"/>
      <c r="AR1061" s="148"/>
      <c r="AS1061" s="27"/>
      <c r="AT1061" s="27"/>
      <c r="AU1061" s="27"/>
      <c r="AV1061" s="27"/>
      <c r="AW1061" s="27"/>
      <c r="AX1061" s="27"/>
      <c r="AY1061" s="27"/>
      <c r="AZ1061" s="27"/>
      <c r="BA1061" s="27"/>
      <c r="BB1061" s="27"/>
      <c r="BC1061" s="27"/>
      <c r="BD1061" s="27"/>
      <c r="BE1061" s="27"/>
      <c r="BF1061" s="27"/>
      <c r="BG1061" s="27"/>
      <c r="BH1061" s="27"/>
      <c r="BI1061" s="139"/>
    </row>
    <row r="1062" spans="2:61" ht="20.100000000000001" customHeight="1" x14ac:dyDescent="0.45">
      <c r="B1062" s="133"/>
      <c r="C1062" s="27"/>
      <c r="D1062" s="27"/>
      <c r="E1062" s="27"/>
      <c r="F1062" s="27"/>
      <c r="G1062" s="134"/>
      <c r="H1062" s="135"/>
      <c r="I1062" s="27"/>
      <c r="J1062" s="144" t="s">
        <v>623</v>
      </c>
      <c r="K1062" s="145"/>
      <c r="L1062" s="145"/>
      <c r="M1062" s="145"/>
      <c r="N1062" s="145"/>
      <c r="O1062" s="145"/>
      <c r="P1062" s="145"/>
      <c r="Q1062" s="156"/>
      <c r="R1062" s="145" t="s">
        <v>624</v>
      </c>
      <c r="S1062" s="145"/>
      <c r="T1062" s="145"/>
      <c r="U1062" s="145"/>
      <c r="V1062" s="145"/>
      <c r="W1062" s="145"/>
      <c r="X1062" s="145"/>
      <c r="Y1062" s="145"/>
      <c r="Z1062" s="145"/>
      <c r="AA1062" s="145"/>
      <c r="AB1062" s="145"/>
      <c r="AC1062" s="145"/>
      <c r="AD1062" s="145"/>
      <c r="AE1062" s="145"/>
      <c r="AF1062" s="145"/>
      <c r="AG1062" s="145"/>
      <c r="AH1062" s="145"/>
      <c r="AI1062" s="145"/>
      <c r="AJ1062" s="156"/>
      <c r="AK1062" s="138"/>
      <c r="AL1062" s="27"/>
      <c r="AM1062" s="27"/>
      <c r="AN1062" s="27"/>
      <c r="AO1062" s="27"/>
      <c r="AP1062" s="27"/>
      <c r="AQ1062" s="148"/>
      <c r="AR1062" s="148"/>
      <c r="AS1062" s="27"/>
      <c r="AT1062" s="27"/>
      <c r="AU1062" s="27"/>
      <c r="AV1062" s="27"/>
      <c r="AW1062" s="27"/>
      <c r="AX1062" s="27"/>
      <c r="AY1062" s="27"/>
      <c r="AZ1062" s="27"/>
      <c r="BA1062" s="27"/>
      <c r="BB1062" s="27"/>
      <c r="BC1062" s="27"/>
      <c r="BD1062" s="27"/>
      <c r="BE1062" s="27"/>
      <c r="BF1062" s="27"/>
      <c r="BG1062" s="27"/>
      <c r="BH1062" s="27"/>
      <c r="BI1062" s="139"/>
    </row>
    <row r="1063" spans="2:61" ht="20.100000000000001" customHeight="1" x14ac:dyDescent="0.45">
      <c r="B1063" s="133"/>
      <c r="C1063" s="27"/>
      <c r="D1063" s="27"/>
      <c r="E1063" s="27"/>
      <c r="F1063" s="27"/>
      <c r="G1063" s="134"/>
      <c r="H1063" s="135"/>
      <c r="I1063" s="27"/>
      <c r="J1063" s="144" t="s">
        <v>625</v>
      </c>
      <c r="K1063" s="145"/>
      <c r="L1063" s="145"/>
      <c r="M1063" s="145"/>
      <c r="N1063" s="145"/>
      <c r="O1063" s="145"/>
      <c r="P1063" s="145"/>
      <c r="Q1063" s="156"/>
      <c r="R1063" s="145" t="s">
        <v>626</v>
      </c>
      <c r="S1063" s="145"/>
      <c r="T1063" s="145"/>
      <c r="U1063" s="145"/>
      <c r="V1063" s="145"/>
      <c r="W1063" s="145"/>
      <c r="X1063" s="145"/>
      <c r="Y1063" s="145"/>
      <c r="Z1063" s="145"/>
      <c r="AA1063" s="145"/>
      <c r="AB1063" s="145"/>
      <c r="AC1063" s="145"/>
      <c r="AD1063" s="145"/>
      <c r="AE1063" s="145"/>
      <c r="AF1063" s="145"/>
      <c r="AG1063" s="145"/>
      <c r="AH1063" s="145"/>
      <c r="AI1063" s="145"/>
      <c r="AJ1063" s="156"/>
      <c r="AK1063" s="138"/>
      <c r="AL1063" s="27"/>
      <c r="AM1063" s="27"/>
      <c r="AN1063" s="27"/>
      <c r="AO1063" s="27"/>
      <c r="AP1063" s="27"/>
      <c r="AQ1063" s="148"/>
      <c r="AR1063" s="148"/>
      <c r="AS1063" s="27"/>
      <c r="AT1063" s="27"/>
      <c r="AU1063" s="27"/>
      <c r="AV1063" s="27"/>
      <c r="AW1063" s="27"/>
      <c r="AX1063" s="27"/>
      <c r="AY1063" s="27"/>
      <c r="AZ1063" s="27"/>
      <c r="BA1063" s="27"/>
      <c r="BB1063" s="27"/>
      <c r="BC1063" s="27"/>
      <c r="BD1063" s="27"/>
      <c r="BE1063" s="27"/>
      <c r="BF1063" s="27"/>
      <c r="BG1063" s="27"/>
      <c r="BH1063" s="27"/>
      <c r="BI1063" s="139"/>
    </row>
    <row r="1064" spans="2:61" ht="20.100000000000001" customHeight="1" x14ac:dyDescent="0.45">
      <c r="B1064" s="133"/>
      <c r="C1064" s="27"/>
      <c r="D1064" s="27"/>
      <c r="E1064" s="27"/>
      <c r="F1064" s="27"/>
      <c r="G1064" s="134"/>
      <c r="H1064" s="135"/>
      <c r="I1064" s="27"/>
      <c r="J1064" s="144" t="s">
        <v>627</v>
      </c>
      <c r="K1064" s="145"/>
      <c r="L1064" s="145"/>
      <c r="M1064" s="145"/>
      <c r="N1064" s="145"/>
      <c r="O1064" s="145"/>
      <c r="P1064" s="145"/>
      <c r="Q1064" s="156"/>
      <c r="R1064" s="145" t="s">
        <v>628</v>
      </c>
      <c r="S1064" s="145"/>
      <c r="T1064" s="145"/>
      <c r="U1064" s="145"/>
      <c r="V1064" s="145"/>
      <c r="W1064" s="145"/>
      <c r="X1064" s="145"/>
      <c r="Y1064" s="145"/>
      <c r="Z1064" s="145"/>
      <c r="AA1064" s="145"/>
      <c r="AB1064" s="145"/>
      <c r="AC1064" s="145"/>
      <c r="AD1064" s="145"/>
      <c r="AE1064" s="145"/>
      <c r="AF1064" s="145"/>
      <c r="AG1064" s="145"/>
      <c r="AH1064" s="145"/>
      <c r="AI1064" s="145"/>
      <c r="AJ1064" s="156"/>
      <c r="AK1064" s="138"/>
      <c r="AL1064" s="27"/>
      <c r="AM1064" s="27"/>
      <c r="AN1064" s="27"/>
      <c r="AO1064" s="27"/>
      <c r="AP1064" s="27"/>
      <c r="AQ1064" s="148"/>
      <c r="AR1064" s="148"/>
      <c r="AS1064" s="27"/>
      <c r="AT1064" s="27"/>
      <c r="AU1064" s="27"/>
      <c r="AV1064" s="27"/>
      <c r="AW1064" s="27"/>
      <c r="AX1064" s="27"/>
      <c r="AY1064" s="27"/>
      <c r="AZ1064" s="27"/>
      <c r="BA1064" s="27"/>
      <c r="BB1064" s="27"/>
      <c r="BC1064" s="27"/>
      <c r="BD1064" s="27"/>
      <c r="BE1064" s="27"/>
      <c r="BF1064" s="27"/>
      <c r="BG1064" s="27"/>
      <c r="BH1064" s="27"/>
      <c r="BI1064" s="139"/>
    </row>
    <row r="1065" spans="2:61" ht="20.100000000000001" customHeight="1" x14ac:dyDescent="0.45">
      <c r="B1065" s="133"/>
      <c r="C1065" s="27"/>
      <c r="D1065" s="27"/>
      <c r="E1065" s="27"/>
      <c r="F1065" s="27"/>
      <c r="G1065" s="134"/>
      <c r="H1065" s="135"/>
      <c r="I1065" s="27"/>
      <c r="J1065" s="144" t="s">
        <v>629</v>
      </c>
      <c r="K1065" s="145"/>
      <c r="L1065" s="145"/>
      <c r="M1065" s="145"/>
      <c r="N1065" s="145"/>
      <c r="O1065" s="145"/>
      <c r="P1065" s="145"/>
      <c r="Q1065" s="156"/>
      <c r="R1065" s="145" t="s">
        <v>630</v>
      </c>
      <c r="S1065" s="145"/>
      <c r="T1065" s="145"/>
      <c r="U1065" s="145"/>
      <c r="V1065" s="145"/>
      <c r="W1065" s="145"/>
      <c r="X1065" s="145"/>
      <c r="Y1065" s="145"/>
      <c r="Z1065" s="145"/>
      <c r="AA1065" s="145"/>
      <c r="AB1065" s="145"/>
      <c r="AC1065" s="145"/>
      <c r="AD1065" s="145"/>
      <c r="AE1065" s="145"/>
      <c r="AF1065" s="145"/>
      <c r="AG1065" s="145"/>
      <c r="AH1065" s="145"/>
      <c r="AI1065" s="145"/>
      <c r="AJ1065" s="156"/>
      <c r="AK1065" s="138"/>
      <c r="AL1065" s="27"/>
      <c r="AM1065" s="27"/>
      <c r="AN1065" s="27"/>
      <c r="AO1065" s="27"/>
      <c r="AP1065" s="27"/>
      <c r="AQ1065" s="148"/>
      <c r="AR1065" s="148"/>
      <c r="AS1065" s="27"/>
      <c r="AT1065" s="27"/>
      <c r="AU1065" s="27"/>
      <c r="AV1065" s="27"/>
      <c r="AW1065" s="27"/>
      <c r="AX1065" s="27"/>
      <c r="AY1065" s="27"/>
      <c r="AZ1065" s="27"/>
      <c r="BA1065" s="27"/>
      <c r="BB1065" s="27"/>
      <c r="BC1065" s="27"/>
      <c r="BD1065" s="27"/>
      <c r="BE1065" s="27"/>
      <c r="BF1065" s="27"/>
      <c r="BG1065" s="27"/>
      <c r="BH1065" s="27"/>
      <c r="BI1065" s="139"/>
    </row>
    <row r="1066" spans="2:61" ht="20.100000000000001" customHeight="1" x14ac:dyDescent="0.45">
      <c r="B1066" s="133"/>
      <c r="C1066" s="27"/>
      <c r="D1066" s="27"/>
      <c r="E1066" s="27"/>
      <c r="F1066" s="27"/>
      <c r="G1066" s="134"/>
      <c r="H1066" s="135"/>
      <c r="I1066" s="27"/>
      <c r="J1066" s="144" t="s">
        <v>631</v>
      </c>
      <c r="K1066" s="145"/>
      <c r="L1066" s="145"/>
      <c r="M1066" s="145"/>
      <c r="N1066" s="145"/>
      <c r="O1066" s="145"/>
      <c r="P1066" s="145"/>
      <c r="Q1066" s="156"/>
      <c r="R1066" s="145" t="s">
        <v>632</v>
      </c>
      <c r="S1066" s="145"/>
      <c r="T1066" s="145"/>
      <c r="U1066" s="145"/>
      <c r="V1066" s="145"/>
      <c r="W1066" s="145"/>
      <c r="X1066" s="145"/>
      <c r="Y1066" s="145"/>
      <c r="Z1066" s="145"/>
      <c r="AA1066" s="145"/>
      <c r="AB1066" s="145"/>
      <c r="AC1066" s="145"/>
      <c r="AD1066" s="145"/>
      <c r="AE1066" s="145"/>
      <c r="AF1066" s="145"/>
      <c r="AG1066" s="145"/>
      <c r="AH1066" s="145"/>
      <c r="AI1066" s="145"/>
      <c r="AJ1066" s="156"/>
      <c r="AK1066" s="138"/>
      <c r="AL1066" s="27"/>
      <c r="AM1066" s="27"/>
      <c r="AN1066" s="27"/>
      <c r="AO1066" s="27"/>
      <c r="AP1066" s="27"/>
      <c r="AQ1066" s="148"/>
      <c r="AR1066" s="148"/>
      <c r="AS1066" s="27"/>
      <c r="AT1066" s="27"/>
      <c r="AU1066" s="27"/>
      <c r="AV1066" s="27"/>
      <c r="AW1066" s="27"/>
      <c r="AX1066" s="27"/>
      <c r="AY1066" s="27"/>
      <c r="AZ1066" s="27"/>
      <c r="BA1066" s="27"/>
      <c r="BB1066" s="27"/>
      <c r="BC1066" s="27"/>
      <c r="BD1066" s="27"/>
      <c r="BE1066" s="27"/>
      <c r="BF1066" s="27"/>
      <c r="BG1066" s="27"/>
      <c r="BH1066" s="27"/>
      <c r="BI1066" s="139"/>
    </row>
    <row r="1067" spans="2:61" ht="20.100000000000001" customHeight="1" x14ac:dyDescent="0.45">
      <c r="B1067" s="133"/>
      <c r="C1067" s="27"/>
      <c r="D1067" s="27"/>
      <c r="E1067" s="27"/>
      <c r="F1067" s="27"/>
      <c r="G1067" s="134"/>
      <c r="H1067" s="135"/>
      <c r="I1067" s="27"/>
      <c r="J1067" s="144" t="s">
        <v>633</v>
      </c>
      <c r="K1067" s="145"/>
      <c r="L1067" s="145"/>
      <c r="M1067" s="145"/>
      <c r="N1067" s="145"/>
      <c r="O1067" s="145"/>
      <c r="P1067" s="145"/>
      <c r="Q1067" s="156"/>
      <c r="R1067" s="145" t="s">
        <v>634</v>
      </c>
      <c r="S1067" s="145"/>
      <c r="T1067" s="145"/>
      <c r="U1067" s="145"/>
      <c r="V1067" s="145"/>
      <c r="W1067" s="145"/>
      <c r="X1067" s="145"/>
      <c r="Y1067" s="145"/>
      <c r="Z1067" s="145"/>
      <c r="AA1067" s="145"/>
      <c r="AB1067" s="145"/>
      <c r="AC1067" s="145"/>
      <c r="AD1067" s="145"/>
      <c r="AE1067" s="145"/>
      <c r="AF1067" s="145"/>
      <c r="AG1067" s="145"/>
      <c r="AH1067" s="145"/>
      <c r="AI1067" s="145"/>
      <c r="AJ1067" s="156"/>
      <c r="AK1067" s="138"/>
      <c r="AL1067" s="27"/>
      <c r="AM1067" s="27"/>
      <c r="AN1067" s="27"/>
      <c r="AO1067" s="27"/>
      <c r="AP1067" s="27"/>
      <c r="AQ1067" s="148"/>
      <c r="AR1067" s="148"/>
      <c r="AS1067" s="27"/>
      <c r="AT1067" s="27"/>
      <c r="AU1067" s="27"/>
      <c r="AV1067" s="27"/>
      <c r="AW1067" s="27"/>
      <c r="AX1067" s="27"/>
      <c r="AY1067" s="27"/>
      <c r="AZ1067" s="27"/>
      <c r="BA1067" s="27"/>
      <c r="BB1067" s="27"/>
      <c r="BC1067" s="27"/>
      <c r="BD1067" s="27"/>
      <c r="BE1067" s="27"/>
      <c r="BF1067" s="27"/>
      <c r="BG1067" s="27"/>
      <c r="BH1067" s="27"/>
      <c r="BI1067" s="139"/>
    </row>
    <row r="1068" spans="2:61" ht="20.100000000000001" customHeight="1" x14ac:dyDescent="0.45">
      <c r="B1068" s="133"/>
      <c r="C1068" s="27"/>
      <c r="D1068" s="27"/>
      <c r="E1068" s="27"/>
      <c r="F1068" s="27"/>
      <c r="G1068" s="134"/>
      <c r="H1068" s="135"/>
      <c r="I1068" s="27"/>
      <c r="J1068" s="144" t="s">
        <v>635</v>
      </c>
      <c r="K1068" s="145"/>
      <c r="L1068" s="145"/>
      <c r="M1068" s="145"/>
      <c r="N1068" s="145"/>
      <c r="O1068" s="145"/>
      <c r="P1068" s="145"/>
      <c r="Q1068" s="156"/>
      <c r="R1068" s="145" t="s">
        <v>636</v>
      </c>
      <c r="S1068" s="145"/>
      <c r="T1068" s="145"/>
      <c r="U1068" s="145"/>
      <c r="V1068" s="145"/>
      <c r="W1068" s="145"/>
      <c r="X1068" s="145"/>
      <c r="Y1068" s="145"/>
      <c r="Z1068" s="145"/>
      <c r="AA1068" s="145"/>
      <c r="AB1068" s="145"/>
      <c r="AC1068" s="145"/>
      <c r="AD1068" s="145"/>
      <c r="AE1068" s="145"/>
      <c r="AF1068" s="145"/>
      <c r="AG1068" s="145"/>
      <c r="AH1068" s="145"/>
      <c r="AI1068" s="145"/>
      <c r="AJ1068" s="156"/>
      <c r="AK1068" s="138"/>
      <c r="AL1068" s="27"/>
      <c r="AM1068" s="27"/>
      <c r="AN1068" s="27"/>
      <c r="AO1068" s="27"/>
      <c r="AP1068" s="27"/>
      <c r="AQ1068" s="148"/>
      <c r="AR1068" s="148"/>
      <c r="AS1068" s="27"/>
      <c r="AT1068" s="27"/>
      <c r="AU1068" s="27"/>
      <c r="AV1068" s="27"/>
      <c r="AW1068" s="27"/>
      <c r="AX1068" s="27"/>
      <c r="AY1068" s="27"/>
      <c r="AZ1068" s="27"/>
      <c r="BA1068" s="27"/>
      <c r="BB1068" s="27"/>
      <c r="BC1068" s="27"/>
      <c r="BD1068" s="27"/>
      <c r="BE1068" s="27"/>
      <c r="BF1068" s="27"/>
      <c r="BG1068" s="27"/>
      <c r="BH1068" s="27"/>
      <c r="BI1068" s="139"/>
    </row>
    <row r="1069" spans="2:61" ht="20.100000000000001" customHeight="1" x14ac:dyDescent="0.45">
      <c r="B1069" s="133"/>
      <c r="C1069" s="27"/>
      <c r="D1069" s="27"/>
      <c r="E1069" s="27"/>
      <c r="F1069" s="27"/>
      <c r="G1069" s="134"/>
      <c r="H1069" s="135"/>
      <c r="I1069" s="27"/>
      <c r="J1069" s="144" t="s">
        <v>637</v>
      </c>
      <c r="K1069" s="145"/>
      <c r="L1069" s="145"/>
      <c r="M1069" s="145"/>
      <c r="N1069" s="145"/>
      <c r="O1069" s="145"/>
      <c r="P1069" s="145"/>
      <c r="Q1069" s="156"/>
      <c r="R1069" s="145" t="s">
        <v>638</v>
      </c>
      <c r="S1069" s="145"/>
      <c r="T1069" s="145"/>
      <c r="U1069" s="145"/>
      <c r="V1069" s="145"/>
      <c r="W1069" s="145"/>
      <c r="X1069" s="145"/>
      <c r="Y1069" s="145"/>
      <c r="Z1069" s="145"/>
      <c r="AA1069" s="145"/>
      <c r="AB1069" s="145"/>
      <c r="AC1069" s="145"/>
      <c r="AD1069" s="145"/>
      <c r="AE1069" s="145"/>
      <c r="AF1069" s="145"/>
      <c r="AG1069" s="145"/>
      <c r="AH1069" s="145"/>
      <c r="AI1069" s="145"/>
      <c r="AJ1069" s="156"/>
      <c r="AK1069" s="138"/>
      <c r="AL1069" s="27"/>
      <c r="AM1069" s="27"/>
      <c r="AN1069" s="27"/>
      <c r="AO1069" s="27"/>
      <c r="AP1069" s="27"/>
      <c r="AQ1069" s="148"/>
      <c r="AR1069" s="148"/>
      <c r="AS1069" s="27"/>
      <c r="AT1069" s="27"/>
      <c r="AU1069" s="27"/>
      <c r="AV1069" s="27"/>
      <c r="AW1069" s="27"/>
      <c r="AX1069" s="27"/>
      <c r="AY1069" s="27"/>
      <c r="AZ1069" s="27"/>
      <c r="BA1069" s="27"/>
      <c r="BB1069" s="27"/>
      <c r="BC1069" s="27"/>
      <c r="BD1069" s="27"/>
      <c r="BE1069" s="27"/>
      <c r="BF1069" s="27"/>
      <c r="BG1069" s="27"/>
      <c r="BH1069" s="27"/>
      <c r="BI1069" s="139"/>
    </row>
    <row r="1070" spans="2:61" ht="20.100000000000001" customHeight="1" x14ac:dyDescent="0.45">
      <c r="B1070" s="133"/>
      <c r="C1070" s="27"/>
      <c r="D1070" s="27"/>
      <c r="E1070" s="27"/>
      <c r="F1070" s="27"/>
      <c r="G1070" s="134"/>
      <c r="H1070" s="135"/>
      <c r="I1070" s="27"/>
      <c r="J1070" s="144" t="s">
        <v>639</v>
      </c>
      <c r="K1070" s="145"/>
      <c r="L1070" s="145"/>
      <c r="M1070" s="145"/>
      <c r="N1070" s="145"/>
      <c r="O1070" s="145"/>
      <c r="P1070" s="145"/>
      <c r="Q1070" s="156"/>
      <c r="R1070" s="145" t="s">
        <v>640</v>
      </c>
      <c r="S1070" s="145"/>
      <c r="T1070" s="145"/>
      <c r="U1070" s="145"/>
      <c r="V1070" s="145"/>
      <c r="W1070" s="145"/>
      <c r="X1070" s="145"/>
      <c r="Y1070" s="145"/>
      <c r="Z1070" s="145"/>
      <c r="AA1070" s="145"/>
      <c r="AB1070" s="145"/>
      <c r="AC1070" s="145"/>
      <c r="AD1070" s="145"/>
      <c r="AE1070" s="145"/>
      <c r="AF1070" s="145"/>
      <c r="AG1070" s="145"/>
      <c r="AH1070" s="145"/>
      <c r="AI1070" s="145"/>
      <c r="AJ1070" s="156"/>
      <c r="AK1070" s="138"/>
      <c r="AL1070" s="27"/>
      <c r="AM1070" s="27"/>
      <c r="AN1070" s="27"/>
      <c r="AO1070" s="27"/>
      <c r="AP1070" s="27"/>
      <c r="AQ1070" s="148"/>
      <c r="AR1070" s="148"/>
      <c r="AS1070" s="27"/>
      <c r="AT1070" s="27"/>
      <c r="AU1070" s="27"/>
      <c r="AV1070" s="27"/>
      <c r="AW1070" s="27"/>
      <c r="AX1070" s="27"/>
      <c r="AY1070" s="27"/>
      <c r="AZ1070" s="27"/>
      <c r="BA1070" s="27"/>
      <c r="BB1070" s="27"/>
      <c r="BC1070" s="27"/>
      <c r="BD1070" s="27"/>
      <c r="BE1070" s="27"/>
      <c r="BF1070" s="27"/>
      <c r="BG1070" s="27"/>
      <c r="BH1070" s="27"/>
      <c r="BI1070" s="139"/>
    </row>
    <row r="1071" spans="2:61" ht="20.100000000000001" customHeight="1" x14ac:dyDescent="0.45">
      <c r="B1071" s="133"/>
      <c r="C1071" s="27"/>
      <c r="D1071" s="27"/>
      <c r="E1071" s="27"/>
      <c r="F1071" s="27"/>
      <c r="G1071" s="134"/>
      <c r="H1071" s="135"/>
      <c r="I1071" s="27"/>
      <c r="J1071" s="144" t="s">
        <v>641</v>
      </c>
      <c r="K1071" s="145"/>
      <c r="L1071" s="145"/>
      <c r="M1071" s="145"/>
      <c r="N1071" s="145"/>
      <c r="O1071" s="145"/>
      <c r="P1071" s="145"/>
      <c r="Q1071" s="156"/>
      <c r="R1071" s="145" t="s">
        <v>642</v>
      </c>
      <c r="S1071" s="145"/>
      <c r="T1071" s="145"/>
      <c r="U1071" s="145"/>
      <c r="V1071" s="145"/>
      <c r="W1071" s="145"/>
      <c r="X1071" s="145"/>
      <c r="Y1071" s="145"/>
      <c r="Z1071" s="145"/>
      <c r="AA1071" s="145"/>
      <c r="AB1071" s="145"/>
      <c r="AC1071" s="145"/>
      <c r="AD1071" s="145"/>
      <c r="AE1071" s="145"/>
      <c r="AF1071" s="145"/>
      <c r="AG1071" s="145"/>
      <c r="AH1071" s="145"/>
      <c r="AI1071" s="145"/>
      <c r="AJ1071" s="156"/>
      <c r="AK1071" s="138"/>
      <c r="AL1071" s="27"/>
      <c r="AM1071" s="27"/>
      <c r="AN1071" s="27"/>
      <c r="AO1071" s="27"/>
      <c r="AP1071" s="27"/>
      <c r="AQ1071" s="148"/>
      <c r="AR1071" s="148"/>
      <c r="AS1071" s="27"/>
      <c r="AT1071" s="27"/>
      <c r="AU1071" s="27"/>
      <c r="AV1071" s="27"/>
      <c r="AW1071" s="27"/>
      <c r="AX1071" s="27"/>
      <c r="AY1071" s="27"/>
      <c r="AZ1071" s="27"/>
      <c r="BA1071" s="27"/>
      <c r="BB1071" s="27"/>
      <c r="BC1071" s="27"/>
      <c r="BD1071" s="27"/>
      <c r="BE1071" s="27"/>
      <c r="BF1071" s="27"/>
      <c r="BG1071" s="27"/>
      <c r="BH1071" s="27"/>
      <c r="BI1071" s="139"/>
    </row>
    <row r="1072" spans="2:61" ht="20.100000000000001" customHeight="1" x14ac:dyDescent="0.45">
      <c r="B1072" s="133"/>
      <c r="C1072" s="27"/>
      <c r="D1072" s="27"/>
      <c r="E1072" s="27"/>
      <c r="F1072" s="27"/>
      <c r="G1072" s="134"/>
      <c r="H1072" s="135"/>
      <c r="I1072" s="27"/>
      <c r="J1072" s="144" t="s">
        <v>643</v>
      </c>
      <c r="K1072" s="145"/>
      <c r="L1072" s="145"/>
      <c r="M1072" s="145"/>
      <c r="N1072" s="145"/>
      <c r="O1072" s="145"/>
      <c r="P1072" s="145"/>
      <c r="Q1072" s="156"/>
      <c r="R1072" s="145" t="s">
        <v>644</v>
      </c>
      <c r="S1072" s="145"/>
      <c r="T1072" s="145"/>
      <c r="U1072" s="145"/>
      <c r="V1072" s="145"/>
      <c r="W1072" s="145"/>
      <c r="X1072" s="145"/>
      <c r="Y1072" s="145"/>
      <c r="Z1072" s="145"/>
      <c r="AA1072" s="145"/>
      <c r="AB1072" s="145"/>
      <c r="AC1072" s="145"/>
      <c r="AD1072" s="145"/>
      <c r="AE1072" s="145"/>
      <c r="AF1072" s="145"/>
      <c r="AG1072" s="145"/>
      <c r="AH1072" s="145"/>
      <c r="AI1072" s="145"/>
      <c r="AJ1072" s="156"/>
      <c r="AK1072" s="138"/>
      <c r="AL1072" s="27"/>
      <c r="AM1072" s="27"/>
      <c r="AN1072" s="27"/>
      <c r="AO1072" s="27"/>
      <c r="AP1072" s="27"/>
      <c r="AQ1072" s="148"/>
      <c r="AR1072" s="148"/>
      <c r="AS1072" s="27"/>
      <c r="AT1072" s="27"/>
      <c r="AU1072" s="27"/>
      <c r="AV1072" s="27"/>
      <c r="AW1072" s="27"/>
      <c r="AX1072" s="27"/>
      <c r="AY1072" s="27"/>
      <c r="AZ1072" s="27"/>
      <c r="BA1072" s="27"/>
      <c r="BB1072" s="27"/>
      <c r="BC1072" s="27"/>
      <c r="BD1072" s="27"/>
      <c r="BE1072" s="27"/>
      <c r="BF1072" s="27"/>
      <c r="BG1072" s="27"/>
      <c r="BH1072" s="27"/>
      <c r="BI1072" s="139"/>
    </row>
    <row r="1073" spans="2:61" ht="20.100000000000001" customHeight="1" x14ac:dyDescent="0.45">
      <c r="B1073" s="133"/>
      <c r="C1073" s="27"/>
      <c r="D1073" s="27"/>
      <c r="E1073" s="27"/>
      <c r="F1073" s="27"/>
      <c r="G1073" s="134"/>
      <c r="H1073" s="135"/>
      <c r="I1073" s="27"/>
      <c r="J1073" s="144" t="s">
        <v>645</v>
      </c>
      <c r="K1073" s="145"/>
      <c r="L1073" s="145"/>
      <c r="M1073" s="145"/>
      <c r="N1073" s="145"/>
      <c r="O1073" s="145"/>
      <c r="P1073" s="145"/>
      <c r="Q1073" s="156"/>
      <c r="R1073" s="145" t="s">
        <v>646</v>
      </c>
      <c r="S1073" s="145"/>
      <c r="T1073" s="145"/>
      <c r="U1073" s="145"/>
      <c r="V1073" s="145"/>
      <c r="W1073" s="145"/>
      <c r="X1073" s="145"/>
      <c r="Y1073" s="145"/>
      <c r="Z1073" s="145"/>
      <c r="AA1073" s="145"/>
      <c r="AB1073" s="145"/>
      <c r="AC1073" s="145"/>
      <c r="AD1073" s="145"/>
      <c r="AE1073" s="145"/>
      <c r="AF1073" s="145"/>
      <c r="AG1073" s="145"/>
      <c r="AH1073" s="145"/>
      <c r="AI1073" s="145"/>
      <c r="AJ1073" s="156"/>
      <c r="AK1073" s="138"/>
      <c r="AL1073" s="27"/>
      <c r="AM1073" s="27"/>
      <c r="AN1073" s="27"/>
      <c r="AO1073" s="27"/>
      <c r="AP1073" s="27"/>
      <c r="AQ1073" s="148"/>
      <c r="AR1073" s="148"/>
      <c r="AS1073" s="27"/>
      <c r="AT1073" s="27"/>
      <c r="AU1073" s="27"/>
      <c r="AV1073" s="27"/>
      <c r="AW1073" s="27"/>
      <c r="AX1073" s="27"/>
      <c r="AY1073" s="27"/>
      <c r="AZ1073" s="27"/>
      <c r="BA1073" s="27"/>
      <c r="BB1073" s="27"/>
      <c r="BC1073" s="27"/>
      <c r="BD1073" s="27"/>
      <c r="BE1073" s="27"/>
      <c r="BF1073" s="27"/>
      <c r="BG1073" s="27"/>
      <c r="BH1073" s="27"/>
      <c r="BI1073" s="139"/>
    </row>
    <row r="1074" spans="2:61" ht="20.100000000000001" customHeight="1" x14ac:dyDescent="0.45">
      <c r="B1074" s="133"/>
      <c r="C1074" s="27"/>
      <c r="D1074" s="27"/>
      <c r="E1074" s="27"/>
      <c r="F1074" s="27"/>
      <c r="G1074" s="134"/>
      <c r="H1074" s="135"/>
      <c r="I1074" s="27"/>
      <c r="J1074" s="144" t="s">
        <v>647</v>
      </c>
      <c r="K1074" s="145"/>
      <c r="L1074" s="145"/>
      <c r="M1074" s="145"/>
      <c r="N1074" s="145"/>
      <c r="O1074" s="145"/>
      <c r="P1074" s="145"/>
      <c r="Q1074" s="156"/>
      <c r="R1074" s="145" t="s">
        <v>648</v>
      </c>
      <c r="S1074" s="145"/>
      <c r="T1074" s="145"/>
      <c r="U1074" s="145"/>
      <c r="V1074" s="145"/>
      <c r="W1074" s="145"/>
      <c r="X1074" s="145"/>
      <c r="Y1074" s="145"/>
      <c r="Z1074" s="145"/>
      <c r="AA1074" s="145"/>
      <c r="AB1074" s="145"/>
      <c r="AC1074" s="145"/>
      <c r="AD1074" s="145"/>
      <c r="AE1074" s="145"/>
      <c r="AF1074" s="145"/>
      <c r="AG1074" s="145"/>
      <c r="AH1074" s="145"/>
      <c r="AI1074" s="145"/>
      <c r="AJ1074" s="156"/>
      <c r="AK1074" s="138"/>
      <c r="AL1074" s="27"/>
      <c r="AM1074" s="27"/>
      <c r="AN1074" s="27"/>
      <c r="AO1074" s="27"/>
      <c r="AP1074" s="27"/>
      <c r="AQ1074" s="148"/>
      <c r="AR1074" s="148"/>
      <c r="AS1074" s="27"/>
      <c r="AT1074" s="27"/>
      <c r="AU1074" s="27"/>
      <c r="AV1074" s="27"/>
      <c r="AW1074" s="27"/>
      <c r="AX1074" s="27"/>
      <c r="AY1074" s="27"/>
      <c r="AZ1074" s="27"/>
      <c r="BA1074" s="27"/>
      <c r="BB1074" s="27"/>
      <c r="BC1074" s="27"/>
      <c r="BD1074" s="27"/>
      <c r="BE1074" s="27"/>
      <c r="BF1074" s="27"/>
      <c r="BG1074" s="27"/>
      <c r="BH1074" s="27"/>
      <c r="BI1074" s="139"/>
    </row>
    <row r="1075" spans="2:61" ht="20.100000000000001" customHeight="1" x14ac:dyDescent="0.45">
      <c r="B1075" s="133"/>
      <c r="C1075" s="27"/>
      <c r="D1075" s="27"/>
      <c r="E1075" s="27"/>
      <c r="F1075" s="27"/>
      <c r="G1075" s="134"/>
      <c r="H1075" s="135"/>
      <c r="I1075" s="27"/>
      <c r="J1075" s="144" t="s">
        <v>649</v>
      </c>
      <c r="K1075" s="145"/>
      <c r="L1075" s="145"/>
      <c r="M1075" s="145"/>
      <c r="N1075" s="145"/>
      <c r="O1075" s="145"/>
      <c r="P1075" s="145"/>
      <c r="Q1075" s="156"/>
      <c r="R1075" s="145" t="s">
        <v>650</v>
      </c>
      <c r="S1075" s="145"/>
      <c r="T1075" s="145"/>
      <c r="U1075" s="145"/>
      <c r="V1075" s="145"/>
      <c r="W1075" s="145"/>
      <c r="X1075" s="145"/>
      <c r="Y1075" s="145"/>
      <c r="Z1075" s="145"/>
      <c r="AA1075" s="145"/>
      <c r="AB1075" s="145"/>
      <c r="AC1075" s="145"/>
      <c r="AD1075" s="145"/>
      <c r="AE1075" s="145"/>
      <c r="AF1075" s="145"/>
      <c r="AG1075" s="145"/>
      <c r="AH1075" s="145"/>
      <c r="AI1075" s="145"/>
      <c r="AJ1075" s="156"/>
      <c r="AK1075" s="138"/>
      <c r="AL1075" s="27"/>
      <c r="AM1075" s="27"/>
      <c r="AN1075" s="27"/>
      <c r="AO1075" s="27"/>
      <c r="AP1075" s="27"/>
      <c r="AQ1075" s="148"/>
      <c r="AR1075" s="148"/>
      <c r="AS1075" s="27"/>
      <c r="AT1075" s="27"/>
      <c r="AU1075" s="27"/>
      <c r="AV1075" s="27"/>
      <c r="AW1075" s="27"/>
      <c r="AX1075" s="27"/>
      <c r="AY1075" s="27"/>
      <c r="AZ1075" s="27"/>
      <c r="BA1075" s="27"/>
      <c r="BB1075" s="27"/>
      <c r="BC1075" s="27"/>
      <c r="BD1075" s="27"/>
      <c r="BE1075" s="27"/>
      <c r="BF1075" s="27"/>
      <c r="BG1075" s="27"/>
      <c r="BH1075" s="27"/>
      <c r="BI1075" s="139"/>
    </row>
    <row r="1076" spans="2:61" ht="20.100000000000001" customHeight="1" x14ac:dyDescent="0.45">
      <c r="B1076" s="133"/>
      <c r="C1076" s="27"/>
      <c r="D1076" s="27"/>
      <c r="E1076" s="27"/>
      <c r="F1076" s="27"/>
      <c r="G1076" s="134"/>
      <c r="H1076" s="135"/>
      <c r="I1076" s="27"/>
      <c r="J1076" s="144" t="s">
        <v>651</v>
      </c>
      <c r="K1076" s="145"/>
      <c r="L1076" s="145"/>
      <c r="M1076" s="145"/>
      <c r="N1076" s="145"/>
      <c r="O1076" s="145"/>
      <c r="P1076" s="145"/>
      <c r="Q1076" s="156"/>
      <c r="R1076" s="145" t="s">
        <v>652</v>
      </c>
      <c r="S1076" s="145"/>
      <c r="T1076" s="145"/>
      <c r="U1076" s="145"/>
      <c r="V1076" s="145"/>
      <c r="W1076" s="145"/>
      <c r="X1076" s="145"/>
      <c r="Y1076" s="145"/>
      <c r="Z1076" s="145"/>
      <c r="AA1076" s="145"/>
      <c r="AB1076" s="145"/>
      <c r="AC1076" s="145"/>
      <c r="AD1076" s="145"/>
      <c r="AE1076" s="145"/>
      <c r="AF1076" s="145"/>
      <c r="AG1076" s="145"/>
      <c r="AH1076" s="145"/>
      <c r="AI1076" s="145"/>
      <c r="AJ1076" s="156"/>
      <c r="AK1076" s="138"/>
      <c r="AL1076" s="27"/>
      <c r="AM1076" s="27"/>
      <c r="AN1076" s="27"/>
      <c r="AO1076" s="27"/>
      <c r="AP1076" s="27"/>
      <c r="AQ1076" s="148"/>
      <c r="AR1076" s="148"/>
      <c r="AS1076" s="27"/>
      <c r="AT1076" s="27"/>
      <c r="AU1076" s="27"/>
      <c r="AV1076" s="27"/>
      <c r="AW1076" s="27"/>
      <c r="AX1076" s="27"/>
      <c r="AY1076" s="27"/>
      <c r="AZ1076" s="27"/>
      <c r="BA1076" s="27"/>
      <c r="BB1076" s="27"/>
      <c r="BC1076" s="27"/>
      <c r="BD1076" s="27"/>
      <c r="BE1076" s="27"/>
      <c r="BF1076" s="27"/>
      <c r="BG1076" s="27"/>
      <c r="BH1076" s="27"/>
      <c r="BI1076" s="139"/>
    </row>
    <row r="1077" spans="2:61" ht="20.100000000000001" customHeight="1" x14ac:dyDescent="0.45">
      <c r="B1077" s="133"/>
      <c r="C1077" s="27"/>
      <c r="D1077" s="27"/>
      <c r="E1077" s="27"/>
      <c r="F1077" s="27"/>
      <c r="G1077" s="134"/>
      <c r="H1077" s="135"/>
      <c r="I1077" s="27"/>
      <c r="J1077" s="144" t="s">
        <v>653</v>
      </c>
      <c r="K1077" s="145"/>
      <c r="L1077" s="145"/>
      <c r="M1077" s="145"/>
      <c r="N1077" s="145"/>
      <c r="O1077" s="145"/>
      <c r="P1077" s="145"/>
      <c r="Q1077" s="156"/>
      <c r="R1077" s="145" t="s">
        <v>654</v>
      </c>
      <c r="S1077" s="145"/>
      <c r="T1077" s="145"/>
      <c r="U1077" s="145"/>
      <c r="V1077" s="145"/>
      <c r="W1077" s="145"/>
      <c r="X1077" s="145"/>
      <c r="Y1077" s="145"/>
      <c r="Z1077" s="145"/>
      <c r="AA1077" s="145"/>
      <c r="AB1077" s="145"/>
      <c r="AC1077" s="145"/>
      <c r="AD1077" s="145"/>
      <c r="AE1077" s="145"/>
      <c r="AF1077" s="145"/>
      <c r="AG1077" s="145"/>
      <c r="AH1077" s="145"/>
      <c r="AI1077" s="145"/>
      <c r="AJ1077" s="156"/>
      <c r="AK1077" s="138"/>
      <c r="AL1077" s="27"/>
      <c r="AM1077" s="27"/>
      <c r="AN1077" s="27"/>
      <c r="AO1077" s="27"/>
      <c r="AP1077" s="27"/>
      <c r="AQ1077" s="148"/>
      <c r="AR1077" s="148"/>
      <c r="AS1077" s="27"/>
      <c r="AT1077" s="27"/>
      <c r="AU1077" s="27"/>
      <c r="AV1077" s="27"/>
      <c r="AW1077" s="27"/>
      <c r="AX1077" s="27"/>
      <c r="AY1077" s="27"/>
      <c r="AZ1077" s="27"/>
      <c r="BA1077" s="27"/>
      <c r="BB1077" s="27"/>
      <c r="BC1077" s="27"/>
      <c r="BD1077" s="27"/>
      <c r="BE1077" s="27"/>
      <c r="BF1077" s="27"/>
      <c r="BG1077" s="27"/>
      <c r="BH1077" s="27"/>
      <c r="BI1077" s="139"/>
    </row>
    <row r="1078" spans="2:61" ht="20.100000000000001" customHeight="1" x14ac:dyDescent="0.45">
      <c r="B1078" s="133"/>
      <c r="C1078" s="27"/>
      <c r="D1078" s="27"/>
      <c r="E1078" s="27"/>
      <c r="F1078" s="27"/>
      <c r="G1078" s="134"/>
      <c r="H1078" s="135"/>
      <c r="I1078" s="27"/>
      <c r="J1078" s="144" t="s">
        <v>655</v>
      </c>
      <c r="K1078" s="145"/>
      <c r="L1078" s="145"/>
      <c r="M1078" s="145"/>
      <c r="N1078" s="145"/>
      <c r="O1078" s="145"/>
      <c r="P1078" s="145"/>
      <c r="Q1078" s="156"/>
      <c r="R1078" s="145" t="s">
        <v>656</v>
      </c>
      <c r="S1078" s="145"/>
      <c r="T1078" s="145"/>
      <c r="U1078" s="145"/>
      <c r="V1078" s="145"/>
      <c r="W1078" s="145"/>
      <c r="X1078" s="145"/>
      <c r="Y1078" s="145"/>
      <c r="Z1078" s="145"/>
      <c r="AA1078" s="145"/>
      <c r="AB1078" s="145"/>
      <c r="AC1078" s="145"/>
      <c r="AD1078" s="145"/>
      <c r="AE1078" s="145"/>
      <c r="AF1078" s="145"/>
      <c r="AG1078" s="145"/>
      <c r="AH1078" s="145"/>
      <c r="AI1078" s="145"/>
      <c r="AJ1078" s="156"/>
      <c r="AK1078" s="138"/>
      <c r="AL1078" s="27"/>
      <c r="AM1078" s="27"/>
      <c r="AN1078" s="27"/>
      <c r="AO1078" s="27"/>
      <c r="AP1078" s="27"/>
      <c r="AQ1078" s="148"/>
      <c r="AR1078" s="148"/>
      <c r="AS1078" s="27"/>
      <c r="AT1078" s="27"/>
      <c r="AU1078" s="27"/>
      <c r="AV1078" s="27"/>
      <c r="AW1078" s="27"/>
      <c r="AX1078" s="27"/>
      <c r="AY1078" s="27"/>
      <c r="AZ1078" s="27"/>
      <c r="BA1078" s="27"/>
      <c r="BB1078" s="27"/>
      <c r="BC1078" s="27"/>
      <c r="BD1078" s="27"/>
      <c r="BE1078" s="27"/>
      <c r="BF1078" s="27"/>
      <c r="BG1078" s="27"/>
      <c r="BH1078" s="27"/>
      <c r="BI1078" s="139"/>
    </row>
    <row r="1079" spans="2:61" ht="20.100000000000001" customHeight="1" x14ac:dyDescent="0.45">
      <c r="B1079" s="133"/>
      <c r="C1079" s="27"/>
      <c r="D1079" s="27"/>
      <c r="E1079" s="27"/>
      <c r="F1079" s="27"/>
      <c r="G1079" s="134"/>
      <c r="H1079" s="135"/>
      <c r="I1079" s="27"/>
      <c r="J1079" s="144" t="s">
        <v>657</v>
      </c>
      <c r="K1079" s="145"/>
      <c r="L1079" s="145"/>
      <c r="M1079" s="145"/>
      <c r="N1079" s="145"/>
      <c r="O1079" s="145"/>
      <c r="P1079" s="145"/>
      <c r="Q1079" s="156"/>
      <c r="R1079" s="145" t="s">
        <v>658</v>
      </c>
      <c r="S1079" s="145"/>
      <c r="T1079" s="145"/>
      <c r="U1079" s="145"/>
      <c r="V1079" s="145"/>
      <c r="W1079" s="145"/>
      <c r="X1079" s="145"/>
      <c r="Y1079" s="145"/>
      <c r="Z1079" s="145"/>
      <c r="AA1079" s="145"/>
      <c r="AB1079" s="145"/>
      <c r="AC1079" s="145"/>
      <c r="AD1079" s="145"/>
      <c r="AE1079" s="145"/>
      <c r="AF1079" s="145"/>
      <c r="AG1079" s="145"/>
      <c r="AH1079" s="145"/>
      <c r="AI1079" s="145"/>
      <c r="AJ1079" s="156"/>
      <c r="AK1079" s="138"/>
      <c r="AL1079" s="27"/>
      <c r="AM1079" s="27"/>
      <c r="AN1079" s="27"/>
      <c r="AO1079" s="27"/>
      <c r="AP1079" s="27"/>
      <c r="AQ1079" s="148"/>
      <c r="AR1079" s="148"/>
      <c r="AS1079" s="27"/>
      <c r="AT1079" s="27"/>
      <c r="AU1079" s="27"/>
      <c r="AV1079" s="27"/>
      <c r="AW1079" s="27"/>
      <c r="AX1079" s="27"/>
      <c r="AY1079" s="27"/>
      <c r="AZ1079" s="27"/>
      <c r="BA1079" s="27"/>
      <c r="BB1079" s="27"/>
      <c r="BC1079" s="27"/>
      <c r="BD1079" s="27"/>
      <c r="BE1079" s="27"/>
      <c r="BF1079" s="27"/>
      <c r="BG1079" s="27"/>
      <c r="BH1079" s="27"/>
      <c r="BI1079" s="139"/>
    </row>
    <row r="1080" spans="2:61" ht="20.100000000000001" customHeight="1" x14ac:dyDescent="0.45">
      <c r="B1080" s="133"/>
      <c r="C1080" s="27"/>
      <c r="D1080" s="27"/>
      <c r="E1080" s="27"/>
      <c r="F1080" s="27"/>
      <c r="G1080" s="134"/>
      <c r="H1080" s="135"/>
      <c r="I1080" s="27"/>
      <c r="J1080" s="144" t="s">
        <v>659</v>
      </c>
      <c r="K1080" s="145"/>
      <c r="L1080" s="145"/>
      <c r="M1080" s="145"/>
      <c r="N1080" s="145"/>
      <c r="O1080" s="145"/>
      <c r="P1080" s="145"/>
      <c r="Q1080" s="156"/>
      <c r="R1080" s="145" t="s">
        <v>660</v>
      </c>
      <c r="S1080" s="145"/>
      <c r="T1080" s="145"/>
      <c r="U1080" s="145"/>
      <c r="V1080" s="145"/>
      <c r="W1080" s="145"/>
      <c r="X1080" s="145"/>
      <c r="Y1080" s="145"/>
      <c r="Z1080" s="145"/>
      <c r="AA1080" s="145"/>
      <c r="AB1080" s="145"/>
      <c r="AC1080" s="145"/>
      <c r="AD1080" s="145"/>
      <c r="AE1080" s="145"/>
      <c r="AF1080" s="145"/>
      <c r="AG1080" s="145"/>
      <c r="AH1080" s="145"/>
      <c r="AI1080" s="145"/>
      <c r="AJ1080" s="156"/>
      <c r="AK1080" s="138"/>
      <c r="AL1080" s="27"/>
      <c r="AM1080" s="27"/>
      <c r="AN1080" s="27"/>
      <c r="AO1080" s="27"/>
      <c r="AP1080" s="27"/>
      <c r="AQ1080" s="148"/>
      <c r="AR1080" s="148"/>
      <c r="AS1080" s="27"/>
      <c r="AT1080" s="27"/>
      <c r="AU1080" s="27"/>
      <c r="AV1080" s="27"/>
      <c r="AW1080" s="27"/>
      <c r="AX1080" s="27"/>
      <c r="AY1080" s="27"/>
      <c r="AZ1080" s="27"/>
      <c r="BA1080" s="27"/>
      <c r="BB1080" s="27"/>
      <c r="BC1080" s="27"/>
      <c r="BD1080" s="27"/>
      <c r="BE1080" s="27"/>
      <c r="BF1080" s="27"/>
      <c r="BG1080" s="27"/>
      <c r="BH1080" s="27"/>
      <c r="BI1080" s="139"/>
    </row>
    <row r="1081" spans="2:61" ht="20.100000000000001" customHeight="1" x14ac:dyDescent="0.45">
      <c r="B1081" s="133"/>
      <c r="C1081" s="27"/>
      <c r="D1081" s="27"/>
      <c r="E1081" s="27"/>
      <c r="F1081" s="27"/>
      <c r="G1081" s="134"/>
      <c r="H1081" s="135"/>
      <c r="I1081" s="27"/>
      <c r="J1081" s="144" t="s">
        <v>661</v>
      </c>
      <c r="K1081" s="145"/>
      <c r="L1081" s="145"/>
      <c r="M1081" s="145"/>
      <c r="N1081" s="145"/>
      <c r="O1081" s="145"/>
      <c r="P1081" s="145"/>
      <c r="Q1081" s="156"/>
      <c r="R1081" s="145" t="s">
        <v>662</v>
      </c>
      <c r="S1081" s="145"/>
      <c r="T1081" s="145"/>
      <c r="U1081" s="145"/>
      <c r="V1081" s="145"/>
      <c r="W1081" s="145"/>
      <c r="X1081" s="145"/>
      <c r="Y1081" s="145"/>
      <c r="Z1081" s="145"/>
      <c r="AA1081" s="145"/>
      <c r="AB1081" s="145"/>
      <c r="AC1081" s="145"/>
      <c r="AD1081" s="145"/>
      <c r="AE1081" s="145"/>
      <c r="AF1081" s="145"/>
      <c r="AG1081" s="145"/>
      <c r="AH1081" s="145"/>
      <c r="AI1081" s="145"/>
      <c r="AJ1081" s="156"/>
      <c r="AK1081" s="138"/>
      <c r="AL1081" s="27"/>
      <c r="AM1081" s="27"/>
      <c r="AN1081" s="27"/>
      <c r="AO1081" s="27"/>
      <c r="AP1081" s="27"/>
      <c r="AQ1081" s="148"/>
      <c r="AR1081" s="148"/>
      <c r="AS1081" s="27"/>
      <c r="AT1081" s="27"/>
      <c r="AU1081" s="27"/>
      <c r="AV1081" s="27"/>
      <c r="AW1081" s="27"/>
      <c r="AX1081" s="27"/>
      <c r="AY1081" s="27"/>
      <c r="AZ1081" s="27"/>
      <c r="BA1081" s="27"/>
      <c r="BB1081" s="27"/>
      <c r="BC1081" s="27"/>
      <c r="BD1081" s="27"/>
      <c r="BE1081" s="27"/>
      <c r="BF1081" s="27"/>
      <c r="BG1081" s="27"/>
      <c r="BH1081" s="27"/>
      <c r="BI1081" s="139"/>
    </row>
    <row r="1082" spans="2:61" ht="20.100000000000001" customHeight="1" x14ac:dyDescent="0.45">
      <c r="B1082" s="133"/>
      <c r="C1082" s="27"/>
      <c r="D1082" s="27"/>
      <c r="E1082" s="27"/>
      <c r="F1082" s="27"/>
      <c r="G1082" s="134"/>
      <c r="H1082" s="135"/>
      <c r="I1082" s="27"/>
      <c r="J1082" s="144" t="s">
        <v>663</v>
      </c>
      <c r="K1082" s="145"/>
      <c r="L1082" s="145"/>
      <c r="M1082" s="145"/>
      <c r="N1082" s="145"/>
      <c r="O1082" s="145"/>
      <c r="P1082" s="145"/>
      <c r="Q1082" s="156"/>
      <c r="R1082" s="145" t="s">
        <v>664</v>
      </c>
      <c r="S1082" s="145"/>
      <c r="T1082" s="145"/>
      <c r="U1082" s="145"/>
      <c r="V1082" s="145"/>
      <c r="W1082" s="145"/>
      <c r="X1082" s="145"/>
      <c r="Y1082" s="145"/>
      <c r="Z1082" s="145"/>
      <c r="AA1082" s="145"/>
      <c r="AB1082" s="145"/>
      <c r="AC1082" s="145"/>
      <c r="AD1082" s="145"/>
      <c r="AE1082" s="145"/>
      <c r="AF1082" s="145"/>
      <c r="AG1082" s="145"/>
      <c r="AH1082" s="145"/>
      <c r="AI1082" s="145"/>
      <c r="AJ1082" s="156"/>
      <c r="AK1082" s="138"/>
      <c r="AL1082" s="27"/>
      <c r="AM1082" s="27"/>
      <c r="AN1082" s="27"/>
      <c r="AO1082" s="27"/>
      <c r="AP1082" s="27"/>
      <c r="AQ1082" s="148"/>
      <c r="AR1082" s="148"/>
      <c r="AS1082" s="27"/>
      <c r="AT1082" s="27"/>
      <c r="AU1082" s="27"/>
      <c r="AV1082" s="27"/>
      <c r="AW1082" s="27"/>
      <c r="AX1082" s="27"/>
      <c r="AY1082" s="27"/>
      <c r="AZ1082" s="27"/>
      <c r="BA1082" s="27"/>
      <c r="BB1082" s="27"/>
      <c r="BC1082" s="27"/>
      <c r="BD1082" s="27"/>
      <c r="BE1082" s="27"/>
      <c r="BF1082" s="27"/>
      <c r="BG1082" s="27"/>
      <c r="BH1082" s="27"/>
      <c r="BI1082" s="139"/>
    </row>
    <row r="1083" spans="2:61" ht="20.100000000000001" customHeight="1" x14ac:dyDescent="0.45">
      <c r="B1083" s="133"/>
      <c r="C1083" s="27"/>
      <c r="D1083" s="27"/>
      <c r="E1083" s="27"/>
      <c r="F1083" s="27"/>
      <c r="G1083" s="134"/>
      <c r="H1083" s="135"/>
      <c r="I1083" s="27"/>
      <c r="J1083" s="144" t="s">
        <v>665</v>
      </c>
      <c r="K1083" s="145"/>
      <c r="L1083" s="145"/>
      <c r="M1083" s="145"/>
      <c r="N1083" s="145"/>
      <c r="O1083" s="145"/>
      <c r="P1083" s="145"/>
      <c r="Q1083" s="156"/>
      <c r="R1083" s="145" t="s">
        <v>666</v>
      </c>
      <c r="S1083" s="145"/>
      <c r="T1083" s="145"/>
      <c r="U1083" s="145"/>
      <c r="V1083" s="145"/>
      <c r="W1083" s="145"/>
      <c r="X1083" s="145"/>
      <c r="Y1083" s="145"/>
      <c r="Z1083" s="145"/>
      <c r="AA1083" s="145"/>
      <c r="AB1083" s="145"/>
      <c r="AC1083" s="145"/>
      <c r="AD1083" s="145"/>
      <c r="AE1083" s="145"/>
      <c r="AF1083" s="145"/>
      <c r="AG1083" s="145"/>
      <c r="AH1083" s="145"/>
      <c r="AI1083" s="145"/>
      <c r="AJ1083" s="156"/>
      <c r="AK1083" s="138"/>
      <c r="AL1083" s="27"/>
      <c r="AM1083" s="27"/>
      <c r="AN1083" s="27"/>
      <c r="AO1083" s="27"/>
      <c r="AP1083" s="27"/>
      <c r="AQ1083" s="148"/>
      <c r="AR1083" s="148"/>
      <c r="AS1083" s="27"/>
      <c r="AT1083" s="27"/>
      <c r="AU1083" s="27"/>
      <c r="AV1083" s="27"/>
      <c r="AW1083" s="27"/>
      <c r="AX1083" s="27"/>
      <c r="AY1083" s="27"/>
      <c r="AZ1083" s="27"/>
      <c r="BA1083" s="27"/>
      <c r="BB1083" s="27"/>
      <c r="BC1083" s="27"/>
      <c r="BD1083" s="27"/>
      <c r="BE1083" s="27"/>
      <c r="BF1083" s="27"/>
      <c r="BG1083" s="27"/>
      <c r="BH1083" s="27"/>
      <c r="BI1083" s="139"/>
    </row>
    <row r="1084" spans="2:61" ht="20.100000000000001" customHeight="1" x14ac:dyDescent="0.45">
      <c r="B1084" s="133"/>
      <c r="C1084" s="27"/>
      <c r="D1084" s="27"/>
      <c r="E1084" s="27"/>
      <c r="F1084" s="27"/>
      <c r="G1084" s="134"/>
      <c r="H1084" s="135"/>
      <c r="I1084" s="27"/>
      <c r="J1084" s="144" t="s">
        <v>667</v>
      </c>
      <c r="K1084" s="145"/>
      <c r="L1084" s="145"/>
      <c r="M1084" s="145"/>
      <c r="N1084" s="145"/>
      <c r="O1084" s="145"/>
      <c r="P1084" s="145"/>
      <c r="Q1084" s="156"/>
      <c r="R1084" s="145" t="s">
        <v>668</v>
      </c>
      <c r="S1084" s="145"/>
      <c r="T1084" s="145"/>
      <c r="U1084" s="145"/>
      <c r="V1084" s="145"/>
      <c r="W1084" s="145"/>
      <c r="X1084" s="145"/>
      <c r="Y1084" s="145"/>
      <c r="Z1084" s="145"/>
      <c r="AA1084" s="145"/>
      <c r="AB1084" s="145"/>
      <c r="AC1084" s="145"/>
      <c r="AD1084" s="145"/>
      <c r="AE1084" s="145"/>
      <c r="AF1084" s="145"/>
      <c r="AG1084" s="145"/>
      <c r="AH1084" s="145"/>
      <c r="AI1084" s="145"/>
      <c r="AJ1084" s="156"/>
      <c r="AK1084" s="138"/>
      <c r="AL1084" s="27"/>
      <c r="AM1084" s="27"/>
      <c r="AN1084" s="27"/>
      <c r="AO1084" s="27"/>
      <c r="AP1084" s="27"/>
      <c r="AQ1084" s="148"/>
      <c r="AR1084" s="148"/>
      <c r="AS1084" s="27"/>
      <c r="AT1084" s="27"/>
      <c r="AU1084" s="27"/>
      <c r="AV1084" s="27"/>
      <c r="AW1084" s="27"/>
      <c r="AX1084" s="27"/>
      <c r="AY1084" s="27"/>
      <c r="AZ1084" s="27"/>
      <c r="BA1084" s="27"/>
      <c r="BB1084" s="27"/>
      <c r="BC1084" s="27"/>
      <c r="BD1084" s="27"/>
      <c r="BE1084" s="27"/>
      <c r="BF1084" s="27"/>
      <c r="BG1084" s="27"/>
      <c r="BH1084" s="27"/>
      <c r="BI1084" s="139"/>
    </row>
    <row r="1085" spans="2:61" ht="20.100000000000001" customHeight="1" x14ac:dyDescent="0.45">
      <c r="B1085" s="133"/>
      <c r="C1085" s="27"/>
      <c r="D1085" s="27"/>
      <c r="E1085" s="27"/>
      <c r="F1085" s="27"/>
      <c r="G1085" s="134"/>
      <c r="H1085" s="140" t="s">
        <v>159</v>
      </c>
      <c r="I1085" s="51"/>
      <c r="J1085" s="140" t="s">
        <v>312</v>
      </c>
      <c r="K1085" s="51"/>
      <c r="L1085" s="51"/>
      <c r="M1085" s="51"/>
      <c r="N1085" s="51"/>
      <c r="O1085" s="51"/>
      <c r="P1085" s="51"/>
      <c r="Q1085" s="51"/>
      <c r="R1085" s="51"/>
      <c r="S1085" s="51"/>
      <c r="T1085" s="51"/>
      <c r="U1085" s="51"/>
      <c r="V1085" s="51"/>
      <c r="W1085" s="51"/>
      <c r="X1085" s="51"/>
      <c r="Y1085" s="51"/>
      <c r="Z1085" s="51"/>
      <c r="AA1085" s="51"/>
      <c r="AB1085" s="51"/>
      <c r="AC1085" s="51"/>
      <c r="AD1085" s="51"/>
      <c r="AE1085" s="51"/>
      <c r="AF1085" s="51"/>
      <c r="AG1085" s="51"/>
      <c r="AH1085" s="51"/>
      <c r="AI1085" s="51"/>
      <c r="AJ1085" s="51"/>
      <c r="AK1085" s="141"/>
      <c r="AL1085" s="51"/>
      <c r="AM1085" s="51"/>
      <c r="AN1085" s="51"/>
      <c r="AO1085" s="51"/>
      <c r="AP1085" s="51"/>
      <c r="AQ1085" s="51"/>
      <c r="AR1085" s="51"/>
      <c r="AS1085" s="51"/>
      <c r="AT1085" s="51"/>
      <c r="AU1085" s="51"/>
      <c r="AV1085" s="51"/>
      <c r="AW1085" s="51"/>
      <c r="AX1085" s="51"/>
      <c r="AY1085" s="51"/>
      <c r="AZ1085" s="51"/>
      <c r="BA1085" s="51"/>
      <c r="BB1085" s="51"/>
      <c r="BC1085" s="51"/>
      <c r="BD1085" s="51"/>
      <c r="BE1085" s="51"/>
      <c r="BF1085" s="51"/>
      <c r="BG1085" s="51"/>
      <c r="BH1085" s="51"/>
      <c r="BI1085" s="142"/>
    </row>
    <row r="1086" spans="2:61" ht="20.100000000000001" customHeight="1" x14ac:dyDescent="0.45">
      <c r="B1086" s="133"/>
      <c r="C1086" s="27"/>
      <c r="D1086" s="27"/>
      <c r="E1086" s="27"/>
      <c r="F1086" s="27"/>
      <c r="G1086" s="134"/>
      <c r="H1086" s="140" t="s">
        <v>160</v>
      </c>
      <c r="I1086" s="51"/>
      <c r="J1086" s="140" t="s">
        <v>669</v>
      </c>
      <c r="K1086" s="51"/>
      <c r="L1086" s="51"/>
      <c r="M1086" s="51"/>
      <c r="N1086" s="51"/>
      <c r="O1086" s="51"/>
      <c r="P1086" s="51"/>
      <c r="Q1086" s="51"/>
      <c r="R1086" s="51"/>
      <c r="S1086" s="51"/>
      <c r="T1086" s="51"/>
      <c r="U1086" s="51"/>
      <c r="V1086" s="51"/>
      <c r="W1086" s="51"/>
      <c r="X1086" s="51"/>
      <c r="Y1086" s="51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141"/>
      <c r="AL1086" s="51"/>
      <c r="AM1086" s="51"/>
      <c r="AN1086" s="51"/>
      <c r="AO1086" s="51"/>
      <c r="AP1086" s="51"/>
      <c r="AQ1086" s="51"/>
      <c r="AR1086" s="51"/>
      <c r="AS1086" s="51"/>
      <c r="AT1086" s="51"/>
      <c r="AU1086" s="51"/>
      <c r="AV1086" s="51"/>
      <c r="AW1086" s="51"/>
      <c r="AX1086" s="51"/>
      <c r="AY1086" s="51"/>
      <c r="AZ1086" s="51"/>
      <c r="BA1086" s="51"/>
      <c r="BB1086" s="51"/>
      <c r="BC1086" s="51"/>
      <c r="BD1086" s="51"/>
      <c r="BE1086" s="51"/>
      <c r="BF1086" s="51"/>
      <c r="BG1086" s="51"/>
      <c r="BH1086" s="51"/>
      <c r="BI1086" s="142"/>
    </row>
    <row r="1087" spans="2:61" ht="20.100000000000001" customHeight="1" thickBot="1" x14ac:dyDescent="0.5">
      <c r="B1087" s="133"/>
      <c r="C1087" s="27"/>
      <c r="D1087" s="27"/>
      <c r="E1087" s="27"/>
      <c r="F1087" s="27"/>
      <c r="G1087" s="134"/>
      <c r="H1087" s="140" t="s">
        <v>161</v>
      </c>
      <c r="I1087" s="51"/>
      <c r="J1087" s="140" t="s">
        <v>670</v>
      </c>
      <c r="K1087" s="51"/>
      <c r="L1087" s="51"/>
      <c r="M1087" s="51"/>
      <c r="N1087" s="51"/>
      <c r="O1087" s="51"/>
      <c r="P1087" s="51"/>
      <c r="Q1087" s="51"/>
      <c r="R1087" s="51"/>
      <c r="S1087" s="51"/>
      <c r="T1087" s="51"/>
      <c r="U1087" s="51"/>
      <c r="V1087" s="51"/>
      <c r="W1087" s="51"/>
      <c r="X1087" s="51"/>
      <c r="Y1087" s="51"/>
      <c r="Z1087" s="51"/>
      <c r="AA1087" s="51"/>
      <c r="AB1087" s="51"/>
      <c r="AC1087" s="51"/>
      <c r="AD1087" s="51"/>
      <c r="AE1087" s="51"/>
      <c r="AF1087" s="51"/>
      <c r="AG1087" s="51"/>
      <c r="AH1087" s="51"/>
      <c r="AI1087" s="51"/>
      <c r="AJ1087" s="51"/>
      <c r="AK1087" s="141"/>
      <c r="AL1087" s="51"/>
      <c r="AM1087" s="51"/>
      <c r="AN1087" s="51"/>
      <c r="AO1087" s="51"/>
      <c r="AP1087" s="51"/>
      <c r="AQ1087" s="51"/>
      <c r="AR1087" s="51"/>
      <c r="AS1087" s="51"/>
      <c r="AT1087" s="51"/>
      <c r="AU1087" s="51"/>
      <c r="AV1087" s="51"/>
      <c r="AW1087" s="51"/>
      <c r="AX1087" s="51"/>
      <c r="AY1087" s="51"/>
      <c r="AZ1087" s="51"/>
      <c r="BA1087" s="51"/>
      <c r="BB1087" s="51"/>
      <c r="BC1087" s="51"/>
      <c r="BD1087" s="51"/>
      <c r="BE1087" s="51"/>
      <c r="BF1087" s="51"/>
      <c r="BG1087" s="51"/>
      <c r="BH1087" s="51"/>
      <c r="BI1087" s="142"/>
    </row>
    <row r="1088" spans="2:61" ht="20.100000000000001" customHeight="1" x14ac:dyDescent="0.45">
      <c r="B1088" s="124" t="s">
        <v>820</v>
      </c>
      <c r="C1088" s="125"/>
      <c r="D1088" s="125"/>
      <c r="E1088" s="125"/>
      <c r="F1088" s="125"/>
      <c r="G1088" s="126"/>
      <c r="H1088" s="127" t="s">
        <v>158</v>
      </c>
      <c r="I1088" s="125"/>
      <c r="J1088" s="128" t="s">
        <v>163</v>
      </c>
      <c r="K1088" s="129"/>
      <c r="L1088" s="129"/>
      <c r="M1088" s="129"/>
      <c r="N1088" s="129"/>
      <c r="O1088" s="129"/>
      <c r="P1088" s="129"/>
      <c r="Q1088" s="130"/>
      <c r="R1088" s="129" t="s">
        <v>672</v>
      </c>
      <c r="S1088" s="129"/>
      <c r="T1088" s="129"/>
      <c r="U1088" s="129"/>
      <c r="V1088" s="129"/>
      <c r="W1088" s="129"/>
      <c r="X1088" s="129"/>
      <c r="Y1088" s="129"/>
      <c r="Z1088" s="129"/>
      <c r="AA1088" s="129"/>
      <c r="AB1088" s="129"/>
      <c r="AC1088" s="129"/>
      <c r="AD1088" s="129"/>
      <c r="AE1088" s="129"/>
      <c r="AF1088" s="129"/>
      <c r="AG1088" s="129"/>
      <c r="AH1088" s="129"/>
      <c r="AI1088" s="129"/>
      <c r="AJ1088" s="130"/>
      <c r="AK1088" s="131" t="s">
        <v>497</v>
      </c>
      <c r="AL1088" s="125"/>
      <c r="AM1088" s="125"/>
      <c r="AN1088" s="125"/>
      <c r="AO1088" s="125"/>
      <c r="AP1088" s="125"/>
      <c r="AQ1088" s="158"/>
      <c r="AR1088" s="158"/>
      <c r="AS1088" s="125"/>
      <c r="AT1088" s="125"/>
      <c r="AU1088" s="125"/>
      <c r="AV1088" s="125"/>
      <c r="AW1088" s="125"/>
      <c r="AX1088" s="125"/>
      <c r="AY1088" s="125"/>
      <c r="AZ1088" s="125"/>
      <c r="BA1088" s="125"/>
      <c r="BB1088" s="125"/>
      <c r="BC1088" s="125"/>
      <c r="BD1088" s="125"/>
      <c r="BE1088" s="125"/>
      <c r="BF1088" s="125"/>
      <c r="BG1088" s="125"/>
      <c r="BH1088" s="125"/>
      <c r="BI1088" s="132"/>
    </row>
    <row r="1089" spans="2:61" ht="20.100000000000001" customHeight="1" x14ac:dyDescent="0.45">
      <c r="B1089" s="133"/>
      <c r="C1089" s="27"/>
      <c r="D1089" s="27"/>
      <c r="E1089" s="27"/>
      <c r="F1089" s="27"/>
      <c r="G1089" s="134"/>
      <c r="H1089" s="135"/>
      <c r="I1089" s="27"/>
      <c r="J1089" s="144" t="s">
        <v>244</v>
      </c>
      <c r="K1089" s="145"/>
      <c r="L1089" s="145"/>
      <c r="M1089" s="145"/>
      <c r="N1089" s="145"/>
      <c r="O1089" s="145"/>
      <c r="P1089" s="145"/>
      <c r="Q1089" s="156"/>
      <c r="R1089" s="145" t="s">
        <v>673</v>
      </c>
      <c r="S1089" s="145"/>
      <c r="T1089" s="145"/>
      <c r="U1089" s="145"/>
      <c r="V1089" s="145"/>
      <c r="W1089" s="145"/>
      <c r="X1089" s="145"/>
      <c r="Y1089" s="145"/>
      <c r="Z1089" s="145"/>
      <c r="AA1089" s="145"/>
      <c r="AB1089" s="145"/>
      <c r="AC1089" s="145"/>
      <c r="AD1089" s="145"/>
      <c r="AE1089" s="145"/>
      <c r="AF1089" s="145"/>
      <c r="AG1089" s="145"/>
      <c r="AH1089" s="145"/>
      <c r="AI1089" s="145"/>
      <c r="AJ1089" s="156"/>
      <c r="AK1089" s="138"/>
      <c r="AL1089" s="27"/>
      <c r="AM1089" s="27"/>
      <c r="AN1089" s="27"/>
      <c r="AO1089" s="27"/>
      <c r="AP1089" s="27"/>
      <c r="AQ1089" s="148"/>
      <c r="AR1089" s="148"/>
      <c r="AS1089" s="27"/>
      <c r="AT1089" s="27"/>
      <c r="AU1089" s="27"/>
      <c r="AV1089" s="27"/>
      <c r="AW1089" s="27"/>
      <c r="AX1089" s="27"/>
      <c r="AY1089" s="27"/>
      <c r="AZ1089" s="27"/>
      <c r="BA1089" s="27"/>
      <c r="BB1089" s="27"/>
      <c r="BC1089" s="27"/>
      <c r="BD1089" s="27"/>
      <c r="BE1089" s="27"/>
      <c r="BF1089" s="27"/>
      <c r="BG1089" s="27"/>
      <c r="BH1089" s="27"/>
      <c r="BI1089" s="139"/>
    </row>
    <row r="1090" spans="2:61" ht="20.100000000000001" customHeight="1" x14ac:dyDescent="0.45">
      <c r="B1090" s="133"/>
      <c r="C1090" s="27"/>
      <c r="D1090" s="27"/>
      <c r="E1090" s="27"/>
      <c r="F1090" s="27"/>
      <c r="G1090" s="134"/>
      <c r="H1090" s="135"/>
      <c r="I1090" s="27"/>
      <c r="J1090" s="144" t="s">
        <v>247</v>
      </c>
      <c r="K1090" s="145"/>
      <c r="L1090" s="145"/>
      <c r="M1090" s="145"/>
      <c r="N1090" s="145"/>
      <c r="O1090" s="145"/>
      <c r="P1090" s="145"/>
      <c r="Q1090" s="156"/>
      <c r="R1090" s="145" t="s">
        <v>674</v>
      </c>
      <c r="S1090" s="145"/>
      <c r="T1090" s="145"/>
      <c r="U1090" s="145"/>
      <c r="V1090" s="145"/>
      <c r="W1090" s="145"/>
      <c r="X1090" s="145"/>
      <c r="Y1090" s="145"/>
      <c r="Z1090" s="145"/>
      <c r="AA1090" s="145"/>
      <c r="AB1090" s="145"/>
      <c r="AC1090" s="145"/>
      <c r="AD1090" s="145"/>
      <c r="AE1090" s="145"/>
      <c r="AF1090" s="145"/>
      <c r="AG1090" s="145"/>
      <c r="AH1090" s="145"/>
      <c r="AI1090" s="145"/>
      <c r="AJ1090" s="156"/>
      <c r="AK1090" s="138"/>
      <c r="AL1090" s="27"/>
      <c r="AM1090" s="27"/>
      <c r="AN1090" s="27"/>
      <c r="AO1090" s="27"/>
      <c r="AP1090" s="27"/>
      <c r="AQ1090" s="148"/>
      <c r="AR1090" s="148"/>
      <c r="AS1090" s="27"/>
      <c r="AT1090" s="27"/>
      <c r="AU1090" s="27"/>
      <c r="AV1090" s="27"/>
      <c r="AW1090" s="27"/>
      <c r="AX1090" s="27"/>
      <c r="AY1090" s="27"/>
      <c r="AZ1090" s="27"/>
      <c r="BA1090" s="27"/>
      <c r="BB1090" s="27"/>
      <c r="BC1090" s="27"/>
      <c r="BD1090" s="27"/>
      <c r="BE1090" s="27"/>
      <c r="BF1090" s="27"/>
      <c r="BG1090" s="27"/>
      <c r="BH1090" s="27"/>
      <c r="BI1090" s="139"/>
    </row>
    <row r="1091" spans="2:61" ht="20.100000000000001" customHeight="1" x14ac:dyDescent="0.45">
      <c r="B1091" s="133"/>
      <c r="C1091" s="27"/>
      <c r="D1091" s="27"/>
      <c r="E1091" s="27"/>
      <c r="F1091" s="27"/>
      <c r="G1091" s="134"/>
      <c r="H1091" s="135"/>
      <c r="I1091" s="27"/>
      <c r="J1091" s="144" t="s">
        <v>281</v>
      </c>
      <c r="K1091" s="145"/>
      <c r="L1091" s="145"/>
      <c r="M1091" s="145"/>
      <c r="N1091" s="145"/>
      <c r="O1091" s="145"/>
      <c r="P1091" s="145"/>
      <c r="Q1091" s="156"/>
      <c r="R1091" s="145" t="s">
        <v>675</v>
      </c>
      <c r="S1091" s="145"/>
      <c r="T1091" s="145"/>
      <c r="U1091" s="145"/>
      <c r="V1091" s="145"/>
      <c r="W1091" s="145"/>
      <c r="X1091" s="145"/>
      <c r="Y1091" s="145"/>
      <c r="Z1091" s="145"/>
      <c r="AA1091" s="145"/>
      <c r="AB1091" s="145"/>
      <c r="AC1091" s="145"/>
      <c r="AD1091" s="145"/>
      <c r="AE1091" s="145"/>
      <c r="AF1091" s="145"/>
      <c r="AG1091" s="145"/>
      <c r="AH1091" s="145"/>
      <c r="AI1091" s="145"/>
      <c r="AJ1091" s="156"/>
      <c r="AK1091" s="138"/>
      <c r="AL1091" s="27"/>
      <c r="AM1091" s="27"/>
      <c r="AN1091" s="27"/>
      <c r="AO1091" s="27"/>
      <c r="AP1091" s="27"/>
      <c r="AQ1091" s="148"/>
      <c r="AR1091" s="148"/>
      <c r="AS1091" s="27"/>
      <c r="AT1091" s="27"/>
      <c r="AU1091" s="27"/>
      <c r="AV1091" s="27"/>
      <c r="AW1091" s="27"/>
      <c r="AX1091" s="27"/>
      <c r="AY1091" s="27"/>
      <c r="AZ1091" s="27"/>
      <c r="BA1091" s="27"/>
      <c r="BB1091" s="27"/>
      <c r="BC1091" s="27"/>
      <c r="BD1091" s="27"/>
      <c r="BE1091" s="27"/>
      <c r="BF1091" s="27"/>
      <c r="BG1091" s="27"/>
      <c r="BH1091" s="27"/>
      <c r="BI1091" s="139"/>
    </row>
    <row r="1092" spans="2:61" ht="20.100000000000001" customHeight="1" x14ac:dyDescent="0.45">
      <c r="B1092" s="133"/>
      <c r="C1092" s="27"/>
      <c r="D1092" s="27"/>
      <c r="E1092" s="27"/>
      <c r="F1092" s="27"/>
      <c r="G1092" s="134"/>
      <c r="H1092" s="135"/>
      <c r="I1092" s="27"/>
      <c r="J1092" s="144" t="s">
        <v>290</v>
      </c>
      <c r="K1092" s="145"/>
      <c r="L1092" s="145"/>
      <c r="M1092" s="145"/>
      <c r="N1092" s="145"/>
      <c r="O1092" s="145"/>
      <c r="P1092" s="145"/>
      <c r="Q1092" s="156"/>
      <c r="R1092" s="145" t="s">
        <v>676</v>
      </c>
      <c r="S1092" s="145"/>
      <c r="T1092" s="145"/>
      <c r="U1092" s="145"/>
      <c r="V1092" s="145"/>
      <c r="W1092" s="145"/>
      <c r="X1092" s="145"/>
      <c r="Y1092" s="145"/>
      <c r="Z1092" s="145"/>
      <c r="AA1092" s="145"/>
      <c r="AB1092" s="145"/>
      <c r="AC1092" s="145"/>
      <c r="AD1092" s="145"/>
      <c r="AE1092" s="145"/>
      <c r="AF1092" s="145"/>
      <c r="AG1092" s="145"/>
      <c r="AH1092" s="145"/>
      <c r="AI1092" s="145"/>
      <c r="AJ1092" s="156"/>
      <c r="AK1092" s="138"/>
      <c r="AL1092" s="27"/>
      <c r="AM1092" s="27"/>
      <c r="AN1092" s="27"/>
      <c r="AO1092" s="27"/>
      <c r="AP1092" s="27"/>
      <c r="AQ1092" s="148"/>
      <c r="AR1092" s="148"/>
      <c r="AS1092" s="27"/>
      <c r="AT1092" s="27"/>
      <c r="AU1092" s="27"/>
      <c r="AV1092" s="27"/>
      <c r="AW1092" s="27"/>
      <c r="AX1092" s="27"/>
      <c r="AY1092" s="27"/>
      <c r="AZ1092" s="27"/>
      <c r="BA1092" s="27"/>
      <c r="BB1092" s="27"/>
      <c r="BC1092" s="27"/>
      <c r="BD1092" s="27"/>
      <c r="BE1092" s="27"/>
      <c r="BF1092" s="27"/>
      <c r="BG1092" s="27"/>
      <c r="BH1092" s="27"/>
      <c r="BI1092" s="139"/>
    </row>
    <row r="1093" spans="2:61" ht="20.100000000000001" customHeight="1" x14ac:dyDescent="0.45">
      <c r="B1093" s="133"/>
      <c r="C1093" s="27"/>
      <c r="D1093" s="27"/>
      <c r="E1093" s="27"/>
      <c r="F1093" s="27"/>
      <c r="G1093" s="134"/>
      <c r="H1093" s="135"/>
      <c r="I1093" s="27"/>
      <c r="J1093" s="144" t="s">
        <v>177</v>
      </c>
      <c r="K1093" s="145"/>
      <c r="L1093" s="145"/>
      <c r="M1093" s="145"/>
      <c r="N1093" s="145"/>
      <c r="O1093" s="145"/>
      <c r="P1093" s="145"/>
      <c r="Q1093" s="156"/>
      <c r="R1093" s="145" t="s">
        <v>293</v>
      </c>
      <c r="S1093" s="145"/>
      <c r="T1093" s="145"/>
      <c r="U1093" s="145"/>
      <c r="V1093" s="145"/>
      <c r="W1093" s="145"/>
      <c r="X1093" s="145"/>
      <c r="Y1093" s="145"/>
      <c r="Z1093" s="145"/>
      <c r="AA1093" s="145"/>
      <c r="AB1093" s="145"/>
      <c r="AC1093" s="145"/>
      <c r="AD1093" s="145"/>
      <c r="AE1093" s="145"/>
      <c r="AF1093" s="145"/>
      <c r="AG1093" s="145"/>
      <c r="AH1093" s="145"/>
      <c r="AI1093" s="145"/>
      <c r="AJ1093" s="156"/>
      <c r="AK1093" s="138"/>
      <c r="AL1093" s="27"/>
      <c r="AM1093" s="27"/>
      <c r="AN1093" s="27"/>
      <c r="AO1093" s="27"/>
      <c r="AP1093" s="27"/>
      <c r="AQ1093" s="148"/>
      <c r="AR1093" s="148"/>
      <c r="AS1093" s="27"/>
      <c r="AT1093" s="27"/>
      <c r="AU1093" s="27"/>
      <c r="AV1093" s="27"/>
      <c r="AW1093" s="27"/>
      <c r="AX1093" s="27"/>
      <c r="AY1093" s="27"/>
      <c r="AZ1093" s="27"/>
      <c r="BA1093" s="27"/>
      <c r="BB1093" s="27"/>
      <c r="BC1093" s="27"/>
      <c r="BD1093" s="27"/>
      <c r="BE1093" s="27"/>
      <c r="BF1093" s="27"/>
      <c r="BG1093" s="27"/>
      <c r="BH1093" s="27"/>
      <c r="BI1093" s="139"/>
    </row>
    <row r="1094" spans="2:61" ht="20.100000000000001" customHeight="1" x14ac:dyDescent="0.45">
      <c r="B1094" s="133"/>
      <c r="C1094" s="27"/>
      <c r="D1094" s="27"/>
      <c r="E1094" s="27"/>
      <c r="F1094" s="27"/>
      <c r="G1094" s="134"/>
      <c r="H1094" s="135"/>
      <c r="I1094" s="27"/>
      <c r="J1094" s="144" t="s">
        <v>294</v>
      </c>
      <c r="K1094" s="145"/>
      <c r="L1094" s="145"/>
      <c r="M1094" s="145"/>
      <c r="N1094" s="145"/>
      <c r="O1094" s="145"/>
      <c r="P1094" s="145"/>
      <c r="Q1094" s="156"/>
      <c r="R1094" s="145" t="s">
        <v>295</v>
      </c>
      <c r="S1094" s="145"/>
      <c r="T1094" s="145"/>
      <c r="U1094" s="145"/>
      <c r="V1094" s="145"/>
      <c r="W1094" s="145"/>
      <c r="X1094" s="145"/>
      <c r="Y1094" s="145"/>
      <c r="Z1094" s="145"/>
      <c r="AA1094" s="145"/>
      <c r="AB1094" s="145"/>
      <c r="AC1094" s="145"/>
      <c r="AD1094" s="145"/>
      <c r="AE1094" s="145"/>
      <c r="AF1094" s="145"/>
      <c r="AG1094" s="145"/>
      <c r="AH1094" s="145"/>
      <c r="AI1094" s="145"/>
      <c r="AJ1094" s="156"/>
      <c r="AK1094" s="138"/>
      <c r="AL1094" s="27"/>
      <c r="AM1094" s="27"/>
      <c r="AN1094" s="27"/>
      <c r="AO1094" s="27"/>
      <c r="AP1094" s="27"/>
      <c r="AQ1094" s="148"/>
      <c r="AR1094" s="148"/>
      <c r="AS1094" s="27"/>
      <c r="AT1094" s="27"/>
      <c r="AU1094" s="27"/>
      <c r="AV1094" s="27"/>
      <c r="AW1094" s="27"/>
      <c r="AX1094" s="27"/>
      <c r="AY1094" s="27"/>
      <c r="AZ1094" s="27"/>
      <c r="BA1094" s="27"/>
      <c r="BB1094" s="27"/>
      <c r="BC1094" s="27"/>
      <c r="BD1094" s="27"/>
      <c r="BE1094" s="27"/>
      <c r="BF1094" s="27"/>
      <c r="BG1094" s="27"/>
      <c r="BH1094" s="27"/>
      <c r="BI1094" s="139"/>
    </row>
    <row r="1095" spans="2:61" ht="20.100000000000001" customHeight="1" x14ac:dyDescent="0.45">
      <c r="B1095" s="133"/>
      <c r="C1095" s="27"/>
      <c r="D1095" s="27"/>
      <c r="E1095" s="27"/>
      <c r="F1095" s="27"/>
      <c r="G1095" s="134"/>
      <c r="H1095" s="140" t="s">
        <v>159</v>
      </c>
      <c r="I1095" s="51"/>
      <c r="J1095" s="140" t="s">
        <v>677</v>
      </c>
      <c r="K1095" s="51"/>
      <c r="L1095" s="51"/>
      <c r="M1095" s="51"/>
      <c r="N1095" s="51"/>
      <c r="O1095" s="51"/>
      <c r="P1095" s="51"/>
      <c r="Q1095" s="51"/>
      <c r="R1095" s="51"/>
      <c r="S1095" s="51"/>
      <c r="T1095" s="51"/>
      <c r="U1095" s="51"/>
      <c r="V1095" s="51"/>
      <c r="W1095" s="51"/>
      <c r="X1095" s="51"/>
      <c r="Y1095" s="51"/>
      <c r="Z1095" s="51"/>
      <c r="AA1095" s="51"/>
      <c r="AB1095" s="51"/>
      <c r="AC1095" s="51"/>
      <c r="AD1095" s="51"/>
      <c r="AE1095" s="51"/>
      <c r="AF1095" s="51"/>
      <c r="AG1095" s="51"/>
      <c r="AH1095" s="51"/>
      <c r="AI1095" s="51"/>
      <c r="AJ1095" s="51"/>
      <c r="AK1095" s="141"/>
      <c r="AL1095" s="51"/>
      <c r="AM1095" s="51"/>
      <c r="AN1095" s="51"/>
      <c r="AO1095" s="51"/>
      <c r="AP1095" s="51"/>
      <c r="AQ1095" s="51"/>
      <c r="AR1095" s="51"/>
      <c r="AS1095" s="51"/>
      <c r="AT1095" s="51"/>
      <c r="AU1095" s="51"/>
      <c r="AV1095" s="51"/>
      <c r="AW1095" s="51"/>
      <c r="AX1095" s="51"/>
      <c r="AY1095" s="51"/>
      <c r="AZ1095" s="51"/>
      <c r="BA1095" s="51"/>
      <c r="BB1095" s="51"/>
      <c r="BC1095" s="51"/>
      <c r="BD1095" s="51"/>
      <c r="BE1095" s="51"/>
      <c r="BF1095" s="51"/>
      <c r="BG1095" s="51"/>
      <c r="BH1095" s="51"/>
      <c r="BI1095" s="142"/>
    </row>
    <row r="1096" spans="2:61" ht="20.100000000000001" customHeight="1" x14ac:dyDescent="0.45">
      <c r="B1096" s="133"/>
      <c r="C1096" s="27"/>
      <c r="D1096" s="27"/>
      <c r="E1096" s="27"/>
      <c r="F1096" s="27"/>
      <c r="G1096" s="134"/>
      <c r="H1096" s="140" t="s">
        <v>427</v>
      </c>
      <c r="I1096" s="51"/>
      <c r="J1096" s="140" t="s">
        <v>678</v>
      </c>
      <c r="K1096" s="51"/>
      <c r="L1096" s="51"/>
      <c r="M1096" s="51"/>
      <c r="N1096" s="51"/>
      <c r="O1096" s="51"/>
      <c r="P1096" s="51"/>
      <c r="Q1096" s="51"/>
      <c r="R1096" s="51"/>
      <c r="S1096" s="51"/>
      <c r="T1096" s="51"/>
      <c r="U1096" s="51"/>
      <c r="V1096" s="51"/>
      <c r="W1096" s="51"/>
      <c r="X1096" s="51"/>
      <c r="Y1096" s="51"/>
      <c r="Z1096" s="51"/>
      <c r="AA1096" s="51"/>
      <c r="AB1096" s="51"/>
      <c r="AC1096" s="51"/>
      <c r="AD1096" s="51"/>
      <c r="AE1096" s="51"/>
      <c r="AF1096" s="51"/>
      <c r="AG1096" s="51"/>
      <c r="AH1096" s="51"/>
      <c r="AI1096" s="51"/>
      <c r="AJ1096" s="51"/>
      <c r="AK1096" s="141"/>
      <c r="AL1096" s="51"/>
      <c r="AM1096" s="51"/>
      <c r="AN1096" s="51"/>
      <c r="AO1096" s="51"/>
      <c r="AP1096" s="51"/>
      <c r="AQ1096" s="51"/>
      <c r="AR1096" s="51"/>
      <c r="AS1096" s="51"/>
      <c r="AT1096" s="51"/>
      <c r="AU1096" s="51"/>
      <c r="AV1096" s="51"/>
      <c r="AW1096" s="51"/>
      <c r="AX1096" s="51"/>
      <c r="AY1096" s="51"/>
      <c r="AZ1096" s="51"/>
      <c r="BA1096" s="51"/>
      <c r="BB1096" s="51"/>
      <c r="BC1096" s="51"/>
      <c r="BD1096" s="51"/>
      <c r="BE1096" s="51"/>
      <c r="BF1096" s="51"/>
      <c r="BG1096" s="51"/>
      <c r="BH1096" s="51"/>
      <c r="BI1096" s="142"/>
    </row>
    <row r="1097" spans="2:61" ht="20.100000000000001" customHeight="1" thickBot="1" x14ac:dyDescent="0.5">
      <c r="B1097" s="133"/>
      <c r="C1097" s="27"/>
      <c r="D1097" s="27"/>
      <c r="E1097" s="27"/>
      <c r="F1097" s="27"/>
      <c r="G1097" s="134"/>
      <c r="H1097" s="140" t="s">
        <v>334</v>
      </c>
      <c r="I1097" s="51"/>
      <c r="J1097" s="140" t="s">
        <v>679</v>
      </c>
      <c r="K1097" s="51"/>
      <c r="L1097" s="51"/>
      <c r="M1097" s="51"/>
      <c r="N1097" s="51"/>
      <c r="O1097" s="51"/>
      <c r="P1097" s="51"/>
      <c r="Q1097" s="51"/>
      <c r="R1097" s="51"/>
      <c r="S1097" s="51"/>
      <c r="T1097" s="51"/>
      <c r="U1097" s="51"/>
      <c r="V1097" s="51"/>
      <c r="W1097" s="51"/>
      <c r="X1097" s="51"/>
      <c r="Y1097" s="51"/>
      <c r="Z1097" s="51"/>
      <c r="AA1097" s="51"/>
      <c r="AB1097" s="51"/>
      <c r="AC1097" s="51"/>
      <c r="AD1097" s="51"/>
      <c r="AE1097" s="51"/>
      <c r="AF1097" s="51"/>
      <c r="AG1097" s="51"/>
      <c r="AH1097" s="51"/>
      <c r="AI1097" s="51"/>
      <c r="AJ1097" s="51"/>
      <c r="AK1097" s="141"/>
      <c r="AL1097" s="51"/>
      <c r="AM1097" s="51"/>
      <c r="AN1097" s="51"/>
      <c r="AO1097" s="51"/>
      <c r="AP1097" s="51"/>
      <c r="AQ1097" s="51"/>
      <c r="AR1097" s="51"/>
      <c r="AS1097" s="51"/>
      <c r="AT1097" s="51"/>
      <c r="AU1097" s="51"/>
      <c r="AV1097" s="51"/>
      <c r="AW1097" s="51"/>
      <c r="AX1097" s="51"/>
      <c r="AY1097" s="51"/>
      <c r="AZ1097" s="51"/>
      <c r="BA1097" s="51"/>
      <c r="BB1097" s="51"/>
      <c r="BC1097" s="51"/>
      <c r="BD1097" s="51"/>
      <c r="BE1097" s="51"/>
      <c r="BF1097" s="51"/>
      <c r="BG1097" s="51"/>
      <c r="BH1097" s="51"/>
      <c r="BI1097" s="142"/>
    </row>
    <row r="1098" spans="2:61" ht="20.100000000000001" customHeight="1" x14ac:dyDescent="0.45">
      <c r="B1098" s="124" t="s">
        <v>821</v>
      </c>
      <c r="C1098" s="125"/>
      <c r="D1098" s="125"/>
      <c r="E1098" s="125"/>
      <c r="F1098" s="125"/>
      <c r="G1098" s="126"/>
      <c r="H1098" s="127" t="s">
        <v>487</v>
      </c>
      <c r="I1098" s="125"/>
      <c r="J1098" s="128" t="s">
        <v>488</v>
      </c>
      <c r="K1098" s="129"/>
      <c r="L1098" s="129"/>
      <c r="M1098" s="129"/>
      <c r="N1098" s="129"/>
      <c r="O1098" s="129"/>
      <c r="P1098" s="129"/>
      <c r="Q1098" s="129"/>
      <c r="R1098" s="129"/>
      <c r="S1098" s="129"/>
      <c r="T1098" s="129"/>
      <c r="U1098" s="129"/>
      <c r="V1098" s="129"/>
      <c r="W1098" s="129"/>
      <c r="X1098" s="129"/>
      <c r="Y1098" s="129"/>
      <c r="Z1098" s="129"/>
      <c r="AA1098" s="129"/>
      <c r="AB1098" s="129"/>
      <c r="AC1098" s="129"/>
      <c r="AD1098" s="129"/>
      <c r="AE1098" s="129"/>
      <c r="AF1098" s="129"/>
      <c r="AG1098" s="129"/>
      <c r="AH1098" s="129"/>
      <c r="AI1098" s="129"/>
      <c r="AJ1098" s="130"/>
      <c r="AK1098" s="131"/>
      <c r="AL1098" s="125"/>
      <c r="AM1098" s="125"/>
      <c r="AN1098" s="125"/>
      <c r="AO1098" s="125"/>
      <c r="AP1098" s="125"/>
      <c r="AQ1098" s="158"/>
      <c r="AR1098" s="158"/>
      <c r="AS1098" s="125"/>
      <c r="AT1098" s="125"/>
      <c r="AU1098" s="125"/>
      <c r="AV1098" s="125"/>
      <c r="AW1098" s="125"/>
      <c r="AX1098" s="125"/>
      <c r="AY1098" s="125"/>
      <c r="AZ1098" s="125"/>
      <c r="BA1098" s="125"/>
      <c r="BB1098" s="125"/>
      <c r="BC1098" s="125"/>
      <c r="BD1098" s="125"/>
      <c r="BE1098" s="125"/>
      <c r="BF1098" s="125"/>
      <c r="BG1098" s="125"/>
      <c r="BH1098" s="125"/>
      <c r="BI1098" s="132"/>
    </row>
    <row r="1099" spans="2:61" ht="20.100000000000001" customHeight="1" x14ac:dyDescent="0.45">
      <c r="B1099" s="133"/>
      <c r="C1099" s="27"/>
      <c r="D1099" s="27"/>
      <c r="E1099" s="27"/>
      <c r="F1099" s="27"/>
      <c r="G1099" s="134"/>
      <c r="H1099" s="140" t="s">
        <v>161</v>
      </c>
      <c r="I1099" s="51"/>
      <c r="J1099" s="140" t="s">
        <v>822</v>
      </c>
      <c r="K1099" s="51"/>
      <c r="L1099" s="51"/>
      <c r="M1099" s="51"/>
      <c r="N1099" s="51"/>
      <c r="O1099" s="51"/>
      <c r="P1099" s="51"/>
      <c r="Q1099" s="51"/>
      <c r="R1099" s="51"/>
      <c r="S1099" s="51"/>
      <c r="T1099" s="51"/>
      <c r="U1099" s="51"/>
      <c r="V1099" s="51"/>
      <c r="W1099" s="51"/>
      <c r="X1099" s="51"/>
      <c r="Y1099" s="51"/>
      <c r="Z1099" s="51"/>
      <c r="AA1099" s="51"/>
      <c r="AB1099" s="51"/>
      <c r="AC1099" s="51"/>
      <c r="AD1099" s="51"/>
      <c r="AE1099" s="51"/>
      <c r="AF1099" s="51"/>
      <c r="AG1099" s="51"/>
      <c r="AH1099" s="51"/>
      <c r="AI1099" s="51"/>
      <c r="AJ1099" s="51"/>
      <c r="AK1099" s="141"/>
      <c r="AL1099" s="51"/>
      <c r="AM1099" s="51"/>
      <c r="AN1099" s="51"/>
      <c r="AO1099" s="51"/>
      <c r="AP1099" s="51"/>
      <c r="AQ1099" s="51"/>
      <c r="AR1099" s="51"/>
      <c r="AS1099" s="51"/>
      <c r="AT1099" s="51"/>
      <c r="AU1099" s="51"/>
      <c r="AV1099" s="51"/>
      <c r="AW1099" s="51"/>
      <c r="AX1099" s="51"/>
      <c r="AY1099" s="51"/>
      <c r="AZ1099" s="51"/>
      <c r="BA1099" s="51"/>
      <c r="BB1099" s="51"/>
      <c r="BC1099" s="51"/>
      <c r="BD1099" s="51"/>
      <c r="BE1099" s="51"/>
      <c r="BF1099" s="51"/>
      <c r="BG1099" s="51"/>
      <c r="BH1099" s="51"/>
      <c r="BI1099" s="142"/>
    </row>
    <row r="1100" spans="2:61" ht="20.100000000000001" customHeight="1" thickBot="1" x14ac:dyDescent="0.5">
      <c r="B1100" s="133"/>
      <c r="C1100" s="27"/>
      <c r="D1100" s="27"/>
      <c r="E1100" s="27"/>
      <c r="F1100" s="27"/>
      <c r="G1100" s="134"/>
      <c r="H1100" s="144"/>
      <c r="I1100" s="145"/>
      <c r="J1100" s="144"/>
      <c r="K1100" s="145" t="s">
        <v>823</v>
      </c>
      <c r="L1100" s="145"/>
      <c r="M1100" s="145"/>
      <c r="N1100" s="145"/>
      <c r="O1100" s="145"/>
      <c r="P1100" s="145"/>
      <c r="Q1100" s="145"/>
      <c r="R1100" s="145"/>
      <c r="S1100" s="145"/>
      <c r="T1100" s="145"/>
      <c r="U1100" s="145"/>
      <c r="V1100" s="145"/>
      <c r="W1100" s="145"/>
      <c r="X1100" s="145"/>
      <c r="Y1100" s="145"/>
      <c r="Z1100" s="145"/>
      <c r="AA1100" s="145"/>
      <c r="AB1100" s="145"/>
      <c r="AC1100" s="145"/>
      <c r="AD1100" s="145"/>
      <c r="AE1100" s="145"/>
      <c r="AF1100" s="145"/>
      <c r="AG1100" s="145"/>
      <c r="AH1100" s="145"/>
      <c r="AI1100" s="145"/>
      <c r="AJ1100" s="145"/>
      <c r="AK1100" s="146"/>
      <c r="AL1100" s="145"/>
      <c r="AM1100" s="145"/>
      <c r="AN1100" s="145"/>
      <c r="AO1100" s="145"/>
      <c r="AP1100" s="145"/>
      <c r="AQ1100" s="145"/>
      <c r="AR1100" s="145"/>
      <c r="AS1100" s="145"/>
      <c r="AT1100" s="145"/>
      <c r="AU1100" s="145"/>
      <c r="AV1100" s="145"/>
      <c r="AW1100" s="145"/>
      <c r="AX1100" s="145"/>
      <c r="AY1100" s="145"/>
      <c r="AZ1100" s="145"/>
      <c r="BA1100" s="145"/>
      <c r="BB1100" s="145"/>
      <c r="BC1100" s="145"/>
      <c r="BD1100" s="145"/>
      <c r="BE1100" s="145"/>
      <c r="BF1100" s="145"/>
      <c r="BG1100" s="145"/>
      <c r="BH1100" s="145"/>
      <c r="BI1100" s="147"/>
    </row>
    <row r="1101" spans="2:61" ht="20.100000000000001" customHeight="1" x14ac:dyDescent="0.45">
      <c r="B1101" s="124" t="s">
        <v>824</v>
      </c>
      <c r="C1101" s="125"/>
      <c r="D1101" s="125"/>
      <c r="E1101" s="125"/>
      <c r="F1101" s="125"/>
      <c r="G1101" s="126"/>
      <c r="H1101" s="127" t="s">
        <v>158</v>
      </c>
      <c r="I1101" s="125"/>
      <c r="J1101" s="128" t="s">
        <v>196</v>
      </c>
      <c r="K1101" s="129"/>
      <c r="L1101" s="129"/>
      <c r="M1101" s="129"/>
      <c r="N1101" s="129"/>
      <c r="O1101" s="129"/>
      <c r="P1101" s="129"/>
      <c r="Q1101" s="130"/>
      <c r="R1101" s="129" t="s">
        <v>672</v>
      </c>
      <c r="S1101" s="129"/>
      <c r="T1101" s="129"/>
      <c r="U1101" s="129"/>
      <c r="V1101" s="129"/>
      <c r="W1101" s="129"/>
      <c r="X1101" s="129"/>
      <c r="Y1101" s="129"/>
      <c r="Z1101" s="129"/>
      <c r="AA1101" s="129"/>
      <c r="AB1101" s="129"/>
      <c r="AC1101" s="129"/>
      <c r="AD1101" s="129"/>
      <c r="AE1101" s="129"/>
      <c r="AF1101" s="129"/>
      <c r="AG1101" s="129"/>
      <c r="AH1101" s="129"/>
      <c r="AI1101" s="129"/>
      <c r="AJ1101" s="130"/>
      <c r="AK1101" s="131" t="s">
        <v>680</v>
      </c>
      <c r="AL1101" s="125"/>
      <c r="AM1101" s="125"/>
      <c r="AN1101" s="125"/>
      <c r="AO1101" s="125"/>
      <c r="AP1101" s="125"/>
      <c r="AQ1101" s="158"/>
      <c r="AR1101" s="158"/>
      <c r="AS1101" s="125"/>
      <c r="AT1101" s="125"/>
      <c r="AU1101" s="125"/>
      <c r="AV1101" s="125"/>
      <c r="AW1101" s="125"/>
      <c r="AX1101" s="125"/>
      <c r="AY1101" s="125"/>
      <c r="AZ1101" s="125"/>
      <c r="BA1101" s="125"/>
      <c r="BB1101" s="125"/>
      <c r="BC1101" s="125"/>
      <c r="BD1101" s="125"/>
      <c r="BE1101" s="125"/>
      <c r="BF1101" s="125"/>
      <c r="BG1101" s="125"/>
      <c r="BH1101" s="125"/>
      <c r="BI1101" s="132"/>
    </row>
    <row r="1102" spans="2:61" ht="20.100000000000001" customHeight="1" x14ac:dyDescent="0.45">
      <c r="B1102" s="133"/>
      <c r="C1102" s="27"/>
      <c r="D1102" s="27"/>
      <c r="E1102" s="27"/>
      <c r="F1102" s="27"/>
      <c r="G1102" s="134"/>
      <c r="H1102" s="135"/>
      <c r="I1102" s="27"/>
      <c r="J1102" s="144" t="s">
        <v>199</v>
      </c>
      <c r="K1102" s="145"/>
      <c r="L1102" s="145"/>
      <c r="M1102" s="145"/>
      <c r="N1102" s="145"/>
      <c r="O1102" s="145"/>
      <c r="P1102" s="145"/>
      <c r="Q1102" s="156"/>
      <c r="R1102" s="145" t="s">
        <v>673</v>
      </c>
      <c r="S1102" s="145"/>
      <c r="T1102" s="145"/>
      <c r="U1102" s="145"/>
      <c r="V1102" s="145"/>
      <c r="W1102" s="145"/>
      <c r="X1102" s="145"/>
      <c r="Y1102" s="145"/>
      <c r="Z1102" s="145"/>
      <c r="AA1102" s="145"/>
      <c r="AB1102" s="145"/>
      <c r="AC1102" s="145"/>
      <c r="AD1102" s="145"/>
      <c r="AE1102" s="145"/>
      <c r="AF1102" s="145"/>
      <c r="AG1102" s="145"/>
      <c r="AH1102" s="145"/>
      <c r="AI1102" s="145"/>
      <c r="AJ1102" s="156"/>
      <c r="AK1102" s="138"/>
      <c r="AL1102" s="27"/>
      <c r="AM1102" s="27"/>
      <c r="AN1102" s="27"/>
      <c r="AO1102" s="27"/>
      <c r="AP1102" s="27"/>
      <c r="AQ1102" s="148"/>
      <c r="AR1102" s="148"/>
      <c r="AS1102" s="27"/>
      <c r="AT1102" s="27"/>
      <c r="AU1102" s="27"/>
      <c r="AV1102" s="27"/>
      <c r="AW1102" s="27"/>
      <c r="AX1102" s="27"/>
      <c r="AY1102" s="27"/>
      <c r="AZ1102" s="27"/>
      <c r="BA1102" s="27"/>
      <c r="BB1102" s="27"/>
      <c r="BC1102" s="27"/>
      <c r="BD1102" s="27"/>
      <c r="BE1102" s="27"/>
      <c r="BF1102" s="27"/>
      <c r="BG1102" s="27"/>
      <c r="BH1102" s="27"/>
      <c r="BI1102" s="139"/>
    </row>
    <row r="1103" spans="2:61" ht="20.100000000000001" customHeight="1" x14ac:dyDescent="0.45">
      <c r="B1103" s="133"/>
      <c r="C1103" s="27"/>
      <c r="D1103" s="27"/>
      <c r="E1103" s="27"/>
      <c r="F1103" s="27"/>
      <c r="G1103" s="134"/>
      <c r="H1103" s="135"/>
      <c r="I1103" s="27"/>
      <c r="J1103" s="144" t="s">
        <v>200</v>
      </c>
      <c r="K1103" s="145"/>
      <c r="L1103" s="145"/>
      <c r="M1103" s="145"/>
      <c r="N1103" s="145"/>
      <c r="O1103" s="145"/>
      <c r="P1103" s="145"/>
      <c r="Q1103" s="156"/>
      <c r="R1103" s="145" t="s">
        <v>674</v>
      </c>
      <c r="S1103" s="145"/>
      <c r="T1103" s="145"/>
      <c r="U1103" s="145"/>
      <c r="V1103" s="145"/>
      <c r="W1103" s="145"/>
      <c r="X1103" s="145"/>
      <c r="Y1103" s="145"/>
      <c r="Z1103" s="145"/>
      <c r="AA1103" s="145"/>
      <c r="AB1103" s="145"/>
      <c r="AC1103" s="145"/>
      <c r="AD1103" s="145"/>
      <c r="AE1103" s="145"/>
      <c r="AF1103" s="145"/>
      <c r="AG1103" s="145"/>
      <c r="AH1103" s="145"/>
      <c r="AI1103" s="145"/>
      <c r="AJ1103" s="156"/>
      <c r="AK1103" s="138"/>
      <c r="AL1103" s="27"/>
      <c r="AM1103" s="27"/>
      <c r="AN1103" s="27"/>
      <c r="AO1103" s="27"/>
      <c r="AP1103" s="27"/>
      <c r="AQ1103" s="148"/>
      <c r="AR1103" s="148"/>
      <c r="AS1103" s="27"/>
      <c r="AT1103" s="27"/>
      <c r="AU1103" s="27"/>
      <c r="AV1103" s="27"/>
      <c r="AW1103" s="27"/>
      <c r="AX1103" s="27"/>
      <c r="AY1103" s="27"/>
      <c r="AZ1103" s="27"/>
      <c r="BA1103" s="27"/>
      <c r="BB1103" s="27"/>
      <c r="BC1103" s="27"/>
      <c r="BD1103" s="27"/>
      <c r="BE1103" s="27"/>
      <c r="BF1103" s="27"/>
      <c r="BG1103" s="27"/>
      <c r="BH1103" s="27"/>
      <c r="BI1103" s="139"/>
    </row>
    <row r="1104" spans="2:61" ht="20.100000000000001" customHeight="1" x14ac:dyDescent="0.45">
      <c r="B1104" s="133"/>
      <c r="C1104" s="27"/>
      <c r="D1104" s="27"/>
      <c r="E1104" s="27"/>
      <c r="F1104" s="27"/>
      <c r="G1104" s="134"/>
      <c r="H1104" s="135"/>
      <c r="I1104" s="27"/>
      <c r="J1104" s="144" t="s">
        <v>201</v>
      </c>
      <c r="K1104" s="145"/>
      <c r="L1104" s="145"/>
      <c r="M1104" s="145"/>
      <c r="N1104" s="145"/>
      <c r="O1104" s="145"/>
      <c r="P1104" s="145"/>
      <c r="Q1104" s="156"/>
      <c r="R1104" s="145" t="s">
        <v>681</v>
      </c>
      <c r="S1104" s="145"/>
      <c r="T1104" s="145"/>
      <c r="U1104" s="145"/>
      <c r="V1104" s="145"/>
      <c r="W1104" s="145"/>
      <c r="X1104" s="145"/>
      <c r="Y1104" s="145"/>
      <c r="Z1104" s="145"/>
      <c r="AA1104" s="145"/>
      <c r="AB1104" s="145"/>
      <c r="AC1104" s="145"/>
      <c r="AD1104" s="145"/>
      <c r="AE1104" s="145"/>
      <c r="AF1104" s="145"/>
      <c r="AG1104" s="145"/>
      <c r="AH1104" s="145"/>
      <c r="AI1104" s="145"/>
      <c r="AJ1104" s="156"/>
      <c r="AK1104" s="138"/>
      <c r="AL1104" s="27"/>
      <c r="AM1104" s="27"/>
      <c r="AN1104" s="27"/>
      <c r="AO1104" s="27"/>
      <c r="AP1104" s="27"/>
      <c r="AQ1104" s="148"/>
      <c r="AR1104" s="148"/>
      <c r="AS1104" s="27"/>
      <c r="AT1104" s="27"/>
      <c r="AU1104" s="27"/>
      <c r="AV1104" s="27"/>
      <c r="AW1104" s="27"/>
      <c r="AX1104" s="27"/>
      <c r="AY1104" s="27"/>
      <c r="AZ1104" s="27"/>
      <c r="BA1104" s="27"/>
      <c r="BB1104" s="27"/>
      <c r="BC1104" s="27"/>
      <c r="BD1104" s="27"/>
      <c r="BE1104" s="27"/>
      <c r="BF1104" s="27"/>
      <c r="BG1104" s="27"/>
      <c r="BH1104" s="27"/>
      <c r="BI1104" s="139"/>
    </row>
    <row r="1105" spans="2:61" ht="20.100000000000001" customHeight="1" x14ac:dyDescent="0.45">
      <c r="B1105" s="133"/>
      <c r="C1105" s="27"/>
      <c r="D1105" s="27"/>
      <c r="E1105" s="27"/>
      <c r="F1105" s="27"/>
      <c r="G1105" s="134"/>
      <c r="H1105" s="135"/>
      <c r="I1105" s="27"/>
      <c r="J1105" s="144" t="s">
        <v>202</v>
      </c>
      <c r="K1105" s="145"/>
      <c r="L1105" s="145"/>
      <c r="M1105" s="145"/>
      <c r="N1105" s="145"/>
      <c r="O1105" s="145"/>
      <c r="P1105" s="145"/>
      <c r="Q1105" s="156"/>
      <c r="R1105" s="145" t="s">
        <v>682</v>
      </c>
      <c r="S1105" s="145"/>
      <c r="T1105" s="145"/>
      <c r="U1105" s="145"/>
      <c r="V1105" s="145"/>
      <c r="W1105" s="145"/>
      <c r="X1105" s="145"/>
      <c r="Y1105" s="145"/>
      <c r="Z1105" s="145"/>
      <c r="AA1105" s="145"/>
      <c r="AB1105" s="145"/>
      <c r="AC1105" s="145"/>
      <c r="AD1105" s="145"/>
      <c r="AE1105" s="145"/>
      <c r="AF1105" s="145"/>
      <c r="AG1105" s="145"/>
      <c r="AH1105" s="145"/>
      <c r="AI1105" s="145"/>
      <c r="AJ1105" s="156"/>
      <c r="AK1105" s="138"/>
      <c r="AL1105" s="27"/>
      <c r="AM1105" s="27"/>
      <c r="AN1105" s="27"/>
      <c r="AO1105" s="27"/>
      <c r="AP1105" s="27"/>
      <c r="AQ1105" s="148"/>
      <c r="AR1105" s="148"/>
      <c r="AS1105" s="27"/>
      <c r="AT1105" s="27"/>
      <c r="AU1105" s="27"/>
      <c r="AV1105" s="27"/>
      <c r="AW1105" s="27"/>
      <c r="AX1105" s="27"/>
      <c r="AY1105" s="27"/>
      <c r="AZ1105" s="27"/>
      <c r="BA1105" s="27"/>
      <c r="BB1105" s="27"/>
      <c r="BC1105" s="27"/>
      <c r="BD1105" s="27"/>
      <c r="BE1105" s="27"/>
      <c r="BF1105" s="27"/>
      <c r="BG1105" s="27"/>
      <c r="BH1105" s="27"/>
      <c r="BI1105" s="139"/>
    </row>
    <row r="1106" spans="2:61" ht="20.100000000000001" customHeight="1" x14ac:dyDescent="0.45">
      <c r="B1106" s="133"/>
      <c r="C1106" s="27"/>
      <c r="D1106" s="27"/>
      <c r="E1106" s="27"/>
      <c r="F1106" s="27"/>
      <c r="G1106" s="134"/>
      <c r="H1106" s="135"/>
      <c r="I1106" s="27"/>
      <c r="J1106" s="144" t="s">
        <v>203</v>
      </c>
      <c r="K1106" s="145"/>
      <c r="L1106" s="145"/>
      <c r="M1106" s="145"/>
      <c r="N1106" s="145"/>
      <c r="O1106" s="145"/>
      <c r="P1106" s="145"/>
      <c r="Q1106" s="156"/>
      <c r="R1106" s="145" t="s">
        <v>683</v>
      </c>
      <c r="S1106" s="145"/>
      <c r="T1106" s="145"/>
      <c r="U1106" s="145"/>
      <c r="V1106" s="145"/>
      <c r="W1106" s="145"/>
      <c r="X1106" s="145"/>
      <c r="Y1106" s="145"/>
      <c r="Z1106" s="145"/>
      <c r="AA1106" s="145"/>
      <c r="AB1106" s="145"/>
      <c r="AC1106" s="145"/>
      <c r="AD1106" s="145"/>
      <c r="AE1106" s="145"/>
      <c r="AF1106" s="145"/>
      <c r="AG1106" s="145"/>
      <c r="AH1106" s="145"/>
      <c r="AI1106" s="145"/>
      <c r="AJ1106" s="156"/>
      <c r="AK1106" s="138"/>
      <c r="AL1106" s="27"/>
      <c r="AM1106" s="27"/>
      <c r="AN1106" s="27"/>
      <c r="AO1106" s="27"/>
      <c r="AP1106" s="27"/>
      <c r="AQ1106" s="148"/>
      <c r="AR1106" s="148"/>
      <c r="AS1106" s="27"/>
      <c r="AT1106" s="27"/>
      <c r="AU1106" s="27"/>
      <c r="AV1106" s="27"/>
      <c r="AW1106" s="27"/>
      <c r="AX1106" s="27"/>
      <c r="AY1106" s="27"/>
      <c r="AZ1106" s="27"/>
      <c r="BA1106" s="27"/>
      <c r="BB1106" s="27"/>
      <c r="BC1106" s="27"/>
      <c r="BD1106" s="27"/>
      <c r="BE1106" s="27"/>
      <c r="BF1106" s="27"/>
      <c r="BG1106" s="27"/>
      <c r="BH1106" s="27"/>
      <c r="BI1106" s="139"/>
    </row>
    <row r="1107" spans="2:61" ht="20.100000000000001" customHeight="1" x14ac:dyDescent="0.45">
      <c r="B1107" s="133"/>
      <c r="C1107" s="27"/>
      <c r="D1107" s="27"/>
      <c r="E1107" s="27"/>
      <c r="F1107" s="27"/>
      <c r="G1107" s="134"/>
      <c r="H1107" s="135"/>
      <c r="I1107" s="27"/>
      <c r="J1107" s="144" t="s">
        <v>204</v>
      </c>
      <c r="K1107" s="145"/>
      <c r="L1107" s="145"/>
      <c r="M1107" s="145"/>
      <c r="N1107" s="145"/>
      <c r="O1107" s="145"/>
      <c r="P1107" s="145"/>
      <c r="Q1107" s="156"/>
      <c r="R1107" s="145" t="s">
        <v>684</v>
      </c>
      <c r="S1107" s="145"/>
      <c r="T1107" s="145"/>
      <c r="U1107" s="145"/>
      <c r="V1107" s="145"/>
      <c r="W1107" s="145"/>
      <c r="X1107" s="145"/>
      <c r="Y1107" s="145"/>
      <c r="Z1107" s="145"/>
      <c r="AA1107" s="145"/>
      <c r="AB1107" s="145"/>
      <c r="AC1107" s="145"/>
      <c r="AD1107" s="145"/>
      <c r="AE1107" s="145"/>
      <c r="AF1107" s="145"/>
      <c r="AG1107" s="145"/>
      <c r="AH1107" s="145"/>
      <c r="AI1107" s="145"/>
      <c r="AJ1107" s="156"/>
      <c r="AK1107" s="138"/>
      <c r="AL1107" s="27"/>
      <c r="AM1107" s="27"/>
      <c r="AN1107" s="27"/>
      <c r="AO1107" s="27"/>
      <c r="AP1107" s="27"/>
      <c r="AQ1107" s="148"/>
      <c r="AR1107" s="148"/>
      <c r="AS1107" s="27"/>
      <c r="AT1107" s="27"/>
      <c r="AU1107" s="27"/>
      <c r="AV1107" s="27"/>
      <c r="AW1107" s="27"/>
      <c r="AX1107" s="27"/>
      <c r="AY1107" s="27"/>
      <c r="AZ1107" s="27"/>
      <c r="BA1107" s="27"/>
      <c r="BB1107" s="27"/>
      <c r="BC1107" s="27"/>
      <c r="BD1107" s="27"/>
      <c r="BE1107" s="27"/>
      <c r="BF1107" s="27"/>
      <c r="BG1107" s="27"/>
      <c r="BH1107" s="27"/>
      <c r="BI1107" s="139"/>
    </row>
    <row r="1108" spans="2:61" ht="20.100000000000001" customHeight="1" x14ac:dyDescent="0.45">
      <c r="B1108" s="133"/>
      <c r="C1108" s="27"/>
      <c r="D1108" s="27"/>
      <c r="E1108" s="27"/>
      <c r="F1108" s="27"/>
      <c r="G1108" s="134"/>
      <c r="H1108" s="135"/>
      <c r="I1108" s="27"/>
      <c r="J1108" s="144" t="s">
        <v>205</v>
      </c>
      <c r="K1108" s="145"/>
      <c r="L1108" s="145"/>
      <c r="M1108" s="145"/>
      <c r="N1108" s="145"/>
      <c r="O1108" s="145"/>
      <c r="P1108" s="145"/>
      <c r="Q1108" s="156"/>
      <c r="R1108" s="145" t="s">
        <v>685</v>
      </c>
      <c r="S1108" s="145"/>
      <c r="T1108" s="145"/>
      <c r="U1108" s="145"/>
      <c r="V1108" s="145"/>
      <c r="W1108" s="145"/>
      <c r="X1108" s="145"/>
      <c r="Y1108" s="145"/>
      <c r="Z1108" s="145"/>
      <c r="AA1108" s="145"/>
      <c r="AB1108" s="145"/>
      <c r="AC1108" s="145"/>
      <c r="AD1108" s="145"/>
      <c r="AE1108" s="145"/>
      <c r="AF1108" s="145"/>
      <c r="AG1108" s="145"/>
      <c r="AH1108" s="145"/>
      <c r="AI1108" s="145"/>
      <c r="AJ1108" s="156"/>
      <c r="AK1108" s="138"/>
      <c r="AL1108" s="27"/>
      <c r="AM1108" s="27"/>
      <c r="AN1108" s="27"/>
      <c r="AO1108" s="27"/>
      <c r="AP1108" s="27"/>
      <c r="AQ1108" s="148"/>
      <c r="AR1108" s="148"/>
      <c r="AS1108" s="27"/>
      <c r="AT1108" s="27"/>
      <c r="AU1108" s="27"/>
      <c r="AV1108" s="27"/>
      <c r="AW1108" s="27"/>
      <c r="AX1108" s="27"/>
      <c r="AY1108" s="27"/>
      <c r="AZ1108" s="27"/>
      <c r="BA1108" s="27"/>
      <c r="BB1108" s="27"/>
      <c r="BC1108" s="27"/>
      <c r="BD1108" s="27"/>
      <c r="BE1108" s="27"/>
      <c r="BF1108" s="27"/>
      <c r="BG1108" s="27"/>
      <c r="BH1108" s="27"/>
      <c r="BI1108" s="139"/>
    </row>
    <row r="1109" spans="2:61" ht="20.100000000000001" customHeight="1" x14ac:dyDescent="0.45">
      <c r="B1109" s="133"/>
      <c r="C1109" s="27"/>
      <c r="D1109" s="27"/>
      <c r="E1109" s="27"/>
      <c r="F1109" s="27"/>
      <c r="G1109" s="134"/>
      <c r="H1109" s="135"/>
      <c r="I1109" s="27"/>
      <c r="J1109" s="144" t="s">
        <v>206</v>
      </c>
      <c r="K1109" s="145"/>
      <c r="L1109" s="145"/>
      <c r="M1109" s="145"/>
      <c r="N1109" s="145"/>
      <c r="O1109" s="145"/>
      <c r="P1109" s="145"/>
      <c r="Q1109" s="156"/>
      <c r="R1109" s="145" t="s">
        <v>686</v>
      </c>
      <c r="S1109" s="145"/>
      <c r="T1109" s="145"/>
      <c r="U1109" s="145"/>
      <c r="V1109" s="145"/>
      <c r="W1109" s="145"/>
      <c r="X1109" s="145"/>
      <c r="Y1109" s="145"/>
      <c r="Z1109" s="145"/>
      <c r="AA1109" s="145"/>
      <c r="AB1109" s="145"/>
      <c r="AC1109" s="145"/>
      <c r="AD1109" s="145"/>
      <c r="AE1109" s="145"/>
      <c r="AF1109" s="145"/>
      <c r="AG1109" s="145"/>
      <c r="AH1109" s="145"/>
      <c r="AI1109" s="145"/>
      <c r="AJ1109" s="156"/>
      <c r="AK1109" s="138"/>
      <c r="AL1109" s="27"/>
      <c r="AM1109" s="27"/>
      <c r="AN1109" s="27"/>
      <c r="AO1109" s="27"/>
      <c r="AP1109" s="27"/>
      <c r="AQ1109" s="148"/>
      <c r="AR1109" s="148"/>
      <c r="AS1109" s="27"/>
      <c r="AT1109" s="27"/>
      <c r="AU1109" s="27"/>
      <c r="AV1109" s="27"/>
      <c r="AW1109" s="27"/>
      <c r="AX1109" s="27"/>
      <c r="AY1109" s="27"/>
      <c r="AZ1109" s="27"/>
      <c r="BA1109" s="27"/>
      <c r="BB1109" s="27"/>
      <c r="BC1109" s="27"/>
      <c r="BD1109" s="27"/>
      <c r="BE1109" s="27"/>
      <c r="BF1109" s="27"/>
      <c r="BG1109" s="27"/>
      <c r="BH1109" s="27"/>
      <c r="BI1109" s="139"/>
    </row>
    <row r="1110" spans="2:61" ht="20.100000000000001" customHeight="1" x14ac:dyDescent="0.45">
      <c r="B1110" s="133"/>
      <c r="C1110" s="27"/>
      <c r="D1110" s="27"/>
      <c r="E1110" s="27"/>
      <c r="F1110" s="27"/>
      <c r="G1110" s="134"/>
      <c r="H1110" s="135"/>
      <c r="I1110" s="27"/>
      <c r="J1110" s="144" t="s">
        <v>207</v>
      </c>
      <c r="K1110" s="145"/>
      <c r="L1110" s="145"/>
      <c r="M1110" s="145"/>
      <c r="N1110" s="145"/>
      <c r="O1110" s="145"/>
      <c r="P1110" s="145"/>
      <c r="Q1110" s="156"/>
      <c r="R1110" s="145" t="s">
        <v>687</v>
      </c>
      <c r="S1110" s="145"/>
      <c r="T1110" s="145"/>
      <c r="U1110" s="145"/>
      <c r="V1110" s="145"/>
      <c r="W1110" s="145"/>
      <c r="X1110" s="145"/>
      <c r="Y1110" s="145"/>
      <c r="Z1110" s="145"/>
      <c r="AA1110" s="145"/>
      <c r="AB1110" s="145"/>
      <c r="AC1110" s="145"/>
      <c r="AD1110" s="145"/>
      <c r="AE1110" s="145"/>
      <c r="AF1110" s="145"/>
      <c r="AG1110" s="145"/>
      <c r="AH1110" s="145"/>
      <c r="AI1110" s="145"/>
      <c r="AJ1110" s="156"/>
      <c r="AK1110" s="138"/>
      <c r="AL1110" s="27"/>
      <c r="AM1110" s="27"/>
      <c r="AN1110" s="27"/>
      <c r="AO1110" s="27"/>
      <c r="AP1110" s="27"/>
      <c r="AQ1110" s="148"/>
      <c r="AR1110" s="148"/>
      <c r="AS1110" s="27"/>
      <c r="AT1110" s="27"/>
      <c r="AU1110" s="27"/>
      <c r="AV1110" s="27"/>
      <c r="AW1110" s="27"/>
      <c r="AX1110" s="27"/>
      <c r="AY1110" s="27"/>
      <c r="AZ1110" s="27"/>
      <c r="BA1110" s="27"/>
      <c r="BB1110" s="27"/>
      <c r="BC1110" s="27"/>
      <c r="BD1110" s="27"/>
      <c r="BE1110" s="27"/>
      <c r="BF1110" s="27"/>
      <c r="BG1110" s="27"/>
      <c r="BH1110" s="27"/>
      <c r="BI1110" s="139"/>
    </row>
    <row r="1111" spans="2:61" ht="20.100000000000001" customHeight="1" x14ac:dyDescent="0.45">
      <c r="B1111" s="133"/>
      <c r="C1111" s="27"/>
      <c r="D1111" s="27"/>
      <c r="E1111" s="27"/>
      <c r="F1111" s="27"/>
      <c r="G1111" s="134"/>
      <c r="H1111" s="135"/>
      <c r="I1111" s="27"/>
      <c r="J1111" s="144" t="s">
        <v>208</v>
      </c>
      <c r="K1111" s="145"/>
      <c r="L1111" s="145"/>
      <c r="M1111" s="145"/>
      <c r="N1111" s="145"/>
      <c r="O1111" s="145"/>
      <c r="P1111" s="145"/>
      <c r="Q1111" s="156"/>
      <c r="R1111" s="145" t="s">
        <v>688</v>
      </c>
      <c r="S1111" s="145"/>
      <c r="T1111" s="145"/>
      <c r="U1111" s="145"/>
      <c r="V1111" s="145"/>
      <c r="W1111" s="145"/>
      <c r="X1111" s="145"/>
      <c r="Y1111" s="145"/>
      <c r="Z1111" s="145"/>
      <c r="AA1111" s="145"/>
      <c r="AB1111" s="145"/>
      <c r="AC1111" s="145"/>
      <c r="AD1111" s="145"/>
      <c r="AE1111" s="145"/>
      <c r="AF1111" s="145"/>
      <c r="AG1111" s="145"/>
      <c r="AH1111" s="145"/>
      <c r="AI1111" s="145"/>
      <c r="AJ1111" s="156"/>
      <c r="AK1111" s="138"/>
      <c r="AL1111" s="27"/>
      <c r="AM1111" s="27"/>
      <c r="AN1111" s="27"/>
      <c r="AO1111" s="27"/>
      <c r="AP1111" s="27"/>
      <c r="AQ1111" s="148"/>
      <c r="AR1111" s="148"/>
      <c r="AS1111" s="27"/>
      <c r="AT1111" s="27"/>
      <c r="AU1111" s="27"/>
      <c r="AV1111" s="27"/>
      <c r="AW1111" s="27"/>
      <c r="AX1111" s="27"/>
      <c r="AY1111" s="27"/>
      <c r="AZ1111" s="27"/>
      <c r="BA1111" s="27"/>
      <c r="BB1111" s="27"/>
      <c r="BC1111" s="27"/>
      <c r="BD1111" s="27"/>
      <c r="BE1111" s="27"/>
      <c r="BF1111" s="27"/>
      <c r="BG1111" s="27"/>
      <c r="BH1111" s="27"/>
      <c r="BI1111" s="139"/>
    </row>
    <row r="1112" spans="2:61" ht="20.100000000000001" customHeight="1" x14ac:dyDescent="0.45">
      <c r="B1112" s="133"/>
      <c r="C1112" s="27"/>
      <c r="D1112" s="27"/>
      <c r="E1112" s="27"/>
      <c r="F1112" s="27"/>
      <c r="G1112" s="134"/>
      <c r="H1112" s="135"/>
      <c r="I1112" s="27"/>
      <c r="J1112" s="144" t="s">
        <v>209</v>
      </c>
      <c r="K1112" s="145"/>
      <c r="L1112" s="145"/>
      <c r="M1112" s="145"/>
      <c r="N1112" s="145"/>
      <c r="O1112" s="145"/>
      <c r="P1112" s="145"/>
      <c r="Q1112" s="156"/>
      <c r="R1112" s="145" t="s">
        <v>689</v>
      </c>
      <c r="S1112" s="145"/>
      <c r="T1112" s="145"/>
      <c r="U1112" s="145"/>
      <c r="V1112" s="145"/>
      <c r="W1112" s="145"/>
      <c r="X1112" s="145"/>
      <c r="Y1112" s="145"/>
      <c r="Z1112" s="145"/>
      <c r="AA1112" s="145"/>
      <c r="AB1112" s="145"/>
      <c r="AC1112" s="145"/>
      <c r="AD1112" s="145"/>
      <c r="AE1112" s="145"/>
      <c r="AF1112" s="145"/>
      <c r="AG1112" s="145"/>
      <c r="AH1112" s="145"/>
      <c r="AI1112" s="145"/>
      <c r="AJ1112" s="156"/>
      <c r="AK1112" s="138"/>
      <c r="AL1112" s="27"/>
      <c r="AM1112" s="27"/>
      <c r="AN1112" s="27"/>
      <c r="AO1112" s="27"/>
      <c r="AP1112" s="27"/>
      <c r="AQ1112" s="148"/>
      <c r="AR1112" s="148"/>
      <c r="AS1112" s="27"/>
      <c r="AT1112" s="27"/>
      <c r="AU1112" s="27"/>
      <c r="AV1112" s="27"/>
      <c r="AW1112" s="27"/>
      <c r="AX1112" s="27"/>
      <c r="AY1112" s="27"/>
      <c r="AZ1112" s="27"/>
      <c r="BA1112" s="27"/>
      <c r="BB1112" s="27"/>
      <c r="BC1112" s="27"/>
      <c r="BD1112" s="27"/>
      <c r="BE1112" s="27"/>
      <c r="BF1112" s="27"/>
      <c r="BG1112" s="27"/>
      <c r="BH1112" s="27"/>
      <c r="BI1112" s="139"/>
    </row>
    <row r="1113" spans="2:61" ht="20.100000000000001" customHeight="1" x14ac:dyDescent="0.45">
      <c r="B1113" s="133"/>
      <c r="C1113" s="27"/>
      <c r="D1113" s="27"/>
      <c r="E1113" s="27"/>
      <c r="F1113" s="27"/>
      <c r="G1113" s="134"/>
      <c r="H1113" s="135"/>
      <c r="I1113" s="27"/>
      <c r="J1113" s="144" t="s">
        <v>210</v>
      </c>
      <c r="K1113" s="145"/>
      <c r="L1113" s="145"/>
      <c r="M1113" s="145"/>
      <c r="N1113" s="145"/>
      <c r="O1113" s="145"/>
      <c r="P1113" s="145"/>
      <c r="Q1113" s="156"/>
      <c r="R1113" s="145" t="s">
        <v>690</v>
      </c>
      <c r="S1113" s="145"/>
      <c r="T1113" s="145"/>
      <c r="U1113" s="145"/>
      <c r="V1113" s="145"/>
      <c r="W1113" s="145"/>
      <c r="X1113" s="145"/>
      <c r="Y1113" s="145"/>
      <c r="Z1113" s="145"/>
      <c r="AA1113" s="145"/>
      <c r="AB1113" s="145"/>
      <c r="AC1113" s="145"/>
      <c r="AD1113" s="145"/>
      <c r="AE1113" s="145"/>
      <c r="AF1113" s="145"/>
      <c r="AG1113" s="145"/>
      <c r="AH1113" s="145"/>
      <c r="AI1113" s="145"/>
      <c r="AJ1113" s="156"/>
      <c r="AK1113" s="138"/>
      <c r="AL1113" s="27"/>
      <c r="AM1113" s="27"/>
      <c r="AN1113" s="27"/>
      <c r="AO1113" s="27"/>
      <c r="AP1113" s="27"/>
      <c r="AQ1113" s="148"/>
      <c r="AR1113" s="148"/>
      <c r="AS1113" s="27"/>
      <c r="AT1113" s="27"/>
      <c r="AU1113" s="27"/>
      <c r="AV1113" s="27"/>
      <c r="AW1113" s="27"/>
      <c r="AX1113" s="27"/>
      <c r="AY1113" s="27"/>
      <c r="AZ1113" s="27"/>
      <c r="BA1113" s="27"/>
      <c r="BB1113" s="27"/>
      <c r="BC1113" s="27"/>
      <c r="BD1113" s="27"/>
      <c r="BE1113" s="27"/>
      <c r="BF1113" s="27"/>
      <c r="BG1113" s="27"/>
      <c r="BH1113" s="27"/>
      <c r="BI1113" s="139"/>
    </row>
    <row r="1114" spans="2:61" ht="20.100000000000001" customHeight="1" x14ac:dyDescent="0.45">
      <c r="B1114" s="133"/>
      <c r="C1114" s="27"/>
      <c r="D1114" s="27"/>
      <c r="E1114" s="27"/>
      <c r="F1114" s="27"/>
      <c r="G1114" s="134"/>
      <c r="H1114" s="135"/>
      <c r="I1114" s="27"/>
      <c r="J1114" s="144" t="s">
        <v>211</v>
      </c>
      <c r="K1114" s="145"/>
      <c r="L1114" s="145"/>
      <c r="M1114" s="145"/>
      <c r="N1114" s="145"/>
      <c r="O1114" s="145"/>
      <c r="P1114" s="145"/>
      <c r="Q1114" s="156"/>
      <c r="R1114" s="145" t="s">
        <v>691</v>
      </c>
      <c r="S1114" s="145"/>
      <c r="T1114" s="145"/>
      <c r="U1114" s="145"/>
      <c r="V1114" s="145"/>
      <c r="W1114" s="145"/>
      <c r="X1114" s="145"/>
      <c r="Y1114" s="145"/>
      <c r="Z1114" s="145"/>
      <c r="AA1114" s="145"/>
      <c r="AB1114" s="145"/>
      <c r="AC1114" s="145"/>
      <c r="AD1114" s="145"/>
      <c r="AE1114" s="145"/>
      <c r="AF1114" s="145"/>
      <c r="AG1114" s="145"/>
      <c r="AH1114" s="145"/>
      <c r="AI1114" s="145"/>
      <c r="AJ1114" s="156"/>
      <c r="AK1114" s="138"/>
      <c r="AL1114" s="27"/>
      <c r="AM1114" s="27"/>
      <c r="AN1114" s="27"/>
      <c r="AO1114" s="27"/>
      <c r="AP1114" s="27"/>
      <c r="AQ1114" s="148"/>
      <c r="AR1114" s="148"/>
      <c r="AS1114" s="27"/>
      <c r="AT1114" s="27"/>
      <c r="AU1114" s="27"/>
      <c r="AV1114" s="27"/>
      <c r="AW1114" s="27"/>
      <c r="AX1114" s="27"/>
      <c r="AY1114" s="27"/>
      <c r="AZ1114" s="27"/>
      <c r="BA1114" s="27"/>
      <c r="BB1114" s="27"/>
      <c r="BC1114" s="27"/>
      <c r="BD1114" s="27"/>
      <c r="BE1114" s="27"/>
      <c r="BF1114" s="27"/>
      <c r="BG1114" s="27"/>
      <c r="BH1114" s="27"/>
      <c r="BI1114" s="139"/>
    </row>
    <row r="1115" spans="2:61" ht="20.100000000000001" customHeight="1" x14ac:dyDescent="0.45">
      <c r="B1115" s="133"/>
      <c r="C1115" s="27"/>
      <c r="D1115" s="27"/>
      <c r="E1115" s="27"/>
      <c r="F1115" s="27"/>
      <c r="G1115" s="134"/>
      <c r="H1115" s="135"/>
      <c r="I1115" s="27"/>
      <c r="J1115" s="144" t="s">
        <v>212</v>
      </c>
      <c r="K1115" s="145"/>
      <c r="L1115" s="145"/>
      <c r="M1115" s="145"/>
      <c r="N1115" s="145"/>
      <c r="O1115" s="145"/>
      <c r="P1115" s="145"/>
      <c r="Q1115" s="156"/>
      <c r="R1115" s="145" t="s">
        <v>692</v>
      </c>
      <c r="S1115" s="145"/>
      <c r="T1115" s="145"/>
      <c r="U1115" s="145"/>
      <c r="V1115" s="145"/>
      <c r="W1115" s="145"/>
      <c r="X1115" s="145"/>
      <c r="Y1115" s="145"/>
      <c r="Z1115" s="145"/>
      <c r="AA1115" s="145"/>
      <c r="AB1115" s="145"/>
      <c r="AC1115" s="145"/>
      <c r="AD1115" s="145"/>
      <c r="AE1115" s="145"/>
      <c r="AF1115" s="145"/>
      <c r="AG1115" s="145"/>
      <c r="AH1115" s="145"/>
      <c r="AI1115" s="145"/>
      <c r="AJ1115" s="156"/>
      <c r="AK1115" s="138"/>
      <c r="AL1115" s="27"/>
      <c r="AM1115" s="27"/>
      <c r="AN1115" s="27"/>
      <c r="AO1115" s="27"/>
      <c r="AP1115" s="27"/>
      <c r="AQ1115" s="148"/>
      <c r="AR1115" s="148"/>
      <c r="AS1115" s="27"/>
      <c r="AT1115" s="27"/>
      <c r="AU1115" s="27"/>
      <c r="AV1115" s="27"/>
      <c r="AW1115" s="27"/>
      <c r="AX1115" s="27"/>
      <c r="AY1115" s="27"/>
      <c r="AZ1115" s="27"/>
      <c r="BA1115" s="27"/>
      <c r="BB1115" s="27"/>
      <c r="BC1115" s="27"/>
      <c r="BD1115" s="27"/>
      <c r="BE1115" s="27"/>
      <c r="BF1115" s="27"/>
      <c r="BG1115" s="27"/>
      <c r="BH1115" s="27"/>
      <c r="BI1115" s="139"/>
    </row>
    <row r="1116" spans="2:61" ht="20.100000000000001" customHeight="1" x14ac:dyDescent="0.45">
      <c r="B1116" s="133"/>
      <c r="C1116" s="27"/>
      <c r="D1116" s="27"/>
      <c r="E1116" s="27"/>
      <c r="F1116" s="27"/>
      <c r="G1116" s="134"/>
      <c r="H1116" s="135"/>
      <c r="I1116" s="27"/>
      <c r="J1116" s="144" t="s">
        <v>213</v>
      </c>
      <c r="K1116" s="145"/>
      <c r="L1116" s="145"/>
      <c r="M1116" s="145"/>
      <c r="N1116" s="145"/>
      <c r="O1116" s="145"/>
      <c r="P1116" s="145"/>
      <c r="Q1116" s="156"/>
      <c r="R1116" s="145" t="s">
        <v>693</v>
      </c>
      <c r="S1116" s="145"/>
      <c r="T1116" s="145"/>
      <c r="U1116" s="145"/>
      <c r="V1116" s="145"/>
      <c r="W1116" s="145"/>
      <c r="X1116" s="145"/>
      <c r="Y1116" s="145"/>
      <c r="Z1116" s="145"/>
      <c r="AA1116" s="145"/>
      <c r="AB1116" s="145"/>
      <c r="AC1116" s="145"/>
      <c r="AD1116" s="145"/>
      <c r="AE1116" s="145"/>
      <c r="AF1116" s="145"/>
      <c r="AG1116" s="145"/>
      <c r="AH1116" s="145"/>
      <c r="AI1116" s="145"/>
      <c r="AJ1116" s="156"/>
      <c r="AK1116" s="138"/>
      <c r="AL1116" s="27"/>
      <c r="AM1116" s="27"/>
      <c r="AN1116" s="27"/>
      <c r="AO1116" s="27"/>
      <c r="AP1116" s="27"/>
      <c r="AQ1116" s="148"/>
      <c r="AR1116" s="148"/>
      <c r="AS1116" s="27"/>
      <c r="AT1116" s="27"/>
      <c r="AU1116" s="27"/>
      <c r="AV1116" s="27"/>
      <c r="AW1116" s="27"/>
      <c r="AX1116" s="27"/>
      <c r="AY1116" s="27"/>
      <c r="AZ1116" s="27"/>
      <c r="BA1116" s="27"/>
      <c r="BB1116" s="27"/>
      <c r="BC1116" s="27"/>
      <c r="BD1116" s="27"/>
      <c r="BE1116" s="27"/>
      <c r="BF1116" s="27"/>
      <c r="BG1116" s="27"/>
      <c r="BH1116" s="27"/>
      <c r="BI1116" s="139"/>
    </row>
    <row r="1117" spans="2:61" ht="20.100000000000001" customHeight="1" x14ac:dyDescent="0.45">
      <c r="B1117" s="133"/>
      <c r="C1117" s="27"/>
      <c r="D1117" s="27"/>
      <c r="E1117" s="27"/>
      <c r="F1117" s="27"/>
      <c r="G1117" s="134"/>
      <c r="H1117" s="135"/>
      <c r="I1117" s="27"/>
      <c r="J1117" s="144" t="s">
        <v>76</v>
      </c>
      <c r="K1117" s="145"/>
      <c r="L1117" s="145"/>
      <c r="M1117" s="145"/>
      <c r="N1117" s="145"/>
      <c r="O1117" s="145"/>
      <c r="P1117" s="145"/>
      <c r="Q1117" s="156"/>
      <c r="R1117" s="145" t="s">
        <v>694</v>
      </c>
      <c r="S1117" s="145"/>
      <c r="T1117" s="145"/>
      <c r="U1117" s="145"/>
      <c r="V1117" s="145"/>
      <c r="W1117" s="145"/>
      <c r="X1117" s="145"/>
      <c r="Y1117" s="145"/>
      <c r="Z1117" s="145"/>
      <c r="AA1117" s="145"/>
      <c r="AB1117" s="145"/>
      <c r="AC1117" s="145"/>
      <c r="AD1117" s="145"/>
      <c r="AE1117" s="145"/>
      <c r="AF1117" s="145"/>
      <c r="AG1117" s="145"/>
      <c r="AH1117" s="145"/>
      <c r="AI1117" s="145"/>
      <c r="AJ1117" s="156"/>
      <c r="AK1117" s="138"/>
      <c r="AL1117" s="27"/>
      <c r="AM1117" s="27"/>
      <c r="AN1117" s="27"/>
      <c r="AO1117" s="27"/>
      <c r="AP1117" s="27"/>
      <c r="AQ1117" s="148"/>
      <c r="AR1117" s="148"/>
      <c r="AS1117" s="27"/>
      <c r="AT1117" s="27"/>
      <c r="AU1117" s="27"/>
      <c r="AV1117" s="27"/>
      <c r="AW1117" s="27"/>
      <c r="AX1117" s="27"/>
      <c r="AY1117" s="27"/>
      <c r="AZ1117" s="27"/>
      <c r="BA1117" s="27"/>
      <c r="BB1117" s="27"/>
      <c r="BC1117" s="27"/>
      <c r="BD1117" s="27"/>
      <c r="BE1117" s="27"/>
      <c r="BF1117" s="27"/>
      <c r="BG1117" s="27"/>
      <c r="BH1117" s="27"/>
      <c r="BI1117" s="139"/>
    </row>
    <row r="1118" spans="2:61" ht="20.100000000000001" customHeight="1" x14ac:dyDescent="0.45">
      <c r="B1118" s="133"/>
      <c r="C1118" s="27"/>
      <c r="D1118" s="27"/>
      <c r="E1118" s="27"/>
      <c r="F1118" s="27"/>
      <c r="G1118" s="134"/>
      <c r="H1118" s="135"/>
      <c r="I1118" s="27"/>
      <c r="J1118" s="144" t="s">
        <v>214</v>
      </c>
      <c r="K1118" s="145"/>
      <c r="L1118" s="145"/>
      <c r="M1118" s="145"/>
      <c r="N1118" s="145"/>
      <c r="O1118" s="145"/>
      <c r="P1118" s="145"/>
      <c r="Q1118" s="156"/>
      <c r="R1118" s="145" t="s">
        <v>695</v>
      </c>
      <c r="S1118" s="145"/>
      <c r="T1118" s="145"/>
      <c r="U1118" s="145"/>
      <c r="V1118" s="145"/>
      <c r="W1118" s="145"/>
      <c r="X1118" s="145"/>
      <c r="Y1118" s="145"/>
      <c r="Z1118" s="145"/>
      <c r="AA1118" s="145"/>
      <c r="AB1118" s="145"/>
      <c r="AC1118" s="145"/>
      <c r="AD1118" s="145"/>
      <c r="AE1118" s="145"/>
      <c r="AF1118" s="145"/>
      <c r="AG1118" s="145"/>
      <c r="AH1118" s="145"/>
      <c r="AI1118" s="145"/>
      <c r="AJ1118" s="156"/>
      <c r="AK1118" s="138"/>
      <c r="AL1118" s="27"/>
      <c r="AM1118" s="27"/>
      <c r="AN1118" s="27"/>
      <c r="AO1118" s="27"/>
      <c r="AP1118" s="27"/>
      <c r="AQ1118" s="148"/>
      <c r="AR1118" s="148"/>
      <c r="AS1118" s="27"/>
      <c r="AT1118" s="27"/>
      <c r="AU1118" s="27"/>
      <c r="AV1118" s="27"/>
      <c r="AW1118" s="27"/>
      <c r="AX1118" s="27"/>
      <c r="AY1118" s="27"/>
      <c r="AZ1118" s="27"/>
      <c r="BA1118" s="27"/>
      <c r="BB1118" s="27"/>
      <c r="BC1118" s="27"/>
      <c r="BD1118" s="27"/>
      <c r="BE1118" s="27"/>
      <c r="BF1118" s="27"/>
      <c r="BG1118" s="27"/>
      <c r="BH1118" s="27"/>
      <c r="BI1118" s="139"/>
    </row>
    <row r="1119" spans="2:61" ht="20.100000000000001" customHeight="1" x14ac:dyDescent="0.45">
      <c r="B1119" s="133"/>
      <c r="C1119" s="27"/>
      <c r="D1119" s="27"/>
      <c r="E1119" s="27"/>
      <c r="F1119" s="27"/>
      <c r="G1119" s="134"/>
      <c r="H1119" s="135"/>
      <c r="I1119" s="27"/>
      <c r="J1119" s="144" t="s">
        <v>215</v>
      </c>
      <c r="K1119" s="145"/>
      <c r="L1119" s="145"/>
      <c r="M1119" s="145"/>
      <c r="N1119" s="145"/>
      <c r="O1119" s="145"/>
      <c r="P1119" s="145"/>
      <c r="Q1119" s="156"/>
      <c r="R1119" s="145" t="s">
        <v>696</v>
      </c>
      <c r="S1119" s="145"/>
      <c r="T1119" s="145"/>
      <c r="U1119" s="145"/>
      <c r="V1119" s="145"/>
      <c r="W1119" s="145"/>
      <c r="X1119" s="145"/>
      <c r="Y1119" s="145"/>
      <c r="Z1119" s="145"/>
      <c r="AA1119" s="145"/>
      <c r="AB1119" s="145"/>
      <c r="AC1119" s="145"/>
      <c r="AD1119" s="145"/>
      <c r="AE1119" s="145"/>
      <c r="AF1119" s="145"/>
      <c r="AG1119" s="145"/>
      <c r="AH1119" s="145"/>
      <c r="AI1119" s="145"/>
      <c r="AJ1119" s="156"/>
      <c r="AK1119" s="138"/>
      <c r="AL1119" s="27"/>
      <c r="AM1119" s="27"/>
      <c r="AN1119" s="27"/>
      <c r="AO1119" s="27"/>
      <c r="AP1119" s="27"/>
      <c r="AQ1119" s="148"/>
      <c r="AR1119" s="148"/>
      <c r="AS1119" s="27"/>
      <c r="AT1119" s="27"/>
      <c r="AU1119" s="27"/>
      <c r="AV1119" s="27"/>
      <c r="AW1119" s="27"/>
      <c r="AX1119" s="27"/>
      <c r="AY1119" s="27"/>
      <c r="AZ1119" s="27"/>
      <c r="BA1119" s="27"/>
      <c r="BB1119" s="27"/>
      <c r="BC1119" s="27"/>
      <c r="BD1119" s="27"/>
      <c r="BE1119" s="27"/>
      <c r="BF1119" s="27"/>
      <c r="BG1119" s="27"/>
      <c r="BH1119" s="27"/>
      <c r="BI1119" s="139"/>
    </row>
    <row r="1120" spans="2:61" ht="20.100000000000001" customHeight="1" x14ac:dyDescent="0.45">
      <c r="B1120" s="133"/>
      <c r="C1120" s="27"/>
      <c r="D1120" s="27"/>
      <c r="E1120" s="27"/>
      <c r="F1120" s="27"/>
      <c r="G1120" s="134"/>
      <c r="H1120" s="135"/>
      <c r="I1120" s="27"/>
      <c r="J1120" s="144" t="s">
        <v>216</v>
      </c>
      <c r="K1120" s="145"/>
      <c r="L1120" s="145"/>
      <c r="M1120" s="145"/>
      <c r="N1120" s="145"/>
      <c r="O1120" s="145"/>
      <c r="P1120" s="145"/>
      <c r="Q1120" s="156"/>
      <c r="R1120" s="145" t="s">
        <v>697</v>
      </c>
      <c r="S1120" s="145"/>
      <c r="T1120" s="145"/>
      <c r="U1120" s="145"/>
      <c r="V1120" s="145"/>
      <c r="W1120" s="145"/>
      <c r="X1120" s="145"/>
      <c r="Y1120" s="145"/>
      <c r="Z1120" s="145"/>
      <c r="AA1120" s="145"/>
      <c r="AB1120" s="145"/>
      <c r="AC1120" s="145"/>
      <c r="AD1120" s="145"/>
      <c r="AE1120" s="145"/>
      <c r="AF1120" s="145"/>
      <c r="AG1120" s="145"/>
      <c r="AH1120" s="145"/>
      <c r="AI1120" s="145"/>
      <c r="AJ1120" s="156"/>
      <c r="AK1120" s="138"/>
      <c r="AL1120" s="27"/>
      <c r="AM1120" s="27"/>
      <c r="AN1120" s="27"/>
      <c r="AO1120" s="27"/>
      <c r="AP1120" s="27"/>
      <c r="AQ1120" s="148"/>
      <c r="AR1120" s="148"/>
      <c r="AS1120" s="27"/>
      <c r="AT1120" s="27"/>
      <c r="AU1120" s="27"/>
      <c r="AV1120" s="27"/>
      <c r="AW1120" s="27"/>
      <c r="AX1120" s="27"/>
      <c r="AY1120" s="27"/>
      <c r="AZ1120" s="27"/>
      <c r="BA1120" s="27"/>
      <c r="BB1120" s="27"/>
      <c r="BC1120" s="27"/>
      <c r="BD1120" s="27"/>
      <c r="BE1120" s="27"/>
      <c r="BF1120" s="27"/>
      <c r="BG1120" s="27"/>
      <c r="BH1120" s="27"/>
      <c r="BI1120" s="139"/>
    </row>
    <row r="1121" spans="2:61" ht="20.100000000000001" customHeight="1" x14ac:dyDescent="0.45">
      <c r="B1121" s="133"/>
      <c r="C1121" s="27"/>
      <c r="D1121" s="27"/>
      <c r="E1121" s="27"/>
      <c r="F1121" s="27"/>
      <c r="G1121" s="134"/>
      <c r="H1121" s="135"/>
      <c r="I1121" s="27"/>
      <c r="J1121" s="144" t="s">
        <v>217</v>
      </c>
      <c r="K1121" s="145"/>
      <c r="L1121" s="145"/>
      <c r="M1121" s="145"/>
      <c r="N1121" s="145"/>
      <c r="O1121" s="145"/>
      <c r="P1121" s="145"/>
      <c r="Q1121" s="156"/>
      <c r="R1121" s="145" t="s">
        <v>698</v>
      </c>
      <c r="S1121" s="145"/>
      <c r="T1121" s="145"/>
      <c r="U1121" s="145"/>
      <c r="V1121" s="145"/>
      <c r="W1121" s="145"/>
      <c r="X1121" s="145"/>
      <c r="Y1121" s="145"/>
      <c r="Z1121" s="145"/>
      <c r="AA1121" s="145"/>
      <c r="AB1121" s="145"/>
      <c r="AC1121" s="145"/>
      <c r="AD1121" s="145"/>
      <c r="AE1121" s="145"/>
      <c r="AF1121" s="145"/>
      <c r="AG1121" s="145"/>
      <c r="AH1121" s="145"/>
      <c r="AI1121" s="145"/>
      <c r="AJ1121" s="156"/>
      <c r="AK1121" s="138"/>
      <c r="AL1121" s="27"/>
      <c r="AM1121" s="27"/>
      <c r="AN1121" s="27"/>
      <c r="AO1121" s="27"/>
      <c r="AP1121" s="27"/>
      <c r="AQ1121" s="148"/>
      <c r="AR1121" s="148"/>
      <c r="AS1121" s="27"/>
      <c r="AT1121" s="27"/>
      <c r="AU1121" s="27"/>
      <c r="AV1121" s="27"/>
      <c r="AW1121" s="27"/>
      <c r="AX1121" s="27"/>
      <c r="AY1121" s="27"/>
      <c r="AZ1121" s="27"/>
      <c r="BA1121" s="27"/>
      <c r="BB1121" s="27"/>
      <c r="BC1121" s="27"/>
      <c r="BD1121" s="27"/>
      <c r="BE1121" s="27"/>
      <c r="BF1121" s="27"/>
      <c r="BG1121" s="27"/>
      <c r="BH1121" s="27"/>
      <c r="BI1121" s="139"/>
    </row>
    <row r="1122" spans="2:61" ht="20.100000000000001" customHeight="1" x14ac:dyDescent="0.45">
      <c r="B1122" s="133"/>
      <c r="C1122" s="27"/>
      <c r="D1122" s="27"/>
      <c r="E1122" s="27"/>
      <c r="F1122" s="27"/>
      <c r="G1122" s="134"/>
      <c r="H1122" s="135"/>
      <c r="I1122" s="27"/>
      <c r="J1122" s="144" t="s">
        <v>218</v>
      </c>
      <c r="K1122" s="145"/>
      <c r="L1122" s="145"/>
      <c r="M1122" s="145"/>
      <c r="N1122" s="145"/>
      <c r="O1122" s="145"/>
      <c r="P1122" s="145"/>
      <c r="Q1122" s="156"/>
      <c r="R1122" s="145" t="s">
        <v>699</v>
      </c>
      <c r="S1122" s="145"/>
      <c r="T1122" s="145"/>
      <c r="U1122" s="145"/>
      <c r="V1122" s="145"/>
      <c r="W1122" s="145"/>
      <c r="X1122" s="145"/>
      <c r="Y1122" s="145"/>
      <c r="Z1122" s="145"/>
      <c r="AA1122" s="145"/>
      <c r="AB1122" s="145"/>
      <c r="AC1122" s="145"/>
      <c r="AD1122" s="145"/>
      <c r="AE1122" s="145"/>
      <c r="AF1122" s="145"/>
      <c r="AG1122" s="145"/>
      <c r="AH1122" s="145"/>
      <c r="AI1122" s="145"/>
      <c r="AJ1122" s="156"/>
      <c r="AK1122" s="138"/>
      <c r="AL1122" s="27"/>
      <c r="AM1122" s="27"/>
      <c r="AN1122" s="27"/>
      <c r="AO1122" s="27"/>
      <c r="AP1122" s="27"/>
      <c r="AQ1122" s="148"/>
      <c r="AR1122" s="148"/>
      <c r="AS1122" s="27"/>
      <c r="AT1122" s="27"/>
      <c r="AU1122" s="27"/>
      <c r="AV1122" s="27"/>
      <c r="AW1122" s="27"/>
      <c r="AX1122" s="27"/>
      <c r="AY1122" s="27"/>
      <c r="AZ1122" s="27"/>
      <c r="BA1122" s="27"/>
      <c r="BB1122" s="27"/>
      <c r="BC1122" s="27"/>
      <c r="BD1122" s="27"/>
      <c r="BE1122" s="27"/>
      <c r="BF1122" s="27"/>
      <c r="BG1122" s="27"/>
      <c r="BH1122" s="27"/>
      <c r="BI1122" s="139"/>
    </row>
    <row r="1123" spans="2:61" ht="20.100000000000001" customHeight="1" x14ac:dyDescent="0.45">
      <c r="B1123" s="133"/>
      <c r="C1123" s="27"/>
      <c r="D1123" s="27"/>
      <c r="E1123" s="27"/>
      <c r="F1123" s="27"/>
      <c r="G1123" s="134"/>
      <c r="H1123" s="135"/>
      <c r="I1123" s="27"/>
      <c r="J1123" s="144" t="s">
        <v>219</v>
      </c>
      <c r="K1123" s="145"/>
      <c r="L1123" s="145"/>
      <c r="M1123" s="145"/>
      <c r="N1123" s="145"/>
      <c r="O1123" s="145"/>
      <c r="P1123" s="145"/>
      <c r="Q1123" s="156"/>
      <c r="R1123" s="145" t="s">
        <v>700</v>
      </c>
      <c r="S1123" s="145"/>
      <c r="T1123" s="145"/>
      <c r="U1123" s="145"/>
      <c r="V1123" s="145"/>
      <c r="W1123" s="145"/>
      <c r="X1123" s="145"/>
      <c r="Y1123" s="145"/>
      <c r="Z1123" s="145"/>
      <c r="AA1123" s="145"/>
      <c r="AB1123" s="145"/>
      <c r="AC1123" s="145"/>
      <c r="AD1123" s="145"/>
      <c r="AE1123" s="145"/>
      <c r="AF1123" s="145"/>
      <c r="AG1123" s="145"/>
      <c r="AH1123" s="145"/>
      <c r="AI1123" s="145"/>
      <c r="AJ1123" s="156"/>
      <c r="AK1123" s="138"/>
      <c r="AL1123" s="27"/>
      <c r="AM1123" s="27"/>
      <c r="AN1123" s="27"/>
      <c r="AO1123" s="27"/>
      <c r="AP1123" s="27"/>
      <c r="AQ1123" s="148"/>
      <c r="AR1123" s="148"/>
      <c r="AS1123" s="27"/>
      <c r="AT1123" s="27"/>
      <c r="AU1123" s="27"/>
      <c r="AV1123" s="27"/>
      <c r="AW1123" s="27"/>
      <c r="AX1123" s="27"/>
      <c r="AY1123" s="27"/>
      <c r="AZ1123" s="27"/>
      <c r="BA1123" s="27"/>
      <c r="BB1123" s="27"/>
      <c r="BC1123" s="27"/>
      <c r="BD1123" s="27"/>
      <c r="BE1123" s="27"/>
      <c r="BF1123" s="27"/>
      <c r="BG1123" s="27"/>
      <c r="BH1123" s="27"/>
      <c r="BI1123" s="139"/>
    </row>
    <row r="1124" spans="2:61" ht="20.100000000000001" customHeight="1" x14ac:dyDescent="0.45">
      <c r="B1124" s="133"/>
      <c r="C1124" s="27"/>
      <c r="D1124" s="27"/>
      <c r="E1124" s="27"/>
      <c r="F1124" s="27"/>
      <c r="G1124" s="134"/>
      <c r="H1124" s="135"/>
      <c r="I1124" s="27"/>
      <c r="J1124" s="144" t="s">
        <v>220</v>
      </c>
      <c r="K1124" s="145"/>
      <c r="L1124" s="145"/>
      <c r="M1124" s="145"/>
      <c r="N1124" s="145"/>
      <c r="O1124" s="145"/>
      <c r="P1124" s="145"/>
      <c r="Q1124" s="156"/>
      <c r="R1124" s="145" t="s">
        <v>701</v>
      </c>
      <c r="S1124" s="145"/>
      <c r="T1124" s="145"/>
      <c r="U1124" s="145"/>
      <c r="V1124" s="145"/>
      <c r="W1124" s="145"/>
      <c r="X1124" s="145"/>
      <c r="Y1124" s="145"/>
      <c r="Z1124" s="145"/>
      <c r="AA1124" s="145"/>
      <c r="AB1124" s="145"/>
      <c r="AC1124" s="145"/>
      <c r="AD1124" s="145"/>
      <c r="AE1124" s="145"/>
      <c r="AF1124" s="145"/>
      <c r="AG1124" s="145"/>
      <c r="AH1124" s="145"/>
      <c r="AI1124" s="145"/>
      <c r="AJ1124" s="156"/>
      <c r="AK1124" s="138"/>
      <c r="AL1124" s="27"/>
      <c r="AM1124" s="27"/>
      <c r="AN1124" s="27"/>
      <c r="AO1124" s="27"/>
      <c r="AP1124" s="27"/>
      <c r="AQ1124" s="148"/>
      <c r="AR1124" s="148"/>
      <c r="AS1124" s="27"/>
      <c r="AT1124" s="27"/>
      <c r="AU1124" s="27"/>
      <c r="AV1124" s="27"/>
      <c r="AW1124" s="27"/>
      <c r="AX1124" s="27"/>
      <c r="AY1124" s="27"/>
      <c r="AZ1124" s="27"/>
      <c r="BA1124" s="27"/>
      <c r="BB1124" s="27"/>
      <c r="BC1124" s="27"/>
      <c r="BD1124" s="27"/>
      <c r="BE1124" s="27"/>
      <c r="BF1124" s="27"/>
      <c r="BG1124" s="27"/>
      <c r="BH1124" s="27"/>
      <c r="BI1124" s="139"/>
    </row>
    <row r="1125" spans="2:61" ht="20.100000000000001" customHeight="1" x14ac:dyDescent="0.45">
      <c r="B1125" s="133"/>
      <c r="C1125" s="27"/>
      <c r="D1125" s="27"/>
      <c r="E1125" s="27"/>
      <c r="F1125" s="27"/>
      <c r="G1125" s="134"/>
      <c r="H1125" s="135"/>
      <c r="I1125" s="27"/>
      <c r="J1125" s="144" t="s">
        <v>221</v>
      </c>
      <c r="K1125" s="145"/>
      <c r="L1125" s="145"/>
      <c r="M1125" s="145"/>
      <c r="N1125" s="145"/>
      <c r="O1125" s="145"/>
      <c r="P1125" s="145"/>
      <c r="Q1125" s="156"/>
      <c r="R1125" s="145" t="s">
        <v>702</v>
      </c>
      <c r="S1125" s="145"/>
      <c r="T1125" s="145"/>
      <c r="U1125" s="145"/>
      <c r="V1125" s="145"/>
      <c r="W1125" s="145"/>
      <c r="X1125" s="145"/>
      <c r="Y1125" s="145"/>
      <c r="Z1125" s="145"/>
      <c r="AA1125" s="145"/>
      <c r="AB1125" s="145"/>
      <c r="AC1125" s="145"/>
      <c r="AD1125" s="145"/>
      <c r="AE1125" s="145"/>
      <c r="AF1125" s="145"/>
      <c r="AG1125" s="145"/>
      <c r="AH1125" s="145"/>
      <c r="AI1125" s="145"/>
      <c r="AJ1125" s="156"/>
      <c r="AK1125" s="138"/>
      <c r="AL1125" s="27"/>
      <c r="AM1125" s="27"/>
      <c r="AN1125" s="27"/>
      <c r="AO1125" s="27"/>
      <c r="AP1125" s="27"/>
      <c r="AQ1125" s="148"/>
      <c r="AR1125" s="148"/>
      <c r="AS1125" s="27"/>
      <c r="AT1125" s="27"/>
      <c r="AU1125" s="27"/>
      <c r="AV1125" s="27"/>
      <c r="AW1125" s="27"/>
      <c r="AX1125" s="27"/>
      <c r="AY1125" s="27"/>
      <c r="AZ1125" s="27"/>
      <c r="BA1125" s="27"/>
      <c r="BB1125" s="27"/>
      <c r="BC1125" s="27"/>
      <c r="BD1125" s="27"/>
      <c r="BE1125" s="27"/>
      <c r="BF1125" s="27"/>
      <c r="BG1125" s="27"/>
      <c r="BH1125" s="27"/>
      <c r="BI1125" s="139"/>
    </row>
    <row r="1126" spans="2:61" ht="20.100000000000001" customHeight="1" x14ac:dyDescent="0.45">
      <c r="B1126" s="133"/>
      <c r="C1126" s="27"/>
      <c r="D1126" s="27"/>
      <c r="E1126" s="27"/>
      <c r="F1126" s="27"/>
      <c r="G1126" s="134"/>
      <c r="H1126" s="135"/>
      <c r="I1126" s="27"/>
      <c r="J1126" s="144" t="s">
        <v>222</v>
      </c>
      <c r="K1126" s="145"/>
      <c r="L1126" s="145"/>
      <c r="M1126" s="145"/>
      <c r="N1126" s="145"/>
      <c r="O1126" s="145"/>
      <c r="P1126" s="145"/>
      <c r="Q1126" s="156"/>
      <c r="R1126" s="145" t="s">
        <v>703</v>
      </c>
      <c r="S1126" s="145"/>
      <c r="T1126" s="145"/>
      <c r="U1126" s="145"/>
      <c r="V1126" s="145"/>
      <c r="W1126" s="145"/>
      <c r="X1126" s="145"/>
      <c r="Y1126" s="145"/>
      <c r="Z1126" s="145"/>
      <c r="AA1126" s="145"/>
      <c r="AB1126" s="145"/>
      <c r="AC1126" s="145"/>
      <c r="AD1126" s="145"/>
      <c r="AE1126" s="145"/>
      <c r="AF1126" s="145"/>
      <c r="AG1126" s="145"/>
      <c r="AH1126" s="145"/>
      <c r="AI1126" s="145"/>
      <c r="AJ1126" s="156"/>
      <c r="AK1126" s="138"/>
      <c r="AL1126" s="27"/>
      <c r="AM1126" s="27"/>
      <c r="AN1126" s="27"/>
      <c r="AO1126" s="27"/>
      <c r="AP1126" s="27"/>
      <c r="AQ1126" s="148"/>
      <c r="AR1126" s="148"/>
      <c r="AS1126" s="27"/>
      <c r="AT1126" s="27"/>
      <c r="AU1126" s="27"/>
      <c r="AV1126" s="27"/>
      <c r="AW1126" s="27"/>
      <c r="AX1126" s="27"/>
      <c r="AY1126" s="27"/>
      <c r="AZ1126" s="27"/>
      <c r="BA1126" s="27"/>
      <c r="BB1126" s="27"/>
      <c r="BC1126" s="27"/>
      <c r="BD1126" s="27"/>
      <c r="BE1126" s="27"/>
      <c r="BF1126" s="27"/>
      <c r="BG1126" s="27"/>
      <c r="BH1126" s="27"/>
      <c r="BI1126" s="139"/>
    </row>
    <row r="1127" spans="2:61" ht="20.100000000000001" customHeight="1" x14ac:dyDescent="0.45">
      <c r="B1127" s="133"/>
      <c r="C1127" s="27"/>
      <c r="D1127" s="27"/>
      <c r="E1127" s="27"/>
      <c r="F1127" s="27"/>
      <c r="G1127" s="134"/>
      <c r="H1127" s="135"/>
      <c r="I1127" s="27"/>
      <c r="J1127" s="144" t="s">
        <v>223</v>
      </c>
      <c r="K1127" s="145"/>
      <c r="L1127" s="145"/>
      <c r="M1127" s="145"/>
      <c r="N1127" s="145"/>
      <c r="O1127" s="145"/>
      <c r="P1127" s="145"/>
      <c r="Q1127" s="156"/>
      <c r="R1127" s="145" t="s">
        <v>704</v>
      </c>
      <c r="S1127" s="145"/>
      <c r="T1127" s="145"/>
      <c r="U1127" s="145"/>
      <c r="V1127" s="145"/>
      <c r="W1127" s="145"/>
      <c r="X1127" s="145"/>
      <c r="Y1127" s="145"/>
      <c r="Z1127" s="145"/>
      <c r="AA1127" s="145"/>
      <c r="AB1127" s="145"/>
      <c r="AC1127" s="145"/>
      <c r="AD1127" s="145"/>
      <c r="AE1127" s="145"/>
      <c r="AF1127" s="145"/>
      <c r="AG1127" s="145"/>
      <c r="AH1127" s="145"/>
      <c r="AI1127" s="145"/>
      <c r="AJ1127" s="156"/>
      <c r="AK1127" s="138"/>
      <c r="AL1127" s="27"/>
      <c r="AM1127" s="27"/>
      <c r="AN1127" s="27"/>
      <c r="AO1127" s="27"/>
      <c r="AP1127" s="27"/>
      <c r="AQ1127" s="148"/>
      <c r="AR1127" s="148"/>
      <c r="AS1127" s="27"/>
      <c r="AT1127" s="27"/>
      <c r="AU1127" s="27"/>
      <c r="AV1127" s="27"/>
      <c r="AW1127" s="27"/>
      <c r="AX1127" s="27"/>
      <c r="AY1127" s="27"/>
      <c r="AZ1127" s="27"/>
      <c r="BA1127" s="27"/>
      <c r="BB1127" s="27"/>
      <c r="BC1127" s="27"/>
      <c r="BD1127" s="27"/>
      <c r="BE1127" s="27"/>
      <c r="BF1127" s="27"/>
      <c r="BG1127" s="27"/>
      <c r="BH1127" s="27"/>
      <c r="BI1127" s="139"/>
    </row>
    <row r="1128" spans="2:61" ht="20.100000000000001" customHeight="1" x14ac:dyDescent="0.45">
      <c r="B1128" s="133"/>
      <c r="C1128" s="27"/>
      <c r="D1128" s="27"/>
      <c r="E1128" s="27"/>
      <c r="F1128" s="27"/>
      <c r="G1128" s="134"/>
      <c r="H1128" s="135"/>
      <c r="I1128" s="27"/>
      <c r="J1128" s="144" t="s">
        <v>224</v>
      </c>
      <c r="K1128" s="145"/>
      <c r="L1128" s="145"/>
      <c r="M1128" s="145"/>
      <c r="N1128" s="145"/>
      <c r="O1128" s="145"/>
      <c r="P1128" s="145"/>
      <c r="Q1128" s="156"/>
      <c r="R1128" s="145" t="s">
        <v>705</v>
      </c>
      <c r="S1128" s="145"/>
      <c r="T1128" s="145"/>
      <c r="U1128" s="145"/>
      <c r="V1128" s="145"/>
      <c r="W1128" s="145"/>
      <c r="X1128" s="145"/>
      <c r="Y1128" s="145"/>
      <c r="Z1128" s="145"/>
      <c r="AA1128" s="145"/>
      <c r="AB1128" s="145"/>
      <c r="AC1128" s="145"/>
      <c r="AD1128" s="145"/>
      <c r="AE1128" s="145"/>
      <c r="AF1128" s="145"/>
      <c r="AG1128" s="145"/>
      <c r="AH1128" s="145"/>
      <c r="AI1128" s="145"/>
      <c r="AJ1128" s="156"/>
      <c r="AK1128" s="138"/>
      <c r="AL1128" s="27"/>
      <c r="AM1128" s="27"/>
      <c r="AN1128" s="27"/>
      <c r="AO1128" s="27"/>
      <c r="AP1128" s="27"/>
      <c r="AQ1128" s="148"/>
      <c r="AR1128" s="148"/>
      <c r="AS1128" s="27"/>
      <c r="AT1128" s="27"/>
      <c r="AU1128" s="27"/>
      <c r="AV1128" s="27"/>
      <c r="AW1128" s="27"/>
      <c r="AX1128" s="27"/>
      <c r="AY1128" s="27"/>
      <c r="AZ1128" s="27"/>
      <c r="BA1128" s="27"/>
      <c r="BB1128" s="27"/>
      <c r="BC1128" s="27"/>
      <c r="BD1128" s="27"/>
      <c r="BE1128" s="27"/>
      <c r="BF1128" s="27"/>
      <c r="BG1128" s="27"/>
      <c r="BH1128" s="27"/>
      <c r="BI1128" s="139"/>
    </row>
    <row r="1129" spans="2:61" ht="20.100000000000001" customHeight="1" x14ac:dyDescent="0.45">
      <c r="B1129" s="133"/>
      <c r="C1129" s="27"/>
      <c r="D1129" s="27"/>
      <c r="E1129" s="27"/>
      <c r="F1129" s="27"/>
      <c r="G1129" s="134"/>
      <c r="H1129" s="135"/>
      <c r="I1129" s="27"/>
      <c r="J1129" s="144" t="s">
        <v>225</v>
      </c>
      <c r="K1129" s="145"/>
      <c r="L1129" s="145"/>
      <c r="M1129" s="145"/>
      <c r="N1129" s="145"/>
      <c r="O1129" s="145"/>
      <c r="P1129" s="145"/>
      <c r="Q1129" s="156"/>
      <c r="R1129" s="145" t="s">
        <v>706</v>
      </c>
      <c r="S1129" s="145"/>
      <c r="T1129" s="145"/>
      <c r="U1129" s="145"/>
      <c r="V1129" s="145"/>
      <c r="W1129" s="145"/>
      <c r="X1129" s="145"/>
      <c r="Y1129" s="145"/>
      <c r="Z1129" s="145"/>
      <c r="AA1129" s="145"/>
      <c r="AB1129" s="145"/>
      <c r="AC1129" s="145"/>
      <c r="AD1129" s="145"/>
      <c r="AE1129" s="145"/>
      <c r="AF1129" s="145"/>
      <c r="AG1129" s="145"/>
      <c r="AH1129" s="145"/>
      <c r="AI1129" s="145"/>
      <c r="AJ1129" s="156"/>
      <c r="AK1129" s="138"/>
      <c r="AL1129" s="27"/>
      <c r="AM1129" s="27"/>
      <c r="AN1129" s="27"/>
      <c r="AO1129" s="27"/>
      <c r="AP1129" s="27"/>
      <c r="AQ1129" s="148"/>
      <c r="AR1129" s="148"/>
      <c r="AS1129" s="27"/>
      <c r="AT1129" s="27"/>
      <c r="AU1129" s="27"/>
      <c r="AV1129" s="27"/>
      <c r="AW1129" s="27"/>
      <c r="AX1129" s="27"/>
      <c r="AY1129" s="27"/>
      <c r="AZ1129" s="27"/>
      <c r="BA1129" s="27"/>
      <c r="BB1129" s="27"/>
      <c r="BC1129" s="27"/>
      <c r="BD1129" s="27"/>
      <c r="BE1129" s="27"/>
      <c r="BF1129" s="27"/>
      <c r="BG1129" s="27"/>
      <c r="BH1129" s="27"/>
      <c r="BI1129" s="139"/>
    </row>
    <row r="1130" spans="2:61" ht="20.100000000000001" customHeight="1" x14ac:dyDescent="0.45">
      <c r="B1130" s="133"/>
      <c r="C1130" s="27"/>
      <c r="D1130" s="27"/>
      <c r="E1130" s="27"/>
      <c r="F1130" s="27"/>
      <c r="G1130" s="134"/>
      <c r="H1130" s="135"/>
      <c r="I1130" s="27"/>
      <c r="J1130" s="144" t="s">
        <v>226</v>
      </c>
      <c r="K1130" s="145"/>
      <c r="L1130" s="145"/>
      <c r="M1130" s="145"/>
      <c r="N1130" s="145"/>
      <c r="O1130" s="145"/>
      <c r="P1130" s="145"/>
      <c r="Q1130" s="156"/>
      <c r="R1130" s="145" t="s">
        <v>707</v>
      </c>
      <c r="S1130" s="145"/>
      <c r="T1130" s="145"/>
      <c r="U1130" s="145"/>
      <c r="V1130" s="145"/>
      <c r="W1130" s="145"/>
      <c r="X1130" s="145"/>
      <c r="Y1130" s="145"/>
      <c r="Z1130" s="145"/>
      <c r="AA1130" s="145"/>
      <c r="AB1130" s="145"/>
      <c r="AC1130" s="145"/>
      <c r="AD1130" s="145"/>
      <c r="AE1130" s="145"/>
      <c r="AF1130" s="145"/>
      <c r="AG1130" s="145"/>
      <c r="AH1130" s="145"/>
      <c r="AI1130" s="145"/>
      <c r="AJ1130" s="156"/>
      <c r="AK1130" s="138"/>
      <c r="AL1130" s="27"/>
      <c r="AM1130" s="27"/>
      <c r="AN1130" s="27"/>
      <c r="AO1130" s="27"/>
      <c r="AP1130" s="27"/>
      <c r="AQ1130" s="148"/>
      <c r="AR1130" s="148"/>
      <c r="AS1130" s="27"/>
      <c r="AT1130" s="27"/>
      <c r="AU1130" s="27"/>
      <c r="AV1130" s="27"/>
      <c r="AW1130" s="27"/>
      <c r="AX1130" s="27"/>
      <c r="AY1130" s="27"/>
      <c r="AZ1130" s="27"/>
      <c r="BA1130" s="27"/>
      <c r="BB1130" s="27"/>
      <c r="BC1130" s="27"/>
      <c r="BD1130" s="27"/>
      <c r="BE1130" s="27"/>
      <c r="BF1130" s="27"/>
      <c r="BG1130" s="27"/>
      <c r="BH1130" s="27"/>
      <c r="BI1130" s="139"/>
    </row>
    <row r="1131" spans="2:61" ht="20.100000000000001" customHeight="1" x14ac:dyDescent="0.45">
      <c r="B1131" s="133"/>
      <c r="C1131" s="27"/>
      <c r="D1131" s="27"/>
      <c r="E1131" s="27"/>
      <c r="F1131" s="27"/>
      <c r="G1131" s="134"/>
      <c r="H1131" s="135"/>
      <c r="I1131" s="27"/>
      <c r="J1131" s="144" t="s">
        <v>227</v>
      </c>
      <c r="K1131" s="145"/>
      <c r="L1131" s="145"/>
      <c r="M1131" s="145"/>
      <c r="N1131" s="145"/>
      <c r="O1131" s="145"/>
      <c r="P1131" s="145"/>
      <c r="Q1131" s="156"/>
      <c r="R1131" s="145" t="s">
        <v>708</v>
      </c>
      <c r="S1131" s="145"/>
      <c r="T1131" s="145"/>
      <c r="U1131" s="145"/>
      <c r="V1131" s="145"/>
      <c r="W1131" s="145"/>
      <c r="X1131" s="145"/>
      <c r="Y1131" s="145"/>
      <c r="Z1131" s="145"/>
      <c r="AA1131" s="145"/>
      <c r="AB1131" s="145"/>
      <c r="AC1131" s="145"/>
      <c r="AD1131" s="145"/>
      <c r="AE1131" s="145"/>
      <c r="AF1131" s="145"/>
      <c r="AG1131" s="145"/>
      <c r="AH1131" s="145"/>
      <c r="AI1131" s="145"/>
      <c r="AJ1131" s="156"/>
      <c r="AK1131" s="138"/>
      <c r="AL1131" s="27"/>
      <c r="AM1131" s="27"/>
      <c r="AN1131" s="27"/>
      <c r="AO1131" s="27"/>
      <c r="AP1131" s="27"/>
      <c r="AQ1131" s="148"/>
      <c r="AR1131" s="148"/>
      <c r="AS1131" s="27"/>
      <c r="AT1131" s="27"/>
      <c r="AU1131" s="27"/>
      <c r="AV1131" s="27"/>
      <c r="AW1131" s="27"/>
      <c r="AX1131" s="27"/>
      <c r="AY1131" s="27"/>
      <c r="AZ1131" s="27"/>
      <c r="BA1131" s="27"/>
      <c r="BB1131" s="27"/>
      <c r="BC1131" s="27"/>
      <c r="BD1131" s="27"/>
      <c r="BE1131" s="27"/>
      <c r="BF1131" s="27"/>
      <c r="BG1131" s="27"/>
      <c r="BH1131" s="27"/>
      <c r="BI1131" s="139"/>
    </row>
    <row r="1132" spans="2:61" ht="20.100000000000001" customHeight="1" x14ac:dyDescent="0.45">
      <c r="B1132" s="133"/>
      <c r="C1132" s="27"/>
      <c r="D1132" s="27"/>
      <c r="E1132" s="27"/>
      <c r="F1132" s="27"/>
      <c r="G1132" s="134"/>
      <c r="H1132" s="135"/>
      <c r="I1132" s="27"/>
      <c r="J1132" s="144" t="s">
        <v>228</v>
      </c>
      <c r="K1132" s="145"/>
      <c r="L1132" s="145"/>
      <c r="M1132" s="145"/>
      <c r="N1132" s="145"/>
      <c r="O1132" s="145"/>
      <c r="P1132" s="145"/>
      <c r="Q1132" s="156"/>
      <c r="R1132" s="145" t="s">
        <v>709</v>
      </c>
      <c r="S1132" s="145"/>
      <c r="T1132" s="145"/>
      <c r="U1132" s="145"/>
      <c r="V1132" s="145"/>
      <c r="W1132" s="145"/>
      <c r="X1132" s="145"/>
      <c r="Y1132" s="145"/>
      <c r="Z1132" s="145"/>
      <c r="AA1132" s="145"/>
      <c r="AB1132" s="145"/>
      <c r="AC1132" s="145"/>
      <c r="AD1132" s="145"/>
      <c r="AE1132" s="145"/>
      <c r="AF1132" s="145"/>
      <c r="AG1132" s="145"/>
      <c r="AH1132" s="145"/>
      <c r="AI1132" s="145"/>
      <c r="AJ1132" s="156"/>
      <c r="AK1132" s="138"/>
      <c r="AL1132" s="27"/>
      <c r="AM1132" s="27"/>
      <c r="AN1132" s="27"/>
      <c r="AO1132" s="27"/>
      <c r="AP1132" s="27"/>
      <c r="AQ1132" s="148"/>
      <c r="AR1132" s="148"/>
      <c r="AS1132" s="27"/>
      <c r="AT1132" s="27"/>
      <c r="AU1132" s="27"/>
      <c r="AV1132" s="27"/>
      <c r="AW1132" s="27"/>
      <c r="AX1132" s="27"/>
      <c r="AY1132" s="27"/>
      <c r="AZ1132" s="27"/>
      <c r="BA1132" s="27"/>
      <c r="BB1132" s="27"/>
      <c r="BC1132" s="27"/>
      <c r="BD1132" s="27"/>
      <c r="BE1132" s="27"/>
      <c r="BF1132" s="27"/>
      <c r="BG1132" s="27"/>
      <c r="BH1132" s="27"/>
      <c r="BI1132" s="139"/>
    </row>
    <row r="1133" spans="2:61" ht="20.100000000000001" customHeight="1" x14ac:dyDescent="0.45">
      <c r="B1133" s="133"/>
      <c r="C1133" s="27"/>
      <c r="D1133" s="27"/>
      <c r="E1133" s="27"/>
      <c r="F1133" s="27"/>
      <c r="G1133" s="134"/>
      <c r="H1133" s="135"/>
      <c r="I1133" s="27"/>
      <c r="J1133" s="144" t="s">
        <v>229</v>
      </c>
      <c r="K1133" s="145"/>
      <c r="L1133" s="145"/>
      <c r="M1133" s="145"/>
      <c r="N1133" s="145"/>
      <c r="O1133" s="145"/>
      <c r="P1133" s="145"/>
      <c r="Q1133" s="156"/>
      <c r="R1133" s="145" t="s">
        <v>710</v>
      </c>
      <c r="S1133" s="145"/>
      <c r="T1133" s="145"/>
      <c r="U1133" s="145"/>
      <c r="V1133" s="145"/>
      <c r="W1133" s="145"/>
      <c r="X1133" s="145"/>
      <c r="Y1133" s="145"/>
      <c r="Z1133" s="145"/>
      <c r="AA1133" s="145"/>
      <c r="AB1133" s="145"/>
      <c r="AC1133" s="145"/>
      <c r="AD1133" s="145"/>
      <c r="AE1133" s="145"/>
      <c r="AF1133" s="145"/>
      <c r="AG1133" s="145"/>
      <c r="AH1133" s="145"/>
      <c r="AI1133" s="145"/>
      <c r="AJ1133" s="156"/>
      <c r="AK1133" s="138"/>
      <c r="AL1133" s="27"/>
      <c r="AM1133" s="27"/>
      <c r="AN1133" s="27"/>
      <c r="AO1133" s="27"/>
      <c r="AP1133" s="27"/>
      <c r="AQ1133" s="148"/>
      <c r="AR1133" s="148"/>
      <c r="AS1133" s="27"/>
      <c r="AT1133" s="27"/>
      <c r="AU1133" s="27"/>
      <c r="AV1133" s="27"/>
      <c r="AW1133" s="27"/>
      <c r="AX1133" s="27"/>
      <c r="AY1133" s="27"/>
      <c r="AZ1133" s="27"/>
      <c r="BA1133" s="27"/>
      <c r="BB1133" s="27"/>
      <c r="BC1133" s="27"/>
      <c r="BD1133" s="27"/>
      <c r="BE1133" s="27"/>
      <c r="BF1133" s="27"/>
      <c r="BG1133" s="27"/>
      <c r="BH1133" s="27"/>
      <c r="BI1133" s="139"/>
    </row>
    <row r="1134" spans="2:61" ht="20.100000000000001" customHeight="1" x14ac:dyDescent="0.45">
      <c r="B1134" s="133"/>
      <c r="C1134" s="27"/>
      <c r="D1134" s="27"/>
      <c r="E1134" s="27"/>
      <c r="F1134" s="27"/>
      <c r="G1134" s="134"/>
      <c r="H1134" s="135"/>
      <c r="I1134" s="27"/>
      <c r="J1134" s="136" t="s">
        <v>230</v>
      </c>
      <c r="K1134" s="145"/>
      <c r="L1134" s="145"/>
      <c r="M1134" s="145"/>
      <c r="N1134" s="145"/>
      <c r="O1134" s="145"/>
      <c r="P1134" s="145"/>
      <c r="Q1134" s="156"/>
      <c r="R1134" s="145" t="s">
        <v>711</v>
      </c>
      <c r="S1134" s="145"/>
      <c r="T1134" s="145"/>
      <c r="U1134" s="145"/>
      <c r="V1134" s="145"/>
      <c r="W1134" s="145"/>
      <c r="X1134" s="145"/>
      <c r="Y1134" s="145"/>
      <c r="Z1134" s="145"/>
      <c r="AA1134" s="145"/>
      <c r="AB1134" s="145"/>
      <c r="AC1134" s="145"/>
      <c r="AD1134" s="145"/>
      <c r="AE1134" s="145"/>
      <c r="AF1134" s="145"/>
      <c r="AG1134" s="145"/>
      <c r="AH1134" s="145"/>
      <c r="AI1134" s="145"/>
      <c r="AJ1134" s="156"/>
      <c r="AK1134" s="138"/>
      <c r="AL1134" s="27"/>
      <c r="AM1134" s="27"/>
      <c r="AN1134" s="27"/>
      <c r="AO1134" s="27"/>
      <c r="AP1134" s="27"/>
      <c r="AQ1134" s="148"/>
      <c r="AR1134" s="148"/>
      <c r="AS1134" s="27"/>
      <c r="AT1134" s="27"/>
      <c r="AU1134" s="27"/>
      <c r="AV1134" s="27"/>
      <c r="AW1134" s="27"/>
      <c r="AX1134" s="27"/>
      <c r="AY1134" s="27"/>
      <c r="AZ1134" s="27"/>
      <c r="BA1134" s="27"/>
      <c r="BB1134" s="27"/>
      <c r="BC1134" s="27"/>
      <c r="BD1134" s="27"/>
      <c r="BE1134" s="27"/>
      <c r="BF1134" s="27"/>
      <c r="BG1134" s="27"/>
      <c r="BH1134" s="27"/>
      <c r="BI1134" s="139"/>
    </row>
    <row r="1135" spans="2:61" ht="20.100000000000001" customHeight="1" x14ac:dyDescent="0.45">
      <c r="B1135" s="133"/>
      <c r="C1135" s="27"/>
      <c r="D1135" s="27"/>
      <c r="E1135" s="27"/>
      <c r="F1135" s="27"/>
      <c r="G1135" s="134"/>
      <c r="H1135" s="135"/>
      <c r="I1135" s="27"/>
      <c r="J1135" s="140" t="s">
        <v>712</v>
      </c>
      <c r="K1135" s="27"/>
      <c r="L1135" s="27"/>
      <c r="M1135" s="27"/>
      <c r="N1135" s="27"/>
      <c r="O1135" s="27"/>
      <c r="P1135" s="27"/>
      <c r="Q1135" s="27"/>
      <c r="R1135" s="136" t="s">
        <v>713</v>
      </c>
      <c r="S1135" s="27"/>
      <c r="T1135" s="27"/>
      <c r="U1135" s="27"/>
      <c r="V1135" s="27"/>
      <c r="W1135" s="27"/>
      <c r="X1135" s="27"/>
      <c r="Y1135" s="27"/>
      <c r="Z1135" s="27"/>
      <c r="AA1135" s="27"/>
      <c r="AB1135" s="27"/>
      <c r="AC1135" s="27"/>
      <c r="AD1135" s="27"/>
      <c r="AE1135" s="27"/>
      <c r="AF1135" s="27"/>
      <c r="AG1135" s="27"/>
      <c r="AH1135" s="27"/>
      <c r="AI1135" s="27"/>
      <c r="AJ1135" s="27"/>
      <c r="AK1135" s="138"/>
      <c r="AL1135" s="27"/>
      <c r="AM1135" s="27"/>
      <c r="AN1135" s="27"/>
      <c r="AO1135" s="27"/>
      <c r="AP1135" s="27"/>
      <c r="AQ1135" s="148"/>
      <c r="AR1135" s="148"/>
      <c r="AS1135" s="27"/>
      <c r="AT1135" s="27"/>
      <c r="AU1135" s="27"/>
      <c r="AV1135" s="27"/>
      <c r="AW1135" s="27"/>
      <c r="AX1135" s="27"/>
      <c r="AY1135" s="27"/>
      <c r="AZ1135" s="27"/>
      <c r="BA1135" s="27"/>
      <c r="BB1135" s="27"/>
      <c r="BC1135" s="27"/>
      <c r="BD1135" s="27"/>
      <c r="BE1135" s="27"/>
      <c r="BF1135" s="27"/>
      <c r="BG1135" s="27"/>
      <c r="BH1135" s="27"/>
      <c r="BI1135" s="139"/>
    </row>
    <row r="1136" spans="2:61" ht="20.100000000000001" customHeight="1" x14ac:dyDescent="0.45">
      <c r="B1136" s="133"/>
      <c r="C1136" s="27"/>
      <c r="D1136" s="27"/>
      <c r="E1136" s="27"/>
      <c r="F1136" s="27"/>
      <c r="G1136" s="134"/>
      <c r="H1136" s="140" t="s">
        <v>159</v>
      </c>
      <c r="I1136" s="51"/>
      <c r="J1136" s="140" t="s">
        <v>714</v>
      </c>
      <c r="K1136" s="51"/>
      <c r="L1136" s="51"/>
      <c r="M1136" s="51"/>
      <c r="N1136" s="51"/>
      <c r="O1136" s="51"/>
      <c r="P1136" s="51"/>
      <c r="Q1136" s="51"/>
      <c r="R1136" s="51"/>
      <c r="S1136" s="51"/>
      <c r="T1136" s="51"/>
      <c r="U1136" s="51"/>
      <c r="V1136" s="51"/>
      <c r="W1136" s="51"/>
      <c r="X1136" s="51"/>
      <c r="Y1136" s="51"/>
      <c r="Z1136" s="51"/>
      <c r="AA1136" s="51"/>
      <c r="AB1136" s="51"/>
      <c r="AC1136" s="51"/>
      <c r="AD1136" s="51"/>
      <c r="AE1136" s="51"/>
      <c r="AF1136" s="51"/>
      <c r="AG1136" s="51"/>
      <c r="AH1136" s="51"/>
      <c r="AI1136" s="51"/>
      <c r="AJ1136" s="51"/>
      <c r="AK1136" s="141"/>
      <c r="AL1136" s="51"/>
      <c r="AM1136" s="51"/>
      <c r="AN1136" s="51"/>
      <c r="AO1136" s="51"/>
      <c r="AP1136" s="51"/>
      <c r="AQ1136" s="51"/>
      <c r="AR1136" s="51"/>
      <c r="AS1136" s="51"/>
      <c r="AT1136" s="51"/>
      <c r="AU1136" s="51"/>
      <c r="AV1136" s="51"/>
      <c r="AW1136" s="51"/>
      <c r="AX1136" s="51"/>
      <c r="AY1136" s="51"/>
      <c r="AZ1136" s="51"/>
      <c r="BA1136" s="51"/>
      <c r="BB1136" s="51"/>
      <c r="BC1136" s="51"/>
      <c r="BD1136" s="51"/>
      <c r="BE1136" s="51"/>
      <c r="BF1136" s="51"/>
      <c r="BG1136" s="51"/>
      <c r="BH1136" s="51"/>
      <c r="BI1136" s="142"/>
    </row>
    <row r="1137" spans="2:61" ht="20.100000000000001" customHeight="1" x14ac:dyDescent="0.45">
      <c r="B1137" s="133"/>
      <c r="C1137" s="27"/>
      <c r="D1137" s="27"/>
      <c r="E1137" s="27"/>
      <c r="F1137" s="27"/>
      <c r="G1137" s="134"/>
      <c r="H1137" s="140" t="s">
        <v>160</v>
      </c>
      <c r="I1137" s="51"/>
      <c r="J1137" s="140" t="s">
        <v>715</v>
      </c>
      <c r="K1137" s="51"/>
      <c r="L1137" s="51"/>
      <c r="M1137" s="51"/>
      <c r="N1137" s="51"/>
      <c r="O1137" s="51"/>
      <c r="P1137" s="51"/>
      <c r="Q1137" s="51"/>
      <c r="R1137" s="51"/>
      <c r="S1137" s="51"/>
      <c r="T1137" s="51"/>
      <c r="U1137" s="51"/>
      <c r="V1137" s="51"/>
      <c r="W1137" s="51"/>
      <c r="X1137" s="51"/>
      <c r="Y1137" s="51"/>
      <c r="Z1137" s="51"/>
      <c r="AA1137" s="51"/>
      <c r="AB1137" s="51"/>
      <c r="AC1137" s="51"/>
      <c r="AD1137" s="51"/>
      <c r="AE1137" s="51"/>
      <c r="AF1137" s="51"/>
      <c r="AG1137" s="51"/>
      <c r="AH1137" s="51"/>
      <c r="AI1137" s="51"/>
      <c r="AJ1137" s="51"/>
      <c r="AK1137" s="141"/>
      <c r="AL1137" s="51"/>
      <c r="AM1137" s="51"/>
      <c r="AN1137" s="51"/>
      <c r="AO1137" s="51"/>
      <c r="AP1137" s="51"/>
      <c r="AQ1137" s="51"/>
      <c r="AR1137" s="51"/>
      <c r="AS1137" s="51"/>
      <c r="AT1137" s="51"/>
      <c r="AU1137" s="51"/>
      <c r="AV1137" s="51"/>
      <c r="AW1137" s="51"/>
      <c r="AX1137" s="51"/>
      <c r="AY1137" s="51"/>
      <c r="AZ1137" s="51"/>
      <c r="BA1137" s="51"/>
      <c r="BB1137" s="51"/>
      <c r="BC1137" s="51"/>
      <c r="BD1137" s="51"/>
      <c r="BE1137" s="51"/>
      <c r="BF1137" s="51"/>
      <c r="BG1137" s="51"/>
      <c r="BH1137" s="51"/>
      <c r="BI1137" s="142"/>
    </row>
    <row r="1138" spans="2:61" ht="20.100000000000001" customHeight="1" x14ac:dyDescent="0.45">
      <c r="B1138" s="133"/>
      <c r="C1138" s="27"/>
      <c r="D1138" s="27"/>
      <c r="E1138" s="27"/>
      <c r="F1138" s="27"/>
      <c r="G1138" s="134"/>
      <c r="H1138" s="135"/>
      <c r="I1138" s="27"/>
      <c r="J1138" s="135"/>
      <c r="K1138" s="27" t="s">
        <v>716</v>
      </c>
      <c r="L1138" s="27"/>
      <c r="M1138" s="27"/>
      <c r="N1138" s="27"/>
      <c r="O1138" s="27"/>
      <c r="P1138" s="27"/>
      <c r="Q1138" s="27"/>
      <c r="R1138" s="27"/>
      <c r="S1138" s="27"/>
      <c r="T1138" s="27"/>
      <c r="U1138" s="27"/>
      <c r="V1138" s="27"/>
      <c r="W1138" s="27"/>
      <c r="X1138" s="27"/>
      <c r="Y1138" s="27"/>
      <c r="Z1138" s="27"/>
      <c r="AA1138" s="27"/>
      <c r="AB1138" s="27"/>
      <c r="AC1138" s="27"/>
      <c r="AD1138" s="27"/>
      <c r="AE1138" s="27"/>
      <c r="AF1138" s="27"/>
      <c r="AG1138" s="27"/>
      <c r="AH1138" s="27"/>
      <c r="AI1138" s="27"/>
      <c r="AJ1138" s="27"/>
      <c r="AK1138" s="138"/>
      <c r="AL1138" s="27"/>
      <c r="AM1138" s="27"/>
      <c r="AN1138" s="27"/>
      <c r="AO1138" s="27"/>
      <c r="AP1138" s="27"/>
      <c r="AQ1138" s="27"/>
      <c r="AR1138" s="27"/>
      <c r="AS1138" s="27"/>
      <c r="AT1138" s="27"/>
      <c r="AU1138" s="27"/>
      <c r="AV1138" s="27"/>
      <c r="AW1138" s="27"/>
      <c r="AX1138" s="27"/>
      <c r="AY1138" s="27"/>
      <c r="AZ1138" s="27"/>
      <c r="BA1138" s="27"/>
      <c r="BB1138" s="27"/>
      <c r="BC1138" s="27"/>
      <c r="BD1138" s="27"/>
      <c r="BE1138" s="27"/>
      <c r="BF1138" s="27"/>
      <c r="BG1138" s="27"/>
      <c r="BH1138" s="27"/>
      <c r="BI1138" s="139"/>
    </row>
    <row r="1139" spans="2:61" ht="20.100000000000001" customHeight="1" x14ac:dyDescent="0.45">
      <c r="B1139" s="133"/>
      <c r="C1139" s="27"/>
      <c r="D1139" s="27"/>
      <c r="E1139" s="27"/>
      <c r="F1139" s="27"/>
      <c r="G1139" s="134"/>
      <c r="H1139" s="135"/>
      <c r="I1139" s="27"/>
      <c r="J1139" s="135"/>
      <c r="K1139" s="27" t="s">
        <v>825</v>
      </c>
      <c r="L1139" s="27"/>
      <c r="M1139" s="27"/>
      <c r="N1139" s="27"/>
      <c r="O1139" s="27"/>
      <c r="P1139" s="27"/>
      <c r="Q1139" s="27"/>
      <c r="R1139" s="27"/>
      <c r="S1139" s="27"/>
      <c r="T1139" s="27"/>
      <c r="U1139" s="27"/>
      <c r="V1139" s="27"/>
      <c r="W1139" s="27"/>
      <c r="X1139" s="27"/>
      <c r="Y1139" s="27"/>
      <c r="Z1139" s="27"/>
      <c r="AA1139" s="27"/>
      <c r="AB1139" s="27"/>
      <c r="AC1139" s="27"/>
      <c r="AD1139" s="27"/>
      <c r="AE1139" s="27"/>
      <c r="AF1139" s="27"/>
      <c r="AG1139" s="27"/>
      <c r="AH1139" s="27"/>
      <c r="AI1139" s="27"/>
      <c r="AJ1139" s="27"/>
      <c r="AK1139" s="138"/>
      <c r="AL1139" s="27"/>
      <c r="AM1139" s="27"/>
      <c r="AN1139" s="27"/>
      <c r="AO1139" s="27"/>
      <c r="AP1139" s="27"/>
      <c r="AQ1139" s="27"/>
      <c r="AR1139" s="27"/>
      <c r="AS1139" s="27"/>
      <c r="AT1139" s="27"/>
      <c r="AU1139" s="27"/>
      <c r="AV1139" s="27"/>
      <c r="AW1139" s="27"/>
      <c r="AX1139" s="27"/>
      <c r="AY1139" s="27"/>
      <c r="AZ1139" s="27"/>
      <c r="BA1139" s="27"/>
      <c r="BB1139" s="27"/>
      <c r="BC1139" s="27"/>
      <c r="BD1139" s="27"/>
      <c r="BE1139" s="27"/>
      <c r="BF1139" s="27"/>
      <c r="BG1139" s="27"/>
      <c r="BH1139" s="27"/>
      <c r="BI1139" s="139"/>
    </row>
    <row r="1140" spans="2:61" ht="20.100000000000001" customHeight="1" x14ac:dyDescent="0.45">
      <c r="B1140" s="133"/>
      <c r="C1140" s="27"/>
      <c r="D1140" s="27"/>
      <c r="E1140" s="27"/>
      <c r="F1140" s="27"/>
      <c r="G1140" s="134"/>
      <c r="H1140" s="135"/>
      <c r="I1140" s="27"/>
      <c r="J1140" s="135"/>
      <c r="K1140" s="27" t="s">
        <v>717</v>
      </c>
      <c r="L1140" s="27"/>
      <c r="M1140" s="27"/>
      <c r="N1140" s="27"/>
      <c r="O1140" s="27"/>
      <c r="P1140" s="27"/>
      <c r="Q1140" s="27"/>
      <c r="R1140" s="27"/>
      <c r="S1140" s="27"/>
      <c r="T1140" s="27"/>
      <c r="U1140" s="27"/>
      <c r="V1140" s="27"/>
      <c r="W1140" s="27"/>
      <c r="X1140" s="27"/>
      <c r="Y1140" s="27"/>
      <c r="Z1140" s="27"/>
      <c r="AA1140" s="27"/>
      <c r="AB1140" s="27"/>
      <c r="AC1140" s="27"/>
      <c r="AD1140" s="27"/>
      <c r="AE1140" s="27"/>
      <c r="AF1140" s="27"/>
      <c r="AG1140" s="27"/>
      <c r="AH1140" s="27"/>
      <c r="AI1140" s="27"/>
      <c r="AJ1140" s="27"/>
      <c r="AK1140" s="138"/>
      <c r="AL1140" s="27"/>
      <c r="AM1140" s="27"/>
      <c r="AN1140" s="27"/>
      <c r="AO1140" s="27"/>
      <c r="AP1140" s="27"/>
      <c r="AQ1140" s="27"/>
      <c r="AR1140" s="27"/>
      <c r="AS1140" s="27"/>
      <c r="AT1140" s="27"/>
      <c r="AU1140" s="27"/>
      <c r="AV1140" s="27"/>
      <c r="AW1140" s="27"/>
      <c r="AX1140" s="27"/>
      <c r="AY1140" s="27"/>
      <c r="AZ1140" s="27"/>
      <c r="BA1140" s="27"/>
      <c r="BB1140" s="27"/>
      <c r="BC1140" s="27"/>
      <c r="BD1140" s="27"/>
      <c r="BE1140" s="27"/>
      <c r="BF1140" s="27"/>
      <c r="BG1140" s="27"/>
      <c r="BH1140" s="27"/>
      <c r="BI1140" s="139"/>
    </row>
    <row r="1141" spans="2:61" ht="20.100000000000001" customHeight="1" x14ac:dyDescent="0.45">
      <c r="B1141" s="133"/>
      <c r="C1141" s="27"/>
      <c r="D1141" s="27"/>
      <c r="E1141" s="27"/>
      <c r="F1141" s="27"/>
      <c r="G1141" s="134"/>
      <c r="H1141" s="144"/>
      <c r="I1141" s="145"/>
      <c r="J1141" s="144"/>
      <c r="K1141" s="145" t="s">
        <v>718</v>
      </c>
      <c r="L1141" s="145"/>
      <c r="M1141" s="145"/>
      <c r="N1141" s="145"/>
      <c r="O1141" s="145"/>
      <c r="P1141" s="145"/>
      <c r="Q1141" s="145"/>
      <c r="R1141" s="145"/>
      <c r="S1141" s="145"/>
      <c r="T1141" s="145"/>
      <c r="U1141" s="145"/>
      <c r="V1141" s="145"/>
      <c r="W1141" s="145"/>
      <c r="X1141" s="145"/>
      <c r="Y1141" s="145"/>
      <c r="Z1141" s="145"/>
      <c r="AA1141" s="145"/>
      <c r="AB1141" s="145"/>
      <c r="AC1141" s="145"/>
      <c r="AD1141" s="145"/>
      <c r="AE1141" s="145"/>
      <c r="AF1141" s="145"/>
      <c r="AG1141" s="145"/>
      <c r="AH1141" s="145"/>
      <c r="AI1141" s="145"/>
      <c r="AJ1141" s="145"/>
      <c r="AK1141" s="146"/>
      <c r="AL1141" s="145"/>
      <c r="AM1141" s="145"/>
      <c r="AN1141" s="145"/>
      <c r="AO1141" s="145"/>
      <c r="AP1141" s="145"/>
      <c r="AQ1141" s="145"/>
      <c r="AR1141" s="145"/>
      <c r="AS1141" s="145"/>
      <c r="AT1141" s="145"/>
      <c r="AU1141" s="145"/>
      <c r="AV1141" s="145"/>
      <c r="AW1141" s="145"/>
      <c r="AX1141" s="145"/>
      <c r="AY1141" s="145"/>
      <c r="AZ1141" s="145"/>
      <c r="BA1141" s="145"/>
      <c r="BB1141" s="145"/>
      <c r="BC1141" s="145"/>
      <c r="BD1141" s="145"/>
      <c r="BE1141" s="145"/>
      <c r="BF1141" s="145"/>
      <c r="BG1141" s="145"/>
      <c r="BH1141" s="145"/>
      <c r="BI1141" s="147"/>
    </row>
    <row r="1142" spans="2:61" ht="20.100000000000001" customHeight="1" thickBot="1" x14ac:dyDescent="0.5">
      <c r="B1142" s="133"/>
      <c r="C1142" s="27"/>
      <c r="D1142" s="27"/>
      <c r="E1142" s="27"/>
      <c r="F1142" s="27"/>
      <c r="G1142" s="134"/>
      <c r="H1142" s="140" t="s">
        <v>334</v>
      </c>
      <c r="I1142" s="51"/>
      <c r="J1142" s="140" t="s">
        <v>719</v>
      </c>
      <c r="K1142" s="51"/>
      <c r="L1142" s="51"/>
      <c r="M1142" s="51"/>
      <c r="N1142" s="51"/>
      <c r="O1142" s="51"/>
      <c r="P1142" s="51"/>
      <c r="Q1142" s="51"/>
      <c r="R1142" s="51"/>
      <c r="S1142" s="51"/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  <c r="AG1142" s="51"/>
      <c r="AH1142" s="51"/>
      <c r="AI1142" s="51"/>
      <c r="AJ1142" s="51"/>
      <c r="AK1142" s="141"/>
      <c r="AL1142" s="51"/>
      <c r="AM1142" s="51"/>
      <c r="AN1142" s="51"/>
      <c r="AO1142" s="51"/>
      <c r="AP1142" s="51"/>
      <c r="AQ1142" s="51"/>
      <c r="AR1142" s="51"/>
      <c r="AS1142" s="51"/>
      <c r="AT1142" s="51"/>
      <c r="AU1142" s="51"/>
      <c r="AV1142" s="51"/>
      <c r="AW1142" s="51"/>
      <c r="AX1142" s="51"/>
      <c r="AY1142" s="51"/>
      <c r="AZ1142" s="51"/>
      <c r="BA1142" s="51"/>
      <c r="BB1142" s="51"/>
      <c r="BC1142" s="51"/>
      <c r="BD1142" s="51"/>
      <c r="BE1142" s="51"/>
      <c r="BF1142" s="51"/>
      <c r="BG1142" s="51"/>
      <c r="BH1142" s="51"/>
      <c r="BI1142" s="142"/>
    </row>
    <row r="1143" spans="2:61" ht="20.100000000000001" customHeight="1" x14ac:dyDescent="0.45">
      <c r="B1143" s="124" t="s">
        <v>825</v>
      </c>
      <c r="C1143" s="125"/>
      <c r="D1143" s="125"/>
      <c r="E1143" s="125"/>
      <c r="F1143" s="125"/>
      <c r="G1143" s="126"/>
      <c r="H1143" s="127" t="s">
        <v>158</v>
      </c>
      <c r="I1143" s="125"/>
      <c r="J1143" s="128" t="s">
        <v>196</v>
      </c>
      <c r="K1143" s="129"/>
      <c r="L1143" s="129"/>
      <c r="M1143" s="129"/>
      <c r="N1143" s="129"/>
      <c r="O1143" s="129"/>
      <c r="P1143" s="129"/>
      <c r="Q1143" s="130"/>
      <c r="R1143" s="129" t="s">
        <v>672</v>
      </c>
      <c r="S1143" s="129"/>
      <c r="T1143" s="129"/>
      <c r="U1143" s="129"/>
      <c r="V1143" s="129"/>
      <c r="W1143" s="129"/>
      <c r="X1143" s="129"/>
      <c r="Y1143" s="129"/>
      <c r="Z1143" s="129"/>
      <c r="AA1143" s="129"/>
      <c r="AB1143" s="129"/>
      <c r="AC1143" s="129"/>
      <c r="AD1143" s="129"/>
      <c r="AE1143" s="129"/>
      <c r="AF1143" s="129"/>
      <c r="AG1143" s="129"/>
      <c r="AH1143" s="129"/>
      <c r="AI1143" s="129"/>
      <c r="AJ1143" s="130"/>
      <c r="AK1143" s="131"/>
      <c r="AL1143" s="125"/>
      <c r="AM1143" s="125"/>
      <c r="AN1143" s="125"/>
      <c r="AO1143" s="125"/>
      <c r="AP1143" s="125"/>
      <c r="AQ1143" s="158"/>
      <c r="AR1143" s="158"/>
      <c r="AS1143" s="125"/>
      <c r="AT1143" s="125"/>
      <c r="AU1143" s="125"/>
      <c r="AV1143" s="125"/>
      <c r="AW1143" s="125"/>
      <c r="AX1143" s="125"/>
      <c r="AY1143" s="125"/>
      <c r="AZ1143" s="125"/>
      <c r="BA1143" s="125"/>
      <c r="BB1143" s="125"/>
      <c r="BC1143" s="125"/>
      <c r="BD1143" s="125"/>
      <c r="BE1143" s="125"/>
      <c r="BF1143" s="125"/>
      <c r="BG1143" s="125"/>
      <c r="BH1143" s="125"/>
      <c r="BI1143" s="132"/>
    </row>
    <row r="1144" spans="2:61" ht="20.100000000000001" customHeight="1" x14ac:dyDescent="0.45">
      <c r="B1144" s="133"/>
      <c r="C1144" s="27"/>
      <c r="D1144" s="27"/>
      <c r="E1144" s="27"/>
      <c r="F1144" s="27"/>
      <c r="G1144" s="134"/>
      <c r="H1144" s="135"/>
      <c r="I1144" s="27"/>
      <c r="J1144" s="144" t="s">
        <v>199</v>
      </c>
      <c r="K1144" s="145"/>
      <c r="L1144" s="145"/>
      <c r="M1144" s="145"/>
      <c r="N1144" s="145"/>
      <c r="O1144" s="145"/>
      <c r="P1144" s="145"/>
      <c r="Q1144" s="156"/>
      <c r="R1144" s="145" t="s">
        <v>673</v>
      </c>
      <c r="S1144" s="145"/>
      <c r="T1144" s="145"/>
      <c r="U1144" s="145"/>
      <c r="V1144" s="145"/>
      <c r="W1144" s="145"/>
      <c r="X1144" s="145"/>
      <c r="Y1144" s="145"/>
      <c r="Z1144" s="145"/>
      <c r="AA1144" s="145"/>
      <c r="AB1144" s="145"/>
      <c r="AC1144" s="145"/>
      <c r="AD1144" s="145"/>
      <c r="AE1144" s="145"/>
      <c r="AF1144" s="145"/>
      <c r="AG1144" s="145"/>
      <c r="AH1144" s="145"/>
      <c r="AI1144" s="145"/>
      <c r="AJ1144" s="156"/>
      <c r="AK1144" s="138"/>
      <c r="AL1144" s="27"/>
      <c r="AM1144" s="27"/>
      <c r="AN1144" s="27"/>
      <c r="AO1144" s="27"/>
      <c r="AP1144" s="27"/>
      <c r="AQ1144" s="148"/>
      <c r="AR1144" s="148"/>
      <c r="AS1144" s="27"/>
      <c r="AT1144" s="27"/>
      <c r="AU1144" s="27"/>
      <c r="AV1144" s="27"/>
      <c r="AW1144" s="27"/>
      <c r="AX1144" s="27"/>
      <c r="AY1144" s="27"/>
      <c r="AZ1144" s="27"/>
      <c r="BA1144" s="27"/>
      <c r="BB1144" s="27"/>
      <c r="BC1144" s="27"/>
      <c r="BD1144" s="27"/>
      <c r="BE1144" s="27"/>
      <c r="BF1144" s="27"/>
      <c r="BG1144" s="27"/>
      <c r="BH1144" s="27"/>
      <c r="BI1144" s="139"/>
    </row>
    <row r="1145" spans="2:61" ht="20.100000000000001" customHeight="1" x14ac:dyDescent="0.45">
      <c r="B1145" s="133"/>
      <c r="C1145" s="27"/>
      <c r="D1145" s="27"/>
      <c r="E1145" s="27"/>
      <c r="F1145" s="27"/>
      <c r="G1145" s="134"/>
      <c r="H1145" s="135"/>
      <c r="I1145" s="27"/>
      <c r="J1145" s="144" t="s">
        <v>247</v>
      </c>
      <c r="K1145" s="145"/>
      <c r="L1145" s="145"/>
      <c r="M1145" s="145"/>
      <c r="N1145" s="145"/>
      <c r="O1145" s="145"/>
      <c r="P1145" s="145"/>
      <c r="Q1145" s="156"/>
      <c r="R1145" s="145" t="s">
        <v>708</v>
      </c>
      <c r="S1145" s="145"/>
      <c r="T1145" s="145"/>
      <c r="U1145" s="145"/>
      <c r="V1145" s="145"/>
      <c r="W1145" s="145"/>
      <c r="X1145" s="145"/>
      <c r="Y1145" s="145"/>
      <c r="Z1145" s="145"/>
      <c r="AA1145" s="145"/>
      <c r="AB1145" s="145"/>
      <c r="AC1145" s="145"/>
      <c r="AD1145" s="145"/>
      <c r="AE1145" s="145"/>
      <c r="AF1145" s="145"/>
      <c r="AG1145" s="145"/>
      <c r="AH1145" s="145"/>
      <c r="AI1145" s="145"/>
      <c r="AJ1145" s="156"/>
      <c r="AK1145" s="138"/>
      <c r="AL1145" s="27"/>
      <c r="AM1145" s="27"/>
      <c r="AN1145" s="27"/>
      <c r="AO1145" s="27"/>
      <c r="AP1145" s="27"/>
      <c r="AQ1145" s="148"/>
      <c r="AR1145" s="148"/>
      <c r="AS1145" s="27"/>
      <c r="AT1145" s="27"/>
      <c r="AU1145" s="27"/>
      <c r="AV1145" s="27"/>
      <c r="AW1145" s="27"/>
      <c r="AX1145" s="27"/>
      <c r="AY1145" s="27"/>
      <c r="AZ1145" s="27"/>
      <c r="BA1145" s="27"/>
      <c r="BB1145" s="27"/>
      <c r="BC1145" s="27"/>
      <c r="BD1145" s="27"/>
      <c r="BE1145" s="27"/>
      <c r="BF1145" s="27"/>
      <c r="BG1145" s="27"/>
      <c r="BH1145" s="27"/>
      <c r="BI1145" s="139"/>
    </row>
    <row r="1146" spans="2:61" ht="20.100000000000001" customHeight="1" x14ac:dyDescent="0.45">
      <c r="B1146" s="133"/>
      <c r="C1146" s="27"/>
      <c r="D1146" s="27"/>
      <c r="E1146" s="27"/>
      <c r="F1146" s="27"/>
      <c r="G1146" s="134"/>
      <c r="H1146" s="135"/>
      <c r="I1146" s="27"/>
      <c r="J1146" s="144" t="s">
        <v>712</v>
      </c>
      <c r="K1146" s="145"/>
      <c r="L1146" s="145"/>
      <c r="M1146" s="145"/>
      <c r="N1146" s="145"/>
      <c r="O1146" s="145"/>
      <c r="P1146" s="145"/>
      <c r="Q1146" s="156"/>
      <c r="R1146" s="145" t="s">
        <v>720</v>
      </c>
      <c r="S1146" s="145"/>
      <c r="T1146" s="145"/>
      <c r="U1146" s="145"/>
      <c r="V1146" s="145"/>
      <c r="W1146" s="145"/>
      <c r="X1146" s="145"/>
      <c r="Y1146" s="145"/>
      <c r="Z1146" s="145"/>
      <c r="AA1146" s="145"/>
      <c r="AB1146" s="145"/>
      <c r="AC1146" s="145"/>
      <c r="AD1146" s="145"/>
      <c r="AE1146" s="145"/>
      <c r="AF1146" s="145"/>
      <c r="AG1146" s="145"/>
      <c r="AH1146" s="145"/>
      <c r="AI1146" s="145"/>
      <c r="AJ1146" s="156"/>
      <c r="AK1146" s="138"/>
      <c r="AL1146" s="27"/>
      <c r="AM1146" s="27"/>
      <c r="AN1146" s="27"/>
      <c r="AO1146" s="27"/>
      <c r="AP1146" s="27"/>
      <c r="AQ1146" s="148"/>
      <c r="AR1146" s="148"/>
      <c r="AS1146" s="27"/>
      <c r="AT1146" s="27"/>
      <c r="AU1146" s="27"/>
      <c r="AV1146" s="27"/>
      <c r="AW1146" s="27"/>
      <c r="AX1146" s="27"/>
      <c r="AY1146" s="27"/>
      <c r="AZ1146" s="27"/>
      <c r="BA1146" s="27"/>
      <c r="BB1146" s="27"/>
      <c r="BC1146" s="27"/>
      <c r="BD1146" s="27"/>
      <c r="BE1146" s="27"/>
      <c r="BF1146" s="27"/>
      <c r="BG1146" s="27"/>
      <c r="BH1146" s="27"/>
      <c r="BI1146" s="139"/>
    </row>
    <row r="1147" spans="2:61" ht="20.100000000000001" customHeight="1" x14ac:dyDescent="0.45">
      <c r="B1147" s="133"/>
      <c r="C1147" s="27"/>
      <c r="D1147" s="27"/>
      <c r="E1147" s="27"/>
      <c r="F1147" s="27"/>
      <c r="G1147" s="134"/>
      <c r="H1147" s="140" t="s">
        <v>159</v>
      </c>
      <c r="I1147" s="51"/>
      <c r="J1147" s="140" t="s">
        <v>677</v>
      </c>
      <c r="K1147" s="51"/>
      <c r="L1147" s="51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51"/>
      <c r="AG1147" s="51"/>
      <c r="AH1147" s="51"/>
      <c r="AI1147" s="51"/>
      <c r="AJ1147" s="51"/>
      <c r="AK1147" s="141"/>
      <c r="AL1147" s="51"/>
      <c r="AM1147" s="51"/>
      <c r="AN1147" s="51"/>
      <c r="AO1147" s="51"/>
      <c r="AP1147" s="51"/>
      <c r="AQ1147" s="51"/>
      <c r="AR1147" s="51"/>
      <c r="AS1147" s="51"/>
      <c r="AT1147" s="51"/>
      <c r="AU1147" s="51"/>
      <c r="AV1147" s="51"/>
      <c r="AW1147" s="51"/>
      <c r="AX1147" s="51"/>
      <c r="AY1147" s="51"/>
      <c r="AZ1147" s="51"/>
      <c r="BA1147" s="51"/>
      <c r="BB1147" s="51"/>
      <c r="BC1147" s="51"/>
      <c r="BD1147" s="51"/>
      <c r="BE1147" s="51"/>
      <c r="BF1147" s="51"/>
      <c r="BG1147" s="51"/>
      <c r="BH1147" s="51"/>
      <c r="BI1147" s="142"/>
    </row>
    <row r="1148" spans="2:61" ht="20.100000000000001" customHeight="1" thickBot="1" x14ac:dyDescent="0.5">
      <c r="B1148" s="133"/>
      <c r="C1148" s="27"/>
      <c r="D1148" s="27"/>
      <c r="E1148" s="27"/>
      <c r="F1148" s="27"/>
      <c r="G1148" s="134"/>
      <c r="H1148" s="140" t="s">
        <v>427</v>
      </c>
      <c r="I1148" s="51"/>
      <c r="J1148" s="140" t="s">
        <v>678</v>
      </c>
      <c r="K1148" s="51"/>
      <c r="L1148" s="51"/>
      <c r="M1148" s="51"/>
      <c r="N1148" s="51"/>
      <c r="O1148" s="51"/>
      <c r="P1148" s="51"/>
      <c r="Q1148" s="51"/>
      <c r="R1148" s="51"/>
      <c r="S1148" s="51"/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  <c r="AG1148" s="51"/>
      <c r="AH1148" s="51"/>
      <c r="AI1148" s="51"/>
      <c r="AJ1148" s="51"/>
      <c r="AK1148" s="141"/>
      <c r="AL1148" s="51"/>
      <c r="AM1148" s="51"/>
      <c r="AN1148" s="51"/>
      <c r="AO1148" s="51"/>
      <c r="AP1148" s="51"/>
      <c r="AQ1148" s="51"/>
      <c r="AR1148" s="51"/>
      <c r="AS1148" s="51"/>
      <c r="AT1148" s="51"/>
      <c r="AU1148" s="51"/>
      <c r="AV1148" s="51"/>
      <c r="AW1148" s="51"/>
      <c r="AX1148" s="51"/>
      <c r="AY1148" s="51"/>
      <c r="AZ1148" s="51"/>
      <c r="BA1148" s="51"/>
      <c r="BB1148" s="51"/>
      <c r="BC1148" s="51"/>
      <c r="BD1148" s="51"/>
      <c r="BE1148" s="51"/>
      <c r="BF1148" s="51"/>
      <c r="BG1148" s="51"/>
      <c r="BH1148" s="51"/>
      <c r="BI1148" s="142"/>
    </row>
    <row r="1149" spans="2:61" ht="20.100000000000001" customHeight="1" x14ac:dyDescent="0.45">
      <c r="B1149" s="124" t="s">
        <v>365</v>
      </c>
      <c r="C1149" s="125"/>
      <c r="D1149" s="125"/>
      <c r="E1149" s="125"/>
      <c r="F1149" s="125"/>
      <c r="G1149" s="126"/>
      <c r="H1149" s="127" t="s">
        <v>721</v>
      </c>
      <c r="I1149" s="125"/>
      <c r="J1149" s="128" t="s">
        <v>722</v>
      </c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30"/>
      <c r="AK1149" s="131" t="s">
        <v>826</v>
      </c>
      <c r="AL1149" s="125"/>
      <c r="AM1149" s="125"/>
      <c r="AN1149" s="125"/>
      <c r="AO1149" s="125"/>
      <c r="AP1149" s="125"/>
      <c r="AQ1149" s="158"/>
      <c r="AR1149" s="158"/>
      <c r="AS1149" s="125"/>
      <c r="AT1149" s="125"/>
      <c r="AU1149" s="125"/>
      <c r="AV1149" s="125"/>
      <c r="AW1149" s="125"/>
      <c r="AX1149" s="125"/>
      <c r="AY1149" s="125"/>
      <c r="AZ1149" s="125"/>
      <c r="BA1149" s="125"/>
      <c r="BB1149" s="125"/>
      <c r="BC1149" s="125"/>
      <c r="BD1149" s="125"/>
      <c r="BE1149" s="125"/>
      <c r="BF1149" s="125"/>
      <c r="BG1149" s="125"/>
      <c r="BH1149" s="125"/>
      <c r="BI1149" s="132"/>
    </row>
    <row r="1150" spans="2:61" ht="20.100000000000001" customHeight="1" x14ac:dyDescent="0.45">
      <c r="B1150" s="133"/>
      <c r="C1150" s="27"/>
      <c r="D1150" s="27"/>
      <c r="E1150" s="27"/>
      <c r="F1150" s="27"/>
      <c r="G1150" s="134"/>
      <c r="H1150" s="140" t="s">
        <v>723</v>
      </c>
      <c r="I1150" s="51"/>
      <c r="J1150" s="140" t="s">
        <v>724</v>
      </c>
      <c r="K1150" s="51"/>
      <c r="L1150" s="51"/>
      <c r="M1150" s="51"/>
      <c r="N1150" s="51"/>
      <c r="O1150" s="51"/>
      <c r="P1150" s="51"/>
      <c r="Q1150" s="51"/>
      <c r="R1150" s="51"/>
      <c r="S1150" s="51"/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  <c r="AG1150" s="51"/>
      <c r="AH1150" s="51"/>
      <c r="AI1150" s="51"/>
      <c r="AJ1150" s="51"/>
      <c r="AK1150" s="141"/>
      <c r="AL1150" s="51"/>
      <c r="AM1150" s="51"/>
      <c r="AN1150" s="51"/>
      <c r="AO1150" s="51"/>
      <c r="AP1150" s="51"/>
      <c r="AQ1150" s="51"/>
      <c r="AR1150" s="51"/>
      <c r="AS1150" s="51"/>
      <c r="AT1150" s="51"/>
      <c r="AU1150" s="51"/>
      <c r="AV1150" s="51"/>
      <c r="AW1150" s="51"/>
      <c r="AX1150" s="51"/>
      <c r="AY1150" s="51"/>
      <c r="AZ1150" s="51"/>
      <c r="BA1150" s="51"/>
      <c r="BB1150" s="51"/>
      <c r="BC1150" s="51"/>
      <c r="BD1150" s="51"/>
      <c r="BE1150" s="51"/>
      <c r="BF1150" s="51"/>
      <c r="BG1150" s="51"/>
      <c r="BH1150" s="51"/>
      <c r="BI1150" s="142"/>
    </row>
    <row r="1151" spans="2:61" ht="20.100000000000001" customHeight="1" thickBot="1" x14ac:dyDescent="0.5">
      <c r="B1151" s="133"/>
      <c r="C1151" s="27"/>
      <c r="D1151" s="27"/>
      <c r="E1151" s="27"/>
      <c r="F1151" s="27"/>
      <c r="G1151" s="134"/>
      <c r="H1151" s="140" t="s">
        <v>161</v>
      </c>
      <c r="I1151" s="51"/>
      <c r="J1151" s="140" t="s">
        <v>670</v>
      </c>
      <c r="K1151" s="51"/>
      <c r="L1151" s="51"/>
      <c r="M1151" s="51"/>
      <c r="N1151" s="51"/>
      <c r="O1151" s="51"/>
      <c r="P1151" s="51"/>
      <c r="Q1151" s="51"/>
      <c r="R1151" s="51"/>
      <c r="S1151" s="51"/>
      <c r="T1151" s="51"/>
      <c r="U1151" s="51"/>
      <c r="V1151" s="51"/>
      <c r="W1151" s="51"/>
      <c r="X1151" s="51"/>
      <c r="Y1151" s="51"/>
      <c r="Z1151" s="51"/>
      <c r="AA1151" s="51"/>
      <c r="AB1151" s="51"/>
      <c r="AC1151" s="51"/>
      <c r="AD1151" s="51"/>
      <c r="AE1151" s="51"/>
      <c r="AF1151" s="51"/>
      <c r="AG1151" s="51"/>
      <c r="AH1151" s="51"/>
      <c r="AI1151" s="51"/>
      <c r="AJ1151" s="51"/>
      <c r="AK1151" s="141"/>
      <c r="AL1151" s="51"/>
      <c r="AM1151" s="51"/>
      <c r="AN1151" s="51"/>
      <c r="AO1151" s="51"/>
      <c r="AP1151" s="51"/>
      <c r="AQ1151" s="51"/>
      <c r="AR1151" s="51"/>
      <c r="AS1151" s="51"/>
      <c r="AT1151" s="51"/>
      <c r="AU1151" s="51"/>
      <c r="AV1151" s="51"/>
      <c r="AW1151" s="51"/>
      <c r="AX1151" s="51"/>
      <c r="AY1151" s="51"/>
      <c r="AZ1151" s="51"/>
      <c r="BA1151" s="51"/>
      <c r="BB1151" s="51"/>
      <c r="BC1151" s="51"/>
      <c r="BD1151" s="51"/>
      <c r="BE1151" s="51"/>
      <c r="BF1151" s="51"/>
      <c r="BG1151" s="51"/>
      <c r="BH1151" s="51"/>
      <c r="BI1151" s="142"/>
    </row>
    <row r="1152" spans="2:61" ht="20.100000000000001" customHeight="1" thickBot="1" x14ac:dyDescent="0.5">
      <c r="B1152" s="124" t="s">
        <v>403</v>
      </c>
      <c r="C1152" s="125"/>
      <c r="D1152" s="125"/>
      <c r="E1152" s="125"/>
      <c r="F1152" s="125"/>
      <c r="G1152" s="126"/>
      <c r="H1152" s="127" t="s">
        <v>827</v>
      </c>
      <c r="I1152" s="125"/>
      <c r="J1152" s="128" t="s">
        <v>828</v>
      </c>
      <c r="K1152" s="129"/>
      <c r="L1152" s="129"/>
      <c r="M1152" s="129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30"/>
      <c r="AK1152" s="131"/>
      <c r="AL1152" s="125"/>
      <c r="AM1152" s="125"/>
      <c r="AN1152" s="125"/>
      <c r="AO1152" s="125"/>
      <c r="AP1152" s="125"/>
      <c r="AQ1152" s="158"/>
      <c r="AR1152" s="158"/>
      <c r="AS1152" s="125"/>
      <c r="AT1152" s="125"/>
      <c r="AU1152" s="125"/>
      <c r="AV1152" s="125"/>
      <c r="AW1152" s="125"/>
      <c r="AX1152" s="125"/>
      <c r="AY1152" s="125"/>
      <c r="AZ1152" s="125"/>
      <c r="BA1152" s="125"/>
      <c r="BB1152" s="125"/>
      <c r="BC1152" s="125"/>
      <c r="BD1152" s="125"/>
      <c r="BE1152" s="125"/>
      <c r="BF1152" s="125"/>
      <c r="BG1152" s="125"/>
      <c r="BH1152" s="125"/>
      <c r="BI1152" s="132"/>
    </row>
    <row r="1153" spans="2:61" ht="20.100000000000001" customHeight="1" thickBot="1" x14ac:dyDescent="0.5">
      <c r="B1153" s="124" t="s">
        <v>407</v>
      </c>
      <c r="C1153" s="125"/>
      <c r="D1153" s="125"/>
      <c r="E1153" s="125"/>
      <c r="F1153" s="125"/>
      <c r="G1153" s="126"/>
      <c r="H1153" s="127" t="s">
        <v>827</v>
      </c>
      <c r="I1153" s="125"/>
      <c r="J1153" s="128" t="s">
        <v>829</v>
      </c>
      <c r="K1153" s="129"/>
      <c r="L1153" s="129"/>
      <c r="M1153" s="129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30"/>
      <c r="AK1153" s="131"/>
      <c r="AL1153" s="125"/>
      <c r="AM1153" s="125"/>
      <c r="AN1153" s="125"/>
      <c r="AO1153" s="125"/>
      <c r="AP1153" s="125"/>
      <c r="AQ1153" s="158"/>
      <c r="AR1153" s="158"/>
      <c r="AS1153" s="125"/>
      <c r="AT1153" s="125"/>
      <c r="AU1153" s="125"/>
      <c r="AV1153" s="125"/>
      <c r="AW1153" s="125"/>
      <c r="AX1153" s="125"/>
      <c r="AY1153" s="125"/>
      <c r="AZ1153" s="125"/>
      <c r="BA1153" s="125"/>
      <c r="BB1153" s="125"/>
      <c r="BC1153" s="125"/>
      <c r="BD1153" s="125"/>
      <c r="BE1153" s="125"/>
      <c r="BF1153" s="125"/>
      <c r="BG1153" s="125"/>
      <c r="BH1153" s="125"/>
      <c r="BI1153" s="132"/>
    </row>
    <row r="1154" spans="2:61" ht="20.100000000000001" customHeight="1" thickBot="1" x14ac:dyDescent="0.5">
      <c r="B1154" s="124" t="s">
        <v>410</v>
      </c>
      <c r="C1154" s="125"/>
      <c r="D1154" s="125"/>
      <c r="E1154" s="125"/>
      <c r="F1154" s="125"/>
      <c r="G1154" s="126"/>
      <c r="H1154" s="127" t="s">
        <v>827</v>
      </c>
      <c r="I1154" s="125"/>
      <c r="J1154" s="128" t="s">
        <v>830</v>
      </c>
      <c r="K1154" s="129"/>
      <c r="L1154" s="129"/>
      <c r="M1154" s="129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30"/>
      <c r="AK1154" s="131"/>
      <c r="AL1154" s="125"/>
      <c r="AM1154" s="125"/>
      <c r="AN1154" s="125"/>
      <c r="AO1154" s="125"/>
      <c r="AP1154" s="125"/>
      <c r="AQ1154" s="158"/>
      <c r="AR1154" s="158"/>
      <c r="AS1154" s="125"/>
      <c r="AT1154" s="125"/>
      <c r="AU1154" s="125"/>
      <c r="AV1154" s="125"/>
      <c r="AW1154" s="125"/>
      <c r="AX1154" s="125"/>
      <c r="AY1154" s="125"/>
      <c r="AZ1154" s="125"/>
      <c r="BA1154" s="125"/>
      <c r="BB1154" s="125"/>
      <c r="BC1154" s="125"/>
      <c r="BD1154" s="125"/>
      <c r="BE1154" s="125"/>
      <c r="BF1154" s="125"/>
      <c r="BG1154" s="125"/>
      <c r="BH1154" s="125"/>
      <c r="BI1154" s="132"/>
    </row>
    <row r="1155" spans="2:61" ht="20.100000000000001" customHeight="1" thickBot="1" x14ac:dyDescent="0.5">
      <c r="B1155" s="124" t="s">
        <v>412</v>
      </c>
      <c r="C1155" s="125"/>
      <c r="D1155" s="125"/>
      <c r="E1155" s="125"/>
      <c r="F1155" s="125"/>
      <c r="G1155" s="126"/>
      <c r="H1155" s="127" t="s">
        <v>827</v>
      </c>
      <c r="I1155" s="125"/>
      <c r="J1155" s="128" t="s">
        <v>831</v>
      </c>
      <c r="K1155" s="129"/>
      <c r="L1155" s="129"/>
      <c r="M1155" s="129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30"/>
      <c r="AK1155" s="131"/>
      <c r="AL1155" s="125"/>
      <c r="AM1155" s="125"/>
      <c r="AN1155" s="125"/>
      <c r="AO1155" s="125"/>
      <c r="AP1155" s="125"/>
      <c r="AQ1155" s="158"/>
      <c r="AR1155" s="158"/>
      <c r="AS1155" s="125"/>
      <c r="AT1155" s="125"/>
      <c r="AU1155" s="125"/>
      <c r="AV1155" s="125"/>
      <c r="AW1155" s="125"/>
      <c r="AX1155" s="125"/>
      <c r="AY1155" s="125"/>
      <c r="AZ1155" s="125"/>
      <c r="BA1155" s="125"/>
      <c r="BB1155" s="125"/>
      <c r="BC1155" s="125"/>
      <c r="BD1155" s="125"/>
      <c r="BE1155" s="125"/>
      <c r="BF1155" s="125"/>
      <c r="BG1155" s="125"/>
      <c r="BH1155" s="125"/>
      <c r="BI1155" s="132"/>
    </row>
    <row r="1156" spans="2:61" ht="20.100000000000001" customHeight="1" x14ac:dyDescent="0.45">
      <c r="B1156" s="124" t="s">
        <v>486</v>
      </c>
      <c r="C1156" s="125"/>
      <c r="D1156" s="125"/>
      <c r="E1156" s="125"/>
      <c r="F1156" s="125"/>
      <c r="G1156" s="126"/>
      <c r="H1156" s="127" t="s">
        <v>158</v>
      </c>
      <c r="I1156" s="125"/>
      <c r="J1156" s="128" t="s">
        <v>832</v>
      </c>
      <c r="K1156" s="129"/>
      <c r="L1156" s="129"/>
      <c r="M1156" s="129"/>
      <c r="N1156" s="129"/>
      <c r="O1156" s="129"/>
      <c r="P1156" s="129"/>
      <c r="Q1156" s="130"/>
      <c r="R1156" s="129" t="s">
        <v>833</v>
      </c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30"/>
      <c r="AK1156" s="131" t="s">
        <v>834</v>
      </c>
      <c r="AL1156" s="125"/>
      <c r="AM1156" s="125"/>
      <c r="AN1156" s="125"/>
      <c r="AO1156" s="125"/>
      <c r="AP1156" s="125"/>
      <c r="AQ1156" s="158"/>
      <c r="AR1156" s="158"/>
      <c r="AS1156" s="125"/>
      <c r="AT1156" s="125"/>
      <c r="AU1156" s="125"/>
      <c r="AV1156" s="125"/>
      <c r="AW1156" s="125"/>
      <c r="AX1156" s="125"/>
      <c r="AY1156" s="125"/>
      <c r="AZ1156" s="125"/>
      <c r="BA1156" s="125"/>
      <c r="BB1156" s="125"/>
      <c r="BC1156" s="125"/>
      <c r="BD1156" s="125"/>
      <c r="BE1156" s="125"/>
      <c r="BF1156" s="125"/>
      <c r="BG1156" s="125"/>
      <c r="BH1156" s="125"/>
      <c r="BI1156" s="132"/>
    </row>
    <row r="1157" spans="2:61" ht="20.100000000000001" customHeight="1" x14ac:dyDescent="0.45">
      <c r="B1157" s="133"/>
      <c r="C1157" s="27"/>
      <c r="D1157" s="27"/>
      <c r="E1157" s="27"/>
      <c r="F1157" s="27"/>
      <c r="G1157" s="134"/>
      <c r="H1157" s="140" t="s">
        <v>159</v>
      </c>
      <c r="I1157" s="51"/>
      <c r="J1157" s="140" t="s">
        <v>835</v>
      </c>
      <c r="K1157" s="51"/>
      <c r="L1157" s="51"/>
      <c r="M1157" s="51"/>
      <c r="N1157" s="51"/>
      <c r="O1157" s="51"/>
      <c r="P1157" s="51"/>
      <c r="Q1157" s="51"/>
      <c r="R1157" s="51"/>
      <c r="S1157" s="51"/>
      <c r="T1157" s="51"/>
      <c r="U1157" s="51"/>
      <c r="V1157" s="51"/>
      <c r="W1157" s="51"/>
      <c r="X1157" s="51"/>
      <c r="Y1157" s="51"/>
      <c r="Z1157" s="51"/>
      <c r="AA1157" s="51"/>
      <c r="AB1157" s="51"/>
      <c r="AC1157" s="51"/>
      <c r="AD1157" s="51"/>
      <c r="AE1157" s="51"/>
      <c r="AF1157" s="51"/>
      <c r="AG1157" s="51"/>
      <c r="AH1157" s="51"/>
      <c r="AI1157" s="51"/>
      <c r="AJ1157" s="51"/>
      <c r="AK1157" s="141"/>
      <c r="AL1157" s="51"/>
      <c r="AM1157" s="51"/>
      <c r="AN1157" s="51"/>
      <c r="AO1157" s="51"/>
      <c r="AP1157" s="51"/>
      <c r="AQ1157" s="51"/>
      <c r="AR1157" s="51"/>
      <c r="AS1157" s="51"/>
      <c r="AT1157" s="51"/>
      <c r="AU1157" s="51"/>
      <c r="AV1157" s="51"/>
      <c r="AW1157" s="51"/>
      <c r="AX1157" s="51"/>
      <c r="AY1157" s="51"/>
      <c r="AZ1157" s="51"/>
      <c r="BA1157" s="51"/>
      <c r="BB1157" s="51"/>
      <c r="BC1157" s="51"/>
      <c r="BD1157" s="51"/>
      <c r="BE1157" s="51"/>
      <c r="BF1157" s="51"/>
      <c r="BG1157" s="51"/>
      <c r="BH1157" s="51"/>
      <c r="BI1157" s="142"/>
    </row>
    <row r="1158" spans="2:61" ht="20.100000000000001" customHeight="1" x14ac:dyDescent="0.45">
      <c r="B1158" s="133"/>
      <c r="C1158" s="27"/>
      <c r="D1158" s="27"/>
      <c r="E1158" s="27"/>
      <c r="F1158" s="27"/>
      <c r="G1158" s="134"/>
      <c r="H1158" s="140" t="s">
        <v>161</v>
      </c>
      <c r="I1158" s="51"/>
      <c r="J1158" s="140" t="s">
        <v>836</v>
      </c>
      <c r="K1158" s="51"/>
      <c r="L1158" s="51"/>
      <c r="M1158" s="51"/>
      <c r="N1158" s="51"/>
      <c r="O1158" s="51"/>
      <c r="P1158" s="51"/>
      <c r="Q1158" s="51"/>
      <c r="R1158" s="51"/>
      <c r="S1158" s="51"/>
      <c r="T1158" s="51"/>
      <c r="U1158" s="51"/>
      <c r="V1158" s="51"/>
      <c r="W1158" s="51"/>
      <c r="X1158" s="51"/>
      <c r="Y1158" s="51"/>
      <c r="Z1158" s="51"/>
      <c r="AA1158" s="51"/>
      <c r="AB1158" s="51"/>
      <c r="AC1158" s="51"/>
      <c r="AD1158" s="51"/>
      <c r="AE1158" s="51"/>
      <c r="AF1158" s="51"/>
      <c r="AG1158" s="51"/>
      <c r="AH1158" s="51"/>
      <c r="AI1158" s="51"/>
      <c r="AJ1158" s="51"/>
      <c r="AK1158" s="141"/>
      <c r="AL1158" s="51"/>
      <c r="AM1158" s="51"/>
      <c r="AN1158" s="51"/>
      <c r="AO1158" s="51"/>
      <c r="AP1158" s="51"/>
      <c r="AQ1158" s="51"/>
      <c r="AR1158" s="51"/>
      <c r="AS1158" s="51"/>
      <c r="AT1158" s="51"/>
      <c r="AU1158" s="51"/>
      <c r="AV1158" s="51"/>
      <c r="AW1158" s="51"/>
      <c r="AX1158" s="51"/>
      <c r="AY1158" s="51"/>
      <c r="AZ1158" s="51"/>
      <c r="BA1158" s="51"/>
      <c r="BB1158" s="51"/>
      <c r="BC1158" s="51"/>
      <c r="BD1158" s="51"/>
      <c r="BE1158" s="51"/>
      <c r="BF1158" s="51"/>
      <c r="BG1158" s="51"/>
      <c r="BH1158" s="51"/>
      <c r="BI1158" s="142"/>
    </row>
    <row r="1159" spans="2:61" ht="20.100000000000001" customHeight="1" thickBot="1" x14ac:dyDescent="0.5">
      <c r="B1159" s="133"/>
      <c r="C1159" s="27"/>
      <c r="D1159" s="27"/>
      <c r="E1159" s="27"/>
      <c r="F1159" s="27"/>
      <c r="G1159" s="134"/>
      <c r="H1159" s="135"/>
      <c r="I1159" s="27"/>
      <c r="J1159" s="135" t="s">
        <v>837</v>
      </c>
      <c r="K1159" s="27"/>
      <c r="L1159" s="27"/>
      <c r="M1159" s="27"/>
      <c r="N1159" s="27"/>
      <c r="O1159" s="27"/>
      <c r="P1159" s="27"/>
      <c r="Q1159" s="27"/>
      <c r="R1159" s="27"/>
      <c r="S1159" s="27"/>
      <c r="T1159" s="27"/>
      <c r="U1159" s="27"/>
      <c r="V1159" s="27"/>
      <c r="W1159" s="27"/>
      <c r="X1159" s="27"/>
      <c r="Y1159" s="27"/>
      <c r="Z1159" s="27"/>
      <c r="AA1159" s="27"/>
      <c r="AB1159" s="27"/>
      <c r="AC1159" s="27"/>
      <c r="AD1159" s="27"/>
      <c r="AE1159" s="27"/>
      <c r="AF1159" s="27"/>
      <c r="AG1159" s="27"/>
      <c r="AH1159" s="27"/>
      <c r="AI1159" s="27"/>
      <c r="AJ1159" s="27"/>
      <c r="AK1159" s="138" t="s">
        <v>838</v>
      </c>
      <c r="AL1159" s="27"/>
      <c r="AM1159" s="27"/>
      <c r="AN1159" s="27"/>
      <c r="AO1159" s="27"/>
      <c r="AP1159" s="27"/>
      <c r="AQ1159" s="27"/>
      <c r="AR1159" s="27"/>
      <c r="AS1159" s="27"/>
      <c r="AT1159" s="27"/>
      <c r="AU1159" s="27"/>
      <c r="AV1159" s="27"/>
      <c r="AW1159" s="27"/>
      <c r="AX1159" s="27"/>
      <c r="AY1159" s="27"/>
      <c r="AZ1159" s="27"/>
      <c r="BA1159" s="27"/>
      <c r="BB1159" s="27"/>
      <c r="BC1159" s="27"/>
      <c r="BD1159" s="27"/>
      <c r="BE1159" s="27"/>
      <c r="BF1159" s="27"/>
      <c r="BG1159" s="27"/>
      <c r="BH1159" s="27"/>
      <c r="BI1159" s="139"/>
    </row>
    <row r="1160" spans="2:61" ht="20.100000000000001" customHeight="1" x14ac:dyDescent="0.45">
      <c r="B1160" s="124" t="s">
        <v>491</v>
      </c>
      <c r="C1160" s="125"/>
      <c r="D1160" s="125"/>
      <c r="E1160" s="125"/>
      <c r="F1160" s="125"/>
      <c r="G1160" s="126"/>
      <c r="H1160" s="127" t="s">
        <v>492</v>
      </c>
      <c r="I1160" s="125"/>
      <c r="J1160" s="128" t="s">
        <v>832</v>
      </c>
      <c r="K1160" s="129"/>
      <c r="L1160" s="129"/>
      <c r="M1160" s="129"/>
      <c r="N1160" s="129"/>
      <c r="O1160" s="129"/>
      <c r="P1160" s="129"/>
      <c r="Q1160" s="130"/>
      <c r="R1160" s="129" t="s">
        <v>839</v>
      </c>
      <c r="S1160" s="129"/>
      <c r="T1160" s="129"/>
      <c r="U1160" s="129"/>
      <c r="V1160" s="129"/>
      <c r="W1160" s="129"/>
      <c r="X1160" s="129"/>
      <c r="Y1160" s="129"/>
      <c r="Z1160" s="129"/>
      <c r="AA1160" s="129"/>
      <c r="AB1160" s="129"/>
      <c r="AC1160" s="129"/>
      <c r="AD1160" s="129"/>
      <c r="AE1160" s="129"/>
      <c r="AF1160" s="129"/>
      <c r="AG1160" s="129"/>
      <c r="AH1160" s="129"/>
      <c r="AI1160" s="129"/>
      <c r="AJ1160" s="130"/>
      <c r="AK1160" s="131" t="s">
        <v>840</v>
      </c>
      <c r="AL1160" s="125"/>
      <c r="AM1160" s="125"/>
      <c r="AN1160" s="125"/>
      <c r="AO1160" s="125"/>
      <c r="AP1160" s="125" t="s">
        <v>841</v>
      </c>
      <c r="AQ1160" s="158"/>
      <c r="AR1160" s="158"/>
      <c r="AS1160" s="125"/>
      <c r="AT1160" s="125"/>
      <c r="AU1160" s="125"/>
      <c r="AV1160" s="125" t="s">
        <v>877</v>
      </c>
      <c r="AW1160" s="125"/>
      <c r="AX1160" s="125"/>
      <c r="AY1160" s="125"/>
      <c r="AZ1160" s="125"/>
      <c r="BA1160" s="125"/>
      <c r="BB1160" s="125"/>
      <c r="BC1160" s="125"/>
      <c r="BD1160" s="125"/>
      <c r="BE1160" s="125"/>
      <c r="BF1160" s="125"/>
      <c r="BG1160" s="125"/>
      <c r="BH1160" s="125"/>
      <c r="BI1160" s="132"/>
    </row>
    <row r="1161" spans="2:61" ht="20.100000000000001" customHeight="1" x14ac:dyDescent="0.45">
      <c r="B1161" s="133"/>
      <c r="C1161" s="27"/>
      <c r="D1161" s="27"/>
      <c r="E1161" s="27"/>
      <c r="F1161" s="27"/>
      <c r="G1161" s="134"/>
      <c r="H1161" s="135"/>
      <c r="I1161" s="27"/>
      <c r="J1161" s="144" t="s">
        <v>842</v>
      </c>
      <c r="K1161" s="145"/>
      <c r="L1161" s="145"/>
      <c r="M1161" s="145"/>
      <c r="N1161" s="145"/>
      <c r="O1161" s="145"/>
      <c r="P1161" s="145"/>
      <c r="Q1161" s="156"/>
      <c r="R1161" s="159" t="s">
        <v>843</v>
      </c>
      <c r="S1161" s="145"/>
      <c r="T1161" s="145"/>
      <c r="U1161" s="145"/>
      <c r="V1161" s="145"/>
      <c r="W1161" s="145"/>
      <c r="X1161" s="145"/>
      <c r="Y1161" s="145"/>
      <c r="Z1161" s="145"/>
      <c r="AA1161" s="145"/>
      <c r="AB1161" s="145"/>
      <c r="AC1161" s="145"/>
      <c r="AD1161" s="145"/>
      <c r="AE1161" s="145"/>
      <c r="AF1161" s="145"/>
      <c r="AG1161" s="145"/>
      <c r="AH1161" s="145"/>
      <c r="AI1161" s="145"/>
      <c r="AJ1161" s="156"/>
      <c r="AK1161" s="138" t="s">
        <v>844</v>
      </c>
      <c r="AL1161" s="27"/>
      <c r="AM1161" s="27"/>
      <c r="AN1161" s="27"/>
      <c r="AO1161" s="27"/>
      <c r="AP1161" s="27"/>
      <c r="AQ1161" s="148"/>
      <c r="AR1161" s="148"/>
      <c r="AS1161" s="27"/>
      <c r="AT1161" s="27"/>
      <c r="AU1161" s="27"/>
      <c r="AV1161" s="27"/>
      <c r="AW1161" s="27"/>
      <c r="AX1161" s="27"/>
      <c r="AY1161" s="27"/>
      <c r="AZ1161" s="27"/>
      <c r="BA1161" s="27"/>
      <c r="BB1161" s="27"/>
      <c r="BC1161" s="27"/>
      <c r="BD1161" s="27"/>
      <c r="BE1161" s="27"/>
      <c r="BF1161" s="27"/>
      <c r="BG1161" s="27"/>
      <c r="BH1161" s="27"/>
      <c r="BI1161" s="139"/>
    </row>
    <row r="1162" spans="2:61" ht="20.100000000000001" customHeight="1" x14ac:dyDescent="0.45">
      <c r="B1162" s="133"/>
      <c r="C1162" s="27"/>
      <c r="D1162" s="27"/>
      <c r="E1162" s="27"/>
      <c r="F1162" s="27"/>
      <c r="G1162" s="134"/>
      <c r="H1162" s="135"/>
      <c r="I1162" s="27"/>
      <c r="J1162" s="144" t="s">
        <v>186</v>
      </c>
      <c r="K1162" s="145"/>
      <c r="L1162" s="145"/>
      <c r="M1162" s="145"/>
      <c r="N1162" s="145"/>
      <c r="O1162" s="145"/>
      <c r="P1162" s="145"/>
      <c r="Q1162" s="156"/>
      <c r="R1162" s="159" t="s">
        <v>845</v>
      </c>
      <c r="S1162" s="145"/>
      <c r="T1162" s="145"/>
      <c r="U1162" s="145"/>
      <c r="V1162" s="145"/>
      <c r="W1162" s="145"/>
      <c r="X1162" s="145"/>
      <c r="Y1162" s="145"/>
      <c r="Z1162" s="145"/>
      <c r="AA1162" s="145"/>
      <c r="AB1162" s="145"/>
      <c r="AC1162" s="145"/>
      <c r="AD1162" s="145"/>
      <c r="AE1162" s="145"/>
      <c r="AF1162" s="145"/>
      <c r="AG1162" s="145"/>
      <c r="AH1162" s="145"/>
      <c r="AI1162" s="145"/>
      <c r="AJ1162" s="156"/>
      <c r="AK1162" s="138" t="s">
        <v>846</v>
      </c>
      <c r="AL1162" s="27"/>
      <c r="AM1162" s="27"/>
      <c r="AN1162" s="27"/>
      <c r="AO1162" s="27"/>
      <c r="AP1162" s="27"/>
      <c r="AQ1162" s="148"/>
      <c r="AR1162" s="148"/>
      <c r="AS1162" s="27"/>
      <c r="AT1162" s="27"/>
      <c r="AU1162" s="27"/>
      <c r="AV1162" s="27"/>
      <c r="AW1162" s="27"/>
      <c r="AX1162" s="27"/>
      <c r="AY1162" s="27"/>
      <c r="AZ1162" s="27"/>
      <c r="BA1162" s="27"/>
      <c r="BB1162" s="27"/>
      <c r="BC1162" s="27"/>
      <c r="BD1162" s="27"/>
      <c r="BE1162" s="27"/>
      <c r="BF1162" s="27"/>
      <c r="BG1162" s="27"/>
      <c r="BH1162" s="27"/>
      <c r="BI1162" s="139"/>
    </row>
    <row r="1163" spans="2:61" ht="20.100000000000001" customHeight="1" x14ac:dyDescent="0.45">
      <c r="B1163" s="133"/>
      <c r="C1163" s="27"/>
      <c r="D1163" s="27"/>
      <c r="E1163" s="27"/>
      <c r="F1163" s="27"/>
      <c r="G1163" s="134"/>
      <c r="H1163" s="135"/>
      <c r="I1163" s="27"/>
      <c r="J1163" s="144" t="s">
        <v>847</v>
      </c>
      <c r="K1163" s="145"/>
      <c r="L1163" s="145"/>
      <c r="M1163" s="145"/>
      <c r="N1163" s="145"/>
      <c r="O1163" s="145"/>
      <c r="P1163" s="145"/>
      <c r="Q1163" s="156"/>
      <c r="R1163" s="145" t="s">
        <v>848</v>
      </c>
      <c r="S1163" s="145"/>
      <c r="T1163" s="145"/>
      <c r="U1163" s="145"/>
      <c r="V1163" s="145"/>
      <c r="W1163" s="145"/>
      <c r="X1163" s="145"/>
      <c r="Y1163" s="145"/>
      <c r="Z1163" s="145"/>
      <c r="AA1163" s="145"/>
      <c r="AB1163" s="145"/>
      <c r="AC1163" s="145"/>
      <c r="AD1163" s="145"/>
      <c r="AE1163" s="145"/>
      <c r="AF1163" s="145"/>
      <c r="AG1163" s="145"/>
      <c r="AH1163" s="145"/>
      <c r="AI1163" s="145"/>
      <c r="AJ1163" s="156"/>
      <c r="AK1163" s="138"/>
      <c r="AL1163" s="27"/>
      <c r="AM1163" s="27"/>
      <c r="AN1163" s="27"/>
      <c r="AO1163" s="27"/>
      <c r="AP1163" s="27"/>
      <c r="AQ1163" s="148"/>
      <c r="AR1163" s="148"/>
      <c r="AS1163" s="27"/>
      <c r="AT1163" s="27"/>
      <c r="AU1163" s="27"/>
      <c r="AV1163" s="27"/>
      <c r="AW1163" s="27"/>
      <c r="AX1163" s="27"/>
      <c r="AY1163" s="27"/>
      <c r="AZ1163" s="27"/>
      <c r="BA1163" s="27"/>
      <c r="BB1163" s="27"/>
      <c r="BC1163" s="27"/>
      <c r="BD1163" s="27"/>
      <c r="BE1163" s="27"/>
      <c r="BF1163" s="27"/>
      <c r="BG1163" s="27"/>
      <c r="BH1163" s="27"/>
      <c r="BI1163" s="139"/>
    </row>
    <row r="1164" spans="2:61" ht="20.100000000000001" customHeight="1" x14ac:dyDescent="0.45">
      <c r="B1164" s="133"/>
      <c r="C1164" s="27"/>
      <c r="D1164" s="27"/>
      <c r="E1164" s="27"/>
      <c r="F1164" s="27"/>
      <c r="G1164" s="134"/>
      <c r="H1164" s="140" t="s">
        <v>159</v>
      </c>
      <c r="I1164" s="51"/>
      <c r="J1164" s="140" t="s">
        <v>835</v>
      </c>
      <c r="K1164" s="51"/>
      <c r="L1164" s="51"/>
      <c r="M1164" s="51"/>
      <c r="N1164" s="51"/>
      <c r="O1164" s="51"/>
      <c r="P1164" s="51"/>
      <c r="Q1164" s="51"/>
      <c r="R1164" s="51"/>
      <c r="S1164" s="51"/>
      <c r="T1164" s="51"/>
      <c r="U1164" s="51"/>
      <c r="V1164" s="51"/>
      <c r="W1164" s="51"/>
      <c r="X1164" s="51"/>
      <c r="Y1164" s="51"/>
      <c r="Z1164" s="51"/>
      <c r="AA1164" s="51"/>
      <c r="AB1164" s="51"/>
      <c r="AC1164" s="51"/>
      <c r="AD1164" s="51"/>
      <c r="AE1164" s="51"/>
      <c r="AF1164" s="51"/>
      <c r="AG1164" s="51"/>
      <c r="AH1164" s="51"/>
      <c r="AI1164" s="51"/>
      <c r="AJ1164" s="51"/>
      <c r="AK1164" s="141"/>
      <c r="AL1164" s="51"/>
      <c r="AM1164" s="51"/>
      <c r="AN1164" s="51"/>
      <c r="AO1164" s="51"/>
      <c r="AP1164" s="51"/>
      <c r="AQ1164" s="51"/>
      <c r="AR1164" s="51"/>
      <c r="AS1164" s="51"/>
      <c r="AT1164" s="51"/>
      <c r="AU1164" s="51"/>
      <c r="AV1164" s="51"/>
      <c r="AW1164" s="51"/>
      <c r="AX1164" s="51"/>
      <c r="AY1164" s="51"/>
      <c r="AZ1164" s="51"/>
      <c r="BA1164" s="51"/>
      <c r="BB1164" s="51"/>
      <c r="BC1164" s="51"/>
      <c r="BD1164" s="51"/>
      <c r="BE1164" s="51"/>
      <c r="BF1164" s="51"/>
      <c r="BG1164" s="51"/>
      <c r="BH1164" s="51"/>
      <c r="BI1164" s="142"/>
    </row>
    <row r="1165" spans="2:61" ht="20.100000000000001" customHeight="1" x14ac:dyDescent="0.45">
      <c r="B1165" s="133"/>
      <c r="C1165" s="27"/>
      <c r="D1165" s="27"/>
      <c r="E1165" s="27"/>
      <c r="F1165" s="27"/>
      <c r="G1165" s="134"/>
      <c r="H1165" s="140" t="s">
        <v>161</v>
      </c>
      <c r="I1165" s="51"/>
      <c r="J1165" s="140" t="s">
        <v>836</v>
      </c>
      <c r="K1165" s="51"/>
      <c r="L1165" s="51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51"/>
      <c r="AG1165" s="51"/>
      <c r="AH1165" s="51"/>
      <c r="AI1165" s="51"/>
      <c r="AJ1165" s="51"/>
      <c r="AK1165" s="141"/>
      <c r="AL1165" s="51"/>
      <c r="AM1165" s="51"/>
      <c r="AN1165" s="51"/>
      <c r="AO1165" s="51"/>
      <c r="AP1165" s="51"/>
      <c r="AQ1165" s="51"/>
      <c r="AR1165" s="51"/>
      <c r="AS1165" s="51"/>
      <c r="AT1165" s="51"/>
      <c r="AU1165" s="51"/>
      <c r="AV1165" s="51"/>
      <c r="AW1165" s="51"/>
      <c r="AX1165" s="51"/>
      <c r="AY1165" s="51"/>
      <c r="AZ1165" s="51"/>
      <c r="BA1165" s="51"/>
      <c r="BB1165" s="51"/>
      <c r="BC1165" s="51"/>
      <c r="BD1165" s="51"/>
      <c r="BE1165" s="51"/>
      <c r="BF1165" s="51"/>
      <c r="BG1165" s="51"/>
      <c r="BH1165" s="51"/>
      <c r="BI1165" s="142"/>
    </row>
    <row r="1166" spans="2:61" ht="20.100000000000001" customHeight="1" thickBot="1" x14ac:dyDescent="0.5">
      <c r="B1166" s="133"/>
      <c r="C1166" s="27"/>
      <c r="D1166" s="27"/>
      <c r="E1166" s="27"/>
      <c r="F1166" s="27"/>
      <c r="G1166" s="134"/>
      <c r="H1166" s="135"/>
      <c r="I1166" s="27"/>
      <c r="J1166" s="135" t="s">
        <v>837</v>
      </c>
      <c r="K1166" s="27"/>
      <c r="L1166" s="27"/>
      <c r="M1166" s="27"/>
      <c r="N1166" s="27"/>
      <c r="O1166" s="27"/>
      <c r="P1166" s="27"/>
      <c r="Q1166" s="27"/>
      <c r="R1166" s="27"/>
      <c r="S1166" s="27"/>
      <c r="T1166" s="27"/>
      <c r="U1166" s="27"/>
      <c r="V1166" s="27"/>
      <c r="W1166" s="27"/>
      <c r="X1166" s="27"/>
      <c r="Y1166" s="27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138" t="s">
        <v>838</v>
      </c>
      <c r="AL1166" s="27"/>
      <c r="AM1166" s="27"/>
      <c r="AN1166" s="27"/>
      <c r="AO1166" s="27"/>
      <c r="AP1166" s="27"/>
      <c r="AQ1166" s="27"/>
      <c r="AR1166" s="27"/>
      <c r="AS1166" s="27"/>
      <c r="AT1166" s="27"/>
      <c r="AU1166" s="27"/>
      <c r="AV1166" s="27"/>
      <c r="AW1166" s="27"/>
      <c r="AX1166" s="27"/>
      <c r="AY1166" s="27"/>
      <c r="AZ1166" s="27"/>
      <c r="BA1166" s="27"/>
      <c r="BB1166" s="27"/>
      <c r="BC1166" s="27"/>
      <c r="BD1166" s="27"/>
      <c r="BE1166" s="27"/>
      <c r="BF1166" s="27"/>
      <c r="BG1166" s="27"/>
      <c r="BH1166" s="27"/>
      <c r="BI1166" s="139"/>
    </row>
    <row r="1167" spans="2:61" ht="20.100000000000001" customHeight="1" x14ac:dyDescent="0.45">
      <c r="B1167" s="124" t="s">
        <v>496</v>
      </c>
      <c r="C1167" s="125"/>
      <c r="D1167" s="125"/>
      <c r="E1167" s="125"/>
      <c r="F1167" s="125"/>
      <c r="G1167" s="126"/>
      <c r="H1167" s="127" t="s">
        <v>721</v>
      </c>
      <c r="I1167" s="125"/>
      <c r="J1167" s="128" t="s">
        <v>849</v>
      </c>
      <c r="K1167" s="129"/>
      <c r="L1167" s="129"/>
      <c r="M1167" s="129"/>
      <c r="N1167" s="129"/>
      <c r="O1167" s="129"/>
      <c r="P1167" s="129"/>
      <c r="Q1167" s="129"/>
      <c r="R1167" s="129"/>
      <c r="S1167" s="129"/>
      <c r="T1167" s="129"/>
      <c r="U1167" s="129"/>
      <c r="V1167" s="129"/>
      <c r="W1167" s="129"/>
      <c r="X1167" s="129"/>
      <c r="Y1167" s="129"/>
      <c r="Z1167" s="129"/>
      <c r="AA1167" s="129"/>
      <c r="AB1167" s="129"/>
      <c r="AC1167" s="129"/>
      <c r="AD1167" s="129"/>
      <c r="AE1167" s="129"/>
      <c r="AF1167" s="129"/>
      <c r="AG1167" s="129"/>
      <c r="AH1167" s="129"/>
      <c r="AI1167" s="129"/>
      <c r="AJ1167" s="130"/>
      <c r="AK1167" s="131"/>
      <c r="AL1167" s="125"/>
      <c r="AM1167" s="125"/>
      <c r="AN1167" s="125"/>
      <c r="AO1167" s="125"/>
      <c r="AP1167" s="125"/>
      <c r="AQ1167" s="158"/>
      <c r="AR1167" s="158"/>
      <c r="AS1167" s="125"/>
      <c r="AT1167" s="125"/>
      <c r="AU1167" s="125"/>
      <c r="AV1167" s="125"/>
      <c r="AW1167" s="125"/>
      <c r="AX1167" s="125"/>
      <c r="AY1167" s="125"/>
      <c r="AZ1167" s="125"/>
      <c r="BA1167" s="125"/>
      <c r="BB1167" s="125"/>
      <c r="BC1167" s="125"/>
      <c r="BD1167" s="125"/>
      <c r="BE1167" s="125"/>
      <c r="BF1167" s="125"/>
      <c r="BG1167" s="125"/>
      <c r="BH1167" s="125"/>
      <c r="BI1167" s="132"/>
    </row>
    <row r="1168" spans="2:61" ht="20.100000000000001" customHeight="1" x14ac:dyDescent="0.45">
      <c r="B1168" s="133"/>
      <c r="C1168" s="27"/>
      <c r="D1168" s="27"/>
      <c r="E1168" s="27"/>
      <c r="F1168" s="27"/>
      <c r="G1168" s="134"/>
      <c r="H1168" s="140" t="s">
        <v>723</v>
      </c>
      <c r="I1168" s="51"/>
      <c r="J1168" s="140" t="s">
        <v>850</v>
      </c>
      <c r="K1168" s="51"/>
      <c r="L1168" s="51"/>
      <c r="M1168" s="51"/>
      <c r="N1168" s="51"/>
      <c r="O1168" s="51"/>
      <c r="P1168" s="51"/>
      <c r="Q1168" s="51"/>
      <c r="R1168" s="51"/>
      <c r="S1168" s="51"/>
      <c r="T1168" s="51"/>
      <c r="U1168" s="51"/>
      <c r="V1168" s="51"/>
      <c r="W1168" s="51"/>
      <c r="X1168" s="51"/>
      <c r="Y1168" s="51"/>
      <c r="Z1168" s="51"/>
      <c r="AA1168" s="51"/>
      <c r="AB1168" s="51"/>
      <c r="AC1168" s="51"/>
      <c r="AD1168" s="51"/>
      <c r="AE1168" s="51"/>
      <c r="AF1168" s="51"/>
      <c r="AG1168" s="51"/>
      <c r="AH1168" s="51"/>
      <c r="AI1168" s="51"/>
      <c r="AJ1168" s="51"/>
      <c r="AK1168" s="141" t="s">
        <v>851</v>
      </c>
      <c r="AL1168" s="51"/>
      <c r="AM1168" s="51"/>
      <c r="AN1168" s="51"/>
      <c r="AO1168" s="51"/>
      <c r="AP1168" s="51"/>
      <c r="AQ1168" s="51"/>
      <c r="AR1168" s="51"/>
      <c r="AS1168" s="51"/>
      <c r="AT1168" s="51"/>
      <c r="AU1168" s="51"/>
      <c r="AV1168" s="51" t="s">
        <v>878</v>
      </c>
      <c r="AW1168" s="51"/>
      <c r="AX1168" s="51"/>
      <c r="AY1168" s="51"/>
      <c r="AZ1168" s="51"/>
      <c r="BA1168" s="51"/>
      <c r="BB1168" s="51"/>
      <c r="BC1168" s="51"/>
      <c r="BD1168" s="51"/>
      <c r="BE1168" s="51"/>
      <c r="BF1168" s="51"/>
      <c r="BG1168" s="51"/>
      <c r="BH1168" s="51"/>
      <c r="BI1168" s="142"/>
    </row>
    <row r="1169" spans="2:61" ht="20.100000000000001" customHeight="1" x14ac:dyDescent="0.45">
      <c r="B1169" s="133"/>
      <c r="C1169" s="27"/>
      <c r="D1169" s="27"/>
      <c r="E1169" s="27"/>
      <c r="F1169" s="27"/>
      <c r="G1169" s="134"/>
      <c r="H1169" s="135"/>
      <c r="I1169" s="27"/>
      <c r="J1169" s="135"/>
      <c r="K1169" s="27" t="s">
        <v>852</v>
      </c>
      <c r="L1169" s="27"/>
      <c r="M1169" s="27"/>
      <c r="N1169" s="27"/>
      <c r="O1169" s="27"/>
      <c r="P1169" s="27"/>
      <c r="Q1169" s="27"/>
      <c r="R1169" s="27"/>
      <c r="S1169" s="27"/>
      <c r="T1169" s="27"/>
      <c r="U1169" s="27"/>
      <c r="V1169" s="27"/>
      <c r="W1169" s="27"/>
      <c r="X1169" s="27"/>
      <c r="Y1169" s="27"/>
      <c r="Z1169" s="27"/>
      <c r="AA1169" s="27"/>
      <c r="AB1169" s="27"/>
      <c r="AC1169" s="27"/>
      <c r="AD1169" s="27"/>
      <c r="AE1169" s="27"/>
      <c r="AF1169" s="27"/>
      <c r="AG1169" s="27"/>
      <c r="AH1169" s="27"/>
      <c r="AI1169" s="27"/>
      <c r="AJ1169" s="27"/>
      <c r="AK1169" s="138"/>
      <c r="AL1169" s="27"/>
      <c r="AM1169" s="27"/>
      <c r="AN1169" s="27"/>
      <c r="AO1169" s="27"/>
      <c r="AP1169" s="27"/>
      <c r="AQ1169" s="27"/>
      <c r="AR1169" s="27"/>
      <c r="AS1169" s="27"/>
      <c r="AT1169" s="27"/>
      <c r="AU1169" s="27"/>
      <c r="AV1169" s="27"/>
      <c r="AW1169" s="27"/>
      <c r="AX1169" s="27"/>
      <c r="AY1169" s="27"/>
      <c r="AZ1169" s="27"/>
      <c r="BA1169" s="27"/>
      <c r="BB1169" s="27"/>
      <c r="BC1169" s="27"/>
      <c r="BD1169" s="27"/>
      <c r="BE1169" s="27"/>
      <c r="BF1169" s="27"/>
      <c r="BG1169" s="27"/>
      <c r="BH1169" s="27"/>
      <c r="BI1169" s="139"/>
    </row>
    <row r="1170" spans="2:61" ht="20.100000000000001" customHeight="1" x14ac:dyDescent="0.45">
      <c r="B1170" s="133"/>
      <c r="C1170" s="27"/>
      <c r="D1170" s="27"/>
      <c r="E1170" s="27"/>
      <c r="F1170" s="27"/>
      <c r="G1170" s="134"/>
      <c r="H1170" s="140" t="s">
        <v>161</v>
      </c>
      <c r="I1170" s="51"/>
      <c r="J1170" s="140" t="s">
        <v>836</v>
      </c>
      <c r="K1170" s="51"/>
      <c r="L1170" s="51"/>
      <c r="M1170" s="51"/>
      <c r="N1170" s="51"/>
      <c r="O1170" s="51"/>
      <c r="P1170" s="51"/>
      <c r="Q1170" s="51"/>
      <c r="R1170" s="51"/>
      <c r="S1170" s="51"/>
      <c r="T1170" s="51"/>
      <c r="U1170" s="51"/>
      <c r="V1170" s="51"/>
      <c r="W1170" s="51"/>
      <c r="X1170" s="51"/>
      <c r="Y1170" s="51"/>
      <c r="Z1170" s="51"/>
      <c r="AA1170" s="51"/>
      <c r="AB1170" s="51"/>
      <c r="AC1170" s="51"/>
      <c r="AD1170" s="51"/>
      <c r="AE1170" s="51"/>
      <c r="AF1170" s="51"/>
      <c r="AG1170" s="51"/>
      <c r="AH1170" s="51"/>
      <c r="AI1170" s="51"/>
      <c r="AJ1170" s="51"/>
      <c r="AK1170" s="141"/>
      <c r="AL1170" s="51"/>
      <c r="AM1170" s="51"/>
      <c r="AN1170" s="51"/>
      <c r="AO1170" s="51"/>
      <c r="AP1170" s="51"/>
      <c r="AQ1170" s="51"/>
      <c r="AR1170" s="51"/>
      <c r="AS1170" s="51"/>
      <c r="AT1170" s="51"/>
      <c r="AU1170" s="51"/>
      <c r="AV1170" s="51"/>
      <c r="AW1170" s="51"/>
      <c r="AX1170" s="51"/>
      <c r="AY1170" s="51"/>
      <c r="AZ1170" s="51"/>
      <c r="BA1170" s="51"/>
      <c r="BB1170" s="51"/>
      <c r="BC1170" s="51"/>
      <c r="BD1170" s="51"/>
      <c r="BE1170" s="51"/>
      <c r="BF1170" s="51"/>
      <c r="BG1170" s="51"/>
      <c r="BH1170" s="51"/>
      <c r="BI1170" s="142"/>
    </row>
    <row r="1171" spans="2:61" ht="20.100000000000001" customHeight="1" thickBot="1" x14ac:dyDescent="0.5">
      <c r="B1171" s="133"/>
      <c r="C1171" s="27"/>
      <c r="D1171" s="27"/>
      <c r="E1171" s="27"/>
      <c r="F1171" s="27"/>
      <c r="G1171" s="134"/>
      <c r="H1171" s="135"/>
      <c r="I1171" s="27"/>
      <c r="J1171" s="135" t="s">
        <v>853</v>
      </c>
      <c r="K1171" s="27"/>
      <c r="L1171" s="27"/>
      <c r="M1171" s="27"/>
      <c r="N1171" s="27"/>
      <c r="O1171" s="27"/>
      <c r="P1171" s="27"/>
      <c r="Q1171" s="27"/>
      <c r="R1171" s="27"/>
      <c r="S1171" s="27"/>
      <c r="T1171" s="27"/>
      <c r="U1171" s="27"/>
      <c r="V1171" s="27"/>
      <c r="W1171" s="27"/>
      <c r="X1171" s="27"/>
      <c r="Y1171" s="27"/>
      <c r="Z1171" s="27"/>
      <c r="AA1171" s="27"/>
      <c r="AB1171" s="27"/>
      <c r="AC1171" s="27"/>
      <c r="AD1171" s="27"/>
      <c r="AE1171" s="27"/>
      <c r="AF1171" s="27"/>
      <c r="AG1171" s="27"/>
      <c r="AH1171" s="27"/>
      <c r="AI1171" s="27"/>
      <c r="AJ1171" s="27"/>
      <c r="AK1171" s="138" t="s">
        <v>844</v>
      </c>
      <c r="AL1171" s="27"/>
      <c r="AM1171" s="27"/>
      <c r="AN1171" s="27"/>
      <c r="AO1171" s="27"/>
      <c r="AP1171" s="27"/>
      <c r="AQ1171" s="27"/>
      <c r="AR1171" s="27"/>
      <c r="AS1171" s="27"/>
      <c r="AT1171" s="27"/>
      <c r="AU1171" s="27"/>
      <c r="AV1171" s="27"/>
      <c r="AW1171" s="27"/>
      <c r="AX1171" s="27"/>
      <c r="AY1171" s="27"/>
      <c r="AZ1171" s="27"/>
      <c r="BA1171" s="27"/>
      <c r="BB1171" s="27"/>
      <c r="BC1171" s="27"/>
      <c r="BD1171" s="27"/>
      <c r="BE1171" s="27"/>
      <c r="BF1171" s="27"/>
      <c r="BG1171" s="27"/>
      <c r="BH1171" s="27"/>
      <c r="BI1171" s="139"/>
    </row>
    <row r="1172" spans="2:61" ht="20.100000000000001" customHeight="1" x14ac:dyDescent="0.45">
      <c r="B1172" s="124" t="s">
        <v>671</v>
      </c>
      <c r="C1172" s="125"/>
      <c r="D1172" s="125"/>
      <c r="E1172" s="125"/>
      <c r="F1172" s="125"/>
      <c r="G1172" s="126"/>
      <c r="H1172" s="127" t="s">
        <v>492</v>
      </c>
      <c r="I1172" s="125"/>
      <c r="J1172" s="128" t="s">
        <v>163</v>
      </c>
      <c r="K1172" s="129"/>
      <c r="L1172" s="129"/>
      <c r="M1172" s="129"/>
      <c r="N1172" s="129"/>
      <c r="O1172" s="129"/>
      <c r="P1172" s="129"/>
      <c r="Q1172" s="130"/>
      <c r="R1172" s="129" t="s">
        <v>243</v>
      </c>
      <c r="S1172" s="129"/>
      <c r="T1172" s="129"/>
      <c r="U1172" s="129"/>
      <c r="V1172" s="129"/>
      <c r="W1172" s="129"/>
      <c r="X1172" s="129"/>
      <c r="Y1172" s="129"/>
      <c r="Z1172" s="129"/>
      <c r="AA1172" s="129"/>
      <c r="AB1172" s="129"/>
      <c r="AC1172" s="129"/>
      <c r="AD1172" s="129"/>
      <c r="AE1172" s="129"/>
      <c r="AF1172" s="129"/>
      <c r="AG1172" s="129"/>
      <c r="AH1172" s="129"/>
      <c r="AI1172" s="129"/>
      <c r="AJ1172" s="130"/>
      <c r="AK1172" s="131"/>
      <c r="AL1172" s="125"/>
      <c r="AM1172" s="125"/>
      <c r="AN1172" s="125"/>
      <c r="AO1172" s="125"/>
      <c r="AP1172" s="125"/>
      <c r="AQ1172" s="158"/>
      <c r="AR1172" s="158"/>
      <c r="AS1172" s="125"/>
      <c r="AT1172" s="125"/>
      <c r="AU1172" s="125"/>
      <c r="AV1172" s="125"/>
      <c r="AW1172" s="125"/>
      <c r="AX1172" s="125"/>
      <c r="AY1172" s="125"/>
      <c r="AZ1172" s="125"/>
      <c r="BA1172" s="125"/>
      <c r="BB1172" s="125"/>
      <c r="BC1172" s="125"/>
      <c r="BD1172" s="125"/>
      <c r="BE1172" s="125"/>
      <c r="BF1172" s="125"/>
      <c r="BG1172" s="125"/>
      <c r="BH1172" s="125"/>
      <c r="BI1172" s="132"/>
    </row>
    <row r="1173" spans="2:61" ht="20.100000000000001" customHeight="1" x14ac:dyDescent="0.45">
      <c r="B1173" s="133"/>
      <c r="C1173" s="27"/>
      <c r="D1173" s="27"/>
      <c r="E1173" s="27"/>
      <c r="F1173" s="27"/>
      <c r="G1173" s="134"/>
      <c r="H1173" s="135"/>
      <c r="I1173" s="27"/>
      <c r="J1173" s="144" t="s">
        <v>854</v>
      </c>
      <c r="K1173" s="145"/>
      <c r="L1173" s="145"/>
      <c r="M1173" s="145"/>
      <c r="N1173" s="145"/>
      <c r="O1173" s="145"/>
      <c r="P1173" s="145"/>
      <c r="Q1173" s="156"/>
      <c r="R1173" s="159" t="s">
        <v>855</v>
      </c>
      <c r="S1173" s="145"/>
      <c r="T1173" s="145"/>
      <c r="U1173" s="145"/>
      <c r="V1173" s="145"/>
      <c r="W1173" s="145"/>
      <c r="X1173" s="145"/>
      <c r="Y1173" s="145"/>
      <c r="Z1173" s="145"/>
      <c r="AA1173" s="145"/>
      <c r="AB1173" s="145"/>
      <c r="AC1173" s="145"/>
      <c r="AD1173" s="145"/>
      <c r="AE1173" s="145"/>
      <c r="AF1173" s="145"/>
      <c r="AG1173" s="145"/>
      <c r="AH1173" s="145"/>
      <c r="AI1173" s="145"/>
      <c r="AJ1173" s="156"/>
      <c r="AK1173" s="138"/>
      <c r="AL1173" s="27"/>
      <c r="AM1173" s="27"/>
      <c r="AN1173" s="27"/>
      <c r="AO1173" s="27"/>
      <c r="AP1173" s="27"/>
      <c r="AQ1173" s="148"/>
      <c r="AR1173" s="148"/>
      <c r="AS1173" s="27"/>
      <c r="AT1173" s="27"/>
      <c r="AU1173" s="27"/>
      <c r="AV1173" s="27"/>
      <c r="AW1173" s="27"/>
      <c r="AX1173" s="27"/>
      <c r="AY1173" s="27"/>
      <c r="AZ1173" s="27"/>
      <c r="BA1173" s="27"/>
      <c r="BB1173" s="27"/>
      <c r="BC1173" s="27"/>
      <c r="BD1173" s="27"/>
      <c r="BE1173" s="27"/>
      <c r="BF1173" s="27"/>
      <c r="BG1173" s="27"/>
      <c r="BH1173" s="27"/>
      <c r="BI1173" s="139"/>
    </row>
    <row r="1174" spans="2:61" ht="20.100000000000001" customHeight="1" x14ac:dyDescent="0.45">
      <c r="B1174" s="133"/>
      <c r="C1174" s="27"/>
      <c r="D1174" s="27"/>
      <c r="E1174" s="27"/>
      <c r="F1174" s="27"/>
      <c r="G1174" s="134"/>
      <c r="H1174" s="135"/>
      <c r="I1174" s="27"/>
      <c r="J1174" s="144" t="s">
        <v>856</v>
      </c>
      <c r="K1174" s="145"/>
      <c r="L1174" s="145"/>
      <c r="M1174" s="145"/>
      <c r="N1174" s="145"/>
      <c r="O1174" s="145"/>
      <c r="P1174" s="145"/>
      <c r="Q1174" s="156"/>
      <c r="R1174" s="159" t="s">
        <v>857</v>
      </c>
      <c r="S1174" s="145"/>
      <c r="T1174" s="145"/>
      <c r="U1174" s="145"/>
      <c r="V1174" s="145"/>
      <c r="W1174" s="145"/>
      <c r="X1174" s="145"/>
      <c r="Y1174" s="145"/>
      <c r="Z1174" s="145"/>
      <c r="AA1174" s="145"/>
      <c r="AB1174" s="145"/>
      <c r="AC1174" s="145"/>
      <c r="AD1174" s="145"/>
      <c r="AE1174" s="145"/>
      <c r="AF1174" s="145"/>
      <c r="AG1174" s="145"/>
      <c r="AH1174" s="145"/>
      <c r="AI1174" s="145"/>
      <c r="AJ1174" s="156"/>
      <c r="AK1174" s="138"/>
      <c r="AL1174" s="27"/>
      <c r="AM1174" s="27"/>
      <c r="AN1174" s="27"/>
      <c r="AO1174" s="27"/>
      <c r="AP1174" s="27"/>
      <c r="AQ1174" s="148"/>
      <c r="AR1174" s="148"/>
      <c r="AS1174" s="27"/>
      <c r="AT1174" s="27"/>
      <c r="AU1174" s="27"/>
      <c r="AV1174" s="27"/>
      <c r="AW1174" s="27"/>
      <c r="AX1174" s="27"/>
      <c r="AY1174" s="27"/>
      <c r="AZ1174" s="27"/>
      <c r="BA1174" s="27"/>
      <c r="BB1174" s="27"/>
      <c r="BC1174" s="27"/>
      <c r="BD1174" s="27"/>
      <c r="BE1174" s="27"/>
      <c r="BF1174" s="27"/>
      <c r="BG1174" s="27"/>
      <c r="BH1174" s="27"/>
      <c r="BI1174" s="139"/>
    </row>
    <row r="1175" spans="2:61" ht="20.100000000000001" customHeight="1" x14ac:dyDescent="0.45">
      <c r="B1175" s="133"/>
      <c r="C1175" s="27"/>
      <c r="D1175" s="27"/>
      <c r="E1175" s="27"/>
      <c r="F1175" s="27"/>
      <c r="G1175" s="134"/>
      <c r="H1175" s="135"/>
      <c r="I1175" s="27"/>
      <c r="J1175" s="144" t="s">
        <v>858</v>
      </c>
      <c r="K1175" s="145"/>
      <c r="L1175" s="145"/>
      <c r="M1175" s="145"/>
      <c r="N1175" s="145"/>
      <c r="O1175" s="145"/>
      <c r="P1175" s="145"/>
      <c r="Q1175" s="156"/>
      <c r="R1175" s="159" t="s">
        <v>859</v>
      </c>
      <c r="S1175" s="145"/>
      <c r="T1175" s="145"/>
      <c r="U1175" s="145"/>
      <c r="V1175" s="145"/>
      <c r="W1175" s="145"/>
      <c r="X1175" s="145"/>
      <c r="Y1175" s="145"/>
      <c r="Z1175" s="145"/>
      <c r="AA1175" s="145"/>
      <c r="AB1175" s="145"/>
      <c r="AC1175" s="145"/>
      <c r="AD1175" s="145"/>
      <c r="AE1175" s="145"/>
      <c r="AF1175" s="145"/>
      <c r="AG1175" s="145"/>
      <c r="AH1175" s="145"/>
      <c r="AI1175" s="145"/>
      <c r="AJ1175" s="156"/>
      <c r="AK1175" s="138"/>
      <c r="AL1175" s="27"/>
      <c r="AM1175" s="27"/>
      <c r="AN1175" s="27"/>
      <c r="AO1175" s="27"/>
      <c r="AP1175" s="27"/>
      <c r="AQ1175" s="148"/>
      <c r="AR1175" s="148"/>
      <c r="AS1175" s="27"/>
      <c r="AT1175" s="27"/>
      <c r="AU1175" s="27"/>
      <c r="AV1175" s="27"/>
      <c r="AW1175" s="27"/>
      <c r="AX1175" s="27"/>
      <c r="AY1175" s="27"/>
      <c r="AZ1175" s="27"/>
      <c r="BA1175" s="27"/>
      <c r="BB1175" s="27"/>
      <c r="BC1175" s="27"/>
      <c r="BD1175" s="27"/>
      <c r="BE1175" s="27"/>
      <c r="BF1175" s="27"/>
      <c r="BG1175" s="27"/>
      <c r="BH1175" s="27"/>
      <c r="BI1175" s="139"/>
    </row>
    <row r="1176" spans="2:61" ht="20.100000000000001" customHeight="1" x14ac:dyDescent="0.45">
      <c r="B1176" s="133"/>
      <c r="C1176" s="27"/>
      <c r="D1176" s="27"/>
      <c r="E1176" s="27"/>
      <c r="F1176" s="27"/>
      <c r="G1176" s="134"/>
      <c r="H1176" s="135"/>
      <c r="I1176" s="27"/>
      <c r="J1176" s="144" t="s">
        <v>165</v>
      </c>
      <c r="K1176" s="145"/>
      <c r="L1176" s="145"/>
      <c r="M1176" s="145"/>
      <c r="N1176" s="145"/>
      <c r="O1176" s="145"/>
      <c r="P1176" s="145"/>
      <c r="Q1176" s="156"/>
      <c r="R1176" s="159" t="s">
        <v>860</v>
      </c>
      <c r="S1176" s="145"/>
      <c r="T1176" s="145"/>
      <c r="U1176" s="145"/>
      <c r="V1176" s="145"/>
      <c r="W1176" s="145"/>
      <c r="X1176" s="145"/>
      <c r="Y1176" s="145"/>
      <c r="Z1176" s="145"/>
      <c r="AA1176" s="145"/>
      <c r="AB1176" s="145"/>
      <c r="AC1176" s="145"/>
      <c r="AD1176" s="145"/>
      <c r="AE1176" s="145"/>
      <c r="AF1176" s="145"/>
      <c r="AG1176" s="145"/>
      <c r="AH1176" s="145"/>
      <c r="AI1176" s="145"/>
      <c r="AJ1176" s="156"/>
      <c r="AK1176" s="138"/>
      <c r="AL1176" s="27"/>
      <c r="AM1176" s="27"/>
      <c r="AN1176" s="27"/>
      <c r="AO1176" s="27"/>
      <c r="AP1176" s="27"/>
      <c r="AQ1176" s="148"/>
      <c r="AR1176" s="148"/>
      <c r="AS1176" s="27"/>
      <c r="AT1176" s="27"/>
      <c r="AU1176" s="27"/>
      <c r="AV1176" s="27"/>
      <c r="AW1176" s="27"/>
      <c r="AX1176" s="27"/>
      <c r="AY1176" s="27"/>
      <c r="AZ1176" s="27"/>
      <c r="BA1176" s="27"/>
      <c r="BB1176" s="27"/>
      <c r="BC1176" s="27"/>
      <c r="BD1176" s="27"/>
      <c r="BE1176" s="27"/>
      <c r="BF1176" s="27"/>
      <c r="BG1176" s="27"/>
      <c r="BH1176" s="27"/>
      <c r="BI1176" s="139"/>
    </row>
    <row r="1177" spans="2:61" ht="20.100000000000001" customHeight="1" x14ac:dyDescent="0.45">
      <c r="B1177" s="133"/>
      <c r="C1177" s="27"/>
      <c r="D1177" s="27"/>
      <c r="E1177" s="27"/>
      <c r="F1177" s="27"/>
      <c r="G1177" s="134"/>
      <c r="H1177" s="135"/>
      <c r="I1177" s="27"/>
      <c r="J1177" s="144" t="s">
        <v>861</v>
      </c>
      <c r="K1177" s="145"/>
      <c r="L1177" s="145"/>
      <c r="M1177" s="145"/>
      <c r="N1177" s="145"/>
      <c r="O1177" s="145"/>
      <c r="P1177" s="145"/>
      <c r="Q1177" s="156"/>
      <c r="R1177" s="159" t="s">
        <v>862</v>
      </c>
      <c r="S1177" s="145"/>
      <c r="T1177" s="145"/>
      <c r="U1177" s="145"/>
      <c r="V1177" s="145"/>
      <c r="W1177" s="145"/>
      <c r="X1177" s="145"/>
      <c r="Y1177" s="145"/>
      <c r="Z1177" s="145"/>
      <c r="AA1177" s="145"/>
      <c r="AB1177" s="145"/>
      <c r="AC1177" s="145"/>
      <c r="AD1177" s="145"/>
      <c r="AE1177" s="145"/>
      <c r="AF1177" s="145"/>
      <c r="AG1177" s="145"/>
      <c r="AH1177" s="145"/>
      <c r="AI1177" s="145"/>
      <c r="AJ1177" s="156"/>
      <c r="AK1177" s="138"/>
      <c r="AL1177" s="27"/>
      <c r="AM1177" s="27"/>
      <c r="AN1177" s="27"/>
      <c r="AO1177" s="27"/>
      <c r="AP1177" s="27"/>
      <c r="AQ1177" s="148"/>
      <c r="AR1177" s="148"/>
      <c r="AS1177" s="27"/>
      <c r="AT1177" s="27"/>
      <c r="AU1177" s="27"/>
      <c r="AV1177" s="27"/>
      <c r="AW1177" s="27"/>
      <c r="AX1177" s="27"/>
      <c r="AY1177" s="27"/>
      <c r="AZ1177" s="27"/>
      <c r="BA1177" s="27"/>
      <c r="BB1177" s="27"/>
      <c r="BC1177" s="27"/>
      <c r="BD1177" s="27"/>
      <c r="BE1177" s="27"/>
      <c r="BF1177" s="27"/>
      <c r="BG1177" s="27"/>
      <c r="BH1177" s="27"/>
      <c r="BI1177" s="139"/>
    </row>
    <row r="1178" spans="2:61" ht="20.100000000000001" customHeight="1" x14ac:dyDescent="0.45">
      <c r="B1178" s="133"/>
      <c r="C1178" s="27"/>
      <c r="D1178" s="27"/>
      <c r="E1178" s="27"/>
      <c r="F1178" s="27"/>
      <c r="G1178" s="134"/>
      <c r="H1178" s="135"/>
      <c r="I1178" s="27"/>
      <c r="J1178" s="144" t="s">
        <v>863</v>
      </c>
      <c r="K1178" s="145"/>
      <c r="L1178" s="145"/>
      <c r="M1178" s="145"/>
      <c r="N1178" s="145"/>
      <c r="O1178" s="145"/>
      <c r="P1178" s="145"/>
      <c r="Q1178" s="156"/>
      <c r="R1178" s="159" t="s">
        <v>864</v>
      </c>
      <c r="S1178" s="145"/>
      <c r="T1178" s="145"/>
      <c r="U1178" s="145"/>
      <c r="V1178" s="145"/>
      <c r="W1178" s="145"/>
      <c r="X1178" s="145"/>
      <c r="Y1178" s="145"/>
      <c r="Z1178" s="145"/>
      <c r="AA1178" s="145"/>
      <c r="AB1178" s="145"/>
      <c r="AC1178" s="145"/>
      <c r="AD1178" s="145"/>
      <c r="AE1178" s="145"/>
      <c r="AF1178" s="145"/>
      <c r="AG1178" s="145"/>
      <c r="AH1178" s="145"/>
      <c r="AI1178" s="145"/>
      <c r="AJ1178" s="156"/>
      <c r="AK1178" s="138"/>
      <c r="AL1178" s="27"/>
      <c r="AM1178" s="27"/>
      <c r="AN1178" s="27"/>
      <c r="AO1178" s="27"/>
      <c r="AP1178" s="27"/>
      <c r="AQ1178" s="148"/>
      <c r="AR1178" s="148"/>
      <c r="AS1178" s="27"/>
      <c r="AT1178" s="27"/>
      <c r="AU1178" s="27"/>
      <c r="AV1178" s="27"/>
      <c r="AW1178" s="27"/>
      <c r="AX1178" s="27"/>
      <c r="AY1178" s="27"/>
      <c r="AZ1178" s="27"/>
      <c r="BA1178" s="27"/>
      <c r="BB1178" s="27"/>
      <c r="BC1178" s="27"/>
      <c r="BD1178" s="27"/>
      <c r="BE1178" s="27"/>
      <c r="BF1178" s="27"/>
      <c r="BG1178" s="27"/>
      <c r="BH1178" s="27"/>
      <c r="BI1178" s="139"/>
    </row>
    <row r="1179" spans="2:61" ht="20.100000000000001" customHeight="1" x14ac:dyDescent="0.45">
      <c r="B1179" s="133"/>
      <c r="C1179" s="27"/>
      <c r="D1179" s="27"/>
      <c r="E1179" s="27"/>
      <c r="F1179" s="27"/>
      <c r="G1179" s="134"/>
      <c r="H1179" s="135"/>
      <c r="I1179" s="27"/>
      <c r="J1179" s="144" t="s">
        <v>865</v>
      </c>
      <c r="K1179" s="145"/>
      <c r="L1179" s="145"/>
      <c r="M1179" s="145"/>
      <c r="N1179" s="145"/>
      <c r="O1179" s="145"/>
      <c r="P1179" s="145"/>
      <c r="Q1179" s="156"/>
      <c r="R1179" s="159" t="s">
        <v>866</v>
      </c>
      <c r="S1179" s="145"/>
      <c r="T1179" s="145"/>
      <c r="U1179" s="145"/>
      <c r="V1179" s="145"/>
      <c r="W1179" s="145"/>
      <c r="X1179" s="145"/>
      <c r="Y1179" s="145"/>
      <c r="Z1179" s="145"/>
      <c r="AA1179" s="145"/>
      <c r="AB1179" s="145"/>
      <c r="AC1179" s="145"/>
      <c r="AD1179" s="145"/>
      <c r="AE1179" s="145"/>
      <c r="AF1179" s="145"/>
      <c r="AG1179" s="145"/>
      <c r="AH1179" s="145"/>
      <c r="AI1179" s="145"/>
      <c r="AJ1179" s="156"/>
      <c r="AK1179" s="138"/>
      <c r="AL1179" s="27"/>
      <c r="AM1179" s="27"/>
      <c r="AN1179" s="27"/>
      <c r="AO1179" s="27"/>
      <c r="AP1179" s="27"/>
      <c r="AQ1179" s="148"/>
      <c r="AR1179" s="148"/>
      <c r="AS1179" s="27"/>
      <c r="AT1179" s="27"/>
      <c r="AU1179" s="27"/>
      <c r="AV1179" s="27"/>
      <c r="AW1179" s="27"/>
      <c r="AX1179" s="27"/>
      <c r="AY1179" s="27"/>
      <c r="AZ1179" s="27"/>
      <c r="BA1179" s="27"/>
      <c r="BB1179" s="27"/>
      <c r="BC1179" s="27"/>
      <c r="BD1179" s="27"/>
      <c r="BE1179" s="27"/>
      <c r="BF1179" s="27"/>
      <c r="BG1179" s="27"/>
      <c r="BH1179" s="27"/>
      <c r="BI1179" s="139"/>
    </row>
    <row r="1180" spans="2:61" ht="20.100000000000001" customHeight="1" x14ac:dyDescent="0.45">
      <c r="B1180" s="133"/>
      <c r="C1180" s="27"/>
      <c r="D1180" s="27"/>
      <c r="E1180" s="27"/>
      <c r="F1180" s="27"/>
      <c r="G1180" s="134"/>
      <c r="H1180" s="140" t="s">
        <v>159</v>
      </c>
      <c r="I1180" s="51"/>
      <c r="J1180" s="140" t="s">
        <v>867</v>
      </c>
      <c r="K1180" s="51"/>
      <c r="L1180" s="51"/>
      <c r="M1180" s="51"/>
      <c r="N1180" s="51"/>
      <c r="O1180" s="51"/>
      <c r="P1180" s="51"/>
      <c r="Q1180" s="51"/>
      <c r="R1180" s="51"/>
      <c r="S1180" s="51"/>
      <c r="T1180" s="51"/>
      <c r="U1180" s="51"/>
      <c r="V1180" s="51"/>
      <c r="W1180" s="51"/>
      <c r="X1180" s="51"/>
      <c r="Y1180" s="51"/>
      <c r="Z1180" s="51"/>
      <c r="AA1180" s="51"/>
      <c r="AB1180" s="51"/>
      <c r="AC1180" s="51"/>
      <c r="AD1180" s="51"/>
      <c r="AE1180" s="51"/>
      <c r="AF1180" s="51"/>
      <c r="AG1180" s="51"/>
      <c r="AH1180" s="51"/>
      <c r="AI1180" s="51"/>
      <c r="AJ1180" s="51"/>
      <c r="AK1180" s="141"/>
      <c r="AL1180" s="51"/>
      <c r="AM1180" s="51"/>
      <c r="AN1180" s="51"/>
      <c r="AO1180" s="51"/>
      <c r="AP1180" s="51"/>
      <c r="AQ1180" s="51"/>
      <c r="AR1180" s="51"/>
      <c r="AS1180" s="51"/>
      <c r="AT1180" s="51"/>
      <c r="AU1180" s="51"/>
      <c r="AV1180" s="51"/>
      <c r="AW1180" s="51"/>
      <c r="AX1180" s="51"/>
      <c r="AY1180" s="51"/>
      <c r="AZ1180" s="51"/>
      <c r="BA1180" s="51"/>
      <c r="BB1180" s="51"/>
      <c r="BC1180" s="51"/>
      <c r="BD1180" s="51"/>
      <c r="BE1180" s="51"/>
      <c r="BF1180" s="51"/>
      <c r="BG1180" s="51"/>
      <c r="BH1180" s="51"/>
      <c r="BI1180" s="142"/>
    </row>
    <row r="1181" spans="2:61" ht="20.100000000000001" customHeight="1" x14ac:dyDescent="0.45">
      <c r="B1181" s="133"/>
      <c r="C1181" s="27"/>
      <c r="D1181" s="27"/>
      <c r="E1181" s="27"/>
      <c r="F1181" s="27"/>
      <c r="G1181" s="134"/>
      <c r="H1181" s="140" t="s">
        <v>161</v>
      </c>
      <c r="I1181" s="51"/>
      <c r="J1181" s="140" t="s">
        <v>868</v>
      </c>
      <c r="K1181" s="51"/>
      <c r="L1181" s="51"/>
      <c r="M1181" s="51"/>
      <c r="N1181" s="51"/>
      <c r="O1181" s="51"/>
      <c r="P1181" s="51"/>
      <c r="Q1181" s="51"/>
      <c r="R1181" s="51"/>
      <c r="S1181" s="51"/>
      <c r="T1181" s="51"/>
      <c r="U1181" s="51"/>
      <c r="V1181" s="51"/>
      <c r="W1181" s="51"/>
      <c r="X1181" s="51"/>
      <c r="Y1181" s="51"/>
      <c r="Z1181" s="51"/>
      <c r="AA1181" s="51"/>
      <c r="AB1181" s="51"/>
      <c r="AC1181" s="51"/>
      <c r="AD1181" s="51"/>
      <c r="AE1181" s="51"/>
      <c r="AF1181" s="51"/>
      <c r="AG1181" s="51"/>
      <c r="AH1181" s="51"/>
      <c r="AI1181" s="51"/>
      <c r="AJ1181" s="51"/>
      <c r="AK1181" s="141"/>
      <c r="AL1181" s="51"/>
      <c r="AM1181" s="51"/>
      <c r="AN1181" s="51"/>
      <c r="AO1181" s="51"/>
      <c r="AP1181" s="51"/>
      <c r="AQ1181" s="51"/>
      <c r="AR1181" s="51"/>
      <c r="AS1181" s="51"/>
      <c r="AT1181" s="51"/>
      <c r="AU1181" s="51"/>
      <c r="AV1181" s="51"/>
      <c r="AW1181" s="51"/>
      <c r="AX1181" s="51"/>
      <c r="AY1181" s="51"/>
      <c r="AZ1181" s="51"/>
      <c r="BA1181" s="51"/>
      <c r="BB1181" s="51"/>
      <c r="BC1181" s="51"/>
      <c r="BD1181" s="51"/>
      <c r="BE1181" s="51"/>
      <c r="BF1181" s="51"/>
      <c r="BG1181" s="51"/>
      <c r="BH1181" s="51"/>
      <c r="BI1181" s="142"/>
    </row>
    <row r="1182" spans="2:61" ht="20.100000000000001" customHeight="1" x14ac:dyDescent="0.45">
      <c r="B1182" s="133"/>
      <c r="C1182" s="27"/>
      <c r="D1182" s="27"/>
      <c r="E1182" s="27"/>
      <c r="F1182" s="27"/>
      <c r="G1182" s="134"/>
      <c r="H1182" s="135"/>
      <c r="I1182" s="27"/>
      <c r="J1182" s="135"/>
      <c r="K1182" s="27" t="s">
        <v>869</v>
      </c>
      <c r="L1182" s="27"/>
      <c r="M1182" s="27"/>
      <c r="N1182" s="27"/>
      <c r="O1182" s="27"/>
      <c r="P1182" s="27"/>
      <c r="Q1182" s="27"/>
      <c r="R1182" s="27"/>
      <c r="S1182" s="27"/>
      <c r="T1182" s="27"/>
      <c r="U1182" s="27"/>
      <c r="V1182" s="27"/>
      <c r="W1182" s="27"/>
      <c r="X1182" s="27"/>
      <c r="Y1182" s="27"/>
      <c r="Z1182" s="27"/>
      <c r="AA1182" s="27"/>
      <c r="AB1182" s="27"/>
      <c r="AC1182" s="27"/>
      <c r="AD1182" s="27"/>
      <c r="AE1182" s="27"/>
      <c r="AF1182" s="27"/>
      <c r="AG1182" s="27"/>
      <c r="AH1182" s="27"/>
      <c r="AI1182" s="27"/>
      <c r="AJ1182" s="27"/>
      <c r="AK1182" s="138"/>
      <c r="AL1182" s="27"/>
      <c r="AM1182" s="27"/>
      <c r="AN1182" s="27"/>
      <c r="AO1182" s="27"/>
      <c r="AP1182" s="27"/>
      <c r="AQ1182" s="27"/>
      <c r="AR1182" s="27"/>
      <c r="AS1182" s="27"/>
      <c r="AT1182" s="27"/>
      <c r="AU1182" s="27"/>
      <c r="AV1182" s="27"/>
      <c r="AW1182" s="27"/>
      <c r="AX1182" s="27"/>
      <c r="AY1182" s="27"/>
      <c r="AZ1182" s="27"/>
      <c r="BA1182" s="27"/>
      <c r="BB1182" s="27"/>
      <c r="BC1182" s="27"/>
      <c r="BD1182" s="27"/>
      <c r="BE1182" s="27"/>
      <c r="BF1182" s="27"/>
      <c r="BG1182" s="27"/>
      <c r="BH1182" s="27"/>
      <c r="BI1182" s="139"/>
    </row>
    <row r="1183" spans="2:61" ht="20.100000000000001" customHeight="1" x14ac:dyDescent="0.45">
      <c r="B1183" s="133"/>
      <c r="C1183" s="27"/>
      <c r="D1183" s="27"/>
      <c r="E1183" s="27"/>
      <c r="F1183" s="27"/>
      <c r="G1183" s="134"/>
      <c r="H1183" s="135"/>
      <c r="I1183" s="27"/>
      <c r="J1183" s="135"/>
      <c r="K1183" s="27" t="s">
        <v>870</v>
      </c>
      <c r="L1183" s="27"/>
      <c r="M1183" s="27"/>
      <c r="N1183" s="27"/>
      <c r="O1183" s="27"/>
      <c r="P1183" s="27"/>
      <c r="Q1183" s="27"/>
      <c r="R1183" s="27"/>
      <c r="S1183" s="27"/>
      <c r="T1183" s="27"/>
      <c r="U1183" s="27"/>
      <c r="V1183" s="27"/>
      <c r="W1183" s="27"/>
      <c r="X1183" s="27"/>
      <c r="Y1183" s="27"/>
      <c r="Z1183" s="27"/>
      <c r="AA1183" s="27"/>
      <c r="AB1183" s="27"/>
      <c r="AC1183" s="27"/>
      <c r="AD1183" s="27"/>
      <c r="AE1183" s="27"/>
      <c r="AF1183" s="27"/>
      <c r="AG1183" s="27"/>
      <c r="AH1183" s="27"/>
      <c r="AI1183" s="27"/>
      <c r="AJ1183" s="27"/>
      <c r="AK1183" s="138"/>
      <c r="AL1183" s="27"/>
      <c r="AM1183" s="27"/>
      <c r="AN1183" s="27"/>
      <c r="AO1183" s="27"/>
      <c r="AP1183" s="27"/>
      <c r="AQ1183" s="27"/>
      <c r="AR1183" s="27"/>
      <c r="AS1183" s="27"/>
      <c r="AT1183" s="27"/>
      <c r="AU1183" s="27"/>
      <c r="AV1183" s="27"/>
      <c r="AW1183" s="27"/>
      <c r="AX1183" s="27"/>
      <c r="AY1183" s="27"/>
      <c r="AZ1183" s="27"/>
      <c r="BA1183" s="27"/>
      <c r="BB1183" s="27"/>
      <c r="BC1183" s="27"/>
      <c r="BD1183" s="27"/>
      <c r="BE1183" s="27"/>
      <c r="BF1183" s="27"/>
      <c r="BG1183" s="27"/>
      <c r="BH1183" s="27"/>
      <c r="BI1183" s="139"/>
    </row>
    <row r="1184" spans="2:61" ht="20.100000000000001" customHeight="1" x14ac:dyDescent="0.45">
      <c r="B1184" s="133"/>
      <c r="C1184" s="27"/>
      <c r="D1184" s="27"/>
      <c r="E1184" s="27"/>
      <c r="F1184" s="27"/>
      <c r="G1184" s="134"/>
      <c r="H1184" s="135"/>
      <c r="I1184" s="27"/>
      <c r="J1184" s="135"/>
      <c r="K1184" s="27" t="s">
        <v>871</v>
      </c>
      <c r="L1184" s="27"/>
      <c r="M1184" s="27"/>
      <c r="N1184" s="27"/>
      <c r="O1184" s="27"/>
      <c r="P1184" s="27"/>
      <c r="Q1184" s="27"/>
      <c r="R1184" s="27"/>
      <c r="S1184" s="27"/>
      <c r="T1184" s="27"/>
      <c r="U1184" s="27"/>
      <c r="V1184" s="27"/>
      <c r="W1184" s="27"/>
      <c r="X1184" s="27"/>
      <c r="Y1184" s="27"/>
      <c r="Z1184" s="27"/>
      <c r="AA1184" s="27"/>
      <c r="AB1184" s="27"/>
      <c r="AC1184" s="27"/>
      <c r="AD1184" s="27"/>
      <c r="AE1184" s="27"/>
      <c r="AF1184" s="27"/>
      <c r="AG1184" s="27"/>
      <c r="AH1184" s="27"/>
      <c r="AI1184" s="27"/>
      <c r="AJ1184" s="27"/>
      <c r="AK1184" s="138"/>
      <c r="AL1184" s="27"/>
      <c r="AM1184" s="27"/>
      <c r="AN1184" s="27"/>
      <c r="AO1184" s="27"/>
      <c r="AP1184" s="27"/>
      <c r="AQ1184" s="27"/>
      <c r="AR1184" s="27"/>
      <c r="AS1184" s="27"/>
      <c r="AT1184" s="27"/>
      <c r="AU1184" s="27"/>
      <c r="AV1184" s="27"/>
      <c r="AW1184" s="27"/>
      <c r="AX1184" s="27"/>
      <c r="AY1184" s="27"/>
      <c r="AZ1184" s="27"/>
      <c r="BA1184" s="27"/>
      <c r="BB1184" s="27"/>
      <c r="BC1184" s="27"/>
      <c r="BD1184" s="27"/>
      <c r="BE1184" s="27"/>
      <c r="BF1184" s="27"/>
      <c r="BG1184" s="27"/>
      <c r="BH1184" s="27"/>
      <c r="BI1184" s="139"/>
    </row>
    <row r="1185" spans="2:61" ht="20.100000000000001" customHeight="1" x14ac:dyDescent="0.45">
      <c r="B1185" s="133"/>
      <c r="C1185" s="27"/>
      <c r="D1185" s="27"/>
      <c r="E1185" s="27"/>
      <c r="F1185" s="27"/>
      <c r="G1185" s="134"/>
      <c r="H1185" s="135"/>
      <c r="I1185" s="27"/>
      <c r="J1185" s="135"/>
      <c r="K1185" s="27" t="s">
        <v>870</v>
      </c>
      <c r="L1185" s="27"/>
      <c r="M1185" s="27"/>
      <c r="N1185" s="27"/>
      <c r="O1185" s="27"/>
      <c r="P1185" s="27"/>
      <c r="Q1185" s="27"/>
      <c r="R1185" s="27"/>
      <c r="S1185" s="27"/>
      <c r="T1185" s="27"/>
      <c r="U1185" s="27"/>
      <c r="V1185" s="27"/>
      <c r="W1185" s="27"/>
      <c r="X1185" s="27"/>
      <c r="Y1185" s="27"/>
      <c r="Z1185" s="27"/>
      <c r="AA1185" s="27"/>
      <c r="AB1185" s="27"/>
      <c r="AC1185" s="27"/>
      <c r="AD1185" s="27"/>
      <c r="AE1185" s="27"/>
      <c r="AF1185" s="27"/>
      <c r="AG1185" s="27"/>
      <c r="AH1185" s="27"/>
      <c r="AI1185" s="27"/>
      <c r="AJ1185" s="27"/>
      <c r="AK1185" s="138"/>
      <c r="AL1185" s="27"/>
      <c r="AM1185" s="27"/>
      <c r="AN1185" s="27"/>
      <c r="AO1185" s="27"/>
      <c r="AP1185" s="27"/>
      <c r="AQ1185" s="27"/>
      <c r="AR1185" s="27"/>
      <c r="AS1185" s="27"/>
      <c r="AT1185" s="27"/>
      <c r="AU1185" s="27"/>
      <c r="AV1185" s="27"/>
      <c r="AW1185" s="27"/>
      <c r="AX1185" s="27"/>
      <c r="AY1185" s="27"/>
      <c r="AZ1185" s="27"/>
      <c r="BA1185" s="27"/>
      <c r="BB1185" s="27"/>
      <c r="BC1185" s="27"/>
      <c r="BD1185" s="27"/>
      <c r="BE1185" s="27"/>
      <c r="BF1185" s="27"/>
      <c r="BG1185" s="27"/>
      <c r="BH1185" s="27"/>
      <c r="BI1185" s="139"/>
    </row>
    <row r="1186" spans="2:61" ht="20.100000000000001" customHeight="1" x14ac:dyDescent="0.45">
      <c r="B1186" s="133"/>
      <c r="C1186" s="27"/>
      <c r="D1186" s="27"/>
      <c r="E1186" s="27"/>
      <c r="F1186" s="27"/>
      <c r="G1186" s="134"/>
      <c r="H1186" s="135"/>
      <c r="I1186" s="27"/>
      <c r="J1186" s="135"/>
      <c r="K1186" s="27" t="s">
        <v>872</v>
      </c>
      <c r="L1186" s="27"/>
      <c r="M1186" s="27"/>
      <c r="N1186" s="27"/>
      <c r="O1186" s="27"/>
      <c r="P1186" s="27"/>
      <c r="Q1186" s="27"/>
      <c r="R1186" s="27"/>
      <c r="S1186" s="27"/>
      <c r="T1186" s="27"/>
      <c r="U1186" s="27"/>
      <c r="V1186" s="27"/>
      <c r="W1186" s="27"/>
      <c r="X1186" s="27"/>
      <c r="Y1186" s="27"/>
      <c r="Z1186" s="27"/>
      <c r="AA1186" s="27"/>
      <c r="AB1186" s="27"/>
      <c r="AC1186" s="27"/>
      <c r="AD1186" s="27"/>
      <c r="AE1186" s="27"/>
      <c r="AF1186" s="27"/>
      <c r="AG1186" s="27"/>
      <c r="AH1186" s="27"/>
      <c r="AI1186" s="27"/>
      <c r="AJ1186" s="27"/>
      <c r="AK1186" s="138"/>
      <c r="AL1186" s="27"/>
      <c r="AM1186" s="27"/>
      <c r="AN1186" s="27"/>
      <c r="AO1186" s="27"/>
      <c r="AP1186" s="27"/>
      <c r="AQ1186" s="27"/>
      <c r="AR1186" s="27"/>
      <c r="AS1186" s="27"/>
      <c r="AT1186" s="27"/>
      <c r="AU1186" s="27"/>
      <c r="AV1186" s="27"/>
      <c r="AW1186" s="27"/>
      <c r="AX1186" s="27"/>
      <c r="AY1186" s="27"/>
      <c r="AZ1186" s="27"/>
      <c r="BA1186" s="27"/>
      <c r="BB1186" s="27"/>
      <c r="BC1186" s="27"/>
      <c r="BD1186" s="27"/>
      <c r="BE1186" s="27"/>
      <c r="BF1186" s="27"/>
      <c r="BG1186" s="27"/>
      <c r="BH1186" s="27"/>
      <c r="BI1186" s="139"/>
    </row>
    <row r="1187" spans="2:61" ht="20.100000000000001" customHeight="1" x14ac:dyDescent="0.45">
      <c r="B1187" s="133"/>
      <c r="C1187" s="27"/>
      <c r="D1187" s="27"/>
      <c r="E1187" s="27"/>
      <c r="F1187" s="27"/>
      <c r="G1187" s="134"/>
      <c r="H1187" s="135"/>
      <c r="I1187" s="27"/>
      <c r="J1187" s="135"/>
      <c r="K1187" s="27" t="s">
        <v>870</v>
      </c>
      <c r="L1187" s="27"/>
      <c r="M1187" s="27"/>
      <c r="N1187" s="27"/>
      <c r="O1187" s="27"/>
      <c r="P1187" s="27"/>
      <c r="Q1187" s="27"/>
      <c r="R1187" s="27"/>
      <c r="S1187" s="27"/>
      <c r="T1187" s="27"/>
      <c r="U1187" s="27"/>
      <c r="V1187" s="27"/>
      <c r="W1187" s="27"/>
      <c r="X1187" s="27"/>
      <c r="Y1187" s="27"/>
      <c r="Z1187" s="27"/>
      <c r="AA1187" s="27"/>
      <c r="AB1187" s="27"/>
      <c r="AC1187" s="27"/>
      <c r="AD1187" s="27"/>
      <c r="AE1187" s="27"/>
      <c r="AF1187" s="27"/>
      <c r="AG1187" s="27"/>
      <c r="AH1187" s="27"/>
      <c r="AI1187" s="27"/>
      <c r="AJ1187" s="27"/>
      <c r="AK1187" s="138"/>
      <c r="AL1187" s="27"/>
      <c r="AM1187" s="27"/>
      <c r="AN1187" s="27"/>
      <c r="AO1187" s="27"/>
      <c r="AP1187" s="27"/>
      <c r="AQ1187" s="27"/>
      <c r="AR1187" s="27"/>
      <c r="AS1187" s="27"/>
      <c r="AT1187" s="27"/>
      <c r="AU1187" s="27"/>
      <c r="AV1187" s="27"/>
      <c r="AW1187" s="27"/>
      <c r="AX1187" s="27"/>
      <c r="AY1187" s="27"/>
      <c r="AZ1187" s="27"/>
      <c r="BA1187" s="27"/>
      <c r="BB1187" s="27"/>
      <c r="BC1187" s="27"/>
      <c r="BD1187" s="27"/>
      <c r="BE1187" s="27"/>
      <c r="BF1187" s="27"/>
      <c r="BG1187" s="27"/>
      <c r="BH1187" s="27"/>
      <c r="BI1187" s="139"/>
    </row>
    <row r="1188" spans="2:61" ht="20.100000000000001" customHeight="1" x14ac:dyDescent="0.45">
      <c r="B1188" s="133"/>
      <c r="C1188" s="27"/>
      <c r="D1188" s="27"/>
      <c r="E1188" s="27"/>
      <c r="F1188" s="27"/>
      <c r="G1188" s="134"/>
      <c r="H1188" s="135"/>
      <c r="I1188" s="27"/>
      <c r="J1188" s="135"/>
      <c r="K1188" s="27" t="s">
        <v>873</v>
      </c>
      <c r="L1188" s="27"/>
      <c r="M1188" s="27"/>
      <c r="N1188" s="27"/>
      <c r="O1188" s="27"/>
      <c r="P1188" s="27"/>
      <c r="Q1188" s="27"/>
      <c r="R1188" s="27"/>
      <c r="S1188" s="27"/>
      <c r="T1188" s="27"/>
      <c r="U1188" s="27"/>
      <c r="V1188" s="27"/>
      <c r="W1188" s="27"/>
      <c r="X1188" s="27"/>
      <c r="Y1188" s="27"/>
      <c r="Z1188" s="27"/>
      <c r="AA1188" s="27"/>
      <c r="AB1188" s="27"/>
      <c r="AC1188" s="27"/>
      <c r="AD1188" s="27"/>
      <c r="AE1188" s="27"/>
      <c r="AF1188" s="27"/>
      <c r="AG1188" s="27"/>
      <c r="AH1188" s="27"/>
      <c r="AI1188" s="27"/>
      <c r="AJ1188" s="27"/>
      <c r="AK1188" s="138"/>
      <c r="AL1188" s="27"/>
      <c r="AM1188" s="27"/>
      <c r="AN1188" s="27"/>
      <c r="AO1188" s="27"/>
      <c r="AP1188" s="27"/>
      <c r="AQ1188" s="27"/>
      <c r="AR1188" s="27"/>
      <c r="AS1188" s="27"/>
      <c r="AT1188" s="27"/>
      <c r="AU1188" s="27"/>
      <c r="AV1188" s="27"/>
      <c r="AW1188" s="27"/>
      <c r="AX1188" s="27"/>
      <c r="AY1188" s="27"/>
      <c r="AZ1188" s="27"/>
      <c r="BA1188" s="27"/>
      <c r="BB1188" s="27"/>
      <c r="BC1188" s="27"/>
      <c r="BD1188" s="27"/>
      <c r="BE1188" s="27"/>
      <c r="BF1188" s="27"/>
      <c r="BG1188" s="27"/>
      <c r="BH1188" s="27"/>
      <c r="BI1188" s="139"/>
    </row>
    <row r="1189" spans="2:61" ht="20.100000000000001" customHeight="1" x14ac:dyDescent="0.45">
      <c r="B1189" s="133"/>
      <c r="C1189" s="27"/>
      <c r="D1189" s="27"/>
      <c r="E1189" s="27"/>
      <c r="F1189" s="27"/>
      <c r="G1189" s="134"/>
      <c r="H1189" s="135"/>
      <c r="I1189" s="27"/>
      <c r="J1189" s="135"/>
      <c r="K1189" s="27" t="s">
        <v>870</v>
      </c>
      <c r="L1189" s="27"/>
      <c r="M1189" s="27"/>
      <c r="N1189" s="27"/>
      <c r="O1189" s="27"/>
      <c r="P1189" s="27"/>
      <c r="Q1189" s="27"/>
      <c r="R1189" s="27"/>
      <c r="S1189" s="27"/>
      <c r="T1189" s="27"/>
      <c r="U1189" s="27"/>
      <c r="V1189" s="27"/>
      <c r="W1189" s="27"/>
      <c r="X1189" s="27"/>
      <c r="Y1189" s="27"/>
      <c r="Z1189" s="27"/>
      <c r="AA1189" s="27"/>
      <c r="AB1189" s="27"/>
      <c r="AC1189" s="27"/>
      <c r="AD1189" s="27"/>
      <c r="AE1189" s="27"/>
      <c r="AF1189" s="27"/>
      <c r="AG1189" s="27"/>
      <c r="AH1189" s="27"/>
      <c r="AI1189" s="27"/>
      <c r="AJ1189" s="27"/>
      <c r="AK1189" s="138"/>
      <c r="AL1189" s="27"/>
      <c r="AM1189" s="27"/>
      <c r="AN1189" s="27"/>
      <c r="AO1189" s="27"/>
      <c r="AP1189" s="27"/>
      <c r="AQ1189" s="27"/>
      <c r="AR1189" s="27"/>
      <c r="AS1189" s="27"/>
      <c r="AT1189" s="27"/>
      <c r="AU1189" s="27"/>
      <c r="AV1189" s="27"/>
      <c r="AW1189" s="27"/>
      <c r="AX1189" s="27"/>
      <c r="AY1189" s="27"/>
      <c r="AZ1189" s="27"/>
      <c r="BA1189" s="27"/>
      <c r="BB1189" s="27"/>
      <c r="BC1189" s="27"/>
      <c r="BD1189" s="27"/>
      <c r="BE1189" s="27"/>
      <c r="BF1189" s="27"/>
      <c r="BG1189" s="27"/>
      <c r="BH1189" s="27"/>
      <c r="BI1189" s="139"/>
    </row>
    <row r="1190" spans="2:61" ht="20.100000000000001" customHeight="1" x14ac:dyDescent="0.45">
      <c r="B1190" s="133"/>
      <c r="C1190" s="27"/>
      <c r="D1190" s="27"/>
      <c r="E1190" s="27"/>
      <c r="F1190" s="27"/>
      <c r="G1190" s="134"/>
      <c r="H1190" s="135"/>
      <c r="I1190" s="27"/>
      <c r="J1190" s="135"/>
      <c r="K1190" s="27" t="s">
        <v>874</v>
      </c>
      <c r="L1190" s="27"/>
      <c r="M1190" s="27"/>
      <c r="N1190" s="27"/>
      <c r="O1190" s="27"/>
      <c r="P1190" s="27"/>
      <c r="Q1190" s="27"/>
      <c r="R1190" s="27"/>
      <c r="S1190" s="27"/>
      <c r="T1190" s="27"/>
      <c r="U1190" s="27"/>
      <c r="V1190" s="27"/>
      <c r="W1190" s="27"/>
      <c r="X1190" s="27"/>
      <c r="Y1190" s="27"/>
      <c r="Z1190" s="27"/>
      <c r="AA1190" s="27"/>
      <c r="AB1190" s="27"/>
      <c r="AC1190" s="27"/>
      <c r="AD1190" s="27"/>
      <c r="AE1190" s="27"/>
      <c r="AF1190" s="27"/>
      <c r="AG1190" s="27"/>
      <c r="AH1190" s="27"/>
      <c r="AI1190" s="27"/>
      <c r="AJ1190" s="27"/>
      <c r="AK1190" s="138"/>
      <c r="AL1190" s="27"/>
      <c r="AM1190" s="27"/>
      <c r="AN1190" s="27"/>
      <c r="AO1190" s="27"/>
      <c r="AP1190" s="27"/>
      <c r="AQ1190" s="27"/>
      <c r="AR1190" s="27"/>
      <c r="AS1190" s="27"/>
      <c r="AT1190" s="27"/>
      <c r="AU1190" s="27"/>
      <c r="AV1190" s="27"/>
      <c r="AW1190" s="27"/>
      <c r="AX1190" s="27"/>
      <c r="AY1190" s="27"/>
      <c r="AZ1190" s="27"/>
      <c r="BA1190" s="27"/>
      <c r="BB1190" s="27"/>
      <c r="BC1190" s="27"/>
      <c r="BD1190" s="27"/>
      <c r="BE1190" s="27"/>
      <c r="BF1190" s="27"/>
      <c r="BG1190" s="27"/>
      <c r="BH1190" s="27"/>
      <c r="BI1190" s="139"/>
    </row>
    <row r="1191" spans="2:61" ht="20.100000000000001" customHeight="1" x14ac:dyDescent="0.45">
      <c r="B1191" s="133"/>
      <c r="C1191" s="27"/>
      <c r="D1191" s="27"/>
      <c r="E1191" s="27"/>
      <c r="F1191" s="27"/>
      <c r="G1191" s="134"/>
      <c r="H1191" s="135"/>
      <c r="I1191" s="27"/>
      <c r="J1191" s="135"/>
      <c r="K1191" s="27" t="s">
        <v>870</v>
      </c>
      <c r="L1191" s="27"/>
      <c r="M1191" s="27"/>
      <c r="N1191" s="27"/>
      <c r="O1191" s="27"/>
      <c r="P1191" s="27"/>
      <c r="Q1191" s="27"/>
      <c r="R1191" s="27"/>
      <c r="S1191" s="27"/>
      <c r="T1191" s="27"/>
      <c r="U1191" s="27"/>
      <c r="V1191" s="27"/>
      <c r="W1191" s="27"/>
      <c r="X1191" s="27"/>
      <c r="Y1191" s="27"/>
      <c r="Z1191" s="27"/>
      <c r="AA1191" s="27"/>
      <c r="AB1191" s="27"/>
      <c r="AC1191" s="27"/>
      <c r="AD1191" s="27"/>
      <c r="AE1191" s="27"/>
      <c r="AF1191" s="27"/>
      <c r="AG1191" s="27"/>
      <c r="AH1191" s="27"/>
      <c r="AI1191" s="27"/>
      <c r="AJ1191" s="27"/>
      <c r="AK1191" s="138"/>
      <c r="AL1191" s="27"/>
      <c r="AM1191" s="27"/>
      <c r="AN1191" s="27"/>
      <c r="AO1191" s="27"/>
      <c r="AP1191" s="27"/>
      <c r="AQ1191" s="27"/>
      <c r="AR1191" s="27"/>
      <c r="AS1191" s="27"/>
      <c r="AT1191" s="27"/>
      <c r="AU1191" s="27"/>
      <c r="AV1191" s="27"/>
      <c r="AW1191" s="27"/>
      <c r="AX1191" s="27"/>
      <c r="AY1191" s="27"/>
      <c r="AZ1191" s="27"/>
      <c r="BA1191" s="27"/>
      <c r="BB1191" s="27"/>
      <c r="BC1191" s="27"/>
      <c r="BD1191" s="27"/>
      <c r="BE1191" s="27"/>
      <c r="BF1191" s="27"/>
      <c r="BG1191" s="27"/>
      <c r="BH1191" s="27"/>
      <c r="BI1191" s="139"/>
    </row>
    <row r="1192" spans="2:61" ht="20.100000000000001" customHeight="1" x14ac:dyDescent="0.45">
      <c r="B1192" s="133"/>
      <c r="C1192" s="27"/>
      <c r="D1192" s="27"/>
      <c r="E1192" s="27"/>
      <c r="F1192" s="27"/>
      <c r="G1192" s="134"/>
      <c r="H1192" s="135"/>
      <c r="I1192" s="27"/>
      <c r="J1192" s="135"/>
      <c r="K1192" s="27" t="s">
        <v>875</v>
      </c>
      <c r="L1192" s="27"/>
      <c r="M1192" s="27"/>
      <c r="N1192" s="27"/>
      <c r="O1192" s="27"/>
      <c r="P1192" s="27"/>
      <c r="Q1192" s="27"/>
      <c r="R1192" s="27"/>
      <c r="S1192" s="27"/>
      <c r="T1192" s="27"/>
      <c r="U1192" s="27"/>
      <c r="V1192" s="27"/>
      <c r="W1192" s="27"/>
      <c r="X1192" s="27"/>
      <c r="Y1192" s="27"/>
      <c r="Z1192" s="27"/>
      <c r="AA1192" s="27"/>
      <c r="AB1192" s="27"/>
      <c r="AC1192" s="27"/>
      <c r="AD1192" s="27"/>
      <c r="AE1192" s="27"/>
      <c r="AF1192" s="27"/>
      <c r="AG1192" s="27"/>
      <c r="AH1192" s="27"/>
      <c r="AI1192" s="27"/>
      <c r="AJ1192" s="27"/>
      <c r="AK1192" s="138"/>
      <c r="AL1192" s="27"/>
      <c r="AM1192" s="27"/>
      <c r="AN1192" s="27"/>
      <c r="AO1192" s="27"/>
      <c r="AP1192" s="27"/>
      <c r="AQ1192" s="27"/>
      <c r="AR1192" s="27"/>
      <c r="AS1192" s="27"/>
      <c r="AT1192" s="27"/>
      <c r="AU1192" s="27"/>
      <c r="AV1192" s="27"/>
      <c r="AW1192" s="27"/>
      <c r="AX1192" s="27"/>
      <c r="AY1192" s="27"/>
      <c r="AZ1192" s="27"/>
      <c r="BA1192" s="27"/>
      <c r="BB1192" s="27"/>
      <c r="BC1192" s="27"/>
      <c r="BD1192" s="27"/>
      <c r="BE1192" s="27"/>
      <c r="BF1192" s="27"/>
      <c r="BG1192" s="27"/>
      <c r="BH1192" s="27"/>
      <c r="BI1192" s="139"/>
    </row>
    <row r="1193" spans="2:61" ht="20.100000000000001" customHeight="1" thickBot="1" x14ac:dyDescent="0.5">
      <c r="B1193" s="133"/>
      <c r="C1193" s="27"/>
      <c r="D1193" s="27"/>
      <c r="E1193" s="27"/>
      <c r="F1193" s="27"/>
      <c r="G1193" s="134"/>
      <c r="H1193" s="160" t="s">
        <v>334</v>
      </c>
      <c r="I1193" s="161"/>
      <c r="J1193" s="160" t="s">
        <v>876</v>
      </c>
      <c r="K1193" s="161"/>
      <c r="L1193" s="161"/>
      <c r="M1193" s="161"/>
      <c r="N1193" s="161"/>
      <c r="O1193" s="161"/>
      <c r="P1193" s="161"/>
      <c r="Q1193" s="161"/>
      <c r="R1193" s="161"/>
      <c r="S1193" s="161"/>
      <c r="T1193" s="161"/>
      <c r="U1193" s="161"/>
      <c r="V1193" s="161"/>
      <c r="W1193" s="161"/>
      <c r="X1193" s="161"/>
      <c r="Y1193" s="161"/>
      <c r="Z1193" s="161"/>
      <c r="AA1193" s="161"/>
      <c r="AB1193" s="161"/>
      <c r="AC1193" s="161"/>
      <c r="AD1193" s="161"/>
      <c r="AE1193" s="161"/>
      <c r="AF1193" s="161"/>
      <c r="AG1193" s="161"/>
      <c r="AH1193" s="161"/>
      <c r="AI1193" s="161"/>
      <c r="AJ1193" s="161"/>
      <c r="AK1193" s="162"/>
      <c r="AL1193" s="161"/>
      <c r="AM1193" s="161"/>
      <c r="AN1193" s="161"/>
      <c r="AO1193" s="161"/>
      <c r="AP1193" s="161"/>
      <c r="AQ1193" s="161"/>
      <c r="AR1193" s="161"/>
      <c r="AS1193" s="161"/>
      <c r="AT1193" s="161"/>
      <c r="AU1193" s="161"/>
      <c r="AV1193" s="161"/>
      <c r="AW1193" s="161"/>
      <c r="AX1193" s="161"/>
      <c r="AY1193" s="161"/>
      <c r="AZ1193" s="161"/>
      <c r="BA1193" s="161"/>
      <c r="BB1193" s="161"/>
      <c r="BC1193" s="161"/>
      <c r="BD1193" s="161"/>
      <c r="BE1193" s="161"/>
      <c r="BF1193" s="161"/>
      <c r="BG1193" s="161"/>
      <c r="BH1193" s="161"/>
      <c r="BI1193" s="163"/>
    </row>
    <row r="1194" spans="2:61" ht="5.0999999999999996" customHeight="1" x14ac:dyDescent="0.45">
      <c r="B1194" s="125"/>
      <c r="C1194" s="125"/>
      <c r="D1194" s="125"/>
      <c r="E1194" s="125"/>
      <c r="F1194" s="125"/>
      <c r="G1194" s="125"/>
      <c r="H1194" s="125"/>
      <c r="I1194" s="125"/>
      <c r="J1194" s="125"/>
      <c r="K1194" s="125"/>
      <c r="L1194" s="125"/>
      <c r="M1194" s="125"/>
      <c r="N1194" s="125"/>
      <c r="O1194" s="125"/>
      <c r="P1194" s="125"/>
      <c r="Q1194" s="125"/>
      <c r="R1194" s="125"/>
      <c r="S1194" s="125"/>
      <c r="T1194" s="125"/>
      <c r="U1194" s="125"/>
      <c r="V1194" s="125"/>
      <c r="W1194" s="125"/>
      <c r="X1194" s="125"/>
      <c r="Y1194" s="125"/>
      <c r="Z1194" s="125"/>
      <c r="AA1194" s="125"/>
      <c r="AB1194" s="125"/>
      <c r="AC1194" s="125"/>
      <c r="AD1194" s="125"/>
      <c r="AE1194" s="125"/>
      <c r="AF1194" s="125"/>
      <c r="AG1194" s="125"/>
      <c r="AH1194" s="125"/>
      <c r="AI1194" s="125"/>
      <c r="AJ1194" s="125"/>
      <c r="AK1194" s="125"/>
      <c r="AL1194" s="125"/>
      <c r="AM1194" s="125"/>
      <c r="AN1194" s="125"/>
      <c r="AO1194" s="125"/>
      <c r="AP1194" s="125"/>
      <c r="AQ1194" s="125"/>
      <c r="AR1194" s="125"/>
      <c r="AS1194" s="125"/>
      <c r="AT1194" s="125"/>
      <c r="AU1194" s="125"/>
      <c r="AV1194" s="125"/>
      <c r="AW1194" s="125"/>
      <c r="AX1194" s="125"/>
      <c r="AY1194" s="125"/>
      <c r="AZ1194" s="125"/>
      <c r="BA1194" s="125"/>
      <c r="BB1194" s="125"/>
      <c r="BC1194" s="125"/>
      <c r="BD1194" s="125"/>
      <c r="BE1194" s="125"/>
      <c r="BF1194" s="125"/>
      <c r="BG1194" s="125"/>
      <c r="BH1194" s="125"/>
      <c r="BI1194" s="125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15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5"/>
  <sheetViews>
    <sheetView workbookViewId="0"/>
  </sheetViews>
  <sheetFormatPr defaultRowHeight="18" x14ac:dyDescent="0.45"/>
  <cols>
    <col min="1" max="2" width="8.796875" style="25"/>
    <col min="3" max="3" width="26.59765625" style="25" customWidth="1"/>
    <col min="4" max="4" width="25.69921875" style="25" customWidth="1"/>
    <col min="5" max="5" width="87.5" style="25" bestFit="1" customWidth="1"/>
    <col min="6" max="6" width="10.3984375" style="25" bestFit="1" customWidth="1"/>
    <col min="7" max="16384" width="8.796875" style="25"/>
  </cols>
  <sheetData>
    <row r="2" spans="2:8" ht="19.2" thickBot="1" x14ac:dyDescent="0.5">
      <c r="B2" s="83" t="s">
        <v>46</v>
      </c>
    </row>
    <row r="3" spans="2:8" ht="18.600000000000001" thickTop="1" x14ac:dyDescent="0.45">
      <c r="B3" s="34" t="s">
        <v>18</v>
      </c>
      <c r="C3" s="73" t="s">
        <v>47</v>
      </c>
      <c r="D3" s="73" t="s">
        <v>48</v>
      </c>
      <c r="E3" s="70" t="s">
        <v>20</v>
      </c>
      <c r="F3" s="123" t="s">
        <v>156</v>
      </c>
      <c r="G3" s="74" t="s">
        <v>49</v>
      </c>
    </row>
    <row r="4" spans="2:8" x14ac:dyDescent="0.45">
      <c r="B4" s="33">
        <v>1</v>
      </c>
      <c r="C4" s="75"/>
      <c r="D4" s="75"/>
      <c r="E4" s="76" t="s">
        <v>128</v>
      </c>
      <c r="F4" s="76" t="s">
        <v>157</v>
      </c>
      <c r="G4" s="77" t="s">
        <v>155</v>
      </c>
      <c r="H4" s="25" t="s">
        <v>129</v>
      </c>
    </row>
    <row r="5" spans="2:8" x14ac:dyDescent="0.45">
      <c r="B5" s="33">
        <v>2</v>
      </c>
      <c r="C5" s="75"/>
      <c r="D5" s="75"/>
      <c r="E5" s="78"/>
      <c r="F5" s="78"/>
      <c r="G5" s="77"/>
    </row>
    <row r="6" spans="2:8" x14ac:dyDescent="0.45">
      <c r="B6" s="33">
        <v>3</v>
      </c>
      <c r="C6" s="75"/>
      <c r="D6" s="75"/>
      <c r="E6" s="78"/>
      <c r="F6" s="78"/>
      <c r="G6" s="77"/>
    </row>
    <row r="7" spans="2:8" x14ac:dyDescent="0.45">
      <c r="B7" s="33">
        <v>4</v>
      </c>
      <c r="C7" s="75"/>
      <c r="D7" s="75"/>
      <c r="E7" s="78"/>
      <c r="F7" s="78"/>
      <c r="G7" s="77"/>
    </row>
    <row r="8" spans="2:8" x14ac:dyDescent="0.45">
      <c r="B8" s="33">
        <v>5</v>
      </c>
      <c r="C8" s="75"/>
      <c r="D8" s="75"/>
      <c r="E8" s="78"/>
      <c r="F8" s="78"/>
      <c r="G8" s="77"/>
    </row>
    <row r="9" spans="2:8" x14ac:dyDescent="0.45">
      <c r="B9" s="33">
        <v>6</v>
      </c>
      <c r="C9" s="75"/>
      <c r="D9" s="75"/>
      <c r="E9" s="78"/>
      <c r="F9" s="78"/>
      <c r="G9" s="77"/>
    </row>
    <row r="10" spans="2:8" x14ac:dyDescent="0.45">
      <c r="B10" s="33">
        <v>7</v>
      </c>
      <c r="C10" s="75"/>
      <c r="D10" s="75"/>
      <c r="E10" s="78"/>
      <c r="F10" s="78"/>
      <c r="G10" s="77"/>
    </row>
    <row r="11" spans="2:8" x14ac:dyDescent="0.45">
      <c r="B11" s="33">
        <v>8</v>
      </c>
      <c r="C11" s="75"/>
      <c r="D11" s="75"/>
      <c r="E11" s="78"/>
      <c r="F11" s="78"/>
      <c r="G11" s="77"/>
    </row>
    <row r="12" spans="2:8" x14ac:dyDescent="0.45">
      <c r="B12" s="33">
        <v>9</v>
      </c>
      <c r="C12" s="75"/>
      <c r="D12" s="75"/>
      <c r="E12" s="78"/>
      <c r="F12" s="78"/>
      <c r="G12" s="77"/>
    </row>
    <row r="13" spans="2:8" x14ac:dyDescent="0.45">
      <c r="B13" s="33">
        <v>10</v>
      </c>
      <c r="C13" s="75"/>
      <c r="D13" s="75"/>
      <c r="E13" s="78"/>
      <c r="F13" s="78"/>
      <c r="G13" s="77"/>
    </row>
    <row r="14" spans="2:8" x14ac:dyDescent="0.45">
      <c r="B14" s="33">
        <v>11</v>
      </c>
      <c r="C14" s="75"/>
      <c r="D14" s="75"/>
      <c r="E14" s="78"/>
      <c r="F14" s="78"/>
      <c r="G14" s="77"/>
    </row>
    <row r="15" spans="2:8" x14ac:dyDescent="0.45">
      <c r="B15" s="33">
        <v>12</v>
      </c>
      <c r="C15" s="75"/>
      <c r="D15" s="75"/>
      <c r="E15" s="78"/>
      <c r="F15" s="78"/>
      <c r="G15" s="77"/>
    </row>
    <row r="16" spans="2:8" x14ac:dyDescent="0.45">
      <c r="B16" s="33">
        <v>13</v>
      </c>
      <c r="C16" s="75"/>
      <c r="D16" s="75"/>
      <c r="E16" s="78"/>
      <c r="F16" s="78"/>
      <c r="G16" s="77"/>
    </row>
    <row r="17" spans="2:7" x14ac:dyDescent="0.45">
      <c r="B17" s="33">
        <v>14</v>
      </c>
      <c r="C17" s="75"/>
      <c r="D17" s="75"/>
      <c r="E17" s="78"/>
      <c r="F17" s="78"/>
      <c r="G17" s="77"/>
    </row>
    <row r="18" spans="2:7" x14ac:dyDescent="0.45">
      <c r="B18" s="33">
        <v>15</v>
      </c>
      <c r="C18" s="75"/>
      <c r="D18" s="75"/>
      <c r="E18" s="78"/>
      <c r="F18" s="78"/>
      <c r="G18" s="77"/>
    </row>
    <row r="19" spans="2:7" x14ac:dyDescent="0.45">
      <c r="B19" s="33">
        <v>16</v>
      </c>
      <c r="C19" s="75"/>
      <c r="D19" s="75"/>
      <c r="E19" s="78"/>
      <c r="F19" s="78"/>
      <c r="G19" s="77"/>
    </row>
    <row r="20" spans="2:7" x14ac:dyDescent="0.45">
      <c r="B20" s="33">
        <v>17</v>
      </c>
      <c r="C20" s="75"/>
      <c r="D20" s="75"/>
      <c r="E20" s="78"/>
      <c r="F20" s="78"/>
      <c r="G20" s="77"/>
    </row>
    <row r="21" spans="2:7" x14ac:dyDescent="0.45">
      <c r="B21" s="33">
        <v>18</v>
      </c>
      <c r="C21" s="75"/>
      <c r="D21" s="75"/>
      <c r="E21" s="78"/>
      <c r="F21" s="78"/>
      <c r="G21" s="77"/>
    </row>
    <row r="22" spans="2:7" x14ac:dyDescent="0.45">
      <c r="B22" s="33">
        <v>19</v>
      </c>
      <c r="C22" s="75"/>
      <c r="D22" s="75"/>
      <c r="E22" s="78"/>
      <c r="F22" s="78"/>
      <c r="G22" s="77"/>
    </row>
    <row r="23" spans="2:7" x14ac:dyDescent="0.45">
      <c r="B23" s="33">
        <v>20</v>
      </c>
      <c r="C23" s="75"/>
      <c r="D23" s="75"/>
      <c r="E23" s="78"/>
      <c r="F23" s="78"/>
      <c r="G23" s="77"/>
    </row>
    <row r="24" spans="2:7" x14ac:dyDescent="0.45">
      <c r="B24" s="33">
        <v>21</v>
      </c>
      <c r="C24" s="75"/>
      <c r="D24" s="75"/>
      <c r="E24" s="78"/>
      <c r="F24" s="78"/>
      <c r="G24" s="77"/>
    </row>
    <row r="25" spans="2:7" x14ac:dyDescent="0.45">
      <c r="B25" s="33">
        <v>22</v>
      </c>
      <c r="C25" s="75"/>
      <c r="D25" s="75"/>
      <c r="E25" s="78"/>
      <c r="F25" s="78"/>
      <c r="G25" s="77"/>
    </row>
    <row r="26" spans="2:7" x14ac:dyDescent="0.45">
      <c r="B26" s="33">
        <v>23</v>
      </c>
      <c r="C26" s="75"/>
      <c r="D26" s="75"/>
      <c r="E26" s="78"/>
      <c r="F26" s="78"/>
      <c r="G26" s="77"/>
    </row>
    <row r="27" spans="2:7" x14ac:dyDescent="0.45">
      <c r="B27" s="33">
        <v>24</v>
      </c>
      <c r="C27" s="75"/>
      <c r="D27" s="75"/>
      <c r="E27" s="78"/>
      <c r="F27" s="78"/>
      <c r="G27" s="77"/>
    </row>
    <row r="28" spans="2:7" x14ac:dyDescent="0.45">
      <c r="B28" s="33">
        <v>25</v>
      </c>
      <c r="C28" s="75"/>
      <c r="D28" s="75"/>
      <c r="E28" s="78"/>
      <c r="F28" s="78"/>
      <c r="G28" s="77"/>
    </row>
    <row r="29" spans="2:7" x14ac:dyDescent="0.45">
      <c r="B29" s="33">
        <v>26</v>
      </c>
      <c r="C29" s="75"/>
      <c r="D29" s="75"/>
      <c r="E29" s="78"/>
      <c r="F29" s="78"/>
      <c r="G29" s="77"/>
    </row>
    <row r="30" spans="2:7" x14ac:dyDescent="0.45">
      <c r="B30" s="33">
        <v>27</v>
      </c>
      <c r="C30" s="75"/>
      <c r="D30" s="75"/>
      <c r="E30" s="78"/>
      <c r="F30" s="78"/>
      <c r="G30" s="77"/>
    </row>
    <row r="31" spans="2:7" x14ac:dyDescent="0.45">
      <c r="B31" s="33">
        <v>28</v>
      </c>
      <c r="C31" s="75"/>
      <c r="D31" s="75"/>
      <c r="E31" s="78"/>
      <c r="F31" s="78"/>
      <c r="G31" s="77"/>
    </row>
    <row r="32" spans="2:7" x14ac:dyDescent="0.45">
      <c r="B32" s="33">
        <v>29</v>
      </c>
      <c r="C32" s="75"/>
      <c r="D32" s="75"/>
      <c r="E32" s="78"/>
      <c r="F32" s="78"/>
      <c r="G32" s="77"/>
    </row>
    <row r="33" spans="2:7" x14ac:dyDescent="0.45">
      <c r="B33" s="33">
        <v>30</v>
      </c>
      <c r="C33" s="75"/>
      <c r="D33" s="75"/>
      <c r="E33" s="78"/>
      <c r="F33" s="78"/>
      <c r="G33" s="77"/>
    </row>
    <row r="34" spans="2:7" x14ac:dyDescent="0.45">
      <c r="B34" s="33">
        <v>31</v>
      </c>
      <c r="C34" s="75"/>
      <c r="D34" s="75"/>
      <c r="E34" s="78"/>
      <c r="F34" s="78"/>
      <c r="G34" s="77"/>
    </row>
    <row r="35" spans="2:7" x14ac:dyDescent="0.45">
      <c r="B35" s="33">
        <v>32</v>
      </c>
      <c r="C35" s="75"/>
      <c r="D35" s="75"/>
      <c r="E35" s="78"/>
      <c r="F35" s="78"/>
      <c r="G35" s="77"/>
    </row>
    <row r="36" spans="2:7" x14ac:dyDescent="0.45">
      <c r="B36" s="33">
        <v>33</v>
      </c>
      <c r="C36" s="75"/>
      <c r="D36" s="75"/>
      <c r="E36" s="78"/>
      <c r="F36" s="78"/>
      <c r="G36" s="77"/>
    </row>
    <row r="37" spans="2:7" x14ac:dyDescent="0.45">
      <c r="B37" s="33">
        <v>34</v>
      </c>
      <c r="C37" s="75"/>
      <c r="D37" s="75"/>
      <c r="E37" s="78"/>
      <c r="F37" s="78"/>
      <c r="G37" s="77"/>
    </row>
    <row r="38" spans="2:7" x14ac:dyDescent="0.45">
      <c r="B38" s="33">
        <v>35</v>
      </c>
      <c r="C38" s="75"/>
      <c r="D38" s="75"/>
      <c r="E38" s="78"/>
      <c r="F38" s="78"/>
      <c r="G38" s="77"/>
    </row>
    <row r="39" spans="2:7" x14ac:dyDescent="0.45">
      <c r="B39" s="33">
        <v>36</v>
      </c>
      <c r="C39" s="75"/>
      <c r="D39" s="75"/>
      <c r="E39" s="78"/>
      <c r="F39" s="78"/>
      <c r="G39" s="77"/>
    </row>
    <row r="40" spans="2:7" x14ac:dyDescent="0.45">
      <c r="B40" s="33">
        <v>37</v>
      </c>
      <c r="C40" s="75"/>
      <c r="D40" s="75"/>
      <c r="E40" s="78"/>
      <c r="F40" s="78"/>
      <c r="G40" s="77"/>
    </row>
    <row r="41" spans="2:7" x14ac:dyDescent="0.45">
      <c r="B41" s="33">
        <v>38</v>
      </c>
      <c r="C41" s="75"/>
      <c r="D41" s="75"/>
      <c r="E41" s="78"/>
      <c r="F41" s="78"/>
      <c r="G41" s="77"/>
    </row>
    <row r="42" spans="2:7" x14ac:dyDescent="0.45">
      <c r="B42" s="33">
        <v>39</v>
      </c>
      <c r="C42" s="75"/>
      <c r="D42" s="75"/>
      <c r="E42" s="78"/>
      <c r="F42" s="78"/>
      <c r="G42" s="77"/>
    </row>
    <row r="43" spans="2:7" x14ac:dyDescent="0.45">
      <c r="B43" s="33">
        <v>40</v>
      </c>
      <c r="C43" s="75"/>
      <c r="D43" s="75"/>
      <c r="E43" s="78"/>
      <c r="F43" s="78"/>
      <c r="G43" s="77"/>
    </row>
    <row r="44" spans="2:7" x14ac:dyDescent="0.45">
      <c r="B44" s="33">
        <v>41</v>
      </c>
      <c r="C44" s="75"/>
      <c r="D44" s="75"/>
      <c r="E44" s="78"/>
      <c r="F44" s="78"/>
      <c r="G44" s="77"/>
    </row>
    <row r="45" spans="2:7" x14ac:dyDescent="0.45">
      <c r="B45" s="33">
        <v>42</v>
      </c>
      <c r="C45" s="75"/>
      <c r="D45" s="75"/>
      <c r="E45" s="78"/>
      <c r="F45" s="78"/>
      <c r="G45" s="77"/>
    </row>
    <row r="46" spans="2:7" x14ac:dyDescent="0.45">
      <c r="B46" s="33">
        <v>43</v>
      </c>
      <c r="C46" s="75"/>
      <c r="D46" s="75"/>
      <c r="E46" s="78"/>
      <c r="F46" s="78"/>
      <c r="G46" s="77"/>
    </row>
    <row r="47" spans="2:7" x14ac:dyDescent="0.45">
      <c r="B47" s="33">
        <v>44</v>
      </c>
      <c r="C47" s="75"/>
      <c r="D47" s="75"/>
      <c r="E47" s="78"/>
      <c r="F47" s="78"/>
      <c r="G47" s="77"/>
    </row>
    <row r="48" spans="2:7" x14ac:dyDescent="0.45">
      <c r="B48" s="33">
        <v>45</v>
      </c>
      <c r="C48" s="75"/>
      <c r="D48" s="75"/>
      <c r="E48" s="78"/>
      <c r="F48" s="78"/>
      <c r="G48" s="77"/>
    </row>
    <row r="49" spans="2:7" x14ac:dyDescent="0.45">
      <c r="B49" s="33">
        <v>46</v>
      </c>
      <c r="C49" s="75"/>
      <c r="D49" s="75"/>
      <c r="E49" s="78"/>
      <c r="F49" s="78"/>
      <c r="G49" s="77"/>
    </row>
    <row r="50" spans="2:7" x14ac:dyDescent="0.45">
      <c r="B50" s="33">
        <v>47</v>
      </c>
      <c r="C50" s="75"/>
      <c r="D50" s="75"/>
      <c r="E50" s="78"/>
      <c r="F50" s="78"/>
      <c r="G50" s="77"/>
    </row>
    <row r="51" spans="2:7" x14ac:dyDescent="0.45">
      <c r="B51" s="33">
        <v>48</v>
      </c>
      <c r="C51" s="75"/>
      <c r="D51" s="75"/>
      <c r="E51" s="78"/>
      <c r="F51" s="78"/>
      <c r="G51" s="77"/>
    </row>
    <row r="52" spans="2:7" x14ac:dyDescent="0.45">
      <c r="B52" s="33">
        <v>49</v>
      </c>
      <c r="C52" s="75"/>
      <c r="D52" s="75"/>
      <c r="E52" s="78"/>
      <c r="F52" s="78"/>
      <c r="G52" s="77"/>
    </row>
    <row r="53" spans="2:7" x14ac:dyDescent="0.45">
      <c r="B53" s="33">
        <v>50</v>
      </c>
      <c r="C53" s="75"/>
      <c r="D53" s="75"/>
      <c r="E53" s="78"/>
      <c r="F53" s="78"/>
      <c r="G53" s="77"/>
    </row>
    <row r="54" spans="2:7" ht="18.600000000000001" thickBot="1" x14ac:dyDescent="0.5">
      <c r="B54" s="79">
        <v>51</v>
      </c>
      <c r="C54" s="80"/>
      <c r="D54" s="80"/>
      <c r="E54" s="81"/>
      <c r="F54" s="81"/>
      <c r="G54" s="82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73"/>
  <sheetViews>
    <sheetView zoomScale="85" zoomScaleNormal="85" workbookViewId="0"/>
  </sheetViews>
  <sheetFormatPr defaultColWidth="8.09765625" defaultRowHeight="18" x14ac:dyDescent="0.2"/>
  <cols>
    <col min="1" max="1" width="4.19921875" style="90" customWidth="1"/>
    <col min="2" max="2" width="4.19921875" style="91" customWidth="1"/>
    <col min="3" max="3" width="11.796875" style="90" customWidth="1"/>
    <col min="4" max="4" width="21.796875" style="90" customWidth="1"/>
    <col min="5" max="6" width="9.59765625" style="90" customWidth="1"/>
    <col min="7" max="9" width="8.19921875" style="90" customWidth="1"/>
    <col min="10" max="10" width="6" style="117" hidden="1" customWidth="1"/>
    <col min="11" max="11" width="9.59765625" style="90" customWidth="1"/>
    <col min="12" max="12" width="5.5" style="90" customWidth="1"/>
    <col min="13" max="13" width="5.5" style="117" hidden="1" customWidth="1"/>
    <col min="14" max="15" width="13.19921875" style="90" customWidth="1"/>
    <col min="16" max="16" width="0.796875" style="90" customWidth="1"/>
    <col min="17" max="17" width="31.19921875" customWidth="1"/>
    <col min="18" max="18" width="20.3984375" customWidth="1"/>
    <col min="19" max="19" width="13.5" hidden="1" customWidth="1"/>
    <col min="20" max="20" width="5.09765625" customWidth="1"/>
    <col min="21" max="21" width="11.3984375" customWidth="1"/>
    <col min="22" max="22" width="22.19921875" hidden="1" customWidth="1"/>
    <col min="23" max="23" width="9.59765625" customWidth="1"/>
    <col min="24" max="24" width="9.59765625" hidden="1" customWidth="1"/>
    <col min="25" max="26" width="13.19921875" customWidth="1"/>
    <col min="27" max="27" width="6.8984375" customWidth="1"/>
    <col min="28" max="28" width="13.19921875" customWidth="1"/>
    <col min="29" max="29" width="14.3984375" hidden="1" customWidth="1"/>
    <col min="30" max="30" width="4" customWidth="1"/>
    <col min="44" max="256" width="8.09765625" style="90"/>
    <col min="257" max="258" width="4.19921875" style="90" customWidth="1"/>
    <col min="259" max="259" width="11.796875" style="90" customWidth="1"/>
    <col min="260" max="260" width="21.796875" style="90" customWidth="1"/>
    <col min="261" max="262" width="9.59765625" style="90" customWidth="1"/>
    <col min="263" max="265" width="8.19921875" style="90" customWidth="1"/>
    <col min="266" max="266" width="0" style="90" hidden="1" customWidth="1"/>
    <col min="267" max="267" width="9.59765625" style="90" customWidth="1"/>
    <col min="268" max="268" width="5.5" style="90" customWidth="1"/>
    <col min="269" max="269" width="0" style="90" hidden="1" customWidth="1"/>
    <col min="270" max="271" width="13.19921875" style="90" customWidth="1"/>
    <col min="272" max="272" width="0.796875" style="90" customWidth="1"/>
    <col min="273" max="273" width="31.19921875" style="90" customWidth="1"/>
    <col min="274" max="274" width="20.3984375" style="90" customWidth="1"/>
    <col min="275" max="275" width="0" style="90" hidden="1" customWidth="1"/>
    <col min="276" max="276" width="5.09765625" style="90" customWidth="1"/>
    <col min="277" max="277" width="11.3984375" style="90" customWidth="1"/>
    <col min="278" max="278" width="0" style="90" hidden="1" customWidth="1"/>
    <col min="279" max="279" width="9.59765625" style="90" customWidth="1"/>
    <col min="280" max="280" width="0" style="90" hidden="1" customWidth="1"/>
    <col min="281" max="282" width="13.19921875" style="90" customWidth="1"/>
    <col min="283" max="283" width="6.8984375" style="90" customWidth="1"/>
    <col min="284" max="284" width="13.19921875" style="90" customWidth="1"/>
    <col min="285" max="285" width="0" style="90" hidden="1" customWidth="1"/>
    <col min="286" max="286" width="4" style="90" customWidth="1"/>
    <col min="287" max="512" width="8.09765625" style="90"/>
    <col min="513" max="514" width="4.19921875" style="90" customWidth="1"/>
    <col min="515" max="515" width="11.796875" style="90" customWidth="1"/>
    <col min="516" max="516" width="21.796875" style="90" customWidth="1"/>
    <col min="517" max="518" width="9.59765625" style="90" customWidth="1"/>
    <col min="519" max="521" width="8.19921875" style="90" customWidth="1"/>
    <col min="522" max="522" width="0" style="90" hidden="1" customWidth="1"/>
    <col min="523" max="523" width="9.59765625" style="90" customWidth="1"/>
    <col min="524" max="524" width="5.5" style="90" customWidth="1"/>
    <col min="525" max="525" width="0" style="90" hidden="1" customWidth="1"/>
    <col min="526" max="527" width="13.19921875" style="90" customWidth="1"/>
    <col min="528" max="528" width="0.796875" style="90" customWidth="1"/>
    <col min="529" max="529" width="31.19921875" style="90" customWidth="1"/>
    <col min="530" max="530" width="20.3984375" style="90" customWidth="1"/>
    <col min="531" max="531" width="0" style="90" hidden="1" customWidth="1"/>
    <col min="532" max="532" width="5.09765625" style="90" customWidth="1"/>
    <col min="533" max="533" width="11.3984375" style="90" customWidth="1"/>
    <col min="534" max="534" width="0" style="90" hidden="1" customWidth="1"/>
    <col min="535" max="535" width="9.59765625" style="90" customWidth="1"/>
    <col min="536" max="536" width="0" style="90" hidden="1" customWidth="1"/>
    <col min="537" max="538" width="13.19921875" style="90" customWidth="1"/>
    <col min="539" max="539" width="6.8984375" style="90" customWidth="1"/>
    <col min="540" max="540" width="13.19921875" style="90" customWidth="1"/>
    <col min="541" max="541" width="0" style="90" hidden="1" customWidth="1"/>
    <col min="542" max="542" width="4" style="90" customWidth="1"/>
    <col min="543" max="768" width="8.09765625" style="90"/>
    <col min="769" max="770" width="4.19921875" style="90" customWidth="1"/>
    <col min="771" max="771" width="11.796875" style="90" customWidth="1"/>
    <col min="772" max="772" width="21.796875" style="90" customWidth="1"/>
    <col min="773" max="774" width="9.59765625" style="90" customWidth="1"/>
    <col min="775" max="777" width="8.19921875" style="90" customWidth="1"/>
    <col min="778" max="778" width="0" style="90" hidden="1" customWidth="1"/>
    <col min="779" max="779" width="9.59765625" style="90" customWidth="1"/>
    <col min="780" max="780" width="5.5" style="90" customWidth="1"/>
    <col min="781" max="781" width="0" style="90" hidden="1" customWidth="1"/>
    <col min="782" max="783" width="13.19921875" style="90" customWidth="1"/>
    <col min="784" max="784" width="0.796875" style="90" customWidth="1"/>
    <col min="785" max="785" width="31.19921875" style="90" customWidth="1"/>
    <col min="786" max="786" width="20.3984375" style="90" customWidth="1"/>
    <col min="787" max="787" width="0" style="90" hidden="1" customWidth="1"/>
    <col min="788" max="788" width="5.09765625" style="90" customWidth="1"/>
    <col min="789" max="789" width="11.3984375" style="90" customWidth="1"/>
    <col min="790" max="790" width="0" style="90" hidden="1" customWidth="1"/>
    <col min="791" max="791" width="9.59765625" style="90" customWidth="1"/>
    <col min="792" max="792" width="0" style="90" hidden="1" customWidth="1"/>
    <col min="793" max="794" width="13.19921875" style="90" customWidth="1"/>
    <col min="795" max="795" width="6.8984375" style="90" customWidth="1"/>
    <col min="796" max="796" width="13.19921875" style="90" customWidth="1"/>
    <col min="797" max="797" width="0" style="90" hidden="1" customWidth="1"/>
    <col min="798" max="798" width="4" style="90" customWidth="1"/>
    <col min="799" max="1024" width="8.09765625" style="90"/>
    <col min="1025" max="1026" width="4.19921875" style="90" customWidth="1"/>
    <col min="1027" max="1027" width="11.796875" style="90" customWidth="1"/>
    <col min="1028" max="1028" width="21.796875" style="90" customWidth="1"/>
    <col min="1029" max="1030" width="9.59765625" style="90" customWidth="1"/>
    <col min="1031" max="1033" width="8.19921875" style="90" customWidth="1"/>
    <col min="1034" max="1034" width="0" style="90" hidden="1" customWidth="1"/>
    <col min="1035" max="1035" width="9.59765625" style="90" customWidth="1"/>
    <col min="1036" max="1036" width="5.5" style="90" customWidth="1"/>
    <col min="1037" max="1037" width="0" style="90" hidden="1" customWidth="1"/>
    <col min="1038" max="1039" width="13.19921875" style="90" customWidth="1"/>
    <col min="1040" max="1040" width="0.796875" style="90" customWidth="1"/>
    <col min="1041" max="1041" width="31.19921875" style="90" customWidth="1"/>
    <col min="1042" max="1042" width="20.3984375" style="90" customWidth="1"/>
    <col min="1043" max="1043" width="0" style="90" hidden="1" customWidth="1"/>
    <col min="1044" max="1044" width="5.09765625" style="90" customWidth="1"/>
    <col min="1045" max="1045" width="11.3984375" style="90" customWidth="1"/>
    <col min="1046" max="1046" width="0" style="90" hidden="1" customWidth="1"/>
    <col min="1047" max="1047" width="9.59765625" style="90" customWidth="1"/>
    <col min="1048" max="1048" width="0" style="90" hidden="1" customWidth="1"/>
    <col min="1049" max="1050" width="13.19921875" style="90" customWidth="1"/>
    <col min="1051" max="1051" width="6.8984375" style="90" customWidth="1"/>
    <col min="1052" max="1052" width="13.19921875" style="90" customWidth="1"/>
    <col min="1053" max="1053" width="0" style="90" hidden="1" customWidth="1"/>
    <col min="1054" max="1054" width="4" style="90" customWidth="1"/>
    <col min="1055" max="1280" width="8.09765625" style="90"/>
    <col min="1281" max="1282" width="4.19921875" style="90" customWidth="1"/>
    <col min="1283" max="1283" width="11.796875" style="90" customWidth="1"/>
    <col min="1284" max="1284" width="21.796875" style="90" customWidth="1"/>
    <col min="1285" max="1286" width="9.59765625" style="90" customWidth="1"/>
    <col min="1287" max="1289" width="8.19921875" style="90" customWidth="1"/>
    <col min="1290" max="1290" width="0" style="90" hidden="1" customWidth="1"/>
    <col min="1291" max="1291" width="9.59765625" style="90" customWidth="1"/>
    <col min="1292" max="1292" width="5.5" style="90" customWidth="1"/>
    <col min="1293" max="1293" width="0" style="90" hidden="1" customWidth="1"/>
    <col min="1294" max="1295" width="13.19921875" style="90" customWidth="1"/>
    <col min="1296" max="1296" width="0.796875" style="90" customWidth="1"/>
    <col min="1297" max="1297" width="31.19921875" style="90" customWidth="1"/>
    <col min="1298" max="1298" width="20.3984375" style="90" customWidth="1"/>
    <col min="1299" max="1299" width="0" style="90" hidden="1" customWidth="1"/>
    <col min="1300" max="1300" width="5.09765625" style="90" customWidth="1"/>
    <col min="1301" max="1301" width="11.3984375" style="90" customWidth="1"/>
    <col min="1302" max="1302" width="0" style="90" hidden="1" customWidth="1"/>
    <col min="1303" max="1303" width="9.59765625" style="90" customWidth="1"/>
    <col min="1304" max="1304" width="0" style="90" hidden="1" customWidth="1"/>
    <col min="1305" max="1306" width="13.19921875" style="90" customWidth="1"/>
    <col min="1307" max="1307" width="6.8984375" style="90" customWidth="1"/>
    <col min="1308" max="1308" width="13.19921875" style="90" customWidth="1"/>
    <col min="1309" max="1309" width="0" style="90" hidden="1" customWidth="1"/>
    <col min="1310" max="1310" width="4" style="90" customWidth="1"/>
    <col min="1311" max="1536" width="8.09765625" style="90"/>
    <col min="1537" max="1538" width="4.19921875" style="90" customWidth="1"/>
    <col min="1539" max="1539" width="11.796875" style="90" customWidth="1"/>
    <col min="1540" max="1540" width="21.796875" style="90" customWidth="1"/>
    <col min="1541" max="1542" width="9.59765625" style="90" customWidth="1"/>
    <col min="1543" max="1545" width="8.19921875" style="90" customWidth="1"/>
    <col min="1546" max="1546" width="0" style="90" hidden="1" customWidth="1"/>
    <col min="1547" max="1547" width="9.59765625" style="90" customWidth="1"/>
    <col min="1548" max="1548" width="5.5" style="90" customWidth="1"/>
    <col min="1549" max="1549" width="0" style="90" hidden="1" customWidth="1"/>
    <col min="1550" max="1551" width="13.19921875" style="90" customWidth="1"/>
    <col min="1552" max="1552" width="0.796875" style="90" customWidth="1"/>
    <col min="1553" max="1553" width="31.19921875" style="90" customWidth="1"/>
    <col min="1554" max="1554" width="20.3984375" style="90" customWidth="1"/>
    <col min="1555" max="1555" width="0" style="90" hidden="1" customWidth="1"/>
    <col min="1556" max="1556" width="5.09765625" style="90" customWidth="1"/>
    <col min="1557" max="1557" width="11.3984375" style="90" customWidth="1"/>
    <col min="1558" max="1558" width="0" style="90" hidden="1" customWidth="1"/>
    <col min="1559" max="1559" width="9.59765625" style="90" customWidth="1"/>
    <col min="1560" max="1560" width="0" style="90" hidden="1" customWidth="1"/>
    <col min="1561" max="1562" width="13.19921875" style="90" customWidth="1"/>
    <col min="1563" max="1563" width="6.8984375" style="90" customWidth="1"/>
    <col min="1564" max="1564" width="13.19921875" style="90" customWidth="1"/>
    <col min="1565" max="1565" width="0" style="90" hidden="1" customWidth="1"/>
    <col min="1566" max="1566" width="4" style="90" customWidth="1"/>
    <col min="1567" max="1792" width="8.09765625" style="90"/>
    <col min="1793" max="1794" width="4.19921875" style="90" customWidth="1"/>
    <col min="1795" max="1795" width="11.796875" style="90" customWidth="1"/>
    <col min="1796" max="1796" width="21.796875" style="90" customWidth="1"/>
    <col min="1797" max="1798" width="9.59765625" style="90" customWidth="1"/>
    <col min="1799" max="1801" width="8.19921875" style="90" customWidth="1"/>
    <col min="1802" max="1802" width="0" style="90" hidden="1" customWidth="1"/>
    <col min="1803" max="1803" width="9.59765625" style="90" customWidth="1"/>
    <col min="1804" max="1804" width="5.5" style="90" customWidth="1"/>
    <col min="1805" max="1805" width="0" style="90" hidden="1" customWidth="1"/>
    <col min="1806" max="1807" width="13.19921875" style="90" customWidth="1"/>
    <col min="1808" max="1808" width="0.796875" style="90" customWidth="1"/>
    <col min="1809" max="1809" width="31.19921875" style="90" customWidth="1"/>
    <col min="1810" max="1810" width="20.3984375" style="90" customWidth="1"/>
    <col min="1811" max="1811" width="0" style="90" hidden="1" customWidth="1"/>
    <col min="1812" max="1812" width="5.09765625" style="90" customWidth="1"/>
    <col min="1813" max="1813" width="11.3984375" style="90" customWidth="1"/>
    <col min="1814" max="1814" width="0" style="90" hidden="1" customWidth="1"/>
    <col min="1815" max="1815" width="9.59765625" style="90" customWidth="1"/>
    <col min="1816" max="1816" width="0" style="90" hidden="1" customWidth="1"/>
    <col min="1817" max="1818" width="13.19921875" style="90" customWidth="1"/>
    <col min="1819" max="1819" width="6.8984375" style="90" customWidth="1"/>
    <col min="1820" max="1820" width="13.19921875" style="90" customWidth="1"/>
    <col min="1821" max="1821" width="0" style="90" hidden="1" customWidth="1"/>
    <col min="1822" max="1822" width="4" style="90" customWidth="1"/>
    <col min="1823" max="2048" width="8.09765625" style="90"/>
    <col min="2049" max="2050" width="4.19921875" style="90" customWidth="1"/>
    <col min="2051" max="2051" width="11.796875" style="90" customWidth="1"/>
    <col min="2052" max="2052" width="21.796875" style="90" customWidth="1"/>
    <col min="2053" max="2054" width="9.59765625" style="90" customWidth="1"/>
    <col min="2055" max="2057" width="8.19921875" style="90" customWidth="1"/>
    <col min="2058" max="2058" width="0" style="90" hidden="1" customWidth="1"/>
    <col min="2059" max="2059" width="9.59765625" style="90" customWidth="1"/>
    <col min="2060" max="2060" width="5.5" style="90" customWidth="1"/>
    <col min="2061" max="2061" width="0" style="90" hidden="1" customWidth="1"/>
    <col min="2062" max="2063" width="13.19921875" style="90" customWidth="1"/>
    <col min="2064" max="2064" width="0.796875" style="90" customWidth="1"/>
    <col min="2065" max="2065" width="31.19921875" style="90" customWidth="1"/>
    <col min="2066" max="2066" width="20.3984375" style="90" customWidth="1"/>
    <col min="2067" max="2067" width="0" style="90" hidden="1" customWidth="1"/>
    <col min="2068" max="2068" width="5.09765625" style="90" customWidth="1"/>
    <col min="2069" max="2069" width="11.3984375" style="90" customWidth="1"/>
    <col min="2070" max="2070" width="0" style="90" hidden="1" customWidth="1"/>
    <col min="2071" max="2071" width="9.59765625" style="90" customWidth="1"/>
    <col min="2072" max="2072" width="0" style="90" hidden="1" customWidth="1"/>
    <col min="2073" max="2074" width="13.19921875" style="90" customWidth="1"/>
    <col min="2075" max="2075" width="6.8984375" style="90" customWidth="1"/>
    <col min="2076" max="2076" width="13.19921875" style="90" customWidth="1"/>
    <col min="2077" max="2077" width="0" style="90" hidden="1" customWidth="1"/>
    <col min="2078" max="2078" width="4" style="90" customWidth="1"/>
    <col min="2079" max="2304" width="8.09765625" style="90"/>
    <col min="2305" max="2306" width="4.19921875" style="90" customWidth="1"/>
    <col min="2307" max="2307" width="11.796875" style="90" customWidth="1"/>
    <col min="2308" max="2308" width="21.796875" style="90" customWidth="1"/>
    <col min="2309" max="2310" width="9.59765625" style="90" customWidth="1"/>
    <col min="2311" max="2313" width="8.19921875" style="90" customWidth="1"/>
    <col min="2314" max="2314" width="0" style="90" hidden="1" customWidth="1"/>
    <col min="2315" max="2315" width="9.59765625" style="90" customWidth="1"/>
    <col min="2316" max="2316" width="5.5" style="90" customWidth="1"/>
    <col min="2317" max="2317" width="0" style="90" hidden="1" customWidth="1"/>
    <col min="2318" max="2319" width="13.19921875" style="90" customWidth="1"/>
    <col min="2320" max="2320" width="0.796875" style="90" customWidth="1"/>
    <col min="2321" max="2321" width="31.19921875" style="90" customWidth="1"/>
    <col min="2322" max="2322" width="20.3984375" style="90" customWidth="1"/>
    <col min="2323" max="2323" width="0" style="90" hidden="1" customWidth="1"/>
    <col min="2324" max="2324" width="5.09765625" style="90" customWidth="1"/>
    <col min="2325" max="2325" width="11.3984375" style="90" customWidth="1"/>
    <col min="2326" max="2326" width="0" style="90" hidden="1" customWidth="1"/>
    <col min="2327" max="2327" width="9.59765625" style="90" customWidth="1"/>
    <col min="2328" max="2328" width="0" style="90" hidden="1" customWidth="1"/>
    <col min="2329" max="2330" width="13.19921875" style="90" customWidth="1"/>
    <col min="2331" max="2331" width="6.8984375" style="90" customWidth="1"/>
    <col min="2332" max="2332" width="13.19921875" style="90" customWidth="1"/>
    <col min="2333" max="2333" width="0" style="90" hidden="1" customWidth="1"/>
    <col min="2334" max="2334" width="4" style="90" customWidth="1"/>
    <col min="2335" max="2560" width="8.09765625" style="90"/>
    <col min="2561" max="2562" width="4.19921875" style="90" customWidth="1"/>
    <col min="2563" max="2563" width="11.796875" style="90" customWidth="1"/>
    <col min="2564" max="2564" width="21.796875" style="90" customWidth="1"/>
    <col min="2565" max="2566" width="9.59765625" style="90" customWidth="1"/>
    <col min="2567" max="2569" width="8.19921875" style="90" customWidth="1"/>
    <col min="2570" max="2570" width="0" style="90" hidden="1" customWidth="1"/>
    <col min="2571" max="2571" width="9.59765625" style="90" customWidth="1"/>
    <col min="2572" max="2572" width="5.5" style="90" customWidth="1"/>
    <col min="2573" max="2573" width="0" style="90" hidden="1" customWidth="1"/>
    <col min="2574" max="2575" width="13.19921875" style="90" customWidth="1"/>
    <col min="2576" max="2576" width="0.796875" style="90" customWidth="1"/>
    <col min="2577" max="2577" width="31.19921875" style="90" customWidth="1"/>
    <col min="2578" max="2578" width="20.3984375" style="90" customWidth="1"/>
    <col min="2579" max="2579" width="0" style="90" hidden="1" customWidth="1"/>
    <col min="2580" max="2580" width="5.09765625" style="90" customWidth="1"/>
    <col min="2581" max="2581" width="11.3984375" style="90" customWidth="1"/>
    <col min="2582" max="2582" width="0" style="90" hidden="1" customWidth="1"/>
    <col min="2583" max="2583" width="9.59765625" style="90" customWidth="1"/>
    <col min="2584" max="2584" width="0" style="90" hidden="1" customWidth="1"/>
    <col min="2585" max="2586" width="13.19921875" style="90" customWidth="1"/>
    <col min="2587" max="2587" width="6.8984375" style="90" customWidth="1"/>
    <col min="2588" max="2588" width="13.19921875" style="90" customWidth="1"/>
    <col min="2589" max="2589" width="0" style="90" hidden="1" customWidth="1"/>
    <col min="2590" max="2590" width="4" style="90" customWidth="1"/>
    <col min="2591" max="2816" width="8.09765625" style="90"/>
    <col min="2817" max="2818" width="4.19921875" style="90" customWidth="1"/>
    <col min="2819" max="2819" width="11.796875" style="90" customWidth="1"/>
    <col min="2820" max="2820" width="21.796875" style="90" customWidth="1"/>
    <col min="2821" max="2822" width="9.59765625" style="90" customWidth="1"/>
    <col min="2823" max="2825" width="8.19921875" style="90" customWidth="1"/>
    <col min="2826" max="2826" width="0" style="90" hidden="1" customWidth="1"/>
    <col min="2827" max="2827" width="9.59765625" style="90" customWidth="1"/>
    <col min="2828" max="2828" width="5.5" style="90" customWidth="1"/>
    <col min="2829" max="2829" width="0" style="90" hidden="1" customWidth="1"/>
    <col min="2830" max="2831" width="13.19921875" style="90" customWidth="1"/>
    <col min="2832" max="2832" width="0.796875" style="90" customWidth="1"/>
    <col min="2833" max="2833" width="31.19921875" style="90" customWidth="1"/>
    <col min="2834" max="2834" width="20.3984375" style="90" customWidth="1"/>
    <col min="2835" max="2835" width="0" style="90" hidden="1" customWidth="1"/>
    <col min="2836" max="2836" width="5.09765625" style="90" customWidth="1"/>
    <col min="2837" max="2837" width="11.3984375" style="90" customWidth="1"/>
    <col min="2838" max="2838" width="0" style="90" hidden="1" customWidth="1"/>
    <col min="2839" max="2839" width="9.59765625" style="90" customWidth="1"/>
    <col min="2840" max="2840" width="0" style="90" hidden="1" customWidth="1"/>
    <col min="2841" max="2842" width="13.19921875" style="90" customWidth="1"/>
    <col min="2843" max="2843" width="6.8984375" style="90" customWidth="1"/>
    <col min="2844" max="2844" width="13.19921875" style="90" customWidth="1"/>
    <col min="2845" max="2845" width="0" style="90" hidden="1" customWidth="1"/>
    <col min="2846" max="2846" width="4" style="90" customWidth="1"/>
    <col min="2847" max="3072" width="8.09765625" style="90"/>
    <col min="3073" max="3074" width="4.19921875" style="90" customWidth="1"/>
    <col min="3075" max="3075" width="11.796875" style="90" customWidth="1"/>
    <col min="3076" max="3076" width="21.796875" style="90" customWidth="1"/>
    <col min="3077" max="3078" width="9.59765625" style="90" customWidth="1"/>
    <col min="3079" max="3081" width="8.19921875" style="90" customWidth="1"/>
    <col min="3082" max="3082" width="0" style="90" hidden="1" customWidth="1"/>
    <col min="3083" max="3083" width="9.59765625" style="90" customWidth="1"/>
    <col min="3084" max="3084" width="5.5" style="90" customWidth="1"/>
    <col min="3085" max="3085" width="0" style="90" hidden="1" customWidth="1"/>
    <col min="3086" max="3087" width="13.19921875" style="90" customWidth="1"/>
    <col min="3088" max="3088" width="0.796875" style="90" customWidth="1"/>
    <col min="3089" max="3089" width="31.19921875" style="90" customWidth="1"/>
    <col min="3090" max="3090" width="20.3984375" style="90" customWidth="1"/>
    <col min="3091" max="3091" width="0" style="90" hidden="1" customWidth="1"/>
    <col min="3092" max="3092" width="5.09765625" style="90" customWidth="1"/>
    <col min="3093" max="3093" width="11.3984375" style="90" customWidth="1"/>
    <col min="3094" max="3094" width="0" style="90" hidden="1" customWidth="1"/>
    <col min="3095" max="3095" width="9.59765625" style="90" customWidth="1"/>
    <col min="3096" max="3096" width="0" style="90" hidden="1" customWidth="1"/>
    <col min="3097" max="3098" width="13.19921875" style="90" customWidth="1"/>
    <col min="3099" max="3099" width="6.8984375" style="90" customWidth="1"/>
    <col min="3100" max="3100" width="13.19921875" style="90" customWidth="1"/>
    <col min="3101" max="3101" width="0" style="90" hidden="1" customWidth="1"/>
    <col min="3102" max="3102" width="4" style="90" customWidth="1"/>
    <col min="3103" max="3328" width="8.09765625" style="90"/>
    <col min="3329" max="3330" width="4.19921875" style="90" customWidth="1"/>
    <col min="3331" max="3331" width="11.796875" style="90" customWidth="1"/>
    <col min="3332" max="3332" width="21.796875" style="90" customWidth="1"/>
    <col min="3333" max="3334" width="9.59765625" style="90" customWidth="1"/>
    <col min="3335" max="3337" width="8.19921875" style="90" customWidth="1"/>
    <col min="3338" max="3338" width="0" style="90" hidden="1" customWidth="1"/>
    <col min="3339" max="3339" width="9.59765625" style="90" customWidth="1"/>
    <col min="3340" max="3340" width="5.5" style="90" customWidth="1"/>
    <col min="3341" max="3341" width="0" style="90" hidden="1" customWidth="1"/>
    <col min="3342" max="3343" width="13.19921875" style="90" customWidth="1"/>
    <col min="3344" max="3344" width="0.796875" style="90" customWidth="1"/>
    <col min="3345" max="3345" width="31.19921875" style="90" customWidth="1"/>
    <col min="3346" max="3346" width="20.3984375" style="90" customWidth="1"/>
    <col min="3347" max="3347" width="0" style="90" hidden="1" customWidth="1"/>
    <col min="3348" max="3348" width="5.09765625" style="90" customWidth="1"/>
    <col min="3349" max="3349" width="11.3984375" style="90" customWidth="1"/>
    <col min="3350" max="3350" width="0" style="90" hidden="1" customWidth="1"/>
    <col min="3351" max="3351" width="9.59765625" style="90" customWidth="1"/>
    <col min="3352" max="3352" width="0" style="90" hidden="1" customWidth="1"/>
    <col min="3353" max="3354" width="13.19921875" style="90" customWidth="1"/>
    <col min="3355" max="3355" width="6.8984375" style="90" customWidth="1"/>
    <col min="3356" max="3356" width="13.19921875" style="90" customWidth="1"/>
    <col min="3357" max="3357" width="0" style="90" hidden="1" customWidth="1"/>
    <col min="3358" max="3358" width="4" style="90" customWidth="1"/>
    <col min="3359" max="3584" width="8.09765625" style="90"/>
    <col min="3585" max="3586" width="4.19921875" style="90" customWidth="1"/>
    <col min="3587" max="3587" width="11.796875" style="90" customWidth="1"/>
    <col min="3588" max="3588" width="21.796875" style="90" customWidth="1"/>
    <col min="3589" max="3590" width="9.59765625" style="90" customWidth="1"/>
    <col min="3591" max="3593" width="8.19921875" style="90" customWidth="1"/>
    <col min="3594" max="3594" width="0" style="90" hidden="1" customWidth="1"/>
    <col min="3595" max="3595" width="9.59765625" style="90" customWidth="1"/>
    <col min="3596" max="3596" width="5.5" style="90" customWidth="1"/>
    <col min="3597" max="3597" width="0" style="90" hidden="1" customWidth="1"/>
    <col min="3598" max="3599" width="13.19921875" style="90" customWidth="1"/>
    <col min="3600" max="3600" width="0.796875" style="90" customWidth="1"/>
    <col min="3601" max="3601" width="31.19921875" style="90" customWidth="1"/>
    <col min="3602" max="3602" width="20.3984375" style="90" customWidth="1"/>
    <col min="3603" max="3603" width="0" style="90" hidden="1" customWidth="1"/>
    <col min="3604" max="3604" width="5.09765625" style="90" customWidth="1"/>
    <col min="3605" max="3605" width="11.3984375" style="90" customWidth="1"/>
    <col min="3606" max="3606" width="0" style="90" hidden="1" customWidth="1"/>
    <col min="3607" max="3607" width="9.59765625" style="90" customWidth="1"/>
    <col min="3608" max="3608" width="0" style="90" hidden="1" customWidth="1"/>
    <col min="3609" max="3610" width="13.19921875" style="90" customWidth="1"/>
    <col min="3611" max="3611" width="6.8984375" style="90" customWidth="1"/>
    <col min="3612" max="3612" width="13.19921875" style="90" customWidth="1"/>
    <col min="3613" max="3613" width="0" style="90" hidden="1" customWidth="1"/>
    <col min="3614" max="3614" width="4" style="90" customWidth="1"/>
    <col min="3615" max="3840" width="8.09765625" style="90"/>
    <col min="3841" max="3842" width="4.19921875" style="90" customWidth="1"/>
    <col min="3843" max="3843" width="11.796875" style="90" customWidth="1"/>
    <col min="3844" max="3844" width="21.796875" style="90" customWidth="1"/>
    <col min="3845" max="3846" width="9.59765625" style="90" customWidth="1"/>
    <col min="3847" max="3849" width="8.19921875" style="90" customWidth="1"/>
    <col min="3850" max="3850" width="0" style="90" hidden="1" customWidth="1"/>
    <col min="3851" max="3851" width="9.59765625" style="90" customWidth="1"/>
    <col min="3852" max="3852" width="5.5" style="90" customWidth="1"/>
    <col min="3853" max="3853" width="0" style="90" hidden="1" customWidth="1"/>
    <col min="3854" max="3855" width="13.19921875" style="90" customWidth="1"/>
    <col min="3856" max="3856" width="0.796875" style="90" customWidth="1"/>
    <col min="3857" max="3857" width="31.19921875" style="90" customWidth="1"/>
    <col min="3858" max="3858" width="20.3984375" style="90" customWidth="1"/>
    <col min="3859" max="3859" width="0" style="90" hidden="1" customWidth="1"/>
    <col min="3860" max="3860" width="5.09765625" style="90" customWidth="1"/>
    <col min="3861" max="3861" width="11.3984375" style="90" customWidth="1"/>
    <col min="3862" max="3862" width="0" style="90" hidden="1" customWidth="1"/>
    <col min="3863" max="3863" width="9.59765625" style="90" customWidth="1"/>
    <col min="3864" max="3864" width="0" style="90" hidden="1" customWidth="1"/>
    <col min="3865" max="3866" width="13.19921875" style="90" customWidth="1"/>
    <col min="3867" max="3867" width="6.8984375" style="90" customWidth="1"/>
    <col min="3868" max="3868" width="13.19921875" style="90" customWidth="1"/>
    <col min="3869" max="3869" width="0" style="90" hidden="1" customWidth="1"/>
    <col min="3870" max="3870" width="4" style="90" customWidth="1"/>
    <col min="3871" max="4096" width="8.09765625" style="90"/>
    <col min="4097" max="4098" width="4.19921875" style="90" customWidth="1"/>
    <col min="4099" max="4099" width="11.796875" style="90" customWidth="1"/>
    <col min="4100" max="4100" width="21.796875" style="90" customWidth="1"/>
    <col min="4101" max="4102" width="9.59765625" style="90" customWidth="1"/>
    <col min="4103" max="4105" width="8.19921875" style="90" customWidth="1"/>
    <col min="4106" max="4106" width="0" style="90" hidden="1" customWidth="1"/>
    <col min="4107" max="4107" width="9.59765625" style="90" customWidth="1"/>
    <col min="4108" max="4108" width="5.5" style="90" customWidth="1"/>
    <col min="4109" max="4109" width="0" style="90" hidden="1" customWidth="1"/>
    <col min="4110" max="4111" width="13.19921875" style="90" customWidth="1"/>
    <col min="4112" max="4112" width="0.796875" style="90" customWidth="1"/>
    <col min="4113" max="4113" width="31.19921875" style="90" customWidth="1"/>
    <col min="4114" max="4114" width="20.3984375" style="90" customWidth="1"/>
    <col min="4115" max="4115" width="0" style="90" hidden="1" customWidth="1"/>
    <col min="4116" max="4116" width="5.09765625" style="90" customWidth="1"/>
    <col min="4117" max="4117" width="11.3984375" style="90" customWidth="1"/>
    <col min="4118" max="4118" width="0" style="90" hidden="1" customWidth="1"/>
    <col min="4119" max="4119" width="9.59765625" style="90" customWidth="1"/>
    <col min="4120" max="4120" width="0" style="90" hidden="1" customWidth="1"/>
    <col min="4121" max="4122" width="13.19921875" style="90" customWidth="1"/>
    <col min="4123" max="4123" width="6.8984375" style="90" customWidth="1"/>
    <col min="4124" max="4124" width="13.19921875" style="90" customWidth="1"/>
    <col min="4125" max="4125" width="0" style="90" hidden="1" customWidth="1"/>
    <col min="4126" max="4126" width="4" style="90" customWidth="1"/>
    <col min="4127" max="4352" width="8.09765625" style="90"/>
    <col min="4353" max="4354" width="4.19921875" style="90" customWidth="1"/>
    <col min="4355" max="4355" width="11.796875" style="90" customWidth="1"/>
    <col min="4356" max="4356" width="21.796875" style="90" customWidth="1"/>
    <col min="4357" max="4358" width="9.59765625" style="90" customWidth="1"/>
    <col min="4359" max="4361" width="8.19921875" style="90" customWidth="1"/>
    <col min="4362" max="4362" width="0" style="90" hidden="1" customWidth="1"/>
    <col min="4363" max="4363" width="9.59765625" style="90" customWidth="1"/>
    <col min="4364" max="4364" width="5.5" style="90" customWidth="1"/>
    <col min="4365" max="4365" width="0" style="90" hidden="1" customWidth="1"/>
    <col min="4366" max="4367" width="13.19921875" style="90" customWidth="1"/>
    <col min="4368" max="4368" width="0.796875" style="90" customWidth="1"/>
    <col min="4369" max="4369" width="31.19921875" style="90" customWidth="1"/>
    <col min="4370" max="4370" width="20.3984375" style="90" customWidth="1"/>
    <col min="4371" max="4371" width="0" style="90" hidden="1" customWidth="1"/>
    <col min="4372" max="4372" width="5.09765625" style="90" customWidth="1"/>
    <col min="4373" max="4373" width="11.3984375" style="90" customWidth="1"/>
    <col min="4374" max="4374" width="0" style="90" hidden="1" customWidth="1"/>
    <col min="4375" max="4375" width="9.59765625" style="90" customWidth="1"/>
    <col min="4376" max="4376" width="0" style="90" hidden="1" customWidth="1"/>
    <col min="4377" max="4378" width="13.19921875" style="90" customWidth="1"/>
    <col min="4379" max="4379" width="6.8984375" style="90" customWidth="1"/>
    <col min="4380" max="4380" width="13.19921875" style="90" customWidth="1"/>
    <col min="4381" max="4381" width="0" style="90" hidden="1" customWidth="1"/>
    <col min="4382" max="4382" width="4" style="90" customWidth="1"/>
    <col min="4383" max="4608" width="8.09765625" style="90"/>
    <col min="4609" max="4610" width="4.19921875" style="90" customWidth="1"/>
    <col min="4611" max="4611" width="11.796875" style="90" customWidth="1"/>
    <col min="4612" max="4612" width="21.796875" style="90" customWidth="1"/>
    <col min="4613" max="4614" width="9.59765625" style="90" customWidth="1"/>
    <col min="4615" max="4617" width="8.19921875" style="90" customWidth="1"/>
    <col min="4618" max="4618" width="0" style="90" hidden="1" customWidth="1"/>
    <col min="4619" max="4619" width="9.59765625" style="90" customWidth="1"/>
    <col min="4620" max="4620" width="5.5" style="90" customWidth="1"/>
    <col min="4621" max="4621" width="0" style="90" hidden="1" customWidth="1"/>
    <col min="4622" max="4623" width="13.19921875" style="90" customWidth="1"/>
    <col min="4624" max="4624" width="0.796875" style="90" customWidth="1"/>
    <col min="4625" max="4625" width="31.19921875" style="90" customWidth="1"/>
    <col min="4626" max="4626" width="20.3984375" style="90" customWidth="1"/>
    <col min="4627" max="4627" width="0" style="90" hidden="1" customWidth="1"/>
    <col min="4628" max="4628" width="5.09765625" style="90" customWidth="1"/>
    <col min="4629" max="4629" width="11.3984375" style="90" customWidth="1"/>
    <col min="4630" max="4630" width="0" style="90" hidden="1" customWidth="1"/>
    <col min="4631" max="4631" width="9.59765625" style="90" customWidth="1"/>
    <col min="4632" max="4632" width="0" style="90" hidden="1" customWidth="1"/>
    <col min="4633" max="4634" width="13.19921875" style="90" customWidth="1"/>
    <col min="4635" max="4635" width="6.8984375" style="90" customWidth="1"/>
    <col min="4636" max="4636" width="13.19921875" style="90" customWidth="1"/>
    <col min="4637" max="4637" width="0" style="90" hidden="1" customWidth="1"/>
    <col min="4638" max="4638" width="4" style="90" customWidth="1"/>
    <col min="4639" max="4864" width="8.09765625" style="90"/>
    <col min="4865" max="4866" width="4.19921875" style="90" customWidth="1"/>
    <col min="4867" max="4867" width="11.796875" style="90" customWidth="1"/>
    <col min="4868" max="4868" width="21.796875" style="90" customWidth="1"/>
    <col min="4869" max="4870" width="9.59765625" style="90" customWidth="1"/>
    <col min="4871" max="4873" width="8.19921875" style="90" customWidth="1"/>
    <col min="4874" max="4874" width="0" style="90" hidden="1" customWidth="1"/>
    <col min="4875" max="4875" width="9.59765625" style="90" customWidth="1"/>
    <col min="4876" max="4876" width="5.5" style="90" customWidth="1"/>
    <col min="4877" max="4877" width="0" style="90" hidden="1" customWidth="1"/>
    <col min="4878" max="4879" width="13.19921875" style="90" customWidth="1"/>
    <col min="4880" max="4880" width="0.796875" style="90" customWidth="1"/>
    <col min="4881" max="4881" width="31.19921875" style="90" customWidth="1"/>
    <col min="4882" max="4882" width="20.3984375" style="90" customWidth="1"/>
    <col min="4883" max="4883" width="0" style="90" hidden="1" customWidth="1"/>
    <col min="4884" max="4884" width="5.09765625" style="90" customWidth="1"/>
    <col min="4885" max="4885" width="11.3984375" style="90" customWidth="1"/>
    <col min="4886" max="4886" width="0" style="90" hidden="1" customWidth="1"/>
    <col min="4887" max="4887" width="9.59765625" style="90" customWidth="1"/>
    <col min="4888" max="4888" width="0" style="90" hidden="1" customWidth="1"/>
    <col min="4889" max="4890" width="13.19921875" style="90" customWidth="1"/>
    <col min="4891" max="4891" width="6.8984375" style="90" customWidth="1"/>
    <col min="4892" max="4892" width="13.19921875" style="90" customWidth="1"/>
    <col min="4893" max="4893" width="0" style="90" hidden="1" customWidth="1"/>
    <col min="4894" max="4894" width="4" style="90" customWidth="1"/>
    <col min="4895" max="5120" width="8.09765625" style="90"/>
    <col min="5121" max="5122" width="4.19921875" style="90" customWidth="1"/>
    <col min="5123" max="5123" width="11.796875" style="90" customWidth="1"/>
    <col min="5124" max="5124" width="21.796875" style="90" customWidth="1"/>
    <col min="5125" max="5126" width="9.59765625" style="90" customWidth="1"/>
    <col min="5127" max="5129" width="8.19921875" style="90" customWidth="1"/>
    <col min="5130" max="5130" width="0" style="90" hidden="1" customWidth="1"/>
    <col min="5131" max="5131" width="9.59765625" style="90" customWidth="1"/>
    <col min="5132" max="5132" width="5.5" style="90" customWidth="1"/>
    <col min="5133" max="5133" width="0" style="90" hidden="1" customWidth="1"/>
    <col min="5134" max="5135" width="13.19921875" style="90" customWidth="1"/>
    <col min="5136" max="5136" width="0.796875" style="90" customWidth="1"/>
    <col min="5137" max="5137" width="31.19921875" style="90" customWidth="1"/>
    <col min="5138" max="5138" width="20.3984375" style="90" customWidth="1"/>
    <col min="5139" max="5139" width="0" style="90" hidden="1" customWidth="1"/>
    <col min="5140" max="5140" width="5.09765625" style="90" customWidth="1"/>
    <col min="5141" max="5141" width="11.3984375" style="90" customWidth="1"/>
    <col min="5142" max="5142" width="0" style="90" hidden="1" customWidth="1"/>
    <col min="5143" max="5143" width="9.59765625" style="90" customWidth="1"/>
    <col min="5144" max="5144" width="0" style="90" hidden="1" customWidth="1"/>
    <col min="5145" max="5146" width="13.19921875" style="90" customWidth="1"/>
    <col min="5147" max="5147" width="6.8984375" style="90" customWidth="1"/>
    <col min="5148" max="5148" width="13.19921875" style="90" customWidth="1"/>
    <col min="5149" max="5149" width="0" style="90" hidden="1" customWidth="1"/>
    <col min="5150" max="5150" width="4" style="90" customWidth="1"/>
    <col min="5151" max="5376" width="8.09765625" style="90"/>
    <col min="5377" max="5378" width="4.19921875" style="90" customWidth="1"/>
    <col min="5379" max="5379" width="11.796875" style="90" customWidth="1"/>
    <col min="5380" max="5380" width="21.796875" style="90" customWidth="1"/>
    <col min="5381" max="5382" width="9.59765625" style="90" customWidth="1"/>
    <col min="5383" max="5385" width="8.19921875" style="90" customWidth="1"/>
    <col min="5386" max="5386" width="0" style="90" hidden="1" customWidth="1"/>
    <col min="5387" max="5387" width="9.59765625" style="90" customWidth="1"/>
    <col min="5388" max="5388" width="5.5" style="90" customWidth="1"/>
    <col min="5389" max="5389" width="0" style="90" hidden="1" customWidth="1"/>
    <col min="5390" max="5391" width="13.19921875" style="90" customWidth="1"/>
    <col min="5392" max="5392" width="0.796875" style="90" customWidth="1"/>
    <col min="5393" max="5393" width="31.19921875" style="90" customWidth="1"/>
    <col min="5394" max="5394" width="20.3984375" style="90" customWidth="1"/>
    <col min="5395" max="5395" width="0" style="90" hidden="1" customWidth="1"/>
    <col min="5396" max="5396" width="5.09765625" style="90" customWidth="1"/>
    <col min="5397" max="5397" width="11.3984375" style="90" customWidth="1"/>
    <col min="5398" max="5398" width="0" style="90" hidden="1" customWidth="1"/>
    <col min="5399" max="5399" width="9.59765625" style="90" customWidth="1"/>
    <col min="5400" max="5400" width="0" style="90" hidden="1" customWidth="1"/>
    <col min="5401" max="5402" width="13.19921875" style="90" customWidth="1"/>
    <col min="5403" max="5403" width="6.8984375" style="90" customWidth="1"/>
    <col min="5404" max="5404" width="13.19921875" style="90" customWidth="1"/>
    <col min="5405" max="5405" width="0" style="90" hidden="1" customWidth="1"/>
    <col min="5406" max="5406" width="4" style="90" customWidth="1"/>
    <col min="5407" max="5632" width="8.09765625" style="90"/>
    <col min="5633" max="5634" width="4.19921875" style="90" customWidth="1"/>
    <col min="5635" max="5635" width="11.796875" style="90" customWidth="1"/>
    <col min="5636" max="5636" width="21.796875" style="90" customWidth="1"/>
    <col min="5637" max="5638" width="9.59765625" style="90" customWidth="1"/>
    <col min="5639" max="5641" width="8.19921875" style="90" customWidth="1"/>
    <col min="5642" max="5642" width="0" style="90" hidden="1" customWidth="1"/>
    <col min="5643" max="5643" width="9.59765625" style="90" customWidth="1"/>
    <col min="5644" max="5644" width="5.5" style="90" customWidth="1"/>
    <col min="5645" max="5645" width="0" style="90" hidden="1" customWidth="1"/>
    <col min="5646" max="5647" width="13.19921875" style="90" customWidth="1"/>
    <col min="5648" max="5648" width="0.796875" style="90" customWidth="1"/>
    <col min="5649" max="5649" width="31.19921875" style="90" customWidth="1"/>
    <col min="5650" max="5650" width="20.3984375" style="90" customWidth="1"/>
    <col min="5651" max="5651" width="0" style="90" hidden="1" customWidth="1"/>
    <col min="5652" max="5652" width="5.09765625" style="90" customWidth="1"/>
    <col min="5653" max="5653" width="11.3984375" style="90" customWidth="1"/>
    <col min="5654" max="5654" width="0" style="90" hidden="1" customWidth="1"/>
    <col min="5655" max="5655" width="9.59765625" style="90" customWidth="1"/>
    <col min="5656" max="5656" width="0" style="90" hidden="1" customWidth="1"/>
    <col min="5657" max="5658" width="13.19921875" style="90" customWidth="1"/>
    <col min="5659" max="5659" width="6.8984375" style="90" customWidth="1"/>
    <col min="5660" max="5660" width="13.19921875" style="90" customWidth="1"/>
    <col min="5661" max="5661" width="0" style="90" hidden="1" customWidth="1"/>
    <col min="5662" max="5662" width="4" style="90" customWidth="1"/>
    <col min="5663" max="5888" width="8.09765625" style="90"/>
    <col min="5889" max="5890" width="4.19921875" style="90" customWidth="1"/>
    <col min="5891" max="5891" width="11.796875" style="90" customWidth="1"/>
    <col min="5892" max="5892" width="21.796875" style="90" customWidth="1"/>
    <col min="5893" max="5894" width="9.59765625" style="90" customWidth="1"/>
    <col min="5895" max="5897" width="8.19921875" style="90" customWidth="1"/>
    <col min="5898" max="5898" width="0" style="90" hidden="1" customWidth="1"/>
    <col min="5899" max="5899" width="9.59765625" style="90" customWidth="1"/>
    <col min="5900" max="5900" width="5.5" style="90" customWidth="1"/>
    <col min="5901" max="5901" width="0" style="90" hidden="1" customWidth="1"/>
    <col min="5902" max="5903" width="13.19921875" style="90" customWidth="1"/>
    <col min="5904" max="5904" width="0.796875" style="90" customWidth="1"/>
    <col min="5905" max="5905" width="31.19921875" style="90" customWidth="1"/>
    <col min="5906" max="5906" width="20.3984375" style="90" customWidth="1"/>
    <col min="5907" max="5907" width="0" style="90" hidden="1" customWidth="1"/>
    <col min="5908" max="5908" width="5.09765625" style="90" customWidth="1"/>
    <col min="5909" max="5909" width="11.3984375" style="90" customWidth="1"/>
    <col min="5910" max="5910" width="0" style="90" hidden="1" customWidth="1"/>
    <col min="5911" max="5911" width="9.59765625" style="90" customWidth="1"/>
    <col min="5912" max="5912" width="0" style="90" hidden="1" customWidth="1"/>
    <col min="5913" max="5914" width="13.19921875" style="90" customWidth="1"/>
    <col min="5915" max="5915" width="6.8984375" style="90" customWidth="1"/>
    <col min="5916" max="5916" width="13.19921875" style="90" customWidth="1"/>
    <col min="5917" max="5917" width="0" style="90" hidden="1" customWidth="1"/>
    <col min="5918" max="5918" width="4" style="90" customWidth="1"/>
    <col min="5919" max="6144" width="8.09765625" style="90"/>
    <col min="6145" max="6146" width="4.19921875" style="90" customWidth="1"/>
    <col min="6147" max="6147" width="11.796875" style="90" customWidth="1"/>
    <col min="6148" max="6148" width="21.796875" style="90" customWidth="1"/>
    <col min="6149" max="6150" width="9.59765625" style="90" customWidth="1"/>
    <col min="6151" max="6153" width="8.19921875" style="90" customWidth="1"/>
    <col min="6154" max="6154" width="0" style="90" hidden="1" customWidth="1"/>
    <col min="6155" max="6155" width="9.59765625" style="90" customWidth="1"/>
    <col min="6156" max="6156" width="5.5" style="90" customWidth="1"/>
    <col min="6157" max="6157" width="0" style="90" hidden="1" customWidth="1"/>
    <col min="6158" max="6159" width="13.19921875" style="90" customWidth="1"/>
    <col min="6160" max="6160" width="0.796875" style="90" customWidth="1"/>
    <col min="6161" max="6161" width="31.19921875" style="90" customWidth="1"/>
    <col min="6162" max="6162" width="20.3984375" style="90" customWidth="1"/>
    <col min="6163" max="6163" width="0" style="90" hidden="1" customWidth="1"/>
    <col min="6164" max="6164" width="5.09765625" style="90" customWidth="1"/>
    <col min="6165" max="6165" width="11.3984375" style="90" customWidth="1"/>
    <col min="6166" max="6166" width="0" style="90" hidden="1" customWidth="1"/>
    <col min="6167" max="6167" width="9.59765625" style="90" customWidth="1"/>
    <col min="6168" max="6168" width="0" style="90" hidden="1" customWidth="1"/>
    <col min="6169" max="6170" width="13.19921875" style="90" customWidth="1"/>
    <col min="6171" max="6171" width="6.8984375" style="90" customWidth="1"/>
    <col min="6172" max="6172" width="13.19921875" style="90" customWidth="1"/>
    <col min="6173" max="6173" width="0" style="90" hidden="1" customWidth="1"/>
    <col min="6174" max="6174" width="4" style="90" customWidth="1"/>
    <col min="6175" max="6400" width="8.09765625" style="90"/>
    <col min="6401" max="6402" width="4.19921875" style="90" customWidth="1"/>
    <col min="6403" max="6403" width="11.796875" style="90" customWidth="1"/>
    <col min="6404" max="6404" width="21.796875" style="90" customWidth="1"/>
    <col min="6405" max="6406" width="9.59765625" style="90" customWidth="1"/>
    <col min="6407" max="6409" width="8.19921875" style="90" customWidth="1"/>
    <col min="6410" max="6410" width="0" style="90" hidden="1" customWidth="1"/>
    <col min="6411" max="6411" width="9.59765625" style="90" customWidth="1"/>
    <col min="6412" max="6412" width="5.5" style="90" customWidth="1"/>
    <col min="6413" max="6413" width="0" style="90" hidden="1" customWidth="1"/>
    <col min="6414" max="6415" width="13.19921875" style="90" customWidth="1"/>
    <col min="6416" max="6416" width="0.796875" style="90" customWidth="1"/>
    <col min="6417" max="6417" width="31.19921875" style="90" customWidth="1"/>
    <col min="6418" max="6418" width="20.3984375" style="90" customWidth="1"/>
    <col min="6419" max="6419" width="0" style="90" hidden="1" customWidth="1"/>
    <col min="6420" max="6420" width="5.09765625" style="90" customWidth="1"/>
    <col min="6421" max="6421" width="11.3984375" style="90" customWidth="1"/>
    <col min="6422" max="6422" width="0" style="90" hidden="1" customWidth="1"/>
    <col min="6423" max="6423" width="9.59765625" style="90" customWidth="1"/>
    <col min="6424" max="6424" width="0" style="90" hidden="1" customWidth="1"/>
    <col min="6425" max="6426" width="13.19921875" style="90" customWidth="1"/>
    <col min="6427" max="6427" width="6.8984375" style="90" customWidth="1"/>
    <col min="6428" max="6428" width="13.19921875" style="90" customWidth="1"/>
    <col min="6429" max="6429" width="0" style="90" hidden="1" customWidth="1"/>
    <col min="6430" max="6430" width="4" style="90" customWidth="1"/>
    <col min="6431" max="6656" width="8.09765625" style="90"/>
    <col min="6657" max="6658" width="4.19921875" style="90" customWidth="1"/>
    <col min="6659" max="6659" width="11.796875" style="90" customWidth="1"/>
    <col min="6660" max="6660" width="21.796875" style="90" customWidth="1"/>
    <col min="6661" max="6662" width="9.59765625" style="90" customWidth="1"/>
    <col min="6663" max="6665" width="8.19921875" style="90" customWidth="1"/>
    <col min="6666" max="6666" width="0" style="90" hidden="1" customWidth="1"/>
    <col min="6667" max="6667" width="9.59765625" style="90" customWidth="1"/>
    <col min="6668" max="6668" width="5.5" style="90" customWidth="1"/>
    <col min="6669" max="6669" width="0" style="90" hidden="1" customWidth="1"/>
    <col min="6670" max="6671" width="13.19921875" style="90" customWidth="1"/>
    <col min="6672" max="6672" width="0.796875" style="90" customWidth="1"/>
    <col min="6673" max="6673" width="31.19921875" style="90" customWidth="1"/>
    <col min="6674" max="6674" width="20.3984375" style="90" customWidth="1"/>
    <col min="6675" max="6675" width="0" style="90" hidden="1" customWidth="1"/>
    <col min="6676" max="6676" width="5.09765625" style="90" customWidth="1"/>
    <col min="6677" max="6677" width="11.3984375" style="90" customWidth="1"/>
    <col min="6678" max="6678" width="0" style="90" hidden="1" customWidth="1"/>
    <col min="6679" max="6679" width="9.59765625" style="90" customWidth="1"/>
    <col min="6680" max="6680" width="0" style="90" hidden="1" customWidth="1"/>
    <col min="6681" max="6682" width="13.19921875" style="90" customWidth="1"/>
    <col min="6683" max="6683" width="6.8984375" style="90" customWidth="1"/>
    <col min="6684" max="6684" width="13.19921875" style="90" customWidth="1"/>
    <col min="6685" max="6685" width="0" style="90" hidden="1" customWidth="1"/>
    <col min="6686" max="6686" width="4" style="90" customWidth="1"/>
    <col min="6687" max="6912" width="8.09765625" style="90"/>
    <col min="6913" max="6914" width="4.19921875" style="90" customWidth="1"/>
    <col min="6915" max="6915" width="11.796875" style="90" customWidth="1"/>
    <col min="6916" max="6916" width="21.796875" style="90" customWidth="1"/>
    <col min="6917" max="6918" width="9.59765625" style="90" customWidth="1"/>
    <col min="6919" max="6921" width="8.19921875" style="90" customWidth="1"/>
    <col min="6922" max="6922" width="0" style="90" hidden="1" customWidth="1"/>
    <col min="6923" max="6923" width="9.59765625" style="90" customWidth="1"/>
    <col min="6924" max="6924" width="5.5" style="90" customWidth="1"/>
    <col min="6925" max="6925" width="0" style="90" hidden="1" customWidth="1"/>
    <col min="6926" max="6927" width="13.19921875" style="90" customWidth="1"/>
    <col min="6928" max="6928" width="0.796875" style="90" customWidth="1"/>
    <col min="6929" max="6929" width="31.19921875" style="90" customWidth="1"/>
    <col min="6930" max="6930" width="20.3984375" style="90" customWidth="1"/>
    <col min="6931" max="6931" width="0" style="90" hidden="1" customWidth="1"/>
    <col min="6932" max="6932" width="5.09765625" style="90" customWidth="1"/>
    <col min="6933" max="6933" width="11.3984375" style="90" customWidth="1"/>
    <col min="6934" max="6934" width="0" style="90" hidden="1" customWidth="1"/>
    <col min="6935" max="6935" width="9.59765625" style="90" customWidth="1"/>
    <col min="6936" max="6936" width="0" style="90" hidden="1" customWidth="1"/>
    <col min="6937" max="6938" width="13.19921875" style="90" customWidth="1"/>
    <col min="6939" max="6939" width="6.8984375" style="90" customWidth="1"/>
    <col min="6940" max="6940" width="13.19921875" style="90" customWidth="1"/>
    <col min="6941" max="6941" width="0" style="90" hidden="1" customWidth="1"/>
    <col min="6942" max="6942" width="4" style="90" customWidth="1"/>
    <col min="6943" max="7168" width="8.09765625" style="90"/>
    <col min="7169" max="7170" width="4.19921875" style="90" customWidth="1"/>
    <col min="7171" max="7171" width="11.796875" style="90" customWidth="1"/>
    <col min="7172" max="7172" width="21.796875" style="90" customWidth="1"/>
    <col min="7173" max="7174" width="9.59765625" style="90" customWidth="1"/>
    <col min="7175" max="7177" width="8.19921875" style="90" customWidth="1"/>
    <col min="7178" max="7178" width="0" style="90" hidden="1" customWidth="1"/>
    <col min="7179" max="7179" width="9.59765625" style="90" customWidth="1"/>
    <col min="7180" max="7180" width="5.5" style="90" customWidth="1"/>
    <col min="7181" max="7181" width="0" style="90" hidden="1" customWidth="1"/>
    <col min="7182" max="7183" width="13.19921875" style="90" customWidth="1"/>
    <col min="7184" max="7184" width="0.796875" style="90" customWidth="1"/>
    <col min="7185" max="7185" width="31.19921875" style="90" customWidth="1"/>
    <col min="7186" max="7186" width="20.3984375" style="90" customWidth="1"/>
    <col min="7187" max="7187" width="0" style="90" hidden="1" customWidth="1"/>
    <col min="7188" max="7188" width="5.09765625" style="90" customWidth="1"/>
    <col min="7189" max="7189" width="11.3984375" style="90" customWidth="1"/>
    <col min="7190" max="7190" width="0" style="90" hidden="1" customWidth="1"/>
    <col min="7191" max="7191" width="9.59765625" style="90" customWidth="1"/>
    <col min="7192" max="7192" width="0" style="90" hidden="1" customWidth="1"/>
    <col min="7193" max="7194" width="13.19921875" style="90" customWidth="1"/>
    <col min="7195" max="7195" width="6.8984375" style="90" customWidth="1"/>
    <col min="7196" max="7196" width="13.19921875" style="90" customWidth="1"/>
    <col min="7197" max="7197" width="0" style="90" hidden="1" customWidth="1"/>
    <col min="7198" max="7198" width="4" style="90" customWidth="1"/>
    <col min="7199" max="7424" width="8.09765625" style="90"/>
    <col min="7425" max="7426" width="4.19921875" style="90" customWidth="1"/>
    <col min="7427" max="7427" width="11.796875" style="90" customWidth="1"/>
    <col min="7428" max="7428" width="21.796875" style="90" customWidth="1"/>
    <col min="7429" max="7430" width="9.59765625" style="90" customWidth="1"/>
    <col min="7431" max="7433" width="8.19921875" style="90" customWidth="1"/>
    <col min="7434" max="7434" width="0" style="90" hidden="1" customWidth="1"/>
    <col min="7435" max="7435" width="9.59765625" style="90" customWidth="1"/>
    <col min="7436" max="7436" width="5.5" style="90" customWidth="1"/>
    <col min="7437" max="7437" width="0" style="90" hidden="1" customWidth="1"/>
    <col min="7438" max="7439" width="13.19921875" style="90" customWidth="1"/>
    <col min="7440" max="7440" width="0.796875" style="90" customWidth="1"/>
    <col min="7441" max="7441" width="31.19921875" style="90" customWidth="1"/>
    <col min="7442" max="7442" width="20.3984375" style="90" customWidth="1"/>
    <col min="7443" max="7443" width="0" style="90" hidden="1" customWidth="1"/>
    <col min="7444" max="7444" width="5.09765625" style="90" customWidth="1"/>
    <col min="7445" max="7445" width="11.3984375" style="90" customWidth="1"/>
    <col min="7446" max="7446" width="0" style="90" hidden="1" customWidth="1"/>
    <col min="7447" max="7447" width="9.59765625" style="90" customWidth="1"/>
    <col min="7448" max="7448" width="0" style="90" hidden="1" customWidth="1"/>
    <col min="7449" max="7450" width="13.19921875" style="90" customWidth="1"/>
    <col min="7451" max="7451" width="6.8984375" style="90" customWidth="1"/>
    <col min="7452" max="7452" width="13.19921875" style="90" customWidth="1"/>
    <col min="7453" max="7453" width="0" style="90" hidden="1" customWidth="1"/>
    <col min="7454" max="7454" width="4" style="90" customWidth="1"/>
    <col min="7455" max="7680" width="8.09765625" style="90"/>
    <col min="7681" max="7682" width="4.19921875" style="90" customWidth="1"/>
    <col min="7683" max="7683" width="11.796875" style="90" customWidth="1"/>
    <col min="7684" max="7684" width="21.796875" style="90" customWidth="1"/>
    <col min="7685" max="7686" width="9.59765625" style="90" customWidth="1"/>
    <col min="7687" max="7689" width="8.19921875" style="90" customWidth="1"/>
    <col min="7690" max="7690" width="0" style="90" hidden="1" customWidth="1"/>
    <col min="7691" max="7691" width="9.59765625" style="90" customWidth="1"/>
    <col min="7692" max="7692" width="5.5" style="90" customWidth="1"/>
    <col min="7693" max="7693" width="0" style="90" hidden="1" customWidth="1"/>
    <col min="7694" max="7695" width="13.19921875" style="90" customWidth="1"/>
    <col min="7696" max="7696" width="0.796875" style="90" customWidth="1"/>
    <col min="7697" max="7697" width="31.19921875" style="90" customWidth="1"/>
    <col min="7698" max="7698" width="20.3984375" style="90" customWidth="1"/>
    <col min="7699" max="7699" width="0" style="90" hidden="1" customWidth="1"/>
    <col min="7700" max="7700" width="5.09765625" style="90" customWidth="1"/>
    <col min="7701" max="7701" width="11.3984375" style="90" customWidth="1"/>
    <col min="7702" max="7702" width="0" style="90" hidden="1" customWidth="1"/>
    <col min="7703" max="7703" width="9.59765625" style="90" customWidth="1"/>
    <col min="7704" max="7704" width="0" style="90" hidden="1" customWidth="1"/>
    <col min="7705" max="7706" width="13.19921875" style="90" customWidth="1"/>
    <col min="7707" max="7707" width="6.8984375" style="90" customWidth="1"/>
    <col min="7708" max="7708" width="13.19921875" style="90" customWidth="1"/>
    <col min="7709" max="7709" width="0" style="90" hidden="1" customWidth="1"/>
    <col min="7710" max="7710" width="4" style="90" customWidth="1"/>
    <col min="7711" max="7936" width="8.09765625" style="90"/>
    <col min="7937" max="7938" width="4.19921875" style="90" customWidth="1"/>
    <col min="7939" max="7939" width="11.796875" style="90" customWidth="1"/>
    <col min="7940" max="7940" width="21.796875" style="90" customWidth="1"/>
    <col min="7941" max="7942" width="9.59765625" style="90" customWidth="1"/>
    <col min="7943" max="7945" width="8.19921875" style="90" customWidth="1"/>
    <col min="7946" max="7946" width="0" style="90" hidden="1" customWidth="1"/>
    <col min="7947" max="7947" width="9.59765625" style="90" customWidth="1"/>
    <col min="7948" max="7948" width="5.5" style="90" customWidth="1"/>
    <col min="7949" max="7949" width="0" style="90" hidden="1" customWidth="1"/>
    <col min="7950" max="7951" width="13.19921875" style="90" customWidth="1"/>
    <col min="7952" max="7952" width="0.796875" style="90" customWidth="1"/>
    <col min="7953" max="7953" width="31.19921875" style="90" customWidth="1"/>
    <col min="7954" max="7954" width="20.3984375" style="90" customWidth="1"/>
    <col min="7955" max="7955" width="0" style="90" hidden="1" customWidth="1"/>
    <col min="7956" max="7956" width="5.09765625" style="90" customWidth="1"/>
    <col min="7957" max="7957" width="11.3984375" style="90" customWidth="1"/>
    <col min="7958" max="7958" width="0" style="90" hidden="1" customWidth="1"/>
    <col min="7959" max="7959" width="9.59765625" style="90" customWidth="1"/>
    <col min="7960" max="7960" width="0" style="90" hidden="1" customWidth="1"/>
    <col min="7961" max="7962" width="13.19921875" style="90" customWidth="1"/>
    <col min="7963" max="7963" width="6.8984375" style="90" customWidth="1"/>
    <col min="7964" max="7964" width="13.19921875" style="90" customWidth="1"/>
    <col min="7965" max="7965" width="0" style="90" hidden="1" customWidth="1"/>
    <col min="7966" max="7966" width="4" style="90" customWidth="1"/>
    <col min="7967" max="8192" width="8.09765625" style="90"/>
    <col min="8193" max="8194" width="4.19921875" style="90" customWidth="1"/>
    <col min="8195" max="8195" width="11.796875" style="90" customWidth="1"/>
    <col min="8196" max="8196" width="21.796875" style="90" customWidth="1"/>
    <col min="8197" max="8198" width="9.59765625" style="90" customWidth="1"/>
    <col min="8199" max="8201" width="8.19921875" style="90" customWidth="1"/>
    <col min="8202" max="8202" width="0" style="90" hidden="1" customWidth="1"/>
    <col min="8203" max="8203" width="9.59765625" style="90" customWidth="1"/>
    <col min="8204" max="8204" width="5.5" style="90" customWidth="1"/>
    <col min="8205" max="8205" width="0" style="90" hidden="1" customWidth="1"/>
    <col min="8206" max="8207" width="13.19921875" style="90" customWidth="1"/>
    <col min="8208" max="8208" width="0.796875" style="90" customWidth="1"/>
    <col min="8209" max="8209" width="31.19921875" style="90" customWidth="1"/>
    <col min="8210" max="8210" width="20.3984375" style="90" customWidth="1"/>
    <col min="8211" max="8211" width="0" style="90" hidden="1" customWidth="1"/>
    <col min="8212" max="8212" width="5.09765625" style="90" customWidth="1"/>
    <col min="8213" max="8213" width="11.3984375" style="90" customWidth="1"/>
    <col min="8214" max="8214" width="0" style="90" hidden="1" customWidth="1"/>
    <col min="8215" max="8215" width="9.59765625" style="90" customWidth="1"/>
    <col min="8216" max="8216" width="0" style="90" hidden="1" customWidth="1"/>
    <col min="8217" max="8218" width="13.19921875" style="90" customWidth="1"/>
    <col min="8219" max="8219" width="6.8984375" style="90" customWidth="1"/>
    <col min="8220" max="8220" width="13.19921875" style="90" customWidth="1"/>
    <col min="8221" max="8221" width="0" style="90" hidden="1" customWidth="1"/>
    <col min="8222" max="8222" width="4" style="90" customWidth="1"/>
    <col min="8223" max="8448" width="8.09765625" style="90"/>
    <col min="8449" max="8450" width="4.19921875" style="90" customWidth="1"/>
    <col min="8451" max="8451" width="11.796875" style="90" customWidth="1"/>
    <col min="8452" max="8452" width="21.796875" style="90" customWidth="1"/>
    <col min="8453" max="8454" width="9.59765625" style="90" customWidth="1"/>
    <col min="8455" max="8457" width="8.19921875" style="90" customWidth="1"/>
    <col min="8458" max="8458" width="0" style="90" hidden="1" customWidth="1"/>
    <col min="8459" max="8459" width="9.59765625" style="90" customWidth="1"/>
    <col min="8460" max="8460" width="5.5" style="90" customWidth="1"/>
    <col min="8461" max="8461" width="0" style="90" hidden="1" customWidth="1"/>
    <col min="8462" max="8463" width="13.19921875" style="90" customWidth="1"/>
    <col min="8464" max="8464" width="0.796875" style="90" customWidth="1"/>
    <col min="8465" max="8465" width="31.19921875" style="90" customWidth="1"/>
    <col min="8466" max="8466" width="20.3984375" style="90" customWidth="1"/>
    <col min="8467" max="8467" width="0" style="90" hidden="1" customWidth="1"/>
    <col min="8468" max="8468" width="5.09765625" style="90" customWidth="1"/>
    <col min="8469" max="8469" width="11.3984375" style="90" customWidth="1"/>
    <col min="8470" max="8470" width="0" style="90" hidden="1" customWidth="1"/>
    <col min="8471" max="8471" width="9.59765625" style="90" customWidth="1"/>
    <col min="8472" max="8472" width="0" style="90" hidden="1" customWidth="1"/>
    <col min="8473" max="8474" width="13.19921875" style="90" customWidth="1"/>
    <col min="8475" max="8475" width="6.8984375" style="90" customWidth="1"/>
    <col min="8476" max="8476" width="13.19921875" style="90" customWidth="1"/>
    <col min="8477" max="8477" width="0" style="90" hidden="1" customWidth="1"/>
    <col min="8478" max="8478" width="4" style="90" customWidth="1"/>
    <col min="8479" max="8704" width="8.09765625" style="90"/>
    <col min="8705" max="8706" width="4.19921875" style="90" customWidth="1"/>
    <col min="8707" max="8707" width="11.796875" style="90" customWidth="1"/>
    <col min="8708" max="8708" width="21.796875" style="90" customWidth="1"/>
    <col min="8709" max="8710" width="9.59765625" style="90" customWidth="1"/>
    <col min="8711" max="8713" width="8.19921875" style="90" customWidth="1"/>
    <col min="8714" max="8714" width="0" style="90" hidden="1" customWidth="1"/>
    <col min="8715" max="8715" width="9.59765625" style="90" customWidth="1"/>
    <col min="8716" max="8716" width="5.5" style="90" customWidth="1"/>
    <col min="8717" max="8717" width="0" style="90" hidden="1" customWidth="1"/>
    <col min="8718" max="8719" width="13.19921875" style="90" customWidth="1"/>
    <col min="8720" max="8720" width="0.796875" style="90" customWidth="1"/>
    <col min="8721" max="8721" width="31.19921875" style="90" customWidth="1"/>
    <col min="8722" max="8722" width="20.3984375" style="90" customWidth="1"/>
    <col min="8723" max="8723" width="0" style="90" hidden="1" customWidth="1"/>
    <col min="8724" max="8724" width="5.09765625" style="90" customWidth="1"/>
    <col min="8725" max="8725" width="11.3984375" style="90" customWidth="1"/>
    <col min="8726" max="8726" width="0" style="90" hidden="1" customWidth="1"/>
    <col min="8727" max="8727" width="9.59765625" style="90" customWidth="1"/>
    <col min="8728" max="8728" width="0" style="90" hidden="1" customWidth="1"/>
    <col min="8729" max="8730" width="13.19921875" style="90" customWidth="1"/>
    <col min="8731" max="8731" width="6.8984375" style="90" customWidth="1"/>
    <col min="8732" max="8732" width="13.19921875" style="90" customWidth="1"/>
    <col min="8733" max="8733" width="0" style="90" hidden="1" customWidth="1"/>
    <col min="8734" max="8734" width="4" style="90" customWidth="1"/>
    <col min="8735" max="8960" width="8.09765625" style="90"/>
    <col min="8961" max="8962" width="4.19921875" style="90" customWidth="1"/>
    <col min="8963" max="8963" width="11.796875" style="90" customWidth="1"/>
    <col min="8964" max="8964" width="21.796875" style="90" customWidth="1"/>
    <col min="8965" max="8966" width="9.59765625" style="90" customWidth="1"/>
    <col min="8967" max="8969" width="8.19921875" style="90" customWidth="1"/>
    <col min="8970" max="8970" width="0" style="90" hidden="1" customWidth="1"/>
    <col min="8971" max="8971" width="9.59765625" style="90" customWidth="1"/>
    <col min="8972" max="8972" width="5.5" style="90" customWidth="1"/>
    <col min="8973" max="8973" width="0" style="90" hidden="1" customWidth="1"/>
    <col min="8974" max="8975" width="13.19921875" style="90" customWidth="1"/>
    <col min="8976" max="8976" width="0.796875" style="90" customWidth="1"/>
    <col min="8977" max="8977" width="31.19921875" style="90" customWidth="1"/>
    <col min="8978" max="8978" width="20.3984375" style="90" customWidth="1"/>
    <col min="8979" max="8979" width="0" style="90" hidden="1" customWidth="1"/>
    <col min="8980" max="8980" width="5.09765625" style="90" customWidth="1"/>
    <col min="8981" max="8981" width="11.3984375" style="90" customWidth="1"/>
    <col min="8982" max="8982" width="0" style="90" hidden="1" customWidth="1"/>
    <col min="8983" max="8983" width="9.59765625" style="90" customWidth="1"/>
    <col min="8984" max="8984" width="0" style="90" hidden="1" customWidth="1"/>
    <col min="8985" max="8986" width="13.19921875" style="90" customWidth="1"/>
    <col min="8987" max="8987" width="6.8984375" style="90" customWidth="1"/>
    <col min="8988" max="8988" width="13.19921875" style="90" customWidth="1"/>
    <col min="8989" max="8989" width="0" style="90" hidden="1" customWidth="1"/>
    <col min="8990" max="8990" width="4" style="90" customWidth="1"/>
    <col min="8991" max="9216" width="8.09765625" style="90"/>
    <col min="9217" max="9218" width="4.19921875" style="90" customWidth="1"/>
    <col min="9219" max="9219" width="11.796875" style="90" customWidth="1"/>
    <col min="9220" max="9220" width="21.796875" style="90" customWidth="1"/>
    <col min="9221" max="9222" width="9.59765625" style="90" customWidth="1"/>
    <col min="9223" max="9225" width="8.19921875" style="90" customWidth="1"/>
    <col min="9226" max="9226" width="0" style="90" hidden="1" customWidth="1"/>
    <col min="9227" max="9227" width="9.59765625" style="90" customWidth="1"/>
    <col min="9228" max="9228" width="5.5" style="90" customWidth="1"/>
    <col min="9229" max="9229" width="0" style="90" hidden="1" customWidth="1"/>
    <col min="9230" max="9231" width="13.19921875" style="90" customWidth="1"/>
    <col min="9232" max="9232" width="0.796875" style="90" customWidth="1"/>
    <col min="9233" max="9233" width="31.19921875" style="90" customWidth="1"/>
    <col min="9234" max="9234" width="20.3984375" style="90" customWidth="1"/>
    <col min="9235" max="9235" width="0" style="90" hidden="1" customWidth="1"/>
    <col min="9236" max="9236" width="5.09765625" style="90" customWidth="1"/>
    <col min="9237" max="9237" width="11.3984375" style="90" customWidth="1"/>
    <col min="9238" max="9238" width="0" style="90" hidden="1" customWidth="1"/>
    <col min="9239" max="9239" width="9.59765625" style="90" customWidth="1"/>
    <col min="9240" max="9240" width="0" style="90" hidden="1" customWidth="1"/>
    <col min="9241" max="9242" width="13.19921875" style="90" customWidth="1"/>
    <col min="9243" max="9243" width="6.8984375" style="90" customWidth="1"/>
    <col min="9244" max="9244" width="13.19921875" style="90" customWidth="1"/>
    <col min="9245" max="9245" width="0" style="90" hidden="1" customWidth="1"/>
    <col min="9246" max="9246" width="4" style="90" customWidth="1"/>
    <col min="9247" max="9472" width="8.09765625" style="90"/>
    <col min="9473" max="9474" width="4.19921875" style="90" customWidth="1"/>
    <col min="9475" max="9475" width="11.796875" style="90" customWidth="1"/>
    <col min="9476" max="9476" width="21.796875" style="90" customWidth="1"/>
    <col min="9477" max="9478" width="9.59765625" style="90" customWidth="1"/>
    <col min="9479" max="9481" width="8.19921875" style="90" customWidth="1"/>
    <col min="9482" max="9482" width="0" style="90" hidden="1" customWidth="1"/>
    <col min="9483" max="9483" width="9.59765625" style="90" customWidth="1"/>
    <col min="9484" max="9484" width="5.5" style="90" customWidth="1"/>
    <col min="9485" max="9485" width="0" style="90" hidden="1" customWidth="1"/>
    <col min="9486" max="9487" width="13.19921875" style="90" customWidth="1"/>
    <col min="9488" max="9488" width="0.796875" style="90" customWidth="1"/>
    <col min="9489" max="9489" width="31.19921875" style="90" customWidth="1"/>
    <col min="9490" max="9490" width="20.3984375" style="90" customWidth="1"/>
    <col min="9491" max="9491" width="0" style="90" hidden="1" customWidth="1"/>
    <col min="9492" max="9492" width="5.09765625" style="90" customWidth="1"/>
    <col min="9493" max="9493" width="11.3984375" style="90" customWidth="1"/>
    <col min="9494" max="9494" width="0" style="90" hidden="1" customWidth="1"/>
    <col min="9495" max="9495" width="9.59765625" style="90" customWidth="1"/>
    <col min="9496" max="9496" width="0" style="90" hidden="1" customWidth="1"/>
    <col min="9497" max="9498" width="13.19921875" style="90" customWidth="1"/>
    <col min="9499" max="9499" width="6.8984375" style="90" customWidth="1"/>
    <col min="9500" max="9500" width="13.19921875" style="90" customWidth="1"/>
    <col min="9501" max="9501" width="0" style="90" hidden="1" customWidth="1"/>
    <col min="9502" max="9502" width="4" style="90" customWidth="1"/>
    <col min="9503" max="9728" width="8.09765625" style="90"/>
    <col min="9729" max="9730" width="4.19921875" style="90" customWidth="1"/>
    <col min="9731" max="9731" width="11.796875" style="90" customWidth="1"/>
    <col min="9732" max="9732" width="21.796875" style="90" customWidth="1"/>
    <col min="9733" max="9734" width="9.59765625" style="90" customWidth="1"/>
    <col min="9735" max="9737" width="8.19921875" style="90" customWidth="1"/>
    <col min="9738" max="9738" width="0" style="90" hidden="1" customWidth="1"/>
    <col min="9739" max="9739" width="9.59765625" style="90" customWidth="1"/>
    <col min="9740" max="9740" width="5.5" style="90" customWidth="1"/>
    <col min="9741" max="9741" width="0" style="90" hidden="1" customWidth="1"/>
    <col min="9742" max="9743" width="13.19921875" style="90" customWidth="1"/>
    <col min="9744" max="9744" width="0.796875" style="90" customWidth="1"/>
    <col min="9745" max="9745" width="31.19921875" style="90" customWidth="1"/>
    <col min="9746" max="9746" width="20.3984375" style="90" customWidth="1"/>
    <col min="9747" max="9747" width="0" style="90" hidden="1" customWidth="1"/>
    <col min="9748" max="9748" width="5.09765625" style="90" customWidth="1"/>
    <col min="9749" max="9749" width="11.3984375" style="90" customWidth="1"/>
    <col min="9750" max="9750" width="0" style="90" hidden="1" customWidth="1"/>
    <col min="9751" max="9751" width="9.59765625" style="90" customWidth="1"/>
    <col min="9752" max="9752" width="0" style="90" hidden="1" customWidth="1"/>
    <col min="9753" max="9754" width="13.19921875" style="90" customWidth="1"/>
    <col min="9755" max="9755" width="6.8984375" style="90" customWidth="1"/>
    <col min="9756" max="9756" width="13.19921875" style="90" customWidth="1"/>
    <col min="9757" max="9757" width="0" style="90" hidden="1" customWidth="1"/>
    <col min="9758" max="9758" width="4" style="90" customWidth="1"/>
    <col min="9759" max="9984" width="8.09765625" style="90"/>
    <col min="9985" max="9986" width="4.19921875" style="90" customWidth="1"/>
    <col min="9987" max="9987" width="11.796875" style="90" customWidth="1"/>
    <col min="9988" max="9988" width="21.796875" style="90" customWidth="1"/>
    <col min="9989" max="9990" width="9.59765625" style="90" customWidth="1"/>
    <col min="9991" max="9993" width="8.19921875" style="90" customWidth="1"/>
    <col min="9994" max="9994" width="0" style="90" hidden="1" customWidth="1"/>
    <col min="9995" max="9995" width="9.59765625" style="90" customWidth="1"/>
    <col min="9996" max="9996" width="5.5" style="90" customWidth="1"/>
    <col min="9997" max="9997" width="0" style="90" hidden="1" customWidth="1"/>
    <col min="9998" max="9999" width="13.19921875" style="90" customWidth="1"/>
    <col min="10000" max="10000" width="0.796875" style="90" customWidth="1"/>
    <col min="10001" max="10001" width="31.19921875" style="90" customWidth="1"/>
    <col min="10002" max="10002" width="20.3984375" style="90" customWidth="1"/>
    <col min="10003" max="10003" width="0" style="90" hidden="1" customWidth="1"/>
    <col min="10004" max="10004" width="5.09765625" style="90" customWidth="1"/>
    <col min="10005" max="10005" width="11.3984375" style="90" customWidth="1"/>
    <col min="10006" max="10006" width="0" style="90" hidden="1" customWidth="1"/>
    <col min="10007" max="10007" width="9.59765625" style="90" customWidth="1"/>
    <col min="10008" max="10008" width="0" style="90" hidden="1" customWidth="1"/>
    <col min="10009" max="10010" width="13.19921875" style="90" customWidth="1"/>
    <col min="10011" max="10011" width="6.8984375" style="90" customWidth="1"/>
    <col min="10012" max="10012" width="13.19921875" style="90" customWidth="1"/>
    <col min="10013" max="10013" width="0" style="90" hidden="1" customWidth="1"/>
    <col min="10014" max="10014" width="4" style="90" customWidth="1"/>
    <col min="10015" max="10240" width="8.09765625" style="90"/>
    <col min="10241" max="10242" width="4.19921875" style="90" customWidth="1"/>
    <col min="10243" max="10243" width="11.796875" style="90" customWidth="1"/>
    <col min="10244" max="10244" width="21.796875" style="90" customWidth="1"/>
    <col min="10245" max="10246" width="9.59765625" style="90" customWidth="1"/>
    <col min="10247" max="10249" width="8.19921875" style="90" customWidth="1"/>
    <col min="10250" max="10250" width="0" style="90" hidden="1" customWidth="1"/>
    <col min="10251" max="10251" width="9.59765625" style="90" customWidth="1"/>
    <col min="10252" max="10252" width="5.5" style="90" customWidth="1"/>
    <col min="10253" max="10253" width="0" style="90" hidden="1" customWidth="1"/>
    <col min="10254" max="10255" width="13.19921875" style="90" customWidth="1"/>
    <col min="10256" max="10256" width="0.796875" style="90" customWidth="1"/>
    <col min="10257" max="10257" width="31.19921875" style="90" customWidth="1"/>
    <col min="10258" max="10258" width="20.3984375" style="90" customWidth="1"/>
    <col min="10259" max="10259" width="0" style="90" hidden="1" customWidth="1"/>
    <col min="10260" max="10260" width="5.09765625" style="90" customWidth="1"/>
    <col min="10261" max="10261" width="11.3984375" style="90" customWidth="1"/>
    <col min="10262" max="10262" width="0" style="90" hidden="1" customWidth="1"/>
    <col min="10263" max="10263" width="9.59765625" style="90" customWidth="1"/>
    <col min="10264" max="10264" width="0" style="90" hidden="1" customWidth="1"/>
    <col min="10265" max="10266" width="13.19921875" style="90" customWidth="1"/>
    <col min="10267" max="10267" width="6.8984375" style="90" customWidth="1"/>
    <col min="10268" max="10268" width="13.19921875" style="90" customWidth="1"/>
    <col min="10269" max="10269" width="0" style="90" hidden="1" customWidth="1"/>
    <col min="10270" max="10270" width="4" style="90" customWidth="1"/>
    <col min="10271" max="10496" width="8.09765625" style="90"/>
    <col min="10497" max="10498" width="4.19921875" style="90" customWidth="1"/>
    <col min="10499" max="10499" width="11.796875" style="90" customWidth="1"/>
    <col min="10500" max="10500" width="21.796875" style="90" customWidth="1"/>
    <col min="10501" max="10502" width="9.59765625" style="90" customWidth="1"/>
    <col min="10503" max="10505" width="8.19921875" style="90" customWidth="1"/>
    <col min="10506" max="10506" width="0" style="90" hidden="1" customWidth="1"/>
    <col min="10507" max="10507" width="9.59765625" style="90" customWidth="1"/>
    <col min="10508" max="10508" width="5.5" style="90" customWidth="1"/>
    <col min="10509" max="10509" width="0" style="90" hidden="1" customWidth="1"/>
    <col min="10510" max="10511" width="13.19921875" style="90" customWidth="1"/>
    <col min="10512" max="10512" width="0.796875" style="90" customWidth="1"/>
    <col min="10513" max="10513" width="31.19921875" style="90" customWidth="1"/>
    <col min="10514" max="10514" width="20.3984375" style="90" customWidth="1"/>
    <col min="10515" max="10515" width="0" style="90" hidden="1" customWidth="1"/>
    <col min="10516" max="10516" width="5.09765625" style="90" customWidth="1"/>
    <col min="10517" max="10517" width="11.3984375" style="90" customWidth="1"/>
    <col min="10518" max="10518" width="0" style="90" hidden="1" customWidth="1"/>
    <col min="10519" max="10519" width="9.59765625" style="90" customWidth="1"/>
    <col min="10520" max="10520" width="0" style="90" hidden="1" customWidth="1"/>
    <col min="10521" max="10522" width="13.19921875" style="90" customWidth="1"/>
    <col min="10523" max="10523" width="6.8984375" style="90" customWidth="1"/>
    <col min="10524" max="10524" width="13.19921875" style="90" customWidth="1"/>
    <col min="10525" max="10525" width="0" style="90" hidden="1" customWidth="1"/>
    <col min="10526" max="10526" width="4" style="90" customWidth="1"/>
    <col min="10527" max="10752" width="8.09765625" style="90"/>
    <col min="10753" max="10754" width="4.19921875" style="90" customWidth="1"/>
    <col min="10755" max="10755" width="11.796875" style="90" customWidth="1"/>
    <col min="10756" max="10756" width="21.796875" style="90" customWidth="1"/>
    <col min="10757" max="10758" width="9.59765625" style="90" customWidth="1"/>
    <col min="10759" max="10761" width="8.19921875" style="90" customWidth="1"/>
    <col min="10762" max="10762" width="0" style="90" hidden="1" customWidth="1"/>
    <col min="10763" max="10763" width="9.59765625" style="90" customWidth="1"/>
    <col min="10764" max="10764" width="5.5" style="90" customWidth="1"/>
    <col min="10765" max="10765" width="0" style="90" hidden="1" customWidth="1"/>
    <col min="10766" max="10767" width="13.19921875" style="90" customWidth="1"/>
    <col min="10768" max="10768" width="0.796875" style="90" customWidth="1"/>
    <col min="10769" max="10769" width="31.19921875" style="90" customWidth="1"/>
    <col min="10770" max="10770" width="20.3984375" style="90" customWidth="1"/>
    <col min="10771" max="10771" width="0" style="90" hidden="1" customWidth="1"/>
    <col min="10772" max="10772" width="5.09765625" style="90" customWidth="1"/>
    <col min="10773" max="10773" width="11.3984375" style="90" customWidth="1"/>
    <col min="10774" max="10774" width="0" style="90" hidden="1" customWidth="1"/>
    <col min="10775" max="10775" width="9.59765625" style="90" customWidth="1"/>
    <col min="10776" max="10776" width="0" style="90" hidden="1" customWidth="1"/>
    <col min="10777" max="10778" width="13.19921875" style="90" customWidth="1"/>
    <col min="10779" max="10779" width="6.8984375" style="90" customWidth="1"/>
    <col min="10780" max="10780" width="13.19921875" style="90" customWidth="1"/>
    <col min="10781" max="10781" width="0" style="90" hidden="1" customWidth="1"/>
    <col min="10782" max="10782" width="4" style="90" customWidth="1"/>
    <col min="10783" max="11008" width="8.09765625" style="90"/>
    <col min="11009" max="11010" width="4.19921875" style="90" customWidth="1"/>
    <col min="11011" max="11011" width="11.796875" style="90" customWidth="1"/>
    <col min="11012" max="11012" width="21.796875" style="90" customWidth="1"/>
    <col min="11013" max="11014" width="9.59765625" style="90" customWidth="1"/>
    <col min="11015" max="11017" width="8.19921875" style="90" customWidth="1"/>
    <col min="11018" max="11018" width="0" style="90" hidden="1" customWidth="1"/>
    <col min="11019" max="11019" width="9.59765625" style="90" customWidth="1"/>
    <col min="11020" max="11020" width="5.5" style="90" customWidth="1"/>
    <col min="11021" max="11021" width="0" style="90" hidden="1" customWidth="1"/>
    <col min="11022" max="11023" width="13.19921875" style="90" customWidth="1"/>
    <col min="11024" max="11024" width="0.796875" style="90" customWidth="1"/>
    <col min="11025" max="11025" width="31.19921875" style="90" customWidth="1"/>
    <col min="11026" max="11026" width="20.3984375" style="90" customWidth="1"/>
    <col min="11027" max="11027" width="0" style="90" hidden="1" customWidth="1"/>
    <col min="11028" max="11028" width="5.09765625" style="90" customWidth="1"/>
    <col min="11029" max="11029" width="11.3984375" style="90" customWidth="1"/>
    <col min="11030" max="11030" width="0" style="90" hidden="1" customWidth="1"/>
    <col min="11031" max="11031" width="9.59765625" style="90" customWidth="1"/>
    <col min="11032" max="11032" width="0" style="90" hidden="1" customWidth="1"/>
    <col min="11033" max="11034" width="13.19921875" style="90" customWidth="1"/>
    <col min="11035" max="11035" width="6.8984375" style="90" customWidth="1"/>
    <col min="11036" max="11036" width="13.19921875" style="90" customWidth="1"/>
    <col min="11037" max="11037" width="0" style="90" hidden="1" customWidth="1"/>
    <col min="11038" max="11038" width="4" style="90" customWidth="1"/>
    <col min="11039" max="11264" width="8.09765625" style="90"/>
    <col min="11265" max="11266" width="4.19921875" style="90" customWidth="1"/>
    <col min="11267" max="11267" width="11.796875" style="90" customWidth="1"/>
    <col min="11268" max="11268" width="21.796875" style="90" customWidth="1"/>
    <col min="11269" max="11270" width="9.59765625" style="90" customWidth="1"/>
    <col min="11271" max="11273" width="8.19921875" style="90" customWidth="1"/>
    <col min="11274" max="11274" width="0" style="90" hidden="1" customWidth="1"/>
    <col min="11275" max="11275" width="9.59765625" style="90" customWidth="1"/>
    <col min="11276" max="11276" width="5.5" style="90" customWidth="1"/>
    <col min="11277" max="11277" width="0" style="90" hidden="1" customWidth="1"/>
    <col min="11278" max="11279" width="13.19921875" style="90" customWidth="1"/>
    <col min="11280" max="11280" width="0.796875" style="90" customWidth="1"/>
    <col min="11281" max="11281" width="31.19921875" style="90" customWidth="1"/>
    <col min="11282" max="11282" width="20.3984375" style="90" customWidth="1"/>
    <col min="11283" max="11283" width="0" style="90" hidden="1" customWidth="1"/>
    <col min="11284" max="11284" width="5.09765625" style="90" customWidth="1"/>
    <col min="11285" max="11285" width="11.3984375" style="90" customWidth="1"/>
    <col min="11286" max="11286" width="0" style="90" hidden="1" customWidth="1"/>
    <col min="11287" max="11287" width="9.59765625" style="90" customWidth="1"/>
    <col min="11288" max="11288" width="0" style="90" hidden="1" customWidth="1"/>
    <col min="11289" max="11290" width="13.19921875" style="90" customWidth="1"/>
    <col min="11291" max="11291" width="6.8984375" style="90" customWidth="1"/>
    <col min="11292" max="11292" width="13.19921875" style="90" customWidth="1"/>
    <col min="11293" max="11293" width="0" style="90" hidden="1" customWidth="1"/>
    <col min="11294" max="11294" width="4" style="90" customWidth="1"/>
    <col min="11295" max="11520" width="8.09765625" style="90"/>
    <col min="11521" max="11522" width="4.19921875" style="90" customWidth="1"/>
    <col min="11523" max="11523" width="11.796875" style="90" customWidth="1"/>
    <col min="11524" max="11524" width="21.796875" style="90" customWidth="1"/>
    <col min="11525" max="11526" width="9.59765625" style="90" customWidth="1"/>
    <col min="11527" max="11529" width="8.19921875" style="90" customWidth="1"/>
    <col min="11530" max="11530" width="0" style="90" hidden="1" customWidth="1"/>
    <col min="11531" max="11531" width="9.59765625" style="90" customWidth="1"/>
    <col min="11532" max="11532" width="5.5" style="90" customWidth="1"/>
    <col min="11533" max="11533" width="0" style="90" hidden="1" customWidth="1"/>
    <col min="11534" max="11535" width="13.19921875" style="90" customWidth="1"/>
    <col min="11536" max="11536" width="0.796875" style="90" customWidth="1"/>
    <col min="11537" max="11537" width="31.19921875" style="90" customWidth="1"/>
    <col min="11538" max="11538" width="20.3984375" style="90" customWidth="1"/>
    <col min="11539" max="11539" width="0" style="90" hidden="1" customWidth="1"/>
    <col min="11540" max="11540" width="5.09765625" style="90" customWidth="1"/>
    <col min="11541" max="11541" width="11.3984375" style="90" customWidth="1"/>
    <col min="11542" max="11542" width="0" style="90" hidden="1" customWidth="1"/>
    <col min="11543" max="11543" width="9.59765625" style="90" customWidth="1"/>
    <col min="11544" max="11544" width="0" style="90" hidden="1" customWidth="1"/>
    <col min="11545" max="11546" width="13.19921875" style="90" customWidth="1"/>
    <col min="11547" max="11547" width="6.8984375" style="90" customWidth="1"/>
    <col min="11548" max="11548" width="13.19921875" style="90" customWidth="1"/>
    <col min="11549" max="11549" width="0" style="90" hidden="1" customWidth="1"/>
    <col min="11550" max="11550" width="4" style="90" customWidth="1"/>
    <col min="11551" max="11776" width="8.09765625" style="90"/>
    <col min="11777" max="11778" width="4.19921875" style="90" customWidth="1"/>
    <col min="11779" max="11779" width="11.796875" style="90" customWidth="1"/>
    <col min="11780" max="11780" width="21.796875" style="90" customWidth="1"/>
    <col min="11781" max="11782" width="9.59765625" style="90" customWidth="1"/>
    <col min="11783" max="11785" width="8.19921875" style="90" customWidth="1"/>
    <col min="11786" max="11786" width="0" style="90" hidden="1" customWidth="1"/>
    <col min="11787" max="11787" width="9.59765625" style="90" customWidth="1"/>
    <col min="11788" max="11788" width="5.5" style="90" customWidth="1"/>
    <col min="11789" max="11789" width="0" style="90" hidden="1" customWidth="1"/>
    <col min="11790" max="11791" width="13.19921875" style="90" customWidth="1"/>
    <col min="11792" max="11792" width="0.796875" style="90" customWidth="1"/>
    <col min="11793" max="11793" width="31.19921875" style="90" customWidth="1"/>
    <col min="11794" max="11794" width="20.3984375" style="90" customWidth="1"/>
    <col min="11795" max="11795" width="0" style="90" hidden="1" customWidth="1"/>
    <col min="11796" max="11796" width="5.09765625" style="90" customWidth="1"/>
    <col min="11797" max="11797" width="11.3984375" style="90" customWidth="1"/>
    <col min="11798" max="11798" width="0" style="90" hidden="1" customWidth="1"/>
    <col min="11799" max="11799" width="9.59765625" style="90" customWidth="1"/>
    <col min="11800" max="11800" width="0" style="90" hidden="1" customWidth="1"/>
    <col min="11801" max="11802" width="13.19921875" style="90" customWidth="1"/>
    <col min="11803" max="11803" width="6.8984375" style="90" customWidth="1"/>
    <col min="11804" max="11804" width="13.19921875" style="90" customWidth="1"/>
    <col min="11805" max="11805" width="0" style="90" hidden="1" customWidth="1"/>
    <col min="11806" max="11806" width="4" style="90" customWidth="1"/>
    <col min="11807" max="12032" width="8.09765625" style="90"/>
    <col min="12033" max="12034" width="4.19921875" style="90" customWidth="1"/>
    <col min="12035" max="12035" width="11.796875" style="90" customWidth="1"/>
    <col min="12036" max="12036" width="21.796875" style="90" customWidth="1"/>
    <col min="12037" max="12038" width="9.59765625" style="90" customWidth="1"/>
    <col min="12039" max="12041" width="8.19921875" style="90" customWidth="1"/>
    <col min="12042" max="12042" width="0" style="90" hidden="1" customWidth="1"/>
    <col min="12043" max="12043" width="9.59765625" style="90" customWidth="1"/>
    <col min="12044" max="12044" width="5.5" style="90" customWidth="1"/>
    <col min="12045" max="12045" width="0" style="90" hidden="1" customWidth="1"/>
    <col min="12046" max="12047" width="13.19921875" style="90" customWidth="1"/>
    <col min="12048" max="12048" width="0.796875" style="90" customWidth="1"/>
    <col min="12049" max="12049" width="31.19921875" style="90" customWidth="1"/>
    <col min="12050" max="12050" width="20.3984375" style="90" customWidth="1"/>
    <col min="12051" max="12051" width="0" style="90" hidden="1" customWidth="1"/>
    <col min="12052" max="12052" width="5.09765625" style="90" customWidth="1"/>
    <col min="12053" max="12053" width="11.3984375" style="90" customWidth="1"/>
    <col min="12054" max="12054" width="0" style="90" hidden="1" customWidth="1"/>
    <col min="12055" max="12055" width="9.59765625" style="90" customWidth="1"/>
    <col min="12056" max="12056" width="0" style="90" hidden="1" customWidth="1"/>
    <col min="12057" max="12058" width="13.19921875" style="90" customWidth="1"/>
    <col min="12059" max="12059" width="6.8984375" style="90" customWidth="1"/>
    <col min="12060" max="12060" width="13.19921875" style="90" customWidth="1"/>
    <col min="12061" max="12061" width="0" style="90" hidden="1" customWidth="1"/>
    <col min="12062" max="12062" width="4" style="90" customWidth="1"/>
    <col min="12063" max="12288" width="8.09765625" style="90"/>
    <col min="12289" max="12290" width="4.19921875" style="90" customWidth="1"/>
    <col min="12291" max="12291" width="11.796875" style="90" customWidth="1"/>
    <col min="12292" max="12292" width="21.796875" style="90" customWidth="1"/>
    <col min="12293" max="12294" width="9.59765625" style="90" customWidth="1"/>
    <col min="12295" max="12297" width="8.19921875" style="90" customWidth="1"/>
    <col min="12298" max="12298" width="0" style="90" hidden="1" customWidth="1"/>
    <col min="12299" max="12299" width="9.59765625" style="90" customWidth="1"/>
    <col min="12300" max="12300" width="5.5" style="90" customWidth="1"/>
    <col min="12301" max="12301" width="0" style="90" hidden="1" customWidth="1"/>
    <col min="12302" max="12303" width="13.19921875" style="90" customWidth="1"/>
    <col min="12304" max="12304" width="0.796875" style="90" customWidth="1"/>
    <col min="12305" max="12305" width="31.19921875" style="90" customWidth="1"/>
    <col min="12306" max="12306" width="20.3984375" style="90" customWidth="1"/>
    <col min="12307" max="12307" width="0" style="90" hidden="1" customWidth="1"/>
    <col min="12308" max="12308" width="5.09765625" style="90" customWidth="1"/>
    <col min="12309" max="12309" width="11.3984375" style="90" customWidth="1"/>
    <col min="12310" max="12310" width="0" style="90" hidden="1" customWidth="1"/>
    <col min="12311" max="12311" width="9.59765625" style="90" customWidth="1"/>
    <col min="12312" max="12312" width="0" style="90" hidden="1" customWidth="1"/>
    <col min="12313" max="12314" width="13.19921875" style="90" customWidth="1"/>
    <col min="12315" max="12315" width="6.8984375" style="90" customWidth="1"/>
    <col min="12316" max="12316" width="13.19921875" style="90" customWidth="1"/>
    <col min="12317" max="12317" width="0" style="90" hidden="1" customWidth="1"/>
    <col min="12318" max="12318" width="4" style="90" customWidth="1"/>
    <col min="12319" max="12544" width="8.09765625" style="90"/>
    <col min="12545" max="12546" width="4.19921875" style="90" customWidth="1"/>
    <col min="12547" max="12547" width="11.796875" style="90" customWidth="1"/>
    <col min="12548" max="12548" width="21.796875" style="90" customWidth="1"/>
    <col min="12549" max="12550" width="9.59765625" style="90" customWidth="1"/>
    <col min="12551" max="12553" width="8.19921875" style="90" customWidth="1"/>
    <col min="12554" max="12554" width="0" style="90" hidden="1" customWidth="1"/>
    <col min="12555" max="12555" width="9.59765625" style="90" customWidth="1"/>
    <col min="12556" max="12556" width="5.5" style="90" customWidth="1"/>
    <col min="12557" max="12557" width="0" style="90" hidden="1" customWidth="1"/>
    <col min="12558" max="12559" width="13.19921875" style="90" customWidth="1"/>
    <col min="12560" max="12560" width="0.796875" style="90" customWidth="1"/>
    <col min="12561" max="12561" width="31.19921875" style="90" customWidth="1"/>
    <col min="12562" max="12562" width="20.3984375" style="90" customWidth="1"/>
    <col min="12563" max="12563" width="0" style="90" hidden="1" customWidth="1"/>
    <col min="12564" max="12564" width="5.09765625" style="90" customWidth="1"/>
    <col min="12565" max="12565" width="11.3984375" style="90" customWidth="1"/>
    <col min="12566" max="12566" width="0" style="90" hidden="1" customWidth="1"/>
    <col min="12567" max="12567" width="9.59765625" style="90" customWidth="1"/>
    <col min="12568" max="12568" width="0" style="90" hidden="1" customWidth="1"/>
    <col min="12569" max="12570" width="13.19921875" style="90" customWidth="1"/>
    <col min="12571" max="12571" width="6.8984375" style="90" customWidth="1"/>
    <col min="12572" max="12572" width="13.19921875" style="90" customWidth="1"/>
    <col min="12573" max="12573" width="0" style="90" hidden="1" customWidth="1"/>
    <col min="12574" max="12574" width="4" style="90" customWidth="1"/>
    <col min="12575" max="12800" width="8.09765625" style="90"/>
    <col min="12801" max="12802" width="4.19921875" style="90" customWidth="1"/>
    <col min="12803" max="12803" width="11.796875" style="90" customWidth="1"/>
    <col min="12804" max="12804" width="21.796875" style="90" customWidth="1"/>
    <col min="12805" max="12806" width="9.59765625" style="90" customWidth="1"/>
    <col min="12807" max="12809" width="8.19921875" style="90" customWidth="1"/>
    <col min="12810" max="12810" width="0" style="90" hidden="1" customWidth="1"/>
    <col min="12811" max="12811" width="9.59765625" style="90" customWidth="1"/>
    <col min="12812" max="12812" width="5.5" style="90" customWidth="1"/>
    <col min="12813" max="12813" width="0" style="90" hidden="1" customWidth="1"/>
    <col min="12814" max="12815" width="13.19921875" style="90" customWidth="1"/>
    <col min="12816" max="12816" width="0.796875" style="90" customWidth="1"/>
    <col min="12817" max="12817" width="31.19921875" style="90" customWidth="1"/>
    <col min="12818" max="12818" width="20.3984375" style="90" customWidth="1"/>
    <col min="12819" max="12819" width="0" style="90" hidden="1" customWidth="1"/>
    <col min="12820" max="12820" width="5.09765625" style="90" customWidth="1"/>
    <col min="12821" max="12821" width="11.3984375" style="90" customWidth="1"/>
    <col min="12822" max="12822" width="0" style="90" hidden="1" customWidth="1"/>
    <col min="12823" max="12823" width="9.59765625" style="90" customWidth="1"/>
    <col min="12824" max="12824" width="0" style="90" hidden="1" customWidth="1"/>
    <col min="12825" max="12826" width="13.19921875" style="90" customWidth="1"/>
    <col min="12827" max="12827" width="6.8984375" style="90" customWidth="1"/>
    <col min="12828" max="12828" width="13.19921875" style="90" customWidth="1"/>
    <col min="12829" max="12829" width="0" style="90" hidden="1" customWidth="1"/>
    <col min="12830" max="12830" width="4" style="90" customWidth="1"/>
    <col min="12831" max="13056" width="8.09765625" style="90"/>
    <col min="13057" max="13058" width="4.19921875" style="90" customWidth="1"/>
    <col min="13059" max="13059" width="11.796875" style="90" customWidth="1"/>
    <col min="13060" max="13060" width="21.796875" style="90" customWidth="1"/>
    <col min="13061" max="13062" width="9.59765625" style="90" customWidth="1"/>
    <col min="13063" max="13065" width="8.19921875" style="90" customWidth="1"/>
    <col min="13066" max="13066" width="0" style="90" hidden="1" customWidth="1"/>
    <col min="13067" max="13067" width="9.59765625" style="90" customWidth="1"/>
    <col min="13068" max="13068" width="5.5" style="90" customWidth="1"/>
    <col min="13069" max="13069" width="0" style="90" hidden="1" customWidth="1"/>
    <col min="13070" max="13071" width="13.19921875" style="90" customWidth="1"/>
    <col min="13072" max="13072" width="0.796875" style="90" customWidth="1"/>
    <col min="13073" max="13073" width="31.19921875" style="90" customWidth="1"/>
    <col min="13074" max="13074" width="20.3984375" style="90" customWidth="1"/>
    <col min="13075" max="13075" width="0" style="90" hidden="1" customWidth="1"/>
    <col min="13076" max="13076" width="5.09765625" style="90" customWidth="1"/>
    <col min="13077" max="13077" width="11.3984375" style="90" customWidth="1"/>
    <col min="13078" max="13078" width="0" style="90" hidden="1" customWidth="1"/>
    <col min="13079" max="13079" width="9.59765625" style="90" customWidth="1"/>
    <col min="13080" max="13080" width="0" style="90" hidden="1" customWidth="1"/>
    <col min="13081" max="13082" width="13.19921875" style="90" customWidth="1"/>
    <col min="13083" max="13083" width="6.8984375" style="90" customWidth="1"/>
    <col min="13084" max="13084" width="13.19921875" style="90" customWidth="1"/>
    <col min="13085" max="13085" width="0" style="90" hidden="1" customWidth="1"/>
    <col min="13086" max="13086" width="4" style="90" customWidth="1"/>
    <col min="13087" max="13312" width="8.09765625" style="90"/>
    <col min="13313" max="13314" width="4.19921875" style="90" customWidth="1"/>
    <col min="13315" max="13315" width="11.796875" style="90" customWidth="1"/>
    <col min="13316" max="13316" width="21.796875" style="90" customWidth="1"/>
    <col min="13317" max="13318" width="9.59765625" style="90" customWidth="1"/>
    <col min="13319" max="13321" width="8.19921875" style="90" customWidth="1"/>
    <col min="13322" max="13322" width="0" style="90" hidden="1" customWidth="1"/>
    <col min="13323" max="13323" width="9.59765625" style="90" customWidth="1"/>
    <col min="13324" max="13324" width="5.5" style="90" customWidth="1"/>
    <col min="13325" max="13325" width="0" style="90" hidden="1" customWidth="1"/>
    <col min="13326" max="13327" width="13.19921875" style="90" customWidth="1"/>
    <col min="13328" max="13328" width="0.796875" style="90" customWidth="1"/>
    <col min="13329" max="13329" width="31.19921875" style="90" customWidth="1"/>
    <col min="13330" max="13330" width="20.3984375" style="90" customWidth="1"/>
    <col min="13331" max="13331" width="0" style="90" hidden="1" customWidth="1"/>
    <col min="13332" max="13332" width="5.09765625" style="90" customWidth="1"/>
    <col min="13333" max="13333" width="11.3984375" style="90" customWidth="1"/>
    <col min="13334" max="13334" width="0" style="90" hidden="1" customWidth="1"/>
    <col min="13335" max="13335" width="9.59765625" style="90" customWidth="1"/>
    <col min="13336" max="13336" width="0" style="90" hidden="1" customWidth="1"/>
    <col min="13337" max="13338" width="13.19921875" style="90" customWidth="1"/>
    <col min="13339" max="13339" width="6.8984375" style="90" customWidth="1"/>
    <col min="13340" max="13340" width="13.19921875" style="90" customWidth="1"/>
    <col min="13341" max="13341" width="0" style="90" hidden="1" customWidth="1"/>
    <col min="13342" max="13342" width="4" style="90" customWidth="1"/>
    <col min="13343" max="13568" width="8.09765625" style="90"/>
    <col min="13569" max="13570" width="4.19921875" style="90" customWidth="1"/>
    <col min="13571" max="13571" width="11.796875" style="90" customWidth="1"/>
    <col min="13572" max="13572" width="21.796875" style="90" customWidth="1"/>
    <col min="13573" max="13574" width="9.59765625" style="90" customWidth="1"/>
    <col min="13575" max="13577" width="8.19921875" style="90" customWidth="1"/>
    <col min="13578" max="13578" width="0" style="90" hidden="1" customWidth="1"/>
    <col min="13579" max="13579" width="9.59765625" style="90" customWidth="1"/>
    <col min="13580" max="13580" width="5.5" style="90" customWidth="1"/>
    <col min="13581" max="13581" width="0" style="90" hidden="1" customWidth="1"/>
    <col min="13582" max="13583" width="13.19921875" style="90" customWidth="1"/>
    <col min="13584" max="13584" width="0.796875" style="90" customWidth="1"/>
    <col min="13585" max="13585" width="31.19921875" style="90" customWidth="1"/>
    <col min="13586" max="13586" width="20.3984375" style="90" customWidth="1"/>
    <col min="13587" max="13587" width="0" style="90" hidden="1" customWidth="1"/>
    <col min="13588" max="13588" width="5.09765625" style="90" customWidth="1"/>
    <col min="13589" max="13589" width="11.3984375" style="90" customWidth="1"/>
    <col min="13590" max="13590" width="0" style="90" hidden="1" customWidth="1"/>
    <col min="13591" max="13591" width="9.59765625" style="90" customWidth="1"/>
    <col min="13592" max="13592" width="0" style="90" hidden="1" customWidth="1"/>
    <col min="13593" max="13594" width="13.19921875" style="90" customWidth="1"/>
    <col min="13595" max="13595" width="6.8984375" style="90" customWidth="1"/>
    <col min="13596" max="13596" width="13.19921875" style="90" customWidth="1"/>
    <col min="13597" max="13597" width="0" style="90" hidden="1" customWidth="1"/>
    <col min="13598" max="13598" width="4" style="90" customWidth="1"/>
    <col min="13599" max="13824" width="8.09765625" style="90"/>
    <col min="13825" max="13826" width="4.19921875" style="90" customWidth="1"/>
    <col min="13827" max="13827" width="11.796875" style="90" customWidth="1"/>
    <col min="13828" max="13828" width="21.796875" style="90" customWidth="1"/>
    <col min="13829" max="13830" width="9.59765625" style="90" customWidth="1"/>
    <col min="13831" max="13833" width="8.19921875" style="90" customWidth="1"/>
    <col min="13834" max="13834" width="0" style="90" hidden="1" customWidth="1"/>
    <col min="13835" max="13835" width="9.59765625" style="90" customWidth="1"/>
    <col min="13836" max="13836" width="5.5" style="90" customWidth="1"/>
    <col min="13837" max="13837" width="0" style="90" hidden="1" customWidth="1"/>
    <col min="13838" max="13839" width="13.19921875" style="90" customWidth="1"/>
    <col min="13840" max="13840" width="0.796875" style="90" customWidth="1"/>
    <col min="13841" max="13841" width="31.19921875" style="90" customWidth="1"/>
    <col min="13842" max="13842" width="20.3984375" style="90" customWidth="1"/>
    <col min="13843" max="13843" width="0" style="90" hidden="1" customWidth="1"/>
    <col min="13844" max="13844" width="5.09765625" style="90" customWidth="1"/>
    <col min="13845" max="13845" width="11.3984375" style="90" customWidth="1"/>
    <col min="13846" max="13846" width="0" style="90" hidden="1" customWidth="1"/>
    <col min="13847" max="13847" width="9.59765625" style="90" customWidth="1"/>
    <col min="13848" max="13848" width="0" style="90" hidden="1" customWidth="1"/>
    <col min="13849" max="13850" width="13.19921875" style="90" customWidth="1"/>
    <col min="13851" max="13851" width="6.8984375" style="90" customWidth="1"/>
    <col min="13852" max="13852" width="13.19921875" style="90" customWidth="1"/>
    <col min="13853" max="13853" width="0" style="90" hidden="1" customWidth="1"/>
    <col min="13854" max="13854" width="4" style="90" customWidth="1"/>
    <col min="13855" max="14080" width="8.09765625" style="90"/>
    <col min="14081" max="14082" width="4.19921875" style="90" customWidth="1"/>
    <col min="14083" max="14083" width="11.796875" style="90" customWidth="1"/>
    <col min="14084" max="14084" width="21.796875" style="90" customWidth="1"/>
    <col min="14085" max="14086" width="9.59765625" style="90" customWidth="1"/>
    <col min="14087" max="14089" width="8.19921875" style="90" customWidth="1"/>
    <col min="14090" max="14090" width="0" style="90" hidden="1" customWidth="1"/>
    <col min="14091" max="14091" width="9.59765625" style="90" customWidth="1"/>
    <col min="14092" max="14092" width="5.5" style="90" customWidth="1"/>
    <col min="14093" max="14093" width="0" style="90" hidden="1" customWidth="1"/>
    <col min="14094" max="14095" width="13.19921875" style="90" customWidth="1"/>
    <col min="14096" max="14096" width="0.796875" style="90" customWidth="1"/>
    <col min="14097" max="14097" width="31.19921875" style="90" customWidth="1"/>
    <col min="14098" max="14098" width="20.3984375" style="90" customWidth="1"/>
    <col min="14099" max="14099" width="0" style="90" hidden="1" customWidth="1"/>
    <col min="14100" max="14100" width="5.09765625" style="90" customWidth="1"/>
    <col min="14101" max="14101" width="11.3984375" style="90" customWidth="1"/>
    <col min="14102" max="14102" width="0" style="90" hidden="1" customWidth="1"/>
    <col min="14103" max="14103" width="9.59765625" style="90" customWidth="1"/>
    <col min="14104" max="14104" width="0" style="90" hidden="1" customWidth="1"/>
    <col min="14105" max="14106" width="13.19921875" style="90" customWidth="1"/>
    <col min="14107" max="14107" width="6.8984375" style="90" customWidth="1"/>
    <col min="14108" max="14108" width="13.19921875" style="90" customWidth="1"/>
    <col min="14109" max="14109" width="0" style="90" hidden="1" customWidth="1"/>
    <col min="14110" max="14110" width="4" style="90" customWidth="1"/>
    <col min="14111" max="14336" width="8.09765625" style="90"/>
    <col min="14337" max="14338" width="4.19921875" style="90" customWidth="1"/>
    <col min="14339" max="14339" width="11.796875" style="90" customWidth="1"/>
    <col min="14340" max="14340" width="21.796875" style="90" customWidth="1"/>
    <col min="14341" max="14342" width="9.59765625" style="90" customWidth="1"/>
    <col min="14343" max="14345" width="8.19921875" style="90" customWidth="1"/>
    <col min="14346" max="14346" width="0" style="90" hidden="1" customWidth="1"/>
    <col min="14347" max="14347" width="9.59765625" style="90" customWidth="1"/>
    <col min="14348" max="14348" width="5.5" style="90" customWidth="1"/>
    <col min="14349" max="14349" width="0" style="90" hidden="1" customWidth="1"/>
    <col min="14350" max="14351" width="13.19921875" style="90" customWidth="1"/>
    <col min="14352" max="14352" width="0.796875" style="90" customWidth="1"/>
    <col min="14353" max="14353" width="31.19921875" style="90" customWidth="1"/>
    <col min="14354" max="14354" width="20.3984375" style="90" customWidth="1"/>
    <col min="14355" max="14355" width="0" style="90" hidden="1" customWidth="1"/>
    <col min="14356" max="14356" width="5.09765625" style="90" customWidth="1"/>
    <col min="14357" max="14357" width="11.3984375" style="90" customWidth="1"/>
    <col min="14358" max="14358" width="0" style="90" hidden="1" customWidth="1"/>
    <col min="14359" max="14359" width="9.59765625" style="90" customWidth="1"/>
    <col min="14360" max="14360" width="0" style="90" hidden="1" customWidth="1"/>
    <col min="14361" max="14362" width="13.19921875" style="90" customWidth="1"/>
    <col min="14363" max="14363" width="6.8984375" style="90" customWidth="1"/>
    <col min="14364" max="14364" width="13.19921875" style="90" customWidth="1"/>
    <col min="14365" max="14365" width="0" style="90" hidden="1" customWidth="1"/>
    <col min="14366" max="14366" width="4" style="90" customWidth="1"/>
    <col min="14367" max="14592" width="8.09765625" style="90"/>
    <col min="14593" max="14594" width="4.19921875" style="90" customWidth="1"/>
    <col min="14595" max="14595" width="11.796875" style="90" customWidth="1"/>
    <col min="14596" max="14596" width="21.796875" style="90" customWidth="1"/>
    <col min="14597" max="14598" width="9.59765625" style="90" customWidth="1"/>
    <col min="14599" max="14601" width="8.19921875" style="90" customWidth="1"/>
    <col min="14602" max="14602" width="0" style="90" hidden="1" customWidth="1"/>
    <col min="14603" max="14603" width="9.59765625" style="90" customWidth="1"/>
    <col min="14604" max="14604" width="5.5" style="90" customWidth="1"/>
    <col min="14605" max="14605" width="0" style="90" hidden="1" customWidth="1"/>
    <col min="14606" max="14607" width="13.19921875" style="90" customWidth="1"/>
    <col min="14608" max="14608" width="0.796875" style="90" customWidth="1"/>
    <col min="14609" max="14609" width="31.19921875" style="90" customWidth="1"/>
    <col min="14610" max="14610" width="20.3984375" style="90" customWidth="1"/>
    <col min="14611" max="14611" width="0" style="90" hidden="1" customWidth="1"/>
    <col min="14612" max="14612" width="5.09765625" style="90" customWidth="1"/>
    <col min="14613" max="14613" width="11.3984375" style="90" customWidth="1"/>
    <col min="14614" max="14614" width="0" style="90" hidden="1" customWidth="1"/>
    <col min="14615" max="14615" width="9.59765625" style="90" customWidth="1"/>
    <col min="14616" max="14616" width="0" style="90" hidden="1" customWidth="1"/>
    <col min="14617" max="14618" width="13.19921875" style="90" customWidth="1"/>
    <col min="14619" max="14619" width="6.8984375" style="90" customWidth="1"/>
    <col min="14620" max="14620" width="13.19921875" style="90" customWidth="1"/>
    <col min="14621" max="14621" width="0" style="90" hidden="1" customWidth="1"/>
    <col min="14622" max="14622" width="4" style="90" customWidth="1"/>
    <col min="14623" max="14848" width="8.09765625" style="90"/>
    <col min="14849" max="14850" width="4.19921875" style="90" customWidth="1"/>
    <col min="14851" max="14851" width="11.796875" style="90" customWidth="1"/>
    <col min="14852" max="14852" width="21.796875" style="90" customWidth="1"/>
    <col min="14853" max="14854" width="9.59765625" style="90" customWidth="1"/>
    <col min="14855" max="14857" width="8.19921875" style="90" customWidth="1"/>
    <col min="14858" max="14858" width="0" style="90" hidden="1" customWidth="1"/>
    <col min="14859" max="14859" width="9.59765625" style="90" customWidth="1"/>
    <col min="14860" max="14860" width="5.5" style="90" customWidth="1"/>
    <col min="14861" max="14861" width="0" style="90" hidden="1" customWidth="1"/>
    <col min="14862" max="14863" width="13.19921875" style="90" customWidth="1"/>
    <col min="14864" max="14864" width="0.796875" style="90" customWidth="1"/>
    <col min="14865" max="14865" width="31.19921875" style="90" customWidth="1"/>
    <col min="14866" max="14866" width="20.3984375" style="90" customWidth="1"/>
    <col min="14867" max="14867" width="0" style="90" hidden="1" customWidth="1"/>
    <col min="14868" max="14868" width="5.09765625" style="90" customWidth="1"/>
    <col min="14869" max="14869" width="11.3984375" style="90" customWidth="1"/>
    <col min="14870" max="14870" width="0" style="90" hidden="1" customWidth="1"/>
    <col min="14871" max="14871" width="9.59765625" style="90" customWidth="1"/>
    <col min="14872" max="14872" width="0" style="90" hidden="1" customWidth="1"/>
    <col min="14873" max="14874" width="13.19921875" style="90" customWidth="1"/>
    <col min="14875" max="14875" width="6.8984375" style="90" customWidth="1"/>
    <col min="14876" max="14876" width="13.19921875" style="90" customWidth="1"/>
    <col min="14877" max="14877" width="0" style="90" hidden="1" customWidth="1"/>
    <col min="14878" max="14878" width="4" style="90" customWidth="1"/>
    <col min="14879" max="15104" width="8.09765625" style="90"/>
    <col min="15105" max="15106" width="4.19921875" style="90" customWidth="1"/>
    <col min="15107" max="15107" width="11.796875" style="90" customWidth="1"/>
    <col min="15108" max="15108" width="21.796875" style="90" customWidth="1"/>
    <col min="15109" max="15110" width="9.59765625" style="90" customWidth="1"/>
    <col min="15111" max="15113" width="8.19921875" style="90" customWidth="1"/>
    <col min="15114" max="15114" width="0" style="90" hidden="1" customWidth="1"/>
    <col min="15115" max="15115" width="9.59765625" style="90" customWidth="1"/>
    <col min="15116" max="15116" width="5.5" style="90" customWidth="1"/>
    <col min="15117" max="15117" width="0" style="90" hidden="1" customWidth="1"/>
    <col min="15118" max="15119" width="13.19921875" style="90" customWidth="1"/>
    <col min="15120" max="15120" width="0.796875" style="90" customWidth="1"/>
    <col min="15121" max="15121" width="31.19921875" style="90" customWidth="1"/>
    <col min="15122" max="15122" width="20.3984375" style="90" customWidth="1"/>
    <col min="15123" max="15123" width="0" style="90" hidden="1" customWidth="1"/>
    <col min="15124" max="15124" width="5.09765625" style="90" customWidth="1"/>
    <col min="15125" max="15125" width="11.3984375" style="90" customWidth="1"/>
    <col min="15126" max="15126" width="0" style="90" hidden="1" customWidth="1"/>
    <col min="15127" max="15127" width="9.59765625" style="90" customWidth="1"/>
    <col min="15128" max="15128" width="0" style="90" hidden="1" customWidth="1"/>
    <col min="15129" max="15130" width="13.19921875" style="90" customWidth="1"/>
    <col min="15131" max="15131" width="6.8984375" style="90" customWidth="1"/>
    <col min="15132" max="15132" width="13.19921875" style="90" customWidth="1"/>
    <col min="15133" max="15133" width="0" style="90" hidden="1" customWidth="1"/>
    <col min="15134" max="15134" width="4" style="90" customWidth="1"/>
    <col min="15135" max="15360" width="8.09765625" style="90"/>
    <col min="15361" max="15362" width="4.19921875" style="90" customWidth="1"/>
    <col min="15363" max="15363" width="11.796875" style="90" customWidth="1"/>
    <col min="15364" max="15364" width="21.796875" style="90" customWidth="1"/>
    <col min="15365" max="15366" width="9.59765625" style="90" customWidth="1"/>
    <col min="15367" max="15369" width="8.19921875" style="90" customWidth="1"/>
    <col min="15370" max="15370" width="0" style="90" hidden="1" customWidth="1"/>
    <col min="15371" max="15371" width="9.59765625" style="90" customWidth="1"/>
    <col min="15372" max="15372" width="5.5" style="90" customWidth="1"/>
    <col min="15373" max="15373" width="0" style="90" hidden="1" customWidth="1"/>
    <col min="15374" max="15375" width="13.19921875" style="90" customWidth="1"/>
    <col min="15376" max="15376" width="0.796875" style="90" customWidth="1"/>
    <col min="15377" max="15377" width="31.19921875" style="90" customWidth="1"/>
    <col min="15378" max="15378" width="20.3984375" style="90" customWidth="1"/>
    <col min="15379" max="15379" width="0" style="90" hidden="1" customWidth="1"/>
    <col min="15380" max="15380" width="5.09765625" style="90" customWidth="1"/>
    <col min="15381" max="15381" width="11.3984375" style="90" customWidth="1"/>
    <col min="15382" max="15382" width="0" style="90" hidden="1" customWidth="1"/>
    <col min="15383" max="15383" width="9.59765625" style="90" customWidth="1"/>
    <col min="15384" max="15384" width="0" style="90" hidden="1" customWidth="1"/>
    <col min="15385" max="15386" width="13.19921875" style="90" customWidth="1"/>
    <col min="15387" max="15387" width="6.8984375" style="90" customWidth="1"/>
    <col min="15388" max="15388" width="13.19921875" style="90" customWidth="1"/>
    <col min="15389" max="15389" width="0" style="90" hidden="1" customWidth="1"/>
    <col min="15390" max="15390" width="4" style="90" customWidth="1"/>
    <col min="15391" max="15616" width="8.09765625" style="90"/>
    <col min="15617" max="15618" width="4.19921875" style="90" customWidth="1"/>
    <col min="15619" max="15619" width="11.796875" style="90" customWidth="1"/>
    <col min="15620" max="15620" width="21.796875" style="90" customWidth="1"/>
    <col min="15621" max="15622" width="9.59765625" style="90" customWidth="1"/>
    <col min="15623" max="15625" width="8.19921875" style="90" customWidth="1"/>
    <col min="15626" max="15626" width="0" style="90" hidden="1" customWidth="1"/>
    <col min="15627" max="15627" width="9.59765625" style="90" customWidth="1"/>
    <col min="15628" max="15628" width="5.5" style="90" customWidth="1"/>
    <col min="15629" max="15629" width="0" style="90" hidden="1" customWidth="1"/>
    <col min="15630" max="15631" width="13.19921875" style="90" customWidth="1"/>
    <col min="15632" max="15632" width="0.796875" style="90" customWidth="1"/>
    <col min="15633" max="15633" width="31.19921875" style="90" customWidth="1"/>
    <col min="15634" max="15634" width="20.3984375" style="90" customWidth="1"/>
    <col min="15635" max="15635" width="0" style="90" hidden="1" customWidth="1"/>
    <col min="15636" max="15636" width="5.09765625" style="90" customWidth="1"/>
    <col min="15637" max="15637" width="11.3984375" style="90" customWidth="1"/>
    <col min="15638" max="15638" width="0" style="90" hidden="1" customWidth="1"/>
    <col min="15639" max="15639" width="9.59765625" style="90" customWidth="1"/>
    <col min="15640" max="15640" width="0" style="90" hidden="1" customWidth="1"/>
    <col min="15641" max="15642" width="13.19921875" style="90" customWidth="1"/>
    <col min="15643" max="15643" width="6.8984375" style="90" customWidth="1"/>
    <col min="15644" max="15644" width="13.19921875" style="90" customWidth="1"/>
    <col min="15645" max="15645" width="0" style="90" hidden="1" customWidth="1"/>
    <col min="15646" max="15646" width="4" style="90" customWidth="1"/>
    <col min="15647" max="15872" width="8.09765625" style="90"/>
    <col min="15873" max="15874" width="4.19921875" style="90" customWidth="1"/>
    <col min="15875" max="15875" width="11.796875" style="90" customWidth="1"/>
    <col min="15876" max="15876" width="21.796875" style="90" customWidth="1"/>
    <col min="15877" max="15878" width="9.59765625" style="90" customWidth="1"/>
    <col min="15879" max="15881" width="8.19921875" style="90" customWidth="1"/>
    <col min="15882" max="15882" width="0" style="90" hidden="1" customWidth="1"/>
    <col min="15883" max="15883" width="9.59765625" style="90" customWidth="1"/>
    <col min="15884" max="15884" width="5.5" style="90" customWidth="1"/>
    <col min="15885" max="15885" width="0" style="90" hidden="1" customWidth="1"/>
    <col min="15886" max="15887" width="13.19921875" style="90" customWidth="1"/>
    <col min="15888" max="15888" width="0.796875" style="90" customWidth="1"/>
    <col min="15889" max="15889" width="31.19921875" style="90" customWidth="1"/>
    <col min="15890" max="15890" width="20.3984375" style="90" customWidth="1"/>
    <col min="15891" max="15891" width="0" style="90" hidden="1" customWidth="1"/>
    <col min="15892" max="15892" width="5.09765625" style="90" customWidth="1"/>
    <col min="15893" max="15893" width="11.3984375" style="90" customWidth="1"/>
    <col min="15894" max="15894" width="0" style="90" hidden="1" customWidth="1"/>
    <col min="15895" max="15895" width="9.59765625" style="90" customWidth="1"/>
    <col min="15896" max="15896" width="0" style="90" hidden="1" customWidth="1"/>
    <col min="15897" max="15898" width="13.19921875" style="90" customWidth="1"/>
    <col min="15899" max="15899" width="6.8984375" style="90" customWidth="1"/>
    <col min="15900" max="15900" width="13.19921875" style="90" customWidth="1"/>
    <col min="15901" max="15901" width="0" style="90" hidden="1" customWidth="1"/>
    <col min="15902" max="15902" width="4" style="90" customWidth="1"/>
    <col min="15903" max="16128" width="8.09765625" style="90"/>
    <col min="16129" max="16130" width="4.19921875" style="90" customWidth="1"/>
    <col min="16131" max="16131" width="11.796875" style="90" customWidth="1"/>
    <col min="16132" max="16132" width="21.796875" style="90" customWidth="1"/>
    <col min="16133" max="16134" width="9.59765625" style="90" customWidth="1"/>
    <col min="16135" max="16137" width="8.19921875" style="90" customWidth="1"/>
    <col min="16138" max="16138" width="0" style="90" hidden="1" customWidth="1"/>
    <col min="16139" max="16139" width="9.59765625" style="90" customWidth="1"/>
    <col min="16140" max="16140" width="5.5" style="90" customWidth="1"/>
    <col min="16141" max="16141" width="0" style="90" hidden="1" customWidth="1"/>
    <col min="16142" max="16143" width="13.19921875" style="90" customWidth="1"/>
    <col min="16144" max="16144" width="0.796875" style="90" customWidth="1"/>
    <col min="16145" max="16145" width="31.19921875" style="90" customWidth="1"/>
    <col min="16146" max="16146" width="20.3984375" style="90" customWidth="1"/>
    <col min="16147" max="16147" width="0" style="90" hidden="1" customWidth="1"/>
    <col min="16148" max="16148" width="5.09765625" style="90" customWidth="1"/>
    <col min="16149" max="16149" width="11.3984375" style="90" customWidth="1"/>
    <col min="16150" max="16150" width="0" style="90" hidden="1" customWidth="1"/>
    <col min="16151" max="16151" width="9.59765625" style="90" customWidth="1"/>
    <col min="16152" max="16152" width="0" style="90" hidden="1" customWidth="1"/>
    <col min="16153" max="16154" width="13.19921875" style="90" customWidth="1"/>
    <col min="16155" max="16155" width="6.8984375" style="90" customWidth="1"/>
    <col min="16156" max="16156" width="13.19921875" style="90" customWidth="1"/>
    <col min="16157" max="16157" width="0" style="90" hidden="1" customWidth="1"/>
    <col min="16158" max="16158" width="4" style="90" customWidth="1"/>
    <col min="16159" max="16384" width="8.09765625" style="90"/>
  </cols>
  <sheetData>
    <row r="1" spans="1:15" ht="21" x14ac:dyDescent="0.25">
      <c r="A1" s="85"/>
      <c r="B1" s="86"/>
      <c r="C1" s="87"/>
      <c r="D1" s="87"/>
      <c r="E1" s="88" t="s">
        <v>51</v>
      </c>
      <c r="F1" s="87"/>
      <c r="G1" s="87"/>
      <c r="H1" s="87"/>
      <c r="I1" s="87"/>
      <c r="J1" s="120"/>
      <c r="K1" s="87"/>
      <c r="L1" s="87"/>
      <c r="M1" s="120"/>
      <c r="N1" s="87"/>
      <c r="O1" s="89"/>
    </row>
    <row r="2" spans="1:15" ht="14.25" customHeight="1" x14ac:dyDescent="0.2"/>
    <row r="3" spans="1:15" ht="19.5" customHeight="1" x14ac:dyDescent="0.2">
      <c r="A3" s="267"/>
      <c r="B3" s="268"/>
      <c r="C3" s="268"/>
      <c r="D3" s="268"/>
      <c r="E3" s="92"/>
    </row>
    <row r="4" spans="1:15" ht="18.75" customHeight="1" x14ac:dyDescent="0.25">
      <c r="A4" s="269"/>
      <c r="B4" s="270"/>
      <c r="C4" s="270"/>
      <c r="D4" s="270"/>
      <c r="E4" s="93"/>
      <c r="F4" s="94"/>
    </row>
    <row r="5" spans="1:15" ht="8.25" customHeight="1" x14ac:dyDescent="0.2"/>
    <row r="6" spans="1:15" x14ac:dyDescent="0.2">
      <c r="A6" s="95" t="s">
        <v>52</v>
      </c>
    </row>
    <row r="7" spans="1:15" ht="20.25" customHeight="1" x14ac:dyDescent="0.2"/>
    <row r="8" spans="1:15" ht="19.5" customHeight="1" x14ac:dyDescent="0.25">
      <c r="A8" s="96" t="s">
        <v>53</v>
      </c>
      <c r="B8" s="97"/>
      <c r="C8" s="98"/>
      <c r="D8" s="271"/>
      <c r="E8" s="272"/>
      <c r="F8" s="98"/>
      <c r="G8" s="98"/>
      <c r="K8" s="99"/>
    </row>
    <row r="9" spans="1:15" ht="20.100000000000001" customHeight="1" x14ac:dyDescent="0.25">
      <c r="A9" s="100" t="s">
        <v>123</v>
      </c>
      <c r="B9" s="101"/>
      <c r="C9" s="102"/>
      <c r="D9" s="273"/>
      <c r="E9" s="273"/>
      <c r="F9" s="102"/>
      <c r="G9" s="102"/>
      <c r="L9" s="103"/>
      <c r="M9" s="121"/>
      <c r="N9" s="103"/>
    </row>
    <row r="10" spans="1:15" ht="20.100000000000001" customHeight="1" x14ac:dyDescent="0.25">
      <c r="A10" s="100" t="s">
        <v>54</v>
      </c>
      <c r="B10" s="101"/>
      <c r="C10" s="102"/>
      <c r="D10" s="273">
        <f>SUM(D8+D9)</f>
        <v>0</v>
      </c>
      <c r="E10" s="273"/>
      <c r="F10" s="102"/>
      <c r="G10" s="102"/>
      <c r="K10" s="90" t="s">
        <v>55</v>
      </c>
    </row>
    <row r="11" spans="1:15" x14ac:dyDescent="0.2">
      <c r="K11" s="90" t="s">
        <v>56</v>
      </c>
    </row>
    <row r="12" spans="1:15" x14ac:dyDescent="0.2">
      <c r="A12" s="98" t="s">
        <v>57</v>
      </c>
      <c r="B12" s="98"/>
      <c r="C12" s="98"/>
      <c r="D12" s="274"/>
      <c r="E12" s="274"/>
      <c r="F12" s="274"/>
      <c r="G12" s="274"/>
      <c r="K12" s="90" t="s">
        <v>58</v>
      </c>
    </row>
    <row r="13" spans="1:15" x14ac:dyDescent="0.2">
      <c r="A13" s="98" t="s">
        <v>59</v>
      </c>
      <c r="B13" s="98"/>
      <c r="C13" s="98"/>
      <c r="D13" s="275"/>
      <c r="E13" s="275"/>
      <c r="F13" s="275"/>
      <c r="G13" s="275"/>
      <c r="K13" s="90" t="s">
        <v>60</v>
      </c>
    </row>
    <row r="14" spans="1:15" x14ac:dyDescent="0.2">
      <c r="A14" s="102" t="s">
        <v>61</v>
      </c>
      <c r="B14" s="102"/>
      <c r="C14" s="102"/>
      <c r="D14" s="276"/>
      <c r="E14" s="276"/>
      <c r="F14" s="276"/>
      <c r="G14" s="105"/>
    </row>
    <row r="15" spans="1:15" ht="13.5" customHeight="1" x14ac:dyDescent="0.2">
      <c r="A15" s="98" t="s">
        <v>62</v>
      </c>
      <c r="B15" s="98"/>
      <c r="C15" s="98"/>
      <c r="D15" s="279"/>
      <c r="E15" s="279"/>
      <c r="F15" s="279"/>
      <c r="G15" s="279"/>
      <c r="K15" s="106" t="s">
        <v>63</v>
      </c>
    </row>
    <row r="16" spans="1:15" x14ac:dyDescent="0.2">
      <c r="A16" s="98" t="s">
        <v>64</v>
      </c>
      <c r="B16" s="98"/>
      <c r="C16" s="98"/>
      <c r="D16" s="107"/>
      <c r="E16" s="107"/>
      <c r="F16" s="107"/>
      <c r="G16" s="107"/>
      <c r="K16" s="90" t="s">
        <v>125</v>
      </c>
    </row>
    <row r="17" spans="1:16" x14ac:dyDescent="0.2">
      <c r="A17" s="98" t="s">
        <v>65</v>
      </c>
      <c r="B17" s="98"/>
      <c r="C17" s="98"/>
      <c r="D17" s="279"/>
      <c r="E17" s="279"/>
      <c r="F17" s="279"/>
      <c r="G17" s="279"/>
      <c r="K17" s="108" t="s">
        <v>66</v>
      </c>
    </row>
    <row r="19" spans="1:16" ht="16.5" customHeight="1" x14ac:dyDescent="0.2">
      <c r="A19" s="280"/>
      <c r="B19" s="280"/>
      <c r="C19" s="280"/>
      <c r="D19" s="280"/>
      <c r="E19" s="280"/>
      <c r="F19" s="280"/>
      <c r="G19" s="280"/>
      <c r="H19" s="280"/>
      <c r="I19" s="280"/>
      <c r="J19" s="280"/>
      <c r="K19" s="280"/>
      <c r="L19" s="280"/>
      <c r="M19" s="280"/>
      <c r="N19" s="280"/>
      <c r="O19" s="104" t="s">
        <v>126</v>
      </c>
    </row>
    <row r="20" spans="1:16" ht="16.5" customHeight="1" x14ac:dyDescent="0.2">
      <c r="A20" s="109" t="s">
        <v>68</v>
      </c>
      <c r="B20" s="109" t="s">
        <v>69</v>
      </c>
      <c r="C20" s="281" t="s">
        <v>70</v>
      </c>
      <c r="D20" s="282"/>
      <c r="E20" s="109" t="s">
        <v>71</v>
      </c>
      <c r="F20" s="109" t="s">
        <v>72</v>
      </c>
      <c r="G20" s="109" t="s">
        <v>73</v>
      </c>
      <c r="H20" s="109" t="s">
        <v>74</v>
      </c>
      <c r="I20" s="109" t="s">
        <v>75</v>
      </c>
      <c r="J20" s="118"/>
      <c r="K20" s="109" t="s">
        <v>76</v>
      </c>
      <c r="L20" s="109" t="s">
        <v>77</v>
      </c>
      <c r="M20" s="118"/>
      <c r="N20" s="109" t="s">
        <v>78</v>
      </c>
      <c r="O20" s="109" t="s">
        <v>79</v>
      </c>
      <c r="P20" s="110"/>
    </row>
    <row r="21" spans="1:16" ht="16.5" customHeight="1" x14ac:dyDescent="0.2">
      <c r="A21" s="111"/>
      <c r="B21" s="111"/>
      <c r="C21" s="277"/>
      <c r="D21" s="278"/>
      <c r="E21" s="112"/>
      <c r="F21" s="111"/>
      <c r="G21" s="113"/>
      <c r="H21" s="114"/>
      <c r="I21" s="114"/>
      <c r="J21" s="122"/>
      <c r="K21" s="115" t="str">
        <f t="shared" ref="K21:K38" si="0">IF(MOD(J21,1)=0,TEXT(J21,"#,###"),TEXT(J21,"#,##0.##"))</f>
        <v/>
      </c>
      <c r="L21" s="111"/>
      <c r="M21" s="119"/>
      <c r="N21" s="115" t="str">
        <f t="shared" ref="N21:N38" si="1">IF(MOD(M21,1)=0,TEXT(M21,"#,###"),TEXT(M21,"#,##0.##"))</f>
        <v/>
      </c>
      <c r="O21" s="116"/>
      <c r="P21" s="95"/>
    </row>
    <row r="22" spans="1:16" ht="16.5" customHeight="1" x14ac:dyDescent="0.2">
      <c r="A22" s="111"/>
      <c r="B22" s="111"/>
      <c r="C22" s="277"/>
      <c r="D22" s="278"/>
      <c r="E22" s="112"/>
      <c r="F22" s="111"/>
      <c r="G22" s="113"/>
      <c r="H22" s="114"/>
      <c r="I22" s="114"/>
      <c r="J22" s="122"/>
      <c r="K22" s="115" t="str">
        <f t="shared" si="0"/>
        <v/>
      </c>
      <c r="L22" s="111"/>
      <c r="M22" s="119"/>
      <c r="N22" s="115" t="str">
        <f t="shared" si="1"/>
        <v/>
      </c>
      <c r="O22" s="116"/>
      <c r="P22" s="95"/>
    </row>
    <row r="23" spans="1:16" ht="16.5" customHeight="1" x14ac:dyDescent="0.2">
      <c r="A23" s="111"/>
      <c r="B23" s="111"/>
      <c r="C23" s="277"/>
      <c r="D23" s="278"/>
      <c r="E23" s="112"/>
      <c r="F23" s="111"/>
      <c r="G23" s="113"/>
      <c r="H23" s="114"/>
      <c r="I23" s="114"/>
      <c r="J23" s="122"/>
      <c r="K23" s="115" t="str">
        <f t="shared" si="0"/>
        <v/>
      </c>
      <c r="L23" s="111"/>
      <c r="M23" s="119"/>
      <c r="N23" s="115" t="str">
        <f t="shared" si="1"/>
        <v/>
      </c>
      <c r="O23" s="116"/>
      <c r="P23" s="95"/>
    </row>
    <row r="24" spans="1:16" ht="16.5" customHeight="1" x14ac:dyDescent="0.2">
      <c r="A24" s="111"/>
      <c r="B24" s="111"/>
      <c r="C24" s="277"/>
      <c r="D24" s="278"/>
      <c r="E24" s="112"/>
      <c r="F24" s="111"/>
      <c r="G24" s="113"/>
      <c r="H24" s="114"/>
      <c r="I24" s="114"/>
      <c r="J24" s="122"/>
      <c r="K24" s="115" t="str">
        <f t="shared" si="0"/>
        <v/>
      </c>
      <c r="L24" s="111"/>
      <c r="M24" s="119"/>
      <c r="N24" s="115" t="str">
        <f t="shared" si="1"/>
        <v/>
      </c>
      <c r="O24" s="116"/>
      <c r="P24" s="95"/>
    </row>
    <row r="25" spans="1:16" ht="16.5" customHeight="1" x14ac:dyDescent="0.2">
      <c r="A25" s="111"/>
      <c r="B25" s="111"/>
      <c r="C25" s="277"/>
      <c r="D25" s="278"/>
      <c r="E25" s="112"/>
      <c r="F25" s="111"/>
      <c r="G25" s="113"/>
      <c r="H25" s="114"/>
      <c r="I25" s="114"/>
      <c r="J25" s="122"/>
      <c r="K25" s="115" t="str">
        <f t="shared" si="0"/>
        <v/>
      </c>
      <c r="L25" s="111"/>
      <c r="M25" s="119"/>
      <c r="N25" s="115" t="str">
        <f t="shared" si="1"/>
        <v/>
      </c>
      <c r="O25" s="116"/>
      <c r="P25" s="95"/>
    </row>
    <row r="26" spans="1:16" ht="16.5" customHeight="1" x14ac:dyDescent="0.2">
      <c r="A26" s="111"/>
      <c r="B26" s="111"/>
      <c r="C26" s="277"/>
      <c r="D26" s="278"/>
      <c r="E26" s="112"/>
      <c r="F26" s="111"/>
      <c r="G26" s="113"/>
      <c r="H26" s="114"/>
      <c r="I26" s="114"/>
      <c r="J26" s="122"/>
      <c r="K26" s="115" t="str">
        <f t="shared" si="0"/>
        <v/>
      </c>
      <c r="L26" s="111"/>
      <c r="M26" s="119"/>
      <c r="N26" s="115" t="str">
        <f t="shared" si="1"/>
        <v/>
      </c>
      <c r="O26" s="116"/>
      <c r="P26" s="95"/>
    </row>
    <row r="27" spans="1:16" ht="16.5" customHeight="1" x14ac:dyDescent="0.2">
      <c r="A27" s="111"/>
      <c r="B27" s="111"/>
      <c r="C27" s="277"/>
      <c r="D27" s="278"/>
      <c r="E27" s="112"/>
      <c r="F27" s="111"/>
      <c r="G27" s="113"/>
      <c r="H27" s="114"/>
      <c r="I27" s="114"/>
      <c r="J27" s="122"/>
      <c r="K27" s="115" t="str">
        <f t="shared" si="0"/>
        <v/>
      </c>
      <c r="L27" s="111"/>
      <c r="M27" s="119"/>
      <c r="N27" s="115" t="str">
        <f t="shared" si="1"/>
        <v/>
      </c>
      <c r="O27" s="116"/>
      <c r="P27" s="95"/>
    </row>
    <row r="28" spans="1:16" ht="16.5" customHeight="1" x14ac:dyDescent="0.2">
      <c r="A28" s="111"/>
      <c r="B28" s="111"/>
      <c r="C28" s="277"/>
      <c r="D28" s="278"/>
      <c r="E28" s="112"/>
      <c r="F28" s="111"/>
      <c r="G28" s="113"/>
      <c r="H28" s="114"/>
      <c r="I28" s="114"/>
      <c r="J28" s="122"/>
      <c r="K28" s="115" t="str">
        <f t="shared" si="0"/>
        <v/>
      </c>
      <c r="L28" s="111"/>
      <c r="M28" s="119"/>
      <c r="N28" s="115" t="str">
        <f t="shared" si="1"/>
        <v/>
      </c>
      <c r="O28" s="116"/>
      <c r="P28" s="95"/>
    </row>
    <row r="29" spans="1:16" ht="16.5" customHeight="1" x14ac:dyDescent="0.2">
      <c r="A29" s="111"/>
      <c r="B29" s="111"/>
      <c r="C29" s="277"/>
      <c r="D29" s="278"/>
      <c r="E29" s="112"/>
      <c r="F29" s="111"/>
      <c r="G29" s="113"/>
      <c r="H29" s="114"/>
      <c r="I29" s="114"/>
      <c r="J29" s="122"/>
      <c r="K29" s="115" t="str">
        <f t="shared" si="0"/>
        <v/>
      </c>
      <c r="L29" s="111"/>
      <c r="M29" s="119"/>
      <c r="N29" s="115" t="str">
        <f t="shared" si="1"/>
        <v/>
      </c>
      <c r="O29" s="116"/>
      <c r="P29" s="95"/>
    </row>
    <row r="30" spans="1:16" ht="16.5" customHeight="1" x14ac:dyDescent="0.2">
      <c r="A30" s="111"/>
      <c r="B30" s="111"/>
      <c r="C30" s="277"/>
      <c r="D30" s="278"/>
      <c r="E30" s="112"/>
      <c r="F30" s="111"/>
      <c r="G30" s="113"/>
      <c r="H30" s="114"/>
      <c r="I30" s="114"/>
      <c r="J30" s="122"/>
      <c r="K30" s="115" t="str">
        <f t="shared" si="0"/>
        <v/>
      </c>
      <c r="L30" s="111"/>
      <c r="M30" s="119"/>
      <c r="N30" s="115" t="str">
        <f t="shared" si="1"/>
        <v/>
      </c>
      <c r="O30" s="116"/>
      <c r="P30" s="95"/>
    </row>
    <row r="31" spans="1:16" ht="16.5" customHeight="1" x14ac:dyDescent="0.2">
      <c r="A31" s="111"/>
      <c r="B31" s="111"/>
      <c r="C31" s="277"/>
      <c r="D31" s="278"/>
      <c r="E31" s="112"/>
      <c r="F31" s="111"/>
      <c r="G31" s="113"/>
      <c r="H31" s="114"/>
      <c r="I31" s="114"/>
      <c r="J31" s="122"/>
      <c r="K31" s="115" t="str">
        <f t="shared" si="0"/>
        <v/>
      </c>
      <c r="L31" s="111"/>
      <c r="M31" s="119"/>
      <c r="N31" s="115" t="str">
        <f t="shared" si="1"/>
        <v/>
      </c>
      <c r="O31" s="116"/>
      <c r="P31" s="95"/>
    </row>
    <row r="32" spans="1:16" ht="16.5" customHeight="1" x14ac:dyDescent="0.2">
      <c r="A32" s="111"/>
      <c r="B32" s="111"/>
      <c r="C32" s="277"/>
      <c r="D32" s="278"/>
      <c r="E32" s="112"/>
      <c r="F32" s="111"/>
      <c r="G32" s="113"/>
      <c r="H32" s="114"/>
      <c r="I32" s="114"/>
      <c r="J32" s="122"/>
      <c r="K32" s="115" t="str">
        <f t="shared" si="0"/>
        <v/>
      </c>
      <c r="L32" s="111"/>
      <c r="M32" s="119"/>
      <c r="N32" s="115" t="str">
        <f t="shared" si="1"/>
        <v/>
      </c>
      <c r="O32" s="116"/>
      <c r="P32" s="95"/>
    </row>
    <row r="33" spans="1:16" ht="16.5" customHeight="1" x14ac:dyDescent="0.2">
      <c r="A33" s="111"/>
      <c r="B33" s="111"/>
      <c r="C33" s="277"/>
      <c r="D33" s="278"/>
      <c r="E33" s="112"/>
      <c r="F33" s="111"/>
      <c r="G33" s="113"/>
      <c r="H33" s="114"/>
      <c r="I33" s="114"/>
      <c r="J33" s="122"/>
      <c r="K33" s="115" t="str">
        <f t="shared" si="0"/>
        <v/>
      </c>
      <c r="L33" s="111"/>
      <c r="M33" s="119"/>
      <c r="N33" s="115" t="str">
        <f t="shared" si="1"/>
        <v/>
      </c>
      <c r="O33" s="116"/>
      <c r="P33" s="95"/>
    </row>
    <row r="34" spans="1:16" ht="16.5" customHeight="1" x14ac:dyDescent="0.2">
      <c r="A34" s="111"/>
      <c r="B34" s="111"/>
      <c r="C34" s="277"/>
      <c r="D34" s="278"/>
      <c r="E34" s="112"/>
      <c r="F34" s="111"/>
      <c r="G34" s="113"/>
      <c r="H34" s="114"/>
      <c r="I34" s="114"/>
      <c r="J34" s="122"/>
      <c r="K34" s="115" t="str">
        <f t="shared" si="0"/>
        <v/>
      </c>
      <c r="L34" s="111"/>
      <c r="M34" s="119"/>
      <c r="N34" s="115" t="str">
        <f t="shared" si="1"/>
        <v/>
      </c>
      <c r="O34" s="116"/>
      <c r="P34" s="95"/>
    </row>
    <row r="35" spans="1:16" ht="16.5" customHeight="1" x14ac:dyDescent="0.2">
      <c r="A35" s="111"/>
      <c r="B35" s="111"/>
      <c r="C35" s="277"/>
      <c r="D35" s="278"/>
      <c r="E35" s="112"/>
      <c r="F35" s="111"/>
      <c r="G35" s="113"/>
      <c r="H35" s="114"/>
      <c r="I35" s="114"/>
      <c r="J35" s="122"/>
      <c r="K35" s="115" t="str">
        <f t="shared" si="0"/>
        <v/>
      </c>
      <c r="L35" s="111"/>
      <c r="M35" s="119"/>
      <c r="N35" s="115" t="str">
        <f t="shared" si="1"/>
        <v/>
      </c>
      <c r="O35" s="116"/>
      <c r="P35" s="95"/>
    </row>
    <row r="36" spans="1:16" ht="16.5" customHeight="1" x14ac:dyDescent="0.2">
      <c r="A36" s="111"/>
      <c r="B36" s="111"/>
      <c r="C36" s="277"/>
      <c r="D36" s="278"/>
      <c r="E36" s="112"/>
      <c r="F36" s="111"/>
      <c r="G36" s="113"/>
      <c r="H36" s="114"/>
      <c r="I36" s="114"/>
      <c r="J36" s="122"/>
      <c r="K36" s="115" t="str">
        <f t="shared" si="0"/>
        <v/>
      </c>
      <c r="L36" s="111"/>
      <c r="M36" s="119"/>
      <c r="N36" s="115" t="str">
        <f t="shared" si="1"/>
        <v/>
      </c>
      <c r="O36" s="116"/>
      <c r="P36" s="95"/>
    </row>
    <row r="37" spans="1:16" ht="16.5" customHeight="1" x14ac:dyDescent="0.2">
      <c r="A37" s="111"/>
      <c r="B37" s="111"/>
      <c r="C37" s="277"/>
      <c r="D37" s="278"/>
      <c r="E37" s="112"/>
      <c r="F37" s="111"/>
      <c r="G37" s="113"/>
      <c r="H37" s="114"/>
      <c r="I37" s="114"/>
      <c r="J37" s="122"/>
      <c r="K37" s="115" t="str">
        <f t="shared" si="0"/>
        <v/>
      </c>
      <c r="L37" s="111"/>
      <c r="M37" s="119"/>
      <c r="N37" s="115" t="str">
        <f t="shared" si="1"/>
        <v/>
      </c>
      <c r="O37" s="116"/>
      <c r="P37" s="95"/>
    </row>
    <row r="38" spans="1:16" ht="16.5" customHeight="1" x14ac:dyDescent="0.2">
      <c r="A38" s="111"/>
      <c r="B38" s="111"/>
      <c r="C38" s="277"/>
      <c r="D38" s="278"/>
      <c r="E38" s="112"/>
      <c r="F38" s="111"/>
      <c r="G38" s="113"/>
      <c r="H38" s="114"/>
      <c r="I38" s="114"/>
      <c r="J38" s="122"/>
      <c r="K38" s="115" t="str">
        <f t="shared" si="0"/>
        <v/>
      </c>
      <c r="L38" s="111"/>
      <c r="M38" s="119"/>
      <c r="N38" s="115" t="str">
        <f t="shared" si="1"/>
        <v/>
      </c>
      <c r="O38" s="116"/>
      <c r="P38" s="95"/>
    </row>
    <row r="39" spans="1:16" ht="9" customHeight="1" x14ac:dyDescent="0.2"/>
    <row r="40" spans="1:16" ht="16.5" customHeight="1" x14ac:dyDescent="0.2">
      <c r="O40" s="104" t="s">
        <v>67</v>
      </c>
    </row>
    <row r="41" spans="1:16" ht="16.5" customHeight="1" x14ac:dyDescent="0.2">
      <c r="A41" s="109" t="s">
        <v>68</v>
      </c>
      <c r="B41" s="109" t="s">
        <v>69</v>
      </c>
      <c r="C41" s="281" t="s">
        <v>70</v>
      </c>
      <c r="D41" s="283"/>
      <c r="E41" s="109" t="s">
        <v>71</v>
      </c>
      <c r="F41" s="109" t="s">
        <v>72</v>
      </c>
      <c r="G41" s="109" t="s">
        <v>73</v>
      </c>
      <c r="H41" s="109" t="s">
        <v>74</v>
      </c>
      <c r="I41" s="109" t="s">
        <v>75</v>
      </c>
      <c r="J41" s="118"/>
      <c r="K41" s="109" t="s">
        <v>76</v>
      </c>
      <c r="L41" s="109" t="s">
        <v>77</v>
      </c>
      <c r="M41" s="118"/>
      <c r="N41" s="109" t="s">
        <v>78</v>
      </c>
      <c r="O41" s="109" t="s">
        <v>79</v>
      </c>
    </row>
    <row r="42" spans="1:16" ht="16.5" customHeight="1" x14ac:dyDescent="0.2">
      <c r="A42" s="111"/>
      <c r="B42" s="111"/>
      <c r="C42" s="277"/>
      <c r="D42" s="278"/>
      <c r="E42" s="112"/>
      <c r="F42" s="111"/>
      <c r="G42" s="113"/>
      <c r="H42" s="114"/>
      <c r="I42" s="114"/>
      <c r="J42" s="122"/>
      <c r="K42" s="115" t="str">
        <f t="shared" ref="K42:K73" si="2">IF(MOD(J42,1)=0,TEXT(J42,"#,###"),TEXT(J42,"#,##0.##"))</f>
        <v/>
      </c>
      <c r="L42" s="111"/>
      <c r="M42" s="119"/>
      <c r="N42" s="115" t="str">
        <f t="shared" ref="N42:N73" si="3">IF(MOD(M42,1)=0,TEXT(M42,"#,###"),TEXT(M42,"#,##0.##"))</f>
        <v/>
      </c>
      <c r="O42" s="116"/>
    </row>
    <row r="43" spans="1:16" ht="16.5" customHeight="1" x14ac:dyDescent="0.2">
      <c r="A43" s="111"/>
      <c r="B43" s="111"/>
      <c r="C43" s="277"/>
      <c r="D43" s="278"/>
      <c r="E43" s="112"/>
      <c r="F43" s="111"/>
      <c r="G43" s="113"/>
      <c r="H43" s="114"/>
      <c r="I43" s="114"/>
      <c r="J43" s="122"/>
      <c r="K43" s="115" t="str">
        <f t="shared" si="2"/>
        <v/>
      </c>
      <c r="L43" s="111"/>
      <c r="M43" s="119"/>
      <c r="N43" s="115" t="str">
        <f t="shared" si="3"/>
        <v/>
      </c>
      <c r="O43" s="116"/>
    </row>
    <row r="44" spans="1:16" ht="16.5" customHeight="1" x14ac:dyDescent="0.2">
      <c r="A44" s="111"/>
      <c r="B44" s="111"/>
      <c r="C44" s="277"/>
      <c r="D44" s="278"/>
      <c r="E44" s="112"/>
      <c r="F44" s="111"/>
      <c r="G44" s="113"/>
      <c r="H44" s="114"/>
      <c r="I44" s="114"/>
      <c r="J44" s="122"/>
      <c r="K44" s="115" t="str">
        <f t="shared" si="2"/>
        <v/>
      </c>
      <c r="L44" s="111"/>
      <c r="M44" s="119"/>
      <c r="N44" s="115" t="str">
        <f t="shared" si="3"/>
        <v/>
      </c>
      <c r="O44" s="116"/>
    </row>
    <row r="45" spans="1:16" ht="16.5" customHeight="1" x14ac:dyDescent="0.2">
      <c r="A45" s="111"/>
      <c r="B45" s="111"/>
      <c r="C45" s="277"/>
      <c r="D45" s="278"/>
      <c r="E45" s="112"/>
      <c r="F45" s="111"/>
      <c r="G45" s="113"/>
      <c r="H45" s="114"/>
      <c r="I45" s="114"/>
      <c r="J45" s="122"/>
      <c r="K45" s="115" t="str">
        <f t="shared" si="2"/>
        <v/>
      </c>
      <c r="L45" s="111"/>
      <c r="M45" s="119"/>
      <c r="N45" s="115" t="str">
        <f t="shared" si="3"/>
        <v/>
      </c>
      <c r="O45" s="116"/>
    </row>
    <row r="46" spans="1:16" ht="16.5" customHeight="1" x14ac:dyDescent="0.2">
      <c r="A46" s="111"/>
      <c r="B46" s="111"/>
      <c r="C46" s="277"/>
      <c r="D46" s="278"/>
      <c r="E46" s="112"/>
      <c r="F46" s="111"/>
      <c r="G46" s="113"/>
      <c r="H46" s="114"/>
      <c r="I46" s="114"/>
      <c r="J46" s="122"/>
      <c r="K46" s="115" t="str">
        <f t="shared" si="2"/>
        <v/>
      </c>
      <c r="L46" s="111"/>
      <c r="M46" s="119"/>
      <c r="N46" s="115" t="str">
        <f t="shared" si="3"/>
        <v/>
      </c>
      <c r="O46" s="116"/>
    </row>
    <row r="47" spans="1:16" ht="16.5" customHeight="1" x14ac:dyDescent="0.2">
      <c r="A47" s="111"/>
      <c r="B47" s="111"/>
      <c r="C47" s="277"/>
      <c r="D47" s="278"/>
      <c r="E47" s="112"/>
      <c r="F47" s="111"/>
      <c r="G47" s="113"/>
      <c r="H47" s="114"/>
      <c r="I47" s="114"/>
      <c r="J47" s="122"/>
      <c r="K47" s="115" t="str">
        <f t="shared" si="2"/>
        <v/>
      </c>
      <c r="L47" s="111"/>
      <c r="M47" s="119"/>
      <c r="N47" s="115" t="str">
        <f t="shared" si="3"/>
        <v/>
      </c>
      <c r="O47" s="116"/>
    </row>
    <row r="48" spans="1:16" ht="16.5" customHeight="1" x14ac:dyDescent="0.2">
      <c r="A48" s="111"/>
      <c r="B48" s="111"/>
      <c r="C48" s="277"/>
      <c r="D48" s="278"/>
      <c r="E48" s="112"/>
      <c r="F48" s="111"/>
      <c r="G48" s="113"/>
      <c r="H48" s="114"/>
      <c r="I48" s="114"/>
      <c r="J48" s="122"/>
      <c r="K48" s="115" t="str">
        <f t="shared" si="2"/>
        <v/>
      </c>
      <c r="L48" s="111"/>
      <c r="M48" s="119"/>
      <c r="N48" s="115" t="str">
        <f t="shared" si="3"/>
        <v/>
      </c>
      <c r="O48" s="116"/>
    </row>
    <row r="49" spans="1:15" ht="16.5" customHeight="1" x14ac:dyDescent="0.2">
      <c r="A49" s="111"/>
      <c r="B49" s="111"/>
      <c r="C49" s="277"/>
      <c r="D49" s="278"/>
      <c r="E49" s="112"/>
      <c r="F49" s="111"/>
      <c r="G49" s="113"/>
      <c r="H49" s="114"/>
      <c r="I49" s="114"/>
      <c r="J49" s="122"/>
      <c r="K49" s="115" t="str">
        <f t="shared" si="2"/>
        <v/>
      </c>
      <c r="L49" s="111"/>
      <c r="M49" s="119"/>
      <c r="N49" s="115" t="str">
        <f t="shared" si="3"/>
        <v/>
      </c>
      <c r="O49" s="116"/>
    </row>
    <row r="50" spans="1:15" ht="16.5" customHeight="1" x14ac:dyDescent="0.2">
      <c r="A50" s="111"/>
      <c r="B50" s="111"/>
      <c r="C50" s="277"/>
      <c r="D50" s="278"/>
      <c r="E50" s="112"/>
      <c r="F50" s="111"/>
      <c r="G50" s="113"/>
      <c r="H50" s="114"/>
      <c r="I50" s="114"/>
      <c r="J50" s="122"/>
      <c r="K50" s="115" t="str">
        <f t="shared" si="2"/>
        <v/>
      </c>
      <c r="L50" s="111"/>
      <c r="M50" s="119"/>
      <c r="N50" s="115" t="str">
        <f t="shared" si="3"/>
        <v/>
      </c>
      <c r="O50" s="116"/>
    </row>
    <row r="51" spans="1:15" ht="16.5" customHeight="1" x14ac:dyDescent="0.2">
      <c r="A51" s="111"/>
      <c r="B51" s="111"/>
      <c r="C51" s="277"/>
      <c r="D51" s="278"/>
      <c r="E51" s="112"/>
      <c r="F51" s="111"/>
      <c r="G51" s="113"/>
      <c r="H51" s="114"/>
      <c r="I51" s="114"/>
      <c r="J51" s="122"/>
      <c r="K51" s="115" t="str">
        <f t="shared" si="2"/>
        <v/>
      </c>
      <c r="L51" s="111"/>
      <c r="M51" s="119"/>
      <c r="N51" s="115" t="str">
        <f t="shared" si="3"/>
        <v/>
      </c>
      <c r="O51" s="116"/>
    </row>
    <row r="52" spans="1:15" ht="16.5" customHeight="1" x14ac:dyDescent="0.2">
      <c r="A52" s="111"/>
      <c r="B52" s="111"/>
      <c r="C52" s="277"/>
      <c r="D52" s="278"/>
      <c r="E52" s="112"/>
      <c r="F52" s="111"/>
      <c r="G52" s="113"/>
      <c r="H52" s="114"/>
      <c r="I52" s="114"/>
      <c r="J52" s="122"/>
      <c r="K52" s="115" t="str">
        <f t="shared" si="2"/>
        <v/>
      </c>
      <c r="L52" s="111"/>
      <c r="M52" s="119"/>
      <c r="N52" s="115" t="str">
        <f t="shared" si="3"/>
        <v/>
      </c>
      <c r="O52" s="116"/>
    </row>
    <row r="53" spans="1:15" ht="16.5" customHeight="1" x14ac:dyDescent="0.2">
      <c r="A53" s="111"/>
      <c r="B53" s="111"/>
      <c r="C53" s="277"/>
      <c r="D53" s="278"/>
      <c r="E53" s="112"/>
      <c r="F53" s="111"/>
      <c r="G53" s="113"/>
      <c r="H53" s="114"/>
      <c r="I53" s="114"/>
      <c r="J53" s="122"/>
      <c r="K53" s="115" t="str">
        <f t="shared" si="2"/>
        <v/>
      </c>
      <c r="L53" s="111"/>
      <c r="M53" s="119"/>
      <c r="N53" s="115" t="str">
        <f t="shared" si="3"/>
        <v/>
      </c>
      <c r="O53" s="116"/>
    </row>
    <row r="54" spans="1:15" ht="16.5" customHeight="1" x14ac:dyDescent="0.2">
      <c r="A54" s="111"/>
      <c r="B54" s="111"/>
      <c r="C54" s="277"/>
      <c r="D54" s="278"/>
      <c r="E54" s="112"/>
      <c r="F54" s="111"/>
      <c r="G54" s="113"/>
      <c r="H54" s="114"/>
      <c r="I54" s="114"/>
      <c r="J54" s="122"/>
      <c r="K54" s="115" t="str">
        <f t="shared" si="2"/>
        <v/>
      </c>
      <c r="L54" s="111"/>
      <c r="M54" s="119"/>
      <c r="N54" s="115" t="str">
        <f t="shared" si="3"/>
        <v/>
      </c>
      <c r="O54" s="116"/>
    </row>
    <row r="55" spans="1:15" ht="16.5" customHeight="1" x14ac:dyDescent="0.2">
      <c r="A55" s="111"/>
      <c r="B55" s="111"/>
      <c r="C55" s="277"/>
      <c r="D55" s="278"/>
      <c r="E55" s="112"/>
      <c r="F55" s="111"/>
      <c r="G55" s="113"/>
      <c r="H55" s="114"/>
      <c r="I55" s="114"/>
      <c r="J55" s="122"/>
      <c r="K55" s="115" t="str">
        <f t="shared" si="2"/>
        <v/>
      </c>
      <c r="L55" s="111"/>
      <c r="M55" s="119"/>
      <c r="N55" s="115" t="str">
        <f t="shared" si="3"/>
        <v/>
      </c>
      <c r="O55" s="116"/>
    </row>
    <row r="56" spans="1:15" ht="16.5" customHeight="1" x14ac:dyDescent="0.2">
      <c r="A56" s="111"/>
      <c r="B56" s="111"/>
      <c r="C56" s="277"/>
      <c r="D56" s="278"/>
      <c r="E56" s="112"/>
      <c r="F56" s="111"/>
      <c r="G56" s="113"/>
      <c r="H56" s="114"/>
      <c r="I56" s="114"/>
      <c r="J56" s="122"/>
      <c r="K56" s="115" t="str">
        <f t="shared" si="2"/>
        <v/>
      </c>
      <c r="L56" s="111"/>
      <c r="M56" s="119"/>
      <c r="N56" s="115" t="str">
        <f t="shared" si="3"/>
        <v/>
      </c>
      <c r="O56" s="116"/>
    </row>
    <row r="57" spans="1:15" ht="16.5" customHeight="1" x14ac:dyDescent="0.2">
      <c r="A57" s="111"/>
      <c r="B57" s="111"/>
      <c r="C57" s="277"/>
      <c r="D57" s="278"/>
      <c r="E57" s="112"/>
      <c r="F57" s="111"/>
      <c r="G57" s="113"/>
      <c r="H57" s="114"/>
      <c r="I57" s="114"/>
      <c r="J57" s="122"/>
      <c r="K57" s="115" t="str">
        <f t="shared" si="2"/>
        <v/>
      </c>
      <c r="L57" s="111"/>
      <c r="M57" s="119"/>
      <c r="N57" s="115" t="str">
        <f t="shared" si="3"/>
        <v/>
      </c>
      <c r="O57" s="116"/>
    </row>
    <row r="58" spans="1:15" ht="16.5" customHeight="1" x14ac:dyDescent="0.2">
      <c r="A58" s="111"/>
      <c r="B58" s="111"/>
      <c r="C58" s="277"/>
      <c r="D58" s="278"/>
      <c r="E58" s="112"/>
      <c r="F58" s="111"/>
      <c r="G58" s="113"/>
      <c r="H58" s="114"/>
      <c r="I58" s="114"/>
      <c r="J58" s="122"/>
      <c r="K58" s="115" t="str">
        <f t="shared" si="2"/>
        <v/>
      </c>
      <c r="L58" s="111"/>
      <c r="M58" s="119"/>
      <c r="N58" s="115" t="str">
        <f t="shared" si="3"/>
        <v/>
      </c>
      <c r="O58" s="116"/>
    </row>
    <row r="59" spans="1:15" ht="16.5" customHeight="1" x14ac:dyDescent="0.2">
      <c r="A59" s="111"/>
      <c r="B59" s="111"/>
      <c r="C59" s="277"/>
      <c r="D59" s="278"/>
      <c r="E59" s="112"/>
      <c r="F59" s="111"/>
      <c r="G59" s="113"/>
      <c r="H59" s="114"/>
      <c r="I59" s="114"/>
      <c r="J59" s="122"/>
      <c r="K59" s="115" t="str">
        <f t="shared" si="2"/>
        <v/>
      </c>
      <c r="L59" s="111"/>
      <c r="M59" s="119"/>
      <c r="N59" s="115" t="str">
        <f t="shared" si="3"/>
        <v/>
      </c>
      <c r="O59" s="116"/>
    </row>
    <row r="60" spans="1:15" ht="16.5" customHeight="1" x14ac:dyDescent="0.2">
      <c r="A60" s="111"/>
      <c r="B60" s="111"/>
      <c r="C60" s="277"/>
      <c r="D60" s="278"/>
      <c r="E60" s="112"/>
      <c r="F60" s="111"/>
      <c r="G60" s="113"/>
      <c r="H60" s="114"/>
      <c r="I60" s="114"/>
      <c r="J60" s="122"/>
      <c r="K60" s="115" t="str">
        <f t="shared" si="2"/>
        <v/>
      </c>
      <c r="L60" s="111"/>
      <c r="M60" s="119"/>
      <c r="N60" s="115" t="str">
        <f t="shared" si="3"/>
        <v/>
      </c>
      <c r="O60" s="116"/>
    </row>
    <row r="61" spans="1:15" ht="16.5" customHeight="1" x14ac:dyDescent="0.2">
      <c r="A61" s="111"/>
      <c r="B61" s="111"/>
      <c r="C61" s="277"/>
      <c r="D61" s="278"/>
      <c r="E61" s="112"/>
      <c r="F61" s="111"/>
      <c r="G61" s="113"/>
      <c r="H61" s="114"/>
      <c r="I61" s="114"/>
      <c r="J61" s="122"/>
      <c r="K61" s="115" t="str">
        <f t="shared" si="2"/>
        <v/>
      </c>
      <c r="L61" s="111"/>
      <c r="M61" s="119"/>
      <c r="N61" s="115" t="str">
        <f t="shared" si="3"/>
        <v/>
      </c>
      <c r="O61" s="116"/>
    </row>
    <row r="62" spans="1:15" ht="16.5" customHeight="1" x14ac:dyDescent="0.2">
      <c r="A62" s="111"/>
      <c r="B62" s="111"/>
      <c r="C62" s="277"/>
      <c r="D62" s="278"/>
      <c r="E62" s="112"/>
      <c r="F62" s="111"/>
      <c r="G62" s="113"/>
      <c r="H62" s="114"/>
      <c r="I62" s="114"/>
      <c r="J62" s="122"/>
      <c r="K62" s="115" t="str">
        <f t="shared" si="2"/>
        <v/>
      </c>
      <c r="L62" s="111"/>
      <c r="M62" s="119"/>
      <c r="N62" s="115" t="str">
        <f t="shared" si="3"/>
        <v/>
      </c>
      <c r="O62" s="116"/>
    </row>
    <row r="63" spans="1:15" ht="16.5" customHeight="1" x14ac:dyDescent="0.2">
      <c r="A63" s="111"/>
      <c r="B63" s="111"/>
      <c r="C63" s="277"/>
      <c r="D63" s="278"/>
      <c r="E63" s="112"/>
      <c r="F63" s="111"/>
      <c r="G63" s="113"/>
      <c r="H63" s="114"/>
      <c r="I63" s="114"/>
      <c r="J63" s="122"/>
      <c r="K63" s="115" t="str">
        <f t="shared" si="2"/>
        <v/>
      </c>
      <c r="L63" s="111"/>
      <c r="M63" s="119"/>
      <c r="N63" s="115" t="str">
        <f t="shared" si="3"/>
        <v/>
      </c>
      <c r="O63" s="116"/>
    </row>
    <row r="64" spans="1:15" ht="16.5" customHeight="1" x14ac:dyDescent="0.2">
      <c r="A64" s="111"/>
      <c r="B64" s="111"/>
      <c r="C64" s="277"/>
      <c r="D64" s="278"/>
      <c r="E64" s="112"/>
      <c r="F64" s="111"/>
      <c r="G64" s="113"/>
      <c r="H64" s="114"/>
      <c r="I64" s="114"/>
      <c r="J64" s="122"/>
      <c r="K64" s="115" t="str">
        <f t="shared" si="2"/>
        <v/>
      </c>
      <c r="L64" s="111"/>
      <c r="M64" s="119"/>
      <c r="N64" s="115" t="str">
        <f t="shared" si="3"/>
        <v/>
      </c>
      <c r="O64" s="116"/>
    </row>
    <row r="65" spans="1:15" ht="16.5" customHeight="1" x14ac:dyDescent="0.2">
      <c r="A65" s="111"/>
      <c r="B65" s="111"/>
      <c r="C65" s="277"/>
      <c r="D65" s="278"/>
      <c r="E65" s="112"/>
      <c r="F65" s="111"/>
      <c r="G65" s="113"/>
      <c r="H65" s="114"/>
      <c r="I65" s="114"/>
      <c r="J65" s="122"/>
      <c r="K65" s="115" t="str">
        <f t="shared" si="2"/>
        <v/>
      </c>
      <c r="L65" s="111"/>
      <c r="M65" s="119"/>
      <c r="N65" s="115" t="str">
        <f t="shared" si="3"/>
        <v/>
      </c>
      <c r="O65" s="116"/>
    </row>
    <row r="66" spans="1:15" ht="16.5" customHeight="1" x14ac:dyDescent="0.2">
      <c r="A66" s="111"/>
      <c r="B66" s="111"/>
      <c r="C66" s="277"/>
      <c r="D66" s="278"/>
      <c r="E66" s="112"/>
      <c r="F66" s="111"/>
      <c r="G66" s="113"/>
      <c r="H66" s="114"/>
      <c r="I66" s="114"/>
      <c r="J66" s="122"/>
      <c r="K66" s="115" t="str">
        <f t="shared" si="2"/>
        <v/>
      </c>
      <c r="L66" s="111"/>
      <c r="M66" s="119"/>
      <c r="N66" s="115" t="str">
        <f t="shared" si="3"/>
        <v/>
      </c>
      <c r="O66" s="116"/>
    </row>
    <row r="67" spans="1:15" ht="16.5" customHeight="1" x14ac:dyDescent="0.2">
      <c r="A67" s="111"/>
      <c r="B67" s="111"/>
      <c r="C67" s="277"/>
      <c r="D67" s="278"/>
      <c r="E67" s="112"/>
      <c r="F67" s="111"/>
      <c r="G67" s="113"/>
      <c r="H67" s="114"/>
      <c r="I67" s="114"/>
      <c r="J67" s="122"/>
      <c r="K67" s="115" t="str">
        <f t="shared" si="2"/>
        <v/>
      </c>
      <c r="L67" s="111"/>
      <c r="M67" s="119"/>
      <c r="N67" s="115" t="str">
        <f t="shared" si="3"/>
        <v/>
      </c>
      <c r="O67" s="116"/>
    </row>
    <row r="68" spans="1:15" ht="16.5" customHeight="1" x14ac:dyDescent="0.2">
      <c r="A68" s="111"/>
      <c r="B68" s="111"/>
      <c r="C68" s="277"/>
      <c r="D68" s="278"/>
      <c r="E68" s="112"/>
      <c r="F68" s="111"/>
      <c r="G68" s="113"/>
      <c r="H68" s="114"/>
      <c r="I68" s="114"/>
      <c r="J68" s="122"/>
      <c r="K68" s="115" t="str">
        <f t="shared" si="2"/>
        <v/>
      </c>
      <c r="L68" s="111"/>
      <c r="M68" s="119"/>
      <c r="N68" s="115" t="str">
        <f t="shared" si="3"/>
        <v/>
      </c>
      <c r="O68" s="116"/>
    </row>
    <row r="69" spans="1:15" ht="16.5" customHeight="1" x14ac:dyDescent="0.2">
      <c r="A69" s="111"/>
      <c r="B69" s="111"/>
      <c r="C69" s="277"/>
      <c r="D69" s="278"/>
      <c r="E69" s="112"/>
      <c r="F69" s="111"/>
      <c r="G69" s="113"/>
      <c r="H69" s="114"/>
      <c r="I69" s="114"/>
      <c r="J69" s="122"/>
      <c r="K69" s="115" t="str">
        <f t="shared" si="2"/>
        <v/>
      </c>
      <c r="L69" s="111"/>
      <c r="M69" s="119"/>
      <c r="N69" s="115" t="str">
        <f t="shared" si="3"/>
        <v/>
      </c>
      <c r="O69" s="116"/>
    </row>
    <row r="70" spans="1:15" ht="16.5" customHeight="1" x14ac:dyDescent="0.2">
      <c r="A70" s="111"/>
      <c r="B70" s="111"/>
      <c r="C70" s="277"/>
      <c r="D70" s="278"/>
      <c r="E70" s="112"/>
      <c r="F70" s="111"/>
      <c r="G70" s="113"/>
      <c r="H70" s="114"/>
      <c r="I70" s="114"/>
      <c r="J70" s="122"/>
      <c r="K70" s="115" t="str">
        <f t="shared" si="2"/>
        <v/>
      </c>
      <c r="L70" s="111"/>
      <c r="M70" s="119"/>
      <c r="N70" s="115" t="str">
        <f t="shared" si="3"/>
        <v/>
      </c>
      <c r="O70" s="116"/>
    </row>
    <row r="71" spans="1:15" ht="16.5" customHeight="1" x14ac:dyDescent="0.2">
      <c r="A71" s="111"/>
      <c r="B71" s="111"/>
      <c r="C71" s="277"/>
      <c r="D71" s="278"/>
      <c r="E71" s="112"/>
      <c r="F71" s="111"/>
      <c r="G71" s="113"/>
      <c r="H71" s="114"/>
      <c r="I71" s="114"/>
      <c r="J71" s="122"/>
      <c r="K71" s="115" t="str">
        <f t="shared" si="2"/>
        <v/>
      </c>
      <c r="L71" s="111"/>
      <c r="M71" s="119"/>
      <c r="N71" s="115" t="str">
        <f t="shared" si="3"/>
        <v/>
      </c>
      <c r="O71" s="116"/>
    </row>
    <row r="72" spans="1:15" ht="16.5" customHeight="1" x14ac:dyDescent="0.2">
      <c r="A72" s="111"/>
      <c r="B72" s="111"/>
      <c r="C72" s="277"/>
      <c r="D72" s="278"/>
      <c r="E72" s="112"/>
      <c r="F72" s="111"/>
      <c r="G72" s="113"/>
      <c r="H72" s="114"/>
      <c r="I72" s="114"/>
      <c r="J72" s="122"/>
      <c r="K72" s="115" t="str">
        <f t="shared" si="2"/>
        <v/>
      </c>
      <c r="L72" s="111"/>
      <c r="M72" s="119"/>
      <c r="N72" s="115" t="str">
        <f t="shared" si="3"/>
        <v/>
      </c>
      <c r="O72" s="116"/>
    </row>
    <row r="73" spans="1:15" ht="16.5" customHeight="1" x14ac:dyDescent="0.2">
      <c r="A73" s="111"/>
      <c r="B73" s="111"/>
      <c r="C73" s="277"/>
      <c r="D73" s="278"/>
      <c r="E73" s="112"/>
      <c r="F73" s="111"/>
      <c r="G73" s="113"/>
      <c r="H73" s="114"/>
      <c r="I73" s="114"/>
      <c r="J73" s="122"/>
      <c r="K73" s="115" t="str">
        <f t="shared" si="2"/>
        <v/>
      </c>
      <c r="L73" s="111"/>
      <c r="M73" s="119"/>
      <c r="N73" s="115" t="str">
        <f t="shared" si="3"/>
        <v/>
      </c>
      <c r="O73" s="116"/>
    </row>
  </sheetData>
  <mergeCells count="63">
    <mergeCell ref="C70:D70"/>
    <mergeCell ref="C71:D71"/>
    <mergeCell ref="C72:D72"/>
    <mergeCell ref="C73:D73"/>
    <mergeCell ref="C64:D64"/>
    <mergeCell ref="C65:D65"/>
    <mergeCell ref="C66:D66"/>
    <mergeCell ref="C67:D67"/>
    <mergeCell ref="C68:D68"/>
    <mergeCell ref="C69:D69"/>
    <mergeCell ref="C63:D63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51:D51"/>
    <mergeCell ref="C38:D38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37:D37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D12:G12"/>
    <mergeCell ref="D13:G13"/>
    <mergeCell ref="D14:F14"/>
    <mergeCell ref="C25:D25"/>
    <mergeCell ref="D15:G15"/>
    <mergeCell ref="D17:G17"/>
    <mergeCell ref="A19:N19"/>
    <mergeCell ref="C20:D20"/>
    <mergeCell ref="C21:D21"/>
    <mergeCell ref="C22:D22"/>
    <mergeCell ref="C23:D23"/>
    <mergeCell ref="C24:D24"/>
    <mergeCell ref="A3:D3"/>
    <mergeCell ref="A4:D4"/>
    <mergeCell ref="D8:E8"/>
    <mergeCell ref="D9:E9"/>
    <mergeCell ref="D10:E10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7169" r:id="rId4">
          <objectPr defaultSize="0" autoFill="0" autoLine="0" autoPict="0" r:id="rId5">
            <anchor>
              <from>
                <xdr:col>13</xdr:col>
                <xdr:colOff>449580</xdr:colOff>
                <xdr:row>4</xdr:row>
                <xdr:rowOff>60960</xdr:rowOff>
              </from>
              <to>
                <xdr:col>14</xdr:col>
                <xdr:colOff>274320</xdr:colOff>
                <xdr:row>8</xdr:row>
                <xdr:rowOff>121920</xdr:rowOff>
              </to>
            </anchor>
          </objectPr>
        </oleObject>
      </mc:Choice>
      <mc:Fallback>
        <oleObject progId="Dstmp.StampObject.6" shapeId="7169" r:id="rId4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defaultRowHeight="18" x14ac:dyDescent="0.45"/>
  <sheetData>
    <row r="1" spans="1:1" x14ac:dyDescent="0.45">
      <c r="A1" s="66" t="s">
        <v>45</v>
      </c>
    </row>
    <row r="2" spans="1:1" x14ac:dyDescent="0.45">
      <c r="A2" s="67" t="s">
        <v>36</v>
      </c>
    </row>
    <row r="3" spans="1:1" x14ac:dyDescent="0.45">
      <c r="A3" s="66" t="s">
        <v>37</v>
      </c>
    </row>
    <row r="4" spans="1:1" x14ac:dyDescent="0.45">
      <c r="A4" s="66" t="s">
        <v>40</v>
      </c>
    </row>
    <row r="5" spans="1:1" x14ac:dyDescent="0.45">
      <c r="A5" s="66" t="s">
        <v>38</v>
      </c>
    </row>
    <row r="6" spans="1:1" x14ac:dyDescent="0.45">
      <c r="A6" s="66" t="s">
        <v>39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39</vt:i4>
      </vt:variant>
    </vt:vector>
  </HeadingPairs>
  <TitlesOfParts>
    <vt:vector size="48" baseType="lpstr">
      <vt:lpstr>変更履歴</vt:lpstr>
      <vt:lpstr>概要</vt:lpstr>
      <vt:lpstr>帳票レイアウト</vt:lpstr>
      <vt:lpstr>項目一覧</vt:lpstr>
      <vt:lpstr>処理詳細</vt:lpstr>
      <vt:lpstr>確認事項</vt:lpstr>
      <vt:lpstr>別紙_テンプレート</vt:lpstr>
      <vt:lpstr>別紙_印刷レイアウト</vt:lpstr>
      <vt:lpstr>参照</vt:lpstr>
      <vt:lpstr>CoreCells</vt:lpstr>
      <vt:lpstr>CoreCellsRow</vt:lpstr>
      <vt:lpstr>概要!Print_Area</vt:lpstr>
      <vt:lpstr>項目一覧!Print_Area</vt:lpstr>
      <vt:lpstr>処理詳細!Print_Area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帳票レイアウト!Print_Titles</vt:lpstr>
      <vt:lpstr>別紙_テンプレート!Print_Titles</vt:lpstr>
      <vt:lpstr>変更履歴!Print_Titles</vt:lpstr>
      <vt:lpstr>クレーム区分</vt:lpstr>
      <vt:lpstr>会社担当者</vt:lpstr>
      <vt:lpstr>会社担当者E_mail</vt:lpstr>
      <vt:lpstr>見積金額</vt:lpstr>
      <vt:lpstr>見積件名</vt:lpstr>
      <vt:lpstr>見積日</vt:lpstr>
      <vt:lpstr>見積番号</vt:lpstr>
      <vt:lpstr>見積有効期限</vt:lpstr>
      <vt:lpstr>現場名</vt:lpstr>
      <vt:lpstr>合計金額</vt:lpstr>
      <vt:lpstr>作成日</vt:lpstr>
      <vt:lpstr>支払条件</vt:lpstr>
      <vt:lpstr>受注区分</vt:lpstr>
      <vt:lpstr>受注先1</vt:lpstr>
      <vt:lpstr>受渡地</vt:lpstr>
      <vt:lpstr>消費税額</vt:lpstr>
      <vt:lpstr>消費税等</vt:lpstr>
      <vt:lpstr>担当者</vt:lpstr>
      <vt:lpstr>担当者名</vt:lpstr>
      <vt:lpstr>店番</vt:lpstr>
      <vt:lpstr>得意先名1</vt:lpstr>
      <vt:lpstr>得意先名2</vt:lpstr>
      <vt:lpstr>納期</vt:lpstr>
      <vt:lpstr>納入先1</vt:lpstr>
      <vt:lpstr>納入先住所1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2024-10-16T04:43:09Z</cp:lastPrinted>
  <dcterms:created xsi:type="dcterms:W3CDTF">2021-04-12T04:47:05Z</dcterms:created>
  <dcterms:modified xsi:type="dcterms:W3CDTF">2025-05-24T05:30:36Z</dcterms:modified>
</cp:coreProperties>
</file>