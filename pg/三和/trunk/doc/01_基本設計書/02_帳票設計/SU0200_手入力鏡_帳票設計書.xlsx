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 firstSheet="3" activeTab="3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_no" sheetId="18" state="hidden" r:id="rId5"/>
    <sheet name="処理詳細" sheetId="22" r:id="rId6"/>
    <sheet name="処理詳細_書き方" sheetId="19" state="hidden" r:id="rId7"/>
    <sheet name="確認事項" sheetId="15" r:id="rId8"/>
    <sheet name="レイアウト比較" sheetId="23" r:id="rId9"/>
    <sheet name="別紙_印刷レイアウト" sheetId="24" r:id="rId10"/>
    <sheet name="参照" sheetId="12" state="hidden" r:id="rId11"/>
  </sheets>
  <definedNames>
    <definedName name="_xlnm.Print_Area" localSheetId="1">概要!$A$1:$BN$31</definedName>
    <definedName name="_xlnm.Print_Area" localSheetId="3">項目一覧!$A$1:$BX$57</definedName>
    <definedName name="_xlnm.Print_Area" localSheetId="5">処理詳細!$A$1:$BR$41</definedName>
    <definedName name="_xlnm.Print_Area" localSheetId="4">処理詳細_no!$A$1:$BR$26</definedName>
    <definedName name="_xlnm.Print_Area" localSheetId="6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5">処理詳細!$1:$5</definedName>
    <definedName name="_xlnm.Print_Titles" localSheetId="4">処理詳細_no!$1:$5</definedName>
    <definedName name="_xlnm.Print_Titles" localSheetId="6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2" l="1"/>
  <c r="BF3" i="22"/>
  <c r="BB3" i="22"/>
  <c r="AX3" i="22"/>
  <c r="L3" i="22"/>
  <c r="B3" i="22"/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22" s="1"/>
  <c r="X3" i="18" l="1"/>
  <c r="X3" i="19"/>
  <c r="X3" i="14"/>
  <c r="H3" i="1"/>
  <c r="H3" i="22" s="1"/>
  <c r="R3" i="1"/>
  <c r="R3" i="22" s="1"/>
  <c r="AK3" i="1"/>
  <c r="AK3" i="22" s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<sst xmlns="http://schemas.openxmlformats.org/spreadsheetml/2006/main" count="397" uniqueCount="243">
  <si>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</si>
  <si>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</si>
  <si>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</si>
  <si>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</si>
  <si>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</si>
  <si>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</si>
  <si>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</si>
  <si>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</si>
  <si>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</si>
  <si>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</si>
  <si>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</si>
  <si>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</si>
  <si>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</si>
  <si>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</si>
  <si>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</si>
  <si>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</si>
  <si>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</si>
  <si>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</si>
  <si>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</si>
  <si>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</si>
  <si>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</si>
  <si>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</si>
  <si>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</si>
  <si>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</si>
  <si>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</si>
  <si>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</si>
  <si>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</si>
  <si>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</si>
  <si>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</si>
  <si>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</si>
  <si>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</si>
  <si>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</si>
  <si>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</si>
  <si>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</si>
  <si>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</si>
  <si>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</si>
  <si>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</si>
  <si>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</si>
  <si>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</si>
  <si>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</si>
  <si>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</si>
  <si>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</si>
  <si>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</si>
  <si>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</si>
  <si>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</si>
  <si>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</si>
  <si>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</si>
  <si>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</si>
  <si>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</si>
  <si>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</si>
  <si>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</si>
  <si>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</si>
  <si>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</si>
  <si>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</si>
  <si>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</si>
  <si>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</si>
  <si>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</si>
  <si>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</si>
  <si>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</si>
  <si>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</si>
  <si>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</si>
  <si>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</si>
  <si>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</si>
  <si>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</si>
  <si>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</si>
  <si>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</si>
  <si>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</si>
  <si>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</si>
  <si>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</si>
  <si>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</si>
  <si>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</si>
  <si>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</si>
  <si>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</si>
  <si>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</si>
  <si>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</si>
  <si>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</si>
  <si>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</si>
  <si>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</si>
  <si>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</si>
  <si>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</si>
  <si>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</si>
  <si>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</si>
  <si>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</si>
  <si>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</si>
  <si>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</si>
  <si>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</si>
  <si>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</si>
  <si>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</si>
  <si>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</si>
  <si>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</si>
  <si>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-</t>
    <phoneticPr fontId="2"/>
  </si>
  <si>
    <t>PDF</t>
    <phoneticPr fontId="2"/>
  </si>
  <si>
    <t>pdf</t>
    <phoneticPr fontId="2"/>
  </si>
  <si>
    <t>-</t>
    <phoneticPr fontId="2"/>
  </si>
  <si>
    <t>-</t>
    <phoneticPr fontId="2"/>
  </si>
  <si>
    <t>-</t>
    <phoneticPr fontId="2"/>
  </si>
  <si>
    <t>-</t>
    <phoneticPr fontId="2"/>
  </si>
  <si>
    <t>請求番号</t>
    <rPh sb="0" eb="4">
      <t>セイキュウバンゴウ</t>
    </rPh>
    <phoneticPr fontId="1"/>
  </si>
  <si>
    <t>お客様番号</t>
    <rPh sb="1" eb="3">
      <t>キャクサマ</t>
    </rPh>
    <rPh sb="3" eb="5">
      <t>バンゴウ</t>
    </rPh>
    <phoneticPr fontId="1"/>
  </si>
  <si>
    <t>得意先名1</t>
  </si>
  <si>
    <t>得意先名1</t>
    <rPh sb="0" eb="4">
      <t>トクイサキメイ</t>
    </rPh>
    <phoneticPr fontId="1"/>
  </si>
  <si>
    <t>得意先名2</t>
  </si>
  <si>
    <t>得意先名2</t>
    <rPh sb="0" eb="4">
      <t>トクイサキメイ</t>
    </rPh>
    <phoneticPr fontId="1"/>
  </si>
  <si>
    <t>登録番号</t>
    <rPh sb="0" eb="4">
      <t>トウロクバンゴウ</t>
    </rPh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</si>
  <si>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</si>
  <si>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</si>
  <si>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TEL</t>
    <phoneticPr fontId="1"/>
  </si>
  <si>
    <t>FAX</t>
    <phoneticPr fontId="1"/>
  </si>
  <si>
    <t>金額</t>
    <rPh sb="0" eb="2">
      <t>キンガク</t>
    </rPh>
    <phoneticPr fontId="1"/>
  </si>
  <si>
    <t>受渡地</t>
    <rPh sb="0" eb="3">
      <t>ウケワタシチ</t>
    </rPh>
    <phoneticPr fontId="1"/>
  </si>
  <si>
    <t>消費税</t>
    <rPh sb="0" eb="3">
      <t>ショウヒゼイ</t>
    </rPh>
    <phoneticPr fontId="1"/>
  </si>
  <si>
    <t>摘要1</t>
    <rPh sb="0" eb="2">
      <t>テキヨウ</t>
    </rPh>
    <phoneticPr fontId="1"/>
  </si>
  <si>
    <t>摘要2</t>
    <rPh sb="0" eb="2">
      <t>テキヨウ</t>
    </rPh>
    <phoneticPr fontId="1"/>
  </si>
  <si>
    <t>摘要3</t>
    <rPh sb="0" eb="2">
      <t>テキヨウ</t>
    </rPh>
    <phoneticPr fontId="1"/>
  </si>
  <si>
    <t>摘要4</t>
    <rPh sb="0" eb="2">
      <t>テキヨウ</t>
    </rPh>
    <phoneticPr fontId="1"/>
  </si>
  <si>
    <t>摘要5</t>
    <rPh sb="0" eb="2">
      <t>テキヨウ</t>
    </rPh>
    <phoneticPr fontId="1"/>
  </si>
  <si>
    <t>摘要6</t>
    <rPh sb="0" eb="2">
      <t>テキヨウ</t>
    </rPh>
    <phoneticPr fontId="1"/>
  </si>
  <si>
    <t>合計金額</t>
    <rPh sb="0" eb="4">
      <t>ゴウケイキンガク</t>
    </rPh>
    <phoneticPr fontId="1"/>
  </si>
  <si>
    <t>得意先CD</t>
  </si>
  <si>
    <t>請求日付</t>
  </si>
  <si>
    <t>請求日付</t>
    <rPh sb="0" eb="4">
      <t>セイキュウヒヅケ</t>
    </rPh>
    <phoneticPr fontId="1"/>
  </si>
  <si>
    <t>合計</t>
  </si>
  <si>
    <t>摘要2</t>
  </si>
  <si>
    <t>摘要3</t>
  </si>
  <si>
    <t>摘要4</t>
  </si>
  <si>
    <t>摘要5</t>
  </si>
  <si>
    <t>摘要6</t>
  </si>
  <si>
    <t>消費税率</t>
    <rPh sb="0" eb="3">
      <t>ショウヒゼイ</t>
    </rPh>
    <rPh sb="3" eb="4">
      <t>リツ</t>
    </rPh>
    <phoneticPr fontId="1"/>
  </si>
  <si>
    <t>[切替日付] &lt;= [請求日付]の場合は[税率]、
[切替日付] &gt; [請求日付]の場合は[税率]を表示。</t>
    <rPh sb="11" eb="15">
      <t>セイキュウヒヅケ</t>
    </rPh>
    <rPh sb="17" eb="19">
      <t>バアイ</t>
    </rPh>
    <rPh sb="21" eb="23">
      <t>ゼイリツ</t>
    </rPh>
    <rPh sb="50" eb="52">
      <t>ヒョウジ</t>
    </rPh>
    <phoneticPr fontId="1"/>
  </si>
  <si>
    <t>会社名</t>
    <rPh sb="0" eb="3">
      <t>カイシャメイ</t>
    </rPh>
    <phoneticPr fontId="1"/>
  </si>
  <si>
    <t>[得意先名2]が空の場合は空を表示、それ以外の場合は[得意先名1]を表示</t>
    <rPh sb="8" eb="9">
      <t>カラ</t>
    </rPh>
    <rPh sb="10" eb="12">
      <t>バアイ</t>
    </rPh>
    <rPh sb="13" eb="14">
      <t>カラ</t>
    </rPh>
    <rPh sb="15" eb="17">
      <t>ヒョウジ</t>
    </rPh>
    <rPh sb="20" eb="22">
      <t>イガイ</t>
    </rPh>
    <rPh sb="23" eb="25">
      <t>バアイ</t>
    </rPh>
    <rPh sb="27" eb="30">
      <t>トクイサキ</t>
    </rPh>
    <rPh sb="30" eb="31">
      <t>メイ</t>
    </rPh>
    <rPh sb="34" eb="36">
      <t>ヒョウジ</t>
    </rPh>
    <phoneticPr fontId="1"/>
  </si>
  <si>
    <t>[得意先名2]が空の場合は[得意先名1]を表示、それ以外の場合は[得意先名2]を表示</t>
    <rPh sb="36" eb="37">
      <t>メイ</t>
    </rPh>
    <phoneticPr fontId="1"/>
  </si>
  <si>
    <t>"登録番号 " &amp; [インボイス登録番号]</t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</si>
  <si>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</si>
  <si>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</si>
  <si>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添付明細書数</t>
    <rPh sb="0" eb="5">
      <t>テンプメイサイショ</t>
    </rPh>
    <rPh sb="5" eb="6">
      <t>スウ</t>
    </rPh>
    <phoneticPr fontId="1"/>
  </si>
  <si>
    <t>TM会社.社名1</t>
    <rPh sb="2" eb="4">
      <t>カイシャ</t>
    </rPh>
    <rPh sb="5" eb="7">
      <t>シャメイ</t>
    </rPh>
    <phoneticPr fontId="1"/>
  </si>
  <si>
    <t>TM会社.郵便番号</t>
    <rPh sb="2" eb="4">
      <t>カイシャ</t>
    </rPh>
    <rPh sb="5" eb="9">
      <t>ユウビンバンゴウ</t>
    </rPh>
    <phoneticPr fontId="1"/>
  </si>
  <si>
    <t>TM会社.住所1</t>
    <rPh sb="5" eb="7">
      <t>ジュウショ</t>
    </rPh>
    <phoneticPr fontId="1"/>
  </si>
  <si>
    <t>TM会社.電話番号</t>
    <rPh sb="5" eb="9">
      <t>デンワバンゴウ</t>
    </rPh>
    <phoneticPr fontId="1"/>
  </si>
  <si>
    <t>TM会社.FAX番号</t>
    <rPh sb="8" eb="10">
      <t>バンゴウ</t>
    </rPh>
    <phoneticPr fontId="1"/>
  </si>
  <si>
    <t>新システムではTM会社から取得するよう変更</t>
    <rPh sb="0" eb="1">
      <t>シン</t>
    </rPh>
    <rPh sb="9" eb="11">
      <t>カイシャ</t>
    </rPh>
    <rPh sb="13" eb="15">
      <t>シュトク</t>
    </rPh>
    <rPh sb="19" eb="21">
      <t>ヘンコウ</t>
    </rPh>
    <phoneticPr fontId="1"/>
  </si>
  <si>
    <t>SQL1.得意先CD</t>
    <rPh sb="5" eb="8">
      <t>トクイサキ</t>
    </rPh>
    <phoneticPr fontId="1"/>
  </si>
  <si>
    <t>SQL1.得意先名1,SQL1.得意先名2</t>
    <phoneticPr fontId="1"/>
  </si>
  <si>
    <t>SQL1.請求日付</t>
    <rPh sb="5" eb="9">
      <t>セイキュウヒヅケ</t>
    </rPh>
    <phoneticPr fontId="1"/>
  </si>
  <si>
    <t>SQL1</t>
    <phoneticPr fontId="2"/>
  </si>
  <si>
    <t>鏡番号</t>
  </si>
  <si>
    <t>TD手入力鏡.鏡番号</t>
  </si>
  <si>
    <t>TD手入力鏡.請求日付</t>
  </si>
  <si>
    <t>TD手入力鏡.得意先CD</t>
  </si>
  <si>
    <t>TD手入力鏡.得意先名1</t>
  </si>
  <si>
    <t>TD手入力鏡.得意先名2</t>
  </si>
  <si>
    <t>TM税率.切替日付,請求日付,TM税率.税率,TM税率.旧税率</t>
    <rPh sb="20" eb="22">
      <t>ゼイリツ</t>
    </rPh>
    <rPh sb="28" eb="31">
      <t>キュウゼイリツ</t>
    </rPh>
    <phoneticPr fontId="1"/>
  </si>
  <si>
    <t>画面.見積番号1~10</t>
    <rPh sb="0" eb="2">
      <t>ガメン</t>
    </rPh>
    <phoneticPr fontId="1"/>
  </si>
  <si>
    <t>画面.見積番号1~10を入力された番号まで表示。
3つずつで改行する。10まで存在する場合は末尾に" 他"を追加する。</t>
    <rPh sb="3" eb="7">
      <t>ミツモリバンゴウ</t>
    </rPh>
    <rPh sb="12" eb="14">
      <t>ニュウリョク</t>
    </rPh>
    <rPh sb="17" eb="19">
      <t>バンゴウ</t>
    </rPh>
    <rPh sb="21" eb="23">
      <t>ヒョウジ</t>
    </rPh>
    <rPh sb="30" eb="32">
      <t>カイギョウ</t>
    </rPh>
    <rPh sb="39" eb="41">
      <t>ソンザイ</t>
    </rPh>
    <rPh sb="43" eb="45">
      <t>バアイ</t>
    </rPh>
    <rPh sb="46" eb="48">
      <t>マツビ</t>
    </rPh>
    <rPh sb="54" eb="56">
      <t>ツイカ</t>
    </rPh>
    <phoneticPr fontId="1"/>
  </si>
  <si>
    <t>鏡番号</t>
    <phoneticPr fontId="2"/>
  </si>
  <si>
    <t>請求日付</t>
    <phoneticPr fontId="2"/>
  </si>
  <si>
    <t>得意先CD</t>
    <phoneticPr fontId="2"/>
  </si>
  <si>
    <t>得意先名1</t>
    <phoneticPr fontId="2"/>
  </si>
  <si>
    <t>得意先名2</t>
    <phoneticPr fontId="2"/>
  </si>
  <si>
    <t>納入先CD</t>
    <phoneticPr fontId="2"/>
  </si>
  <si>
    <t>受渡地</t>
    <phoneticPr fontId="2"/>
  </si>
  <si>
    <t>明細書数</t>
    <phoneticPr fontId="2"/>
  </si>
  <si>
    <t>摘要1</t>
    <phoneticPr fontId="2"/>
  </si>
  <si>
    <t>金額</t>
    <phoneticPr fontId="2"/>
  </si>
  <si>
    <t>消費税</t>
    <phoneticPr fontId="2"/>
  </si>
  <si>
    <t>初期登録日</t>
    <phoneticPr fontId="2"/>
  </si>
  <si>
    <t>登録変更日</t>
    <phoneticPr fontId="2"/>
  </si>
  <si>
    <t>where</t>
    <phoneticPr fontId="2"/>
  </si>
  <si>
    <t>TD手入力鏡</t>
    <phoneticPr fontId="2"/>
  </si>
  <si>
    <t>TD手入力鏡.納入先CD</t>
  </si>
  <si>
    <t>TD手入力鏡.受渡地</t>
  </si>
  <si>
    <t>TD手入力鏡.明細書数</t>
  </si>
  <si>
    <t>TD手入力鏡.摘要1</t>
  </si>
  <si>
    <t>TD手入力鏡.摘要2</t>
  </si>
  <si>
    <t>TD手入力鏡.摘要3</t>
  </si>
  <si>
    <t>TD手入力鏡.摘要4</t>
  </si>
  <si>
    <t>TD手入力鏡.摘要5</t>
  </si>
  <si>
    <t>TD手入力鏡.摘要6</t>
  </si>
  <si>
    <t>TD手入力鏡.金額</t>
  </si>
  <si>
    <t>TD手入力鏡.消費税</t>
  </si>
  <si>
    <t>TD手入力鏡.初期登録日</t>
  </si>
  <si>
    <t>TD手入力鏡.登録変更日</t>
  </si>
  <si>
    <t>TM会社.インボイス登録番号</t>
    <rPh sb="10" eb="14">
      <t>トウロクバンゴウ</t>
    </rPh>
    <phoneticPr fontId="1"/>
  </si>
  <si>
    <t>SQL1.明細書数</t>
    <rPh sb="5" eb="9">
      <t>メイサイショスウ</t>
    </rPh>
    <phoneticPr fontId="1"/>
  </si>
  <si>
    <t>SQL1.金額</t>
    <rPh sb="5" eb="7">
      <t>キンガク</t>
    </rPh>
    <phoneticPr fontId="1"/>
  </si>
  <si>
    <t>SQL1.受渡地</t>
    <rPh sb="5" eb="7">
      <t>ウケワタシ</t>
    </rPh>
    <rPh sb="7" eb="8">
      <t>チ</t>
    </rPh>
    <phoneticPr fontId="1"/>
  </si>
  <si>
    <t>SQL1.消費税</t>
    <phoneticPr fontId="1"/>
  </si>
  <si>
    <t>SQL1.摘要1</t>
    <phoneticPr fontId="1"/>
  </si>
  <si>
    <t>SQL1.摘要2</t>
    <phoneticPr fontId="1"/>
  </si>
  <si>
    <t>SQL1.摘要3</t>
    <phoneticPr fontId="1"/>
  </si>
  <si>
    <t>SQL1.摘要4</t>
    <phoneticPr fontId="1"/>
  </si>
  <si>
    <t>SQL1.摘要5</t>
    <phoneticPr fontId="1"/>
  </si>
  <si>
    <t>SQL1.摘要6</t>
    <phoneticPr fontId="1"/>
  </si>
  <si>
    <t>13.金額,16.消費税</t>
    <rPh sb="3" eb="5">
      <t>キンガク</t>
    </rPh>
    <phoneticPr fontId="1"/>
  </si>
  <si>
    <t>[13.金額]と[16.消費税]の合計</t>
    <rPh sb="17" eb="19">
      <t>ゴウケイ</t>
    </rPh>
    <phoneticPr fontId="1"/>
  </si>
  <si>
    <r>
      <t>鏡番号= " &amp;</t>
    </r>
    <r>
      <rPr>
        <sz val="9"/>
        <color rgb="FFFF0000"/>
        <rFont val="Meiryo UI"/>
        <family val="3"/>
        <charset val="128"/>
      </rPr>
      <t xml:space="preserve"> [鏡番号]</t>
    </r>
    <rPh sb="10" eb="13">
      <t>カガミバンゴウ</t>
    </rPh>
    <phoneticPr fontId="2"/>
  </si>
  <si>
    <t>処理詳細</t>
    <rPh sb="0" eb="4">
      <t>ショリショウサイ</t>
    </rPh>
    <phoneticPr fontId="2"/>
  </si>
  <si>
    <t>SnwSE03R00</t>
    <phoneticPr fontId="2"/>
  </si>
  <si>
    <t>SnwSE03R01</t>
  </si>
  <si>
    <t>レイアウト比較</t>
    <rPh sb="5" eb="7">
      <t>ヒカク</t>
    </rPh>
    <phoneticPr fontId="2"/>
  </si>
  <si>
    <t>差異</t>
    <rPh sb="0" eb="2">
      <t>サイ</t>
    </rPh>
    <phoneticPr fontId="2"/>
  </si>
  <si>
    <t>赤枠の箇所</t>
    <rPh sb="0" eb="2">
      <t>アカワク</t>
    </rPh>
    <rPh sb="3" eb="5">
      <t>カショ</t>
    </rPh>
    <phoneticPr fontId="2"/>
  </si>
  <si>
    <t>全体的な横幅</t>
    <rPh sb="0" eb="3">
      <t>ゼンタイテキ</t>
    </rPh>
    <rPh sb="4" eb="6">
      <t>ヨコハバ</t>
    </rPh>
    <phoneticPr fontId="2"/>
  </si>
  <si>
    <t>2種類のレイアウトの差異確認(A4とB5の違いのみ？)</t>
    <rPh sb="1" eb="3">
      <t>シュルイ</t>
    </rPh>
    <rPh sb="10" eb="12">
      <t>サイ</t>
    </rPh>
    <rPh sb="12" eb="14">
      <t>カクニン</t>
    </rPh>
    <rPh sb="21" eb="22">
      <t>チガ</t>
    </rPh>
    <phoneticPr fontId="2"/>
  </si>
  <si>
    <t>受渡地</t>
  </si>
  <si>
    <t>明細書数</t>
  </si>
  <si>
    <t>金額</t>
  </si>
  <si>
    <t>消費税</t>
  </si>
  <si>
    <t>摘要1</t>
  </si>
  <si>
    <t>TD手入力鏡内訳</t>
    <phoneticPr fontId="2"/>
  </si>
  <si>
    <t>AND</t>
    <phoneticPr fontId="2"/>
  </si>
  <si>
    <t>TD手入力鏡</t>
    <phoneticPr fontId="2"/>
  </si>
  <si>
    <r>
      <t>TD手入力鏡.鏡番号=</t>
    </r>
    <r>
      <rPr>
        <sz val="9"/>
        <color rgb="FFFF0000"/>
        <rFont val="Meiryo UI"/>
        <family val="3"/>
        <charset val="128"/>
      </rPr>
      <t>[引数.鏡番号]</t>
    </r>
    <phoneticPr fontId="2"/>
  </si>
  <si>
    <t>TD手入力鏡.金額 + TD手入力鏡.消費税</t>
  </si>
  <si>
    <t>SQL[n+1].見積番号[n+1]</t>
    <rPh sb="9" eb="13">
      <t>ミツモリバンゴウ</t>
    </rPh>
    <phoneticPr fontId="2"/>
  </si>
  <si>
    <t>見積番号[n+1]</t>
    <phoneticPr fontId="2"/>
  </si>
  <si>
    <t>存在する番号まで増える</t>
    <rPh sb="0" eb="1">
      <t>ソンザイ</t>
    </rPh>
    <rPh sb="3" eb="5">
      <t>バンゴウ</t>
    </rPh>
    <rPh sb="7" eb="8">
      <t>フ</t>
    </rPh>
    <phoneticPr fontId="2"/>
  </si>
  <si>
    <t>：</t>
    <phoneticPr fontId="2"/>
  </si>
  <si>
    <t>：</t>
    <phoneticPr fontId="2"/>
  </si>
  <si>
    <t>INNER JOIN</t>
    <phoneticPr fontId="2"/>
  </si>
  <si>
    <t>SQL[n+1]</t>
    <phoneticPr fontId="2"/>
  </si>
  <si>
    <t>SQL[n+1]</t>
    <phoneticPr fontId="2"/>
  </si>
  <si>
    <t>TD手入力鏡.鏡番号=SQL[n+1].鏡番号</t>
    <rPh sb="20" eb="23">
      <t>カガミバンゴウ</t>
    </rPh>
    <phoneticPr fontId="2"/>
  </si>
  <si>
    <t>SQL[n+1]</t>
    <phoneticPr fontId="2"/>
  </si>
  <si>
    <r>
      <t>TD手入力鏡内訳.鏡番号=</t>
    </r>
    <r>
      <rPr>
        <sz val="9"/>
        <color rgb="FFFF0000"/>
        <rFont val="Meiryo UI"/>
        <family val="3"/>
        <charset val="128"/>
      </rPr>
      <t>[引数.鏡番号]</t>
    </r>
    <rPh sb="14" eb="16">
      <t>ヒキスウ</t>
    </rPh>
    <rPh sb="17" eb="20">
      <t>カガミバンゴウ</t>
    </rPh>
    <phoneticPr fontId="2"/>
  </si>
  <si>
    <t>TD手入力鏡内訳.枝番=[n]</t>
    <phoneticPr fontId="2"/>
  </si>
  <si>
    <t>鏡番号</t>
    <phoneticPr fontId="2"/>
  </si>
  <si>
    <t>TD手入力鏡内訳.鏡番号</t>
    <phoneticPr fontId="2"/>
  </si>
  <si>
    <t>TD手入力鏡内訳.見積番号</t>
    <rPh sb="9" eb="13">
      <t>ミツモリバンゴウ</t>
    </rPh>
    <phoneticPr fontId="2"/>
  </si>
  <si>
    <t>見積番号[n](nには１から連番が入る)</t>
    <phoneticPr fontId="2"/>
  </si>
  <si>
    <t>SQLの絞り込み条件で使用している鏡番号の取得元が不明</t>
    <rPh sb="4" eb="5">
      <t>シボ</t>
    </rPh>
    <rPh sb="6" eb="7">
      <t>コ</t>
    </rPh>
    <rPh sb="8" eb="10">
      <t>ジョウケン</t>
    </rPh>
    <rPh sb="11" eb="13">
      <t>シヨウ</t>
    </rPh>
    <rPh sb="17" eb="20">
      <t>カガミバンゴウ</t>
    </rPh>
    <rPh sb="21" eb="24">
      <t>シュトクモト</t>
    </rPh>
    <rPh sb="25" eb="27">
      <t>フメイ</t>
    </rPh>
    <phoneticPr fontId="2"/>
  </si>
  <si>
    <t>回答</t>
    <rPh sb="0" eb="2">
      <t>カイトウ</t>
    </rPh>
    <phoneticPr fontId="2"/>
  </si>
  <si>
    <t>画面から取得</t>
    <rPh sb="0" eb="2">
      <t>ガメン</t>
    </rPh>
    <rPh sb="4" eb="6">
      <t>シュトク</t>
    </rPh>
    <phoneticPr fontId="2"/>
  </si>
  <si>
    <t>〇</t>
    <phoneticPr fontId="2"/>
  </si>
  <si>
    <t>A4レイアウトのみ利用する</t>
    <rPh sb="9" eb="11">
      <t>リヨウ</t>
    </rPh>
    <phoneticPr fontId="2"/>
  </si>
  <si>
    <t>テキスト１</t>
    <phoneticPr fontId="1"/>
  </si>
  <si>
    <t>画面のチェックボックスにて指定がある場合のみ「※振込手数料のご負担をお願いいたします。」を表示。</t>
    <rPh sb="0" eb="2">
      <t>ガメン</t>
    </rPh>
    <rPh sb="13" eb="15">
      <t>シテイ</t>
    </rPh>
    <rPh sb="18" eb="20">
      <t>バアイ</t>
    </rPh>
    <rPh sb="45" eb="47">
      <t>ヒョウジ</t>
    </rPh>
    <phoneticPr fontId="1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</si>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</sst>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6"/>
      <color theme="1"/>
      <name val="Meiryo UI"/>
      <family val="3"/>
      <charset val="128"/>
    </font>
    <font>
      <sz val="16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11" fillId="0" borderId="0" xfId="0" applyFont="1">
      <alignment vertical="center"/>
    </xf>
    <xf numFmtId="0" fontId="12" fillId="5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12" fillId="5" borderId="17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277905</xdr:colOff>
      <xdr:row>7</xdr:row>
      <xdr:rowOff>0</xdr:rowOff>
    </xdr:from>
    <xdr:to>
      <xdr:col>54</xdr:col>
      <xdr:colOff>256539</xdr:colOff>
      <xdr:row>45</xdr:row>
      <xdr:rowOff>125506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9740" y="1380565"/>
          <a:ext cx="12206493" cy="9663953"/>
        </a:xfrm>
        <a:prstGeom prst="rect">
          <a:avLst/>
        </a:prstGeom>
      </xdr:spPr>
    </xdr:pic>
    <xdr:clientData/>
  </xdr:twoCellAnchor>
  <xdr:twoCellAnchor>
    <xdr:from>
      <xdr:col>17</xdr:col>
      <xdr:colOff>62753</xdr:colOff>
      <xdr:row>32</xdr:row>
      <xdr:rowOff>179295</xdr:rowOff>
    </xdr:from>
    <xdr:to>
      <xdr:col>18</xdr:col>
      <xdr:colOff>125505</xdr:colOff>
      <xdr:row>34</xdr:row>
      <xdr:rowOff>2</xdr:rowOff>
    </xdr:to>
    <xdr:sp macro="" textlink="">
      <xdr:nvSpPr>
        <xdr:cNvPr id="3" name="正方形/長方形 2"/>
        <xdr:cNvSpPr/>
      </xdr:nvSpPr>
      <xdr:spPr>
        <a:xfrm>
          <a:off x="4589929" y="78351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197223</xdr:colOff>
      <xdr:row>21</xdr:row>
      <xdr:rowOff>143437</xdr:rowOff>
    </xdr:from>
    <xdr:to>
      <xdr:col>42</xdr:col>
      <xdr:colOff>259975</xdr:colOff>
      <xdr:row>22</xdr:row>
      <xdr:rowOff>215155</xdr:rowOff>
    </xdr:to>
    <xdr:sp macro="" textlink="">
      <xdr:nvSpPr>
        <xdr:cNvPr id="5" name="正方形/長方形 4"/>
        <xdr:cNvSpPr/>
      </xdr:nvSpPr>
      <xdr:spPr>
        <a:xfrm>
          <a:off x="11394141" y="503816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179294</xdr:colOff>
      <xdr:row>20</xdr:row>
      <xdr:rowOff>242047</xdr:rowOff>
    </xdr:from>
    <xdr:to>
      <xdr:col>13</xdr:col>
      <xdr:colOff>242046</xdr:colOff>
      <xdr:row>22</xdr:row>
      <xdr:rowOff>62754</xdr:rowOff>
    </xdr:to>
    <xdr:sp macro="" textlink="">
      <xdr:nvSpPr>
        <xdr:cNvPr id="6" name="正方形/長方形 5"/>
        <xdr:cNvSpPr/>
      </xdr:nvSpPr>
      <xdr:spPr>
        <a:xfrm>
          <a:off x="3316941" y="488576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110023</xdr:colOff>
      <xdr:row>14</xdr:row>
      <xdr:rowOff>180110</xdr:rowOff>
    </xdr:from>
    <xdr:to>
      <xdr:col>11</xdr:col>
      <xdr:colOff>172775</xdr:colOff>
      <xdr:row>16</xdr:row>
      <xdr:rowOff>2446</xdr:rowOff>
    </xdr:to>
    <xdr:sp macro="" textlink="">
      <xdr:nvSpPr>
        <xdr:cNvPr id="7" name="正方形/長方形 6"/>
        <xdr:cNvSpPr/>
      </xdr:nvSpPr>
      <xdr:spPr>
        <a:xfrm>
          <a:off x="2686968" y="3283528"/>
          <a:ext cx="339843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54604</xdr:colOff>
      <xdr:row>16</xdr:row>
      <xdr:rowOff>85573</xdr:rowOff>
    </xdr:from>
    <xdr:to>
      <xdr:col>11</xdr:col>
      <xdr:colOff>117356</xdr:colOff>
      <xdr:row>17</xdr:row>
      <xdr:rowOff>155662</xdr:rowOff>
    </xdr:to>
    <xdr:sp macro="" textlink="">
      <xdr:nvSpPr>
        <xdr:cNvPr id="8" name="正方形/長方形 7"/>
        <xdr:cNvSpPr/>
      </xdr:nvSpPr>
      <xdr:spPr>
        <a:xfrm>
          <a:off x="2631549" y="3687755"/>
          <a:ext cx="339843" cy="31947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215153</xdr:colOff>
      <xdr:row>12</xdr:row>
      <xdr:rowOff>206189</xdr:rowOff>
    </xdr:from>
    <xdr:to>
      <xdr:col>18</xdr:col>
      <xdr:colOff>0</xdr:colOff>
      <xdr:row>14</xdr:row>
      <xdr:rowOff>26896</xdr:rowOff>
    </xdr:to>
    <xdr:sp macro="" textlink="">
      <xdr:nvSpPr>
        <xdr:cNvPr id="9" name="正方形/長方形 8"/>
        <xdr:cNvSpPr/>
      </xdr:nvSpPr>
      <xdr:spPr>
        <a:xfrm>
          <a:off x="4464424" y="284181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98612</xdr:colOff>
      <xdr:row>11</xdr:row>
      <xdr:rowOff>242048</xdr:rowOff>
    </xdr:from>
    <xdr:to>
      <xdr:col>44</xdr:col>
      <xdr:colOff>161364</xdr:colOff>
      <xdr:row>13</xdr:row>
      <xdr:rowOff>62755</xdr:rowOff>
    </xdr:to>
    <xdr:sp macro="" textlink="">
      <xdr:nvSpPr>
        <xdr:cNvPr id="10" name="正方形/長方形 9"/>
        <xdr:cNvSpPr/>
      </xdr:nvSpPr>
      <xdr:spPr>
        <a:xfrm>
          <a:off x="11851341" y="262666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197223</xdr:colOff>
      <xdr:row>20</xdr:row>
      <xdr:rowOff>152400</xdr:rowOff>
    </xdr:from>
    <xdr:to>
      <xdr:col>42</xdr:col>
      <xdr:colOff>259975</xdr:colOff>
      <xdr:row>21</xdr:row>
      <xdr:rowOff>224119</xdr:rowOff>
    </xdr:to>
    <xdr:sp macro="" textlink="">
      <xdr:nvSpPr>
        <xdr:cNvPr id="11" name="正方形/長方形 10"/>
        <xdr:cNvSpPr/>
      </xdr:nvSpPr>
      <xdr:spPr>
        <a:xfrm>
          <a:off x="11394141" y="47961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161365</xdr:colOff>
      <xdr:row>19</xdr:row>
      <xdr:rowOff>233084</xdr:rowOff>
    </xdr:from>
    <xdr:to>
      <xdr:col>39</xdr:col>
      <xdr:colOff>224117</xdr:colOff>
      <xdr:row>21</xdr:row>
      <xdr:rowOff>53791</xdr:rowOff>
    </xdr:to>
    <xdr:sp macro="" textlink="">
      <xdr:nvSpPr>
        <xdr:cNvPr id="12" name="正方形/長方形 11"/>
        <xdr:cNvSpPr/>
      </xdr:nvSpPr>
      <xdr:spPr>
        <a:xfrm>
          <a:off x="10524565" y="462579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225747</xdr:colOff>
      <xdr:row>17</xdr:row>
      <xdr:rowOff>55419</xdr:rowOff>
    </xdr:from>
    <xdr:to>
      <xdr:col>37</xdr:col>
      <xdr:colOff>11408</xdr:colOff>
      <xdr:row>18</xdr:row>
      <xdr:rowOff>127138</xdr:rowOff>
    </xdr:to>
    <xdr:sp macro="" textlink="">
      <xdr:nvSpPr>
        <xdr:cNvPr id="13" name="正方形/長方形 12"/>
        <xdr:cNvSpPr/>
      </xdr:nvSpPr>
      <xdr:spPr>
        <a:xfrm>
          <a:off x="9729965" y="3906983"/>
          <a:ext cx="339843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242047</xdr:colOff>
      <xdr:row>17</xdr:row>
      <xdr:rowOff>98613</xdr:rowOff>
    </xdr:from>
    <xdr:to>
      <xdr:col>44</xdr:col>
      <xdr:colOff>26894</xdr:colOff>
      <xdr:row>18</xdr:row>
      <xdr:rowOff>170331</xdr:rowOff>
    </xdr:to>
    <xdr:sp macro="" textlink="">
      <xdr:nvSpPr>
        <xdr:cNvPr id="14" name="正方形/長方形 13"/>
        <xdr:cNvSpPr/>
      </xdr:nvSpPr>
      <xdr:spPr>
        <a:xfrm>
          <a:off x="11716871" y="398929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224118</xdr:colOff>
      <xdr:row>30</xdr:row>
      <xdr:rowOff>215154</xdr:rowOff>
    </xdr:from>
    <xdr:to>
      <xdr:col>29</xdr:col>
      <xdr:colOff>8964</xdr:colOff>
      <xdr:row>32</xdr:row>
      <xdr:rowOff>35860</xdr:rowOff>
    </xdr:to>
    <xdr:sp macro="" textlink="">
      <xdr:nvSpPr>
        <xdr:cNvPr id="15" name="正方形/長方形 14"/>
        <xdr:cNvSpPr/>
      </xdr:nvSpPr>
      <xdr:spPr>
        <a:xfrm>
          <a:off x="7530353" y="736898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44823</xdr:colOff>
      <xdr:row>28</xdr:row>
      <xdr:rowOff>80683</xdr:rowOff>
    </xdr:from>
    <xdr:to>
      <xdr:col>25</xdr:col>
      <xdr:colOff>107575</xdr:colOff>
      <xdr:row>29</xdr:row>
      <xdr:rowOff>152401</xdr:rowOff>
    </xdr:to>
    <xdr:sp macro="" textlink="">
      <xdr:nvSpPr>
        <xdr:cNvPr id="16" name="正方形/長方形 15"/>
        <xdr:cNvSpPr/>
      </xdr:nvSpPr>
      <xdr:spPr>
        <a:xfrm>
          <a:off x="6517341" y="673249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53788</xdr:colOff>
      <xdr:row>25</xdr:row>
      <xdr:rowOff>233084</xdr:rowOff>
    </xdr:from>
    <xdr:to>
      <xdr:col>30</xdr:col>
      <xdr:colOff>116540</xdr:colOff>
      <xdr:row>27</xdr:row>
      <xdr:rowOff>53790</xdr:rowOff>
    </xdr:to>
    <xdr:sp macro="" textlink="">
      <xdr:nvSpPr>
        <xdr:cNvPr id="17" name="正方形/長方形 16"/>
        <xdr:cNvSpPr/>
      </xdr:nvSpPr>
      <xdr:spPr>
        <a:xfrm>
          <a:off x="7915835" y="613186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116541</xdr:colOff>
      <xdr:row>40</xdr:row>
      <xdr:rowOff>125507</xdr:rowOff>
    </xdr:from>
    <xdr:to>
      <xdr:col>48</xdr:col>
      <xdr:colOff>179293</xdr:colOff>
      <xdr:row>41</xdr:row>
      <xdr:rowOff>197225</xdr:rowOff>
    </xdr:to>
    <xdr:sp macro="" textlink="">
      <xdr:nvSpPr>
        <xdr:cNvPr id="18" name="正方形/長方形 17"/>
        <xdr:cNvSpPr/>
      </xdr:nvSpPr>
      <xdr:spPr>
        <a:xfrm>
          <a:off x="12980894" y="978946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12224</xdr:colOff>
      <xdr:row>30</xdr:row>
      <xdr:rowOff>187446</xdr:rowOff>
    </xdr:from>
    <xdr:to>
      <xdr:col>47</xdr:col>
      <xdr:colOff>74976</xdr:colOff>
      <xdr:row>32</xdr:row>
      <xdr:rowOff>8152</xdr:rowOff>
    </xdr:to>
    <xdr:sp macro="" textlink="">
      <xdr:nvSpPr>
        <xdr:cNvPr id="19" name="正方形/長方形 18"/>
        <xdr:cNvSpPr/>
      </xdr:nvSpPr>
      <xdr:spPr>
        <a:xfrm>
          <a:off x="12564442" y="7280973"/>
          <a:ext cx="339843" cy="3194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3260</xdr:colOff>
      <xdr:row>25</xdr:row>
      <xdr:rowOff>207004</xdr:rowOff>
    </xdr:from>
    <xdr:to>
      <xdr:col>47</xdr:col>
      <xdr:colOff>66012</xdr:colOff>
      <xdr:row>27</xdr:row>
      <xdr:rowOff>29340</xdr:rowOff>
    </xdr:to>
    <xdr:sp macro="" textlink="">
      <xdr:nvSpPr>
        <xdr:cNvPr id="20" name="正方形/長方形 19"/>
        <xdr:cNvSpPr/>
      </xdr:nvSpPr>
      <xdr:spPr>
        <a:xfrm>
          <a:off x="12555478" y="6053622"/>
          <a:ext cx="339843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62753</xdr:colOff>
      <xdr:row>34</xdr:row>
      <xdr:rowOff>8966</xdr:rowOff>
    </xdr:from>
    <xdr:to>
      <xdr:col>18</xdr:col>
      <xdr:colOff>125505</xdr:colOff>
      <xdr:row>35</xdr:row>
      <xdr:rowOff>80684</xdr:rowOff>
    </xdr:to>
    <xdr:sp macro="" textlink="">
      <xdr:nvSpPr>
        <xdr:cNvPr id="21" name="正方形/長方形 20"/>
        <xdr:cNvSpPr/>
      </xdr:nvSpPr>
      <xdr:spPr>
        <a:xfrm>
          <a:off x="4589929" y="816684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62753</xdr:colOff>
      <xdr:row>35</xdr:row>
      <xdr:rowOff>53790</xdr:rowOff>
    </xdr:from>
    <xdr:to>
      <xdr:col>18</xdr:col>
      <xdr:colOff>125505</xdr:colOff>
      <xdr:row>36</xdr:row>
      <xdr:rowOff>125508</xdr:rowOff>
    </xdr:to>
    <xdr:sp macro="" textlink="">
      <xdr:nvSpPr>
        <xdr:cNvPr id="22" name="正方形/長方形 21"/>
        <xdr:cNvSpPr/>
      </xdr:nvSpPr>
      <xdr:spPr>
        <a:xfrm>
          <a:off x="4589929" y="846268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62753</xdr:colOff>
      <xdr:row>36</xdr:row>
      <xdr:rowOff>71719</xdr:rowOff>
    </xdr:from>
    <xdr:to>
      <xdr:col>18</xdr:col>
      <xdr:colOff>125505</xdr:colOff>
      <xdr:row>37</xdr:row>
      <xdr:rowOff>143437</xdr:rowOff>
    </xdr:to>
    <xdr:sp macro="" textlink="">
      <xdr:nvSpPr>
        <xdr:cNvPr id="23" name="正方形/長方形 22"/>
        <xdr:cNvSpPr/>
      </xdr:nvSpPr>
      <xdr:spPr>
        <a:xfrm>
          <a:off x="4589929" y="873162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62753</xdr:colOff>
      <xdr:row>37</xdr:row>
      <xdr:rowOff>116542</xdr:rowOff>
    </xdr:from>
    <xdr:to>
      <xdr:col>18</xdr:col>
      <xdr:colOff>125505</xdr:colOff>
      <xdr:row>38</xdr:row>
      <xdr:rowOff>188261</xdr:rowOff>
    </xdr:to>
    <xdr:sp macro="" textlink="">
      <xdr:nvSpPr>
        <xdr:cNvPr id="24" name="正方形/長方形 23"/>
        <xdr:cNvSpPr/>
      </xdr:nvSpPr>
      <xdr:spPr>
        <a:xfrm>
          <a:off x="4589929" y="902746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62753</xdr:colOff>
      <xdr:row>38</xdr:row>
      <xdr:rowOff>152402</xdr:rowOff>
    </xdr:from>
    <xdr:to>
      <xdr:col>18</xdr:col>
      <xdr:colOff>125505</xdr:colOff>
      <xdr:row>39</xdr:row>
      <xdr:rowOff>224120</xdr:rowOff>
    </xdr:to>
    <xdr:sp macro="" textlink="">
      <xdr:nvSpPr>
        <xdr:cNvPr id="25" name="正方形/長方形 24"/>
        <xdr:cNvSpPr/>
      </xdr:nvSpPr>
      <xdr:spPr>
        <a:xfrm>
          <a:off x="4589929" y="931433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134470</xdr:colOff>
      <xdr:row>18</xdr:row>
      <xdr:rowOff>170330</xdr:rowOff>
    </xdr:from>
    <xdr:to>
      <xdr:col>26</xdr:col>
      <xdr:colOff>197223</xdr:colOff>
      <xdr:row>19</xdr:row>
      <xdr:rowOff>242048</xdr:rowOff>
    </xdr:to>
    <xdr:sp macro="" textlink="">
      <xdr:nvSpPr>
        <xdr:cNvPr id="27" name="正方形/長方形 26"/>
        <xdr:cNvSpPr/>
      </xdr:nvSpPr>
      <xdr:spPr>
        <a:xfrm>
          <a:off x="6884894" y="43120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261257</xdr:colOff>
      <xdr:row>45</xdr:row>
      <xdr:rowOff>0</xdr:rowOff>
    </xdr:from>
    <xdr:to>
      <xdr:col>56</xdr:col>
      <xdr:colOff>54429</xdr:colOff>
      <xdr:row>46</xdr:row>
      <xdr:rowOff>141515</xdr:rowOff>
    </xdr:to>
    <xdr:sp macro="" textlink="">
      <xdr:nvSpPr>
        <xdr:cNvPr id="4" name="テキスト ボックス 3"/>
        <xdr:cNvSpPr txBox="1"/>
      </xdr:nvSpPr>
      <xdr:spPr>
        <a:xfrm>
          <a:off x="10820400" y="10896600"/>
          <a:ext cx="4887686" cy="391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/>
            <a:t>※</a:t>
          </a:r>
          <a:r>
            <a:rPr kumimoji="1" lang="ja-JP" altLang="en-US" sz="1600"/>
            <a:t>振込手数料のご負担をお願いいたします。</a:t>
          </a:r>
        </a:p>
      </xdr:txBody>
    </xdr:sp>
    <xdr:clientData/>
  </xdr:twoCellAnchor>
  <xdr:twoCellAnchor>
    <xdr:from>
      <xdr:col>37</xdr:col>
      <xdr:colOff>222837</xdr:colOff>
      <xdr:row>45</xdr:row>
      <xdr:rowOff>35860</xdr:rowOff>
    </xdr:from>
    <xdr:to>
      <xdr:col>39</xdr:col>
      <xdr:colOff>2561</xdr:colOff>
      <xdr:row>46</xdr:row>
      <xdr:rowOff>107578</xdr:rowOff>
    </xdr:to>
    <xdr:sp macro="" textlink="">
      <xdr:nvSpPr>
        <xdr:cNvPr id="28" name="正方形/長方形 27"/>
        <xdr:cNvSpPr/>
      </xdr:nvSpPr>
      <xdr:spPr>
        <a:xfrm>
          <a:off x="10498951" y="10932460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60186</xdr:colOff>
      <xdr:row>30</xdr:row>
      <xdr:rowOff>134262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457200"/>
          <a:ext cx="8106906" cy="653506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25</xdr:col>
      <xdr:colOff>54377</xdr:colOff>
      <xdr:row>30</xdr:row>
      <xdr:rowOff>153315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7840" y="457200"/>
          <a:ext cx="7430537" cy="6554115"/>
        </a:xfrm>
        <a:prstGeom prst="rect">
          <a:avLst/>
        </a:prstGeom>
      </xdr:spPr>
    </xdr:pic>
    <xdr:clientData/>
  </xdr:twoCellAnchor>
  <xdr:twoCellAnchor>
    <xdr:from>
      <xdr:col>2</xdr:col>
      <xdr:colOff>464820</xdr:colOff>
      <xdr:row>16</xdr:row>
      <xdr:rowOff>30480</xdr:rowOff>
    </xdr:from>
    <xdr:to>
      <xdr:col>5</xdr:col>
      <xdr:colOff>350520</xdr:colOff>
      <xdr:row>20</xdr:row>
      <xdr:rowOff>190500</xdr:rowOff>
    </xdr:to>
    <xdr:sp macro="" textlink="">
      <xdr:nvSpPr>
        <xdr:cNvPr id="5" name="正方形/長方形 4"/>
        <xdr:cNvSpPr/>
      </xdr:nvSpPr>
      <xdr:spPr>
        <a:xfrm>
          <a:off x="1805940" y="3688080"/>
          <a:ext cx="1897380" cy="10744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472440</xdr:colOff>
      <xdr:row>16</xdr:row>
      <xdr:rowOff>22860</xdr:rowOff>
    </xdr:from>
    <xdr:to>
      <xdr:col>18</xdr:col>
      <xdr:colOff>358140</xdr:colOff>
      <xdr:row>20</xdr:row>
      <xdr:rowOff>182880</xdr:rowOff>
    </xdr:to>
    <xdr:sp macro="" textlink="">
      <xdr:nvSpPr>
        <xdr:cNvPr id="6" name="正方形/長方形 5"/>
        <xdr:cNvSpPr/>
      </xdr:nvSpPr>
      <xdr:spPr>
        <a:xfrm>
          <a:off x="10530840" y="3680460"/>
          <a:ext cx="1897380" cy="10744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195179</xdr:colOff>
      <xdr:row>37</xdr:row>
      <xdr:rowOff>201202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6230219" cy="8430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33" t="s">
        <v>0</v>
      </c>
      <c r="C2" s="134"/>
      <c r="D2" s="134"/>
      <c r="E2" s="134"/>
      <c r="F2" s="134"/>
      <c r="G2" s="134"/>
      <c r="H2" s="134" t="s">
        <v>17</v>
      </c>
      <c r="I2" s="134"/>
      <c r="J2" s="134"/>
      <c r="K2" s="134"/>
      <c r="L2" s="134" t="s">
        <v>241</v>
      </c>
      <c r="M2" s="134"/>
      <c r="N2" s="134"/>
      <c r="O2" s="134"/>
      <c r="P2" s="134"/>
      <c r="Q2" s="134"/>
      <c r="R2" s="134" t="s">
        <v>2</v>
      </c>
      <c r="S2" s="134"/>
      <c r="T2" s="134"/>
      <c r="U2" s="134"/>
      <c r="V2" s="134"/>
      <c r="W2" s="134"/>
      <c r="X2" s="135" t="s">
        <v>3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31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5</v>
      </c>
      <c r="AY2" s="134"/>
      <c r="AZ2" s="134"/>
      <c r="BA2" s="134"/>
      <c r="BB2" s="134" t="s">
        <v>4</v>
      </c>
      <c r="BC2" s="134"/>
      <c r="BD2" s="134"/>
      <c r="BE2" s="134"/>
      <c r="BF2" s="134" t="s">
        <v>6</v>
      </c>
      <c r="BG2" s="134"/>
      <c r="BH2" s="134"/>
      <c r="BI2" s="134"/>
      <c r="BJ2" s="134" t="s">
        <v>7</v>
      </c>
      <c r="BK2" s="134"/>
      <c r="BL2" s="134"/>
      <c r="BM2" s="148"/>
      <c r="BN2" s="14"/>
    </row>
    <row r="3" spans="1:66" ht="20.100000000000001" customHeight="1" x14ac:dyDescent="0.45">
      <c r="A3" s="8"/>
      <c r="B3" s="138" t="s">
        <v>239</v>
      </c>
      <c r="C3" s="139"/>
      <c r="D3" s="139"/>
      <c r="E3" s="139"/>
      <c r="F3" s="139"/>
      <c r="G3" s="139"/>
      <c r="H3" s="139" t="str">
        <f ca="1">LEFT($X$3,FIND("_",$X$3)-1)</f>
        <v>SU0200</v>
      </c>
      <c r="I3" s="139"/>
      <c r="J3" s="139"/>
      <c r="K3" s="139"/>
      <c r="L3" s="139" t="s">
        <v>240</v>
      </c>
      <c r="M3" s="139"/>
      <c r="N3" s="139"/>
      <c r="O3" s="139"/>
      <c r="P3" s="139"/>
      <c r="Q3" s="139"/>
      <c r="R3" s="142" t="str">
        <f ca="1">MID($X$3,FIND("_",$X$3,FIND("_",$X$3)+1)+1,LEN($X$3)-FIND("_",$X$3,FIND("_",$X$3)+1))</f>
        <v>帳票設計書</v>
      </c>
      <c r="S3" s="139"/>
      <c r="T3" s="139"/>
      <c r="U3" s="139"/>
      <c r="V3" s="139"/>
      <c r="W3" s="139"/>
      <c r="X3" s="143" t="str">
        <f ca="1">REPLACE(LEFT(CELL("filename",$B$2),FIND(".x",CELL("filename",$B$2))-1),1,FIND("[",CELL("filename",$B$2)),)</f>
        <v>SU0200_手入力鏡_帳票設計書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MID($X$3,FIND("_",$X$3)+1,FIND("_",$X$3,FIND("_",$X$3)+1)-FIND("_",$X$3)-1)</f>
        <v>手入力鏡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v>45583</v>
      </c>
      <c r="AY3" s="139"/>
      <c r="AZ3" s="139"/>
      <c r="BA3" s="139"/>
      <c r="BB3" s="139" t="s">
        <v>242</v>
      </c>
      <c r="BC3" s="139"/>
      <c r="BD3" s="139"/>
      <c r="BE3" s="139"/>
      <c r="BF3" s="150">
        <v>45583</v>
      </c>
      <c r="BG3" s="139"/>
      <c r="BH3" s="139"/>
      <c r="BI3" s="139"/>
      <c r="BJ3" s="139" t="s">
        <v>242</v>
      </c>
      <c r="BK3" s="139"/>
      <c r="BL3" s="139"/>
      <c r="BM3" s="151"/>
      <c r="BN3" s="14"/>
    </row>
    <row r="4" spans="1:66" ht="20.100000000000001" customHeight="1" thickBot="1" x14ac:dyDescent="0.5">
      <c r="A4" s="8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3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9" t="s">
        <v>8</v>
      </c>
      <c r="D8" s="149"/>
      <c r="E8" s="149"/>
      <c r="F8" s="149"/>
      <c r="G8" s="149" t="s">
        <v>9</v>
      </c>
      <c r="H8" s="149"/>
      <c r="I8" s="149"/>
      <c r="J8" s="149"/>
      <c r="K8" s="149" t="s">
        <v>10</v>
      </c>
      <c r="L8" s="149"/>
      <c r="M8" s="149"/>
      <c r="N8" s="149"/>
      <c r="O8" s="149" t="s">
        <v>11</v>
      </c>
      <c r="P8" s="149"/>
      <c r="Q8" s="149"/>
      <c r="R8" s="149"/>
      <c r="S8" s="149"/>
      <c r="T8" s="149"/>
      <c r="U8" s="149"/>
      <c r="V8" s="149"/>
      <c r="W8" s="149"/>
      <c r="X8" s="149"/>
      <c r="Y8" s="149" t="s">
        <v>12</v>
      </c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7"/>
      <c r="BN8" s="14"/>
    </row>
    <row r="9" spans="1:66" ht="20.100000000000001" customHeight="1" x14ac:dyDescent="0.45">
      <c r="A9" s="8"/>
      <c r="B9" s="7"/>
      <c r="C9" s="152">
        <v>45583</v>
      </c>
      <c r="D9" s="153"/>
      <c r="E9" s="153"/>
      <c r="F9" s="154"/>
      <c r="G9" s="155" t="s">
        <v>16</v>
      </c>
      <c r="H9" s="156"/>
      <c r="I9" s="156"/>
      <c r="J9" s="157"/>
      <c r="K9" s="158" t="s">
        <v>242</v>
      </c>
      <c r="L9" s="153"/>
      <c r="M9" s="153"/>
      <c r="N9" s="154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52"/>
      <c r="D10" s="153"/>
      <c r="E10" s="153"/>
      <c r="F10" s="154"/>
      <c r="G10" s="155"/>
      <c r="H10" s="156"/>
      <c r="I10" s="156"/>
      <c r="J10" s="157"/>
      <c r="K10" s="158"/>
      <c r="L10" s="153"/>
      <c r="M10" s="153"/>
      <c r="N10" s="15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52"/>
      <c r="D11" s="153"/>
      <c r="E11" s="153"/>
      <c r="F11" s="154"/>
      <c r="G11" s="155"/>
      <c r="H11" s="156"/>
      <c r="I11" s="156"/>
      <c r="J11" s="157"/>
      <c r="K11" s="158"/>
      <c r="L11" s="153"/>
      <c r="M11" s="153"/>
      <c r="N11" s="15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52"/>
      <c r="D36" s="153"/>
      <c r="E36" s="153"/>
      <c r="F36" s="154"/>
      <c r="G36" s="155"/>
      <c r="H36" s="156"/>
      <c r="I36" s="156"/>
      <c r="J36" s="157"/>
      <c r="K36" s="158"/>
      <c r="L36" s="153"/>
      <c r="M36" s="153"/>
      <c r="N36" s="15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52"/>
      <c r="D37" s="153"/>
      <c r="E37" s="153"/>
      <c r="F37" s="154"/>
      <c r="G37" s="155"/>
      <c r="H37" s="156"/>
      <c r="I37" s="156"/>
      <c r="J37" s="157"/>
      <c r="K37" s="158"/>
      <c r="L37" s="153"/>
      <c r="M37" s="153"/>
      <c r="N37" s="15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52"/>
      <c r="D38" s="153"/>
      <c r="E38" s="153"/>
      <c r="F38" s="154"/>
      <c r="G38" s="155"/>
      <c r="H38" s="156"/>
      <c r="I38" s="156"/>
      <c r="J38" s="157"/>
      <c r="K38" s="158"/>
      <c r="L38" s="153"/>
      <c r="M38" s="153"/>
      <c r="N38" s="15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52"/>
      <c r="D39" s="153"/>
      <c r="E39" s="153"/>
      <c r="F39" s="154"/>
      <c r="G39" s="155"/>
      <c r="H39" s="156"/>
      <c r="I39" s="156"/>
      <c r="J39" s="157"/>
      <c r="K39" s="158"/>
      <c r="L39" s="153"/>
      <c r="M39" s="153"/>
      <c r="N39" s="15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52"/>
      <c r="D40" s="153"/>
      <c r="E40" s="153"/>
      <c r="F40" s="154"/>
      <c r="G40" s="155"/>
      <c r="H40" s="156"/>
      <c r="I40" s="156"/>
      <c r="J40" s="157"/>
      <c r="K40" s="158"/>
      <c r="L40" s="153"/>
      <c r="M40" s="153"/>
      <c r="N40" s="15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52"/>
      <c r="D41" s="153"/>
      <c r="E41" s="153"/>
      <c r="F41" s="154"/>
      <c r="G41" s="155"/>
      <c r="H41" s="156"/>
      <c r="I41" s="156"/>
      <c r="J41" s="157"/>
      <c r="K41" s="158"/>
      <c r="L41" s="153"/>
      <c r="M41" s="153"/>
      <c r="N41" s="15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52"/>
      <c r="D42" s="153"/>
      <c r="E42" s="153"/>
      <c r="F42" s="154"/>
      <c r="G42" s="155"/>
      <c r="H42" s="156"/>
      <c r="I42" s="156"/>
      <c r="J42" s="157"/>
      <c r="K42" s="158"/>
      <c r="L42" s="153"/>
      <c r="M42" s="153"/>
      <c r="N42" s="15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52"/>
      <c r="D43" s="153"/>
      <c r="E43" s="153"/>
      <c r="F43" s="154"/>
      <c r="G43" s="155"/>
      <c r="H43" s="156"/>
      <c r="I43" s="156"/>
      <c r="J43" s="157"/>
      <c r="K43" s="158"/>
      <c r="L43" s="153"/>
      <c r="M43" s="153"/>
      <c r="N43" s="15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52"/>
      <c r="D44" s="153"/>
      <c r="E44" s="153"/>
      <c r="F44" s="154"/>
      <c r="G44" s="155"/>
      <c r="H44" s="156"/>
      <c r="I44" s="156"/>
      <c r="J44" s="157"/>
      <c r="K44" s="158"/>
      <c r="L44" s="153"/>
      <c r="M44" s="153"/>
      <c r="N44" s="15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52"/>
      <c r="D45" s="153"/>
      <c r="E45" s="153"/>
      <c r="F45" s="154"/>
      <c r="G45" s="155"/>
      <c r="H45" s="156"/>
      <c r="I45" s="156"/>
      <c r="J45" s="157"/>
      <c r="K45" s="158"/>
      <c r="L45" s="153"/>
      <c r="M45" s="153"/>
      <c r="N45" s="15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52"/>
      <c r="D46" s="153"/>
      <c r="E46" s="153"/>
      <c r="F46" s="154"/>
      <c r="G46" s="155"/>
      <c r="H46" s="156"/>
      <c r="I46" s="156"/>
      <c r="J46" s="157"/>
      <c r="K46" s="158"/>
      <c r="L46" s="153"/>
      <c r="M46" s="153"/>
      <c r="N46" s="15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52"/>
      <c r="D47" s="153"/>
      <c r="E47" s="153"/>
      <c r="F47" s="154"/>
      <c r="G47" s="155"/>
      <c r="H47" s="156"/>
      <c r="I47" s="156"/>
      <c r="J47" s="157"/>
      <c r="K47" s="158"/>
      <c r="L47" s="153"/>
      <c r="M47" s="153"/>
      <c r="N47" s="15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33" t="s">
        <v>0</v>
      </c>
      <c r="C2" s="134"/>
      <c r="D2" s="134"/>
      <c r="E2" s="134"/>
      <c r="F2" s="134"/>
      <c r="G2" s="134"/>
      <c r="H2" s="134" t="s">
        <v>17</v>
      </c>
      <c r="I2" s="134"/>
      <c r="J2" s="134"/>
      <c r="K2" s="134"/>
      <c r="L2" s="134" t="s">
        <v>241</v>
      </c>
      <c r="M2" s="134"/>
      <c r="N2" s="134"/>
      <c r="O2" s="134"/>
      <c r="P2" s="134"/>
      <c r="Q2" s="134"/>
      <c r="R2" s="134" t="s">
        <v>2</v>
      </c>
      <c r="S2" s="134"/>
      <c r="T2" s="134"/>
      <c r="U2" s="134"/>
      <c r="V2" s="134"/>
      <c r="W2" s="134"/>
      <c r="X2" s="135" t="s">
        <v>3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32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5</v>
      </c>
      <c r="AY2" s="134"/>
      <c r="AZ2" s="134"/>
      <c r="BA2" s="134"/>
      <c r="BB2" s="134" t="s">
        <v>4</v>
      </c>
      <c r="BC2" s="134"/>
      <c r="BD2" s="134"/>
      <c r="BE2" s="134"/>
      <c r="BF2" s="134" t="s">
        <v>6</v>
      </c>
      <c r="BG2" s="134"/>
      <c r="BH2" s="134"/>
      <c r="BI2" s="134"/>
      <c r="BJ2" s="134" t="s">
        <v>7</v>
      </c>
      <c r="BK2" s="134"/>
      <c r="BL2" s="134"/>
      <c r="BM2" s="148"/>
      <c r="BN2" s="35"/>
    </row>
    <row r="3" spans="1:66" ht="20.100000000000001" customHeight="1" x14ac:dyDescent="0.45">
      <c r="A3" s="32"/>
      <c r="B3" s="138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SU0200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3" t="str">
        <f ca="1">変更履歴!X3</f>
        <v>SU0200_手入力鏡_帳票設計書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手入力鏡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45583</v>
      </c>
      <c r="AY3" s="150"/>
      <c r="AZ3" s="150"/>
      <c r="BA3" s="150"/>
      <c r="BB3" s="139" t="str">
        <f>変更履歴!BB3</f>
        <v>大谷</v>
      </c>
      <c r="BC3" s="139"/>
      <c r="BD3" s="139"/>
      <c r="BE3" s="139"/>
      <c r="BF3" s="150">
        <f>変更履歴!BF3</f>
        <v>45583</v>
      </c>
      <c r="BG3" s="150"/>
      <c r="BH3" s="150"/>
      <c r="BI3" s="150"/>
      <c r="BJ3" s="139" t="str">
        <f>変更履歴!BJ3</f>
        <v>大谷</v>
      </c>
      <c r="BK3" s="139"/>
      <c r="BL3" s="139"/>
      <c r="BM3" s="151"/>
      <c r="BN3" s="35"/>
    </row>
    <row r="4" spans="1:66" ht="20.100000000000001" customHeight="1" thickBot="1" x14ac:dyDescent="0.5">
      <c r="A4" s="32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9"/>
      <c r="AY4" s="159"/>
      <c r="AZ4" s="159"/>
      <c r="BA4" s="159"/>
      <c r="BB4" s="141"/>
      <c r="BC4" s="141"/>
      <c r="BD4" s="141"/>
      <c r="BE4" s="141"/>
      <c r="BF4" s="159"/>
      <c r="BG4" s="159"/>
      <c r="BH4" s="159"/>
      <c r="BI4" s="159"/>
      <c r="BJ4" s="141"/>
      <c r="BK4" s="141"/>
      <c r="BL4" s="141"/>
      <c r="BM4" s="143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手入力鏡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90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91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92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93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94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95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96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238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topLeftCell="A16" zoomScale="55" zoomScaleNormal="100" zoomScaleSheetLayoutView="5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33" t="s">
        <v>0</v>
      </c>
      <c r="C2" s="134"/>
      <c r="D2" s="134"/>
      <c r="E2" s="134"/>
      <c r="F2" s="134"/>
      <c r="G2" s="134"/>
      <c r="H2" s="134" t="s">
        <v>17</v>
      </c>
      <c r="I2" s="134"/>
      <c r="J2" s="134"/>
      <c r="K2" s="134"/>
      <c r="L2" s="134" t="s">
        <v>241</v>
      </c>
      <c r="M2" s="134"/>
      <c r="N2" s="134"/>
      <c r="O2" s="134"/>
      <c r="P2" s="134"/>
      <c r="Q2" s="134"/>
      <c r="R2" s="134" t="s">
        <v>2</v>
      </c>
      <c r="S2" s="134"/>
      <c r="T2" s="134"/>
      <c r="U2" s="134"/>
      <c r="V2" s="134"/>
      <c r="W2" s="134"/>
      <c r="X2" s="135" t="s">
        <v>3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32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5</v>
      </c>
      <c r="AY2" s="134"/>
      <c r="AZ2" s="134"/>
      <c r="BA2" s="134"/>
      <c r="BB2" s="134" t="s">
        <v>4</v>
      </c>
      <c r="BC2" s="134"/>
      <c r="BD2" s="134"/>
      <c r="BE2" s="134"/>
      <c r="BF2" s="134" t="s">
        <v>6</v>
      </c>
      <c r="BG2" s="134"/>
      <c r="BH2" s="134"/>
      <c r="BI2" s="134"/>
      <c r="BJ2" s="134" t="s">
        <v>7</v>
      </c>
      <c r="BK2" s="134"/>
      <c r="BL2" s="134"/>
      <c r="BM2" s="148"/>
      <c r="BN2" s="15"/>
    </row>
    <row r="3" spans="1:66" ht="20.100000000000001" customHeight="1" x14ac:dyDescent="0.45">
      <c r="A3" s="9"/>
      <c r="B3" s="138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SU0200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3" t="str">
        <f ca="1">変更履歴!X3</f>
        <v>SU0200_手入力鏡_帳票設計書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手入力鏡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45583</v>
      </c>
      <c r="AY3" s="150"/>
      <c r="AZ3" s="150"/>
      <c r="BA3" s="150"/>
      <c r="BB3" s="139" t="str">
        <f>変更履歴!BB3</f>
        <v>大谷</v>
      </c>
      <c r="BC3" s="139"/>
      <c r="BD3" s="139"/>
      <c r="BE3" s="139"/>
      <c r="BF3" s="150">
        <f>変更履歴!BF3</f>
        <v>45583</v>
      </c>
      <c r="BG3" s="150"/>
      <c r="BH3" s="150"/>
      <c r="BI3" s="150"/>
      <c r="BJ3" s="139" t="str">
        <f>変更履歴!BJ3</f>
        <v>大谷</v>
      </c>
      <c r="BK3" s="139"/>
      <c r="BL3" s="139"/>
      <c r="BM3" s="151"/>
      <c r="BN3" s="15"/>
    </row>
    <row r="4" spans="1:66" ht="20.100000000000001" customHeight="1" thickBot="1" x14ac:dyDescent="0.5">
      <c r="A4" s="9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9"/>
      <c r="AY4" s="159"/>
      <c r="AZ4" s="159"/>
      <c r="BA4" s="159"/>
      <c r="BB4" s="141"/>
      <c r="BC4" s="141"/>
      <c r="BD4" s="141"/>
      <c r="BE4" s="141"/>
      <c r="BF4" s="159"/>
      <c r="BG4" s="159"/>
      <c r="BH4" s="159"/>
      <c r="BI4" s="159"/>
      <c r="BJ4" s="141"/>
      <c r="BK4" s="141"/>
      <c r="BL4" s="141"/>
      <c r="BM4" s="143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8"/>
  <sheetViews>
    <sheetView showGridLines="0" tabSelected="1" view="pageBreakPreview" topLeftCell="A13" zoomScaleNormal="100" zoomScaleSheetLayoutView="100" workbookViewId="0">
      <selection activeCell="AB32" sqref="AB32:AQ32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33" t="s">
        <v>0</v>
      </c>
      <c r="C2" s="134"/>
      <c r="D2" s="134"/>
      <c r="E2" s="134"/>
      <c r="F2" s="134"/>
      <c r="G2" s="134"/>
      <c r="H2" s="134" t="s">
        <v>17</v>
      </c>
      <c r="I2" s="134"/>
      <c r="J2" s="134"/>
      <c r="K2" s="134"/>
      <c r="L2" s="134" t="s">
        <v>241</v>
      </c>
      <c r="M2" s="134"/>
      <c r="N2" s="134"/>
      <c r="O2" s="134"/>
      <c r="P2" s="134"/>
      <c r="Q2" s="134"/>
      <c r="R2" s="134" t="s">
        <v>2</v>
      </c>
      <c r="S2" s="134"/>
      <c r="T2" s="134"/>
      <c r="U2" s="134"/>
      <c r="V2" s="134"/>
      <c r="W2" s="134"/>
      <c r="X2" s="135" t="s">
        <v>3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32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5</v>
      </c>
      <c r="AY2" s="134"/>
      <c r="AZ2" s="134"/>
      <c r="BA2" s="134"/>
      <c r="BB2" s="134" t="s">
        <v>4</v>
      </c>
      <c r="BC2" s="134"/>
      <c r="BD2" s="134"/>
      <c r="BE2" s="134"/>
      <c r="BF2" s="134" t="s">
        <v>6</v>
      </c>
      <c r="BG2" s="134"/>
      <c r="BH2" s="134"/>
      <c r="BI2" s="134"/>
      <c r="BJ2" s="134" t="s">
        <v>7</v>
      </c>
      <c r="BK2" s="134"/>
      <c r="BL2" s="134"/>
      <c r="BM2" s="148"/>
      <c r="BN2" s="15"/>
    </row>
    <row r="3" spans="1:85" ht="20.100000000000001" customHeight="1" x14ac:dyDescent="0.45">
      <c r="A3" s="9"/>
      <c r="B3" s="138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SU0200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3" t="str">
        <f ca="1">変更履歴!X3</f>
        <v>SU0200_手入力鏡_帳票設計書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手入力鏡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45583</v>
      </c>
      <c r="AY3" s="150"/>
      <c r="AZ3" s="150"/>
      <c r="BA3" s="150"/>
      <c r="BB3" s="139" t="str">
        <f>変更履歴!BB3</f>
        <v>大谷</v>
      </c>
      <c r="BC3" s="139"/>
      <c r="BD3" s="139"/>
      <c r="BE3" s="139"/>
      <c r="BF3" s="150">
        <f>変更履歴!BF3</f>
        <v>45583</v>
      </c>
      <c r="BG3" s="150"/>
      <c r="BH3" s="150"/>
      <c r="BI3" s="150"/>
      <c r="BJ3" s="139" t="str">
        <f>変更履歴!BJ3</f>
        <v>大谷</v>
      </c>
      <c r="BK3" s="139"/>
      <c r="BL3" s="139"/>
      <c r="BM3" s="151"/>
      <c r="BN3" s="15"/>
    </row>
    <row r="4" spans="1:85" ht="20.100000000000001" customHeight="1" thickBot="1" x14ac:dyDescent="0.5">
      <c r="A4" s="9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9"/>
      <c r="AY4" s="159"/>
      <c r="AZ4" s="159"/>
      <c r="BA4" s="159"/>
      <c r="BB4" s="141"/>
      <c r="BC4" s="141"/>
      <c r="BD4" s="141"/>
      <c r="BE4" s="141"/>
      <c r="BF4" s="159"/>
      <c r="BG4" s="159"/>
      <c r="BH4" s="159"/>
      <c r="BI4" s="159"/>
      <c r="BJ4" s="141"/>
      <c r="BK4" s="141"/>
      <c r="BL4" s="141"/>
      <c r="BM4" s="143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85" t="s">
        <v>20</v>
      </c>
      <c r="F10" s="186"/>
      <c r="G10" s="186"/>
      <c r="H10" s="186"/>
      <c r="I10" s="186"/>
      <c r="J10" s="186"/>
      <c r="K10" s="186"/>
      <c r="L10" s="187"/>
      <c r="M10" s="163" t="s">
        <v>24</v>
      </c>
      <c r="N10" s="164"/>
      <c r="O10" s="164"/>
      <c r="P10" s="163" t="s">
        <v>33</v>
      </c>
      <c r="Q10" s="164"/>
      <c r="R10" s="164"/>
      <c r="S10" s="163" t="s">
        <v>34</v>
      </c>
      <c r="T10" s="164"/>
      <c r="U10" s="164"/>
      <c r="V10" s="163" t="s">
        <v>36</v>
      </c>
      <c r="W10" s="164"/>
      <c r="X10" s="164"/>
      <c r="Y10" s="164"/>
      <c r="Z10" s="164"/>
      <c r="AA10" s="165"/>
      <c r="AB10" s="163" t="s">
        <v>35</v>
      </c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5"/>
      <c r="AR10" s="163" t="s">
        <v>42</v>
      </c>
      <c r="AS10" s="164"/>
      <c r="AT10" s="164"/>
      <c r="AU10" s="164"/>
      <c r="AV10" s="164"/>
      <c r="AW10" s="165"/>
      <c r="AX10" s="163" t="s">
        <v>43</v>
      </c>
      <c r="AY10" s="164"/>
      <c r="AZ10" s="164"/>
      <c r="BA10" s="164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4"/>
      <c r="BM10" s="164"/>
      <c r="BN10" s="164"/>
      <c r="BO10" s="164"/>
      <c r="BP10" s="164"/>
      <c r="BQ10" s="164"/>
      <c r="BR10" s="164"/>
      <c r="BS10" s="164"/>
      <c r="BT10" s="179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82" t="s">
        <v>97</v>
      </c>
      <c r="F11" s="183"/>
      <c r="G11" s="183"/>
      <c r="H11" s="183"/>
      <c r="I11" s="183"/>
      <c r="J11" s="183"/>
      <c r="K11" s="183"/>
      <c r="L11" s="184"/>
      <c r="M11" s="158" t="s">
        <v>47</v>
      </c>
      <c r="N11" s="153"/>
      <c r="O11" s="153"/>
      <c r="P11" s="158" t="s">
        <v>133</v>
      </c>
      <c r="Q11" s="153"/>
      <c r="R11" s="153"/>
      <c r="S11" s="158"/>
      <c r="T11" s="153"/>
      <c r="U11" s="153"/>
      <c r="V11" s="176" t="s">
        <v>153</v>
      </c>
      <c r="W11" s="177"/>
      <c r="X11" s="177"/>
      <c r="Y11" s="177"/>
      <c r="Z11" s="177"/>
      <c r="AA11" s="181"/>
      <c r="AB11" s="172" t="s">
        <v>154</v>
      </c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1"/>
      <c r="AR11" s="158"/>
      <c r="AS11" s="153"/>
      <c r="AT11" s="153"/>
      <c r="AU11" s="153"/>
      <c r="AV11" s="153"/>
      <c r="AW11" s="154"/>
      <c r="AX11" s="176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77"/>
      <c r="BP11" s="177"/>
      <c r="BQ11" s="177"/>
      <c r="BR11" s="177"/>
      <c r="BS11" s="177"/>
      <c r="BT11" s="178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82" t="s">
        <v>98</v>
      </c>
      <c r="F12" s="183"/>
      <c r="G12" s="183"/>
      <c r="H12" s="183"/>
      <c r="I12" s="183"/>
      <c r="J12" s="183"/>
      <c r="K12" s="183"/>
      <c r="L12" s="184"/>
      <c r="M12" s="158" t="s">
        <v>47</v>
      </c>
      <c r="N12" s="153"/>
      <c r="O12" s="153"/>
      <c r="P12" s="158" t="s">
        <v>133</v>
      </c>
      <c r="Q12" s="153"/>
      <c r="R12" s="153"/>
      <c r="S12" s="158"/>
      <c r="T12" s="153"/>
      <c r="U12" s="153"/>
      <c r="V12" s="176" t="s">
        <v>142</v>
      </c>
      <c r="W12" s="177"/>
      <c r="X12" s="177"/>
      <c r="Y12" s="177"/>
      <c r="Z12" s="177"/>
      <c r="AA12" s="181"/>
      <c r="AB12" s="169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1"/>
      <c r="AR12" s="158"/>
      <c r="AS12" s="153"/>
      <c r="AT12" s="153"/>
      <c r="AU12" s="153"/>
      <c r="AV12" s="153"/>
      <c r="AW12" s="154"/>
      <c r="AX12" s="176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8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82" t="s">
        <v>100</v>
      </c>
      <c r="F13" s="183"/>
      <c r="G13" s="183"/>
      <c r="H13" s="183"/>
      <c r="I13" s="183"/>
      <c r="J13" s="183"/>
      <c r="K13" s="183"/>
      <c r="L13" s="184"/>
      <c r="M13" s="158" t="s">
        <v>38</v>
      </c>
      <c r="N13" s="153"/>
      <c r="O13" s="153"/>
      <c r="P13" s="158" t="s">
        <v>134</v>
      </c>
      <c r="Q13" s="153"/>
      <c r="R13" s="153"/>
      <c r="S13" s="158"/>
      <c r="T13" s="153"/>
      <c r="U13" s="153"/>
      <c r="V13" s="176" t="s">
        <v>143</v>
      </c>
      <c r="W13" s="177"/>
      <c r="X13" s="177"/>
      <c r="Y13" s="177"/>
      <c r="Z13" s="177"/>
      <c r="AA13" s="181"/>
      <c r="AB13" s="169" t="s">
        <v>130</v>
      </c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1"/>
      <c r="AR13" s="158"/>
      <c r="AS13" s="153"/>
      <c r="AT13" s="153"/>
      <c r="AU13" s="153"/>
      <c r="AV13" s="153"/>
      <c r="AW13" s="154"/>
      <c r="AX13" s="176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8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82" t="s">
        <v>102</v>
      </c>
      <c r="F14" s="183"/>
      <c r="G14" s="183"/>
      <c r="H14" s="183"/>
      <c r="I14" s="183"/>
      <c r="J14" s="183"/>
      <c r="K14" s="183"/>
      <c r="L14" s="184"/>
      <c r="M14" s="158" t="s">
        <v>38</v>
      </c>
      <c r="N14" s="153"/>
      <c r="O14" s="153"/>
      <c r="P14" s="158" t="s">
        <v>134</v>
      </c>
      <c r="Q14" s="153"/>
      <c r="R14" s="153"/>
      <c r="S14" s="158"/>
      <c r="T14" s="153"/>
      <c r="U14" s="153"/>
      <c r="V14" s="176" t="s">
        <v>143</v>
      </c>
      <c r="W14" s="177"/>
      <c r="X14" s="177"/>
      <c r="Y14" s="177"/>
      <c r="Z14" s="177"/>
      <c r="AA14" s="181"/>
      <c r="AB14" s="169" t="s">
        <v>131</v>
      </c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1"/>
      <c r="AR14" s="158"/>
      <c r="AS14" s="153"/>
      <c r="AT14" s="153"/>
      <c r="AU14" s="153"/>
      <c r="AV14" s="153"/>
      <c r="AW14" s="154"/>
      <c r="AX14" s="176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8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82" t="s">
        <v>129</v>
      </c>
      <c r="F15" s="183"/>
      <c r="G15" s="183"/>
      <c r="H15" s="183"/>
      <c r="I15" s="183"/>
      <c r="J15" s="183"/>
      <c r="K15" s="183"/>
      <c r="L15" s="184"/>
      <c r="M15" s="158" t="s">
        <v>38</v>
      </c>
      <c r="N15" s="153"/>
      <c r="O15" s="153"/>
      <c r="P15" s="158" t="s">
        <v>134</v>
      </c>
      <c r="Q15" s="153"/>
      <c r="R15" s="153"/>
      <c r="S15" s="158"/>
      <c r="T15" s="153"/>
      <c r="U15" s="153"/>
      <c r="V15" s="176" t="s">
        <v>136</v>
      </c>
      <c r="W15" s="177"/>
      <c r="X15" s="177"/>
      <c r="Y15" s="177"/>
      <c r="Z15" s="177"/>
      <c r="AA15" s="181"/>
      <c r="AB15" s="169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1"/>
      <c r="AR15" s="158"/>
      <c r="AS15" s="153"/>
      <c r="AT15" s="153"/>
      <c r="AU15" s="153"/>
      <c r="AV15" s="153"/>
      <c r="AW15" s="154"/>
      <c r="AX15" s="176" t="s">
        <v>141</v>
      </c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8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82" t="s">
        <v>120</v>
      </c>
      <c r="F16" s="183"/>
      <c r="G16" s="183"/>
      <c r="H16" s="183"/>
      <c r="I16" s="183"/>
      <c r="J16" s="183"/>
      <c r="K16" s="183"/>
      <c r="L16" s="184"/>
      <c r="M16" s="158" t="s">
        <v>8</v>
      </c>
      <c r="N16" s="153"/>
      <c r="O16" s="153"/>
      <c r="P16" s="158" t="s">
        <v>133</v>
      </c>
      <c r="Q16" s="153"/>
      <c r="R16" s="153"/>
      <c r="S16" s="158"/>
      <c r="T16" s="153"/>
      <c r="U16" s="153"/>
      <c r="V16" s="176" t="s">
        <v>144</v>
      </c>
      <c r="W16" s="177"/>
      <c r="X16" s="177"/>
      <c r="Y16" s="177"/>
      <c r="Z16" s="177"/>
      <c r="AA16" s="181"/>
      <c r="AB16" s="169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1"/>
      <c r="AR16" s="158"/>
      <c r="AS16" s="153"/>
      <c r="AT16" s="153"/>
      <c r="AU16" s="153"/>
      <c r="AV16" s="153"/>
      <c r="AW16" s="154"/>
      <c r="AX16" s="176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8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82" t="s">
        <v>103</v>
      </c>
      <c r="F17" s="183"/>
      <c r="G17" s="183"/>
      <c r="H17" s="183"/>
      <c r="I17" s="183"/>
      <c r="J17" s="183"/>
      <c r="K17" s="183"/>
      <c r="L17" s="184"/>
      <c r="M17" s="158" t="s">
        <v>47</v>
      </c>
      <c r="N17" s="153"/>
      <c r="O17" s="153"/>
      <c r="P17" s="158" t="s">
        <v>133</v>
      </c>
      <c r="Q17" s="153"/>
      <c r="R17" s="153"/>
      <c r="S17" s="158"/>
      <c r="T17" s="153"/>
      <c r="U17" s="153"/>
      <c r="V17" s="176" t="s">
        <v>183</v>
      </c>
      <c r="W17" s="177"/>
      <c r="X17" s="177"/>
      <c r="Y17" s="177"/>
      <c r="Z17" s="177"/>
      <c r="AA17" s="181"/>
      <c r="AB17" s="169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1"/>
      <c r="AR17" s="158" t="s">
        <v>132</v>
      </c>
      <c r="AS17" s="153"/>
      <c r="AT17" s="153"/>
      <c r="AU17" s="153"/>
      <c r="AV17" s="153"/>
      <c r="AW17" s="154"/>
      <c r="AX17" s="176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177"/>
      <c r="BQ17" s="177"/>
      <c r="BR17" s="177"/>
      <c r="BS17" s="177"/>
      <c r="BT17" s="178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82" t="s">
        <v>104</v>
      </c>
      <c r="F18" s="183"/>
      <c r="G18" s="183"/>
      <c r="H18" s="183"/>
      <c r="I18" s="183"/>
      <c r="J18" s="183"/>
      <c r="K18" s="183"/>
      <c r="L18" s="184"/>
      <c r="M18" s="158" t="s">
        <v>47</v>
      </c>
      <c r="N18" s="153"/>
      <c r="O18" s="153"/>
      <c r="P18" s="158" t="s">
        <v>133</v>
      </c>
      <c r="Q18" s="153"/>
      <c r="R18" s="153"/>
      <c r="S18" s="158"/>
      <c r="T18" s="153"/>
      <c r="U18" s="153"/>
      <c r="V18" s="176" t="s">
        <v>137</v>
      </c>
      <c r="W18" s="177"/>
      <c r="X18" s="177"/>
      <c r="Y18" s="177"/>
      <c r="Z18" s="177"/>
      <c r="AA18" s="181"/>
      <c r="AB18" s="169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1"/>
      <c r="AR18" s="158"/>
      <c r="AS18" s="153"/>
      <c r="AT18" s="153"/>
      <c r="AU18" s="153"/>
      <c r="AV18" s="153"/>
      <c r="AW18" s="154"/>
      <c r="AX18" s="176" t="s">
        <v>141</v>
      </c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177"/>
      <c r="BP18" s="177"/>
      <c r="BQ18" s="177"/>
      <c r="BR18" s="177"/>
      <c r="BS18" s="177"/>
      <c r="BT18" s="178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82" t="s">
        <v>105</v>
      </c>
      <c r="F19" s="183"/>
      <c r="G19" s="183"/>
      <c r="H19" s="183"/>
      <c r="I19" s="183"/>
      <c r="J19" s="183"/>
      <c r="K19" s="183"/>
      <c r="L19" s="184"/>
      <c r="M19" s="158" t="s">
        <v>38</v>
      </c>
      <c r="N19" s="153"/>
      <c r="O19" s="153"/>
      <c r="P19" s="158" t="s">
        <v>134</v>
      </c>
      <c r="Q19" s="153"/>
      <c r="R19" s="153"/>
      <c r="S19" s="158"/>
      <c r="T19" s="153"/>
      <c r="U19" s="153"/>
      <c r="V19" s="176" t="s">
        <v>138</v>
      </c>
      <c r="W19" s="177"/>
      <c r="X19" s="177"/>
      <c r="Y19" s="177"/>
      <c r="Z19" s="177"/>
      <c r="AA19" s="181"/>
      <c r="AB19" s="169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1"/>
      <c r="AR19" s="158"/>
      <c r="AS19" s="153"/>
      <c r="AT19" s="153"/>
      <c r="AU19" s="153"/>
      <c r="AV19" s="153"/>
      <c r="AW19" s="154"/>
      <c r="AX19" s="176" t="s">
        <v>141</v>
      </c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8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82" t="s">
        <v>106</v>
      </c>
      <c r="F20" s="183"/>
      <c r="G20" s="183"/>
      <c r="H20" s="183"/>
      <c r="I20" s="183"/>
      <c r="J20" s="183"/>
      <c r="K20" s="183"/>
      <c r="L20" s="184"/>
      <c r="M20" s="158" t="s">
        <v>47</v>
      </c>
      <c r="N20" s="153"/>
      <c r="O20" s="153"/>
      <c r="P20" s="158" t="s">
        <v>133</v>
      </c>
      <c r="Q20" s="153"/>
      <c r="R20" s="153"/>
      <c r="S20" s="158"/>
      <c r="T20" s="153"/>
      <c r="U20" s="153"/>
      <c r="V20" s="176" t="s">
        <v>139</v>
      </c>
      <c r="W20" s="177"/>
      <c r="X20" s="177"/>
      <c r="Y20" s="177"/>
      <c r="Z20" s="177"/>
      <c r="AA20" s="181"/>
      <c r="AB20" s="169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1"/>
      <c r="AR20" s="158"/>
      <c r="AS20" s="153"/>
      <c r="AT20" s="153"/>
      <c r="AU20" s="153"/>
      <c r="AV20" s="153"/>
      <c r="AW20" s="154"/>
      <c r="AX20" s="176" t="s">
        <v>141</v>
      </c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178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82" t="s">
        <v>107</v>
      </c>
      <c r="F21" s="183"/>
      <c r="G21" s="183"/>
      <c r="H21" s="183"/>
      <c r="I21" s="183"/>
      <c r="J21" s="183"/>
      <c r="K21" s="183"/>
      <c r="L21" s="184"/>
      <c r="M21" s="158" t="s">
        <v>47</v>
      </c>
      <c r="N21" s="153"/>
      <c r="O21" s="153"/>
      <c r="P21" s="158" t="s">
        <v>133</v>
      </c>
      <c r="Q21" s="153"/>
      <c r="R21" s="153"/>
      <c r="S21" s="158"/>
      <c r="T21" s="153"/>
      <c r="U21" s="153"/>
      <c r="V21" s="176" t="s">
        <v>140</v>
      </c>
      <c r="W21" s="177"/>
      <c r="X21" s="177"/>
      <c r="Y21" s="177"/>
      <c r="Z21" s="177"/>
      <c r="AA21" s="181"/>
      <c r="AB21" s="169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1"/>
      <c r="AR21" s="158"/>
      <c r="AS21" s="153"/>
      <c r="AT21" s="153"/>
      <c r="AU21" s="153"/>
      <c r="AV21" s="153"/>
      <c r="AW21" s="154"/>
      <c r="AX21" s="176" t="s">
        <v>141</v>
      </c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8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82" t="s">
        <v>135</v>
      </c>
      <c r="F22" s="183"/>
      <c r="G22" s="183"/>
      <c r="H22" s="183"/>
      <c r="I22" s="183"/>
      <c r="J22" s="183"/>
      <c r="K22" s="183"/>
      <c r="L22" s="184"/>
      <c r="M22" s="158" t="s">
        <v>47</v>
      </c>
      <c r="N22" s="153"/>
      <c r="O22" s="153"/>
      <c r="P22" s="158" t="s">
        <v>133</v>
      </c>
      <c r="Q22" s="153"/>
      <c r="R22" s="153"/>
      <c r="S22" s="158"/>
      <c r="T22" s="153"/>
      <c r="U22" s="153"/>
      <c r="V22" s="176" t="s">
        <v>184</v>
      </c>
      <c r="W22" s="177"/>
      <c r="X22" s="177"/>
      <c r="Y22" s="177"/>
      <c r="Z22" s="177"/>
      <c r="AA22" s="181"/>
      <c r="AB22" s="169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1"/>
      <c r="AR22" s="158"/>
      <c r="AS22" s="153"/>
      <c r="AT22" s="153"/>
      <c r="AU22" s="153"/>
      <c r="AV22" s="153"/>
      <c r="AW22" s="154"/>
      <c r="AX22" s="176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  <c r="BM22" s="177"/>
      <c r="BN22" s="177"/>
      <c r="BO22" s="177"/>
      <c r="BP22" s="177"/>
      <c r="BQ22" s="177"/>
      <c r="BR22" s="177"/>
      <c r="BS22" s="177"/>
      <c r="BT22" s="178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82" t="s">
        <v>108</v>
      </c>
      <c r="F23" s="183"/>
      <c r="G23" s="183"/>
      <c r="H23" s="183"/>
      <c r="I23" s="183"/>
      <c r="J23" s="183"/>
      <c r="K23" s="183"/>
      <c r="L23" s="184"/>
      <c r="M23" s="158" t="s">
        <v>47</v>
      </c>
      <c r="N23" s="153"/>
      <c r="O23" s="153"/>
      <c r="P23" s="158" t="s">
        <v>133</v>
      </c>
      <c r="Q23" s="153"/>
      <c r="R23" s="153"/>
      <c r="S23" s="158"/>
      <c r="T23" s="153"/>
      <c r="U23" s="153"/>
      <c r="V23" s="176" t="s">
        <v>185</v>
      </c>
      <c r="W23" s="177"/>
      <c r="X23" s="177"/>
      <c r="Y23" s="177"/>
      <c r="Z23" s="177"/>
      <c r="AA23" s="181"/>
      <c r="AB23" s="169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1"/>
      <c r="AR23" s="158"/>
      <c r="AS23" s="153"/>
      <c r="AT23" s="153"/>
      <c r="AU23" s="153"/>
      <c r="AV23" s="153"/>
      <c r="AW23" s="154"/>
      <c r="AX23" s="176"/>
      <c r="AY23" s="177"/>
      <c r="AZ23" s="177"/>
      <c r="BA23" s="177"/>
      <c r="BB23" s="177"/>
      <c r="BC23" s="177"/>
      <c r="BD23" s="177"/>
      <c r="BE23" s="177"/>
      <c r="BF23" s="177"/>
      <c r="BG23" s="177"/>
      <c r="BH23" s="177"/>
      <c r="BI23" s="177"/>
      <c r="BJ23" s="177"/>
      <c r="BK23" s="177"/>
      <c r="BL23" s="177"/>
      <c r="BM23" s="177"/>
      <c r="BN23" s="177"/>
      <c r="BO23" s="177"/>
      <c r="BP23" s="177"/>
      <c r="BQ23" s="177"/>
      <c r="BR23" s="177"/>
      <c r="BS23" s="177"/>
      <c r="BT23" s="178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82" t="s">
        <v>109</v>
      </c>
      <c r="F24" s="183"/>
      <c r="G24" s="183"/>
      <c r="H24" s="183"/>
      <c r="I24" s="183"/>
      <c r="J24" s="183"/>
      <c r="K24" s="183"/>
      <c r="L24" s="184"/>
      <c r="M24" s="158" t="s">
        <v>38</v>
      </c>
      <c r="N24" s="153"/>
      <c r="O24" s="153"/>
      <c r="P24" s="158" t="s">
        <v>134</v>
      </c>
      <c r="Q24" s="153"/>
      <c r="R24" s="153"/>
      <c r="S24" s="158"/>
      <c r="T24" s="153"/>
      <c r="U24" s="153"/>
      <c r="V24" s="176" t="s">
        <v>186</v>
      </c>
      <c r="W24" s="177"/>
      <c r="X24" s="177"/>
      <c r="Y24" s="177"/>
      <c r="Z24" s="177"/>
      <c r="AA24" s="181"/>
      <c r="AB24" s="169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1"/>
      <c r="AR24" s="158"/>
      <c r="AS24" s="153"/>
      <c r="AT24" s="153"/>
      <c r="AU24" s="153"/>
      <c r="AV24" s="153"/>
      <c r="AW24" s="154"/>
      <c r="AX24" s="176"/>
      <c r="AY24" s="177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77"/>
      <c r="BK24" s="177"/>
      <c r="BL24" s="177"/>
      <c r="BM24" s="177"/>
      <c r="BN24" s="177"/>
      <c r="BO24" s="177"/>
      <c r="BP24" s="177"/>
      <c r="BQ24" s="177"/>
      <c r="BR24" s="177"/>
      <c r="BS24" s="177"/>
      <c r="BT24" s="178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82" t="s">
        <v>127</v>
      </c>
      <c r="F25" s="183"/>
      <c r="G25" s="183"/>
      <c r="H25" s="183"/>
      <c r="I25" s="183"/>
      <c r="J25" s="183"/>
      <c r="K25" s="183"/>
      <c r="L25" s="184"/>
      <c r="M25" s="158" t="s">
        <v>47</v>
      </c>
      <c r="N25" s="153"/>
      <c r="O25" s="153"/>
      <c r="P25" s="158" t="s">
        <v>133</v>
      </c>
      <c r="Q25" s="153"/>
      <c r="R25" s="153"/>
      <c r="S25" s="158"/>
      <c r="T25" s="153"/>
      <c r="U25" s="153"/>
      <c r="V25" s="176" t="s">
        <v>152</v>
      </c>
      <c r="W25" s="177"/>
      <c r="X25" s="177"/>
      <c r="Y25" s="177"/>
      <c r="Z25" s="177"/>
      <c r="AA25" s="181"/>
      <c r="AB25" s="172" t="s">
        <v>128</v>
      </c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1"/>
      <c r="AR25" s="158"/>
      <c r="AS25" s="153"/>
      <c r="AT25" s="153"/>
      <c r="AU25" s="153"/>
      <c r="AV25" s="153"/>
      <c r="AW25" s="154"/>
      <c r="AX25" s="176"/>
      <c r="AY25" s="177"/>
      <c r="AZ25" s="177"/>
      <c r="BA25" s="177"/>
      <c r="BB25" s="177"/>
      <c r="BC25" s="177"/>
      <c r="BD25" s="177"/>
      <c r="BE25" s="177"/>
      <c r="BF25" s="177"/>
      <c r="BG25" s="177"/>
      <c r="BH25" s="177"/>
      <c r="BI25" s="177"/>
      <c r="BJ25" s="177"/>
      <c r="BK25" s="177"/>
      <c r="BL25" s="177"/>
      <c r="BM25" s="177"/>
      <c r="BN25" s="177"/>
      <c r="BO25" s="177"/>
      <c r="BP25" s="177"/>
      <c r="BQ25" s="177"/>
      <c r="BR25" s="177"/>
      <c r="BS25" s="177"/>
      <c r="BT25" s="178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82" t="s">
        <v>110</v>
      </c>
      <c r="F26" s="183"/>
      <c r="G26" s="183"/>
      <c r="H26" s="183"/>
      <c r="I26" s="183"/>
      <c r="J26" s="183"/>
      <c r="K26" s="183"/>
      <c r="L26" s="184"/>
      <c r="M26" s="158" t="s">
        <v>47</v>
      </c>
      <c r="N26" s="153"/>
      <c r="O26" s="153"/>
      <c r="P26" s="158" t="s">
        <v>133</v>
      </c>
      <c r="Q26" s="153"/>
      <c r="R26" s="153"/>
      <c r="S26" s="158"/>
      <c r="T26" s="153"/>
      <c r="U26" s="153"/>
      <c r="V26" s="176" t="s">
        <v>187</v>
      </c>
      <c r="W26" s="177"/>
      <c r="X26" s="177"/>
      <c r="Y26" s="177"/>
      <c r="Z26" s="177"/>
      <c r="AA26" s="181"/>
      <c r="AB26" s="169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1"/>
      <c r="AR26" s="158"/>
      <c r="AS26" s="153"/>
      <c r="AT26" s="153"/>
      <c r="AU26" s="153"/>
      <c r="AV26" s="153"/>
      <c r="AW26" s="154"/>
      <c r="AX26" s="176"/>
      <c r="AY26" s="177"/>
      <c r="AZ26" s="177"/>
      <c r="BA26" s="177"/>
      <c r="BB26" s="177"/>
      <c r="BC26" s="177"/>
      <c r="BD26" s="177"/>
      <c r="BE26" s="177"/>
      <c r="BF26" s="177"/>
      <c r="BG26" s="177"/>
      <c r="BH26" s="177"/>
      <c r="BI26" s="177"/>
      <c r="BJ26" s="177"/>
      <c r="BK26" s="177"/>
      <c r="BL26" s="177"/>
      <c r="BM26" s="177"/>
      <c r="BN26" s="177"/>
      <c r="BO26" s="177"/>
      <c r="BP26" s="177"/>
      <c r="BQ26" s="177"/>
      <c r="BR26" s="177"/>
      <c r="BS26" s="177"/>
      <c r="BT26" s="178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82" t="s">
        <v>111</v>
      </c>
      <c r="F27" s="183"/>
      <c r="G27" s="183"/>
      <c r="H27" s="183"/>
      <c r="I27" s="183"/>
      <c r="J27" s="183"/>
      <c r="K27" s="183"/>
      <c r="L27" s="184"/>
      <c r="M27" s="158" t="s">
        <v>38</v>
      </c>
      <c r="N27" s="153"/>
      <c r="O27" s="153"/>
      <c r="P27" s="158" t="s">
        <v>134</v>
      </c>
      <c r="Q27" s="153"/>
      <c r="R27" s="153"/>
      <c r="S27" s="158"/>
      <c r="T27" s="153"/>
      <c r="U27" s="153"/>
      <c r="V27" s="176" t="s">
        <v>188</v>
      </c>
      <c r="W27" s="177"/>
      <c r="X27" s="177"/>
      <c r="Y27" s="177"/>
      <c r="Z27" s="177"/>
      <c r="AA27" s="181"/>
      <c r="AB27" s="169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1"/>
      <c r="AR27" s="158"/>
      <c r="AS27" s="153"/>
      <c r="AT27" s="153"/>
      <c r="AU27" s="153"/>
      <c r="AV27" s="153"/>
      <c r="AW27" s="154"/>
      <c r="AX27" s="176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  <c r="BJ27" s="177"/>
      <c r="BK27" s="177"/>
      <c r="BL27" s="177"/>
      <c r="BM27" s="177"/>
      <c r="BN27" s="177"/>
      <c r="BO27" s="177"/>
      <c r="BP27" s="177"/>
      <c r="BQ27" s="177"/>
      <c r="BR27" s="177"/>
      <c r="BS27" s="177"/>
      <c r="BT27" s="178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 s="29"/>
      <c r="D28" s="37">
        <v>18</v>
      </c>
      <c r="E28" s="182" t="s">
        <v>112</v>
      </c>
      <c r="F28" s="183"/>
      <c r="G28" s="183"/>
      <c r="H28" s="183"/>
      <c r="I28" s="183"/>
      <c r="J28" s="183"/>
      <c r="K28" s="183"/>
      <c r="L28" s="184"/>
      <c r="M28" s="158" t="s">
        <v>38</v>
      </c>
      <c r="N28" s="153"/>
      <c r="O28" s="153"/>
      <c r="P28" s="158" t="s">
        <v>134</v>
      </c>
      <c r="Q28" s="153"/>
      <c r="R28" s="153"/>
      <c r="S28" s="158"/>
      <c r="T28" s="153"/>
      <c r="U28" s="153"/>
      <c r="V28" s="176" t="s">
        <v>189</v>
      </c>
      <c r="W28" s="177"/>
      <c r="X28" s="177"/>
      <c r="Y28" s="177"/>
      <c r="Z28" s="177"/>
      <c r="AA28" s="181"/>
      <c r="AB28" s="169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1"/>
      <c r="AR28" s="158"/>
      <c r="AS28" s="153"/>
      <c r="AT28" s="153"/>
      <c r="AU28" s="153"/>
      <c r="AV28" s="153"/>
      <c r="AW28" s="154"/>
      <c r="AX28" s="176"/>
      <c r="AY28" s="177"/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7"/>
      <c r="BK28" s="177"/>
      <c r="BL28" s="177"/>
      <c r="BM28" s="177"/>
      <c r="BN28" s="177"/>
      <c r="BO28" s="177"/>
      <c r="BP28" s="177"/>
      <c r="BQ28" s="177"/>
      <c r="BR28" s="177"/>
      <c r="BS28" s="177"/>
      <c r="BT28" s="178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 s="29"/>
      <c r="D29" s="37">
        <v>19</v>
      </c>
      <c r="E29" s="182" t="s">
        <v>113</v>
      </c>
      <c r="F29" s="183"/>
      <c r="G29" s="183"/>
      <c r="H29" s="183"/>
      <c r="I29" s="183"/>
      <c r="J29" s="183"/>
      <c r="K29" s="183"/>
      <c r="L29" s="184"/>
      <c r="M29" s="158" t="s">
        <v>38</v>
      </c>
      <c r="N29" s="153"/>
      <c r="O29" s="153"/>
      <c r="P29" s="158" t="s">
        <v>134</v>
      </c>
      <c r="Q29" s="153"/>
      <c r="R29" s="153"/>
      <c r="S29" s="160"/>
      <c r="T29" s="161"/>
      <c r="U29" s="161"/>
      <c r="V29" s="176" t="s">
        <v>190</v>
      </c>
      <c r="W29" s="177"/>
      <c r="X29" s="177"/>
      <c r="Y29" s="177"/>
      <c r="Z29" s="177"/>
      <c r="AA29" s="181"/>
      <c r="AB29" s="166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8"/>
      <c r="AR29" s="158"/>
      <c r="AS29" s="153"/>
      <c r="AT29" s="153"/>
      <c r="AU29" s="153"/>
      <c r="AV29" s="153"/>
      <c r="AW29" s="154"/>
      <c r="AX29" s="176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7"/>
      <c r="BN29" s="177"/>
      <c r="BO29" s="177"/>
      <c r="BP29" s="177"/>
      <c r="BQ29" s="177"/>
      <c r="BR29" s="177"/>
      <c r="BS29" s="177"/>
      <c r="BT29" s="178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 s="29"/>
      <c r="D30" s="37">
        <v>20</v>
      </c>
      <c r="E30" s="182" t="s">
        <v>114</v>
      </c>
      <c r="F30" s="183"/>
      <c r="G30" s="183"/>
      <c r="H30" s="183"/>
      <c r="I30" s="183"/>
      <c r="J30" s="183"/>
      <c r="K30" s="183"/>
      <c r="L30" s="184"/>
      <c r="M30" s="158" t="s">
        <v>38</v>
      </c>
      <c r="N30" s="153"/>
      <c r="O30" s="153"/>
      <c r="P30" s="158" t="s">
        <v>134</v>
      </c>
      <c r="Q30" s="153"/>
      <c r="R30" s="153"/>
      <c r="S30" s="160"/>
      <c r="T30" s="161"/>
      <c r="U30" s="161"/>
      <c r="V30" s="176" t="s">
        <v>191</v>
      </c>
      <c r="W30" s="177"/>
      <c r="X30" s="177"/>
      <c r="Y30" s="177"/>
      <c r="Z30" s="177"/>
      <c r="AA30" s="181"/>
      <c r="AB30" s="166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8"/>
      <c r="AR30" s="160"/>
      <c r="AS30" s="161"/>
      <c r="AT30" s="161"/>
      <c r="AU30" s="161"/>
      <c r="AV30" s="161"/>
      <c r="AW30" s="162"/>
      <c r="AX30" s="173"/>
      <c r="AY30" s="174"/>
      <c r="AZ30" s="174"/>
      <c r="BA30" s="174"/>
      <c r="BB30" s="174"/>
      <c r="BC30" s="174"/>
      <c r="BD30" s="174"/>
      <c r="BE30" s="174"/>
      <c r="BF30" s="174"/>
      <c r="BG30" s="174"/>
      <c r="BH30" s="174"/>
      <c r="BI30" s="174"/>
      <c r="BJ30" s="174"/>
      <c r="BK30" s="174"/>
      <c r="BL30" s="174"/>
      <c r="BM30" s="174"/>
      <c r="BN30" s="174"/>
      <c r="BO30" s="174"/>
      <c r="BP30" s="174"/>
      <c r="BQ30" s="174"/>
      <c r="BR30" s="174"/>
      <c r="BS30" s="174"/>
      <c r="BT30" s="175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x14ac:dyDescent="0.45">
      <c r="A31" s="29"/>
      <c r="B31" s="44"/>
      <c r="C31" s="29"/>
      <c r="D31" s="37">
        <v>21</v>
      </c>
      <c r="E31" s="182" t="s">
        <v>115</v>
      </c>
      <c r="F31" s="183"/>
      <c r="G31" s="183"/>
      <c r="H31" s="183"/>
      <c r="I31" s="183"/>
      <c r="J31" s="183"/>
      <c r="K31" s="183"/>
      <c r="L31" s="184"/>
      <c r="M31" s="158" t="s">
        <v>38</v>
      </c>
      <c r="N31" s="153"/>
      <c r="O31" s="153"/>
      <c r="P31" s="158" t="s">
        <v>134</v>
      </c>
      <c r="Q31" s="153"/>
      <c r="R31" s="153"/>
      <c r="S31" s="158"/>
      <c r="T31" s="153"/>
      <c r="U31" s="153"/>
      <c r="V31" s="176" t="s">
        <v>192</v>
      </c>
      <c r="W31" s="177"/>
      <c r="X31" s="177"/>
      <c r="Y31" s="177"/>
      <c r="Z31" s="177"/>
      <c r="AA31" s="181"/>
      <c r="AB31" s="169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1"/>
      <c r="AR31" s="160"/>
      <c r="AS31" s="161"/>
      <c r="AT31" s="161"/>
      <c r="AU31" s="161"/>
      <c r="AV31" s="161"/>
      <c r="AW31" s="162"/>
      <c r="AX31" s="173"/>
      <c r="AY31" s="174"/>
      <c r="AZ31" s="174"/>
      <c r="BA31" s="174"/>
      <c r="BB31" s="174"/>
      <c r="BC31" s="174"/>
      <c r="BD31" s="174"/>
      <c r="BE31" s="174"/>
      <c r="BF31" s="174"/>
      <c r="BG31" s="174"/>
      <c r="BH31" s="174"/>
      <c r="BI31" s="174"/>
      <c r="BJ31" s="174"/>
      <c r="BK31" s="174"/>
      <c r="BL31" s="174"/>
      <c r="BM31" s="174"/>
      <c r="BN31" s="174"/>
      <c r="BO31" s="174"/>
      <c r="BP31" s="174"/>
      <c r="BQ31" s="174"/>
      <c r="BR31" s="174"/>
      <c r="BS31" s="174"/>
      <c r="BT31" s="175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19.5" customHeight="1" x14ac:dyDescent="0.45">
      <c r="A32" s="29"/>
      <c r="B32" s="44"/>
      <c r="C32"/>
      <c r="D32" s="37">
        <v>22</v>
      </c>
      <c r="E32" s="182" t="s">
        <v>116</v>
      </c>
      <c r="F32" s="183"/>
      <c r="G32" s="183"/>
      <c r="H32" s="183"/>
      <c r="I32" s="183"/>
      <c r="J32" s="183"/>
      <c r="K32" s="183"/>
      <c r="L32" s="184"/>
      <c r="M32" s="158" t="s">
        <v>38</v>
      </c>
      <c r="N32" s="153"/>
      <c r="O32" s="153"/>
      <c r="P32" s="158" t="s">
        <v>134</v>
      </c>
      <c r="Q32" s="153"/>
      <c r="R32" s="153"/>
      <c r="S32" s="158"/>
      <c r="T32" s="153"/>
      <c r="U32" s="153"/>
      <c r="V32" s="176" t="s">
        <v>193</v>
      </c>
      <c r="W32" s="177"/>
      <c r="X32" s="177"/>
      <c r="Y32" s="177"/>
      <c r="Z32" s="177"/>
      <c r="AA32" s="181"/>
      <c r="AB32" s="169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1"/>
      <c r="AR32" s="158"/>
      <c r="AS32" s="153"/>
      <c r="AT32" s="153"/>
      <c r="AU32" s="153"/>
      <c r="AV32" s="153"/>
      <c r="AW32" s="154"/>
      <c r="AX32" s="176"/>
      <c r="AY32" s="177"/>
      <c r="AZ32" s="177"/>
      <c r="BA32" s="177"/>
      <c r="BB32" s="177"/>
      <c r="BC32" s="177"/>
      <c r="BD32" s="177"/>
      <c r="BE32" s="177"/>
      <c r="BF32" s="177"/>
      <c r="BG32" s="177"/>
      <c r="BH32" s="177"/>
      <c r="BI32" s="177"/>
      <c r="BJ32" s="177"/>
      <c r="BK32" s="177"/>
      <c r="BL32" s="177"/>
      <c r="BM32" s="177"/>
      <c r="BN32" s="177"/>
      <c r="BO32" s="177"/>
      <c r="BP32" s="177"/>
      <c r="BQ32" s="177"/>
      <c r="BR32" s="177"/>
      <c r="BS32" s="177"/>
      <c r="BT32" s="178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/>
      <c r="D33" s="37">
        <v>23</v>
      </c>
      <c r="E33" s="188" t="s">
        <v>117</v>
      </c>
      <c r="F33" s="189"/>
      <c r="G33" s="189"/>
      <c r="H33" s="189"/>
      <c r="I33" s="189"/>
      <c r="J33" s="189"/>
      <c r="K33" s="189"/>
      <c r="L33" s="190"/>
      <c r="M33" s="158" t="s">
        <v>47</v>
      </c>
      <c r="N33" s="153"/>
      <c r="O33" s="153"/>
      <c r="P33" s="158" t="s">
        <v>133</v>
      </c>
      <c r="Q33" s="153"/>
      <c r="R33" s="153"/>
      <c r="S33" s="160"/>
      <c r="T33" s="161"/>
      <c r="U33" s="161"/>
      <c r="V33" s="173" t="s">
        <v>194</v>
      </c>
      <c r="W33" s="174"/>
      <c r="X33" s="174"/>
      <c r="Y33" s="174"/>
      <c r="Z33" s="174"/>
      <c r="AA33" s="180"/>
      <c r="AB33" s="166" t="s">
        <v>195</v>
      </c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8"/>
      <c r="AR33" s="158"/>
      <c r="AS33" s="153"/>
      <c r="AT33" s="153"/>
      <c r="AU33" s="153"/>
      <c r="AV33" s="153"/>
      <c r="AW33" s="154"/>
      <c r="AX33" s="176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I33" s="177"/>
      <c r="BJ33" s="177"/>
      <c r="BK33" s="177"/>
      <c r="BL33" s="177"/>
      <c r="BM33" s="177"/>
      <c r="BN33" s="177"/>
      <c r="BO33" s="177"/>
      <c r="BP33" s="177"/>
      <c r="BQ33" s="177"/>
      <c r="BR33" s="177"/>
      <c r="BS33" s="177"/>
      <c r="BT33" s="178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20.100000000000001" customHeight="1" x14ac:dyDescent="0.45">
      <c r="A34" s="29"/>
      <c r="B34" s="44"/>
      <c r="C34" s="29"/>
      <c r="D34" s="37">
        <v>24</v>
      </c>
      <c r="E34" s="188" t="s">
        <v>236</v>
      </c>
      <c r="F34" s="189"/>
      <c r="G34" s="189"/>
      <c r="H34" s="189"/>
      <c r="I34" s="189"/>
      <c r="J34" s="189"/>
      <c r="K34" s="189"/>
      <c r="L34" s="190"/>
      <c r="M34" s="158" t="s">
        <v>38</v>
      </c>
      <c r="N34" s="153"/>
      <c r="O34" s="153"/>
      <c r="P34" s="158" t="s">
        <v>134</v>
      </c>
      <c r="Q34" s="153"/>
      <c r="R34" s="153"/>
      <c r="S34" s="160"/>
      <c r="T34" s="161"/>
      <c r="U34" s="161"/>
      <c r="V34" s="173"/>
      <c r="W34" s="174"/>
      <c r="X34" s="174"/>
      <c r="Y34" s="174"/>
      <c r="Z34" s="174"/>
      <c r="AA34" s="180"/>
      <c r="AB34" s="166" t="s">
        <v>237</v>
      </c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68"/>
      <c r="AR34" s="160"/>
      <c r="AS34" s="161"/>
      <c r="AT34" s="161"/>
      <c r="AU34" s="161"/>
      <c r="AV34" s="161"/>
      <c r="AW34" s="162"/>
      <c r="AX34" s="173"/>
      <c r="AY34" s="174"/>
      <c r="AZ34" s="174"/>
      <c r="BA34" s="174"/>
      <c r="BB34" s="174"/>
      <c r="BC34" s="174"/>
      <c r="BD34" s="174"/>
      <c r="BE34" s="174"/>
      <c r="BF34" s="174"/>
      <c r="BG34" s="174"/>
      <c r="BH34" s="174"/>
      <c r="BI34" s="174"/>
      <c r="BJ34" s="174"/>
      <c r="BK34" s="174"/>
      <c r="BL34" s="174"/>
      <c r="BM34" s="174"/>
      <c r="BN34" s="174"/>
      <c r="BO34" s="174"/>
      <c r="BP34" s="174"/>
      <c r="BQ34" s="174"/>
      <c r="BR34" s="174"/>
      <c r="BS34" s="174"/>
      <c r="BT34" s="175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thickBot="1" x14ac:dyDescent="0.5">
      <c r="A35" s="29"/>
      <c r="B35" s="44"/>
      <c r="C35"/>
      <c r="D35" s="37">
        <v>25</v>
      </c>
      <c r="E35" s="188"/>
      <c r="F35" s="189"/>
      <c r="G35" s="189"/>
      <c r="H35" s="189"/>
      <c r="I35" s="189"/>
      <c r="J35" s="189"/>
      <c r="K35" s="189"/>
      <c r="L35" s="190"/>
      <c r="M35" s="160"/>
      <c r="N35" s="161"/>
      <c r="O35" s="162"/>
      <c r="P35" s="160"/>
      <c r="Q35" s="161"/>
      <c r="R35" s="161"/>
      <c r="S35" s="160"/>
      <c r="T35" s="161"/>
      <c r="U35" s="161"/>
      <c r="V35" s="173"/>
      <c r="W35" s="174"/>
      <c r="X35" s="174"/>
      <c r="Y35" s="174"/>
      <c r="Z35" s="174"/>
      <c r="AA35" s="180"/>
      <c r="AB35" s="166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8"/>
      <c r="AR35" s="160"/>
      <c r="AS35" s="161"/>
      <c r="AT35" s="161"/>
      <c r="AU35" s="161"/>
      <c r="AV35" s="161"/>
      <c r="AW35" s="162"/>
      <c r="AX35" s="173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5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20.100000000000001" customHeight="1" thickTop="1" thickBot="1" x14ac:dyDescent="0.5">
      <c r="A36" s="29"/>
      <c r="B36" s="40"/>
      <c r="C36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46"/>
      <c r="BR36" s="46"/>
      <c r="BS36" s="46"/>
      <c r="BT36" s="46"/>
      <c r="BU36" s="28"/>
    </row>
    <row r="37" spans="1:85" ht="20.100000000000001" customHeight="1" thickTop="1" x14ac:dyDescent="0.45">
      <c r="A37" s="29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33"/>
      <c r="BD37" s="33"/>
      <c r="BE37" s="33"/>
      <c r="BF37" s="33"/>
      <c r="BG37" s="33"/>
      <c r="BH37" s="33"/>
      <c r="BI37" s="42"/>
      <c r="BJ37" s="42"/>
      <c r="BK37" s="42"/>
      <c r="BL37" s="42"/>
      <c r="BM37" s="42"/>
      <c r="BN37" s="42"/>
      <c r="BO37" s="42"/>
      <c r="BP37" s="41"/>
    </row>
    <row r="38" spans="1:85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</row>
    <row r="39" spans="1:85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85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85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85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3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31"/>
      <c r="BP53" s="31"/>
    </row>
    <row r="54" spans="1:68" ht="20.100000000000001" customHeight="1" x14ac:dyDescent="0.45">
      <c r="A54" s="29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31"/>
      <c r="BP54" s="31"/>
    </row>
    <row r="55" spans="1:68" ht="20.100000000000001" customHeight="1" x14ac:dyDescent="0.45">
      <c r="A55" s="29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31"/>
      <c r="BP55" s="31"/>
    </row>
    <row r="56" spans="1:68" ht="20.100000000000001" customHeight="1" x14ac:dyDescent="0.4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</row>
    <row r="57" spans="1:68" ht="20.100000000000001" customHeight="1" x14ac:dyDescent="0.4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</row>
    <row r="58" spans="1:68" ht="20.100000000000001" customHeight="1" x14ac:dyDescent="0.4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</row>
  </sheetData>
  <mergeCells count="228">
    <mergeCell ref="AB30:AQ30"/>
    <mergeCell ref="AR30:AW30"/>
    <mergeCell ref="AX30:BT30"/>
    <mergeCell ref="E31:L31"/>
    <mergeCell ref="M31:O31"/>
    <mergeCell ref="P31:R31"/>
    <mergeCell ref="S31:U31"/>
    <mergeCell ref="V31:AA31"/>
    <mergeCell ref="AB31:AQ31"/>
    <mergeCell ref="AR31:AW31"/>
    <mergeCell ref="AX31:BT31"/>
    <mergeCell ref="V34:AA34"/>
    <mergeCell ref="AB34:AQ34"/>
    <mergeCell ref="AR34:AW34"/>
    <mergeCell ref="AX34:BT34"/>
    <mergeCell ref="E28:L28"/>
    <mergeCell ref="M28:O28"/>
    <mergeCell ref="P28:R28"/>
    <mergeCell ref="S28:U28"/>
    <mergeCell ref="V28:AA28"/>
    <mergeCell ref="AB28:AQ28"/>
    <mergeCell ref="AR28:AW28"/>
    <mergeCell ref="AX28:BT28"/>
    <mergeCell ref="E29:L29"/>
    <mergeCell ref="M29:O29"/>
    <mergeCell ref="P29:R29"/>
    <mergeCell ref="S29:U29"/>
    <mergeCell ref="V29:AA29"/>
    <mergeCell ref="AB29:AQ29"/>
    <mergeCell ref="AR29:AW29"/>
    <mergeCell ref="AX29:BT29"/>
    <mergeCell ref="E30:L30"/>
    <mergeCell ref="M30:O30"/>
    <mergeCell ref="P30:R30"/>
    <mergeCell ref="S30:U30"/>
    <mergeCell ref="E35:L35"/>
    <mergeCell ref="M26:O26"/>
    <mergeCell ref="M27:O27"/>
    <mergeCell ref="M32:O32"/>
    <mergeCell ref="M33:O33"/>
    <mergeCell ref="M35:O35"/>
    <mergeCell ref="E23:L23"/>
    <mergeCell ref="E26:L26"/>
    <mergeCell ref="E27:L27"/>
    <mergeCell ref="E32:L32"/>
    <mergeCell ref="E33:L33"/>
    <mergeCell ref="E25:L25"/>
    <mergeCell ref="E24:L24"/>
    <mergeCell ref="M24:O24"/>
    <mergeCell ref="M25:O25"/>
    <mergeCell ref="E34:L34"/>
    <mergeCell ref="M34:O34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32:AA32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V30:AA30"/>
    <mergeCell ref="P33:R33"/>
    <mergeCell ref="P35:R35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32:R32"/>
    <mergeCell ref="P34:R34"/>
    <mergeCell ref="S34:U34"/>
    <mergeCell ref="AX10:BT10"/>
    <mergeCell ref="AX11:BT11"/>
    <mergeCell ref="AX12:BT12"/>
    <mergeCell ref="AX13:BT13"/>
    <mergeCell ref="AX14:BT14"/>
    <mergeCell ref="V33:AA33"/>
    <mergeCell ref="V35:AA35"/>
    <mergeCell ref="S10:U10"/>
    <mergeCell ref="S24:U24"/>
    <mergeCell ref="S25:U25"/>
    <mergeCell ref="S26:U26"/>
    <mergeCell ref="S27:U27"/>
    <mergeCell ref="S32:U32"/>
    <mergeCell ref="S33:U33"/>
    <mergeCell ref="V10:AA10"/>
    <mergeCell ref="S35:U35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32:BT32"/>
    <mergeCell ref="AX33:BT33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33:AQ33"/>
    <mergeCell ref="AB35:AQ35"/>
    <mergeCell ref="AB24:AQ24"/>
    <mergeCell ref="AB25:AQ25"/>
    <mergeCell ref="AB26:AQ26"/>
    <mergeCell ref="AB27:AQ27"/>
    <mergeCell ref="AB32:AQ32"/>
    <mergeCell ref="AX35:BT35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5:AW35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32:AW32"/>
    <mergeCell ref="AR33:AW33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26"/>
  <sheetViews>
    <sheetView zoomScaleNormal="100" zoomScaleSheetLayoutView="100" workbookViewId="0">
      <selection activeCell="J24" sqref="J24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0" t="s">
        <v>0</v>
      </c>
      <c r="C2" s="195"/>
      <c r="D2" s="195"/>
      <c r="E2" s="195"/>
      <c r="F2" s="195"/>
      <c r="G2" s="195"/>
      <c r="H2" s="195" t="s">
        <v>17</v>
      </c>
      <c r="I2" s="195"/>
      <c r="J2" s="195"/>
      <c r="K2" s="195"/>
      <c r="L2" s="195" t="s">
        <v>1</v>
      </c>
      <c r="M2" s="195"/>
      <c r="N2" s="195"/>
      <c r="O2" s="195"/>
      <c r="P2" s="195"/>
      <c r="Q2" s="195"/>
      <c r="R2" s="195" t="s">
        <v>2</v>
      </c>
      <c r="S2" s="195"/>
      <c r="T2" s="195"/>
      <c r="U2" s="195"/>
      <c r="V2" s="195"/>
      <c r="W2" s="195"/>
      <c r="X2" s="201" t="s">
        <v>3</v>
      </c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3"/>
      <c r="AK2" s="201" t="s">
        <v>32</v>
      </c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3"/>
      <c r="AX2" s="195" t="s">
        <v>5</v>
      </c>
      <c r="AY2" s="195"/>
      <c r="AZ2" s="195"/>
      <c r="BA2" s="195"/>
      <c r="BB2" s="195" t="s">
        <v>4</v>
      </c>
      <c r="BC2" s="195"/>
      <c r="BD2" s="195"/>
      <c r="BE2" s="195"/>
      <c r="BF2" s="195" t="s">
        <v>6</v>
      </c>
      <c r="BG2" s="195"/>
      <c r="BH2" s="195"/>
      <c r="BI2" s="195"/>
      <c r="BJ2" s="195" t="s">
        <v>7</v>
      </c>
      <c r="BK2" s="195"/>
      <c r="BL2" s="195"/>
      <c r="BM2" s="196"/>
    </row>
    <row r="3" spans="2:65" ht="20.100000000000001" customHeight="1" x14ac:dyDescent="0.45">
      <c r="B3" s="204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SU0200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3" t="str">
        <f ca="1">変更履歴!X3</f>
        <v>SU0200_手入力鏡_帳票設計書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手入力鏡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45583</v>
      </c>
      <c r="AY3" s="150"/>
      <c r="AZ3" s="150"/>
      <c r="BA3" s="150"/>
      <c r="BB3" s="139" t="str">
        <f>変更履歴!BB3</f>
        <v>大谷</v>
      </c>
      <c r="BC3" s="139"/>
      <c r="BD3" s="139"/>
      <c r="BE3" s="139"/>
      <c r="BF3" s="150">
        <f>変更履歴!BF3</f>
        <v>45583</v>
      </c>
      <c r="BG3" s="150"/>
      <c r="BH3" s="150"/>
      <c r="BI3" s="150"/>
      <c r="BJ3" s="139" t="str">
        <f>変更履歴!BJ3</f>
        <v>大谷</v>
      </c>
      <c r="BK3" s="139"/>
      <c r="BL3" s="139"/>
      <c r="BM3" s="193"/>
    </row>
    <row r="4" spans="2:65" ht="20.100000000000001" customHeight="1" thickBot="1" x14ac:dyDescent="0.5">
      <c r="B4" s="205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7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9"/>
      <c r="AK4" s="197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9"/>
      <c r="AX4" s="191"/>
      <c r="AY4" s="191"/>
      <c r="AZ4" s="191"/>
      <c r="BA4" s="191"/>
      <c r="BB4" s="192"/>
      <c r="BC4" s="192"/>
      <c r="BD4" s="192"/>
      <c r="BE4" s="192"/>
      <c r="BF4" s="191"/>
      <c r="BG4" s="191"/>
      <c r="BH4" s="191"/>
      <c r="BI4" s="191"/>
      <c r="BJ4" s="192"/>
      <c r="BK4" s="192"/>
      <c r="BL4" s="192"/>
      <c r="BM4" s="194"/>
    </row>
    <row r="5" spans="2:65" ht="5.0999999999999996" customHeight="1" thickBot="1" x14ac:dyDescent="0.5"/>
    <row r="6" spans="2:65" ht="20.100000000000001" customHeight="1" x14ac:dyDescent="0.45">
      <c r="B6" s="89" t="s">
        <v>145</v>
      </c>
      <c r="C6" s="90"/>
      <c r="D6" s="90"/>
      <c r="E6" s="90"/>
      <c r="F6" s="90"/>
      <c r="G6" s="91"/>
      <c r="H6" s="92" t="s">
        <v>84</v>
      </c>
      <c r="I6" s="90"/>
      <c r="J6" s="120" t="s">
        <v>155</v>
      </c>
      <c r="K6" s="121"/>
      <c r="L6" s="121"/>
      <c r="M6" s="121"/>
      <c r="N6" s="121"/>
      <c r="O6" s="121"/>
      <c r="P6" s="121"/>
      <c r="Q6" s="122"/>
      <c r="R6" s="121" t="s">
        <v>147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156</v>
      </c>
      <c r="K7" s="52"/>
      <c r="L7" s="52"/>
      <c r="M7" s="52"/>
      <c r="N7" s="52"/>
      <c r="O7" s="52"/>
      <c r="P7" s="52"/>
      <c r="Q7" s="125"/>
      <c r="R7" s="52" t="s">
        <v>148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157</v>
      </c>
      <c r="K8" s="52"/>
      <c r="L8" s="52"/>
      <c r="M8" s="52"/>
      <c r="N8" s="52"/>
      <c r="O8" s="52"/>
      <c r="P8" s="52"/>
      <c r="Q8" s="125"/>
      <c r="R8" s="52" t="s">
        <v>149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158</v>
      </c>
      <c r="K9" s="52"/>
      <c r="L9" s="52"/>
      <c r="M9" s="52"/>
      <c r="N9" s="52"/>
      <c r="O9" s="52"/>
      <c r="P9" s="52"/>
      <c r="Q9" s="125"/>
      <c r="R9" s="52" t="s">
        <v>150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159</v>
      </c>
      <c r="K10" s="52"/>
      <c r="L10" s="52"/>
      <c r="M10" s="52"/>
      <c r="N10" s="52"/>
      <c r="O10" s="52"/>
      <c r="P10" s="52"/>
      <c r="Q10" s="125"/>
      <c r="R10" s="52" t="s">
        <v>151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160</v>
      </c>
      <c r="K11" s="52"/>
      <c r="L11" s="52"/>
      <c r="M11" s="52"/>
      <c r="N11" s="52"/>
      <c r="O11" s="52"/>
      <c r="P11" s="52"/>
      <c r="Q11" s="125"/>
      <c r="R11" s="52" t="s">
        <v>170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161</v>
      </c>
      <c r="K12" s="52"/>
      <c r="L12" s="52"/>
      <c r="M12" s="52"/>
      <c r="N12" s="52"/>
      <c r="O12" s="52"/>
      <c r="P12" s="52"/>
      <c r="Q12" s="125"/>
      <c r="R12" s="52" t="s">
        <v>171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31"/>
      <c r="I13" s="31"/>
      <c r="J13" s="124" t="s">
        <v>162</v>
      </c>
      <c r="K13" s="52"/>
      <c r="L13" s="52"/>
      <c r="M13" s="52"/>
      <c r="N13" s="52"/>
      <c r="O13" s="52"/>
      <c r="P13" s="52"/>
      <c r="Q13" s="125"/>
      <c r="R13" s="52" t="s">
        <v>172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31"/>
      <c r="I14" s="31"/>
      <c r="J14" s="124" t="s">
        <v>163</v>
      </c>
      <c r="K14" s="52"/>
      <c r="L14" s="52"/>
      <c r="M14" s="52"/>
      <c r="N14" s="52"/>
      <c r="O14" s="52"/>
      <c r="P14" s="52"/>
      <c r="Q14" s="125"/>
      <c r="R14" s="52" t="s">
        <v>173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31"/>
      <c r="I15" s="31"/>
      <c r="J15" s="124" t="s">
        <v>122</v>
      </c>
      <c r="K15" s="52"/>
      <c r="L15" s="52"/>
      <c r="M15" s="52"/>
      <c r="N15" s="52"/>
      <c r="O15" s="52"/>
      <c r="P15" s="52"/>
      <c r="Q15" s="125"/>
      <c r="R15" s="52" t="s">
        <v>174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123</v>
      </c>
      <c r="K16" s="52"/>
      <c r="L16" s="52"/>
      <c r="M16" s="52"/>
      <c r="N16" s="52"/>
      <c r="O16" s="52"/>
      <c r="P16" s="52"/>
      <c r="Q16" s="125"/>
      <c r="R16" s="52" t="s">
        <v>175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31"/>
      <c r="I17" s="31"/>
      <c r="J17" s="124" t="s">
        <v>124</v>
      </c>
      <c r="K17" s="52"/>
      <c r="L17" s="52"/>
      <c r="M17" s="52"/>
      <c r="N17" s="52"/>
      <c r="O17" s="52"/>
      <c r="P17" s="52"/>
      <c r="Q17" s="125"/>
      <c r="R17" s="52" t="s">
        <v>176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31"/>
      <c r="I18" s="31"/>
      <c r="J18" s="124" t="s">
        <v>125</v>
      </c>
      <c r="K18" s="52"/>
      <c r="L18" s="52"/>
      <c r="M18" s="52"/>
      <c r="N18" s="52"/>
      <c r="O18" s="52"/>
      <c r="P18" s="52"/>
      <c r="Q18" s="125"/>
      <c r="R18" s="52" t="s">
        <v>177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31"/>
      <c r="I19" s="31"/>
      <c r="J19" s="124" t="s">
        <v>126</v>
      </c>
      <c r="K19" s="52"/>
      <c r="L19" s="52"/>
      <c r="M19" s="52"/>
      <c r="N19" s="52"/>
      <c r="O19" s="52"/>
      <c r="P19" s="52"/>
      <c r="Q19" s="125"/>
      <c r="R19" s="52" t="s">
        <v>178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31"/>
      <c r="I20" s="31"/>
      <c r="J20" s="124" t="s">
        <v>164</v>
      </c>
      <c r="K20" s="52"/>
      <c r="L20" s="52"/>
      <c r="M20" s="52"/>
      <c r="N20" s="52"/>
      <c r="O20" s="52"/>
      <c r="P20" s="52"/>
      <c r="Q20" s="125"/>
      <c r="R20" s="52" t="s">
        <v>179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31"/>
      <c r="I21" s="31"/>
      <c r="J21" s="124" t="s">
        <v>165</v>
      </c>
      <c r="K21" s="52"/>
      <c r="L21" s="52"/>
      <c r="M21" s="52"/>
      <c r="N21" s="52"/>
      <c r="O21" s="52"/>
      <c r="P21" s="52"/>
      <c r="Q21" s="125"/>
      <c r="R21" s="52" t="s">
        <v>180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31"/>
      <c r="I22" s="31"/>
      <c r="J22" s="124" t="s">
        <v>166</v>
      </c>
      <c r="K22" s="52"/>
      <c r="L22" s="52"/>
      <c r="M22" s="52"/>
      <c r="N22" s="52"/>
      <c r="O22" s="52"/>
      <c r="P22" s="52"/>
      <c r="Q22" s="125"/>
      <c r="R22" s="52" t="s">
        <v>181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31"/>
      <c r="I23" s="31"/>
      <c r="J23" s="124" t="s">
        <v>167</v>
      </c>
      <c r="K23" s="52"/>
      <c r="L23" s="52"/>
      <c r="M23" s="52"/>
      <c r="N23" s="52"/>
      <c r="O23" s="52"/>
      <c r="P23" s="52"/>
      <c r="Q23" s="125"/>
      <c r="R23" s="52" t="s">
        <v>182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25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100" t="s">
        <v>53</v>
      </c>
      <c r="I24" s="55"/>
      <c r="J24" s="100" t="s">
        <v>169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101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102"/>
    </row>
    <row r="25" spans="2:61" ht="20.100000000000001" customHeight="1" thickBot="1" x14ac:dyDescent="0.5">
      <c r="B25" s="95"/>
      <c r="C25" s="31"/>
      <c r="D25" s="31"/>
      <c r="E25" s="31"/>
      <c r="F25" s="31"/>
      <c r="G25" s="96"/>
      <c r="H25" s="100" t="s">
        <v>168</v>
      </c>
      <c r="I25" s="55"/>
      <c r="J25" s="100" t="s">
        <v>196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101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102"/>
    </row>
    <row r="26" spans="2:61" ht="5.0999999999999996" customHeight="1" x14ac:dyDescent="0.45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41"/>
  <sheetViews>
    <sheetView zoomScaleNormal="100" zoomScaleSheetLayoutView="100" workbookViewId="0">
      <selection activeCell="R6" sqref="R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0" t="s">
        <v>0</v>
      </c>
      <c r="C2" s="195"/>
      <c r="D2" s="195"/>
      <c r="E2" s="195"/>
      <c r="F2" s="195"/>
      <c r="G2" s="195"/>
      <c r="H2" s="195" t="s">
        <v>17</v>
      </c>
      <c r="I2" s="195"/>
      <c r="J2" s="195"/>
      <c r="K2" s="195"/>
      <c r="L2" s="195" t="s">
        <v>241</v>
      </c>
      <c r="M2" s="195"/>
      <c r="N2" s="195"/>
      <c r="O2" s="195"/>
      <c r="P2" s="195"/>
      <c r="Q2" s="195"/>
      <c r="R2" s="195" t="s">
        <v>2</v>
      </c>
      <c r="S2" s="195"/>
      <c r="T2" s="195"/>
      <c r="U2" s="195"/>
      <c r="V2" s="195"/>
      <c r="W2" s="195"/>
      <c r="X2" s="201" t="s">
        <v>3</v>
      </c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3"/>
      <c r="AK2" s="201" t="s">
        <v>32</v>
      </c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3"/>
      <c r="AX2" s="195" t="s">
        <v>5</v>
      </c>
      <c r="AY2" s="195"/>
      <c r="AZ2" s="195"/>
      <c r="BA2" s="195"/>
      <c r="BB2" s="195" t="s">
        <v>4</v>
      </c>
      <c r="BC2" s="195"/>
      <c r="BD2" s="195"/>
      <c r="BE2" s="195"/>
      <c r="BF2" s="195" t="s">
        <v>6</v>
      </c>
      <c r="BG2" s="195"/>
      <c r="BH2" s="195"/>
      <c r="BI2" s="195"/>
      <c r="BJ2" s="195" t="s">
        <v>7</v>
      </c>
      <c r="BK2" s="195"/>
      <c r="BL2" s="195"/>
      <c r="BM2" s="196"/>
    </row>
    <row r="3" spans="2:65" ht="20.100000000000001" customHeight="1" x14ac:dyDescent="0.45">
      <c r="B3" s="204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SU0200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3" t="str">
        <f ca="1">変更履歴!X3</f>
        <v>SU0200_手入力鏡_帳票設計書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手入力鏡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45583</v>
      </c>
      <c r="AY3" s="150"/>
      <c r="AZ3" s="150"/>
      <c r="BA3" s="150"/>
      <c r="BB3" s="139" t="str">
        <f>変更履歴!BB3</f>
        <v>大谷</v>
      </c>
      <c r="BC3" s="139"/>
      <c r="BD3" s="139"/>
      <c r="BE3" s="139"/>
      <c r="BF3" s="150">
        <f>変更履歴!BF3</f>
        <v>45583</v>
      </c>
      <c r="BG3" s="150"/>
      <c r="BH3" s="150"/>
      <c r="BI3" s="150"/>
      <c r="BJ3" s="139" t="str">
        <f>変更履歴!BJ3</f>
        <v>大谷</v>
      </c>
      <c r="BK3" s="139"/>
      <c r="BL3" s="139"/>
      <c r="BM3" s="193"/>
    </row>
    <row r="4" spans="2:65" ht="20.100000000000001" customHeight="1" thickBot="1" x14ac:dyDescent="0.5">
      <c r="B4" s="205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7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9"/>
      <c r="AK4" s="197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9"/>
      <c r="AX4" s="191"/>
      <c r="AY4" s="191"/>
      <c r="AZ4" s="191"/>
      <c r="BA4" s="191"/>
      <c r="BB4" s="192"/>
      <c r="BC4" s="192"/>
      <c r="BD4" s="192"/>
      <c r="BE4" s="192"/>
      <c r="BF4" s="191"/>
      <c r="BG4" s="191"/>
      <c r="BH4" s="191"/>
      <c r="BI4" s="191"/>
      <c r="BJ4" s="192"/>
      <c r="BK4" s="192"/>
      <c r="BL4" s="192"/>
      <c r="BM4" s="194"/>
    </row>
    <row r="5" spans="2:65" ht="5.0999999999999996" customHeight="1" thickBot="1" x14ac:dyDescent="0.5"/>
    <row r="6" spans="2:65" ht="20.100000000000001" customHeight="1" x14ac:dyDescent="0.45">
      <c r="B6" s="89" t="s">
        <v>145</v>
      </c>
      <c r="C6" s="90"/>
      <c r="D6" s="90"/>
      <c r="E6" s="90"/>
      <c r="F6" s="90"/>
      <c r="G6" s="91"/>
      <c r="H6" s="92" t="s">
        <v>84</v>
      </c>
      <c r="I6" s="90"/>
      <c r="J6" s="120" t="s">
        <v>146</v>
      </c>
      <c r="K6" s="121"/>
      <c r="L6" s="121"/>
      <c r="M6" s="121"/>
      <c r="N6" s="121"/>
      <c r="O6" s="121"/>
      <c r="P6" s="121"/>
      <c r="Q6" s="122"/>
      <c r="R6" s="121" t="s">
        <v>147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119</v>
      </c>
      <c r="K7" s="52"/>
      <c r="L7" s="52"/>
      <c r="M7" s="52"/>
      <c r="N7" s="52"/>
      <c r="O7" s="52"/>
      <c r="P7" s="52"/>
      <c r="Q7" s="125"/>
      <c r="R7" s="52" t="s">
        <v>148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118</v>
      </c>
      <c r="K8" s="52"/>
      <c r="L8" s="52"/>
      <c r="M8" s="52"/>
      <c r="N8" s="52"/>
      <c r="O8" s="52"/>
      <c r="P8" s="52"/>
      <c r="Q8" s="125"/>
      <c r="R8" s="52" t="s">
        <v>149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99</v>
      </c>
      <c r="K9" s="52"/>
      <c r="L9" s="52"/>
      <c r="M9" s="52"/>
      <c r="N9" s="52"/>
      <c r="O9" s="52"/>
      <c r="P9" s="52"/>
      <c r="Q9" s="125"/>
      <c r="R9" s="52" t="s">
        <v>150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101</v>
      </c>
      <c r="K10" s="52"/>
      <c r="L10" s="52"/>
      <c r="M10" s="52"/>
      <c r="N10" s="52"/>
      <c r="O10" s="52"/>
      <c r="P10" s="52"/>
      <c r="Q10" s="125"/>
      <c r="R10" s="52" t="s">
        <v>151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205</v>
      </c>
      <c r="K11" s="52"/>
      <c r="L11" s="52"/>
      <c r="M11" s="52"/>
      <c r="N11" s="52"/>
      <c r="O11" s="52"/>
      <c r="P11" s="52"/>
      <c r="Q11" s="125"/>
      <c r="R11" s="52" t="s">
        <v>171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206</v>
      </c>
      <c r="K12" s="52"/>
      <c r="L12" s="52"/>
      <c r="M12" s="52"/>
      <c r="N12" s="52"/>
      <c r="O12" s="52"/>
      <c r="P12" s="52"/>
      <c r="Q12" s="125"/>
      <c r="R12" s="52" t="s">
        <v>172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31"/>
      <c r="I13" s="31"/>
      <c r="J13" s="124" t="s">
        <v>207</v>
      </c>
      <c r="K13" s="52"/>
      <c r="L13" s="52"/>
      <c r="M13" s="52"/>
      <c r="N13" s="52"/>
      <c r="O13" s="52"/>
      <c r="P13" s="52"/>
      <c r="Q13" s="125"/>
      <c r="R13" s="52" t="s">
        <v>179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31"/>
      <c r="I14" s="31"/>
      <c r="J14" s="124" t="s">
        <v>208</v>
      </c>
      <c r="K14" s="52"/>
      <c r="L14" s="52"/>
      <c r="M14" s="52"/>
      <c r="N14" s="52"/>
      <c r="O14" s="52"/>
      <c r="P14" s="52"/>
      <c r="Q14" s="125"/>
      <c r="R14" s="52" t="s">
        <v>180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31"/>
      <c r="I15" s="31"/>
      <c r="J15" s="124" t="s">
        <v>121</v>
      </c>
      <c r="K15" s="52"/>
      <c r="L15" s="52"/>
      <c r="M15" s="52"/>
      <c r="N15" s="52"/>
      <c r="O15" s="52"/>
      <c r="P15" s="52"/>
      <c r="Q15" s="125"/>
      <c r="R15" s="52" t="s">
        <v>214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209</v>
      </c>
      <c r="K16" s="52"/>
      <c r="L16" s="52"/>
      <c r="M16" s="52"/>
      <c r="N16" s="52"/>
      <c r="O16" s="52"/>
      <c r="P16" s="52"/>
      <c r="Q16" s="125"/>
      <c r="R16" s="52" t="s">
        <v>173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31"/>
      <c r="I17" s="31"/>
      <c r="J17" s="124" t="s">
        <v>122</v>
      </c>
      <c r="K17" s="52"/>
      <c r="L17" s="52"/>
      <c r="M17" s="52"/>
      <c r="N17" s="52"/>
      <c r="O17" s="52"/>
      <c r="P17" s="52"/>
      <c r="Q17" s="125"/>
      <c r="R17" s="52" t="s">
        <v>174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31"/>
      <c r="I18" s="31"/>
      <c r="J18" s="124" t="s">
        <v>123</v>
      </c>
      <c r="K18" s="52"/>
      <c r="L18" s="52"/>
      <c r="M18" s="52"/>
      <c r="N18" s="52"/>
      <c r="O18" s="52"/>
      <c r="P18" s="52"/>
      <c r="Q18" s="125"/>
      <c r="R18" s="52" t="s">
        <v>175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31"/>
      <c r="I19" s="31"/>
      <c r="J19" s="124" t="s">
        <v>124</v>
      </c>
      <c r="K19" s="52"/>
      <c r="L19" s="52"/>
      <c r="M19" s="52"/>
      <c r="N19" s="52"/>
      <c r="O19" s="52"/>
      <c r="P19" s="52"/>
      <c r="Q19" s="125"/>
      <c r="R19" s="52" t="s">
        <v>176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31"/>
      <c r="I20" s="31"/>
      <c r="J20" s="124" t="s">
        <v>125</v>
      </c>
      <c r="K20" s="52"/>
      <c r="L20" s="52"/>
      <c r="M20" s="52"/>
      <c r="N20" s="52"/>
      <c r="O20" s="52"/>
      <c r="P20" s="52"/>
      <c r="Q20" s="125"/>
      <c r="R20" s="52" t="s">
        <v>177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31"/>
      <c r="I21" s="31"/>
      <c r="J21" s="124" t="s">
        <v>126</v>
      </c>
      <c r="K21" s="52"/>
      <c r="L21" s="52"/>
      <c r="M21" s="52"/>
      <c r="N21" s="52"/>
      <c r="O21" s="52"/>
      <c r="P21" s="52"/>
      <c r="Q21" s="125"/>
      <c r="R21" s="52" t="s">
        <v>178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31"/>
      <c r="I22" s="31"/>
      <c r="J22" s="124" t="s">
        <v>216</v>
      </c>
      <c r="K22" s="52"/>
      <c r="L22" s="52"/>
      <c r="M22" s="52"/>
      <c r="N22" s="52"/>
      <c r="O22" s="52"/>
      <c r="P22" s="52"/>
      <c r="Q22" s="125"/>
      <c r="R22" s="52" t="s">
        <v>215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 t="s">
        <v>217</v>
      </c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31"/>
      <c r="I23" s="31"/>
      <c r="J23" s="124" t="s">
        <v>218</v>
      </c>
      <c r="K23" s="52"/>
      <c r="L23" s="52"/>
      <c r="M23" s="52"/>
      <c r="N23" s="52"/>
      <c r="O23" s="52"/>
      <c r="P23" s="52"/>
      <c r="Q23" s="125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25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31"/>
      <c r="I24" s="31"/>
      <c r="J24" s="124" t="s">
        <v>219</v>
      </c>
      <c r="K24" s="52"/>
      <c r="L24" s="52"/>
      <c r="M24" s="52"/>
      <c r="N24" s="52"/>
      <c r="O24" s="52"/>
      <c r="P24" s="52"/>
      <c r="Q24" s="125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25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123"/>
      <c r="C25" s="31"/>
      <c r="D25" s="31"/>
      <c r="E25" s="31"/>
      <c r="F25" s="31"/>
      <c r="G25" s="96"/>
      <c r="H25" s="100" t="s">
        <v>53</v>
      </c>
      <c r="I25" s="55"/>
      <c r="J25" s="97" t="s">
        <v>212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101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102"/>
    </row>
    <row r="26" spans="2:61" ht="20.100000000000001" customHeight="1" x14ac:dyDescent="0.45">
      <c r="B26" s="123"/>
      <c r="C26" s="31"/>
      <c r="D26" s="31"/>
      <c r="E26" s="31"/>
      <c r="F26" s="31"/>
      <c r="G26" s="96"/>
      <c r="H26" s="97"/>
      <c r="I26" s="31"/>
      <c r="J26" s="97" t="s">
        <v>222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123"/>
      <c r="C27" s="31"/>
      <c r="D27" s="31"/>
      <c r="E27" s="31"/>
      <c r="F27" s="31"/>
      <c r="G27" s="96"/>
      <c r="H27" s="97"/>
      <c r="I27" s="31"/>
      <c r="J27" s="97" t="s">
        <v>218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123"/>
      <c r="C28" s="31"/>
      <c r="D28" s="31"/>
      <c r="E28" s="31"/>
      <c r="F28" s="31"/>
      <c r="G28" s="96"/>
      <c r="H28" s="97"/>
      <c r="I28" s="31"/>
      <c r="J28" s="97" t="s">
        <v>218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95"/>
      <c r="C29" s="31"/>
      <c r="D29" s="31"/>
      <c r="E29" s="31"/>
      <c r="F29" s="31"/>
      <c r="G29" s="96"/>
      <c r="H29" s="100" t="s">
        <v>54</v>
      </c>
      <c r="I29" s="55"/>
      <c r="J29" s="100" t="s">
        <v>220</v>
      </c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101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102"/>
    </row>
    <row r="30" spans="2:61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 t="s">
        <v>224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95"/>
      <c r="C31" s="31"/>
      <c r="D31" s="31"/>
      <c r="E31" s="31"/>
      <c r="F31" s="31"/>
      <c r="G31" s="96"/>
      <c r="H31" s="97"/>
      <c r="I31" s="31"/>
      <c r="J31" s="97"/>
      <c r="K31" s="31"/>
      <c r="L31" s="31"/>
      <c r="M31" s="31" t="s">
        <v>223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98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95"/>
      <c r="C32" s="31"/>
      <c r="D32" s="31"/>
      <c r="E32" s="31"/>
      <c r="F32" s="31"/>
      <c r="G32" s="96"/>
      <c r="H32" s="97"/>
      <c r="I32" s="31"/>
      <c r="J32" s="97" t="s">
        <v>218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97" t="s">
        <v>218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95"/>
      <c r="C34" s="31"/>
      <c r="D34" s="31"/>
      <c r="E34" s="31"/>
      <c r="F34" s="31"/>
      <c r="G34" s="96"/>
      <c r="H34" s="100" t="s">
        <v>55</v>
      </c>
      <c r="I34" s="55"/>
      <c r="J34" s="100" t="s">
        <v>213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101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102"/>
    </row>
    <row r="35" spans="2:61" ht="20.100000000000001" customHeight="1" x14ac:dyDescent="0.45">
      <c r="B35" s="89" t="s">
        <v>221</v>
      </c>
      <c r="C35" s="90"/>
      <c r="D35" s="90"/>
      <c r="E35" s="90"/>
      <c r="F35" s="90"/>
      <c r="G35" s="91"/>
      <c r="H35" s="92" t="s">
        <v>84</v>
      </c>
      <c r="I35" s="90"/>
      <c r="J35" s="120" t="s">
        <v>227</v>
      </c>
      <c r="K35" s="121"/>
      <c r="L35" s="121"/>
      <c r="M35" s="121"/>
      <c r="N35" s="121"/>
      <c r="O35" s="121"/>
      <c r="P35" s="121"/>
      <c r="Q35" s="122"/>
      <c r="R35" s="121" t="s">
        <v>228</v>
      </c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2"/>
      <c r="AK35" s="93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4"/>
    </row>
    <row r="36" spans="2:61" ht="20.100000000000001" customHeight="1" x14ac:dyDescent="0.45">
      <c r="B36" s="123"/>
      <c r="C36" s="31"/>
      <c r="D36" s="31"/>
      <c r="E36" s="31"/>
      <c r="F36" s="31"/>
      <c r="G36" s="96"/>
      <c r="H36" s="97"/>
      <c r="I36" s="31"/>
      <c r="J36" s="124" t="s">
        <v>230</v>
      </c>
      <c r="K36" s="52"/>
      <c r="L36" s="52"/>
      <c r="M36" s="52"/>
      <c r="N36" s="52"/>
      <c r="O36" s="52"/>
      <c r="P36" s="52"/>
      <c r="Q36" s="125"/>
      <c r="R36" s="52" t="s">
        <v>229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125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 x14ac:dyDescent="0.45">
      <c r="B37" s="123"/>
      <c r="C37" s="31"/>
      <c r="D37" s="31"/>
      <c r="E37" s="31"/>
      <c r="F37" s="31"/>
      <c r="G37" s="96"/>
      <c r="H37" s="100" t="s">
        <v>53</v>
      </c>
      <c r="I37" s="55"/>
      <c r="J37" s="100" t="s">
        <v>210</v>
      </c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101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102"/>
    </row>
    <row r="38" spans="2:61" ht="20.100000000000001" customHeight="1" x14ac:dyDescent="0.45">
      <c r="B38" s="95"/>
      <c r="C38" s="31"/>
      <c r="D38" s="31"/>
      <c r="E38" s="31"/>
      <c r="F38" s="31"/>
      <c r="G38" s="96"/>
      <c r="H38" s="100" t="s">
        <v>55</v>
      </c>
      <c r="I38" s="55"/>
      <c r="J38" s="100"/>
      <c r="K38" s="55" t="s">
        <v>225</v>
      </c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101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102"/>
    </row>
    <row r="39" spans="2:61" ht="20.100000000000001" customHeight="1" x14ac:dyDescent="0.45">
      <c r="B39" s="95"/>
      <c r="C39" s="31"/>
      <c r="D39" s="31"/>
      <c r="E39" s="31"/>
      <c r="F39" s="31"/>
      <c r="G39" s="96"/>
      <c r="H39" s="97"/>
      <c r="I39" s="31"/>
      <c r="J39" s="97" t="s">
        <v>211</v>
      </c>
      <c r="K39" s="31" t="s">
        <v>226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thickBot="1" x14ac:dyDescent="0.5">
      <c r="B40" s="95"/>
      <c r="C40" s="31"/>
      <c r="D40" s="31"/>
      <c r="E40" s="31"/>
      <c r="F40" s="31"/>
      <c r="G40" s="96"/>
      <c r="H40" s="97"/>
      <c r="I40" s="31"/>
      <c r="J40" s="97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5.0999999999999996" customHeight="1" x14ac:dyDescent="0.45"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0" t="s">
        <v>0</v>
      </c>
      <c r="C2" s="195"/>
      <c r="D2" s="195"/>
      <c r="E2" s="195"/>
      <c r="F2" s="195"/>
      <c r="G2" s="195"/>
      <c r="H2" s="195" t="s">
        <v>17</v>
      </c>
      <c r="I2" s="195"/>
      <c r="J2" s="195"/>
      <c r="K2" s="195"/>
      <c r="L2" s="195" t="s">
        <v>1</v>
      </c>
      <c r="M2" s="195"/>
      <c r="N2" s="195"/>
      <c r="O2" s="195"/>
      <c r="P2" s="195"/>
      <c r="Q2" s="195"/>
      <c r="R2" s="195" t="s">
        <v>2</v>
      </c>
      <c r="S2" s="195"/>
      <c r="T2" s="195"/>
      <c r="U2" s="195"/>
      <c r="V2" s="195"/>
      <c r="W2" s="195"/>
      <c r="X2" s="201" t="s">
        <v>3</v>
      </c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3"/>
      <c r="AK2" s="201" t="s">
        <v>32</v>
      </c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3"/>
      <c r="AX2" s="195" t="s">
        <v>5</v>
      </c>
      <c r="AY2" s="195"/>
      <c r="AZ2" s="195"/>
      <c r="BA2" s="195"/>
      <c r="BB2" s="195" t="s">
        <v>4</v>
      </c>
      <c r="BC2" s="195"/>
      <c r="BD2" s="195"/>
      <c r="BE2" s="195"/>
      <c r="BF2" s="195" t="s">
        <v>6</v>
      </c>
      <c r="BG2" s="195"/>
      <c r="BH2" s="195"/>
      <c r="BI2" s="195"/>
      <c r="BJ2" s="195" t="s">
        <v>7</v>
      </c>
      <c r="BK2" s="195"/>
      <c r="BL2" s="195"/>
      <c r="BM2" s="196"/>
    </row>
    <row r="3" spans="2:65" ht="20.100000000000001" customHeight="1" x14ac:dyDescent="0.45">
      <c r="B3" s="204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SU0200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3" t="str">
        <f ca="1">変更履歴!X3</f>
        <v>SU0200_手入力鏡_帳票設計書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手入力鏡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45583</v>
      </c>
      <c r="AY3" s="150"/>
      <c r="AZ3" s="150"/>
      <c r="BA3" s="150"/>
      <c r="BB3" s="139" t="str">
        <f>変更履歴!BB3</f>
        <v>大谷</v>
      </c>
      <c r="BC3" s="139"/>
      <c r="BD3" s="139"/>
      <c r="BE3" s="139"/>
      <c r="BF3" s="150">
        <f>変更履歴!BF3</f>
        <v>45583</v>
      </c>
      <c r="BG3" s="150"/>
      <c r="BH3" s="150"/>
      <c r="BI3" s="150"/>
      <c r="BJ3" s="139" t="str">
        <f>変更履歴!BJ3</f>
        <v>大谷</v>
      </c>
      <c r="BK3" s="139"/>
      <c r="BL3" s="139"/>
      <c r="BM3" s="193"/>
    </row>
    <row r="4" spans="2:65" ht="20.100000000000001" customHeight="1" thickBot="1" x14ac:dyDescent="0.5">
      <c r="B4" s="205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7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9"/>
      <c r="AK4" s="197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9"/>
      <c r="AX4" s="191"/>
      <c r="AY4" s="191"/>
      <c r="AZ4" s="191"/>
      <c r="BA4" s="191"/>
      <c r="BB4" s="192"/>
      <c r="BC4" s="192"/>
      <c r="BD4" s="192"/>
      <c r="BE4" s="192"/>
      <c r="BF4" s="191"/>
      <c r="BG4" s="191"/>
      <c r="BH4" s="191"/>
      <c r="BI4" s="191"/>
      <c r="BJ4" s="192"/>
      <c r="BK4" s="192"/>
      <c r="BL4" s="192"/>
      <c r="BM4" s="194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51.3984375" style="29" bestFit="1" customWidth="1"/>
    <col min="6" max="6" width="51.3984375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32" t="s">
        <v>232</v>
      </c>
      <c r="G3" s="78" t="s">
        <v>51</v>
      </c>
    </row>
    <row r="4" spans="2:7" x14ac:dyDescent="0.45">
      <c r="B4" s="37">
        <v>1</v>
      </c>
      <c r="C4" s="79" t="s">
        <v>197</v>
      </c>
      <c r="D4" s="79"/>
      <c r="E4" s="80" t="s">
        <v>231</v>
      </c>
      <c r="F4" s="80" t="s">
        <v>233</v>
      </c>
      <c r="G4" s="81" t="s">
        <v>234</v>
      </c>
    </row>
    <row r="5" spans="2:7" x14ac:dyDescent="0.45">
      <c r="B5" s="37">
        <v>2</v>
      </c>
      <c r="C5" s="79" t="s">
        <v>200</v>
      </c>
      <c r="D5" s="79"/>
      <c r="E5" s="82" t="s">
        <v>204</v>
      </c>
      <c r="F5" s="82" t="s">
        <v>235</v>
      </c>
      <c r="G5" s="81" t="s">
        <v>234</v>
      </c>
    </row>
    <row r="6" spans="2:7" x14ac:dyDescent="0.45">
      <c r="B6" s="37">
        <v>3</v>
      </c>
      <c r="C6" s="79"/>
      <c r="D6" s="79"/>
      <c r="E6" s="82"/>
      <c r="F6" s="82"/>
      <c r="G6" s="81"/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2"/>
  <sheetViews>
    <sheetView topLeftCell="A10" workbookViewId="0"/>
  </sheetViews>
  <sheetFormatPr defaultRowHeight="18" x14ac:dyDescent="0.45"/>
  <sheetData>
    <row r="2" spans="2:15" x14ac:dyDescent="0.45">
      <c r="B2" s="128" t="s">
        <v>198</v>
      </c>
      <c r="O2" s="128" t="s">
        <v>199</v>
      </c>
    </row>
    <row r="33" spans="2:13" ht="18.600000000000001" thickBot="1" x14ac:dyDescent="0.5"/>
    <row r="34" spans="2:13" ht="23.4" thickTop="1" x14ac:dyDescent="0.45">
      <c r="B34" s="129" t="s">
        <v>19</v>
      </c>
      <c r="C34" s="206" t="s">
        <v>201</v>
      </c>
      <c r="D34" s="207"/>
      <c r="E34" s="207"/>
      <c r="F34" s="207"/>
      <c r="G34" s="207"/>
      <c r="H34" s="207"/>
      <c r="I34" s="207"/>
      <c r="J34" s="207"/>
      <c r="K34" s="207"/>
      <c r="L34" s="207"/>
      <c r="M34" s="208"/>
    </row>
    <row r="35" spans="2:13" ht="26.4" x14ac:dyDescent="0.45">
      <c r="B35" s="130">
        <v>1</v>
      </c>
      <c r="C35" s="209" t="s">
        <v>202</v>
      </c>
      <c r="D35" s="210"/>
      <c r="E35" s="210"/>
      <c r="F35" s="210"/>
      <c r="G35" s="210"/>
      <c r="H35" s="210"/>
      <c r="I35" s="210"/>
      <c r="J35" s="210"/>
      <c r="K35" s="210"/>
      <c r="L35" s="210"/>
      <c r="M35" s="211"/>
    </row>
    <row r="36" spans="2:13" ht="26.4" x14ac:dyDescent="0.45">
      <c r="B36" s="130">
        <v>2</v>
      </c>
      <c r="C36" s="209" t="s">
        <v>203</v>
      </c>
      <c r="D36" s="210"/>
      <c r="E36" s="210"/>
      <c r="F36" s="210"/>
      <c r="G36" s="210"/>
      <c r="H36" s="210"/>
      <c r="I36" s="210"/>
      <c r="J36" s="210"/>
      <c r="K36" s="210"/>
      <c r="L36" s="210"/>
      <c r="M36" s="211"/>
    </row>
    <row r="37" spans="2:13" ht="26.4" x14ac:dyDescent="0.45">
      <c r="B37" s="130">
        <v>3</v>
      </c>
      <c r="C37" s="209"/>
      <c r="D37" s="210"/>
      <c r="E37" s="210"/>
      <c r="F37" s="210"/>
      <c r="G37" s="210"/>
      <c r="H37" s="210"/>
      <c r="I37" s="210"/>
      <c r="J37" s="210"/>
      <c r="K37" s="210"/>
      <c r="L37" s="210"/>
      <c r="M37" s="211"/>
    </row>
    <row r="38" spans="2:13" s="29" customFormat="1" ht="26.4" x14ac:dyDescent="0.45">
      <c r="B38" s="130">
        <v>4</v>
      </c>
      <c r="C38" s="209"/>
      <c r="D38" s="210"/>
      <c r="E38" s="210"/>
      <c r="F38" s="210"/>
      <c r="G38" s="210"/>
      <c r="H38" s="210"/>
      <c r="I38" s="210"/>
      <c r="J38" s="210"/>
      <c r="K38" s="210"/>
      <c r="L38" s="210"/>
      <c r="M38" s="211"/>
    </row>
    <row r="39" spans="2:13" s="29" customFormat="1" ht="26.4" x14ac:dyDescent="0.45">
      <c r="B39" s="130">
        <v>5</v>
      </c>
      <c r="C39" s="209"/>
      <c r="D39" s="210"/>
      <c r="E39" s="210"/>
      <c r="F39" s="210"/>
      <c r="G39" s="210"/>
      <c r="H39" s="210"/>
      <c r="I39" s="210"/>
      <c r="J39" s="210"/>
      <c r="K39" s="210"/>
      <c r="L39" s="210"/>
      <c r="M39" s="211"/>
    </row>
    <row r="40" spans="2:13" s="29" customFormat="1" ht="26.4" x14ac:dyDescent="0.45">
      <c r="B40" s="130">
        <v>6</v>
      </c>
      <c r="C40" s="209"/>
      <c r="D40" s="210"/>
      <c r="E40" s="210"/>
      <c r="F40" s="210"/>
      <c r="G40" s="210"/>
      <c r="H40" s="210"/>
      <c r="I40" s="210"/>
      <c r="J40" s="210"/>
      <c r="K40" s="210"/>
      <c r="L40" s="210"/>
      <c r="M40" s="211"/>
    </row>
    <row r="41" spans="2:13" ht="27" thickBot="1" x14ac:dyDescent="0.5">
      <c r="B41" s="131">
        <v>7</v>
      </c>
      <c r="C41" s="212"/>
      <c r="D41" s="213"/>
      <c r="E41" s="213"/>
      <c r="F41" s="213"/>
      <c r="G41" s="213"/>
      <c r="H41" s="213"/>
      <c r="I41" s="213"/>
      <c r="J41" s="213"/>
      <c r="K41" s="213"/>
      <c r="L41" s="213"/>
      <c r="M41" s="214"/>
    </row>
    <row r="42" spans="2:13" ht="18.600000000000001" thickTop="1" x14ac:dyDescent="0.45"/>
  </sheetData>
  <mergeCells count="8">
    <mergeCell ref="C34:M34"/>
    <mergeCell ref="C35:M35"/>
    <mergeCell ref="C36:M36"/>
    <mergeCell ref="C37:M37"/>
    <mergeCell ref="C41:M41"/>
    <mergeCell ref="C39:M39"/>
    <mergeCell ref="C38:M38"/>
    <mergeCell ref="C40:M40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22" sqref="N22"/>
    </sheetView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14</vt:i4>
      </vt:variant>
    </vt:vector>
  </HeadingPairs>
  <TitlesOfParts>
    <vt:vector size="25" baseType="lpstr">
      <vt:lpstr>変更履歴</vt:lpstr>
      <vt:lpstr>概要</vt:lpstr>
      <vt:lpstr>帳票レイアウト</vt:lpstr>
      <vt:lpstr>項目一覧</vt:lpstr>
      <vt:lpstr>処理詳細_no</vt:lpstr>
      <vt:lpstr>処理詳細</vt:lpstr>
      <vt:lpstr>処理詳細_書き方</vt:lpstr>
      <vt:lpstr>確認事項</vt:lpstr>
      <vt:lpstr>レイアウト比較</vt:lpstr>
      <vt:lpstr>別紙_印刷レイアウト</vt:lpstr>
      <vt:lpstr>参照</vt:lpstr>
      <vt:lpstr>概要!Print_Area</vt:lpstr>
      <vt:lpstr>項目一覧!Print_Area</vt:lpstr>
      <vt:lpstr>処理詳細!Print_Area</vt:lpstr>
      <vt:lpstr>処理詳細_no!Print_Area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処理詳細_no!Print_Titles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2025-05-24T05:32:56Z</dcterms:modified>
</cp:coreProperties>
</file>