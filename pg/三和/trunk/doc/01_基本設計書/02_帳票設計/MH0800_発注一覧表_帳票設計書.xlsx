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232" windowHeight="8472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帳票レイアウト確認点" sheetId="20" r:id="rId8"/>
    <sheet name="別紙_印刷レイアウト" sheetId="21" r:id="rId9"/>
    <sheet name="参照" sheetId="12" state="hidden" r:id="rId10"/>
  </sheets>
  <definedNames>
    <definedName name="_xlnm.Print_Area" localSheetId="1">概要!$A$1:$BN$31</definedName>
    <definedName name="_xlnm.Print_Area" localSheetId="3">項目一覧!$A$1:$BX$52</definedName>
    <definedName name="_xlnm.Print_Area" localSheetId="4">処理詳細!$A$1:$BR$174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<sst xmlns="http://schemas.openxmlformats.org/spreadsheetml/2006/main" count="580" uniqueCount="302">
  <si>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</si>
  <si>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</si>
  <si>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</si>
  <si>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</si>
  <si>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</si>
  <si>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</si>
  <si>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</si>
  <si>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</si>
  <si>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</si>
  <si>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</si>
  <si>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</si>
  <si>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</si>
  <si>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</si>
  <si>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</si>
  <si>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</si>
  <si>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</si>
  <si>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</si>
  <si>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</si>
  <si>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</si>
  <si>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</si>
  <si>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</si>
  <si>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</si>
  <si>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</si>
  <si>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</si>
  <si>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</si>
  <si>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</si>
  <si>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</si>
  <si>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</si>
  <si>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</si>
  <si>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</si>
  <si>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</si>
  <si>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</si>
  <si>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</si>
  <si>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</si>
  <si>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</si>
  <si>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</si>
  <si>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</si>
  <si>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</si>
  <si>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</si>
  <si>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</si>
  <si>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</si>
  <si>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</si>
  <si>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</si>
  <si>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</si>
  <si>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</si>
  <si>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</si>
  <si>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</si>
  <si>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</si>
  <si>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</si>
  <si>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</si>
  <si>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</si>
  <si>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</si>
  <si>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</si>
  <si>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</si>
  <si>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</si>
  <si>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</si>
  <si>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</si>
  <si>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</si>
  <si>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</si>
  <si>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</si>
  <si>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</si>
  <si>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</si>
  <si>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</si>
  <si>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</si>
  <si>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</si>
  <si>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</si>
  <si>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</si>
  <si>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</si>
  <si>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</si>
  <si>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</si>
  <si>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</si>
  <si>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</si>
  <si>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</si>
  <si>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</si>
  <si>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</si>
  <si>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</si>
  <si>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</si>
  <si>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</si>
  <si>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</si>
  <si>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</si>
  <si>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</si>
  <si>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</si>
  <si>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</si>
  <si>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</si>
  <si>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</si>
  <si>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</si>
  <si>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</si>
  <si>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</si>
  <si>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</si>
  <si>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</si>
  <si>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-</t>
    <phoneticPr fontId="2"/>
  </si>
  <si>
    <t>PDF</t>
    <phoneticPr fontId="2"/>
  </si>
  <si>
    <t>pdf</t>
    <phoneticPr fontId="2"/>
  </si>
  <si>
    <t>-</t>
    <phoneticPr fontId="2"/>
  </si>
  <si>
    <t>作成日</t>
    <rPh sb="0" eb="3">
      <t>サクセイビ</t>
    </rPh>
    <phoneticPr fontId="1"/>
  </si>
  <si>
    <t>物件名</t>
    <rPh sb="0" eb="2">
      <t>ブッケン</t>
    </rPh>
    <rPh sb="2" eb="3">
      <t>メイ</t>
    </rPh>
    <phoneticPr fontId="1"/>
  </si>
  <si>
    <t>納入先CD</t>
    <rPh sb="0" eb="3">
      <t>ノウニュウサキ</t>
    </rPh>
    <phoneticPr fontId="1"/>
  </si>
  <si>
    <t>納入先名</t>
    <rPh sb="0" eb="4">
      <t>ノウニュウサキメイ</t>
    </rPh>
    <phoneticPr fontId="1"/>
  </si>
  <si>
    <t>仕入先CD</t>
    <rPh sb="0" eb="3">
      <t>シイレサキ</t>
    </rPh>
    <phoneticPr fontId="1"/>
  </si>
  <si>
    <t>仕入先名</t>
    <rPh sb="0" eb="4">
      <t>シイレサキメイ</t>
    </rPh>
    <phoneticPr fontId="1"/>
  </si>
  <si>
    <t>見積番号</t>
    <rPh sb="0" eb="2">
      <t>ミツモリ</t>
    </rPh>
    <rPh sb="2" eb="4">
      <t>バンゴウ</t>
    </rPh>
    <phoneticPr fontId="1"/>
  </si>
  <si>
    <t>見積日付</t>
    <rPh sb="0" eb="2">
      <t>ミツモリ</t>
    </rPh>
    <rPh sb="2" eb="4">
      <t>ヒヅケ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</si>
  <si>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</si>
  <si>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</si>
  <si>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現在日付</t>
    <rPh sb="0" eb="4">
      <t>ゲンザイヒヅケ</t>
    </rPh>
    <phoneticPr fontId="1"/>
  </si>
  <si>
    <t>製品No</t>
    <rPh sb="0" eb="2">
      <t>セイヒン</t>
    </rPh>
    <phoneticPr fontId="1"/>
  </si>
  <si>
    <t>仕様No</t>
    <rPh sb="0" eb="2">
      <t>シヨウ</t>
    </rPh>
    <phoneticPr fontId="1"/>
  </si>
  <si>
    <t>品名</t>
    <rPh sb="0" eb="2">
      <t>ヒンメイ</t>
    </rPh>
    <phoneticPr fontId="1"/>
  </si>
  <si>
    <t>サイズ</t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</si>
  <si>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</si>
  <si>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</si>
  <si>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</si>
  <si>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</si>
  <si>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行番号</t>
  </si>
  <si>
    <t>漢字名称</t>
  </si>
  <si>
    <t>発注数</t>
  </si>
  <si>
    <t>仕入単価</t>
  </si>
  <si>
    <t>yyyy年mm月dd日</t>
    <rPh sb="4" eb="5">
      <t>ネン</t>
    </rPh>
    <rPh sb="7" eb="8">
      <t>ツキ</t>
    </rPh>
    <rPh sb="10" eb="11">
      <t>ビ</t>
    </rPh>
    <phoneticPr fontId="1"/>
  </si>
  <si>
    <t>見積件名</t>
  </si>
  <si>
    <t>納入先CD</t>
  </si>
  <si>
    <t>[99999]</t>
    <phoneticPr fontId="1"/>
  </si>
  <si>
    <t>納入先名1</t>
  </si>
  <si>
    <t>見積番号</t>
  </si>
  <si>
    <t>製品NO</t>
  </si>
  <si>
    <t>仕様NO</t>
  </si>
  <si>
    <t>仕入金額</t>
  </si>
  <si>
    <t>仕入金額計</t>
    <rPh sb="0" eb="2">
      <t>シイレ</t>
    </rPh>
    <rPh sb="2" eb="4">
      <t>キンガク</t>
    </rPh>
    <rPh sb="4" eb="5">
      <t>ケイ</t>
    </rPh>
    <phoneticPr fontId="1"/>
  </si>
  <si>
    <t>項目一覧</t>
    <rPh sb="0" eb="4">
      <t>コウモクイチラン</t>
    </rPh>
    <phoneticPr fontId="2"/>
  </si>
  <si>
    <t>No18,19</t>
    <phoneticPr fontId="2"/>
  </si>
  <si>
    <t>SQL2</t>
    <phoneticPr fontId="2"/>
  </si>
  <si>
    <t>SQL3</t>
    <phoneticPr fontId="2"/>
  </si>
  <si>
    <t>納入得意先CD</t>
  </si>
  <si>
    <t>納入先名2</t>
  </si>
  <si>
    <t>SP区分</t>
  </si>
  <si>
    <t>PC区分</t>
  </si>
  <si>
    <t>ベース色</t>
  </si>
  <si>
    <t>W</t>
  </si>
  <si>
    <t>D</t>
  </si>
  <si>
    <t>H</t>
  </si>
  <si>
    <t>D1</t>
  </si>
  <si>
    <t>D2</t>
  </si>
  <si>
    <t>H1</t>
  </si>
  <si>
    <t>H2</t>
  </si>
  <si>
    <t>単位名</t>
  </si>
  <si>
    <t>U区分</t>
    <phoneticPr fontId="2"/>
  </si>
  <si>
    <t>見積日付</t>
    <phoneticPr fontId="2"/>
  </si>
  <si>
    <t>見積区分</t>
    <phoneticPr fontId="2"/>
  </si>
  <si>
    <t>仕入先名1</t>
    <phoneticPr fontId="2"/>
  </si>
  <si>
    <t>仕入先CD</t>
    <phoneticPr fontId="2"/>
  </si>
  <si>
    <t>TD見積.見積番号</t>
  </si>
  <si>
    <t>TD見積.見積件名</t>
  </si>
  <si>
    <t>TD見積.納入得意先CD</t>
  </si>
  <si>
    <t>TD見積.納入先CD</t>
  </si>
  <si>
    <t>TD見積.納入先名1</t>
  </si>
  <si>
    <t>TD見積.納入先名2</t>
  </si>
  <si>
    <t>TD見積シートM.行番号</t>
  </si>
  <si>
    <t>TD見積シートM.SP区分</t>
  </si>
  <si>
    <t>TD見積シートM.PC区分</t>
  </si>
  <si>
    <t>TD見積シートM.製品NO</t>
  </si>
  <si>
    <t>TD見積シートM.仕様NO</t>
  </si>
  <si>
    <t>TD見積シートM.ベース色</t>
  </si>
  <si>
    <t>TD見積シートM.漢字名称</t>
  </si>
  <si>
    <t>TD見積シートM.W</t>
  </si>
  <si>
    <t>TD見積シートM.D</t>
  </si>
  <si>
    <t>TD見積シートM.H</t>
  </si>
  <si>
    <t>TD見積シートM.D1</t>
  </si>
  <si>
    <t>TD見積シートM.D2</t>
  </si>
  <si>
    <t>TD見積シートM.H1</t>
  </si>
  <si>
    <t>TD見積シートM.H2</t>
  </si>
  <si>
    <t>TD見積シートM.単位名</t>
  </si>
  <si>
    <t>TD見積シートM.仕入先CD</t>
  </si>
  <si>
    <t>TD見積シートM.見積区分</t>
  </si>
  <si>
    <t>TD見積シートM.U区分</t>
  </si>
  <si>
    <t>TD見積.見積日付</t>
    <phoneticPr fontId="2"/>
  </si>
  <si>
    <t>SQL5</t>
    <phoneticPr fontId="2"/>
  </si>
  <si>
    <t>SQL2</t>
    <phoneticPr fontId="2"/>
  </si>
  <si>
    <t>TD見積シートM</t>
    <phoneticPr fontId="2"/>
  </si>
  <si>
    <t>INNER JOIN</t>
    <phoneticPr fontId="2"/>
  </si>
  <si>
    <t>TD見積シートM</t>
    <phoneticPr fontId="2"/>
  </si>
  <si>
    <t>TD見積</t>
    <phoneticPr fontId="2"/>
  </si>
  <si>
    <t xml:space="preserve">TD見積.見積番号 = TD見積シートM.見積番号 </t>
    <phoneticPr fontId="2"/>
  </si>
  <si>
    <t>発注数 &lt;&gt; 0</t>
    <phoneticPr fontId="2"/>
  </si>
  <si>
    <t>AND</t>
    <phoneticPr fontId="2"/>
  </si>
  <si>
    <t>発注数計</t>
    <rPh sb="0" eb="3">
      <t>ハッチュウスウ</t>
    </rPh>
    <rPh sb="3" eb="4">
      <t>ケイ</t>
    </rPh>
    <phoneticPr fontId="1"/>
  </si>
  <si>
    <t>発注数計D</t>
    <rPh sb="0" eb="3">
      <t>ハッチュウスウ</t>
    </rPh>
    <rPh sb="3" eb="4">
      <t>ケイ</t>
    </rPh>
    <phoneticPr fontId="1"/>
  </si>
  <si>
    <t>SQL1</t>
    <phoneticPr fontId="2"/>
  </si>
  <si>
    <t>SQL1.見積件名</t>
    <rPh sb="5" eb="9">
      <t>ミツモリケンメイ</t>
    </rPh>
    <phoneticPr fontId="1"/>
  </si>
  <si>
    <t>SQL1.納入先CD</t>
    <rPh sb="5" eb="8">
      <t>ノウニュウサキ</t>
    </rPh>
    <phoneticPr fontId="1"/>
  </si>
  <si>
    <t>SQL1.納入先名1</t>
    <rPh sb="5" eb="9">
      <t>ノウニュウサキメイ</t>
    </rPh>
    <phoneticPr fontId="1"/>
  </si>
  <si>
    <t>SQL1.仕入先CD</t>
    <rPh sb="5" eb="8">
      <t>シイレサキ</t>
    </rPh>
    <phoneticPr fontId="1"/>
  </si>
  <si>
    <t>SQL1.仕入先名1</t>
    <rPh sb="5" eb="9">
      <t>シイレサキメイ</t>
    </rPh>
    <phoneticPr fontId="1"/>
  </si>
  <si>
    <t>SQL1.見積番号</t>
    <rPh sb="5" eb="9">
      <t>ミツモリバンゴウ</t>
    </rPh>
    <phoneticPr fontId="1"/>
  </si>
  <si>
    <t>SQL1.見積日付</t>
    <rPh sb="5" eb="9">
      <t>ミツモリヒヅケ</t>
    </rPh>
    <phoneticPr fontId="1"/>
  </si>
  <si>
    <t>SQL1.行番号,SQL1.見積区分</t>
    <rPh sb="5" eb="8">
      <t>ギョウバンゴウ</t>
    </rPh>
    <rPh sb="14" eb="16">
      <t>ミツモリ</t>
    </rPh>
    <rPh sb="16" eb="18">
      <t>クブン</t>
    </rPh>
    <phoneticPr fontId="1"/>
  </si>
  <si>
    <t>SQL1.製品NO</t>
    <rPh sb="5" eb="7">
      <t>セイヒン</t>
    </rPh>
    <phoneticPr fontId="1"/>
  </si>
  <si>
    <t>SQL1.仕様NO</t>
    <rPh sb="5" eb="7">
      <t>シヨウシヨウ</t>
    </rPh>
    <phoneticPr fontId="1"/>
  </si>
  <si>
    <t>SQL1.漢字名称</t>
    <rPh sb="5" eb="9">
      <t>カンジメイショウ</t>
    </rPh>
    <phoneticPr fontId="1"/>
  </si>
  <si>
    <t>SQL1.発注数</t>
    <phoneticPr fontId="1"/>
  </si>
  <si>
    <t>SQL1.単位名</t>
    <phoneticPr fontId="1"/>
  </si>
  <si>
    <t>SQL1.仕入単価,SQL1.U区分</t>
    <rPh sb="5" eb="7">
      <t>シイレ</t>
    </rPh>
    <phoneticPr fontId="1"/>
  </si>
  <si>
    <t>[SQL1.見積区分]が"A","C","S"ではないときのみ[SQL1.行番号]を表示</t>
    <rPh sb="6" eb="10">
      <t>ミツモリクブン</t>
    </rPh>
    <rPh sb="37" eb="40">
      <t>ギョウバンゴウ</t>
    </rPh>
    <rPh sb="42" eb="44">
      <t>ヒョウジ</t>
    </rPh>
    <phoneticPr fontId="1"/>
  </si>
  <si>
    <t>[U区分]が"U"の場合、[SQL1.仕入単価]+"未"と表示する</t>
    <rPh sb="10" eb="12">
      <t>バアイ</t>
    </rPh>
    <rPh sb="19" eb="23">
      <t>シイレタンカ</t>
    </rPh>
    <rPh sb="26" eb="27">
      <t>ミ</t>
    </rPh>
    <rPh sb="29" eb="31">
      <t>ヒョウジ</t>
    </rPh>
    <phoneticPr fontId="1"/>
  </si>
  <si>
    <t>1レコードごとの[SQL1.仕入金額]</t>
    <phoneticPr fontId="1"/>
  </si>
  <si>
    <t>仕入先ごとの[SQL1.仕入金額]の合計</t>
    <rPh sb="0" eb="3">
      <t>シイレサキ</t>
    </rPh>
    <rPh sb="18" eb="20">
      <t>ゴウケイ</t>
    </rPh>
    <phoneticPr fontId="1"/>
  </si>
  <si>
    <t>SQL1.仕入金額</t>
    <rPh sb="5" eb="7">
      <t>シイレ</t>
    </rPh>
    <rPh sb="7" eb="9">
      <t>キンガク</t>
    </rPh>
    <phoneticPr fontId="1"/>
  </si>
  <si>
    <t>SQL1.発注数</t>
    <rPh sb="5" eb="8">
      <t>ハッチュウスウ</t>
    </rPh>
    <phoneticPr fontId="1"/>
  </si>
  <si>
    <t>SQL1.仕入金額</t>
    <rPh sb="5" eb="9">
      <t>シイレキンガク</t>
    </rPh>
    <phoneticPr fontId="1"/>
  </si>
  <si>
    <t>SQL1.製品区分,SQL1.W,SQL1.H,SQL1.H1,SQL1.H2,SQL1.D,SQL1.D1,SQL1.D2</t>
    <phoneticPr fontId="1"/>
  </si>
  <si>
    <t>[SQL1.W]×[SQL1.D]×[SQL1.H]を表示。
[W]が0の場合は表示しない。
[D]が0の場合はD1/D2を表示。D1,D2どちらも0の場合は表示しない。
[H]が0の場合はH1/H2を表示。H1,H2どちらも0の場合は表示しない。</t>
    <rPh sb="27" eb="29">
      <t>ヒョウジ</t>
    </rPh>
    <rPh sb="37" eb="39">
      <t>バアイ</t>
    </rPh>
    <rPh sb="40" eb="42">
      <t>ヒョウジ</t>
    </rPh>
    <rPh sb="53" eb="55">
      <t>バアイ</t>
    </rPh>
    <rPh sb="62" eb="64">
      <t>ヒョウジ</t>
    </rPh>
    <rPh sb="76" eb="78">
      <t>バアイ</t>
    </rPh>
    <rPh sb="79" eb="81">
      <t>ヒョウジ</t>
    </rPh>
    <phoneticPr fontId="1"/>
  </si>
  <si>
    <t>W×D×H</t>
    <phoneticPr fontId="1"/>
  </si>
  <si>
    <t>TD見積シートM.発注数</t>
    <phoneticPr fontId="2"/>
  </si>
  <si>
    <t>insert</t>
    <phoneticPr fontId="2"/>
  </si>
  <si>
    <t>(</t>
    <phoneticPr fontId="2"/>
  </si>
  <si>
    <t>join</t>
    <phoneticPr fontId="2"/>
  </si>
  <si>
    <t>union</t>
    <phoneticPr fontId="2"/>
  </si>
  <si>
    <t>SQL3</t>
    <phoneticPr fontId="2"/>
  </si>
  <si>
    <t>union all</t>
    <phoneticPr fontId="2"/>
  </si>
  <si>
    <t>SQL4</t>
    <phoneticPr fontId="2"/>
  </si>
  <si>
    <t>LEFT JOIN</t>
    <phoneticPr fontId="2"/>
  </si>
  <si>
    <t>TM仕入先</t>
    <phoneticPr fontId="2"/>
  </si>
  <si>
    <t>)  tmp_sql1</t>
    <phoneticPr fontId="2"/>
  </si>
  <si>
    <t>tmp_sql1.仕入先CD = TM仕入先.仕入先CD</t>
    <phoneticPr fontId="2"/>
  </si>
  <si>
    <t>AND</t>
    <phoneticPr fontId="2"/>
  </si>
  <si>
    <t>order by</t>
    <phoneticPr fontId="2"/>
  </si>
  <si>
    <t>[tmp_sql1.見積番号]の昇順</t>
    <rPh sb="16" eb="18">
      <t>ショウジュン</t>
    </rPh>
    <phoneticPr fontId="2"/>
  </si>
  <si>
    <t>[tmp_sql1.仕入先CD]の昇順</t>
    <phoneticPr fontId="2"/>
  </si>
  <si>
    <t>[tmp_sql1.行番号]の昇順</t>
    <phoneticPr fontId="2"/>
  </si>
  <si>
    <t>tmp_sql1.仕入先CD &gt;= COALESCE([画面.開始仕入先CD], tmp_sql1.仕入先CD)</t>
    <rPh sb="28" eb="30">
      <t>ガメン</t>
    </rPh>
    <rPh sb="31" eb="33">
      <t>カイシ</t>
    </rPh>
    <phoneticPr fontId="2"/>
  </si>
  <si>
    <t>tmp_sql1.仕入先CD &lt;= COALESCE([画面.終了仕入先CD], tmp_sql1.仕入先CD)</t>
    <rPh sb="31" eb="33">
      <t>シュウリョウ</t>
    </rPh>
    <phoneticPr fontId="2"/>
  </si>
  <si>
    <t>TD見積.見積番号 = [画面.見積番号]</t>
    <rPh sb="13" eb="15">
      <t>ガメン</t>
    </rPh>
    <phoneticPr fontId="2"/>
  </si>
  <si>
    <t>発注数があり、データ</t>
    <phoneticPr fontId="2"/>
  </si>
  <si>
    <t>内訳はいらない</t>
    <phoneticPr fontId="2"/>
  </si>
  <si>
    <t>コメントでないもの</t>
    <phoneticPr fontId="2"/>
  </si>
  <si>
    <t>TD見積シートM.見積区分 IN ('','1','2','3','4','5','6','7','8','9')</t>
    <phoneticPr fontId="2"/>
  </si>
  <si>
    <t>TD見積シートM.見積区分 = 'A'</t>
    <phoneticPr fontId="2"/>
  </si>
  <si>
    <t>[sql5] &lt;&gt; 0</t>
    <phoneticPr fontId="2"/>
  </si>
  <si>
    <t>SQL4</t>
    <phoneticPr fontId="2"/>
  </si>
  <si>
    <t>発注数があり、データ</t>
    <phoneticPr fontId="2"/>
  </si>
  <si>
    <t>コメントAのもの</t>
    <phoneticPr fontId="2"/>
  </si>
  <si>
    <t>コメントC/Sのもの</t>
    <phoneticPr fontId="2"/>
  </si>
  <si>
    <t>(</t>
    <phoneticPr fontId="2"/>
  </si>
  <si>
    <t>TD見積シートM.見積区分 = 'C'</t>
    <phoneticPr fontId="2"/>
  </si>
  <si>
    <t>TD見積シートM.見積区分 = 'S'</t>
    <phoneticPr fontId="2"/>
  </si>
  <si>
    <t>OR</t>
    <phoneticPr fontId="2"/>
  </si>
  <si>
    <t>)</t>
    <phoneticPr fontId="2"/>
  </si>
  <si>
    <t>発注数</t>
    <phoneticPr fontId="2"/>
  </si>
  <si>
    <t>TOP 1 TD見積シートM.発注数</t>
    <phoneticPr fontId="2"/>
  </si>
  <si>
    <t>TD見積シートM</t>
    <phoneticPr fontId="2"/>
  </si>
  <si>
    <t>AND</t>
    <phoneticPr fontId="2"/>
  </si>
  <si>
    <t>TD見積シートM.見積区分 IN ('','1','2','3','4','5','6','7','8','9')</t>
    <phoneticPr fontId="2"/>
  </si>
  <si>
    <t>TD見積シートM.見積番号 = TD見積.見積番号</t>
    <phoneticPr fontId="2"/>
  </si>
  <si>
    <t>TD見積シートM.行番号 &gt;= TD見積.行番号</t>
    <phoneticPr fontId="2"/>
  </si>
  <si>
    <t>[TD見積シートM.行番号]の昇順</t>
    <rPh sb="15" eb="17">
      <t>ショウジュン</t>
    </rPh>
    <phoneticPr fontId="2"/>
  </si>
  <si>
    <t>SQL6</t>
    <phoneticPr fontId="2"/>
  </si>
  <si>
    <t>[sql6] &lt;&gt; 0</t>
    <phoneticPr fontId="2"/>
  </si>
  <si>
    <t>TD見積シートM.行番号 &lt;= TD見積.行番号</t>
    <phoneticPr fontId="2"/>
  </si>
  <si>
    <t>[TD見積シートM.行番号]の降順</t>
    <rPh sb="15" eb="17">
      <t>コウジュン</t>
    </rPh>
    <phoneticPr fontId="2"/>
  </si>
  <si>
    <t>tmp_sql1.見積番号</t>
    <phoneticPr fontId="2"/>
  </si>
  <si>
    <t>tmp_sql1.見積件名</t>
    <phoneticPr fontId="2"/>
  </si>
  <si>
    <t>tmp_sql1.納入得意先CD</t>
    <phoneticPr fontId="2"/>
  </si>
  <si>
    <t>tmp_sql1.納入先CD</t>
    <phoneticPr fontId="2"/>
  </si>
  <si>
    <t>tmp_sql1.納入先名1</t>
    <phoneticPr fontId="2"/>
  </si>
  <si>
    <t>tmp_sql1.納入先名2</t>
    <phoneticPr fontId="2"/>
  </si>
  <si>
    <t>tmp_sql1.行番号</t>
    <phoneticPr fontId="2"/>
  </si>
  <si>
    <t>tmp_sql1.SP区分</t>
    <phoneticPr fontId="2"/>
  </si>
  <si>
    <t>tmp_sql1.PC区分</t>
    <phoneticPr fontId="2"/>
  </si>
  <si>
    <t>tmp_sql1.製品NO</t>
    <phoneticPr fontId="2"/>
  </si>
  <si>
    <t>tmp_sql1.仕様NO</t>
    <phoneticPr fontId="2"/>
  </si>
  <si>
    <t>tmp_sql1.ベース色</t>
    <phoneticPr fontId="2"/>
  </si>
  <si>
    <t>tmp_sql1.漢字名称</t>
    <phoneticPr fontId="2"/>
  </si>
  <si>
    <t>tmp_sql1.W</t>
    <phoneticPr fontId="2"/>
  </si>
  <si>
    <t>tmp_sql1.D</t>
    <phoneticPr fontId="2"/>
  </si>
  <si>
    <t>tmp_sql1.H</t>
    <phoneticPr fontId="2"/>
  </si>
  <si>
    <t>tmp_sql1.D1</t>
    <phoneticPr fontId="2"/>
  </si>
  <si>
    <t>tmp_sql1.D2</t>
    <phoneticPr fontId="2"/>
  </si>
  <si>
    <t>tmp_sql1.H1</t>
    <phoneticPr fontId="2"/>
  </si>
  <si>
    <t>tmp_sql1.H2</t>
    <phoneticPr fontId="2"/>
  </si>
  <si>
    <t>tmp_sql1.発注数</t>
    <phoneticPr fontId="2"/>
  </si>
  <si>
    <t>tmp_sql1.単位名</t>
    <phoneticPr fontId="2"/>
  </si>
  <si>
    <t>tmp_sql1.仕入単価</t>
    <phoneticPr fontId="2"/>
  </si>
  <si>
    <t>tmp_sql1.発注数 * tmp_sql1.仕入単価</t>
    <phoneticPr fontId="2"/>
  </si>
  <si>
    <t>tmp_sql1.仕入先CD</t>
    <phoneticPr fontId="2"/>
  </si>
  <si>
    <t>TM仕入先.仕入先名1</t>
    <phoneticPr fontId="2"/>
  </si>
  <si>
    <t>tmp_sql1.見積区分</t>
    <phoneticPr fontId="2"/>
  </si>
  <si>
    <t>tmp_sql1.見積日付</t>
    <phoneticPr fontId="2"/>
  </si>
  <si>
    <t>tmp_sql1.U区分</t>
    <phoneticPr fontId="2"/>
  </si>
  <si>
    <t>dbo.fn_CutFraction(TM仕入先.仕入端数,発注数 * 仕入単価,@decimalPoint)</t>
    <phoneticPr fontId="2"/>
  </si>
  <si>
    <t>TM仕入先</t>
    <phoneticPr fontId="2"/>
  </si>
  <si>
    <t>SQL2</t>
    <phoneticPr fontId="2"/>
  </si>
  <si>
    <t>(</t>
    <phoneticPr fontId="2"/>
  </si>
  <si>
    <t>) tmp_sql1</t>
    <phoneticPr fontId="2"/>
  </si>
  <si>
    <t>order by</t>
    <phoneticPr fontId="2"/>
  </si>
  <si>
    <t>18.19項目は何も表示されていないが必要な項目か確認。どのような内容を表示しているのか。</t>
    <rPh sb="5" eb="7">
      <t>コウモク</t>
    </rPh>
    <rPh sb="8" eb="9">
      <t>ナニ</t>
    </rPh>
    <rPh sb="10" eb="12">
      <t>ヒョウジ</t>
    </rPh>
    <rPh sb="19" eb="21">
      <t>ヒツヨウ</t>
    </rPh>
    <rPh sb="25" eb="27">
      <t>カクニン</t>
    </rPh>
    <rPh sb="33" eb="35">
      <t>ナイヨウ</t>
    </rPh>
    <rPh sb="36" eb="38">
      <t>ヒョウジ</t>
    </rPh>
    <phoneticPr fontId="2"/>
  </si>
  <si>
    <t>回答</t>
    <rPh sb="0" eb="2">
      <t>カイトウ</t>
    </rPh>
    <phoneticPr fontId="2"/>
  </si>
  <si>
    <t>表示されていない項目は不要</t>
    <rPh sb="0" eb="2">
      <t>ヒョウジ</t>
    </rPh>
    <rPh sb="8" eb="10">
      <t>コウモク</t>
    </rPh>
    <rPh sb="11" eb="13">
      <t>フヨウ</t>
    </rPh>
    <phoneticPr fontId="2"/>
  </si>
  <si>
    <t>〇</t>
    <phoneticPr fontId="2"/>
  </si>
  <si>
    <t>A4横</t>
    <rPh sb="2" eb="3">
      <t>ヨコ</t>
    </rPh>
    <phoneticPr fontId="2"/>
  </si>
  <si>
    <t>コメントB4</t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</si>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</sst>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3" fontId="3" fillId="6" borderId="5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62754</xdr:colOff>
      <xdr:row>9</xdr:row>
      <xdr:rowOff>137833</xdr:rowOff>
    </xdr:from>
    <xdr:to>
      <xdr:col>64</xdr:col>
      <xdr:colOff>40560</xdr:colOff>
      <xdr:row>28</xdr:row>
      <xdr:rowOff>122247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436" y="2020421"/>
          <a:ext cx="17485877" cy="4753638"/>
        </a:xfrm>
        <a:prstGeom prst="rect">
          <a:avLst/>
        </a:prstGeom>
      </xdr:spPr>
    </xdr:pic>
    <xdr:clientData/>
  </xdr:twoCellAnchor>
  <xdr:twoCellAnchor>
    <xdr:from>
      <xdr:col>8</xdr:col>
      <xdr:colOff>17929</xdr:colOff>
      <xdr:row>15</xdr:row>
      <xdr:rowOff>26895</xdr:rowOff>
    </xdr:from>
    <xdr:to>
      <xdr:col>9</xdr:col>
      <xdr:colOff>80682</xdr:colOff>
      <xdr:row>16</xdr:row>
      <xdr:rowOff>98613</xdr:rowOff>
    </xdr:to>
    <xdr:sp macro="" textlink="">
      <xdr:nvSpPr>
        <xdr:cNvPr id="5" name="正方形/長方形 4"/>
        <xdr:cNvSpPr/>
      </xdr:nvSpPr>
      <xdr:spPr>
        <a:xfrm>
          <a:off x="2043953" y="341555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179294</xdr:colOff>
      <xdr:row>16</xdr:row>
      <xdr:rowOff>17930</xdr:rowOff>
    </xdr:from>
    <xdr:to>
      <xdr:col>34</xdr:col>
      <xdr:colOff>242047</xdr:colOff>
      <xdr:row>17</xdr:row>
      <xdr:rowOff>89649</xdr:rowOff>
    </xdr:to>
    <xdr:sp macro="" textlink="">
      <xdr:nvSpPr>
        <xdr:cNvPr id="6" name="正方形/長方形 5"/>
        <xdr:cNvSpPr/>
      </xdr:nvSpPr>
      <xdr:spPr>
        <a:xfrm>
          <a:off x="9152965" y="36576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179294</xdr:colOff>
      <xdr:row>14</xdr:row>
      <xdr:rowOff>188260</xdr:rowOff>
    </xdr:from>
    <xdr:to>
      <xdr:col>34</xdr:col>
      <xdr:colOff>242047</xdr:colOff>
      <xdr:row>16</xdr:row>
      <xdr:rowOff>8966</xdr:rowOff>
    </xdr:to>
    <xdr:sp macro="" textlink="">
      <xdr:nvSpPr>
        <xdr:cNvPr id="7" name="正方形/長方形 6"/>
        <xdr:cNvSpPr/>
      </xdr:nvSpPr>
      <xdr:spPr>
        <a:xfrm>
          <a:off x="9152965" y="332590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242047</xdr:colOff>
      <xdr:row>13</xdr:row>
      <xdr:rowOff>1</xdr:rowOff>
    </xdr:from>
    <xdr:to>
      <xdr:col>49</xdr:col>
      <xdr:colOff>26893</xdr:colOff>
      <xdr:row>14</xdr:row>
      <xdr:rowOff>71719</xdr:rowOff>
    </xdr:to>
    <xdr:sp macro="" textlink="">
      <xdr:nvSpPr>
        <xdr:cNvPr id="8" name="正方形/長方形 7"/>
        <xdr:cNvSpPr/>
      </xdr:nvSpPr>
      <xdr:spPr>
        <a:xfrm>
          <a:off x="13106400" y="288663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57</xdr:col>
      <xdr:colOff>53788</xdr:colOff>
      <xdr:row>16</xdr:row>
      <xdr:rowOff>71718</xdr:rowOff>
    </xdr:from>
    <xdr:to>
      <xdr:col>58</xdr:col>
      <xdr:colOff>116540</xdr:colOff>
      <xdr:row>17</xdr:row>
      <xdr:rowOff>143437</xdr:rowOff>
    </xdr:to>
    <xdr:sp macro="" textlink="">
      <xdr:nvSpPr>
        <xdr:cNvPr id="9" name="正方形/長方形 8"/>
        <xdr:cNvSpPr/>
      </xdr:nvSpPr>
      <xdr:spPr>
        <a:xfrm>
          <a:off x="15697200" y="371138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57</xdr:col>
      <xdr:colOff>53788</xdr:colOff>
      <xdr:row>14</xdr:row>
      <xdr:rowOff>242049</xdr:rowOff>
    </xdr:from>
    <xdr:to>
      <xdr:col>58</xdr:col>
      <xdr:colOff>116540</xdr:colOff>
      <xdr:row>16</xdr:row>
      <xdr:rowOff>62755</xdr:rowOff>
    </xdr:to>
    <xdr:sp macro="" textlink="">
      <xdr:nvSpPr>
        <xdr:cNvPr id="10" name="正方形/長方形 9"/>
        <xdr:cNvSpPr/>
      </xdr:nvSpPr>
      <xdr:spPr>
        <a:xfrm>
          <a:off x="15697200" y="337969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268941</xdr:colOff>
      <xdr:row>19</xdr:row>
      <xdr:rowOff>170331</xdr:rowOff>
    </xdr:from>
    <xdr:to>
      <xdr:col>32</xdr:col>
      <xdr:colOff>53787</xdr:colOff>
      <xdr:row>20</xdr:row>
      <xdr:rowOff>242049</xdr:rowOff>
    </xdr:to>
    <xdr:sp macro="" textlink="">
      <xdr:nvSpPr>
        <xdr:cNvPr id="11" name="正方形/長方形 10"/>
        <xdr:cNvSpPr/>
      </xdr:nvSpPr>
      <xdr:spPr>
        <a:xfrm>
          <a:off x="8408894" y="456303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8965</xdr:colOff>
      <xdr:row>16</xdr:row>
      <xdr:rowOff>26895</xdr:rowOff>
    </xdr:from>
    <xdr:to>
      <xdr:col>12</xdr:col>
      <xdr:colOff>71717</xdr:colOff>
      <xdr:row>17</xdr:row>
      <xdr:rowOff>98614</xdr:rowOff>
    </xdr:to>
    <xdr:sp macro="" textlink="">
      <xdr:nvSpPr>
        <xdr:cNvPr id="12" name="正方形/長方形 11"/>
        <xdr:cNvSpPr/>
      </xdr:nvSpPr>
      <xdr:spPr>
        <a:xfrm>
          <a:off x="2868706" y="366656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268941</xdr:colOff>
      <xdr:row>16</xdr:row>
      <xdr:rowOff>80683</xdr:rowOff>
    </xdr:from>
    <xdr:to>
      <xdr:col>9</xdr:col>
      <xdr:colOff>53788</xdr:colOff>
      <xdr:row>17</xdr:row>
      <xdr:rowOff>152402</xdr:rowOff>
    </xdr:to>
    <xdr:sp macro="" textlink="">
      <xdr:nvSpPr>
        <xdr:cNvPr id="13" name="正方形/長方形 12"/>
        <xdr:cNvSpPr/>
      </xdr:nvSpPr>
      <xdr:spPr>
        <a:xfrm>
          <a:off x="2017059" y="372035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206188</xdr:colOff>
      <xdr:row>19</xdr:row>
      <xdr:rowOff>161365</xdr:rowOff>
    </xdr:from>
    <xdr:to>
      <xdr:col>13</xdr:col>
      <xdr:colOff>268940</xdr:colOff>
      <xdr:row>20</xdr:row>
      <xdr:rowOff>233083</xdr:rowOff>
    </xdr:to>
    <xdr:sp macro="" textlink="">
      <xdr:nvSpPr>
        <xdr:cNvPr id="14" name="正方形/長方形 13"/>
        <xdr:cNvSpPr/>
      </xdr:nvSpPr>
      <xdr:spPr>
        <a:xfrm>
          <a:off x="3343835" y="45540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35859</xdr:colOff>
      <xdr:row>19</xdr:row>
      <xdr:rowOff>161366</xdr:rowOff>
    </xdr:from>
    <xdr:to>
      <xdr:col>10</xdr:col>
      <xdr:colOff>98611</xdr:colOff>
      <xdr:row>20</xdr:row>
      <xdr:rowOff>233084</xdr:rowOff>
    </xdr:to>
    <xdr:sp macro="" textlink="">
      <xdr:nvSpPr>
        <xdr:cNvPr id="15" name="正方形/長方形 14"/>
        <xdr:cNvSpPr/>
      </xdr:nvSpPr>
      <xdr:spPr>
        <a:xfrm>
          <a:off x="2339788" y="45540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35859</xdr:colOff>
      <xdr:row>19</xdr:row>
      <xdr:rowOff>161366</xdr:rowOff>
    </xdr:from>
    <xdr:to>
      <xdr:col>6</xdr:col>
      <xdr:colOff>98611</xdr:colOff>
      <xdr:row>20</xdr:row>
      <xdr:rowOff>233084</xdr:rowOff>
    </xdr:to>
    <xdr:sp macro="" textlink="">
      <xdr:nvSpPr>
        <xdr:cNvPr id="16" name="正方形/長方形 15"/>
        <xdr:cNvSpPr/>
      </xdr:nvSpPr>
      <xdr:spPr>
        <a:xfrm>
          <a:off x="1228165" y="45540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</xdr:col>
      <xdr:colOff>53789</xdr:colOff>
      <xdr:row>19</xdr:row>
      <xdr:rowOff>161366</xdr:rowOff>
    </xdr:from>
    <xdr:to>
      <xdr:col>4</xdr:col>
      <xdr:colOff>116541</xdr:colOff>
      <xdr:row>20</xdr:row>
      <xdr:rowOff>233084</xdr:rowOff>
    </xdr:to>
    <xdr:sp macro="" textlink="">
      <xdr:nvSpPr>
        <xdr:cNvPr id="17" name="正方形/長方形 16"/>
        <xdr:cNvSpPr/>
      </xdr:nvSpPr>
      <xdr:spPr>
        <a:xfrm>
          <a:off x="690283" y="45540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215154</xdr:colOff>
      <xdr:row>19</xdr:row>
      <xdr:rowOff>161366</xdr:rowOff>
    </xdr:from>
    <xdr:to>
      <xdr:col>47</xdr:col>
      <xdr:colOff>0</xdr:colOff>
      <xdr:row>20</xdr:row>
      <xdr:rowOff>233084</xdr:rowOff>
    </xdr:to>
    <xdr:sp macro="" textlink="">
      <xdr:nvSpPr>
        <xdr:cNvPr id="18" name="正方形/長方形 17"/>
        <xdr:cNvSpPr/>
      </xdr:nvSpPr>
      <xdr:spPr>
        <a:xfrm>
          <a:off x="12523695" y="45540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0</xdr:colOff>
      <xdr:row>19</xdr:row>
      <xdr:rowOff>161366</xdr:rowOff>
    </xdr:from>
    <xdr:to>
      <xdr:col>49</xdr:col>
      <xdr:colOff>62752</xdr:colOff>
      <xdr:row>20</xdr:row>
      <xdr:rowOff>233084</xdr:rowOff>
    </xdr:to>
    <xdr:sp macro="" textlink="">
      <xdr:nvSpPr>
        <xdr:cNvPr id="19" name="正方形/長方形 18"/>
        <xdr:cNvSpPr/>
      </xdr:nvSpPr>
      <xdr:spPr>
        <a:xfrm>
          <a:off x="13142259" y="45540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35860</xdr:colOff>
      <xdr:row>19</xdr:row>
      <xdr:rowOff>161366</xdr:rowOff>
    </xdr:from>
    <xdr:to>
      <xdr:col>54</xdr:col>
      <xdr:colOff>98612</xdr:colOff>
      <xdr:row>20</xdr:row>
      <xdr:rowOff>233084</xdr:rowOff>
    </xdr:to>
    <xdr:sp macro="" textlink="">
      <xdr:nvSpPr>
        <xdr:cNvPr id="20" name="正方形/長方形 19"/>
        <xdr:cNvSpPr/>
      </xdr:nvSpPr>
      <xdr:spPr>
        <a:xfrm>
          <a:off x="14567648" y="45540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59</xdr:col>
      <xdr:colOff>0</xdr:colOff>
      <xdr:row>19</xdr:row>
      <xdr:rowOff>161366</xdr:rowOff>
    </xdr:from>
    <xdr:to>
      <xdr:col>60</xdr:col>
      <xdr:colOff>62753</xdr:colOff>
      <xdr:row>20</xdr:row>
      <xdr:rowOff>233084</xdr:rowOff>
    </xdr:to>
    <xdr:sp macro="" textlink="">
      <xdr:nvSpPr>
        <xdr:cNvPr id="21" name="正方形/長方形 20"/>
        <xdr:cNvSpPr/>
      </xdr:nvSpPr>
      <xdr:spPr>
        <a:xfrm>
          <a:off x="16199224" y="45540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59</xdr:col>
      <xdr:colOff>26894</xdr:colOff>
      <xdr:row>22</xdr:row>
      <xdr:rowOff>224119</xdr:rowOff>
    </xdr:from>
    <xdr:to>
      <xdr:col>60</xdr:col>
      <xdr:colOff>89647</xdr:colOff>
      <xdr:row>24</xdr:row>
      <xdr:rowOff>44825</xdr:rowOff>
    </xdr:to>
    <xdr:sp macro="" textlink="">
      <xdr:nvSpPr>
        <xdr:cNvPr id="22" name="正方形/長方形 21"/>
        <xdr:cNvSpPr/>
      </xdr:nvSpPr>
      <xdr:spPr>
        <a:xfrm>
          <a:off x="16226118" y="536986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17930</xdr:colOff>
      <xdr:row>22</xdr:row>
      <xdr:rowOff>215153</xdr:rowOff>
    </xdr:from>
    <xdr:to>
      <xdr:col>34</xdr:col>
      <xdr:colOff>80683</xdr:colOff>
      <xdr:row>24</xdr:row>
      <xdr:rowOff>35859</xdr:rowOff>
    </xdr:to>
    <xdr:sp macro="" textlink="">
      <xdr:nvSpPr>
        <xdr:cNvPr id="25" name="正方形/長方形 24"/>
        <xdr:cNvSpPr/>
      </xdr:nvSpPr>
      <xdr:spPr>
        <a:xfrm>
          <a:off x="8991601" y="53608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152401</xdr:colOff>
      <xdr:row>22</xdr:row>
      <xdr:rowOff>215153</xdr:rowOff>
    </xdr:from>
    <xdr:to>
      <xdr:col>40</xdr:col>
      <xdr:colOff>215153</xdr:colOff>
      <xdr:row>24</xdr:row>
      <xdr:rowOff>35859</xdr:rowOff>
    </xdr:to>
    <xdr:sp macro="" textlink="">
      <xdr:nvSpPr>
        <xdr:cNvPr id="26" name="正方形/長方形 25"/>
        <xdr:cNvSpPr/>
      </xdr:nvSpPr>
      <xdr:spPr>
        <a:xfrm>
          <a:off x="10793507" y="53608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365760</xdr:colOff>
      <xdr:row>0</xdr:row>
      <xdr:rowOff>76200</xdr:rowOff>
    </xdr:from>
    <xdr:to>
      <xdr:col>22</xdr:col>
      <xdr:colOff>645988</xdr:colOff>
      <xdr:row>31</xdr:row>
      <xdr:rowOff>96242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" y="76200"/>
          <a:ext cx="15032548" cy="7106642"/>
        </a:xfrm>
        <a:prstGeom prst="rect">
          <a:avLst/>
        </a:prstGeom>
      </xdr:spPr>
    </xdr:pic>
    <xdr:clientData/>
  </xdr:twoCellAnchor>
  <xdr:twoCellAnchor>
    <xdr:from>
      <xdr:col>11</xdr:col>
      <xdr:colOff>251460</xdr:colOff>
      <xdr:row>13</xdr:row>
      <xdr:rowOff>76200</xdr:rowOff>
    </xdr:from>
    <xdr:to>
      <xdr:col>13</xdr:col>
      <xdr:colOff>548640</xdr:colOff>
      <xdr:row>14</xdr:row>
      <xdr:rowOff>106680</xdr:rowOff>
    </xdr:to>
    <xdr:sp macro="" textlink="">
      <xdr:nvSpPr>
        <xdr:cNvPr id="3" name="正方形/長方形 2"/>
        <xdr:cNvSpPr/>
      </xdr:nvSpPr>
      <xdr:spPr>
        <a:xfrm>
          <a:off x="7627620" y="3048000"/>
          <a:ext cx="1638300" cy="2590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403860</xdr:colOff>
      <xdr:row>32</xdr:row>
      <xdr:rowOff>33338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228600"/>
          <a:ext cx="13144500" cy="7119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55" t="s">
        <v>0</v>
      </c>
      <c r="C2" s="138"/>
      <c r="D2" s="138"/>
      <c r="E2" s="138"/>
      <c r="F2" s="138"/>
      <c r="G2" s="138"/>
      <c r="H2" s="138" t="s">
        <v>17</v>
      </c>
      <c r="I2" s="138"/>
      <c r="J2" s="138"/>
      <c r="K2" s="138"/>
      <c r="L2" s="138" t="s">
        <v>300</v>
      </c>
      <c r="M2" s="138"/>
      <c r="N2" s="138"/>
      <c r="O2" s="138"/>
      <c r="P2" s="138"/>
      <c r="Q2" s="138"/>
      <c r="R2" s="138" t="s">
        <v>2</v>
      </c>
      <c r="S2" s="138"/>
      <c r="T2" s="138"/>
      <c r="U2" s="138"/>
      <c r="V2" s="138"/>
      <c r="W2" s="138"/>
      <c r="X2" s="150" t="s">
        <v>3</v>
      </c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2"/>
      <c r="AK2" s="150" t="s">
        <v>31</v>
      </c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2"/>
      <c r="AX2" s="138" t="s">
        <v>5</v>
      </c>
      <c r="AY2" s="138"/>
      <c r="AZ2" s="138"/>
      <c r="BA2" s="138"/>
      <c r="BB2" s="138" t="s">
        <v>4</v>
      </c>
      <c r="BC2" s="138"/>
      <c r="BD2" s="138"/>
      <c r="BE2" s="138"/>
      <c r="BF2" s="138" t="s">
        <v>6</v>
      </c>
      <c r="BG2" s="138"/>
      <c r="BH2" s="138"/>
      <c r="BI2" s="138"/>
      <c r="BJ2" s="138" t="s">
        <v>7</v>
      </c>
      <c r="BK2" s="138"/>
      <c r="BL2" s="138"/>
      <c r="BM2" s="139"/>
      <c r="BN2" s="14"/>
    </row>
    <row r="3" spans="1:66" ht="20.100000000000001" customHeight="1" x14ac:dyDescent="0.45">
      <c r="A3" s="8"/>
      <c r="B3" s="153" t="s">
        <v>298</v>
      </c>
      <c r="C3" s="141"/>
      <c r="D3" s="141"/>
      <c r="E3" s="141"/>
      <c r="F3" s="141"/>
      <c r="G3" s="141"/>
      <c r="H3" s="141" t="str">
        <f ca="1">LEFT($X$3,FIND("_",$X$3)-1)</f>
        <v>MH0800</v>
      </c>
      <c r="I3" s="141"/>
      <c r="J3" s="141"/>
      <c r="K3" s="141"/>
      <c r="L3" s="141" t="s">
        <v>299</v>
      </c>
      <c r="M3" s="141"/>
      <c r="N3" s="141"/>
      <c r="O3" s="141"/>
      <c r="P3" s="141"/>
      <c r="Q3" s="141"/>
      <c r="R3" s="154" t="str">
        <f ca="1">MID($X$3,FIND("_",$X$3,FIND("_",$X$3)+1)+1,LEN($X$3)-FIND("_",$X$3,FIND("_",$X$3)+1))</f>
        <v>帳票設計書</v>
      </c>
      <c r="S3" s="141"/>
      <c r="T3" s="141"/>
      <c r="U3" s="141"/>
      <c r="V3" s="141"/>
      <c r="W3" s="141"/>
      <c r="X3" s="144" t="str">
        <f ca="1">REPLACE(LEFT(CELL("filename",$B$2),FIND(".x",CELL("filename",$B$2))-1),1,FIND("[",CELL("filename",$B$2)),)</f>
        <v>MH0800_発注一覧表_帳票設計書</v>
      </c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6"/>
      <c r="AK3" s="144" t="str">
        <f ca="1">MID($X$3,FIND("_",$X$3)+1,FIND("_",$X$3,FIND("_",$X$3)+1)-FIND("_",$X$3)-1)</f>
        <v>発注一覧表</v>
      </c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6"/>
      <c r="AX3" s="140">
        <v>45583</v>
      </c>
      <c r="AY3" s="141"/>
      <c r="AZ3" s="141"/>
      <c r="BA3" s="141"/>
      <c r="BB3" s="141" t="s">
        <v>301</v>
      </c>
      <c r="BC3" s="141"/>
      <c r="BD3" s="141"/>
      <c r="BE3" s="141"/>
      <c r="BF3" s="140">
        <v>45583</v>
      </c>
      <c r="BG3" s="141"/>
      <c r="BH3" s="141"/>
      <c r="BI3" s="141"/>
      <c r="BJ3" s="141" t="s">
        <v>301</v>
      </c>
      <c r="BK3" s="141"/>
      <c r="BL3" s="141"/>
      <c r="BM3" s="143"/>
      <c r="BN3" s="14"/>
    </row>
    <row r="4" spans="1:66" ht="20.100000000000001" customHeight="1" thickBot="1" x14ac:dyDescent="0.5">
      <c r="A4" s="8"/>
      <c r="B4" s="146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7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9"/>
      <c r="AK4" s="147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9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4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37" t="s">
        <v>8</v>
      </c>
      <c r="D8" s="137"/>
      <c r="E8" s="137"/>
      <c r="F8" s="137"/>
      <c r="G8" s="137" t="s">
        <v>9</v>
      </c>
      <c r="H8" s="137"/>
      <c r="I8" s="137"/>
      <c r="J8" s="137"/>
      <c r="K8" s="137" t="s">
        <v>10</v>
      </c>
      <c r="L8" s="137"/>
      <c r="M8" s="137"/>
      <c r="N8" s="137"/>
      <c r="O8" s="137" t="s">
        <v>11</v>
      </c>
      <c r="P8" s="137"/>
      <c r="Q8" s="137"/>
      <c r="R8" s="137"/>
      <c r="S8" s="137"/>
      <c r="T8" s="137"/>
      <c r="U8" s="137"/>
      <c r="V8" s="137"/>
      <c r="W8" s="137"/>
      <c r="X8" s="137"/>
      <c r="Y8" s="137" t="s">
        <v>12</v>
      </c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7"/>
      <c r="BN8" s="14"/>
    </row>
    <row r="9" spans="1:66" ht="20.100000000000001" customHeight="1" x14ac:dyDescent="0.45">
      <c r="A9" s="8"/>
      <c r="B9" s="7"/>
      <c r="C9" s="136">
        <v>45583</v>
      </c>
      <c r="D9" s="134"/>
      <c r="E9" s="134"/>
      <c r="F9" s="135"/>
      <c r="G9" s="130" t="s">
        <v>16</v>
      </c>
      <c r="H9" s="131"/>
      <c r="I9" s="131"/>
      <c r="J9" s="132"/>
      <c r="K9" s="133" t="s">
        <v>301</v>
      </c>
      <c r="L9" s="134"/>
      <c r="M9" s="134"/>
      <c r="N9" s="135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36"/>
      <c r="D10" s="134"/>
      <c r="E10" s="134"/>
      <c r="F10" s="135"/>
      <c r="G10" s="130"/>
      <c r="H10" s="131"/>
      <c r="I10" s="131"/>
      <c r="J10" s="132"/>
      <c r="K10" s="133"/>
      <c r="L10" s="134"/>
      <c r="M10" s="134"/>
      <c r="N10" s="13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36"/>
      <c r="D11" s="134"/>
      <c r="E11" s="134"/>
      <c r="F11" s="135"/>
      <c r="G11" s="130"/>
      <c r="H11" s="131"/>
      <c r="I11" s="131"/>
      <c r="J11" s="132"/>
      <c r="K11" s="133"/>
      <c r="L11" s="134"/>
      <c r="M11" s="134"/>
      <c r="N11" s="13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36"/>
      <c r="D36" s="134"/>
      <c r="E36" s="134"/>
      <c r="F36" s="135"/>
      <c r="G36" s="130"/>
      <c r="H36" s="131"/>
      <c r="I36" s="131"/>
      <c r="J36" s="132"/>
      <c r="K36" s="133"/>
      <c r="L36" s="134"/>
      <c r="M36" s="134"/>
      <c r="N36" s="13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36"/>
      <c r="D37" s="134"/>
      <c r="E37" s="134"/>
      <c r="F37" s="135"/>
      <c r="G37" s="130"/>
      <c r="H37" s="131"/>
      <c r="I37" s="131"/>
      <c r="J37" s="132"/>
      <c r="K37" s="133"/>
      <c r="L37" s="134"/>
      <c r="M37" s="134"/>
      <c r="N37" s="13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36"/>
      <c r="D38" s="134"/>
      <c r="E38" s="134"/>
      <c r="F38" s="135"/>
      <c r="G38" s="130"/>
      <c r="H38" s="131"/>
      <c r="I38" s="131"/>
      <c r="J38" s="132"/>
      <c r="K38" s="133"/>
      <c r="L38" s="134"/>
      <c r="M38" s="134"/>
      <c r="N38" s="13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36"/>
      <c r="D39" s="134"/>
      <c r="E39" s="134"/>
      <c r="F39" s="135"/>
      <c r="G39" s="130"/>
      <c r="H39" s="131"/>
      <c r="I39" s="131"/>
      <c r="J39" s="132"/>
      <c r="K39" s="133"/>
      <c r="L39" s="134"/>
      <c r="M39" s="134"/>
      <c r="N39" s="13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36"/>
      <c r="D40" s="134"/>
      <c r="E40" s="134"/>
      <c r="F40" s="135"/>
      <c r="G40" s="130"/>
      <c r="H40" s="131"/>
      <c r="I40" s="131"/>
      <c r="J40" s="132"/>
      <c r="K40" s="133"/>
      <c r="L40" s="134"/>
      <c r="M40" s="134"/>
      <c r="N40" s="13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36"/>
      <c r="D41" s="134"/>
      <c r="E41" s="134"/>
      <c r="F41" s="135"/>
      <c r="G41" s="130"/>
      <c r="H41" s="131"/>
      <c r="I41" s="131"/>
      <c r="J41" s="132"/>
      <c r="K41" s="133"/>
      <c r="L41" s="134"/>
      <c r="M41" s="134"/>
      <c r="N41" s="13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36"/>
      <c r="D42" s="134"/>
      <c r="E42" s="134"/>
      <c r="F42" s="135"/>
      <c r="G42" s="130"/>
      <c r="H42" s="131"/>
      <c r="I42" s="131"/>
      <c r="J42" s="132"/>
      <c r="K42" s="133"/>
      <c r="L42" s="134"/>
      <c r="M42" s="134"/>
      <c r="N42" s="13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36"/>
      <c r="D43" s="134"/>
      <c r="E43" s="134"/>
      <c r="F43" s="135"/>
      <c r="G43" s="130"/>
      <c r="H43" s="131"/>
      <c r="I43" s="131"/>
      <c r="J43" s="132"/>
      <c r="K43" s="133"/>
      <c r="L43" s="134"/>
      <c r="M43" s="134"/>
      <c r="N43" s="13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36"/>
      <c r="D44" s="134"/>
      <c r="E44" s="134"/>
      <c r="F44" s="135"/>
      <c r="G44" s="130"/>
      <c r="H44" s="131"/>
      <c r="I44" s="131"/>
      <c r="J44" s="132"/>
      <c r="K44" s="133"/>
      <c r="L44" s="134"/>
      <c r="M44" s="134"/>
      <c r="N44" s="13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36"/>
      <c r="D45" s="134"/>
      <c r="E45" s="134"/>
      <c r="F45" s="135"/>
      <c r="G45" s="130"/>
      <c r="H45" s="131"/>
      <c r="I45" s="131"/>
      <c r="J45" s="132"/>
      <c r="K45" s="133"/>
      <c r="L45" s="134"/>
      <c r="M45" s="134"/>
      <c r="N45" s="13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36"/>
      <c r="D46" s="134"/>
      <c r="E46" s="134"/>
      <c r="F46" s="135"/>
      <c r="G46" s="130"/>
      <c r="H46" s="131"/>
      <c r="I46" s="131"/>
      <c r="J46" s="132"/>
      <c r="K46" s="133"/>
      <c r="L46" s="134"/>
      <c r="M46" s="134"/>
      <c r="N46" s="13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36"/>
      <c r="D47" s="134"/>
      <c r="E47" s="134"/>
      <c r="F47" s="135"/>
      <c r="G47" s="130"/>
      <c r="H47" s="131"/>
      <c r="I47" s="131"/>
      <c r="J47" s="132"/>
      <c r="K47" s="133"/>
      <c r="L47" s="134"/>
      <c r="M47" s="134"/>
      <c r="N47" s="13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55" t="s">
        <v>0</v>
      </c>
      <c r="C2" s="138"/>
      <c r="D2" s="138"/>
      <c r="E2" s="138"/>
      <c r="F2" s="138"/>
      <c r="G2" s="138"/>
      <c r="H2" s="138" t="s">
        <v>17</v>
      </c>
      <c r="I2" s="138"/>
      <c r="J2" s="138"/>
      <c r="K2" s="138"/>
      <c r="L2" s="138" t="s">
        <v>300</v>
      </c>
      <c r="M2" s="138"/>
      <c r="N2" s="138"/>
      <c r="O2" s="138"/>
      <c r="P2" s="138"/>
      <c r="Q2" s="138"/>
      <c r="R2" s="138" t="s">
        <v>2</v>
      </c>
      <c r="S2" s="138"/>
      <c r="T2" s="138"/>
      <c r="U2" s="138"/>
      <c r="V2" s="138"/>
      <c r="W2" s="138"/>
      <c r="X2" s="150" t="s">
        <v>3</v>
      </c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2"/>
      <c r="AK2" s="150" t="s">
        <v>32</v>
      </c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2"/>
      <c r="AX2" s="138" t="s">
        <v>5</v>
      </c>
      <c r="AY2" s="138"/>
      <c r="AZ2" s="138"/>
      <c r="BA2" s="138"/>
      <c r="BB2" s="138" t="s">
        <v>4</v>
      </c>
      <c r="BC2" s="138"/>
      <c r="BD2" s="138"/>
      <c r="BE2" s="138"/>
      <c r="BF2" s="138" t="s">
        <v>6</v>
      </c>
      <c r="BG2" s="138"/>
      <c r="BH2" s="138"/>
      <c r="BI2" s="138"/>
      <c r="BJ2" s="138" t="s">
        <v>7</v>
      </c>
      <c r="BK2" s="138"/>
      <c r="BL2" s="138"/>
      <c r="BM2" s="139"/>
      <c r="BN2" s="35"/>
    </row>
    <row r="3" spans="1:66" ht="20.100000000000001" customHeight="1" x14ac:dyDescent="0.45">
      <c r="A3" s="32"/>
      <c r="B3" s="153" t="str">
        <f>変更履歴!B3</f>
        <v>受発注システム</v>
      </c>
      <c r="C3" s="141"/>
      <c r="D3" s="141"/>
      <c r="E3" s="141"/>
      <c r="F3" s="141"/>
      <c r="G3" s="141"/>
      <c r="H3" s="141" t="str">
        <f ca="1">変更履歴!H3</f>
        <v>MH0800</v>
      </c>
      <c r="I3" s="141"/>
      <c r="J3" s="141"/>
      <c r="K3" s="141"/>
      <c r="L3" s="141" t="str">
        <f>変更履歴!L3</f>
        <v>受発注</v>
      </c>
      <c r="M3" s="141"/>
      <c r="N3" s="141"/>
      <c r="O3" s="141"/>
      <c r="P3" s="141"/>
      <c r="Q3" s="141"/>
      <c r="R3" s="141" t="str">
        <f ca="1">変更履歴!R3</f>
        <v>帳票設計書</v>
      </c>
      <c r="S3" s="141"/>
      <c r="T3" s="141"/>
      <c r="U3" s="141"/>
      <c r="V3" s="141"/>
      <c r="W3" s="141"/>
      <c r="X3" s="144" t="str">
        <f ca="1">変更履歴!X3</f>
        <v>MH0800_発注一覧表_帳票設計書</v>
      </c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6"/>
      <c r="AK3" s="144" t="str">
        <f ca="1">変更履歴!AK3</f>
        <v>発注一覧表</v>
      </c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6"/>
      <c r="AX3" s="140">
        <f>変更履歴!AX3</f>
        <v>45583</v>
      </c>
      <c r="AY3" s="140"/>
      <c r="AZ3" s="140"/>
      <c r="BA3" s="140"/>
      <c r="BB3" s="141" t="str">
        <f>変更履歴!BB3</f>
        <v>大谷</v>
      </c>
      <c r="BC3" s="141"/>
      <c r="BD3" s="141"/>
      <c r="BE3" s="141"/>
      <c r="BF3" s="140">
        <f>変更履歴!BF3</f>
        <v>45583</v>
      </c>
      <c r="BG3" s="140"/>
      <c r="BH3" s="140"/>
      <c r="BI3" s="140"/>
      <c r="BJ3" s="141" t="str">
        <f>変更履歴!BJ3</f>
        <v>大谷</v>
      </c>
      <c r="BK3" s="141"/>
      <c r="BL3" s="141"/>
      <c r="BM3" s="143"/>
      <c r="BN3" s="35"/>
    </row>
    <row r="4" spans="1:66" ht="20.100000000000001" customHeight="1" thickBot="1" x14ac:dyDescent="0.5">
      <c r="A4" s="32"/>
      <c r="B4" s="146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7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9"/>
      <c r="AK4" s="147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9"/>
      <c r="AX4" s="156"/>
      <c r="AY4" s="156"/>
      <c r="AZ4" s="156"/>
      <c r="BA4" s="156"/>
      <c r="BB4" s="142"/>
      <c r="BC4" s="142"/>
      <c r="BD4" s="142"/>
      <c r="BE4" s="142"/>
      <c r="BF4" s="156"/>
      <c r="BG4" s="156"/>
      <c r="BH4" s="156"/>
      <c r="BI4" s="156"/>
      <c r="BJ4" s="142"/>
      <c r="BK4" s="142"/>
      <c r="BL4" s="142"/>
      <c r="BM4" s="144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発注一覧表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90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91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92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90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93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90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90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296</v>
      </c>
      <c r="I15" s="54"/>
      <c r="J15" s="54" t="s">
        <v>297</v>
      </c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5" t="s">
        <v>0</v>
      </c>
      <c r="C2" s="138"/>
      <c r="D2" s="138"/>
      <c r="E2" s="138"/>
      <c r="F2" s="138"/>
      <c r="G2" s="138"/>
      <c r="H2" s="138" t="s">
        <v>17</v>
      </c>
      <c r="I2" s="138"/>
      <c r="J2" s="138"/>
      <c r="K2" s="138"/>
      <c r="L2" s="138" t="s">
        <v>300</v>
      </c>
      <c r="M2" s="138"/>
      <c r="N2" s="138"/>
      <c r="O2" s="138"/>
      <c r="P2" s="138"/>
      <c r="Q2" s="138"/>
      <c r="R2" s="138" t="s">
        <v>2</v>
      </c>
      <c r="S2" s="138"/>
      <c r="T2" s="138"/>
      <c r="U2" s="138"/>
      <c r="V2" s="138"/>
      <c r="W2" s="138"/>
      <c r="X2" s="150" t="s">
        <v>3</v>
      </c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2"/>
      <c r="AK2" s="150" t="s">
        <v>32</v>
      </c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2"/>
      <c r="AX2" s="138" t="s">
        <v>5</v>
      </c>
      <c r="AY2" s="138"/>
      <c r="AZ2" s="138"/>
      <c r="BA2" s="138"/>
      <c r="BB2" s="138" t="s">
        <v>4</v>
      </c>
      <c r="BC2" s="138"/>
      <c r="BD2" s="138"/>
      <c r="BE2" s="138"/>
      <c r="BF2" s="138" t="s">
        <v>6</v>
      </c>
      <c r="BG2" s="138"/>
      <c r="BH2" s="138"/>
      <c r="BI2" s="138"/>
      <c r="BJ2" s="138" t="s">
        <v>7</v>
      </c>
      <c r="BK2" s="138"/>
      <c r="BL2" s="138"/>
      <c r="BM2" s="139"/>
      <c r="BN2" s="15"/>
    </row>
    <row r="3" spans="1:66" ht="20.100000000000001" customHeight="1" x14ac:dyDescent="0.45">
      <c r="A3" s="9"/>
      <c r="B3" s="153" t="str">
        <f>変更履歴!B3</f>
        <v>受発注システム</v>
      </c>
      <c r="C3" s="141"/>
      <c r="D3" s="141"/>
      <c r="E3" s="141"/>
      <c r="F3" s="141"/>
      <c r="G3" s="141"/>
      <c r="H3" s="141" t="str">
        <f ca="1">変更履歴!H3</f>
        <v>MH0800</v>
      </c>
      <c r="I3" s="141"/>
      <c r="J3" s="141"/>
      <c r="K3" s="141"/>
      <c r="L3" s="141" t="str">
        <f>変更履歴!L3</f>
        <v>受発注</v>
      </c>
      <c r="M3" s="141"/>
      <c r="N3" s="141"/>
      <c r="O3" s="141"/>
      <c r="P3" s="141"/>
      <c r="Q3" s="141"/>
      <c r="R3" s="141" t="str">
        <f ca="1">変更履歴!R3</f>
        <v>帳票設計書</v>
      </c>
      <c r="S3" s="141"/>
      <c r="T3" s="141"/>
      <c r="U3" s="141"/>
      <c r="V3" s="141"/>
      <c r="W3" s="141"/>
      <c r="X3" s="144" t="str">
        <f ca="1">変更履歴!X3</f>
        <v>MH0800_発注一覧表_帳票設計書</v>
      </c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6"/>
      <c r="AK3" s="144" t="str">
        <f ca="1">変更履歴!AK3</f>
        <v>発注一覧表</v>
      </c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6"/>
      <c r="AX3" s="140">
        <f>変更履歴!AX3</f>
        <v>45583</v>
      </c>
      <c r="AY3" s="140"/>
      <c r="AZ3" s="140"/>
      <c r="BA3" s="140"/>
      <c r="BB3" s="141" t="str">
        <f>変更履歴!BB3</f>
        <v>大谷</v>
      </c>
      <c r="BC3" s="141"/>
      <c r="BD3" s="141"/>
      <c r="BE3" s="141"/>
      <c r="BF3" s="140">
        <f>変更履歴!BF3</f>
        <v>45583</v>
      </c>
      <c r="BG3" s="140"/>
      <c r="BH3" s="140"/>
      <c r="BI3" s="140"/>
      <c r="BJ3" s="141" t="str">
        <f>変更履歴!BJ3</f>
        <v>大谷</v>
      </c>
      <c r="BK3" s="141"/>
      <c r="BL3" s="141"/>
      <c r="BM3" s="143"/>
      <c r="BN3" s="15"/>
    </row>
    <row r="4" spans="1:66" ht="20.100000000000001" customHeight="1" thickBot="1" x14ac:dyDescent="0.5">
      <c r="A4" s="9"/>
      <c r="B4" s="146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7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9"/>
      <c r="AK4" s="147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9"/>
      <c r="AX4" s="156"/>
      <c r="AY4" s="156"/>
      <c r="AZ4" s="156"/>
      <c r="BA4" s="156"/>
      <c r="BB4" s="142"/>
      <c r="BC4" s="142"/>
      <c r="BD4" s="142"/>
      <c r="BE4" s="142"/>
      <c r="BF4" s="156"/>
      <c r="BG4" s="156"/>
      <c r="BH4" s="156"/>
      <c r="BI4" s="156"/>
      <c r="BJ4" s="142"/>
      <c r="BK4" s="142"/>
      <c r="BL4" s="142"/>
      <c r="BM4" s="144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55" t="s">
        <v>0</v>
      </c>
      <c r="C2" s="138"/>
      <c r="D2" s="138"/>
      <c r="E2" s="138"/>
      <c r="F2" s="138"/>
      <c r="G2" s="138"/>
      <c r="H2" s="138" t="s">
        <v>17</v>
      </c>
      <c r="I2" s="138"/>
      <c r="J2" s="138"/>
      <c r="K2" s="138"/>
      <c r="L2" s="138" t="s">
        <v>300</v>
      </c>
      <c r="M2" s="138"/>
      <c r="N2" s="138"/>
      <c r="O2" s="138"/>
      <c r="P2" s="138"/>
      <c r="Q2" s="138"/>
      <c r="R2" s="138" t="s">
        <v>2</v>
      </c>
      <c r="S2" s="138"/>
      <c r="T2" s="138"/>
      <c r="U2" s="138"/>
      <c r="V2" s="138"/>
      <c r="W2" s="138"/>
      <c r="X2" s="150" t="s">
        <v>3</v>
      </c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2"/>
      <c r="AK2" s="150" t="s">
        <v>32</v>
      </c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2"/>
      <c r="AX2" s="138" t="s">
        <v>5</v>
      </c>
      <c r="AY2" s="138"/>
      <c r="AZ2" s="138"/>
      <c r="BA2" s="138"/>
      <c r="BB2" s="138" t="s">
        <v>4</v>
      </c>
      <c r="BC2" s="138"/>
      <c r="BD2" s="138"/>
      <c r="BE2" s="138"/>
      <c r="BF2" s="138" t="s">
        <v>6</v>
      </c>
      <c r="BG2" s="138"/>
      <c r="BH2" s="138"/>
      <c r="BI2" s="138"/>
      <c r="BJ2" s="138" t="s">
        <v>7</v>
      </c>
      <c r="BK2" s="138"/>
      <c r="BL2" s="138"/>
      <c r="BM2" s="139"/>
      <c r="BN2" s="15"/>
    </row>
    <row r="3" spans="1:85" ht="20.100000000000001" customHeight="1" x14ac:dyDescent="0.45">
      <c r="A3" s="9"/>
      <c r="B3" s="153" t="str">
        <f>変更履歴!B3</f>
        <v>受発注システム</v>
      </c>
      <c r="C3" s="141"/>
      <c r="D3" s="141"/>
      <c r="E3" s="141"/>
      <c r="F3" s="141"/>
      <c r="G3" s="141"/>
      <c r="H3" s="141" t="str">
        <f ca="1">変更履歴!H3</f>
        <v>MH0800</v>
      </c>
      <c r="I3" s="141"/>
      <c r="J3" s="141"/>
      <c r="K3" s="141"/>
      <c r="L3" s="141" t="str">
        <f>変更履歴!L3</f>
        <v>受発注</v>
      </c>
      <c r="M3" s="141"/>
      <c r="N3" s="141"/>
      <c r="O3" s="141"/>
      <c r="P3" s="141"/>
      <c r="Q3" s="141"/>
      <c r="R3" s="141" t="str">
        <f ca="1">変更履歴!R3</f>
        <v>帳票設計書</v>
      </c>
      <c r="S3" s="141"/>
      <c r="T3" s="141"/>
      <c r="U3" s="141"/>
      <c r="V3" s="141"/>
      <c r="W3" s="141"/>
      <c r="X3" s="144" t="str">
        <f ca="1">変更履歴!X3</f>
        <v>MH0800_発注一覧表_帳票設計書</v>
      </c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6"/>
      <c r="AK3" s="144" t="str">
        <f ca="1">変更履歴!AK3</f>
        <v>発注一覧表</v>
      </c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6"/>
      <c r="AX3" s="140">
        <f>変更履歴!AX3</f>
        <v>45583</v>
      </c>
      <c r="AY3" s="140"/>
      <c r="AZ3" s="140"/>
      <c r="BA3" s="140"/>
      <c r="BB3" s="141" t="str">
        <f>変更履歴!BB3</f>
        <v>大谷</v>
      </c>
      <c r="BC3" s="141"/>
      <c r="BD3" s="141"/>
      <c r="BE3" s="141"/>
      <c r="BF3" s="140">
        <f>変更履歴!BF3</f>
        <v>45583</v>
      </c>
      <c r="BG3" s="140"/>
      <c r="BH3" s="140"/>
      <c r="BI3" s="140"/>
      <c r="BJ3" s="141" t="str">
        <f>変更履歴!BJ3</f>
        <v>大谷</v>
      </c>
      <c r="BK3" s="141"/>
      <c r="BL3" s="141"/>
      <c r="BM3" s="143"/>
      <c r="BN3" s="15"/>
    </row>
    <row r="4" spans="1:85" ht="20.100000000000001" customHeight="1" thickBot="1" x14ac:dyDescent="0.5">
      <c r="A4" s="9"/>
      <c r="B4" s="146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7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9"/>
      <c r="AK4" s="147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9"/>
      <c r="AX4" s="156"/>
      <c r="AY4" s="156"/>
      <c r="AZ4" s="156"/>
      <c r="BA4" s="156"/>
      <c r="BB4" s="142"/>
      <c r="BC4" s="142"/>
      <c r="BD4" s="142"/>
      <c r="BE4" s="142"/>
      <c r="BF4" s="156"/>
      <c r="BG4" s="156"/>
      <c r="BH4" s="156"/>
      <c r="BI4" s="156"/>
      <c r="BJ4" s="142"/>
      <c r="BK4" s="142"/>
      <c r="BL4" s="142"/>
      <c r="BM4" s="144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65" t="s">
        <v>20</v>
      </c>
      <c r="F10" s="166"/>
      <c r="G10" s="166"/>
      <c r="H10" s="166"/>
      <c r="I10" s="166"/>
      <c r="J10" s="166"/>
      <c r="K10" s="166"/>
      <c r="L10" s="167"/>
      <c r="M10" s="168" t="s">
        <v>24</v>
      </c>
      <c r="N10" s="169"/>
      <c r="O10" s="169"/>
      <c r="P10" s="168" t="s">
        <v>33</v>
      </c>
      <c r="Q10" s="169"/>
      <c r="R10" s="169"/>
      <c r="S10" s="168" t="s">
        <v>34</v>
      </c>
      <c r="T10" s="169"/>
      <c r="U10" s="169"/>
      <c r="V10" s="168" t="s">
        <v>36</v>
      </c>
      <c r="W10" s="169"/>
      <c r="X10" s="169"/>
      <c r="Y10" s="169"/>
      <c r="Z10" s="169"/>
      <c r="AA10" s="178"/>
      <c r="AB10" s="168" t="s">
        <v>35</v>
      </c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78"/>
      <c r="AR10" s="168" t="s">
        <v>42</v>
      </c>
      <c r="AS10" s="169"/>
      <c r="AT10" s="169"/>
      <c r="AU10" s="169"/>
      <c r="AV10" s="169"/>
      <c r="AW10" s="178"/>
      <c r="AX10" s="168" t="s">
        <v>43</v>
      </c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76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57" t="s">
        <v>94</v>
      </c>
      <c r="F11" s="158"/>
      <c r="G11" s="158"/>
      <c r="H11" s="158"/>
      <c r="I11" s="158"/>
      <c r="J11" s="158"/>
      <c r="K11" s="158"/>
      <c r="L11" s="159"/>
      <c r="M11" s="133" t="s">
        <v>8</v>
      </c>
      <c r="N11" s="134"/>
      <c r="O11" s="134"/>
      <c r="P11" s="133" t="s">
        <v>102</v>
      </c>
      <c r="Q11" s="134"/>
      <c r="R11" s="134"/>
      <c r="S11" s="133"/>
      <c r="T11" s="134"/>
      <c r="U11" s="134"/>
      <c r="V11" s="170" t="s">
        <v>104</v>
      </c>
      <c r="W11" s="171"/>
      <c r="X11" s="171"/>
      <c r="Y11" s="171"/>
      <c r="Z11" s="171"/>
      <c r="AA11" s="172"/>
      <c r="AB11" s="180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2"/>
      <c r="AR11" s="133" t="s">
        <v>117</v>
      </c>
      <c r="AS11" s="134"/>
      <c r="AT11" s="134"/>
      <c r="AU11" s="134"/>
      <c r="AV11" s="134"/>
      <c r="AW11" s="135"/>
      <c r="AX11" s="170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7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57" t="s">
        <v>95</v>
      </c>
      <c r="F12" s="158"/>
      <c r="G12" s="158"/>
      <c r="H12" s="158"/>
      <c r="I12" s="158"/>
      <c r="J12" s="158"/>
      <c r="K12" s="158"/>
      <c r="L12" s="159"/>
      <c r="M12" s="133" t="s">
        <v>38</v>
      </c>
      <c r="N12" s="134"/>
      <c r="O12" s="134"/>
      <c r="P12" s="133" t="s">
        <v>103</v>
      </c>
      <c r="Q12" s="134"/>
      <c r="R12" s="134"/>
      <c r="S12" s="133"/>
      <c r="T12" s="134"/>
      <c r="U12" s="134"/>
      <c r="V12" s="170" t="s">
        <v>186</v>
      </c>
      <c r="W12" s="171"/>
      <c r="X12" s="171"/>
      <c r="Y12" s="171"/>
      <c r="Z12" s="171"/>
      <c r="AA12" s="172"/>
      <c r="AB12" s="180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2"/>
      <c r="AR12" s="133"/>
      <c r="AS12" s="134"/>
      <c r="AT12" s="134"/>
      <c r="AU12" s="134"/>
      <c r="AV12" s="134"/>
      <c r="AW12" s="135"/>
      <c r="AX12" s="170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7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57" t="s">
        <v>96</v>
      </c>
      <c r="F13" s="158"/>
      <c r="G13" s="158"/>
      <c r="H13" s="158"/>
      <c r="I13" s="158"/>
      <c r="J13" s="158"/>
      <c r="K13" s="158"/>
      <c r="L13" s="159"/>
      <c r="M13" s="133" t="s">
        <v>47</v>
      </c>
      <c r="N13" s="134"/>
      <c r="O13" s="134"/>
      <c r="P13" s="133" t="s">
        <v>102</v>
      </c>
      <c r="Q13" s="134"/>
      <c r="R13" s="134"/>
      <c r="S13" s="133"/>
      <c r="T13" s="134"/>
      <c r="U13" s="134"/>
      <c r="V13" s="170" t="s">
        <v>187</v>
      </c>
      <c r="W13" s="171"/>
      <c r="X13" s="171"/>
      <c r="Y13" s="171"/>
      <c r="Z13" s="171"/>
      <c r="AA13" s="172"/>
      <c r="AB13" s="180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2"/>
      <c r="AR13" s="133" t="s">
        <v>120</v>
      </c>
      <c r="AS13" s="134"/>
      <c r="AT13" s="134"/>
      <c r="AU13" s="134"/>
      <c r="AV13" s="134"/>
      <c r="AW13" s="135"/>
      <c r="AX13" s="170"/>
      <c r="AY13" s="171"/>
      <c r="AZ13" s="171"/>
      <c r="BA13" s="171"/>
      <c r="BB13" s="171"/>
      <c r="BC13" s="171"/>
      <c r="BD13" s="171"/>
      <c r="BE13" s="171"/>
      <c r="BF13" s="171"/>
      <c r="BG13" s="171"/>
      <c r="BH13" s="171"/>
      <c r="BI13" s="171"/>
      <c r="BJ13" s="171"/>
      <c r="BK13" s="171"/>
      <c r="BL13" s="171"/>
      <c r="BM13" s="171"/>
      <c r="BN13" s="171"/>
      <c r="BO13" s="171"/>
      <c r="BP13" s="171"/>
      <c r="BQ13" s="171"/>
      <c r="BR13" s="171"/>
      <c r="BS13" s="171"/>
      <c r="BT13" s="177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57" t="s">
        <v>97</v>
      </c>
      <c r="F14" s="158"/>
      <c r="G14" s="158"/>
      <c r="H14" s="158"/>
      <c r="I14" s="158"/>
      <c r="J14" s="158"/>
      <c r="K14" s="158"/>
      <c r="L14" s="159"/>
      <c r="M14" s="133" t="s">
        <v>38</v>
      </c>
      <c r="N14" s="134"/>
      <c r="O14" s="134"/>
      <c r="P14" s="133" t="s">
        <v>103</v>
      </c>
      <c r="Q14" s="134"/>
      <c r="R14" s="134"/>
      <c r="S14" s="133"/>
      <c r="T14" s="134"/>
      <c r="U14" s="134"/>
      <c r="V14" s="170" t="s">
        <v>188</v>
      </c>
      <c r="W14" s="171"/>
      <c r="X14" s="171"/>
      <c r="Y14" s="171"/>
      <c r="Z14" s="171"/>
      <c r="AA14" s="172"/>
      <c r="AB14" s="180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2"/>
      <c r="AR14" s="133"/>
      <c r="AS14" s="134"/>
      <c r="AT14" s="134"/>
      <c r="AU14" s="134"/>
      <c r="AV14" s="134"/>
      <c r="AW14" s="135"/>
      <c r="AX14" s="170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  <c r="BM14" s="171"/>
      <c r="BN14" s="171"/>
      <c r="BO14" s="171"/>
      <c r="BP14" s="171"/>
      <c r="BQ14" s="171"/>
      <c r="BR14" s="171"/>
      <c r="BS14" s="171"/>
      <c r="BT14" s="177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57" t="s">
        <v>98</v>
      </c>
      <c r="F15" s="158"/>
      <c r="G15" s="158"/>
      <c r="H15" s="158"/>
      <c r="I15" s="158"/>
      <c r="J15" s="158"/>
      <c r="K15" s="158"/>
      <c r="L15" s="159"/>
      <c r="M15" s="133" t="s">
        <v>47</v>
      </c>
      <c r="N15" s="134"/>
      <c r="O15" s="134"/>
      <c r="P15" s="133" t="s">
        <v>102</v>
      </c>
      <c r="Q15" s="134"/>
      <c r="R15" s="134"/>
      <c r="S15" s="133"/>
      <c r="T15" s="134"/>
      <c r="U15" s="134"/>
      <c r="V15" s="170" t="s">
        <v>189</v>
      </c>
      <c r="W15" s="171"/>
      <c r="X15" s="171"/>
      <c r="Y15" s="171"/>
      <c r="Z15" s="171"/>
      <c r="AA15" s="172"/>
      <c r="AB15" s="180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2"/>
      <c r="AR15" s="133" t="s">
        <v>120</v>
      </c>
      <c r="AS15" s="134"/>
      <c r="AT15" s="134"/>
      <c r="AU15" s="134"/>
      <c r="AV15" s="134"/>
      <c r="AW15" s="135"/>
      <c r="AX15" s="170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1"/>
      <c r="BK15" s="171"/>
      <c r="BL15" s="171"/>
      <c r="BM15" s="171"/>
      <c r="BN15" s="171"/>
      <c r="BO15" s="171"/>
      <c r="BP15" s="171"/>
      <c r="BQ15" s="171"/>
      <c r="BR15" s="171"/>
      <c r="BS15" s="171"/>
      <c r="BT15" s="177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57" t="s">
        <v>99</v>
      </c>
      <c r="F16" s="158"/>
      <c r="G16" s="158"/>
      <c r="H16" s="158"/>
      <c r="I16" s="158"/>
      <c r="J16" s="158"/>
      <c r="K16" s="158"/>
      <c r="L16" s="159"/>
      <c r="M16" s="133" t="s">
        <v>38</v>
      </c>
      <c r="N16" s="134"/>
      <c r="O16" s="134"/>
      <c r="P16" s="133" t="s">
        <v>103</v>
      </c>
      <c r="Q16" s="134"/>
      <c r="R16" s="134"/>
      <c r="S16" s="133"/>
      <c r="T16" s="134"/>
      <c r="U16" s="134"/>
      <c r="V16" s="170" t="s">
        <v>190</v>
      </c>
      <c r="W16" s="171"/>
      <c r="X16" s="171"/>
      <c r="Y16" s="171"/>
      <c r="Z16" s="171"/>
      <c r="AA16" s="172"/>
      <c r="AB16" s="180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2"/>
      <c r="AR16" s="133"/>
      <c r="AS16" s="134"/>
      <c r="AT16" s="134"/>
      <c r="AU16" s="134"/>
      <c r="AV16" s="134"/>
      <c r="AW16" s="135"/>
      <c r="AX16" s="170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171"/>
      <c r="BQ16" s="171"/>
      <c r="BR16" s="171"/>
      <c r="BS16" s="171"/>
      <c r="BT16" s="177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57" t="s">
        <v>100</v>
      </c>
      <c r="F17" s="158"/>
      <c r="G17" s="158"/>
      <c r="H17" s="158"/>
      <c r="I17" s="158"/>
      <c r="J17" s="158"/>
      <c r="K17" s="158"/>
      <c r="L17" s="159"/>
      <c r="M17" s="133" t="s">
        <v>47</v>
      </c>
      <c r="N17" s="134"/>
      <c r="O17" s="134"/>
      <c r="P17" s="133" t="s">
        <v>102</v>
      </c>
      <c r="Q17" s="134"/>
      <c r="R17" s="134"/>
      <c r="S17" s="133"/>
      <c r="T17" s="134"/>
      <c r="U17" s="134"/>
      <c r="V17" s="170" t="s">
        <v>191</v>
      </c>
      <c r="W17" s="171"/>
      <c r="X17" s="171"/>
      <c r="Y17" s="171"/>
      <c r="Z17" s="171"/>
      <c r="AA17" s="172"/>
      <c r="AB17" s="180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2"/>
      <c r="AR17" s="133"/>
      <c r="AS17" s="134"/>
      <c r="AT17" s="134"/>
      <c r="AU17" s="134"/>
      <c r="AV17" s="134"/>
      <c r="AW17" s="135"/>
      <c r="AX17" s="170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177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57" t="s">
        <v>101</v>
      </c>
      <c r="F18" s="158"/>
      <c r="G18" s="158"/>
      <c r="H18" s="158"/>
      <c r="I18" s="158"/>
      <c r="J18" s="158"/>
      <c r="K18" s="158"/>
      <c r="L18" s="159"/>
      <c r="M18" s="133" t="s">
        <v>8</v>
      </c>
      <c r="N18" s="134"/>
      <c r="O18" s="134"/>
      <c r="P18" s="133" t="s">
        <v>102</v>
      </c>
      <c r="Q18" s="134"/>
      <c r="R18" s="134"/>
      <c r="S18" s="133"/>
      <c r="T18" s="134"/>
      <c r="U18" s="134"/>
      <c r="V18" s="170" t="s">
        <v>192</v>
      </c>
      <c r="W18" s="171"/>
      <c r="X18" s="171"/>
      <c r="Y18" s="171"/>
      <c r="Z18" s="171"/>
      <c r="AA18" s="172"/>
      <c r="AB18" s="180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2"/>
      <c r="AR18" s="133" t="s">
        <v>117</v>
      </c>
      <c r="AS18" s="134"/>
      <c r="AT18" s="134"/>
      <c r="AU18" s="134"/>
      <c r="AV18" s="134"/>
      <c r="AW18" s="135"/>
      <c r="AX18" s="170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71"/>
      <c r="BQ18" s="171"/>
      <c r="BR18" s="171"/>
      <c r="BS18" s="171"/>
      <c r="BT18" s="177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57" t="s">
        <v>46</v>
      </c>
      <c r="F19" s="158"/>
      <c r="G19" s="158"/>
      <c r="H19" s="158"/>
      <c r="I19" s="158"/>
      <c r="J19" s="158"/>
      <c r="K19" s="158"/>
      <c r="L19" s="159"/>
      <c r="M19" s="133" t="s">
        <v>47</v>
      </c>
      <c r="N19" s="134"/>
      <c r="O19" s="134"/>
      <c r="P19" s="133" t="s">
        <v>102</v>
      </c>
      <c r="Q19" s="134"/>
      <c r="R19" s="134"/>
      <c r="S19" s="133"/>
      <c r="T19" s="134"/>
      <c r="U19" s="134"/>
      <c r="V19" s="170" t="s">
        <v>193</v>
      </c>
      <c r="W19" s="171"/>
      <c r="X19" s="171"/>
      <c r="Y19" s="171"/>
      <c r="Z19" s="171"/>
      <c r="AA19" s="172"/>
      <c r="AB19" s="180" t="s">
        <v>200</v>
      </c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2"/>
      <c r="AR19" s="133"/>
      <c r="AS19" s="134"/>
      <c r="AT19" s="134"/>
      <c r="AU19" s="134"/>
      <c r="AV19" s="134"/>
      <c r="AW19" s="135"/>
      <c r="AX19" s="170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77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57" t="s">
        <v>105</v>
      </c>
      <c r="F20" s="158"/>
      <c r="G20" s="158"/>
      <c r="H20" s="158"/>
      <c r="I20" s="158"/>
      <c r="J20" s="158"/>
      <c r="K20" s="158"/>
      <c r="L20" s="159"/>
      <c r="M20" s="133" t="s">
        <v>47</v>
      </c>
      <c r="N20" s="134"/>
      <c r="O20" s="134"/>
      <c r="P20" s="133" t="s">
        <v>102</v>
      </c>
      <c r="Q20" s="134"/>
      <c r="R20" s="134"/>
      <c r="S20" s="133"/>
      <c r="T20" s="134"/>
      <c r="U20" s="134"/>
      <c r="V20" s="170" t="s">
        <v>194</v>
      </c>
      <c r="W20" s="171"/>
      <c r="X20" s="171"/>
      <c r="Y20" s="171"/>
      <c r="Z20" s="171"/>
      <c r="AA20" s="172"/>
      <c r="AB20" s="180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2"/>
      <c r="AR20" s="133"/>
      <c r="AS20" s="134"/>
      <c r="AT20" s="134"/>
      <c r="AU20" s="134"/>
      <c r="AV20" s="134"/>
      <c r="AW20" s="135"/>
      <c r="AX20" s="170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7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57" t="s">
        <v>106</v>
      </c>
      <c r="F21" s="158"/>
      <c r="G21" s="158"/>
      <c r="H21" s="158"/>
      <c r="I21" s="158"/>
      <c r="J21" s="158"/>
      <c r="K21" s="158"/>
      <c r="L21" s="159"/>
      <c r="M21" s="133" t="s">
        <v>47</v>
      </c>
      <c r="N21" s="134"/>
      <c r="O21" s="134"/>
      <c r="P21" s="133" t="s">
        <v>102</v>
      </c>
      <c r="Q21" s="134"/>
      <c r="R21" s="134"/>
      <c r="S21" s="133"/>
      <c r="T21" s="134"/>
      <c r="U21" s="134"/>
      <c r="V21" s="170" t="s">
        <v>195</v>
      </c>
      <c r="W21" s="171"/>
      <c r="X21" s="171"/>
      <c r="Y21" s="171"/>
      <c r="Z21" s="171"/>
      <c r="AA21" s="172"/>
      <c r="AB21" s="180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2"/>
      <c r="AR21" s="133"/>
      <c r="AS21" s="134"/>
      <c r="AT21" s="134"/>
      <c r="AU21" s="134"/>
      <c r="AV21" s="134"/>
      <c r="AW21" s="135"/>
      <c r="AX21" s="170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71"/>
      <c r="BQ21" s="171"/>
      <c r="BR21" s="171"/>
      <c r="BS21" s="171"/>
      <c r="BT21" s="177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57" t="s">
        <v>107</v>
      </c>
      <c r="F22" s="158"/>
      <c r="G22" s="158"/>
      <c r="H22" s="158"/>
      <c r="I22" s="158"/>
      <c r="J22" s="158"/>
      <c r="K22" s="158"/>
      <c r="L22" s="159"/>
      <c r="M22" s="133" t="s">
        <v>38</v>
      </c>
      <c r="N22" s="134"/>
      <c r="O22" s="134"/>
      <c r="P22" s="133" t="s">
        <v>103</v>
      </c>
      <c r="Q22" s="134"/>
      <c r="R22" s="134"/>
      <c r="S22" s="133"/>
      <c r="T22" s="134"/>
      <c r="U22" s="134"/>
      <c r="V22" s="170" t="s">
        <v>196</v>
      </c>
      <c r="W22" s="171"/>
      <c r="X22" s="171"/>
      <c r="Y22" s="171"/>
      <c r="Z22" s="171"/>
      <c r="AA22" s="172"/>
      <c r="AB22" s="180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2"/>
      <c r="AR22" s="133"/>
      <c r="AS22" s="134"/>
      <c r="AT22" s="134"/>
      <c r="AU22" s="134"/>
      <c r="AV22" s="134"/>
      <c r="AW22" s="135"/>
      <c r="AX22" s="170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171"/>
      <c r="BQ22" s="171"/>
      <c r="BR22" s="171"/>
      <c r="BS22" s="171"/>
      <c r="BT22" s="177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57" t="s">
        <v>108</v>
      </c>
      <c r="F23" s="158"/>
      <c r="G23" s="158"/>
      <c r="H23" s="158"/>
      <c r="I23" s="158"/>
      <c r="J23" s="158"/>
      <c r="K23" s="158"/>
      <c r="L23" s="159"/>
      <c r="M23" s="133" t="s">
        <v>47</v>
      </c>
      <c r="N23" s="134"/>
      <c r="O23" s="134"/>
      <c r="P23" s="133" t="s">
        <v>102</v>
      </c>
      <c r="Q23" s="134"/>
      <c r="R23" s="134"/>
      <c r="S23" s="133"/>
      <c r="T23" s="134"/>
      <c r="U23" s="134"/>
      <c r="V23" s="170" t="s">
        <v>207</v>
      </c>
      <c r="W23" s="171"/>
      <c r="X23" s="171"/>
      <c r="Y23" s="171"/>
      <c r="Z23" s="171"/>
      <c r="AA23" s="172"/>
      <c r="AB23" s="184" t="s">
        <v>208</v>
      </c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2"/>
      <c r="AR23" s="133" t="s">
        <v>209</v>
      </c>
      <c r="AS23" s="134"/>
      <c r="AT23" s="134"/>
      <c r="AU23" s="134"/>
      <c r="AV23" s="134"/>
      <c r="AW23" s="135"/>
      <c r="AX23" s="170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171"/>
      <c r="BQ23" s="171"/>
      <c r="BR23" s="171"/>
      <c r="BS23" s="171"/>
      <c r="BT23" s="177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57" t="s">
        <v>109</v>
      </c>
      <c r="F24" s="158"/>
      <c r="G24" s="158"/>
      <c r="H24" s="158"/>
      <c r="I24" s="158"/>
      <c r="J24" s="158"/>
      <c r="K24" s="158"/>
      <c r="L24" s="159"/>
      <c r="M24" s="133" t="s">
        <v>47</v>
      </c>
      <c r="N24" s="134"/>
      <c r="O24" s="134"/>
      <c r="P24" s="133" t="s">
        <v>102</v>
      </c>
      <c r="Q24" s="134"/>
      <c r="R24" s="134"/>
      <c r="S24" s="133"/>
      <c r="T24" s="134"/>
      <c r="U24" s="134"/>
      <c r="V24" s="170" t="s">
        <v>197</v>
      </c>
      <c r="W24" s="171"/>
      <c r="X24" s="171"/>
      <c r="Y24" s="171"/>
      <c r="Z24" s="171"/>
      <c r="AA24" s="172"/>
      <c r="AB24" s="180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2"/>
      <c r="AR24" s="133"/>
      <c r="AS24" s="134"/>
      <c r="AT24" s="134"/>
      <c r="AU24" s="134"/>
      <c r="AV24" s="134"/>
      <c r="AW24" s="135"/>
      <c r="AX24" s="170"/>
      <c r="AY24" s="171"/>
      <c r="AZ24" s="171"/>
      <c r="BA24" s="171"/>
      <c r="BB24" s="171"/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171"/>
      <c r="BP24" s="171"/>
      <c r="BQ24" s="171"/>
      <c r="BR24" s="171"/>
      <c r="BS24" s="171"/>
      <c r="BT24" s="177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57" t="s">
        <v>110</v>
      </c>
      <c r="F25" s="158"/>
      <c r="G25" s="158"/>
      <c r="H25" s="158"/>
      <c r="I25" s="158"/>
      <c r="J25" s="158"/>
      <c r="K25" s="158"/>
      <c r="L25" s="159"/>
      <c r="M25" s="133" t="s">
        <v>47</v>
      </c>
      <c r="N25" s="134"/>
      <c r="O25" s="134"/>
      <c r="P25" s="133" t="s">
        <v>102</v>
      </c>
      <c r="Q25" s="134"/>
      <c r="R25" s="134"/>
      <c r="S25" s="133"/>
      <c r="T25" s="134"/>
      <c r="U25" s="134"/>
      <c r="V25" s="170" t="s">
        <v>198</v>
      </c>
      <c r="W25" s="171"/>
      <c r="X25" s="171"/>
      <c r="Y25" s="171"/>
      <c r="Z25" s="171"/>
      <c r="AA25" s="172"/>
      <c r="AB25" s="180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2"/>
      <c r="AR25" s="133"/>
      <c r="AS25" s="134"/>
      <c r="AT25" s="134"/>
      <c r="AU25" s="134"/>
      <c r="AV25" s="134"/>
      <c r="AW25" s="135"/>
      <c r="AX25" s="170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7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57" t="s">
        <v>111</v>
      </c>
      <c r="F26" s="158"/>
      <c r="G26" s="158"/>
      <c r="H26" s="158"/>
      <c r="I26" s="158"/>
      <c r="J26" s="158"/>
      <c r="K26" s="158"/>
      <c r="L26" s="159"/>
      <c r="M26" s="133" t="s">
        <v>47</v>
      </c>
      <c r="N26" s="134"/>
      <c r="O26" s="134"/>
      <c r="P26" s="133" t="s">
        <v>102</v>
      </c>
      <c r="Q26" s="134"/>
      <c r="R26" s="134"/>
      <c r="S26" s="133"/>
      <c r="T26" s="134"/>
      <c r="U26" s="134"/>
      <c r="V26" s="170" t="s">
        <v>199</v>
      </c>
      <c r="W26" s="171"/>
      <c r="X26" s="171"/>
      <c r="Y26" s="171"/>
      <c r="Z26" s="171"/>
      <c r="AA26" s="172"/>
      <c r="AB26" s="180" t="s">
        <v>201</v>
      </c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2"/>
      <c r="AR26" s="185">
        <v>999999</v>
      </c>
      <c r="AS26" s="134"/>
      <c r="AT26" s="134"/>
      <c r="AU26" s="134"/>
      <c r="AV26" s="134"/>
      <c r="AW26" s="135"/>
      <c r="AX26" s="170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171"/>
      <c r="BQ26" s="171"/>
      <c r="BR26" s="171"/>
      <c r="BS26" s="171"/>
      <c r="BT26" s="177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57" t="s">
        <v>112</v>
      </c>
      <c r="F27" s="158"/>
      <c r="G27" s="158"/>
      <c r="H27" s="158"/>
      <c r="I27" s="158"/>
      <c r="J27" s="158"/>
      <c r="K27" s="158"/>
      <c r="L27" s="159"/>
      <c r="M27" s="133" t="s">
        <v>47</v>
      </c>
      <c r="N27" s="134"/>
      <c r="O27" s="134"/>
      <c r="P27" s="133" t="s">
        <v>102</v>
      </c>
      <c r="Q27" s="134"/>
      <c r="R27" s="134"/>
      <c r="S27" s="133"/>
      <c r="T27" s="134"/>
      <c r="U27" s="134"/>
      <c r="V27" s="170" t="s">
        <v>204</v>
      </c>
      <c r="W27" s="171"/>
      <c r="X27" s="171"/>
      <c r="Y27" s="171"/>
      <c r="Z27" s="171"/>
      <c r="AA27" s="172"/>
      <c r="AB27" s="180" t="s">
        <v>202</v>
      </c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2"/>
      <c r="AR27" s="185">
        <v>999999</v>
      </c>
      <c r="AS27" s="134"/>
      <c r="AT27" s="134"/>
      <c r="AU27" s="134"/>
      <c r="AV27" s="134"/>
      <c r="AW27" s="135"/>
      <c r="AX27" s="170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7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129">
        <v>18</v>
      </c>
      <c r="E28" s="162" t="s">
        <v>183</v>
      </c>
      <c r="F28" s="163"/>
      <c r="G28" s="163"/>
      <c r="H28" s="163"/>
      <c r="I28" s="163"/>
      <c r="J28" s="163"/>
      <c r="K28" s="163"/>
      <c r="L28" s="164"/>
      <c r="M28" s="160"/>
      <c r="N28" s="161"/>
      <c r="O28" s="161"/>
      <c r="P28" s="160"/>
      <c r="Q28" s="161"/>
      <c r="R28" s="161"/>
      <c r="S28" s="160"/>
      <c r="T28" s="161"/>
      <c r="U28" s="161"/>
      <c r="V28" s="173" t="s">
        <v>205</v>
      </c>
      <c r="W28" s="174"/>
      <c r="X28" s="174"/>
      <c r="Y28" s="174"/>
      <c r="Z28" s="174"/>
      <c r="AA28" s="175"/>
      <c r="AB28" s="173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5"/>
      <c r="AR28" s="186"/>
      <c r="AS28" s="161"/>
      <c r="AT28" s="161"/>
      <c r="AU28" s="161"/>
      <c r="AV28" s="161"/>
      <c r="AW28" s="187"/>
      <c r="AX28" s="173"/>
      <c r="AY28" s="174"/>
      <c r="AZ28" s="174"/>
      <c r="BA28" s="174"/>
      <c r="BB28" s="174"/>
      <c r="BC28" s="174"/>
      <c r="BD28" s="174"/>
      <c r="BE28" s="174"/>
      <c r="BF28" s="174"/>
      <c r="BG28" s="174"/>
      <c r="BH28" s="174"/>
      <c r="BI28" s="174"/>
      <c r="BJ28" s="174"/>
      <c r="BK28" s="174"/>
      <c r="BL28" s="174"/>
      <c r="BM28" s="174"/>
      <c r="BN28" s="174"/>
      <c r="BO28" s="174"/>
      <c r="BP28" s="174"/>
      <c r="BQ28" s="174"/>
      <c r="BR28" s="174"/>
      <c r="BS28" s="174"/>
      <c r="BT28" s="179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129">
        <v>19</v>
      </c>
      <c r="E29" s="162" t="s">
        <v>184</v>
      </c>
      <c r="F29" s="163"/>
      <c r="G29" s="163"/>
      <c r="H29" s="163"/>
      <c r="I29" s="163"/>
      <c r="J29" s="163"/>
      <c r="K29" s="163"/>
      <c r="L29" s="164"/>
      <c r="M29" s="160"/>
      <c r="N29" s="161"/>
      <c r="O29" s="161"/>
      <c r="P29" s="160"/>
      <c r="Q29" s="161"/>
      <c r="R29" s="161"/>
      <c r="S29" s="160"/>
      <c r="T29" s="161"/>
      <c r="U29" s="161"/>
      <c r="V29" s="173"/>
      <c r="W29" s="174"/>
      <c r="X29" s="174"/>
      <c r="Y29" s="174"/>
      <c r="Z29" s="174"/>
      <c r="AA29" s="175"/>
      <c r="AB29" s="173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5"/>
      <c r="AR29" s="160"/>
      <c r="AS29" s="161"/>
      <c r="AT29" s="161"/>
      <c r="AU29" s="161"/>
      <c r="AV29" s="161"/>
      <c r="AW29" s="187"/>
      <c r="AX29" s="173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  <c r="BI29" s="174"/>
      <c r="BJ29" s="174"/>
      <c r="BK29" s="174"/>
      <c r="BL29" s="174"/>
      <c r="BM29" s="174"/>
      <c r="BN29" s="174"/>
      <c r="BO29" s="174"/>
      <c r="BP29" s="174"/>
      <c r="BQ29" s="174"/>
      <c r="BR29" s="174"/>
      <c r="BS29" s="174"/>
      <c r="BT29" s="179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157" t="s">
        <v>126</v>
      </c>
      <c r="F30" s="158"/>
      <c r="G30" s="158"/>
      <c r="H30" s="158"/>
      <c r="I30" s="158"/>
      <c r="J30" s="158"/>
      <c r="K30" s="158"/>
      <c r="L30" s="159"/>
      <c r="M30" s="133" t="s">
        <v>47</v>
      </c>
      <c r="N30" s="134"/>
      <c r="O30" s="134"/>
      <c r="P30" s="133" t="s">
        <v>102</v>
      </c>
      <c r="Q30" s="134"/>
      <c r="R30" s="134"/>
      <c r="S30" s="133"/>
      <c r="T30" s="134"/>
      <c r="U30" s="134"/>
      <c r="V30" s="170" t="s">
        <v>206</v>
      </c>
      <c r="W30" s="171"/>
      <c r="X30" s="171"/>
      <c r="Y30" s="171"/>
      <c r="Z30" s="171"/>
      <c r="AA30" s="172"/>
      <c r="AB30" s="180" t="s">
        <v>203</v>
      </c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2"/>
      <c r="AR30" s="185">
        <v>999999</v>
      </c>
      <c r="AS30" s="134"/>
      <c r="AT30" s="134"/>
      <c r="AU30" s="134"/>
      <c r="AV30" s="134"/>
      <c r="AW30" s="135"/>
      <c r="AX30" s="180"/>
      <c r="AY30" s="181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81"/>
      <c r="BK30" s="181"/>
      <c r="BL30" s="181"/>
      <c r="BM30" s="181"/>
      <c r="BN30" s="181"/>
      <c r="BO30" s="181"/>
      <c r="BP30" s="181"/>
      <c r="BQ30" s="181"/>
      <c r="BR30" s="181"/>
      <c r="BS30" s="181"/>
      <c r="BT30" s="183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174"/>
  <sheetViews>
    <sheetView topLeftCell="A28" zoomScaleNormal="100" zoomScaleSheetLayoutView="100" workbookViewId="0">
      <selection activeCell="X35" sqref="X35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1" t="s">
        <v>0</v>
      </c>
      <c r="C2" s="192"/>
      <c r="D2" s="192"/>
      <c r="E2" s="192"/>
      <c r="F2" s="192"/>
      <c r="G2" s="192"/>
      <c r="H2" s="192" t="s">
        <v>17</v>
      </c>
      <c r="I2" s="192"/>
      <c r="J2" s="192"/>
      <c r="K2" s="192"/>
      <c r="L2" s="192" t="s">
        <v>300</v>
      </c>
      <c r="M2" s="192"/>
      <c r="N2" s="192"/>
      <c r="O2" s="192"/>
      <c r="P2" s="192"/>
      <c r="Q2" s="192"/>
      <c r="R2" s="192" t="s">
        <v>2</v>
      </c>
      <c r="S2" s="192"/>
      <c r="T2" s="192"/>
      <c r="U2" s="192"/>
      <c r="V2" s="192"/>
      <c r="W2" s="192"/>
      <c r="X2" s="193" t="s">
        <v>3</v>
      </c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5"/>
      <c r="AK2" s="193" t="s">
        <v>32</v>
      </c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5"/>
      <c r="AX2" s="192" t="s">
        <v>5</v>
      </c>
      <c r="AY2" s="192"/>
      <c r="AZ2" s="192"/>
      <c r="BA2" s="192"/>
      <c r="BB2" s="192" t="s">
        <v>4</v>
      </c>
      <c r="BC2" s="192"/>
      <c r="BD2" s="192"/>
      <c r="BE2" s="192"/>
      <c r="BF2" s="192" t="s">
        <v>6</v>
      </c>
      <c r="BG2" s="192"/>
      <c r="BH2" s="192"/>
      <c r="BI2" s="192"/>
      <c r="BJ2" s="192" t="s">
        <v>7</v>
      </c>
      <c r="BK2" s="192"/>
      <c r="BL2" s="192"/>
      <c r="BM2" s="202"/>
    </row>
    <row r="3" spans="2:65" ht="20.100000000000001" customHeight="1" x14ac:dyDescent="0.45">
      <c r="B3" s="196" t="str">
        <f>変更履歴!B3</f>
        <v>受発注システム</v>
      </c>
      <c r="C3" s="141"/>
      <c r="D3" s="141"/>
      <c r="E3" s="141"/>
      <c r="F3" s="141"/>
      <c r="G3" s="141"/>
      <c r="H3" s="141" t="str">
        <f ca="1">変更履歴!H3</f>
        <v>MH0800</v>
      </c>
      <c r="I3" s="141"/>
      <c r="J3" s="141"/>
      <c r="K3" s="141"/>
      <c r="L3" s="141" t="str">
        <f>変更履歴!L3</f>
        <v>受発注</v>
      </c>
      <c r="M3" s="141"/>
      <c r="N3" s="141"/>
      <c r="O3" s="141"/>
      <c r="P3" s="141"/>
      <c r="Q3" s="141"/>
      <c r="R3" s="141" t="str">
        <f ca="1">変更履歴!R3</f>
        <v>帳票設計書</v>
      </c>
      <c r="S3" s="141"/>
      <c r="T3" s="141"/>
      <c r="U3" s="141"/>
      <c r="V3" s="141"/>
      <c r="W3" s="141"/>
      <c r="X3" s="144" t="str">
        <f ca="1">変更履歴!X3</f>
        <v>MH0800_発注一覧表_帳票設計書</v>
      </c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6"/>
      <c r="AK3" s="144" t="str">
        <f ca="1">変更履歴!AK3</f>
        <v>発注一覧表</v>
      </c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6"/>
      <c r="AX3" s="140">
        <f>変更履歴!AX3</f>
        <v>45583</v>
      </c>
      <c r="AY3" s="140"/>
      <c r="AZ3" s="140"/>
      <c r="BA3" s="140"/>
      <c r="BB3" s="141" t="str">
        <f>変更履歴!BB3</f>
        <v>大谷</v>
      </c>
      <c r="BC3" s="141"/>
      <c r="BD3" s="141"/>
      <c r="BE3" s="141"/>
      <c r="BF3" s="140">
        <f>変更履歴!BF3</f>
        <v>45583</v>
      </c>
      <c r="BG3" s="140"/>
      <c r="BH3" s="140"/>
      <c r="BI3" s="140"/>
      <c r="BJ3" s="141" t="str">
        <f>変更履歴!BJ3</f>
        <v>大谷</v>
      </c>
      <c r="BK3" s="141"/>
      <c r="BL3" s="141"/>
      <c r="BM3" s="200"/>
    </row>
    <row r="4" spans="2:65" ht="20.100000000000001" customHeight="1" thickBot="1" x14ac:dyDescent="0.5">
      <c r="B4" s="197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88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90"/>
      <c r="AK4" s="188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90"/>
      <c r="AX4" s="199"/>
      <c r="AY4" s="199"/>
      <c r="AZ4" s="199"/>
      <c r="BA4" s="199"/>
      <c r="BB4" s="198"/>
      <c r="BC4" s="198"/>
      <c r="BD4" s="198"/>
      <c r="BE4" s="198"/>
      <c r="BF4" s="199"/>
      <c r="BG4" s="199"/>
      <c r="BH4" s="199"/>
      <c r="BI4" s="199"/>
      <c r="BJ4" s="198"/>
      <c r="BK4" s="198"/>
      <c r="BL4" s="198"/>
      <c r="BM4" s="201"/>
    </row>
    <row r="5" spans="2:65" ht="5.0999999999999996" customHeight="1" thickBot="1" x14ac:dyDescent="0.5"/>
    <row r="6" spans="2:65" ht="20.100000000000001" customHeight="1" x14ac:dyDescent="0.45">
      <c r="B6" s="89" t="s">
        <v>185</v>
      </c>
      <c r="C6" s="90"/>
      <c r="D6" s="90"/>
      <c r="E6" s="90"/>
      <c r="F6" s="90"/>
      <c r="G6" s="91"/>
      <c r="H6" s="92" t="s">
        <v>211</v>
      </c>
      <c r="I6" s="90"/>
      <c r="J6" s="120" t="s">
        <v>122</v>
      </c>
      <c r="K6" s="121"/>
      <c r="L6" s="121"/>
      <c r="M6" s="121"/>
      <c r="N6" s="121"/>
      <c r="O6" s="121"/>
      <c r="P6" s="121"/>
      <c r="Q6" s="122"/>
      <c r="R6" s="121" t="s">
        <v>257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118</v>
      </c>
      <c r="K7" s="52"/>
      <c r="L7" s="52"/>
      <c r="M7" s="52"/>
      <c r="N7" s="52"/>
      <c r="O7" s="52"/>
      <c r="P7" s="52"/>
      <c r="Q7" s="125"/>
      <c r="R7" s="52" t="s">
        <v>258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131</v>
      </c>
      <c r="K8" s="52"/>
      <c r="L8" s="52"/>
      <c r="M8" s="52"/>
      <c r="N8" s="52"/>
      <c r="O8" s="52"/>
      <c r="P8" s="52"/>
      <c r="Q8" s="125"/>
      <c r="R8" s="52" t="s">
        <v>259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119</v>
      </c>
      <c r="K9" s="52"/>
      <c r="L9" s="52"/>
      <c r="M9" s="52"/>
      <c r="N9" s="52"/>
      <c r="O9" s="52"/>
      <c r="P9" s="52"/>
      <c r="Q9" s="125"/>
      <c r="R9" s="52" t="s">
        <v>260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121</v>
      </c>
      <c r="K10" s="52"/>
      <c r="L10" s="52"/>
      <c r="M10" s="52"/>
      <c r="N10" s="52"/>
      <c r="O10" s="52"/>
      <c r="P10" s="52"/>
      <c r="Q10" s="125"/>
      <c r="R10" s="52" t="s">
        <v>261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132</v>
      </c>
      <c r="K11" s="52"/>
      <c r="L11" s="52"/>
      <c r="M11" s="52"/>
      <c r="N11" s="52"/>
      <c r="O11" s="52"/>
      <c r="P11" s="52"/>
      <c r="Q11" s="125"/>
      <c r="R11" s="52" t="s">
        <v>262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113</v>
      </c>
      <c r="K12" s="52"/>
      <c r="L12" s="52"/>
      <c r="M12" s="52"/>
      <c r="N12" s="52"/>
      <c r="O12" s="52"/>
      <c r="P12" s="52"/>
      <c r="Q12" s="125"/>
      <c r="R12" s="52" t="s">
        <v>263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31"/>
      <c r="I13" s="31"/>
      <c r="J13" s="124" t="s">
        <v>133</v>
      </c>
      <c r="K13" s="52"/>
      <c r="L13" s="52"/>
      <c r="M13" s="52"/>
      <c r="N13" s="52"/>
      <c r="O13" s="52"/>
      <c r="P13" s="52"/>
      <c r="Q13" s="125"/>
      <c r="R13" s="52" t="s">
        <v>264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31"/>
      <c r="I14" s="31"/>
      <c r="J14" s="124" t="s">
        <v>134</v>
      </c>
      <c r="K14" s="52"/>
      <c r="L14" s="52"/>
      <c r="M14" s="52"/>
      <c r="N14" s="52"/>
      <c r="O14" s="52"/>
      <c r="P14" s="52"/>
      <c r="Q14" s="125"/>
      <c r="R14" s="52" t="s">
        <v>265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31"/>
      <c r="I15" s="31"/>
      <c r="J15" s="124" t="s">
        <v>123</v>
      </c>
      <c r="K15" s="52"/>
      <c r="L15" s="52"/>
      <c r="M15" s="52"/>
      <c r="N15" s="52"/>
      <c r="O15" s="52"/>
      <c r="P15" s="52"/>
      <c r="Q15" s="125"/>
      <c r="R15" s="52" t="s">
        <v>266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31"/>
      <c r="I16" s="31"/>
      <c r="J16" s="124" t="s">
        <v>124</v>
      </c>
      <c r="K16" s="52"/>
      <c r="L16" s="52"/>
      <c r="M16" s="52"/>
      <c r="N16" s="52"/>
      <c r="O16" s="52"/>
      <c r="P16" s="52"/>
      <c r="Q16" s="125"/>
      <c r="R16" s="52" t="s">
        <v>267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31"/>
      <c r="I17" s="31"/>
      <c r="J17" s="124" t="s">
        <v>135</v>
      </c>
      <c r="K17" s="52"/>
      <c r="L17" s="52"/>
      <c r="M17" s="52"/>
      <c r="N17" s="52"/>
      <c r="O17" s="52"/>
      <c r="P17" s="52"/>
      <c r="Q17" s="125"/>
      <c r="R17" s="52" t="s">
        <v>268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31"/>
      <c r="I18" s="31"/>
      <c r="J18" s="124" t="s">
        <v>114</v>
      </c>
      <c r="K18" s="52"/>
      <c r="L18" s="52"/>
      <c r="M18" s="52"/>
      <c r="N18" s="52"/>
      <c r="O18" s="52"/>
      <c r="P18" s="52"/>
      <c r="Q18" s="125"/>
      <c r="R18" s="52" t="s">
        <v>269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31"/>
      <c r="I19" s="31"/>
      <c r="J19" s="124" t="s">
        <v>136</v>
      </c>
      <c r="K19" s="52"/>
      <c r="L19" s="52"/>
      <c r="M19" s="52"/>
      <c r="N19" s="52"/>
      <c r="O19" s="52"/>
      <c r="P19" s="52"/>
      <c r="Q19" s="125"/>
      <c r="R19" s="52" t="s">
        <v>270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31"/>
      <c r="I20" s="31"/>
      <c r="J20" s="124" t="s">
        <v>137</v>
      </c>
      <c r="K20" s="52"/>
      <c r="L20" s="52"/>
      <c r="M20" s="52"/>
      <c r="N20" s="52"/>
      <c r="O20" s="52"/>
      <c r="P20" s="52"/>
      <c r="Q20" s="125"/>
      <c r="R20" s="52" t="s">
        <v>271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31"/>
      <c r="I21" s="31"/>
      <c r="J21" s="124" t="s">
        <v>138</v>
      </c>
      <c r="K21" s="52"/>
      <c r="L21" s="52"/>
      <c r="M21" s="52"/>
      <c r="N21" s="52"/>
      <c r="O21" s="52"/>
      <c r="P21" s="52"/>
      <c r="Q21" s="125"/>
      <c r="R21" s="52" t="s">
        <v>272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31"/>
      <c r="I22" s="31"/>
      <c r="J22" s="124" t="s">
        <v>139</v>
      </c>
      <c r="K22" s="52"/>
      <c r="L22" s="52"/>
      <c r="M22" s="52"/>
      <c r="N22" s="52"/>
      <c r="O22" s="52"/>
      <c r="P22" s="52"/>
      <c r="Q22" s="125"/>
      <c r="R22" s="52" t="s">
        <v>273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31"/>
      <c r="I23" s="31"/>
      <c r="J23" s="124" t="s">
        <v>140</v>
      </c>
      <c r="K23" s="52"/>
      <c r="L23" s="52"/>
      <c r="M23" s="52"/>
      <c r="N23" s="52"/>
      <c r="O23" s="52"/>
      <c r="P23" s="52"/>
      <c r="Q23" s="125"/>
      <c r="R23" s="52" t="s">
        <v>274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25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123"/>
      <c r="C24" s="31"/>
      <c r="D24" s="31"/>
      <c r="E24" s="31"/>
      <c r="F24" s="31"/>
      <c r="G24" s="96"/>
      <c r="H24" s="31"/>
      <c r="I24" s="31"/>
      <c r="J24" s="124" t="s">
        <v>141</v>
      </c>
      <c r="K24" s="52"/>
      <c r="L24" s="52"/>
      <c r="M24" s="52"/>
      <c r="N24" s="52"/>
      <c r="O24" s="52"/>
      <c r="P24" s="52"/>
      <c r="Q24" s="125"/>
      <c r="R24" s="52" t="s">
        <v>275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25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123"/>
      <c r="C25" s="31"/>
      <c r="D25" s="31"/>
      <c r="E25" s="31"/>
      <c r="F25" s="31"/>
      <c r="G25" s="96"/>
      <c r="H25" s="31"/>
      <c r="I25" s="31"/>
      <c r="J25" s="124" t="s">
        <v>142</v>
      </c>
      <c r="K25" s="52"/>
      <c r="L25" s="52"/>
      <c r="M25" s="52"/>
      <c r="N25" s="52"/>
      <c r="O25" s="52"/>
      <c r="P25" s="52"/>
      <c r="Q25" s="125"/>
      <c r="R25" s="52" t="s">
        <v>276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25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123"/>
      <c r="C26" s="31"/>
      <c r="D26" s="31"/>
      <c r="E26" s="31"/>
      <c r="F26" s="31"/>
      <c r="G26" s="96"/>
      <c r="H26" s="31"/>
      <c r="I26" s="31"/>
      <c r="J26" s="124" t="s">
        <v>115</v>
      </c>
      <c r="K26" s="52"/>
      <c r="L26" s="52"/>
      <c r="M26" s="52"/>
      <c r="N26" s="52"/>
      <c r="O26" s="52"/>
      <c r="P26" s="52"/>
      <c r="Q26" s="125"/>
      <c r="R26" s="52" t="s">
        <v>277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25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123"/>
      <c r="C27" s="31"/>
      <c r="D27" s="31"/>
      <c r="E27" s="31"/>
      <c r="F27" s="31"/>
      <c r="G27" s="96"/>
      <c r="H27" s="31"/>
      <c r="I27" s="31"/>
      <c r="J27" s="124" t="s">
        <v>143</v>
      </c>
      <c r="K27" s="52"/>
      <c r="L27" s="52"/>
      <c r="M27" s="52"/>
      <c r="N27" s="52"/>
      <c r="O27" s="52"/>
      <c r="P27" s="52"/>
      <c r="Q27" s="125"/>
      <c r="R27" s="52" t="s">
        <v>278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25"/>
      <c r="AK27" s="9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123"/>
      <c r="C28" s="31"/>
      <c r="D28" s="31"/>
      <c r="E28" s="31"/>
      <c r="F28" s="31"/>
      <c r="G28" s="96"/>
      <c r="H28" s="31"/>
      <c r="I28" s="31"/>
      <c r="J28" s="124" t="s">
        <v>116</v>
      </c>
      <c r="K28" s="52"/>
      <c r="L28" s="52"/>
      <c r="M28" s="52"/>
      <c r="N28" s="52"/>
      <c r="O28" s="52"/>
      <c r="P28" s="52"/>
      <c r="Q28" s="125"/>
      <c r="R28" s="52" t="s">
        <v>279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25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123"/>
      <c r="C29" s="31"/>
      <c r="D29" s="31"/>
      <c r="E29" s="31"/>
      <c r="F29" s="31"/>
      <c r="G29" s="96"/>
      <c r="H29" s="31"/>
      <c r="I29" s="31"/>
      <c r="J29" s="124" t="s">
        <v>125</v>
      </c>
      <c r="K29" s="52"/>
      <c r="L29" s="52"/>
      <c r="M29" s="52"/>
      <c r="N29" s="52"/>
      <c r="O29" s="52"/>
      <c r="P29" s="52"/>
      <c r="Q29" s="125"/>
      <c r="R29" s="52" t="s">
        <v>280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25"/>
      <c r="AK29" s="98" t="s">
        <v>286</v>
      </c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123"/>
      <c r="C30" s="31"/>
      <c r="D30" s="31"/>
      <c r="E30" s="31"/>
      <c r="F30" s="31"/>
      <c r="G30" s="96"/>
      <c r="H30" s="31"/>
      <c r="I30" s="31"/>
      <c r="J30" s="124" t="s">
        <v>148</v>
      </c>
      <c r="K30" s="52"/>
      <c r="L30" s="52"/>
      <c r="M30" s="52"/>
      <c r="N30" s="52"/>
      <c r="O30" s="52"/>
      <c r="P30" s="52"/>
      <c r="Q30" s="125"/>
      <c r="R30" s="52" t="s">
        <v>281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25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123"/>
      <c r="C31" s="31"/>
      <c r="D31" s="31"/>
      <c r="E31" s="31"/>
      <c r="F31" s="31"/>
      <c r="G31" s="96"/>
      <c r="H31" s="31"/>
      <c r="I31" s="31"/>
      <c r="J31" s="124" t="s">
        <v>147</v>
      </c>
      <c r="K31" s="52"/>
      <c r="L31" s="52"/>
      <c r="M31" s="52"/>
      <c r="N31" s="52"/>
      <c r="O31" s="52"/>
      <c r="P31" s="52"/>
      <c r="Q31" s="125"/>
      <c r="R31" s="52" t="s">
        <v>282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25"/>
      <c r="AK31" s="98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123"/>
      <c r="C32" s="31"/>
      <c r="D32" s="31"/>
      <c r="E32" s="31"/>
      <c r="F32" s="31"/>
      <c r="G32" s="96"/>
      <c r="H32" s="31"/>
      <c r="I32" s="31"/>
      <c r="J32" s="124" t="s">
        <v>146</v>
      </c>
      <c r="K32" s="52"/>
      <c r="L32" s="52"/>
      <c r="M32" s="52"/>
      <c r="N32" s="52"/>
      <c r="O32" s="52"/>
      <c r="P32" s="52"/>
      <c r="Q32" s="125"/>
      <c r="R32" s="52" t="s">
        <v>283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25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123"/>
      <c r="C33" s="31"/>
      <c r="D33" s="31"/>
      <c r="E33" s="31"/>
      <c r="F33" s="31"/>
      <c r="G33" s="96"/>
      <c r="H33" s="31"/>
      <c r="I33" s="31"/>
      <c r="J33" s="124" t="s">
        <v>145</v>
      </c>
      <c r="K33" s="52"/>
      <c r="L33" s="52"/>
      <c r="M33" s="52"/>
      <c r="N33" s="52"/>
      <c r="O33" s="52"/>
      <c r="P33" s="52"/>
      <c r="Q33" s="125"/>
      <c r="R33" s="52" t="s">
        <v>284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25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123"/>
      <c r="C34" s="31"/>
      <c r="D34" s="31"/>
      <c r="E34" s="31"/>
      <c r="F34" s="31"/>
      <c r="G34" s="96"/>
      <c r="H34" s="31"/>
      <c r="I34" s="31"/>
      <c r="J34" s="124" t="s">
        <v>144</v>
      </c>
      <c r="K34" s="52"/>
      <c r="L34" s="52"/>
      <c r="M34" s="52"/>
      <c r="N34" s="52"/>
      <c r="O34" s="52"/>
      <c r="P34" s="52"/>
      <c r="Q34" s="125"/>
      <c r="R34" s="52" t="s">
        <v>285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25"/>
      <c r="AK34" s="98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123"/>
      <c r="C35" s="31"/>
      <c r="D35" s="31"/>
      <c r="E35" s="31"/>
      <c r="F35" s="31"/>
      <c r="G35" s="96"/>
      <c r="H35" s="100" t="s">
        <v>53</v>
      </c>
      <c r="I35" s="55"/>
      <c r="J35" s="100" t="s">
        <v>289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101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102"/>
    </row>
    <row r="36" spans="2:61" ht="20.100000000000001" customHeight="1" x14ac:dyDescent="0.45">
      <c r="B36" s="123"/>
      <c r="C36" s="31"/>
      <c r="D36" s="31"/>
      <c r="E36" s="31"/>
      <c r="F36" s="31"/>
      <c r="G36" s="96"/>
      <c r="H36" s="97"/>
      <c r="I36" s="31"/>
      <c r="J36" s="97"/>
      <c r="K36" s="31" t="s">
        <v>288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9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9"/>
    </row>
    <row r="37" spans="2:61" ht="20.100000000000001" customHeight="1" x14ac:dyDescent="0.45">
      <c r="B37" s="123"/>
      <c r="C37" s="31"/>
      <c r="D37" s="31"/>
      <c r="E37" s="31"/>
      <c r="F37" s="31"/>
      <c r="G37" s="96"/>
      <c r="H37" s="97"/>
      <c r="I37" s="31"/>
      <c r="J37" s="97"/>
      <c r="K37" s="31" t="s">
        <v>215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98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99"/>
    </row>
    <row r="38" spans="2:61" ht="20.100000000000001" customHeight="1" x14ac:dyDescent="0.45">
      <c r="B38" s="95"/>
      <c r="C38" s="31"/>
      <c r="D38" s="31"/>
      <c r="E38" s="31"/>
      <c r="F38" s="31"/>
      <c r="G38" s="96"/>
      <c r="I38" s="31"/>
      <c r="J38" s="97"/>
      <c r="K38" s="31" t="s">
        <v>217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98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99"/>
    </row>
    <row r="39" spans="2:61" ht="20.100000000000001" customHeight="1" x14ac:dyDescent="0.45">
      <c r="B39" s="95"/>
      <c r="C39" s="31"/>
      <c r="D39" s="31"/>
      <c r="E39" s="31"/>
      <c r="F39" s="31"/>
      <c r="G39" s="96"/>
      <c r="H39" s="97"/>
      <c r="I39" s="31"/>
      <c r="J39" s="97" t="s">
        <v>290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 x14ac:dyDescent="0.45">
      <c r="B40" s="95"/>
      <c r="C40" s="31"/>
      <c r="D40" s="31"/>
      <c r="E40" s="31"/>
      <c r="F40" s="31"/>
      <c r="G40" s="96"/>
      <c r="H40" s="97"/>
      <c r="I40" s="31"/>
      <c r="J40" s="97" t="s">
        <v>287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98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9"/>
    </row>
    <row r="41" spans="2:61" ht="20.100000000000001" customHeight="1" x14ac:dyDescent="0.45">
      <c r="B41" s="95"/>
      <c r="C41" s="31"/>
      <c r="D41" s="31"/>
      <c r="E41" s="31"/>
      <c r="F41" s="31"/>
      <c r="G41" s="96"/>
      <c r="H41" s="100" t="s">
        <v>213</v>
      </c>
      <c r="I41" s="55"/>
      <c r="J41" s="100" t="s">
        <v>212</v>
      </c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101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102"/>
    </row>
    <row r="42" spans="2:61" ht="20.100000000000001" customHeight="1" x14ac:dyDescent="0.45">
      <c r="B42" s="95"/>
      <c r="C42" s="31"/>
      <c r="D42" s="31"/>
      <c r="E42" s="31"/>
      <c r="F42" s="31"/>
      <c r="G42" s="96"/>
      <c r="H42" s="97" t="s">
        <v>214</v>
      </c>
      <c r="I42" s="31"/>
      <c r="J42" s="97"/>
      <c r="K42" s="31"/>
      <c r="L42" s="31" t="s">
        <v>175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98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99"/>
    </row>
    <row r="43" spans="2:61" ht="20.100000000000001" customHeight="1" x14ac:dyDescent="0.45">
      <c r="B43" s="95"/>
      <c r="C43" s="31"/>
      <c r="D43" s="31"/>
      <c r="E43" s="31"/>
      <c r="F43" s="31"/>
      <c r="G43" s="96"/>
      <c r="H43" s="97"/>
      <c r="I43" s="31"/>
      <c r="J43" s="97"/>
      <c r="K43" s="31" t="s">
        <v>216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98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99"/>
    </row>
    <row r="44" spans="2:61" ht="20.100000000000001" customHeight="1" x14ac:dyDescent="0.45">
      <c r="B44" s="95"/>
      <c r="C44" s="31"/>
      <c r="D44" s="31"/>
      <c r="E44" s="31"/>
      <c r="F44" s="31"/>
      <c r="G44" s="96"/>
      <c r="H44" s="97"/>
      <c r="I44" s="31"/>
      <c r="J44" s="97"/>
      <c r="K44" s="31"/>
      <c r="L44" s="31" t="s">
        <v>215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98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99"/>
    </row>
    <row r="45" spans="2:61" ht="20.100000000000001" customHeight="1" x14ac:dyDescent="0.45">
      <c r="B45" s="95"/>
      <c r="C45" s="31"/>
      <c r="D45" s="31"/>
      <c r="E45" s="31"/>
      <c r="F45" s="31"/>
      <c r="G45" s="96"/>
      <c r="H45" s="97"/>
      <c r="I45" s="31"/>
      <c r="J45" s="97"/>
      <c r="K45" s="31" t="s">
        <v>216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98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99"/>
    </row>
    <row r="46" spans="2:61" ht="20.100000000000001" customHeight="1" x14ac:dyDescent="0.45">
      <c r="B46" s="95"/>
      <c r="C46" s="31"/>
      <c r="D46" s="31"/>
      <c r="E46" s="31"/>
      <c r="F46" s="31"/>
      <c r="G46" s="96"/>
      <c r="H46" s="97"/>
      <c r="I46" s="31"/>
      <c r="J46" s="97"/>
      <c r="K46" s="31"/>
      <c r="L46" s="31" t="s">
        <v>217</v>
      </c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98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99"/>
    </row>
    <row r="47" spans="2:61" ht="20.100000000000001" customHeight="1" x14ac:dyDescent="0.45">
      <c r="B47" s="95"/>
      <c r="C47" s="31"/>
      <c r="D47" s="31"/>
      <c r="E47" s="31"/>
      <c r="F47" s="31"/>
      <c r="G47" s="96"/>
      <c r="H47" s="97"/>
      <c r="I47" s="31"/>
      <c r="J47" s="97" t="s">
        <v>220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98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99"/>
    </row>
    <row r="48" spans="2:61" ht="20.100000000000001" customHeight="1" x14ac:dyDescent="0.45">
      <c r="B48" s="95"/>
      <c r="C48" s="31"/>
      <c r="D48" s="31"/>
      <c r="E48" s="31"/>
      <c r="F48" s="31"/>
      <c r="G48" s="96"/>
      <c r="H48" s="97"/>
      <c r="I48" s="31"/>
      <c r="J48" s="97" t="s">
        <v>218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98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99"/>
    </row>
    <row r="49" spans="2:61" ht="20.100000000000001" customHeight="1" x14ac:dyDescent="0.45">
      <c r="B49" s="95"/>
      <c r="C49" s="31"/>
      <c r="D49" s="31"/>
      <c r="E49" s="31"/>
      <c r="F49" s="31"/>
      <c r="G49" s="96"/>
      <c r="H49" s="97"/>
      <c r="I49" s="31"/>
      <c r="J49" s="97"/>
      <c r="K49" s="31" t="s">
        <v>219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98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99"/>
    </row>
    <row r="50" spans="2:61" ht="20.100000000000001" customHeight="1" x14ac:dyDescent="0.45">
      <c r="B50" s="95"/>
      <c r="C50" s="31"/>
      <c r="D50" s="31"/>
      <c r="E50" s="31"/>
      <c r="F50" s="31"/>
      <c r="G50" s="96"/>
      <c r="H50" s="97"/>
      <c r="I50" s="31"/>
      <c r="J50" s="97"/>
      <c r="K50" s="31"/>
      <c r="L50" s="31"/>
      <c r="M50" s="31" t="s">
        <v>221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98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99"/>
    </row>
    <row r="51" spans="2:61" ht="20.100000000000001" customHeight="1" x14ac:dyDescent="0.45">
      <c r="B51" s="95"/>
      <c r="C51" s="31"/>
      <c r="D51" s="31"/>
      <c r="E51" s="31"/>
      <c r="F51" s="31"/>
      <c r="G51" s="96"/>
      <c r="H51" s="100" t="s">
        <v>55</v>
      </c>
      <c r="I51" s="55"/>
      <c r="J51" s="100"/>
      <c r="K51" s="55" t="s">
        <v>227</v>
      </c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101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102"/>
    </row>
    <row r="52" spans="2:61" ht="20.100000000000001" customHeight="1" x14ac:dyDescent="0.45">
      <c r="B52" s="95"/>
      <c r="C52" s="31"/>
      <c r="D52" s="31"/>
      <c r="E52" s="31"/>
      <c r="F52" s="31"/>
      <c r="G52" s="96"/>
      <c r="H52" s="97"/>
      <c r="I52" s="31"/>
      <c r="J52" s="97" t="s">
        <v>222</v>
      </c>
      <c r="K52" s="31" t="s">
        <v>228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97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99"/>
    </row>
    <row r="53" spans="2:61" ht="20.100000000000001" customHeight="1" x14ac:dyDescent="0.45">
      <c r="B53" s="95"/>
      <c r="C53" s="31"/>
      <c r="D53" s="31"/>
      <c r="E53" s="31"/>
      <c r="F53" s="31"/>
      <c r="G53" s="96"/>
      <c r="H53" s="100" t="s">
        <v>223</v>
      </c>
      <c r="I53" s="55"/>
      <c r="J53" s="100" t="s">
        <v>224</v>
      </c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100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102"/>
    </row>
    <row r="54" spans="2:61" ht="20.100000000000001" customHeight="1" x14ac:dyDescent="0.45">
      <c r="B54" s="95"/>
      <c r="C54" s="31"/>
      <c r="D54" s="31"/>
      <c r="E54" s="31"/>
      <c r="F54" s="31"/>
      <c r="G54" s="96"/>
      <c r="H54" s="97"/>
      <c r="I54" s="31"/>
      <c r="J54" s="97" t="s">
        <v>225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97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99"/>
    </row>
    <row r="55" spans="2:61" ht="20.100000000000001" customHeight="1" thickBot="1" x14ac:dyDescent="0.5">
      <c r="B55" s="95"/>
      <c r="C55" s="31"/>
      <c r="D55" s="31"/>
      <c r="E55" s="31"/>
      <c r="F55" s="31"/>
      <c r="G55" s="96"/>
      <c r="H55" s="103"/>
      <c r="I55" s="104"/>
      <c r="J55" s="103" t="s">
        <v>226</v>
      </c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3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6"/>
    </row>
    <row r="56" spans="2:61" ht="20.100000000000001" customHeight="1" x14ac:dyDescent="0.45">
      <c r="B56" s="89" t="s">
        <v>129</v>
      </c>
      <c r="C56" s="90"/>
      <c r="D56" s="90"/>
      <c r="E56" s="90"/>
      <c r="F56" s="90"/>
      <c r="G56" s="91"/>
      <c r="H56" s="92" t="s">
        <v>84</v>
      </c>
      <c r="I56" s="90"/>
      <c r="J56" s="120" t="s">
        <v>122</v>
      </c>
      <c r="K56" s="121"/>
      <c r="L56" s="121"/>
      <c r="M56" s="121"/>
      <c r="N56" s="121"/>
      <c r="O56" s="121"/>
      <c r="P56" s="121"/>
      <c r="Q56" s="122"/>
      <c r="R56" s="121" t="s">
        <v>149</v>
      </c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2"/>
      <c r="AK56" s="93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4"/>
    </row>
    <row r="57" spans="2:61" ht="20.100000000000001" customHeight="1" x14ac:dyDescent="0.45">
      <c r="B57" s="123" t="s">
        <v>230</v>
      </c>
      <c r="C57" s="31"/>
      <c r="D57" s="31"/>
      <c r="E57" s="31"/>
      <c r="F57" s="31"/>
      <c r="G57" s="96"/>
      <c r="H57" s="97"/>
      <c r="I57" s="31"/>
      <c r="J57" s="124" t="s">
        <v>118</v>
      </c>
      <c r="K57" s="52"/>
      <c r="L57" s="52"/>
      <c r="M57" s="52"/>
      <c r="N57" s="52"/>
      <c r="O57" s="52"/>
      <c r="P57" s="52"/>
      <c r="Q57" s="125"/>
      <c r="R57" s="52" t="s">
        <v>150</v>
      </c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125"/>
      <c r="AK57" s="98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99"/>
    </row>
    <row r="58" spans="2:61" ht="20.100000000000001" customHeight="1" x14ac:dyDescent="0.45">
      <c r="B58" s="123" t="s">
        <v>231</v>
      </c>
      <c r="C58" s="31"/>
      <c r="D58" s="31"/>
      <c r="E58" s="31"/>
      <c r="F58" s="31"/>
      <c r="G58" s="96"/>
      <c r="H58" s="97"/>
      <c r="I58" s="31"/>
      <c r="J58" s="124" t="s">
        <v>131</v>
      </c>
      <c r="K58" s="52"/>
      <c r="L58" s="52"/>
      <c r="M58" s="52"/>
      <c r="N58" s="52"/>
      <c r="O58" s="52"/>
      <c r="P58" s="52"/>
      <c r="Q58" s="125"/>
      <c r="R58" s="52" t="s">
        <v>151</v>
      </c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125"/>
      <c r="AK58" s="98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99"/>
    </row>
    <row r="59" spans="2:61" ht="20.100000000000001" customHeight="1" x14ac:dyDescent="0.45">
      <c r="B59" s="123" t="s">
        <v>232</v>
      </c>
      <c r="C59" s="31"/>
      <c r="D59" s="31"/>
      <c r="E59" s="31"/>
      <c r="F59" s="31"/>
      <c r="G59" s="96"/>
      <c r="H59" s="97"/>
      <c r="I59" s="31"/>
      <c r="J59" s="124" t="s">
        <v>119</v>
      </c>
      <c r="K59" s="52"/>
      <c r="L59" s="52"/>
      <c r="M59" s="52"/>
      <c r="N59" s="52"/>
      <c r="O59" s="52"/>
      <c r="P59" s="52"/>
      <c r="Q59" s="125"/>
      <c r="R59" s="52" t="s">
        <v>152</v>
      </c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125"/>
      <c r="AK59" s="98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99"/>
    </row>
    <row r="60" spans="2:61" ht="20.100000000000001" customHeight="1" x14ac:dyDescent="0.45">
      <c r="B60" s="123"/>
      <c r="C60" s="31"/>
      <c r="D60" s="31"/>
      <c r="E60" s="31"/>
      <c r="F60" s="31"/>
      <c r="G60" s="96"/>
      <c r="H60" s="31"/>
      <c r="I60" s="31"/>
      <c r="J60" s="124" t="s">
        <v>121</v>
      </c>
      <c r="K60" s="52"/>
      <c r="L60" s="52"/>
      <c r="M60" s="52"/>
      <c r="N60" s="52"/>
      <c r="O60" s="52"/>
      <c r="P60" s="52"/>
      <c r="Q60" s="125"/>
      <c r="R60" s="52" t="s">
        <v>153</v>
      </c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125"/>
      <c r="AK60" s="98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99"/>
    </row>
    <row r="61" spans="2:61" ht="20.100000000000001" customHeight="1" x14ac:dyDescent="0.45">
      <c r="B61" s="123"/>
      <c r="C61" s="31"/>
      <c r="D61" s="31"/>
      <c r="E61" s="31"/>
      <c r="F61" s="31"/>
      <c r="G61" s="96"/>
      <c r="H61" s="31"/>
      <c r="I61" s="31"/>
      <c r="J61" s="124" t="s">
        <v>132</v>
      </c>
      <c r="K61" s="52"/>
      <c r="L61" s="52"/>
      <c r="M61" s="52"/>
      <c r="N61" s="52"/>
      <c r="O61" s="52"/>
      <c r="P61" s="52"/>
      <c r="Q61" s="125"/>
      <c r="R61" s="52" t="s">
        <v>154</v>
      </c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125"/>
      <c r="AK61" s="98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99"/>
    </row>
    <row r="62" spans="2:61" ht="20.100000000000001" customHeight="1" x14ac:dyDescent="0.45">
      <c r="B62" s="123"/>
      <c r="C62" s="31"/>
      <c r="D62" s="31"/>
      <c r="E62" s="31"/>
      <c r="F62" s="31"/>
      <c r="G62" s="96"/>
      <c r="H62" s="31"/>
      <c r="I62" s="31"/>
      <c r="J62" s="124" t="s">
        <v>113</v>
      </c>
      <c r="K62" s="52"/>
      <c r="L62" s="52"/>
      <c r="M62" s="52"/>
      <c r="N62" s="52"/>
      <c r="O62" s="52"/>
      <c r="P62" s="52"/>
      <c r="Q62" s="125"/>
      <c r="R62" s="52" t="s">
        <v>155</v>
      </c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125"/>
      <c r="AK62" s="98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99"/>
    </row>
    <row r="63" spans="2:61" ht="20.100000000000001" customHeight="1" x14ac:dyDescent="0.45">
      <c r="B63" s="123"/>
      <c r="C63" s="31"/>
      <c r="D63" s="31"/>
      <c r="E63" s="31"/>
      <c r="F63" s="31"/>
      <c r="G63" s="96"/>
      <c r="H63" s="31"/>
      <c r="I63" s="31"/>
      <c r="J63" s="124" t="s">
        <v>133</v>
      </c>
      <c r="K63" s="52"/>
      <c r="L63" s="52"/>
      <c r="M63" s="52"/>
      <c r="N63" s="52"/>
      <c r="O63" s="52"/>
      <c r="P63" s="52"/>
      <c r="Q63" s="125"/>
      <c r="R63" s="52" t="s">
        <v>156</v>
      </c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125"/>
      <c r="AK63" s="98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99"/>
    </row>
    <row r="64" spans="2:61" ht="20.100000000000001" customHeight="1" x14ac:dyDescent="0.45">
      <c r="B64" s="123"/>
      <c r="C64" s="31"/>
      <c r="D64" s="31"/>
      <c r="E64" s="31"/>
      <c r="F64" s="31"/>
      <c r="G64" s="96"/>
      <c r="H64" s="31"/>
      <c r="I64" s="31"/>
      <c r="J64" s="124" t="s">
        <v>134</v>
      </c>
      <c r="K64" s="52"/>
      <c r="L64" s="52"/>
      <c r="M64" s="52"/>
      <c r="N64" s="52"/>
      <c r="O64" s="52"/>
      <c r="P64" s="52"/>
      <c r="Q64" s="125"/>
      <c r="R64" s="52" t="s">
        <v>157</v>
      </c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125"/>
      <c r="AK64" s="98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99"/>
    </row>
    <row r="65" spans="2:61" ht="20.100000000000001" customHeight="1" x14ac:dyDescent="0.45">
      <c r="B65" s="123"/>
      <c r="C65" s="31"/>
      <c r="D65" s="31"/>
      <c r="E65" s="31"/>
      <c r="F65" s="31"/>
      <c r="G65" s="96"/>
      <c r="H65" s="31"/>
      <c r="I65" s="31"/>
      <c r="J65" s="124" t="s">
        <v>123</v>
      </c>
      <c r="K65" s="52"/>
      <c r="L65" s="52"/>
      <c r="M65" s="52"/>
      <c r="N65" s="52"/>
      <c r="O65" s="52"/>
      <c r="P65" s="52"/>
      <c r="Q65" s="125"/>
      <c r="R65" s="52" t="s">
        <v>158</v>
      </c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125"/>
      <c r="AK65" s="98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99"/>
    </row>
    <row r="66" spans="2:61" ht="20.100000000000001" customHeight="1" x14ac:dyDescent="0.45">
      <c r="B66" s="123"/>
      <c r="C66" s="31"/>
      <c r="D66" s="31"/>
      <c r="E66" s="31"/>
      <c r="F66" s="31"/>
      <c r="G66" s="96"/>
      <c r="H66" s="31"/>
      <c r="I66" s="31"/>
      <c r="J66" s="124" t="s">
        <v>124</v>
      </c>
      <c r="K66" s="52"/>
      <c r="L66" s="52"/>
      <c r="M66" s="52"/>
      <c r="N66" s="52"/>
      <c r="O66" s="52"/>
      <c r="P66" s="52"/>
      <c r="Q66" s="125"/>
      <c r="R66" s="52" t="s">
        <v>159</v>
      </c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125"/>
      <c r="AK66" s="98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99"/>
    </row>
    <row r="67" spans="2:61" ht="20.100000000000001" customHeight="1" x14ac:dyDescent="0.45">
      <c r="B67" s="123"/>
      <c r="C67" s="31"/>
      <c r="D67" s="31"/>
      <c r="E67" s="31"/>
      <c r="F67" s="31"/>
      <c r="G67" s="96"/>
      <c r="H67" s="31"/>
      <c r="I67" s="31"/>
      <c r="J67" s="124" t="s">
        <v>135</v>
      </c>
      <c r="K67" s="52"/>
      <c r="L67" s="52"/>
      <c r="M67" s="52"/>
      <c r="N67" s="52"/>
      <c r="O67" s="52"/>
      <c r="P67" s="52"/>
      <c r="Q67" s="125"/>
      <c r="R67" s="52" t="s">
        <v>160</v>
      </c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125"/>
      <c r="AK67" s="98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99"/>
    </row>
    <row r="68" spans="2:61" ht="20.100000000000001" customHeight="1" x14ac:dyDescent="0.45">
      <c r="B68" s="123"/>
      <c r="C68" s="31"/>
      <c r="D68" s="31"/>
      <c r="E68" s="31"/>
      <c r="F68" s="31"/>
      <c r="G68" s="96"/>
      <c r="H68" s="31"/>
      <c r="I68" s="31"/>
      <c r="J68" s="124" t="s">
        <v>114</v>
      </c>
      <c r="K68" s="52"/>
      <c r="L68" s="52"/>
      <c r="M68" s="52"/>
      <c r="N68" s="52"/>
      <c r="O68" s="52"/>
      <c r="P68" s="52"/>
      <c r="Q68" s="125"/>
      <c r="R68" s="52" t="s">
        <v>161</v>
      </c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125"/>
      <c r="AK68" s="98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99"/>
    </row>
    <row r="69" spans="2:61" ht="20.100000000000001" customHeight="1" x14ac:dyDescent="0.45">
      <c r="B69" s="123"/>
      <c r="C69" s="31"/>
      <c r="D69" s="31"/>
      <c r="E69" s="31"/>
      <c r="F69" s="31"/>
      <c r="G69" s="96"/>
      <c r="H69" s="31"/>
      <c r="I69" s="31"/>
      <c r="J69" s="124" t="s">
        <v>136</v>
      </c>
      <c r="K69" s="52"/>
      <c r="L69" s="52"/>
      <c r="M69" s="52"/>
      <c r="N69" s="52"/>
      <c r="O69" s="52"/>
      <c r="P69" s="52"/>
      <c r="Q69" s="125"/>
      <c r="R69" s="52" t="s">
        <v>162</v>
      </c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125"/>
      <c r="AK69" s="98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99"/>
    </row>
    <row r="70" spans="2:61" ht="20.100000000000001" customHeight="1" x14ac:dyDescent="0.45">
      <c r="B70" s="123"/>
      <c r="C70" s="31"/>
      <c r="D70" s="31"/>
      <c r="E70" s="31"/>
      <c r="F70" s="31"/>
      <c r="G70" s="96"/>
      <c r="H70" s="31"/>
      <c r="I70" s="31"/>
      <c r="J70" s="124" t="s">
        <v>137</v>
      </c>
      <c r="K70" s="52"/>
      <c r="L70" s="52"/>
      <c r="M70" s="52"/>
      <c r="N70" s="52"/>
      <c r="O70" s="52"/>
      <c r="P70" s="52"/>
      <c r="Q70" s="125"/>
      <c r="R70" s="52" t="s">
        <v>163</v>
      </c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125"/>
      <c r="AK70" s="98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99"/>
    </row>
    <row r="71" spans="2:61" ht="20.100000000000001" customHeight="1" x14ac:dyDescent="0.45">
      <c r="B71" s="123"/>
      <c r="C71" s="31"/>
      <c r="D71" s="31"/>
      <c r="E71" s="31"/>
      <c r="F71" s="31"/>
      <c r="G71" s="96"/>
      <c r="H71" s="31"/>
      <c r="I71" s="31"/>
      <c r="J71" s="124" t="s">
        <v>138</v>
      </c>
      <c r="K71" s="52"/>
      <c r="L71" s="52"/>
      <c r="M71" s="52"/>
      <c r="N71" s="52"/>
      <c r="O71" s="52"/>
      <c r="P71" s="52"/>
      <c r="Q71" s="125"/>
      <c r="R71" s="52" t="s">
        <v>164</v>
      </c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125"/>
      <c r="AK71" s="98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99"/>
    </row>
    <row r="72" spans="2:61" ht="20.100000000000001" customHeight="1" x14ac:dyDescent="0.45">
      <c r="B72" s="123"/>
      <c r="C72" s="31"/>
      <c r="D72" s="31"/>
      <c r="E72" s="31"/>
      <c r="F72" s="31"/>
      <c r="G72" s="96"/>
      <c r="H72" s="31"/>
      <c r="I72" s="31"/>
      <c r="J72" s="124" t="s">
        <v>139</v>
      </c>
      <c r="K72" s="52"/>
      <c r="L72" s="52"/>
      <c r="M72" s="52"/>
      <c r="N72" s="52"/>
      <c r="O72" s="52"/>
      <c r="P72" s="52"/>
      <c r="Q72" s="125"/>
      <c r="R72" s="52" t="s">
        <v>165</v>
      </c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125"/>
      <c r="AK72" s="98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99"/>
    </row>
    <row r="73" spans="2:61" ht="20.100000000000001" customHeight="1" x14ac:dyDescent="0.45">
      <c r="B73" s="123"/>
      <c r="C73" s="31"/>
      <c r="D73" s="31"/>
      <c r="E73" s="31"/>
      <c r="F73" s="31"/>
      <c r="G73" s="96"/>
      <c r="H73" s="31"/>
      <c r="I73" s="31"/>
      <c r="J73" s="124" t="s">
        <v>140</v>
      </c>
      <c r="K73" s="52"/>
      <c r="L73" s="52"/>
      <c r="M73" s="52"/>
      <c r="N73" s="52"/>
      <c r="O73" s="52"/>
      <c r="P73" s="52"/>
      <c r="Q73" s="125"/>
      <c r="R73" s="52" t="s">
        <v>166</v>
      </c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125"/>
      <c r="AK73" s="98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99"/>
    </row>
    <row r="74" spans="2:61" ht="20.100000000000001" customHeight="1" x14ac:dyDescent="0.45">
      <c r="B74" s="123"/>
      <c r="C74" s="31"/>
      <c r="D74" s="31"/>
      <c r="E74" s="31"/>
      <c r="F74" s="31"/>
      <c r="G74" s="96"/>
      <c r="H74" s="31"/>
      <c r="I74" s="31"/>
      <c r="J74" s="124" t="s">
        <v>141</v>
      </c>
      <c r="K74" s="52"/>
      <c r="L74" s="52"/>
      <c r="M74" s="52"/>
      <c r="N74" s="52"/>
      <c r="O74" s="52"/>
      <c r="P74" s="52"/>
      <c r="Q74" s="125"/>
      <c r="R74" s="52" t="s">
        <v>167</v>
      </c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125"/>
      <c r="AK74" s="98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99"/>
    </row>
    <row r="75" spans="2:61" ht="20.100000000000001" customHeight="1" x14ac:dyDescent="0.45">
      <c r="B75" s="123"/>
      <c r="C75" s="31"/>
      <c r="D75" s="31"/>
      <c r="E75" s="31"/>
      <c r="F75" s="31"/>
      <c r="G75" s="96"/>
      <c r="H75" s="31"/>
      <c r="I75" s="31"/>
      <c r="J75" s="124" t="s">
        <v>142</v>
      </c>
      <c r="K75" s="52"/>
      <c r="L75" s="52"/>
      <c r="M75" s="52"/>
      <c r="N75" s="52"/>
      <c r="O75" s="52"/>
      <c r="P75" s="52"/>
      <c r="Q75" s="125"/>
      <c r="R75" s="52" t="s">
        <v>168</v>
      </c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125"/>
      <c r="AK75" s="98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99"/>
    </row>
    <row r="76" spans="2:61" ht="20.100000000000001" customHeight="1" x14ac:dyDescent="0.45">
      <c r="B76" s="123"/>
      <c r="C76" s="31"/>
      <c r="D76" s="31"/>
      <c r="E76" s="31"/>
      <c r="F76" s="31"/>
      <c r="G76" s="96"/>
      <c r="H76" s="31"/>
      <c r="I76" s="31"/>
      <c r="J76" s="124" t="s">
        <v>115</v>
      </c>
      <c r="K76" s="52"/>
      <c r="L76" s="52"/>
      <c r="M76" s="52"/>
      <c r="N76" s="52"/>
      <c r="O76" s="52"/>
      <c r="P76" s="52"/>
      <c r="Q76" s="125"/>
      <c r="R76" s="52" t="s">
        <v>210</v>
      </c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125"/>
      <c r="AK76" s="98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99"/>
    </row>
    <row r="77" spans="2:61" ht="20.100000000000001" customHeight="1" x14ac:dyDescent="0.45">
      <c r="B77" s="123"/>
      <c r="C77" s="31"/>
      <c r="D77" s="31"/>
      <c r="E77" s="31"/>
      <c r="F77" s="31"/>
      <c r="G77" s="96"/>
      <c r="H77" s="31"/>
      <c r="I77" s="31"/>
      <c r="J77" s="124" t="s">
        <v>143</v>
      </c>
      <c r="K77" s="52"/>
      <c r="L77" s="52"/>
      <c r="M77" s="52"/>
      <c r="N77" s="52"/>
      <c r="O77" s="52"/>
      <c r="P77" s="52"/>
      <c r="Q77" s="125"/>
      <c r="R77" s="52" t="s">
        <v>169</v>
      </c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125"/>
      <c r="AK77" s="98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99"/>
    </row>
    <row r="78" spans="2:61" ht="20.100000000000001" customHeight="1" x14ac:dyDescent="0.45">
      <c r="B78" s="123"/>
      <c r="C78" s="31"/>
      <c r="D78" s="31"/>
      <c r="E78" s="31"/>
      <c r="F78" s="31"/>
      <c r="G78" s="96"/>
      <c r="H78" s="31"/>
      <c r="I78" s="31"/>
      <c r="J78" s="124" t="s">
        <v>148</v>
      </c>
      <c r="K78" s="52"/>
      <c r="L78" s="52"/>
      <c r="M78" s="52"/>
      <c r="N78" s="52"/>
      <c r="O78" s="52"/>
      <c r="P78" s="52"/>
      <c r="Q78" s="125"/>
      <c r="R78" s="52" t="s">
        <v>170</v>
      </c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125"/>
      <c r="AK78" s="98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99"/>
    </row>
    <row r="79" spans="2:61" ht="20.100000000000001" customHeight="1" x14ac:dyDescent="0.45">
      <c r="B79" s="123"/>
      <c r="C79" s="31"/>
      <c r="D79" s="31"/>
      <c r="E79" s="31"/>
      <c r="F79" s="31"/>
      <c r="G79" s="96"/>
      <c r="H79" s="31"/>
      <c r="I79" s="31"/>
      <c r="J79" s="124" t="s">
        <v>146</v>
      </c>
      <c r="K79" s="52"/>
      <c r="L79" s="52"/>
      <c r="M79" s="52"/>
      <c r="N79" s="52"/>
      <c r="O79" s="52"/>
      <c r="P79" s="52"/>
      <c r="Q79" s="125"/>
      <c r="R79" s="52" t="s">
        <v>171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125"/>
      <c r="AK79" s="98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99"/>
    </row>
    <row r="80" spans="2:61" ht="20.100000000000001" customHeight="1" x14ac:dyDescent="0.45">
      <c r="B80" s="123"/>
      <c r="C80" s="31"/>
      <c r="D80" s="31"/>
      <c r="E80" s="31"/>
      <c r="F80" s="31"/>
      <c r="G80" s="96"/>
      <c r="H80" s="31"/>
      <c r="I80" s="31"/>
      <c r="J80" s="124" t="s">
        <v>145</v>
      </c>
      <c r="K80" s="52"/>
      <c r="L80" s="52"/>
      <c r="M80" s="52"/>
      <c r="N80" s="52"/>
      <c r="O80" s="52"/>
      <c r="P80" s="52"/>
      <c r="Q80" s="125"/>
      <c r="R80" s="52" t="s">
        <v>173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125"/>
      <c r="AK80" s="98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99"/>
    </row>
    <row r="81" spans="2:61" ht="20.100000000000001" customHeight="1" x14ac:dyDescent="0.45">
      <c r="B81" s="123"/>
      <c r="C81" s="31"/>
      <c r="D81" s="31"/>
      <c r="E81" s="31"/>
      <c r="F81" s="31"/>
      <c r="G81" s="96"/>
      <c r="I81" s="31"/>
      <c r="J81" s="124" t="s">
        <v>144</v>
      </c>
      <c r="K81" s="52"/>
      <c r="L81" s="52"/>
      <c r="M81" s="52"/>
      <c r="N81" s="52"/>
      <c r="O81" s="52"/>
      <c r="P81" s="52"/>
      <c r="Q81" s="125"/>
      <c r="R81" s="52" t="s">
        <v>172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125"/>
      <c r="AK81" s="98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99"/>
    </row>
    <row r="82" spans="2:61" ht="20.100000000000001" customHeight="1" x14ac:dyDescent="0.45">
      <c r="B82" s="123"/>
      <c r="C82" s="31"/>
      <c r="D82" s="31"/>
      <c r="E82" s="31"/>
      <c r="F82" s="31"/>
      <c r="G82" s="96"/>
      <c r="H82" s="100" t="s">
        <v>53</v>
      </c>
      <c r="I82" s="55"/>
      <c r="J82" s="100" t="s">
        <v>179</v>
      </c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101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102"/>
    </row>
    <row r="83" spans="2:61" ht="20.100000000000001" customHeight="1" x14ac:dyDescent="0.45">
      <c r="B83" s="123"/>
      <c r="C83" s="31"/>
      <c r="D83" s="31"/>
      <c r="E83" s="31"/>
      <c r="F83" s="31"/>
      <c r="G83" s="96"/>
      <c r="H83" s="97"/>
      <c r="I83" s="31"/>
      <c r="J83" s="97" t="s">
        <v>178</v>
      </c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98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99"/>
    </row>
    <row r="84" spans="2:61" ht="20.100000000000001" customHeight="1" x14ac:dyDescent="0.45">
      <c r="B84" s="95"/>
      <c r="C84" s="31"/>
      <c r="D84" s="31"/>
      <c r="E84" s="31"/>
      <c r="F84" s="31"/>
      <c r="G84" s="96"/>
      <c r="H84" s="100" t="s">
        <v>54</v>
      </c>
      <c r="I84" s="55"/>
      <c r="J84" s="100" t="s">
        <v>177</v>
      </c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101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102"/>
    </row>
    <row r="85" spans="2:61" ht="20.100000000000001" customHeight="1" x14ac:dyDescent="0.45">
      <c r="B85" s="95"/>
      <c r="C85" s="31"/>
      <c r="D85" s="31"/>
      <c r="E85" s="31"/>
      <c r="F85" s="31"/>
      <c r="G85" s="96"/>
      <c r="H85" s="97"/>
      <c r="I85" s="31"/>
      <c r="J85" s="97"/>
      <c r="K85" s="31" t="s">
        <v>176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98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99"/>
    </row>
    <row r="86" spans="2:61" ht="20.100000000000001" customHeight="1" x14ac:dyDescent="0.45">
      <c r="B86" s="95"/>
      <c r="C86" s="31"/>
      <c r="D86" s="31"/>
      <c r="E86" s="31"/>
      <c r="F86" s="31"/>
      <c r="G86" s="96"/>
      <c r="H86" s="97"/>
      <c r="I86" s="31"/>
      <c r="J86" s="97"/>
      <c r="K86" s="31"/>
      <c r="L86" s="31"/>
      <c r="M86" s="31" t="s">
        <v>180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98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99"/>
    </row>
    <row r="87" spans="2:61" ht="20.100000000000001" customHeight="1" x14ac:dyDescent="0.45">
      <c r="B87" s="95"/>
      <c r="C87" s="31"/>
      <c r="D87" s="31"/>
      <c r="E87" s="31"/>
      <c r="F87" s="31"/>
      <c r="G87" s="96"/>
      <c r="H87" s="100" t="s">
        <v>55</v>
      </c>
      <c r="I87" s="55"/>
      <c r="J87" s="100"/>
      <c r="K87" s="55" t="s">
        <v>229</v>
      </c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101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102"/>
    </row>
    <row r="88" spans="2:61" ht="20.100000000000001" customHeight="1" x14ac:dyDescent="0.45">
      <c r="B88" s="95"/>
      <c r="C88" s="31"/>
      <c r="D88" s="31"/>
      <c r="E88" s="31"/>
      <c r="F88" s="31"/>
      <c r="G88" s="96"/>
      <c r="H88" s="97"/>
      <c r="I88" s="31"/>
      <c r="J88" s="97" t="s">
        <v>182</v>
      </c>
      <c r="K88" s="31" t="s">
        <v>233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97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99"/>
    </row>
    <row r="89" spans="2:61" ht="20.100000000000001" customHeight="1" thickBot="1" x14ac:dyDescent="0.5">
      <c r="B89" s="95"/>
      <c r="C89" s="31"/>
      <c r="D89" s="31"/>
      <c r="E89" s="31"/>
      <c r="F89" s="31"/>
      <c r="G89" s="96"/>
      <c r="H89" s="97"/>
      <c r="I89" s="31"/>
      <c r="J89" s="97" t="s">
        <v>182</v>
      </c>
      <c r="K89" s="31" t="s">
        <v>181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97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99"/>
    </row>
    <row r="90" spans="2:61" ht="20.100000000000001" customHeight="1" x14ac:dyDescent="0.45">
      <c r="B90" s="89" t="s">
        <v>130</v>
      </c>
      <c r="C90" s="90"/>
      <c r="D90" s="90"/>
      <c r="E90" s="90"/>
      <c r="F90" s="90"/>
      <c r="G90" s="91"/>
      <c r="H90" s="92" t="s">
        <v>84</v>
      </c>
      <c r="I90" s="90"/>
      <c r="J90" s="120" t="s">
        <v>122</v>
      </c>
      <c r="K90" s="121"/>
      <c r="L90" s="121"/>
      <c r="M90" s="121"/>
      <c r="N90" s="121"/>
      <c r="O90" s="121"/>
      <c r="P90" s="121"/>
      <c r="Q90" s="122"/>
      <c r="R90" s="121" t="s">
        <v>149</v>
      </c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2"/>
      <c r="AK90" s="93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4"/>
    </row>
    <row r="91" spans="2:61" ht="20.100000000000001" customHeight="1" x14ac:dyDescent="0.45">
      <c r="B91" s="123" t="s">
        <v>237</v>
      </c>
      <c r="C91" s="31"/>
      <c r="D91" s="31"/>
      <c r="E91" s="31"/>
      <c r="F91" s="31"/>
      <c r="G91" s="96"/>
      <c r="H91" s="97"/>
      <c r="I91" s="31"/>
      <c r="J91" s="124" t="s">
        <v>118</v>
      </c>
      <c r="K91" s="52"/>
      <c r="L91" s="52"/>
      <c r="M91" s="52"/>
      <c r="N91" s="52"/>
      <c r="O91" s="52"/>
      <c r="P91" s="52"/>
      <c r="Q91" s="125"/>
      <c r="R91" s="52" t="s">
        <v>150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125"/>
      <c r="AK91" s="98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99"/>
    </row>
    <row r="92" spans="2:61" ht="20.100000000000001" customHeight="1" x14ac:dyDescent="0.45">
      <c r="B92" s="123" t="s">
        <v>231</v>
      </c>
      <c r="C92" s="31"/>
      <c r="D92" s="31"/>
      <c r="E92" s="31"/>
      <c r="F92" s="31"/>
      <c r="G92" s="96"/>
      <c r="H92" s="97"/>
      <c r="I92" s="31"/>
      <c r="J92" s="124" t="s">
        <v>131</v>
      </c>
      <c r="K92" s="52"/>
      <c r="L92" s="52"/>
      <c r="M92" s="52"/>
      <c r="N92" s="52"/>
      <c r="O92" s="52"/>
      <c r="P92" s="52"/>
      <c r="Q92" s="125"/>
      <c r="R92" s="52" t="s">
        <v>151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125"/>
      <c r="AK92" s="98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99"/>
    </row>
    <row r="93" spans="2:61" ht="20.100000000000001" customHeight="1" x14ac:dyDescent="0.45">
      <c r="B93" s="123" t="s">
        <v>238</v>
      </c>
      <c r="C93" s="31"/>
      <c r="D93" s="31"/>
      <c r="E93" s="31"/>
      <c r="F93" s="31"/>
      <c r="G93" s="96"/>
      <c r="H93" s="97"/>
      <c r="I93" s="31"/>
      <c r="J93" s="124" t="s">
        <v>119</v>
      </c>
      <c r="K93" s="52"/>
      <c r="L93" s="52"/>
      <c r="M93" s="52"/>
      <c r="N93" s="52"/>
      <c r="O93" s="52"/>
      <c r="P93" s="52"/>
      <c r="Q93" s="125"/>
      <c r="R93" s="52" t="s">
        <v>152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125"/>
      <c r="AK93" s="98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99"/>
    </row>
    <row r="94" spans="2:61" ht="20.100000000000001" customHeight="1" x14ac:dyDescent="0.45">
      <c r="B94" s="123"/>
      <c r="C94" s="31"/>
      <c r="D94" s="31"/>
      <c r="E94" s="31"/>
      <c r="F94" s="31"/>
      <c r="G94" s="96"/>
      <c r="H94" s="31"/>
      <c r="I94" s="31"/>
      <c r="J94" s="124" t="s">
        <v>121</v>
      </c>
      <c r="K94" s="52"/>
      <c r="L94" s="52"/>
      <c r="M94" s="52"/>
      <c r="N94" s="52"/>
      <c r="O94" s="52"/>
      <c r="P94" s="52"/>
      <c r="Q94" s="125"/>
      <c r="R94" s="52" t="s">
        <v>153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125"/>
      <c r="AK94" s="98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99"/>
    </row>
    <row r="95" spans="2:61" ht="20.100000000000001" customHeight="1" x14ac:dyDescent="0.45">
      <c r="B95" s="123"/>
      <c r="C95" s="31"/>
      <c r="D95" s="31"/>
      <c r="E95" s="31"/>
      <c r="F95" s="31"/>
      <c r="G95" s="96"/>
      <c r="H95" s="31"/>
      <c r="I95" s="31"/>
      <c r="J95" s="124" t="s">
        <v>132</v>
      </c>
      <c r="K95" s="52"/>
      <c r="L95" s="52"/>
      <c r="M95" s="52"/>
      <c r="N95" s="52"/>
      <c r="O95" s="52"/>
      <c r="P95" s="52"/>
      <c r="Q95" s="125"/>
      <c r="R95" s="52" t="s">
        <v>154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125"/>
      <c r="AK95" s="98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99"/>
    </row>
    <row r="96" spans="2:61" ht="20.100000000000001" customHeight="1" x14ac:dyDescent="0.45">
      <c r="B96" s="123"/>
      <c r="C96" s="31"/>
      <c r="D96" s="31"/>
      <c r="E96" s="31"/>
      <c r="F96" s="31"/>
      <c r="G96" s="96"/>
      <c r="H96" s="31"/>
      <c r="I96" s="31"/>
      <c r="J96" s="124" t="s">
        <v>113</v>
      </c>
      <c r="K96" s="52"/>
      <c r="L96" s="52"/>
      <c r="M96" s="52"/>
      <c r="N96" s="52"/>
      <c r="O96" s="52"/>
      <c r="P96" s="52"/>
      <c r="Q96" s="125"/>
      <c r="R96" s="52" t="s">
        <v>155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125"/>
      <c r="AK96" s="98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99"/>
    </row>
    <row r="97" spans="2:61" ht="20.100000000000001" customHeight="1" x14ac:dyDescent="0.45">
      <c r="B97" s="123"/>
      <c r="C97" s="31"/>
      <c r="D97" s="31"/>
      <c r="E97" s="31"/>
      <c r="F97" s="31"/>
      <c r="G97" s="96"/>
      <c r="H97" s="31"/>
      <c r="I97" s="31"/>
      <c r="J97" s="124" t="s">
        <v>133</v>
      </c>
      <c r="K97" s="52"/>
      <c r="L97" s="52"/>
      <c r="M97" s="52"/>
      <c r="N97" s="52"/>
      <c r="O97" s="52"/>
      <c r="P97" s="52"/>
      <c r="Q97" s="125"/>
      <c r="R97" s="52" t="s">
        <v>156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125"/>
      <c r="AK97" s="98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99"/>
    </row>
    <row r="98" spans="2:61" ht="20.100000000000001" customHeight="1" x14ac:dyDescent="0.45">
      <c r="B98" s="123"/>
      <c r="C98" s="31"/>
      <c r="D98" s="31"/>
      <c r="E98" s="31"/>
      <c r="F98" s="31"/>
      <c r="G98" s="96"/>
      <c r="H98" s="31"/>
      <c r="I98" s="31"/>
      <c r="J98" s="124" t="s">
        <v>134</v>
      </c>
      <c r="K98" s="52"/>
      <c r="L98" s="52"/>
      <c r="M98" s="52"/>
      <c r="N98" s="52"/>
      <c r="O98" s="52"/>
      <c r="P98" s="52"/>
      <c r="Q98" s="125"/>
      <c r="R98" s="52" t="s">
        <v>157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125"/>
      <c r="AK98" s="98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99"/>
    </row>
    <row r="99" spans="2:61" ht="20.100000000000001" customHeight="1" x14ac:dyDescent="0.45">
      <c r="B99" s="123"/>
      <c r="C99" s="31"/>
      <c r="D99" s="31"/>
      <c r="E99" s="31"/>
      <c r="F99" s="31"/>
      <c r="G99" s="96"/>
      <c r="H99" s="31"/>
      <c r="I99" s="31"/>
      <c r="J99" s="124" t="s">
        <v>123</v>
      </c>
      <c r="K99" s="52"/>
      <c r="L99" s="52"/>
      <c r="M99" s="52"/>
      <c r="N99" s="52"/>
      <c r="O99" s="52"/>
      <c r="P99" s="52"/>
      <c r="Q99" s="125"/>
      <c r="R99" s="52" t="s">
        <v>158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125"/>
      <c r="AK99" s="98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99"/>
    </row>
    <row r="100" spans="2:61" ht="20.100000000000001" customHeight="1" x14ac:dyDescent="0.45">
      <c r="B100" s="123"/>
      <c r="C100" s="31"/>
      <c r="D100" s="31"/>
      <c r="E100" s="31"/>
      <c r="F100" s="31"/>
      <c r="G100" s="96"/>
      <c r="H100" s="31"/>
      <c r="I100" s="31"/>
      <c r="J100" s="124" t="s">
        <v>124</v>
      </c>
      <c r="K100" s="52"/>
      <c r="L100" s="52"/>
      <c r="M100" s="52"/>
      <c r="N100" s="52"/>
      <c r="O100" s="52"/>
      <c r="P100" s="52"/>
      <c r="Q100" s="125"/>
      <c r="R100" s="52" t="s">
        <v>159</v>
      </c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125"/>
      <c r="AK100" s="98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99"/>
    </row>
    <row r="101" spans="2:61" ht="20.100000000000001" customHeight="1" x14ac:dyDescent="0.45">
      <c r="B101" s="123"/>
      <c r="C101" s="31"/>
      <c r="D101" s="31"/>
      <c r="E101" s="31"/>
      <c r="F101" s="31"/>
      <c r="G101" s="96"/>
      <c r="H101" s="31"/>
      <c r="I101" s="31"/>
      <c r="J101" s="124" t="s">
        <v>135</v>
      </c>
      <c r="K101" s="52"/>
      <c r="L101" s="52"/>
      <c r="M101" s="52"/>
      <c r="N101" s="52"/>
      <c r="O101" s="52"/>
      <c r="P101" s="52"/>
      <c r="Q101" s="125"/>
      <c r="R101" s="52" t="s">
        <v>160</v>
      </c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125"/>
      <c r="AK101" s="98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99"/>
    </row>
    <row r="102" spans="2:61" ht="20.100000000000001" customHeight="1" x14ac:dyDescent="0.45">
      <c r="B102" s="123"/>
      <c r="C102" s="31"/>
      <c r="D102" s="31"/>
      <c r="E102" s="31"/>
      <c r="F102" s="31"/>
      <c r="G102" s="96"/>
      <c r="H102" s="31"/>
      <c r="I102" s="31"/>
      <c r="J102" s="124" t="s">
        <v>114</v>
      </c>
      <c r="K102" s="52"/>
      <c r="L102" s="52"/>
      <c r="M102" s="52"/>
      <c r="N102" s="52"/>
      <c r="O102" s="52"/>
      <c r="P102" s="52"/>
      <c r="Q102" s="125"/>
      <c r="R102" s="52" t="s">
        <v>161</v>
      </c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125"/>
      <c r="AK102" s="98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99"/>
    </row>
    <row r="103" spans="2:61" ht="20.100000000000001" customHeight="1" x14ac:dyDescent="0.45">
      <c r="B103" s="123"/>
      <c r="C103" s="31"/>
      <c r="D103" s="31"/>
      <c r="E103" s="31"/>
      <c r="F103" s="31"/>
      <c r="G103" s="96"/>
      <c r="H103" s="31"/>
      <c r="I103" s="31"/>
      <c r="J103" s="124" t="s">
        <v>136</v>
      </c>
      <c r="K103" s="52"/>
      <c r="L103" s="52"/>
      <c r="M103" s="52"/>
      <c r="N103" s="52"/>
      <c r="O103" s="52"/>
      <c r="P103" s="52"/>
      <c r="Q103" s="125"/>
      <c r="R103" s="52" t="s">
        <v>162</v>
      </c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125"/>
      <c r="AK103" s="98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99"/>
    </row>
    <row r="104" spans="2:61" ht="20.100000000000001" customHeight="1" x14ac:dyDescent="0.45">
      <c r="B104" s="123"/>
      <c r="C104" s="31"/>
      <c r="D104" s="31"/>
      <c r="E104" s="31"/>
      <c r="F104" s="31"/>
      <c r="G104" s="96"/>
      <c r="H104" s="31"/>
      <c r="I104" s="31"/>
      <c r="J104" s="124" t="s">
        <v>137</v>
      </c>
      <c r="K104" s="52"/>
      <c r="L104" s="52"/>
      <c r="M104" s="52"/>
      <c r="N104" s="52"/>
      <c r="O104" s="52"/>
      <c r="P104" s="52"/>
      <c r="Q104" s="125"/>
      <c r="R104" s="52" t="s">
        <v>163</v>
      </c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125"/>
      <c r="AK104" s="98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99"/>
    </row>
    <row r="105" spans="2:61" ht="20.100000000000001" customHeight="1" x14ac:dyDescent="0.45">
      <c r="B105" s="123"/>
      <c r="C105" s="31"/>
      <c r="D105" s="31"/>
      <c r="E105" s="31"/>
      <c r="F105" s="31"/>
      <c r="G105" s="96"/>
      <c r="H105" s="31"/>
      <c r="I105" s="31"/>
      <c r="J105" s="124" t="s">
        <v>138</v>
      </c>
      <c r="K105" s="52"/>
      <c r="L105" s="52"/>
      <c r="M105" s="52"/>
      <c r="N105" s="52"/>
      <c r="O105" s="52"/>
      <c r="P105" s="52"/>
      <c r="Q105" s="125"/>
      <c r="R105" s="52" t="s">
        <v>164</v>
      </c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125"/>
      <c r="AK105" s="98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99"/>
    </row>
    <row r="106" spans="2:61" ht="20.100000000000001" customHeight="1" x14ac:dyDescent="0.45">
      <c r="B106" s="123"/>
      <c r="C106" s="31"/>
      <c r="D106" s="31"/>
      <c r="E106" s="31"/>
      <c r="F106" s="31"/>
      <c r="G106" s="96"/>
      <c r="H106" s="31"/>
      <c r="I106" s="31"/>
      <c r="J106" s="124" t="s">
        <v>139</v>
      </c>
      <c r="K106" s="52"/>
      <c r="L106" s="52"/>
      <c r="M106" s="52"/>
      <c r="N106" s="52"/>
      <c r="O106" s="52"/>
      <c r="P106" s="52"/>
      <c r="Q106" s="125"/>
      <c r="R106" s="52" t="s">
        <v>165</v>
      </c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125"/>
      <c r="AK106" s="98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99"/>
    </row>
    <row r="107" spans="2:61" ht="20.100000000000001" customHeight="1" x14ac:dyDescent="0.45">
      <c r="B107" s="123"/>
      <c r="C107" s="31"/>
      <c r="D107" s="31"/>
      <c r="E107" s="31"/>
      <c r="F107" s="31"/>
      <c r="G107" s="96"/>
      <c r="H107" s="31"/>
      <c r="I107" s="31"/>
      <c r="J107" s="124" t="s">
        <v>140</v>
      </c>
      <c r="K107" s="52"/>
      <c r="L107" s="52"/>
      <c r="M107" s="52"/>
      <c r="N107" s="52"/>
      <c r="O107" s="52"/>
      <c r="P107" s="52"/>
      <c r="Q107" s="125"/>
      <c r="R107" s="52" t="s">
        <v>166</v>
      </c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125"/>
      <c r="AK107" s="98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99"/>
    </row>
    <row r="108" spans="2:61" ht="20.100000000000001" customHeight="1" x14ac:dyDescent="0.45">
      <c r="B108" s="123"/>
      <c r="C108" s="31"/>
      <c r="D108" s="31"/>
      <c r="E108" s="31"/>
      <c r="F108" s="31"/>
      <c r="G108" s="96"/>
      <c r="H108" s="31"/>
      <c r="I108" s="31"/>
      <c r="J108" s="124" t="s">
        <v>141</v>
      </c>
      <c r="K108" s="52"/>
      <c r="L108" s="52"/>
      <c r="M108" s="52"/>
      <c r="N108" s="52"/>
      <c r="O108" s="52"/>
      <c r="P108" s="52"/>
      <c r="Q108" s="125"/>
      <c r="R108" s="52" t="s">
        <v>167</v>
      </c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125"/>
      <c r="AK108" s="98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99"/>
    </row>
    <row r="109" spans="2:61" ht="20.100000000000001" customHeight="1" x14ac:dyDescent="0.45">
      <c r="B109" s="123"/>
      <c r="C109" s="31"/>
      <c r="D109" s="31"/>
      <c r="E109" s="31"/>
      <c r="F109" s="31"/>
      <c r="G109" s="96"/>
      <c r="H109" s="31"/>
      <c r="I109" s="31"/>
      <c r="J109" s="124" t="s">
        <v>142</v>
      </c>
      <c r="K109" s="52"/>
      <c r="L109" s="52"/>
      <c r="M109" s="52"/>
      <c r="N109" s="52"/>
      <c r="O109" s="52"/>
      <c r="P109" s="52"/>
      <c r="Q109" s="125"/>
      <c r="R109" s="52" t="s">
        <v>168</v>
      </c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125"/>
      <c r="AK109" s="98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99"/>
    </row>
    <row r="110" spans="2:61" ht="20.100000000000001" customHeight="1" x14ac:dyDescent="0.45">
      <c r="B110" s="123"/>
      <c r="C110" s="31"/>
      <c r="D110" s="31"/>
      <c r="E110" s="31"/>
      <c r="F110" s="31"/>
      <c r="G110" s="96"/>
      <c r="H110" s="31"/>
      <c r="I110" s="31"/>
      <c r="J110" s="124" t="s">
        <v>115</v>
      </c>
      <c r="K110" s="52"/>
      <c r="L110" s="52"/>
      <c r="M110" s="52"/>
      <c r="N110" s="52"/>
      <c r="O110" s="52"/>
      <c r="P110" s="52"/>
      <c r="Q110" s="125"/>
      <c r="R110" s="52" t="s">
        <v>210</v>
      </c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125"/>
      <c r="AK110" s="98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99"/>
    </row>
    <row r="111" spans="2:61" ht="20.100000000000001" customHeight="1" x14ac:dyDescent="0.45">
      <c r="B111" s="123"/>
      <c r="C111" s="31"/>
      <c r="D111" s="31"/>
      <c r="E111" s="31"/>
      <c r="F111" s="31"/>
      <c r="G111" s="96"/>
      <c r="H111" s="31"/>
      <c r="I111" s="31"/>
      <c r="J111" s="124" t="s">
        <v>143</v>
      </c>
      <c r="K111" s="52"/>
      <c r="L111" s="52"/>
      <c r="M111" s="52"/>
      <c r="N111" s="52"/>
      <c r="O111" s="52"/>
      <c r="P111" s="52"/>
      <c r="Q111" s="125"/>
      <c r="R111" s="52" t="s">
        <v>169</v>
      </c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125"/>
      <c r="AK111" s="98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99"/>
    </row>
    <row r="112" spans="2:61" ht="20.100000000000001" customHeight="1" x14ac:dyDescent="0.45">
      <c r="B112" s="123"/>
      <c r="C112" s="31"/>
      <c r="D112" s="31"/>
      <c r="E112" s="31"/>
      <c r="F112" s="31"/>
      <c r="G112" s="96"/>
      <c r="H112" s="31"/>
      <c r="I112" s="31"/>
      <c r="J112" s="124" t="s">
        <v>148</v>
      </c>
      <c r="K112" s="52"/>
      <c r="L112" s="52"/>
      <c r="M112" s="52"/>
      <c r="N112" s="52"/>
      <c r="O112" s="52"/>
      <c r="P112" s="52"/>
      <c r="Q112" s="125"/>
      <c r="R112" s="52" t="s">
        <v>170</v>
      </c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125"/>
      <c r="AK112" s="98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99"/>
    </row>
    <row r="113" spans="2:61" ht="20.100000000000001" customHeight="1" x14ac:dyDescent="0.45">
      <c r="B113" s="123"/>
      <c r="C113" s="31"/>
      <c r="D113" s="31"/>
      <c r="E113" s="31"/>
      <c r="F113" s="31"/>
      <c r="G113" s="96"/>
      <c r="H113" s="31"/>
      <c r="I113" s="31"/>
      <c r="J113" s="124" t="s">
        <v>146</v>
      </c>
      <c r="K113" s="52"/>
      <c r="L113" s="52"/>
      <c r="M113" s="52"/>
      <c r="N113" s="52"/>
      <c r="O113" s="52"/>
      <c r="P113" s="52"/>
      <c r="Q113" s="125"/>
      <c r="R113" s="52" t="s">
        <v>171</v>
      </c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125"/>
      <c r="AK113" s="98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99"/>
    </row>
    <row r="114" spans="2:61" ht="20.100000000000001" customHeight="1" x14ac:dyDescent="0.45">
      <c r="B114" s="123"/>
      <c r="C114" s="31"/>
      <c r="D114" s="31"/>
      <c r="E114" s="31"/>
      <c r="F114" s="31"/>
      <c r="G114" s="96"/>
      <c r="H114" s="31"/>
      <c r="I114" s="31"/>
      <c r="J114" s="124" t="s">
        <v>145</v>
      </c>
      <c r="K114" s="52"/>
      <c r="L114" s="52"/>
      <c r="M114" s="52"/>
      <c r="N114" s="52"/>
      <c r="O114" s="52"/>
      <c r="P114" s="52"/>
      <c r="Q114" s="125"/>
      <c r="R114" s="52" t="s">
        <v>173</v>
      </c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125"/>
      <c r="AK114" s="98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99"/>
    </row>
    <row r="115" spans="2:61" ht="20.100000000000001" customHeight="1" x14ac:dyDescent="0.45">
      <c r="B115" s="123"/>
      <c r="C115" s="31"/>
      <c r="D115" s="31"/>
      <c r="E115" s="31"/>
      <c r="F115" s="31"/>
      <c r="G115" s="96"/>
      <c r="I115" s="31"/>
      <c r="J115" s="124" t="s">
        <v>144</v>
      </c>
      <c r="K115" s="52"/>
      <c r="L115" s="52"/>
      <c r="M115" s="52"/>
      <c r="N115" s="52"/>
      <c r="O115" s="52"/>
      <c r="P115" s="52"/>
      <c r="Q115" s="125"/>
      <c r="R115" s="52" t="s">
        <v>172</v>
      </c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125"/>
      <c r="AK115" s="98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99"/>
    </row>
    <row r="116" spans="2:61" ht="20.100000000000001" customHeight="1" x14ac:dyDescent="0.45">
      <c r="B116" s="123"/>
      <c r="C116" s="31"/>
      <c r="D116" s="31"/>
      <c r="E116" s="31"/>
      <c r="F116" s="31"/>
      <c r="G116" s="96"/>
      <c r="H116" s="100" t="s">
        <v>53</v>
      </c>
      <c r="I116" s="55"/>
      <c r="J116" s="100" t="s">
        <v>179</v>
      </c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101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102"/>
    </row>
    <row r="117" spans="2:61" ht="20.100000000000001" customHeight="1" x14ac:dyDescent="0.45">
      <c r="B117" s="123"/>
      <c r="C117" s="31"/>
      <c r="D117" s="31"/>
      <c r="E117" s="31"/>
      <c r="F117" s="31"/>
      <c r="G117" s="96"/>
      <c r="H117" s="97"/>
      <c r="I117" s="31"/>
      <c r="J117" s="97" t="s">
        <v>178</v>
      </c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98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99"/>
    </row>
    <row r="118" spans="2:61" ht="20.100000000000001" customHeight="1" x14ac:dyDescent="0.45">
      <c r="B118" s="95"/>
      <c r="C118" s="31"/>
      <c r="D118" s="31"/>
      <c r="E118" s="31"/>
      <c r="F118" s="31"/>
      <c r="G118" s="96"/>
      <c r="H118" s="100" t="s">
        <v>54</v>
      </c>
      <c r="I118" s="55"/>
      <c r="J118" s="100" t="s">
        <v>177</v>
      </c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101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102"/>
    </row>
    <row r="119" spans="2:61" ht="20.100000000000001" customHeight="1" x14ac:dyDescent="0.45">
      <c r="B119" s="95"/>
      <c r="C119" s="31"/>
      <c r="D119" s="31"/>
      <c r="E119" s="31"/>
      <c r="F119" s="31"/>
      <c r="G119" s="96"/>
      <c r="H119" s="97"/>
      <c r="I119" s="31"/>
      <c r="J119" s="97"/>
      <c r="K119" s="31" t="s">
        <v>176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98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99"/>
    </row>
    <row r="120" spans="2:61" ht="20.100000000000001" customHeight="1" x14ac:dyDescent="0.45">
      <c r="B120" s="95"/>
      <c r="C120" s="31"/>
      <c r="D120" s="31"/>
      <c r="E120" s="31"/>
      <c r="F120" s="31"/>
      <c r="G120" s="96"/>
      <c r="H120" s="97"/>
      <c r="I120" s="31"/>
      <c r="J120" s="97"/>
      <c r="K120" s="31"/>
      <c r="L120" s="31"/>
      <c r="M120" s="31" t="s">
        <v>180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98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99"/>
    </row>
    <row r="121" spans="2:61" ht="20.100000000000001" customHeight="1" x14ac:dyDescent="0.45">
      <c r="B121" s="95"/>
      <c r="C121" s="31"/>
      <c r="D121" s="31"/>
      <c r="E121" s="31"/>
      <c r="F121" s="31"/>
      <c r="G121" s="96"/>
      <c r="H121" s="100" t="s">
        <v>55</v>
      </c>
      <c r="I121" s="55"/>
      <c r="J121" s="100"/>
      <c r="K121" s="55" t="s">
        <v>229</v>
      </c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101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102"/>
    </row>
    <row r="122" spans="2:61" ht="20.100000000000001" customHeight="1" x14ac:dyDescent="0.45">
      <c r="B122" s="95"/>
      <c r="C122" s="31"/>
      <c r="D122" s="31"/>
      <c r="E122" s="31"/>
      <c r="F122" s="31"/>
      <c r="G122" s="96"/>
      <c r="H122" s="97"/>
      <c r="I122" s="31"/>
      <c r="J122" s="97" t="s">
        <v>182</v>
      </c>
      <c r="K122" s="31" t="s">
        <v>234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97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99"/>
    </row>
    <row r="123" spans="2:61" ht="20.100000000000001" customHeight="1" thickBot="1" x14ac:dyDescent="0.5">
      <c r="B123" s="95"/>
      <c r="C123" s="31"/>
      <c r="D123" s="31"/>
      <c r="E123" s="31"/>
      <c r="F123" s="31"/>
      <c r="G123" s="96"/>
      <c r="H123" s="97"/>
      <c r="I123" s="31"/>
      <c r="J123" s="97" t="s">
        <v>182</v>
      </c>
      <c r="K123" s="31" t="s">
        <v>235</v>
      </c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97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99"/>
    </row>
    <row r="124" spans="2:61" ht="20.100000000000001" customHeight="1" x14ac:dyDescent="0.45">
      <c r="B124" s="89" t="s">
        <v>236</v>
      </c>
      <c r="C124" s="90"/>
      <c r="D124" s="90"/>
      <c r="E124" s="90"/>
      <c r="F124" s="90"/>
      <c r="G124" s="91"/>
      <c r="H124" s="92" t="s">
        <v>84</v>
      </c>
      <c r="I124" s="90"/>
      <c r="J124" s="120" t="s">
        <v>122</v>
      </c>
      <c r="K124" s="121"/>
      <c r="L124" s="121"/>
      <c r="M124" s="121"/>
      <c r="N124" s="121"/>
      <c r="O124" s="121"/>
      <c r="P124" s="121"/>
      <c r="Q124" s="122"/>
      <c r="R124" s="121" t="s">
        <v>149</v>
      </c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2"/>
      <c r="AK124" s="93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4"/>
    </row>
    <row r="125" spans="2:61" ht="20.100000000000001" customHeight="1" x14ac:dyDescent="0.45">
      <c r="B125" s="123" t="s">
        <v>237</v>
      </c>
      <c r="C125" s="31"/>
      <c r="D125" s="31"/>
      <c r="E125" s="31"/>
      <c r="F125" s="31"/>
      <c r="G125" s="96"/>
      <c r="H125" s="97"/>
      <c r="I125" s="31"/>
      <c r="J125" s="124" t="s">
        <v>118</v>
      </c>
      <c r="K125" s="52"/>
      <c r="L125" s="52"/>
      <c r="M125" s="52"/>
      <c r="N125" s="52"/>
      <c r="O125" s="52"/>
      <c r="P125" s="52"/>
      <c r="Q125" s="125"/>
      <c r="R125" s="52" t="s">
        <v>150</v>
      </c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125"/>
      <c r="AK125" s="98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99"/>
    </row>
    <row r="126" spans="2:61" ht="20.100000000000001" customHeight="1" x14ac:dyDescent="0.45">
      <c r="B126" s="123" t="s">
        <v>231</v>
      </c>
      <c r="C126" s="31"/>
      <c r="D126" s="31"/>
      <c r="E126" s="31"/>
      <c r="F126" s="31"/>
      <c r="G126" s="96"/>
      <c r="H126" s="97"/>
      <c r="I126" s="31"/>
      <c r="J126" s="124" t="s">
        <v>131</v>
      </c>
      <c r="K126" s="52"/>
      <c r="L126" s="52"/>
      <c r="M126" s="52"/>
      <c r="N126" s="52"/>
      <c r="O126" s="52"/>
      <c r="P126" s="52"/>
      <c r="Q126" s="125"/>
      <c r="R126" s="52" t="s">
        <v>151</v>
      </c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125"/>
      <c r="AK126" s="98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99"/>
    </row>
    <row r="127" spans="2:61" ht="20.100000000000001" customHeight="1" x14ac:dyDescent="0.45">
      <c r="B127" s="123" t="s">
        <v>239</v>
      </c>
      <c r="C127" s="31"/>
      <c r="D127" s="31"/>
      <c r="E127" s="31"/>
      <c r="F127" s="31"/>
      <c r="G127" s="96"/>
      <c r="H127" s="97"/>
      <c r="I127" s="31"/>
      <c r="J127" s="124" t="s">
        <v>119</v>
      </c>
      <c r="K127" s="52"/>
      <c r="L127" s="52"/>
      <c r="M127" s="52"/>
      <c r="N127" s="52"/>
      <c r="O127" s="52"/>
      <c r="P127" s="52"/>
      <c r="Q127" s="125"/>
      <c r="R127" s="52" t="s">
        <v>152</v>
      </c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125"/>
      <c r="AK127" s="98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99"/>
    </row>
    <row r="128" spans="2:61" ht="20.100000000000001" customHeight="1" x14ac:dyDescent="0.45">
      <c r="B128" s="123"/>
      <c r="C128" s="31"/>
      <c r="D128" s="31"/>
      <c r="E128" s="31"/>
      <c r="F128" s="31"/>
      <c r="G128" s="96"/>
      <c r="H128" s="31"/>
      <c r="I128" s="31"/>
      <c r="J128" s="124" t="s">
        <v>121</v>
      </c>
      <c r="K128" s="52"/>
      <c r="L128" s="52"/>
      <c r="M128" s="52"/>
      <c r="N128" s="52"/>
      <c r="O128" s="52"/>
      <c r="P128" s="52"/>
      <c r="Q128" s="125"/>
      <c r="R128" s="52" t="s">
        <v>153</v>
      </c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125"/>
      <c r="AK128" s="98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99"/>
    </row>
    <row r="129" spans="2:61" ht="20.100000000000001" customHeight="1" x14ac:dyDescent="0.45">
      <c r="B129" s="123"/>
      <c r="C129" s="31"/>
      <c r="D129" s="31"/>
      <c r="E129" s="31"/>
      <c r="F129" s="31"/>
      <c r="G129" s="96"/>
      <c r="H129" s="31"/>
      <c r="I129" s="31"/>
      <c r="J129" s="124" t="s">
        <v>132</v>
      </c>
      <c r="K129" s="52"/>
      <c r="L129" s="52"/>
      <c r="M129" s="52"/>
      <c r="N129" s="52"/>
      <c r="O129" s="52"/>
      <c r="P129" s="52"/>
      <c r="Q129" s="125"/>
      <c r="R129" s="52" t="s">
        <v>154</v>
      </c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125"/>
      <c r="AK129" s="98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99"/>
    </row>
    <row r="130" spans="2:61" ht="20.100000000000001" customHeight="1" x14ac:dyDescent="0.45">
      <c r="B130" s="123"/>
      <c r="C130" s="31"/>
      <c r="D130" s="31"/>
      <c r="E130" s="31"/>
      <c r="F130" s="31"/>
      <c r="G130" s="96"/>
      <c r="H130" s="31"/>
      <c r="I130" s="31"/>
      <c r="J130" s="124" t="s">
        <v>113</v>
      </c>
      <c r="K130" s="52"/>
      <c r="L130" s="52"/>
      <c r="M130" s="52"/>
      <c r="N130" s="52"/>
      <c r="O130" s="52"/>
      <c r="P130" s="52"/>
      <c r="Q130" s="125"/>
      <c r="R130" s="52" t="s">
        <v>155</v>
      </c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125"/>
      <c r="AK130" s="98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99"/>
    </row>
    <row r="131" spans="2:61" ht="20.100000000000001" customHeight="1" x14ac:dyDescent="0.45">
      <c r="B131" s="123"/>
      <c r="C131" s="31"/>
      <c r="D131" s="31"/>
      <c r="E131" s="31"/>
      <c r="F131" s="31"/>
      <c r="G131" s="96"/>
      <c r="H131" s="31"/>
      <c r="I131" s="31"/>
      <c r="J131" s="124" t="s">
        <v>133</v>
      </c>
      <c r="K131" s="52"/>
      <c r="L131" s="52"/>
      <c r="M131" s="52"/>
      <c r="N131" s="52"/>
      <c r="O131" s="52"/>
      <c r="P131" s="52"/>
      <c r="Q131" s="125"/>
      <c r="R131" s="52" t="s">
        <v>156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125"/>
      <c r="AK131" s="98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99"/>
    </row>
    <row r="132" spans="2:61" ht="20.100000000000001" customHeight="1" x14ac:dyDescent="0.45">
      <c r="B132" s="123"/>
      <c r="C132" s="31"/>
      <c r="D132" s="31"/>
      <c r="E132" s="31"/>
      <c r="F132" s="31"/>
      <c r="G132" s="96"/>
      <c r="H132" s="31"/>
      <c r="I132" s="31"/>
      <c r="J132" s="124" t="s">
        <v>134</v>
      </c>
      <c r="K132" s="52"/>
      <c r="L132" s="52"/>
      <c r="M132" s="52"/>
      <c r="N132" s="52"/>
      <c r="O132" s="52"/>
      <c r="P132" s="52"/>
      <c r="Q132" s="125"/>
      <c r="R132" s="52" t="s">
        <v>157</v>
      </c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125"/>
      <c r="AK132" s="98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99"/>
    </row>
    <row r="133" spans="2:61" ht="20.100000000000001" customHeight="1" x14ac:dyDescent="0.45">
      <c r="B133" s="123"/>
      <c r="C133" s="31"/>
      <c r="D133" s="31"/>
      <c r="E133" s="31"/>
      <c r="F133" s="31"/>
      <c r="G133" s="96"/>
      <c r="H133" s="31"/>
      <c r="I133" s="31"/>
      <c r="J133" s="124" t="s">
        <v>123</v>
      </c>
      <c r="K133" s="52"/>
      <c r="L133" s="52"/>
      <c r="M133" s="52"/>
      <c r="N133" s="52"/>
      <c r="O133" s="52"/>
      <c r="P133" s="52"/>
      <c r="Q133" s="125"/>
      <c r="R133" s="52" t="s">
        <v>158</v>
      </c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125"/>
      <c r="AK133" s="98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99"/>
    </row>
    <row r="134" spans="2:61" ht="20.100000000000001" customHeight="1" x14ac:dyDescent="0.45">
      <c r="B134" s="123"/>
      <c r="C134" s="31"/>
      <c r="D134" s="31"/>
      <c r="E134" s="31"/>
      <c r="F134" s="31"/>
      <c r="G134" s="96"/>
      <c r="H134" s="31"/>
      <c r="I134" s="31"/>
      <c r="J134" s="124" t="s">
        <v>124</v>
      </c>
      <c r="K134" s="52"/>
      <c r="L134" s="52"/>
      <c r="M134" s="52"/>
      <c r="N134" s="52"/>
      <c r="O134" s="52"/>
      <c r="P134" s="52"/>
      <c r="Q134" s="125"/>
      <c r="R134" s="52" t="s">
        <v>159</v>
      </c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125"/>
      <c r="AK134" s="98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99"/>
    </row>
    <row r="135" spans="2:61" ht="20.100000000000001" customHeight="1" x14ac:dyDescent="0.45">
      <c r="B135" s="123"/>
      <c r="C135" s="31"/>
      <c r="D135" s="31"/>
      <c r="E135" s="31"/>
      <c r="F135" s="31"/>
      <c r="G135" s="96"/>
      <c r="H135" s="31"/>
      <c r="I135" s="31"/>
      <c r="J135" s="124" t="s">
        <v>135</v>
      </c>
      <c r="K135" s="52"/>
      <c r="L135" s="52"/>
      <c r="M135" s="52"/>
      <c r="N135" s="52"/>
      <c r="O135" s="52"/>
      <c r="P135" s="52"/>
      <c r="Q135" s="125"/>
      <c r="R135" s="52" t="s">
        <v>160</v>
      </c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125"/>
      <c r="AK135" s="98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99"/>
    </row>
    <row r="136" spans="2:61" ht="20.100000000000001" customHeight="1" x14ac:dyDescent="0.45">
      <c r="B136" s="123"/>
      <c r="C136" s="31"/>
      <c r="D136" s="31"/>
      <c r="E136" s="31"/>
      <c r="F136" s="31"/>
      <c r="G136" s="96"/>
      <c r="H136" s="31"/>
      <c r="I136" s="31"/>
      <c r="J136" s="124" t="s">
        <v>114</v>
      </c>
      <c r="K136" s="52"/>
      <c r="L136" s="52"/>
      <c r="M136" s="52"/>
      <c r="N136" s="52"/>
      <c r="O136" s="52"/>
      <c r="P136" s="52"/>
      <c r="Q136" s="125"/>
      <c r="R136" s="52" t="s">
        <v>161</v>
      </c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125"/>
      <c r="AK136" s="98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99"/>
    </row>
    <row r="137" spans="2:61" ht="20.100000000000001" customHeight="1" x14ac:dyDescent="0.45">
      <c r="B137" s="123"/>
      <c r="C137" s="31"/>
      <c r="D137" s="31"/>
      <c r="E137" s="31"/>
      <c r="F137" s="31"/>
      <c r="G137" s="96"/>
      <c r="H137" s="31"/>
      <c r="I137" s="31"/>
      <c r="J137" s="124" t="s">
        <v>136</v>
      </c>
      <c r="K137" s="52"/>
      <c r="L137" s="52"/>
      <c r="M137" s="52"/>
      <c r="N137" s="52"/>
      <c r="O137" s="52"/>
      <c r="P137" s="52"/>
      <c r="Q137" s="125"/>
      <c r="R137" s="52" t="s">
        <v>162</v>
      </c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125"/>
      <c r="AK137" s="98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99"/>
    </row>
    <row r="138" spans="2:61" ht="20.100000000000001" customHeight="1" x14ac:dyDescent="0.45">
      <c r="B138" s="123"/>
      <c r="C138" s="31"/>
      <c r="D138" s="31"/>
      <c r="E138" s="31"/>
      <c r="F138" s="31"/>
      <c r="G138" s="96"/>
      <c r="H138" s="31"/>
      <c r="I138" s="31"/>
      <c r="J138" s="124" t="s">
        <v>137</v>
      </c>
      <c r="K138" s="52"/>
      <c r="L138" s="52"/>
      <c r="M138" s="52"/>
      <c r="N138" s="52"/>
      <c r="O138" s="52"/>
      <c r="P138" s="52"/>
      <c r="Q138" s="125"/>
      <c r="R138" s="52" t="s">
        <v>163</v>
      </c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125"/>
      <c r="AK138" s="98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99"/>
    </row>
    <row r="139" spans="2:61" ht="20.100000000000001" customHeight="1" x14ac:dyDescent="0.45">
      <c r="B139" s="123"/>
      <c r="C139" s="31"/>
      <c r="D139" s="31"/>
      <c r="E139" s="31"/>
      <c r="F139" s="31"/>
      <c r="G139" s="96"/>
      <c r="H139" s="31"/>
      <c r="I139" s="31"/>
      <c r="J139" s="124" t="s">
        <v>138</v>
      </c>
      <c r="K139" s="52"/>
      <c r="L139" s="52"/>
      <c r="M139" s="52"/>
      <c r="N139" s="52"/>
      <c r="O139" s="52"/>
      <c r="P139" s="52"/>
      <c r="Q139" s="125"/>
      <c r="R139" s="52" t="s">
        <v>164</v>
      </c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125"/>
      <c r="AK139" s="98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99"/>
    </row>
    <row r="140" spans="2:61" ht="20.100000000000001" customHeight="1" x14ac:dyDescent="0.45">
      <c r="B140" s="123"/>
      <c r="C140" s="31"/>
      <c r="D140" s="31"/>
      <c r="E140" s="31"/>
      <c r="F140" s="31"/>
      <c r="G140" s="96"/>
      <c r="H140" s="31"/>
      <c r="I140" s="31"/>
      <c r="J140" s="124" t="s">
        <v>139</v>
      </c>
      <c r="K140" s="52"/>
      <c r="L140" s="52"/>
      <c r="M140" s="52"/>
      <c r="N140" s="52"/>
      <c r="O140" s="52"/>
      <c r="P140" s="52"/>
      <c r="Q140" s="125"/>
      <c r="R140" s="52" t="s">
        <v>165</v>
      </c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125"/>
      <c r="AK140" s="98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99"/>
    </row>
    <row r="141" spans="2:61" ht="20.100000000000001" customHeight="1" x14ac:dyDescent="0.45">
      <c r="B141" s="123"/>
      <c r="C141" s="31"/>
      <c r="D141" s="31"/>
      <c r="E141" s="31"/>
      <c r="F141" s="31"/>
      <c r="G141" s="96"/>
      <c r="H141" s="31"/>
      <c r="I141" s="31"/>
      <c r="J141" s="124" t="s">
        <v>140</v>
      </c>
      <c r="K141" s="52"/>
      <c r="L141" s="52"/>
      <c r="M141" s="52"/>
      <c r="N141" s="52"/>
      <c r="O141" s="52"/>
      <c r="P141" s="52"/>
      <c r="Q141" s="125"/>
      <c r="R141" s="52" t="s">
        <v>166</v>
      </c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125"/>
      <c r="AK141" s="98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99"/>
    </row>
    <row r="142" spans="2:61" ht="20.100000000000001" customHeight="1" x14ac:dyDescent="0.45">
      <c r="B142" s="123"/>
      <c r="C142" s="31"/>
      <c r="D142" s="31"/>
      <c r="E142" s="31"/>
      <c r="F142" s="31"/>
      <c r="G142" s="96"/>
      <c r="H142" s="31"/>
      <c r="I142" s="31"/>
      <c r="J142" s="124" t="s">
        <v>141</v>
      </c>
      <c r="K142" s="52"/>
      <c r="L142" s="52"/>
      <c r="M142" s="52"/>
      <c r="N142" s="52"/>
      <c r="O142" s="52"/>
      <c r="P142" s="52"/>
      <c r="Q142" s="125"/>
      <c r="R142" s="52" t="s">
        <v>167</v>
      </c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125"/>
      <c r="AK142" s="98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99"/>
    </row>
    <row r="143" spans="2:61" ht="20.100000000000001" customHeight="1" x14ac:dyDescent="0.45">
      <c r="B143" s="123"/>
      <c r="C143" s="31"/>
      <c r="D143" s="31"/>
      <c r="E143" s="31"/>
      <c r="F143" s="31"/>
      <c r="G143" s="96"/>
      <c r="H143" s="31"/>
      <c r="I143" s="31"/>
      <c r="J143" s="124" t="s">
        <v>142</v>
      </c>
      <c r="K143" s="52"/>
      <c r="L143" s="52"/>
      <c r="M143" s="52"/>
      <c r="N143" s="52"/>
      <c r="O143" s="52"/>
      <c r="P143" s="52"/>
      <c r="Q143" s="125"/>
      <c r="R143" s="52" t="s">
        <v>168</v>
      </c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125"/>
      <c r="AK143" s="98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99"/>
    </row>
    <row r="144" spans="2:61" ht="20.100000000000001" customHeight="1" x14ac:dyDescent="0.45">
      <c r="B144" s="123"/>
      <c r="C144" s="31"/>
      <c r="D144" s="31"/>
      <c r="E144" s="31"/>
      <c r="F144" s="31"/>
      <c r="G144" s="96"/>
      <c r="H144" s="31"/>
      <c r="I144" s="31"/>
      <c r="J144" s="124" t="s">
        <v>115</v>
      </c>
      <c r="K144" s="52"/>
      <c r="L144" s="52"/>
      <c r="M144" s="52"/>
      <c r="N144" s="52"/>
      <c r="O144" s="52"/>
      <c r="P144" s="52"/>
      <c r="Q144" s="125"/>
      <c r="R144" s="52" t="s">
        <v>210</v>
      </c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125"/>
      <c r="AK144" s="98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99"/>
    </row>
    <row r="145" spans="2:61" ht="20.100000000000001" customHeight="1" x14ac:dyDescent="0.45">
      <c r="B145" s="123"/>
      <c r="C145" s="31"/>
      <c r="D145" s="31"/>
      <c r="E145" s="31"/>
      <c r="F145" s="31"/>
      <c r="G145" s="96"/>
      <c r="H145" s="31"/>
      <c r="I145" s="31"/>
      <c r="J145" s="124" t="s">
        <v>143</v>
      </c>
      <c r="K145" s="52"/>
      <c r="L145" s="52"/>
      <c r="M145" s="52"/>
      <c r="N145" s="52"/>
      <c r="O145" s="52"/>
      <c r="P145" s="52"/>
      <c r="Q145" s="125"/>
      <c r="R145" s="52" t="s">
        <v>169</v>
      </c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125"/>
      <c r="AK145" s="98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99"/>
    </row>
    <row r="146" spans="2:61" ht="20.100000000000001" customHeight="1" x14ac:dyDescent="0.45">
      <c r="B146" s="123"/>
      <c r="C146" s="31"/>
      <c r="D146" s="31"/>
      <c r="E146" s="31"/>
      <c r="F146" s="31"/>
      <c r="G146" s="96"/>
      <c r="H146" s="31"/>
      <c r="I146" s="31"/>
      <c r="J146" s="124" t="s">
        <v>148</v>
      </c>
      <c r="K146" s="52"/>
      <c r="L146" s="52"/>
      <c r="M146" s="52"/>
      <c r="N146" s="52"/>
      <c r="O146" s="52"/>
      <c r="P146" s="52"/>
      <c r="Q146" s="125"/>
      <c r="R146" s="52" t="s">
        <v>170</v>
      </c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125"/>
      <c r="AK146" s="98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99"/>
    </row>
    <row r="147" spans="2:61" ht="20.100000000000001" customHeight="1" x14ac:dyDescent="0.45">
      <c r="B147" s="123"/>
      <c r="C147" s="31"/>
      <c r="D147" s="31"/>
      <c r="E147" s="31"/>
      <c r="F147" s="31"/>
      <c r="G147" s="96"/>
      <c r="H147" s="31"/>
      <c r="I147" s="31"/>
      <c r="J147" s="124" t="s">
        <v>146</v>
      </c>
      <c r="K147" s="52"/>
      <c r="L147" s="52"/>
      <c r="M147" s="52"/>
      <c r="N147" s="52"/>
      <c r="O147" s="52"/>
      <c r="P147" s="52"/>
      <c r="Q147" s="125"/>
      <c r="R147" s="52" t="s">
        <v>171</v>
      </c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125"/>
      <c r="AK147" s="98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99"/>
    </row>
    <row r="148" spans="2:61" ht="20.100000000000001" customHeight="1" x14ac:dyDescent="0.45">
      <c r="B148" s="123"/>
      <c r="C148" s="31"/>
      <c r="D148" s="31"/>
      <c r="E148" s="31"/>
      <c r="F148" s="31"/>
      <c r="G148" s="96"/>
      <c r="H148" s="31"/>
      <c r="I148" s="31"/>
      <c r="J148" s="124" t="s">
        <v>145</v>
      </c>
      <c r="K148" s="52"/>
      <c r="L148" s="52"/>
      <c r="M148" s="52"/>
      <c r="N148" s="52"/>
      <c r="O148" s="52"/>
      <c r="P148" s="52"/>
      <c r="Q148" s="125"/>
      <c r="R148" s="52" t="s">
        <v>173</v>
      </c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125"/>
      <c r="AK148" s="98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99"/>
    </row>
    <row r="149" spans="2:61" ht="20.100000000000001" customHeight="1" x14ac:dyDescent="0.45">
      <c r="B149" s="123"/>
      <c r="C149" s="31"/>
      <c r="D149" s="31"/>
      <c r="E149" s="31"/>
      <c r="F149" s="31"/>
      <c r="G149" s="96"/>
      <c r="I149" s="31"/>
      <c r="J149" s="124" t="s">
        <v>144</v>
      </c>
      <c r="K149" s="52"/>
      <c r="L149" s="52"/>
      <c r="M149" s="52"/>
      <c r="N149" s="52"/>
      <c r="O149" s="52"/>
      <c r="P149" s="52"/>
      <c r="Q149" s="125"/>
      <c r="R149" s="52" t="s">
        <v>172</v>
      </c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125"/>
      <c r="AK149" s="98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99"/>
    </row>
    <row r="150" spans="2:61" ht="20.100000000000001" customHeight="1" x14ac:dyDescent="0.45">
      <c r="B150" s="123"/>
      <c r="C150" s="31"/>
      <c r="D150" s="31"/>
      <c r="E150" s="31"/>
      <c r="F150" s="31"/>
      <c r="G150" s="96"/>
      <c r="H150" s="100" t="s">
        <v>53</v>
      </c>
      <c r="I150" s="55"/>
      <c r="J150" s="100" t="s">
        <v>179</v>
      </c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101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102"/>
    </row>
    <row r="151" spans="2:61" ht="20.100000000000001" customHeight="1" x14ac:dyDescent="0.45">
      <c r="B151" s="123"/>
      <c r="C151" s="31"/>
      <c r="D151" s="31"/>
      <c r="E151" s="31"/>
      <c r="F151" s="31"/>
      <c r="G151" s="96"/>
      <c r="H151" s="97"/>
      <c r="I151" s="31"/>
      <c r="J151" s="97" t="s">
        <v>178</v>
      </c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98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99"/>
    </row>
    <row r="152" spans="2:61" ht="20.100000000000001" customHeight="1" x14ac:dyDescent="0.45">
      <c r="B152" s="95"/>
      <c r="C152" s="31"/>
      <c r="D152" s="31"/>
      <c r="E152" s="31"/>
      <c r="F152" s="31"/>
      <c r="G152" s="96"/>
      <c r="H152" s="100" t="s">
        <v>54</v>
      </c>
      <c r="I152" s="55"/>
      <c r="J152" s="100" t="s">
        <v>177</v>
      </c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101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102"/>
    </row>
    <row r="153" spans="2:61" ht="20.100000000000001" customHeight="1" x14ac:dyDescent="0.45">
      <c r="B153" s="95"/>
      <c r="C153" s="31"/>
      <c r="D153" s="31"/>
      <c r="E153" s="31"/>
      <c r="F153" s="31"/>
      <c r="G153" s="96"/>
      <c r="H153" s="97"/>
      <c r="I153" s="31"/>
      <c r="J153" s="97"/>
      <c r="K153" s="31" t="s">
        <v>176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98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99"/>
    </row>
    <row r="154" spans="2:61" ht="20.100000000000001" customHeight="1" x14ac:dyDescent="0.45">
      <c r="B154" s="95"/>
      <c r="C154" s="31"/>
      <c r="D154" s="31"/>
      <c r="E154" s="31"/>
      <c r="F154" s="31"/>
      <c r="G154" s="96"/>
      <c r="H154" s="97"/>
      <c r="I154" s="31"/>
      <c r="J154" s="97"/>
      <c r="K154" s="31"/>
      <c r="L154" s="31"/>
      <c r="M154" s="31" t="s">
        <v>180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98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99"/>
    </row>
    <row r="155" spans="2:61" ht="20.100000000000001" customHeight="1" x14ac:dyDescent="0.45">
      <c r="B155" s="95"/>
      <c r="C155" s="31"/>
      <c r="D155" s="31"/>
      <c r="E155" s="31"/>
      <c r="F155" s="31"/>
      <c r="G155" s="96"/>
      <c r="H155" s="100" t="s">
        <v>55</v>
      </c>
      <c r="I155" s="55"/>
      <c r="J155" s="100"/>
      <c r="K155" s="55" t="s">
        <v>229</v>
      </c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101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102"/>
    </row>
    <row r="156" spans="2:61" ht="20.100000000000001" customHeight="1" x14ac:dyDescent="0.45">
      <c r="B156" s="95"/>
      <c r="C156" s="31"/>
      <c r="D156" s="31"/>
      <c r="E156" s="31"/>
      <c r="F156" s="31"/>
      <c r="G156" s="96"/>
      <c r="H156" s="97"/>
      <c r="I156" s="31"/>
      <c r="J156" s="97" t="s">
        <v>182</v>
      </c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97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99"/>
    </row>
    <row r="157" spans="2:61" ht="20.100000000000001" customHeight="1" x14ac:dyDescent="0.45">
      <c r="B157" s="95"/>
      <c r="C157" s="31"/>
      <c r="D157" s="31"/>
      <c r="E157" s="31"/>
      <c r="F157" s="31"/>
      <c r="G157" s="96"/>
      <c r="H157" s="97"/>
      <c r="I157" s="31"/>
      <c r="J157" s="97"/>
      <c r="K157" s="31" t="s">
        <v>240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97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99"/>
    </row>
    <row r="158" spans="2:61" ht="20.100000000000001" customHeight="1" x14ac:dyDescent="0.45">
      <c r="B158" s="95"/>
      <c r="C158" s="31"/>
      <c r="D158" s="31"/>
      <c r="E158" s="31"/>
      <c r="F158" s="31"/>
      <c r="G158" s="96"/>
      <c r="H158" s="97"/>
      <c r="I158" s="31"/>
      <c r="J158" s="97"/>
      <c r="K158" s="31"/>
      <c r="L158" s="31"/>
      <c r="M158" s="31" t="s">
        <v>241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97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99"/>
    </row>
    <row r="159" spans="2:61" ht="20.100000000000001" customHeight="1" x14ac:dyDescent="0.45">
      <c r="B159" s="95"/>
      <c r="C159" s="31"/>
      <c r="D159" s="31"/>
      <c r="E159" s="31"/>
      <c r="F159" s="31"/>
      <c r="G159" s="96"/>
      <c r="H159" s="97"/>
      <c r="I159" s="31"/>
      <c r="J159" s="97"/>
      <c r="K159" s="31"/>
      <c r="L159" s="31" t="s">
        <v>243</v>
      </c>
      <c r="M159" s="31" t="s">
        <v>242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97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99"/>
    </row>
    <row r="160" spans="2:61" ht="20.100000000000001" customHeight="1" x14ac:dyDescent="0.45">
      <c r="B160" s="95"/>
      <c r="C160" s="31"/>
      <c r="D160" s="31"/>
      <c r="E160" s="31"/>
      <c r="F160" s="31"/>
      <c r="G160" s="96"/>
      <c r="H160" s="97"/>
      <c r="I160" s="31"/>
      <c r="J160" s="97"/>
      <c r="K160" s="31" t="s">
        <v>244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97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99"/>
    </row>
    <row r="161" spans="2:61" ht="20.100000000000001" customHeight="1" thickBot="1" x14ac:dyDescent="0.5">
      <c r="B161" s="95"/>
      <c r="C161" s="31"/>
      <c r="D161" s="31"/>
      <c r="E161" s="31"/>
      <c r="F161" s="31"/>
      <c r="G161" s="96"/>
      <c r="H161" s="97"/>
      <c r="I161" s="31"/>
      <c r="J161" s="97" t="s">
        <v>182</v>
      </c>
      <c r="K161" s="31" t="s">
        <v>254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97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99"/>
    </row>
    <row r="162" spans="2:61" ht="20.100000000000001" customHeight="1" x14ac:dyDescent="0.45">
      <c r="B162" s="89" t="s">
        <v>174</v>
      </c>
      <c r="C162" s="90"/>
      <c r="D162" s="90"/>
      <c r="E162" s="90"/>
      <c r="F162" s="90"/>
      <c r="G162" s="91"/>
      <c r="H162" s="92" t="s">
        <v>84</v>
      </c>
      <c r="I162" s="90"/>
      <c r="J162" s="120" t="s">
        <v>245</v>
      </c>
      <c r="K162" s="121"/>
      <c r="L162" s="121"/>
      <c r="M162" s="121"/>
      <c r="N162" s="121"/>
      <c r="O162" s="121"/>
      <c r="P162" s="121"/>
      <c r="Q162" s="122"/>
      <c r="R162" s="121" t="s">
        <v>246</v>
      </c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2"/>
      <c r="AK162" s="93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4"/>
    </row>
    <row r="163" spans="2:61" ht="20.100000000000001" customHeight="1" x14ac:dyDescent="0.45">
      <c r="B163" s="123"/>
      <c r="C163" s="31"/>
      <c r="D163" s="31"/>
      <c r="E163" s="31"/>
      <c r="F163" s="31"/>
      <c r="G163" s="96"/>
      <c r="H163" s="100" t="s">
        <v>53</v>
      </c>
      <c r="I163" s="55"/>
      <c r="J163" s="100" t="s">
        <v>247</v>
      </c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101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  <c r="BH163" s="55"/>
      <c r="BI163" s="102"/>
    </row>
    <row r="164" spans="2:61" ht="20.100000000000001" customHeight="1" x14ac:dyDescent="0.45">
      <c r="B164" s="95"/>
      <c r="C164" s="31"/>
      <c r="D164" s="31"/>
      <c r="E164" s="31"/>
      <c r="F164" s="31"/>
      <c r="G164" s="96"/>
      <c r="H164" s="100" t="s">
        <v>55</v>
      </c>
      <c r="I164" s="55"/>
      <c r="J164" s="100"/>
      <c r="K164" s="55" t="s">
        <v>250</v>
      </c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101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55"/>
      <c r="BE164" s="55"/>
      <c r="BF164" s="55"/>
      <c r="BG164" s="55"/>
      <c r="BH164" s="55"/>
      <c r="BI164" s="102"/>
    </row>
    <row r="165" spans="2:61" ht="20.100000000000001" customHeight="1" x14ac:dyDescent="0.45">
      <c r="B165" s="95"/>
      <c r="C165" s="31"/>
      <c r="D165" s="31"/>
      <c r="E165" s="31"/>
      <c r="F165" s="31"/>
      <c r="G165" s="96"/>
      <c r="H165" s="97"/>
      <c r="I165" s="31"/>
      <c r="J165" s="97" t="s">
        <v>248</v>
      </c>
      <c r="K165" s="31" t="s">
        <v>249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97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99"/>
    </row>
    <row r="166" spans="2:61" ht="20.100000000000001" customHeight="1" x14ac:dyDescent="0.45">
      <c r="B166" s="95"/>
      <c r="C166" s="31"/>
      <c r="D166" s="31"/>
      <c r="E166" s="31"/>
      <c r="F166" s="31"/>
      <c r="G166" s="96"/>
      <c r="H166" s="97"/>
      <c r="I166" s="31"/>
      <c r="J166" s="97" t="s">
        <v>248</v>
      </c>
      <c r="K166" s="31" t="s">
        <v>251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97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99"/>
    </row>
    <row r="167" spans="2:61" ht="20.100000000000001" customHeight="1" thickBot="1" x14ac:dyDescent="0.5">
      <c r="B167" s="95"/>
      <c r="C167" s="31"/>
      <c r="D167" s="31"/>
      <c r="E167" s="31"/>
      <c r="F167" s="31"/>
      <c r="G167" s="96"/>
      <c r="H167" s="100"/>
      <c r="I167" s="55"/>
      <c r="J167" s="100" t="s">
        <v>252</v>
      </c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100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102"/>
    </row>
    <row r="168" spans="2:61" ht="20.100000000000001" customHeight="1" x14ac:dyDescent="0.45">
      <c r="B168" s="89" t="s">
        <v>253</v>
      </c>
      <c r="C168" s="90"/>
      <c r="D168" s="90"/>
      <c r="E168" s="90"/>
      <c r="F168" s="90"/>
      <c r="G168" s="91"/>
      <c r="H168" s="92" t="s">
        <v>84</v>
      </c>
      <c r="I168" s="90"/>
      <c r="J168" s="120" t="s">
        <v>245</v>
      </c>
      <c r="K168" s="121"/>
      <c r="L168" s="121"/>
      <c r="M168" s="121"/>
      <c r="N168" s="121"/>
      <c r="O168" s="121"/>
      <c r="P168" s="121"/>
      <c r="Q168" s="122"/>
      <c r="R168" s="121" t="s">
        <v>246</v>
      </c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2"/>
      <c r="AK168" s="93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4"/>
    </row>
    <row r="169" spans="2:61" ht="20.100000000000001" customHeight="1" x14ac:dyDescent="0.45">
      <c r="B169" s="123"/>
      <c r="C169" s="31"/>
      <c r="D169" s="31"/>
      <c r="E169" s="31"/>
      <c r="F169" s="31"/>
      <c r="G169" s="96"/>
      <c r="H169" s="100" t="s">
        <v>53</v>
      </c>
      <c r="I169" s="55"/>
      <c r="J169" s="100" t="s">
        <v>247</v>
      </c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101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102"/>
    </row>
    <row r="170" spans="2:61" ht="20.100000000000001" customHeight="1" x14ac:dyDescent="0.45">
      <c r="B170" s="95"/>
      <c r="C170" s="31"/>
      <c r="D170" s="31"/>
      <c r="E170" s="31"/>
      <c r="F170" s="31"/>
      <c r="G170" s="96"/>
      <c r="H170" s="100" t="s">
        <v>55</v>
      </c>
      <c r="I170" s="55"/>
      <c r="J170" s="100"/>
      <c r="K170" s="55" t="s">
        <v>250</v>
      </c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101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102"/>
    </row>
    <row r="171" spans="2:61" ht="20.100000000000001" customHeight="1" x14ac:dyDescent="0.45">
      <c r="B171" s="95"/>
      <c r="C171" s="31"/>
      <c r="D171" s="31"/>
      <c r="E171" s="31"/>
      <c r="F171" s="31"/>
      <c r="G171" s="96"/>
      <c r="H171" s="97"/>
      <c r="I171" s="31"/>
      <c r="J171" s="97" t="s">
        <v>248</v>
      </c>
      <c r="K171" s="31" t="s">
        <v>249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97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99"/>
    </row>
    <row r="172" spans="2:61" ht="20.100000000000001" customHeight="1" x14ac:dyDescent="0.45">
      <c r="B172" s="95"/>
      <c r="C172" s="31"/>
      <c r="D172" s="31"/>
      <c r="E172" s="31"/>
      <c r="F172" s="31"/>
      <c r="G172" s="96"/>
      <c r="H172" s="97"/>
      <c r="I172" s="31"/>
      <c r="J172" s="97" t="s">
        <v>248</v>
      </c>
      <c r="K172" s="31" t="s">
        <v>255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97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99"/>
    </row>
    <row r="173" spans="2:61" ht="20.100000000000001" customHeight="1" thickBot="1" x14ac:dyDescent="0.5">
      <c r="B173" s="95"/>
      <c r="C173" s="31"/>
      <c r="D173" s="31"/>
      <c r="E173" s="31"/>
      <c r="F173" s="31"/>
      <c r="G173" s="96"/>
      <c r="H173" s="100" t="s">
        <v>291</v>
      </c>
      <c r="I173" s="55"/>
      <c r="J173" s="100" t="s">
        <v>256</v>
      </c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100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102"/>
    </row>
    <row r="174" spans="2:61" ht="5.0999999999999996" customHeight="1" x14ac:dyDescent="0.45"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topLeftCell="A4" zoomScaleNormal="100" zoomScaleSheetLayoutView="100" workbookViewId="0">
      <selection activeCell="J7" sqref="J7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1" t="s">
        <v>0</v>
      </c>
      <c r="C2" s="192"/>
      <c r="D2" s="192"/>
      <c r="E2" s="192"/>
      <c r="F2" s="192"/>
      <c r="G2" s="192"/>
      <c r="H2" s="192" t="s">
        <v>17</v>
      </c>
      <c r="I2" s="192"/>
      <c r="J2" s="192"/>
      <c r="K2" s="192"/>
      <c r="L2" s="192" t="s">
        <v>1</v>
      </c>
      <c r="M2" s="192"/>
      <c r="N2" s="192"/>
      <c r="O2" s="192"/>
      <c r="P2" s="192"/>
      <c r="Q2" s="192"/>
      <c r="R2" s="192" t="s">
        <v>2</v>
      </c>
      <c r="S2" s="192"/>
      <c r="T2" s="192"/>
      <c r="U2" s="192"/>
      <c r="V2" s="192"/>
      <c r="W2" s="192"/>
      <c r="X2" s="193" t="s">
        <v>3</v>
      </c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5"/>
      <c r="AK2" s="193" t="s">
        <v>32</v>
      </c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5"/>
      <c r="AX2" s="192" t="s">
        <v>5</v>
      </c>
      <c r="AY2" s="192"/>
      <c r="AZ2" s="192"/>
      <c r="BA2" s="192"/>
      <c r="BB2" s="192" t="s">
        <v>4</v>
      </c>
      <c r="BC2" s="192"/>
      <c r="BD2" s="192"/>
      <c r="BE2" s="192"/>
      <c r="BF2" s="192" t="s">
        <v>6</v>
      </c>
      <c r="BG2" s="192"/>
      <c r="BH2" s="192"/>
      <c r="BI2" s="192"/>
      <c r="BJ2" s="192" t="s">
        <v>7</v>
      </c>
      <c r="BK2" s="192"/>
      <c r="BL2" s="192"/>
      <c r="BM2" s="202"/>
    </row>
    <row r="3" spans="2:65" ht="20.100000000000001" customHeight="1" x14ac:dyDescent="0.45">
      <c r="B3" s="196" t="str">
        <f>変更履歴!B3</f>
        <v>受発注システム</v>
      </c>
      <c r="C3" s="141"/>
      <c r="D3" s="141"/>
      <c r="E3" s="141"/>
      <c r="F3" s="141"/>
      <c r="G3" s="141"/>
      <c r="H3" s="141" t="str">
        <f ca="1">変更履歴!H3</f>
        <v>MH0800</v>
      </c>
      <c r="I3" s="141"/>
      <c r="J3" s="141"/>
      <c r="K3" s="141"/>
      <c r="L3" s="141" t="str">
        <f>変更履歴!L3</f>
        <v>受発注</v>
      </c>
      <c r="M3" s="141"/>
      <c r="N3" s="141"/>
      <c r="O3" s="141"/>
      <c r="P3" s="141"/>
      <c r="Q3" s="141"/>
      <c r="R3" s="141" t="str">
        <f ca="1">変更履歴!R3</f>
        <v>帳票設計書</v>
      </c>
      <c r="S3" s="141"/>
      <c r="T3" s="141"/>
      <c r="U3" s="141"/>
      <c r="V3" s="141"/>
      <c r="W3" s="141"/>
      <c r="X3" s="144" t="str">
        <f ca="1">変更履歴!X3</f>
        <v>MH0800_発注一覧表_帳票設計書</v>
      </c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6"/>
      <c r="AK3" s="144" t="str">
        <f ca="1">変更履歴!AK3</f>
        <v>発注一覧表</v>
      </c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6"/>
      <c r="AX3" s="140">
        <f>変更履歴!AX3</f>
        <v>45583</v>
      </c>
      <c r="AY3" s="140"/>
      <c r="AZ3" s="140"/>
      <c r="BA3" s="140"/>
      <c r="BB3" s="141" t="str">
        <f>変更履歴!BB3</f>
        <v>大谷</v>
      </c>
      <c r="BC3" s="141"/>
      <c r="BD3" s="141"/>
      <c r="BE3" s="141"/>
      <c r="BF3" s="140">
        <f>変更履歴!BF3</f>
        <v>45583</v>
      </c>
      <c r="BG3" s="140"/>
      <c r="BH3" s="140"/>
      <c r="BI3" s="140"/>
      <c r="BJ3" s="141" t="str">
        <f>変更履歴!BJ3</f>
        <v>大谷</v>
      </c>
      <c r="BK3" s="141"/>
      <c r="BL3" s="141"/>
      <c r="BM3" s="200"/>
    </row>
    <row r="4" spans="2:65" ht="20.100000000000001" customHeight="1" thickBot="1" x14ac:dyDescent="0.5">
      <c r="B4" s="197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88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90"/>
      <c r="AK4" s="188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90"/>
      <c r="AX4" s="199"/>
      <c r="AY4" s="199"/>
      <c r="AZ4" s="199"/>
      <c r="BA4" s="199"/>
      <c r="BB4" s="198"/>
      <c r="BC4" s="198"/>
      <c r="BD4" s="198"/>
      <c r="BE4" s="198"/>
      <c r="BF4" s="199"/>
      <c r="BG4" s="199"/>
      <c r="BH4" s="199"/>
      <c r="BI4" s="199"/>
      <c r="BJ4" s="198"/>
      <c r="BK4" s="198"/>
      <c r="BL4" s="198"/>
      <c r="BM4" s="201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8.19921875" style="29" bestFit="1" customWidth="1"/>
    <col min="5" max="5" width="83.3984375" style="29" bestFit="1" customWidth="1"/>
    <col min="6" max="6" width="40.796875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28" t="s">
        <v>293</v>
      </c>
      <c r="G3" s="78" t="s">
        <v>51</v>
      </c>
    </row>
    <row r="4" spans="2:7" x14ac:dyDescent="0.45">
      <c r="B4" s="37">
        <v>1</v>
      </c>
      <c r="C4" s="79" t="s">
        <v>127</v>
      </c>
      <c r="D4" s="79" t="s">
        <v>128</v>
      </c>
      <c r="E4" s="80" t="s">
        <v>292</v>
      </c>
      <c r="F4" s="80" t="s">
        <v>294</v>
      </c>
      <c r="G4" s="81" t="s">
        <v>295</v>
      </c>
    </row>
    <row r="5" spans="2:7" x14ac:dyDescent="0.45">
      <c r="B5" s="37">
        <v>2</v>
      </c>
      <c r="C5" s="79"/>
      <c r="D5" s="79"/>
      <c r="E5" s="82"/>
      <c r="F5" s="82"/>
      <c r="G5" s="81"/>
    </row>
    <row r="6" spans="2:7" x14ac:dyDescent="0.45">
      <c r="B6" s="37">
        <v>3</v>
      </c>
      <c r="C6" s="79"/>
      <c r="D6" s="79"/>
      <c r="E6" s="82"/>
      <c r="F6" s="82"/>
      <c r="G6" s="81"/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12</vt:i4>
      </vt:variant>
    </vt:vector>
  </HeadingPairs>
  <TitlesOfParts>
    <vt:vector size="22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帳票レイアウト確認点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2025-05-24T05:30:11Z</dcterms:modified>
</cp:coreProperties>
</file>