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16" r:id="rId8"/>
    <sheet name="別紙_印刷レイアウト" sheetId="21" r:id="rId9"/>
    <sheet name="参照" sheetId="12" state="hidden" r:id="rId10"/>
  </sheets>
  <definedNames>
    <definedName name="CoreCells" localSheetId="7">別紙_テンプレート!$A$59:$H$59</definedName>
    <definedName name="CoreCells">#REF!</definedName>
    <definedName name="CoreCellsRow" localSheetId="7">別紙_テンプレート!$55:$106</definedName>
    <definedName name="CoreCellsRow">#REF!</definedName>
    <definedName name="_xlnm.Print_Area" localSheetId="1">概要!$A$1:$BN$31</definedName>
    <definedName name="_xlnm.Print_Area" localSheetId="3">項目一覧!$A$1:$BX$55</definedName>
    <definedName name="_xlnm.Print_Area" localSheetId="4">処理詳細!$A$1:$BR$77</definedName>
    <definedName name="_xlnm.Print_Area" localSheetId="5">処理詳細_書き方!$A$1:$BR$33</definedName>
    <definedName name="_xlnm.Print_Area" localSheetId="2">帳票レイアウト!$A$1:$BN$78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別紙_テンプレート!$1:$2</definedName>
    <definedName name="_xlnm.Print_Titles" localSheetId="0">変更履歴!$1:$5</definedName>
    <definedName name="インボイス登録番号">別紙_テンプレート!$F$9</definedName>
    <definedName name="会社担当者" localSheetId="7">別紙_テンプレート!$F$16</definedName>
    <definedName name="会社担当者">#REF!</definedName>
    <definedName name="会社担当者E_mail" localSheetId="7">別紙_テンプレート!$F$17</definedName>
    <definedName name="会社担当者E_mail">#REF!</definedName>
    <definedName name="見積金額" localSheetId="7">別紙_テンプレート!$B$8</definedName>
    <definedName name="見積金額">#REF!</definedName>
    <definedName name="見積件名" localSheetId="7">別紙_テンプレート!$B$12</definedName>
    <definedName name="見積件名">#REF!</definedName>
    <definedName name="見積日" localSheetId="7">別紙_テンプレート!#REF!</definedName>
    <definedName name="見積日">#REF!</definedName>
    <definedName name="見積番号" localSheetId="7">別紙_テンプレート!$A$1</definedName>
    <definedName name="見積番号">#REF!</definedName>
    <definedName name="見積有効期限" localSheetId="7">別紙_テンプレート!#REF!</definedName>
    <definedName name="見積有効期限">#REF!</definedName>
    <definedName name="現場名" localSheetId="7">別紙_テンプレート!#REF!</definedName>
    <definedName name="現場名">#REF!</definedName>
    <definedName name="合計金額" localSheetId="7">別紙_テンプレート!$B$10</definedName>
    <definedName name="合計金額">#REF!</definedName>
    <definedName name="作成日" localSheetId="7">別紙_テンプレート!$H$1</definedName>
    <definedName name="作成日">#REF!</definedName>
    <definedName name="支払条件" localSheetId="7">別紙_テンプレート!$B$16</definedName>
    <definedName name="支払条件">#REF!</definedName>
    <definedName name="受注区分" localSheetId="7">別紙_テンプレート!#REF!</definedName>
    <definedName name="受注区分">#REF!</definedName>
    <definedName name="受注先1" localSheetId="7">別紙_テンプレート!#REF!</definedName>
    <definedName name="受注先1">#REF!</definedName>
    <definedName name="受渡地" localSheetId="7">別紙_テンプレート!$B$15</definedName>
    <definedName name="受渡地">#REF!</definedName>
    <definedName name="消費税額" localSheetId="7">別紙_テンプレート!$B$9</definedName>
    <definedName name="消費税額">#REF!</definedName>
    <definedName name="消費税見出し" localSheetId="7">別紙_テンプレート!$A$9</definedName>
    <definedName name="消費税見出し">#REF!</definedName>
    <definedName name="送料">別紙_テンプレート!$B$11</definedName>
    <definedName name="担当者" localSheetId="7">別紙_テンプレート!#REF!</definedName>
    <definedName name="担当者">#REF!</definedName>
    <definedName name="担当者名" localSheetId="7">別紙_テンプレート!$F$16</definedName>
    <definedName name="担当者名">#REF!</definedName>
    <definedName name="得意先名1" localSheetId="7">別紙_テンプレート!$A$3</definedName>
    <definedName name="得意先名1">#REF!</definedName>
    <definedName name="得意先名2" localSheetId="7">別紙_テンプレート!$A$4</definedName>
    <definedName name="得意先名2">#REF!</definedName>
    <definedName name="納期" localSheetId="7">別紙_テンプレート!$B$14</definedName>
    <definedName name="納期">#REF!</definedName>
    <definedName name="納入先1" localSheetId="7">別紙_テンプレート!#REF!</definedName>
    <definedName name="納入先1">#REF!</definedName>
    <definedName name="納入先住所1" localSheetId="7">別紙_テンプレート!#REF!</definedName>
    <definedName name="納入先住所1">#REF!</definedName>
    <definedName name="備考" localSheetId="7">別紙_テンプレート!$B$17</definedName>
    <definedName name="備考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B10" i="16" l="1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<sst xmlns="http://schemas.openxmlformats.org/spreadsheetml/2006/main" count="416" uniqueCount="266">
  <si>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</si>
  <si>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</si>
  <si>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</si>
  <si>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</si>
  <si>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</si>
  <si>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</si>
  <si>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</si>
  <si>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</si>
  <si>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</si>
  <si>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</si>
  <si>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</si>
  <si>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</si>
  <si>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</si>
  <si>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</si>
  <si>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</si>
  <si>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</si>
  <si>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</si>
  <si>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</si>
  <si>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</si>
  <si>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</si>
  <si>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</si>
  <si>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</si>
  <si>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</si>
  <si>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</si>
  <si>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</si>
  <si>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</si>
  <si>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</si>
  <si>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</si>
  <si>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</si>
  <si>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</si>
  <si>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</si>
  <si>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</si>
  <si>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</si>
  <si>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</si>
  <si>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</si>
  <si>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</si>
  <si>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</si>
  <si>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</si>
  <si>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</si>
  <si>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</si>
  <si>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</si>
  <si>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</si>
  <si>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</si>
  <si>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</si>
  <si>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</si>
  <si>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</si>
  <si>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</si>
  <si>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</si>
  <si>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</si>
  <si>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</si>
  <si>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</si>
  <si>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</si>
  <si>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</si>
  <si>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得意先名1</t>
    <rPh sb="0" eb="3">
      <t>トクイサキ</t>
    </rPh>
    <rPh sb="3" eb="4">
      <t>メイ</t>
    </rPh>
    <phoneticPr fontId="1"/>
  </si>
  <si>
    <t>得意先名2</t>
    <rPh sb="0" eb="3">
      <t>トクイサキ</t>
    </rPh>
    <rPh sb="3" eb="4">
      <t>メイ</t>
    </rPh>
    <phoneticPr fontId="1"/>
  </si>
  <si>
    <t>見積金額</t>
    <rPh sb="0" eb="2">
      <t>ミツモリ</t>
    </rPh>
    <rPh sb="2" eb="4">
      <t>キンガク</t>
    </rPh>
    <phoneticPr fontId="1"/>
  </si>
  <si>
    <t>消費税額</t>
    <rPh sb="0" eb="3">
      <t>ショウヒゼイ</t>
    </rPh>
    <rPh sb="3" eb="4">
      <t>ガク</t>
    </rPh>
    <phoneticPr fontId="1"/>
  </si>
  <si>
    <t>合計金額</t>
    <rPh sb="0" eb="2">
      <t>ゴウケイ</t>
    </rPh>
    <rPh sb="2" eb="4">
      <t>キンガク</t>
    </rPh>
    <phoneticPr fontId="1"/>
  </si>
  <si>
    <t>送料</t>
    <rPh sb="0" eb="2">
      <t>ソウリョウ</t>
    </rPh>
    <phoneticPr fontId="1"/>
  </si>
  <si>
    <t>見積件名</t>
    <rPh sb="0" eb="2">
      <t>ミツモリ</t>
    </rPh>
    <rPh sb="2" eb="4">
      <t>ケンメイ</t>
    </rPh>
    <phoneticPr fontId="1"/>
  </si>
  <si>
    <t>納期</t>
    <rPh sb="0" eb="2">
      <t>ノウキ</t>
    </rPh>
    <phoneticPr fontId="1"/>
  </si>
  <si>
    <t>受渡地</t>
    <rPh sb="0" eb="2">
      <t>ウケワタシ</t>
    </rPh>
    <rPh sb="2" eb="3">
      <t>チ</t>
    </rPh>
    <phoneticPr fontId="1"/>
  </si>
  <si>
    <t>備考</t>
    <rPh sb="0" eb="2">
      <t>ビコウ</t>
    </rPh>
    <phoneticPr fontId="1"/>
  </si>
  <si>
    <t>支払条件</t>
    <rPh sb="0" eb="2">
      <t>シハラ</t>
    </rPh>
    <rPh sb="2" eb="4">
      <t>ジョウケン</t>
    </rPh>
    <phoneticPr fontId="1"/>
  </si>
  <si>
    <t>インボイス登録番号</t>
    <rPh sb="5" eb="7">
      <t>トウロク</t>
    </rPh>
    <rPh sb="7" eb="9">
      <t>バンゴウ</t>
    </rPh>
    <phoneticPr fontId="1"/>
  </si>
  <si>
    <t>会社担当者</t>
    <rPh sb="0" eb="2">
      <t>カイシャ</t>
    </rPh>
    <rPh sb="2" eb="5">
      <t>タントウシャ</t>
    </rPh>
    <phoneticPr fontId="1"/>
  </si>
  <si>
    <t>会社担当者_E-mail</t>
    <rPh sb="0" eb="2">
      <t>カイシャ</t>
    </rPh>
    <rPh sb="2" eb="5">
      <t>タントウシャ</t>
    </rPh>
    <phoneticPr fontId="1"/>
  </si>
  <si>
    <t>伝票番号</t>
    <rPh sb="0" eb="2">
      <t>デンピョウ</t>
    </rPh>
    <rPh sb="2" eb="4">
      <t>バンゴウ</t>
    </rPh>
    <phoneticPr fontId="1"/>
  </si>
  <si>
    <t>納品店番</t>
    <rPh sb="0" eb="2">
      <t>ノウヒン</t>
    </rPh>
    <rPh sb="2" eb="3">
      <t>ミセ</t>
    </rPh>
    <rPh sb="3" eb="4">
      <t>バン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</si>
  <si>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</si>
  <si>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</si>
  <si>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管理番号</t>
    <rPh sb="0" eb="2">
      <t>カンリ</t>
    </rPh>
    <rPh sb="2" eb="4">
      <t>バンゴウ</t>
    </rPh>
    <phoneticPr fontId="1"/>
  </si>
  <si>
    <t>品名</t>
    <rPh sb="0" eb="2">
      <t>ヒンメイ</t>
    </rPh>
    <phoneticPr fontId="1"/>
  </si>
  <si>
    <t>数量</t>
    <rPh sb="0" eb="2">
      <t>スウリョウ</t>
    </rPh>
    <phoneticPr fontId="1"/>
  </si>
  <si>
    <t>全角</t>
    <rPh sb="0" eb="2">
      <t>ゼンカク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</si>
  <si>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</si>
  <si>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</si>
  <si>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作成日</t>
    <rPh sb="0" eb="3">
      <t>サクセイビ</t>
    </rPh>
    <phoneticPr fontId="1"/>
  </si>
  <si>
    <t>日付</t>
    <rPh sb="0" eb="2">
      <t>ヒヅケ</t>
    </rPh>
    <phoneticPr fontId="1"/>
  </si>
  <si>
    <t>固定値で0</t>
    <rPh sb="0" eb="3">
      <t>コテイチ</t>
    </rPh>
    <phoneticPr fontId="1"/>
  </si>
  <si>
    <t>画面.送料のみ</t>
    <rPh sb="0" eb="2">
      <t>ガメン</t>
    </rPh>
    <rPh sb="3" eb="5">
      <t>ソウリョウ</t>
    </rPh>
    <phoneticPr fontId="1"/>
  </si>
  <si>
    <t>[TM得意先.得意先名1]様 各店</t>
    <phoneticPr fontId="1"/>
  </si>
  <si>
    <t>-</t>
    <phoneticPr fontId="1"/>
  </si>
  <si>
    <t>固定値で空白</t>
    <rPh sb="0" eb="3">
      <t>コテイチ</t>
    </rPh>
    <rPh sb="4" eb="6">
      <t>クウハク</t>
    </rPh>
    <phoneticPr fontId="1"/>
  </si>
  <si>
    <t>入力なし</t>
    <rPh sb="0" eb="2">
      <t>ニュウリョク</t>
    </rPh>
    <phoneticPr fontId="1"/>
  </si>
  <si>
    <t xml:space="preserve">       御　　請　　求　　書</t>
  </si>
  <si>
    <t>下記の通り御請求申し上げます。</t>
    <rPh sb="5" eb="8">
      <t>ゴセイキュウ</t>
    </rPh>
    <phoneticPr fontId="15"/>
  </si>
  <si>
    <t>御請求金額</t>
    <rPh sb="1" eb="3">
      <t>セイキュウ</t>
    </rPh>
    <phoneticPr fontId="15"/>
  </si>
  <si>
    <t>消費税等(10%)</t>
    <phoneticPr fontId="15"/>
  </si>
  <si>
    <t>合計</t>
  </si>
  <si>
    <t>送料</t>
    <rPh sb="0" eb="2">
      <t>ソウリョウ</t>
    </rPh>
    <phoneticPr fontId="15"/>
  </si>
  <si>
    <t>〒360-0012</t>
  </si>
  <si>
    <t>件　　　名　：</t>
  </si>
  <si>
    <t>埼玉県熊谷市上之2919-5</t>
  </si>
  <si>
    <t>TEL 048-525-1171㈹</t>
  </si>
  <si>
    <t>納　　　期　：</t>
  </si>
  <si>
    <t>FAX 048-525-0008</t>
  </si>
  <si>
    <t>受　渡　地　：</t>
  </si>
  <si>
    <t>御支払条件　：</t>
  </si>
  <si>
    <t>担当：XXXXXXXXXXXXXXXX</t>
  </si>
  <si>
    <t>備　　　考　：</t>
  </si>
  <si>
    <t>E-mail：wwy.matsuzaki@sanwashouken.co.jp</t>
    <phoneticPr fontId="15"/>
  </si>
  <si>
    <t>(単位：円)</t>
    <phoneticPr fontId="15"/>
  </si>
  <si>
    <t>伝票番号</t>
    <rPh sb="0" eb="2">
      <t>デンピョウ</t>
    </rPh>
    <rPh sb="2" eb="4">
      <t>バンゴウ</t>
    </rPh>
    <phoneticPr fontId="15"/>
  </si>
  <si>
    <t>納品店番</t>
    <rPh sb="0" eb="2">
      <t>ノウヒン</t>
    </rPh>
    <rPh sb="2" eb="4">
      <t>テンバン</t>
    </rPh>
    <phoneticPr fontId="15"/>
  </si>
  <si>
    <t>単価</t>
    <rPh sb="0" eb="2">
      <t>タンカ</t>
    </rPh>
    <phoneticPr fontId="15"/>
  </si>
  <si>
    <t>金額</t>
    <rPh sb="0" eb="2">
      <t>キンガク</t>
    </rPh>
    <phoneticPr fontId="15"/>
  </si>
  <si>
    <t>管理番号</t>
    <rPh sb="0" eb="2">
      <t>カンリ</t>
    </rPh>
    <rPh sb="2" eb="4">
      <t>バンゴウ</t>
    </rPh>
    <phoneticPr fontId="15"/>
  </si>
  <si>
    <t>品名</t>
    <rPh sb="0" eb="2">
      <t>ヒンメイ</t>
    </rPh>
    <phoneticPr fontId="15"/>
  </si>
  <si>
    <t>数量</t>
    <rPh sb="0" eb="2">
      <t>スウリョウ</t>
    </rPh>
    <phoneticPr fontId="15"/>
  </si>
  <si>
    <t>TM担当者.問い合わせ先</t>
    <rPh sb="2" eb="5">
      <t>タントウシャ</t>
    </rPh>
    <rPh sb="6" eb="7">
      <t>ト</t>
    </rPh>
    <rPh sb="8" eb="9">
      <t>ア</t>
    </rPh>
    <rPh sb="11" eb="12">
      <t>サキ</t>
    </rPh>
    <phoneticPr fontId="1"/>
  </si>
  <si>
    <t>TM会社.インボイス登録番号</t>
    <rPh sb="2" eb="4">
      <t>カイシャ</t>
    </rPh>
    <rPh sb="10" eb="12">
      <t>トウロク</t>
    </rPh>
    <rPh sb="12" eb="14">
      <t>バンゴウ</t>
    </rPh>
    <phoneticPr fontId="1"/>
  </si>
  <si>
    <t>担当：[TM担当者.問い合わせ先]</t>
    <rPh sb="0" eb="2">
      <t>タントウ</t>
    </rPh>
    <rPh sb="6" eb="9">
      <t>タントウシャ</t>
    </rPh>
    <rPh sb="10" eb="11">
      <t>ト</t>
    </rPh>
    <rPh sb="12" eb="13">
      <t>ア</t>
    </rPh>
    <rPh sb="15" eb="16">
      <t>サキ</t>
    </rPh>
    <phoneticPr fontId="1"/>
  </si>
  <si>
    <t>登録番号 [TM会社.インボイス登録番号]</t>
    <rPh sb="0" eb="2">
      <t>トウロク</t>
    </rPh>
    <rPh sb="2" eb="4">
      <t>バンゴウ</t>
    </rPh>
    <phoneticPr fontId="1"/>
  </si>
  <si>
    <t>消費税見出し</t>
    <rPh sb="0" eb="3">
      <t>ショウヒゼイ</t>
    </rPh>
    <rPh sb="3" eb="5">
      <t>ミダ</t>
    </rPh>
    <phoneticPr fontId="1"/>
  </si>
  <si>
    <t>文字列</t>
    <rPh sb="0" eb="3">
      <t>モジレツ</t>
    </rPh>
    <phoneticPr fontId="1"/>
  </si>
  <si>
    <t>全角</t>
    <rPh sb="0" eb="2">
      <t>ゼンカク</t>
    </rPh>
    <phoneticPr fontId="1"/>
  </si>
  <si>
    <t>\999,999-</t>
    <phoneticPr fontId="1"/>
  </si>
  <si>
    <t>数値</t>
    <rPh sb="0" eb="2">
      <t>スウチ</t>
    </rPh>
    <phoneticPr fontId="1"/>
  </si>
  <si>
    <t>半角</t>
    <rPh sb="0" eb="2">
      <t>ハンカク</t>
    </rPh>
    <phoneticPr fontId="1"/>
  </si>
  <si>
    <t>Template_請求書_SM直納</t>
    <phoneticPr fontId="2"/>
  </si>
  <si>
    <t>Excel</t>
    <phoneticPr fontId="2"/>
  </si>
  <si>
    <t>-</t>
    <phoneticPr fontId="2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</si>
  <si>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</si>
  <si>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</si>
  <si>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</si>
  <si>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</si>
  <si>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</si>
  <si>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</si>
  <si>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</si>
  <si>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</si>
  <si>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</si>
  <si>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</si>
  <si>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</si>
  <si>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</si>
  <si>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</si>
  <si>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</si>
  <si>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</si>
  <si>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</si>
  <si>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</si>
  <si>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</si>
  <si>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</si>
  <si>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</si>
  <si>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</si>
  <si>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</si>
  <si>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</si>
  <si>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</si>
  <si>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</si>
  <si>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</si>
  <si>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</si>
  <si>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</si>
  <si>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</si>
  <si>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</si>
  <si>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</si>
  <si>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</si>
  <si>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</si>
  <si>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</si>
  <si>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</si>
  <si>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</si>
  <si>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</si>
  <si>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xlsx</t>
    <phoneticPr fontId="2"/>
  </si>
  <si>
    <t>A4縦</t>
    <rPh sb="2" eb="3">
      <t>タテ</t>
    </rPh>
    <phoneticPr fontId="2"/>
  </si>
  <si>
    <t>INSERT　SQL1</t>
    <phoneticPr fontId="2"/>
  </si>
  <si>
    <t>消費税等(10%)</t>
    <phoneticPr fontId="1"/>
  </si>
  <si>
    <t>MSM.他社納品日付</t>
    <phoneticPr fontId="2"/>
  </si>
  <si>
    <t>MSM.他社伝票番号</t>
    <phoneticPr fontId="2"/>
  </si>
  <si>
    <t>MH.納入先CD</t>
    <phoneticPr fontId="2"/>
  </si>
  <si>
    <t>UH.見積番号</t>
    <phoneticPr fontId="2"/>
  </si>
  <si>
    <t>SUM(CASE WHEN UM.売上税区分 = 1 THEN (UM.売上金額-UM.消費税額) ELSE UM.売上金額 END)</t>
    <phoneticPr fontId="2"/>
  </si>
  <si>
    <t>他社納品日付</t>
    <phoneticPr fontId="2"/>
  </si>
  <si>
    <t>他社伝票番号</t>
    <phoneticPr fontId="2"/>
  </si>
  <si>
    <t>納入先CD</t>
    <phoneticPr fontId="2"/>
  </si>
  <si>
    <t>見積番号</t>
    <phoneticPr fontId="2"/>
  </si>
  <si>
    <t>税抜金額</t>
    <phoneticPr fontId="2"/>
  </si>
  <si>
    <t>TD売上V2 AS UH</t>
    <phoneticPr fontId="2"/>
  </si>
  <si>
    <t>TD見積シートM AS MSM</t>
    <phoneticPr fontId="2"/>
  </si>
  <si>
    <t>TD見積 AS MH</t>
    <phoneticPr fontId="2"/>
  </si>
  <si>
    <t>TD売上請求H AS USH</t>
    <phoneticPr fontId="2"/>
  </si>
  <si>
    <t>TM得意先 AS TK</t>
    <phoneticPr fontId="2"/>
  </si>
  <si>
    <t>INNER JOIN</t>
    <phoneticPr fontId="2"/>
  </si>
  <si>
    <t>TD売上明細V2</t>
    <phoneticPr fontId="2"/>
  </si>
  <si>
    <t>UH.売上番号 = UM.売上番号</t>
    <phoneticPr fontId="2"/>
  </si>
  <si>
    <t>LEFT JOIN</t>
    <phoneticPr fontId="2"/>
  </si>
  <si>
    <t>TD見積シートM</t>
    <phoneticPr fontId="2"/>
  </si>
  <si>
    <t>UM.見積明細連番 = MSM.見積明細連番</t>
    <phoneticPr fontId="2"/>
  </si>
  <si>
    <t>TD売上明細V2 AS UM</t>
    <phoneticPr fontId="2"/>
  </si>
  <si>
    <t>TD見積</t>
    <phoneticPr fontId="2"/>
  </si>
  <si>
    <t>UH.見積番号 = MH.見積番号</t>
    <phoneticPr fontId="2"/>
  </si>
  <si>
    <t>TD売上請求H</t>
    <phoneticPr fontId="2"/>
  </si>
  <si>
    <t>UH.見積番号 = USH.見積番号</t>
    <phoneticPr fontId="2"/>
  </si>
  <si>
    <t>TM得意先</t>
    <phoneticPr fontId="2"/>
  </si>
  <si>
    <t>MH.得意先CD = TK.得意先CD</t>
    <phoneticPr fontId="2"/>
  </si>
  <si>
    <t>(</t>
    <phoneticPr fontId="2"/>
  </si>
  <si>
    <t>UM.伝票区分 NOT IN ('A','C','S')</t>
    <phoneticPr fontId="2"/>
  </si>
  <si>
    <t>UM.売上金額 &lt;&gt; 0</t>
    <phoneticPr fontId="2"/>
  </si>
  <si>
    <t>UM.売上数量 &lt;&gt; 0</t>
    <phoneticPr fontId="2"/>
  </si>
  <si>
    <t>AND</t>
    <phoneticPr fontId="2"/>
  </si>
  <si>
    <t>)</t>
    <phoneticPr fontId="2"/>
  </si>
  <si>
    <t>@i送料区分 = 1 AND UM.製品NO = 'Z012'</t>
    <phoneticPr fontId="2"/>
  </si>
  <si>
    <t>OR</t>
    <phoneticPr fontId="2"/>
  </si>
  <si>
    <t>@i送料区分 = 0 AND NOT(UM.製品NO = 'Z012')</t>
    <phoneticPr fontId="2"/>
  </si>
  <si>
    <t>group by</t>
    <phoneticPr fontId="2"/>
  </si>
  <si>
    <t>order by</t>
    <phoneticPr fontId="2"/>
  </si>
  <si>
    <t>MSM.他社納品日付,MSM.他社伝票番号,MH.納入先CD,UH.見積番号</t>
    <phoneticPr fontId="2"/>
  </si>
  <si>
    <t>SQL2</t>
    <phoneticPr fontId="2"/>
  </si>
  <si>
    <t>SQL3</t>
    <phoneticPr fontId="2"/>
  </si>
  <si>
    <t>TK.得意先名1</t>
    <phoneticPr fontId="2"/>
  </si>
  <si>
    <t>TK.得意先名2</t>
    <phoneticPr fontId="2"/>
  </si>
  <si>
    <t>TK.担当者CD</t>
    <phoneticPr fontId="2"/>
  </si>
  <si>
    <t>@w請求合計額</t>
    <phoneticPr fontId="2"/>
  </si>
  <si>
    <t>得意先名1</t>
    <phoneticPr fontId="2"/>
  </si>
  <si>
    <t>得意先名2</t>
    <phoneticPr fontId="2"/>
  </si>
  <si>
    <t>担当者CD</t>
    <phoneticPr fontId="2"/>
  </si>
  <si>
    <t>合計金額</t>
    <phoneticPr fontId="2"/>
  </si>
  <si>
    <t>外税額</t>
    <phoneticPr fontId="2"/>
  </si>
  <si>
    <t>TM担当者</t>
    <phoneticPr fontId="2"/>
  </si>
  <si>
    <t>TK.担当者CD = TN.担当者CD</t>
    <phoneticPr fontId="2"/>
  </si>
  <si>
    <t>TM担当者 AS TN</t>
    <phoneticPr fontId="2"/>
  </si>
  <si>
    <t>SQL1.他社納品日付</t>
    <phoneticPr fontId="2"/>
  </si>
  <si>
    <t>SQL1.他社伝票番号</t>
    <phoneticPr fontId="2"/>
  </si>
  <si>
    <t>SQL1.納入先CD</t>
    <phoneticPr fontId="2"/>
  </si>
  <si>
    <t>SQL1.見積番号</t>
    <phoneticPr fontId="2"/>
  </si>
  <si>
    <t>SQL1.税抜金額</t>
    <phoneticPr fontId="2"/>
  </si>
  <si>
    <t>SQL1</t>
    <phoneticPr fontId="2"/>
  </si>
  <si>
    <t>SQL2.合計金額</t>
    <rPh sb="5" eb="9">
      <t>ゴウケイキンガク</t>
    </rPh>
    <phoneticPr fontId="1"/>
  </si>
  <si>
    <t>SQL2.得意先名1</t>
    <rPh sb="5" eb="8">
      <t>トクイサキ</t>
    </rPh>
    <rPh sb="8" eb="9">
      <t>ナ</t>
    </rPh>
    <phoneticPr fontId="1"/>
  </si>
  <si>
    <t>SQL2.得意先名2</t>
    <rPh sb="5" eb="8">
      <t>トクイサキ</t>
    </rPh>
    <rPh sb="8" eb="9">
      <t>ナ</t>
    </rPh>
    <phoneticPr fontId="1"/>
  </si>
  <si>
    <t>[SQL2.得意先名2]が空の場合は表示しない</t>
    <rPh sb="18" eb="20">
      <t>ヒョウジ</t>
    </rPh>
    <phoneticPr fontId="1"/>
  </si>
  <si>
    <t>[SQL2.得意先名2]が空の場合は[TM得意先.得意先名1]を表示</t>
    <rPh sb="13" eb="14">
      <t>カラ</t>
    </rPh>
    <rPh sb="15" eb="17">
      <t>バアイ</t>
    </rPh>
    <rPh sb="32" eb="34">
      <t>ヒョウジ</t>
    </rPh>
    <phoneticPr fontId="1"/>
  </si>
  <si>
    <t>SQL2.外税額</t>
    <rPh sb="5" eb="8">
      <t>ソトゼイガク</t>
    </rPh>
    <phoneticPr fontId="1"/>
  </si>
  <si>
    <t>No4.見積金額,No6.消費税額</t>
    <rPh sb="4" eb="6">
      <t>ミツモリ</t>
    </rPh>
    <rPh sb="6" eb="8">
      <t>キンガク</t>
    </rPh>
    <rPh sb="13" eb="16">
      <t>ショウヒゼイ</t>
    </rPh>
    <rPh sb="16" eb="17">
      <t>ガク</t>
    </rPh>
    <phoneticPr fontId="1"/>
  </si>
  <si>
    <t>[No4.見積金額]と[No6.消費税額]を足した値</t>
    <rPh sb="22" eb="23">
      <t>タ</t>
    </rPh>
    <rPh sb="25" eb="26">
      <t>アタイ</t>
    </rPh>
    <phoneticPr fontId="1"/>
  </si>
  <si>
    <t>[画面.送料のみ]が0の場合は空文字、1の場合は”送料"</t>
    <rPh sb="1" eb="3">
      <t>ガメン</t>
    </rPh>
    <rPh sb="4" eb="6">
      <t>ソウリョウ</t>
    </rPh>
    <rPh sb="12" eb="14">
      <t>バアイ</t>
    </rPh>
    <rPh sb="15" eb="16">
      <t>カラ</t>
    </rPh>
    <rPh sb="16" eb="18">
      <t>モジ</t>
    </rPh>
    <rPh sb="21" eb="23">
      <t>バアイ</t>
    </rPh>
    <rPh sb="25" eb="27">
      <t>ソウリョウ</t>
    </rPh>
    <phoneticPr fontId="1"/>
  </si>
  <si>
    <t>[画面.請求期間to]の日付の時の[TM税率.税率]の税率</t>
    <rPh sb="6" eb="8">
      <t>キカン</t>
    </rPh>
    <rPh sb="12" eb="14">
      <t>ヒヅケ</t>
    </rPh>
    <rPh sb="15" eb="16">
      <t>トキ</t>
    </rPh>
    <phoneticPr fontId="1"/>
  </si>
  <si>
    <t>画面.請求期間to,TM税率.税率,TM税率.切替日付</t>
    <rPh sb="5" eb="7">
      <t>キカン</t>
    </rPh>
    <rPh sb="12" eb="14">
      <t>ゼイリツ</t>
    </rPh>
    <rPh sb="15" eb="17">
      <t>ゼイリツ</t>
    </rPh>
    <rPh sb="20" eb="22">
      <t>ゼイリツ</t>
    </rPh>
    <rPh sb="23" eb="24">
      <t>キ</t>
    </rPh>
    <rPh sb="24" eb="25">
      <t>カ</t>
    </rPh>
    <rPh sb="25" eb="27">
      <t>ヒヅケ</t>
    </rPh>
    <phoneticPr fontId="1"/>
  </si>
  <si>
    <t>画面.伝票種類,画面.請求期間to</t>
    <rPh sb="0" eb="2">
      <t>ガメン</t>
    </rPh>
    <rPh sb="3" eb="5">
      <t>デンピョウ</t>
    </rPh>
    <rPh sb="5" eb="7">
      <t>シュルイ</t>
    </rPh>
    <rPh sb="8" eb="10">
      <t>ガメン</t>
    </rPh>
    <rPh sb="11" eb="13">
      <t>セイキュウ</t>
    </rPh>
    <rPh sb="13" eb="15">
      <t>キカン</t>
    </rPh>
    <phoneticPr fontId="1"/>
  </si>
  <si>
    <t>[画面.伝票種類]:が2の時は"直納伝票" &amp; [画面.請求期間to] &amp; "御請求分"
[画面.伝票種類]が3の時は"mail発注書(消耗品)" &amp; [画面.請求期間to]  &amp; "御請求分"
[画面.伝票種類]が4の時は"mail発注書(直納)" &amp; [画面.請求期間to]  &amp; "御請求分"</t>
    <rPh sb="1" eb="3">
      <t>ガメン</t>
    </rPh>
    <rPh sb="4" eb="6">
      <t>デンピョウ</t>
    </rPh>
    <rPh sb="6" eb="8">
      <t>シュルイ</t>
    </rPh>
    <rPh sb="13" eb="14">
      <t>トキ</t>
    </rPh>
    <rPh sb="16" eb="18">
      <t>チョクノウ</t>
    </rPh>
    <rPh sb="18" eb="20">
      <t>デンピョウ</t>
    </rPh>
    <rPh sb="25" eb="27">
      <t>ガメン</t>
    </rPh>
    <rPh sb="28" eb="30">
      <t>セイキュウ</t>
    </rPh>
    <rPh sb="30" eb="32">
      <t>キカン</t>
    </rPh>
    <rPh sb="39" eb="42">
      <t>ゴセイキュウ</t>
    </rPh>
    <rPh sb="42" eb="43">
      <t>ブン</t>
    </rPh>
    <rPh sb="64" eb="67">
      <t>ハッチュウショ</t>
    </rPh>
    <rPh sb="68" eb="70">
      <t>ショウモウ</t>
    </rPh>
    <rPh sb="70" eb="71">
      <t>ヒン</t>
    </rPh>
    <rPh sb="117" eb="120">
      <t>ハッチュウショ</t>
    </rPh>
    <rPh sb="121" eb="123">
      <t>チョクノウ</t>
    </rPh>
    <phoneticPr fontId="1"/>
  </si>
  <si>
    <t>日付は"mm月dd日"形式</t>
    <rPh sb="0" eb="2">
      <t>ヒヅケ</t>
    </rPh>
    <rPh sb="11" eb="13">
      <t>ケイシキ</t>
    </rPh>
    <phoneticPr fontId="1"/>
  </si>
  <si>
    <t>画面.請求期間from,画面.請求期間to</t>
    <rPh sb="0" eb="2">
      <t>ガメン</t>
    </rPh>
    <rPh sb="3" eb="5">
      <t>セイキュウ</t>
    </rPh>
    <rPh sb="5" eb="7">
      <t>キカン</t>
    </rPh>
    <rPh sb="12" eb="14">
      <t>ガメン</t>
    </rPh>
    <rPh sb="15" eb="17">
      <t>セイキュウ</t>
    </rPh>
    <rPh sb="17" eb="19">
      <t>キカン</t>
    </rPh>
    <phoneticPr fontId="1"/>
  </si>
  <si>
    <t>yyyy年mm月dd日 ~ yyyy年mm月dd日</t>
    <rPh sb="4" eb="5">
      <t>ネン</t>
    </rPh>
    <rPh sb="7" eb="8">
      <t>ツキ</t>
    </rPh>
    <rPh sb="10" eb="11">
      <t>ヒ</t>
    </rPh>
    <phoneticPr fontId="1"/>
  </si>
  <si>
    <t>画面.請求期間to</t>
    <rPh sb="0" eb="2">
      <t>ガメン</t>
    </rPh>
    <rPh sb="3" eb="5">
      <t>セイキュウ</t>
    </rPh>
    <rPh sb="5" eb="7">
      <t>キカン</t>
    </rPh>
    <phoneticPr fontId="1"/>
  </si>
  <si>
    <t>[dd]日締　従来通り</t>
    <rPh sb="4" eb="5">
      <t>ヒ</t>
    </rPh>
    <rPh sb="5" eb="6">
      <t>シメ</t>
    </rPh>
    <rPh sb="7" eb="9">
      <t>ジュウライ</t>
    </rPh>
    <rPh sb="9" eb="10">
      <t>ドオ</t>
    </rPh>
    <phoneticPr fontId="1"/>
  </si>
  <si>
    <t>空</t>
    <rPh sb="0" eb="1">
      <t>カラ</t>
    </rPh>
    <phoneticPr fontId="1"/>
  </si>
  <si>
    <t>USH.請求日付 &lt;= [画面.請求期間to]</t>
    <phoneticPr fontId="2"/>
  </si>
  <si>
    <t>USH.請求日付 &gt;= [画面.請求期間from]</t>
    <phoneticPr fontId="2"/>
  </si>
  <si>
    <t>MH.得意先CD = [画面.得意先CD]</t>
    <rPh sb="15" eb="18">
      <t>トクイサキ</t>
    </rPh>
    <phoneticPr fontId="2"/>
  </si>
  <si>
    <t>MH.伝票種類 = [画面.伝票種類]</t>
    <rPh sb="14" eb="18">
      <t>デンピョウシュルイ</t>
    </rPh>
    <phoneticPr fontId="2"/>
  </si>
  <si>
    <t>MH.SM内容区分 = [画面.SM内容区分]</t>
    <phoneticPr fontId="2"/>
  </si>
  <si>
    <t>TK.得意先CD = [画面.得意先CD]</t>
    <phoneticPr fontId="2"/>
  </si>
  <si>
    <t>CASE [画面.並び順区分]</t>
    <phoneticPr fontId="2"/>
  </si>
  <si>
    <t>WHEN 1 THEN CAST(SQL1.他社納品日付 AS VARCHAR)</t>
    <phoneticPr fontId="2"/>
  </si>
  <si>
    <t>WHEN 0 THEN RIGHT('0000000000' + SQL1.他社伝票番号,10)</t>
    <phoneticPr fontId="2"/>
  </si>
  <si>
    <t>END ASC,</t>
    <phoneticPr fontId="2"/>
  </si>
  <si>
    <t>WHEN 0 THEN CAST(SQL1.他社納品日付 AS VARCHAR)</t>
    <phoneticPr fontId="2"/>
  </si>
  <si>
    <t>WHEN 1 THEN RIGHT('0000000000' + SQL1.他社伝票番号,10)</t>
    <phoneticPr fontId="2"/>
  </si>
  <si>
    <t>SQL1.納入先CD,</t>
    <phoneticPr fontId="2"/>
  </si>
  <si>
    <t>SQL1.見積番号</t>
    <phoneticPr fontId="2"/>
  </si>
  <si>
    <t>SQL3.他社伝票番号</t>
    <rPh sb="5" eb="7">
      <t>タシャ</t>
    </rPh>
    <rPh sb="7" eb="9">
      <t>デンピョウ</t>
    </rPh>
    <rPh sb="9" eb="11">
      <t>バンゴウ</t>
    </rPh>
    <phoneticPr fontId="1"/>
  </si>
  <si>
    <t>SQL3.納入先CD</t>
    <rPh sb="5" eb="8">
      <t>ノウニュウサキ</t>
    </rPh>
    <phoneticPr fontId="1"/>
  </si>
  <si>
    <t>SQL3.税抜金額</t>
    <rPh sb="5" eb="9">
      <t>ゼイヌキキンガク</t>
    </rPh>
    <phoneticPr fontId="1"/>
  </si>
  <si>
    <t>SQL3.見積番号</t>
    <rPh sb="5" eb="7">
      <t>ミツモリ</t>
    </rPh>
    <rPh sb="7" eb="9">
      <t>バンゴウ</t>
    </rPh>
    <phoneticPr fontId="1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</si>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</sst>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&quot;¥&quot;#,##0\-;&quot;¥&quot;\-#,##0\-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name val="ＭＳ 明朝"/>
      <family val="1"/>
      <charset val="128"/>
    </font>
    <font>
      <b/>
      <sz val="16"/>
      <name val="ＭＳ 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38" fontId="9" fillId="0" borderId="0" applyFon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15" xfId="0" applyFill="1" applyBorder="1">
      <alignment vertical="center"/>
    </xf>
    <xf numFmtId="49" fontId="10" fillId="0" borderId="43" xfId="1" applyNumberFormat="1" applyFont="1" applyBorder="1" applyAlignment="1"/>
    <xf numFmtId="0" fontId="11" fillId="0" borderId="43" xfId="1" applyFont="1" applyBorder="1" applyAlignment="1"/>
    <xf numFmtId="0" fontId="12" fillId="0" borderId="43" xfId="1" applyFont="1" applyBorder="1" applyAlignment="1"/>
    <xf numFmtId="31" fontId="10" fillId="0" borderId="43" xfId="1" applyNumberFormat="1" applyFont="1" applyBorder="1" applyAlignment="1">
      <alignment horizontal="right"/>
    </xf>
    <xf numFmtId="0" fontId="12" fillId="0" borderId="0" xfId="1" applyFont="1"/>
    <xf numFmtId="0" fontId="12" fillId="0" borderId="0" xfId="1" applyFont="1" applyBorder="1"/>
    <xf numFmtId="0" fontId="13" fillId="0" borderId="0" xfId="1" applyFont="1" applyAlignment="1"/>
    <xf numFmtId="0" fontId="12" fillId="0" borderId="0" xfId="1" applyFont="1" applyAlignment="1"/>
    <xf numFmtId="0" fontId="14" fillId="0" borderId="0" xfId="1" applyFont="1" applyAlignment="1"/>
    <xf numFmtId="0" fontId="13" fillId="0" borderId="43" xfId="1" applyFont="1" applyBorder="1" applyAlignment="1"/>
    <xf numFmtId="0" fontId="14" fillId="0" borderId="0" xfId="1" applyFont="1" applyBorder="1" applyAlignment="1"/>
    <xf numFmtId="0" fontId="10" fillId="0" borderId="0" xfId="1" applyFont="1"/>
    <xf numFmtId="0" fontId="13" fillId="0" borderId="0" xfId="1" applyFont="1"/>
    <xf numFmtId="0" fontId="13" fillId="0" borderId="43" xfId="1" applyFont="1" applyBorder="1"/>
    <xf numFmtId="177" fontId="14" fillId="0" borderId="0" xfId="1" applyNumberFormat="1" applyFont="1" applyBorder="1" applyAlignment="1"/>
    <xf numFmtId="0" fontId="13" fillId="0" borderId="6" xfId="1" applyFont="1" applyBorder="1"/>
    <xf numFmtId="177" fontId="16" fillId="0" borderId="0" xfId="1" applyNumberFormat="1" applyFont="1" applyBorder="1" applyAlignment="1">
      <alignment horizontal="right"/>
    </xf>
    <xf numFmtId="0" fontId="12" fillId="0" borderId="43" xfId="1" applyFont="1" applyBorder="1"/>
    <xf numFmtId="0" fontId="12" fillId="0" borderId="0" xfId="1" applyFont="1" applyBorder="1" applyAlignment="1"/>
    <xf numFmtId="0" fontId="12" fillId="0" borderId="43" xfId="1" applyFont="1" applyBorder="1" applyAlignment="1">
      <alignment horizontal="left"/>
    </xf>
    <xf numFmtId="0" fontId="12" fillId="0" borderId="0" xfId="1" applyFont="1" applyBorder="1" applyAlignment="1">
      <alignment horizontal="left"/>
    </xf>
    <xf numFmtId="0" fontId="12" fillId="0" borderId="6" xfId="1" applyFont="1" applyBorder="1"/>
    <xf numFmtId="0" fontId="12" fillId="0" borderId="6" xfId="1" applyFont="1" applyBorder="1" applyAlignment="1"/>
    <xf numFmtId="0" fontId="10" fillId="0" borderId="6" xfId="1" applyFont="1" applyBorder="1" applyAlignment="1"/>
    <xf numFmtId="0" fontId="10" fillId="0" borderId="0" xfId="1" applyFont="1" applyBorder="1" applyAlignment="1"/>
    <xf numFmtId="0" fontId="10" fillId="0" borderId="43" xfId="1" applyFont="1" applyBorder="1" applyAlignment="1"/>
    <xf numFmtId="0" fontId="12" fillId="0" borderId="0" xfId="1" applyFont="1" applyAlignment="1">
      <alignment horizontal="right"/>
    </xf>
    <xf numFmtId="0" fontId="10" fillId="6" borderId="1" xfId="1" applyFont="1" applyFill="1" applyBorder="1" applyAlignment="1">
      <alignment horizontal="center" vertical="center"/>
    </xf>
    <xf numFmtId="0" fontId="10" fillId="6" borderId="5" xfId="1" applyFont="1" applyFill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10" fillId="0" borderId="1" xfId="1" applyFont="1" applyBorder="1" applyAlignment="1">
      <alignment horizontal="right"/>
    </xf>
    <xf numFmtId="49" fontId="10" fillId="0" borderId="6" xfId="1" applyNumberFormat="1" applyFont="1" applyBorder="1" applyAlignment="1">
      <alignment horizontal="center"/>
    </xf>
    <xf numFmtId="38" fontId="10" fillId="0" borderId="1" xfId="1" applyNumberFormat="1" applyFont="1" applyBorder="1"/>
    <xf numFmtId="38" fontId="10" fillId="0" borderId="7" xfId="1" applyNumberFormat="1" applyFont="1" applyBorder="1"/>
    <xf numFmtId="0" fontId="10" fillId="0" borderId="7" xfId="1" applyFont="1" applyBorder="1" applyAlignment="1">
      <alignment shrinkToFit="1"/>
    </xf>
    <xf numFmtId="49" fontId="10" fillId="0" borderId="5" xfId="1" applyNumberFormat="1" applyFont="1" applyBorder="1" applyAlignment="1">
      <alignment horizontal="center"/>
    </xf>
    <xf numFmtId="49" fontId="10" fillId="0" borderId="1" xfId="1" applyNumberFormat="1" applyFont="1" applyBorder="1" applyAlignment="1">
      <alignment horizontal="center"/>
    </xf>
    <xf numFmtId="0" fontId="3" fillId="2" borderId="58" xfId="0" applyFont="1" applyFill="1" applyBorder="1" applyAlignment="1">
      <alignment horizontal="left"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1" xfId="0" quotePrefix="1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5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8" fillId="2" borderId="2" xfId="0" applyFont="1" applyFill="1" applyBorder="1">
      <alignment vertical="center"/>
    </xf>
    <xf numFmtId="0" fontId="18" fillId="2" borderId="65" xfId="0" applyFont="1" applyFill="1" applyBorder="1">
      <alignment vertical="center"/>
    </xf>
    <xf numFmtId="0" fontId="17" fillId="2" borderId="0" xfId="0" applyFont="1" applyFill="1" applyBorder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65" xfId="0" applyFont="1" applyFill="1" applyBorder="1">
      <alignment vertical="center"/>
    </xf>
    <xf numFmtId="0" fontId="17" fillId="2" borderId="65" xfId="0" quotePrefix="1" applyFont="1" applyFill="1" applyBorder="1">
      <alignment vertical="center"/>
    </xf>
    <xf numFmtId="0" fontId="3" fillId="2" borderId="65" xfId="0" quotePrefix="1" applyFont="1" applyFill="1" applyBorder="1" applyAlignment="1">
      <alignment vertical="center"/>
    </xf>
    <xf numFmtId="0" fontId="3" fillId="2" borderId="69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17" fillId="2" borderId="0" xfId="0" applyFont="1" applyFill="1">
      <alignment vertical="center"/>
    </xf>
    <xf numFmtId="0" fontId="3" fillId="2" borderId="46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63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7" fillId="2" borderId="46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0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2" borderId="6" xfId="0" quotePrefix="1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38" fontId="3" fillId="0" borderId="2" xfId="2" applyFont="1" applyFill="1" applyBorder="1" applyAlignment="1">
      <alignment horizontal="center" vertical="center"/>
    </xf>
    <xf numFmtId="38" fontId="3" fillId="0" borderId="3" xfId="2" applyFont="1" applyFill="1" applyBorder="1" applyAlignment="1">
      <alignment horizontal="center" vertical="center"/>
    </xf>
    <xf numFmtId="38" fontId="3" fillId="0" borderId="4" xfId="2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horizontal="left" vertical="center"/>
    </xf>
    <xf numFmtId="0" fontId="3" fillId="0" borderId="42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14" fontId="3" fillId="2" borderId="53" xfId="0" applyNumberFormat="1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3" borderId="45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10" fillId="0" borderId="5" xfId="1" applyNumberFormat="1" applyFont="1" applyBorder="1" applyAlignment="1">
      <alignment horizontal="center"/>
    </xf>
    <xf numFmtId="0" fontId="12" fillId="0" borderId="7" xfId="1" applyNumberFormat="1" applyFont="1" applyBorder="1" applyAlignment="1">
      <alignment horizontal="center"/>
    </xf>
    <xf numFmtId="0" fontId="10" fillId="6" borderId="5" xfId="1" applyFont="1" applyFill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177" fontId="16" fillId="0" borderId="43" xfId="1" applyNumberFormat="1" applyFont="1" applyBorder="1" applyAlignment="1">
      <alignment horizontal="right"/>
    </xf>
    <xf numFmtId="177" fontId="14" fillId="0" borderId="43" xfId="1" applyNumberFormat="1" applyFont="1" applyBorder="1" applyAlignment="1"/>
    <xf numFmtId="177" fontId="16" fillId="0" borderId="6" xfId="1" applyNumberFormat="1" applyFont="1" applyBorder="1" applyAlignment="1">
      <alignment horizontal="right"/>
    </xf>
  </cellXfs>
  <cellStyles count="3">
    <cellStyle name="桁区切り" xfId="2" builtinId="6"/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246529</xdr:colOff>
      <xdr:row>7</xdr:row>
      <xdr:rowOff>14940</xdr:rowOff>
    </xdr:from>
    <xdr:to>
      <xdr:col>51</xdr:col>
      <xdr:colOff>59764</xdr:colOff>
      <xdr:row>67</xdr:row>
      <xdr:rowOff>173403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4353" y="1419411"/>
          <a:ext cx="12528176" cy="15398463"/>
        </a:xfrm>
        <a:prstGeom prst="rect">
          <a:avLst/>
        </a:prstGeom>
      </xdr:spPr>
    </xdr:pic>
    <xdr:clientData/>
  </xdr:twoCellAnchor>
  <xdr:twoCellAnchor>
    <xdr:from>
      <xdr:col>7</xdr:col>
      <xdr:colOff>178013</xdr:colOff>
      <xdr:row>10</xdr:row>
      <xdr:rowOff>77055</xdr:rowOff>
    </xdr:from>
    <xdr:to>
      <xdr:col>8</xdr:col>
      <xdr:colOff>240765</xdr:colOff>
      <xdr:row>11</xdr:row>
      <xdr:rowOff>151762</xdr:rowOff>
    </xdr:to>
    <xdr:sp macro="" textlink="">
      <xdr:nvSpPr>
        <xdr:cNvPr id="5" name="正方形/長方形 4"/>
        <xdr:cNvSpPr/>
      </xdr:nvSpPr>
      <xdr:spPr>
        <a:xfrm>
          <a:off x="1946942" y="2236055"/>
          <a:ext cx="343966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167127</xdr:colOff>
      <xdr:row>12</xdr:row>
      <xdr:rowOff>29884</xdr:rowOff>
    </xdr:from>
    <xdr:to>
      <xdr:col>8</xdr:col>
      <xdr:colOff>229879</xdr:colOff>
      <xdr:row>13</xdr:row>
      <xdr:rowOff>104591</xdr:rowOff>
    </xdr:to>
    <xdr:sp macro="" textlink="">
      <xdr:nvSpPr>
        <xdr:cNvPr id="6" name="正方形/長方形 5"/>
        <xdr:cNvSpPr/>
      </xdr:nvSpPr>
      <xdr:spPr>
        <a:xfrm>
          <a:off x="1936056" y="2696884"/>
          <a:ext cx="343966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176305</xdr:colOff>
      <xdr:row>8</xdr:row>
      <xdr:rowOff>206616</xdr:rowOff>
    </xdr:from>
    <xdr:to>
      <xdr:col>45</xdr:col>
      <xdr:colOff>234254</xdr:colOff>
      <xdr:row>10</xdr:row>
      <xdr:rowOff>27323</xdr:rowOff>
    </xdr:to>
    <xdr:sp macro="" textlink="">
      <xdr:nvSpPr>
        <xdr:cNvPr id="9" name="正方形/長方形 8"/>
        <xdr:cNvSpPr/>
      </xdr:nvSpPr>
      <xdr:spPr>
        <a:xfrm>
          <a:off x="12144187" y="1865087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3200</xdr:colOff>
      <xdr:row>17</xdr:row>
      <xdr:rowOff>30310</xdr:rowOff>
    </xdr:from>
    <xdr:to>
      <xdr:col>19</xdr:col>
      <xdr:colOff>61149</xdr:colOff>
      <xdr:row>18</xdr:row>
      <xdr:rowOff>105017</xdr:rowOff>
    </xdr:to>
    <xdr:sp macro="" textlink="">
      <xdr:nvSpPr>
        <xdr:cNvPr id="10" name="正方形/長方形 9"/>
        <xdr:cNvSpPr/>
      </xdr:nvSpPr>
      <xdr:spPr>
        <a:xfrm>
          <a:off x="4784376" y="3974781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275129</xdr:colOff>
      <xdr:row>19</xdr:row>
      <xdr:rowOff>10886</xdr:rowOff>
    </xdr:from>
    <xdr:to>
      <xdr:col>19</xdr:col>
      <xdr:colOff>56667</xdr:colOff>
      <xdr:row>20</xdr:row>
      <xdr:rowOff>85593</xdr:rowOff>
    </xdr:to>
    <xdr:sp macro="" textlink="">
      <xdr:nvSpPr>
        <xdr:cNvPr id="12" name="正方形/長方形 11"/>
        <xdr:cNvSpPr/>
      </xdr:nvSpPr>
      <xdr:spPr>
        <a:xfrm>
          <a:off x="4779894" y="4463357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16648</xdr:colOff>
      <xdr:row>20</xdr:row>
      <xdr:rowOff>155815</xdr:rowOff>
    </xdr:from>
    <xdr:to>
      <xdr:col>19</xdr:col>
      <xdr:colOff>74597</xdr:colOff>
      <xdr:row>21</xdr:row>
      <xdr:rowOff>230522</xdr:rowOff>
    </xdr:to>
    <xdr:sp macro="" textlink="">
      <xdr:nvSpPr>
        <xdr:cNvPr id="13" name="正方形/長方形 12"/>
        <xdr:cNvSpPr/>
      </xdr:nvSpPr>
      <xdr:spPr>
        <a:xfrm>
          <a:off x="4797824" y="4862286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28600</xdr:colOff>
      <xdr:row>18</xdr:row>
      <xdr:rowOff>235004</xdr:rowOff>
    </xdr:from>
    <xdr:to>
      <xdr:col>7</xdr:col>
      <xdr:colOff>86549</xdr:colOff>
      <xdr:row>20</xdr:row>
      <xdr:rowOff>55711</xdr:rowOff>
    </xdr:to>
    <xdr:sp macro="" textlink="">
      <xdr:nvSpPr>
        <xdr:cNvPr id="14" name="正方形/長方形 13"/>
        <xdr:cNvSpPr/>
      </xdr:nvSpPr>
      <xdr:spPr>
        <a:xfrm>
          <a:off x="1492835" y="4433475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173528</xdr:colOff>
      <xdr:row>21</xdr:row>
      <xdr:rowOff>163286</xdr:rowOff>
    </xdr:from>
    <xdr:to>
      <xdr:col>14</xdr:col>
      <xdr:colOff>231478</xdr:colOff>
      <xdr:row>22</xdr:row>
      <xdr:rowOff>237993</xdr:rowOff>
    </xdr:to>
    <xdr:sp macro="" textlink="">
      <xdr:nvSpPr>
        <xdr:cNvPr id="15" name="正方形/長方形 14"/>
        <xdr:cNvSpPr/>
      </xdr:nvSpPr>
      <xdr:spPr>
        <a:xfrm>
          <a:off x="3572646" y="5123757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169045</xdr:colOff>
      <xdr:row>23</xdr:row>
      <xdr:rowOff>1921</xdr:rowOff>
    </xdr:from>
    <xdr:to>
      <xdr:col>14</xdr:col>
      <xdr:colOff>226995</xdr:colOff>
      <xdr:row>24</xdr:row>
      <xdr:rowOff>76628</xdr:rowOff>
    </xdr:to>
    <xdr:sp macro="" textlink="">
      <xdr:nvSpPr>
        <xdr:cNvPr id="16" name="正方形/長方形 15"/>
        <xdr:cNvSpPr/>
      </xdr:nvSpPr>
      <xdr:spPr>
        <a:xfrm>
          <a:off x="3568163" y="5470392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134680</xdr:colOff>
      <xdr:row>24</xdr:row>
      <xdr:rowOff>191673</xdr:rowOff>
    </xdr:from>
    <xdr:to>
      <xdr:col>14</xdr:col>
      <xdr:colOff>192630</xdr:colOff>
      <xdr:row>26</xdr:row>
      <xdr:rowOff>12380</xdr:rowOff>
    </xdr:to>
    <xdr:sp macro="" textlink="">
      <xdr:nvSpPr>
        <xdr:cNvPr id="17" name="正方形/長方形 16"/>
        <xdr:cNvSpPr/>
      </xdr:nvSpPr>
      <xdr:spPr>
        <a:xfrm>
          <a:off x="3533798" y="5914144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25610</xdr:colOff>
      <xdr:row>25</xdr:row>
      <xdr:rowOff>232014</xdr:rowOff>
    </xdr:from>
    <xdr:to>
      <xdr:col>16</xdr:col>
      <xdr:colOff>83559</xdr:colOff>
      <xdr:row>27</xdr:row>
      <xdr:rowOff>52721</xdr:rowOff>
    </xdr:to>
    <xdr:sp macro="" textlink="">
      <xdr:nvSpPr>
        <xdr:cNvPr id="18" name="正方形/長方形 17"/>
        <xdr:cNvSpPr/>
      </xdr:nvSpPr>
      <xdr:spPr>
        <a:xfrm>
          <a:off x="3977551" y="6208485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125715</xdr:colOff>
      <xdr:row>26</xdr:row>
      <xdr:rowOff>242473</xdr:rowOff>
    </xdr:from>
    <xdr:to>
      <xdr:col>14</xdr:col>
      <xdr:colOff>183665</xdr:colOff>
      <xdr:row>28</xdr:row>
      <xdr:rowOff>63180</xdr:rowOff>
    </xdr:to>
    <xdr:sp macro="" textlink="">
      <xdr:nvSpPr>
        <xdr:cNvPr id="19" name="正方形/長方形 18"/>
        <xdr:cNvSpPr/>
      </xdr:nvSpPr>
      <xdr:spPr>
        <a:xfrm>
          <a:off x="3524833" y="6472944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68939</xdr:colOff>
      <xdr:row>28</xdr:row>
      <xdr:rowOff>28814</xdr:rowOff>
    </xdr:from>
    <xdr:to>
      <xdr:col>16</xdr:col>
      <xdr:colOff>126888</xdr:colOff>
      <xdr:row>29</xdr:row>
      <xdr:rowOff>103521</xdr:rowOff>
    </xdr:to>
    <xdr:sp macro="" textlink="">
      <xdr:nvSpPr>
        <xdr:cNvPr id="20" name="正方形/長方形 19"/>
        <xdr:cNvSpPr/>
      </xdr:nvSpPr>
      <xdr:spPr>
        <a:xfrm>
          <a:off x="4020880" y="6767285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56985</xdr:colOff>
      <xdr:row>26</xdr:row>
      <xdr:rowOff>158802</xdr:rowOff>
    </xdr:from>
    <xdr:to>
      <xdr:col>31</xdr:col>
      <xdr:colOff>114935</xdr:colOff>
      <xdr:row>27</xdr:row>
      <xdr:rowOff>233509</xdr:rowOff>
    </xdr:to>
    <xdr:sp macro="" textlink="">
      <xdr:nvSpPr>
        <xdr:cNvPr id="21" name="正方形/長方形 20"/>
        <xdr:cNvSpPr/>
      </xdr:nvSpPr>
      <xdr:spPr>
        <a:xfrm>
          <a:off x="8155103" y="6389273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59973</xdr:colOff>
      <xdr:row>28</xdr:row>
      <xdr:rowOff>12378</xdr:rowOff>
    </xdr:from>
    <xdr:to>
      <xdr:col>31</xdr:col>
      <xdr:colOff>117923</xdr:colOff>
      <xdr:row>29</xdr:row>
      <xdr:rowOff>87085</xdr:rowOff>
    </xdr:to>
    <xdr:sp macro="" textlink="">
      <xdr:nvSpPr>
        <xdr:cNvPr id="22" name="正方形/長方形 21"/>
        <xdr:cNvSpPr/>
      </xdr:nvSpPr>
      <xdr:spPr>
        <a:xfrm>
          <a:off x="8158091" y="6750849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201915</xdr:colOff>
      <xdr:row>19</xdr:row>
      <xdr:rowOff>34790</xdr:rowOff>
    </xdr:from>
    <xdr:to>
      <xdr:col>32</xdr:col>
      <xdr:colOff>259864</xdr:colOff>
      <xdr:row>20</xdr:row>
      <xdr:rowOff>109497</xdr:rowOff>
    </xdr:to>
    <xdr:sp macro="" textlink="">
      <xdr:nvSpPr>
        <xdr:cNvPr id="23" name="正方形/長方形 22"/>
        <xdr:cNvSpPr/>
      </xdr:nvSpPr>
      <xdr:spPr>
        <a:xfrm>
          <a:off x="8576444" y="4487261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107786</xdr:colOff>
      <xdr:row>32</xdr:row>
      <xdr:rowOff>246954</xdr:rowOff>
    </xdr:from>
    <xdr:to>
      <xdr:col>8</xdr:col>
      <xdr:colOff>165735</xdr:colOff>
      <xdr:row>34</xdr:row>
      <xdr:rowOff>67661</xdr:rowOff>
    </xdr:to>
    <xdr:sp macro="" textlink="">
      <xdr:nvSpPr>
        <xdr:cNvPr id="24" name="正方形/長方形 23"/>
        <xdr:cNvSpPr/>
      </xdr:nvSpPr>
      <xdr:spPr>
        <a:xfrm>
          <a:off x="1848433" y="8001425"/>
          <a:ext cx="334361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0</xdr:col>
      <xdr:colOff>0</xdr:colOff>
      <xdr:row>37</xdr:row>
      <xdr:rowOff>227530</xdr:rowOff>
    </xdr:from>
    <xdr:to>
      <xdr:col>0</xdr:col>
      <xdr:colOff>0</xdr:colOff>
      <xdr:row>39</xdr:row>
      <xdr:rowOff>48237</xdr:rowOff>
    </xdr:to>
    <xdr:sp macro="" textlink="">
      <xdr:nvSpPr>
        <xdr:cNvPr id="25" name="正方形/長方形 24"/>
        <xdr:cNvSpPr/>
      </xdr:nvSpPr>
      <xdr:spPr>
        <a:xfrm>
          <a:off x="0" y="9252001"/>
          <a:ext cx="0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197433</xdr:colOff>
      <xdr:row>33</xdr:row>
      <xdr:rowOff>9496</xdr:rowOff>
    </xdr:from>
    <xdr:to>
      <xdr:col>15</xdr:col>
      <xdr:colOff>255382</xdr:colOff>
      <xdr:row>34</xdr:row>
      <xdr:rowOff>84203</xdr:rowOff>
    </xdr:to>
    <xdr:sp macro="" textlink="">
      <xdr:nvSpPr>
        <xdr:cNvPr id="26" name="正方形/長方形 25"/>
        <xdr:cNvSpPr/>
      </xdr:nvSpPr>
      <xdr:spPr>
        <a:xfrm>
          <a:off x="3934862" y="8010496"/>
          <a:ext cx="339163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195224</xdr:colOff>
      <xdr:row>33</xdr:row>
      <xdr:rowOff>7288</xdr:rowOff>
    </xdr:from>
    <xdr:to>
      <xdr:col>19</xdr:col>
      <xdr:colOff>253173</xdr:colOff>
      <xdr:row>34</xdr:row>
      <xdr:rowOff>81995</xdr:rowOff>
    </xdr:to>
    <xdr:sp macro="" textlink="">
      <xdr:nvSpPr>
        <xdr:cNvPr id="27" name="正方形/長方形 26"/>
        <xdr:cNvSpPr/>
      </xdr:nvSpPr>
      <xdr:spPr>
        <a:xfrm>
          <a:off x="5065398" y="8013810"/>
          <a:ext cx="339558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259276</xdr:colOff>
      <xdr:row>32</xdr:row>
      <xdr:rowOff>248036</xdr:rowOff>
    </xdr:from>
    <xdr:to>
      <xdr:col>25</xdr:col>
      <xdr:colOff>35616</xdr:colOff>
      <xdr:row>34</xdr:row>
      <xdr:rowOff>68743</xdr:rowOff>
    </xdr:to>
    <xdr:sp macro="" textlink="">
      <xdr:nvSpPr>
        <xdr:cNvPr id="28" name="正方形/長方形 27"/>
        <xdr:cNvSpPr/>
      </xdr:nvSpPr>
      <xdr:spPr>
        <a:xfrm>
          <a:off x="6537493" y="8000558"/>
          <a:ext cx="339558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212892</xdr:colOff>
      <xdr:row>32</xdr:row>
      <xdr:rowOff>245827</xdr:rowOff>
    </xdr:from>
    <xdr:to>
      <xdr:col>30</xdr:col>
      <xdr:colOff>270842</xdr:colOff>
      <xdr:row>34</xdr:row>
      <xdr:rowOff>66534</xdr:rowOff>
    </xdr:to>
    <xdr:sp macro="" textlink="">
      <xdr:nvSpPr>
        <xdr:cNvPr id="29" name="正方形/長方形 28"/>
        <xdr:cNvSpPr/>
      </xdr:nvSpPr>
      <xdr:spPr>
        <a:xfrm>
          <a:off x="8180762" y="7998349"/>
          <a:ext cx="339558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188597</xdr:colOff>
      <xdr:row>32</xdr:row>
      <xdr:rowOff>249140</xdr:rowOff>
    </xdr:from>
    <xdr:to>
      <xdr:col>35</xdr:col>
      <xdr:colOff>246546</xdr:colOff>
      <xdr:row>34</xdr:row>
      <xdr:rowOff>69847</xdr:rowOff>
    </xdr:to>
    <xdr:sp macro="" textlink="">
      <xdr:nvSpPr>
        <xdr:cNvPr id="30" name="正方形/長方形 29"/>
        <xdr:cNvSpPr/>
      </xdr:nvSpPr>
      <xdr:spPr>
        <a:xfrm>
          <a:off x="9564510" y="8001662"/>
          <a:ext cx="339558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131171</xdr:colOff>
      <xdr:row>32</xdr:row>
      <xdr:rowOff>246931</xdr:rowOff>
    </xdr:from>
    <xdr:to>
      <xdr:col>46</xdr:col>
      <xdr:colOff>189121</xdr:colOff>
      <xdr:row>34</xdr:row>
      <xdr:rowOff>67638</xdr:rowOff>
    </xdr:to>
    <xdr:sp macro="" textlink="">
      <xdr:nvSpPr>
        <xdr:cNvPr id="31" name="正方形/長方形 30"/>
        <xdr:cNvSpPr/>
      </xdr:nvSpPr>
      <xdr:spPr>
        <a:xfrm>
          <a:off x="12604780" y="7999453"/>
          <a:ext cx="339558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2</xdr:row>
      <xdr:rowOff>231775</xdr:rowOff>
    </xdr:from>
    <xdr:to>
      <xdr:col>5</xdr:col>
      <xdr:colOff>257294</xdr:colOff>
      <xdr:row>4</xdr:row>
      <xdr:rowOff>38172</xdr:rowOff>
    </xdr:to>
    <xdr:sp macro="" textlink="">
      <xdr:nvSpPr>
        <xdr:cNvPr id="2" name="Text Box 8"/>
        <xdr:cNvSpPr txBox="1">
          <a:spLocks noChangeArrowheads="1"/>
        </xdr:cNvSpPr>
      </xdr:nvSpPr>
      <xdr:spPr bwMode="auto">
        <a:xfrm>
          <a:off x="3740150" y="676275"/>
          <a:ext cx="485894" cy="288997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殿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1363980</xdr:colOff>
          <xdr:row>4</xdr:row>
          <xdr:rowOff>60960</xdr:rowOff>
        </xdr:from>
        <xdr:to>
          <xdr:col>7</xdr:col>
          <xdr:colOff>426720</xdr:colOff>
          <xdr:row>8</xdr:row>
          <xdr:rowOff>182880</xdr:rowOff>
        </xdr:to>
        <xdr:sp macro="" textlink="">
          <xdr:nvSpPr>
            <xdr:cNvPr id="7169" name="inei1_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0</xdr:colOff>
      <xdr:row>5</xdr:row>
      <xdr:rowOff>139700</xdr:rowOff>
    </xdr:from>
    <xdr:to>
      <xdr:col>6</xdr:col>
      <xdr:colOff>1663700</xdr:colOff>
      <xdr:row>8</xdr:row>
      <xdr:rowOff>57150</xdr:rowOff>
    </xdr:to>
    <xdr:grpSp>
      <xdr:nvGrpSpPr>
        <xdr:cNvPr id="4" name="グループ化 2"/>
        <xdr:cNvGrpSpPr>
          <a:grpSpLocks/>
        </xdr:cNvGrpSpPr>
      </xdr:nvGrpSpPr>
      <xdr:grpSpPr bwMode="auto">
        <a:xfrm>
          <a:off x="3970020" y="1160780"/>
          <a:ext cx="2197100" cy="580390"/>
          <a:chOff x="6648450" y="1098135"/>
          <a:chExt cx="2724150" cy="662648"/>
        </a:xfrm>
      </xdr:grpSpPr>
      <xdr:pic>
        <xdr:nvPicPr>
          <xdr:cNvPr id="5" name="図 1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648450" y="1098135"/>
            <a:ext cx="1718309" cy="6376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" name="図 15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83779" y="1101622"/>
            <a:ext cx="1579246" cy="3437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図 16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66635" y="1472822"/>
            <a:ext cx="2005965" cy="2879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429621</xdr:colOff>
      <xdr:row>45</xdr:row>
      <xdr:rowOff>39509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35221" cy="10097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73" t="s">
        <v>0</v>
      </c>
      <c r="C2" s="174"/>
      <c r="D2" s="174"/>
      <c r="E2" s="174"/>
      <c r="F2" s="174"/>
      <c r="G2" s="174"/>
      <c r="H2" s="174" t="s">
        <v>17</v>
      </c>
      <c r="I2" s="174"/>
      <c r="J2" s="174"/>
      <c r="K2" s="174"/>
      <c r="L2" s="174" t="s">
        <v>263</v>
      </c>
      <c r="M2" s="174"/>
      <c r="N2" s="174"/>
      <c r="O2" s="174"/>
      <c r="P2" s="174"/>
      <c r="Q2" s="174"/>
      <c r="R2" s="174" t="s">
        <v>2</v>
      </c>
      <c r="S2" s="174"/>
      <c r="T2" s="174"/>
      <c r="U2" s="174"/>
      <c r="V2" s="174"/>
      <c r="W2" s="174"/>
      <c r="X2" s="175" t="s">
        <v>3</v>
      </c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7"/>
      <c r="AK2" s="175" t="s">
        <v>31</v>
      </c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7"/>
      <c r="AX2" s="174" t="s">
        <v>5</v>
      </c>
      <c r="AY2" s="174"/>
      <c r="AZ2" s="174"/>
      <c r="BA2" s="174"/>
      <c r="BB2" s="174" t="s">
        <v>4</v>
      </c>
      <c r="BC2" s="174"/>
      <c r="BD2" s="174"/>
      <c r="BE2" s="174"/>
      <c r="BF2" s="174" t="s">
        <v>6</v>
      </c>
      <c r="BG2" s="174"/>
      <c r="BH2" s="174"/>
      <c r="BI2" s="174"/>
      <c r="BJ2" s="174" t="s">
        <v>7</v>
      </c>
      <c r="BK2" s="174"/>
      <c r="BL2" s="174"/>
      <c r="BM2" s="188"/>
      <c r="BN2" s="14"/>
    </row>
    <row r="3" spans="1:66" ht="20.100000000000001" customHeight="1" x14ac:dyDescent="0.45">
      <c r="A3" s="8"/>
      <c r="B3" s="178" t="s">
        <v>261</v>
      </c>
      <c r="C3" s="179"/>
      <c r="D3" s="179"/>
      <c r="E3" s="179"/>
      <c r="F3" s="179"/>
      <c r="G3" s="179"/>
      <c r="H3" s="179" t="str">
        <f ca="1">LEFT($X$3,FIND("_",$X$3)-1)</f>
        <v>SU0700</v>
      </c>
      <c r="I3" s="179"/>
      <c r="J3" s="179"/>
      <c r="K3" s="179"/>
      <c r="L3" s="179" t="s">
        <v>262</v>
      </c>
      <c r="M3" s="179"/>
      <c r="N3" s="179"/>
      <c r="O3" s="179"/>
      <c r="P3" s="179"/>
      <c r="Q3" s="179"/>
      <c r="R3" s="182" t="str">
        <f ca="1">MID($X$3,FIND("_",$X$3,FIND("_",$X$3)+1)+1,LEN($X$3)-FIND("_",$X$3,FIND("_",$X$3)+1))</f>
        <v>帳票設計書</v>
      </c>
      <c r="S3" s="179"/>
      <c r="T3" s="179"/>
      <c r="U3" s="179"/>
      <c r="V3" s="179"/>
      <c r="W3" s="179"/>
      <c r="X3" s="183" t="str">
        <f ca="1">REPLACE(LEFT(CELL("filename",$B$2),FIND(".x",CELL("filename",$B$2))-1),1,FIND("[",CELL("filename",$B$2)),)</f>
        <v>SU0700_しまむら直納伝票請求書_帳票設計書</v>
      </c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0"/>
      <c r="AK3" s="183" t="str">
        <f ca="1">MID($X$3,FIND("_",$X$3)+1,FIND("_",$X$3,FIND("_",$X$3)+1)-FIND("_",$X$3)-1)</f>
        <v>しまむら直納伝票請求書</v>
      </c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0"/>
      <c r="AX3" s="190">
        <v>45581</v>
      </c>
      <c r="AY3" s="179"/>
      <c r="AZ3" s="179"/>
      <c r="BA3" s="179"/>
      <c r="BB3" s="179" t="s">
        <v>264</v>
      </c>
      <c r="BC3" s="179"/>
      <c r="BD3" s="179"/>
      <c r="BE3" s="179"/>
      <c r="BF3" s="190">
        <v>45581</v>
      </c>
      <c r="BG3" s="179"/>
      <c r="BH3" s="179"/>
      <c r="BI3" s="179"/>
      <c r="BJ3" s="179" t="s">
        <v>265</v>
      </c>
      <c r="BK3" s="179"/>
      <c r="BL3" s="179"/>
      <c r="BM3" s="191"/>
      <c r="BN3" s="14"/>
    </row>
    <row r="4" spans="1:66" ht="20.100000000000001" customHeight="1" thickBot="1" x14ac:dyDescent="0.5">
      <c r="A4" s="8"/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M4" s="18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89" t="s">
        <v>8</v>
      </c>
      <c r="D8" s="189"/>
      <c r="E8" s="189"/>
      <c r="F8" s="189"/>
      <c r="G8" s="189" t="s">
        <v>9</v>
      </c>
      <c r="H8" s="189"/>
      <c r="I8" s="189"/>
      <c r="J8" s="189"/>
      <c r="K8" s="189" t="s">
        <v>10</v>
      </c>
      <c r="L8" s="189"/>
      <c r="M8" s="189"/>
      <c r="N8" s="189"/>
      <c r="O8" s="189" t="s">
        <v>11</v>
      </c>
      <c r="P8" s="189"/>
      <c r="Q8" s="189"/>
      <c r="R8" s="189"/>
      <c r="S8" s="189"/>
      <c r="T8" s="189"/>
      <c r="U8" s="189"/>
      <c r="V8" s="189"/>
      <c r="W8" s="189"/>
      <c r="X8" s="189"/>
      <c r="Y8" s="189" t="s">
        <v>12</v>
      </c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189"/>
      <c r="BD8" s="189"/>
      <c r="BE8" s="189"/>
      <c r="BF8" s="189"/>
      <c r="BG8" s="189"/>
      <c r="BH8" s="189"/>
      <c r="BI8" s="189"/>
      <c r="BJ8" s="189"/>
      <c r="BK8" s="189"/>
      <c r="BL8" s="189"/>
      <c r="BM8" s="7"/>
      <c r="BN8" s="14"/>
    </row>
    <row r="9" spans="1:66" ht="20.100000000000001" customHeight="1" x14ac:dyDescent="0.45">
      <c r="A9" s="8"/>
      <c r="B9" s="7"/>
      <c r="C9" s="192">
        <v>45581</v>
      </c>
      <c r="D9" s="193"/>
      <c r="E9" s="193"/>
      <c r="F9" s="194"/>
      <c r="G9" s="195" t="s">
        <v>16</v>
      </c>
      <c r="H9" s="196"/>
      <c r="I9" s="196"/>
      <c r="J9" s="197"/>
      <c r="K9" s="198" t="s">
        <v>265</v>
      </c>
      <c r="L9" s="193"/>
      <c r="M9" s="193"/>
      <c r="N9" s="194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92"/>
      <c r="D10" s="193"/>
      <c r="E10" s="193"/>
      <c r="F10" s="194"/>
      <c r="G10" s="195"/>
      <c r="H10" s="196"/>
      <c r="I10" s="196"/>
      <c r="J10" s="197"/>
      <c r="K10" s="198"/>
      <c r="L10" s="193"/>
      <c r="M10" s="193"/>
      <c r="N10" s="19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92"/>
      <c r="D11" s="193"/>
      <c r="E11" s="193"/>
      <c r="F11" s="194"/>
      <c r="G11" s="195"/>
      <c r="H11" s="196"/>
      <c r="I11" s="196"/>
      <c r="J11" s="197"/>
      <c r="K11" s="198"/>
      <c r="L11" s="193"/>
      <c r="M11" s="193"/>
      <c r="N11" s="19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92"/>
      <c r="D36" s="193"/>
      <c r="E36" s="193"/>
      <c r="F36" s="194"/>
      <c r="G36" s="195"/>
      <c r="H36" s="196"/>
      <c r="I36" s="196"/>
      <c r="J36" s="197"/>
      <c r="K36" s="198"/>
      <c r="L36" s="193"/>
      <c r="M36" s="193"/>
      <c r="N36" s="19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92"/>
      <c r="D37" s="193"/>
      <c r="E37" s="193"/>
      <c r="F37" s="194"/>
      <c r="G37" s="195"/>
      <c r="H37" s="196"/>
      <c r="I37" s="196"/>
      <c r="J37" s="197"/>
      <c r="K37" s="198"/>
      <c r="L37" s="193"/>
      <c r="M37" s="193"/>
      <c r="N37" s="19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92"/>
      <c r="D38" s="193"/>
      <c r="E38" s="193"/>
      <c r="F38" s="194"/>
      <c r="G38" s="195"/>
      <c r="H38" s="196"/>
      <c r="I38" s="196"/>
      <c r="J38" s="197"/>
      <c r="K38" s="198"/>
      <c r="L38" s="193"/>
      <c r="M38" s="193"/>
      <c r="N38" s="19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92"/>
      <c r="D39" s="193"/>
      <c r="E39" s="193"/>
      <c r="F39" s="194"/>
      <c r="G39" s="195"/>
      <c r="H39" s="196"/>
      <c r="I39" s="196"/>
      <c r="J39" s="197"/>
      <c r="K39" s="198"/>
      <c r="L39" s="193"/>
      <c r="M39" s="193"/>
      <c r="N39" s="19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92"/>
      <c r="D40" s="193"/>
      <c r="E40" s="193"/>
      <c r="F40" s="194"/>
      <c r="G40" s="195"/>
      <c r="H40" s="196"/>
      <c r="I40" s="196"/>
      <c r="J40" s="197"/>
      <c r="K40" s="198"/>
      <c r="L40" s="193"/>
      <c r="M40" s="193"/>
      <c r="N40" s="19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92"/>
      <c r="D41" s="193"/>
      <c r="E41" s="193"/>
      <c r="F41" s="194"/>
      <c r="G41" s="195"/>
      <c r="H41" s="196"/>
      <c r="I41" s="196"/>
      <c r="J41" s="197"/>
      <c r="K41" s="198"/>
      <c r="L41" s="193"/>
      <c r="M41" s="193"/>
      <c r="N41" s="19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92"/>
      <c r="D42" s="193"/>
      <c r="E42" s="193"/>
      <c r="F42" s="194"/>
      <c r="G42" s="195"/>
      <c r="H42" s="196"/>
      <c r="I42" s="196"/>
      <c r="J42" s="197"/>
      <c r="K42" s="198"/>
      <c r="L42" s="193"/>
      <c r="M42" s="193"/>
      <c r="N42" s="19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92"/>
      <c r="D43" s="193"/>
      <c r="E43" s="193"/>
      <c r="F43" s="194"/>
      <c r="G43" s="195"/>
      <c r="H43" s="196"/>
      <c r="I43" s="196"/>
      <c r="J43" s="197"/>
      <c r="K43" s="198"/>
      <c r="L43" s="193"/>
      <c r="M43" s="193"/>
      <c r="N43" s="19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92"/>
      <c r="D44" s="193"/>
      <c r="E44" s="193"/>
      <c r="F44" s="194"/>
      <c r="G44" s="195"/>
      <c r="H44" s="196"/>
      <c r="I44" s="196"/>
      <c r="J44" s="197"/>
      <c r="K44" s="198"/>
      <c r="L44" s="193"/>
      <c r="M44" s="193"/>
      <c r="N44" s="19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92"/>
      <c r="D45" s="193"/>
      <c r="E45" s="193"/>
      <c r="F45" s="194"/>
      <c r="G45" s="195"/>
      <c r="H45" s="196"/>
      <c r="I45" s="196"/>
      <c r="J45" s="197"/>
      <c r="K45" s="198"/>
      <c r="L45" s="193"/>
      <c r="M45" s="193"/>
      <c r="N45" s="19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92"/>
      <c r="D46" s="193"/>
      <c r="E46" s="193"/>
      <c r="F46" s="194"/>
      <c r="G46" s="195"/>
      <c r="H46" s="196"/>
      <c r="I46" s="196"/>
      <c r="J46" s="197"/>
      <c r="K46" s="198"/>
      <c r="L46" s="193"/>
      <c r="M46" s="193"/>
      <c r="N46" s="19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92"/>
      <c r="D47" s="193"/>
      <c r="E47" s="193"/>
      <c r="F47" s="194"/>
      <c r="G47" s="195"/>
      <c r="H47" s="196"/>
      <c r="I47" s="196"/>
      <c r="J47" s="197"/>
      <c r="K47" s="198"/>
      <c r="L47" s="193"/>
      <c r="M47" s="193"/>
      <c r="N47" s="19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>
      <selection activeCell="B3" sqref="B3:G4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73" t="s">
        <v>0</v>
      </c>
      <c r="C2" s="174"/>
      <c r="D2" s="174"/>
      <c r="E2" s="174"/>
      <c r="F2" s="174"/>
      <c r="G2" s="174"/>
      <c r="H2" s="174" t="s">
        <v>17</v>
      </c>
      <c r="I2" s="174"/>
      <c r="J2" s="174"/>
      <c r="K2" s="174"/>
      <c r="L2" s="174" t="s">
        <v>263</v>
      </c>
      <c r="M2" s="174"/>
      <c r="N2" s="174"/>
      <c r="O2" s="174"/>
      <c r="P2" s="174"/>
      <c r="Q2" s="174"/>
      <c r="R2" s="174" t="s">
        <v>2</v>
      </c>
      <c r="S2" s="174"/>
      <c r="T2" s="174"/>
      <c r="U2" s="174"/>
      <c r="V2" s="174"/>
      <c r="W2" s="174"/>
      <c r="X2" s="175" t="s">
        <v>3</v>
      </c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7"/>
      <c r="AK2" s="175" t="s">
        <v>32</v>
      </c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7"/>
      <c r="AX2" s="174" t="s">
        <v>5</v>
      </c>
      <c r="AY2" s="174"/>
      <c r="AZ2" s="174"/>
      <c r="BA2" s="174"/>
      <c r="BB2" s="174" t="s">
        <v>4</v>
      </c>
      <c r="BC2" s="174"/>
      <c r="BD2" s="174"/>
      <c r="BE2" s="174"/>
      <c r="BF2" s="174" t="s">
        <v>6</v>
      </c>
      <c r="BG2" s="174"/>
      <c r="BH2" s="174"/>
      <c r="BI2" s="174"/>
      <c r="BJ2" s="174" t="s">
        <v>7</v>
      </c>
      <c r="BK2" s="174"/>
      <c r="BL2" s="174"/>
      <c r="BM2" s="188"/>
      <c r="BN2" s="35"/>
    </row>
    <row r="3" spans="1:66" ht="20.100000000000001" customHeight="1" x14ac:dyDescent="0.45">
      <c r="A3" s="32"/>
      <c r="B3" s="178" t="str">
        <f>変更履歴!B3</f>
        <v>受発注システム</v>
      </c>
      <c r="C3" s="179"/>
      <c r="D3" s="179"/>
      <c r="E3" s="179"/>
      <c r="F3" s="179"/>
      <c r="G3" s="179"/>
      <c r="H3" s="179" t="str">
        <f ca="1">変更履歴!H3</f>
        <v>SU0700</v>
      </c>
      <c r="I3" s="179"/>
      <c r="J3" s="179"/>
      <c r="K3" s="179"/>
      <c r="L3" s="179" t="str">
        <f>変更履歴!L3</f>
        <v>受発注</v>
      </c>
      <c r="M3" s="179"/>
      <c r="N3" s="179"/>
      <c r="O3" s="179"/>
      <c r="P3" s="179"/>
      <c r="Q3" s="179"/>
      <c r="R3" s="179" t="str">
        <f ca="1">変更履歴!R3</f>
        <v>帳票設計書</v>
      </c>
      <c r="S3" s="179"/>
      <c r="T3" s="179"/>
      <c r="U3" s="179"/>
      <c r="V3" s="179"/>
      <c r="W3" s="179"/>
      <c r="X3" s="183" t="str">
        <f ca="1">変更履歴!X3</f>
        <v>SU0700_しまむら直納伝票請求書_帳票設計書</v>
      </c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0"/>
      <c r="AK3" s="183" t="str">
        <f ca="1">変更履歴!AK3</f>
        <v>しまむら直納伝票請求書</v>
      </c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0"/>
      <c r="AX3" s="190">
        <f>変更履歴!AX3</f>
        <v>45581</v>
      </c>
      <c r="AY3" s="190"/>
      <c r="AZ3" s="190"/>
      <c r="BA3" s="190"/>
      <c r="BB3" s="179" t="str">
        <f>変更履歴!BB3</f>
        <v>大谷</v>
      </c>
      <c r="BC3" s="179"/>
      <c r="BD3" s="179"/>
      <c r="BE3" s="179"/>
      <c r="BF3" s="190">
        <f>変更履歴!BF3</f>
        <v>45581</v>
      </c>
      <c r="BG3" s="190"/>
      <c r="BH3" s="190"/>
      <c r="BI3" s="190"/>
      <c r="BJ3" s="179" t="str">
        <f>変更履歴!BJ3</f>
        <v>大谷</v>
      </c>
      <c r="BK3" s="179"/>
      <c r="BL3" s="179"/>
      <c r="BM3" s="191"/>
      <c r="BN3" s="35"/>
    </row>
    <row r="4" spans="1:66" ht="20.100000000000001" customHeight="1" thickBot="1" x14ac:dyDescent="0.5">
      <c r="A4" s="32"/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99"/>
      <c r="AY4" s="199"/>
      <c r="AZ4" s="199"/>
      <c r="BA4" s="199"/>
      <c r="BB4" s="181"/>
      <c r="BC4" s="181"/>
      <c r="BD4" s="181"/>
      <c r="BE4" s="181"/>
      <c r="BF4" s="199"/>
      <c r="BG4" s="199"/>
      <c r="BH4" s="199"/>
      <c r="BI4" s="199"/>
      <c r="BJ4" s="181"/>
      <c r="BK4" s="181"/>
      <c r="BL4" s="181"/>
      <c r="BM4" s="183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しまむら直納伝票請求書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120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121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160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122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122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122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122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161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7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3" t="s">
        <v>0</v>
      </c>
      <c r="C2" s="174"/>
      <c r="D2" s="174"/>
      <c r="E2" s="174"/>
      <c r="F2" s="174"/>
      <c r="G2" s="174"/>
      <c r="H2" s="174" t="s">
        <v>17</v>
      </c>
      <c r="I2" s="174"/>
      <c r="J2" s="174"/>
      <c r="K2" s="174"/>
      <c r="L2" s="174" t="s">
        <v>263</v>
      </c>
      <c r="M2" s="174"/>
      <c r="N2" s="174"/>
      <c r="O2" s="174"/>
      <c r="P2" s="174"/>
      <c r="Q2" s="174"/>
      <c r="R2" s="174" t="s">
        <v>2</v>
      </c>
      <c r="S2" s="174"/>
      <c r="T2" s="174"/>
      <c r="U2" s="174"/>
      <c r="V2" s="174"/>
      <c r="W2" s="174"/>
      <c r="X2" s="175" t="s">
        <v>3</v>
      </c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7"/>
      <c r="AK2" s="175" t="s">
        <v>32</v>
      </c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7"/>
      <c r="AX2" s="174" t="s">
        <v>5</v>
      </c>
      <c r="AY2" s="174"/>
      <c r="AZ2" s="174"/>
      <c r="BA2" s="174"/>
      <c r="BB2" s="174" t="s">
        <v>4</v>
      </c>
      <c r="BC2" s="174"/>
      <c r="BD2" s="174"/>
      <c r="BE2" s="174"/>
      <c r="BF2" s="174" t="s">
        <v>6</v>
      </c>
      <c r="BG2" s="174"/>
      <c r="BH2" s="174"/>
      <c r="BI2" s="174"/>
      <c r="BJ2" s="174" t="s">
        <v>7</v>
      </c>
      <c r="BK2" s="174"/>
      <c r="BL2" s="174"/>
      <c r="BM2" s="188"/>
      <c r="BN2" s="15"/>
    </row>
    <row r="3" spans="1:66" ht="20.100000000000001" customHeight="1" x14ac:dyDescent="0.45">
      <c r="A3" s="9"/>
      <c r="B3" s="178" t="str">
        <f>変更履歴!B3</f>
        <v>受発注システム</v>
      </c>
      <c r="C3" s="179"/>
      <c r="D3" s="179"/>
      <c r="E3" s="179"/>
      <c r="F3" s="179"/>
      <c r="G3" s="179"/>
      <c r="H3" s="179" t="str">
        <f ca="1">変更履歴!H3</f>
        <v>SU0700</v>
      </c>
      <c r="I3" s="179"/>
      <c r="J3" s="179"/>
      <c r="K3" s="179"/>
      <c r="L3" s="179" t="str">
        <f>変更履歴!L3</f>
        <v>受発注</v>
      </c>
      <c r="M3" s="179"/>
      <c r="N3" s="179"/>
      <c r="O3" s="179"/>
      <c r="P3" s="179"/>
      <c r="Q3" s="179"/>
      <c r="R3" s="179" t="str">
        <f ca="1">変更履歴!R3</f>
        <v>帳票設計書</v>
      </c>
      <c r="S3" s="179"/>
      <c r="T3" s="179"/>
      <c r="U3" s="179"/>
      <c r="V3" s="179"/>
      <c r="W3" s="179"/>
      <c r="X3" s="183" t="str">
        <f ca="1">変更履歴!X3</f>
        <v>SU0700_しまむら直納伝票請求書_帳票設計書</v>
      </c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0"/>
      <c r="AK3" s="183" t="str">
        <f ca="1">変更履歴!AK3</f>
        <v>しまむら直納伝票請求書</v>
      </c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0"/>
      <c r="AX3" s="190">
        <f>変更履歴!AX3</f>
        <v>45581</v>
      </c>
      <c r="AY3" s="190"/>
      <c r="AZ3" s="190"/>
      <c r="BA3" s="190"/>
      <c r="BB3" s="179" t="str">
        <f>変更履歴!BB3</f>
        <v>大谷</v>
      </c>
      <c r="BC3" s="179"/>
      <c r="BD3" s="179"/>
      <c r="BE3" s="179"/>
      <c r="BF3" s="190">
        <f>変更履歴!BF3</f>
        <v>45581</v>
      </c>
      <c r="BG3" s="190"/>
      <c r="BH3" s="190"/>
      <c r="BI3" s="190"/>
      <c r="BJ3" s="179" t="str">
        <f>変更履歴!BJ3</f>
        <v>大谷</v>
      </c>
      <c r="BK3" s="179"/>
      <c r="BL3" s="179"/>
      <c r="BM3" s="191"/>
      <c r="BN3" s="15"/>
    </row>
    <row r="4" spans="1:66" ht="20.100000000000001" customHeight="1" thickBot="1" x14ac:dyDescent="0.5">
      <c r="A4" s="9"/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99"/>
      <c r="AY4" s="199"/>
      <c r="AZ4" s="199"/>
      <c r="BA4" s="199"/>
      <c r="BB4" s="181"/>
      <c r="BC4" s="181"/>
      <c r="BD4" s="181"/>
      <c r="BE4" s="181"/>
      <c r="BF4" s="199"/>
      <c r="BG4" s="199"/>
      <c r="BH4" s="199"/>
      <c r="BI4" s="199"/>
      <c r="BJ4" s="181"/>
      <c r="BK4" s="181"/>
      <c r="BL4" s="181"/>
      <c r="BM4" s="183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29"/>
      <c r="BH15" s="29"/>
      <c r="BI15" s="29"/>
      <c r="BJ15" s="29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29"/>
      <c r="BH16" s="29"/>
      <c r="BI16" s="29"/>
      <c r="BJ16" s="29"/>
      <c r="BK16" s="31"/>
      <c r="BL16" s="31"/>
      <c r="BM16" s="31"/>
      <c r="BN16" s="35"/>
    </row>
    <row r="17" spans="1:66" ht="20.100000000000001" customHeight="1" x14ac:dyDescent="0.45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29"/>
      <c r="BH17" s="29"/>
      <c r="BI17" s="29"/>
      <c r="BJ17" s="29"/>
      <c r="BK17" s="31"/>
      <c r="BL17" s="31"/>
      <c r="BM17" s="31"/>
      <c r="BN17" s="35"/>
    </row>
    <row r="18" spans="1:66" ht="20.100000000000001" customHeight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29"/>
      <c r="BH18" s="29"/>
      <c r="BI18" s="29"/>
      <c r="BJ18" s="29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29"/>
      <c r="BH19" s="29"/>
      <c r="BI19" s="29"/>
      <c r="BJ19" s="29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29"/>
      <c r="BH20" s="29"/>
      <c r="BI20" s="29"/>
      <c r="BJ20" s="29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29"/>
      <c r="BH21" s="29"/>
      <c r="BI21" s="29"/>
      <c r="BJ21" s="29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29"/>
      <c r="BH22" s="29"/>
      <c r="BI22" s="29"/>
      <c r="BJ22" s="29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29"/>
      <c r="BH23" s="29"/>
      <c r="BI23" s="29"/>
      <c r="BJ23" s="29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29"/>
      <c r="BH24" s="29"/>
      <c r="BI24" s="29"/>
      <c r="BJ24" s="29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29"/>
      <c r="BH25" s="29"/>
      <c r="BI25" s="29"/>
      <c r="BJ25" s="29"/>
      <c r="BK25" s="31"/>
      <c r="BL25" s="31"/>
      <c r="BM25" s="31"/>
      <c r="BN25" s="35"/>
    </row>
    <row r="26" spans="1:66" ht="20.100000000000001" customHeight="1" x14ac:dyDescent="0.4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29"/>
      <c r="BH26" s="29"/>
      <c r="BI26" s="29"/>
      <c r="BJ26" s="29"/>
      <c r="BK26" s="31"/>
      <c r="BL26" s="31"/>
      <c r="BM26" s="31"/>
      <c r="BN26" s="35"/>
    </row>
    <row r="27" spans="1:66" ht="20.100000000000001" customHeight="1" x14ac:dyDescent="0.45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29"/>
      <c r="BH27" s="29"/>
      <c r="BI27" s="29"/>
      <c r="BJ27" s="29"/>
      <c r="BK27" s="31"/>
      <c r="BL27" s="31"/>
      <c r="BM27" s="31"/>
      <c r="BN27" s="35"/>
    </row>
    <row r="28" spans="1:66" ht="20.100000000000001" customHeight="1" x14ac:dyDescent="0.45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29"/>
      <c r="BH28" s="29"/>
      <c r="BI28" s="29"/>
      <c r="BJ28" s="29"/>
      <c r="BK28" s="31"/>
      <c r="BL28" s="31"/>
      <c r="BM28" s="31"/>
      <c r="BN28" s="35"/>
    </row>
    <row r="29" spans="1:66" ht="20.100000000000001" customHeight="1" x14ac:dyDescent="0.45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29"/>
      <c r="BH29" s="29"/>
      <c r="BI29" s="29"/>
      <c r="BJ29" s="29"/>
      <c r="BK29" s="31"/>
      <c r="BL29" s="31"/>
      <c r="BM29" s="31"/>
      <c r="BN29" s="35"/>
    </row>
    <row r="30" spans="1:66" ht="20.100000000000001" customHeight="1" x14ac:dyDescent="0.45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29"/>
      <c r="BH30" s="29"/>
      <c r="BI30" s="29"/>
      <c r="BJ30" s="29"/>
      <c r="BK30" s="31"/>
      <c r="BL30" s="31"/>
      <c r="BM30" s="31"/>
      <c r="BN30" s="35"/>
    </row>
    <row r="31" spans="1:66" ht="20.100000000000001" customHeight="1" x14ac:dyDescent="0.45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29"/>
      <c r="BH31" s="29"/>
      <c r="BI31" s="29"/>
      <c r="BJ31" s="29"/>
      <c r="BK31" s="31"/>
      <c r="BL31" s="31"/>
      <c r="BM31" s="31"/>
      <c r="BN31" s="35"/>
    </row>
    <row r="32" spans="1:66" ht="20.100000000000001" customHeight="1" x14ac:dyDescent="0.45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29"/>
      <c r="BH32" s="29"/>
      <c r="BI32" s="29"/>
      <c r="BJ32" s="29"/>
      <c r="BK32" s="31"/>
      <c r="BL32" s="31"/>
      <c r="BM32" s="31"/>
      <c r="BN32" s="35"/>
    </row>
    <row r="33" spans="1:66" ht="20.100000000000001" customHeight="1" x14ac:dyDescent="0.45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29"/>
      <c r="BH33" s="29"/>
      <c r="BI33" s="29"/>
      <c r="BJ33" s="29"/>
      <c r="BK33" s="31"/>
      <c r="BL33" s="31"/>
      <c r="BM33" s="31"/>
      <c r="BN33" s="35"/>
    </row>
    <row r="34" spans="1:66" ht="20.100000000000001" customHeight="1" x14ac:dyDescent="0.45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29"/>
      <c r="BH34" s="29"/>
      <c r="BI34" s="29"/>
      <c r="BJ34" s="29"/>
      <c r="BK34" s="31"/>
      <c r="BL34" s="31"/>
      <c r="BM34" s="31"/>
      <c r="BN34" s="35"/>
    </row>
    <row r="35" spans="1:66" ht="20.100000000000001" customHeight="1" x14ac:dyDescent="0.4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29"/>
      <c r="BH35" s="29"/>
      <c r="BI35" s="29"/>
      <c r="BJ35" s="29"/>
      <c r="BK35" s="31"/>
      <c r="BL35" s="31"/>
      <c r="BM35" s="31"/>
      <c r="BN35" s="35"/>
    </row>
    <row r="36" spans="1:66" ht="20.100000000000001" customHeight="1" x14ac:dyDescent="0.45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29"/>
      <c r="BH36" s="29"/>
      <c r="BI36" s="29"/>
      <c r="BJ36" s="29"/>
      <c r="BK36" s="31"/>
      <c r="BL36" s="31"/>
      <c r="BM36" s="31"/>
      <c r="BN36" s="35"/>
    </row>
    <row r="37" spans="1:66" ht="20.100000000000001" customHeight="1" x14ac:dyDescent="0.45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29"/>
      <c r="BH37" s="29"/>
      <c r="BI37" s="29"/>
      <c r="BJ37" s="29"/>
      <c r="BK37" s="31"/>
      <c r="BL37" s="31"/>
      <c r="BM37" s="31"/>
      <c r="BN37" s="35"/>
    </row>
    <row r="38" spans="1:66" ht="20.100000000000001" customHeight="1" x14ac:dyDescent="0.45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29"/>
      <c r="BH38" s="29"/>
      <c r="BI38" s="29"/>
      <c r="BJ38" s="29"/>
      <c r="BK38" s="31"/>
      <c r="BL38" s="31"/>
      <c r="BM38" s="31"/>
      <c r="BN38" s="35"/>
    </row>
    <row r="39" spans="1:66" ht="20.100000000000001" customHeight="1" x14ac:dyDescent="0.45">
      <c r="A39" s="32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29"/>
      <c r="BH39" s="29"/>
      <c r="BI39" s="29"/>
      <c r="BJ39" s="29"/>
      <c r="BK39" s="31"/>
      <c r="BL39" s="31"/>
      <c r="BM39" s="31"/>
      <c r="BN39" s="35"/>
    </row>
    <row r="40" spans="1:66" ht="20.100000000000001" customHeight="1" x14ac:dyDescent="0.45">
      <c r="A40" s="3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29"/>
      <c r="BH40" s="29"/>
      <c r="BI40" s="29"/>
      <c r="BJ40" s="29"/>
      <c r="BK40" s="31"/>
      <c r="BL40" s="31"/>
      <c r="BM40" s="31"/>
      <c r="BN40" s="35"/>
    </row>
    <row r="41" spans="1:66" ht="20.100000000000001" customHeight="1" x14ac:dyDescent="0.45">
      <c r="A41" s="32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29"/>
      <c r="BH41" s="29"/>
      <c r="BI41" s="29"/>
      <c r="BJ41" s="29"/>
      <c r="BK41" s="31"/>
      <c r="BL41" s="31"/>
      <c r="BM41" s="31"/>
      <c r="BN41" s="35"/>
    </row>
    <row r="42" spans="1:66" ht="20.100000000000001" customHeight="1" x14ac:dyDescent="0.45">
      <c r="A42" s="32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29"/>
      <c r="BH42" s="29"/>
      <c r="BI42" s="29"/>
      <c r="BJ42" s="29"/>
      <c r="BK42" s="31"/>
      <c r="BL42" s="31"/>
      <c r="BM42" s="31"/>
      <c r="BN42" s="35"/>
    </row>
    <row r="43" spans="1:66" ht="20.100000000000001" customHeight="1" x14ac:dyDescent="0.45">
      <c r="A43" s="32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29"/>
      <c r="BH43" s="29"/>
      <c r="BI43" s="29"/>
      <c r="BJ43" s="29"/>
      <c r="BK43" s="31"/>
      <c r="BL43" s="31"/>
      <c r="BM43" s="31"/>
      <c r="BN43" s="35"/>
    </row>
    <row r="44" spans="1:66" ht="20.100000000000001" customHeight="1" x14ac:dyDescent="0.45">
      <c r="A44" s="32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29"/>
      <c r="BH44" s="29"/>
      <c r="BI44" s="29"/>
      <c r="BJ44" s="29"/>
      <c r="BK44" s="31"/>
      <c r="BL44" s="31"/>
      <c r="BM44" s="31"/>
      <c r="BN44" s="35"/>
    </row>
    <row r="45" spans="1:66" ht="20.100000000000001" customHeight="1" x14ac:dyDescent="0.45">
      <c r="A45" s="9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/>
      <c r="BH45"/>
      <c r="BI45"/>
      <c r="BJ45"/>
      <c r="BK45" s="7"/>
      <c r="BL45" s="7"/>
      <c r="BM45" s="7"/>
      <c r="BN45" s="15"/>
    </row>
    <row r="46" spans="1:66" ht="20.100000000000001" customHeight="1" x14ac:dyDescent="0.45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/>
      <c r="BH46"/>
      <c r="BI46"/>
      <c r="BJ46"/>
      <c r="BK46" s="7"/>
      <c r="BL46" s="7"/>
      <c r="BM46" s="7"/>
      <c r="BN46" s="15"/>
    </row>
    <row r="47" spans="1:66" ht="20.100000000000001" customHeight="1" x14ac:dyDescent="0.45">
      <c r="A47" s="9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/>
      <c r="BH47"/>
      <c r="BI47"/>
      <c r="BJ47"/>
      <c r="BK47" s="7"/>
      <c r="BL47" s="7"/>
      <c r="BM47" s="7"/>
      <c r="BN47" s="15"/>
    </row>
    <row r="48" spans="1:66" ht="20.100000000000001" customHeight="1" x14ac:dyDescent="0.45">
      <c r="A48" s="9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/>
      <c r="BH48"/>
      <c r="BI48"/>
      <c r="BJ48"/>
      <c r="BK48" s="7"/>
      <c r="BL48" s="7"/>
      <c r="BM48" s="7"/>
      <c r="BN48" s="15"/>
    </row>
    <row r="49" spans="1:66" ht="20.100000000000001" customHeight="1" x14ac:dyDescent="0.45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/>
      <c r="BH49"/>
      <c r="BI49"/>
      <c r="BJ49"/>
      <c r="BK49" s="7"/>
      <c r="BL49" s="7"/>
      <c r="BM49" s="7"/>
      <c r="BN49" s="15"/>
    </row>
    <row r="50" spans="1:66" ht="20.100000000000001" customHeight="1" x14ac:dyDescent="0.45">
      <c r="A50" s="9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/>
      <c r="BH50"/>
      <c r="BI50"/>
      <c r="BJ50"/>
      <c r="BK50" s="7"/>
      <c r="BL50" s="7"/>
      <c r="BM50" s="7"/>
      <c r="BN50" s="15"/>
    </row>
    <row r="51" spans="1:66" ht="20.100000000000001" customHeight="1" x14ac:dyDescent="0.45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/>
      <c r="BH51"/>
      <c r="BI51"/>
      <c r="BJ51"/>
      <c r="BK51" s="7"/>
      <c r="BL51" s="7"/>
      <c r="BM51" s="7"/>
      <c r="BN51" s="15"/>
    </row>
    <row r="52" spans="1:66" ht="20.100000000000001" customHeight="1" x14ac:dyDescent="0.45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/>
      <c r="BH52"/>
      <c r="BI52"/>
      <c r="BJ52"/>
      <c r="BK52" s="7"/>
      <c r="BL52" s="7"/>
      <c r="BM52" s="7"/>
      <c r="BN52" s="15"/>
    </row>
    <row r="53" spans="1:66" ht="20.100000000000001" customHeight="1" x14ac:dyDescent="0.45">
      <c r="A53" s="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/>
      <c r="BH53"/>
      <c r="BI53"/>
      <c r="BJ53"/>
      <c r="BK53" s="7"/>
      <c r="BL53" s="7"/>
      <c r="BM53" s="7"/>
      <c r="BN53" s="15"/>
    </row>
    <row r="54" spans="1:66" ht="20.100000000000001" customHeight="1" x14ac:dyDescent="0.45">
      <c r="A54" s="9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/>
      <c r="BH54"/>
      <c r="BI54"/>
      <c r="BJ54"/>
      <c r="BK54" s="7"/>
      <c r="BL54" s="7"/>
      <c r="BM54" s="7"/>
      <c r="BN54" s="15"/>
    </row>
    <row r="55" spans="1:66" ht="20.100000000000001" customHeight="1" x14ac:dyDescent="0.45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/>
      <c r="BH55"/>
      <c r="BI55"/>
      <c r="BJ55"/>
      <c r="BK55" s="7"/>
      <c r="BL55" s="7"/>
      <c r="BM55" s="7"/>
      <c r="BN55" s="15"/>
    </row>
    <row r="56" spans="1:66" ht="20.100000000000001" customHeight="1" x14ac:dyDescent="0.45">
      <c r="A56" s="9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/>
      <c r="BH56"/>
      <c r="BI56"/>
      <c r="BJ56"/>
      <c r="BK56" s="7"/>
      <c r="BL56" s="7"/>
      <c r="BM56" s="7"/>
      <c r="BN56" s="15"/>
    </row>
    <row r="57" spans="1:66" ht="20.100000000000001" customHeight="1" x14ac:dyDescent="0.45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/>
      <c r="BH57"/>
      <c r="BI57"/>
      <c r="BJ57"/>
      <c r="BK57" s="7"/>
      <c r="BL57" s="7"/>
      <c r="BM57" s="7"/>
      <c r="BN57" s="15"/>
    </row>
    <row r="58" spans="1:66" ht="20.100000000000001" customHeight="1" x14ac:dyDescent="0.45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/>
      <c r="BH58"/>
      <c r="BI58"/>
      <c r="BJ58"/>
      <c r="BK58" s="7"/>
      <c r="BL58" s="7"/>
      <c r="BM58" s="7"/>
      <c r="BN58" s="15"/>
    </row>
    <row r="59" spans="1:66" ht="20.100000000000001" customHeight="1" x14ac:dyDescent="0.45">
      <c r="A59" s="9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/>
      <c r="BH59"/>
      <c r="BI59"/>
      <c r="BJ59"/>
      <c r="BK59" s="7"/>
      <c r="BL59" s="7"/>
      <c r="BM59" s="7"/>
      <c r="BN59" s="15"/>
    </row>
    <row r="60" spans="1:66" ht="20.100000000000001" customHeight="1" x14ac:dyDescent="0.45">
      <c r="A60" s="9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/>
      <c r="BH60"/>
      <c r="BI60"/>
      <c r="BJ60"/>
      <c r="BK60" s="7"/>
      <c r="BL60" s="7"/>
      <c r="BM60" s="7"/>
      <c r="BN60" s="15"/>
    </row>
    <row r="61" spans="1:66" ht="20.100000000000001" customHeight="1" x14ac:dyDescent="0.45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/>
      <c r="BH61"/>
      <c r="BI61"/>
      <c r="BJ61"/>
      <c r="BK61" s="7"/>
      <c r="BL61" s="7"/>
      <c r="BM61" s="7"/>
      <c r="BN61" s="15"/>
    </row>
    <row r="62" spans="1:66" ht="20.100000000000001" customHeight="1" x14ac:dyDescent="0.45">
      <c r="A62" s="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/>
      <c r="BH62"/>
      <c r="BI62"/>
      <c r="BJ62"/>
      <c r="BK62" s="7"/>
      <c r="BL62" s="7"/>
      <c r="BM62" s="7"/>
      <c r="BN62" s="15"/>
    </row>
    <row r="63" spans="1:66" ht="20.100000000000001" customHeight="1" x14ac:dyDescent="0.45">
      <c r="A63" s="9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/>
      <c r="BH63"/>
      <c r="BI63"/>
      <c r="BJ63"/>
      <c r="BK63" s="7"/>
      <c r="BL63" s="7"/>
      <c r="BM63" s="7"/>
      <c r="BN63" s="15"/>
    </row>
    <row r="64" spans="1:66" ht="20.100000000000001" customHeight="1" x14ac:dyDescent="0.45">
      <c r="A64" s="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15"/>
    </row>
    <row r="65" spans="1:66" ht="20.100000000000001" customHeight="1" x14ac:dyDescent="0.45">
      <c r="A65" s="9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15"/>
    </row>
    <row r="66" spans="1:66" ht="20.100000000000001" customHeight="1" x14ac:dyDescent="0.45">
      <c r="A66" s="9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15"/>
    </row>
    <row r="67" spans="1:66" ht="20.100000000000001" customHeight="1" x14ac:dyDescent="0.45">
      <c r="A67" s="9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15"/>
    </row>
    <row r="68" spans="1:66" ht="20.100000000000001" customHeight="1" x14ac:dyDescent="0.45">
      <c r="A68" s="9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15"/>
    </row>
    <row r="69" spans="1:66" ht="20.100000000000001" customHeight="1" x14ac:dyDescent="0.45">
      <c r="B69" s="1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9"/>
    </row>
    <row r="70" spans="1:66" ht="20.100000000000001" customHeight="1" x14ac:dyDescent="0.45">
      <c r="B70" s="1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9"/>
    </row>
    <row r="71" spans="1:66" ht="20.100000000000001" customHeight="1" x14ac:dyDescent="0.45">
      <c r="B71" s="1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9"/>
    </row>
    <row r="72" spans="1:66" ht="20.100000000000001" customHeight="1" x14ac:dyDescent="0.45">
      <c r="B72" s="1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9"/>
    </row>
    <row r="73" spans="1:66" ht="20.100000000000001" customHeight="1" x14ac:dyDescent="0.45">
      <c r="B73" s="1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9"/>
    </row>
    <row r="74" spans="1:66" ht="20.100000000000001" customHeight="1" x14ac:dyDescent="0.45">
      <c r="B74" s="1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9"/>
    </row>
    <row r="75" spans="1:66" ht="20.100000000000001" customHeight="1" x14ac:dyDescent="0.45">
      <c r="B75" s="1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9"/>
    </row>
    <row r="76" spans="1:66" ht="20.100000000000001" customHeight="1" x14ac:dyDescent="0.45">
      <c r="B76" s="1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9"/>
    </row>
    <row r="77" spans="1:66" ht="20.100000000000001" customHeight="1" thickBot="1" x14ac:dyDescent="0.5">
      <c r="B77" s="27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28"/>
    </row>
    <row r="7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73" t="s">
        <v>0</v>
      </c>
      <c r="C2" s="174"/>
      <c r="D2" s="174"/>
      <c r="E2" s="174"/>
      <c r="F2" s="174"/>
      <c r="G2" s="174"/>
      <c r="H2" s="174" t="s">
        <v>17</v>
      </c>
      <c r="I2" s="174"/>
      <c r="J2" s="174"/>
      <c r="K2" s="174"/>
      <c r="L2" s="174" t="s">
        <v>263</v>
      </c>
      <c r="M2" s="174"/>
      <c r="N2" s="174"/>
      <c r="O2" s="174"/>
      <c r="P2" s="174"/>
      <c r="Q2" s="174"/>
      <c r="R2" s="174" t="s">
        <v>2</v>
      </c>
      <c r="S2" s="174"/>
      <c r="T2" s="174"/>
      <c r="U2" s="174"/>
      <c r="V2" s="174"/>
      <c r="W2" s="174"/>
      <c r="X2" s="175" t="s">
        <v>3</v>
      </c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7"/>
      <c r="AK2" s="175" t="s">
        <v>32</v>
      </c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7"/>
      <c r="AX2" s="174" t="s">
        <v>5</v>
      </c>
      <c r="AY2" s="174"/>
      <c r="AZ2" s="174"/>
      <c r="BA2" s="174"/>
      <c r="BB2" s="174" t="s">
        <v>4</v>
      </c>
      <c r="BC2" s="174"/>
      <c r="BD2" s="174"/>
      <c r="BE2" s="174"/>
      <c r="BF2" s="174" t="s">
        <v>6</v>
      </c>
      <c r="BG2" s="174"/>
      <c r="BH2" s="174"/>
      <c r="BI2" s="174"/>
      <c r="BJ2" s="174" t="s">
        <v>7</v>
      </c>
      <c r="BK2" s="174"/>
      <c r="BL2" s="174"/>
      <c r="BM2" s="188"/>
      <c r="BN2" s="15"/>
    </row>
    <row r="3" spans="1:85" ht="20.100000000000001" customHeight="1" x14ac:dyDescent="0.45">
      <c r="A3" s="9"/>
      <c r="B3" s="178" t="str">
        <f>変更履歴!B3</f>
        <v>受発注システム</v>
      </c>
      <c r="C3" s="179"/>
      <c r="D3" s="179"/>
      <c r="E3" s="179"/>
      <c r="F3" s="179"/>
      <c r="G3" s="179"/>
      <c r="H3" s="179" t="str">
        <f ca="1">変更履歴!H3</f>
        <v>SU0700</v>
      </c>
      <c r="I3" s="179"/>
      <c r="J3" s="179"/>
      <c r="K3" s="179"/>
      <c r="L3" s="179" t="str">
        <f>変更履歴!L3</f>
        <v>受発注</v>
      </c>
      <c r="M3" s="179"/>
      <c r="N3" s="179"/>
      <c r="O3" s="179"/>
      <c r="P3" s="179"/>
      <c r="Q3" s="179"/>
      <c r="R3" s="179" t="str">
        <f ca="1">変更履歴!R3</f>
        <v>帳票設計書</v>
      </c>
      <c r="S3" s="179"/>
      <c r="T3" s="179"/>
      <c r="U3" s="179"/>
      <c r="V3" s="179"/>
      <c r="W3" s="179"/>
      <c r="X3" s="183" t="str">
        <f ca="1">変更履歴!X3</f>
        <v>SU0700_しまむら直納伝票請求書_帳票設計書</v>
      </c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0"/>
      <c r="AK3" s="183" t="str">
        <f ca="1">変更履歴!AK3</f>
        <v>しまむら直納伝票請求書</v>
      </c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0"/>
      <c r="AX3" s="190">
        <f>変更履歴!AX3</f>
        <v>45581</v>
      </c>
      <c r="AY3" s="190"/>
      <c r="AZ3" s="190"/>
      <c r="BA3" s="190"/>
      <c r="BB3" s="179" t="str">
        <f>変更履歴!BB3</f>
        <v>大谷</v>
      </c>
      <c r="BC3" s="179"/>
      <c r="BD3" s="179"/>
      <c r="BE3" s="179"/>
      <c r="BF3" s="190">
        <f>変更履歴!BF3</f>
        <v>45581</v>
      </c>
      <c r="BG3" s="190"/>
      <c r="BH3" s="190"/>
      <c r="BI3" s="190"/>
      <c r="BJ3" s="179" t="str">
        <f>変更履歴!BJ3</f>
        <v>大谷</v>
      </c>
      <c r="BK3" s="179"/>
      <c r="BL3" s="179"/>
      <c r="BM3" s="191"/>
      <c r="BN3" s="15"/>
    </row>
    <row r="4" spans="1:85" ht="20.100000000000001" customHeight="1" thickBot="1" x14ac:dyDescent="0.5">
      <c r="A4" s="9"/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99"/>
      <c r="AY4" s="199"/>
      <c r="AZ4" s="199"/>
      <c r="BA4" s="199"/>
      <c r="BB4" s="181"/>
      <c r="BC4" s="181"/>
      <c r="BD4" s="181"/>
      <c r="BE4" s="181"/>
      <c r="BF4" s="199"/>
      <c r="BG4" s="199"/>
      <c r="BH4" s="199"/>
      <c r="BI4" s="199"/>
      <c r="BJ4" s="181"/>
      <c r="BK4" s="181"/>
      <c r="BL4" s="181"/>
      <c r="BM4" s="183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31" t="s">
        <v>20</v>
      </c>
      <c r="F10" s="232"/>
      <c r="G10" s="232"/>
      <c r="H10" s="232"/>
      <c r="I10" s="232"/>
      <c r="J10" s="232"/>
      <c r="K10" s="232"/>
      <c r="L10" s="233"/>
      <c r="M10" s="206" t="s">
        <v>24</v>
      </c>
      <c r="N10" s="207"/>
      <c r="O10" s="207"/>
      <c r="P10" s="206" t="s">
        <v>33</v>
      </c>
      <c r="Q10" s="207"/>
      <c r="R10" s="207"/>
      <c r="S10" s="206" t="s">
        <v>34</v>
      </c>
      <c r="T10" s="207"/>
      <c r="U10" s="207"/>
      <c r="V10" s="206" t="s">
        <v>36</v>
      </c>
      <c r="W10" s="207"/>
      <c r="X10" s="207"/>
      <c r="Y10" s="207"/>
      <c r="Z10" s="207"/>
      <c r="AA10" s="208"/>
      <c r="AB10" s="206" t="s">
        <v>35</v>
      </c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8"/>
      <c r="AR10" s="206" t="s">
        <v>42</v>
      </c>
      <c r="AS10" s="207"/>
      <c r="AT10" s="207"/>
      <c r="AU10" s="207"/>
      <c r="AV10" s="207"/>
      <c r="AW10" s="208"/>
      <c r="AX10" s="206" t="s">
        <v>43</v>
      </c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  <c r="BM10" s="207"/>
      <c r="BN10" s="207"/>
      <c r="BO10" s="207"/>
      <c r="BP10" s="207"/>
      <c r="BQ10" s="207"/>
      <c r="BR10" s="207"/>
      <c r="BS10" s="207"/>
      <c r="BT10" s="224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18.600000000000001" customHeight="1" x14ac:dyDescent="0.45">
      <c r="A11" s="30"/>
      <c r="B11" s="44"/>
      <c r="C11" s="32"/>
      <c r="D11" s="37">
        <v>1</v>
      </c>
      <c r="E11" s="228" t="s">
        <v>77</v>
      </c>
      <c r="F11" s="229"/>
      <c r="G11" s="229"/>
      <c r="H11" s="229"/>
      <c r="I11" s="229"/>
      <c r="J11" s="229"/>
      <c r="K11" s="229"/>
      <c r="L11" s="230"/>
      <c r="M11" s="198" t="s">
        <v>78</v>
      </c>
      <c r="N11" s="193"/>
      <c r="O11" s="194"/>
      <c r="P11" s="198" t="s">
        <v>76</v>
      </c>
      <c r="Q11" s="193"/>
      <c r="R11" s="193"/>
      <c r="S11" s="198">
        <v>11</v>
      </c>
      <c r="T11" s="193"/>
      <c r="U11" s="193"/>
      <c r="V11" s="200" t="s">
        <v>240</v>
      </c>
      <c r="W11" s="201"/>
      <c r="X11" s="201"/>
      <c r="Y11" s="201"/>
      <c r="Z11" s="201"/>
      <c r="AA11" s="227"/>
      <c r="AB11" s="213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6"/>
      <c r="AR11" s="198"/>
      <c r="AS11" s="193"/>
      <c r="AT11" s="193"/>
      <c r="AU11" s="193"/>
      <c r="AV11" s="193"/>
      <c r="AW11" s="194"/>
      <c r="AX11" s="200"/>
      <c r="AY11" s="201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  <c r="BM11" s="201"/>
      <c r="BN11" s="201"/>
      <c r="BO11" s="201"/>
      <c r="BP11" s="201"/>
      <c r="BQ11" s="201"/>
      <c r="BR11" s="201"/>
      <c r="BS11" s="201"/>
      <c r="BT11" s="202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28" t="s">
        <v>53</v>
      </c>
      <c r="F12" s="229"/>
      <c r="G12" s="229"/>
      <c r="H12" s="229"/>
      <c r="I12" s="229"/>
      <c r="J12" s="229"/>
      <c r="K12" s="229"/>
      <c r="L12" s="230"/>
      <c r="M12" s="198" t="s">
        <v>38</v>
      </c>
      <c r="N12" s="193"/>
      <c r="O12" s="193"/>
      <c r="P12" s="198" t="s">
        <v>74</v>
      </c>
      <c r="Q12" s="193"/>
      <c r="R12" s="193"/>
      <c r="S12" s="198">
        <v>20</v>
      </c>
      <c r="T12" s="193"/>
      <c r="U12" s="193"/>
      <c r="V12" s="200" t="s">
        <v>225</v>
      </c>
      <c r="W12" s="201"/>
      <c r="X12" s="201"/>
      <c r="Y12" s="201"/>
      <c r="Z12" s="201"/>
      <c r="AA12" s="227"/>
      <c r="AB12" s="213" t="s">
        <v>227</v>
      </c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6"/>
      <c r="AR12" s="198"/>
      <c r="AS12" s="193"/>
      <c r="AT12" s="193"/>
      <c r="AU12" s="193"/>
      <c r="AV12" s="193"/>
      <c r="AW12" s="194"/>
      <c r="AX12" s="200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201"/>
      <c r="BS12" s="201"/>
      <c r="BT12" s="202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2"/>
      <c r="D13" s="37">
        <v>3</v>
      </c>
      <c r="E13" s="228" t="s">
        <v>54</v>
      </c>
      <c r="F13" s="229"/>
      <c r="G13" s="229"/>
      <c r="H13" s="229"/>
      <c r="I13" s="229"/>
      <c r="J13" s="229"/>
      <c r="K13" s="229"/>
      <c r="L13" s="230"/>
      <c r="M13" s="198" t="s">
        <v>38</v>
      </c>
      <c r="N13" s="193"/>
      <c r="O13" s="193"/>
      <c r="P13" s="198" t="s">
        <v>74</v>
      </c>
      <c r="Q13" s="193"/>
      <c r="R13" s="193"/>
      <c r="S13" s="198">
        <v>20</v>
      </c>
      <c r="T13" s="193"/>
      <c r="U13" s="193"/>
      <c r="V13" s="200" t="s">
        <v>226</v>
      </c>
      <c r="W13" s="201"/>
      <c r="X13" s="201"/>
      <c r="Y13" s="201"/>
      <c r="Z13" s="201"/>
      <c r="AA13" s="227"/>
      <c r="AB13" s="213" t="s">
        <v>228</v>
      </c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6"/>
      <c r="AR13" s="198"/>
      <c r="AS13" s="193"/>
      <c r="AT13" s="193"/>
      <c r="AU13" s="193"/>
      <c r="AV13" s="193"/>
      <c r="AW13" s="194"/>
      <c r="AX13" s="200"/>
      <c r="AY13" s="201"/>
      <c r="AZ13" s="201"/>
      <c r="BA13" s="201"/>
      <c r="BB13" s="201"/>
      <c r="BC13" s="201"/>
      <c r="BD13" s="201"/>
      <c r="BE13" s="201"/>
      <c r="BF13" s="201"/>
      <c r="BG13" s="201"/>
      <c r="BH13" s="201"/>
      <c r="BI13" s="201"/>
      <c r="BJ13" s="201"/>
      <c r="BK13" s="201"/>
      <c r="BL13" s="201"/>
      <c r="BM13" s="201"/>
      <c r="BN13" s="201"/>
      <c r="BO13" s="201"/>
      <c r="BP13" s="201"/>
      <c r="BQ13" s="201"/>
      <c r="BR13" s="201"/>
      <c r="BS13" s="201"/>
      <c r="BT13" s="202"/>
      <c r="BU13" s="41"/>
      <c r="BV13" s="40"/>
      <c r="BW13" s="41"/>
      <c r="BX13" s="41"/>
      <c r="BY13" s="41"/>
      <c r="BZ13" s="41"/>
      <c r="CA13" s="41"/>
      <c r="CB13" s="30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28" t="s">
        <v>55</v>
      </c>
      <c r="F14" s="229"/>
      <c r="G14" s="229"/>
      <c r="H14" s="229"/>
      <c r="I14" s="229"/>
      <c r="J14" s="229"/>
      <c r="K14" s="229"/>
      <c r="L14" s="230"/>
      <c r="M14" s="198" t="s">
        <v>47</v>
      </c>
      <c r="N14" s="193"/>
      <c r="O14" s="193"/>
      <c r="P14" s="198" t="s">
        <v>75</v>
      </c>
      <c r="Q14" s="193"/>
      <c r="R14" s="193"/>
      <c r="S14" s="198">
        <v>15</v>
      </c>
      <c r="T14" s="193"/>
      <c r="U14" s="193"/>
      <c r="V14" s="200" t="s">
        <v>224</v>
      </c>
      <c r="W14" s="201"/>
      <c r="X14" s="201"/>
      <c r="Y14" s="201"/>
      <c r="Z14" s="201"/>
      <c r="AA14" s="227"/>
      <c r="AB14" s="213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6"/>
      <c r="AR14" s="198" t="s">
        <v>117</v>
      </c>
      <c r="AS14" s="193"/>
      <c r="AT14" s="193"/>
      <c r="AU14" s="193"/>
      <c r="AV14" s="193"/>
      <c r="AW14" s="194"/>
      <c r="AX14" s="200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1"/>
      <c r="BO14" s="201"/>
      <c r="BP14" s="201"/>
      <c r="BQ14" s="201"/>
      <c r="BR14" s="201"/>
      <c r="BS14" s="201"/>
      <c r="BT14" s="202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28" t="s">
        <v>114</v>
      </c>
      <c r="F15" s="229"/>
      <c r="G15" s="229"/>
      <c r="H15" s="229"/>
      <c r="I15" s="229"/>
      <c r="J15" s="229"/>
      <c r="K15" s="229"/>
      <c r="L15" s="230"/>
      <c r="M15" s="198" t="s">
        <v>115</v>
      </c>
      <c r="N15" s="193"/>
      <c r="O15" s="193"/>
      <c r="P15" s="198" t="s">
        <v>116</v>
      </c>
      <c r="Q15" s="193"/>
      <c r="R15" s="193"/>
      <c r="S15" s="198">
        <v>9</v>
      </c>
      <c r="T15" s="193"/>
      <c r="U15" s="193"/>
      <c r="V15" s="200" t="s">
        <v>234</v>
      </c>
      <c r="W15" s="201"/>
      <c r="X15" s="201"/>
      <c r="Y15" s="201"/>
      <c r="Z15" s="201"/>
      <c r="AA15" s="227"/>
      <c r="AB15" s="223" t="s">
        <v>233</v>
      </c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6"/>
      <c r="AR15" s="212" t="s">
        <v>163</v>
      </c>
      <c r="AS15" s="193"/>
      <c r="AT15" s="193"/>
      <c r="AU15" s="193"/>
      <c r="AV15" s="193"/>
      <c r="AW15" s="194"/>
      <c r="AX15" s="200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1"/>
      <c r="BK15" s="201"/>
      <c r="BL15" s="201"/>
      <c r="BM15" s="201"/>
      <c r="BN15" s="201"/>
      <c r="BO15" s="201"/>
      <c r="BP15" s="201"/>
      <c r="BQ15" s="201"/>
      <c r="BR15" s="201"/>
      <c r="BS15" s="201"/>
      <c r="BT15" s="202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6"/>
      <c r="D16" s="37">
        <v>6</v>
      </c>
      <c r="E16" s="228" t="s">
        <v>56</v>
      </c>
      <c r="F16" s="229"/>
      <c r="G16" s="229"/>
      <c r="H16" s="229"/>
      <c r="I16" s="229"/>
      <c r="J16" s="229"/>
      <c r="K16" s="229"/>
      <c r="L16" s="230"/>
      <c r="M16" s="198" t="s">
        <v>47</v>
      </c>
      <c r="N16" s="193"/>
      <c r="O16" s="193"/>
      <c r="P16" s="198" t="s">
        <v>75</v>
      </c>
      <c r="Q16" s="193"/>
      <c r="R16" s="193"/>
      <c r="S16" s="198">
        <v>15</v>
      </c>
      <c r="T16" s="193"/>
      <c r="U16" s="193"/>
      <c r="V16" s="200" t="s">
        <v>229</v>
      </c>
      <c r="W16" s="201"/>
      <c r="X16" s="201"/>
      <c r="Y16" s="201"/>
      <c r="Z16" s="201"/>
      <c r="AA16" s="227"/>
      <c r="AB16" s="213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6"/>
      <c r="AR16" s="198" t="s">
        <v>117</v>
      </c>
      <c r="AS16" s="193"/>
      <c r="AT16" s="193"/>
      <c r="AU16" s="193"/>
      <c r="AV16" s="193"/>
      <c r="AW16" s="194"/>
      <c r="AX16" s="200" t="s">
        <v>79</v>
      </c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1"/>
      <c r="BK16" s="201"/>
      <c r="BL16" s="201"/>
      <c r="BM16" s="201"/>
      <c r="BN16" s="201"/>
      <c r="BO16" s="201"/>
      <c r="BP16" s="201"/>
      <c r="BQ16" s="201"/>
      <c r="BR16" s="201"/>
      <c r="BS16" s="201"/>
      <c r="BT16" s="202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 s="36"/>
      <c r="D17" s="37">
        <v>7</v>
      </c>
      <c r="E17" s="228" t="s">
        <v>57</v>
      </c>
      <c r="F17" s="229"/>
      <c r="G17" s="229"/>
      <c r="H17" s="229"/>
      <c r="I17" s="229"/>
      <c r="J17" s="229"/>
      <c r="K17" s="229"/>
      <c r="L17" s="230"/>
      <c r="M17" s="198" t="s">
        <v>47</v>
      </c>
      <c r="N17" s="193"/>
      <c r="O17" s="193"/>
      <c r="P17" s="198" t="s">
        <v>75</v>
      </c>
      <c r="Q17" s="193"/>
      <c r="R17" s="193"/>
      <c r="S17" s="198">
        <v>15</v>
      </c>
      <c r="T17" s="193"/>
      <c r="U17" s="193"/>
      <c r="V17" s="200" t="s">
        <v>230</v>
      </c>
      <c r="W17" s="201"/>
      <c r="X17" s="201"/>
      <c r="Y17" s="201"/>
      <c r="Z17" s="201"/>
      <c r="AA17" s="227"/>
      <c r="AB17" s="213" t="s">
        <v>231</v>
      </c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6"/>
      <c r="AR17" s="198" t="s">
        <v>117</v>
      </c>
      <c r="AS17" s="193"/>
      <c r="AT17" s="193"/>
      <c r="AU17" s="193"/>
      <c r="AV17" s="193"/>
      <c r="AW17" s="194"/>
      <c r="AX17" s="200"/>
      <c r="AY17" s="201"/>
      <c r="AZ17" s="201"/>
      <c r="BA17" s="201"/>
      <c r="BB17" s="201"/>
      <c r="BC17" s="201"/>
      <c r="BD17" s="201"/>
      <c r="BE17" s="201"/>
      <c r="BF17" s="201"/>
      <c r="BG17" s="201"/>
      <c r="BH17" s="201"/>
      <c r="BI17" s="201"/>
      <c r="BJ17" s="201"/>
      <c r="BK17" s="201"/>
      <c r="BL17" s="201"/>
      <c r="BM17" s="201"/>
      <c r="BN17" s="201"/>
      <c r="BO17" s="201"/>
      <c r="BP17" s="201"/>
      <c r="BQ17" s="201"/>
      <c r="BR17" s="201"/>
      <c r="BS17" s="201"/>
      <c r="BT17" s="202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30"/>
      <c r="B18" s="44"/>
      <c r="C18" s="30"/>
      <c r="D18" s="37">
        <v>8</v>
      </c>
      <c r="E18" s="228" t="s">
        <v>58</v>
      </c>
      <c r="F18" s="229"/>
      <c r="G18" s="229"/>
      <c r="H18" s="229"/>
      <c r="I18" s="229"/>
      <c r="J18" s="229"/>
      <c r="K18" s="229"/>
      <c r="L18" s="230"/>
      <c r="M18" s="198" t="s">
        <v>38</v>
      </c>
      <c r="N18" s="193"/>
      <c r="O18" s="193"/>
      <c r="P18" s="198" t="s">
        <v>76</v>
      </c>
      <c r="Q18" s="193"/>
      <c r="R18" s="193"/>
      <c r="S18" s="198">
        <v>2</v>
      </c>
      <c r="T18" s="193"/>
      <c r="U18" s="193"/>
      <c r="V18" s="200" t="s">
        <v>80</v>
      </c>
      <c r="W18" s="201"/>
      <c r="X18" s="201"/>
      <c r="Y18" s="201"/>
      <c r="Z18" s="201"/>
      <c r="AA18" s="227"/>
      <c r="AB18" s="213" t="s">
        <v>232</v>
      </c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6"/>
      <c r="AR18" s="198"/>
      <c r="AS18" s="193"/>
      <c r="AT18" s="193"/>
      <c r="AU18" s="193"/>
      <c r="AV18" s="193"/>
      <c r="AW18" s="194"/>
      <c r="AX18" s="200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1"/>
      <c r="BL18" s="201"/>
      <c r="BM18" s="201"/>
      <c r="BN18" s="201"/>
      <c r="BO18" s="201"/>
      <c r="BP18" s="201"/>
      <c r="BQ18" s="201"/>
      <c r="BR18" s="201"/>
      <c r="BS18" s="201"/>
      <c r="BT18" s="202"/>
      <c r="BU18" s="41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30"/>
      <c r="B19" s="44"/>
      <c r="C19"/>
      <c r="D19" s="37">
        <v>9</v>
      </c>
      <c r="E19" s="228" t="s">
        <v>59</v>
      </c>
      <c r="F19" s="229"/>
      <c r="G19" s="229"/>
      <c r="H19" s="229"/>
      <c r="I19" s="229"/>
      <c r="J19" s="229"/>
      <c r="K19" s="229"/>
      <c r="L19" s="230"/>
      <c r="M19" s="198" t="s">
        <v>38</v>
      </c>
      <c r="N19" s="193"/>
      <c r="O19" s="193"/>
      <c r="P19" s="198" t="s">
        <v>76</v>
      </c>
      <c r="Q19" s="193"/>
      <c r="R19" s="193"/>
      <c r="S19" s="198">
        <v>17</v>
      </c>
      <c r="T19" s="193"/>
      <c r="U19" s="193"/>
      <c r="V19" s="200" t="s">
        <v>235</v>
      </c>
      <c r="W19" s="201"/>
      <c r="X19" s="201"/>
      <c r="Y19" s="201"/>
      <c r="Z19" s="201"/>
      <c r="AA19" s="227"/>
      <c r="AB19" s="223" t="s">
        <v>236</v>
      </c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6"/>
      <c r="AR19" s="198" t="s">
        <v>237</v>
      </c>
      <c r="AS19" s="193"/>
      <c r="AT19" s="193"/>
      <c r="AU19" s="193"/>
      <c r="AV19" s="193"/>
      <c r="AW19" s="194"/>
      <c r="AX19" s="200"/>
      <c r="AY19" s="201"/>
      <c r="AZ19" s="201"/>
      <c r="BA19" s="201"/>
      <c r="BB19" s="201"/>
      <c r="BC19" s="201"/>
      <c r="BD19" s="201"/>
      <c r="BE19" s="201"/>
      <c r="BF19" s="201"/>
      <c r="BG19" s="201"/>
      <c r="BH19" s="201"/>
      <c r="BI19" s="201"/>
      <c r="BJ19" s="201"/>
      <c r="BK19" s="201"/>
      <c r="BL19" s="201"/>
      <c r="BM19" s="201"/>
      <c r="BN19" s="201"/>
      <c r="BO19" s="201"/>
      <c r="BP19" s="201"/>
      <c r="BQ19" s="201"/>
      <c r="BR19" s="201"/>
      <c r="BS19" s="201"/>
      <c r="BT19" s="202"/>
      <c r="BU19" s="41"/>
      <c r="BV19" s="40"/>
      <c r="BW19" s="41"/>
      <c r="BX19" s="41"/>
      <c r="BY19" s="41"/>
      <c r="BZ19" s="41"/>
      <c r="CA19" s="41"/>
      <c r="CB19" s="41"/>
      <c r="CC19" s="30"/>
      <c r="CD19" s="30"/>
      <c r="CE19" s="30"/>
      <c r="CF19" s="30"/>
      <c r="CG19" s="30"/>
    </row>
    <row r="20" spans="1:85" s="5" customFormat="1" ht="20.100000000000001" customHeight="1" x14ac:dyDescent="0.45">
      <c r="A20" s="29"/>
      <c r="B20" s="35"/>
      <c r="C20"/>
      <c r="D20" s="37">
        <v>10</v>
      </c>
      <c r="E20" s="228" t="s">
        <v>60</v>
      </c>
      <c r="F20" s="229"/>
      <c r="G20" s="229"/>
      <c r="H20" s="229"/>
      <c r="I20" s="229"/>
      <c r="J20" s="229"/>
      <c r="K20" s="229"/>
      <c r="L20" s="230"/>
      <c r="M20" s="198" t="s">
        <v>8</v>
      </c>
      <c r="N20" s="193"/>
      <c r="O20" s="193"/>
      <c r="P20" s="198" t="s">
        <v>76</v>
      </c>
      <c r="Q20" s="193"/>
      <c r="R20" s="193"/>
      <c r="S20" s="198">
        <v>17</v>
      </c>
      <c r="T20" s="193"/>
      <c r="U20" s="193"/>
      <c r="V20" s="200" t="s">
        <v>238</v>
      </c>
      <c r="W20" s="201"/>
      <c r="X20" s="201"/>
      <c r="Y20" s="201"/>
      <c r="Z20" s="201"/>
      <c r="AA20" s="227"/>
      <c r="AB20" s="213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4"/>
      <c r="AP20" s="214"/>
      <c r="AQ20" s="216"/>
      <c r="AR20" s="198" t="s">
        <v>239</v>
      </c>
      <c r="AS20" s="193"/>
      <c r="AT20" s="193"/>
      <c r="AU20" s="193"/>
      <c r="AV20" s="193"/>
      <c r="AW20" s="194"/>
      <c r="AX20" s="200"/>
      <c r="AY20" s="201"/>
      <c r="AZ20" s="201"/>
      <c r="BA20" s="201"/>
      <c r="BB20" s="201"/>
      <c r="BC20" s="201"/>
      <c r="BD20" s="201"/>
      <c r="BE20" s="201"/>
      <c r="BF20" s="201"/>
      <c r="BG20" s="201"/>
      <c r="BH20" s="201"/>
      <c r="BI20" s="201"/>
      <c r="BJ20" s="201"/>
      <c r="BK20" s="201"/>
      <c r="BL20" s="201"/>
      <c r="BM20" s="201"/>
      <c r="BN20" s="201"/>
      <c r="BO20" s="201"/>
      <c r="BP20" s="201"/>
      <c r="BQ20" s="201"/>
      <c r="BR20" s="201"/>
      <c r="BS20" s="201"/>
      <c r="BT20" s="202"/>
      <c r="BU20" s="29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31"/>
      <c r="CG20" s="31"/>
    </row>
    <row r="21" spans="1:85" s="5" customFormat="1" ht="20.100000000000001" customHeight="1" x14ac:dyDescent="0.45">
      <c r="A21" s="29"/>
      <c r="B21" s="35"/>
      <c r="C21"/>
      <c r="D21" s="37">
        <v>11</v>
      </c>
      <c r="E21" s="228" t="s">
        <v>61</v>
      </c>
      <c r="F21" s="229"/>
      <c r="G21" s="229"/>
      <c r="H21" s="229"/>
      <c r="I21" s="229"/>
      <c r="J21" s="229"/>
      <c r="K21" s="229"/>
      <c r="L21" s="230"/>
      <c r="M21" s="198" t="s">
        <v>38</v>
      </c>
      <c r="N21" s="193"/>
      <c r="O21" s="193"/>
      <c r="P21" s="198" t="s">
        <v>76</v>
      </c>
      <c r="Q21" s="193"/>
      <c r="R21" s="193"/>
      <c r="S21" s="198">
        <v>17</v>
      </c>
      <c r="T21" s="193"/>
      <c r="U21" s="193"/>
      <c r="V21" s="200" t="s">
        <v>225</v>
      </c>
      <c r="W21" s="201"/>
      <c r="X21" s="201"/>
      <c r="Y21" s="201"/>
      <c r="Z21" s="201"/>
      <c r="AA21" s="227"/>
      <c r="AB21" s="213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6"/>
      <c r="AR21" s="198" t="s">
        <v>81</v>
      </c>
      <c r="AS21" s="193"/>
      <c r="AT21" s="193"/>
      <c r="AU21" s="193"/>
      <c r="AV21" s="193"/>
      <c r="AW21" s="194"/>
      <c r="AX21" s="200"/>
      <c r="AY21" s="201"/>
      <c r="AZ21" s="201"/>
      <c r="BA21" s="201"/>
      <c r="BB21" s="201"/>
      <c r="BC21" s="201"/>
      <c r="BD21" s="201"/>
      <c r="BE21" s="201"/>
      <c r="BF21" s="201"/>
      <c r="BG21" s="201"/>
      <c r="BH21" s="201"/>
      <c r="BI21" s="201"/>
      <c r="BJ21" s="201"/>
      <c r="BK21" s="201"/>
      <c r="BL21" s="201"/>
      <c r="BM21" s="201"/>
      <c r="BN21" s="201"/>
      <c r="BO21" s="201"/>
      <c r="BP21" s="201"/>
      <c r="BQ21" s="201"/>
      <c r="BR21" s="201"/>
      <c r="BS21" s="201"/>
      <c r="BT21" s="202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28" t="s">
        <v>63</v>
      </c>
      <c r="F22" s="229"/>
      <c r="G22" s="229"/>
      <c r="H22" s="229"/>
      <c r="I22" s="229"/>
      <c r="J22" s="229"/>
      <c r="K22" s="229"/>
      <c r="L22" s="230"/>
      <c r="M22" s="198" t="s">
        <v>38</v>
      </c>
      <c r="N22" s="193"/>
      <c r="O22" s="193"/>
      <c r="P22" s="198" t="s">
        <v>76</v>
      </c>
      <c r="Q22" s="193"/>
      <c r="R22" s="193"/>
      <c r="S22" s="198">
        <v>17</v>
      </c>
      <c r="T22" s="193"/>
      <c r="U22" s="193"/>
      <c r="V22" s="200" t="s">
        <v>240</v>
      </c>
      <c r="W22" s="201"/>
      <c r="X22" s="201"/>
      <c r="Y22" s="201"/>
      <c r="Z22" s="201"/>
      <c r="AA22" s="227"/>
      <c r="AB22" s="213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4"/>
      <c r="AQ22" s="216"/>
      <c r="AR22" s="198" t="s">
        <v>241</v>
      </c>
      <c r="AS22" s="193"/>
      <c r="AT22" s="193"/>
      <c r="AU22" s="193"/>
      <c r="AV22" s="193"/>
      <c r="AW22" s="194"/>
      <c r="AX22" s="200"/>
      <c r="AY22" s="201"/>
      <c r="AZ22" s="201"/>
      <c r="BA22" s="201"/>
      <c r="BB22" s="201"/>
      <c r="BC22" s="201"/>
      <c r="BD22" s="201"/>
      <c r="BE22" s="201"/>
      <c r="BF22" s="201"/>
      <c r="BG22" s="201"/>
      <c r="BH22" s="201"/>
      <c r="BI22" s="201"/>
      <c r="BJ22" s="201"/>
      <c r="BK22" s="201"/>
      <c r="BL22" s="201"/>
      <c r="BM22" s="201"/>
      <c r="BN22" s="201"/>
      <c r="BO22" s="201"/>
      <c r="BP22" s="201"/>
      <c r="BQ22" s="201"/>
      <c r="BR22" s="201"/>
      <c r="BS22" s="201"/>
      <c r="BT22" s="202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28" t="s">
        <v>62</v>
      </c>
      <c r="F23" s="229"/>
      <c r="G23" s="229"/>
      <c r="H23" s="229"/>
      <c r="I23" s="229"/>
      <c r="J23" s="229"/>
      <c r="K23" s="229"/>
      <c r="L23" s="230"/>
      <c r="M23" s="198" t="s">
        <v>38</v>
      </c>
      <c r="N23" s="193"/>
      <c r="O23" s="193"/>
      <c r="P23" s="198" t="s">
        <v>76</v>
      </c>
      <c r="Q23" s="193"/>
      <c r="R23" s="193"/>
      <c r="S23" s="198">
        <v>17</v>
      </c>
      <c r="T23" s="193"/>
      <c r="U23" s="193"/>
      <c r="V23" s="200" t="s">
        <v>242</v>
      </c>
      <c r="W23" s="201"/>
      <c r="X23" s="201"/>
      <c r="Y23" s="201"/>
      <c r="Z23" s="201"/>
      <c r="AA23" s="227"/>
      <c r="AB23" s="213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4"/>
      <c r="AQ23" s="216"/>
      <c r="AR23" s="198"/>
      <c r="AS23" s="193"/>
      <c r="AT23" s="193"/>
      <c r="AU23" s="193"/>
      <c r="AV23" s="193"/>
      <c r="AW23" s="194"/>
      <c r="AX23" s="200" t="s">
        <v>83</v>
      </c>
      <c r="AY23" s="201"/>
      <c r="AZ23" s="201"/>
      <c r="BA23" s="201"/>
      <c r="BB23" s="201"/>
      <c r="BC23" s="201"/>
      <c r="BD23" s="201"/>
      <c r="BE23" s="201"/>
      <c r="BF23" s="201"/>
      <c r="BG23" s="201"/>
      <c r="BH23" s="201"/>
      <c r="BI23" s="201"/>
      <c r="BJ23" s="201"/>
      <c r="BK23" s="201"/>
      <c r="BL23" s="201"/>
      <c r="BM23" s="201"/>
      <c r="BN23" s="201"/>
      <c r="BO23" s="201"/>
      <c r="BP23" s="201"/>
      <c r="BQ23" s="201"/>
      <c r="BR23" s="201"/>
      <c r="BS23" s="201"/>
      <c r="BT23" s="202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89"/>
      <c r="B24" s="44"/>
      <c r="C24" s="89"/>
      <c r="D24" s="37">
        <v>14</v>
      </c>
      <c r="E24" s="238" t="s">
        <v>64</v>
      </c>
      <c r="F24" s="239"/>
      <c r="G24" s="239"/>
      <c r="H24" s="239"/>
      <c r="I24" s="239"/>
      <c r="J24" s="239"/>
      <c r="K24" s="239"/>
      <c r="L24" s="240"/>
      <c r="M24" s="198" t="s">
        <v>38</v>
      </c>
      <c r="N24" s="193"/>
      <c r="O24" s="193"/>
      <c r="P24" s="198" t="s">
        <v>75</v>
      </c>
      <c r="Q24" s="193"/>
      <c r="R24" s="193"/>
      <c r="S24" s="209">
        <v>14</v>
      </c>
      <c r="T24" s="210"/>
      <c r="U24" s="210"/>
      <c r="V24" s="213" t="s">
        <v>111</v>
      </c>
      <c r="W24" s="214"/>
      <c r="X24" s="214"/>
      <c r="Y24" s="214"/>
      <c r="Z24" s="214"/>
      <c r="AA24" s="216"/>
      <c r="AB24" s="213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14"/>
      <c r="AP24" s="214"/>
      <c r="AQ24" s="216"/>
      <c r="AR24" s="209" t="s">
        <v>113</v>
      </c>
      <c r="AS24" s="210"/>
      <c r="AT24" s="210"/>
      <c r="AU24" s="210"/>
      <c r="AV24" s="210"/>
      <c r="AW24" s="211"/>
      <c r="AX24" s="213"/>
      <c r="AY24" s="214"/>
      <c r="AZ24" s="214"/>
      <c r="BA24" s="214"/>
      <c r="BB24" s="214"/>
      <c r="BC24" s="214"/>
      <c r="BD24" s="214"/>
      <c r="BE24" s="214"/>
      <c r="BF24" s="214"/>
      <c r="BG24" s="214"/>
      <c r="BH24" s="214"/>
      <c r="BI24" s="214"/>
      <c r="BJ24" s="214"/>
      <c r="BK24" s="214"/>
      <c r="BL24" s="214"/>
      <c r="BM24" s="214"/>
      <c r="BN24" s="214"/>
      <c r="BO24" s="214"/>
      <c r="BP24" s="214"/>
      <c r="BQ24" s="214"/>
      <c r="BR24" s="214"/>
      <c r="BS24" s="214"/>
      <c r="BT24" s="215"/>
      <c r="BU24" s="90"/>
      <c r="BV24" s="91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</row>
    <row r="25" spans="1:85" s="5" customFormat="1" ht="20.100000000000001" customHeight="1" x14ac:dyDescent="0.45">
      <c r="A25" s="89"/>
      <c r="B25" s="44"/>
      <c r="C25" s="89"/>
      <c r="D25" s="37">
        <v>15</v>
      </c>
      <c r="E25" s="238" t="s">
        <v>65</v>
      </c>
      <c r="F25" s="239"/>
      <c r="G25" s="239"/>
      <c r="H25" s="239"/>
      <c r="I25" s="239"/>
      <c r="J25" s="239"/>
      <c r="K25" s="239"/>
      <c r="L25" s="240"/>
      <c r="M25" s="209" t="s">
        <v>38</v>
      </c>
      <c r="N25" s="210"/>
      <c r="O25" s="210"/>
      <c r="P25" s="209" t="s">
        <v>76</v>
      </c>
      <c r="Q25" s="210"/>
      <c r="R25" s="210"/>
      <c r="S25" s="209">
        <v>21</v>
      </c>
      <c r="T25" s="210"/>
      <c r="U25" s="210"/>
      <c r="V25" s="213" t="s">
        <v>110</v>
      </c>
      <c r="W25" s="214"/>
      <c r="X25" s="214"/>
      <c r="Y25" s="214"/>
      <c r="Z25" s="214"/>
      <c r="AA25" s="216"/>
      <c r="AB25" s="213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6"/>
      <c r="AR25" s="209" t="s">
        <v>112</v>
      </c>
      <c r="AS25" s="210"/>
      <c r="AT25" s="210"/>
      <c r="AU25" s="210"/>
      <c r="AV25" s="210"/>
      <c r="AW25" s="211"/>
      <c r="AX25" s="213"/>
      <c r="AY25" s="214"/>
      <c r="AZ25" s="214"/>
      <c r="BA25" s="214"/>
      <c r="BB25" s="214"/>
      <c r="BC25" s="214"/>
      <c r="BD25" s="214"/>
      <c r="BE25" s="214"/>
      <c r="BF25" s="214"/>
      <c r="BG25" s="214"/>
      <c r="BH25" s="214"/>
      <c r="BI25" s="214"/>
      <c r="BJ25" s="214"/>
      <c r="BK25" s="214"/>
      <c r="BL25" s="214"/>
      <c r="BM25" s="214"/>
      <c r="BN25" s="214"/>
      <c r="BO25" s="214"/>
      <c r="BP25" s="214"/>
      <c r="BQ25" s="214"/>
      <c r="BR25" s="214"/>
      <c r="BS25" s="214"/>
      <c r="BT25" s="215"/>
      <c r="BU25" s="90"/>
      <c r="BV25" s="91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</row>
    <row r="26" spans="1:85" s="5" customFormat="1" ht="20.100000000000001" customHeight="1" x14ac:dyDescent="0.45">
      <c r="A26" s="89"/>
      <c r="B26" s="44"/>
      <c r="C26" s="89"/>
      <c r="D26" s="37">
        <v>16</v>
      </c>
      <c r="E26" s="238" t="s">
        <v>66</v>
      </c>
      <c r="F26" s="239"/>
      <c r="G26" s="239"/>
      <c r="H26" s="239"/>
      <c r="I26" s="239"/>
      <c r="J26" s="239"/>
      <c r="K26" s="239"/>
      <c r="L26" s="240"/>
      <c r="M26" s="209" t="s">
        <v>38</v>
      </c>
      <c r="N26" s="210"/>
      <c r="O26" s="210"/>
      <c r="P26" s="209" t="s">
        <v>76</v>
      </c>
      <c r="Q26" s="210"/>
      <c r="R26" s="210"/>
      <c r="S26" s="209">
        <v>39</v>
      </c>
      <c r="T26" s="210"/>
      <c r="U26" s="210"/>
      <c r="V26" s="213" t="s">
        <v>242</v>
      </c>
      <c r="W26" s="214"/>
      <c r="X26" s="214"/>
      <c r="Y26" s="214"/>
      <c r="Z26" s="214"/>
      <c r="AA26" s="216"/>
      <c r="AB26" s="213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6"/>
      <c r="AR26" s="209"/>
      <c r="AS26" s="210"/>
      <c r="AT26" s="210"/>
      <c r="AU26" s="210"/>
      <c r="AV26" s="210"/>
      <c r="AW26" s="211"/>
      <c r="AX26" s="200" t="s">
        <v>83</v>
      </c>
      <c r="AY26" s="201"/>
      <c r="AZ26" s="201"/>
      <c r="BA26" s="201"/>
      <c r="BB26" s="201"/>
      <c r="BC26" s="201"/>
      <c r="BD26" s="201"/>
      <c r="BE26" s="201"/>
      <c r="BF26" s="201"/>
      <c r="BG26" s="201"/>
      <c r="BH26" s="201"/>
      <c r="BI26" s="201"/>
      <c r="BJ26" s="201"/>
      <c r="BK26" s="201"/>
      <c r="BL26" s="201"/>
      <c r="BM26" s="201"/>
      <c r="BN26" s="201"/>
      <c r="BO26" s="201"/>
      <c r="BP26" s="201"/>
      <c r="BQ26" s="201"/>
      <c r="BR26" s="201"/>
      <c r="BS26" s="201"/>
      <c r="BT26" s="202"/>
      <c r="BU26" s="90"/>
      <c r="BV26" s="91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</row>
    <row r="27" spans="1:85" s="5" customFormat="1" ht="20.100000000000001" customHeight="1" x14ac:dyDescent="0.45">
      <c r="A27" s="89"/>
      <c r="B27" s="44"/>
      <c r="C27" s="89"/>
      <c r="D27" s="37">
        <v>17</v>
      </c>
      <c r="E27" s="238" t="s">
        <v>67</v>
      </c>
      <c r="F27" s="239"/>
      <c r="G27" s="239"/>
      <c r="H27" s="239"/>
      <c r="I27" s="239"/>
      <c r="J27" s="239"/>
      <c r="K27" s="239"/>
      <c r="L27" s="240"/>
      <c r="M27" s="209" t="s">
        <v>38</v>
      </c>
      <c r="N27" s="210"/>
      <c r="O27" s="210"/>
      <c r="P27" s="209" t="s">
        <v>75</v>
      </c>
      <c r="Q27" s="210"/>
      <c r="R27" s="210"/>
      <c r="S27" s="209">
        <v>18</v>
      </c>
      <c r="T27" s="210"/>
      <c r="U27" s="210"/>
      <c r="V27" s="213" t="s">
        <v>257</v>
      </c>
      <c r="W27" s="214"/>
      <c r="X27" s="214"/>
      <c r="Y27" s="214"/>
      <c r="Z27" s="214"/>
      <c r="AA27" s="216"/>
      <c r="AB27" s="213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6"/>
      <c r="AR27" s="209"/>
      <c r="AS27" s="210"/>
      <c r="AT27" s="210"/>
      <c r="AU27" s="210"/>
      <c r="AV27" s="210"/>
      <c r="AW27" s="211"/>
      <c r="AX27" s="213"/>
      <c r="AY27" s="214"/>
      <c r="AZ27" s="214"/>
      <c r="BA27" s="214"/>
      <c r="BB27" s="214"/>
      <c r="BC27" s="214"/>
      <c r="BD27" s="214"/>
      <c r="BE27" s="214"/>
      <c r="BF27" s="214"/>
      <c r="BG27" s="214"/>
      <c r="BH27" s="214"/>
      <c r="BI27" s="214"/>
      <c r="BJ27" s="214"/>
      <c r="BK27" s="214"/>
      <c r="BL27" s="214"/>
      <c r="BM27" s="214"/>
      <c r="BN27" s="214"/>
      <c r="BO27" s="214"/>
      <c r="BP27" s="214"/>
      <c r="BQ27" s="214"/>
      <c r="BR27" s="214"/>
      <c r="BS27" s="214"/>
      <c r="BT27" s="215"/>
      <c r="BU27" s="90"/>
      <c r="BV27" s="91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</row>
    <row r="28" spans="1:85" s="5" customFormat="1" ht="20.100000000000001" customHeight="1" x14ac:dyDescent="0.45">
      <c r="A28" s="89"/>
      <c r="B28" s="44"/>
      <c r="C28" s="89"/>
      <c r="D28" s="37">
        <v>18</v>
      </c>
      <c r="E28" s="238" t="s">
        <v>68</v>
      </c>
      <c r="F28" s="239"/>
      <c r="G28" s="239"/>
      <c r="H28" s="239"/>
      <c r="I28" s="239"/>
      <c r="J28" s="239"/>
      <c r="K28" s="239"/>
      <c r="L28" s="240"/>
      <c r="M28" s="209" t="s">
        <v>38</v>
      </c>
      <c r="N28" s="210"/>
      <c r="O28" s="210"/>
      <c r="P28" s="209" t="s">
        <v>75</v>
      </c>
      <c r="Q28" s="210"/>
      <c r="R28" s="210"/>
      <c r="S28" s="209">
        <v>10</v>
      </c>
      <c r="T28" s="210"/>
      <c r="U28" s="210"/>
      <c r="V28" s="213" t="s">
        <v>258</v>
      </c>
      <c r="W28" s="214"/>
      <c r="X28" s="214"/>
      <c r="Y28" s="214"/>
      <c r="Z28" s="214"/>
      <c r="AA28" s="216"/>
      <c r="AB28" s="213"/>
      <c r="AC28" s="214"/>
      <c r="AD28" s="214"/>
      <c r="AE28" s="214"/>
      <c r="AF28" s="214"/>
      <c r="AG28" s="214"/>
      <c r="AH28" s="214"/>
      <c r="AI28" s="214"/>
      <c r="AJ28" s="214"/>
      <c r="AK28" s="214"/>
      <c r="AL28" s="214"/>
      <c r="AM28" s="214"/>
      <c r="AN28" s="214"/>
      <c r="AO28" s="214"/>
      <c r="AP28" s="214"/>
      <c r="AQ28" s="216"/>
      <c r="AR28" s="209"/>
      <c r="AS28" s="210"/>
      <c r="AT28" s="210"/>
      <c r="AU28" s="210"/>
      <c r="AV28" s="210"/>
      <c r="AW28" s="211"/>
      <c r="AX28" s="213"/>
      <c r="AY28" s="214"/>
      <c r="AZ28" s="214"/>
      <c r="BA28" s="214"/>
      <c r="BB28" s="214"/>
      <c r="BC28" s="214"/>
      <c r="BD28" s="214"/>
      <c r="BE28" s="214"/>
      <c r="BF28" s="214"/>
      <c r="BG28" s="214"/>
      <c r="BH28" s="214"/>
      <c r="BI28" s="214"/>
      <c r="BJ28" s="214"/>
      <c r="BK28" s="214"/>
      <c r="BL28" s="214"/>
      <c r="BM28" s="214"/>
      <c r="BN28" s="214"/>
      <c r="BO28" s="214"/>
      <c r="BP28" s="214"/>
      <c r="BQ28" s="214"/>
      <c r="BR28" s="214"/>
      <c r="BS28" s="214"/>
      <c r="BT28" s="215"/>
      <c r="BU28" s="90"/>
      <c r="BV28" s="91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</row>
    <row r="29" spans="1:85" s="5" customFormat="1" ht="20.100000000000001" customHeight="1" x14ac:dyDescent="0.45">
      <c r="A29" s="89"/>
      <c r="B29" s="44"/>
      <c r="C29" s="89"/>
      <c r="D29" s="37">
        <v>19</v>
      </c>
      <c r="E29" s="238" t="s">
        <v>69</v>
      </c>
      <c r="F29" s="239"/>
      <c r="G29" s="239"/>
      <c r="H29" s="239"/>
      <c r="I29" s="239"/>
      <c r="J29" s="239"/>
      <c r="K29" s="239"/>
      <c r="L29" s="240"/>
      <c r="M29" s="209" t="s">
        <v>47</v>
      </c>
      <c r="N29" s="210"/>
      <c r="O29" s="210"/>
      <c r="P29" s="209" t="s">
        <v>75</v>
      </c>
      <c r="Q29" s="210"/>
      <c r="R29" s="210"/>
      <c r="S29" s="209">
        <v>10</v>
      </c>
      <c r="T29" s="210"/>
      <c r="U29" s="210"/>
      <c r="V29" s="213" t="s">
        <v>82</v>
      </c>
      <c r="W29" s="214"/>
      <c r="X29" s="214"/>
      <c r="Y29" s="214"/>
      <c r="Z29" s="214"/>
      <c r="AA29" s="216"/>
      <c r="AB29" s="213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6"/>
      <c r="AR29" s="203">
        <v>999999</v>
      </c>
      <c r="AS29" s="204"/>
      <c r="AT29" s="204"/>
      <c r="AU29" s="204"/>
      <c r="AV29" s="204"/>
      <c r="AW29" s="205"/>
      <c r="AX29" s="213" t="s">
        <v>84</v>
      </c>
      <c r="AY29" s="214"/>
      <c r="AZ29" s="214"/>
      <c r="BA29" s="214"/>
      <c r="BB29" s="214"/>
      <c r="BC29" s="214"/>
      <c r="BD29" s="214"/>
      <c r="BE29" s="214"/>
      <c r="BF29" s="214"/>
      <c r="BG29" s="214"/>
      <c r="BH29" s="214"/>
      <c r="BI29" s="214"/>
      <c r="BJ29" s="214"/>
      <c r="BK29" s="214"/>
      <c r="BL29" s="214"/>
      <c r="BM29" s="214"/>
      <c r="BN29" s="214"/>
      <c r="BO29" s="214"/>
      <c r="BP29" s="214"/>
      <c r="BQ29" s="214"/>
      <c r="BR29" s="214"/>
      <c r="BS29" s="214"/>
      <c r="BT29" s="215"/>
      <c r="BU29" s="90"/>
      <c r="BV29" s="91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</row>
    <row r="30" spans="1:85" s="5" customFormat="1" ht="19.5" customHeight="1" x14ac:dyDescent="0.45">
      <c r="A30" s="89"/>
      <c r="B30" s="44"/>
      <c r="C30" s="89"/>
      <c r="D30" s="37">
        <v>20</v>
      </c>
      <c r="E30" s="238" t="s">
        <v>70</v>
      </c>
      <c r="F30" s="239"/>
      <c r="G30" s="239"/>
      <c r="H30" s="239"/>
      <c r="I30" s="239"/>
      <c r="J30" s="239"/>
      <c r="K30" s="239"/>
      <c r="L30" s="240"/>
      <c r="M30" s="209" t="s">
        <v>47</v>
      </c>
      <c r="N30" s="210"/>
      <c r="O30" s="210"/>
      <c r="P30" s="209" t="s">
        <v>75</v>
      </c>
      <c r="Q30" s="210"/>
      <c r="R30" s="210"/>
      <c r="S30" s="209">
        <v>10</v>
      </c>
      <c r="T30" s="210"/>
      <c r="U30" s="210"/>
      <c r="V30" s="213" t="s">
        <v>259</v>
      </c>
      <c r="W30" s="214"/>
      <c r="X30" s="214"/>
      <c r="Y30" s="214"/>
      <c r="Z30" s="214"/>
      <c r="AA30" s="216"/>
      <c r="AB30" s="213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4"/>
      <c r="AQ30" s="216"/>
      <c r="AR30" s="203">
        <v>999999</v>
      </c>
      <c r="AS30" s="204"/>
      <c r="AT30" s="204"/>
      <c r="AU30" s="204"/>
      <c r="AV30" s="204"/>
      <c r="AW30" s="205"/>
      <c r="AX30" s="213"/>
      <c r="AY30" s="214"/>
      <c r="AZ30" s="214"/>
      <c r="BA30" s="214"/>
      <c r="BB30" s="214"/>
      <c r="BC30" s="214"/>
      <c r="BD30" s="214"/>
      <c r="BE30" s="214"/>
      <c r="BF30" s="214"/>
      <c r="BG30" s="214"/>
      <c r="BH30" s="214"/>
      <c r="BI30" s="214"/>
      <c r="BJ30" s="214"/>
      <c r="BK30" s="214"/>
      <c r="BL30" s="214"/>
      <c r="BM30" s="214"/>
      <c r="BN30" s="214"/>
      <c r="BO30" s="214"/>
      <c r="BP30" s="214"/>
      <c r="BQ30" s="214"/>
      <c r="BR30" s="214"/>
      <c r="BS30" s="214"/>
      <c r="BT30" s="215"/>
      <c r="BU30" s="90"/>
      <c r="BV30" s="91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</row>
    <row r="31" spans="1:85" s="5" customFormat="1" ht="19.5" customHeight="1" x14ac:dyDescent="0.45">
      <c r="A31" s="89"/>
      <c r="B31" s="44"/>
      <c r="C31" s="89"/>
      <c r="D31" s="37">
        <v>21</v>
      </c>
      <c r="E31" s="238" t="s">
        <v>71</v>
      </c>
      <c r="F31" s="239"/>
      <c r="G31" s="239"/>
      <c r="H31" s="239"/>
      <c r="I31" s="239"/>
      <c r="J31" s="239"/>
      <c r="K31" s="239"/>
      <c r="L31" s="240"/>
      <c r="M31" s="209" t="s">
        <v>47</v>
      </c>
      <c r="N31" s="210"/>
      <c r="O31" s="210"/>
      <c r="P31" s="209" t="s">
        <v>75</v>
      </c>
      <c r="Q31" s="210"/>
      <c r="R31" s="210"/>
      <c r="S31" s="209">
        <v>12</v>
      </c>
      <c r="T31" s="210"/>
      <c r="U31" s="210"/>
      <c r="V31" s="213" t="s">
        <v>260</v>
      </c>
      <c r="W31" s="214"/>
      <c r="X31" s="214"/>
      <c r="Y31" s="214"/>
      <c r="Z31" s="214"/>
      <c r="AA31" s="216"/>
      <c r="AB31" s="213"/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  <c r="AP31" s="214"/>
      <c r="AQ31" s="216"/>
      <c r="AR31" s="209"/>
      <c r="AS31" s="210"/>
      <c r="AT31" s="210"/>
      <c r="AU31" s="210"/>
      <c r="AV31" s="210"/>
      <c r="AW31" s="211"/>
      <c r="AX31" s="213"/>
      <c r="AY31" s="214"/>
      <c r="AZ31" s="214"/>
      <c r="BA31" s="214"/>
      <c r="BB31" s="214"/>
      <c r="BC31" s="214"/>
      <c r="BD31" s="214"/>
      <c r="BE31" s="214"/>
      <c r="BF31" s="214"/>
      <c r="BG31" s="214"/>
      <c r="BH31" s="214"/>
      <c r="BI31" s="214"/>
      <c r="BJ31" s="214"/>
      <c r="BK31" s="214"/>
      <c r="BL31" s="214"/>
      <c r="BM31" s="214"/>
      <c r="BN31" s="214"/>
      <c r="BO31" s="214"/>
      <c r="BP31" s="214"/>
      <c r="BQ31" s="214"/>
      <c r="BR31" s="214"/>
      <c r="BS31" s="214"/>
      <c r="BT31" s="215"/>
      <c r="BU31" s="90"/>
      <c r="BV31" s="91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</row>
    <row r="32" spans="1:85" s="5" customFormat="1" ht="19.5" customHeight="1" x14ac:dyDescent="0.45">
      <c r="A32" s="89"/>
      <c r="B32" s="44"/>
      <c r="C32" s="89"/>
      <c r="D32" s="37">
        <v>22</v>
      </c>
      <c r="E32" s="238" t="s">
        <v>72</v>
      </c>
      <c r="F32" s="239"/>
      <c r="G32" s="239"/>
      <c r="H32" s="239"/>
      <c r="I32" s="239"/>
      <c r="J32" s="239"/>
      <c r="K32" s="239"/>
      <c r="L32" s="240"/>
      <c r="M32" s="209" t="s">
        <v>38</v>
      </c>
      <c r="N32" s="210"/>
      <c r="O32" s="210"/>
      <c r="P32" s="209" t="s">
        <v>116</v>
      </c>
      <c r="Q32" s="210"/>
      <c r="R32" s="210"/>
      <c r="S32" s="209">
        <v>13</v>
      </c>
      <c r="T32" s="210"/>
      <c r="U32" s="210"/>
      <c r="V32" s="213" t="s">
        <v>82</v>
      </c>
      <c r="W32" s="214"/>
      <c r="X32" s="214"/>
      <c r="Y32" s="214"/>
      <c r="Z32" s="214"/>
      <c r="AA32" s="216"/>
      <c r="AB32" s="213"/>
      <c r="AC32" s="214"/>
      <c r="AD32" s="214"/>
      <c r="AE32" s="214"/>
      <c r="AF32" s="214"/>
      <c r="AG32" s="214"/>
      <c r="AH32" s="214"/>
      <c r="AI32" s="214"/>
      <c r="AJ32" s="214"/>
      <c r="AK32" s="214"/>
      <c r="AL32" s="214"/>
      <c r="AM32" s="214"/>
      <c r="AN32" s="214"/>
      <c r="AO32" s="214"/>
      <c r="AP32" s="214"/>
      <c r="AQ32" s="216"/>
      <c r="AR32" s="209"/>
      <c r="AS32" s="210"/>
      <c r="AT32" s="210"/>
      <c r="AU32" s="210"/>
      <c r="AV32" s="210"/>
      <c r="AW32" s="211"/>
      <c r="AX32" s="213" t="s">
        <v>84</v>
      </c>
      <c r="AY32" s="214"/>
      <c r="AZ32" s="214"/>
      <c r="BA32" s="214"/>
      <c r="BB32" s="214"/>
      <c r="BC32" s="214"/>
      <c r="BD32" s="214"/>
      <c r="BE32" s="214"/>
      <c r="BF32" s="214"/>
      <c r="BG32" s="214"/>
      <c r="BH32" s="214"/>
      <c r="BI32" s="214"/>
      <c r="BJ32" s="214"/>
      <c r="BK32" s="214"/>
      <c r="BL32" s="214"/>
      <c r="BM32" s="214"/>
      <c r="BN32" s="214"/>
      <c r="BO32" s="214"/>
      <c r="BP32" s="214"/>
      <c r="BQ32" s="214"/>
      <c r="BR32" s="214"/>
      <c r="BS32" s="214"/>
      <c r="BT32" s="215"/>
      <c r="BU32" s="90"/>
      <c r="BV32" s="91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</row>
    <row r="33" spans="1:85" s="5" customFormat="1" ht="20.100000000000001" customHeight="1" thickBot="1" x14ac:dyDescent="0.5">
      <c r="A33" s="89"/>
      <c r="B33" s="44"/>
      <c r="C33" s="89"/>
      <c r="D33" s="37">
        <v>23</v>
      </c>
      <c r="E33" s="234" t="s">
        <v>73</v>
      </c>
      <c r="F33" s="235"/>
      <c r="G33" s="235"/>
      <c r="H33" s="235"/>
      <c r="I33" s="235"/>
      <c r="J33" s="235"/>
      <c r="K33" s="235"/>
      <c r="L33" s="236"/>
      <c r="M33" s="225" t="s">
        <v>118</v>
      </c>
      <c r="N33" s="226"/>
      <c r="O33" s="237"/>
      <c r="P33" s="225" t="s">
        <v>119</v>
      </c>
      <c r="Q33" s="226"/>
      <c r="R33" s="226"/>
      <c r="S33" s="225">
        <v>7</v>
      </c>
      <c r="T33" s="226"/>
      <c r="U33" s="226"/>
      <c r="V33" s="217" t="s">
        <v>82</v>
      </c>
      <c r="W33" s="218"/>
      <c r="X33" s="218"/>
      <c r="Y33" s="218"/>
      <c r="Z33" s="218"/>
      <c r="AA33" s="219"/>
      <c r="AB33" s="217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9"/>
      <c r="AR33" s="203">
        <v>999999</v>
      </c>
      <c r="AS33" s="204"/>
      <c r="AT33" s="204"/>
      <c r="AU33" s="204"/>
      <c r="AV33" s="204"/>
      <c r="AW33" s="205"/>
      <c r="AX33" s="220" t="s">
        <v>84</v>
      </c>
      <c r="AY33" s="221"/>
      <c r="AZ33" s="221"/>
      <c r="BA33" s="221"/>
      <c r="BB33" s="221"/>
      <c r="BC33" s="221"/>
      <c r="BD33" s="221"/>
      <c r="BE33" s="221"/>
      <c r="BF33" s="221"/>
      <c r="BG33" s="221"/>
      <c r="BH33" s="221"/>
      <c r="BI33" s="221"/>
      <c r="BJ33" s="221"/>
      <c r="BK33" s="221"/>
      <c r="BL33" s="221"/>
      <c r="BM33" s="221"/>
      <c r="BN33" s="221"/>
      <c r="BO33" s="221"/>
      <c r="BP33" s="221"/>
      <c r="BQ33" s="221"/>
      <c r="BR33" s="221"/>
      <c r="BS33" s="221"/>
      <c r="BT33" s="222"/>
      <c r="BU33" s="90"/>
      <c r="BV33" s="91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</row>
    <row r="34" spans="1:85" ht="20.100000000000001" customHeight="1" thickTop="1" thickBot="1" x14ac:dyDescent="0.5">
      <c r="A34" s="29"/>
      <c r="B34" s="40"/>
      <c r="C34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46"/>
      <c r="BR34" s="46"/>
      <c r="BS34" s="46"/>
      <c r="BT34" s="46"/>
      <c r="BU34" s="28"/>
    </row>
    <row r="35" spans="1:85" ht="20.100000000000001" customHeight="1" thickTop="1" x14ac:dyDescent="0.45">
      <c r="A35" s="29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33"/>
      <c r="BD35" s="33"/>
      <c r="BE35" s="33"/>
      <c r="BF35" s="33"/>
      <c r="BG35" s="33"/>
      <c r="BH35" s="33"/>
      <c r="BI35" s="42"/>
      <c r="BJ35" s="42"/>
      <c r="BK35" s="42"/>
      <c r="BL35" s="42"/>
      <c r="BM35" s="42"/>
      <c r="BN35" s="42"/>
      <c r="BO35" s="42"/>
      <c r="BP35" s="41"/>
    </row>
    <row r="36" spans="1:85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</row>
    <row r="37" spans="1:85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1:85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1:85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85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3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A52" s="29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 x14ac:dyDescent="0.45">
      <c r="A53" s="29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 x14ac:dyDescent="0.4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</row>
    <row r="55" spans="1:68" ht="20.100000000000001" customHeight="1" x14ac:dyDescent="0.4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</row>
    <row r="56" spans="1:68" ht="20.100000000000001" customHeight="1" x14ac:dyDescent="0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</sheetData>
  <mergeCells count="212">
    <mergeCell ref="V32:AA32"/>
    <mergeCell ref="AB32:AQ32"/>
    <mergeCell ref="AR32:AW32"/>
    <mergeCell ref="AX32:BT32"/>
    <mergeCell ref="E11:L11"/>
    <mergeCell ref="M11:O11"/>
    <mergeCell ref="P11:R11"/>
    <mergeCell ref="S11:U11"/>
    <mergeCell ref="V11:AA11"/>
    <mergeCell ref="AB11:AQ11"/>
    <mergeCell ref="AR11:AW11"/>
    <mergeCell ref="AX11:BT11"/>
    <mergeCell ref="E22:L22"/>
    <mergeCell ref="E23:L23"/>
    <mergeCell ref="E24:L24"/>
    <mergeCell ref="E16:L16"/>
    <mergeCell ref="E17:L17"/>
    <mergeCell ref="M16:O16"/>
    <mergeCell ref="M21:O21"/>
    <mergeCell ref="E20:L20"/>
    <mergeCell ref="E21:L21"/>
    <mergeCell ref="M17:O17"/>
    <mergeCell ref="M18:O18"/>
    <mergeCell ref="M19:O19"/>
    <mergeCell ref="E33:L33"/>
    <mergeCell ref="M28:O28"/>
    <mergeCell ref="M29:O29"/>
    <mergeCell ref="M30:O30"/>
    <mergeCell ref="M31:O31"/>
    <mergeCell ref="M33:O33"/>
    <mergeCell ref="E25:L25"/>
    <mergeCell ref="E28:L28"/>
    <mergeCell ref="E29:L29"/>
    <mergeCell ref="E30:L30"/>
    <mergeCell ref="E31:L31"/>
    <mergeCell ref="E27:L27"/>
    <mergeCell ref="E26:L26"/>
    <mergeCell ref="M26:O26"/>
    <mergeCell ref="M27:O27"/>
    <mergeCell ref="E32:L32"/>
    <mergeCell ref="M32:O32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H3:K4"/>
    <mergeCell ref="L3:Q4"/>
    <mergeCell ref="E13:L13"/>
    <mergeCell ref="E14:L14"/>
    <mergeCell ref="B2:G2"/>
    <mergeCell ref="H2:K2"/>
    <mergeCell ref="L2:Q2"/>
    <mergeCell ref="R2:W2"/>
    <mergeCell ref="E10:L10"/>
    <mergeCell ref="E12:L12"/>
    <mergeCell ref="M10:O10"/>
    <mergeCell ref="M12:O12"/>
    <mergeCell ref="M13:O13"/>
    <mergeCell ref="M14:O14"/>
    <mergeCell ref="M20:O20"/>
    <mergeCell ref="E18:L18"/>
    <mergeCell ref="E19:L19"/>
    <mergeCell ref="X2:AJ2"/>
    <mergeCell ref="X3:AJ4"/>
    <mergeCell ref="M22:O22"/>
    <mergeCell ref="M23:O23"/>
    <mergeCell ref="M24:O24"/>
    <mergeCell ref="M25:O25"/>
    <mergeCell ref="R3:W4"/>
    <mergeCell ref="P10:R10"/>
    <mergeCell ref="P12:R12"/>
    <mergeCell ref="P13:R13"/>
    <mergeCell ref="P14:R14"/>
    <mergeCell ref="P16:R16"/>
    <mergeCell ref="P17:R17"/>
    <mergeCell ref="P18:R18"/>
    <mergeCell ref="P19:R19"/>
    <mergeCell ref="P20:R20"/>
    <mergeCell ref="E15:L15"/>
    <mergeCell ref="M15:O15"/>
    <mergeCell ref="V15:AA15"/>
    <mergeCell ref="AB15:AQ15"/>
    <mergeCell ref="B3:G4"/>
    <mergeCell ref="V26:AA26"/>
    <mergeCell ref="V27:AA27"/>
    <mergeCell ref="V28:AA28"/>
    <mergeCell ref="V29:AA29"/>
    <mergeCell ref="V30:AA30"/>
    <mergeCell ref="P21:R21"/>
    <mergeCell ref="P22:R22"/>
    <mergeCell ref="P23:R23"/>
    <mergeCell ref="P24:R24"/>
    <mergeCell ref="P25:R25"/>
    <mergeCell ref="V25:AA25"/>
    <mergeCell ref="V21:AA21"/>
    <mergeCell ref="V22:AA22"/>
    <mergeCell ref="V23:AA23"/>
    <mergeCell ref="V24:AA24"/>
    <mergeCell ref="P31:R31"/>
    <mergeCell ref="P33:R33"/>
    <mergeCell ref="S12:U12"/>
    <mergeCell ref="S13:U13"/>
    <mergeCell ref="S14:U14"/>
    <mergeCell ref="S16:U16"/>
    <mergeCell ref="S17:U17"/>
    <mergeCell ref="S18:U18"/>
    <mergeCell ref="S19:U19"/>
    <mergeCell ref="S20:U20"/>
    <mergeCell ref="S21:U21"/>
    <mergeCell ref="S22:U22"/>
    <mergeCell ref="S23:U23"/>
    <mergeCell ref="S24:U24"/>
    <mergeCell ref="S25:U25"/>
    <mergeCell ref="P26:R26"/>
    <mergeCell ref="P27:R27"/>
    <mergeCell ref="P28:R28"/>
    <mergeCell ref="P29:R29"/>
    <mergeCell ref="P30:R30"/>
    <mergeCell ref="P32:R32"/>
    <mergeCell ref="S32:U32"/>
    <mergeCell ref="P15:R15"/>
    <mergeCell ref="S15:U15"/>
    <mergeCell ref="AX10:BT10"/>
    <mergeCell ref="AX12:BT12"/>
    <mergeCell ref="AX13:BT13"/>
    <mergeCell ref="AX14:BT14"/>
    <mergeCell ref="AX16:BT16"/>
    <mergeCell ref="V31:AA31"/>
    <mergeCell ref="V33:AA33"/>
    <mergeCell ref="S10:U10"/>
    <mergeCell ref="S26:U26"/>
    <mergeCell ref="S27:U27"/>
    <mergeCell ref="S28:U28"/>
    <mergeCell ref="S29:U29"/>
    <mergeCell ref="S30:U30"/>
    <mergeCell ref="S31:U31"/>
    <mergeCell ref="V10:AA10"/>
    <mergeCell ref="S33:U33"/>
    <mergeCell ref="V12:AA12"/>
    <mergeCell ref="V13:AA13"/>
    <mergeCell ref="V14:AA14"/>
    <mergeCell ref="V16:AA16"/>
    <mergeCell ref="V17:AA17"/>
    <mergeCell ref="V18:AA18"/>
    <mergeCell ref="V19:AA19"/>
    <mergeCell ref="V20:AA20"/>
    <mergeCell ref="AX30:BT30"/>
    <mergeCell ref="AX31:BT31"/>
    <mergeCell ref="AX22:BT22"/>
    <mergeCell ref="AX23:BT23"/>
    <mergeCell ref="AX24:BT24"/>
    <mergeCell ref="AX25:BT25"/>
    <mergeCell ref="AX26:BT26"/>
    <mergeCell ref="AX17:BT17"/>
    <mergeCell ref="AX18:BT18"/>
    <mergeCell ref="AX19:BT19"/>
    <mergeCell ref="AX20:BT20"/>
    <mergeCell ref="AX21:BT21"/>
    <mergeCell ref="AB31:AQ31"/>
    <mergeCell ref="AB33:AQ33"/>
    <mergeCell ref="AB26:AQ26"/>
    <mergeCell ref="AB27:AQ27"/>
    <mergeCell ref="AB28:AQ28"/>
    <mergeCell ref="AB29:AQ29"/>
    <mergeCell ref="AB30:AQ30"/>
    <mergeCell ref="AX33:BT33"/>
    <mergeCell ref="AB10:AQ10"/>
    <mergeCell ref="AB12:AQ12"/>
    <mergeCell ref="AB13:AQ13"/>
    <mergeCell ref="AB14:AQ14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B24:AQ24"/>
    <mergeCell ref="AB25:AQ25"/>
    <mergeCell ref="AX27:BT27"/>
    <mergeCell ref="AX28:BT28"/>
    <mergeCell ref="AX15:BT15"/>
    <mergeCell ref="AR33:AW33"/>
    <mergeCell ref="AR10:AW10"/>
    <mergeCell ref="AR12:AW12"/>
    <mergeCell ref="AR13:AW13"/>
    <mergeCell ref="AR14:AW14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R30:AW30"/>
    <mergeCell ref="AR31:AW31"/>
    <mergeCell ref="AR15:AW15"/>
    <mergeCell ref="AX29:BT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77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50" t="s">
        <v>0</v>
      </c>
      <c r="C2" s="245"/>
      <c r="D2" s="245"/>
      <c r="E2" s="245"/>
      <c r="F2" s="245"/>
      <c r="G2" s="245"/>
      <c r="H2" s="245" t="s">
        <v>17</v>
      </c>
      <c r="I2" s="245"/>
      <c r="J2" s="245"/>
      <c r="K2" s="245"/>
      <c r="L2" s="245" t="s">
        <v>263</v>
      </c>
      <c r="M2" s="245"/>
      <c r="N2" s="245"/>
      <c r="O2" s="245"/>
      <c r="P2" s="245"/>
      <c r="Q2" s="245"/>
      <c r="R2" s="245" t="s">
        <v>2</v>
      </c>
      <c r="S2" s="245"/>
      <c r="T2" s="245"/>
      <c r="U2" s="245"/>
      <c r="V2" s="245"/>
      <c r="W2" s="245"/>
      <c r="X2" s="251" t="s">
        <v>3</v>
      </c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/>
      <c r="AK2" s="251" t="s">
        <v>32</v>
      </c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3"/>
      <c r="AX2" s="245" t="s">
        <v>5</v>
      </c>
      <c r="AY2" s="245"/>
      <c r="AZ2" s="245"/>
      <c r="BA2" s="245"/>
      <c r="BB2" s="245" t="s">
        <v>4</v>
      </c>
      <c r="BC2" s="245"/>
      <c r="BD2" s="245"/>
      <c r="BE2" s="245"/>
      <c r="BF2" s="245" t="s">
        <v>6</v>
      </c>
      <c r="BG2" s="245"/>
      <c r="BH2" s="245"/>
      <c r="BI2" s="245"/>
      <c r="BJ2" s="245" t="s">
        <v>7</v>
      </c>
      <c r="BK2" s="245"/>
      <c r="BL2" s="245"/>
      <c r="BM2" s="246"/>
    </row>
    <row r="3" spans="2:65" ht="20.100000000000001" customHeight="1" x14ac:dyDescent="0.45">
      <c r="B3" s="254" t="str">
        <f>変更履歴!B3</f>
        <v>受発注システム</v>
      </c>
      <c r="C3" s="179"/>
      <c r="D3" s="179"/>
      <c r="E3" s="179"/>
      <c r="F3" s="179"/>
      <c r="G3" s="179"/>
      <c r="H3" s="179" t="str">
        <f ca="1">変更履歴!H3</f>
        <v>SU0700</v>
      </c>
      <c r="I3" s="179"/>
      <c r="J3" s="179"/>
      <c r="K3" s="179"/>
      <c r="L3" s="179" t="str">
        <f>変更履歴!L3</f>
        <v>受発注</v>
      </c>
      <c r="M3" s="179"/>
      <c r="N3" s="179"/>
      <c r="O3" s="179"/>
      <c r="P3" s="179"/>
      <c r="Q3" s="179"/>
      <c r="R3" s="179" t="str">
        <f ca="1">変更履歴!R3</f>
        <v>帳票設計書</v>
      </c>
      <c r="S3" s="179"/>
      <c r="T3" s="179"/>
      <c r="U3" s="179"/>
      <c r="V3" s="179"/>
      <c r="W3" s="179"/>
      <c r="X3" s="183" t="str">
        <f ca="1">変更履歴!X3</f>
        <v>SU0700_しまむら直納伝票請求書_帳票設計書</v>
      </c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0"/>
      <c r="AK3" s="183" t="str">
        <f ca="1">変更履歴!AK3</f>
        <v>しまむら直納伝票請求書</v>
      </c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0"/>
      <c r="AX3" s="190">
        <f>変更履歴!AX3</f>
        <v>45581</v>
      </c>
      <c r="AY3" s="190"/>
      <c r="AZ3" s="190"/>
      <c r="BA3" s="190"/>
      <c r="BB3" s="179" t="str">
        <f>変更履歴!BB3</f>
        <v>大谷</v>
      </c>
      <c r="BC3" s="179"/>
      <c r="BD3" s="179"/>
      <c r="BE3" s="179"/>
      <c r="BF3" s="190">
        <f>変更履歴!BF3</f>
        <v>45581</v>
      </c>
      <c r="BG3" s="190"/>
      <c r="BH3" s="190"/>
      <c r="BI3" s="190"/>
      <c r="BJ3" s="179" t="str">
        <f>変更履歴!BJ3</f>
        <v>大谷</v>
      </c>
      <c r="BK3" s="179"/>
      <c r="BL3" s="179"/>
      <c r="BM3" s="243"/>
    </row>
    <row r="4" spans="2:65" ht="20.100000000000001" customHeight="1" thickBot="1" x14ac:dyDescent="0.5">
      <c r="B4" s="255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7"/>
      <c r="Y4" s="248"/>
      <c r="Z4" s="248"/>
      <c r="AA4" s="248"/>
      <c r="AB4" s="248"/>
      <c r="AC4" s="248"/>
      <c r="AD4" s="248"/>
      <c r="AE4" s="248"/>
      <c r="AF4" s="248"/>
      <c r="AG4" s="248"/>
      <c r="AH4" s="248"/>
      <c r="AI4" s="248"/>
      <c r="AJ4" s="249"/>
      <c r="AK4" s="247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9"/>
      <c r="AX4" s="241"/>
      <c r="AY4" s="241"/>
      <c r="AZ4" s="241"/>
      <c r="BA4" s="241"/>
      <c r="BB4" s="242"/>
      <c r="BC4" s="242"/>
      <c r="BD4" s="242"/>
      <c r="BE4" s="242"/>
      <c r="BF4" s="241"/>
      <c r="BG4" s="241"/>
      <c r="BH4" s="241"/>
      <c r="BI4" s="241"/>
      <c r="BJ4" s="242"/>
      <c r="BK4" s="242"/>
      <c r="BL4" s="242"/>
      <c r="BM4" s="244"/>
    </row>
    <row r="5" spans="2:65" ht="5.0999999999999996" customHeight="1" thickBot="1" x14ac:dyDescent="0.5"/>
    <row r="6" spans="2:65" ht="20.100000000000001" customHeight="1" x14ac:dyDescent="0.45">
      <c r="B6" s="129" t="s">
        <v>162</v>
      </c>
      <c r="C6" s="130"/>
      <c r="D6" s="130"/>
      <c r="E6" s="130"/>
      <c r="F6" s="130"/>
      <c r="G6" s="131"/>
      <c r="H6" s="132" t="s">
        <v>154</v>
      </c>
      <c r="I6" s="130"/>
      <c r="J6" s="160" t="s">
        <v>169</v>
      </c>
      <c r="K6" s="161"/>
      <c r="L6" s="161"/>
      <c r="M6" s="161"/>
      <c r="N6" s="161"/>
      <c r="O6" s="161"/>
      <c r="P6" s="161"/>
      <c r="Q6" s="162"/>
      <c r="R6" s="161" t="s">
        <v>164</v>
      </c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2"/>
      <c r="AK6" s="133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4"/>
    </row>
    <row r="7" spans="2:65" ht="20.100000000000001" customHeight="1" x14ac:dyDescent="0.45">
      <c r="B7" s="163"/>
      <c r="C7" s="31"/>
      <c r="D7" s="31"/>
      <c r="E7" s="31"/>
      <c r="F7" s="31"/>
      <c r="G7" s="136"/>
      <c r="H7" s="137"/>
      <c r="I7" s="31"/>
      <c r="J7" s="164" t="s">
        <v>170</v>
      </c>
      <c r="K7" s="52"/>
      <c r="L7" s="52"/>
      <c r="M7" s="52"/>
      <c r="N7" s="52"/>
      <c r="O7" s="52"/>
      <c r="P7" s="52"/>
      <c r="Q7" s="165"/>
      <c r="R7" s="52" t="s">
        <v>165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65"/>
      <c r="AK7" s="13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39"/>
    </row>
    <row r="8" spans="2:65" ht="20.100000000000001" customHeight="1" x14ac:dyDescent="0.45">
      <c r="B8" s="163"/>
      <c r="C8" s="31"/>
      <c r="D8" s="31"/>
      <c r="E8" s="31"/>
      <c r="F8" s="31"/>
      <c r="G8" s="136"/>
      <c r="H8" s="137"/>
      <c r="I8" s="31"/>
      <c r="J8" s="164" t="s">
        <v>171</v>
      </c>
      <c r="K8" s="52"/>
      <c r="L8" s="52"/>
      <c r="M8" s="52"/>
      <c r="N8" s="52"/>
      <c r="O8" s="52"/>
      <c r="P8" s="52"/>
      <c r="Q8" s="165"/>
      <c r="R8" s="52" t="s">
        <v>166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5"/>
      <c r="AK8" s="13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9"/>
    </row>
    <row r="9" spans="2:65" ht="20.100000000000001" customHeight="1" x14ac:dyDescent="0.45">
      <c r="B9" s="163"/>
      <c r="C9" s="31"/>
      <c r="D9" s="31"/>
      <c r="E9" s="31"/>
      <c r="F9" s="31"/>
      <c r="G9" s="136"/>
      <c r="H9" s="137"/>
      <c r="I9" s="31"/>
      <c r="J9" s="164" t="s">
        <v>172</v>
      </c>
      <c r="K9" s="52"/>
      <c r="L9" s="52"/>
      <c r="M9" s="52"/>
      <c r="N9" s="52"/>
      <c r="O9" s="52"/>
      <c r="P9" s="52"/>
      <c r="Q9" s="165"/>
      <c r="R9" s="52" t="s">
        <v>167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5"/>
      <c r="AK9" s="13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9"/>
    </row>
    <row r="10" spans="2:65" ht="20.100000000000001" customHeight="1" x14ac:dyDescent="0.45">
      <c r="B10" s="163"/>
      <c r="C10" s="31"/>
      <c r="D10" s="31"/>
      <c r="E10" s="31"/>
      <c r="F10" s="31"/>
      <c r="G10" s="136"/>
      <c r="H10" s="31"/>
      <c r="I10" s="31"/>
      <c r="J10" s="164" t="s">
        <v>173</v>
      </c>
      <c r="K10" s="52"/>
      <c r="L10" s="52"/>
      <c r="M10" s="52"/>
      <c r="N10" s="52"/>
      <c r="O10" s="52"/>
      <c r="P10" s="52"/>
      <c r="Q10" s="165"/>
      <c r="R10" s="52" t="s">
        <v>168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65"/>
      <c r="AK10" s="13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9"/>
    </row>
    <row r="11" spans="2:65" ht="20.100000000000001" customHeight="1" x14ac:dyDescent="0.45">
      <c r="B11" s="163"/>
      <c r="C11" s="31"/>
      <c r="D11" s="31"/>
      <c r="E11" s="31"/>
      <c r="F11" s="31"/>
      <c r="G11" s="136"/>
      <c r="H11" s="140" t="s">
        <v>123</v>
      </c>
      <c r="I11" s="55"/>
      <c r="J11" s="140" t="s">
        <v>174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141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142"/>
    </row>
    <row r="12" spans="2:65" ht="20.100000000000001" customHeight="1" x14ac:dyDescent="0.45">
      <c r="B12" s="163"/>
      <c r="C12" s="31"/>
      <c r="D12" s="31"/>
      <c r="E12" s="31"/>
      <c r="F12" s="31"/>
      <c r="G12" s="136"/>
      <c r="H12" s="137"/>
      <c r="I12" s="31"/>
      <c r="J12" s="137" t="s">
        <v>185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9"/>
    </row>
    <row r="13" spans="2:65" ht="20.100000000000001" customHeight="1" x14ac:dyDescent="0.45">
      <c r="B13" s="163"/>
      <c r="C13" s="31"/>
      <c r="D13" s="31"/>
      <c r="E13" s="31"/>
      <c r="F13" s="31"/>
      <c r="G13" s="136"/>
      <c r="H13" s="137"/>
      <c r="I13" s="31"/>
      <c r="J13" s="137" t="s">
        <v>175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9"/>
    </row>
    <row r="14" spans="2:65" ht="20.100000000000001" customHeight="1" x14ac:dyDescent="0.45">
      <c r="B14" s="135"/>
      <c r="C14" s="31"/>
      <c r="D14" s="31"/>
      <c r="E14" s="31"/>
      <c r="F14" s="31"/>
      <c r="G14" s="136"/>
      <c r="I14" s="31"/>
      <c r="J14" s="137" t="s">
        <v>176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13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39"/>
    </row>
    <row r="15" spans="2:65" ht="20.100000000000001" customHeight="1" x14ac:dyDescent="0.45">
      <c r="B15" s="135"/>
      <c r="C15" s="31"/>
      <c r="D15" s="31"/>
      <c r="E15" s="31"/>
      <c r="F15" s="31"/>
      <c r="G15" s="136"/>
      <c r="H15" s="137"/>
      <c r="I15" s="31"/>
      <c r="J15" s="137" t="s">
        <v>177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9"/>
    </row>
    <row r="16" spans="2:65" ht="20.100000000000001" customHeight="1" x14ac:dyDescent="0.45">
      <c r="B16" s="135"/>
      <c r="C16" s="31"/>
      <c r="D16" s="31"/>
      <c r="E16" s="31"/>
      <c r="F16" s="31"/>
      <c r="G16" s="136"/>
      <c r="H16" s="137"/>
      <c r="I16" s="31"/>
      <c r="J16" s="137" t="s">
        <v>178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9"/>
    </row>
    <row r="17" spans="2:61" ht="20.100000000000001" customHeight="1" x14ac:dyDescent="0.45">
      <c r="B17" s="135"/>
      <c r="C17" s="31"/>
      <c r="D17" s="31"/>
      <c r="E17" s="31"/>
      <c r="F17" s="31"/>
      <c r="G17" s="136"/>
      <c r="H17" s="140" t="s">
        <v>124</v>
      </c>
      <c r="I17" s="55"/>
      <c r="J17" s="140" t="s">
        <v>179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141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142"/>
    </row>
    <row r="18" spans="2:61" ht="20.100000000000001" customHeight="1" x14ac:dyDescent="0.45">
      <c r="B18" s="135"/>
      <c r="C18" s="31"/>
      <c r="D18" s="31"/>
      <c r="E18" s="31"/>
      <c r="F18" s="31"/>
      <c r="G18" s="136"/>
      <c r="H18" s="137"/>
      <c r="I18" s="31"/>
      <c r="J18" s="137"/>
      <c r="K18" s="31" t="s">
        <v>180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9"/>
    </row>
    <row r="19" spans="2:61" ht="20.100000000000001" customHeight="1" x14ac:dyDescent="0.45">
      <c r="B19" s="135"/>
      <c r="C19" s="31"/>
      <c r="D19" s="31"/>
      <c r="E19" s="31"/>
      <c r="F19" s="31"/>
      <c r="G19" s="136"/>
      <c r="H19" s="137"/>
      <c r="I19" s="31"/>
      <c r="J19" s="137"/>
      <c r="K19" s="31"/>
      <c r="L19" s="31"/>
      <c r="M19" s="31" t="s">
        <v>181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9"/>
    </row>
    <row r="20" spans="2:61" ht="20.100000000000001" customHeight="1" x14ac:dyDescent="0.45">
      <c r="B20" s="135"/>
      <c r="C20" s="31"/>
      <c r="D20" s="31"/>
      <c r="E20" s="31"/>
      <c r="F20" s="31"/>
      <c r="G20" s="136"/>
      <c r="H20" s="137"/>
      <c r="I20" s="31"/>
      <c r="J20" s="137" t="s">
        <v>182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9"/>
    </row>
    <row r="21" spans="2:61" ht="20.100000000000001" customHeight="1" x14ac:dyDescent="0.45">
      <c r="B21" s="135"/>
      <c r="C21" s="31"/>
      <c r="D21" s="31"/>
      <c r="E21" s="31"/>
      <c r="F21" s="31"/>
      <c r="G21" s="136"/>
      <c r="H21" s="137"/>
      <c r="I21" s="31"/>
      <c r="J21" s="137"/>
      <c r="K21" s="31" t="s">
        <v>183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9"/>
    </row>
    <row r="22" spans="2:61" ht="20.100000000000001" customHeight="1" x14ac:dyDescent="0.45">
      <c r="B22" s="135"/>
      <c r="C22" s="31"/>
      <c r="D22" s="31"/>
      <c r="E22" s="31"/>
      <c r="F22" s="31"/>
      <c r="G22" s="136"/>
      <c r="H22" s="137"/>
      <c r="I22" s="31"/>
      <c r="J22" s="137"/>
      <c r="K22" s="31"/>
      <c r="L22" s="31"/>
      <c r="M22" s="31" t="s">
        <v>184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13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39"/>
    </row>
    <row r="23" spans="2:61" ht="20.100000000000001" customHeight="1" x14ac:dyDescent="0.45">
      <c r="B23" s="135"/>
      <c r="C23" s="31"/>
      <c r="D23" s="31"/>
      <c r="E23" s="31"/>
      <c r="F23" s="31"/>
      <c r="G23" s="136"/>
      <c r="H23" s="137"/>
      <c r="I23" s="31"/>
      <c r="J23" s="137" t="s">
        <v>179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9"/>
    </row>
    <row r="24" spans="2:61" ht="20.100000000000001" customHeight="1" x14ac:dyDescent="0.45">
      <c r="B24" s="135"/>
      <c r="C24" s="31"/>
      <c r="D24" s="31"/>
      <c r="E24" s="31"/>
      <c r="F24" s="31"/>
      <c r="G24" s="136"/>
      <c r="H24" s="137"/>
      <c r="I24" s="31"/>
      <c r="J24" s="137"/>
      <c r="K24" s="31" t="s">
        <v>186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9"/>
    </row>
    <row r="25" spans="2:61" ht="20.100000000000001" customHeight="1" x14ac:dyDescent="0.45">
      <c r="B25" s="135"/>
      <c r="C25" s="31"/>
      <c r="D25" s="31"/>
      <c r="E25" s="31"/>
      <c r="F25" s="31"/>
      <c r="G25" s="136"/>
      <c r="H25" s="137"/>
      <c r="I25" s="31"/>
      <c r="J25" s="137"/>
      <c r="K25" s="31"/>
      <c r="L25" s="31"/>
      <c r="M25" s="31" t="s">
        <v>187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9"/>
    </row>
    <row r="26" spans="2:61" ht="20.100000000000001" customHeight="1" x14ac:dyDescent="0.45">
      <c r="B26" s="135"/>
      <c r="C26" s="31"/>
      <c r="D26" s="31"/>
      <c r="E26" s="31"/>
      <c r="F26" s="31"/>
      <c r="G26" s="136"/>
      <c r="H26" s="137"/>
      <c r="I26" s="31"/>
      <c r="J26" s="137" t="s">
        <v>179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9"/>
    </row>
    <row r="27" spans="2:61" ht="20.100000000000001" customHeight="1" x14ac:dyDescent="0.45">
      <c r="B27" s="135"/>
      <c r="C27" s="31"/>
      <c r="D27" s="31"/>
      <c r="E27" s="31"/>
      <c r="F27" s="31"/>
      <c r="G27" s="136"/>
      <c r="H27" s="137"/>
      <c r="I27" s="31"/>
      <c r="J27" s="137"/>
      <c r="K27" s="31" t="s">
        <v>188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9"/>
    </row>
    <row r="28" spans="2:61" ht="20.100000000000001" customHeight="1" x14ac:dyDescent="0.45">
      <c r="B28" s="135"/>
      <c r="C28" s="31"/>
      <c r="D28" s="31"/>
      <c r="E28" s="31"/>
      <c r="F28" s="31"/>
      <c r="G28" s="136"/>
      <c r="H28" s="137"/>
      <c r="I28" s="31"/>
      <c r="J28" s="137"/>
      <c r="K28" s="31"/>
      <c r="L28" s="31"/>
      <c r="M28" s="31" t="s">
        <v>189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3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9"/>
    </row>
    <row r="29" spans="2:61" ht="20.100000000000001" customHeight="1" x14ac:dyDescent="0.45">
      <c r="B29" s="135"/>
      <c r="C29" s="31"/>
      <c r="D29" s="31"/>
      <c r="E29" s="31"/>
      <c r="F29" s="31"/>
      <c r="G29" s="136"/>
      <c r="H29" s="137"/>
      <c r="I29" s="31"/>
      <c r="J29" s="137" t="s">
        <v>179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9"/>
    </row>
    <row r="30" spans="2:61" ht="20.100000000000001" customHeight="1" x14ac:dyDescent="0.45">
      <c r="B30" s="135"/>
      <c r="C30" s="31"/>
      <c r="D30" s="31"/>
      <c r="E30" s="31"/>
      <c r="F30" s="31"/>
      <c r="G30" s="136"/>
      <c r="H30" s="137"/>
      <c r="I30" s="31"/>
      <c r="J30" s="137"/>
      <c r="K30" s="31" t="s">
        <v>190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9"/>
    </row>
    <row r="31" spans="2:61" ht="20.100000000000001" customHeight="1" x14ac:dyDescent="0.45">
      <c r="B31" s="135"/>
      <c r="C31" s="31"/>
      <c r="D31" s="31"/>
      <c r="E31" s="31"/>
      <c r="F31" s="31"/>
      <c r="G31" s="136"/>
      <c r="H31" s="143"/>
      <c r="I31" s="144"/>
      <c r="J31" s="143"/>
      <c r="K31" s="144"/>
      <c r="L31" s="144"/>
      <c r="M31" s="144" t="s">
        <v>191</v>
      </c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5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6"/>
    </row>
    <row r="32" spans="2:61" ht="20.100000000000001" customHeight="1" x14ac:dyDescent="0.45">
      <c r="B32" s="135"/>
      <c r="C32" s="31"/>
      <c r="D32" s="31"/>
      <c r="E32" s="31"/>
      <c r="F32" s="31"/>
      <c r="G32" s="136"/>
      <c r="H32" s="137" t="s">
        <v>125</v>
      </c>
      <c r="I32" s="31"/>
      <c r="J32" s="137"/>
      <c r="K32" s="31" t="s">
        <v>192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9"/>
    </row>
    <row r="33" spans="2:61" ht="20.100000000000001" customHeight="1" x14ac:dyDescent="0.45">
      <c r="B33" s="135"/>
      <c r="C33" s="31"/>
      <c r="D33" s="31"/>
      <c r="E33" s="31"/>
      <c r="F33" s="31"/>
      <c r="G33" s="136"/>
      <c r="H33" s="137"/>
      <c r="I33" s="31"/>
      <c r="J33" s="137"/>
      <c r="K33" s="31"/>
      <c r="L33" s="31"/>
      <c r="M33" s="31" t="s">
        <v>244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9"/>
    </row>
    <row r="34" spans="2:61" ht="20.100000000000001" customHeight="1" x14ac:dyDescent="0.45">
      <c r="B34" s="135"/>
      <c r="C34" s="31"/>
      <c r="D34" s="31"/>
      <c r="E34" s="31"/>
      <c r="F34" s="31"/>
      <c r="G34" s="136"/>
      <c r="H34" s="137"/>
      <c r="I34" s="31"/>
      <c r="J34" s="137"/>
      <c r="K34" s="31"/>
      <c r="L34" s="31" t="s">
        <v>196</v>
      </c>
      <c r="M34" s="31" t="s">
        <v>243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37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39"/>
    </row>
    <row r="35" spans="2:61" ht="20.100000000000001" customHeight="1" x14ac:dyDescent="0.45">
      <c r="B35" s="135"/>
      <c r="C35" s="31"/>
      <c r="D35" s="31"/>
      <c r="E35" s="31"/>
      <c r="F35" s="31"/>
      <c r="G35" s="136"/>
      <c r="H35" s="137"/>
      <c r="I35" s="31"/>
      <c r="J35" s="137"/>
      <c r="K35" s="31"/>
      <c r="L35" s="31" t="s">
        <v>196</v>
      </c>
      <c r="M35" s="31" t="s">
        <v>245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37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39"/>
    </row>
    <row r="36" spans="2:61" ht="20.100000000000001" customHeight="1" x14ac:dyDescent="0.45">
      <c r="B36" s="135"/>
      <c r="C36" s="31"/>
      <c r="D36" s="31"/>
      <c r="E36" s="31"/>
      <c r="F36" s="31"/>
      <c r="G36" s="136"/>
      <c r="H36" s="137"/>
      <c r="I36" s="31"/>
      <c r="J36" s="137"/>
      <c r="K36" s="31"/>
      <c r="L36" s="31" t="s">
        <v>196</v>
      </c>
      <c r="M36" s="31" t="s">
        <v>246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37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39"/>
    </row>
    <row r="37" spans="2:61" ht="20.100000000000001" customHeight="1" x14ac:dyDescent="0.45">
      <c r="B37" s="135"/>
      <c r="C37" s="31"/>
      <c r="D37" s="31"/>
      <c r="E37" s="31"/>
      <c r="F37" s="31"/>
      <c r="G37" s="136"/>
      <c r="H37" s="137"/>
      <c r="I37" s="31"/>
      <c r="J37" s="137"/>
      <c r="K37" s="31"/>
      <c r="L37" s="31" t="s">
        <v>196</v>
      </c>
      <c r="M37" s="31" t="s">
        <v>247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37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39"/>
    </row>
    <row r="38" spans="2:61" ht="20.100000000000001" customHeight="1" x14ac:dyDescent="0.45">
      <c r="B38" s="135"/>
      <c r="C38" s="31"/>
      <c r="D38" s="31"/>
      <c r="E38" s="31"/>
      <c r="F38" s="31"/>
      <c r="G38" s="136"/>
      <c r="H38" s="137"/>
      <c r="I38" s="31"/>
      <c r="J38" s="137"/>
      <c r="K38" s="31"/>
      <c r="L38" s="31" t="s">
        <v>196</v>
      </c>
      <c r="M38" s="31" t="s">
        <v>193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37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39"/>
    </row>
    <row r="39" spans="2:61" ht="20.100000000000001" customHeight="1" x14ac:dyDescent="0.45">
      <c r="B39" s="135"/>
      <c r="C39" s="31"/>
      <c r="D39" s="31"/>
      <c r="E39" s="31"/>
      <c r="F39" s="31"/>
      <c r="G39" s="136"/>
      <c r="H39" s="137"/>
      <c r="I39" s="31"/>
      <c r="J39" s="137"/>
      <c r="K39" s="31"/>
      <c r="L39" s="31" t="s">
        <v>196</v>
      </c>
      <c r="M39" s="31" t="s">
        <v>194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37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39"/>
    </row>
    <row r="40" spans="2:61" ht="20.100000000000001" customHeight="1" x14ac:dyDescent="0.45">
      <c r="B40" s="135"/>
      <c r="C40" s="31"/>
      <c r="D40" s="31"/>
      <c r="E40" s="31"/>
      <c r="F40" s="31"/>
      <c r="G40" s="136"/>
      <c r="H40" s="137"/>
      <c r="I40" s="31"/>
      <c r="J40" s="137"/>
      <c r="K40" s="31"/>
      <c r="L40" s="31" t="s">
        <v>196</v>
      </c>
      <c r="M40" s="31" t="s">
        <v>195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37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39"/>
    </row>
    <row r="41" spans="2:61" ht="20.100000000000001" customHeight="1" x14ac:dyDescent="0.45">
      <c r="B41" s="135"/>
      <c r="C41" s="31"/>
      <c r="D41" s="31"/>
      <c r="E41" s="31"/>
      <c r="F41" s="31"/>
      <c r="G41" s="136"/>
      <c r="H41" s="137"/>
      <c r="I41" s="31"/>
      <c r="J41" s="137"/>
      <c r="K41" s="31" t="s">
        <v>197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37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9"/>
    </row>
    <row r="42" spans="2:61" ht="20.100000000000001" customHeight="1" x14ac:dyDescent="0.45">
      <c r="B42" s="135"/>
      <c r="C42" s="31"/>
      <c r="D42" s="31"/>
      <c r="E42" s="31"/>
      <c r="F42" s="31"/>
      <c r="G42" s="136"/>
      <c r="H42" s="137"/>
      <c r="I42" s="31"/>
      <c r="J42" s="137" t="s">
        <v>196</v>
      </c>
      <c r="K42" s="31" t="s">
        <v>192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37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39"/>
    </row>
    <row r="43" spans="2:61" ht="20.100000000000001" customHeight="1" x14ac:dyDescent="0.45">
      <c r="B43" s="135"/>
      <c r="C43" s="31"/>
      <c r="D43" s="31"/>
      <c r="E43" s="31"/>
      <c r="F43" s="31"/>
      <c r="G43" s="136"/>
      <c r="H43" s="137"/>
      <c r="I43" s="31"/>
      <c r="J43" s="137"/>
      <c r="K43" s="31"/>
      <c r="L43" s="31"/>
      <c r="M43" s="31" t="s">
        <v>192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37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39"/>
    </row>
    <row r="44" spans="2:61" ht="20.100000000000001" customHeight="1" x14ac:dyDescent="0.45">
      <c r="B44" s="135"/>
      <c r="C44" s="31"/>
      <c r="D44" s="31"/>
      <c r="E44" s="31"/>
      <c r="F44" s="31"/>
      <c r="G44" s="136"/>
      <c r="H44" s="137"/>
      <c r="I44" s="31"/>
      <c r="J44" s="137"/>
      <c r="K44" s="31"/>
      <c r="L44" s="31"/>
      <c r="M44" s="31"/>
      <c r="N44" s="31"/>
      <c r="O44" s="168" t="s">
        <v>198</v>
      </c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37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9"/>
    </row>
    <row r="45" spans="2:61" ht="20.100000000000001" customHeight="1" x14ac:dyDescent="0.45">
      <c r="B45" s="135"/>
      <c r="C45" s="31"/>
      <c r="D45" s="31"/>
      <c r="E45" s="31"/>
      <c r="F45" s="31"/>
      <c r="G45" s="136"/>
      <c r="H45" s="137"/>
      <c r="I45" s="31"/>
      <c r="J45" s="137"/>
      <c r="K45" s="31"/>
      <c r="L45" s="31"/>
      <c r="M45" s="31"/>
      <c r="N45" s="31" t="s">
        <v>199</v>
      </c>
      <c r="O45" s="168" t="s">
        <v>200</v>
      </c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37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39"/>
    </row>
    <row r="46" spans="2:61" ht="20.100000000000001" customHeight="1" x14ac:dyDescent="0.45">
      <c r="B46" s="135"/>
      <c r="C46" s="31"/>
      <c r="D46" s="31"/>
      <c r="E46" s="31"/>
      <c r="F46" s="31"/>
      <c r="G46" s="136"/>
      <c r="H46" s="137"/>
      <c r="I46" s="31"/>
      <c r="J46" s="137"/>
      <c r="K46" s="31"/>
      <c r="L46" s="31"/>
      <c r="M46" s="31" t="s">
        <v>197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37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39"/>
    </row>
    <row r="47" spans="2:61" ht="20.100000000000001" customHeight="1" x14ac:dyDescent="0.45">
      <c r="B47" s="135"/>
      <c r="C47" s="31"/>
      <c r="D47" s="31"/>
      <c r="E47" s="31"/>
      <c r="F47" s="31"/>
      <c r="G47" s="136"/>
      <c r="H47" s="137"/>
      <c r="I47" s="31"/>
      <c r="J47" s="137"/>
      <c r="K47" s="31" t="s">
        <v>197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37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39"/>
    </row>
    <row r="48" spans="2:61" ht="20.100000000000001" customHeight="1" x14ac:dyDescent="0.45">
      <c r="B48" s="135"/>
      <c r="C48" s="31"/>
      <c r="D48" s="31"/>
      <c r="E48" s="31"/>
      <c r="F48" s="31"/>
      <c r="G48" s="136"/>
      <c r="H48" s="164" t="s">
        <v>201</v>
      </c>
      <c r="I48" s="52"/>
      <c r="J48" s="164" t="s">
        <v>203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165"/>
      <c r="AK48" s="137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39"/>
    </row>
    <row r="49" spans="2:61" ht="20.100000000000001" customHeight="1" thickBot="1" x14ac:dyDescent="0.5">
      <c r="B49" s="135"/>
      <c r="C49" s="31"/>
      <c r="D49" s="31"/>
      <c r="E49" s="31"/>
      <c r="F49" s="31"/>
      <c r="G49" s="136"/>
      <c r="H49" s="169" t="s">
        <v>202</v>
      </c>
      <c r="I49" s="170"/>
      <c r="J49" s="169" t="s">
        <v>203</v>
      </c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1"/>
      <c r="AK49" s="143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6"/>
    </row>
    <row r="50" spans="2:61" ht="20.100000000000001" customHeight="1" x14ac:dyDescent="0.45">
      <c r="B50" s="129" t="s">
        <v>204</v>
      </c>
      <c r="C50" s="130"/>
      <c r="D50" s="130"/>
      <c r="E50" s="130"/>
      <c r="F50" s="130"/>
      <c r="G50" s="131"/>
      <c r="H50" s="132" t="s">
        <v>154</v>
      </c>
      <c r="I50" s="130"/>
      <c r="J50" s="160" t="s">
        <v>210</v>
      </c>
      <c r="K50" s="161"/>
      <c r="L50" s="161"/>
      <c r="M50" s="161"/>
      <c r="N50" s="161"/>
      <c r="O50" s="161"/>
      <c r="P50" s="161"/>
      <c r="Q50" s="162"/>
      <c r="R50" s="161" t="s">
        <v>206</v>
      </c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2"/>
      <c r="AK50" s="133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4"/>
    </row>
    <row r="51" spans="2:61" ht="20.100000000000001" customHeight="1" x14ac:dyDescent="0.45">
      <c r="B51" s="163"/>
      <c r="C51" s="31"/>
      <c r="D51" s="31"/>
      <c r="E51" s="31"/>
      <c r="F51" s="31"/>
      <c r="G51" s="136"/>
      <c r="H51" s="137"/>
      <c r="I51" s="31"/>
      <c r="J51" s="164" t="s">
        <v>211</v>
      </c>
      <c r="K51" s="52"/>
      <c r="L51" s="52"/>
      <c r="M51" s="52"/>
      <c r="N51" s="52"/>
      <c r="O51" s="52"/>
      <c r="P51" s="52"/>
      <c r="Q51" s="165"/>
      <c r="R51" s="52" t="s">
        <v>207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165"/>
      <c r="AK51" s="138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39"/>
    </row>
    <row r="52" spans="2:61" ht="20.100000000000001" customHeight="1" x14ac:dyDescent="0.45">
      <c r="B52" s="163"/>
      <c r="C52" s="31"/>
      <c r="D52" s="31"/>
      <c r="E52" s="31"/>
      <c r="F52" s="31"/>
      <c r="G52" s="136"/>
      <c r="H52" s="137"/>
      <c r="I52" s="31"/>
      <c r="J52" s="164" t="s">
        <v>212</v>
      </c>
      <c r="K52" s="52"/>
      <c r="L52" s="52"/>
      <c r="M52" s="52"/>
      <c r="N52" s="52"/>
      <c r="O52" s="52"/>
      <c r="P52" s="52"/>
      <c r="Q52" s="165"/>
      <c r="R52" s="52" t="s">
        <v>208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165"/>
      <c r="AK52" s="138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39"/>
    </row>
    <row r="53" spans="2:61" ht="20.100000000000001" customHeight="1" x14ac:dyDescent="0.45">
      <c r="B53" s="163"/>
      <c r="C53" s="31"/>
      <c r="D53" s="31"/>
      <c r="E53" s="31"/>
      <c r="F53" s="31"/>
      <c r="G53" s="136"/>
      <c r="H53" s="137"/>
      <c r="I53" s="31"/>
      <c r="J53" s="164" t="s">
        <v>213</v>
      </c>
      <c r="K53" s="52"/>
      <c r="L53" s="52"/>
      <c r="M53" s="52"/>
      <c r="N53" s="52"/>
      <c r="O53" s="52"/>
      <c r="P53" s="52"/>
      <c r="Q53" s="165"/>
      <c r="R53" s="172" t="s">
        <v>209</v>
      </c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165"/>
      <c r="AK53" s="138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39"/>
    </row>
    <row r="54" spans="2:61" ht="20.100000000000001" customHeight="1" x14ac:dyDescent="0.45">
      <c r="B54" s="163"/>
      <c r="C54" s="31"/>
      <c r="D54" s="31"/>
      <c r="E54" s="31"/>
      <c r="F54" s="31"/>
      <c r="G54" s="136"/>
      <c r="H54" s="31"/>
      <c r="I54" s="31"/>
      <c r="J54" s="164" t="s">
        <v>214</v>
      </c>
      <c r="K54" s="52"/>
      <c r="L54" s="52"/>
      <c r="M54" s="52"/>
      <c r="N54" s="52"/>
      <c r="O54" s="52"/>
      <c r="P54" s="52"/>
      <c r="Q54" s="165"/>
      <c r="R54" s="52">
        <v>0</v>
      </c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165"/>
      <c r="AK54" s="138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39"/>
    </row>
    <row r="55" spans="2:61" ht="20.100000000000001" customHeight="1" x14ac:dyDescent="0.45">
      <c r="B55" s="163"/>
      <c r="C55" s="31"/>
      <c r="D55" s="31"/>
      <c r="E55" s="31"/>
      <c r="F55" s="31"/>
      <c r="G55" s="136"/>
      <c r="H55" s="140" t="s">
        <v>123</v>
      </c>
      <c r="I55" s="55"/>
      <c r="J55" s="140" t="s">
        <v>178</v>
      </c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141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142"/>
    </row>
    <row r="56" spans="2:61" ht="20.100000000000001" customHeight="1" x14ac:dyDescent="0.45">
      <c r="B56" s="163"/>
      <c r="C56" s="31"/>
      <c r="D56" s="31"/>
      <c r="E56" s="31"/>
      <c r="F56" s="31"/>
      <c r="G56" s="136"/>
      <c r="H56" s="137"/>
      <c r="I56" s="31"/>
      <c r="J56" s="137" t="s">
        <v>217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38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39"/>
    </row>
    <row r="57" spans="2:61" ht="20.100000000000001" customHeight="1" x14ac:dyDescent="0.45">
      <c r="B57" s="135"/>
      <c r="C57" s="31"/>
      <c r="D57" s="31"/>
      <c r="E57" s="31"/>
      <c r="F57" s="31"/>
      <c r="G57" s="136"/>
      <c r="H57" s="140" t="s">
        <v>124</v>
      </c>
      <c r="I57" s="55"/>
      <c r="J57" s="140" t="s">
        <v>182</v>
      </c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141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142"/>
    </row>
    <row r="58" spans="2:61" ht="20.100000000000001" customHeight="1" x14ac:dyDescent="0.45">
      <c r="B58" s="135"/>
      <c r="C58" s="31"/>
      <c r="D58" s="31"/>
      <c r="E58" s="31"/>
      <c r="F58" s="31"/>
      <c r="G58" s="136"/>
      <c r="H58" s="137"/>
      <c r="I58" s="31"/>
      <c r="J58" s="137"/>
      <c r="K58" s="31" t="s">
        <v>215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38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39"/>
    </row>
    <row r="59" spans="2:61" ht="20.100000000000001" customHeight="1" x14ac:dyDescent="0.45">
      <c r="B59" s="135"/>
      <c r="C59" s="31"/>
      <c r="D59" s="31"/>
      <c r="E59" s="31"/>
      <c r="F59" s="31"/>
      <c r="G59" s="136"/>
      <c r="H59" s="137"/>
      <c r="I59" s="31"/>
      <c r="J59" s="137"/>
      <c r="K59" s="31"/>
      <c r="L59" s="31"/>
      <c r="M59" s="31" t="s">
        <v>216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38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39"/>
    </row>
    <row r="60" spans="2:61" ht="20.100000000000001" customHeight="1" thickBot="1" x14ac:dyDescent="0.5">
      <c r="B60" s="135"/>
      <c r="C60" s="31"/>
      <c r="D60" s="31"/>
      <c r="E60" s="31"/>
      <c r="F60" s="31"/>
      <c r="G60" s="136"/>
      <c r="H60" s="140" t="s">
        <v>125</v>
      </c>
      <c r="I60" s="55"/>
      <c r="J60" s="140"/>
      <c r="K60" s="55" t="s">
        <v>248</v>
      </c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141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142"/>
    </row>
    <row r="61" spans="2:61" ht="20.100000000000001" customHeight="1" x14ac:dyDescent="0.45">
      <c r="B61" s="129" t="s">
        <v>205</v>
      </c>
      <c r="C61" s="130"/>
      <c r="D61" s="130"/>
      <c r="E61" s="130"/>
      <c r="F61" s="130"/>
      <c r="G61" s="131"/>
      <c r="H61" s="132" t="s">
        <v>154</v>
      </c>
      <c r="I61" s="130"/>
      <c r="J61" s="160" t="s">
        <v>169</v>
      </c>
      <c r="K61" s="161"/>
      <c r="L61" s="161"/>
      <c r="M61" s="161"/>
      <c r="N61" s="161"/>
      <c r="O61" s="161"/>
      <c r="P61" s="161"/>
      <c r="Q61" s="162"/>
      <c r="R61" s="160" t="s">
        <v>218</v>
      </c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2"/>
      <c r="AK61" s="133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4"/>
    </row>
    <row r="62" spans="2:61" ht="20.100000000000001" customHeight="1" x14ac:dyDescent="0.45">
      <c r="B62" s="163"/>
      <c r="C62" s="31"/>
      <c r="D62" s="31"/>
      <c r="E62" s="31"/>
      <c r="F62" s="31"/>
      <c r="G62" s="136"/>
      <c r="H62" s="137"/>
      <c r="I62" s="31"/>
      <c r="J62" s="164" t="s">
        <v>170</v>
      </c>
      <c r="K62" s="52"/>
      <c r="L62" s="52"/>
      <c r="M62" s="52"/>
      <c r="N62" s="52"/>
      <c r="O62" s="52"/>
      <c r="P62" s="52"/>
      <c r="Q62" s="165"/>
      <c r="R62" s="164" t="s">
        <v>219</v>
      </c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165"/>
      <c r="AK62" s="138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39"/>
    </row>
    <row r="63" spans="2:61" ht="20.100000000000001" customHeight="1" x14ac:dyDescent="0.45">
      <c r="B63" s="163"/>
      <c r="C63" s="31"/>
      <c r="D63" s="31"/>
      <c r="E63" s="31"/>
      <c r="F63" s="31"/>
      <c r="G63" s="136"/>
      <c r="H63" s="137"/>
      <c r="I63" s="31"/>
      <c r="J63" s="164" t="s">
        <v>171</v>
      </c>
      <c r="K63" s="52"/>
      <c r="L63" s="52"/>
      <c r="M63" s="52"/>
      <c r="N63" s="52"/>
      <c r="O63" s="52"/>
      <c r="P63" s="52"/>
      <c r="Q63" s="165"/>
      <c r="R63" s="164" t="s">
        <v>220</v>
      </c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165"/>
      <c r="AK63" s="138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39"/>
    </row>
    <row r="64" spans="2:61" ht="20.100000000000001" customHeight="1" x14ac:dyDescent="0.45">
      <c r="B64" s="163"/>
      <c r="C64" s="31"/>
      <c r="D64" s="31"/>
      <c r="E64" s="31"/>
      <c r="F64" s="31"/>
      <c r="G64" s="136"/>
      <c r="H64" s="137"/>
      <c r="I64" s="31"/>
      <c r="J64" s="164" t="s">
        <v>172</v>
      </c>
      <c r="K64" s="52"/>
      <c r="L64" s="52"/>
      <c r="M64" s="52"/>
      <c r="N64" s="52"/>
      <c r="O64" s="52"/>
      <c r="P64" s="52"/>
      <c r="Q64" s="165"/>
      <c r="R64" s="164" t="s">
        <v>221</v>
      </c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165"/>
      <c r="AK64" s="138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39"/>
    </row>
    <row r="65" spans="2:61" ht="20.100000000000001" customHeight="1" x14ac:dyDescent="0.45">
      <c r="B65" s="163"/>
      <c r="C65" s="31"/>
      <c r="D65" s="31"/>
      <c r="E65" s="31"/>
      <c r="F65" s="31"/>
      <c r="G65" s="136"/>
      <c r="H65" s="31"/>
      <c r="I65" s="31"/>
      <c r="J65" s="164" t="s">
        <v>173</v>
      </c>
      <c r="K65" s="52"/>
      <c r="L65" s="52"/>
      <c r="M65" s="52"/>
      <c r="N65" s="52"/>
      <c r="O65" s="52"/>
      <c r="P65" s="52"/>
      <c r="Q65" s="165"/>
      <c r="R65" s="164" t="s">
        <v>222</v>
      </c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165"/>
      <c r="AK65" s="13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39"/>
    </row>
    <row r="66" spans="2:61" ht="20.100000000000001" customHeight="1" x14ac:dyDescent="0.45">
      <c r="B66" s="163"/>
      <c r="C66" s="31"/>
      <c r="D66" s="31"/>
      <c r="E66" s="31"/>
      <c r="F66" s="31"/>
      <c r="G66" s="136"/>
      <c r="H66" s="140" t="s">
        <v>123</v>
      </c>
      <c r="I66" s="55"/>
      <c r="J66" s="140" t="s">
        <v>223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141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142"/>
    </row>
    <row r="67" spans="2:61" ht="20.100000000000001" customHeight="1" x14ac:dyDescent="0.45">
      <c r="B67" s="135"/>
      <c r="C67" s="31"/>
      <c r="D67" s="31"/>
      <c r="E67" s="31"/>
      <c r="F67" s="31"/>
      <c r="G67" s="136"/>
      <c r="H67" s="140" t="s">
        <v>202</v>
      </c>
      <c r="I67" s="55"/>
      <c r="J67" s="140" t="s">
        <v>249</v>
      </c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141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142"/>
    </row>
    <row r="68" spans="2:61" ht="20.100000000000001" customHeight="1" x14ac:dyDescent="0.45">
      <c r="B68" s="135"/>
      <c r="C68" s="31"/>
      <c r="D68" s="31"/>
      <c r="E68" s="31"/>
      <c r="F68" s="31"/>
      <c r="G68" s="136"/>
      <c r="H68" s="137"/>
      <c r="I68" s="31"/>
      <c r="J68" s="137"/>
      <c r="K68" s="31" t="s">
        <v>251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38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39"/>
    </row>
    <row r="69" spans="2:61" ht="20.100000000000001" customHeight="1" x14ac:dyDescent="0.45">
      <c r="B69" s="135"/>
      <c r="C69" s="31"/>
      <c r="D69" s="31"/>
      <c r="E69" s="31"/>
      <c r="F69" s="31"/>
      <c r="G69" s="136"/>
      <c r="H69" s="137"/>
      <c r="I69" s="31"/>
      <c r="J69" s="137"/>
      <c r="K69" s="31" t="s">
        <v>250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138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39"/>
    </row>
    <row r="70" spans="2:61" ht="20.100000000000001" customHeight="1" x14ac:dyDescent="0.45">
      <c r="B70" s="135"/>
      <c r="C70" s="31"/>
      <c r="D70" s="31"/>
      <c r="E70" s="31"/>
      <c r="F70" s="31"/>
      <c r="G70" s="136"/>
      <c r="H70" s="137"/>
      <c r="I70" s="31"/>
      <c r="J70" s="137" t="s">
        <v>252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38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39"/>
    </row>
    <row r="71" spans="2:61" ht="20.100000000000001" customHeight="1" x14ac:dyDescent="0.45">
      <c r="B71" s="135"/>
      <c r="C71" s="31"/>
      <c r="D71" s="31"/>
      <c r="E71" s="31"/>
      <c r="F71" s="31"/>
      <c r="G71" s="136"/>
      <c r="H71" s="137"/>
      <c r="I71" s="31"/>
      <c r="J71" s="137" t="s">
        <v>249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38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39"/>
    </row>
    <row r="72" spans="2:61" ht="20.100000000000001" customHeight="1" x14ac:dyDescent="0.45">
      <c r="B72" s="135"/>
      <c r="C72" s="31"/>
      <c r="D72" s="31"/>
      <c r="E72" s="31"/>
      <c r="F72" s="31"/>
      <c r="G72" s="136"/>
      <c r="H72" s="137"/>
      <c r="I72" s="31"/>
      <c r="J72" s="137"/>
      <c r="K72" s="31" t="s">
        <v>253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38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39"/>
    </row>
    <row r="73" spans="2:61" ht="20.100000000000001" customHeight="1" x14ac:dyDescent="0.45">
      <c r="B73" s="135"/>
      <c r="C73" s="31"/>
      <c r="D73" s="31"/>
      <c r="E73" s="31"/>
      <c r="F73" s="31"/>
      <c r="G73" s="136"/>
      <c r="H73" s="137"/>
      <c r="I73" s="31"/>
      <c r="J73" s="137"/>
      <c r="K73" s="31" t="s">
        <v>254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38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39"/>
    </row>
    <row r="74" spans="2:61" ht="20.100000000000001" customHeight="1" x14ac:dyDescent="0.45">
      <c r="B74" s="135"/>
      <c r="C74" s="31"/>
      <c r="D74" s="31"/>
      <c r="E74" s="31"/>
      <c r="F74" s="31"/>
      <c r="G74" s="136"/>
      <c r="H74" s="137"/>
      <c r="I74" s="31"/>
      <c r="J74" s="137" t="s">
        <v>252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38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39"/>
    </row>
    <row r="75" spans="2:61" ht="20.100000000000001" customHeight="1" x14ac:dyDescent="0.45">
      <c r="B75" s="135"/>
      <c r="C75" s="31"/>
      <c r="D75" s="31"/>
      <c r="E75" s="31"/>
      <c r="F75" s="31"/>
      <c r="G75" s="136"/>
      <c r="H75" s="137"/>
      <c r="I75" s="31"/>
      <c r="J75" s="137" t="s">
        <v>255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38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39"/>
    </row>
    <row r="76" spans="2:61" ht="20.100000000000001" customHeight="1" thickBot="1" x14ac:dyDescent="0.5">
      <c r="B76" s="135"/>
      <c r="C76" s="31"/>
      <c r="D76" s="31"/>
      <c r="E76" s="31"/>
      <c r="F76" s="31"/>
      <c r="G76" s="136"/>
      <c r="H76" s="137"/>
      <c r="I76" s="31"/>
      <c r="J76" s="137" t="s">
        <v>256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38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39"/>
    </row>
    <row r="77" spans="2:61" ht="5.0999999999999996" customHeight="1" x14ac:dyDescent="0.45"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50" t="s">
        <v>0</v>
      </c>
      <c r="C2" s="245"/>
      <c r="D2" s="245"/>
      <c r="E2" s="245"/>
      <c r="F2" s="245"/>
      <c r="G2" s="245"/>
      <c r="H2" s="245" t="s">
        <v>17</v>
      </c>
      <c r="I2" s="245"/>
      <c r="J2" s="245"/>
      <c r="K2" s="245"/>
      <c r="L2" s="245" t="s">
        <v>1</v>
      </c>
      <c r="M2" s="245"/>
      <c r="N2" s="245"/>
      <c r="O2" s="245"/>
      <c r="P2" s="245"/>
      <c r="Q2" s="245"/>
      <c r="R2" s="245" t="s">
        <v>2</v>
      </c>
      <c r="S2" s="245"/>
      <c r="T2" s="245"/>
      <c r="U2" s="245"/>
      <c r="V2" s="245"/>
      <c r="W2" s="245"/>
      <c r="X2" s="251" t="s">
        <v>3</v>
      </c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/>
      <c r="AK2" s="251" t="s">
        <v>32</v>
      </c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3"/>
      <c r="AX2" s="245" t="s">
        <v>5</v>
      </c>
      <c r="AY2" s="245"/>
      <c r="AZ2" s="245"/>
      <c r="BA2" s="245"/>
      <c r="BB2" s="245" t="s">
        <v>4</v>
      </c>
      <c r="BC2" s="245"/>
      <c r="BD2" s="245"/>
      <c r="BE2" s="245"/>
      <c r="BF2" s="245" t="s">
        <v>6</v>
      </c>
      <c r="BG2" s="245"/>
      <c r="BH2" s="245"/>
      <c r="BI2" s="245"/>
      <c r="BJ2" s="245" t="s">
        <v>7</v>
      </c>
      <c r="BK2" s="245"/>
      <c r="BL2" s="245"/>
      <c r="BM2" s="246"/>
    </row>
    <row r="3" spans="2:65" ht="20.100000000000001" customHeight="1" x14ac:dyDescent="0.45">
      <c r="B3" s="254" t="str">
        <f>変更履歴!B3</f>
        <v>受発注システム</v>
      </c>
      <c r="C3" s="179"/>
      <c r="D3" s="179"/>
      <c r="E3" s="179"/>
      <c r="F3" s="179"/>
      <c r="G3" s="179"/>
      <c r="H3" s="179" t="str">
        <f ca="1">変更履歴!H3</f>
        <v>SU0700</v>
      </c>
      <c r="I3" s="179"/>
      <c r="J3" s="179"/>
      <c r="K3" s="179"/>
      <c r="L3" s="179" t="str">
        <f>変更履歴!L3</f>
        <v>受発注</v>
      </c>
      <c r="M3" s="179"/>
      <c r="N3" s="179"/>
      <c r="O3" s="179"/>
      <c r="P3" s="179"/>
      <c r="Q3" s="179"/>
      <c r="R3" s="179" t="str">
        <f ca="1">変更履歴!R3</f>
        <v>帳票設計書</v>
      </c>
      <c r="S3" s="179"/>
      <c r="T3" s="179"/>
      <c r="U3" s="179"/>
      <c r="V3" s="179"/>
      <c r="W3" s="179"/>
      <c r="X3" s="183" t="str">
        <f ca="1">変更履歴!X3</f>
        <v>SU0700_しまむら直納伝票請求書_帳票設計書</v>
      </c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0"/>
      <c r="AK3" s="183" t="str">
        <f ca="1">変更履歴!AK3</f>
        <v>しまむら直納伝票請求書</v>
      </c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0"/>
      <c r="AX3" s="190">
        <f>変更履歴!AX3</f>
        <v>45581</v>
      </c>
      <c r="AY3" s="190"/>
      <c r="AZ3" s="190"/>
      <c r="BA3" s="190"/>
      <c r="BB3" s="179" t="str">
        <f>変更履歴!BB3</f>
        <v>大谷</v>
      </c>
      <c r="BC3" s="179"/>
      <c r="BD3" s="179"/>
      <c r="BE3" s="179"/>
      <c r="BF3" s="190">
        <f>変更履歴!BF3</f>
        <v>45581</v>
      </c>
      <c r="BG3" s="190"/>
      <c r="BH3" s="190"/>
      <c r="BI3" s="190"/>
      <c r="BJ3" s="179" t="str">
        <f>変更履歴!BJ3</f>
        <v>大谷</v>
      </c>
      <c r="BK3" s="179"/>
      <c r="BL3" s="179"/>
      <c r="BM3" s="243"/>
    </row>
    <row r="4" spans="2:65" ht="20.100000000000001" customHeight="1" thickBot="1" x14ac:dyDescent="0.5">
      <c r="B4" s="255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7"/>
      <c r="Y4" s="248"/>
      <c r="Z4" s="248"/>
      <c r="AA4" s="248"/>
      <c r="AB4" s="248"/>
      <c r="AC4" s="248"/>
      <c r="AD4" s="248"/>
      <c r="AE4" s="248"/>
      <c r="AF4" s="248"/>
      <c r="AG4" s="248"/>
      <c r="AH4" s="248"/>
      <c r="AI4" s="248"/>
      <c r="AJ4" s="249"/>
      <c r="AK4" s="247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9"/>
      <c r="AX4" s="241"/>
      <c r="AY4" s="241"/>
      <c r="AZ4" s="241"/>
      <c r="BA4" s="241"/>
      <c r="BB4" s="242"/>
      <c r="BC4" s="242"/>
      <c r="BD4" s="242"/>
      <c r="BE4" s="242"/>
      <c r="BF4" s="241"/>
      <c r="BG4" s="241"/>
      <c r="BH4" s="241"/>
      <c r="BI4" s="241"/>
      <c r="BJ4" s="242"/>
      <c r="BK4" s="242"/>
      <c r="BL4" s="242"/>
      <c r="BM4" s="244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29" t="s">
        <v>126</v>
      </c>
      <c r="C7" s="130"/>
      <c r="D7" s="130"/>
      <c r="E7" s="130"/>
      <c r="F7" s="130"/>
      <c r="G7" s="130"/>
      <c r="H7" s="132" t="s">
        <v>154</v>
      </c>
      <c r="I7" s="131"/>
      <c r="J7" s="166" t="s">
        <v>20</v>
      </c>
      <c r="K7" s="161"/>
      <c r="L7" s="161"/>
      <c r="M7" s="161"/>
      <c r="N7" s="161"/>
      <c r="O7" s="161"/>
      <c r="P7" s="161"/>
      <c r="Q7" s="161"/>
      <c r="R7" s="166" t="s">
        <v>155</v>
      </c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2"/>
      <c r="AK7" s="133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4"/>
      <c r="BJ7" s="29"/>
      <c r="BK7" s="29"/>
      <c r="BL7" s="29"/>
      <c r="BM7" s="29"/>
    </row>
    <row r="8" spans="2:65" ht="20.100000000000001" customHeight="1" x14ac:dyDescent="0.45">
      <c r="B8" s="163"/>
      <c r="C8" s="31"/>
      <c r="D8" s="31"/>
      <c r="E8" s="31"/>
      <c r="F8" s="31"/>
      <c r="G8" s="31"/>
      <c r="H8" s="137"/>
      <c r="I8" s="136"/>
      <c r="J8" s="164" t="s">
        <v>156</v>
      </c>
      <c r="K8" s="52"/>
      <c r="L8" s="52"/>
      <c r="M8" s="52"/>
      <c r="N8" s="52"/>
      <c r="O8" s="52"/>
      <c r="P8" s="52"/>
      <c r="Q8" s="52"/>
      <c r="R8" s="164" t="s">
        <v>157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5"/>
      <c r="AK8" s="13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9"/>
      <c r="BJ8" s="29"/>
      <c r="BK8" s="29"/>
      <c r="BL8" s="29"/>
      <c r="BM8" s="29"/>
    </row>
    <row r="9" spans="2:65" ht="20.100000000000001" customHeight="1" x14ac:dyDescent="0.45">
      <c r="B9" s="163"/>
      <c r="C9" s="31"/>
      <c r="D9" s="31"/>
      <c r="E9" s="31"/>
      <c r="F9" s="31"/>
      <c r="G9" s="31"/>
      <c r="H9" s="143"/>
      <c r="I9" s="167"/>
      <c r="J9" s="164" t="s">
        <v>158</v>
      </c>
      <c r="K9" s="52"/>
      <c r="L9" s="52"/>
      <c r="M9" s="52"/>
      <c r="N9" s="52"/>
      <c r="O9" s="52"/>
      <c r="P9" s="52"/>
      <c r="Q9" s="52"/>
      <c r="R9" s="164" t="s">
        <v>159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5"/>
      <c r="AK9" s="145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6"/>
      <c r="BJ9" s="29"/>
      <c r="BK9" s="29"/>
      <c r="BL9" s="29"/>
      <c r="BM9" s="29"/>
    </row>
    <row r="10" spans="2:65" ht="20.100000000000001" customHeight="1" x14ac:dyDescent="0.45">
      <c r="B10" s="163"/>
      <c r="C10" s="31"/>
      <c r="D10" s="31"/>
      <c r="E10" s="31"/>
      <c r="F10" s="31"/>
      <c r="G10" s="136"/>
      <c r="H10" s="137" t="s">
        <v>127</v>
      </c>
      <c r="I10" s="31"/>
      <c r="J10" s="151" t="s">
        <v>128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9"/>
      <c r="BJ10" s="29"/>
      <c r="BK10" s="29"/>
      <c r="BL10" s="29"/>
      <c r="BM10" s="29"/>
    </row>
    <row r="11" spans="2:65" ht="20.100000000000001" customHeight="1" x14ac:dyDescent="0.45">
      <c r="B11" s="135"/>
      <c r="C11" s="31"/>
      <c r="D11" s="31"/>
      <c r="E11" s="31"/>
      <c r="F11" s="31"/>
      <c r="G11" s="136"/>
      <c r="H11" s="137"/>
      <c r="I11" s="31"/>
      <c r="J11" s="137" t="s">
        <v>129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9"/>
      <c r="BJ11" s="29"/>
      <c r="BK11" s="29"/>
      <c r="BL11" s="29"/>
      <c r="BM11" s="29"/>
    </row>
    <row r="12" spans="2:65" ht="20.100000000000001" customHeight="1" x14ac:dyDescent="0.45">
      <c r="B12" s="135"/>
      <c r="C12" s="31"/>
      <c r="D12" s="31"/>
      <c r="E12" s="31"/>
      <c r="F12" s="31"/>
      <c r="G12" s="136"/>
      <c r="H12" s="137"/>
      <c r="I12" s="31"/>
      <c r="J12" s="137" t="s">
        <v>130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9"/>
      <c r="BJ12" s="29"/>
      <c r="BK12" s="29"/>
      <c r="BL12" s="29"/>
      <c r="BM12" s="29"/>
    </row>
    <row r="13" spans="2:65" ht="20.100000000000001" customHeight="1" x14ac:dyDescent="0.45">
      <c r="B13" s="135"/>
      <c r="C13" s="31"/>
      <c r="D13" s="31"/>
      <c r="E13" s="31"/>
      <c r="F13" s="31"/>
      <c r="G13" s="136"/>
      <c r="H13" s="137"/>
      <c r="I13" s="31"/>
      <c r="J13" s="137" t="s">
        <v>131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9"/>
      <c r="BJ13" s="29"/>
      <c r="BK13" s="29"/>
      <c r="BL13" s="29"/>
      <c r="BM13" s="29"/>
    </row>
    <row r="14" spans="2:65" ht="20.100000000000001" customHeight="1" x14ac:dyDescent="0.45">
      <c r="B14" s="135"/>
      <c r="C14" s="31"/>
      <c r="D14" s="31"/>
      <c r="E14" s="31"/>
      <c r="F14" s="31"/>
      <c r="G14" s="136"/>
      <c r="H14" s="140" t="s">
        <v>132</v>
      </c>
      <c r="I14" s="55"/>
      <c r="J14" s="147" t="s">
        <v>133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4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42"/>
      <c r="BJ14" s="29"/>
      <c r="BK14" s="29"/>
      <c r="BL14" s="29"/>
      <c r="BM14" s="29"/>
    </row>
    <row r="15" spans="2:65" ht="20.100000000000001" customHeight="1" x14ac:dyDescent="0.45">
      <c r="B15" s="135"/>
      <c r="C15" s="31"/>
      <c r="D15" s="31"/>
      <c r="E15" s="31"/>
      <c r="F15" s="31"/>
      <c r="G15" s="136"/>
      <c r="H15" s="137"/>
      <c r="I15" s="31"/>
      <c r="J15" s="148"/>
      <c r="K15" s="149" t="s">
        <v>134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9"/>
      <c r="BJ15" s="29"/>
      <c r="BK15" s="29"/>
      <c r="BL15" s="29"/>
      <c r="BM15" s="29"/>
    </row>
    <row r="16" spans="2:65" ht="20.100000000000001" customHeight="1" x14ac:dyDescent="0.45">
      <c r="B16" s="135"/>
      <c r="C16" s="31"/>
      <c r="D16" s="31"/>
      <c r="E16" s="31"/>
      <c r="F16" s="31"/>
      <c r="G16" s="136"/>
      <c r="H16" s="137"/>
      <c r="I16" s="31"/>
      <c r="J16" s="137"/>
      <c r="K16" s="29"/>
      <c r="L16" s="150"/>
      <c r="M16" s="149" t="s">
        <v>135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9"/>
      <c r="BJ16" s="29"/>
      <c r="BK16" s="29"/>
      <c r="BL16" s="29"/>
      <c r="BM16" s="29"/>
    </row>
    <row r="17" spans="2:65" ht="20.100000000000001" customHeight="1" x14ac:dyDescent="0.45">
      <c r="B17" s="135"/>
      <c r="C17" s="31"/>
      <c r="D17" s="31"/>
      <c r="E17" s="31"/>
      <c r="F17" s="31"/>
      <c r="G17" s="136"/>
      <c r="H17" s="137"/>
      <c r="I17" s="31"/>
      <c r="J17" s="137"/>
      <c r="K17" s="29"/>
      <c r="L17" s="150" t="s">
        <v>136</v>
      </c>
      <c r="M17" s="149" t="s">
        <v>135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9"/>
      <c r="BJ17" s="29"/>
      <c r="BK17" s="29"/>
      <c r="BL17" s="29"/>
      <c r="BM17" s="29"/>
    </row>
    <row r="18" spans="2:65" ht="20.100000000000001" customHeight="1" x14ac:dyDescent="0.45">
      <c r="B18" s="135"/>
      <c r="C18" s="31"/>
      <c r="D18" s="31"/>
      <c r="E18" s="31"/>
      <c r="F18" s="31"/>
      <c r="G18" s="136"/>
      <c r="H18" s="137"/>
      <c r="I18" s="31"/>
      <c r="J18" s="137"/>
      <c r="K18" s="29"/>
      <c r="L18" s="150" t="s">
        <v>137</v>
      </c>
      <c r="M18" s="149" t="s">
        <v>135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9"/>
      <c r="BJ18" s="29"/>
      <c r="BK18" s="29"/>
      <c r="BL18" s="29"/>
      <c r="BM18" s="29"/>
    </row>
    <row r="19" spans="2:65" ht="20.100000000000001" customHeight="1" x14ac:dyDescent="0.45">
      <c r="B19" s="135"/>
      <c r="C19" s="31"/>
      <c r="D19" s="31"/>
      <c r="E19" s="31"/>
      <c r="F19" s="31"/>
      <c r="G19" s="136"/>
      <c r="H19" s="137"/>
      <c r="I19" s="31"/>
      <c r="J19" s="137" t="s">
        <v>138</v>
      </c>
      <c r="K19" s="150"/>
      <c r="L19" s="14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9"/>
      <c r="BJ19" s="29"/>
      <c r="BK19" s="29"/>
      <c r="BL19" s="29"/>
      <c r="BM19" s="29"/>
    </row>
    <row r="20" spans="2:65" ht="20.100000000000001" customHeight="1" x14ac:dyDescent="0.45">
      <c r="B20" s="135"/>
      <c r="C20" s="31"/>
      <c r="D20" s="31"/>
      <c r="E20" s="31"/>
      <c r="F20" s="31"/>
      <c r="G20" s="136"/>
      <c r="H20" s="137"/>
      <c r="I20" s="31"/>
      <c r="J20" s="137"/>
      <c r="K20" s="31" t="s">
        <v>139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9"/>
      <c r="BJ20" s="29"/>
      <c r="BK20" s="29"/>
      <c r="BL20" s="29"/>
      <c r="BM20" s="29"/>
    </row>
    <row r="21" spans="2:65" ht="20.100000000000001" customHeight="1" x14ac:dyDescent="0.45">
      <c r="B21" s="135"/>
      <c r="C21" s="31"/>
      <c r="D21" s="31"/>
      <c r="E21" s="31"/>
      <c r="F21" s="31"/>
      <c r="G21" s="136"/>
      <c r="H21" s="137"/>
      <c r="I21" s="31"/>
      <c r="J21" s="137"/>
      <c r="K21" s="29"/>
      <c r="L21" s="31"/>
      <c r="M21" s="31" t="s">
        <v>140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9"/>
    </row>
    <row r="22" spans="2:65" ht="20.100000000000001" customHeight="1" x14ac:dyDescent="0.45">
      <c r="B22" s="135"/>
      <c r="C22" s="31"/>
      <c r="D22" s="31"/>
      <c r="E22" s="31"/>
      <c r="F22" s="31"/>
      <c r="G22" s="136"/>
      <c r="H22" s="143"/>
      <c r="I22" s="144"/>
      <c r="J22" s="143"/>
      <c r="K22" s="144"/>
      <c r="L22" s="144" t="s">
        <v>136</v>
      </c>
      <c r="M22" s="144" t="s">
        <v>141</v>
      </c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5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6"/>
    </row>
    <row r="23" spans="2:65" ht="20.100000000000001" customHeight="1" x14ac:dyDescent="0.45">
      <c r="B23" s="135"/>
      <c r="C23" s="31"/>
      <c r="D23" s="31"/>
      <c r="E23" s="31"/>
      <c r="F23" s="31"/>
      <c r="G23" s="136"/>
      <c r="H23" s="137" t="s">
        <v>142</v>
      </c>
      <c r="I23" s="31"/>
      <c r="J23" s="151"/>
      <c r="K23" s="149" t="s">
        <v>143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52" t="s">
        <v>144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9"/>
    </row>
    <row r="24" spans="2:65" ht="20.100000000000001" customHeight="1" x14ac:dyDescent="0.45">
      <c r="B24" s="135"/>
      <c r="C24" s="31"/>
      <c r="D24" s="31"/>
      <c r="E24" s="31"/>
      <c r="F24" s="31"/>
      <c r="G24" s="136"/>
      <c r="H24" s="137"/>
      <c r="I24" s="31"/>
      <c r="J24" s="151" t="s">
        <v>136</v>
      </c>
      <c r="K24" s="149" t="s">
        <v>145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9"/>
    </row>
    <row r="25" spans="2:65" ht="20.100000000000001" customHeight="1" x14ac:dyDescent="0.45">
      <c r="B25" s="135"/>
      <c r="C25" s="31"/>
      <c r="D25" s="31"/>
      <c r="E25" s="31"/>
      <c r="F25" s="31"/>
      <c r="G25" s="136"/>
      <c r="H25" s="137"/>
      <c r="I25" s="31"/>
      <c r="J25" s="151" t="s">
        <v>137</v>
      </c>
      <c r="K25" s="149" t="s">
        <v>145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9"/>
    </row>
    <row r="26" spans="2:65" ht="20.100000000000001" customHeight="1" x14ac:dyDescent="0.45">
      <c r="B26" s="135"/>
      <c r="C26" s="31"/>
      <c r="D26" s="31"/>
      <c r="E26" s="31"/>
      <c r="F26" s="31"/>
      <c r="G26" s="136"/>
      <c r="H26" s="137"/>
      <c r="I26" s="31"/>
      <c r="J26" s="151" t="s">
        <v>146</v>
      </c>
      <c r="K26" s="14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9"/>
    </row>
    <row r="27" spans="2:65" ht="20.100000000000001" customHeight="1" x14ac:dyDescent="0.45">
      <c r="B27" s="135"/>
      <c r="C27" s="31"/>
      <c r="D27" s="31"/>
      <c r="E27" s="31"/>
      <c r="F27" s="31"/>
      <c r="G27" s="136"/>
      <c r="H27" s="137"/>
      <c r="I27" s="31"/>
      <c r="J27" s="137"/>
      <c r="K27" s="31" t="s">
        <v>147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53" t="s">
        <v>148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9"/>
    </row>
    <row r="28" spans="2:65" ht="20.100000000000001" customHeight="1" x14ac:dyDescent="0.45">
      <c r="B28" s="135"/>
      <c r="C28" s="31"/>
      <c r="D28" s="31"/>
      <c r="E28" s="31"/>
      <c r="F28" s="31"/>
      <c r="G28" s="136"/>
      <c r="H28" s="137"/>
      <c r="I28" s="31"/>
      <c r="J28" s="137" t="s">
        <v>136</v>
      </c>
      <c r="K28" s="31" t="s">
        <v>149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3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9"/>
    </row>
    <row r="29" spans="2:65" ht="20.100000000000001" customHeight="1" x14ac:dyDescent="0.45">
      <c r="B29" s="135"/>
      <c r="C29" s="31"/>
      <c r="D29" s="31"/>
      <c r="E29" s="31"/>
      <c r="F29" s="31"/>
      <c r="G29" s="136"/>
      <c r="H29" s="137"/>
      <c r="I29" s="31"/>
      <c r="J29" s="15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9"/>
    </row>
    <row r="30" spans="2:65" ht="20.100000000000001" customHeight="1" x14ac:dyDescent="0.45">
      <c r="B30" s="135"/>
      <c r="C30" s="31"/>
      <c r="D30" s="31"/>
      <c r="E30" s="31"/>
      <c r="F30" s="31"/>
      <c r="G30" s="136"/>
      <c r="H30" s="137"/>
      <c r="I30" s="31"/>
      <c r="J30" s="13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9"/>
    </row>
    <row r="31" spans="2:65" ht="20.100000000000001" customHeight="1" x14ac:dyDescent="0.45">
      <c r="B31" s="135"/>
      <c r="C31" s="31"/>
      <c r="D31" s="31"/>
      <c r="E31" s="31"/>
      <c r="F31" s="31"/>
      <c r="G31" s="136"/>
      <c r="H31" s="143"/>
      <c r="I31" s="144"/>
      <c r="J31" s="143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3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6"/>
    </row>
    <row r="32" spans="2:65" ht="20.100000000000001" customHeight="1" x14ac:dyDescent="0.45">
      <c r="B32" s="135"/>
      <c r="C32" s="31"/>
      <c r="D32" s="31"/>
      <c r="E32" s="31"/>
      <c r="F32" s="31"/>
      <c r="G32" s="136"/>
      <c r="H32" s="137" t="s">
        <v>150</v>
      </c>
      <c r="I32" s="31"/>
      <c r="J32" s="151" t="s">
        <v>151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9"/>
    </row>
    <row r="33" spans="2:61" ht="20.100000000000001" customHeight="1" x14ac:dyDescent="0.45">
      <c r="B33" s="135"/>
      <c r="C33" s="31"/>
      <c r="D33" s="31"/>
      <c r="E33" s="31"/>
      <c r="F33" s="31"/>
      <c r="G33" s="136"/>
      <c r="H33" s="137"/>
      <c r="I33" s="31"/>
      <c r="J33" s="151" t="s">
        <v>152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9"/>
    </row>
    <row r="34" spans="2:61" ht="20.100000000000001" customHeight="1" thickBot="1" x14ac:dyDescent="0.5">
      <c r="B34" s="154"/>
      <c r="C34" s="155"/>
      <c r="D34" s="155"/>
      <c r="E34" s="155"/>
      <c r="F34" s="155"/>
      <c r="G34" s="156"/>
      <c r="H34" s="157"/>
      <c r="I34" s="155"/>
      <c r="J34" s="157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7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59" t="s">
        <v>153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R106"/>
  <sheetViews>
    <sheetView zoomScaleNormal="75" workbookViewId="0"/>
  </sheetViews>
  <sheetFormatPr defaultColWidth="8.19921875" defaultRowHeight="13.2" x14ac:dyDescent="0.2"/>
  <cols>
    <col min="1" max="1" width="16" style="96" customWidth="1"/>
    <col min="2" max="2" width="8.5" style="97" customWidth="1"/>
    <col min="3" max="3" width="11.3984375" style="97" customWidth="1"/>
    <col min="4" max="4" width="12.59765625" style="96" customWidth="1"/>
    <col min="5" max="5" width="3.59765625" style="96" customWidth="1"/>
    <col min="6" max="6" width="7" style="96" customWidth="1"/>
    <col min="7" max="7" width="23.296875" style="96" customWidth="1"/>
    <col min="8" max="8" width="8.8984375" style="96" customWidth="1"/>
    <col min="9" max="9" width="1" style="96" customWidth="1"/>
    <col min="10" max="256" width="8.19921875" style="96"/>
    <col min="257" max="257" width="16" style="96" customWidth="1"/>
    <col min="258" max="258" width="8.5" style="96" customWidth="1"/>
    <col min="259" max="259" width="11.3984375" style="96" customWidth="1"/>
    <col min="260" max="260" width="12.59765625" style="96" customWidth="1"/>
    <col min="261" max="261" width="3.59765625" style="96" customWidth="1"/>
    <col min="262" max="262" width="7" style="96" customWidth="1"/>
    <col min="263" max="263" width="23.296875" style="96" customWidth="1"/>
    <col min="264" max="264" width="8.8984375" style="96" customWidth="1"/>
    <col min="265" max="265" width="1" style="96" customWidth="1"/>
    <col min="266" max="512" width="8.19921875" style="96"/>
    <col min="513" max="513" width="16" style="96" customWidth="1"/>
    <col min="514" max="514" width="8.5" style="96" customWidth="1"/>
    <col min="515" max="515" width="11.3984375" style="96" customWidth="1"/>
    <col min="516" max="516" width="12.59765625" style="96" customWidth="1"/>
    <col min="517" max="517" width="3.59765625" style="96" customWidth="1"/>
    <col min="518" max="518" width="7" style="96" customWidth="1"/>
    <col min="519" max="519" width="23.296875" style="96" customWidth="1"/>
    <col min="520" max="520" width="8.8984375" style="96" customWidth="1"/>
    <col min="521" max="521" width="1" style="96" customWidth="1"/>
    <col min="522" max="768" width="8.19921875" style="96"/>
    <col min="769" max="769" width="16" style="96" customWidth="1"/>
    <col min="770" max="770" width="8.5" style="96" customWidth="1"/>
    <col min="771" max="771" width="11.3984375" style="96" customWidth="1"/>
    <col min="772" max="772" width="12.59765625" style="96" customWidth="1"/>
    <col min="773" max="773" width="3.59765625" style="96" customWidth="1"/>
    <col min="774" max="774" width="7" style="96" customWidth="1"/>
    <col min="775" max="775" width="23.296875" style="96" customWidth="1"/>
    <col min="776" max="776" width="8.8984375" style="96" customWidth="1"/>
    <col min="777" max="777" width="1" style="96" customWidth="1"/>
    <col min="778" max="1024" width="8.19921875" style="96"/>
    <col min="1025" max="1025" width="16" style="96" customWidth="1"/>
    <col min="1026" max="1026" width="8.5" style="96" customWidth="1"/>
    <col min="1027" max="1027" width="11.3984375" style="96" customWidth="1"/>
    <col min="1028" max="1028" width="12.59765625" style="96" customWidth="1"/>
    <col min="1029" max="1029" width="3.59765625" style="96" customWidth="1"/>
    <col min="1030" max="1030" width="7" style="96" customWidth="1"/>
    <col min="1031" max="1031" width="23.296875" style="96" customWidth="1"/>
    <col min="1032" max="1032" width="8.8984375" style="96" customWidth="1"/>
    <col min="1033" max="1033" width="1" style="96" customWidth="1"/>
    <col min="1034" max="1280" width="8.19921875" style="96"/>
    <col min="1281" max="1281" width="16" style="96" customWidth="1"/>
    <col min="1282" max="1282" width="8.5" style="96" customWidth="1"/>
    <col min="1283" max="1283" width="11.3984375" style="96" customWidth="1"/>
    <col min="1284" max="1284" width="12.59765625" style="96" customWidth="1"/>
    <col min="1285" max="1285" width="3.59765625" style="96" customWidth="1"/>
    <col min="1286" max="1286" width="7" style="96" customWidth="1"/>
    <col min="1287" max="1287" width="23.296875" style="96" customWidth="1"/>
    <col min="1288" max="1288" width="8.8984375" style="96" customWidth="1"/>
    <col min="1289" max="1289" width="1" style="96" customWidth="1"/>
    <col min="1290" max="1536" width="8.19921875" style="96"/>
    <col min="1537" max="1537" width="16" style="96" customWidth="1"/>
    <col min="1538" max="1538" width="8.5" style="96" customWidth="1"/>
    <col min="1539" max="1539" width="11.3984375" style="96" customWidth="1"/>
    <col min="1540" max="1540" width="12.59765625" style="96" customWidth="1"/>
    <col min="1541" max="1541" width="3.59765625" style="96" customWidth="1"/>
    <col min="1542" max="1542" width="7" style="96" customWidth="1"/>
    <col min="1543" max="1543" width="23.296875" style="96" customWidth="1"/>
    <col min="1544" max="1544" width="8.8984375" style="96" customWidth="1"/>
    <col min="1545" max="1545" width="1" style="96" customWidth="1"/>
    <col min="1546" max="1792" width="8.19921875" style="96"/>
    <col min="1793" max="1793" width="16" style="96" customWidth="1"/>
    <col min="1794" max="1794" width="8.5" style="96" customWidth="1"/>
    <col min="1795" max="1795" width="11.3984375" style="96" customWidth="1"/>
    <col min="1796" max="1796" width="12.59765625" style="96" customWidth="1"/>
    <col min="1797" max="1797" width="3.59765625" style="96" customWidth="1"/>
    <col min="1798" max="1798" width="7" style="96" customWidth="1"/>
    <col min="1799" max="1799" width="23.296875" style="96" customWidth="1"/>
    <col min="1800" max="1800" width="8.8984375" style="96" customWidth="1"/>
    <col min="1801" max="1801" width="1" style="96" customWidth="1"/>
    <col min="1802" max="2048" width="8.19921875" style="96"/>
    <col min="2049" max="2049" width="16" style="96" customWidth="1"/>
    <col min="2050" max="2050" width="8.5" style="96" customWidth="1"/>
    <col min="2051" max="2051" width="11.3984375" style="96" customWidth="1"/>
    <col min="2052" max="2052" width="12.59765625" style="96" customWidth="1"/>
    <col min="2053" max="2053" width="3.59765625" style="96" customWidth="1"/>
    <col min="2054" max="2054" width="7" style="96" customWidth="1"/>
    <col min="2055" max="2055" width="23.296875" style="96" customWidth="1"/>
    <col min="2056" max="2056" width="8.8984375" style="96" customWidth="1"/>
    <col min="2057" max="2057" width="1" style="96" customWidth="1"/>
    <col min="2058" max="2304" width="8.19921875" style="96"/>
    <col min="2305" max="2305" width="16" style="96" customWidth="1"/>
    <col min="2306" max="2306" width="8.5" style="96" customWidth="1"/>
    <col min="2307" max="2307" width="11.3984375" style="96" customWidth="1"/>
    <col min="2308" max="2308" width="12.59765625" style="96" customWidth="1"/>
    <col min="2309" max="2309" width="3.59765625" style="96" customWidth="1"/>
    <col min="2310" max="2310" width="7" style="96" customWidth="1"/>
    <col min="2311" max="2311" width="23.296875" style="96" customWidth="1"/>
    <col min="2312" max="2312" width="8.8984375" style="96" customWidth="1"/>
    <col min="2313" max="2313" width="1" style="96" customWidth="1"/>
    <col min="2314" max="2560" width="8.19921875" style="96"/>
    <col min="2561" max="2561" width="16" style="96" customWidth="1"/>
    <col min="2562" max="2562" width="8.5" style="96" customWidth="1"/>
    <col min="2563" max="2563" width="11.3984375" style="96" customWidth="1"/>
    <col min="2564" max="2564" width="12.59765625" style="96" customWidth="1"/>
    <col min="2565" max="2565" width="3.59765625" style="96" customWidth="1"/>
    <col min="2566" max="2566" width="7" style="96" customWidth="1"/>
    <col min="2567" max="2567" width="23.296875" style="96" customWidth="1"/>
    <col min="2568" max="2568" width="8.8984375" style="96" customWidth="1"/>
    <col min="2569" max="2569" width="1" style="96" customWidth="1"/>
    <col min="2570" max="2816" width="8.19921875" style="96"/>
    <col min="2817" max="2817" width="16" style="96" customWidth="1"/>
    <col min="2818" max="2818" width="8.5" style="96" customWidth="1"/>
    <col min="2819" max="2819" width="11.3984375" style="96" customWidth="1"/>
    <col min="2820" max="2820" width="12.59765625" style="96" customWidth="1"/>
    <col min="2821" max="2821" width="3.59765625" style="96" customWidth="1"/>
    <col min="2822" max="2822" width="7" style="96" customWidth="1"/>
    <col min="2823" max="2823" width="23.296875" style="96" customWidth="1"/>
    <col min="2824" max="2824" width="8.8984375" style="96" customWidth="1"/>
    <col min="2825" max="2825" width="1" style="96" customWidth="1"/>
    <col min="2826" max="3072" width="8.19921875" style="96"/>
    <col min="3073" max="3073" width="16" style="96" customWidth="1"/>
    <col min="3074" max="3074" width="8.5" style="96" customWidth="1"/>
    <col min="3075" max="3075" width="11.3984375" style="96" customWidth="1"/>
    <col min="3076" max="3076" width="12.59765625" style="96" customWidth="1"/>
    <col min="3077" max="3077" width="3.59765625" style="96" customWidth="1"/>
    <col min="3078" max="3078" width="7" style="96" customWidth="1"/>
    <col min="3079" max="3079" width="23.296875" style="96" customWidth="1"/>
    <col min="3080" max="3080" width="8.8984375" style="96" customWidth="1"/>
    <col min="3081" max="3081" width="1" style="96" customWidth="1"/>
    <col min="3082" max="3328" width="8.19921875" style="96"/>
    <col min="3329" max="3329" width="16" style="96" customWidth="1"/>
    <col min="3330" max="3330" width="8.5" style="96" customWidth="1"/>
    <col min="3331" max="3331" width="11.3984375" style="96" customWidth="1"/>
    <col min="3332" max="3332" width="12.59765625" style="96" customWidth="1"/>
    <col min="3333" max="3333" width="3.59765625" style="96" customWidth="1"/>
    <col min="3334" max="3334" width="7" style="96" customWidth="1"/>
    <col min="3335" max="3335" width="23.296875" style="96" customWidth="1"/>
    <col min="3336" max="3336" width="8.8984375" style="96" customWidth="1"/>
    <col min="3337" max="3337" width="1" style="96" customWidth="1"/>
    <col min="3338" max="3584" width="8.19921875" style="96"/>
    <col min="3585" max="3585" width="16" style="96" customWidth="1"/>
    <col min="3586" max="3586" width="8.5" style="96" customWidth="1"/>
    <col min="3587" max="3587" width="11.3984375" style="96" customWidth="1"/>
    <col min="3588" max="3588" width="12.59765625" style="96" customWidth="1"/>
    <col min="3589" max="3589" width="3.59765625" style="96" customWidth="1"/>
    <col min="3590" max="3590" width="7" style="96" customWidth="1"/>
    <col min="3591" max="3591" width="23.296875" style="96" customWidth="1"/>
    <col min="3592" max="3592" width="8.8984375" style="96" customWidth="1"/>
    <col min="3593" max="3593" width="1" style="96" customWidth="1"/>
    <col min="3594" max="3840" width="8.19921875" style="96"/>
    <col min="3841" max="3841" width="16" style="96" customWidth="1"/>
    <col min="3842" max="3842" width="8.5" style="96" customWidth="1"/>
    <col min="3843" max="3843" width="11.3984375" style="96" customWidth="1"/>
    <col min="3844" max="3844" width="12.59765625" style="96" customWidth="1"/>
    <col min="3845" max="3845" width="3.59765625" style="96" customWidth="1"/>
    <col min="3846" max="3846" width="7" style="96" customWidth="1"/>
    <col min="3847" max="3847" width="23.296875" style="96" customWidth="1"/>
    <col min="3848" max="3848" width="8.8984375" style="96" customWidth="1"/>
    <col min="3849" max="3849" width="1" style="96" customWidth="1"/>
    <col min="3850" max="4096" width="8.19921875" style="96"/>
    <col min="4097" max="4097" width="16" style="96" customWidth="1"/>
    <col min="4098" max="4098" width="8.5" style="96" customWidth="1"/>
    <col min="4099" max="4099" width="11.3984375" style="96" customWidth="1"/>
    <col min="4100" max="4100" width="12.59765625" style="96" customWidth="1"/>
    <col min="4101" max="4101" width="3.59765625" style="96" customWidth="1"/>
    <col min="4102" max="4102" width="7" style="96" customWidth="1"/>
    <col min="4103" max="4103" width="23.296875" style="96" customWidth="1"/>
    <col min="4104" max="4104" width="8.8984375" style="96" customWidth="1"/>
    <col min="4105" max="4105" width="1" style="96" customWidth="1"/>
    <col min="4106" max="4352" width="8.19921875" style="96"/>
    <col min="4353" max="4353" width="16" style="96" customWidth="1"/>
    <col min="4354" max="4354" width="8.5" style="96" customWidth="1"/>
    <col min="4355" max="4355" width="11.3984375" style="96" customWidth="1"/>
    <col min="4356" max="4356" width="12.59765625" style="96" customWidth="1"/>
    <col min="4357" max="4357" width="3.59765625" style="96" customWidth="1"/>
    <col min="4358" max="4358" width="7" style="96" customWidth="1"/>
    <col min="4359" max="4359" width="23.296875" style="96" customWidth="1"/>
    <col min="4360" max="4360" width="8.8984375" style="96" customWidth="1"/>
    <col min="4361" max="4361" width="1" style="96" customWidth="1"/>
    <col min="4362" max="4608" width="8.19921875" style="96"/>
    <col min="4609" max="4609" width="16" style="96" customWidth="1"/>
    <col min="4610" max="4610" width="8.5" style="96" customWidth="1"/>
    <col min="4611" max="4611" width="11.3984375" style="96" customWidth="1"/>
    <col min="4612" max="4612" width="12.59765625" style="96" customWidth="1"/>
    <col min="4613" max="4613" width="3.59765625" style="96" customWidth="1"/>
    <col min="4614" max="4614" width="7" style="96" customWidth="1"/>
    <col min="4615" max="4615" width="23.296875" style="96" customWidth="1"/>
    <col min="4616" max="4616" width="8.8984375" style="96" customWidth="1"/>
    <col min="4617" max="4617" width="1" style="96" customWidth="1"/>
    <col min="4618" max="4864" width="8.19921875" style="96"/>
    <col min="4865" max="4865" width="16" style="96" customWidth="1"/>
    <col min="4866" max="4866" width="8.5" style="96" customWidth="1"/>
    <col min="4867" max="4867" width="11.3984375" style="96" customWidth="1"/>
    <col min="4868" max="4868" width="12.59765625" style="96" customWidth="1"/>
    <col min="4869" max="4869" width="3.59765625" style="96" customWidth="1"/>
    <col min="4870" max="4870" width="7" style="96" customWidth="1"/>
    <col min="4871" max="4871" width="23.296875" style="96" customWidth="1"/>
    <col min="4872" max="4872" width="8.8984375" style="96" customWidth="1"/>
    <col min="4873" max="4873" width="1" style="96" customWidth="1"/>
    <col min="4874" max="5120" width="8.19921875" style="96"/>
    <col min="5121" max="5121" width="16" style="96" customWidth="1"/>
    <col min="5122" max="5122" width="8.5" style="96" customWidth="1"/>
    <col min="5123" max="5123" width="11.3984375" style="96" customWidth="1"/>
    <col min="5124" max="5124" width="12.59765625" style="96" customWidth="1"/>
    <col min="5125" max="5125" width="3.59765625" style="96" customWidth="1"/>
    <col min="5126" max="5126" width="7" style="96" customWidth="1"/>
    <col min="5127" max="5127" width="23.296875" style="96" customWidth="1"/>
    <col min="5128" max="5128" width="8.8984375" style="96" customWidth="1"/>
    <col min="5129" max="5129" width="1" style="96" customWidth="1"/>
    <col min="5130" max="5376" width="8.19921875" style="96"/>
    <col min="5377" max="5377" width="16" style="96" customWidth="1"/>
    <col min="5378" max="5378" width="8.5" style="96" customWidth="1"/>
    <col min="5379" max="5379" width="11.3984375" style="96" customWidth="1"/>
    <col min="5380" max="5380" width="12.59765625" style="96" customWidth="1"/>
    <col min="5381" max="5381" width="3.59765625" style="96" customWidth="1"/>
    <col min="5382" max="5382" width="7" style="96" customWidth="1"/>
    <col min="5383" max="5383" width="23.296875" style="96" customWidth="1"/>
    <col min="5384" max="5384" width="8.8984375" style="96" customWidth="1"/>
    <col min="5385" max="5385" width="1" style="96" customWidth="1"/>
    <col min="5386" max="5632" width="8.19921875" style="96"/>
    <col min="5633" max="5633" width="16" style="96" customWidth="1"/>
    <col min="5634" max="5634" width="8.5" style="96" customWidth="1"/>
    <col min="5635" max="5635" width="11.3984375" style="96" customWidth="1"/>
    <col min="5636" max="5636" width="12.59765625" style="96" customWidth="1"/>
    <col min="5637" max="5637" width="3.59765625" style="96" customWidth="1"/>
    <col min="5638" max="5638" width="7" style="96" customWidth="1"/>
    <col min="5639" max="5639" width="23.296875" style="96" customWidth="1"/>
    <col min="5640" max="5640" width="8.8984375" style="96" customWidth="1"/>
    <col min="5641" max="5641" width="1" style="96" customWidth="1"/>
    <col min="5642" max="5888" width="8.19921875" style="96"/>
    <col min="5889" max="5889" width="16" style="96" customWidth="1"/>
    <col min="5890" max="5890" width="8.5" style="96" customWidth="1"/>
    <col min="5891" max="5891" width="11.3984375" style="96" customWidth="1"/>
    <col min="5892" max="5892" width="12.59765625" style="96" customWidth="1"/>
    <col min="5893" max="5893" width="3.59765625" style="96" customWidth="1"/>
    <col min="5894" max="5894" width="7" style="96" customWidth="1"/>
    <col min="5895" max="5895" width="23.296875" style="96" customWidth="1"/>
    <col min="5896" max="5896" width="8.8984375" style="96" customWidth="1"/>
    <col min="5897" max="5897" width="1" style="96" customWidth="1"/>
    <col min="5898" max="6144" width="8.19921875" style="96"/>
    <col min="6145" max="6145" width="16" style="96" customWidth="1"/>
    <col min="6146" max="6146" width="8.5" style="96" customWidth="1"/>
    <col min="6147" max="6147" width="11.3984375" style="96" customWidth="1"/>
    <col min="6148" max="6148" width="12.59765625" style="96" customWidth="1"/>
    <col min="6149" max="6149" width="3.59765625" style="96" customWidth="1"/>
    <col min="6150" max="6150" width="7" style="96" customWidth="1"/>
    <col min="6151" max="6151" width="23.296875" style="96" customWidth="1"/>
    <col min="6152" max="6152" width="8.8984375" style="96" customWidth="1"/>
    <col min="6153" max="6153" width="1" style="96" customWidth="1"/>
    <col min="6154" max="6400" width="8.19921875" style="96"/>
    <col min="6401" max="6401" width="16" style="96" customWidth="1"/>
    <col min="6402" max="6402" width="8.5" style="96" customWidth="1"/>
    <col min="6403" max="6403" width="11.3984375" style="96" customWidth="1"/>
    <col min="6404" max="6404" width="12.59765625" style="96" customWidth="1"/>
    <col min="6405" max="6405" width="3.59765625" style="96" customWidth="1"/>
    <col min="6406" max="6406" width="7" style="96" customWidth="1"/>
    <col min="6407" max="6407" width="23.296875" style="96" customWidth="1"/>
    <col min="6408" max="6408" width="8.8984375" style="96" customWidth="1"/>
    <col min="6409" max="6409" width="1" style="96" customWidth="1"/>
    <col min="6410" max="6656" width="8.19921875" style="96"/>
    <col min="6657" max="6657" width="16" style="96" customWidth="1"/>
    <col min="6658" max="6658" width="8.5" style="96" customWidth="1"/>
    <col min="6659" max="6659" width="11.3984375" style="96" customWidth="1"/>
    <col min="6660" max="6660" width="12.59765625" style="96" customWidth="1"/>
    <col min="6661" max="6661" width="3.59765625" style="96" customWidth="1"/>
    <col min="6662" max="6662" width="7" style="96" customWidth="1"/>
    <col min="6663" max="6663" width="23.296875" style="96" customWidth="1"/>
    <col min="6664" max="6664" width="8.8984375" style="96" customWidth="1"/>
    <col min="6665" max="6665" width="1" style="96" customWidth="1"/>
    <col min="6666" max="6912" width="8.19921875" style="96"/>
    <col min="6913" max="6913" width="16" style="96" customWidth="1"/>
    <col min="6914" max="6914" width="8.5" style="96" customWidth="1"/>
    <col min="6915" max="6915" width="11.3984375" style="96" customWidth="1"/>
    <col min="6916" max="6916" width="12.59765625" style="96" customWidth="1"/>
    <col min="6917" max="6917" width="3.59765625" style="96" customWidth="1"/>
    <col min="6918" max="6918" width="7" style="96" customWidth="1"/>
    <col min="6919" max="6919" width="23.296875" style="96" customWidth="1"/>
    <col min="6920" max="6920" width="8.8984375" style="96" customWidth="1"/>
    <col min="6921" max="6921" width="1" style="96" customWidth="1"/>
    <col min="6922" max="7168" width="8.19921875" style="96"/>
    <col min="7169" max="7169" width="16" style="96" customWidth="1"/>
    <col min="7170" max="7170" width="8.5" style="96" customWidth="1"/>
    <col min="7171" max="7171" width="11.3984375" style="96" customWidth="1"/>
    <col min="7172" max="7172" width="12.59765625" style="96" customWidth="1"/>
    <col min="7173" max="7173" width="3.59765625" style="96" customWidth="1"/>
    <col min="7174" max="7174" width="7" style="96" customWidth="1"/>
    <col min="7175" max="7175" width="23.296875" style="96" customWidth="1"/>
    <col min="7176" max="7176" width="8.8984375" style="96" customWidth="1"/>
    <col min="7177" max="7177" width="1" style="96" customWidth="1"/>
    <col min="7178" max="7424" width="8.19921875" style="96"/>
    <col min="7425" max="7425" width="16" style="96" customWidth="1"/>
    <col min="7426" max="7426" width="8.5" style="96" customWidth="1"/>
    <col min="7427" max="7427" width="11.3984375" style="96" customWidth="1"/>
    <col min="7428" max="7428" width="12.59765625" style="96" customWidth="1"/>
    <col min="7429" max="7429" width="3.59765625" style="96" customWidth="1"/>
    <col min="7430" max="7430" width="7" style="96" customWidth="1"/>
    <col min="7431" max="7431" width="23.296875" style="96" customWidth="1"/>
    <col min="7432" max="7432" width="8.8984375" style="96" customWidth="1"/>
    <col min="7433" max="7433" width="1" style="96" customWidth="1"/>
    <col min="7434" max="7680" width="8.19921875" style="96"/>
    <col min="7681" max="7681" width="16" style="96" customWidth="1"/>
    <col min="7682" max="7682" width="8.5" style="96" customWidth="1"/>
    <col min="7683" max="7683" width="11.3984375" style="96" customWidth="1"/>
    <col min="7684" max="7684" width="12.59765625" style="96" customWidth="1"/>
    <col min="7685" max="7685" width="3.59765625" style="96" customWidth="1"/>
    <col min="7686" max="7686" width="7" style="96" customWidth="1"/>
    <col min="7687" max="7687" width="23.296875" style="96" customWidth="1"/>
    <col min="7688" max="7688" width="8.8984375" style="96" customWidth="1"/>
    <col min="7689" max="7689" width="1" style="96" customWidth="1"/>
    <col min="7690" max="7936" width="8.19921875" style="96"/>
    <col min="7937" max="7937" width="16" style="96" customWidth="1"/>
    <col min="7938" max="7938" width="8.5" style="96" customWidth="1"/>
    <col min="7939" max="7939" width="11.3984375" style="96" customWidth="1"/>
    <col min="7940" max="7940" width="12.59765625" style="96" customWidth="1"/>
    <col min="7941" max="7941" width="3.59765625" style="96" customWidth="1"/>
    <col min="7942" max="7942" width="7" style="96" customWidth="1"/>
    <col min="7943" max="7943" width="23.296875" style="96" customWidth="1"/>
    <col min="7944" max="7944" width="8.8984375" style="96" customWidth="1"/>
    <col min="7945" max="7945" width="1" style="96" customWidth="1"/>
    <col min="7946" max="8192" width="8.19921875" style="96"/>
    <col min="8193" max="8193" width="16" style="96" customWidth="1"/>
    <col min="8194" max="8194" width="8.5" style="96" customWidth="1"/>
    <col min="8195" max="8195" width="11.3984375" style="96" customWidth="1"/>
    <col min="8196" max="8196" width="12.59765625" style="96" customWidth="1"/>
    <col min="8197" max="8197" width="3.59765625" style="96" customWidth="1"/>
    <col min="8198" max="8198" width="7" style="96" customWidth="1"/>
    <col min="8199" max="8199" width="23.296875" style="96" customWidth="1"/>
    <col min="8200" max="8200" width="8.8984375" style="96" customWidth="1"/>
    <col min="8201" max="8201" width="1" style="96" customWidth="1"/>
    <col min="8202" max="8448" width="8.19921875" style="96"/>
    <col min="8449" max="8449" width="16" style="96" customWidth="1"/>
    <col min="8450" max="8450" width="8.5" style="96" customWidth="1"/>
    <col min="8451" max="8451" width="11.3984375" style="96" customWidth="1"/>
    <col min="8452" max="8452" width="12.59765625" style="96" customWidth="1"/>
    <col min="8453" max="8453" width="3.59765625" style="96" customWidth="1"/>
    <col min="8454" max="8454" width="7" style="96" customWidth="1"/>
    <col min="8455" max="8455" width="23.296875" style="96" customWidth="1"/>
    <col min="8456" max="8456" width="8.8984375" style="96" customWidth="1"/>
    <col min="8457" max="8457" width="1" style="96" customWidth="1"/>
    <col min="8458" max="8704" width="8.19921875" style="96"/>
    <col min="8705" max="8705" width="16" style="96" customWidth="1"/>
    <col min="8706" max="8706" width="8.5" style="96" customWidth="1"/>
    <col min="8707" max="8707" width="11.3984375" style="96" customWidth="1"/>
    <col min="8708" max="8708" width="12.59765625" style="96" customWidth="1"/>
    <col min="8709" max="8709" width="3.59765625" style="96" customWidth="1"/>
    <col min="8710" max="8710" width="7" style="96" customWidth="1"/>
    <col min="8711" max="8711" width="23.296875" style="96" customWidth="1"/>
    <col min="8712" max="8712" width="8.8984375" style="96" customWidth="1"/>
    <col min="8713" max="8713" width="1" style="96" customWidth="1"/>
    <col min="8714" max="8960" width="8.19921875" style="96"/>
    <col min="8961" max="8961" width="16" style="96" customWidth="1"/>
    <col min="8962" max="8962" width="8.5" style="96" customWidth="1"/>
    <col min="8963" max="8963" width="11.3984375" style="96" customWidth="1"/>
    <col min="8964" max="8964" width="12.59765625" style="96" customWidth="1"/>
    <col min="8965" max="8965" width="3.59765625" style="96" customWidth="1"/>
    <col min="8966" max="8966" width="7" style="96" customWidth="1"/>
    <col min="8967" max="8967" width="23.296875" style="96" customWidth="1"/>
    <col min="8968" max="8968" width="8.8984375" style="96" customWidth="1"/>
    <col min="8969" max="8969" width="1" style="96" customWidth="1"/>
    <col min="8970" max="9216" width="8.19921875" style="96"/>
    <col min="9217" max="9217" width="16" style="96" customWidth="1"/>
    <col min="9218" max="9218" width="8.5" style="96" customWidth="1"/>
    <col min="9219" max="9219" width="11.3984375" style="96" customWidth="1"/>
    <col min="9220" max="9220" width="12.59765625" style="96" customWidth="1"/>
    <col min="9221" max="9221" width="3.59765625" style="96" customWidth="1"/>
    <col min="9222" max="9222" width="7" style="96" customWidth="1"/>
    <col min="9223" max="9223" width="23.296875" style="96" customWidth="1"/>
    <col min="9224" max="9224" width="8.8984375" style="96" customWidth="1"/>
    <col min="9225" max="9225" width="1" style="96" customWidth="1"/>
    <col min="9226" max="9472" width="8.19921875" style="96"/>
    <col min="9473" max="9473" width="16" style="96" customWidth="1"/>
    <col min="9474" max="9474" width="8.5" style="96" customWidth="1"/>
    <col min="9475" max="9475" width="11.3984375" style="96" customWidth="1"/>
    <col min="9476" max="9476" width="12.59765625" style="96" customWidth="1"/>
    <col min="9477" max="9477" width="3.59765625" style="96" customWidth="1"/>
    <col min="9478" max="9478" width="7" style="96" customWidth="1"/>
    <col min="9479" max="9479" width="23.296875" style="96" customWidth="1"/>
    <col min="9480" max="9480" width="8.8984375" style="96" customWidth="1"/>
    <col min="9481" max="9481" width="1" style="96" customWidth="1"/>
    <col min="9482" max="9728" width="8.19921875" style="96"/>
    <col min="9729" max="9729" width="16" style="96" customWidth="1"/>
    <col min="9730" max="9730" width="8.5" style="96" customWidth="1"/>
    <col min="9731" max="9731" width="11.3984375" style="96" customWidth="1"/>
    <col min="9732" max="9732" width="12.59765625" style="96" customWidth="1"/>
    <col min="9733" max="9733" width="3.59765625" style="96" customWidth="1"/>
    <col min="9734" max="9734" width="7" style="96" customWidth="1"/>
    <col min="9735" max="9735" width="23.296875" style="96" customWidth="1"/>
    <col min="9736" max="9736" width="8.8984375" style="96" customWidth="1"/>
    <col min="9737" max="9737" width="1" style="96" customWidth="1"/>
    <col min="9738" max="9984" width="8.19921875" style="96"/>
    <col min="9985" max="9985" width="16" style="96" customWidth="1"/>
    <col min="9986" max="9986" width="8.5" style="96" customWidth="1"/>
    <col min="9987" max="9987" width="11.3984375" style="96" customWidth="1"/>
    <col min="9988" max="9988" width="12.59765625" style="96" customWidth="1"/>
    <col min="9989" max="9989" width="3.59765625" style="96" customWidth="1"/>
    <col min="9990" max="9990" width="7" style="96" customWidth="1"/>
    <col min="9991" max="9991" width="23.296875" style="96" customWidth="1"/>
    <col min="9992" max="9992" width="8.8984375" style="96" customWidth="1"/>
    <col min="9993" max="9993" width="1" style="96" customWidth="1"/>
    <col min="9994" max="10240" width="8.19921875" style="96"/>
    <col min="10241" max="10241" width="16" style="96" customWidth="1"/>
    <col min="10242" max="10242" width="8.5" style="96" customWidth="1"/>
    <col min="10243" max="10243" width="11.3984375" style="96" customWidth="1"/>
    <col min="10244" max="10244" width="12.59765625" style="96" customWidth="1"/>
    <col min="10245" max="10245" width="3.59765625" style="96" customWidth="1"/>
    <col min="10246" max="10246" width="7" style="96" customWidth="1"/>
    <col min="10247" max="10247" width="23.296875" style="96" customWidth="1"/>
    <col min="10248" max="10248" width="8.8984375" style="96" customWidth="1"/>
    <col min="10249" max="10249" width="1" style="96" customWidth="1"/>
    <col min="10250" max="10496" width="8.19921875" style="96"/>
    <col min="10497" max="10497" width="16" style="96" customWidth="1"/>
    <col min="10498" max="10498" width="8.5" style="96" customWidth="1"/>
    <col min="10499" max="10499" width="11.3984375" style="96" customWidth="1"/>
    <col min="10500" max="10500" width="12.59765625" style="96" customWidth="1"/>
    <col min="10501" max="10501" width="3.59765625" style="96" customWidth="1"/>
    <col min="10502" max="10502" width="7" style="96" customWidth="1"/>
    <col min="10503" max="10503" width="23.296875" style="96" customWidth="1"/>
    <col min="10504" max="10504" width="8.8984375" style="96" customWidth="1"/>
    <col min="10505" max="10505" width="1" style="96" customWidth="1"/>
    <col min="10506" max="10752" width="8.19921875" style="96"/>
    <col min="10753" max="10753" width="16" style="96" customWidth="1"/>
    <col min="10754" max="10754" width="8.5" style="96" customWidth="1"/>
    <col min="10755" max="10755" width="11.3984375" style="96" customWidth="1"/>
    <col min="10756" max="10756" width="12.59765625" style="96" customWidth="1"/>
    <col min="10757" max="10757" width="3.59765625" style="96" customWidth="1"/>
    <col min="10758" max="10758" width="7" style="96" customWidth="1"/>
    <col min="10759" max="10759" width="23.296875" style="96" customWidth="1"/>
    <col min="10760" max="10760" width="8.8984375" style="96" customWidth="1"/>
    <col min="10761" max="10761" width="1" style="96" customWidth="1"/>
    <col min="10762" max="11008" width="8.19921875" style="96"/>
    <col min="11009" max="11009" width="16" style="96" customWidth="1"/>
    <col min="11010" max="11010" width="8.5" style="96" customWidth="1"/>
    <col min="11011" max="11011" width="11.3984375" style="96" customWidth="1"/>
    <col min="11012" max="11012" width="12.59765625" style="96" customWidth="1"/>
    <col min="11013" max="11013" width="3.59765625" style="96" customWidth="1"/>
    <col min="11014" max="11014" width="7" style="96" customWidth="1"/>
    <col min="11015" max="11015" width="23.296875" style="96" customWidth="1"/>
    <col min="11016" max="11016" width="8.8984375" style="96" customWidth="1"/>
    <col min="11017" max="11017" width="1" style="96" customWidth="1"/>
    <col min="11018" max="11264" width="8.19921875" style="96"/>
    <col min="11265" max="11265" width="16" style="96" customWidth="1"/>
    <col min="11266" max="11266" width="8.5" style="96" customWidth="1"/>
    <col min="11267" max="11267" width="11.3984375" style="96" customWidth="1"/>
    <col min="11268" max="11268" width="12.59765625" style="96" customWidth="1"/>
    <col min="11269" max="11269" width="3.59765625" style="96" customWidth="1"/>
    <col min="11270" max="11270" width="7" style="96" customWidth="1"/>
    <col min="11271" max="11271" width="23.296875" style="96" customWidth="1"/>
    <col min="11272" max="11272" width="8.8984375" style="96" customWidth="1"/>
    <col min="11273" max="11273" width="1" style="96" customWidth="1"/>
    <col min="11274" max="11520" width="8.19921875" style="96"/>
    <col min="11521" max="11521" width="16" style="96" customWidth="1"/>
    <col min="11522" max="11522" width="8.5" style="96" customWidth="1"/>
    <col min="11523" max="11523" width="11.3984375" style="96" customWidth="1"/>
    <col min="11524" max="11524" width="12.59765625" style="96" customWidth="1"/>
    <col min="11525" max="11525" width="3.59765625" style="96" customWidth="1"/>
    <col min="11526" max="11526" width="7" style="96" customWidth="1"/>
    <col min="11527" max="11527" width="23.296875" style="96" customWidth="1"/>
    <col min="11528" max="11528" width="8.8984375" style="96" customWidth="1"/>
    <col min="11529" max="11529" width="1" style="96" customWidth="1"/>
    <col min="11530" max="11776" width="8.19921875" style="96"/>
    <col min="11777" max="11777" width="16" style="96" customWidth="1"/>
    <col min="11778" max="11778" width="8.5" style="96" customWidth="1"/>
    <col min="11779" max="11779" width="11.3984375" style="96" customWidth="1"/>
    <col min="11780" max="11780" width="12.59765625" style="96" customWidth="1"/>
    <col min="11781" max="11781" width="3.59765625" style="96" customWidth="1"/>
    <col min="11782" max="11782" width="7" style="96" customWidth="1"/>
    <col min="11783" max="11783" width="23.296875" style="96" customWidth="1"/>
    <col min="11784" max="11784" width="8.8984375" style="96" customWidth="1"/>
    <col min="11785" max="11785" width="1" style="96" customWidth="1"/>
    <col min="11786" max="12032" width="8.19921875" style="96"/>
    <col min="12033" max="12033" width="16" style="96" customWidth="1"/>
    <col min="12034" max="12034" width="8.5" style="96" customWidth="1"/>
    <col min="12035" max="12035" width="11.3984375" style="96" customWidth="1"/>
    <col min="12036" max="12036" width="12.59765625" style="96" customWidth="1"/>
    <col min="12037" max="12037" width="3.59765625" style="96" customWidth="1"/>
    <col min="12038" max="12038" width="7" style="96" customWidth="1"/>
    <col min="12039" max="12039" width="23.296875" style="96" customWidth="1"/>
    <col min="12040" max="12040" width="8.8984375" style="96" customWidth="1"/>
    <col min="12041" max="12041" width="1" style="96" customWidth="1"/>
    <col min="12042" max="12288" width="8.19921875" style="96"/>
    <col min="12289" max="12289" width="16" style="96" customWidth="1"/>
    <col min="12290" max="12290" width="8.5" style="96" customWidth="1"/>
    <col min="12291" max="12291" width="11.3984375" style="96" customWidth="1"/>
    <col min="12292" max="12292" width="12.59765625" style="96" customWidth="1"/>
    <col min="12293" max="12293" width="3.59765625" style="96" customWidth="1"/>
    <col min="12294" max="12294" width="7" style="96" customWidth="1"/>
    <col min="12295" max="12295" width="23.296875" style="96" customWidth="1"/>
    <col min="12296" max="12296" width="8.8984375" style="96" customWidth="1"/>
    <col min="12297" max="12297" width="1" style="96" customWidth="1"/>
    <col min="12298" max="12544" width="8.19921875" style="96"/>
    <col min="12545" max="12545" width="16" style="96" customWidth="1"/>
    <col min="12546" max="12546" width="8.5" style="96" customWidth="1"/>
    <col min="12547" max="12547" width="11.3984375" style="96" customWidth="1"/>
    <col min="12548" max="12548" width="12.59765625" style="96" customWidth="1"/>
    <col min="12549" max="12549" width="3.59765625" style="96" customWidth="1"/>
    <col min="12550" max="12550" width="7" style="96" customWidth="1"/>
    <col min="12551" max="12551" width="23.296875" style="96" customWidth="1"/>
    <col min="12552" max="12552" width="8.8984375" style="96" customWidth="1"/>
    <col min="12553" max="12553" width="1" style="96" customWidth="1"/>
    <col min="12554" max="12800" width="8.19921875" style="96"/>
    <col min="12801" max="12801" width="16" style="96" customWidth="1"/>
    <col min="12802" max="12802" width="8.5" style="96" customWidth="1"/>
    <col min="12803" max="12803" width="11.3984375" style="96" customWidth="1"/>
    <col min="12804" max="12804" width="12.59765625" style="96" customWidth="1"/>
    <col min="12805" max="12805" width="3.59765625" style="96" customWidth="1"/>
    <col min="12806" max="12806" width="7" style="96" customWidth="1"/>
    <col min="12807" max="12807" width="23.296875" style="96" customWidth="1"/>
    <col min="12808" max="12808" width="8.8984375" style="96" customWidth="1"/>
    <col min="12809" max="12809" width="1" style="96" customWidth="1"/>
    <col min="12810" max="13056" width="8.19921875" style="96"/>
    <col min="13057" max="13057" width="16" style="96" customWidth="1"/>
    <col min="13058" max="13058" width="8.5" style="96" customWidth="1"/>
    <col min="13059" max="13059" width="11.3984375" style="96" customWidth="1"/>
    <col min="13060" max="13060" width="12.59765625" style="96" customWidth="1"/>
    <col min="13061" max="13061" width="3.59765625" style="96" customWidth="1"/>
    <col min="13062" max="13062" width="7" style="96" customWidth="1"/>
    <col min="13063" max="13063" width="23.296875" style="96" customWidth="1"/>
    <col min="13064" max="13064" width="8.8984375" style="96" customWidth="1"/>
    <col min="13065" max="13065" width="1" style="96" customWidth="1"/>
    <col min="13066" max="13312" width="8.19921875" style="96"/>
    <col min="13313" max="13313" width="16" style="96" customWidth="1"/>
    <col min="13314" max="13314" width="8.5" style="96" customWidth="1"/>
    <col min="13315" max="13315" width="11.3984375" style="96" customWidth="1"/>
    <col min="13316" max="13316" width="12.59765625" style="96" customWidth="1"/>
    <col min="13317" max="13317" width="3.59765625" style="96" customWidth="1"/>
    <col min="13318" max="13318" width="7" style="96" customWidth="1"/>
    <col min="13319" max="13319" width="23.296875" style="96" customWidth="1"/>
    <col min="13320" max="13320" width="8.8984375" style="96" customWidth="1"/>
    <col min="13321" max="13321" width="1" style="96" customWidth="1"/>
    <col min="13322" max="13568" width="8.19921875" style="96"/>
    <col min="13569" max="13569" width="16" style="96" customWidth="1"/>
    <col min="13570" max="13570" width="8.5" style="96" customWidth="1"/>
    <col min="13571" max="13571" width="11.3984375" style="96" customWidth="1"/>
    <col min="13572" max="13572" width="12.59765625" style="96" customWidth="1"/>
    <col min="13573" max="13573" width="3.59765625" style="96" customWidth="1"/>
    <col min="13574" max="13574" width="7" style="96" customWidth="1"/>
    <col min="13575" max="13575" width="23.296875" style="96" customWidth="1"/>
    <col min="13576" max="13576" width="8.8984375" style="96" customWidth="1"/>
    <col min="13577" max="13577" width="1" style="96" customWidth="1"/>
    <col min="13578" max="13824" width="8.19921875" style="96"/>
    <col min="13825" max="13825" width="16" style="96" customWidth="1"/>
    <col min="13826" max="13826" width="8.5" style="96" customWidth="1"/>
    <col min="13827" max="13827" width="11.3984375" style="96" customWidth="1"/>
    <col min="13828" max="13828" width="12.59765625" style="96" customWidth="1"/>
    <col min="13829" max="13829" width="3.59765625" style="96" customWidth="1"/>
    <col min="13830" max="13830" width="7" style="96" customWidth="1"/>
    <col min="13831" max="13831" width="23.296875" style="96" customWidth="1"/>
    <col min="13832" max="13832" width="8.8984375" style="96" customWidth="1"/>
    <col min="13833" max="13833" width="1" style="96" customWidth="1"/>
    <col min="13834" max="14080" width="8.19921875" style="96"/>
    <col min="14081" max="14081" width="16" style="96" customWidth="1"/>
    <col min="14082" max="14082" width="8.5" style="96" customWidth="1"/>
    <col min="14083" max="14083" width="11.3984375" style="96" customWidth="1"/>
    <col min="14084" max="14084" width="12.59765625" style="96" customWidth="1"/>
    <col min="14085" max="14085" width="3.59765625" style="96" customWidth="1"/>
    <col min="14086" max="14086" width="7" style="96" customWidth="1"/>
    <col min="14087" max="14087" width="23.296875" style="96" customWidth="1"/>
    <col min="14088" max="14088" width="8.8984375" style="96" customWidth="1"/>
    <col min="14089" max="14089" width="1" style="96" customWidth="1"/>
    <col min="14090" max="14336" width="8.19921875" style="96"/>
    <col min="14337" max="14337" width="16" style="96" customWidth="1"/>
    <col min="14338" max="14338" width="8.5" style="96" customWidth="1"/>
    <col min="14339" max="14339" width="11.3984375" style="96" customWidth="1"/>
    <col min="14340" max="14340" width="12.59765625" style="96" customWidth="1"/>
    <col min="14341" max="14341" width="3.59765625" style="96" customWidth="1"/>
    <col min="14342" max="14342" width="7" style="96" customWidth="1"/>
    <col min="14343" max="14343" width="23.296875" style="96" customWidth="1"/>
    <col min="14344" max="14344" width="8.8984375" style="96" customWidth="1"/>
    <col min="14345" max="14345" width="1" style="96" customWidth="1"/>
    <col min="14346" max="14592" width="8.19921875" style="96"/>
    <col min="14593" max="14593" width="16" style="96" customWidth="1"/>
    <col min="14594" max="14594" width="8.5" style="96" customWidth="1"/>
    <col min="14595" max="14595" width="11.3984375" style="96" customWidth="1"/>
    <col min="14596" max="14596" width="12.59765625" style="96" customWidth="1"/>
    <col min="14597" max="14597" width="3.59765625" style="96" customWidth="1"/>
    <col min="14598" max="14598" width="7" style="96" customWidth="1"/>
    <col min="14599" max="14599" width="23.296875" style="96" customWidth="1"/>
    <col min="14600" max="14600" width="8.8984375" style="96" customWidth="1"/>
    <col min="14601" max="14601" width="1" style="96" customWidth="1"/>
    <col min="14602" max="14848" width="8.19921875" style="96"/>
    <col min="14849" max="14849" width="16" style="96" customWidth="1"/>
    <col min="14850" max="14850" width="8.5" style="96" customWidth="1"/>
    <col min="14851" max="14851" width="11.3984375" style="96" customWidth="1"/>
    <col min="14852" max="14852" width="12.59765625" style="96" customWidth="1"/>
    <col min="14853" max="14853" width="3.59765625" style="96" customWidth="1"/>
    <col min="14854" max="14854" width="7" style="96" customWidth="1"/>
    <col min="14855" max="14855" width="23.296875" style="96" customWidth="1"/>
    <col min="14856" max="14856" width="8.8984375" style="96" customWidth="1"/>
    <col min="14857" max="14857" width="1" style="96" customWidth="1"/>
    <col min="14858" max="15104" width="8.19921875" style="96"/>
    <col min="15105" max="15105" width="16" style="96" customWidth="1"/>
    <col min="15106" max="15106" width="8.5" style="96" customWidth="1"/>
    <col min="15107" max="15107" width="11.3984375" style="96" customWidth="1"/>
    <col min="15108" max="15108" width="12.59765625" style="96" customWidth="1"/>
    <col min="15109" max="15109" width="3.59765625" style="96" customWidth="1"/>
    <col min="15110" max="15110" width="7" style="96" customWidth="1"/>
    <col min="15111" max="15111" width="23.296875" style="96" customWidth="1"/>
    <col min="15112" max="15112" width="8.8984375" style="96" customWidth="1"/>
    <col min="15113" max="15113" width="1" style="96" customWidth="1"/>
    <col min="15114" max="15360" width="8.19921875" style="96"/>
    <col min="15361" max="15361" width="16" style="96" customWidth="1"/>
    <col min="15362" max="15362" width="8.5" style="96" customWidth="1"/>
    <col min="15363" max="15363" width="11.3984375" style="96" customWidth="1"/>
    <col min="15364" max="15364" width="12.59765625" style="96" customWidth="1"/>
    <col min="15365" max="15365" width="3.59765625" style="96" customWidth="1"/>
    <col min="15366" max="15366" width="7" style="96" customWidth="1"/>
    <col min="15367" max="15367" width="23.296875" style="96" customWidth="1"/>
    <col min="15368" max="15368" width="8.8984375" style="96" customWidth="1"/>
    <col min="15369" max="15369" width="1" style="96" customWidth="1"/>
    <col min="15370" max="15616" width="8.19921875" style="96"/>
    <col min="15617" max="15617" width="16" style="96" customWidth="1"/>
    <col min="15618" max="15618" width="8.5" style="96" customWidth="1"/>
    <col min="15619" max="15619" width="11.3984375" style="96" customWidth="1"/>
    <col min="15620" max="15620" width="12.59765625" style="96" customWidth="1"/>
    <col min="15621" max="15621" width="3.59765625" style="96" customWidth="1"/>
    <col min="15622" max="15622" width="7" style="96" customWidth="1"/>
    <col min="15623" max="15623" width="23.296875" style="96" customWidth="1"/>
    <col min="15624" max="15624" width="8.8984375" style="96" customWidth="1"/>
    <col min="15625" max="15625" width="1" style="96" customWidth="1"/>
    <col min="15626" max="15872" width="8.19921875" style="96"/>
    <col min="15873" max="15873" width="16" style="96" customWidth="1"/>
    <col min="15874" max="15874" width="8.5" style="96" customWidth="1"/>
    <col min="15875" max="15875" width="11.3984375" style="96" customWidth="1"/>
    <col min="15876" max="15876" width="12.59765625" style="96" customWidth="1"/>
    <col min="15877" max="15877" width="3.59765625" style="96" customWidth="1"/>
    <col min="15878" max="15878" width="7" style="96" customWidth="1"/>
    <col min="15879" max="15879" width="23.296875" style="96" customWidth="1"/>
    <col min="15880" max="15880" width="8.8984375" style="96" customWidth="1"/>
    <col min="15881" max="15881" width="1" style="96" customWidth="1"/>
    <col min="15882" max="16128" width="8.19921875" style="96"/>
    <col min="16129" max="16129" width="16" style="96" customWidth="1"/>
    <col min="16130" max="16130" width="8.5" style="96" customWidth="1"/>
    <col min="16131" max="16131" width="11.3984375" style="96" customWidth="1"/>
    <col min="16132" max="16132" width="12.59765625" style="96" customWidth="1"/>
    <col min="16133" max="16133" width="3.59765625" style="96" customWidth="1"/>
    <col min="16134" max="16134" width="7" style="96" customWidth="1"/>
    <col min="16135" max="16135" width="23.296875" style="96" customWidth="1"/>
    <col min="16136" max="16136" width="8.8984375" style="96" customWidth="1"/>
    <col min="16137" max="16137" width="1" style="96" customWidth="1"/>
    <col min="16138" max="16384" width="8.19921875" style="96"/>
  </cols>
  <sheetData>
    <row r="1" spans="1:8" ht="21" x14ac:dyDescent="0.25">
      <c r="A1" s="92"/>
      <c r="B1" s="93" t="s">
        <v>85</v>
      </c>
      <c r="C1" s="93"/>
      <c r="D1" s="94"/>
      <c r="E1" s="94"/>
      <c r="F1" s="94"/>
      <c r="G1" s="94"/>
      <c r="H1" s="95"/>
    </row>
    <row r="2" spans="1:8" ht="14.25" customHeight="1" x14ac:dyDescent="0.2"/>
    <row r="3" spans="1:8" ht="19.5" customHeight="1" x14ac:dyDescent="0.2">
      <c r="A3" s="98"/>
      <c r="B3" s="99"/>
      <c r="C3" s="99"/>
      <c r="D3" s="99"/>
      <c r="E3" s="99"/>
      <c r="F3" s="99"/>
      <c r="G3" s="99"/>
      <c r="H3" s="100"/>
    </row>
    <row r="4" spans="1:8" ht="18.75" customHeight="1" x14ac:dyDescent="0.2">
      <c r="A4" s="101"/>
      <c r="B4" s="94"/>
      <c r="C4" s="94"/>
      <c r="D4" s="94"/>
      <c r="E4" s="102"/>
    </row>
    <row r="5" spans="1:8" ht="8.25" customHeight="1" x14ac:dyDescent="0.2"/>
    <row r="6" spans="1:8" x14ac:dyDescent="0.2">
      <c r="A6" s="103" t="s">
        <v>86</v>
      </c>
    </row>
    <row r="7" spans="1:8" ht="20.25" customHeight="1" x14ac:dyDescent="0.2">
      <c r="F7" s="104"/>
      <c r="G7" s="104"/>
    </row>
    <row r="8" spans="1:8" ht="19.5" customHeight="1" x14ac:dyDescent="0.25">
      <c r="A8" s="105" t="s">
        <v>87</v>
      </c>
      <c r="B8" s="260">
        <v>1234567890</v>
      </c>
      <c r="C8" s="260"/>
      <c r="D8" s="261"/>
      <c r="E8" s="106"/>
    </row>
    <row r="9" spans="1:8" ht="20.100000000000001" customHeight="1" x14ac:dyDescent="0.25">
      <c r="A9" s="107" t="s">
        <v>88</v>
      </c>
      <c r="B9" s="262"/>
      <c r="C9" s="262"/>
      <c r="D9" s="262"/>
      <c r="E9" s="108"/>
    </row>
    <row r="10" spans="1:8" ht="20.100000000000001" customHeight="1" x14ac:dyDescent="0.25">
      <c r="A10" s="107" t="s">
        <v>89</v>
      </c>
      <c r="B10" s="262">
        <f>SUM(B8+B9)</f>
        <v>1234567890</v>
      </c>
      <c r="C10" s="262"/>
      <c r="D10" s="262"/>
      <c r="E10" s="108"/>
    </row>
    <row r="11" spans="1:8" x14ac:dyDescent="0.2">
      <c r="B11" s="97" t="s">
        <v>90</v>
      </c>
      <c r="F11" s="96" t="s">
        <v>91</v>
      </c>
    </row>
    <row r="12" spans="1:8" x14ac:dyDescent="0.2">
      <c r="A12" s="109" t="s">
        <v>92</v>
      </c>
      <c r="B12" s="94"/>
      <c r="C12" s="94"/>
      <c r="D12" s="94"/>
      <c r="E12" s="110"/>
      <c r="F12" s="96" t="s">
        <v>93</v>
      </c>
    </row>
    <row r="13" spans="1:8" x14ac:dyDescent="0.2">
      <c r="D13" s="97"/>
      <c r="E13" s="97"/>
      <c r="F13" s="96" t="s">
        <v>94</v>
      </c>
    </row>
    <row r="14" spans="1:8" x14ac:dyDescent="0.2">
      <c r="A14" s="109" t="s">
        <v>95</v>
      </c>
      <c r="B14" s="111"/>
      <c r="C14" s="111"/>
      <c r="D14" s="111"/>
      <c r="E14" s="112"/>
      <c r="F14" s="96" t="s">
        <v>96</v>
      </c>
      <c r="G14" s="103"/>
    </row>
    <row r="15" spans="1:8" x14ac:dyDescent="0.2">
      <c r="A15" s="113" t="s">
        <v>97</v>
      </c>
      <c r="B15" s="114"/>
      <c r="C15" s="114"/>
      <c r="D15" s="114"/>
      <c r="E15" s="110"/>
    </row>
    <row r="16" spans="1:8" x14ac:dyDescent="0.2">
      <c r="A16" s="113" t="s">
        <v>98</v>
      </c>
      <c r="B16" s="115"/>
      <c r="C16" s="115"/>
      <c r="D16" s="115"/>
      <c r="E16" s="116"/>
      <c r="F16" s="96" t="s">
        <v>99</v>
      </c>
    </row>
    <row r="17" spans="1:18" x14ac:dyDescent="0.2">
      <c r="A17" s="109" t="s">
        <v>100</v>
      </c>
      <c r="B17" s="117"/>
      <c r="C17" s="117"/>
      <c r="D17" s="117"/>
      <c r="E17" s="116"/>
      <c r="F17" s="103" t="s">
        <v>101</v>
      </c>
    </row>
    <row r="19" spans="1:18" ht="16.5" customHeight="1" x14ac:dyDescent="0.2">
      <c r="H19" s="118" t="s">
        <v>102</v>
      </c>
      <c r="R19" s="118"/>
    </row>
    <row r="20" spans="1:18" ht="16.5" customHeight="1" x14ac:dyDescent="0.2">
      <c r="A20" s="119" t="s">
        <v>103</v>
      </c>
      <c r="B20" s="119" t="s">
        <v>104</v>
      </c>
      <c r="C20" s="120" t="s">
        <v>105</v>
      </c>
      <c r="D20" s="120" t="s">
        <v>106</v>
      </c>
      <c r="E20" s="258" t="s">
        <v>107</v>
      </c>
      <c r="F20" s="259"/>
      <c r="G20" s="119" t="s">
        <v>108</v>
      </c>
      <c r="H20" s="119" t="s">
        <v>109</v>
      </c>
      <c r="I20" s="121"/>
    </row>
    <row r="21" spans="1:18" ht="16.5" customHeight="1" x14ac:dyDescent="0.2">
      <c r="A21" s="122"/>
      <c r="B21" s="123"/>
      <c r="C21" s="124"/>
      <c r="D21" s="125"/>
      <c r="E21" s="256"/>
      <c r="F21" s="257"/>
      <c r="G21" s="126"/>
      <c r="H21" s="124"/>
      <c r="I21" s="103"/>
    </row>
    <row r="22" spans="1:18" ht="16.5" customHeight="1" x14ac:dyDescent="0.2">
      <c r="A22" s="122"/>
      <c r="B22" s="127"/>
      <c r="C22" s="124"/>
      <c r="D22" s="125"/>
      <c r="E22" s="256"/>
      <c r="F22" s="257"/>
      <c r="G22" s="126"/>
      <c r="H22" s="124"/>
      <c r="I22" s="103"/>
    </row>
    <row r="23" spans="1:18" ht="16.5" customHeight="1" x14ac:dyDescent="0.2">
      <c r="A23" s="122"/>
      <c r="B23" s="127"/>
      <c r="C23" s="124"/>
      <c r="D23" s="125"/>
      <c r="E23" s="256"/>
      <c r="F23" s="257"/>
      <c r="G23" s="126"/>
      <c r="H23" s="124"/>
      <c r="I23" s="103"/>
    </row>
    <row r="24" spans="1:18" ht="16.5" customHeight="1" x14ac:dyDescent="0.2">
      <c r="A24" s="122"/>
      <c r="B24" s="127"/>
      <c r="C24" s="124"/>
      <c r="D24" s="125"/>
      <c r="E24" s="256"/>
      <c r="F24" s="257"/>
      <c r="G24" s="126"/>
      <c r="H24" s="124"/>
      <c r="I24" s="103"/>
    </row>
    <row r="25" spans="1:18" ht="16.5" customHeight="1" x14ac:dyDescent="0.2">
      <c r="A25" s="122"/>
      <c r="B25" s="127"/>
      <c r="C25" s="124"/>
      <c r="D25" s="125"/>
      <c r="E25" s="256"/>
      <c r="F25" s="257"/>
      <c r="G25" s="126"/>
      <c r="H25" s="124"/>
      <c r="I25" s="103"/>
    </row>
    <row r="26" spans="1:18" ht="16.5" customHeight="1" x14ac:dyDescent="0.2">
      <c r="A26" s="122"/>
      <c r="B26" s="127"/>
      <c r="C26" s="124"/>
      <c r="D26" s="125"/>
      <c r="E26" s="256"/>
      <c r="F26" s="257"/>
      <c r="G26" s="126"/>
      <c r="H26" s="124"/>
      <c r="I26" s="103"/>
    </row>
    <row r="27" spans="1:18" ht="16.5" customHeight="1" x14ac:dyDescent="0.2">
      <c r="A27" s="122"/>
      <c r="B27" s="127"/>
      <c r="C27" s="124"/>
      <c r="D27" s="125"/>
      <c r="E27" s="256"/>
      <c r="F27" s="257"/>
      <c r="G27" s="126"/>
      <c r="H27" s="124"/>
      <c r="I27" s="103"/>
    </row>
    <row r="28" spans="1:18" ht="16.5" customHeight="1" x14ac:dyDescent="0.2">
      <c r="A28" s="122"/>
      <c r="B28" s="127"/>
      <c r="C28" s="124"/>
      <c r="D28" s="125"/>
      <c r="E28" s="256"/>
      <c r="F28" s="257"/>
      <c r="G28" s="126"/>
      <c r="H28" s="124"/>
      <c r="I28" s="103"/>
    </row>
    <row r="29" spans="1:18" ht="16.5" customHeight="1" x14ac:dyDescent="0.2">
      <c r="A29" s="122"/>
      <c r="B29" s="127"/>
      <c r="C29" s="124"/>
      <c r="D29" s="125"/>
      <c r="E29" s="256"/>
      <c r="F29" s="257"/>
      <c r="G29" s="126"/>
      <c r="H29" s="124"/>
      <c r="I29" s="103"/>
    </row>
    <row r="30" spans="1:18" ht="16.5" customHeight="1" x14ac:dyDescent="0.2">
      <c r="A30" s="122"/>
      <c r="B30" s="127"/>
      <c r="C30" s="124"/>
      <c r="D30" s="125"/>
      <c r="E30" s="256"/>
      <c r="F30" s="257"/>
      <c r="G30" s="126"/>
      <c r="H30" s="124"/>
      <c r="I30" s="103"/>
    </row>
    <row r="31" spans="1:18" ht="16.5" customHeight="1" x14ac:dyDescent="0.2">
      <c r="A31" s="122"/>
      <c r="B31" s="127"/>
      <c r="C31" s="124"/>
      <c r="D31" s="125"/>
      <c r="E31" s="256"/>
      <c r="F31" s="257"/>
      <c r="G31" s="126"/>
      <c r="H31" s="124"/>
      <c r="I31" s="103"/>
    </row>
    <row r="32" spans="1:18" ht="16.5" customHeight="1" x14ac:dyDescent="0.2">
      <c r="A32" s="122"/>
      <c r="B32" s="127"/>
      <c r="C32" s="124"/>
      <c r="D32" s="125"/>
      <c r="E32" s="256"/>
      <c r="F32" s="257"/>
      <c r="G32" s="126"/>
      <c r="H32" s="124"/>
      <c r="I32" s="103"/>
    </row>
    <row r="33" spans="1:9" ht="16.5" customHeight="1" x14ac:dyDescent="0.2">
      <c r="A33" s="122"/>
      <c r="B33" s="127"/>
      <c r="C33" s="124"/>
      <c r="D33" s="125"/>
      <c r="E33" s="256"/>
      <c r="F33" s="257"/>
      <c r="G33" s="126"/>
      <c r="H33" s="124"/>
      <c r="I33" s="103"/>
    </row>
    <row r="34" spans="1:9" ht="16.5" customHeight="1" x14ac:dyDescent="0.2">
      <c r="A34" s="122"/>
      <c r="B34" s="127"/>
      <c r="C34" s="124"/>
      <c r="D34" s="125"/>
      <c r="E34" s="256"/>
      <c r="F34" s="257"/>
      <c r="G34" s="126"/>
      <c r="H34" s="124"/>
      <c r="I34" s="103"/>
    </row>
    <row r="35" spans="1:9" ht="16.5" customHeight="1" x14ac:dyDescent="0.2">
      <c r="A35" s="122"/>
      <c r="B35" s="127"/>
      <c r="C35" s="124"/>
      <c r="D35" s="125"/>
      <c r="E35" s="256"/>
      <c r="F35" s="257"/>
      <c r="G35" s="126"/>
      <c r="H35" s="124"/>
      <c r="I35" s="103"/>
    </row>
    <row r="36" spans="1:9" ht="16.5" customHeight="1" x14ac:dyDescent="0.2">
      <c r="A36" s="122"/>
      <c r="B36" s="127"/>
      <c r="C36" s="124"/>
      <c r="D36" s="125"/>
      <c r="E36" s="256"/>
      <c r="F36" s="257"/>
      <c r="G36" s="126"/>
      <c r="H36" s="124"/>
      <c r="I36" s="103"/>
    </row>
    <row r="37" spans="1:9" ht="16.5" customHeight="1" x14ac:dyDescent="0.2">
      <c r="A37" s="122"/>
      <c r="B37" s="127"/>
      <c r="C37" s="124"/>
      <c r="D37" s="125"/>
      <c r="E37" s="256"/>
      <c r="F37" s="257"/>
      <c r="G37" s="126"/>
      <c r="H37" s="124"/>
      <c r="I37" s="103"/>
    </row>
    <row r="38" spans="1:9" ht="16.5" customHeight="1" x14ac:dyDescent="0.2">
      <c r="A38" s="122"/>
      <c r="B38" s="127"/>
      <c r="C38" s="124"/>
      <c r="D38" s="125"/>
      <c r="E38" s="256"/>
      <c r="F38" s="257"/>
      <c r="G38" s="126"/>
      <c r="H38" s="124"/>
      <c r="I38" s="103"/>
    </row>
    <row r="39" spans="1:9" ht="16.5" customHeight="1" x14ac:dyDescent="0.2">
      <c r="A39" s="122"/>
      <c r="B39" s="127"/>
      <c r="C39" s="124"/>
      <c r="D39" s="125"/>
      <c r="E39" s="256"/>
      <c r="F39" s="257"/>
      <c r="G39" s="126"/>
      <c r="H39" s="124"/>
      <c r="I39" s="103"/>
    </row>
    <row r="40" spans="1:9" ht="16.5" customHeight="1" x14ac:dyDescent="0.2">
      <c r="A40" s="122"/>
      <c r="B40" s="127"/>
      <c r="C40" s="124"/>
      <c r="D40" s="125"/>
      <c r="E40" s="256"/>
      <c r="F40" s="257"/>
      <c r="G40" s="126"/>
      <c r="H40" s="124"/>
      <c r="I40" s="103"/>
    </row>
    <row r="41" spans="1:9" ht="16.5" customHeight="1" x14ac:dyDescent="0.2">
      <c r="A41" s="122"/>
      <c r="B41" s="127"/>
      <c r="C41" s="124"/>
      <c r="D41" s="125"/>
      <c r="E41" s="256"/>
      <c r="F41" s="257"/>
      <c r="G41" s="126"/>
      <c r="H41" s="124"/>
      <c r="I41" s="103"/>
    </row>
    <row r="42" spans="1:9" ht="16.5" customHeight="1" x14ac:dyDescent="0.2">
      <c r="A42" s="122"/>
      <c r="B42" s="127"/>
      <c r="C42" s="124"/>
      <c r="D42" s="125"/>
      <c r="E42" s="256"/>
      <c r="F42" s="257"/>
      <c r="G42" s="126"/>
      <c r="H42" s="124"/>
      <c r="I42" s="103"/>
    </row>
    <row r="43" spans="1:9" ht="16.5" customHeight="1" x14ac:dyDescent="0.2">
      <c r="A43" s="122"/>
      <c r="B43" s="127"/>
      <c r="C43" s="124"/>
      <c r="D43" s="125"/>
      <c r="E43" s="256"/>
      <c r="F43" s="257"/>
      <c r="G43" s="126"/>
      <c r="H43" s="124"/>
      <c r="I43" s="103"/>
    </row>
    <row r="44" spans="1:9" ht="16.5" customHeight="1" x14ac:dyDescent="0.2">
      <c r="A44" s="122"/>
      <c r="B44" s="127"/>
      <c r="C44" s="124"/>
      <c r="D44" s="125"/>
      <c r="E44" s="256"/>
      <c r="F44" s="257"/>
      <c r="G44" s="126"/>
      <c r="H44" s="124"/>
      <c r="I44" s="103"/>
    </row>
    <row r="45" spans="1:9" ht="16.5" customHeight="1" x14ac:dyDescent="0.2">
      <c r="A45" s="122"/>
      <c r="B45" s="127"/>
      <c r="C45" s="124"/>
      <c r="D45" s="125"/>
      <c r="E45" s="256"/>
      <c r="F45" s="257"/>
      <c r="G45" s="126"/>
      <c r="H45" s="124"/>
      <c r="I45" s="103"/>
    </row>
    <row r="46" spans="1:9" ht="16.5" customHeight="1" x14ac:dyDescent="0.2">
      <c r="A46" s="122"/>
      <c r="B46" s="127"/>
      <c r="C46" s="124"/>
      <c r="D46" s="125"/>
      <c r="E46" s="256"/>
      <c r="F46" s="257"/>
      <c r="G46" s="126"/>
      <c r="H46" s="124"/>
      <c r="I46" s="103"/>
    </row>
    <row r="47" spans="1:9" ht="16.5" customHeight="1" x14ac:dyDescent="0.2">
      <c r="A47" s="122"/>
      <c r="B47" s="127"/>
      <c r="C47" s="124"/>
      <c r="D47" s="125"/>
      <c r="E47" s="256"/>
      <c r="F47" s="257"/>
      <c r="G47" s="126"/>
      <c r="H47" s="124"/>
      <c r="I47" s="103"/>
    </row>
    <row r="48" spans="1:9" ht="16.5" customHeight="1" x14ac:dyDescent="0.2">
      <c r="A48" s="122"/>
      <c r="B48" s="127"/>
      <c r="C48" s="124"/>
      <c r="D48" s="125"/>
      <c r="E48" s="256"/>
      <c r="F48" s="257"/>
      <c r="G48" s="126"/>
      <c r="H48" s="124"/>
      <c r="I48" s="103"/>
    </row>
    <row r="49" spans="1:9" ht="16.5" customHeight="1" x14ac:dyDescent="0.2">
      <c r="A49" s="122"/>
      <c r="B49" s="127"/>
      <c r="C49" s="124"/>
      <c r="D49" s="125"/>
      <c r="E49" s="256"/>
      <c r="F49" s="257"/>
      <c r="G49" s="126"/>
      <c r="H49" s="124"/>
      <c r="I49" s="103"/>
    </row>
    <row r="50" spans="1:9" ht="16.5" customHeight="1" x14ac:dyDescent="0.2">
      <c r="A50" s="122"/>
      <c r="B50" s="127"/>
      <c r="C50" s="124"/>
      <c r="D50" s="125"/>
      <c r="E50" s="256"/>
      <c r="F50" s="257"/>
      <c r="G50" s="126"/>
      <c r="H50" s="124"/>
      <c r="I50" s="103"/>
    </row>
    <row r="51" spans="1:9" ht="16.5" customHeight="1" x14ac:dyDescent="0.2">
      <c r="A51" s="122"/>
      <c r="B51" s="127"/>
      <c r="C51" s="124"/>
      <c r="D51" s="125"/>
      <c r="E51" s="256"/>
      <c r="F51" s="257"/>
      <c r="G51" s="126"/>
      <c r="H51" s="124"/>
      <c r="I51" s="103"/>
    </row>
    <row r="52" spans="1:9" ht="16.5" customHeight="1" x14ac:dyDescent="0.2">
      <c r="A52" s="122"/>
      <c r="B52" s="127"/>
      <c r="C52" s="124"/>
      <c r="D52" s="125"/>
      <c r="E52" s="256"/>
      <c r="F52" s="257"/>
      <c r="G52" s="126"/>
      <c r="H52" s="124"/>
      <c r="I52" s="103"/>
    </row>
    <row r="53" spans="1:9" ht="16.5" customHeight="1" x14ac:dyDescent="0.2">
      <c r="A53" s="122"/>
      <c r="B53" s="127"/>
      <c r="C53" s="124"/>
      <c r="D53" s="125"/>
      <c r="E53" s="256"/>
      <c r="F53" s="257"/>
      <c r="G53" s="126"/>
      <c r="H53" s="124"/>
      <c r="I53" s="103"/>
    </row>
    <row r="54" spans="1:9" ht="16.5" customHeight="1" x14ac:dyDescent="0.2">
      <c r="A54" s="122"/>
      <c r="B54" s="127"/>
      <c r="C54" s="124"/>
      <c r="D54" s="125"/>
      <c r="E54" s="256"/>
      <c r="F54" s="257"/>
      <c r="G54" s="126"/>
      <c r="H54" s="124"/>
      <c r="I54" s="103"/>
    </row>
    <row r="55" spans="1:9" ht="9" customHeight="1" x14ac:dyDescent="0.2"/>
    <row r="56" spans="1:9" ht="16.5" customHeight="1" x14ac:dyDescent="0.2">
      <c r="H56" s="118" t="s">
        <v>102</v>
      </c>
    </row>
    <row r="57" spans="1:9" ht="16.5" customHeight="1" x14ac:dyDescent="0.2">
      <c r="A57" s="119" t="s">
        <v>103</v>
      </c>
      <c r="B57" s="119" t="s">
        <v>104</v>
      </c>
      <c r="C57" s="120" t="s">
        <v>105</v>
      </c>
      <c r="D57" s="120" t="s">
        <v>106</v>
      </c>
      <c r="E57" s="258" t="s">
        <v>107</v>
      </c>
      <c r="F57" s="259"/>
      <c r="G57" s="119" t="s">
        <v>108</v>
      </c>
      <c r="H57" s="119" t="s">
        <v>109</v>
      </c>
    </row>
    <row r="58" spans="1:9" ht="16.5" customHeight="1" x14ac:dyDescent="0.2">
      <c r="A58" s="122"/>
      <c r="B58" s="128"/>
      <c r="C58" s="124"/>
      <c r="D58" s="125"/>
      <c r="E58" s="256"/>
      <c r="F58" s="257"/>
      <c r="G58" s="126"/>
      <c r="H58" s="124"/>
    </row>
    <row r="59" spans="1:9" ht="16.5" customHeight="1" x14ac:dyDescent="0.2">
      <c r="A59" s="122"/>
      <c r="B59" s="128"/>
      <c r="C59" s="124"/>
      <c r="D59" s="125"/>
      <c r="E59" s="256"/>
      <c r="F59" s="257"/>
      <c r="G59" s="126"/>
      <c r="H59" s="124"/>
    </row>
    <row r="60" spans="1:9" ht="16.5" customHeight="1" x14ac:dyDescent="0.2">
      <c r="A60" s="122"/>
      <c r="B60" s="128"/>
      <c r="C60" s="124"/>
      <c r="D60" s="125"/>
      <c r="E60" s="256"/>
      <c r="F60" s="257"/>
      <c r="G60" s="126"/>
      <c r="H60" s="124"/>
    </row>
    <row r="61" spans="1:9" ht="16.5" customHeight="1" x14ac:dyDescent="0.2">
      <c r="A61" s="122"/>
      <c r="B61" s="128"/>
      <c r="C61" s="124"/>
      <c r="D61" s="125"/>
      <c r="E61" s="256"/>
      <c r="F61" s="257"/>
      <c r="G61" s="126"/>
      <c r="H61" s="124"/>
    </row>
    <row r="62" spans="1:9" ht="16.5" customHeight="1" x14ac:dyDescent="0.2">
      <c r="A62" s="122"/>
      <c r="B62" s="128"/>
      <c r="C62" s="124"/>
      <c r="D62" s="125"/>
      <c r="E62" s="256"/>
      <c r="F62" s="257"/>
      <c r="G62" s="126"/>
      <c r="H62" s="124"/>
    </row>
    <row r="63" spans="1:9" ht="16.5" customHeight="1" x14ac:dyDescent="0.2">
      <c r="A63" s="122"/>
      <c r="B63" s="128"/>
      <c r="C63" s="124"/>
      <c r="D63" s="125"/>
      <c r="E63" s="256"/>
      <c r="F63" s="257"/>
      <c r="G63" s="126"/>
      <c r="H63" s="124"/>
    </row>
    <row r="64" spans="1:9" ht="16.5" customHeight="1" x14ac:dyDescent="0.2">
      <c r="A64" s="122"/>
      <c r="B64" s="128"/>
      <c r="C64" s="124"/>
      <c r="D64" s="125"/>
      <c r="E64" s="256"/>
      <c r="F64" s="257"/>
      <c r="G64" s="126"/>
      <c r="H64" s="124"/>
    </row>
    <row r="65" spans="1:8" ht="16.5" customHeight="1" x14ac:dyDescent="0.2">
      <c r="A65" s="122"/>
      <c r="B65" s="128"/>
      <c r="C65" s="124"/>
      <c r="D65" s="125"/>
      <c r="E65" s="256"/>
      <c r="F65" s="257"/>
      <c r="G65" s="126"/>
      <c r="H65" s="124"/>
    </row>
    <row r="66" spans="1:8" ht="16.5" customHeight="1" x14ac:dyDescent="0.2">
      <c r="A66" s="122"/>
      <c r="B66" s="128"/>
      <c r="C66" s="124"/>
      <c r="D66" s="125"/>
      <c r="E66" s="256"/>
      <c r="F66" s="257"/>
      <c r="G66" s="126"/>
      <c r="H66" s="124"/>
    </row>
    <row r="67" spans="1:8" ht="16.5" customHeight="1" x14ac:dyDescent="0.2">
      <c r="A67" s="122"/>
      <c r="B67" s="128"/>
      <c r="C67" s="124"/>
      <c r="D67" s="125"/>
      <c r="E67" s="256"/>
      <c r="F67" s="257"/>
      <c r="G67" s="126"/>
      <c r="H67" s="124"/>
    </row>
    <row r="68" spans="1:8" ht="16.5" customHeight="1" x14ac:dyDescent="0.2">
      <c r="A68" s="122"/>
      <c r="B68" s="128"/>
      <c r="C68" s="124"/>
      <c r="D68" s="125"/>
      <c r="E68" s="256"/>
      <c r="F68" s="257"/>
      <c r="G68" s="126"/>
      <c r="H68" s="124"/>
    </row>
    <row r="69" spans="1:8" ht="16.5" customHeight="1" x14ac:dyDescent="0.2">
      <c r="A69" s="122"/>
      <c r="B69" s="128"/>
      <c r="C69" s="124"/>
      <c r="D69" s="125"/>
      <c r="E69" s="256"/>
      <c r="F69" s="257"/>
      <c r="G69" s="126"/>
      <c r="H69" s="124"/>
    </row>
    <row r="70" spans="1:8" ht="16.5" customHeight="1" x14ac:dyDescent="0.2">
      <c r="A70" s="122"/>
      <c r="B70" s="128"/>
      <c r="C70" s="124"/>
      <c r="D70" s="125"/>
      <c r="E70" s="256"/>
      <c r="F70" s="257"/>
      <c r="G70" s="126"/>
      <c r="H70" s="124"/>
    </row>
    <row r="71" spans="1:8" ht="16.5" customHeight="1" x14ac:dyDescent="0.2">
      <c r="A71" s="122"/>
      <c r="B71" s="128"/>
      <c r="C71" s="124"/>
      <c r="D71" s="125"/>
      <c r="E71" s="256"/>
      <c r="F71" s="257"/>
      <c r="G71" s="126"/>
      <c r="H71" s="124"/>
    </row>
    <row r="72" spans="1:8" ht="16.5" customHeight="1" x14ac:dyDescent="0.2">
      <c r="A72" s="122"/>
      <c r="B72" s="128"/>
      <c r="C72" s="124"/>
      <c r="D72" s="125"/>
      <c r="E72" s="256"/>
      <c r="F72" s="257"/>
      <c r="G72" s="126"/>
      <c r="H72" s="124"/>
    </row>
    <row r="73" spans="1:8" ht="16.5" customHeight="1" x14ac:dyDescent="0.2">
      <c r="A73" s="122"/>
      <c r="B73" s="128"/>
      <c r="C73" s="124"/>
      <c r="D73" s="125"/>
      <c r="E73" s="256"/>
      <c r="F73" s="257"/>
      <c r="G73" s="126"/>
      <c r="H73" s="124"/>
    </row>
    <row r="74" spans="1:8" ht="16.5" customHeight="1" x14ac:dyDescent="0.2">
      <c r="A74" s="122"/>
      <c r="B74" s="128"/>
      <c r="C74" s="124"/>
      <c r="D74" s="125"/>
      <c r="E74" s="256"/>
      <c r="F74" s="257"/>
      <c r="G74" s="126"/>
      <c r="H74" s="124"/>
    </row>
    <row r="75" spans="1:8" ht="16.5" customHeight="1" x14ac:dyDescent="0.2">
      <c r="A75" s="122"/>
      <c r="B75" s="128"/>
      <c r="C75" s="124"/>
      <c r="D75" s="125"/>
      <c r="E75" s="256"/>
      <c r="F75" s="257"/>
      <c r="G75" s="126"/>
      <c r="H75" s="124"/>
    </row>
    <row r="76" spans="1:8" ht="16.5" customHeight="1" x14ac:dyDescent="0.2">
      <c r="A76" s="122"/>
      <c r="B76" s="128"/>
      <c r="C76" s="124"/>
      <c r="D76" s="125"/>
      <c r="E76" s="256"/>
      <c r="F76" s="257"/>
      <c r="G76" s="126"/>
      <c r="H76" s="124"/>
    </row>
    <row r="77" spans="1:8" ht="16.5" customHeight="1" x14ac:dyDescent="0.2">
      <c r="A77" s="122"/>
      <c r="B77" s="128"/>
      <c r="C77" s="124"/>
      <c r="D77" s="125"/>
      <c r="E77" s="256"/>
      <c r="F77" s="257"/>
      <c r="G77" s="126"/>
      <c r="H77" s="124"/>
    </row>
    <row r="78" spans="1:8" ht="16.5" customHeight="1" x14ac:dyDescent="0.2">
      <c r="A78" s="122"/>
      <c r="B78" s="128"/>
      <c r="C78" s="124"/>
      <c r="D78" s="125"/>
      <c r="E78" s="256"/>
      <c r="F78" s="257"/>
      <c r="G78" s="126"/>
      <c r="H78" s="124"/>
    </row>
    <row r="79" spans="1:8" ht="16.5" customHeight="1" x14ac:dyDescent="0.2">
      <c r="A79" s="122"/>
      <c r="B79" s="128"/>
      <c r="C79" s="124"/>
      <c r="D79" s="125"/>
      <c r="E79" s="256"/>
      <c r="F79" s="257"/>
      <c r="G79" s="126"/>
      <c r="H79" s="124"/>
    </row>
    <row r="80" spans="1:8" ht="16.5" customHeight="1" x14ac:dyDescent="0.2">
      <c r="A80" s="122"/>
      <c r="B80" s="128"/>
      <c r="C80" s="124"/>
      <c r="D80" s="125"/>
      <c r="E80" s="256"/>
      <c r="F80" s="257"/>
      <c r="G80" s="126"/>
      <c r="H80" s="124"/>
    </row>
    <row r="81" spans="1:8" ht="16.5" customHeight="1" x14ac:dyDescent="0.2">
      <c r="A81" s="122"/>
      <c r="B81" s="128"/>
      <c r="C81" s="124"/>
      <c r="D81" s="125"/>
      <c r="E81" s="256"/>
      <c r="F81" s="257"/>
      <c r="G81" s="126"/>
      <c r="H81" s="124"/>
    </row>
    <row r="82" spans="1:8" ht="16.5" customHeight="1" x14ac:dyDescent="0.2">
      <c r="A82" s="122"/>
      <c r="B82" s="128"/>
      <c r="C82" s="124"/>
      <c r="D82" s="125"/>
      <c r="E82" s="256"/>
      <c r="F82" s="257"/>
      <c r="G82" s="126"/>
      <c r="H82" s="124"/>
    </row>
    <row r="83" spans="1:8" ht="16.5" customHeight="1" x14ac:dyDescent="0.2">
      <c r="A83" s="122"/>
      <c r="B83" s="128"/>
      <c r="C83" s="124"/>
      <c r="D83" s="125"/>
      <c r="E83" s="256"/>
      <c r="F83" s="257"/>
      <c r="G83" s="126"/>
      <c r="H83" s="124"/>
    </row>
    <row r="84" spans="1:8" ht="16.5" customHeight="1" x14ac:dyDescent="0.2">
      <c r="A84" s="122"/>
      <c r="B84" s="128"/>
      <c r="C84" s="124"/>
      <c r="D84" s="125"/>
      <c r="E84" s="256"/>
      <c r="F84" s="257"/>
      <c r="G84" s="126"/>
      <c r="H84" s="124"/>
    </row>
    <row r="85" spans="1:8" ht="16.5" customHeight="1" x14ac:dyDescent="0.2">
      <c r="A85" s="122"/>
      <c r="B85" s="128"/>
      <c r="C85" s="124"/>
      <c r="D85" s="125"/>
      <c r="E85" s="256"/>
      <c r="F85" s="257"/>
      <c r="G85" s="126"/>
      <c r="H85" s="124"/>
    </row>
    <row r="86" spans="1:8" ht="16.5" customHeight="1" x14ac:dyDescent="0.2">
      <c r="A86" s="122"/>
      <c r="B86" s="128"/>
      <c r="C86" s="124"/>
      <c r="D86" s="125"/>
      <c r="E86" s="256"/>
      <c r="F86" s="257"/>
      <c r="G86" s="126"/>
      <c r="H86" s="124"/>
    </row>
    <row r="87" spans="1:8" ht="16.5" customHeight="1" x14ac:dyDescent="0.2">
      <c r="A87" s="122"/>
      <c r="B87" s="128"/>
      <c r="C87" s="124"/>
      <c r="D87" s="125"/>
      <c r="E87" s="256"/>
      <c r="F87" s="257"/>
      <c r="G87" s="126"/>
      <c r="H87" s="124"/>
    </row>
    <row r="88" spans="1:8" ht="16.5" customHeight="1" x14ac:dyDescent="0.2">
      <c r="A88" s="122"/>
      <c r="B88" s="128"/>
      <c r="C88" s="124"/>
      <c r="D88" s="125"/>
      <c r="E88" s="256"/>
      <c r="F88" s="257"/>
      <c r="G88" s="126"/>
      <c r="H88" s="124"/>
    </row>
    <row r="89" spans="1:8" ht="16.5" customHeight="1" x14ac:dyDescent="0.2">
      <c r="A89" s="122"/>
      <c r="B89" s="128"/>
      <c r="C89" s="124"/>
      <c r="D89" s="125"/>
      <c r="E89" s="256"/>
      <c r="F89" s="257"/>
      <c r="G89" s="126"/>
      <c r="H89" s="124"/>
    </row>
    <row r="90" spans="1:8" ht="16.5" customHeight="1" x14ac:dyDescent="0.2">
      <c r="A90" s="122"/>
      <c r="B90" s="128"/>
      <c r="C90" s="124"/>
      <c r="D90" s="125"/>
      <c r="E90" s="256"/>
      <c r="F90" s="257"/>
      <c r="G90" s="126"/>
      <c r="H90" s="124"/>
    </row>
    <row r="91" spans="1:8" ht="16.5" customHeight="1" x14ac:dyDescent="0.2">
      <c r="A91" s="122"/>
      <c r="B91" s="128"/>
      <c r="C91" s="124"/>
      <c r="D91" s="125"/>
      <c r="E91" s="256"/>
      <c r="F91" s="257"/>
      <c r="G91" s="126"/>
      <c r="H91" s="124"/>
    </row>
    <row r="92" spans="1:8" ht="16.5" customHeight="1" x14ac:dyDescent="0.2">
      <c r="A92" s="122"/>
      <c r="B92" s="128"/>
      <c r="C92" s="124"/>
      <c r="D92" s="125"/>
      <c r="E92" s="256"/>
      <c r="F92" s="257"/>
      <c r="G92" s="126"/>
      <c r="H92" s="124"/>
    </row>
    <row r="93" spans="1:8" ht="16.5" customHeight="1" x14ac:dyDescent="0.2">
      <c r="A93" s="122"/>
      <c r="B93" s="128"/>
      <c r="C93" s="124"/>
      <c r="D93" s="125"/>
      <c r="E93" s="256"/>
      <c r="F93" s="257"/>
      <c r="G93" s="126"/>
      <c r="H93" s="124"/>
    </row>
    <row r="94" spans="1:8" ht="16.5" customHeight="1" x14ac:dyDescent="0.2">
      <c r="A94" s="122"/>
      <c r="B94" s="128"/>
      <c r="C94" s="124"/>
      <c r="D94" s="125"/>
      <c r="E94" s="256"/>
      <c r="F94" s="257"/>
      <c r="G94" s="126"/>
      <c r="H94" s="124"/>
    </row>
    <row r="95" spans="1:8" ht="16.5" customHeight="1" x14ac:dyDescent="0.2">
      <c r="A95" s="122"/>
      <c r="B95" s="128"/>
      <c r="C95" s="124"/>
      <c r="D95" s="125"/>
      <c r="E95" s="256"/>
      <c r="F95" s="257"/>
      <c r="G95" s="126"/>
      <c r="H95" s="124"/>
    </row>
    <row r="96" spans="1:8" ht="16.5" customHeight="1" x14ac:dyDescent="0.2">
      <c r="A96" s="122"/>
      <c r="B96" s="128"/>
      <c r="C96" s="124"/>
      <c r="D96" s="125"/>
      <c r="E96" s="256"/>
      <c r="F96" s="257"/>
      <c r="G96" s="126"/>
      <c r="H96" s="124"/>
    </row>
    <row r="97" spans="1:8" ht="16.5" customHeight="1" x14ac:dyDescent="0.2">
      <c r="A97" s="122"/>
      <c r="B97" s="128"/>
      <c r="C97" s="124"/>
      <c r="D97" s="125"/>
      <c r="E97" s="256"/>
      <c r="F97" s="257"/>
      <c r="G97" s="126"/>
      <c r="H97" s="124"/>
    </row>
    <row r="98" spans="1:8" ht="16.5" customHeight="1" x14ac:dyDescent="0.2">
      <c r="A98" s="122"/>
      <c r="B98" s="128"/>
      <c r="C98" s="124"/>
      <c r="D98" s="125"/>
      <c r="E98" s="256"/>
      <c r="F98" s="257"/>
      <c r="G98" s="126"/>
      <c r="H98" s="124"/>
    </row>
    <row r="99" spans="1:8" ht="16.5" customHeight="1" x14ac:dyDescent="0.2">
      <c r="A99" s="122"/>
      <c r="B99" s="128"/>
      <c r="C99" s="124"/>
      <c r="D99" s="125"/>
      <c r="E99" s="256"/>
      <c r="F99" s="257"/>
      <c r="G99" s="126"/>
      <c r="H99" s="124"/>
    </row>
    <row r="100" spans="1:8" ht="16.5" customHeight="1" x14ac:dyDescent="0.2">
      <c r="A100" s="122"/>
      <c r="B100" s="128"/>
      <c r="C100" s="124"/>
      <c r="D100" s="125"/>
      <c r="E100" s="256"/>
      <c r="F100" s="257"/>
      <c r="G100" s="126"/>
      <c r="H100" s="124"/>
    </row>
    <row r="101" spans="1:8" ht="16.5" customHeight="1" x14ac:dyDescent="0.2">
      <c r="A101" s="122"/>
      <c r="B101" s="128"/>
      <c r="C101" s="124"/>
      <c r="D101" s="125"/>
      <c r="E101" s="256"/>
      <c r="F101" s="257"/>
      <c r="G101" s="126"/>
      <c r="H101" s="124"/>
    </row>
    <row r="102" spans="1:8" ht="16.5" customHeight="1" x14ac:dyDescent="0.2">
      <c r="A102" s="122"/>
      <c r="B102" s="128"/>
      <c r="C102" s="124"/>
      <c r="D102" s="125"/>
      <c r="E102" s="256"/>
      <c r="F102" s="257"/>
      <c r="G102" s="126"/>
      <c r="H102" s="124"/>
    </row>
    <row r="103" spans="1:8" ht="16.5" customHeight="1" x14ac:dyDescent="0.2">
      <c r="A103" s="122"/>
      <c r="B103" s="128"/>
      <c r="C103" s="124"/>
      <c r="D103" s="125"/>
      <c r="E103" s="256"/>
      <c r="F103" s="257"/>
      <c r="G103" s="126"/>
      <c r="H103" s="124"/>
    </row>
    <row r="104" spans="1:8" ht="16.5" customHeight="1" x14ac:dyDescent="0.2">
      <c r="A104" s="122"/>
      <c r="B104" s="128"/>
      <c r="C104" s="124"/>
      <c r="D104" s="125"/>
      <c r="E104" s="256"/>
      <c r="F104" s="257"/>
      <c r="G104" s="126"/>
      <c r="H104" s="124"/>
    </row>
    <row r="105" spans="1:8" ht="16.5" customHeight="1" x14ac:dyDescent="0.2">
      <c r="A105" s="122"/>
      <c r="B105" s="128"/>
      <c r="C105" s="124"/>
      <c r="D105" s="125"/>
      <c r="E105" s="256"/>
      <c r="F105" s="257"/>
      <c r="G105" s="126"/>
      <c r="H105" s="124"/>
    </row>
    <row r="106" spans="1:8" ht="16.5" customHeight="1" x14ac:dyDescent="0.2">
      <c r="A106" s="122"/>
      <c r="B106" s="128"/>
      <c r="C106" s="124"/>
      <c r="D106" s="125"/>
      <c r="E106" s="256"/>
      <c r="F106" s="257"/>
      <c r="G106" s="126"/>
      <c r="H106" s="124"/>
    </row>
  </sheetData>
  <mergeCells count="88">
    <mergeCell ref="E22:F22"/>
    <mergeCell ref="B8:D8"/>
    <mergeCell ref="B9:D9"/>
    <mergeCell ref="B10:D10"/>
    <mergeCell ref="E20:F20"/>
    <mergeCell ref="E21:F21"/>
    <mergeCell ref="E34:F3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46:F46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60:F60"/>
    <mergeCell ref="E47:F47"/>
    <mergeCell ref="E48:F48"/>
    <mergeCell ref="E49:F49"/>
    <mergeCell ref="E50:F50"/>
    <mergeCell ref="E51:F51"/>
    <mergeCell ref="E52:F52"/>
    <mergeCell ref="E53:F53"/>
    <mergeCell ref="E54:F54"/>
    <mergeCell ref="E57:F57"/>
    <mergeCell ref="E58:F58"/>
    <mergeCell ref="E59:F59"/>
    <mergeCell ref="E72:F7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84:F84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96:F9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3:F103"/>
    <mergeCell ref="E104:F104"/>
    <mergeCell ref="E105:F105"/>
    <mergeCell ref="E106:F106"/>
    <mergeCell ref="E97:F97"/>
    <mergeCell ref="E98:F98"/>
    <mergeCell ref="E99:F99"/>
    <mergeCell ref="E100:F100"/>
    <mergeCell ref="E101:F101"/>
    <mergeCell ref="E102:F102"/>
  </mergeCells>
  <phoneticPr fontId="2"/>
  <printOptions horizontalCentered="1"/>
  <pageMargins left="0.25" right="0.25" top="0.25" bottom="0.25" header="0" footer="0"/>
  <pageSetup paperSize="9" orientation="portrait" horizontalDpi="4294967292" verticalDpi="360" r:id="rId1"/>
  <headerFooter alignWithMargins="0">
    <oddHeader>&amp;R&amp;10&amp;P 頁</oddHeader>
    <oddFooter>&amp;R©2024 SMS DataTech Corporation. All rights reserved.</oddFooter>
  </headerFooter>
  <drawing r:id="rId2"/>
  <legacyDrawing r:id="rId3"/>
  <oleObjects>
    <mc:AlternateContent xmlns:mc="http://schemas.openxmlformats.org/markup-compatibility/2006">
      <mc:Choice Requires="x14">
        <oleObject progId="Dstmp.StampObject.6" shapeId="7169" r:id="rId4">
          <objectPr defaultSize="0" autoFill="0" autoLine="0" autoPict="0" r:id="rId5">
            <anchor>
              <from>
                <xdr:col>6</xdr:col>
                <xdr:colOff>1363980</xdr:colOff>
                <xdr:row>4</xdr:row>
                <xdr:rowOff>60960</xdr:rowOff>
              </from>
              <to>
                <xdr:col>7</xdr:col>
                <xdr:colOff>426720</xdr:colOff>
                <xdr:row>8</xdr:row>
                <xdr:rowOff>182880</xdr:rowOff>
              </to>
            </anchor>
          </objectPr>
        </oleObject>
      </mc:Choice>
      <mc:Fallback>
        <oleObject progId="Dstmp.StampObject.6" shapeId="7169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33</vt:i4>
      </vt:variant>
    </vt:vector>
  </HeadingPairs>
  <TitlesOfParts>
    <vt:vector size="43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別紙_テンプレート!CoreCells</vt:lpstr>
      <vt:lpstr>別紙_テンプレート!CoreCellsRow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インボイス登録番号</vt:lpstr>
      <vt:lpstr>別紙_テンプレート!会社担当者</vt:lpstr>
      <vt:lpstr>別紙_テンプレート!会社担当者E_mail</vt:lpstr>
      <vt:lpstr>別紙_テンプレート!見積金額</vt:lpstr>
      <vt:lpstr>別紙_テンプレート!見積件名</vt:lpstr>
      <vt:lpstr>別紙_テンプレート!見積番号</vt:lpstr>
      <vt:lpstr>別紙_テンプレート!合計金額</vt:lpstr>
      <vt:lpstr>別紙_テンプレート!作成日</vt:lpstr>
      <vt:lpstr>別紙_テンプレート!支払条件</vt:lpstr>
      <vt:lpstr>別紙_テンプレート!受渡地</vt:lpstr>
      <vt:lpstr>別紙_テンプレート!消費税額</vt:lpstr>
      <vt:lpstr>別紙_テンプレート!消費税見出し</vt:lpstr>
      <vt:lpstr>送料</vt:lpstr>
      <vt:lpstr>別紙_テンプレート!担当者名</vt:lpstr>
      <vt:lpstr>別紙_テンプレート!得意先名1</vt:lpstr>
      <vt:lpstr>別紙_テンプレート!得意先名2</vt:lpstr>
      <vt:lpstr>別紙_テンプレート!納期</vt:lpstr>
      <vt:lpstr>別紙_テンプレート!備考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2024-09-03T06:21:44Z</cp:lastPrinted>
  <dcterms:created xsi:type="dcterms:W3CDTF">2021-04-12T04:47:05Z</dcterms:created>
  <dcterms:modified xsi:type="dcterms:W3CDTF">2025-05-24T05:33:35Z</dcterms:modified>
</cp:coreProperties>
</file>