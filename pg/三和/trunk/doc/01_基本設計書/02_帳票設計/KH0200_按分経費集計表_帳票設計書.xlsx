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8800" windowHeight="12336"/>
  </bookViews>
  <sheets>
    <sheet name="変更履歴" sheetId="1" r:id="rId1"/>
    <sheet name="概要" sheetId="14" r:id="rId2"/>
    <sheet name="帳票レイアウト(Data)" sheetId="2" r:id="rId3"/>
    <sheet name="帳票レイアウト(ピボット)" sheetId="21" r:id="rId4"/>
    <sheet name="項目一覧 (Data)" sheetId="20" r:id="rId5"/>
    <sheet name="項目一覧(ピボット)" sheetId="22" r:id="rId6"/>
    <sheet name="処理詳細" sheetId="23" r:id="rId7"/>
    <sheet name="処理詳細_書き方" sheetId="24" state="hidden" r:id="rId8"/>
    <sheet name="確認事項" sheetId="15" r:id="rId9"/>
    <sheet name="別紙_テンプレート(Data)" sheetId="16" r:id="rId10"/>
    <sheet name="別紙_テンプレート(ピボット) " sheetId="18" r:id="rId11"/>
    <sheet name="別紙_印刷レイアウト(ピボット)" sheetId="26" r:id="rId12"/>
    <sheet name="参照" sheetId="12" state="hidden" r:id="rId13"/>
  </sheets>
  <definedNames>
    <definedName name="_xlnm.Print_Area" localSheetId="1">概要!$A$1:$BN$31</definedName>
    <definedName name="_xlnm.Print_Area" localSheetId="4">'項目一覧 (Data)'!$A$1:$BX$52</definedName>
    <definedName name="_xlnm.Print_Area" localSheetId="5">'項目一覧(ピボット)'!$A$1:$BX$52</definedName>
    <definedName name="_xlnm.Print_Area" localSheetId="6">処理詳細!$A$1:$BR$14</definedName>
    <definedName name="_xlnm.Print_Area" localSheetId="7">処理詳細_書き方!$A$1:$BR$29</definedName>
    <definedName name="_xlnm.Print_Area" localSheetId="2">'帳票レイアウト(Data)'!$A$1:$BO$49</definedName>
    <definedName name="_xlnm.Print_Area" localSheetId="3">'帳票レイアウト(ピボット)'!$A$1:$BN$48</definedName>
    <definedName name="_xlnm.Print_Area" localSheetId="0">変更履歴!$A$1:$BN$49</definedName>
    <definedName name="_xlnm.Print_Titles" localSheetId="1">概要!$1:$5</definedName>
    <definedName name="_xlnm.Print_Titles" localSheetId="4">'項目一覧 (Data)'!$1:$5</definedName>
    <definedName name="_xlnm.Print_Titles" localSheetId="5">'項目一覧(ピボット)'!$1:$5</definedName>
    <definedName name="_xlnm.Print_Titles" localSheetId="6">処理詳細!$1:$5</definedName>
    <definedName name="_xlnm.Print_Titles" localSheetId="7">処理詳細_書き方!$1:$5</definedName>
    <definedName name="_xlnm.Print_Titles" localSheetId="2">'帳票レイアウト(Data)'!$1:$5</definedName>
    <definedName name="_xlnm.Print_Titles" localSheetId="3">'帳票レイアウト(ピボット)'!$1:$5</definedName>
    <definedName name="_xlnm.Print_Titles" localSheetId="10">'別紙_テンプレート(ピボット) '!$1:$4</definedName>
    <definedName name="_xlnm.Print_Titles" localSheetId="0">変更履歴!$1:$5</definedName>
    <definedName name="日付">'別紙_テンプレート(Data)'!$G$1</definedName>
  </definedNames>
  <calcPr calcId="162913"/>
  <pivotCaches>
    <pivotCache cacheId="1" r:id="rId14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4" l="1"/>
  <c r="BF3" i="24"/>
  <c r="BB3" i="24"/>
  <c r="AX3" i="24"/>
  <c r="L3" i="24"/>
  <c r="B3" i="24"/>
  <c r="BJ3" i="23"/>
  <c r="BF3" i="23"/>
  <c r="BB3" i="23"/>
  <c r="AX3" i="23"/>
  <c r="L3" i="23"/>
  <c r="B3" i="23"/>
  <c r="BJ3" i="22" l="1"/>
  <c r="BF3" i="22"/>
  <c r="BB3" i="22"/>
  <c r="AX3" i="22"/>
  <c r="L3" i="22"/>
  <c r="B3" i="22"/>
  <c r="BJ3" i="21"/>
  <c r="BF3" i="21"/>
  <c r="BB3" i="21"/>
  <c r="AX3" i="21"/>
  <c r="L3" i="21"/>
  <c r="B3" i="21"/>
  <c r="BJ3" i="20" l="1"/>
  <c r="BF3" i="20"/>
  <c r="BB3" i="20"/>
  <c r="AX3" i="20"/>
  <c r="L3" i="20"/>
  <c r="B3" i="20"/>
  <c r="A1" i="1" l="1"/>
  <c r="BJ3" i="14" l="1"/>
  <c r="BF3" i="14"/>
  <c r="BB3" i="14"/>
  <c r="AX3" i="14"/>
  <c r="L3" i="14"/>
  <c r="B3" i="14"/>
  <c r="X3" i="1" l="1"/>
  <c r="X3" i="24" l="1"/>
  <c r="X3" i="23"/>
  <c r="X3" i="21"/>
  <c r="X3" i="22"/>
  <c r="X3" i="14"/>
  <c r="X3" i="20"/>
  <c r="H3" i="1"/>
  <c r="R3" i="1"/>
  <c r="AK3" i="1"/>
  <c r="H3" i="24" l="1"/>
  <c r="R3" i="24"/>
  <c r="AK3" i="23"/>
  <c r="AK3" i="24"/>
  <c r="H3" i="23"/>
  <c r="R3" i="23"/>
  <c r="R3" i="21"/>
  <c r="R3" i="22"/>
  <c r="AK3" i="21"/>
  <c r="AK3" i="22"/>
  <c r="H3" i="21"/>
  <c r="H3" i="22"/>
  <c r="AK3" i="14"/>
  <c r="H7" i="14" s="1"/>
  <c r="AK3" i="20"/>
  <c r="R3" i="14"/>
  <c r="R3" i="20"/>
  <c r="H3" i="14"/>
  <c r="H3" i="20"/>
  <c r="B3" i="2"/>
  <c r="H3" i="2"/>
  <c r="L3" i="2"/>
  <c r="R3" i="2"/>
  <c r="AK3" i="2"/>
  <c r="BJ3" i="2"/>
  <c r="BF3" i="2"/>
  <c r="BB3" i="2"/>
  <c r="AX3" i="2"/>
  <c r="X3" i="2" l="1"/>
</calcChain>
</file>

<file path=xl/sharedStrings.xml><?xml version="1.0" encoding="utf-8"?>
<sst xmlns="http://schemas.openxmlformats.org/spreadsheetml/2006/main" count="355" uniqueCount="198">
  <si>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</si>
  <si>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</si>
  <si>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</si>
  <si>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</si>
  <si>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</si>
  <si>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</si>
  <si>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</si>
  <si>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</si>
  <si>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</si>
  <si>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</si>
  <si>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</si>
  <si>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</si>
  <si>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</si>
  <si>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</si>
  <si>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</si>
  <si>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</si>
  <si>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</si>
  <si>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</si>
  <si>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</si>
  <si>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</si>
  <si>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</si>
  <si>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</si>
  <si>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</si>
  <si>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</si>
  <si>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</si>
  <si>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</si>
  <si>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</si>
  <si>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</si>
  <si>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</si>
  <si>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</si>
  <si>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</si>
  <si>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</si>
  <si>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</si>
  <si>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</si>
  <si>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</si>
  <si>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</si>
  <si>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</si>
  <si>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</si>
  <si>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</si>
  <si>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</si>
  <si>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</si>
  <si>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</si>
  <si>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</si>
  <si>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</si>
  <si>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</si>
  <si>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</si>
  <si>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</si>
  <si>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</si>
  <si>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</si>
  <si>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</si>
  <si>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</si>
  <si>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</si>
  <si>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</si>
  <si>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xlsx</t>
    <phoneticPr fontId="2"/>
  </si>
  <si>
    <t>Excel</t>
    <phoneticPr fontId="2"/>
  </si>
  <si>
    <t>-</t>
    <phoneticPr fontId="2"/>
  </si>
  <si>
    <t>Tempチーム別按分経費一覧表v5.xlsx</t>
    <rPh sb="7" eb="8">
      <t>ベツ</t>
    </rPh>
    <rPh sb="8" eb="10">
      <t>アンブン</t>
    </rPh>
    <rPh sb="10" eb="12">
      <t>ケイヒ</t>
    </rPh>
    <rPh sb="12" eb="15">
      <t>イチランヒョウ</t>
    </rPh>
    <phoneticPr fontId="2"/>
  </si>
  <si>
    <t>集計</t>
    <rPh sb="0" eb="2">
      <t>シュウケイ</t>
    </rPh>
    <phoneticPr fontId="10"/>
  </si>
  <si>
    <t>科目CD</t>
  </si>
  <si>
    <t>科目名</t>
  </si>
  <si>
    <t>金額</t>
  </si>
  <si>
    <t>部CD</t>
    <rPh sb="0" eb="1">
      <t>ブ</t>
    </rPh>
    <phoneticPr fontId="10"/>
  </si>
  <si>
    <t>部名</t>
    <rPh sb="0" eb="1">
      <t>ブ</t>
    </rPh>
    <phoneticPr fontId="10"/>
  </si>
  <si>
    <t>合計 / 金額</t>
  </si>
  <si>
    <t>部CD</t>
  </si>
  <si>
    <t>部名</t>
  </si>
  <si>
    <t>(空白)</t>
  </si>
  <si>
    <t>総計</t>
  </si>
  <si>
    <t>集計</t>
  </si>
  <si>
    <t>(空白) 集計</t>
  </si>
  <si>
    <t>部CD</t>
    <rPh sb="0" eb="1">
      <t>ブ</t>
    </rPh>
    <phoneticPr fontId="1"/>
  </si>
  <si>
    <t>部名</t>
    <rPh sb="0" eb="2">
      <t>ブメイ</t>
    </rPh>
    <phoneticPr fontId="1"/>
  </si>
  <si>
    <t>集計</t>
    <rPh sb="0" eb="2">
      <t>シュウケイ</t>
    </rPh>
    <phoneticPr fontId="1"/>
  </si>
  <si>
    <t>科目CD</t>
    <rPh sb="0" eb="2">
      <t>カモク</t>
    </rPh>
    <phoneticPr fontId="1"/>
  </si>
  <si>
    <t>科目名</t>
    <rPh sb="0" eb="2">
      <t>カモク</t>
    </rPh>
    <rPh sb="2" eb="3">
      <t>メイ</t>
    </rPh>
    <phoneticPr fontId="1"/>
  </si>
  <si>
    <t>集計日付</t>
    <rPh sb="0" eb="4">
      <t>シュウケイヒヅケ</t>
    </rPh>
    <phoneticPr fontId="1"/>
  </si>
  <si>
    <t>9999年99月分</t>
    <rPh sb="4" eb="5">
      <t>ネン</t>
    </rPh>
    <rPh sb="7" eb="9">
      <t>ガツブン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</si>
  <si>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</si>
  <si>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</si>
  <si>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</si>
  <si>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集計</t>
    <rPh sb="0" eb="2">
      <t>シュウケイ</t>
    </rPh>
    <phoneticPr fontId="2"/>
  </si>
  <si>
    <t>科目CD</t>
    <rPh sb="0" eb="2">
      <t>カモク</t>
    </rPh>
    <phoneticPr fontId="2"/>
  </si>
  <si>
    <t>科目名</t>
    <rPh sb="0" eb="3">
      <t>カモクメイ</t>
    </rPh>
    <phoneticPr fontId="2"/>
  </si>
  <si>
    <t>金額</t>
    <rPh sb="0" eb="2">
      <t>キンガク</t>
    </rPh>
    <phoneticPr fontId="2"/>
  </si>
  <si>
    <t>部CD</t>
    <rPh sb="0" eb="1">
      <t>ブ</t>
    </rPh>
    <phoneticPr fontId="2"/>
  </si>
  <si>
    <t>部名</t>
    <rPh sb="0" eb="2">
      <t>ブメイ</t>
    </rPh>
    <phoneticPr fontId="2"/>
  </si>
  <si>
    <t>集計日付</t>
    <rPh sb="0" eb="2">
      <t>シュウケイ</t>
    </rPh>
    <rPh sb="2" eb="4">
      <t>ヒヅケ</t>
    </rPh>
    <phoneticPr fontId="2"/>
  </si>
  <si>
    <t>9999年99月分</t>
    <rPh sb="4" eb="5">
      <t>ネン</t>
    </rPh>
    <rPh sb="7" eb="8">
      <t>ガツ</t>
    </rPh>
    <rPh sb="8" eb="9">
      <t>ブン</t>
    </rPh>
    <phoneticPr fontId="2"/>
  </si>
  <si>
    <t>半角</t>
    <rPh sb="0" eb="2">
      <t>ハンカク</t>
    </rPh>
    <phoneticPr fontId="2"/>
  </si>
  <si>
    <t>全角</t>
    <rPh sb="0" eb="2">
      <t>ゼンカク</t>
    </rPh>
    <phoneticPr fontId="2"/>
  </si>
  <si>
    <t>金額</t>
    <rPh sb="0" eb="2">
      <t>キンガク</t>
    </rPh>
    <phoneticPr fontId="1"/>
  </si>
  <si>
    <t>[7.金額]の合計</t>
    <rPh sb="3" eb="5">
      <t>キンガク</t>
    </rPh>
    <rPh sb="7" eb="9">
      <t>ゴウケイ</t>
    </rPh>
    <phoneticPr fontId="1"/>
  </si>
  <si>
    <t>[7.金額]</t>
    <rPh sb="3" eb="5">
      <t>キンガク</t>
    </rPh>
    <phoneticPr fontId="1"/>
  </si>
  <si>
    <t>科目、部ごとに表示</t>
    <rPh sb="0" eb="2">
      <t>カモク</t>
    </rPh>
    <rPh sb="3" eb="4">
      <t>ブ</t>
    </rPh>
    <rPh sb="7" eb="9">
      <t>ヒョウジ</t>
    </rPh>
    <phoneticPr fontId="1"/>
  </si>
  <si>
    <t>科目ごとに計算</t>
    <rPh sb="0" eb="2">
      <t>カモク</t>
    </rPh>
    <rPh sb="5" eb="7">
      <t>ケイサン</t>
    </rPh>
    <phoneticPr fontId="1"/>
  </si>
  <si>
    <t>[Data.科目名]</t>
    <rPh sb="6" eb="8">
      <t>カモク</t>
    </rPh>
    <rPh sb="8" eb="9">
      <t>メイ</t>
    </rPh>
    <phoneticPr fontId="1"/>
  </si>
  <si>
    <t>総計(科目)</t>
    <rPh sb="0" eb="2">
      <t>ソウケイ</t>
    </rPh>
    <rPh sb="3" eb="5">
      <t>カモク</t>
    </rPh>
    <phoneticPr fontId="1"/>
  </si>
  <si>
    <t>総計(集計)</t>
    <rPh sb="0" eb="2">
      <t>ソウケイ</t>
    </rPh>
    <rPh sb="3" eb="5">
      <t>シュウケイ</t>
    </rPh>
    <phoneticPr fontId="1"/>
  </si>
  <si>
    <t>総計(部,集計)</t>
    <rPh sb="0" eb="2">
      <t>ソウケイ</t>
    </rPh>
    <rPh sb="3" eb="4">
      <t>ブ</t>
    </rPh>
    <rPh sb="5" eb="7">
      <t>シュウケイ</t>
    </rPh>
    <phoneticPr fontId="1"/>
  </si>
  <si>
    <t>総合計</t>
    <rPh sb="0" eb="1">
      <t>ソウ</t>
    </rPh>
    <rPh sb="1" eb="3">
      <t>ゴウケイ</t>
    </rPh>
    <phoneticPr fontId="1"/>
  </si>
  <si>
    <t>集計CD</t>
    <rPh sb="0" eb="2">
      <t>シュウケイ</t>
    </rPh>
    <phoneticPr fontId="1"/>
  </si>
  <si>
    <t>タイトルを[4.集計CD]+"集計"で表示</t>
    <phoneticPr fontId="2"/>
  </si>
  <si>
    <t>[4.集計CD]</t>
    <rPh sb="3" eb="5">
      <t>シュウケイ</t>
    </rPh>
    <phoneticPr fontId="1"/>
  </si>
  <si>
    <t>集計(部)</t>
    <rPh sb="0" eb="2">
      <t>シュウケイ</t>
    </rPh>
    <rPh sb="3" eb="4">
      <t>ブ</t>
    </rPh>
    <phoneticPr fontId="1"/>
  </si>
  <si>
    <t>ページ1</t>
    <phoneticPr fontId="2"/>
  </si>
  <si>
    <t>[Data.科目CD]</t>
    <rPh sb="6" eb="8">
      <t>カモク</t>
    </rPh>
    <phoneticPr fontId="1"/>
  </si>
  <si>
    <t>[Data.集計CD]</t>
    <rPh sb="6" eb="8">
      <t>シュウケイ</t>
    </rPh>
    <phoneticPr fontId="1"/>
  </si>
  <si>
    <t>[画面.集計年月開始日]</t>
    <rPh sb="6" eb="8">
      <t>ネンゲツ</t>
    </rPh>
    <phoneticPr fontId="2"/>
  </si>
  <si>
    <t>[Data.部CD]</t>
    <rPh sb="6" eb="7">
      <t>ブ</t>
    </rPh>
    <phoneticPr fontId="2"/>
  </si>
  <si>
    <t>[Data.部名]</t>
    <rPh sb="6" eb="8">
      <t>ブメイ</t>
    </rPh>
    <phoneticPr fontId="2"/>
  </si>
  <si>
    <t>[Data.金額]</t>
    <rPh sb="6" eb="8">
      <t>キンガク</t>
    </rPh>
    <phoneticPr fontId="1"/>
  </si>
  <si>
    <t>[Data.集計日付]</t>
    <rPh sb="6" eb="10">
      <t>シュウケイヒヅケ</t>
    </rPh>
    <phoneticPr fontId="1"/>
  </si>
  <si>
    <t>[7.金額]</t>
    <rPh sb="3" eb="5">
      <t>キンガク</t>
    </rPh>
    <phoneticPr fontId="2"/>
  </si>
  <si>
    <t>集計、部ごとに計算</t>
    <phoneticPr fontId="2"/>
  </si>
  <si>
    <t>集計ごとに計算</t>
    <rPh sb="0" eb="2">
      <t>シュウケイ</t>
    </rPh>
    <rPh sb="5" eb="7">
      <t>ケイサン</t>
    </rPh>
    <phoneticPr fontId="2"/>
  </si>
  <si>
    <t>[12.総計(部,集計)]</t>
    <rPh sb="4" eb="6">
      <t>ソウケイ</t>
    </rPh>
    <rPh sb="7" eb="8">
      <t>ブ</t>
    </rPh>
    <rPh sb="9" eb="11">
      <t>シュウケイ</t>
    </rPh>
    <phoneticPr fontId="1"/>
  </si>
  <si>
    <t>[12.総計(部,集計)]の合計</t>
    <rPh sb="4" eb="6">
      <t>ソウケイ</t>
    </rPh>
    <rPh sb="7" eb="8">
      <t>ブ</t>
    </rPh>
    <rPh sb="9" eb="11">
      <t>シュウケイ</t>
    </rPh>
    <rPh sb="14" eb="16">
      <t>ゴウケイ</t>
    </rPh>
    <phoneticPr fontId="1"/>
  </si>
  <si>
    <t>[10.集計(部)]の合計</t>
    <rPh sb="4" eb="6">
      <t>シュウケイ</t>
    </rPh>
    <rPh sb="7" eb="8">
      <t>ブ</t>
    </rPh>
    <rPh sb="11" eb="13">
      <t>ゴウケイ</t>
    </rPh>
    <phoneticPr fontId="1"/>
  </si>
  <si>
    <t>[10.集計(部)]</t>
    <rPh sb="4" eb="6">
      <t>シュウケイ</t>
    </rPh>
    <rPh sb="7" eb="8">
      <t>ブ</t>
    </rPh>
    <phoneticPr fontId="2"/>
  </si>
  <si>
    <t>部ごとに計算</t>
    <rPh sb="0" eb="1">
      <t>ブ</t>
    </rPh>
    <rPh sb="4" eb="6">
      <t>ケイサン</t>
    </rPh>
    <rPh sb="5" eb="6">
      <t>シュウケイ</t>
    </rPh>
    <phoneticPr fontId="2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</si>
  <si>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</si>
  <si>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</si>
  <si>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</si>
  <si>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</si>
  <si>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</si>
  <si>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</si>
  <si>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</si>
  <si>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</si>
  <si>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</si>
  <si>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</si>
  <si>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</si>
  <si>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</si>
  <si>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</si>
  <si>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</si>
  <si>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</si>
  <si>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</si>
  <si>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</si>
  <si>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</si>
  <si>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</si>
  <si>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</si>
  <si>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</si>
  <si>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</si>
  <si>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</si>
  <si>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</si>
  <si>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</si>
  <si>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</si>
  <si>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</si>
  <si>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</si>
  <si>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</si>
  <si>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</si>
  <si>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</si>
  <si>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</si>
  <si>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</si>
  <si>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</si>
  <si>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</si>
  <si>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</si>
  <si>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</si>
  <si>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SQL1</t>
    <phoneticPr fontId="2"/>
  </si>
  <si>
    <t>SQL2</t>
  </si>
  <si>
    <t>集計CD</t>
    <rPh sb="0" eb="2">
      <t>シュウケイ</t>
    </rPh>
    <phoneticPr fontId="2"/>
  </si>
  <si>
    <t>科目CD</t>
    <rPh sb="0" eb="2">
      <t>カモク</t>
    </rPh>
    <phoneticPr fontId="2"/>
  </si>
  <si>
    <t>科目名</t>
    <rPh sb="0" eb="3">
      <t>カモクメイ</t>
    </rPh>
    <phoneticPr fontId="2"/>
  </si>
  <si>
    <t>按分金額</t>
    <rPh sb="0" eb="4">
      <t>アンブンキンガク</t>
    </rPh>
    <phoneticPr fontId="2"/>
  </si>
  <si>
    <t>業種区分</t>
    <rPh sb="0" eb="4">
      <t>ギョウシュクブン</t>
    </rPh>
    <phoneticPr fontId="2"/>
  </si>
  <si>
    <t>業種名</t>
    <rPh sb="0" eb="3">
      <t>ギョウシュメイ</t>
    </rPh>
    <phoneticPr fontId="2"/>
  </si>
  <si>
    <t>TM科目.集計CD</t>
    <rPh sb="2" eb="4">
      <t>カモク</t>
    </rPh>
    <rPh sb="5" eb="7">
      <t>シュウケイ</t>
    </rPh>
    <phoneticPr fontId="2"/>
  </si>
  <si>
    <t>SQL2.科目CD</t>
    <rPh sb="5" eb="7">
      <t>カモク</t>
    </rPh>
    <phoneticPr fontId="2"/>
  </si>
  <si>
    <t>TM科目.科目名</t>
    <rPh sb="2" eb="4">
      <t>カモク</t>
    </rPh>
    <rPh sb="5" eb="8">
      <t>カモクメイ</t>
    </rPh>
    <phoneticPr fontId="2"/>
  </si>
  <si>
    <t>SQL2.按分金額</t>
    <rPh sb="5" eb="9">
      <t>アンブンキンガク</t>
    </rPh>
    <phoneticPr fontId="2"/>
  </si>
  <si>
    <t>SQL2.業種区分</t>
    <rPh sb="5" eb="9">
      <t>ギョウシュクブン</t>
    </rPh>
    <phoneticPr fontId="2"/>
  </si>
  <si>
    <t>CASE WHEN AN.業種区分 = 0 THEN '什器' ELSE '内装' END</t>
    <phoneticPr fontId="2"/>
  </si>
  <si>
    <t>SQL2</t>
    <phoneticPr fontId="2"/>
  </si>
  <si>
    <t>TM科目</t>
    <rPh sb="2" eb="4">
      <t>カモク</t>
    </rPh>
    <phoneticPr fontId="2"/>
  </si>
  <si>
    <t>INNER</t>
    <phoneticPr fontId="2"/>
  </si>
  <si>
    <t>[SQL2.科目CD]=[TM科目.科目CD]</t>
    <rPh sb="6" eb="8">
      <t>カモク</t>
    </rPh>
    <rPh sb="15" eb="17">
      <t>カモク</t>
    </rPh>
    <rPh sb="18" eb="20">
      <t>カモク</t>
    </rPh>
    <phoneticPr fontId="2"/>
  </si>
  <si>
    <t>order by</t>
    <phoneticPr fontId="2"/>
  </si>
  <si>
    <t>[TM科目.順序]の昇順</t>
    <rPh sb="3" eb="5">
      <t>カモク</t>
    </rPh>
    <rPh sb="6" eb="8">
      <t>ジュンジョ</t>
    </rPh>
    <rPh sb="10" eb="12">
      <t>ショウジュン</t>
    </rPh>
    <phoneticPr fontId="2"/>
  </si>
  <si>
    <t>TD経費按分集計V5.科目CD</t>
    <rPh sb="2" eb="6">
      <t>ケイヒアンブン</t>
    </rPh>
    <rPh sb="6" eb="8">
      <t>シュウケイ</t>
    </rPh>
    <rPh sb="11" eb="13">
      <t>カモク</t>
    </rPh>
    <phoneticPr fontId="2"/>
  </si>
  <si>
    <t>TD経費按分集計V5.業種区分</t>
    <rPh sb="2" eb="6">
      <t>ケイヒアンブン</t>
    </rPh>
    <rPh sb="6" eb="8">
      <t>シュウケイ</t>
    </rPh>
    <rPh sb="11" eb="15">
      <t>ギョウシュクブン</t>
    </rPh>
    <phoneticPr fontId="2"/>
  </si>
  <si>
    <t>[TD経費按分集計V5.按分金額]の合計</t>
    <rPh sb="3" eb="7">
      <t>ケイヒアンブン</t>
    </rPh>
    <rPh sb="7" eb="9">
      <t>シュウケイ</t>
    </rPh>
    <rPh sb="12" eb="16">
      <t>アンブンキンガク</t>
    </rPh>
    <rPh sb="18" eb="20">
      <t>ゴウケイ</t>
    </rPh>
    <phoneticPr fontId="2"/>
  </si>
  <si>
    <t>TD経費按分集計V5</t>
    <phoneticPr fontId="2"/>
  </si>
  <si>
    <t>group by</t>
    <phoneticPr fontId="2"/>
  </si>
  <si>
    <t>AND</t>
    <phoneticPr fontId="2"/>
  </si>
  <si>
    <t>[TD経費按分集計V5.集計日付]&gt;=[画面.S集計日付]</t>
    <rPh sb="12" eb="14">
      <t>シュウケイ</t>
    </rPh>
    <rPh sb="14" eb="16">
      <t>ヒヅケ</t>
    </rPh>
    <rPh sb="20" eb="22">
      <t>ガメン</t>
    </rPh>
    <rPh sb="24" eb="26">
      <t>シュウケイ</t>
    </rPh>
    <rPh sb="26" eb="28">
      <t>ヒヅケ</t>
    </rPh>
    <phoneticPr fontId="2"/>
  </si>
  <si>
    <t>[TD経費按分集計V5.集計日付]&lt;=[画面.E集計日付]</t>
    <rPh sb="12" eb="16">
      <t>シュウケイヒヅケ</t>
    </rPh>
    <phoneticPr fontId="2"/>
  </si>
  <si>
    <t>[TD経費按分集計V5.科目CD],[TD経費按分集計V5.業種区分]でグループ化</t>
    <rPh sb="12" eb="14">
      <t>カモク</t>
    </rPh>
    <rPh sb="30" eb="34">
      <t>ギョウシュクブン</t>
    </rPh>
    <rPh sb="40" eb="41">
      <t>カ</t>
    </rPh>
    <phoneticPr fontId="2"/>
  </si>
  <si>
    <t>[SQL1.集計CD]</t>
    <rPh sb="6" eb="8">
      <t>シュウケイ</t>
    </rPh>
    <phoneticPr fontId="2"/>
  </si>
  <si>
    <t>[SQL1.科目CD]</t>
    <rPh sb="6" eb="8">
      <t>カモク</t>
    </rPh>
    <phoneticPr fontId="2"/>
  </si>
  <si>
    <t>[SQL1.科目名]</t>
    <rPh sb="6" eb="9">
      <t>カモクメイ</t>
    </rPh>
    <phoneticPr fontId="2"/>
  </si>
  <si>
    <t>[SQL1.按分金額]</t>
    <rPh sb="6" eb="10">
      <t>アンブンキンガク</t>
    </rPh>
    <phoneticPr fontId="2"/>
  </si>
  <si>
    <t>[SQL2.業種区分]が0の場合は"什器"、0でない場合は"内装"</t>
    <rPh sb="6" eb="10">
      <t>ギョウシュクブン</t>
    </rPh>
    <rPh sb="14" eb="16">
      <t>バアイ</t>
    </rPh>
    <rPh sb="18" eb="20">
      <t>ジュウキ</t>
    </rPh>
    <rPh sb="26" eb="28">
      <t>バアイ</t>
    </rPh>
    <rPh sb="30" eb="32">
      <t>ナイソウ</t>
    </rPh>
    <phoneticPr fontId="2"/>
  </si>
  <si>
    <t>[SQL1.業種区分]</t>
    <phoneticPr fontId="2"/>
  </si>
  <si>
    <t>[SQL1.業種名]</t>
    <rPh sb="8" eb="9">
      <t>メイ</t>
    </rPh>
    <phoneticPr fontId="2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</si>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</sst>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yyyy&quot;年&quot;m&quot;月分&quot;;@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9" fillId="0" borderId="0">
      <alignment vertical="center"/>
    </xf>
  </cellStyleXfs>
  <cellXfs count="22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>
      <alignment vertical="center"/>
    </xf>
    <xf numFmtId="0" fontId="0" fillId="0" borderId="42" xfId="0" pivotButton="1" applyBorder="1">
      <alignment vertical="center"/>
    </xf>
    <xf numFmtId="0" fontId="0" fillId="0" borderId="43" xfId="0" applyBorder="1">
      <alignment vertical="center"/>
    </xf>
    <xf numFmtId="0" fontId="0" fillId="0" borderId="42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38" fontId="0" fillId="0" borderId="42" xfId="0" applyNumberFormat="1" applyBorder="1" applyAlignment="1">
      <alignment vertical="center" shrinkToFit="1"/>
    </xf>
    <xf numFmtId="38" fontId="0" fillId="0" borderId="45" xfId="0" applyNumberFormat="1" applyBorder="1" applyAlignment="1">
      <alignment vertical="center" shrinkToFit="1"/>
    </xf>
    <xf numFmtId="38" fontId="0" fillId="0" borderId="46" xfId="0" applyNumberFormat="1" applyBorder="1" applyAlignment="1">
      <alignment vertical="center" shrinkToFit="1"/>
    </xf>
    <xf numFmtId="38" fontId="0" fillId="0" borderId="48" xfId="0" applyNumberFormat="1" applyBorder="1" applyAlignment="1">
      <alignment vertical="center" shrinkToFit="1"/>
    </xf>
    <xf numFmtId="0" fontId="0" fillId="0" borderId="42" xfId="0" applyBorder="1" applyAlignment="1">
      <alignment vertical="center" shrinkToFit="1"/>
    </xf>
    <xf numFmtId="0" fontId="0" fillId="0" borderId="45" xfId="0" applyBorder="1" applyAlignment="1">
      <alignment vertical="center" shrinkToFit="1"/>
    </xf>
    <xf numFmtId="0" fontId="0" fillId="0" borderId="44" xfId="0" pivotButton="1" applyBorder="1">
      <alignment vertical="center"/>
    </xf>
    <xf numFmtId="0" fontId="0" fillId="0" borderId="50" xfId="0" applyBorder="1">
      <alignment vertical="center"/>
    </xf>
    <xf numFmtId="0" fontId="0" fillId="0" borderId="49" xfId="0" applyBorder="1">
      <alignment vertical="center"/>
    </xf>
    <xf numFmtId="0" fontId="0" fillId="0" borderId="51" xfId="0" applyBorder="1" applyAlignment="1">
      <alignment vertical="center" shrinkToFit="1"/>
    </xf>
    <xf numFmtId="14" fontId="9" fillId="0" borderId="0" xfId="2" applyNumberFormat="1">
      <alignment vertical="center"/>
    </xf>
    <xf numFmtId="0" fontId="9" fillId="0" borderId="0" xfId="2" applyAlignment="1">
      <alignment horizontal="centerContinuous" vertical="center"/>
    </xf>
    <xf numFmtId="0" fontId="9" fillId="0" borderId="0" xfId="2" applyAlignment="1">
      <alignment vertical="center"/>
    </xf>
    <xf numFmtId="0" fontId="9" fillId="0" borderId="0" xfId="2" applyBorder="1" applyAlignment="1">
      <alignment vertical="center"/>
    </xf>
    <xf numFmtId="0" fontId="3" fillId="2" borderId="61" xfId="0" applyFont="1" applyFill="1" applyBorder="1" applyAlignment="1">
      <alignment horizontal="left"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4" xfId="0" quotePrefix="1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68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12" fillId="2" borderId="68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68" xfId="0" applyFont="1" applyFill="1" applyBorder="1">
      <alignment vertical="center"/>
    </xf>
    <xf numFmtId="0" fontId="11" fillId="2" borderId="68" xfId="0" quotePrefix="1" applyFont="1" applyFill="1" applyBorder="1">
      <alignment vertical="center"/>
    </xf>
    <xf numFmtId="0" fontId="3" fillId="2" borderId="68" xfId="0" quotePrefix="1" applyFont="1" applyFill="1" applyBorder="1" applyAlignment="1">
      <alignment vertical="center"/>
    </xf>
    <xf numFmtId="0" fontId="3" fillId="2" borderId="73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11" fillId="2" borderId="0" xfId="0" applyFont="1" applyFill="1">
      <alignment vertical="center"/>
    </xf>
    <xf numFmtId="0" fontId="3" fillId="2" borderId="54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66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1" fillId="2" borderId="54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2" xfId="0" quotePrefix="1" applyFont="1" applyFill="1" applyBorder="1">
      <alignment vertical="center"/>
    </xf>
    <xf numFmtId="0" fontId="3" fillId="2" borderId="0" xfId="0" quotePrefix="1" applyFont="1" applyFill="1" applyBorder="1">
      <alignment vertical="center"/>
    </xf>
    <xf numFmtId="0" fontId="3" fillId="2" borderId="80" xfId="0" applyFont="1" applyFill="1" applyBorder="1">
      <alignment vertical="center"/>
    </xf>
    <xf numFmtId="0" fontId="3" fillId="2" borderId="81" xfId="0" applyFont="1" applyFill="1" applyBorder="1">
      <alignment vertical="center"/>
    </xf>
    <xf numFmtId="0" fontId="3" fillId="2" borderId="82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14" fontId="3" fillId="2" borderId="78" xfId="0" applyNumberFormat="1" applyFont="1" applyFill="1" applyBorder="1" applyAlignment="1">
      <alignment horizontal="center" vertical="center" shrinkToFit="1"/>
    </xf>
    <xf numFmtId="0" fontId="3" fillId="2" borderId="78" xfId="0" applyFont="1" applyFill="1" applyBorder="1" applyAlignment="1">
      <alignment horizontal="center" vertical="center" shrinkToFit="1"/>
    </xf>
    <xf numFmtId="0" fontId="3" fillId="2" borderId="76" xfId="0" applyFont="1" applyFill="1" applyBorder="1" applyAlignment="1">
      <alignment horizontal="center" vertical="center" shrinkToFit="1"/>
    </xf>
    <xf numFmtId="0" fontId="3" fillId="2" borderId="79" xfId="0" applyFont="1" applyFill="1" applyBorder="1" applyAlignment="1">
      <alignment horizontal="center" vertical="center" shrinkToFit="1"/>
    </xf>
    <xf numFmtId="0" fontId="3" fillId="3" borderId="53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2" borderId="75" xfId="0" applyFont="1" applyFill="1" applyBorder="1" applyAlignment="1">
      <alignment horizontal="center" vertical="center" shrinkToFit="1"/>
    </xf>
    <xf numFmtId="0" fontId="3" fillId="2" borderId="77" xfId="0" applyFont="1" applyFill="1" applyBorder="1" applyAlignment="1">
      <alignment horizontal="center" vertical="center" shrinkToFit="1"/>
    </xf>
    <xf numFmtId="177" fontId="9" fillId="0" borderId="41" xfId="2" applyNumberFormat="1" applyBorder="1" applyAlignment="1">
      <alignment vertical="center"/>
    </xf>
    <xf numFmtId="0" fontId="9" fillId="0" borderId="41" xfId="2" applyBorder="1" applyAlignment="1">
      <alignment vertical="center"/>
    </xf>
  </cellXfs>
  <cellStyles count="3">
    <cellStyle name="標準" xfId="0" builtinId="0"/>
    <cellStyle name="標準 2" xfId="2"/>
    <cellStyle name="標準 2 2" xfId="1"/>
  </cellStyles>
  <dxfs count="5"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numFmt numFmtId="6" formatCode="#,##0;[Red]\-#,##0"/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125505</xdr:colOff>
      <xdr:row>9</xdr:row>
      <xdr:rowOff>98612</xdr:rowOff>
    </xdr:from>
    <xdr:to>
      <xdr:col>49</xdr:col>
      <xdr:colOff>68940</xdr:colOff>
      <xdr:row>14</xdr:row>
      <xdr:rowOff>233082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29" y="1981200"/>
          <a:ext cx="11337576" cy="1389529"/>
        </a:xfrm>
        <a:prstGeom prst="rect">
          <a:avLst/>
        </a:prstGeom>
      </xdr:spPr>
    </xdr:pic>
    <xdr:clientData/>
  </xdr:twoCellAnchor>
  <xdr:twoCellAnchor>
    <xdr:from>
      <xdr:col>9</xdr:col>
      <xdr:colOff>268944</xdr:colOff>
      <xdr:row>12</xdr:row>
      <xdr:rowOff>231803</xdr:rowOff>
    </xdr:from>
    <xdr:to>
      <xdr:col>11</xdr:col>
      <xdr:colOff>53790</xdr:colOff>
      <xdr:row>14</xdr:row>
      <xdr:rowOff>52510</xdr:rowOff>
    </xdr:to>
    <xdr:sp macro="" textlink="">
      <xdr:nvSpPr>
        <xdr:cNvPr id="3" name="正方形/長方形 2"/>
        <xdr:cNvSpPr/>
      </xdr:nvSpPr>
      <xdr:spPr>
        <a:xfrm>
          <a:off x="2572873" y="286742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161364</xdr:colOff>
      <xdr:row>12</xdr:row>
      <xdr:rowOff>220920</xdr:rowOff>
    </xdr:from>
    <xdr:to>
      <xdr:col>24</xdr:col>
      <xdr:colOff>224117</xdr:colOff>
      <xdr:row>14</xdr:row>
      <xdr:rowOff>40987</xdr:rowOff>
    </xdr:to>
    <xdr:sp macro="" textlink="">
      <xdr:nvSpPr>
        <xdr:cNvPr id="6" name="正方形/長方形 5"/>
        <xdr:cNvSpPr/>
      </xdr:nvSpPr>
      <xdr:spPr>
        <a:xfrm>
          <a:off x="6355976" y="2856544"/>
          <a:ext cx="340659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5124</xdr:colOff>
      <xdr:row>12</xdr:row>
      <xdr:rowOff>228602</xdr:rowOff>
    </xdr:from>
    <xdr:to>
      <xdr:col>34</xdr:col>
      <xdr:colOff>67876</xdr:colOff>
      <xdr:row>14</xdr:row>
      <xdr:rowOff>49309</xdr:rowOff>
    </xdr:to>
    <xdr:sp macro="" textlink="">
      <xdr:nvSpPr>
        <xdr:cNvPr id="7" name="正方形/長方形 6"/>
        <xdr:cNvSpPr/>
      </xdr:nvSpPr>
      <xdr:spPr>
        <a:xfrm>
          <a:off x="8978795" y="2864226"/>
          <a:ext cx="340657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260619</xdr:colOff>
      <xdr:row>12</xdr:row>
      <xdr:rowOff>229241</xdr:rowOff>
    </xdr:from>
    <xdr:to>
      <xdr:col>29</xdr:col>
      <xdr:colOff>40343</xdr:colOff>
      <xdr:row>14</xdr:row>
      <xdr:rowOff>49308</xdr:rowOff>
    </xdr:to>
    <xdr:sp macro="" textlink="">
      <xdr:nvSpPr>
        <xdr:cNvPr id="9" name="正方形/長方形 8"/>
        <xdr:cNvSpPr/>
      </xdr:nvSpPr>
      <xdr:spPr>
        <a:xfrm>
          <a:off x="7566854" y="2864865"/>
          <a:ext cx="335536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179937</xdr:colOff>
      <xdr:row>12</xdr:row>
      <xdr:rowOff>234364</xdr:rowOff>
    </xdr:from>
    <xdr:to>
      <xdr:col>19</xdr:col>
      <xdr:colOff>242688</xdr:colOff>
      <xdr:row>14</xdr:row>
      <xdr:rowOff>55072</xdr:rowOff>
    </xdr:to>
    <xdr:sp macro="" textlink="">
      <xdr:nvSpPr>
        <xdr:cNvPr id="10" name="正方形/長方形 9"/>
        <xdr:cNvSpPr/>
      </xdr:nvSpPr>
      <xdr:spPr>
        <a:xfrm>
          <a:off x="4985019" y="2869988"/>
          <a:ext cx="340657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185059</xdr:colOff>
      <xdr:row>11</xdr:row>
      <xdr:rowOff>119104</xdr:rowOff>
    </xdr:from>
    <xdr:to>
      <xdr:col>41</xdr:col>
      <xdr:colOff>247810</xdr:colOff>
      <xdr:row>12</xdr:row>
      <xdr:rowOff>190822</xdr:rowOff>
    </xdr:to>
    <xdr:sp macro="" textlink="">
      <xdr:nvSpPr>
        <xdr:cNvPr id="11" name="正方形/長方形 10"/>
        <xdr:cNvSpPr/>
      </xdr:nvSpPr>
      <xdr:spPr>
        <a:xfrm>
          <a:off x="11104071" y="2503716"/>
          <a:ext cx="340657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34578</xdr:colOff>
      <xdr:row>12</xdr:row>
      <xdr:rowOff>238206</xdr:rowOff>
    </xdr:from>
    <xdr:to>
      <xdr:col>15</xdr:col>
      <xdr:colOff>97329</xdr:colOff>
      <xdr:row>14</xdr:row>
      <xdr:rowOff>58913</xdr:rowOff>
    </xdr:to>
    <xdr:sp macro="" textlink="">
      <xdr:nvSpPr>
        <xdr:cNvPr id="12" name="正方形/長方形 11"/>
        <xdr:cNvSpPr/>
      </xdr:nvSpPr>
      <xdr:spPr>
        <a:xfrm>
          <a:off x="3728037" y="2873830"/>
          <a:ext cx="340657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268941</xdr:colOff>
      <xdr:row>7</xdr:row>
      <xdr:rowOff>143435</xdr:rowOff>
    </xdr:from>
    <xdr:to>
      <xdr:col>48</xdr:col>
      <xdr:colOff>152399</xdr:colOff>
      <xdr:row>23</xdr:row>
      <xdr:rowOff>14261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981" y="1522655"/>
          <a:ext cx="9469418" cy="3894186"/>
        </a:xfrm>
        <a:prstGeom prst="rect">
          <a:avLst/>
        </a:prstGeom>
      </xdr:spPr>
    </xdr:pic>
    <xdr:clientData/>
  </xdr:twoCellAnchor>
  <xdr:twoCellAnchor>
    <xdr:from>
      <xdr:col>24</xdr:col>
      <xdr:colOff>259977</xdr:colOff>
      <xdr:row>8</xdr:row>
      <xdr:rowOff>133193</xdr:rowOff>
    </xdr:from>
    <xdr:to>
      <xdr:col>26</xdr:col>
      <xdr:colOff>44824</xdr:colOff>
      <xdr:row>9</xdr:row>
      <xdr:rowOff>204911</xdr:rowOff>
    </xdr:to>
    <xdr:sp macro="" textlink="">
      <xdr:nvSpPr>
        <xdr:cNvPr id="3" name="正方形/長方形 2"/>
        <xdr:cNvSpPr/>
      </xdr:nvSpPr>
      <xdr:spPr>
        <a:xfrm>
          <a:off x="6828417" y="1763873"/>
          <a:ext cx="348727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215153</xdr:colOff>
      <xdr:row>16</xdr:row>
      <xdr:rowOff>59555</xdr:rowOff>
    </xdr:from>
    <xdr:to>
      <xdr:col>18</xdr:col>
      <xdr:colOff>277906</xdr:colOff>
      <xdr:row>17</xdr:row>
      <xdr:rowOff>130634</xdr:rowOff>
    </xdr:to>
    <xdr:sp macro="" textlink="">
      <xdr:nvSpPr>
        <xdr:cNvPr id="4" name="正方形/長方形 3"/>
        <xdr:cNvSpPr/>
      </xdr:nvSpPr>
      <xdr:spPr>
        <a:xfrm>
          <a:off x="4810013" y="3701915"/>
          <a:ext cx="344693" cy="3225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103736</xdr:colOff>
      <xdr:row>16</xdr:row>
      <xdr:rowOff>58273</xdr:rowOff>
    </xdr:from>
    <xdr:to>
      <xdr:col>26</xdr:col>
      <xdr:colOff>166488</xdr:colOff>
      <xdr:row>17</xdr:row>
      <xdr:rowOff>129992</xdr:rowOff>
    </xdr:to>
    <xdr:sp macro="" textlink="">
      <xdr:nvSpPr>
        <xdr:cNvPr id="5" name="正方形/長方形 4"/>
        <xdr:cNvSpPr/>
      </xdr:nvSpPr>
      <xdr:spPr>
        <a:xfrm>
          <a:off x="6954116" y="3700633"/>
          <a:ext cx="344692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226040</xdr:colOff>
      <xdr:row>18</xdr:row>
      <xdr:rowOff>22416</xdr:rowOff>
    </xdr:from>
    <xdr:to>
      <xdr:col>19</xdr:col>
      <xdr:colOff>10886</xdr:colOff>
      <xdr:row>19</xdr:row>
      <xdr:rowOff>94134</xdr:rowOff>
    </xdr:to>
    <xdr:sp macro="" textlink="">
      <xdr:nvSpPr>
        <xdr:cNvPr id="6" name="正方形/長方形 5"/>
        <xdr:cNvSpPr/>
      </xdr:nvSpPr>
      <xdr:spPr>
        <a:xfrm>
          <a:off x="4820900" y="4167696"/>
          <a:ext cx="348726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251654</xdr:colOff>
      <xdr:row>16</xdr:row>
      <xdr:rowOff>58912</xdr:rowOff>
    </xdr:from>
    <xdr:to>
      <xdr:col>22</xdr:col>
      <xdr:colOff>31378</xdr:colOff>
      <xdr:row>17</xdr:row>
      <xdr:rowOff>129991</xdr:rowOff>
    </xdr:to>
    <xdr:sp macro="" textlink="">
      <xdr:nvSpPr>
        <xdr:cNvPr id="7" name="正方形/長方形 6"/>
        <xdr:cNvSpPr/>
      </xdr:nvSpPr>
      <xdr:spPr>
        <a:xfrm>
          <a:off x="5692334" y="3701272"/>
          <a:ext cx="343604" cy="3225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179936</xdr:colOff>
      <xdr:row>14</xdr:row>
      <xdr:rowOff>90929</xdr:rowOff>
    </xdr:from>
    <xdr:to>
      <xdr:col>34</xdr:col>
      <xdr:colOff>242688</xdr:colOff>
      <xdr:row>15</xdr:row>
      <xdr:rowOff>162648</xdr:rowOff>
    </xdr:to>
    <xdr:sp macro="" textlink="">
      <xdr:nvSpPr>
        <xdr:cNvPr id="8" name="正方形/長方形 7"/>
        <xdr:cNvSpPr/>
      </xdr:nvSpPr>
      <xdr:spPr>
        <a:xfrm>
          <a:off x="9285836" y="3230369"/>
          <a:ext cx="344692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158164</xdr:colOff>
      <xdr:row>16</xdr:row>
      <xdr:rowOff>47386</xdr:rowOff>
    </xdr:from>
    <xdr:to>
      <xdr:col>34</xdr:col>
      <xdr:colOff>220916</xdr:colOff>
      <xdr:row>17</xdr:row>
      <xdr:rowOff>119105</xdr:rowOff>
    </xdr:to>
    <xdr:sp macro="" textlink="">
      <xdr:nvSpPr>
        <xdr:cNvPr id="9" name="正方形/長方形 8"/>
        <xdr:cNvSpPr/>
      </xdr:nvSpPr>
      <xdr:spPr>
        <a:xfrm>
          <a:off x="9264064" y="3689746"/>
          <a:ext cx="344692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169049</xdr:colOff>
      <xdr:row>12</xdr:row>
      <xdr:rowOff>112701</xdr:rowOff>
    </xdr:from>
    <xdr:to>
      <xdr:col>34</xdr:col>
      <xdr:colOff>231801</xdr:colOff>
      <xdr:row>13</xdr:row>
      <xdr:rowOff>184420</xdr:rowOff>
    </xdr:to>
    <xdr:sp macro="" textlink="">
      <xdr:nvSpPr>
        <xdr:cNvPr id="10" name="正方形/長方形 9"/>
        <xdr:cNvSpPr/>
      </xdr:nvSpPr>
      <xdr:spPr>
        <a:xfrm>
          <a:off x="9274949" y="2749221"/>
          <a:ext cx="344692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169050</xdr:colOff>
      <xdr:row>18</xdr:row>
      <xdr:rowOff>25615</xdr:rowOff>
    </xdr:from>
    <xdr:to>
      <xdr:col>34</xdr:col>
      <xdr:colOff>231802</xdr:colOff>
      <xdr:row>19</xdr:row>
      <xdr:rowOff>97333</xdr:rowOff>
    </xdr:to>
    <xdr:sp macro="" textlink="">
      <xdr:nvSpPr>
        <xdr:cNvPr id="11" name="正方形/長方形 10"/>
        <xdr:cNvSpPr/>
      </xdr:nvSpPr>
      <xdr:spPr>
        <a:xfrm>
          <a:off x="9274950" y="4170895"/>
          <a:ext cx="344692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169050</xdr:colOff>
      <xdr:row>20</xdr:row>
      <xdr:rowOff>3844</xdr:rowOff>
    </xdr:from>
    <xdr:to>
      <xdr:col>34</xdr:col>
      <xdr:colOff>231802</xdr:colOff>
      <xdr:row>21</xdr:row>
      <xdr:rowOff>75562</xdr:rowOff>
    </xdr:to>
    <xdr:sp macro="" textlink="">
      <xdr:nvSpPr>
        <xdr:cNvPr id="12" name="正方形/長方形 11"/>
        <xdr:cNvSpPr/>
      </xdr:nvSpPr>
      <xdr:spPr>
        <a:xfrm>
          <a:off x="9274950" y="4652044"/>
          <a:ext cx="344692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245250</xdr:colOff>
      <xdr:row>20</xdr:row>
      <xdr:rowOff>3844</xdr:rowOff>
    </xdr:from>
    <xdr:to>
      <xdr:col>41</xdr:col>
      <xdr:colOff>24973</xdr:colOff>
      <xdr:row>21</xdr:row>
      <xdr:rowOff>75562</xdr:rowOff>
    </xdr:to>
    <xdr:sp macro="" textlink="">
      <xdr:nvSpPr>
        <xdr:cNvPr id="13" name="正方形/長方形 12"/>
        <xdr:cNvSpPr/>
      </xdr:nvSpPr>
      <xdr:spPr>
        <a:xfrm>
          <a:off x="11042790" y="4652044"/>
          <a:ext cx="343603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245250</xdr:colOff>
      <xdr:row>18</xdr:row>
      <xdr:rowOff>14730</xdr:rowOff>
    </xdr:from>
    <xdr:to>
      <xdr:col>41</xdr:col>
      <xdr:colOff>24973</xdr:colOff>
      <xdr:row>19</xdr:row>
      <xdr:rowOff>86448</xdr:rowOff>
    </xdr:to>
    <xdr:sp macro="" textlink="">
      <xdr:nvSpPr>
        <xdr:cNvPr id="14" name="正方形/長方形 13"/>
        <xdr:cNvSpPr/>
      </xdr:nvSpPr>
      <xdr:spPr>
        <a:xfrm>
          <a:off x="11042790" y="4160010"/>
          <a:ext cx="343603" cy="32317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256136</xdr:colOff>
      <xdr:row>16</xdr:row>
      <xdr:rowOff>58271</xdr:rowOff>
    </xdr:from>
    <xdr:to>
      <xdr:col>41</xdr:col>
      <xdr:colOff>35859</xdr:colOff>
      <xdr:row>17</xdr:row>
      <xdr:rowOff>129990</xdr:rowOff>
    </xdr:to>
    <xdr:sp macro="" textlink="">
      <xdr:nvSpPr>
        <xdr:cNvPr id="15" name="正方形/長方形 14"/>
        <xdr:cNvSpPr/>
      </xdr:nvSpPr>
      <xdr:spPr>
        <a:xfrm>
          <a:off x="11053676" y="3700631"/>
          <a:ext cx="343603" cy="3231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2</xdr:row>
      <xdr:rowOff>209550</xdr:rowOff>
    </xdr:from>
    <xdr:to>
      <xdr:col>20</xdr:col>
      <xdr:colOff>356631</xdr:colOff>
      <xdr:row>85</xdr:row>
      <xdr:rowOff>227763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666750"/>
          <a:ext cx="12205731" cy="1899201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0_&#21463;&#38936;&#36039;&#26009;\20240305_&#29694;&#34892;&#38283;&#30330;&#29872;&#22659;\NewEXE\Temp&#12481;&#12540;&#12512;&#21029;&#25353;&#20998;&#32076;&#36027;&#19968;&#35239;&#34920;v5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T-200044" refreshedDate="45455.424098263888" createdVersion="1" refreshedVersion="6" recordCount="1">
  <cacheSource type="worksheet">
    <worksheetSource name="=DB" r:id="rId2"/>
  </cacheSource>
  <cacheFields count="6">
    <cacheField name="集計" numFmtId="0">
      <sharedItems containsNonDate="0" containsString="0" containsBlank="1" count="1">
        <m/>
      </sharedItems>
    </cacheField>
    <cacheField name="科目CD" numFmtId="0">
      <sharedItems containsNonDate="0" containsString="0" containsBlank="1" count="1">
        <m/>
      </sharedItems>
    </cacheField>
    <cacheField name="科目名" numFmtId="0">
      <sharedItems containsNonDate="0" containsString="0" containsBlank="1" count="1">
        <m/>
      </sharedItems>
    </cacheField>
    <cacheField name="金額" numFmtId="0">
      <sharedItems containsNonDate="0" containsString="0" containsBlank="1" count="1">
        <m/>
      </sharedItems>
    </cacheField>
    <cacheField name="チームCD" numFmtId="0">
      <sharedItems containsNonDate="0" containsString="0" containsBlank="1" count="1">
        <m/>
      </sharedItems>
    </cacheField>
    <cacheField name="チーム名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ﾋﾟﾎﾞｯﾄﾃｰﾌﾞﾙ1" cacheId="1" dataOnRows="1" applyNumberFormats="0" applyBorderFormats="0" applyFontFormats="0" applyPatternFormats="0" applyAlignmentFormats="0" applyWidthHeightFormats="1" dataCaption="データ" missingCaption="0" updatedVersion="6" asteriskTotals="1" showMemberPropertyTips="0" enableDrill="0" itemPrintTitles="1" createdVersion="1" indent="0" compact="0" compactData="0" gridDropZones="1" chartFormat="3">
  <location ref="A2:E7" firstHeaderRow="1" firstDataRow="3" firstDataCol="3"/>
  <pivotFields count="6">
    <pivotField axis="axisRow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rankBy="0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dataField="1" compact="0" outline="0" subtotalTop="0" showAll="0" includeNewItemsInFilter="1"/>
    <pivotField name="部CD" axis="axisCol" compact="0" outline="0" subtotalTop="0" showAll="0" includeNewItemsInFilter="1" defaultSubtotal="0">
      <items count="1">
        <item x="0"/>
      </items>
    </pivotField>
    <pivotField name="部名" axis="axisCol" compact="0" outline="0" subtotalTop="0" showAll="0" includeNewItemsInFilter="1" defaultSubtotal="0">
      <items count="1">
        <item x="0"/>
      </items>
    </pivotField>
  </pivotFields>
  <rowFields count="3">
    <field x="0"/>
    <field x="1"/>
    <field x="2"/>
  </rowFields>
  <rowItems count="3">
    <i>
      <x/>
      <x/>
      <x/>
    </i>
    <i t="default">
      <x/>
    </i>
    <i t="grand">
      <x/>
    </i>
  </rowItems>
  <colFields count="2">
    <field x="4"/>
    <field x="5"/>
  </colFields>
  <colItems count="2">
    <i>
      <x/>
      <x/>
    </i>
    <i t="grand">
      <x/>
    </i>
  </colItems>
  <dataFields count="1">
    <dataField name="合計 / 金額" fld="3" baseField="0" baseItem="0" numFmtId="38"/>
  </dataFields>
  <formats count="5">
    <format dxfId="4">
      <pivotArea outline="0" fieldPosition="0"/>
    </format>
    <format dxfId="3">
      <pivotArea outline="0" fieldPosition="0"/>
    </format>
    <format dxfId="2">
      <pivotArea dataOnly="0" labelOnly="1" outline="0" fieldPosition="0">
        <references count="1">
          <reference field="4" count="0"/>
        </references>
      </pivotArea>
    </format>
    <format dxfId="1">
      <pivotArea dataOnly="0" labelOnly="1" grandCol="1" outline="0" fieldPosition="0"/>
    </format>
    <format dxfId="0">
      <pivotArea dataOnly="0" labelOnly="1" outline="0" fieldPosition="0">
        <references count="2">
          <reference field="4" count="0" selected="0"/>
          <reference field="5" count="0"/>
        </references>
      </pivotArea>
    </format>
  </format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B" displayName="DB" ref="A1:F2" totalsRowShown="0">
  <tableColumns count="6">
    <tableColumn id="1" name="集計"/>
    <tableColumn id="2" name="科目CD"/>
    <tableColumn id="3" name="科目名"/>
    <tableColumn id="4" name="金額"/>
    <tableColumn id="5" name="チームCD"/>
    <tableColumn id="6" name="チーム名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A1" s="1">
        <f>変更履歴!G1</f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6" ht="20.100000000000001" customHeight="1" thickTop="1" x14ac:dyDescent="0.45">
      <c r="A2" s="8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31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13"/>
    </row>
    <row r="3" spans="1:66" ht="20.100000000000001" customHeight="1" x14ac:dyDescent="0.45">
      <c r="A3" s="8"/>
      <c r="B3" s="159" t="s">
        <v>194</v>
      </c>
      <c r="C3" s="160"/>
      <c r="D3" s="160"/>
      <c r="E3" s="160"/>
      <c r="F3" s="160"/>
      <c r="G3" s="160"/>
      <c r="H3" s="160" t="str">
        <f ca="1">LEFT($X$3,FIND("_",$X$3)-1)</f>
        <v>KH0200</v>
      </c>
      <c r="I3" s="160"/>
      <c r="J3" s="160"/>
      <c r="K3" s="160"/>
      <c r="L3" s="160" t="s">
        <v>195</v>
      </c>
      <c r="M3" s="160"/>
      <c r="N3" s="160"/>
      <c r="O3" s="160"/>
      <c r="P3" s="160"/>
      <c r="Q3" s="160"/>
      <c r="R3" s="163" t="str">
        <f ca="1">MID($X$3,FIND("_",$X$3,FIND("_",$X$3)+1)+1,LEN($X$3)-FIND("_",$X$3,FIND("_",$X$3)+1))</f>
        <v>帳票設計書</v>
      </c>
      <c r="S3" s="160"/>
      <c r="T3" s="160"/>
      <c r="U3" s="160"/>
      <c r="V3" s="160"/>
      <c r="W3" s="160"/>
      <c r="X3" s="164" t="str">
        <f ca="1">REPLACE(LEFT(CELL("filename",$B$2),FIND(".x",CELL("filename",$B$2))-1),1,FIND("[",CELL("filename",$B$2)),)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MID($X$3,FIND("_",$X$3)+1,FIND("_",$X$3,FIND("_",$X$3)+1)-FIND("_",$X$3)-1)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v>45576</v>
      </c>
      <c r="AY3" s="160"/>
      <c r="AZ3" s="160"/>
      <c r="BA3" s="160"/>
      <c r="BB3" s="160" t="s">
        <v>197</v>
      </c>
      <c r="BC3" s="160"/>
      <c r="BD3" s="160"/>
      <c r="BE3" s="160"/>
      <c r="BF3" s="171">
        <v>45576</v>
      </c>
      <c r="BG3" s="160"/>
      <c r="BH3" s="160"/>
      <c r="BI3" s="160"/>
      <c r="BJ3" s="160" t="s">
        <v>197</v>
      </c>
      <c r="BK3" s="160"/>
      <c r="BL3" s="160"/>
      <c r="BM3" s="172"/>
      <c r="BN3" s="13"/>
    </row>
    <row r="4" spans="1:66" ht="20.100000000000001" customHeight="1" thickBot="1" x14ac:dyDescent="0.5">
      <c r="A4" s="8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4"/>
      <c r="BN4" s="13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3"/>
    </row>
    <row r="7" spans="1:66" ht="20.100000000000001" customHeight="1" x14ac:dyDescent="0.45">
      <c r="A7" s="8"/>
      <c r="B7" s="7"/>
      <c r="C7" s="16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3"/>
    </row>
    <row r="8" spans="1:66" ht="20.100000000000001" customHeight="1" x14ac:dyDescent="0.45">
      <c r="A8" s="8"/>
      <c r="B8" s="7"/>
      <c r="C8" s="170" t="s">
        <v>8</v>
      </c>
      <c r="D8" s="170"/>
      <c r="E8" s="170"/>
      <c r="F8" s="170"/>
      <c r="G8" s="170" t="s">
        <v>9</v>
      </c>
      <c r="H8" s="170"/>
      <c r="I8" s="170"/>
      <c r="J8" s="170"/>
      <c r="K8" s="170" t="s">
        <v>10</v>
      </c>
      <c r="L8" s="170"/>
      <c r="M8" s="170"/>
      <c r="N8" s="170"/>
      <c r="O8" s="170" t="s">
        <v>11</v>
      </c>
      <c r="P8" s="170"/>
      <c r="Q8" s="170"/>
      <c r="R8" s="170"/>
      <c r="S8" s="170"/>
      <c r="T8" s="170"/>
      <c r="U8" s="170"/>
      <c r="V8" s="170"/>
      <c r="W8" s="170"/>
      <c r="X8" s="170"/>
      <c r="Y8" s="170" t="s">
        <v>12</v>
      </c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0"/>
      <c r="AU8" s="170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7"/>
      <c r="BN8" s="13"/>
    </row>
    <row r="9" spans="1:66" ht="20.100000000000001" customHeight="1" x14ac:dyDescent="0.45">
      <c r="A9" s="8"/>
      <c r="B9" s="7"/>
      <c r="C9" s="173">
        <v>45576</v>
      </c>
      <c r="D9" s="174"/>
      <c r="E9" s="174"/>
      <c r="F9" s="175"/>
      <c r="G9" s="176" t="s">
        <v>16</v>
      </c>
      <c r="H9" s="177"/>
      <c r="I9" s="177"/>
      <c r="J9" s="178"/>
      <c r="K9" s="179" t="s">
        <v>197</v>
      </c>
      <c r="L9" s="174"/>
      <c r="M9" s="174"/>
      <c r="N9" s="175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3"/>
    </row>
    <row r="10" spans="1:66" ht="20.100000000000001" customHeight="1" x14ac:dyDescent="0.45">
      <c r="A10" s="8"/>
      <c r="B10" s="7"/>
      <c r="C10" s="173"/>
      <c r="D10" s="174"/>
      <c r="E10" s="174"/>
      <c r="F10" s="175"/>
      <c r="G10" s="176"/>
      <c r="H10" s="177"/>
      <c r="I10" s="177"/>
      <c r="J10" s="178"/>
      <c r="K10" s="179"/>
      <c r="L10" s="174"/>
      <c r="M10" s="174"/>
      <c r="N10" s="17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3"/>
    </row>
    <row r="11" spans="1:66" ht="20.100000000000001" customHeight="1" x14ac:dyDescent="0.45">
      <c r="A11" s="8"/>
      <c r="B11" s="7"/>
      <c r="C11" s="173"/>
      <c r="D11" s="174"/>
      <c r="E11" s="174"/>
      <c r="F11" s="175"/>
      <c r="G11" s="176"/>
      <c r="H11" s="177"/>
      <c r="I11" s="177"/>
      <c r="J11" s="178"/>
      <c r="K11" s="179"/>
      <c r="L11" s="174"/>
      <c r="M11" s="174"/>
      <c r="N11" s="17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3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3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3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3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3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3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3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3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3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3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3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3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3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3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3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3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3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3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3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3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3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3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3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3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3"/>
    </row>
    <row r="36" spans="1:66" ht="20.100000000000001" customHeight="1" x14ac:dyDescent="0.45">
      <c r="A36" s="8"/>
      <c r="B36" s="7"/>
      <c r="C36" s="173"/>
      <c r="D36" s="174"/>
      <c r="E36" s="174"/>
      <c r="F36" s="175"/>
      <c r="G36" s="176"/>
      <c r="H36" s="177"/>
      <c r="I36" s="177"/>
      <c r="J36" s="178"/>
      <c r="K36" s="179"/>
      <c r="L36" s="174"/>
      <c r="M36" s="174"/>
      <c r="N36" s="17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3"/>
    </row>
    <row r="37" spans="1:66" ht="20.100000000000001" customHeight="1" x14ac:dyDescent="0.45">
      <c r="A37" s="8"/>
      <c r="B37" s="7"/>
      <c r="C37" s="173"/>
      <c r="D37" s="174"/>
      <c r="E37" s="174"/>
      <c r="F37" s="175"/>
      <c r="G37" s="176"/>
      <c r="H37" s="177"/>
      <c r="I37" s="177"/>
      <c r="J37" s="178"/>
      <c r="K37" s="179"/>
      <c r="L37" s="174"/>
      <c r="M37" s="174"/>
      <c r="N37" s="17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3"/>
    </row>
    <row r="38" spans="1:66" ht="20.100000000000001" customHeight="1" x14ac:dyDescent="0.45">
      <c r="A38" s="8"/>
      <c r="B38" s="7"/>
      <c r="C38" s="173"/>
      <c r="D38" s="174"/>
      <c r="E38" s="174"/>
      <c r="F38" s="175"/>
      <c r="G38" s="176"/>
      <c r="H38" s="177"/>
      <c r="I38" s="177"/>
      <c r="J38" s="178"/>
      <c r="K38" s="179"/>
      <c r="L38" s="174"/>
      <c r="M38" s="174"/>
      <c r="N38" s="17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3"/>
    </row>
    <row r="39" spans="1:66" ht="20.100000000000001" customHeight="1" x14ac:dyDescent="0.45">
      <c r="A39" s="8"/>
      <c r="B39" s="7"/>
      <c r="C39" s="173"/>
      <c r="D39" s="174"/>
      <c r="E39" s="174"/>
      <c r="F39" s="175"/>
      <c r="G39" s="176"/>
      <c r="H39" s="177"/>
      <c r="I39" s="177"/>
      <c r="J39" s="178"/>
      <c r="K39" s="179"/>
      <c r="L39" s="174"/>
      <c r="M39" s="174"/>
      <c r="N39" s="17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3"/>
    </row>
    <row r="40" spans="1:66" ht="20.100000000000001" customHeight="1" x14ac:dyDescent="0.45">
      <c r="A40" s="8"/>
      <c r="B40" s="7"/>
      <c r="C40" s="173"/>
      <c r="D40" s="174"/>
      <c r="E40" s="174"/>
      <c r="F40" s="175"/>
      <c r="G40" s="176"/>
      <c r="H40" s="177"/>
      <c r="I40" s="177"/>
      <c r="J40" s="178"/>
      <c r="K40" s="179"/>
      <c r="L40" s="174"/>
      <c r="M40" s="174"/>
      <c r="N40" s="17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3"/>
    </row>
    <row r="41" spans="1:66" ht="20.100000000000001" customHeight="1" x14ac:dyDescent="0.45">
      <c r="A41" s="8"/>
      <c r="B41" s="7"/>
      <c r="C41" s="173"/>
      <c r="D41" s="174"/>
      <c r="E41" s="174"/>
      <c r="F41" s="175"/>
      <c r="G41" s="176"/>
      <c r="H41" s="177"/>
      <c r="I41" s="177"/>
      <c r="J41" s="178"/>
      <c r="K41" s="179"/>
      <c r="L41" s="174"/>
      <c r="M41" s="174"/>
      <c r="N41" s="17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3"/>
    </row>
    <row r="42" spans="1:66" ht="20.100000000000001" customHeight="1" x14ac:dyDescent="0.45">
      <c r="A42" s="8"/>
      <c r="B42" s="7"/>
      <c r="C42" s="173"/>
      <c r="D42" s="174"/>
      <c r="E42" s="174"/>
      <c r="F42" s="175"/>
      <c r="G42" s="176"/>
      <c r="H42" s="177"/>
      <c r="I42" s="177"/>
      <c r="J42" s="178"/>
      <c r="K42" s="179"/>
      <c r="L42" s="174"/>
      <c r="M42" s="174"/>
      <c r="N42" s="17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3"/>
    </row>
    <row r="43" spans="1:66" ht="20.100000000000001" customHeight="1" x14ac:dyDescent="0.45">
      <c r="A43" s="8"/>
      <c r="B43" s="7"/>
      <c r="C43" s="173"/>
      <c r="D43" s="174"/>
      <c r="E43" s="174"/>
      <c r="F43" s="175"/>
      <c r="G43" s="176"/>
      <c r="H43" s="177"/>
      <c r="I43" s="177"/>
      <c r="J43" s="178"/>
      <c r="K43" s="179"/>
      <c r="L43" s="174"/>
      <c r="M43" s="174"/>
      <c r="N43" s="17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3"/>
    </row>
    <row r="44" spans="1:66" ht="20.100000000000001" customHeight="1" x14ac:dyDescent="0.45">
      <c r="A44" s="8"/>
      <c r="B44" s="7"/>
      <c r="C44" s="173"/>
      <c r="D44" s="174"/>
      <c r="E44" s="174"/>
      <c r="F44" s="175"/>
      <c r="G44" s="176"/>
      <c r="H44" s="177"/>
      <c r="I44" s="177"/>
      <c r="J44" s="178"/>
      <c r="K44" s="179"/>
      <c r="L44" s="174"/>
      <c r="M44" s="174"/>
      <c r="N44" s="17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3"/>
    </row>
    <row r="45" spans="1:66" ht="20.100000000000001" customHeight="1" x14ac:dyDescent="0.45">
      <c r="A45" s="8"/>
      <c r="B45" s="7"/>
      <c r="C45" s="173"/>
      <c r="D45" s="174"/>
      <c r="E45" s="174"/>
      <c r="F45" s="175"/>
      <c r="G45" s="176"/>
      <c r="H45" s="177"/>
      <c r="I45" s="177"/>
      <c r="J45" s="178"/>
      <c r="K45" s="179"/>
      <c r="L45" s="174"/>
      <c r="M45" s="174"/>
      <c r="N45" s="17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3"/>
    </row>
    <row r="46" spans="1:66" ht="20.100000000000001" customHeight="1" x14ac:dyDescent="0.45">
      <c r="A46" s="8"/>
      <c r="B46" s="7"/>
      <c r="C46" s="173"/>
      <c r="D46" s="174"/>
      <c r="E46" s="174"/>
      <c r="F46" s="175"/>
      <c r="G46" s="176"/>
      <c r="H46" s="177"/>
      <c r="I46" s="177"/>
      <c r="J46" s="178"/>
      <c r="K46" s="179"/>
      <c r="L46" s="174"/>
      <c r="M46" s="174"/>
      <c r="N46" s="17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3"/>
    </row>
    <row r="47" spans="1:66" ht="20.100000000000001" customHeight="1" x14ac:dyDescent="0.45">
      <c r="A47" s="8"/>
      <c r="B47" s="7"/>
      <c r="C47" s="173"/>
      <c r="D47" s="174"/>
      <c r="E47" s="174"/>
      <c r="F47" s="175"/>
      <c r="G47" s="176"/>
      <c r="H47" s="177"/>
      <c r="I47" s="177"/>
      <c r="J47" s="178"/>
      <c r="K47" s="179"/>
      <c r="L47" s="174"/>
      <c r="M47" s="174"/>
      <c r="N47" s="17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3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3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66" ht="20.100000000000001" customHeight="1" thickTop="1" x14ac:dyDescent="0.45">
      <c r="A2" s="31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34"/>
    </row>
    <row r="3" spans="1:66" ht="20.100000000000001" customHeight="1" x14ac:dyDescent="0.45">
      <c r="A3" s="31"/>
      <c r="B3" s="15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4" t="str">
        <f ca="1">変更履歴!X3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変更履歴!AK3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172"/>
      <c r="BN3" s="34"/>
    </row>
    <row r="4" spans="1:66" ht="20.100000000000001" customHeight="1" thickBot="1" x14ac:dyDescent="0.5">
      <c r="A4" s="31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80"/>
      <c r="AY4" s="180"/>
      <c r="AZ4" s="180"/>
      <c r="BA4" s="180"/>
      <c r="BB4" s="162"/>
      <c r="BC4" s="162"/>
      <c r="BD4" s="162"/>
      <c r="BE4" s="162"/>
      <c r="BF4" s="180"/>
      <c r="BG4" s="180"/>
      <c r="BH4" s="180"/>
      <c r="BI4" s="180"/>
      <c r="BJ4" s="162"/>
      <c r="BK4" s="162"/>
      <c r="BL4" s="162"/>
      <c r="BM4" s="164"/>
      <c r="BN4" s="34"/>
    </row>
    <row r="5" spans="1:66" ht="5.25" customHeight="1" thickTop="1" thickBot="1" x14ac:dyDescent="0.5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</row>
    <row r="6" spans="1:66" ht="20.100000000000001" customHeight="1" thickTop="1" thickBot="1" x14ac:dyDescent="0.5">
      <c r="A6" s="31"/>
      <c r="B6" s="30"/>
      <c r="C6" s="30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30"/>
      <c r="BK6" s="30"/>
      <c r="BL6" s="30"/>
      <c r="BM6" s="30"/>
      <c r="BN6" s="34"/>
    </row>
    <row r="7" spans="1:66" ht="20.100000000000001" customHeight="1" thickTop="1" x14ac:dyDescent="0.45">
      <c r="A7" s="31"/>
      <c r="B7" s="30"/>
      <c r="C7" s="31"/>
      <c r="D7" s="65" t="s">
        <v>22</v>
      </c>
      <c r="E7" s="46"/>
      <c r="F7" s="46"/>
      <c r="G7" s="66"/>
      <c r="H7" s="47" t="str">
        <f ca="1">AK3</f>
        <v>按分経費集計表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50"/>
      <c r="AJ7" s="50"/>
      <c r="AK7" s="50"/>
      <c r="AL7" s="50"/>
      <c r="AM7" s="50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8"/>
      <c r="BF7" s="48"/>
      <c r="BG7" s="48"/>
      <c r="BH7" s="48"/>
      <c r="BI7" s="48"/>
      <c r="BJ7" s="34"/>
      <c r="BK7" s="30"/>
      <c r="BL7" s="30"/>
      <c r="BM7" s="30"/>
      <c r="BN7" s="34"/>
    </row>
    <row r="8" spans="1:66" ht="20.100000000000001" customHeight="1" x14ac:dyDescent="0.45">
      <c r="A8" s="31"/>
      <c r="B8" s="30"/>
      <c r="C8" s="31"/>
      <c r="D8" s="58" t="s">
        <v>25</v>
      </c>
      <c r="E8" s="49"/>
      <c r="F8" s="49"/>
      <c r="G8" s="55"/>
      <c r="H8" s="50" t="s">
        <v>56</v>
      </c>
      <c r="I8" s="50"/>
      <c r="J8" s="50"/>
      <c r="K8" s="50"/>
      <c r="L8" s="50"/>
      <c r="M8" s="50"/>
      <c r="N8" s="50"/>
      <c r="O8" s="50"/>
      <c r="P8" s="63"/>
      <c r="Q8" s="61"/>
      <c r="R8" s="63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1"/>
      <c r="BF8" s="51"/>
      <c r="BG8" s="51"/>
      <c r="BH8" s="51"/>
      <c r="BI8" s="51"/>
      <c r="BJ8" s="34"/>
      <c r="BK8" s="30"/>
      <c r="BL8" s="30"/>
      <c r="BM8" s="30"/>
      <c r="BN8" s="34"/>
    </row>
    <row r="9" spans="1:66" ht="20.100000000000001" customHeight="1" x14ac:dyDescent="0.45">
      <c r="A9" s="31"/>
      <c r="B9" s="30"/>
      <c r="C9" s="31"/>
      <c r="D9" s="58" t="s">
        <v>23</v>
      </c>
      <c r="E9" s="49"/>
      <c r="F9" s="49"/>
      <c r="G9" s="55"/>
      <c r="H9" s="50" t="s">
        <v>54</v>
      </c>
      <c r="I9" s="50"/>
      <c r="J9" s="50"/>
      <c r="K9" s="50"/>
      <c r="M9" s="50"/>
      <c r="N9" s="50"/>
      <c r="O9" s="5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1"/>
      <c r="BF9" s="51"/>
      <c r="BG9" s="51"/>
      <c r="BH9" s="51"/>
      <c r="BI9" s="51"/>
      <c r="BJ9" s="34"/>
      <c r="BK9" s="30"/>
      <c r="BL9" s="30"/>
      <c r="BM9" s="30"/>
      <c r="BN9" s="34"/>
    </row>
    <row r="10" spans="1:66" ht="20.100000000000001" customHeight="1" x14ac:dyDescent="0.45">
      <c r="A10" s="31"/>
      <c r="B10" s="30"/>
      <c r="C10" s="31"/>
      <c r="D10" s="58" t="s">
        <v>26</v>
      </c>
      <c r="E10" s="49"/>
      <c r="F10" s="49"/>
      <c r="G10" s="55"/>
      <c r="H10" s="53" t="s">
        <v>53</v>
      </c>
      <c r="I10" s="53"/>
      <c r="J10" s="53"/>
      <c r="K10" s="53"/>
      <c r="L10" s="53"/>
      <c r="M10" s="53"/>
      <c r="N10" s="53"/>
      <c r="O10" s="53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4"/>
      <c r="BF10" s="54"/>
      <c r="BG10" s="54"/>
      <c r="BH10" s="54"/>
      <c r="BI10" s="54"/>
      <c r="BJ10" s="34"/>
      <c r="BK10" s="30"/>
      <c r="BL10" s="30"/>
      <c r="BM10" s="30"/>
      <c r="BN10" s="34"/>
    </row>
    <row r="11" spans="1:66" ht="20.100000000000001" customHeight="1" x14ac:dyDescent="0.45">
      <c r="A11" s="31"/>
      <c r="B11" s="30"/>
      <c r="C11" s="30"/>
      <c r="D11" s="58" t="s">
        <v>27</v>
      </c>
      <c r="E11" s="49"/>
      <c r="F11" s="49"/>
      <c r="G11" s="55"/>
      <c r="H11" s="53" t="s">
        <v>55</v>
      </c>
      <c r="I11" s="53"/>
      <c r="J11" s="53"/>
      <c r="K11" s="53"/>
      <c r="L11" s="53"/>
      <c r="M11" s="53"/>
      <c r="N11" s="53"/>
      <c r="O11" s="53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4"/>
      <c r="BF11" s="54"/>
      <c r="BG11" s="54"/>
      <c r="BH11" s="54"/>
      <c r="BI11" s="64"/>
      <c r="BJ11" s="30"/>
      <c r="BK11" s="30"/>
      <c r="BL11" s="30"/>
      <c r="BM11" s="30"/>
      <c r="BN11" s="34"/>
    </row>
    <row r="12" spans="1:66" ht="20.100000000000001" customHeight="1" x14ac:dyDescent="0.45">
      <c r="A12" s="31"/>
      <c r="B12" s="30"/>
      <c r="C12" s="30"/>
      <c r="D12" s="58" t="s">
        <v>28</v>
      </c>
      <c r="E12" s="49"/>
      <c r="F12" s="49"/>
      <c r="G12" s="55"/>
      <c r="H12" s="53" t="s">
        <v>55</v>
      </c>
      <c r="I12" s="53"/>
      <c r="J12" s="53"/>
      <c r="K12" s="53"/>
      <c r="L12" s="53"/>
      <c r="M12" s="53"/>
      <c r="N12" s="53"/>
      <c r="O12" s="53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4"/>
      <c r="BF12" s="54"/>
      <c r="BG12" s="54"/>
      <c r="BH12" s="54"/>
      <c r="BI12" s="64"/>
      <c r="BJ12" s="30"/>
      <c r="BK12" s="30"/>
      <c r="BL12" s="30"/>
      <c r="BM12" s="30"/>
      <c r="BN12" s="34"/>
    </row>
    <row r="13" spans="1:66" ht="20.100000000000001" customHeight="1" x14ac:dyDescent="0.45">
      <c r="A13" s="31"/>
      <c r="B13" s="30"/>
      <c r="C13" s="30"/>
      <c r="D13" s="58" t="s">
        <v>29</v>
      </c>
      <c r="E13" s="49"/>
      <c r="F13" s="49"/>
      <c r="G13" s="55"/>
      <c r="H13" s="53" t="s">
        <v>55</v>
      </c>
      <c r="I13" s="53"/>
      <c r="J13" s="53"/>
      <c r="K13" s="53"/>
      <c r="L13" s="53"/>
      <c r="M13" s="53"/>
      <c r="N13" s="53"/>
      <c r="O13" s="53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4"/>
      <c r="BF13" s="54"/>
      <c r="BG13" s="54"/>
      <c r="BH13" s="51"/>
      <c r="BI13" s="59"/>
      <c r="BJ13" s="30"/>
      <c r="BK13" s="30"/>
      <c r="BL13" s="30"/>
      <c r="BM13" s="30"/>
      <c r="BN13" s="34"/>
    </row>
    <row r="14" spans="1:66" ht="20.100000000000001" customHeight="1" x14ac:dyDescent="0.45">
      <c r="A14" s="31"/>
      <c r="B14" s="30"/>
      <c r="C14" s="30"/>
      <c r="D14" s="58" t="s">
        <v>30</v>
      </c>
      <c r="E14" s="49"/>
      <c r="F14" s="49"/>
      <c r="G14" s="55"/>
      <c r="H14" s="50" t="s">
        <v>55</v>
      </c>
      <c r="I14" s="50"/>
      <c r="J14" s="50"/>
      <c r="K14" s="50"/>
      <c r="L14" s="50"/>
      <c r="M14" s="50"/>
      <c r="N14" s="50"/>
      <c r="O14" s="5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1"/>
      <c r="BF14" s="51"/>
      <c r="BG14" s="51"/>
      <c r="BH14" s="51"/>
      <c r="BI14" s="59"/>
      <c r="BJ14" s="30"/>
      <c r="BK14" s="30"/>
      <c r="BL14" s="30"/>
      <c r="BM14" s="30"/>
      <c r="BN14" s="34"/>
    </row>
    <row r="15" spans="1:66" ht="20.100000000000001" customHeight="1" x14ac:dyDescent="0.45">
      <c r="A15" s="31"/>
      <c r="B15" s="30"/>
      <c r="C15" s="30"/>
      <c r="D15" s="58" t="s">
        <v>44</v>
      </c>
      <c r="E15" s="49"/>
      <c r="F15" s="49"/>
      <c r="G15" s="55"/>
      <c r="H15" s="50" t="s">
        <v>193</v>
      </c>
      <c r="I15" s="53"/>
      <c r="J15" s="53"/>
      <c r="K15" s="53"/>
      <c r="L15" s="53"/>
      <c r="M15" s="53"/>
      <c r="N15" s="53"/>
      <c r="O15" s="53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4"/>
      <c r="BF15" s="54"/>
      <c r="BG15" s="54"/>
      <c r="BH15" s="54"/>
      <c r="BI15" s="64"/>
      <c r="BJ15" s="30"/>
      <c r="BK15" s="30"/>
      <c r="BL15" s="30"/>
      <c r="BM15" s="30"/>
      <c r="BN15" s="34"/>
    </row>
    <row r="16" spans="1:66" ht="20.100000000000001" customHeight="1" x14ac:dyDescent="0.45">
      <c r="A16" s="31"/>
      <c r="B16" s="30"/>
      <c r="C16" s="30"/>
      <c r="D16" s="60" t="s">
        <v>21</v>
      </c>
      <c r="E16" s="52"/>
      <c r="F16" s="52"/>
      <c r="G16" s="67"/>
      <c r="H16" s="53"/>
      <c r="I16" s="53"/>
      <c r="J16" s="53"/>
      <c r="K16" s="53"/>
      <c r="L16" s="53"/>
      <c r="M16" s="53"/>
      <c r="N16" s="53"/>
      <c r="O16" s="53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4"/>
      <c r="BF16" s="54"/>
      <c r="BG16" s="54"/>
      <c r="BH16" s="54"/>
      <c r="BI16" s="64"/>
      <c r="BJ16" s="30"/>
      <c r="BK16" s="30"/>
      <c r="BL16" s="30"/>
      <c r="BM16" s="30"/>
      <c r="BN16" s="34"/>
    </row>
    <row r="17" spans="1:66" ht="20.100000000000001" customHeight="1" thickBot="1" x14ac:dyDescent="0.5">
      <c r="A17" s="31"/>
      <c r="B17" s="30"/>
      <c r="C17" s="30"/>
      <c r="D17" s="56"/>
      <c r="E17" s="57"/>
      <c r="F17" s="57"/>
      <c r="G17" s="68"/>
      <c r="H17" s="74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33"/>
      <c r="BF17" s="33"/>
      <c r="BG17" s="33"/>
      <c r="BH17" s="33"/>
      <c r="BI17" s="27"/>
      <c r="BJ17" s="30"/>
      <c r="BK17" s="30"/>
      <c r="BL17" s="30"/>
      <c r="BM17" s="30"/>
      <c r="BN17" s="34"/>
    </row>
    <row r="18" spans="1:66" ht="20.100000000000001" customHeight="1" thickTop="1" x14ac:dyDescent="0.45">
      <c r="A18" s="3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4"/>
    </row>
    <row r="19" spans="1:66" ht="20.100000000000001" customHeight="1" x14ac:dyDescent="0.45">
      <c r="A19" s="3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4"/>
    </row>
    <row r="20" spans="1:66" ht="20.100000000000001" customHeight="1" x14ac:dyDescent="0.45">
      <c r="A20" s="3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4"/>
    </row>
    <row r="21" spans="1:66" ht="20.100000000000001" customHeight="1" x14ac:dyDescent="0.45">
      <c r="A21" s="3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4"/>
    </row>
    <row r="22" spans="1:66" ht="20.100000000000001" customHeight="1" x14ac:dyDescent="0.45">
      <c r="A22" s="3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4"/>
    </row>
    <row r="23" spans="1:66" ht="20.100000000000001" customHeight="1" x14ac:dyDescent="0.45">
      <c r="A23" s="3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4"/>
    </row>
    <row r="24" spans="1:66" ht="20.100000000000001" customHeight="1" x14ac:dyDescent="0.45">
      <c r="A24" s="3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4"/>
    </row>
    <row r="25" spans="1:66" ht="20.100000000000001" customHeight="1" x14ac:dyDescent="0.45">
      <c r="A25" s="3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4"/>
    </row>
    <row r="26" spans="1:66" ht="20.100000000000001" customHeight="1" thickBot="1" x14ac:dyDescent="0.5">
      <c r="A26" s="3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4"/>
    </row>
    <row r="27" spans="1:66" ht="20.100000000000001" customHeight="1" thickTop="1" x14ac:dyDescent="0.45">
      <c r="A27" s="30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0"/>
    </row>
    <row r="28" spans="1:66" ht="20.100000000000001" customHeight="1" x14ac:dyDescent="0.4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</row>
    <row r="29" spans="1:66" ht="20.100000000000001" customHeight="1" x14ac:dyDescent="0.4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</row>
    <row r="30" spans="1:66" ht="20.100000000000001" customHeight="1" x14ac:dyDescent="0.4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</row>
    <row r="31" spans="1:66" ht="5.0999999999999996" customHeight="1" x14ac:dyDescent="0.45"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</row>
    <row r="32" spans="1:66" ht="20.100000000000001" customHeight="1" x14ac:dyDescent="0.45"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9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14"/>
    </row>
    <row r="3" spans="1:66" ht="20.100000000000001" customHeight="1" x14ac:dyDescent="0.45">
      <c r="A3" s="9"/>
      <c r="B3" s="15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4" t="str">
        <f ca="1">変更履歴!X3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変更履歴!AK3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172"/>
      <c r="BN3" s="14"/>
    </row>
    <row r="4" spans="1:66" ht="20.100000000000001" customHeight="1" thickBot="1" x14ac:dyDescent="0.5">
      <c r="A4" s="9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80"/>
      <c r="AY4" s="180"/>
      <c r="AZ4" s="180"/>
      <c r="BA4" s="180"/>
      <c r="BB4" s="162"/>
      <c r="BC4" s="162"/>
      <c r="BD4" s="162"/>
      <c r="BE4" s="162"/>
      <c r="BF4" s="180"/>
      <c r="BG4" s="180"/>
      <c r="BH4" s="180"/>
      <c r="BI4" s="180"/>
      <c r="BJ4" s="162"/>
      <c r="BK4" s="162"/>
      <c r="BL4" s="162"/>
      <c r="BM4" s="164"/>
      <c r="BN4" s="14"/>
    </row>
    <row r="5" spans="1:66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66" ht="20.100000000000001" customHeight="1" thickBot="1" x14ac:dyDescent="0.5">
      <c r="A6" s="30"/>
      <c r="B6" s="44" t="s">
        <v>45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0"/>
    </row>
    <row r="7" spans="1:66" ht="20.100000000000001" customHeight="1" thickTop="1" x14ac:dyDescent="0.45">
      <c r="A7" s="9"/>
      <c r="B7" s="7"/>
      <c r="C7" s="1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4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4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4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4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4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4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4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4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4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4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4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4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4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4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4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4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4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4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4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4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4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4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4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4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4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4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4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4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4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4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4"/>
    </row>
    <row r="39" spans="1:66" ht="20.100000000000001" customHeight="1" x14ac:dyDescent="0.45">
      <c r="B39" s="1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6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27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rowBreaks count="2" manualBreakCount="2">
    <brk id="49" max="66" man="1"/>
    <brk id="90" max="6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N4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66" ht="20.100000000000001" customHeight="1" thickTop="1" x14ac:dyDescent="0.45">
      <c r="A2" s="31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34"/>
    </row>
    <row r="3" spans="1:66" ht="20.100000000000001" customHeight="1" x14ac:dyDescent="0.45">
      <c r="A3" s="31"/>
      <c r="B3" s="15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4" t="str">
        <f ca="1">変更履歴!X3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変更履歴!AK3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172"/>
      <c r="BN3" s="34"/>
    </row>
    <row r="4" spans="1:66" ht="20.100000000000001" customHeight="1" thickBot="1" x14ac:dyDescent="0.5">
      <c r="A4" s="31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80"/>
      <c r="AY4" s="180"/>
      <c r="AZ4" s="180"/>
      <c r="BA4" s="180"/>
      <c r="BB4" s="162"/>
      <c r="BC4" s="162"/>
      <c r="BD4" s="162"/>
      <c r="BE4" s="162"/>
      <c r="BF4" s="180"/>
      <c r="BG4" s="180"/>
      <c r="BH4" s="180"/>
      <c r="BI4" s="180"/>
      <c r="BJ4" s="162"/>
      <c r="BK4" s="162"/>
      <c r="BL4" s="162"/>
      <c r="BM4" s="164"/>
      <c r="BN4" s="34"/>
    </row>
    <row r="5" spans="1:66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66" ht="20.100000000000001" customHeight="1" thickBot="1" x14ac:dyDescent="0.5">
      <c r="A6" s="30"/>
      <c r="B6" s="44" t="s">
        <v>104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0"/>
    </row>
    <row r="7" spans="1:66" ht="20.100000000000001" customHeight="1" thickTop="1" x14ac:dyDescent="0.45">
      <c r="A7" s="31"/>
      <c r="B7" s="30"/>
      <c r="C7" s="38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4"/>
    </row>
    <row r="8" spans="1:66" ht="20.100000000000001" customHeight="1" x14ac:dyDescent="0.45">
      <c r="A8" s="31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28"/>
      <c r="BH8" s="28"/>
      <c r="BI8" s="28"/>
      <c r="BJ8" s="28"/>
      <c r="BK8" s="30"/>
      <c r="BL8" s="30"/>
      <c r="BM8" s="30"/>
      <c r="BN8" s="34"/>
    </row>
    <row r="9" spans="1:66" ht="20.100000000000001" customHeight="1" x14ac:dyDescent="0.45">
      <c r="A9" s="31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28"/>
      <c r="BH9" s="28"/>
      <c r="BI9" s="28"/>
      <c r="BJ9" s="28"/>
      <c r="BK9" s="30"/>
      <c r="BL9" s="30"/>
      <c r="BM9" s="30"/>
      <c r="BN9" s="34"/>
    </row>
    <row r="10" spans="1:66" ht="20.100000000000001" customHeight="1" x14ac:dyDescent="0.45">
      <c r="A10" s="31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28"/>
      <c r="BH10" s="28"/>
      <c r="BI10" s="28"/>
      <c r="BJ10" s="28"/>
      <c r="BK10" s="30"/>
      <c r="BL10" s="30"/>
      <c r="BM10" s="30"/>
      <c r="BN10" s="34"/>
    </row>
    <row r="11" spans="1:66" ht="20.100000000000001" customHeight="1" x14ac:dyDescent="0.45">
      <c r="A11" s="3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28"/>
      <c r="BH11" s="28"/>
      <c r="BI11" s="28"/>
      <c r="BJ11" s="28"/>
      <c r="BK11" s="30"/>
      <c r="BL11" s="30"/>
      <c r="BM11" s="30"/>
      <c r="BN11" s="34"/>
    </row>
    <row r="12" spans="1:66" ht="20.100000000000001" customHeight="1" x14ac:dyDescent="0.45">
      <c r="A12" s="3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28"/>
      <c r="BH12" s="28"/>
      <c r="BI12" s="28"/>
      <c r="BJ12" s="28"/>
      <c r="BK12" s="30"/>
      <c r="BL12" s="30"/>
      <c r="BM12" s="30"/>
      <c r="BN12" s="34"/>
    </row>
    <row r="13" spans="1:66" ht="20.100000000000001" customHeight="1" x14ac:dyDescent="0.45">
      <c r="A13" s="3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28"/>
      <c r="BH13" s="28"/>
      <c r="BI13" s="28"/>
      <c r="BJ13" s="28"/>
      <c r="BK13" s="30"/>
      <c r="BL13" s="30"/>
      <c r="BM13" s="30"/>
      <c r="BN13" s="34"/>
    </row>
    <row r="14" spans="1:66" ht="20.100000000000001" customHeight="1" x14ac:dyDescent="0.45">
      <c r="A14" s="3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28"/>
      <c r="BH14" s="28"/>
      <c r="BI14" s="28"/>
      <c r="BJ14" s="28"/>
      <c r="BK14" s="30"/>
      <c r="BL14" s="30"/>
      <c r="BM14" s="30"/>
      <c r="BN14" s="34"/>
    </row>
    <row r="15" spans="1:66" ht="20.100000000000001" customHeight="1" x14ac:dyDescent="0.45">
      <c r="A15" s="3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28"/>
      <c r="BH15" s="28"/>
      <c r="BI15" s="28"/>
      <c r="BJ15" s="28"/>
      <c r="BK15" s="30"/>
      <c r="BL15" s="30"/>
      <c r="BM15" s="30"/>
      <c r="BN15" s="34"/>
    </row>
    <row r="16" spans="1:66" ht="20.100000000000001" customHeight="1" x14ac:dyDescent="0.45">
      <c r="A16" s="31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28"/>
      <c r="BH16" s="28"/>
      <c r="BI16" s="28"/>
      <c r="BJ16" s="28"/>
      <c r="BK16" s="30"/>
      <c r="BL16" s="30"/>
      <c r="BM16" s="30"/>
      <c r="BN16" s="34"/>
    </row>
    <row r="17" spans="1:66" ht="20.100000000000001" customHeight="1" x14ac:dyDescent="0.45">
      <c r="A17" s="3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28"/>
      <c r="BH17" s="28"/>
      <c r="BI17" s="28"/>
      <c r="BJ17" s="28"/>
      <c r="BK17" s="30"/>
      <c r="BL17" s="30"/>
      <c r="BM17" s="30"/>
      <c r="BN17" s="34"/>
    </row>
    <row r="18" spans="1:66" ht="20.100000000000001" customHeight="1" x14ac:dyDescent="0.45">
      <c r="A18" s="3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28"/>
      <c r="BH18" s="28"/>
      <c r="BI18" s="28"/>
      <c r="BJ18" s="28"/>
      <c r="BK18" s="30"/>
      <c r="BL18" s="30"/>
      <c r="BM18" s="30"/>
      <c r="BN18" s="34"/>
    </row>
    <row r="19" spans="1:66" ht="20.100000000000001" customHeight="1" x14ac:dyDescent="0.45">
      <c r="A19" s="3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28"/>
      <c r="BH19" s="28"/>
      <c r="BI19" s="28"/>
      <c r="BJ19" s="28"/>
      <c r="BK19" s="30"/>
      <c r="BL19" s="30"/>
      <c r="BM19" s="30"/>
      <c r="BN19" s="34"/>
    </row>
    <row r="20" spans="1:66" ht="20.100000000000001" customHeight="1" x14ac:dyDescent="0.45">
      <c r="A20" s="3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28"/>
      <c r="BH20" s="28"/>
      <c r="BI20" s="28"/>
      <c r="BJ20" s="28"/>
      <c r="BK20" s="30"/>
      <c r="BL20" s="30"/>
      <c r="BM20" s="30"/>
      <c r="BN20" s="34"/>
    </row>
    <row r="21" spans="1:66" ht="20.100000000000001" customHeight="1" x14ac:dyDescent="0.45">
      <c r="A21" s="3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28"/>
      <c r="BH21" s="28"/>
      <c r="BI21" s="28"/>
      <c r="BJ21" s="28"/>
      <c r="BK21" s="30"/>
      <c r="BL21" s="30"/>
      <c r="BM21" s="30"/>
      <c r="BN21" s="34"/>
    </row>
    <row r="22" spans="1:66" ht="20.100000000000001" customHeight="1" x14ac:dyDescent="0.45">
      <c r="A22" s="3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28"/>
      <c r="BH22" s="28"/>
      <c r="BI22" s="28"/>
      <c r="BJ22" s="28"/>
      <c r="BK22" s="30"/>
      <c r="BL22" s="30"/>
      <c r="BM22" s="30"/>
      <c r="BN22" s="34"/>
    </row>
    <row r="23" spans="1:66" ht="20.100000000000001" customHeight="1" x14ac:dyDescent="0.45">
      <c r="A23" s="3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28"/>
      <c r="BH23" s="28"/>
      <c r="BI23" s="28"/>
      <c r="BJ23" s="28"/>
      <c r="BK23" s="30"/>
      <c r="BL23" s="30"/>
      <c r="BM23" s="30"/>
      <c r="BN23" s="34"/>
    </row>
    <row r="24" spans="1:66" ht="20.100000000000001" customHeight="1" x14ac:dyDescent="0.45">
      <c r="A24" s="3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28"/>
      <c r="BH24" s="28"/>
      <c r="BI24" s="28"/>
      <c r="BJ24" s="28"/>
      <c r="BK24" s="30"/>
      <c r="BL24" s="30"/>
      <c r="BM24" s="30"/>
      <c r="BN24" s="34"/>
    </row>
    <row r="25" spans="1:66" ht="20.100000000000001" customHeight="1" x14ac:dyDescent="0.45">
      <c r="A25" s="3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28"/>
      <c r="BH25" s="28"/>
      <c r="BI25" s="28"/>
      <c r="BJ25" s="28"/>
      <c r="BK25" s="30"/>
      <c r="BL25" s="30"/>
      <c r="BM25" s="30"/>
      <c r="BN25" s="34"/>
    </row>
    <row r="26" spans="1:66" ht="20.100000000000001" customHeight="1" x14ac:dyDescent="0.45">
      <c r="A26" s="3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28"/>
      <c r="BH26" s="28"/>
      <c r="BI26" s="28"/>
      <c r="BJ26" s="28"/>
      <c r="BK26" s="30"/>
      <c r="BL26" s="30"/>
      <c r="BM26" s="30"/>
      <c r="BN26" s="34"/>
    </row>
    <row r="27" spans="1:66" ht="20.100000000000001" customHeight="1" x14ac:dyDescent="0.45">
      <c r="A27" s="31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28"/>
      <c r="BH27" s="28"/>
      <c r="BI27" s="28"/>
      <c r="BJ27" s="28"/>
      <c r="BK27" s="30"/>
      <c r="BL27" s="30"/>
      <c r="BM27" s="30"/>
      <c r="BN27" s="34"/>
    </row>
    <row r="28" spans="1:66" ht="20.100000000000001" customHeight="1" x14ac:dyDescent="0.45">
      <c r="A28" s="31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28"/>
      <c r="BH28" s="28"/>
      <c r="BI28" s="28"/>
      <c r="BJ28" s="28"/>
      <c r="BK28" s="30"/>
      <c r="BL28" s="30"/>
      <c r="BM28" s="30"/>
      <c r="BN28" s="34"/>
    </row>
    <row r="29" spans="1:66" ht="20.100000000000001" customHeight="1" x14ac:dyDescent="0.45">
      <c r="A29" s="31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28"/>
      <c r="BH29" s="28"/>
      <c r="BI29" s="28"/>
      <c r="BJ29" s="28"/>
      <c r="BK29" s="30"/>
      <c r="BL29" s="30"/>
      <c r="BM29" s="30"/>
      <c r="BN29" s="34"/>
    </row>
    <row r="30" spans="1:66" ht="20.100000000000001" customHeight="1" x14ac:dyDescent="0.45">
      <c r="A30" s="31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28"/>
      <c r="BH30" s="28"/>
      <c r="BI30" s="28"/>
      <c r="BJ30" s="28"/>
      <c r="BK30" s="30"/>
      <c r="BL30" s="30"/>
      <c r="BM30" s="30"/>
      <c r="BN30" s="34"/>
    </row>
    <row r="31" spans="1:66" ht="20.100000000000001" customHeight="1" x14ac:dyDescent="0.45">
      <c r="A31" s="31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28"/>
      <c r="BH31" s="28"/>
      <c r="BI31" s="28"/>
      <c r="BJ31" s="28"/>
      <c r="BK31" s="30"/>
      <c r="BL31" s="30"/>
      <c r="BM31" s="30"/>
      <c r="BN31" s="34"/>
    </row>
    <row r="32" spans="1:66" ht="20.100000000000001" customHeight="1" x14ac:dyDescent="0.45">
      <c r="A32" s="31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28"/>
      <c r="BH32" s="28"/>
      <c r="BI32" s="28"/>
      <c r="BJ32" s="28"/>
      <c r="BK32" s="30"/>
      <c r="BL32" s="30"/>
      <c r="BM32" s="30"/>
      <c r="BN32" s="34"/>
    </row>
    <row r="33" spans="1:66" ht="20.100000000000001" customHeight="1" x14ac:dyDescent="0.45">
      <c r="A33" s="31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28"/>
      <c r="BH33" s="28"/>
      <c r="BI33" s="28"/>
      <c r="BJ33" s="28"/>
      <c r="BK33" s="30"/>
      <c r="BL33" s="30"/>
      <c r="BM33" s="30"/>
      <c r="BN33" s="34"/>
    </row>
    <row r="34" spans="1:66" ht="20.100000000000001" customHeight="1" x14ac:dyDescent="0.45">
      <c r="A34" s="3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4"/>
    </row>
    <row r="35" spans="1:66" ht="20.100000000000001" customHeight="1" x14ac:dyDescent="0.45">
      <c r="A35" s="31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4"/>
    </row>
    <row r="36" spans="1:66" ht="20.100000000000001" customHeight="1" x14ac:dyDescent="0.45">
      <c r="A36" s="31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4"/>
    </row>
    <row r="37" spans="1:66" ht="20.100000000000001" customHeight="1" x14ac:dyDescent="0.45">
      <c r="A37" s="31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4"/>
    </row>
    <row r="38" spans="1:66" ht="20.100000000000001" customHeight="1" x14ac:dyDescent="0.45">
      <c r="A38" s="31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4"/>
    </row>
    <row r="39" spans="1:66" ht="20.100000000000001" customHeight="1" x14ac:dyDescent="0.45">
      <c r="B39" s="34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1"/>
    </row>
    <row r="40" spans="1:66" ht="20.100000000000001" customHeight="1" x14ac:dyDescent="0.45">
      <c r="B40" s="34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1"/>
    </row>
    <row r="41" spans="1:66" ht="20.100000000000001" customHeight="1" x14ac:dyDescent="0.45">
      <c r="B41" s="34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1"/>
    </row>
    <row r="42" spans="1:66" ht="20.100000000000001" customHeight="1" x14ac:dyDescent="0.45">
      <c r="B42" s="34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1"/>
    </row>
    <row r="43" spans="1:66" ht="20.100000000000001" customHeight="1" x14ac:dyDescent="0.45">
      <c r="B43" s="34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1"/>
    </row>
    <row r="44" spans="1:66" ht="20.100000000000001" customHeight="1" x14ac:dyDescent="0.45">
      <c r="B44" s="34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1"/>
    </row>
    <row r="45" spans="1:66" ht="20.100000000000001" customHeight="1" x14ac:dyDescent="0.45">
      <c r="B45" s="34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1"/>
    </row>
    <row r="46" spans="1:66" ht="20.100000000000001" customHeight="1" x14ac:dyDescent="0.45">
      <c r="B46" s="34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1"/>
    </row>
    <row r="47" spans="1:66" ht="20.100000000000001" customHeight="1" thickBot="1" x14ac:dyDescent="0.5">
      <c r="B47" s="26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27"/>
    </row>
    <row r="48" spans="1:66" ht="20.100000000000001" customHeight="1" thickTop="1" x14ac:dyDescent="0.45"/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CG53"/>
  <sheetViews>
    <sheetView showGridLines="0" view="pageBreakPreview" zoomScale="90" zoomScaleNormal="100" zoomScaleSheetLayoutView="9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85" ht="20.100000000000001" customHeight="1" thickTop="1" x14ac:dyDescent="0.45">
      <c r="A2" s="31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34"/>
    </row>
    <row r="3" spans="1:85" ht="20.100000000000001" customHeight="1" x14ac:dyDescent="0.45">
      <c r="A3" s="31"/>
      <c r="B3" s="15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4" t="str">
        <f ca="1">変更履歴!X3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変更履歴!AK3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172"/>
      <c r="BN3" s="34"/>
    </row>
    <row r="4" spans="1:85" ht="20.100000000000001" customHeight="1" thickBot="1" x14ac:dyDescent="0.5">
      <c r="A4" s="31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80"/>
      <c r="AY4" s="180"/>
      <c r="AZ4" s="180"/>
      <c r="BA4" s="180"/>
      <c r="BB4" s="162"/>
      <c r="BC4" s="162"/>
      <c r="BD4" s="162"/>
      <c r="BE4" s="162"/>
      <c r="BF4" s="180"/>
      <c r="BG4" s="180"/>
      <c r="BH4" s="180"/>
      <c r="BI4" s="180"/>
      <c r="BJ4" s="162"/>
      <c r="BK4" s="162"/>
      <c r="BL4" s="162"/>
      <c r="BM4" s="164"/>
      <c r="BN4" s="34"/>
    </row>
    <row r="5" spans="1:8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8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</row>
    <row r="7" spans="1:85" ht="20.100000000000001" customHeight="1" thickBot="1" x14ac:dyDescent="0.5">
      <c r="A7" s="30"/>
      <c r="B7" s="44" t="s">
        <v>18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</row>
    <row r="8" spans="1:8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71"/>
    </row>
    <row r="9" spans="1:85" ht="20.100000000000001" customHeight="1" thickBot="1" x14ac:dyDescent="0.5">
      <c r="A9" s="29"/>
      <c r="B9" s="34"/>
      <c r="C9" s="38" t="s">
        <v>46</v>
      </c>
      <c r="D9" s="33"/>
      <c r="E9" s="33"/>
      <c r="F9" s="87" t="s">
        <v>52</v>
      </c>
      <c r="G9" s="33"/>
      <c r="H9" s="33"/>
      <c r="I9" s="33"/>
      <c r="J9" s="33"/>
      <c r="K9" s="33"/>
      <c r="L9" s="33"/>
      <c r="M9" s="33"/>
      <c r="N9" s="33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28"/>
      <c r="AU9" s="28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30"/>
      <c r="BP9" s="30"/>
      <c r="BQ9" s="30"/>
      <c r="BR9" s="30"/>
      <c r="BS9" s="30"/>
      <c r="BT9" s="30"/>
      <c r="BU9" s="31"/>
    </row>
    <row r="10" spans="1:85" s="5" customFormat="1" ht="18.600000000000001" customHeight="1" thickTop="1" x14ac:dyDescent="0.45">
      <c r="A10" s="29"/>
      <c r="B10" s="43"/>
      <c r="C10" s="31"/>
      <c r="D10" s="37" t="s">
        <v>19</v>
      </c>
      <c r="E10" s="181" t="s">
        <v>20</v>
      </c>
      <c r="F10" s="182"/>
      <c r="G10" s="182"/>
      <c r="H10" s="182"/>
      <c r="I10" s="182"/>
      <c r="J10" s="182"/>
      <c r="K10" s="182"/>
      <c r="L10" s="183"/>
      <c r="M10" s="184" t="s">
        <v>24</v>
      </c>
      <c r="N10" s="185"/>
      <c r="O10" s="185"/>
      <c r="P10" s="184" t="s">
        <v>33</v>
      </c>
      <c r="Q10" s="185"/>
      <c r="R10" s="185"/>
      <c r="S10" s="184" t="s">
        <v>34</v>
      </c>
      <c r="T10" s="185"/>
      <c r="U10" s="185"/>
      <c r="V10" s="184" t="s">
        <v>36</v>
      </c>
      <c r="W10" s="185"/>
      <c r="X10" s="185"/>
      <c r="Y10" s="185"/>
      <c r="Z10" s="185"/>
      <c r="AA10" s="186"/>
      <c r="AB10" s="184" t="s">
        <v>35</v>
      </c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6"/>
      <c r="AR10" s="184" t="s">
        <v>42</v>
      </c>
      <c r="AS10" s="185"/>
      <c r="AT10" s="185"/>
      <c r="AU10" s="185"/>
      <c r="AV10" s="185"/>
      <c r="AW10" s="186"/>
      <c r="AX10" s="184" t="s">
        <v>43</v>
      </c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7"/>
      <c r="BU10" s="40"/>
      <c r="BV10" s="39"/>
      <c r="BW10" s="40"/>
      <c r="BX10" s="40"/>
      <c r="BY10" s="40"/>
      <c r="BZ10" s="40"/>
      <c r="CA10" s="40"/>
      <c r="CB10" s="29"/>
      <c r="CC10" s="29"/>
      <c r="CD10" s="29"/>
      <c r="CE10" s="29"/>
      <c r="CF10" s="29"/>
      <c r="CG10" s="29"/>
    </row>
    <row r="11" spans="1:85" s="5" customFormat="1" ht="20.100000000000001" customHeight="1" x14ac:dyDescent="0.45">
      <c r="A11" s="29"/>
      <c r="B11" s="43"/>
      <c r="C11" s="31"/>
      <c r="D11" s="36">
        <v>1</v>
      </c>
      <c r="E11" s="188" t="s">
        <v>80</v>
      </c>
      <c r="F11" s="189"/>
      <c r="G11" s="189"/>
      <c r="H11" s="189"/>
      <c r="I11" s="189"/>
      <c r="J11" s="189"/>
      <c r="K11" s="189"/>
      <c r="L11" s="190"/>
      <c r="M11" s="179" t="s">
        <v>38</v>
      </c>
      <c r="N11" s="174"/>
      <c r="O11" s="174"/>
      <c r="P11" s="179" t="s">
        <v>88</v>
      </c>
      <c r="Q11" s="174"/>
      <c r="R11" s="174"/>
      <c r="S11" s="179">
        <v>8</v>
      </c>
      <c r="T11" s="174"/>
      <c r="U11" s="174"/>
      <c r="V11" s="191" t="s">
        <v>186</v>
      </c>
      <c r="W11" s="192"/>
      <c r="X11" s="192"/>
      <c r="Y11" s="192"/>
      <c r="Z11" s="192"/>
      <c r="AA11" s="193"/>
      <c r="AB11" s="194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6"/>
      <c r="AR11" s="179"/>
      <c r="AS11" s="174"/>
      <c r="AT11" s="174"/>
      <c r="AU11" s="174"/>
      <c r="AV11" s="174"/>
      <c r="AW11" s="175"/>
      <c r="AX11" s="191"/>
      <c r="AY11" s="192"/>
      <c r="AZ11" s="192"/>
      <c r="BA11" s="192"/>
      <c r="BB11" s="192"/>
      <c r="BC11" s="192"/>
      <c r="BD11" s="192"/>
      <c r="BE11" s="192"/>
      <c r="BF11" s="192"/>
      <c r="BG11" s="192"/>
      <c r="BH11" s="192"/>
      <c r="BI11" s="192"/>
      <c r="BJ11" s="192"/>
      <c r="BK11" s="192"/>
      <c r="BL11" s="192"/>
      <c r="BM11" s="192"/>
      <c r="BN11" s="192"/>
      <c r="BO11" s="192"/>
      <c r="BP11" s="192"/>
      <c r="BQ11" s="192"/>
      <c r="BR11" s="192"/>
      <c r="BS11" s="192"/>
      <c r="BT11" s="197"/>
      <c r="BU11" s="40"/>
      <c r="BV11" s="39"/>
      <c r="BW11" s="40"/>
      <c r="BX11" s="40"/>
      <c r="BY11" s="40"/>
      <c r="BZ11" s="40"/>
      <c r="CA11" s="40"/>
      <c r="CB11" s="29"/>
      <c r="CC11" s="29"/>
      <c r="CD11" s="29"/>
      <c r="CE11" s="29"/>
      <c r="CF11" s="29"/>
      <c r="CG11" s="29"/>
    </row>
    <row r="12" spans="1:85" s="5" customFormat="1" ht="20.100000000000001" customHeight="1" x14ac:dyDescent="0.45">
      <c r="A12" s="29"/>
      <c r="B12" s="43"/>
      <c r="C12" s="31"/>
      <c r="D12" s="36">
        <v>2</v>
      </c>
      <c r="E12" s="188" t="s">
        <v>81</v>
      </c>
      <c r="F12" s="189"/>
      <c r="G12" s="189"/>
      <c r="H12" s="189"/>
      <c r="I12" s="189"/>
      <c r="J12" s="189"/>
      <c r="K12" s="189"/>
      <c r="L12" s="190"/>
      <c r="M12" s="179" t="s">
        <v>38</v>
      </c>
      <c r="N12" s="174"/>
      <c r="O12" s="174"/>
      <c r="P12" s="179" t="s">
        <v>88</v>
      </c>
      <c r="Q12" s="174"/>
      <c r="R12" s="174"/>
      <c r="S12" s="179">
        <v>8</v>
      </c>
      <c r="T12" s="174"/>
      <c r="U12" s="174"/>
      <c r="V12" s="191" t="s">
        <v>187</v>
      </c>
      <c r="W12" s="192"/>
      <c r="X12" s="192"/>
      <c r="Y12" s="192"/>
      <c r="Z12" s="192"/>
      <c r="AA12" s="193"/>
      <c r="AB12" s="194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6"/>
      <c r="AR12" s="179"/>
      <c r="AS12" s="174"/>
      <c r="AT12" s="174"/>
      <c r="AU12" s="174"/>
      <c r="AV12" s="174"/>
      <c r="AW12" s="175"/>
      <c r="AX12" s="191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7"/>
      <c r="BU12" s="40"/>
      <c r="BV12" s="39"/>
      <c r="BW12" s="40"/>
      <c r="BX12" s="40"/>
      <c r="BY12" s="40"/>
      <c r="BZ12" s="40"/>
      <c r="CA12" s="40"/>
      <c r="CB12" s="29"/>
      <c r="CC12" s="29"/>
      <c r="CD12" s="29"/>
      <c r="CE12" s="29"/>
      <c r="CF12" s="29"/>
      <c r="CG12" s="29"/>
    </row>
    <row r="13" spans="1:85" s="5" customFormat="1" ht="20.100000000000001" customHeight="1" x14ac:dyDescent="0.45">
      <c r="A13" s="29"/>
      <c r="B13" s="43"/>
      <c r="C13" s="35"/>
      <c r="D13" s="36">
        <v>3</v>
      </c>
      <c r="E13" s="188" t="s">
        <v>82</v>
      </c>
      <c r="F13" s="189"/>
      <c r="G13" s="189"/>
      <c r="H13" s="189"/>
      <c r="I13" s="189"/>
      <c r="J13" s="189"/>
      <c r="K13" s="189"/>
      <c r="L13" s="190"/>
      <c r="M13" s="179" t="s">
        <v>38</v>
      </c>
      <c r="N13" s="174"/>
      <c r="O13" s="174"/>
      <c r="P13" s="179" t="s">
        <v>89</v>
      </c>
      <c r="Q13" s="174"/>
      <c r="R13" s="174"/>
      <c r="S13" s="198">
        <v>5</v>
      </c>
      <c r="T13" s="199"/>
      <c r="U13" s="199"/>
      <c r="V13" s="191" t="s">
        <v>188</v>
      </c>
      <c r="W13" s="192"/>
      <c r="X13" s="192"/>
      <c r="Y13" s="192"/>
      <c r="Z13" s="192"/>
      <c r="AA13" s="193"/>
      <c r="AB13" s="194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6"/>
      <c r="AR13" s="179"/>
      <c r="AS13" s="174"/>
      <c r="AT13" s="174"/>
      <c r="AU13" s="174"/>
      <c r="AV13" s="174"/>
      <c r="AW13" s="175"/>
      <c r="AX13" s="191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7"/>
      <c r="BU13" s="40"/>
      <c r="BV13" s="39"/>
      <c r="BW13" s="40"/>
      <c r="BX13" s="40"/>
      <c r="BY13" s="40"/>
      <c r="BZ13" s="40"/>
      <c r="CA13" s="40"/>
      <c r="CB13" s="40"/>
      <c r="CC13" s="29"/>
      <c r="CD13" s="29"/>
      <c r="CE13" s="29"/>
      <c r="CF13" s="29"/>
      <c r="CG13" s="29"/>
    </row>
    <row r="14" spans="1:85" s="5" customFormat="1" ht="20.100000000000001" customHeight="1" x14ac:dyDescent="0.45">
      <c r="A14" s="29"/>
      <c r="B14" s="43"/>
      <c r="C14" s="35"/>
      <c r="D14" s="36">
        <v>4</v>
      </c>
      <c r="E14" s="188" t="s">
        <v>83</v>
      </c>
      <c r="F14" s="189"/>
      <c r="G14" s="189"/>
      <c r="H14" s="189"/>
      <c r="I14" s="189"/>
      <c r="J14" s="189"/>
      <c r="K14" s="189"/>
      <c r="L14" s="190"/>
      <c r="M14" s="179" t="s">
        <v>47</v>
      </c>
      <c r="N14" s="174"/>
      <c r="O14" s="174"/>
      <c r="P14" s="179" t="s">
        <v>88</v>
      </c>
      <c r="Q14" s="174"/>
      <c r="R14" s="174"/>
      <c r="S14" s="179">
        <v>8</v>
      </c>
      <c r="T14" s="174"/>
      <c r="U14" s="174"/>
      <c r="V14" s="191" t="s">
        <v>189</v>
      </c>
      <c r="W14" s="192"/>
      <c r="X14" s="192"/>
      <c r="Y14" s="192"/>
      <c r="Z14" s="192"/>
      <c r="AA14" s="193"/>
      <c r="AB14" s="194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6"/>
      <c r="AR14" s="179"/>
      <c r="AS14" s="174"/>
      <c r="AT14" s="174"/>
      <c r="AU14" s="174"/>
      <c r="AV14" s="174"/>
      <c r="AW14" s="175"/>
      <c r="AX14" s="191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7"/>
      <c r="BU14" s="40"/>
      <c r="BV14" s="39"/>
      <c r="BW14" s="40"/>
      <c r="BX14" s="40"/>
      <c r="BY14" s="40"/>
      <c r="BZ14" s="40"/>
      <c r="CA14" s="40"/>
      <c r="CB14" s="40"/>
      <c r="CC14" s="29"/>
      <c r="CD14" s="29"/>
      <c r="CE14" s="29"/>
      <c r="CF14" s="29"/>
      <c r="CG14" s="29"/>
    </row>
    <row r="15" spans="1:85" s="5" customFormat="1" ht="20.100000000000001" customHeight="1" x14ac:dyDescent="0.45">
      <c r="A15" s="29"/>
      <c r="B15" s="43"/>
      <c r="C15" s="35"/>
      <c r="D15" s="36">
        <v>5</v>
      </c>
      <c r="E15" s="188" t="s">
        <v>84</v>
      </c>
      <c r="F15" s="189"/>
      <c r="G15" s="189"/>
      <c r="H15" s="189"/>
      <c r="I15" s="189"/>
      <c r="J15" s="189"/>
      <c r="K15" s="189"/>
      <c r="L15" s="190"/>
      <c r="M15" s="179" t="s">
        <v>38</v>
      </c>
      <c r="N15" s="174"/>
      <c r="O15" s="174"/>
      <c r="P15" s="179" t="s">
        <v>88</v>
      </c>
      <c r="Q15" s="174"/>
      <c r="R15" s="174"/>
      <c r="S15" s="198">
        <v>10</v>
      </c>
      <c r="T15" s="199"/>
      <c r="U15" s="199"/>
      <c r="V15" s="194" t="s">
        <v>191</v>
      </c>
      <c r="W15" s="195"/>
      <c r="X15" s="195"/>
      <c r="Y15" s="195"/>
      <c r="Z15" s="195"/>
      <c r="AA15" s="196"/>
      <c r="AB15" s="194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6"/>
      <c r="AR15" s="179"/>
      <c r="AS15" s="174"/>
      <c r="AT15" s="174"/>
      <c r="AU15" s="174"/>
      <c r="AV15" s="174"/>
      <c r="AW15" s="175"/>
      <c r="AX15" s="191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2"/>
      <c r="BN15" s="192"/>
      <c r="BO15" s="192"/>
      <c r="BP15" s="192"/>
      <c r="BQ15" s="192"/>
      <c r="BR15" s="192"/>
      <c r="BS15" s="192"/>
      <c r="BT15" s="197"/>
      <c r="BU15" s="40"/>
      <c r="BV15" s="39"/>
      <c r="BW15" s="40"/>
      <c r="BX15" s="40"/>
      <c r="BY15" s="40"/>
      <c r="BZ15" s="40"/>
      <c r="CA15" s="40"/>
      <c r="CB15" s="40"/>
      <c r="CC15" s="29"/>
      <c r="CD15" s="29"/>
      <c r="CE15" s="29"/>
      <c r="CF15" s="29"/>
      <c r="CG15" s="29"/>
    </row>
    <row r="16" spans="1:85" s="5" customFormat="1" ht="20.100000000000001" customHeight="1" x14ac:dyDescent="0.45">
      <c r="A16" s="29"/>
      <c r="B16" s="43"/>
      <c r="C16" s="29"/>
      <c r="D16" s="36">
        <v>6</v>
      </c>
      <c r="E16" s="188" t="s">
        <v>85</v>
      </c>
      <c r="F16" s="189"/>
      <c r="G16" s="189"/>
      <c r="H16" s="189"/>
      <c r="I16" s="189"/>
      <c r="J16" s="189"/>
      <c r="K16" s="189"/>
      <c r="L16" s="190"/>
      <c r="M16" s="179" t="s">
        <v>38</v>
      </c>
      <c r="N16" s="174"/>
      <c r="O16" s="174"/>
      <c r="P16" s="179" t="s">
        <v>89</v>
      </c>
      <c r="Q16" s="174"/>
      <c r="R16" s="174"/>
      <c r="S16" s="198">
        <v>6</v>
      </c>
      <c r="T16" s="199"/>
      <c r="U16" s="199"/>
      <c r="V16" s="194" t="s">
        <v>192</v>
      </c>
      <c r="W16" s="195"/>
      <c r="X16" s="195"/>
      <c r="Y16" s="195"/>
      <c r="Z16" s="195"/>
      <c r="AA16" s="196"/>
      <c r="AB16" s="194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6"/>
      <c r="AR16" s="179"/>
      <c r="AS16" s="174"/>
      <c r="AT16" s="174"/>
      <c r="AU16" s="174"/>
      <c r="AV16" s="174"/>
      <c r="AW16" s="175"/>
      <c r="AX16" s="191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7"/>
      <c r="BU16" s="40"/>
      <c r="BV16" s="39"/>
      <c r="BW16" s="40"/>
      <c r="BX16" s="40"/>
      <c r="BY16" s="40"/>
      <c r="BZ16" s="40"/>
      <c r="CA16" s="40"/>
      <c r="CB16" s="40"/>
      <c r="CC16" s="29"/>
      <c r="CD16" s="29"/>
      <c r="CE16" s="29"/>
      <c r="CF16" s="29"/>
      <c r="CG16" s="29"/>
    </row>
    <row r="17" spans="1:85" s="5" customFormat="1" ht="20.100000000000001" customHeight="1" x14ac:dyDescent="0.45">
      <c r="A17" s="29"/>
      <c r="B17" s="43"/>
      <c r="C17" s="28"/>
      <c r="D17" s="36">
        <v>7</v>
      </c>
      <c r="E17" s="188" t="s">
        <v>86</v>
      </c>
      <c r="F17" s="189"/>
      <c r="G17" s="189"/>
      <c r="H17" s="189"/>
      <c r="I17" s="189"/>
      <c r="J17" s="189"/>
      <c r="K17" s="189"/>
      <c r="L17" s="190"/>
      <c r="M17" s="179" t="s">
        <v>38</v>
      </c>
      <c r="N17" s="174"/>
      <c r="O17" s="174"/>
      <c r="P17" s="179" t="s">
        <v>88</v>
      </c>
      <c r="Q17" s="174"/>
      <c r="R17" s="174"/>
      <c r="S17" s="179">
        <v>8</v>
      </c>
      <c r="T17" s="174"/>
      <c r="U17" s="174"/>
      <c r="V17" s="191" t="s">
        <v>107</v>
      </c>
      <c r="W17" s="192"/>
      <c r="X17" s="192"/>
      <c r="Y17" s="192"/>
      <c r="Z17" s="192"/>
      <c r="AA17" s="193"/>
      <c r="AB17" s="194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6"/>
      <c r="AR17" s="200" t="s">
        <v>87</v>
      </c>
      <c r="AS17" s="174"/>
      <c r="AT17" s="174"/>
      <c r="AU17" s="174"/>
      <c r="AV17" s="174"/>
      <c r="AW17" s="175"/>
      <c r="AX17" s="191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7"/>
      <c r="BU17" s="40"/>
      <c r="BV17" s="39"/>
      <c r="BW17" s="40"/>
      <c r="BX17" s="40"/>
      <c r="BY17" s="40"/>
      <c r="BZ17" s="40"/>
      <c r="CA17" s="40"/>
      <c r="CB17" s="40"/>
      <c r="CC17" s="29"/>
      <c r="CD17" s="29"/>
      <c r="CE17" s="29"/>
      <c r="CF17" s="29"/>
      <c r="CG17" s="29"/>
    </row>
    <row r="18" spans="1:85" s="5" customFormat="1" ht="20.100000000000001" customHeight="1" x14ac:dyDescent="0.45">
      <c r="A18" s="28"/>
      <c r="B18" s="34"/>
      <c r="C18" s="28"/>
      <c r="D18" s="36">
        <v>8</v>
      </c>
      <c r="E18" s="188"/>
      <c r="F18" s="189"/>
      <c r="G18" s="189"/>
      <c r="H18" s="189"/>
      <c r="I18" s="189"/>
      <c r="J18" s="189"/>
      <c r="K18" s="189"/>
      <c r="L18" s="190"/>
      <c r="M18" s="179"/>
      <c r="N18" s="174"/>
      <c r="O18" s="174"/>
      <c r="P18" s="179"/>
      <c r="Q18" s="174"/>
      <c r="R18" s="174"/>
      <c r="S18" s="179"/>
      <c r="T18" s="174"/>
      <c r="U18" s="174"/>
      <c r="V18" s="191"/>
      <c r="W18" s="192"/>
      <c r="X18" s="192"/>
      <c r="Y18" s="192"/>
      <c r="Z18" s="192"/>
      <c r="AA18" s="193"/>
      <c r="AB18" s="194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6"/>
      <c r="AR18" s="200"/>
      <c r="AS18" s="174"/>
      <c r="AT18" s="174"/>
      <c r="AU18" s="174"/>
      <c r="AV18" s="174"/>
      <c r="AW18" s="175"/>
      <c r="AX18" s="191"/>
      <c r="AY18" s="192"/>
      <c r="AZ18" s="192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2"/>
      <c r="BO18" s="192"/>
      <c r="BP18" s="192"/>
      <c r="BQ18" s="192"/>
      <c r="BR18" s="192"/>
      <c r="BS18" s="192"/>
      <c r="BT18" s="197"/>
      <c r="BU18" s="28"/>
      <c r="BV18" s="39"/>
      <c r="BW18" s="40"/>
      <c r="BX18" s="40"/>
      <c r="BY18" s="40"/>
      <c r="BZ18" s="40"/>
      <c r="CA18" s="40"/>
      <c r="CB18" s="40"/>
      <c r="CC18" s="40"/>
      <c r="CD18" s="40"/>
      <c r="CE18" s="40"/>
      <c r="CF18" s="30"/>
      <c r="CG18" s="30"/>
    </row>
    <row r="19" spans="1:85" s="5" customFormat="1" ht="20.100000000000001" customHeight="1" x14ac:dyDescent="0.45">
      <c r="A19" s="28"/>
      <c r="B19" s="34"/>
      <c r="C19" s="28"/>
      <c r="D19" s="36">
        <v>9</v>
      </c>
      <c r="E19" s="188"/>
      <c r="F19" s="189"/>
      <c r="G19" s="189"/>
      <c r="H19" s="189"/>
      <c r="I19" s="189"/>
      <c r="J19" s="189"/>
      <c r="K19" s="189"/>
      <c r="L19" s="190"/>
      <c r="M19" s="179"/>
      <c r="N19" s="174"/>
      <c r="O19" s="174"/>
      <c r="P19" s="179"/>
      <c r="Q19" s="174"/>
      <c r="R19" s="174"/>
      <c r="S19" s="179"/>
      <c r="T19" s="174"/>
      <c r="U19" s="174"/>
      <c r="V19" s="191"/>
      <c r="W19" s="192"/>
      <c r="X19" s="192"/>
      <c r="Y19" s="192"/>
      <c r="Z19" s="192"/>
      <c r="AA19" s="193"/>
      <c r="AB19" s="194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6"/>
      <c r="AR19" s="200"/>
      <c r="AS19" s="174"/>
      <c r="AT19" s="174"/>
      <c r="AU19" s="174"/>
      <c r="AV19" s="174"/>
      <c r="AW19" s="175"/>
      <c r="AX19" s="191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  <c r="BS19" s="192"/>
      <c r="BT19" s="197"/>
      <c r="BU19" s="40"/>
      <c r="BV19" s="39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</row>
    <row r="20" spans="1:85" s="5" customFormat="1" ht="20.100000000000001" customHeight="1" x14ac:dyDescent="0.45">
      <c r="A20" s="28"/>
      <c r="B20" s="34"/>
      <c r="C20" s="28"/>
      <c r="D20" s="36">
        <v>10</v>
      </c>
      <c r="E20" s="188"/>
      <c r="F20" s="189"/>
      <c r="G20" s="189"/>
      <c r="H20" s="189"/>
      <c r="I20" s="189"/>
      <c r="J20" s="189"/>
      <c r="K20" s="189"/>
      <c r="L20" s="190"/>
      <c r="M20" s="179"/>
      <c r="N20" s="174"/>
      <c r="O20" s="174"/>
      <c r="P20" s="179"/>
      <c r="Q20" s="174"/>
      <c r="R20" s="174"/>
      <c r="S20" s="179"/>
      <c r="T20" s="174"/>
      <c r="U20" s="174"/>
      <c r="V20" s="191"/>
      <c r="W20" s="192"/>
      <c r="X20" s="192"/>
      <c r="Y20" s="192"/>
      <c r="Z20" s="192"/>
      <c r="AA20" s="193"/>
      <c r="AB20" s="194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6"/>
      <c r="AR20" s="200"/>
      <c r="AS20" s="174"/>
      <c r="AT20" s="174"/>
      <c r="AU20" s="174"/>
      <c r="AV20" s="174"/>
      <c r="AW20" s="175"/>
      <c r="AX20" s="191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2"/>
      <c r="BL20" s="192"/>
      <c r="BM20" s="192"/>
      <c r="BN20" s="192"/>
      <c r="BO20" s="192"/>
      <c r="BP20" s="192"/>
      <c r="BQ20" s="192"/>
      <c r="BR20" s="192"/>
      <c r="BS20" s="192"/>
      <c r="BT20" s="197"/>
      <c r="BU20" s="40"/>
      <c r="BV20" s="39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</row>
    <row r="21" spans="1:85" s="5" customFormat="1" ht="20.100000000000001" customHeight="1" x14ac:dyDescent="0.45">
      <c r="A21" s="28"/>
      <c r="B21" s="34"/>
      <c r="C21" s="28"/>
      <c r="D21" s="36">
        <v>11</v>
      </c>
      <c r="E21" s="188"/>
      <c r="F21" s="189"/>
      <c r="G21" s="189"/>
      <c r="H21" s="189"/>
      <c r="I21" s="189"/>
      <c r="J21" s="189"/>
      <c r="K21" s="189"/>
      <c r="L21" s="190"/>
      <c r="M21" s="179"/>
      <c r="N21" s="174"/>
      <c r="O21" s="174"/>
      <c r="P21" s="179"/>
      <c r="Q21" s="174"/>
      <c r="R21" s="174"/>
      <c r="S21" s="179"/>
      <c r="T21" s="174"/>
      <c r="U21" s="174"/>
      <c r="V21" s="191"/>
      <c r="W21" s="192"/>
      <c r="X21" s="192"/>
      <c r="Y21" s="192"/>
      <c r="Z21" s="192"/>
      <c r="AA21" s="193"/>
      <c r="AB21" s="194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6"/>
      <c r="AR21" s="200"/>
      <c r="AS21" s="174"/>
      <c r="AT21" s="174"/>
      <c r="AU21" s="174"/>
      <c r="AV21" s="174"/>
      <c r="AW21" s="175"/>
      <c r="AX21" s="191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  <c r="BS21" s="192"/>
      <c r="BT21" s="197"/>
      <c r="BU21" s="40"/>
      <c r="BV21" s="39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</row>
    <row r="22" spans="1:85" s="5" customFormat="1" ht="20.100000000000001" customHeight="1" x14ac:dyDescent="0.45">
      <c r="A22" s="28"/>
      <c r="B22" s="34"/>
      <c r="C22" s="28"/>
      <c r="D22" s="36">
        <v>12</v>
      </c>
      <c r="E22" s="188"/>
      <c r="F22" s="189"/>
      <c r="G22" s="189"/>
      <c r="H22" s="189"/>
      <c r="I22" s="189"/>
      <c r="J22" s="189"/>
      <c r="K22" s="189"/>
      <c r="L22" s="190"/>
      <c r="M22" s="179"/>
      <c r="N22" s="174"/>
      <c r="O22" s="174"/>
      <c r="P22" s="179"/>
      <c r="Q22" s="174"/>
      <c r="R22" s="174"/>
      <c r="S22" s="179"/>
      <c r="T22" s="174"/>
      <c r="U22" s="174"/>
      <c r="V22" s="191"/>
      <c r="W22" s="192"/>
      <c r="X22" s="192"/>
      <c r="Y22" s="192"/>
      <c r="Z22" s="192"/>
      <c r="AA22" s="193"/>
      <c r="AB22" s="194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6"/>
      <c r="AR22" s="200"/>
      <c r="AS22" s="174"/>
      <c r="AT22" s="174"/>
      <c r="AU22" s="174"/>
      <c r="AV22" s="174"/>
      <c r="AW22" s="175"/>
      <c r="AX22" s="191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7"/>
      <c r="BU22" s="40"/>
      <c r="BV22" s="39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</row>
    <row r="23" spans="1:85" s="5" customFormat="1" ht="20.100000000000001" customHeight="1" x14ac:dyDescent="0.45">
      <c r="A23" s="28"/>
      <c r="B23" s="34"/>
      <c r="C23" s="28"/>
      <c r="D23" s="36">
        <v>13</v>
      </c>
      <c r="E23" s="188"/>
      <c r="F23" s="189"/>
      <c r="G23" s="189"/>
      <c r="H23" s="189"/>
      <c r="I23" s="189"/>
      <c r="J23" s="189"/>
      <c r="K23" s="189"/>
      <c r="L23" s="190"/>
      <c r="M23" s="179"/>
      <c r="N23" s="174"/>
      <c r="O23" s="174"/>
      <c r="P23" s="179"/>
      <c r="Q23" s="174"/>
      <c r="R23" s="174"/>
      <c r="S23" s="179"/>
      <c r="T23" s="174"/>
      <c r="U23" s="174"/>
      <c r="V23" s="194"/>
      <c r="W23" s="195"/>
      <c r="X23" s="195"/>
      <c r="Y23" s="195"/>
      <c r="Z23" s="195"/>
      <c r="AA23" s="196"/>
      <c r="AB23" s="194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6"/>
      <c r="AR23" s="200"/>
      <c r="AS23" s="174"/>
      <c r="AT23" s="174"/>
      <c r="AU23" s="174"/>
      <c r="AV23" s="174"/>
      <c r="AW23" s="175"/>
      <c r="AX23" s="191"/>
      <c r="AY23" s="192"/>
      <c r="AZ23" s="192"/>
      <c r="BA23" s="192"/>
      <c r="BB23" s="192"/>
      <c r="BC23" s="192"/>
      <c r="BD23" s="192"/>
      <c r="BE23" s="192"/>
      <c r="BF23" s="192"/>
      <c r="BG23" s="192"/>
      <c r="BH23" s="192"/>
      <c r="BI23" s="192"/>
      <c r="BJ23" s="192"/>
      <c r="BK23" s="192"/>
      <c r="BL23" s="192"/>
      <c r="BM23" s="192"/>
      <c r="BN23" s="192"/>
      <c r="BO23" s="192"/>
      <c r="BP23" s="192"/>
      <c r="BQ23" s="192"/>
      <c r="BR23" s="192"/>
      <c r="BS23" s="192"/>
      <c r="BT23" s="197"/>
      <c r="BU23" s="40"/>
      <c r="BV23" s="39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</row>
    <row r="24" spans="1:85" s="5" customFormat="1" ht="20.100000000000001" customHeight="1" x14ac:dyDescent="0.45">
      <c r="A24" s="28"/>
      <c r="B24" s="34"/>
      <c r="C24" s="28"/>
      <c r="D24" s="36">
        <v>14</v>
      </c>
      <c r="E24" s="188"/>
      <c r="F24" s="189"/>
      <c r="G24" s="189"/>
      <c r="H24" s="189"/>
      <c r="I24" s="189"/>
      <c r="J24" s="189"/>
      <c r="K24" s="189"/>
      <c r="L24" s="190"/>
      <c r="M24" s="179"/>
      <c r="N24" s="174"/>
      <c r="O24" s="174"/>
      <c r="P24" s="179"/>
      <c r="Q24" s="174"/>
      <c r="R24" s="174"/>
      <c r="S24" s="179"/>
      <c r="T24" s="174"/>
      <c r="U24" s="174"/>
      <c r="V24" s="194"/>
      <c r="W24" s="195"/>
      <c r="X24" s="195"/>
      <c r="Y24" s="195"/>
      <c r="Z24" s="195"/>
      <c r="AA24" s="196"/>
      <c r="AB24" s="194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6"/>
      <c r="AR24" s="179"/>
      <c r="AS24" s="174"/>
      <c r="AT24" s="174"/>
      <c r="AU24" s="174"/>
      <c r="AV24" s="174"/>
      <c r="AW24" s="175"/>
      <c r="AX24" s="191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7"/>
      <c r="BU24" s="40"/>
      <c r="BV24" s="39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</row>
    <row r="25" spans="1:85" s="5" customFormat="1" ht="20.100000000000001" customHeight="1" x14ac:dyDescent="0.45">
      <c r="A25" s="28"/>
      <c r="B25" s="34"/>
      <c r="C25" s="28"/>
      <c r="D25" s="36">
        <v>15</v>
      </c>
      <c r="E25" s="188"/>
      <c r="F25" s="189"/>
      <c r="G25" s="189"/>
      <c r="H25" s="189"/>
      <c r="I25" s="189"/>
      <c r="J25" s="189"/>
      <c r="K25" s="189"/>
      <c r="L25" s="190"/>
      <c r="M25" s="179"/>
      <c r="N25" s="174"/>
      <c r="O25" s="174"/>
      <c r="P25" s="179"/>
      <c r="Q25" s="174"/>
      <c r="R25" s="174"/>
      <c r="S25" s="179"/>
      <c r="T25" s="174"/>
      <c r="U25" s="174"/>
      <c r="V25" s="191"/>
      <c r="W25" s="192"/>
      <c r="X25" s="192"/>
      <c r="Y25" s="192"/>
      <c r="Z25" s="192"/>
      <c r="AA25" s="193"/>
      <c r="AB25" s="194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6"/>
      <c r="AR25" s="179"/>
      <c r="AS25" s="174"/>
      <c r="AT25" s="174"/>
      <c r="AU25" s="174"/>
      <c r="AV25" s="174"/>
      <c r="AW25" s="175"/>
      <c r="AX25" s="191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  <c r="BS25" s="192"/>
      <c r="BT25" s="197"/>
      <c r="BU25" s="40"/>
      <c r="BV25" s="39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</row>
    <row r="26" spans="1:85" s="5" customFormat="1" ht="20.100000000000001" customHeight="1" x14ac:dyDescent="0.45">
      <c r="A26" s="28"/>
      <c r="B26" s="34"/>
      <c r="C26" s="28"/>
      <c r="D26" s="36">
        <v>16</v>
      </c>
      <c r="E26" s="188"/>
      <c r="F26" s="189"/>
      <c r="G26" s="189"/>
      <c r="H26" s="189"/>
      <c r="I26" s="189"/>
      <c r="J26" s="189"/>
      <c r="K26" s="189"/>
      <c r="L26" s="190"/>
      <c r="M26" s="179"/>
      <c r="N26" s="174"/>
      <c r="O26" s="174"/>
      <c r="P26" s="179"/>
      <c r="Q26" s="174"/>
      <c r="R26" s="174"/>
      <c r="S26" s="179"/>
      <c r="T26" s="174"/>
      <c r="U26" s="174"/>
      <c r="V26" s="191"/>
      <c r="W26" s="192"/>
      <c r="X26" s="192"/>
      <c r="Y26" s="192"/>
      <c r="Z26" s="192"/>
      <c r="AA26" s="193"/>
      <c r="AB26" s="194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6"/>
      <c r="AR26" s="179"/>
      <c r="AS26" s="174"/>
      <c r="AT26" s="174"/>
      <c r="AU26" s="174"/>
      <c r="AV26" s="174"/>
      <c r="AW26" s="175"/>
      <c r="AX26" s="191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7"/>
      <c r="BU26" s="40"/>
      <c r="BV26" s="39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</row>
    <row r="27" spans="1:85" ht="20.100000000000001" customHeight="1" x14ac:dyDescent="0.45">
      <c r="A27" s="28"/>
      <c r="B27" s="43"/>
      <c r="C27" s="28"/>
      <c r="D27" s="36">
        <v>17</v>
      </c>
      <c r="E27" s="188"/>
      <c r="F27" s="189"/>
      <c r="G27" s="189"/>
      <c r="H27" s="189"/>
      <c r="I27" s="189"/>
      <c r="J27" s="189"/>
      <c r="K27" s="189"/>
      <c r="L27" s="190"/>
      <c r="M27" s="179"/>
      <c r="N27" s="174"/>
      <c r="O27" s="174"/>
      <c r="P27" s="179"/>
      <c r="Q27" s="174"/>
      <c r="R27" s="174"/>
      <c r="S27" s="179"/>
      <c r="T27" s="174"/>
      <c r="U27" s="174"/>
      <c r="V27" s="191"/>
      <c r="W27" s="192"/>
      <c r="X27" s="192"/>
      <c r="Y27" s="192"/>
      <c r="Z27" s="192"/>
      <c r="AA27" s="193"/>
      <c r="AB27" s="194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6"/>
      <c r="AR27" s="179"/>
      <c r="AS27" s="174"/>
      <c r="AT27" s="174"/>
      <c r="AU27" s="174"/>
      <c r="AV27" s="174"/>
      <c r="AW27" s="175"/>
      <c r="AX27" s="191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2"/>
      <c r="BR27" s="192"/>
      <c r="BS27" s="192"/>
      <c r="BT27" s="197"/>
      <c r="BU27" s="40"/>
      <c r="BV27" s="39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</row>
    <row r="28" spans="1:85" ht="19.5" customHeight="1" x14ac:dyDescent="0.45">
      <c r="A28" s="28"/>
      <c r="B28" s="43"/>
      <c r="C28" s="28"/>
      <c r="D28" s="36">
        <v>18</v>
      </c>
      <c r="E28" s="188"/>
      <c r="F28" s="189"/>
      <c r="G28" s="189"/>
      <c r="H28" s="189"/>
      <c r="I28" s="189"/>
      <c r="J28" s="189"/>
      <c r="K28" s="189"/>
      <c r="L28" s="190"/>
      <c r="M28" s="179"/>
      <c r="N28" s="174"/>
      <c r="O28" s="174"/>
      <c r="P28" s="179"/>
      <c r="Q28" s="174"/>
      <c r="R28" s="174"/>
      <c r="S28" s="179"/>
      <c r="T28" s="174"/>
      <c r="U28" s="174"/>
      <c r="V28" s="191"/>
      <c r="W28" s="192"/>
      <c r="X28" s="192"/>
      <c r="Y28" s="192"/>
      <c r="Z28" s="192"/>
      <c r="AA28" s="193"/>
      <c r="AB28" s="194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6"/>
      <c r="AR28" s="179"/>
      <c r="AS28" s="174"/>
      <c r="AT28" s="174"/>
      <c r="AU28" s="174"/>
      <c r="AV28" s="174"/>
      <c r="AW28" s="175"/>
      <c r="AX28" s="191"/>
      <c r="AY28" s="192"/>
      <c r="AZ28" s="192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2"/>
      <c r="BQ28" s="192"/>
      <c r="BR28" s="192"/>
      <c r="BS28" s="192"/>
      <c r="BT28" s="197"/>
      <c r="BU28" s="40"/>
      <c r="BV28" s="39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</row>
    <row r="29" spans="1:85" ht="19.5" customHeight="1" x14ac:dyDescent="0.45">
      <c r="A29" s="28"/>
      <c r="B29" s="43"/>
      <c r="C29" s="28"/>
      <c r="D29" s="36">
        <v>19</v>
      </c>
      <c r="E29" s="188"/>
      <c r="F29" s="189"/>
      <c r="G29" s="189"/>
      <c r="H29" s="189"/>
      <c r="I29" s="189"/>
      <c r="J29" s="189"/>
      <c r="K29" s="189"/>
      <c r="L29" s="190"/>
      <c r="M29" s="179"/>
      <c r="N29" s="174"/>
      <c r="O29" s="174"/>
      <c r="P29" s="179"/>
      <c r="Q29" s="174"/>
      <c r="R29" s="174"/>
      <c r="S29" s="179"/>
      <c r="T29" s="174"/>
      <c r="U29" s="174"/>
      <c r="V29" s="191"/>
      <c r="W29" s="192"/>
      <c r="X29" s="192"/>
      <c r="Y29" s="192"/>
      <c r="Z29" s="192"/>
      <c r="AA29" s="193"/>
      <c r="AB29" s="194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6"/>
      <c r="AR29" s="179"/>
      <c r="AS29" s="174"/>
      <c r="AT29" s="174"/>
      <c r="AU29" s="174"/>
      <c r="AV29" s="174"/>
      <c r="AW29" s="175"/>
      <c r="AX29" s="191"/>
      <c r="AY29" s="192"/>
      <c r="AZ29" s="192"/>
      <c r="BA29" s="192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7"/>
      <c r="BU29" s="40"/>
      <c r="BV29" s="39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</row>
    <row r="30" spans="1:85" ht="20.100000000000001" customHeight="1" thickBot="1" x14ac:dyDescent="0.5">
      <c r="A30" s="28"/>
      <c r="B30" s="43"/>
      <c r="C30" s="28"/>
      <c r="D30" s="36">
        <v>20</v>
      </c>
      <c r="E30" s="207"/>
      <c r="F30" s="208"/>
      <c r="G30" s="208"/>
      <c r="H30" s="208"/>
      <c r="I30" s="208"/>
      <c r="J30" s="208"/>
      <c r="K30" s="208"/>
      <c r="L30" s="209"/>
      <c r="M30" s="201"/>
      <c r="N30" s="202"/>
      <c r="O30" s="203"/>
      <c r="P30" s="201"/>
      <c r="Q30" s="202"/>
      <c r="R30" s="202"/>
      <c r="S30" s="201"/>
      <c r="T30" s="202"/>
      <c r="U30" s="202"/>
      <c r="V30" s="204"/>
      <c r="W30" s="205"/>
      <c r="X30" s="205"/>
      <c r="Y30" s="205"/>
      <c r="Z30" s="205"/>
      <c r="AA30" s="210"/>
      <c r="AB30" s="211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3"/>
      <c r="AR30" s="201"/>
      <c r="AS30" s="202"/>
      <c r="AT30" s="202"/>
      <c r="AU30" s="202"/>
      <c r="AV30" s="202"/>
      <c r="AW30" s="203"/>
      <c r="AX30" s="204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6"/>
      <c r="BU30" s="40"/>
      <c r="BV30" s="39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</row>
    <row r="31" spans="1:85" ht="20.100000000000001" customHeight="1" thickTop="1" thickBot="1" x14ac:dyDescent="0.5">
      <c r="A31" s="28"/>
      <c r="B31" s="39"/>
      <c r="C31" s="28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45"/>
      <c r="BR31" s="45"/>
      <c r="BS31" s="45"/>
      <c r="BT31" s="45"/>
      <c r="BU31" s="27"/>
    </row>
    <row r="32" spans="1:85" ht="20.100000000000001" customHeight="1" thickTop="1" x14ac:dyDescent="0.45">
      <c r="A32" s="28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32"/>
      <c r="BD32" s="32"/>
      <c r="BE32" s="32"/>
      <c r="BF32" s="32"/>
      <c r="BG32" s="32"/>
      <c r="BH32" s="32"/>
      <c r="BI32" s="41"/>
      <c r="BJ32" s="41"/>
      <c r="BK32" s="41"/>
      <c r="BL32" s="41"/>
      <c r="BM32" s="41"/>
      <c r="BN32" s="41"/>
      <c r="BO32" s="41"/>
      <c r="BP32" s="40"/>
    </row>
    <row r="33" spans="2:68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</row>
    <row r="34" spans="2:68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30"/>
      <c r="BH34" s="30"/>
      <c r="BI34" s="30"/>
      <c r="BJ34" s="30"/>
      <c r="BK34" s="30"/>
      <c r="BL34" s="30"/>
      <c r="BM34" s="30"/>
      <c r="BN34" s="30"/>
      <c r="BO34" s="30"/>
      <c r="BP34" s="30"/>
    </row>
    <row r="35" spans="2:68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30"/>
      <c r="BH35" s="30"/>
      <c r="BI35" s="30"/>
      <c r="BJ35" s="30"/>
      <c r="BK35" s="30"/>
      <c r="BL35" s="30"/>
      <c r="BM35" s="30"/>
      <c r="BN35" s="30"/>
      <c r="BO35" s="30"/>
      <c r="BP35" s="30"/>
    </row>
    <row r="36" spans="2:68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30"/>
      <c r="BH36" s="30"/>
      <c r="BI36" s="30"/>
      <c r="BJ36" s="30"/>
      <c r="BK36" s="30"/>
      <c r="BL36" s="30"/>
      <c r="BM36" s="30"/>
      <c r="BN36" s="30"/>
      <c r="BO36" s="30"/>
      <c r="BP36" s="30"/>
    </row>
    <row r="37" spans="2:68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30"/>
      <c r="BH37" s="30"/>
      <c r="BI37" s="30"/>
      <c r="BJ37" s="30"/>
      <c r="BK37" s="30"/>
      <c r="BL37" s="30"/>
      <c r="BM37" s="30"/>
      <c r="BN37" s="30"/>
      <c r="BO37" s="30"/>
      <c r="BP37" s="30"/>
    </row>
    <row r="38" spans="2:68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30"/>
      <c r="BH38" s="30"/>
      <c r="BI38" s="30"/>
      <c r="BJ38" s="30"/>
      <c r="BK38" s="30"/>
      <c r="BL38" s="30"/>
      <c r="BM38" s="30"/>
      <c r="BN38" s="30"/>
      <c r="BO38" s="30"/>
      <c r="BP38" s="30"/>
    </row>
    <row r="39" spans="2:68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30"/>
      <c r="BH39" s="30"/>
      <c r="BI39" s="30"/>
      <c r="BJ39" s="30"/>
      <c r="BK39" s="30"/>
      <c r="BL39" s="30"/>
      <c r="BM39" s="30"/>
      <c r="BN39" s="30"/>
      <c r="BO39" s="30"/>
      <c r="BP39" s="30"/>
    </row>
    <row r="40" spans="2:68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30"/>
      <c r="BH40" s="30"/>
      <c r="BI40" s="30"/>
      <c r="BJ40" s="30"/>
      <c r="BK40" s="30"/>
      <c r="BL40" s="30"/>
      <c r="BM40" s="30"/>
      <c r="BN40" s="30"/>
      <c r="BO40" s="30"/>
      <c r="BP40" s="30"/>
    </row>
    <row r="41" spans="2:68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30"/>
      <c r="BH41" s="30"/>
      <c r="BI41" s="30"/>
      <c r="BJ41" s="30"/>
      <c r="BK41" s="30"/>
      <c r="BL41" s="30"/>
      <c r="BM41" s="30"/>
      <c r="BN41" s="30"/>
      <c r="BO41" s="30"/>
      <c r="BP41" s="30"/>
    </row>
    <row r="42" spans="2:68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30"/>
      <c r="BH42" s="30"/>
      <c r="BI42" s="30"/>
      <c r="BJ42" s="30"/>
      <c r="BK42" s="30"/>
      <c r="BL42" s="30"/>
      <c r="BM42" s="30"/>
      <c r="BN42" s="30"/>
      <c r="BO42" s="30"/>
      <c r="BP42" s="30"/>
    </row>
    <row r="43" spans="2:68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30"/>
      <c r="BH43" s="30"/>
      <c r="BI43" s="30"/>
      <c r="BJ43" s="30"/>
      <c r="BK43" s="30"/>
      <c r="BL43" s="30"/>
      <c r="BM43" s="30"/>
      <c r="BN43" s="30"/>
      <c r="BO43" s="30"/>
      <c r="BP43" s="30"/>
    </row>
    <row r="44" spans="2:68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</row>
    <row r="45" spans="2:68" ht="20.100000000000001" customHeight="1" x14ac:dyDescent="0.45">
      <c r="B45" s="3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</row>
    <row r="46" spans="2:68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30"/>
      <c r="BP46" s="30"/>
    </row>
    <row r="47" spans="2:68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30"/>
      <c r="BP47" s="30"/>
    </row>
    <row r="48" spans="2:68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30"/>
      <c r="BP48" s="30"/>
    </row>
    <row r="49" spans="1:68" ht="20.100000000000001" customHeight="1" x14ac:dyDescent="0.45">
      <c r="A49" s="28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30"/>
      <c r="BP49" s="30"/>
    </row>
    <row r="50" spans="1:68" ht="20.100000000000001" customHeight="1" x14ac:dyDescent="0.45">
      <c r="A50" s="28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30"/>
      <c r="BP50" s="30"/>
    </row>
    <row r="51" spans="1:68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</row>
    <row r="52" spans="1:68" ht="20.100000000000001" customHeight="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</row>
    <row r="53" spans="1:68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</row>
  </sheetData>
  <mergeCells count="188">
    <mergeCell ref="AR30:AW30"/>
    <mergeCell ref="AX30:BT30"/>
    <mergeCell ref="E30:L30"/>
    <mergeCell ref="M30:O30"/>
    <mergeCell ref="P30:R30"/>
    <mergeCell ref="S30:U30"/>
    <mergeCell ref="V30:AA30"/>
    <mergeCell ref="AB30:AQ30"/>
    <mergeCell ref="AR28:AW28"/>
    <mergeCell ref="AX28:BT28"/>
    <mergeCell ref="E29:L29"/>
    <mergeCell ref="M29:O29"/>
    <mergeCell ref="P29:R29"/>
    <mergeCell ref="S29:U29"/>
    <mergeCell ref="V29:AA29"/>
    <mergeCell ref="AB29:AQ29"/>
    <mergeCell ref="AR29:AW29"/>
    <mergeCell ref="AX29:BT29"/>
    <mergeCell ref="E28:L28"/>
    <mergeCell ref="M28:O28"/>
    <mergeCell ref="P28:R28"/>
    <mergeCell ref="S28:U28"/>
    <mergeCell ref="V28:AA28"/>
    <mergeCell ref="AB28:AQ28"/>
    <mergeCell ref="AR26:AW26"/>
    <mergeCell ref="AX26:BT26"/>
    <mergeCell ref="E27:L27"/>
    <mergeCell ref="M27:O27"/>
    <mergeCell ref="P27:R27"/>
    <mergeCell ref="S27:U27"/>
    <mergeCell ref="V27:AA27"/>
    <mergeCell ref="AB27:AQ27"/>
    <mergeCell ref="AR27:AW27"/>
    <mergeCell ref="AX27:BT27"/>
    <mergeCell ref="E26:L26"/>
    <mergeCell ref="M26:O26"/>
    <mergeCell ref="P26:R26"/>
    <mergeCell ref="S26:U26"/>
    <mergeCell ref="V26:AA26"/>
    <mergeCell ref="AB26:AQ26"/>
    <mergeCell ref="AR24:AW24"/>
    <mergeCell ref="AX24:BT24"/>
    <mergeCell ref="E25:L25"/>
    <mergeCell ref="M25:O25"/>
    <mergeCell ref="P25:R25"/>
    <mergeCell ref="S25:U25"/>
    <mergeCell ref="V25:AA25"/>
    <mergeCell ref="AB25:AQ25"/>
    <mergeCell ref="AR25:AW25"/>
    <mergeCell ref="AX25:BT25"/>
    <mergeCell ref="E24:L24"/>
    <mergeCell ref="M24:O24"/>
    <mergeCell ref="P24:R24"/>
    <mergeCell ref="S24:U24"/>
    <mergeCell ref="V24:AA24"/>
    <mergeCell ref="AB24:AQ24"/>
    <mergeCell ref="AR22:AW22"/>
    <mergeCell ref="AX22:BT22"/>
    <mergeCell ref="E23:L23"/>
    <mergeCell ref="M23:O23"/>
    <mergeCell ref="P23:R23"/>
    <mergeCell ref="S23:U23"/>
    <mergeCell ref="V23:AA23"/>
    <mergeCell ref="AB23:AQ23"/>
    <mergeCell ref="AR23:AW23"/>
    <mergeCell ref="AX23:BT23"/>
    <mergeCell ref="E22:L22"/>
    <mergeCell ref="M22:O22"/>
    <mergeCell ref="P22:R22"/>
    <mergeCell ref="S22:U22"/>
    <mergeCell ref="V22:AA22"/>
    <mergeCell ref="AB22:AQ22"/>
    <mergeCell ref="AR20:AW20"/>
    <mergeCell ref="AX20:BT20"/>
    <mergeCell ref="E21:L21"/>
    <mergeCell ref="M21:O21"/>
    <mergeCell ref="P21:R21"/>
    <mergeCell ref="S21:U21"/>
    <mergeCell ref="V21:AA21"/>
    <mergeCell ref="AB21:AQ21"/>
    <mergeCell ref="AR21:AW21"/>
    <mergeCell ref="AX21:BT21"/>
    <mergeCell ref="E20:L20"/>
    <mergeCell ref="M20:O20"/>
    <mergeCell ref="P20:R20"/>
    <mergeCell ref="S20:U20"/>
    <mergeCell ref="V20:AA20"/>
    <mergeCell ref="AB20:AQ20"/>
    <mergeCell ref="AR18:AW18"/>
    <mergeCell ref="AX18:BT18"/>
    <mergeCell ref="E19:L19"/>
    <mergeCell ref="M19:O19"/>
    <mergeCell ref="P19:R19"/>
    <mergeCell ref="S19:U19"/>
    <mergeCell ref="V19:AA19"/>
    <mergeCell ref="AB19:AQ19"/>
    <mergeCell ref="AR19:AW19"/>
    <mergeCell ref="AX19:BT19"/>
    <mergeCell ref="E18:L18"/>
    <mergeCell ref="M18:O18"/>
    <mergeCell ref="P18:R18"/>
    <mergeCell ref="S18:U18"/>
    <mergeCell ref="V18:AA18"/>
    <mergeCell ref="AB18:AQ18"/>
    <mergeCell ref="AR16:AW16"/>
    <mergeCell ref="AX16:BT16"/>
    <mergeCell ref="E17:L17"/>
    <mergeCell ref="M17:O17"/>
    <mergeCell ref="P17:R17"/>
    <mergeCell ref="S17:U17"/>
    <mergeCell ref="V17:AA17"/>
    <mergeCell ref="AB17:AQ17"/>
    <mergeCell ref="AR17:AW17"/>
    <mergeCell ref="AX17:BT17"/>
    <mergeCell ref="E16:L16"/>
    <mergeCell ref="M16:O16"/>
    <mergeCell ref="P16:R16"/>
    <mergeCell ref="S16:U16"/>
    <mergeCell ref="V16:AA16"/>
    <mergeCell ref="AB16:AQ16"/>
    <mergeCell ref="AR14:AW14"/>
    <mergeCell ref="AX14:BT14"/>
    <mergeCell ref="E15:L15"/>
    <mergeCell ref="M15:O15"/>
    <mergeCell ref="P15:R15"/>
    <mergeCell ref="S15:U15"/>
    <mergeCell ref="V15:AA15"/>
    <mergeCell ref="AB15:AQ15"/>
    <mergeCell ref="AR15:AW15"/>
    <mergeCell ref="AX15:BT15"/>
    <mergeCell ref="E14:L14"/>
    <mergeCell ref="M14:O14"/>
    <mergeCell ref="P14:R14"/>
    <mergeCell ref="S14:U14"/>
    <mergeCell ref="V14:AA14"/>
    <mergeCell ref="AB14:AQ14"/>
    <mergeCell ref="AR12:AW12"/>
    <mergeCell ref="AX12:BT12"/>
    <mergeCell ref="E13:L13"/>
    <mergeCell ref="M13:O13"/>
    <mergeCell ref="P13:R13"/>
    <mergeCell ref="S13:U13"/>
    <mergeCell ref="V13:AA13"/>
    <mergeCell ref="AB13:AQ13"/>
    <mergeCell ref="AR13:AW13"/>
    <mergeCell ref="AX13:BT13"/>
    <mergeCell ref="E12:L12"/>
    <mergeCell ref="M12:O12"/>
    <mergeCell ref="P12:R12"/>
    <mergeCell ref="S12:U12"/>
    <mergeCell ref="V12:AA12"/>
    <mergeCell ref="AB12:AQ12"/>
    <mergeCell ref="E10:L10"/>
    <mergeCell ref="M10:O10"/>
    <mergeCell ref="P10:R10"/>
    <mergeCell ref="S10:U10"/>
    <mergeCell ref="V10:AA10"/>
    <mergeCell ref="AB10:AQ10"/>
    <mergeCell ref="AR10:AW10"/>
    <mergeCell ref="AX10:BT10"/>
    <mergeCell ref="E11:L11"/>
    <mergeCell ref="M11:O11"/>
    <mergeCell ref="P11:R11"/>
    <mergeCell ref="S11:U11"/>
    <mergeCell ref="V11:AA11"/>
    <mergeCell ref="AB11:AQ11"/>
    <mergeCell ref="AR11:AW11"/>
    <mergeCell ref="AX11:BT11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CG53"/>
  <sheetViews>
    <sheetView showGridLines="0" view="pageBreakPreview" zoomScale="90" zoomScaleNormal="100" zoomScaleSheetLayoutView="9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</row>
    <row r="2" spans="1:85" ht="20.100000000000001" customHeight="1" thickTop="1" x14ac:dyDescent="0.45">
      <c r="A2" s="31"/>
      <c r="B2" s="154" t="s">
        <v>0</v>
      </c>
      <c r="C2" s="155"/>
      <c r="D2" s="155"/>
      <c r="E2" s="155"/>
      <c r="F2" s="155"/>
      <c r="G2" s="155"/>
      <c r="H2" s="155" t="s">
        <v>17</v>
      </c>
      <c r="I2" s="155"/>
      <c r="J2" s="155"/>
      <c r="K2" s="155"/>
      <c r="L2" s="155" t="s">
        <v>196</v>
      </c>
      <c r="M2" s="155"/>
      <c r="N2" s="155"/>
      <c r="O2" s="155"/>
      <c r="P2" s="155"/>
      <c r="Q2" s="155"/>
      <c r="R2" s="155" t="s">
        <v>2</v>
      </c>
      <c r="S2" s="155"/>
      <c r="T2" s="155"/>
      <c r="U2" s="155"/>
      <c r="V2" s="155"/>
      <c r="W2" s="155"/>
      <c r="X2" s="156" t="s">
        <v>3</v>
      </c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8"/>
      <c r="AK2" s="156" t="s">
        <v>32</v>
      </c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8"/>
      <c r="AX2" s="155" t="s">
        <v>5</v>
      </c>
      <c r="AY2" s="155"/>
      <c r="AZ2" s="155"/>
      <c r="BA2" s="155"/>
      <c r="BB2" s="155" t="s">
        <v>4</v>
      </c>
      <c r="BC2" s="155"/>
      <c r="BD2" s="155"/>
      <c r="BE2" s="155"/>
      <c r="BF2" s="155" t="s">
        <v>6</v>
      </c>
      <c r="BG2" s="155"/>
      <c r="BH2" s="155"/>
      <c r="BI2" s="155"/>
      <c r="BJ2" s="155" t="s">
        <v>7</v>
      </c>
      <c r="BK2" s="155"/>
      <c r="BL2" s="155"/>
      <c r="BM2" s="169"/>
      <c r="BN2" s="34"/>
    </row>
    <row r="3" spans="1:85" ht="20.100000000000001" customHeight="1" x14ac:dyDescent="0.45">
      <c r="A3" s="31"/>
      <c r="B3" s="159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4" t="str">
        <f ca="1">変更履歴!X3</f>
        <v>KH0200_按分経費集計表_帳票設計書</v>
      </c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1"/>
      <c r="AK3" s="164" t="str">
        <f ca="1">変更履歴!AK3</f>
        <v>按分経費集計表</v>
      </c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1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172"/>
      <c r="BN3" s="34"/>
    </row>
    <row r="4" spans="1:85" ht="20.100000000000001" customHeight="1" thickBot="1" x14ac:dyDescent="0.5">
      <c r="A4" s="31"/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6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8"/>
      <c r="AK4" s="166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8"/>
      <c r="AX4" s="180"/>
      <c r="AY4" s="180"/>
      <c r="AZ4" s="180"/>
      <c r="BA4" s="180"/>
      <c r="BB4" s="162"/>
      <c r="BC4" s="162"/>
      <c r="BD4" s="162"/>
      <c r="BE4" s="162"/>
      <c r="BF4" s="180"/>
      <c r="BG4" s="180"/>
      <c r="BH4" s="180"/>
      <c r="BI4" s="180"/>
      <c r="BJ4" s="162"/>
      <c r="BK4" s="162"/>
      <c r="BL4" s="162"/>
      <c r="BM4" s="164"/>
      <c r="BN4" s="34"/>
    </row>
    <row r="5" spans="1:8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8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</row>
    <row r="7" spans="1:85" ht="20.100000000000001" customHeight="1" thickBot="1" x14ac:dyDescent="0.5">
      <c r="A7" s="30"/>
      <c r="B7" s="44" t="s">
        <v>18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</row>
    <row r="8" spans="1:8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71"/>
    </row>
    <row r="9" spans="1:85" ht="20.100000000000001" customHeight="1" thickBot="1" x14ac:dyDescent="0.5">
      <c r="A9" s="29"/>
      <c r="B9" s="34"/>
      <c r="C9" s="38" t="s">
        <v>46</v>
      </c>
      <c r="D9" s="33"/>
      <c r="E9" s="33"/>
      <c r="F9" s="87" t="s">
        <v>52</v>
      </c>
      <c r="G9" s="33"/>
      <c r="H9" s="33"/>
      <c r="I9" s="33"/>
      <c r="J9" s="33"/>
      <c r="K9" s="33"/>
      <c r="L9" s="33"/>
      <c r="M9" s="33"/>
      <c r="N9" s="33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28"/>
      <c r="AU9" s="28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30"/>
      <c r="BP9" s="30"/>
      <c r="BQ9" s="30"/>
      <c r="BR9" s="30"/>
      <c r="BS9" s="30"/>
      <c r="BT9" s="30"/>
      <c r="BU9" s="31"/>
    </row>
    <row r="10" spans="1:85" s="5" customFormat="1" ht="18.600000000000001" customHeight="1" thickTop="1" x14ac:dyDescent="0.45">
      <c r="A10" s="29"/>
      <c r="B10" s="43"/>
      <c r="C10" s="31"/>
      <c r="D10" s="37" t="s">
        <v>19</v>
      </c>
      <c r="E10" s="181" t="s">
        <v>20</v>
      </c>
      <c r="F10" s="182"/>
      <c r="G10" s="182"/>
      <c r="H10" s="182"/>
      <c r="I10" s="182"/>
      <c r="J10" s="182"/>
      <c r="K10" s="182"/>
      <c r="L10" s="183"/>
      <c r="M10" s="184" t="s">
        <v>24</v>
      </c>
      <c r="N10" s="185"/>
      <c r="O10" s="185"/>
      <c r="P10" s="184" t="s">
        <v>33</v>
      </c>
      <c r="Q10" s="185"/>
      <c r="R10" s="185"/>
      <c r="S10" s="184" t="s">
        <v>34</v>
      </c>
      <c r="T10" s="185"/>
      <c r="U10" s="185"/>
      <c r="V10" s="184" t="s">
        <v>36</v>
      </c>
      <c r="W10" s="185"/>
      <c r="X10" s="185"/>
      <c r="Y10" s="185"/>
      <c r="Z10" s="185"/>
      <c r="AA10" s="186"/>
      <c r="AB10" s="184" t="s">
        <v>35</v>
      </c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6"/>
      <c r="AR10" s="184" t="s">
        <v>42</v>
      </c>
      <c r="AS10" s="185"/>
      <c r="AT10" s="185"/>
      <c r="AU10" s="185"/>
      <c r="AV10" s="185"/>
      <c r="AW10" s="186"/>
      <c r="AX10" s="184" t="s">
        <v>43</v>
      </c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7"/>
      <c r="BU10" s="40"/>
      <c r="BV10" s="39"/>
      <c r="BW10" s="40"/>
      <c r="BX10" s="40"/>
      <c r="BY10" s="40"/>
      <c r="BZ10" s="40"/>
      <c r="CA10" s="40"/>
      <c r="CB10" s="29"/>
      <c r="CC10" s="29"/>
      <c r="CD10" s="29"/>
      <c r="CE10" s="29"/>
      <c r="CF10" s="29"/>
      <c r="CG10" s="29"/>
    </row>
    <row r="11" spans="1:85" s="5" customFormat="1" ht="20.100000000000001" customHeight="1" x14ac:dyDescent="0.45">
      <c r="A11" s="29"/>
      <c r="B11" s="43"/>
      <c r="C11" s="31"/>
      <c r="D11" s="36">
        <v>1</v>
      </c>
      <c r="E11" s="188" t="s">
        <v>75</v>
      </c>
      <c r="F11" s="189"/>
      <c r="G11" s="189"/>
      <c r="H11" s="189"/>
      <c r="I11" s="189"/>
      <c r="J11" s="189"/>
      <c r="K11" s="189"/>
      <c r="L11" s="190"/>
      <c r="M11" s="179" t="s">
        <v>38</v>
      </c>
      <c r="N11" s="174"/>
      <c r="O11" s="174"/>
      <c r="P11" s="179" t="s">
        <v>77</v>
      </c>
      <c r="Q11" s="174"/>
      <c r="R11" s="174"/>
      <c r="S11" s="179">
        <v>8</v>
      </c>
      <c r="T11" s="174"/>
      <c r="U11" s="174"/>
      <c r="V11" s="194" t="s">
        <v>111</v>
      </c>
      <c r="W11" s="195"/>
      <c r="X11" s="195"/>
      <c r="Y11" s="195"/>
      <c r="Z11" s="195"/>
      <c r="AA11" s="196"/>
      <c r="AB11" s="194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6"/>
      <c r="AR11" s="179" t="s">
        <v>76</v>
      </c>
      <c r="AS11" s="174"/>
      <c r="AT11" s="174"/>
      <c r="AU11" s="174"/>
      <c r="AV11" s="174"/>
      <c r="AW11" s="175"/>
      <c r="AX11" s="191"/>
      <c r="AY11" s="192"/>
      <c r="AZ11" s="192"/>
      <c r="BA11" s="192"/>
      <c r="BB11" s="192"/>
      <c r="BC11" s="192"/>
      <c r="BD11" s="192"/>
      <c r="BE11" s="192"/>
      <c r="BF11" s="192"/>
      <c r="BG11" s="192"/>
      <c r="BH11" s="192"/>
      <c r="BI11" s="192"/>
      <c r="BJ11" s="192"/>
      <c r="BK11" s="192"/>
      <c r="BL11" s="192"/>
      <c r="BM11" s="192"/>
      <c r="BN11" s="192"/>
      <c r="BO11" s="192"/>
      <c r="BP11" s="192"/>
      <c r="BQ11" s="192"/>
      <c r="BR11" s="192"/>
      <c r="BS11" s="192"/>
      <c r="BT11" s="197"/>
      <c r="BU11" s="40"/>
      <c r="BV11" s="39"/>
      <c r="BW11" s="40"/>
      <c r="BX11" s="40"/>
      <c r="BY11" s="40"/>
      <c r="BZ11" s="40"/>
      <c r="CA11" s="40"/>
      <c r="CB11" s="29"/>
      <c r="CC11" s="29"/>
      <c r="CD11" s="29"/>
      <c r="CE11" s="29"/>
      <c r="CF11" s="29"/>
      <c r="CG11" s="29"/>
    </row>
    <row r="12" spans="1:85" s="5" customFormat="1" ht="20.100000000000001" customHeight="1" x14ac:dyDescent="0.45">
      <c r="A12" s="29"/>
      <c r="B12" s="43"/>
      <c r="C12" s="31"/>
      <c r="D12" s="36">
        <v>2</v>
      </c>
      <c r="E12" s="188" t="s">
        <v>70</v>
      </c>
      <c r="F12" s="189"/>
      <c r="G12" s="189"/>
      <c r="H12" s="189"/>
      <c r="I12" s="189"/>
      <c r="J12" s="189"/>
      <c r="K12" s="189"/>
      <c r="L12" s="190"/>
      <c r="M12" s="179" t="s">
        <v>38</v>
      </c>
      <c r="N12" s="174"/>
      <c r="O12" s="174"/>
      <c r="P12" s="179" t="s">
        <v>77</v>
      </c>
      <c r="Q12" s="174"/>
      <c r="R12" s="174"/>
      <c r="S12" s="179" t="s">
        <v>79</v>
      </c>
      <c r="T12" s="174"/>
      <c r="U12" s="174"/>
      <c r="V12" s="194" t="s">
        <v>108</v>
      </c>
      <c r="W12" s="195"/>
      <c r="X12" s="195"/>
      <c r="Y12" s="195"/>
      <c r="Z12" s="195"/>
      <c r="AA12" s="196"/>
      <c r="AB12" s="194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6"/>
      <c r="AR12" s="179"/>
      <c r="AS12" s="174"/>
      <c r="AT12" s="174"/>
      <c r="AU12" s="174"/>
      <c r="AV12" s="174"/>
      <c r="AW12" s="175"/>
      <c r="AX12" s="191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7"/>
      <c r="BU12" s="40"/>
      <c r="BV12" s="39"/>
      <c r="BW12" s="40"/>
      <c r="BX12" s="40"/>
      <c r="BY12" s="40"/>
      <c r="BZ12" s="40"/>
      <c r="CA12" s="40"/>
      <c r="CB12" s="29"/>
      <c r="CC12" s="29"/>
      <c r="CD12" s="29"/>
      <c r="CE12" s="29"/>
      <c r="CF12" s="29"/>
      <c r="CG12" s="29"/>
    </row>
    <row r="13" spans="1:85" s="5" customFormat="1" ht="20.100000000000001" customHeight="1" x14ac:dyDescent="0.45">
      <c r="A13" s="29"/>
      <c r="B13" s="43"/>
      <c r="C13" s="35"/>
      <c r="D13" s="36">
        <v>3</v>
      </c>
      <c r="E13" s="188" t="s">
        <v>71</v>
      </c>
      <c r="F13" s="189"/>
      <c r="G13" s="189"/>
      <c r="H13" s="189"/>
      <c r="I13" s="189"/>
      <c r="J13" s="189"/>
      <c r="K13" s="189"/>
      <c r="L13" s="190"/>
      <c r="M13" s="179" t="s">
        <v>38</v>
      </c>
      <c r="N13" s="174"/>
      <c r="O13" s="174"/>
      <c r="P13" s="179" t="s">
        <v>78</v>
      </c>
      <c r="Q13" s="174"/>
      <c r="R13" s="174"/>
      <c r="S13" s="179" t="s">
        <v>79</v>
      </c>
      <c r="T13" s="174"/>
      <c r="U13" s="174"/>
      <c r="V13" s="194" t="s">
        <v>109</v>
      </c>
      <c r="W13" s="195"/>
      <c r="X13" s="195"/>
      <c r="Y13" s="195"/>
      <c r="Z13" s="195"/>
      <c r="AA13" s="196"/>
      <c r="AB13" s="194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6"/>
      <c r="AR13" s="179"/>
      <c r="AS13" s="174"/>
      <c r="AT13" s="174"/>
      <c r="AU13" s="174"/>
      <c r="AV13" s="174"/>
      <c r="AW13" s="175"/>
      <c r="AX13" s="191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7"/>
      <c r="BU13" s="40"/>
      <c r="BV13" s="39"/>
      <c r="BW13" s="40"/>
      <c r="BX13" s="40"/>
      <c r="BY13" s="40"/>
      <c r="BZ13" s="40"/>
      <c r="CA13" s="40"/>
      <c r="CB13" s="40"/>
      <c r="CC13" s="29"/>
      <c r="CD13" s="29"/>
      <c r="CE13" s="29"/>
      <c r="CF13" s="29"/>
      <c r="CG13" s="29"/>
    </row>
    <row r="14" spans="1:85" s="5" customFormat="1" ht="20.100000000000001" customHeight="1" x14ac:dyDescent="0.45">
      <c r="A14" s="29"/>
      <c r="B14" s="43"/>
      <c r="C14" s="35"/>
      <c r="D14" s="36">
        <v>4</v>
      </c>
      <c r="E14" s="188" t="s">
        <v>100</v>
      </c>
      <c r="F14" s="189"/>
      <c r="G14" s="189"/>
      <c r="H14" s="189"/>
      <c r="I14" s="189"/>
      <c r="J14" s="189"/>
      <c r="K14" s="189"/>
      <c r="L14" s="190"/>
      <c r="M14" s="179" t="s">
        <v>38</v>
      </c>
      <c r="N14" s="174"/>
      <c r="O14" s="174"/>
      <c r="P14" s="179" t="s">
        <v>77</v>
      </c>
      <c r="Q14" s="174"/>
      <c r="R14" s="174"/>
      <c r="S14" s="179">
        <v>2</v>
      </c>
      <c r="T14" s="174"/>
      <c r="U14" s="174"/>
      <c r="V14" s="194" t="s">
        <v>106</v>
      </c>
      <c r="W14" s="195"/>
      <c r="X14" s="195"/>
      <c r="Y14" s="195"/>
      <c r="Z14" s="195"/>
      <c r="AA14" s="196"/>
      <c r="AB14" s="194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6"/>
      <c r="AR14" s="179"/>
      <c r="AS14" s="174"/>
      <c r="AT14" s="174"/>
      <c r="AU14" s="174"/>
      <c r="AV14" s="174"/>
      <c r="AW14" s="175"/>
      <c r="AX14" s="191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7"/>
      <c r="BU14" s="40"/>
      <c r="BV14" s="39"/>
      <c r="BW14" s="40"/>
      <c r="BX14" s="40"/>
      <c r="BY14" s="40"/>
      <c r="BZ14" s="40"/>
      <c r="CA14" s="40"/>
      <c r="CB14" s="40"/>
      <c r="CC14" s="29"/>
      <c r="CD14" s="29"/>
      <c r="CE14" s="29"/>
      <c r="CF14" s="29"/>
      <c r="CG14" s="29"/>
    </row>
    <row r="15" spans="1:85" s="5" customFormat="1" ht="20.100000000000001" customHeight="1" x14ac:dyDescent="0.45">
      <c r="A15" s="29"/>
      <c r="B15" s="43"/>
      <c r="C15" s="35"/>
      <c r="D15" s="36">
        <v>5</v>
      </c>
      <c r="E15" s="188" t="s">
        <v>73</v>
      </c>
      <c r="F15" s="189"/>
      <c r="G15" s="189"/>
      <c r="H15" s="189"/>
      <c r="I15" s="189"/>
      <c r="J15" s="189"/>
      <c r="K15" s="189"/>
      <c r="L15" s="190"/>
      <c r="M15" s="179" t="s">
        <v>38</v>
      </c>
      <c r="N15" s="174"/>
      <c r="O15" s="174"/>
      <c r="P15" s="179" t="s">
        <v>77</v>
      </c>
      <c r="Q15" s="174"/>
      <c r="R15" s="174"/>
      <c r="S15" s="179">
        <v>4</v>
      </c>
      <c r="T15" s="174"/>
      <c r="U15" s="174"/>
      <c r="V15" s="194" t="s">
        <v>105</v>
      </c>
      <c r="W15" s="195"/>
      <c r="X15" s="195"/>
      <c r="Y15" s="195"/>
      <c r="Z15" s="195"/>
      <c r="AA15" s="196"/>
      <c r="AB15" s="194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6"/>
      <c r="AR15" s="179"/>
      <c r="AS15" s="174"/>
      <c r="AT15" s="174"/>
      <c r="AU15" s="174"/>
      <c r="AV15" s="174"/>
      <c r="AW15" s="175"/>
      <c r="AX15" s="191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2"/>
      <c r="BN15" s="192"/>
      <c r="BO15" s="192"/>
      <c r="BP15" s="192"/>
      <c r="BQ15" s="192"/>
      <c r="BR15" s="192"/>
      <c r="BS15" s="192"/>
      <c r="BT15" s="197"/>
      <c r="BU15" s="40"/>
      <c r="BV15" s="39"/>
      <c r="BW15" s="40"/>
      <c r="BX15" s="40"/>
      <c r="BY15" s="40"/>
      <c r="BZ15" s="40"/>
      <c r="CA15" s="40"/>
      <c r="CB15" s="40"/>
      <c r="CC15" s="29"/>
      <c r="CD15" s="29"/>
      <c r="CE15" s="29"/>
      <c r="CF15" s="29"/>
      <c r="CG15" s="29"/>
    </row>
    <row r="16" spans="1:85" s="5" customFormat="1" ht="20.100000000000001" customHeight="1" x14ac:dyDescent="0.45">
      <c r="A16" s="29"/>
      <c r="B16" s="43"/>
      <c r="C16" s="29"/>
      <c r="D16" s="36">
        <v>6</v>
      </c>
      <c r="E16" s="188" t="s">
        <v>74</v>
      </c>
      <c r="F16" s="189"/>
      <c r="G16" s="189"/>
      <c r="H16" s="189"/>
      <c r="I16" s="189"/>
      <c r="J16" s="189"/>
      <c r="K16" s="189"/>
      <c r="L16" s="190"/>
      <c r="M16" s="179" t="s">
        <v>38</v>
      </c>
      <c r="N16" s="174"/>
      <c r="O16" s="174"/>
      <c r="P16" s="179" t="s">
        <v>78</v>
      </c>
      <c r="Q16" s="174"/>
      <c r="R16" s="174"/>
      <c r="S16" s="179">
        <v>6</v>
      </c>
      <c r="T16" s="174"/>
      <c r="U16" s="174"/>
      <c r="V16" s="194" t="s">
        <v>95</v>
      </c>
      <c r="W16" s="195"/>
      <c r="X16" s="195"/>
      <c r="Y16" s="195"/>
      <c r="Z16" s="195"/>
      <c r="AA16" s="196"/>
      <c r="AB16" s="194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6"/>
      <c r="AR16" s="179"/>
      <c r="AS16" s="174"/>
      <c r="AT16" s="174"/>
      <c r="AU16" s="174"/>
      <c r="AV16" s="174"/>
      <c r="AW16" s="175"/>
      <c r="AX16" s="191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7"/>
      <c r="BU16" s="40"/>
      <c r="BV16" s="39"/>
      <c r="BW16" s="40"/>
      <c r="BX16" s="40"/>
      <c r="BY16" s="40"/>
      <c r="BZ16" s="40"/>
      <c r="CA16" s="40"/>
      <c r="CB16" s="40"/>
      <c r="CC16" s="29"/>
      <c r="CD16" s="29"/>
      <c r="CE16" s="29"/>
      <c r="CF16" s="29"/>
      <c r="CG16" s="29"/>
    </row>
    <row r="17" spans="1:85" s="5" customFormat="1" ht="20.100000000000001" customHeight="1" x14ac:dyDescent="0.45">
      <c r="A17" s="29"/>
      <c r="B17" s="43"/>
      <c r="C17" s="28"/>
      <c r="D17" s="36">
        <v>7</v>
      </c>
      <c r="E17" s="188" t="s">
        <v>90</v>
      </c>
      <c r="F17" s="189"/>
      <c r="G17" s="189"/>
      <c r="H17" s="189"/>
      <c r="I17" s="189"/>
      <c r="J17" s="189"/>
      <c r="K17" s="189"/>
      <c r="L17" s="190"/>
      <c r="M17" s="179" t="s">
        <v>47</v>
      </c>
      <c r="N17" s="174"/>
      <c r="O17" s="174"/>
      <c r="P17" s="179" t="s">
        <v>77</v>
      </c>
      <c r="Q17" s="174"/>
      <c r="R17" s="174"/>
      <c r="S17" s="179" t="s">
        <v>79</v>
      </c>
      <c r="T17" s="174"/>
      <c r="U17" s="174"/>
      <c r="V17" s="194" t="s">
        <v>110</v>
      </c>
      <c r="W17" s="195"/>
      <c r="X17" s="195"/>
      <c r="Y17" s="195"/>
      <c r="Z17" s="195"/>
      <c r="AA17" s="196"/>
      <c r="AB17" s="194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6"/>
      <c r="AR17" s="200">
        <v>9999</v>
      </c>
      <c r="AS17" s="174"/>
      <c r="AT17" s="174"/>
      <c r="AU17" s="174"/>
      <c r="AV17" s="174"/>
      <c r="AW17" s="175"/>
      <c r="AX17" s="191" t="s">
        <v>93</v>
      </c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7"/>
      <c r="BU17" s="40"/>
      <c r="BV17" s="39"/>
      <c r="BW17" s="40"/>
      <c r="BX17" s="40"/>
      <c r="BY17" s="40"/>
      <c r="BZ17" s="40"/>
      <c r="CA17" s="40"/>
      <c r="CB17" s="40"/>
      <c r="CC17" s="29"/>
      <c r="CD17" s="29"/>
      <c r="CE17" s="29"/>
      <c r="CF17" s="29"/>
      <c r="CG17" s="29"/>
    </row>
    <row r="18" spans="1:85" s="5" customFormat="1" ht="20.100000000000001" customHeight="1" x14ac:dyDescent="0.45">
      <c r="A18" s="28"/>
      <c r="B18" s="34"/>
      <c r="C18" s="28"/>
      <c r="D18" s="36">
        <v>8</v>
      </c>
      <c r="E18" s="188" t="s">
        <v>96</v>
      </c>
      <c r="F18" s="189"/>
      <c r="G18" s="189"/>
      <c r="H18" s="189"/>
      <c r="I18" s="189"/>
      <c r="J18" s="189"/>
      <c r="K18" s="189"/>
      <c r="L18" s="190"/>
      <c r="M18" s="179" t="s">
        <v>47</v>
      </c>
      <c r="N18" s="174"/>
      <c r="O18" s="174"/>
      <c r="P18" s="179" t="s">
        <v>77</v>
      </c>
      <c r="Q18" s="174"/>
      <c r="R18" s="174"/>
      <c r="S18" s="179" t="s">
        <v>79</v>
      </c>
      <c r="T18" s="174"/>
      <c r="U18" s="174"/>
      <c r="V18" s="194" t="s">
        <v>92</v>
      </c>
      <c r="W18" s="195"/>
      <c r="X18" s="195"/>
      <c r="Y18" s="195"/>
      <c r="Z18" s="195"/>
      <c r="AA18" s="196"/>
      <c r="AB18" s="194" t="s">
        <v>91</v>
      </c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6"/>
      <c r="AR18" s="200">
        <v>9999</v>
      </c>
      <c r="AS18" s="174"/>
      <c r="AT18" s="174"/>
      <c r="AU18" s="174"/>
      <c r="AV18" s="174"/>
      <c r="AW18" s="175"/>
      <c r="AX18" s="191" t="s">
        <v>94</v>
      </c>
      <c r="AY18" s="192"/>
      <c r="AZ18" s="192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2"/>
      <c r="BO18" s="192"/>
      <c r="BP18" s="192"/>
      <c r="BQ18" s="192"/>
      <c r="BR18" s="192"/>
      <c r="BS18" s="192"/>
      <c r="BT18" s="197"/>
      <c r="BU18" s="28"/>
      <c r="BV18" s="39"/>
      <c r="BW18" s="40"/>
      <c r="BX18" s="40"/>
      <c r="BY18" s="40"/>
      <c r="BZ18" s="40"/>
      <c r="CA18" s="40"/>
      <c r="CB18" s="40"/>
      <c r="CC18" s="40"/>
      <c r="CD18" s="40"/>
      <c r="CE18" s="40"/>
      <c r="CF18" s="30"/>
      <c r="CG18" s="30"/>
    </row>
    <row r="19" spans="1:85" s="5" customFormat="1" ht="20.100000000000001" customHeight="1" x14ac:dyDescent="0.45">
      <c r="A19" s="28"/>
      <c r="B19" s="34"/>
      <c r="C19" s="28"/>
      <c r="D19" s="36">
        <v>9</v>
      </c>
      <c r="E19" s="188" t="s">
        <v>72</v>
      </c>
      <c r="F19" s="189"/>
      <c r="G19" s="189"/>
      <c r="H19" s="189"/>
      <c r="I19" s="189"/>
      <c r="J19" s="189"/>
      <c r="K19" s="189"/>
      <c r="L19" s="190"/>
      <c r="M19" s="179" t="s">
        <v>38</v>
      </c>
      <c r="N19" s="174"/>
      <c r="O19" s="174"/>
      <c r="P19" s="179" t="s">
        <v>78</v>
      </c>
      <c r="Q19" s="174"/>
      <c r="R19" s="174"/>
      <c r="S19" s="179">
        <v>12</v>
      </c>
      <c r="T19" s="174"/>
      <c r="U19" s="174"/>
      <c r="V19" s="194" t="s">
        <v>102</v>
      </c>
      <c r="W19" s="195"/>
      <c r="X19" s="195"/>
      <c r="Y19" s="195"/>
      <c r="Z19" s="195"/>
      <c r="AA19" s="196"/>
      <c r="AB19" s="194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6"/>
      <c r="AR19" s="200"/>
      <c r="AS19" s="174"/>
      <c r="AT19" s="174"/>
      <c r="AU19" s="174"/>
      <c r="AV19" s="174"/>
      <c r="AW19" s="175"/>
      <c r="AX19" s="191" t="s">
        <v>101</v>
      </c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  <c r="BS19" s="192"/>
      <c r="BT19" s="197"/>
      <c r="BU19" s="40"/>
      <c r="BV19" s="39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</row>
    <row r="20" spans="1:85" s="5" customFormat="1" ht="20.100000000000001" customHeight="1" x14ac:dyDescent="0.45">
      <c r="A20" s="28"/>
      <c r="B20" s="34"/>
      <c r="C20" s="28"/>
      <c r="D20" s="36">
        <v>10</v>
      </c>
      <c r="E20" s="188" t="s">
        <v>103</v>
      </c>
      <c r="F20" s="189"/>
      <c r="G20" s="189"/>
      <c r="H20" s="189"/>
      <c r="I20" s="189"/>
      <c r="J20" s="189"/>
      <c r="K20" s="189"/>
      <c r="L20" s="190"/>
      <c r="M20" s="179" t="s">
        <v>47</v>
      </c>
      <c r="N20" s="174"/>
      <c r="O20" s="174"/>
      <c r="P20" s="179" t="s">
        <v>77</v>
      </c>
      <c r="Q20" s="174"/>
      <c r="R20" s="174"/>
      <c r="S20" s="179" t="s">
        <v>79</v>
      </c>
      <c r="T20" s="174"/>
      <c r="U20" s="174"/>
      <c r="V20" s="194" t="s">
        <v>112</v>
      </c>
      <c r="W20" s="195"/>
      <c r="X20" s="195"/>
      <c r="Y20" s="195"/>
      <c r="Z20" s="195"/>
      <c r="AA20" s="196"/>
      <c r="AB20" s="194" t="s">
        <v>91</v>
      </c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6"/>
      <c r="AR20" s="200">
        <v>9999</v>
      </c>
      <c r="AS20" s="174"/>
      <c r="AT20" s="174"/>
      <c r="AU20" s="174"/>
      <c r="AV20" s="174"/>
      <c r="AW20" s="175"/>
      <c r="AX20" s="191" t="s">
        <v>113</v>
      </c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2"/>
      <c r="BL20" s="192"/>
      <c r="BM20" s="192"/>
      <c r="BN20" s="192"/>
      <c r="BO20" s="192"/>
      <c r="BP20" s="192"/>
      <c r="BQ20" s="192"/>
      <c r="BR20" s="192"/>
      <c r="BS20" s="192"/>
      <c r="BT20" s="197"/>
      <c r="BU20" s="40"/>
      <c r="BV20" s="39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</row>
    <row r="21" spans="1:85" s="5" customFormat="1" ht="20.100000000000001" customHeight="1" x14ac:dyDescent="0.45">
      <c r="A21" s="28"/>
      <c r="B21" s="34"/>
      <c r="C21" s="28"/>
      <c r="D21" s="36">
        <v>11</v>
      </c>
      <c r="E21" s="188" t="s">
        <v>97</v>
      </c>
      <c r="F21" s="189"/>
      <c r="G21" s="189"/>
      <c r="H21" s="189"/>
      <c r="I21" s="189"/>
      <c r="J21" s="189"/>
      <c r="K21" s="189"/>
      <c r="L21" s="190"/>
      <c r="M21" s="179" t="s">
        <v>47</v>
      </c>
      <c r="N21" s="174"/>
      <c r="O21" s="174"/>
      <c r="P21" s="179" t="s">
        <v>77</v>
      </c>
      <c r="Q21" s="174"/>
      <c r="R21" s="174"/>
      <c r="S21" s="179" t="s">
        <v>79</v>
      </c>
      <c r="T21" s="174"/>
      <c r="U21" s="174"/>
      <c r="V21" s="194" t="s">
        <v>118</v>
      </c>
      <c r="W21" s="195"/>
      <c r="X21" s="195"/>
      <c r="Y21" s="195"/>
      <c r="Z21" s="195"/>
      <c r="AA21" s="196"/>
      <c r="AB21" s="194" t="s">
        <v>117</v>
      </c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6"/>
      <c r="AR21" s="200">
        <v>9999</v>
      </c>
      <c r="AS21" s="174"/>
      <c r="AT21" s="174"/>
      <c r="AU21" s="174"/>
      <c r="AV21" s="174"/>
      <c r="AW21" s="175"/>
      <c r="AX21" s="191" t="s">
        <v>114</v>
      </c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  <c r="BS21" s="192"/>
      <c r="BT21" s="197"/>
      <c r="BU21" s="40"/>
      <c r="BV21" s="39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</row>
    <row r="22" spans="1:85" s="5" customFormat="1" ht="20.100000000000001" customHeight="1" x14ac:dyDescent="0.45">
      <c r="A22" s="28"/>
      <c r="B22" s="34"/>
      <c r="C22" s="28"/>
      <c r="D22" s="36">
        <v>12</v>
      </c>
      <c r="E22" s="188" t="s">
        <v>98</v>
      </c>
      <c r="F22" s="189"/>
      <c r="G22" s="189"/>
      <c r="H22" s="189"/>
      <c r="I22" s="189"/>
      <c r="J22" s="189"/>
      <c r="K22" s="189"/>
      <c r="L22" s="190"/>
      <c r="M22" s="179" t="s">
        <v>47</v>
      </c>
      <c r="N22" s="174"/>
      <c r="O22" s="174"/>
      <c r="P22" s="179" t="s">
        <v>77</v>
      </c>
      <c r="Q22" s="174"/>
      <c r="R22" s="174"/>
      <c r="S22" s="179" t="s">
        <v>79</v>
      </c>
      <c r="T22" s="174"/>
      <c r="U22" s="174"/>
      <c r="V22" s="194" t="s">
        <v>118</v>
      </c>
      <c r="W22" s="195"/>
      <c r="X22" s="195"/>
      <c r="Y22" s="195"/>
      <c r="Z22" s="195"/>
      <c r="AA22" s="196"/>
      <c r="AB22" s="194" t="s">
        <v>117</v>
      </c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6"/>
      <c r="AR22" s="200">
        <v>9999</v>
      </c>
      <c r="AS22" s="174"/>
      <c r="AT22" s="174"/>
      <c r="AU22" s="174"/>
      <c r="AV22" s="174"/>
      <c r="AW22" s="175"/>
      <c r="AX22" s="191" t="s">
        <v>119</v>
      </c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7"/>
      <c r="BU22" s="40"/>
      <c r="BV22" s="39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</row>
    <row r="23" spans="1:85" s="5" customFormat="1" ht="20.100000000000001" customHeight="1" x14ac:dyDescent="0.45">
      <c r="A23" s="28"/>
      <c r="B23" s="34"/>
      <c r="C23" s="28"/>
      <c r="D23" s="36">
        <v>13</v>
      </c>
      <c r="E23" s="188" t="s">
        <v>99</v>
      </c>
      <c r="F23" s="189"/>
      <c r="G23" s="189"/>
      <c r="H23" s="189"/>
      <c r="I23" s="189"/>
      <c r="J23" s="189"/>
      <c r="K23" s="189"/>
      <c r="L23" s="190"/>
      <c r="M23" s="179" t="s">
        <v>47</v>
      </c>
      <c r="N23" s="174"/>
      <c r="O23" s="174"/>
      <c r="P23" s="179" t="s">
        <v>77</v>
      </c>
      <c r="Q23" s="174"/>
      <c r="R23" s="174"/>
      <c r="S23" s="179" t="s">
        <v>79</v>
      </c>
      <c r="T23" s="174"/>
      <c r="U23" s="174"/>
      <c r="V23" s="194" t="s">
        <v>115</v>
      </c>
      <c r="W23" s="195"/>
      <c r="X23" s="195"/>
      <c r="Y23" s="195"/>
      <c r="Z23" s="195"/>
      <c r="AA23" s="196"/>
      <c r="AB23" s="194" t="s">
        <v>116</v>
      </c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6"/>
      <c r="AR23" s="200">
        <v>9999</v>
      </c>
      <c r="AS23" s="174"/>
      <c r="AT23" s="174"/>
      <c r="AU23" s="174"/>
      <c r="AV23" s="174"/>
      <c r="AW23" s="175"/>
      <c r="AX23" s="191"/>
      <c r="AY23" s="192"/>
      <c r="AZ23" s="192"/>
      <c r="BA23" s="192"/>
      <c r="BB23" s="192"/>
      <c r="BC23" s="192"/>
      <c r="BD23" s="192"/>
      <c r="BE23" s="192"/>
      <c r="BF23" s="192"/>
      <c r="BG23" s="192"/>
      <c r="BH23" s="192"/>
      <c r="BI23" s="192"/>
      <c r="BJ23" s="192"/>
      <c r="BK23" s="192"/>
      <c r="BL23" s="192"/>
      <c r="BM23" s="192"/>
      <c r="BN23" s="192"/>
      <c r="BO23" s="192"/>
      <c r="BP23" s="192"/>
      <c r="BQ23" s="192"/>
      <c r="BR23" s="192"/>
      <c r="BS23" s="192"/>
      <c r="BT23" s="197"/>
      <c r="BU23" s="40"/>
      <c r="BV23" s="39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</row>
    <row r="24" spans="1:85" s="5" customFormat="1" ht="20.100000000000001" customHeight="1" x14ac:dyDescent="0.45">
      <c r="A24" s="28"/>
      <c r="B24" s="34"/>
      <c r="C24" s="28"/>
      <c r="D24" s="36">
        <v>14</v>
      </c>
      <c r="E24" s="188"/>
      <c r="F24" s="189"/>
      <c r="G24" s="189"/>
      <c r="H24" s="189"/>
      <c r="I24" s="189"/>
      <c r="J24" s="189"/>
      <c r="K24" s="189"/>
      <c r="L24" s="190"/>
      <c r="M24" s="179"/>
      <c r="N24" s="174"/>
      <c r="O24" s="174"/>
      <c r="P24" s="179"/>
      <c r="Q24" s="174"/>
      <c r="R24" s="174"/>
      <c r="S24" s="179"/>
      <c r="T24" s="174"/>
      <c r="U24" s="174"/>
      <c r="V24" s="194"/>
      <c r="W24" s="195"/>
      <c r="X24" s="195"/>
      <c r="Y24" s="195"/>
      <c r="Z24" s="195"/>
      <c r="AA24" s="196"/>
      <c r="AB24" s="194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6"/>
      <c r="AR24" s="200"/>
      <c r="AS24" s="174"/>
      <c r="AT24" s="174"/>
      <c r="AU24" s="174"/>
      <c r="AV24" s="174"/>
      <c r="AW24" s="175"/>
      <c r="AX24" s="191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7"/>
      <c r="BU24" s="40"/>
      <c r="BV24" s="39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</row>
    <row r="25" spans="1:85" s="5" customFormat="1" ht="20.100000000000001" customHeight="1" x14ac:dyDescent="0.45">
      <c r="A25" s="28"/>
      <c r="B25" s="34"/>
      <c r="C25" s="28"/>
      <c r="D25" s="36">
        <v>15</v>
      </c>
      <c r="E25" s="188"/>
      <c r="F25" s="189"/>
      <c r="G25" s="189"/>
      <c r="H25" s="189"/>
      <c r="I25" s="189"/>
      <c r="J25" s="189"/>
      <c r="K25" s="189"/>
      <c r="L25" s="190"/>
      <c r="M25" s="179"/>
      <c r="N25" s="174"/>
      <c r="O25" s="174"/>
      <c r="P25" s="179"/>
      <c r="Q25" s="174"/>
      <c r="R25" s="174"/>
      <c r="S25" s="179"/>
      <c r="T25" s="174"/>
      <c r="U25" s="174"/>
      <c r="V25" s="191"/>
      <c r="W25" s="192"/>
      <c r="X25" s="192"/>
      <c r="Y25" s="192"/>
      <c r="Z25" s="192"/>
      <c r="AA25" s="193"/>
      <c r="AB25" s="194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6"/>
      <c r="AR25" s="179"/>
      <c r="AS25" s="174"/>
      <c r="AT25" s="174"/>
      <c r="AU25" s="174"/>
      <c r="AV25" s="174"/>
      <c r="AW25" s="175"/>
      <c r="AX25" s="191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  <c r="BS25" s="192"/>
      <c r="BT25" s="197"/>
      <c r="BU25" s="40"/>
      <c r="BV25" s="39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</row>
    <row r="26" spans="1:85" s="5" customFormat="1" ht="20.100000000000001" customHeight="1" x14ac:dyDescent="0.45">
      <c r="A26" s="28"/>
      <c r="B26" s="34"/>
      <c r="C26" s="28"/>
      <c r="D26" s="36">
        <v>16</v>
      </c>
      <c r="E26" s="188"/>
      <c r="F26" s="189"/>
      <c r="G26" s="189"/>
      <c r="H26" s="189"/>
      <c r="I26" s="189"/>
      <c r="J26" s="189"/>
      <c r="K26" s="189"/>
      <c r="L26" s="190"/>
      <c r="M26" s="179"/>
      <c r="N26" s="174"/>
      <c r="O26" s="174"/>
      <c r="P26" s="179"/>
      <c r="Q26" s="174"/>
      <c r="R26" s="174"/>
      <c r="S26" s="179"/>
      <c r="T26" s="174"/>
      <c r="U26" s="174"/>
      <c r="V26" s="191"/>
      <c r="W26" s="192"/>
      <c r="X26" s="192"/>
      <c r="Y26" s="192"/>
      <c r="Z26" s="192"/>
      <c r="AA26" s="193"/>
      <c r="AB26" s="194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6"/>
      <c r="AR26" s="179"/>
      <c r="AS26" s="174"/>
      <c r="AT26" s="174"/>
      <c r="AU26" s="174"/>
      <c r="AV26" s="174"/>
      <c r="AW26" s="175"/>
      <c r="AX26" s="191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7"/>
      <c r="BU26" s="40"/>
      <c r="BV26" s="39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</row>
    <row r="27" spans="1:85" ht="20.100000000000001" customHeight="1" x14ac:dyDescent="0.45">
      <c r="A27" s="28"/>
      <c r="B27" s="43"/>
      <c r="C27" s="28"/>
      <c r="D27" s="36">
        <v>17</v>
      </c>
      <c r="E27" s="188"/>
      <c r="F27" s="189"/>
      <c r="G27" s="189"/>
      <c r="H27" s="189"/>
      <c r="I27" s="189"/>
      <c r="J27" s="189"/>
      <c r="K27" s="189"/>
      <c r="L27" s="190"/>
      <c r="M27" s="179"/>
      <c r="N27" s="174"/>
      <c r="O27" s="174"/>
      <c r="P27" s="179"/>
      <c r="Q27" s="174"/>
      <c r="R27" s="174"/>
      <c r="S27" s="179"/>
      <c r="T27" s="174"/>
      <c r="U27" s="174"/>
      <c r="V27" s="191"/>
      <c r="W27" s="192"/>
      <c r="X27" s="192"/>
      <c r="Y27" s="192"/>
      <c r="Z27" s="192"/>
      <c r="AA27" s="193"/>
      <c r="AB27" s="194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6"/>
      <c r="AR27" s="179"/>
      <c r="AS27" s="174"/>
      <c r="AT27" s="174"/>
      <c r="AU27" s="174"/>
      <c r="AV27" s="174"/>
      <c r="AW27" s="175"/>
      <c r="AX27" s="191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2"/>
      <c r="BR27" s="192"/>
      <c r="BS27" s="192"/>
      <c r="BT27" s="197"/>
      <c r="BU27" s="40"/>
      <c r="BV27" s="39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</row>
    <row r="28" spans="1:85" ht="19.5" customHeight="1" x14ac:dyDescent="0.45">
      <c r="A28" s="28"/>
      <c r="B28" s="43"/>
      <c r="C28" s="28"/>
      <c r="D28" s="36">
        <v>18</v>
      </c>
      <c r="E28" s="188"/>
      <c r="F28" s="189"/>
      <c r="G28" s="189"/>
      <c r="H28" s="189"/>
      <c r="I28" s="189"/>
      <c r="J28" s="189"/>
      <c r="K28" s="189"/>
      <c r="L28" s="190"/>
      <c r="M28" s="179"/>
      <c r="N28" s="174"/>
      <c r="O28" s="174"/>
      <c r="P28" s="179"/>
      <c r="Q28" s="174"/>
      <c r="R28" s="174"/>
      <c r="S28" s="179"/>
      <c r="T28" s="174"/>
      <c r="U28" s="174"/>
      <c r="V28" s="191"/>
      <c r="W28" s="192"/>
      <c r="X28" s="192"/>
      <c r="Y28" s="192"/>
      <c r="Z28" s="192"/>
      <c r="AA28" s="193"/>
      <c r="AB28" s="194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6"/>
      <c r="AR28" s="179"/>
      <c r="AS28" s="174"/>
      <c r="AT28" s="174"/>
      <c r="AU28" s="174"/>
      <c r="AV28" s="174"/>
      <c r="AW28" s="175"/>
      <c r="AX28" s="191"/>
      <c r="AY28" s="192"/>
      <c r="AZ28" s="192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2"/>
      <c r="BQ28" s="192"/>
      <c r="BR28" s="192"/>
      <c r="BS28" s="192"/>
      <c r="BT28" s="197"/>
      <c r="BU28" s="40"/>
      <c r="BV28" s="39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</row>
    <row r="29" spans="1:85" ht="19.5" customHeight="1" x14ac:dyDescent="0.45">
      <c r="A29" s="28"/>
      <c r="B29" s="43"/>
      <c r="C29" s="28"/>
      <c r="D29" s="36">
        <v>19</v>
      </c>
      <c r="E29" s="188"/>
      <c r="F29" s="189"/>
      <c r="G29" s="189"/>
      <c r="H29" s="189"/>
      <c r="I29" s="189"/>
      <c r="J29" s="189"/>
      <c r="K29" s="189"/>
      <c r="L29" s="190"/>
      <c r="M29" s="179"/>
      <c r="N29" s="174"/>
      <c r="O29" s="174"/>
      <c r="P29" s="179"/>
      <c r="Q29" s="174"/>
      <c r="R29" s="174"/>
      <c r="S29" s="179"/>
      <c r="T29" s="174"/>
      <c r="U29" s="174"/>
      <c r="V29" s="191"/>
      <c r="W29" s="192"/>
      <c r="X29" s="192"/>
      <c r="Y29" s="192"/>
      <c r="Z29" s="192"/>
      <c r="AA29" s="193"/>
      <c r="AB29" s="194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6"/>
      <c r="AR29" s="179"/>
      <c r="AS29" s="174"/>
      <c r="AT29" s="174"/>
      <c r="AU29" s="174"/>
      <c r="AV29" s="174"/>
      <c r="AW29" s="175"/>
      <c r="AX29" s="191"/>
      <c r="AY29" s="192"/>
      <c r="AZ29" s="192"/>
      <c r="BA29" s="192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7"/>
      <c r="BU29" s="40"/>
      <c r="BV29" s="39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</row>
    <row r="30" spans="1:85" ht="20.100000000000001" customHeight="1" thickBot="1" x14ac:dyDescent="0.5">
      <c r="A30" s="28"/>
      <c r="B30" s="43"/>
      <c r="C30" s="28"/>
      <c r="D30" s="36">
        <v>20</v>
      </c>
      <c r="E30" s="207"/>
      <c r="F30" s="208"/>
      <c r="G30" s="208"/>
      <c r="H30" s="208"/>
      <c r="I30" s="208"/>
      <c r="J30" s="208"/>
      <c r="K30" s="208"/>
      <c r="L30" s="209"/>
      <c r="M30" s="201"/>
      <c r="N30" s="202"/>
      <c r="O30" s="203"/>
      <c r="P30" s="201"/>
      <c r="Q30" s="202"/>
      <c r="R30" s="202"/>
      <c r="S30" s="201"/>
      <c r="T30" s="202"/>
      <c r="U30" s="202"/>
      <c r="V30" s="204"/>
      <c r="W30" s="205"/>
      <c r="X30" s="205"/>
      <c r="Y30" s="205"/>
      <c r="Z30" s="205"/>
      <c r="AA30" s="210"/>
      <c r="AB30" s="211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3"/>
      <c r="AR30" s="201"/>
      <c r="AS30" s="202"/>
      <c r="AT30" s="202"/>
      <c r="AU30" s="202"/>
      <c r="AV30" s="202"/>
      <c r="AW30" s="203"/>
      <c r="AX30" s="204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6"/>
      <c r="BU30" s="40"/>
      <c r="BV30" s="39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</row>
    <row r="31" spans="1:85" ht="20.100000000000001" customHeight="1" thickTop="1" thickBot="1" x14ac:dyDescent="0.5">
      <c r="A31" s="28"/>
      <c r="B31" s="39"/>
      <c r="C31" s="28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45"/>
      <c r="BR31" s="45"/>
      <c r="BS31" s="45"/>
      <c r="BT31" s="45"/>
      <c r="BU31" s="27"/>
    </row>
    <row r="32" spans="1:85" ht="20.100000000000001" customHeight="1" thickTop="1" x14ac:dyDescent="0.45">
      <c r="A32" s="28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32"/>
      <c r="BD32" s="32"/>
      <c r="BE32" s="32"/>
      <c r="BF32" s="32"/>
      <c r="BG32" s="32"/>
      <c r="BH32" s="32"/>
      <c r="BI32" s="41"/>
      <c r="BJ32" s="41"/>
      <c r="BK32" s="41"/>
      <c r="BL32" s="41"/>
      <c r="BM32" s="41"/>
      <c r="BN32" s="41"/>
      <c r="BO32" s="41"/>
      <c r="BP32" s="40"/>
    </row>
    <row r="33" spans="2:68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</row>
    <row r="34" spans="2:68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30"/>
      <c r="BH34" s="30"/>
      <c r="BI34" s="30"/>
      <c r="BJ34" s="30"/>
      <c r="BK34" s="30"/>
      <c r="BL34" s="30"/>
      <c r="BM34" s="30"/>
      <c r="BN34" s="30"/>
      <c r="BO34" s="30"/>
      <c r="BP34" s="30"/>
    </row>
    <row r="35" spans="2:68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30"/>
      <c r="BH35" s="30"/>
      <c r="BI35" s="30"/>
      <c r="BJ35" s="30"/>
      <c r="BK35" s="30"/>
      <c r="BL35" s="30"/>
      <c r="BM35" s="30"/>
      <c r="BN35" s="30"/>
      <c r="BO35" s="30"/>
      <c r="BP35" s="30"/>
    </row>
    <row r="36" spans="2:68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30"/>
      <c r="BH36" s="30"/>
      <c r="BI36" s="30"/>
      <c r="BJ36" s="30"/>
      <c r="BK36" s="30"/>
      <c r="BL36" s="30"/>
      <c r="BM36" s="30"/>
      <c r="BN36" s="30"/>
      <c r="BO36" s="30"/>
      <c r="BP36" s="30"/>
    </row>
    <row r="37" spans="2:68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30"/>
      <c r="BH37" s="30"/>
      <c r="BI37" s="30"/>
      <c r="BJ37" s="30"/>
      <c r="BK37" s="30"/>
      <c r="BL37" s="30"/>
      <c r="BM37" s="30"/>
      <c r="BN37" s="30"/>
      <c r="BO37" s="30"/>
      <c r="BP37" s="30"/>
    </row>
    <row r="38" spans="2:68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30"/>
      <c r="BH38" s="30"/>
      <c r="BI38" s="30"/>
      <c r="BJ38" s="30"/>
      <c r="BK38" s="30"/>
      <c r="BL38" s="30"/>
      <c r="BM38" s="30"/>
      <c r="BN38" s="30"/>
      <c r="BO38" s="30"/>
      <c r="BP38" s="30"/>
    </row>
    <row r="39" spans="2:68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30"/>
      <c r="BH39" s="30"/>
      <c r="BI39" s="30"/>
      <c r="BJ39" s="30"/>
      <c r="BK39" s="30"/>
      <c r="BL39" s="30"/>
      <c r="BM39" s="30"/>
      <c r="BN39" s="30"/>
      <c r="BO39" s="30"/>
      <c r="BP39" s="30"/>
    </row>
    <row r="40" spans="2:68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30"/>
      <c r="BH40" s="30"/>
      <c r="BI40" s="30"/>
      <c r="BJ40" s="30"/>
      <c r="BK40" s="30"/>
      <c r="BL40" s="30"/>
      <c r="BM40" s="30"/>
      <c r="BN40" s="30"/>
      <c r="BO40" s="30"/>
      <c r="BP40" s="30"/>
    </row>
    <row r="41" spans="2:68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30"/>
      <c r="BH41" s="30"/>
      <c r="BI41" s="30"/>
      <c r="BJ41" s="30"/>
      <c r="BK41" s="30"/>
      <c r="BL41" s="30"/>
      <c r="BM41" s="30"/>
      <c r="BN41" s="30"/>
      <c r="BO41" s="30"/>
      <c r="BP41" s="30"/>
    </row>
    <row r="42" spans="2:68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30"/>
      <c r="BH42" s="30"/>
      <c r="BI42" s="30"/>
      <c r="BJ42" s="30"/>
      <c r="BK42" s="30"/>
      <c r="BL42" s="30"/>
      <c r="BM42" s="30"/>
      <c r="BN42" s="30"/>
      <c r="BO42" s="30"/>
      <c r="BP42" s="30"/>
    </row>
    <row r="43" spans="2:68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30"/>
      <c r="BH43" s="30"/>
      <c r="BI43" s="30"/>
      <c r="BJ43" s="30"/>
      <c r="BK43" s="30"/>
      <c r="BL43" s="30"/>
      <c r="BM43" s="30"/>
      <c r="BN43" s="30"/>
      <c r="BO43" s="30"/>
      <c r="BP43" s="30"/>
    </row>
    <row r="44" spans="2:68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</row>
    <row r="45" spans="2:68" ht="20.100000000000001" customHeight="1" x14ac:dyDescent="0.45">
      <c r="B45" s="3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</row>
    <row r="46" spans="2:68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30"/>
      <c r="BP46" s="30"/>
    </row>
    <row r="47" spans="2:68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30"/>
      <c r="BP47" s="30"/>
    </row>
    <row r="48" spans="2:68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30"/>
      <c r="BP48" s="30"/>
    </row>
    <row r="49" spans="1:68" ht="20.100000000000001" customHeight="1" x14ac:dyDescent="0.45">
      <c r="A49" s="28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30"/>
      <c r="BP49" s="30"/>
    </row>
    <row r="50" spans="1:68" ht="20.100000000000001" customHeight="1" x14ac:dyDescent="0.45">
      <c r="A50" s="28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30"/>
      <c r="BP50" s="30"/>
    </row>
    <row r="51" spans="1:68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</row>
    <row r="52" spans="1:68" ht="20.100000000000001" customHeight="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</row>
    <row r="53" spans="1:68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</row>
  </sheetData>
  <mergeCells count="188">
    <mergeCell ref="AR30:AW30"/>
    <mergeCell ref="AX30:BT30"/>
    <mergeCell ref="E30:L30"/>
    <mergeCell ref="M30:O30"/>
    <mergeCell ref="P30:R30"/>
    <mergeCell ref="S30:U30"/>
    <mergeCell ref="V30:AA30"/>
    <mergeCell ref="AB30:AQ30"/>
    <mergeCell ref="AR28:AW28"/>
    <mergeCell ref="AX28:BT28"/>
    <mergeCell ref="E29:L29"/>
    <mergeCell ref="M29:O29"/>
    <mergeCell ref="P29:R29"/>
    <mergeCell ref="S29:U29"/>
    <mergeCell ref="V29:AA29"/>
    <mergeCell ref="AB29:AQ29"/>
    <mergeCell ref="AR29:AW29"/>
    <mergeCell ref="AX29:BT29"/>
    <mergeCell ref="E28:L28"/>
    <mergeCell ref="M28:O28"/>
    <mergeCell ref="P28:R28"/>
    <mergeCell ref="S28:U28"/>
    <mergeCell ref="V28:AA28"/>
    <mergeCell ref="AB28:AQ28"/>
    <mergeCell ref="AR26:AW26"/>
    <mergeCell ref="AX26:BT26"/>
    <mergeCell ref="E27:L27"/>
    <mergeCell ref="M27:O27"/>
    <mergeCell ref="P27:R27"/>
    <mergeCell ref="S27:U27"/>
    <mergeCell ref="V27:AA27"/>
    <mergeCell ref="AB27:AQ27"/>
    <mergeCell ref="AR27:AW27"/>
    <mergeCell ref="AX27:BT27"/>
    <mergeCell ref="E26:L26"/>
    <mergeCell ref="M26:O26"/>
    <mergeCell ref="P26:R26"/>
    <mergeCell ref="S26:U26"/>
    <mergeCell ref="V26:AA26"/>
    <mergeCell ref="AB26:AQ26"/>
    <mergeCell ref="AR24:AW24"/>
    <mergeCell ref="AX24:BT24"/>
    <mergeCell ref="E25:L25"/>
    <mergeCell ref="M25:O25"/>
    <mergeCell ref="P25:R25"/>
    <mergeCell ref="S25:U25"/>
    <mergeCell ref="V25:AA25"/>
    <mergeCell ref="AB25:AQ25"/>
    <mergeCell ref="AR25:AW25"/>
    <mergeCell ref="AX25:BT25"/>
    <mergeCell ref="E24:L24"/>
    <mergeCell ref="M24:O24"/>
    <mergeCell ref="P24:R24"/>
    <mergeCell ref="S24:U24"/>
    <mergeCell ref="V24:AA24"/>
    <mergeCell ref="AB24:AQ24"/>
    <mergeCell ref="AR22:AW22"/>
    <mergeCell ref="AX22:BT22"/>
    <mergeCell ref="E23:L23"/>
    <mergeCell ref="M23:O23"/>
    <mergeCell ref="P23:R23"/>
    <mergeCell ref="S23:U23"/>
    <mergeCell ref="V23:AA23"/>
    <mergeCell ref="AB23:AQ23"/>
    <mergeCell ref="AR23:AW23"/>
    <mergeCell ref="AX23:BT23"/>
    <mergeCell ref="E22:L22"/>
    <mergeCell ref="M22:O22"/>
    <mergeCell ref="P22:R22"/>
    <mergeCell ref="S22:U22"/>
    <mergeCell ref="V22:AA22"/>
    <mergeCell ref="AB22:AQ22"/>
    <mergeCell ref="AR20:AW20"/>
    <mergeCell ref="AX20:BT20"/>
    <mergeCell ref="E21:L21"/>
    <mergeCell ref="M21:O21"/>
    <mergeCell ref="P21:R21"/>
    <mergeCell ref="S21:U21"/>
    <mergeCell ref="V21:AA21"/>
    <mergeCell ref="AB21:AQ21"/>
    <mergeCell ref="AR21:AW21"/>
    <mergeCell ref="AX21:BT21"/>
    <mergeCell ref="E20:L20"/>
    <mergeCell ref="M20:O20"/>
    <mergeCell ref="P20:R20"/>
    <mergeCell ref="S20:U20"/>
    <mergeCell ref="V20:AA20"/>
    <mergeCell ref="AB20:AQ20"/>
    <mergeCell ref="AR18:AW18"/>
    <mergeCell ref="AX18:BT18"/>
    <mergeCell ref="E19:L19"/>
    <mergeCell ref="M19:O19"/>
    <mergeCell ref="P19:R19"/>
    <mergeCell ref="S19:U19"/>
    <mergeCell ref="V19:AA19"/>
    <mergeCell ref="AB19:AQ19"/>
    <mergeCell ref="AR19:AW19"/>
    <mergeCell ref="AX19:BT19"/>
    <mergeCell ref="E18:L18"/>
    <mergeCell ref="M18:O18"/>
    <mergeCell ref="P18:R18"/>
    <mergeCell ref="S18:U18"/>
    <mergeCell ref="V18:AA18"/>
    <mergeCell ref="AB18:AQ18"/>
    <mergeCell ref="AR16:AW16"/>
    <mergeCell ref="AX16:BT16"/>
    <mergeCell ref="E17:L17"/>
    <mergeCell ref="M17:O17"/>
    <mergeCell ref="P17:R17"/>
    <mergeCell ref="S17:U17"/>
    <mergeCell ref="V17:AA17"/>
    <mergeCell ref="AB17:AQ17"/>
    <mergeCell ref="AR17:AW17"/>
    <mergeCell ref="AX17:BT17"/>
    <mergeCell ref="E16:L16"/>
    <mergeCell ref="M16:O16"/>
    <mergeCell ref="P16:R16"/>
    <mergeCell ref="S16:U16"/>
    <mergeCell ref="V16:AA16"/>
    <mergeCell ref="AB16:AQ16"/>
    <mergeCell ref="AR14:AW14"/>
    <mergeCell ref="AX14:BT14"/>
    <mergeCell ref="E15:L15"/>
    <mergeCell ref="M15:O15"/>
    <mergeCell ref="P15:R15"/>
    <mergeCell ref="S15:U15"/>
    <mergeCell ref="V15:AA15"/>
    <mergeCell ref="AB15:AQ15"/>
    <mergeCell ref="AR15:AW15"/>
    <mergeCell ref="AX15:BT15"/>
    <mergeCell ref="E14:L14"/>
    <mergeCell ref="M14:O14"/>
    <mergeCell ref="P14:R14"/>
    <mergeCell ref="S14:U14"/>
    <mergeCell ref="V14:AA14"/>
    <mergeCell ref="AB14:AQ14"/>
    <mergeCell ref="AR12:AW12"/>
    <mergeCell ref="AX12:BT12"/>
    <mergeCell ref="E13:L13"/>
    <mergeCell ref="M13:O13"/>
    <mergeCell ref="P13:R13"/>
    <mergeCell ref="S13:U13"/>
    <mergeCell ref="V13:AA13"/>
    <mergeCell ref="AB13:AQ13"/>
    <mergeCell ref="AR13:AW13"/>
    <mergeCell ref="AX13:BT13"/>
    <mergeCell ref="E12:L12"/>
    <mergeCell ref="M12:O12"/>
    <mergeCell ref="P12:R12"/>
    <mergeCell ref="S12:U12"/>
    <mergeCell ref="V12:AA12"/>
    <mergeCell ref="AB12:AQ12"/>
    <mergeCell ref="E10:L10"/>
    <mergeCell ref="M10:O10"/>
    <mergeCell ref="P10:R10"/>
    <mergeCell ref="S10:U10"/>
    <mergeCell ref="V10:AA10"/>
    <mergeCell ref="AB10:AQ10"/>
    <mergeCell ref="AR10:AW10"/>
    <mergeCell ref="AX10:BT10"/>
    <mergeCell ref="E11:L11"/>
    <mergeCell ref="M11:O11"/>
    <mergeCell ref="P11:R11"/>
    <mergeCell ref="S11:U11"/>
    <mergeCell ref="V11:AA11"/>
    <mergeCell ref="AB11:AQ11"/>
    <mergeCell ref="AR11:AW11"/>
    <mergeCell ref="AX11:BT11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BM32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0" t="s">
        <v>0</v>
      </c>
      <c r="C2" s="218"/>
      <c r="D2" s="218"/>
      <c r="E2" s="218"/>
      <c r="F2" s="218"/>
      <c r="G2" s="218"/>
      <c r="H2" s="218" t="s">
        <v>17</v>
      </c>
      <c r="I2" s="218"/>
      <c r="J2" s="218"/>
      <c r="K2" s="218"/>
      <c r="L2" s="218" t="s">
        <v>196</v>
      </c>
      <c r="M2" s="218"/>
      <c r="N2" s="218"/>
      <c r="O2" s="218"/>
      <c r="P2" s="218"/>
      <c r="Q2" s="218"/>
      <c r="R2" s="218" t="s">
        <v>2</v>
      </c>
      <c r="S2" s="218"/>
      <c r="T2" s="218"/>
      <c r="U2" s="218"/>
      <c r="V2" s="218"/>
      <c r="W2" s="218"/>
      <c r="X2" s="218" t="s">
        <v>3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 t="s">
        <v>32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 t="s">
        <v>5</v>
      </c>
      <c r="AY2" s="218"/>
      <c r="AZ2" s="218"/>
      <c r="BA2" s="218"/>
      <c r="BB2" s="218" t="s">
        <v>4</v>
      </c>
      <c r="BC2" s="218"/>
      <c r="BD2" s="218"/>
      <c r="BE2" s="218"/>
      <c r="BF2" s="218" t="s">
        <v>6</v>
      </c>
      <c r="BG2" s="218"/>
      <c r="BH2" s="218"/>
      <c r="BI2" s="218"/>
      <c r="BJ2" s="218" t="s">
        <v>7</v>
      </c>
      <c r="BK2" s="218"/>
      <c r="BL2" s="218"/>
      <c r="BM2" s="219"/>
    </row>
    <row r="3" spans="2:65" ht="20.100000000000001" customHeight="1" x14ac:dyDescent="0.45">
      <c r="B3" s="221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0" t="str">
        <f ca="1">変更履歴!X3</f>
        <v>KH0200_按分経費集計表_帳票設計書</v>
      </c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 t="str">
        <f ca="1">変更履歴!AK3</f>
        <v>按分経費集計表</v>
      </c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216"/>
    </row>
    <row r="4" spans="2:65" ht="20.100000000000001" customHeight="1" thickBot="1" x14ac:dyDescent="0.5">
      <c r="B4" s="222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4"/>
      <c r="AY4" s="214"/>
      <c r="AZ4" s="214"/>
      <c r="BA4" s="214"/>
      <c r="BB4" s="215"/>
      <c r="BC4" s="215"/>
      <c r="BD4" s="215"/>
      <c r="BE4" s="215"/>
      <c r="BF4" s="214"/>
      <c r="BG4" s="214"/>
      <c r="BH4" s="214"/>
      <c r="BI4" s="214"/>
      <c r="BJ4" s="215"/>
      <c r="BK4" s="215"/>
      <c r="BL4" s="215"/>
      <c r="BM4" s="217"/>
    </row>
    <row r="5" spans="2:65" ht="5.0999999999999996" customHeight="1" thickBot="1" x14ac:dyDescent="0.5"/>
    <row r="6" spans="2:65" ht="20.100000000000001" customHeight="1" x14ac:dyDescent="0.45">
      <c r="B6" s="108" t="s">
        <v>157</v>
      </c>
      <c r="C6" s="109"/>
      <c r="D6" s="109"/>
      <c r="E6" s="109"/>
      <c r="F6" s="109"/>
      <c r="G6" s="110"/>
      <c r="H6" s="111" t="s">
        <v>151</v>
      </c>
      <c r="I6" s="109"/>
      <c r="J6" s="139" t="s">
        <v>159</v>
      </c>
      <c r="K6" s="140"/>
      <c r="L6" s="140"/>
      <c r="M6" s="140"/>
      <c r="N6" s="140"/>
      <c r="O6" s="140"/>
      <c r="P6" s="140"/>
      <c r="Q6" s="141"/>
      <c r="R6" s="140" t="s">
        <v>165</v>
      </c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1"/>
      <c r="AK6" s="112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13"/>
    </row>
    <row r="7" spans="2:65" ht="20.100000000000001" customHeight="1" x14ac:dyDescent="0.45">
      <c r="B7" s="142"/>
      <c r="C7" s="30"/>
      <c r="D7" s="30"/>
      <c r="E7" s="30"/>
      <c r="F7" s="30"/>
      <c r="G7" s="115"/>
      <c r="H7" s="116"/>
      <c r="I7" s="30"/>
      <c r="J7" s="143" t="s">
        <v>160</v>
      </c>
      <c r="K7" s="51"/>
      <c r="L7" s="51"/>
      <c r="M7" s="51"/>
      <c r="N7" s="51"/>
      <c r="O7" s="51"/>
      <c r="P7" s="51"/>
      <c r="Q7" s="144"/>
      <c r="R7" s="51" t="s">
        <v>166</v>
      </c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144"/>
      <c r="AK7" s="117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118"/>
    </row>
    <row r="8" spans="2:65" ht="20.100000000000001" customHeight="1" x14ac:dyDescent="0.45">
      <c r="B8" s="142"/>
      <c r="C8" s="30"/>
      <c r="D8" s="30"/>
      <c r="E8" s="30"/>
      <c r="F8" s="30"/>
      <c r="G8" s="115"/>
      <c r="H8" s="116"/>
      <c r="I8" s="30"/>
      <c r="J8" s="143" t="s">
        <v>161</v>
      </c>
      <c r="K8" s="51"/>
      <c r="L8" s="51"/>
      <c r="M8" s="51"/>
      <c r="N8" s="51"/>
      <c r="O8" s="51"/>
      <c r="P8" s="51"/>
      <c r="Q8" s="144"/>
      <c r="R8" s="51" t="s">
        <v>167</v>
      </c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144"/>
      <c r="AK8" s="117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118"/>
    </row>
    <row r="9" spans="2:65" ht="20.100000000000001" customHeight="1" x14ac:dyDescent="0.45">
      <c r="B9" s="142"/>
      <c r="C9" s="30"/>
      <c r="D9" s="30"/>
      <c r="E9" s="30"/>
      <c r="F9" s="30"/>
      <c r="G9" s="115"/>
      <c r="H9" s="116"/>
      <c r="I9" s="30"/>
      <c r="J9" s="143" t="s">
        <v>162</v>
      </c>
      <c r="K9" s="51"/>
      <c r="L9" s="51"/>
      <c r="M9" s="51"/>
      <c r="N9" s="51"/>
      <c r="O9" s="51"/>
      <c r="P9" s="51"/>
      <c r="Q9" s="144"/>
      <c r="R9" s="51" t="s">
        <v>168</v>
      </c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144"/>
      <c r="AK9" s="117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118"/>
    </row>
    <row r="10" spans="2:65" ht="20.100000000000001" customHeight="1" x14ac:dyDescent="0.45">
      <c r="B10" s="142"/>
      <c r="C10" s="30"/>
      <c r="D10" s="30"/>
      <c r="E10" s="30"/>
      <c r="F10" s="30"/>
      <c r="G10" s="115"/>
      <c r="H10" s="30"/>
      <c r="I10" s="30"/>
      <c r="J10" s="143" t="s">
        <v>163</v>
      </c>
      <c r="K10" s="51"/>
      <c r="L10" s="51"/>
      <c r="M10" s="51"/>
      <c r="N10" s="51"/>
      <c r="O10" s="51"/>
      <c r="P10" s="51"/>
      <c r="Q10" s="144"/>
      <c r="R10" s="51" t="s">
        <v>169</v>
      </c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144"/>
      <c r="AK10" s="117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118"/>
    </row>
    <row r="11" spans="2:65" ht="20.100000000000001" customHeight="1" x14ac:dyDescent="0.45">
      <c r="B11" s="142"/>
      <c r="C11" s="30"/>
      <c r="D11" s="30"/>
      <c r="E11" s="30"/>
      <c r="F11" s="30"/>
      <c r="G11" s="115"/>
      <c r="H11" s="30"/>
      <c r="I11" s="30"/>
      <c r="J11" s="143" t="s">
        <v>164</v>
      </c>
      <c r="K11" s="51"/>
      <c r="L11" s="51"/>
      <c r="M11" s="51"/>
      <c r="N11" s="51"/>
      <c r="O11" s="51"/>
      <c r="P11" s="51"/>
      <c r="Q11" s="144"/>
      <c r="R11" s="51" t="s">
        <v>190</v>
      </c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144"/>
      <c r="AK11" s="117" t="s">
        <v>170</v>
      </c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118"/>
    </row>
    <row r="12" spans="2:65" ht="20.100000000000001" customHeight="1" x14ac:dyDescent="0.45">
      <c r="B12" s="142"/>
      <c r="C12" s="30"/>
      <c r="D12" s="30"/>
      <c r="E12" s="30"/>
      <c r="F12" s="30"/>
      <c r="G12" s="115"/>
      <c r="H12" s="119" t="s">
        <v>120</v>
      </c>
      <c r="I12" s="54"/>
      <c r="J12" s="119" t="s">
        <v>171</v>
      </c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120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121"/>
    </row>
    <row r="13" spans="2:65" ht="20.100000000000001" customHeight="1" x14ac:dyDescent="0.45">
      <c r="B13" s="142"/>
      <c r="C13" s="30"/>
      <c r="D13" s="30"/>
      <c r="E13" s="30"/>
      <c r="F13" s="30"/>
      <c r="G13" s="115"/>
      <c r="H13" s="116"/>
      <c r="I13" s="30"/>
      <c r="J13" s="116" t="s">
        <v>172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117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118"/>
    </row>
    <row r="14" spans="2:65" ht="20.100000000000001" customHeight="1" x14ac:dyDescent="0.45">
      <c r="B14" s="114"/>
      <c r="C14" s="30"/>
      <c r="D14" s="30"/>
      <c r="E14" s="30"/>
      <c r="F14" s="30"/>
      <c r="G14" s="115"/>
      <c r="H14" s="119" t="s">
        <v>121</v>
      </c>
      <c r="I14" s="54"/>
      <c r="J14" s="119" t="s">
        <v>173</v>
      </c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120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121"/>
    </row>
    <row r="15" spans="2:65" ht="20.100000000000001" customHeight="1" x14ac:dyDescent="0.45">
      <c r="B15" s="114"/>
      <c r="C15" s="30"/>
      <c r="D15" s="30"/>
      <c r="E15" s="30"/>
      <c r="F15" s="30"/>
      <c r="G15" s="115"/>
      <c r="H15" s="116"/>
      <c r="I15" s="30"/>
      <c r="J15" s="116"/>
      <c r="K15" s="30" t="s">
        <v>172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117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118"/>
    </row>
    <row r="16" spans="2:65" ht="20.100000000000001" customHeight="1" x14ac:dyDescent="0.45">
      <c r="B16" s="114"/>
      <c r="C16" s="30"/>
      <c r="D16" s="30"/>
      <c r="E16" s="30"/>
      <c r="F16" s="30"/>
      <c r="G16" s="115"/>
      <c r="H16" s="122"/>
      <c r="I16" s="123"/>
      <c r="J16" s="122"/>
      <c r="K16" s="123"/>
      <c r="L16" s="123" t="s">
        <v>174</v>
      </c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4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5"/>
    </row>
    <row r="17" spans="2:61" ht="20.100000000000001" customHeight="1" x14ac:dyDescent="0.45">
      <c r="B17" s="114"/>
      <c r="C17" s="30"/>
      <c r="D17" s="30"/>
      <c r="E17" s="30"/>
      <c r="F17" s="30"/>
      <c r="G17" s="115"/>
      <c r="H17" s="116" t="s">
        <v>122</v>
      </c>
      <c r="I17" s="30"/>
      <c r="J17" s="116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117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118"/>
    </row>
    <row r="18" spans="2:61" ht="20.100000000000001" customHeight="1" thickBot="1" x14ac:dyDescent="0.5">
      <c r="B18" s="114"/>
      <c r="C18" s="30"/>
      <c r="D18" s="30"/>
      <c r="E18" s="30"/>
      <c r="F18" s="30"/>
      <c r="G18" s="115"/>
      <c r="H18" s="151" t="s">
        <v>175</v>
      </c>
      <c r="I18" s="152"/>
      <c r="J18" s="151" t="s">
        <v>176</v>
      </c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1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3"/>
    </row>
    <row r="19" spans="2:61" ht="20.100000000000001" customHeight="1" x14ac:dyDescent="0.45">
      <c r="B19" s="108" t="s">
        <v>158</v>
      </c>
      <c r="C19" s="109"/>
      <c r="D19" s="109"/>
      <c r="E19" s="109"/>
      <c r="F19" s="109"/>
      <c r="G19" s="110"/>
      <c r="H19" s="111" t="s">
        <v>151</v>
      </c>
      <c r="I19" s="109"/>
      <c r="J19" s="139" t="s">
        <v>160</v>
      </c>
      <c r="K19" s="140"/>
      <c r="L19" s="140"/>
      <c r="M19" s="140"/>
      <c r="N19" s="140"/>
      <c r="O19" s="140"/>
      <c r="P19" s="140"/>
      <c r="Q19" s="141"/>
      <c r="R19" s="140" t="s">
        <v>177</v>
      </c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1"/>
      <c r="AK19" s="112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13"/>
    </row>
    <row r="20" spans="2:61" ht="20.100000000000001" customHeight="1" x14ac:dyDescent="0.45">
      <c r="B20" s="142"/>
      <c r="C20" s="30"/>
      <c r="D20" s="30"/>
      <c r="E20" s="30"/>
      <c r="F20" s="30"/>
      <c r="G20" s="115"/>
      <c r="H20" s="116"/>
      <c r="I20" s="30"/>
      <c r="J20" s="143" t="s">
        <v>163</v>
      </c>
      <c r="K20" s="51"/>
      <c r="L20" s="51"/>
      <c r="M20" s="51"/>
      <c r="N20" s="51"/>
      <c r="O20" s="51"/>
      <c r="P20" s="51"/>
      <c r="Q20" s="144"/>
      <c r="R20" s="51" t="s">
        <v>178</v>
      </c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144"/>
      <c r="AK20" s="117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118"/>
    </row>
    <row r="21" spans="2:61" ht="20.100000000000001" customHeight="1" x14ac:dyDescent="0.45">
      <c r="B21" s="142"/>
      <c r="C21" s="30"/>
      <c r="D21" s="30"/>
      <c r="E21" s="30"/>
      <c r="F21" s="30"/>
      <c r="G21" s="115"/>
      <c r="H21" s="116"/>
      <c r="I21" s="30"/>
      <c r="J21" s="143" t="s">
        <v>162</v>
      </c>
      <c r="K21" s="51"/>
      <c r="L21" s="51"/>
      <c r="M21" s="51"/>
      <c r="N21" s="51"/>
      <c r="O21" s="51"/>
      <c r="P21" s="51"/>
      <c r="Q21" s="144"/>
      <c r="R21" s="51" t="s">
        <v>179</v>
      </c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144"/>
      <c r="AK21" s="117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118"/>
    </row>
    <row r="22" spans="2:61" ht="20.100000000000001" customHeight="1" x14ac:dyDescent="0.45">
      <c r="B22" s="142"/>
      <c r="C22" s="30"/>
      <c r="D22" s="30"/>
      <c r="E22" s="30"/>
      <c r="F22" s="30"/>
      <c r="G22" s="115"/>
      <c r="H22" s="119" t="s">
        <v>120</v>
      </c>
      <c r="I22" s="54"/>
      <c r="J22" s="119" t="s">
        <v>180</v>
      </c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120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121"/>
    </row>
    <row r="23" spans="2:61" ht="20.100000000000001" customHeight="1" x14ac:dyDescent="0.45">
      <c r="B23" s="114"/>
      <c r="C23" s="30"/>
      <c r="D23" s="30"/>
      <c r="E23" s="30"/>
      <c r="F23" s="30"/>
      <c r="G23" s="115"/>
      <c r="H23" s="119" t="s">
        <v>121</v>
      </c>
      <c r="I23" s="54"/>
      <c r="J23" s="119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120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121"/>
    </row>
    <row r="24" spans="2:61" ht="20.100000000000001" customHeight="1" x14ac:dyDescent="0.45">
      <c r="B24" s="114"/>
      <c r="C24" s="30"/>
      <c r="D24" s="30"/>
      <c r="E24" s="30"/>
      <c r="F24" s="30"/>
      <c r="G24" s="115"/>
      <c r="H24" s="119" t="s">
        <v>122</v>
      </c>
      <c r="I24" s="54"/>
      <c r="J24" s="119"/>
      <c r="K24" s="54" t="s">
        <v>183</v>
      </c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120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121"/>
    </row>
    <row r="25" spans="2:61" ht="20.100000000000001" customHeight="1" x14ac:dyDescent="0.45">
      <c r="B25" s="114"/>
      <c r="C25" s="30"/>
      <c r="D25" s="30"/>
      <c r="E25" s="30"/>
      <c r="F25" s="30"/>
      <c r="G25" s="115"/>
      <c r="H25" s="122"/>
      <c r="I25" s="123"/>
      <c r="J25" s="122" t="s">
        <v>182</v>
      </c>
      <c r="K25" s="123" t="s">
        <v>184</v>
      </c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4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5"/>
    </row>
    <row r="26" spans="2:61" ht="20.100000000000001" customHeight="1" thickBot="1" x14ac:dyDescent="0.5">
      <c r="B26" s="114"/>
      <c r="C26" s="30"/>
      <c r="D26" s="30"/>
      <c r="E26" s="30"/>
      <c r="F26" s="30"/>
      <c r="G26" s="115"/>
      <c r="H26" s="151" t="s">
        <v>181</v>
      </c>
      <c r="I26" s="152"/>
      <c r="J26" s="151" t="s">
        <v>185</v>
      </c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1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3"/>
    </row>
    <row r="27" spans="2:61" ht="20.100000000000001" customHeight="1" x14ac:dyDescent="0.45">
      <c r="B27" s="147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4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</row>
    <row r="28" spans="2:61" ht="20.100000000000001" customHeight="1" x14ac:dyDescent="0.45">
      <c r="B28" s="148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15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</row>
    <row r="29" spans="2:61" ht="20.100000000000001" customHeight="1" x14ac:dyDescent="0.45">
      <c r="B29" s="148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15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</row>
    <row r="30" spans="2:61" ht="20.100000000000001" customHeight="1" x14ac:dyDescent="0.45">
      <c r="B30" s="148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15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</row>
    <row r="31" spans="2:61" ht="20.100000000000001" customHeight="1" x14ac:dyDescent="0.45">
      <c r="B31" s="148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15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</row>
    <row r="32" spans="2:61" ht="20.100000000000001" customHeight="1" x14ac:dyDescent="0.45">
      <c r="B32" s="148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15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1:BM36"/>
  <sheetViews>
    <sheetView showGridLines="0" zoomScaleNormal="100" zoomScaleSheetLayoutView="100" workbookViewId="0">
      <selection activeCell="AJ19" sqref="AJ19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0" t="s">
        <v>0</v>
      </c>
      <c r="C2" s="218"/>
      <c r="D2" s="218"/>
      <c r="E2" s="218"/>
      <c r="F2" s="218"/>
      <c r="G2" s="218"/>
      <c r="H2" s="218" t="s">
        <v>17</v>
      </c>
      <c r="I2" s="218"/>
      <c r="J2" s="218"/>
      <c r="K2" s="218"/>
      <c r="L2" s="218" t="s">
        <v>1</v>
      </c>
      <c r="M2" s="218"/>
      <c r="N2" s="218"/>
      <c r="O2" s="218"/>
      <c r="P2" s="218"/>
      <c r="Q2" s="218"/>
      <c r="R2" s="218" t="s">
        <v>2</v>
      </c>
      <c r="S2" s="218"/>
      <c r="T2" s="218"/>
      <c r="U2" s="218"/>
      <c r="V2" s="218"/>
      <c r="W2" s="218"/>
      <c r="X2" s="218" t="s">
        <v>3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 t="s">
        <v>32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 t="s">
        <v>5</v>
      </c>
      <c r="AY2" s="218"/>
      <c r="AZ2" s="218"/>
      <c r="BA2" s="218"/>
      <c r="BB2" s="218" t="s">
        <v>4</v>
      </c>
      <c r="BC2" s="218"/>
      <c r="BD2" s="218"/>
      <c r="BE2" s="218"/>
      <c r="BF2" s="218" t="s">
        <v>6</v>
      </c>
      <c r="BG2" s="218"/>
      <c r="BH2" s="218"/>
      <c r="BI2" s="218"/>
      <c r="BJ2" s="218" t="s">
        <v>7</v>
      </c>
      <c r="BK2" s="218"/>
      <c r="BL2" s="218"/>
      <c r="BM2" s="219"/>
    </row>
    <row r="3" spans="2:65" ht="20.100000000000001" customHeight="1" x14ac:dyDescent="0.45">
      <c r="B3" s="221" t="str">
        <f>変更履歴!B3</f>
        <v>受発注システム</v>
      </c>
      <c r="C3" s="160"/>
      <c r="D3" s="160"/>
      <c r="E3" s="160"/>
      <c r="F3" s="160"/>
      <c r="G3" s="160"/>
      <c r="H3" s="160" t="str">
        <f ca="1">変更履歴!H3</f>
        <v>KH0200</v>
      </c>
      <c r="I3" s="160"/>
      <c r="J3" s="160"/>
      <c r="K3" s="160"/>
      <c r="L3" s="160" t="str">
        <f>変更履歴!L3</f>
        <v>受発注</v>
      </c>
      <c r="M3" s="160"/>
      <c r="N3" s="160"/>
      <c r="O3" s="160"/>
      <c r="P3" s="160"/>
      <c r="Q3" s="160"/>
      <c r="R3" s="160" t="str">
        <f ca="1">変更履歴!R3</f>
        <v>帳票設計書</v>
      </c>
      <c r="S3" s="160"/>
      <c r="T3" s="160"/>
      <c r="U3" s="160"/>
      <c r="V3" s="160"/>
      <c r="W3" s="160"/>
      <c r="X3" s="160" t="str">
        <f ca="1">変更履歴!X3</f>
        <v>KH0200_按分経費集計表_帳票設計書</v>
      </c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 t="str">
        <f ca="1">変更履歴!AK3</f>
        <v>按分経費集計表</v>
      </c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71">
        <f>変更履歴!AX3</f>
        <v>45576</v>
      </c>
      <c r="AY3" s="171"/>
      <c r="AZ3" s="171"/>
      <c r="BA3" s="171"/>
      <c r="BB3" s="160" t="str">
        <f>変更履歴!BB3</f>
        <v>大谷</v>
      </c>
      <c r="BC3" s="160"/>
      <c r="BD3" s="160"/>
      <c r="BE3" s="160"/>
      <c r="BF3" s="171">
        <f>変更履歴!BF3</f>
        <v>45576</v>
      </c>
      <c r="BG3" s="171"/>
      <c r="BH3" s="171"/>
      <c r="BI3" s="171"/>
      <c r="BJ3" s="160" t="str">
        <f>変更履歴!BJ3</f>
        <v>大谷</v>
      </c>
      <c r="BK3" s="160"/>
      <c r="BL3" s="160"/>
      <c r="BM3" s="216"/>
    </row>
    <row r="4" spans="2:65" ht="20.100000000000001" customHeight="1" thickBot="1" x14ac:dyDescent="0.5">
      <c r="B4" s="222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4"/>
      <c r="AY4" s="214"/>
      <c r="AZ4" s="214"/>
      <c r="BA4" s="214"/>
      <c r="BB4" s="215"/>
      <c r="BC4" s="215"/>
      <c r="BD4" s="215"/>
      <c r="BE4" s="215"/>
      <c r="BF4" s="214"/>
      <c r="BG4" s="214"/>
      <c r="BH4" s="214"/>
      <c r="BI4" s="214"/>
      <c r="BJ4" s="215"/>
      <c r="BK4" s="215"/>
      <c r="BL4" s="215"/>
      <c r="BM4" s="217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08" t="s">
        <v>123</v>
      </c>
      <c r="C7" s="109"/>
      <c r="D7" s="109"/>
      <c r="E7" s="109"/>
      <c r="F7" s="109"/>
      <c r="G7" s="109"/>
      <c r="H7" s="111" t="s">
        <v>151</v>
      </c>
      <c r="I7" s="110"/>
      <c r="J7" s="145" t="s">
        <v>20</v>
      </c>
      <c r="K7" s="140"/>
      <c r="L7" s="140"/>
      <c r="M7" s="140"/>
      <c r="N7" s="140"/>
      <c r="O7" s="140"/>
      <c r="P7" s="140"/>
      <c r="Q7" s="140"/>
      <c r="R7" s="145" t="s">
        <v>152</v>
      </c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1"/>
      <c r="AK7" s="112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13"/>
      <c r="BJ7" s="28"/>
      <c r="BK7" s="28"/>
      <c r="BL7" s="28"/>
      <c r="BM7" s="28"/>
    </row>
    <row r="8" spans="2:65" ht="20.100000000000001" customHeight="1" x14ac:dyDescent="0.45">
      <c r="B8" s="142"/>
      <c r="C8" s="30"/>
      <c r="D8" s="30"/>
      <c r="E8" s="30"/>
      <c r="F8" s="30"/>
      <c r="G8" s="30"/>
      <c r="H8" s="116"/>
      <c r="I8" s="115"/>
      <c r="J8" s="143" t="s">
        <v>153</v>
      </c>
      <c r="K8" s="51"/>
      <c r="L8" s="51"/>
      <c r="M8" s="51"/>
      <c r="N8" s="51"/>
      <c r="O8" s="51"/>
      <c r="P8" s="51"/>
      <c r="Q8" s="51"/>
      <c r="R8" s="143" t="s">
        <v>154</v>
      </c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144"/>
      <c r="AK8" s="117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118"/>
      <c r="BJ8" s="28"/>
      <c r="BK8" s="28"/>
      <c r="BL8" s="28"/>
      <c r="BM8" s="28"/>
    </row>
    <row r="9" spans="2:65" ht="20.100000000000001" customHeight="1" x14ac:dyDescent="0.45">
      <c r="B9" s="142"/>
      <c r="C9" s="30"/>
      <c r="D9" s="30"/>
      <c r="E9" s="30"/>
      <c r="F9" s="30"/>
      <c r="G9" s="30"/>
      <c r="H9" s="122"/>
      <c r="I9" s="146"/>
      <c r="J9" s="143" t="s">
        <v>155</v>
      </c>
      <c r="K9" s="51"/>
      <c r="L9" s="51"/>
      <c r="M9" s="51"/>
      <c r="N9" s="51"/>
      <c r="O9" s="51"/>
      <c r="P9" s="51"/>
      <c r="Q9" s="51"/>
      <c r="R9" s="143" t="s">
        <v>156</v>
      </c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144"/>
      <c r="AK9" s="124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5"/>
      <c r="BJ9" s="28"/>
      <c r="BK9" s="28"/>
      <c r="BL9" s="28"/>
      <c r="BM9" s="28"/>
    </row>
    <row r="10" spans="2:65" ht="20.100000000000001" customHeight="1" x14ac:dyDescent="0.45">
      <c r="B10" s="142"/>
      <c r="C10" s="30"/>
      <c r="D10" s="30"/>
      <c r="E10" s="30"/>
      <c r="F10" s="30"/>
      <c r="G10" s="115"/>
      <c r="H10" s="116" t="s">
        <v>124</v>
      </c>
      <c r="I10" s="30"/>
      <c r="J10" s="130" t="s">
        <v>125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117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118"/>
      <c r="BJ10" s="28"/>
      <c r="BK10" s="28"/>
      <c r="BL10" s="28"/>
      <c r="BM10" s="28"/>
    </row>
    <row r="11" spans="2:65" ht="20.100000000000001" customHeight="1" x14ac:dyDescent="0.45">
      <c r="B11" s="114"/>
      <c r="C11" s="30"/>
      <c r="D11" s="30"/>
      <c r="E11" s="30"/>
      <c r="F11" s="30"/>
      <c r="G11" s="115"/>
      <c r="H11" s="116"/>
      <c r="I11" s="30"/>
      <c r="J11" s="116" t="s">
        <v>126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117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118"/>
      <c r="BJ11" s="28"/>
      <c r="BK11" s="28"/>
      <c r="BL11" s="28"/>
      <c r="BM11" s="28"/>
    </row>
    <row r="12" spans="2:65" ht="20.100000000000001" customHeight="1" x14ac:dyDescent="0.45">
      <c r="B12" s="114"/>
      <c r="C12" s="30"/>
      <c r="D12" s="30"/>
      <c r="E12" s="30"/>
      <c r="F12" s="30"/>
      <c r="G12" s="115"/>
      <c r="H12" s="116"/>
      <c r="I12" s="30"/>
      <c r="J12" s="116" t="s">
        <v>127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117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118"/>
      <c r="BJ12" s="28"/>
      <c r="BK12" s="28"/>
      <c r="BL12" s="28"/>
      <c r="BM12" s="28"/>
    </row>
    <row r="13" spans="2:65" ht="20.100000000000001" customHeight="1" x14ac:dyDescent="0.45">
      <c r="B13" s="114"/>
      <c r="C13" s="30"/>
      <c r="D13" s="30"/>
      <c r="E13" s="30"/>
      <c r="F13" s="30"/>
      <c r="G13" s="115"/>
      <c r="H13" s="116"/>
      <c r="I13" s="30"/>
      <c r="J13" s="116" t="s">
        <v>128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117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118"/>
      <c r="BJ13" s="28"/>
      <c r="BK13" s="28"/>
      <c r="BL13" s="28"/>
      <c r="BM13" s="28"/>
    </row>
    <row r="14" spans="2:65" ht="20.100000000000001" customHeight="1" x14ac:dyDescent="0.45">
      <c r="B14" s="114"/>
      <c r="C14" s="30"/>
      <c r="D14" s="30"/>
      <c r="E14" s="30"/>
      <c r="F14" s="30"/>
      <c r="G14" s="115"/>
      <c r="H14" s="119" t="s">
        <v>129</v>
      </c>
      <c r="I14" s="54"/>
      <c r="J14" s="126" t="s">
        <v>130</v>
      </c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120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121"/>
      <c r="BJ14" s="28"/>
      <c r="BK14" s="28"/>
      <c r="BL14" s="28"/>
      <c r="BM14" s="28"/>
    </row>
    <row r="15" spans="2:65" ht="20.100000000000001" customHeight="1" x14ac:dyDescent="0.45">
      <c r="B15" s="114"/>
      <c r="C15" s="30"/>
      <c r="D15" s="30"/>
      <c r="E15" s="30"/>
      <c r="F15" s="30"/>
      <c r="G15" s="115"/>
      <c r="H15" s="116"/>
      <c r="I15" s="30"/>
      <c r="J15" s="127"/>
      <c r="K15" s="128" t="s">
        <v>131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117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118"/>
      <c r="BJ15" s="28"/>
      <c r="BK15" s="28"/>
      <c r="BL15" s="28"/>
      <c r="BM15" s="28"/>
    </row>
    <row r="16" spans="2:65" ht="20.100000000000001" customHeight="1" x14ac:dyDescent="0.45">
      <c r="B16" s="114"/>
      <c r="C16" s="30"/>
      <c r="D16" s="30"/>
      <c r="E16" s="30"/>
      <c r="F16" s="30"/>
      <c r="G16" s="115"/>
      <c r="H16" s="116"/>
      <c r="I16" s="30"/>
      <c r="J16" s="116"/>
      <c r="K16" s="28"/>
      <c r="L16" s="129"/>
      <c r="M16" s="128" t="s">
        <v>132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117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118"/>
      <c r="BJ16" s="28"/>
      <c r="BK16" s="28"/>
      <c r="BL16" s="28"/>
      <c r="BM16" s="28"/>
    </row>
    <row r="17" spans="2:65" ht="20.100000000000001" customHeight="1" x14ac:dyDescent="0.45">
      <c r="B17" s="114"/>
      <c r="C17" s="30"/>
      <c r="D17" s="30"/>
      <c r="E17" s="30"/>
      <c r="F17" s="30"/>
      <c r="G17" s="115"/>
      <c r="H17" s="116"/>
      <c r="I17" s="30"/>
      <c r="J17" s="116"/>
      <c r="K17" s="28"/>
      <c r="L17" s="129" t="s">
        <v>133</v>
      </c>
      <c r="M17" s="128" t="s">
        <v>132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117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118"/>
      <c r="BJ17" s="28"/>
      <c r="BK17" s="28"/>
      <c r="BL17" s="28"/>
      <c r="BM17" s="28"/>
    </row>
    <row r="18" spans="2:65" ht="20.100000000000001" customHeight="1" x14ac:dyDescent="0.45">
      <c r="B18" s="114"/>
      <c r="C18" s="30"/>
      <c r="D18" s="30"/>
      <c r="E18" s="30"/>
      <c r="F18" s="30"/>
      <c r="G18" s="115"/>
      <c r="H18" s="116"/>
      <c r="I18" s="30"/>
      <c r="J18" s="116"/>
      <c r="K18" s="28"/>
      <c r="L18" s="129" t="s">
        <v>134</v>
      </c>
      <c r="M18" s="128" t="s">
        <v>132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117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118"/>
      <c r="BJ18" s="28"/>
      <c r="BK18" s="28"/>
      <c r="BL18" s="28"/>
      <c r="BM18" s="28"/>
    </row>
    <row r="19" spans="2:65" ht="20.100000000000001" customHeight="1" x14ac:dyDescent="0.45">
      <c r="B19" s="114"/>
      <c r="C19" s="30"/>
      <c r="D19" s="30"/>
      <c r="E19" s="30"/>
      <c r="F19" s="30"/>
      <c r="G19" s="115"/>
      <c r="H19" s="116"/>
      <c r="I19" s="30"/>
      <c r="J19" s="116" t="s">
        <v>135</v>
      </c>
      <c r="K19" s="129"/>
      <c r="L19" s="128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117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118"/>
      <c r="BJ19" s="28"/>
      <c r="BK19" s="28"/>
      <c r="BL19" s="28"/>
      <c r="BM19" s="28"/>
    </row>
    <row r="20" spans="2:65" ht="20.100000000000001" customHeight="1" x14ac:dyDescent="0.45">
      <c r="B20" s="114"/>
      <c r="C20" s="30"/>
      <c r="D20" s="30"/>
      <c r="E20" s="30"/>
      <c r="F20" s="30"/>
      <c r="G20" s="115"/>
      <c r="H20" s="116"/>
      <c r="I20" s="30"/>
      <c r="J20" s="116"/>
      <c r="K20" s="30" t="s">
        <v>136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117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118"/>
      <c r="BJ20" s="28"/>
      <c r="BK20" s="28"/>
      <c r="BL20" s="28"/>
      <c r="BM20" s="28"/>
    </row>
    <row r="21" spans="2:65" ht="20.100000000000001" customHeight="1" x14ac:dyDescent="0.45">
      <c r="B21" s="114"/>
      <c r="C21" s="30"/>
      <c r="D21" s="30"/>
      <c r="E21" s="30"/>
      <c r="F21" s="30"/>
      <c r="G21" s="115"/>
      <c r="H21" s="116"/>
      <c r="I21" s="30"/>
      <c r="J21" s="116"/>
      <c r="K21" s="28"/>
      <c r="L21" s="30"/>
      <c r="M21" s="30" t="s">
        <v>137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117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118"/>
    </row>
    <row r="22" spans="2:65" ht="20.100000000000001" customHeight="1" x14ac:dyDescent="0.45">
      <c r="B22" s="114"/>
      <c r="C22" s="30"/>
      <c r="D22" s="30"/>
      <c r="E22" s="30"/>
      <c r="F22" s="30"/>
      <c r="G22" s="115"/>
      <c r="H22" s="122"/>
      <c r="I22" s="123"/>
      <c r="J22" s="122"/>
      <c r="K22" s="123"/>
      <c r="L22" s="123" t="s">
        <v>133</v>
      </c>
      <c r="M22" s="123" t="s">
        <v>138</v>
      </c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4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5"/>
    </row>
    <row r="23" spans="2:65" ht="20.100000000000001" customHeight="1" x14ac:dyDescent="0.45">
      <c r="B23" s="114"/>
      <c r="C23" s="30"/>
      <c r="D23" s="30"/>
      <c r="E23" s="30"/>
      <c r="F23" s="30"/>
      <c r="G23" s="115"/>
      <c r="H23" s="116" t="s">
        <v>139</v>
      </c>
      <c r="I23" s="30"/>
      <c r="J23" s="130"/>
      <c r="K23" s="128" t="s">
        <v>140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131" t="s">
        <v>141</v>
      </c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118"/>
    </row>
    <row r="24" spans="2:65" ht="20.100000000000001" customHeight="1" x14ac:dyDescent="0.45">
      <c r="B24" s="114"/>
      <c r="C24" s="30"/>
      <c r="D24" s="30"/>
      <c r="E24" s="30"/>
      <c r="F24" s="30"/>
      <c r="G24" s="115"/>
      <c r="H24" s="116"/>
      <c r="I24" s="30"/>
      <c r="J24" s="130" t="s">
        <v>133</v>
      </c>
      <c r="K24" s="128" t="s">
        <v>142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117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118"/>
    </row>
    <row r="25" spans="2:65" ht="20.100000000000001" customHeight="1" x14ac:dyDescent="0.45">
      <c r="B25" s="114"/>
      <c r="C25" s="30"/>
      <c r="D25" s="30"/>
      <c r="E25" s="30"/>
      <c r="F25" s="30"/>
      <c r="G25" s="115"/>
      <c r="H25" s="116"/>
      <c r="I25" s="30"/>
      <c r="J25" s="130" t="s">
        <v>134</v>
      </c>
      <c r="K25" s="128" t="s">
        <v>142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117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118"/>
    </row>
    <row r="26" spans="2:65" ht="20.100000000000001" customHeight="1" x14ac:dyDescent="0.45">
      <c r="B26" s="114"/>
      <c r="C26" s="30"/>
      <c r="D26" s="30"/>
      <c r="E26" s="30"/>
      <c r="F26" s="30"/>
      <c r="G26" s="115"/>
      <c r="H26" s="116"/>
      <c r="I26" s="30"/>
      <c r="J26" s="130" t="s">
        <v>143</v>
      </c>
      <c r="K26" s="128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117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118"/>
    </row>
    <row r="27" spans="2:65" ht="20.100000000000001" customHeight="1" x14ac:dyDescent="0.45">
      <c r="B27" s="114"/>
      <c r="C27" s="30"/>
      <c r="D27" s="30"/>
      <c r="E27" s="30"/>
      <c r="F27" s="30"/>
      <c r="G27" s="115"/>
      <c r="H27" s="116"/>
      <c r="I27" s="30"/>
      <c r="J27" s="116"/>
      <c r="K27" s="30" t="s">
        <v>144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132" t="s">
        <v>145</v>
      </c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118"/>
    </row>
    <row r="28" spans="2:65" ht="20.100000000000001" customHeight="1" x14ac:dyDescent="0.45">
      <c r="B28" s="114"/>
      <c r="C28" s="30"/>
      <c r="D28" s="30"/>
      <c r="E28" s="30"/>
      <c r="F28" s="30"/>
      <c r="G28" s="115"/>
      <c r="H28" s="116"/>
      <c r="I28" s="30"/>
      <c r="J28" s="116" t="s">
        <v>133</v>
      </c>
      <c r="K28" s="30" t="s">
        <v>146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116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118"/>
    </row>
    <row r="29" spans="2:65" ht="20.100000000000001" customHeight="1" x14ac:dyDescent="0.45">
      <c r="B29" s="114"/>
      <c r="C29" s="30"/>
      <c r="D29" s="30"/>
      <c r="E29" s="30"/>
      <c r="F29" s="30"/>
      <c r="G29" s="115"/>
      <c r="H29" s="116"/>
      <c r="I29" s="30"/>
      <c r="J29" s="1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116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118"/>
    </row>
    <row r="30" spans="2:65" ht="20.100000000000001" customHeight="1" x14ac:dyDescent="0.45">
      <c r="B30" s="114"/>
      <c r="C30" s="30"/>
      <c r="D30" s="30"/>
      <c r="E30" s="30"/>
      <c r="F30" s="30"/>
      <c r="G30" s="115"/>
      <c r="H30" s="116"/>
      <c r="I30" s="30"/>
      <c r="J30" s="116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116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118"/>
    </row>
    <row r="31" spans="2:65" ht="20.100000000000001" customHeight="1" x14ac:dyDescent="0.45">
      <c r="B31" s="114"/>
      <c r="C31" s="30"/>
      <c r="D31" s="30"/>
      <c r="E31" s="30"/>
      <c r="F31" s="30"/>
      <c r="G31" s="115"/>
      <c r="H31" s="122"/>
      <c r="I31" s="123"/>
      <c r="J31" s="122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2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5"/>
    </row>
    <row r="32" spans="2:65" ht="20.100000000000001" customHeight="1" x14ac:dyDescent="0.45">
      <c r="B32" s="114"/>
      <c r="C32" s="30"/>
      <c r="D32" s="30"/>
      <c r="E32" s="30"/>
      <c r="F32" s="30"/>
      <c r="G32" s="115"/>
      <c r="H32" s="116" t="s">
        <v>147</v>
      </c>
      <c r="I32" s="30"/>
      <c r="J32" s="130" t="s">
        <v>148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116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118"/>
    </row>
    <row r="33" spans="2:61" ht="20.100000000000001" customHeight="1" x14ac:dyDescent="0.45">
      <c r="B33" s="114"/>
      <c r="C33" s="30"/>
      <c r="D33" s="30"/>
      <c r="E33" s="30"/>
      <c r="F33" s="30"/>
      <c r="G33" s="115"/>
      <c r="H33" s="116"/>
      <c r="I33" s="30"/>
      <c r="J33" s="130" t="s">
        <v>149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116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118"/>
    </row>
    <row r="34" spans="2:61" ht="20.100000000000001" customHeight="1" thickBot="1" x14ac:dyDescent="0.5">
      <c r="B34" s="133"/>
      <c r="C34" s="134"/>
      <c r="D34" s="134"/>
      <c r="E34" s="134"/>
      <c r="F34" s="134"/>
      <c r="G34" s="135"/>
      <c r="H34" s="136"/>
      <c r="I34" s="134"/>
      <c r="J34" s="136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6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7"/>
    </row>
    <row r="35" spans="2:61" ht="20.100000000000001" customHeight="1" x14ac:dyDescent="0.4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</row>
    <row r="36" spans="2:61" ht="20.100000000000001" customHeight="1" x14ac:dyDescent="0.45">
      <c r="B36" s="28"/>
      <c r="C36" s="28"/>
      <c r="D36" s="28"/>
      <c r="E36" s="28"/>
      <c r="F36" s="28"/>
      <c r="G36" s="28"/>
      <c r="H36" s="138" t="s">
        <v>150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2:F55"/>
  <sheetViews>
    <sheetView workbookViewId="0"/>
  </sheetViews>
  <sheetFormatPr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86" t="s">
        <v>48</v>
      </c>
    </row>
    <row r="3" spans="2:6" ht="18.600000000000001" thickTop="1" x14ac:dyDescent="0.45">
      <c r="B3" s="37" t="s">
        <v>19</v>
      </c>
      <c r="C3" s="76" t="s">
        <v>49</v>
      </c>
      <c r="D3" s="76" t="s">
        <v>50</v>
      </c>
      <c r="E3" s="73" t="s">
        <v>21</v>
      </c>
      <c r="F3" s="77" t="s">
        <v>51</v>
      </c>
    </row>
    <row r="4" spans="2:6" x14ac:dyDescent="0.45">
      <c r="B4" s="36">
        <v>1</v>
      </c>
      <c r="C4" s="78"/>
      <c r="D4" s="78"/>
      <c r="E4" s="79"/>
      <c r="F4" s="80"/>
    </row>
    <row r="5" spans="2:6" x14ac:dyDescent="0.45">
      <c r="B5" s="36">
        <v>2</v>
      </c>
      <c r="C5" s="78"/>
      <c r="D5" s="78"/>
      <c r="E5" s="81"/>
      <c r="F5" s="80"/>
    </row>
    <row r="6" spans="2:6" x14ac:dyDescent="0.45">
      <c r="B6" s="36">
        <v>3</v>
      </c>
      <c r="C6" s="78"/>
      <c r="D6" s="78"/>
      <c r="E6" s="81"/>
      <c r="F6" s="80"/>
    </row>
    <row r="7" spans="2:6" x14ac:dyDescent="0.45">
      <c r="B7" s="36">
        <v>4</v>
      </c>
      <c r="C7" s="78"/>
      <c r="D7" s="78"/>
      <c r="E7" s="81"/>
      <c r="F7" s="80"/>
    </row>
    <row r="8" spans="2:6" x14ac:dyDescent="0.45">
      <c r="B8" s="36">
        <v>5</v>
      </c>
      <c r="C8" s="78"/>
      <c r="D8" s="78"/>
      <c r="E8" s="81"/>
      <c r="F8" s="80"/>
    </row>
    <row r="9" spans="2:6" x14ac:dyDescent="0.45">
      <c r="B9" s="36">
        <v>6</v>
      </c>
      <c r="C9" s="78"/>
      <c r="D9" s="78"/>
      <c r="E9" s="81"/>
      <c r="F9" s="80"/>
    </row>
    <row r="10" spans="2:6" x14ac:dyDescent="0.45">
      <c r="B10" s="36">
        <v>7</v>
      </c>
      <c r="C10" s="78"/>
      <c r="D10" s="78"/>
      <c r="E10" s="81"/>
      <c r="F10" s="80"/>
    </row>
    <row r="11" spans="2:6" x14ac:dyDescent="0.45">
      <c r="B11" s="36">
        <v>8</v>
      </c>
      <c r="C11" s="78"/>
      <c r="D11" s="78"/>
      <c r="E11" s="81"/>
      <c r="F11" s="80"/>
    </row>
    <row r="12" spans="2:6" x14ac:dyDescent="0.45">
      <c r="B12" s="36">
        <v>9</v>
      </c>
      <c r="C12" s="78"/>
      <c r="D12" s="78"/>
      <c r="E12" s="81"/>
      <c r="F12" s="80"/>
    </row>
    <row r="13" spans="2:6" x14ac:dyDescent="0.45">
      <c r="B13" s="36">
        <v>10</v>
      </c>
      <c r="C13" s="78"/>
      <c r="D13" s="78"/>
      <c r="E13" s="81"/>
      <c r="F13" s="80"/>
    </row>
    <row r="14" spans="2:6" x14ac:dyDescent="0.45">
      <c r="B14" s="36">
        <v>11</v>
      </c>
      <c r="C14" s="78"/>
      <c r="D14" s="78"/>
      <c r="E14" s="81"/>
      <c r="F14" s="80"/>
    </row>
    <row r="15" spans="2:6" x14ac:dyDescent="0.45">
      <c r="B15" s="36">
        <v>12</v>
      </c>
      <c r="C15" s="78"/>
      <c r="D15" s="78"/>
      <c r="E15" s="81"/>
      <c r="F15" s="80"/>
    </row>
    <row r="16" spans="2:6" x14ac:dyDescent="0.45">
      <c r="B16" s="36">
        <v>13</v>
      </c>
      <c r="C16" s="78"/>
      <c r="D16" s="78"/>
      <c r="E16" s="81"/>
      <c r="F16" s="80"/>
    </row>
    <row r="17" spans="2:6" x14ac:dyDescent="0.45">
      <c r="B17" s="36">
        <v>14</v>
      </c>
      <c r="C17" s="78"/>
      <c r="D17" s="78"/>
      <c r="E17" s="81"/>
      <c r="F17" s="80"/>
    </row>
    <row r="18" spans="2:6" x14ac:dyDescent="0.45">
      <c r="B18" s="36">
        <v>15</v>
      </c>
      <c r="C18" s="78"/>
      <c r="D18" s="78"/>
      <c r="E18" s="81"/>
      <c r="F18" s="80"/>
    </row>
    <row r="19" spans="2:6" x14ac:dyDescent="0.45">
      <c r="B19" s="36">
        <v>16</v>
      </c>
      <c r="C19" s="78"/>
      <c r="D19" s="78"/>
      <c r="E19" s="81"/>
      <c r="F19" s="80"/>
    </row>
    <row r="20" spans="2:6" x14ac:dyDescent="0.45">
      <c r="B20" s="36">
        <v>17</v>
      </c>
      <c r="C20" s="78"/>
      <c r="D20" s="78"/>
      <c r="E20" s="81"/>
      <c r="F20" s="80"/>
    </row>
    <row r="21" spans="2:6" x14ac:dyDescent="0.45">
      <c r="B21" s="36">
        <v>18</v>
      </c>
      <c r="C21" s="78"/>
      <c r="D21" s="78"/>
      <c r="E21" s="81"/>
      <c r="F21" s="80"/>
    </row>
    <row r="22" spans="2:6" x14ac:dyDescent="0.45">
      <c r="B22" s="36">
        <v>19</v>
      </c>
      <c r="C22" s="78"/>
      <c r="D22" s="78"/>
      <c r="E22" s="81"/>
      <c r="F22" s="80"/>
    </row>
    <row r="23" spans="2:6" x14ac:dyDescent="0.45">
      <c r="B23" s="36">
        <v>20</v>
      </c>
      <c r="C23" s="78"/>
      <c r="D23" s="78"/>
      <c r="E23" s="81"/>
      <c r="F23" s="80"/>
    </row>
    <row r="24" spans="2:6" x14ac:dyDescent="0.45">
      <c r="B24" s="36">
        <v>21</v>
      </c>
      <c r="C24" s="78"/>
      <c r="D24" s="78"/>
      <c r="E24" s="81"/>
      <c r="F24" s="80"/>
    </row>
    <row r="25" spans="2:6" x14ac:dyDescent="0.45">
      <c r="B25" s="36">
        <v>22</v>
      </c>
      <c r="C25" s="78"/>
      <c r="D25" s="78"/>
      <c r="E25" s="81"/>
      <c r="F25" s="80"/>
    </row>
    <row r="26" spans="2:6" x14ac:dyDescent="0.45">
      <c r="B26" s="36">
        <v>23</v>
      </c>
      <c r="C26" s="78"/>
      <c r="D26" s="78"/>
      <c r="E26" s="81"/>
      <c r="F26" s="80"/>
    </row>
    <row r="27" spans="2:6" x14ac:dyDescent="0.45">
      <c r="B27" s="36">
        <v>24</v>
      </c>
      <c r="C27" s="78"/>
      <c r="D27" s="78"/>
      <c r="E27" s="81"/>
      <c r="F27" s="80"/>
    </row>
    <row r="28" spans="2:6" x14ac:dyDescent="0.45">
      <c r="B28" s="36">
        <v>25</v>
      </c>
      <c r="C28" s="78"/>
      <c r="D28" s="78"/>
      <c r="E28" s="81"/>
      <c r="F28" s="80"/>
    </row>
    <row r="29" spans="2:6" x14ac:dyDescent="0.45">
      <c r="B29" s="36">
        <v>26</v>
      </c>
      <c r="C29" s="78"/>
      <c r="D29" s="78"/>
      <c r="E29" s="81"/>
      <c r="F29" s="80"/>
    </row>
    <row r="30" spans="2:6" x14ac:dyDescent="0.45">
      <c r="B30" s="36">
        <v>27</v>
      </c>
      <c r="C30" s="78"/>
      <c r="D30" s="78"/>
      <c r="E30" s="81"/>
      <c r="F30" s="80"/>
    </row>
    <row r="31" spans="2:6" x14ac:dyDescent="0.45">
      <c r="B31" s="36">
        <v>28</v>
      </c>
      <c r="C31" s="78"/>
      <c r="D31" s="78"/>
      <c r="E31" s="81"/>
      <c r="F31" s="80"/>
    </row>
    <row r="32" spans="2:6" x14ac:dyDescent="0.45">
      <c r="B32" s="36">
        <v>29</v>
      </c>
      <c r="C32" s="78"/>
      <c r="D32" s="78"/>
      <c r="E32" s="81"/>
      <c r="F32" s="80"/>
    </row>
    <row r="33" spans="2:6" x14ac:dyDescent="0.45">
      <c r="B33" s="36">
        <v>30</v>
      </c>
      <c r="C33" s="78"/>
      <c r="D33" s="78"/>
      <c r="E33" s="81"/>
      <c r="F33" s="80"/>
    </row>
    <row r="34" spans="2:6" x14ac:dyDescent="0.45">
      <c r="B34" s="36">
        <v>31</v>
      </c>
      <c r="C34" s="78"/>
      <c r="D34" s="78"/>
      <c r="E34" s="81"/>
      <c r="F34" s="80"/>
    </row>
    <row r="35" spans="2:6" x14ac:dyDescent="0.45">
      <c r="B35" s="36">
        <v>32</v>
      </c>
      <c r="C35" s="78"/>
      <c r="D35" s="78"/>
      <c r="E35" s="81"/>
      <c r="F35" s="80"/>
    </row>
    <row r="36" spans="2:6" x14ac:dyDescent="0.45">
      <c r="B36" s="36">
        <v>33</v>
      </c>
      <c r="C36" s="78"/>
      <c r="D36" s="78"/>
      <c r="E36" s="81"/>
      <c r="F36" s="80"/>
    </row>
    <row r="37" spans="2:6" x14ac:dyDescent="0.45">
      <c r="B37" s="36">
        <v>34</v>
      </c>
      <c r="C37" s="78"/>
      <c r="D37" s="78"/>
      <c r="E37" s="81"/>
      <c r="F37" s="80"/>
    </row>
    <row r="38" spans="2:6" x14ac:dyDescent="0.45">
      <c r="B38" s="36">
        <v>35</v>
      </c>
      <c r="C38" s="78"/>
      <c r="D38" s="78"/>
      <c r="E38" s="81"/>
      <c r="F38" s="80"/>
    </row>
    <row r="39" spans="2:6" x14ac:dyDescent="0.45">
      <c r="B39" s="36">
        <v>36</v>
      </c>
      <c r="C39" s="78"/>
      <c r="D39" s="78"/>
      <c r="E39" s="81"/>
      <c r="F39" s="80"/>
    </row>
    <row r="40" spans="2:6" x14ac:dyDescent="0.45">
      <c r="B40" s="36">
        <v>37</v>
      </c>
      <c r="C40" s="78"/>
      <c r="D40" s="78"/>
      <c r="E40" s="81"/>
      <c r="F40" s="80"/>
    </row>
    <row r="41" spans="2:6" x14ac:dyDescent="0.45">
      <c r="B41" s="36">
        <v>38</v>
      </c>
      <c r="C41" s="78"/>
      <c r="D41" s="78"/>
      <c r="E41" s="81"/>
      <c r="F41" s="80"/>
    </row>
    <row r="42" spans="2:6" x14ac:dyDescent="0.45">
      <c r="B42" s="36">
        <v>39</v>
      </c>
      <c r="C42" s="78"/>
      <c r="D42" s="78"/>
      <c r="E42" s="81"/>
      <c r="F42" s="80"/>
    </row>
    <row r="43" spans="2:6" x14ac:dyDescent="0.45">
      <c r="B43" s="36">
        <v>40</v>
      </c>
      <c r="C43" s="78"/>
      <c r="D43" s="78"/>
      <c r="E43" s="81"/>
      <c r="F43" s="80"/>
    </row>
    <row r="44" spans="2:6" x14ac:dyDescent="0.45">
      <c r="B44" s="36">
        <v>41</v>
      </c>
      <c r="C44" s="78"/>
      <c r="D44" s="78"/>
      <c r="E44" s="81"/>
      <c r="F44" s="80"/>
    </row>
    <row r="45" spans="2:6" x14ac:dyDescent="0.45">
      <c r="B45" s="36">
        <v>42</v>
      </c>
      <c r="C45" s="78"/>
      <c r="D45" s="78"/>
      <c r="E45" s="81"/>
      <c r="F45" s="80"/>
    </row>
    <row r="46" spans="2:6" x14ac:dyDescent="0.45">
      <c r="B46" s="36">
        <v>43</v>
      </c>
      <c r="C46" s="78"/>
      <c r="D46" s="78"/>
      <c r="E46" s="81"/>
      <c r="F46" s="80"/>
    </row>
    <row r="47" spans="2:6" x14ac:dyDescent="0.45">
      <c r="B47" s="36">
        <v>44</v>
      </c>
      <c r="C47" s="78"/>
      <c r="D47" s="78"/>
      <c r="E47" s="81"/>
      <c r="F47" s="80"/>
    </row>
    <row r="48" spans="2:6" x14ac:dyDescent="0.45">
      <c r="B48" s="36">
        <v>45</v>
      </c>
      <c r="C48" s="78"/>
      <c r="D48" s="78"/>
      <c r="E48" s="81"/>
      <c r="F48" s="80"/>
    </row>
    <row r="49" spans="2:6" x14ac:dyDescent="0.45">
      <c r="B49" s="36">
        <v>46</v>
      </c>
      <c r="C49" s="78"/>
      <c r="D49" s="78"/>
      <c r="E49" s="81"/>
      <c r="F49" s="80"/>
    </row>
    <row r="50" spans="2:6" x14ac:dyDescent="0.45">
      <c r="B50" s="36">
        <v>47</v>
      </c>
      <c r="C50" s="78"/>
      <c r="D50" s="78"/>
      <c r="E50" s="81"/>
      <c r="F50" s="80"/>
    </row>
    <row r="51" spans="2:6" x14ac:dyDescent="0.45">
      <c r="B51" s="36">
        <v>48</v>
      </c>
      <c r="C51" s="78"/>
      <c r="D51" s="78"/>
      <c r="E51" s="81"/>
      <c r="F51" s="80"/>
    </row>
    <row r="52" spans="2:6" x14ac:dyDescent="0.45">
      <c r="B52" s="36">
        <v>49</v>
      </c>
      <c r="C52" s="78"/>
      <c r="D52" s="78"/>
      <c r="E52" s="81"/>
      <c r="F52" s="80"/>
    </row>
    <row r="53" spans="2:6" x14ac:dyDescent="0.45">
      <c r="B53" s="36">
        <v>50</v>
      </c>
      <c r="C53" s="78"/>
      <c r="D53" s="78"/>
      <c r="E53" s="81"/>
      <c r="F53" s="80"/>
    </row>
    <row r="54" spans="2:6" ht="18.600000000000001" thickBot="1" x14ac:dyDescent="0.5">
      <c r="B54" s="82">
        <v>51</v>
      </c>
      <c r="C54" s="83"/>
      <c r="D54" s="83"/>
      <c r="E54" s="84"/>
      <c r="F54" s="85"/>
    </row>
    <row r="55" spans="2:6" ht="18.60000000000000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H2"/>
  <sheetViews>
    <sheetView workbookViewId="0"/>
  </sheetViews>
  <sheetFormatPr defaultRowHeight="13.2" x14ac:dyDescent="0.45"/>
  <cols>
    <col min="1" max="1" width="8.796875" style="88"/>
    <col min="2" max="2" width="8.5" style="88" customWidth="1"/>
    <col min="3" max="3" width="9.8984375" style="88" bestFit="1" customWidth="1"/>
    <col min="4" max="4" width="8.5" style="88" bestFit="1" customWidth="1"/>
    <col min="5" max="5" width="10" style="88" customWidth="1"/>
    <col min="6" max="6" width="11.59765625" style="88" customWidth="1"/>
    <col min="7" max="257" width="8.796875" style="88"/>
    <col min="258" max="258" width="8.5" style="88" customWidth="1"/>
    <col min="259" max="259" width="9.8984375" style="88" bestFit="1" customWidth="1"/>
    <col min="260" max="260" width="8.5" style="88" bestFit="1" customWidth="1"/>
    <col min="261" max="261" width="10" style="88" customWidth="1"/>
    <col min="262" max="262" width="11.59765625" style="88" customWidth="1"/>
    <col min="263" max="513" width="8.796875" style="88"/>
    <col min="514" max="514" width="8.5" style="88" customWidth="1"/>
    <col min="515" max="515" width="9.8984375" style="88" bestFit="1" customWidth="1"/>
    <col min="516" max="516" width="8.5" style="88" bestFit="1" customWidth="1"/>
    <col min="517" max="517" width="10" style="88" customWidth="1"/>
    <col min="518" max="518" width="11.59765625" style="88" customWidth="1"/>
    <col min="519" max="769" width="8.796875" style="88"/>
    <col min="770" max="770" width="8.5" style="88" customWidth="1"/>
    <col min="771" max="771" width="9.8984375" style="88" bestFit="1" customWidth="1"/>
    <col min="772" max="772" width="8.5" style="88" bestFit="1" customWidth="1"/>
    <col min="773" max="773" width="10" style="88" customWidth="1"/>
    <col min="774" max="774" width="11.59765625" style="88" customWidth="1"/>
    <col min="775" max="1025" width="8.796875" style="88"/>
    <col min="1026" max="1026" width="8.5" style="88" customWidth="1"/>
    <col min="1027" max="1027" width="9.8984375" style="88" bestFit="1" customWidth="1"/>
    <col min="1028" max="1028" width="8.5" style="88" bestFit="1" customWidth="1"/>
    <col min="1029" max="1029" width="10" style="88" customWidth="1"/>
    <col min="1030" max="1030" width="11.59765625" style="88" customWidth="1"/>
    <col min="1031" max="1281" width="8.796875" style="88"/>
    <col min="1282" max="1282" width="8.5" style="88" customWidth="1"/>
    <col min="1283" max="1283" width="9.8984375" style="88" bestFit="1" customWidth="1"/>
    <col min="1284" max="1284" width="8.5" style="88" bestFit="1" customWidth="1"/>
    <col min="1285" max="1285" width="10" style="88" customWidth="1"/>
    <col min="1286" max="1286" width="11.59765625" style="88" customWidth="1"/>
    <col min="1287" max="1537" width="8.796875" style="88"/>
    <col min="1538" max="1538" width="8.5" style="88" customWidth="1"/>
    <col min="1539" max="1539" width="9.8984375" style="88" bestFit="1" customWidth="1"/>
    <col min="1540" max="1540" width="8.5" style="88" bestFit="1" customWidth="1"/>
    <col min="1541" max="1541" width="10" style="88" customWidth="1"/>
    <col min="1542" max="1542" width="11.59765625" style="88" customWidth="1"/>
    <col min="1543" max="1793" width="8.796875" style="88"/>
    <col min="1794" max="1794" width="8.5" style="88" customWidth="1"/>
    <col min="1795" max="1795" width="9.8984375" style="88" bestFit="1" customWidth="1"/>
    <col min="1796" max="1796" width="8.5" style="88" bestFit="1" customWidth="1"/>
    <col min="1797" max="1797" width="10" style="88" customWidth="1"/>
    <col min="1798" max="1798" width="11.59765625" style="88" customWidth="1"/>
    <col min="1799" max="2049" width="8.796875" style="88"/>
    <col min="2050" max="2050" width="8.5" style="88" customWidth="1"/>
    <col min="2051" max="2051" width="9.8984375" style="88" bestFit="1" customWidth="1"/>
    <col min="2052" max="2052" width="8.5" style="88" bestFit="1" customWidth="1"/>
    <col min="2053" max="2053" width="10" style="88" customWidth="1"/>
    <col min="2054" max="2054" width="11.59765625" style="88" customWidth="1"/>
    <col min="2055" max="2305" width="8.796875" style="88"/>
    <col min="2306" max="2306" width="8.5" style="88" customWidth="1"/>
    <col min="2307" max="2307" width="9.8984375" style="88" bestFit="1" customWidth="1"/>
    <col min="2308" max="2308" width="8.5" style="88" bestFit="1" customWidth="1"/>
    <col min="2309" max="2309" width="10" style="88" customWidth="1"/>
    <col min="2310" max="2310" width="11.59765625" style="88" customWidth="1"/>
    <col min="2311" max="2561" width="8.796875" style="88"/>
    <col min="2562" max="2562" width="8.5" style="88" customWidth="1"/>
    <col min="2563" max="2563" width="9.8984375" style="88" bestFit="1" customWidth="1"/>
    <col min="2564" max="2564" width="8.5" style="88" bestFit="1" customWidth="1"/>
    <col min="2565" max="2565" width="10" style="88" customWidth="1"/>
    <col min="2566" max="2566" width="11.59765625" style="88" customWidth="1"/>
    <col min="2567" max="2817" width="8.796875" style="88"/>
    <col min="2818" max="2818" width="8.5" style="88" customWidth="1"/>
    <col min="2819" max="2819" width="9.8984375" style="88" bestFit="1" customWidth="1"/>
    <col min="2820" max="2820" width="8.5" style="88" bestFit="1" customWidth="1"/>
    <col min="2821" max="2821" width="10" style="88" customWidth="1"/>
    <col min="2822" max="2822" width="11.59765625" style="88" customWidth="1"/>
    <col min="2823" max="3073" width="8.796875" style="88"/>
    <col min="3074" max="3074" width="8.5" style="88" customWidth="1"/>
    <col min="3075" max="3075" width="9.8984375" style="88" bestFit="1" customWidth="1"/>
    <col min="3076" max="3076" width="8.5" style="88" bestFit="1" customWidth="1"/>
    <col min="3077" max="3077" width="10" style="88" customWidth="1"/>
    <col min="3078" max="3078" width="11.59765625" style="88" customWidth="1"/>
    <col min="3079" max="3329" width="8.796875" style="88"/>
    <col min="3330" max="3330" width="8.5" style="88" customWidth="1"/>
    <col min="3331" max="3331" width="9.8984375" style="88" bestFit="1" customWidth="1"/>
    <col min="3332" max="3332" width="8.5" style="88" bestFit="1" customWidth="1"/>
    <col min="3333" max="3333" width="10" style="88" customWidth="1"/>
    <col min="3334" max="3334" width="11.59765625" style="88" customWidth="1"/>
    <col min="3335" max="3585" width="8.796875" style="88"/>
    <col min="3586" max="3586" width="8.5" style="88" customWidth="1"/>
    <col min="3587" max="3587" width="9.8984375" style="88" bestFit="1" customWidth="1"/>
    <col min="3588" max="3588" width="8.5" style="88" bestFit="1" customWidth="1"/>
    <col min="3589" max="3589" width="10" style="88" customWidth="1"/>
    <col min="3590" max="3590" width="11.59765625" style="88" customWidth="1"/>
    <col min="3591" max="3841" width="8.796875" style="88"/>
    <col min="3842" max="3842" width="8.5" style="88" customWidth="1"/>
    <col min="3843" max="3843" width="9.8984375" style="88" bestFit="1" customWidth="1"/>
    <col min="3844" max="3844" width="8.5" style="88" bestFit="1" customWidth="1"/>
    <col min="3845" max="3845" width="10" style="88" customWidth="1"/>
    <col min="3846" max="3846" width="11.59765625" style="88" customWidth="1"/>
    <col min="3847" max="4097" width="8.796875" style="88"/>
    <col min="4098" max="4098" width="8.5" style="88" customWidth="1"/>
    <col min="4099" max="4099" width="9.8984375" style="88" bestFit="1" customWidth="1"/>
    <col min="4100" max="4100" width="8.5" style="88" bestFit="1" customWidth="1"/>
    <col min="4101" max="4101" width="10" style="88" customWidth="1"/>
    <col min="4102" max="4102" width="11.59765625" style="88" customWidth="1"/>
    <col min="4103" max="4353" width="8.796875" style="88"/>
    <col min="4354" max="4354" width="8.5" style="88" customWidth="1"/>
    <col min="4355" max="4355" width="9.8984375" style="88" bestFit="1" customWidth="1"/>
    <col min="4356" max="4356" width="8.5" style="88" bestFit="1" customWidth="1"/>
    <col min="4357" max="4357" width="10" style="88" customWidth="1"/>
    <col min="4358" max="4358" width="11.59765625" style="88" customWidth="1"/>
    <col min="4359" max="4609" width="8.796875" style="88"/>
    <col min="4610" max="4610" width="8.5" style="88" customWidth="1"/>
    <col min="4611" max="4611" width="9.8984375" style="88" bestFit="1" customWidth="1"/>
    <col min="4612" max="4612" width="8.5" style="88" bestFit="1" customWidth="1"/>
    <col min="4613" max="4613" width="10" style="88" customWidth="1"/>
    <col min="4614" max="4614" width="11.59765625" style="88" customWidth="1"/>
    <col min="4615" max="4865" width="8.796875" style="88"/>
    <col min="4866" max="4866" width="8.5" style="88" customWidth="1"/>
    <col min="4867" max="4867" width="9.8984375" style="88" bestFit="1" customWidth="1"/>
    <col min="4868" max="4868" width="8.5" style="88" bestFit="1" customWidth="1"/>
    <col min="4869" max="4869" width="10" style="88" customWidth="1"/>
    <col min="4870" max="4870" width="11.59765625" style="88" customWidth="1"/>
    <col min="4871" max="5121" width="8.796875" style="88"/>
    <col min="5122" max="5122" width="8.5" style="88" customWidth="1"/>
    <col min="5123" max="5123" width="9.8984375" style="88" bestFit="1" customWidth="1"/>
    <col min="5124" max="5124" width="8.5" style="88" bestFit="1" customWidth="1"/>
    <col min="5125" max="5125" width="10" style="88" customWidth="1"/>
    <col min="5126" max="5126" width="11.59765625" style="88" customWidth="1"/>
    <col min="5127" max="5377" width="8.796875" style="88"/>
    <col min="5378" max="5378" width="8.5" style="88" customWidth="1"/>
    <col min="5379" max="5379" width="9.8984375" style="88" bestFit="1" customWidth="1"/>
    <col min="5380" max="5380" width="8.5" style="88" bestFit="1" customWidth="1"/>
    <col min="5381" max="5381" width="10" style="88" customWidth="1"/>
    <col min="5382" max="5382" width="11.59765625" style="88" customWidth="1"/>
    <col min="5383" max="5633" width="8.796875" style="88"/>
    <col min="5634" max="5634" width="8.5" style="88" customWidth="1"/>
    <col min="5635" max="5635" width="9.8984375" style="88" bestFit="1" customWidth="1"/>
    <col min="5636" max="5636" width="8.5" style="88" bestFit="1" customWidth="1"/>
    <col min="5637" max="5637" width="10" style="88" customWidth="1"/>
    <col min="5638" max="5638" width="11.59765625" style="88" customWidth="1"/>
    <col min="5639" max="5889" width="8.796875" style="88"/>
    <col min="5890" max="5890" width="8.5" style="88" customWidth="1"/>
    <col min="5891" max="5891" width="9.8984375" style="88" bestFit="1" customWidth="1"/>
    <col min="5892" max="5892" width="8.5" style="88" bestFit="1" customWidth="1"/>
    <col min="5893" max="5893" width="10" style="88" customWidth="1"/>
    <col min="5894" max="5894" width="11.59765625" style="88" customWidth="1"/>
    <col min="5895" max="6145" width="8.796875" style="88"/>
    <col min="6146" max="6146" width="8.5" style="88" customWidth="1"/>
    <col min="6147" max="6147" width="9.8984375" style="88" bestFit="1" customWidth="1"/>
    <col min="6148" max="6148" width="8.5" style="88" bestFit="1" customWidth="1"/>
    <col min="6149" max="6149" width="10" style="88" customWidth="1"/>
    <col min="6150" max="6150" width="11.59765625" style="88" customWidth="1"/>
    <col min="6151" max="6401" width="8.796875" style="88"/>
    <col min="6402" max="6402" width="8.5" style="88" customWidth="1"/>
    <col min="6403" max="6403" width="9.8984375" style="88" bestFit="1" customWidth="1"/>
    <col min="6404" max="6404" width="8.5" style="88" bestFit="1" customWidth="1"/>
    <col min="6405" max="6405" width="10" style="88" customWidth="1"/>
    <col min="6406" max="6406" width="11.59765625" style="88" customWidth="1"/>
    <col min="6407" max="6657" width="8.796875" style="88"/>
    <col min="6658" max="6658" width="8.5" style="88" customWidth="1"/>
    <col min="6659" max="6659" width="9.8984375" style="88" bestFit="1" customWidth="1"/>
    <col min="6660" max="6660" width="8.5" style="88" bestFit="1" customWidth="1"/>
    <col min="6661" max="6661" width="10" style="88" customWidth="1"/>
    <col min="6662" max="6662" width="11.59765625" style="88" customWidth="1"/>
    <col min="6663" max="6913" width="8.796875" style="88"/>
    <col min="6914" max="6914" width="8.5" style="88" customWidth="1"/>
    <col min="6915" max="6915" width="9.8984375" style="88" bestFit="1" customWidth="1"/>
    <col min="6916" max="6916" width="8.5" style="88" bestFit="1" customWidth="1"/>
    <col min="6917" max="6917" width="10" style="88" customWidth="1"/>
    <col min="6918" max="6918" width="11.59765625" style="88" customWidth="1"/>
    <col min="6919" max="7169" width="8.796875" style="88"/>
    <col min="7170" max="7170" width="8.5" style="88" customWidth="1"/>
    <col min="7171" max="7171" width="9.8984375" style="88" bestFit="1" customWidth="1"/>
    <col min="7172" max="7172" width="8.5" style="88" bestFit="1" customWidth="1"/>
    <col min="7173" max="7173" width="10" style="88" customWidth="1"/>
    <col min="7174" max="7174" width="11.59765625" style="88" customWidth="1"/>
    <col min="7175" max="7425" width="8.796875" style="88"/>
    <col min="7426" max="7426" width="8.5" style="88" customWidth="1"/>
    <col min="7427" max="7427" width="9.8984375" style="88" bestFit="1" customWidth="1"/>
    <col min="7428" max="7428" width="8.5" style="88" bestFit="1" customWidth="1"/>
    <col min="7429" max="7429" width="10" style="88" customWidth="1"/>
    <col min="7430" max="7430" width="11.59765625" style="88" customWidth="1"/>
    <col min="7431" max="7681" width="8.796875" style="88"/>
    <col min="7682" max="7682" width="8.5" style="88" customWidth="1"/>
    <col min="7683" max="7683" width="9.8984375" style="88" bestFit="1" customWidth="1"/>
    <col min="7684" max="7684" width="8.5" style="88" bestFit="1" customWidth="1"/>
    <col min="7685" max="7685" width="10" style="88" customWidth="1"/>
    <col min="7686" max="7686" width="11.59765625" style="88" customWidth="1"/>
    <col min="7687" max="7937" width="8.796875" style="88"/>
    <col min="7938" max="7938" width="8.5" style="88" customWidth="1"/>
    <col min="7939" max="7939" width="9.8984375" style="88" bestFit="1" customWidth="1"/>
    <col min="7940" max="7940" width="8.5" style="88" bestFit="1" customWidth="1"/>
    <col min="7941" max="7941" width="10" style="88" customWidth="1"/>
    <col min="7942" max="7942" width="11.59765625" style="88" customWidth="1"/>
    <col min="7943" max="8193" width="8.796875" style="88"/>
    <col min="8194" max="8194" width="8.5" style="88" customWidth="1"/>
    <col min="8195" max="8195" width="9.8984375" style="88" bestFit="1" customWidth="1"/>
    <col min="8196" max="8196" width="8.5" style="88" bestFit="1" customWidth="1"/>
    <col min="8197" max="8197" width="10" style="88" customWidth="1"/>
    <col min="8198" max="8198" width="11.59765625" style="88" customWidth="1"/>
    <col min="8199" max="8449" width="8.796875" style="88"/>
    <col min="8450" max="8450" width="8.5" style="88" customWidth="1"/>
    <col min="8451" max="8451" width="9.8984375" style="88" bestFit="1" customWidth="1"/>
    <col min="8452" max="8452" width="8.5" style="88" bestFit="1" customWidth="1"/>
    <col min="8453" max="8453" width="10" style="88" customWidth="1"/>
    <col min="8454" max="8454" width="11.59765625" style="88" customWidth="1"/>
    <col min="8455" max="8705" width="8.796875" style="88"/>
    <col min="8706" max="8706" width="8.5" style="88" customWidth="1"/>
    <col min="8707" max="8707" width="9.8984375" style="88" bestFit="1" customWidth="1"/>
    <col min="8708" max="8708" width="8.5" style="88" bestFit="1" customWidth="1"/>
    <col min="8709" max="8709" width="10" style="88" customWidth="1"/>
    <col min="8710" max="8710" width="11.59765625" style="88" customWidth="1"/>
    <col min="8711" max="8961" width="8.796875" style="88"/>
    <col min="8962" max="8962" width="8.5" style="88" customWidth="1"/>
    <col min="8963" max="8963" width="9.8984375" style="88" bestFit="1" customWidth="1"/>
    <col min="8964" max="8964" width="8.5" style="88" bestFit="1" customWidth="1"/>
    <col min="8965" max="8965" width="10" style="88" customWidth="1"/>
    <col min="8966" max="8966" width="11.59765625" style="88" customWidth="1"/>
    <col min="8967" max="9217" width="8.796875" style="88"/>
    <col min="9218" max="9218" width="8.5" style="88" customWidth="1"/>
    <col min="9219" max="9219" width="9.8984375" style="88" bestFit="1" customWidth="1"/>
    <col min="9220" max="9220" width="8.5" style="88" bestFit="1" customWidth="1"/>
    <col min="9221" max="9221" width="10" style="88" customWidth="1"/>
    <col min="9222" max="9222" width="11.59765625" style="88" customWidth="1"/>
    <col min="9223" max="9473" width="8.796875" style="88"/>
    <col min="9474" max="9474" width="8.5" style="88" customWidth="1"/>
    <col min="9475" max="9475" width="9.8984375" style="88" bestFit="1" customWidth="1"/>
    <col min="9476" max="9476" width="8.5" style="88" bestFit="1" customWidth="1"/>
    <col min="9477" max="9477" width="10" style="88" customWidth="1"/>
    <col min="9478" max="9478" width="11.59765625" style="88" customWidth="1"/>
    <col min="9479" max="9729" width="8.796875" style="88"/>
    <col min="9730" max="9730" width="8.5" style="88" customWidth="1"/>
    <col min="9731" max="9731" width="9.8984375" style="88" bestFit="1" customWidth="1"/>
    <col min="9732" max="9732" width="8.5" style="88" bestFit="1" customWidth="1"/>
    <col min="9733" max="9733" width="10" style="88" customWidth="1"/>
    <col min="9734" max="9734" width="11.59765625" style="88" customWidth="1"/>
    <col min="9735" max="9985" width="8.796875" style="88"/>
    <col min="9986" max="9986" width="8.5" style="88" customWidth="1"/>
    <col min="9987" max="9987" width="9.8984375" style="88" bestFit="1" customWidth="1"/>
    <col min="9988" max="9988" width="8.5" style="88" bestFit="1" customWidth="1"/>
    <col min="9989" max="9989" width="10" style="88" customWidth="1"/>
    <col min="9990" max="9990" width="11.59765625" style="88" customWidth="1"/>
    <col min="9991" max="10241" width="8.796875" style="88"/>
    <col min="10242" max="10242" width="8.5" style="88" customWidth="1"/>
    <col min="10243" max="10243" width="9.8984375" style="88" bestFit="1" customWidth="1"/>
    <col min="10244" max="10244" width="8.5" style="88" bestFit="1" customWidth="1"/>
    <col min="10245" max="10245" width="10" style="88" customWidth="1"/>
    <col min="10246" max="10246" width="11.59765625" style="88" customWidth="1"/>
    <col min="10247" max="10497" width="8.796875" style="88"/>
    <col min="10498" max="10498" width="8.5" style="88" customWidth="1"/>
    <col min="10499" max="10499" width="9.8984375" style="88" bestFit="1" customWidth="1"/>
    <col min="10500" max="10500" width="8.5" style="88" bestFit="1" customWidth="1"/>
    <col min="10501" max="10501" width="10" style="88" customWidth="1"/>
    <col min="10502" max="10502" width="11.59765625" style="88" customWidth="1"/>
    <col min="10503" max="10753" width="8.796875" style="88"/>
    <col min="10754" max="10754" width="8.5" style="88" customWidth="1"/>
    <col min="10755" max="10755" width="9.8984375" style="88" bestFit="1" customWidth="1"/>
    <col min="10756" max="10756" width="8.5" style="88" bestFit="1" customWidth="1"/>
    <col min="10757" max="10757" width="10" style="88" customWidth="1"/>
    <col min="10758" max="10758" width="11.59765625" style="88" customWidth="1"/>
    <col min="10759" max="11009" width="8.796875" style="88"/>
    <col min="11010" max="11010" width="8.5" style="88" customWidth="1"/>
    <col min="11011" max="11011" width="9.8984375" style="88" bestFit="1" customWidth="1"/>
    <col min="11012" max="11012" width="8.5" style="88" bestFit="1" customWidth="1"/>
    <col min="11013" max="11013" width="10" style="88" customWidth="1"/>
    <col min="11014" max="11014" width="11.59765625" style="88" customWidth="1"/>
    <col min="11015" max="11265" width="8.796875" style="88"/>
    <col min="11266" max="11266" width="8.5" style="88" customWidth="1"/>
    <col min="11267" max="11267" width="9.8984375" style="88" bestFit="1" customWidth="1"/>
    <col min="11268" max="11268" width="8.5" style="88" bestFit="1" customWidth="1"/>
    <col min="11269" max="11269" width="10" style="88" customWidth="1"/>
    <col min="11270" max="11270" width="11.59765625" style="88" customWidth="1"/>
    <col min="11271" max="11521" width="8.796875" style="88"/>
    <col min="11522" max="11522" width="8.5" style="88" customWidth="1"/>
    <col min="11523" max="11523" width="9.8984375" style="88" bestFit="1" customWidth="1"/>
    <col min="11524" max="11524" width="8.5" style="88" bestFit="1" customWidth="1"/>
    <col min="11525" max="11525" width="10" style="88" customWidth="1"/>
    <col min="11526" max="11526" width="11.59765625" style="88" customWidth="1"/>
    <col min="11527" max="11777" width="8.796875" style="88"/>
    <col min="11778" max="11778" width="8.5" style="88" customWidth="1"/>
    <col min="11779" max="11779" width="9.8984375" style="88" bestFit="1" customWidth="1"/>
    <col min="11780" max="11780" width="8.5" style="88" bestFit="1" customWidth="1"/>
    <col min="11781" max="11781" width="10" style="88" customWidth="1"/>
    <col min="11782" max="11782" width="11.59765625" style="88" customWidth="1"/>
    <col min="11783" max="12033" width="8.796875" style="88"/>
    <col min="12034" max="12034" width="8.5" style="88" customWidth="1"/>
    <col min="12035" max="12035" width="9.8984375" style="88" bestFit="1" customWidth="1"/>
    <col min="12036" max="12036" width="8.5" style="88" bestFit="1" customWidth="1"/>
    <col min="12037" max="12037" width="10" style="88" customWidth="1"/>
    <col min="12038" max="12038" width="11.59765625" style="88" customWidth="1"/>
    <col min="12039" max="12289" width="8.796875" style="88"/>
    <col min="12290" max="12290" width="8.5" style="88" customWidth="1"/>
    <col min="12291" max="12291" width="9.8984375" style="88" bestFit="1" customWidth="1"/>
    <col min="12292" max="12292" width="8.5" style="88" bestFit="1" customWidth="1"/>
    <col min="12293" max="12293" width="10" style="88" customWidth="1"/>
    <col min="12294" max="12294" width="11.59765625" style="88" customWidth="1"/>
    <col min="12295" max="12545" width="8.796875" style="88"/>
    <col min="12546" max="12546" width="8.5" style="88" customWidth="1"/>
    <col min="12547" max="12547" width="9.8984375" style="88" bestFit="1" customWidth="1"/>
    <col min="12548" max="12548" width="8.5" style="88" bestFit="1" customWidth="1"/>
    <col min="12549" max="12549" width="10" style="88" customWidth="1"/>
    <col min="12550" max="12550" width="11.59765625" style="88" customWidth="1"/>
    <col min="12551" max="12801" width="8.796875" style="88"/>
    <col min="12802" max="12802" width="8.5" style="88" customWidth="1"/>
    <col min="12803" max="12803" width="9.8984375" style="88" bestFit="1" customWidth="1"/>
    <col min="12804" max="12804" width="8.5" style="88" bestFit="1" customWidth="1"/>
    <col min="12805" max="12805" width="10" style="88" customWidth="1"/>
    <col min="12806" max="12806" width="11.59765625" style="88" customWidth="1"/>
    <col min="12807" max="13057" width="8.796875" style="88"/>
    <col min="13058" max="13058" width="8.5" style="88" customWidth="1"/>
    <col min="13059" max="13059" width="9.8984375" style="88" bestFit="1" customWidth="1"/>
    <col min="13060" max="13060" width="8.5" style="88" bestFit="1" customWidth="1"/>
    <col min="13061" max="13061" width="10" style="88" customWidth="1"/>
    <col min="13062" max="13062" width="11.59765625" style="88" customWidth="1"/>
    <col min="13063" max="13313" width="8.796875" style="88"/>
    <col min="13314" max="13314" width="8.5" style="88" customWidth="1"/>
    <col min="13315" max="13315" width="9.8984375" style="88" bestFit="1" customWidth="1"/>
    <col min="13316" max="13316" width="8.5" style="88" bestFit="1" customWidth="1"/>
    <col min="13317" max="13317" width="10" style="88" customWidth="1"/>
    <col min="13318" max="13318" width="11.59765625" style="88" customWidth="1"/>
    <col min="13319" max="13569" width="8.796875" style="88"/>
    <col min="13570" max="13570" width="8.5" style="88" customWidth="1"/>
    <col min="13571" max="13571" width="9.8984375" style="88" bestFit="1" customWidth="1"/>
    <col min="13572" max="13572" width="8.5" style="88" bestFit="1" customWidth="1"/>
    <col min="13573" max="13573" width="10" style="88" customWidth="1"/>
    <col min="13574" max="13574" width="11.59765625" style="88" customWidth="1"/>
    <col min="13575" max="13825" width="8.796875" style="88"/>
    <col min="13826" max="13826" width="8.5" style="88" customWidth="1"/>
    <col min="13827" max="13827" width="9.8984375" style="88" bestFit="1" customWidth="1"/>
    <col min="13828" max="13828" width="8.5" style="88" bestFit="1" customWidth="1"/>
    <col min="13829" max="13829" width="10" style="88" customWidth="1"/>
    <col min="13830" max="13830" width="11.59765625" style="88" customWidth="1"/>
    <col min="13831" max="14081" width="8.796875" style="88"/>
    <col min="14082" max="14082" width="8.5" style="88" customWidth="1"/>
    <col min="14083" max="14083" width="9.8984375" style="88" bestFit="1" customWidth="1"/>
    <col min="14084" max="14084" width="8.5" style="88" bestFit="1" customWidth="1"/>
    <col min="14085" max="14085" width="10" style="88" customWidth="1"/>
    <col min="14086" max="14086" width="11.59765625" style="88" customWidth="1"/>
    <col min="14087" max="14337" width="8.796875" style="88"/>
    <col min="14338" max="14338" width="8.5" style="88" customWidth="1"/>
    <col min="14339" max="14339" width="9.8984375" style="88" bestFit="1" customWidth="1"/>
    <col min="14340" max="14340" width="8.5" style="88" bestFit="1" customWidth="1"/>
    <col min="14341" max="14341" width="10" style="88" customWidth="1"/>
    <col min="14342" max="14342" width="11.59765625" style="88" customWidth="1"/>
    <col min="14343" max="14593" width="8.796875" style="88"/>
    <col min="14594" max="14594" width="8.5" style="88" customWidth="1"/>
    <col min="14595" max="14595" width="9.8984375" style="88" bestFit="1" customWidth="1"/>
    <col min="14596" max="14596" width="8.5" style="88" bestFit="1" customWidth="1"/>
    <col min="14597" max="14597" width="10" style="88" customWidth="1"/>
    <col min="14598" max="14598" width="11.59765625" style="88" customWidth="1"/>
    <col min="14599" max="14849" width="8.796875" style="88"/>
    <col min="14850" max="14850" width="8.5" style="88" customWidth="1"/>
    <col min="14851" max="14851" width="9.8984375" style="88" bestFit="1" customWidth="1"/>
    <col min="14852" max="14852" width="8.5" style="88" bestFit="1" customWidth="1"/>
    <col min="14853" max="14853" width="10" style="88" customWidth="1"/>
    <col min="14854" max="14854" width="11.59765625" style="88" customWidth="1"/>
    <col min="14855" max="15105" width="8.796875" style="88"/>
    <col min="15106" max="15106" width="8.5" style="88" customWidth="1"/>
    <col min="15107" max="15107" width="9.8984375" style="88" bestFit="1" customWidth="1"/>
    <col min="15108" max="15108" width="8.5" style="88" bestFit="1" customWidth="1"/>
    <col min="15109" max="15109" width="10" style="88" customWidth="1"/>
    <col min="15110" max="15110" width="11.59765625" style="88" customWidth="1"/>
    <col min="15111" max="15361" width="8.796875" style="88"/>
    <col min="15362" max="15362" width="8.5" style="88" customWidth="1"/>
    <col min="15363" max="15363" width="9.8984375" style="88" bestFit="1" customWidth="1"/>
    <col min="15364" max="15364" width="8.5" style="88" bestFit="1" customWidth="1"/>
    <col min="15365" max="15365" width="10" style="88" customWidth="1"/>
    <col min="15366" max="15366" width="11.59765625" style="88" customWidth="1"/>
    <col min="15367" max="15617" width="8.796875" style="88"/>
    <col min="15618" max="15618" width="8.5" style="88" customWidth="1"/>
    <col min="15619" max="15619" width="9.8984375" style="88" bestFit="1" customWidth="1"/>
    <col min="15620" max="15620" width="8.5" style="88" bestFit="1" customWidth="1"/>
    <col min="15621" max="15621" width="10" style="88" customWidth="1"/>
    <col min="15622" max="15622" width="11.59765625" style="88" customWidth="1"/>
    <col min="15623" max="15873" width="8.796875" style="88"/>
    <col min="15874" max="15874" width="8.5" style="88" customWidth="1"/>
    <col min="15875" max="15875" width="9.8984375" style="88" bestFit="1" customWidth="1"/>
    <col min="15876" max="15876" width="8.5" style="88" bestFit="1" customWidth="1"/>
    <col min="15877" max="15877" width="10" style="88" customWidth="1"/>
    <col min="15878" max="15878" width="11.59765625" style="88" customWidth="1"/>
    <col min="15879" max="16129" width="8.796875" style="88"/>
    <col min="16130" max="16130" width="8.5" style="88" customWidth="1"/>
    <col min="16131" max="16131" width="9.8984375" style="88" bestFit="1" customWidth="1"/>
    <col min="16132" max="16132" width="8.5" style="88" bestFit="1" customWidth="1"/>
    <col min="16133" max="16133" width="10" style="88" customWidth="1"/>
    <col min="16134" max="16134" width="11.59765625" style="88" customWidth="1"/>
    <col min="16135" max="16384" width="8.796875" style="88"/>
  </cols>
  <sheetData>
    <row r="1" spans="1:8" x14ac:dyDescent="0.45">
      <c r="A1" s="88" t="s">
        <v>57</v>
      </c>
      <c r="B1" s="88" t="s">
        <v>58</v>
      </c>
      <c r="C1" s="88" t="s">
        <v>59</v>
      </c>
      <c r="D1" s="88" t="s">
        <v>60</v>
      </c>
      <c r="E1" s="88" t="s">
        <v>61</v>
      </c>
      <c r="F1" s="88" t="s">
        <v>62</v>
      </c>
      <c r="G1" s="223">
        <v>45017</v>
      </c>
      <c r="H1" s="223"/>
    </row>
    <row r="2" spans="1:8" x14ac:dyDescent="0.45">
      <c r="G2" s="104"/>
    </row>
  </sheetData>
  <mergeCells count="1">
    <mergeCell ref="G1:H1"/>
  </mergeCells>
  <phoneticPr fontId="2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&amp;C&amp;P / &amp;N &amp;R©2024 SMS DataTech Corporation. All rights reserved.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E11"/>
  <sheetViews>
    <sheetView workbookViewId="0">
      <selection sqref="A1:C1"/>
    </sheetView>
  </sheetViews>
  <sheetFormatPr defaultColWidth="11.3984375" defaultRowHeight="15.75" customHeight="1" x14ac:dyDescent="0.45"/>
  <cols>
    <col min="1" max="1" width="4.296875" style="88" customWidth="1"/>
    <col min="2" max="2" width="6.296875" style="88" customWidth="1"/>
    <col min="3" max="3" width="11.3984375" style="88"/>
    <col min="4" max="17" width="8.69921875" style="88" customWidth="1"/>
    <col min="18" max="256" width="11.3984375" style="88"/>
    <col min="257" max="257" width="4.296875" style="88" customWidth="1"/>
    <col min="258" max="258" width="6.296875" style="88" customWidth="1"/>
    <col min="259" max="259" width="11.3984375" style="88"/>
    <col min="260" max="273" width="8.69921875" style="88" customWidth="1"/>
    <col min="274" max="512" width="11.3984375" style="88"/>
    <col min="513" max="513" width="4.296875" style="88" customWidth="1"/>
    <col min="514" max="514" width="6.296875" style="88" customWidth="1"/>
    <col min="515" max="515" width="11.3984375" style="88"/>
    <col min="516" max="529" width="8.69921875" style="88" customWidth="1"/>
    <col min="530" max="768" width="11.3984375" style="88"/>
    <col min="769" max="769" width="4.296875" style="88" customWidth="1"/>
    <col min="770" max="770" width="6.296875" style="88" customWidth="1"/>
    <col min="771" max="771" width="11.3984375" style="88"/>
    <col min="772" max="785" width="8.69921875" style="88" customWidth="1"/>
    <col min="786" max="1024" width="11.3984375" style="88"/>
    <col min="1025" max="1025" width="4.296875" style="88" customWidth="1"/>
    <col min="1026" max="1026" width="6.296875" style="88" customWidth="1"/>
    <col min="1027" max="1027" width="11.3984375" style="88"/>
    <col min="1028" max="1041" width="8.69921875" style="88" customWidth="1"/>
    <col min="1042" max="1280" width="11.3984375" style="88"/>
    <col min="1281" max="1281" width="4.296875" style="88" customWidth="1"/>
    <col min="1282" max="1282" width="6.296875" style="88" customWidth="1"/>
    <col min="1283" max="1283" width="11.3984375" style="88"/>
    <col min="1284" max="1297" width="8.69921875" style="88" customWidth="1"/>
    <col min="1298" max="1536" width="11.3984375" style="88"/>
    <col min="1537" max="1537" width="4.296875" style="88" customWidth="1"/>
    <col min="1538" max="1538" width="6.296875" style="88" customWidth="1"/>
    <col min="1539" max="1539" width="11.3984375" style="88"/>
    <col min="1540" max="1553" width="8.69921875" style="88" customWidth="1"/>
    <col min="1554" max="1792" width="11.3984375" style="88"/>
    <col min="1793" max="1793" width="4.296875" style="88" customWidth="1"/>
    <col min="1794" max="1794" width="6.296875" style="88" customWidth="1"/>
    <col min="1795" max="1795" width="11.3984375" style="88"/>
    <col min="1796" max="1809" width="8.69921875" style="88" customWidth="1"/>
    <col min="1810" max="2048" width="11.3984375" style="88"/>
    <col min="2049" max="2049" width="4.296875" style="88" customWidth="1"/>
    <col min="2050" max="2050" width="6.296875" style="88" customWidth="1"/>
    <col min="2051" max="2051" width="11.3984375" style="88"/>
    <col min="2052" max="2065" width="8.69921875" style="88" customWidth="1"/>
    <col min="2066" max="2304" width="11.3984375" style="88"/>
    <col min="2305" max="2305" width="4.296875" style="88" customWidth="1"/>
    <col min="2306" max="2306" width="6.296875" style="88" customWidth="1"/>
    <col min="2307" max="2307" width="11.3984375" style="88"/>
    <col min="2308" max="2321" width="8.69921875" style="88" customWidth="1"/>
    <col min="2322" max="2560" width="11.3984375" style="88"/>
    <col min="2561" max="2561" width="4.296875" style="88" customWidth="1"/>
    <col min="2562" max="2562" width="6.296875" style="88" customWidth="1"/>
    <col min="2563" max="2563" width="11.3984375" style="88"/>
    <col min="2564" max="2577" width="8.69921875" style="88" customWidth="1"/>
    <col min="2578" max="2816" width="11.3984375" style="88"/>
    <col min="2817" max="2817" width="4.296875" style="88" customWidth="1"/>
    <col min="2818" max="2818" width="6.296875" style="88" customWidth="1"/>
    <col min="2819" max="2819" width="11.3984375" style="88"/>
    <col min="2820" max="2833" width="8.69921875" style="88" customWidth="1"/>
    <col min="2834" max="3072" width="11.3984375" style="88"/>
    <col min="3073" max="3073" width="4.296875" style="88" customWidth="1"/>
    <col min="3074" max="3074" width="6.296875" style="88" customWidth="1"/>
    <col min="3075" max="3075" width="11.3984375" style="88"/>
    <col min="3076" max="3089" width="8.69921875" style="88" customWidth="1"/>
    <col min="3090" max="3328" width="11.3984375" style="88"/>
    <col min="3329" max="3329" width="4.296875" style="88" customWidth="1"/>
    <col min="3330" max="3330" width="6.296875" style="88" customWidth="1"/>
    <col min="3331" max="3331" width="11.3984375" style="88"/>
    <col min="3332" max="3345" width="8.69921875" style="88" customWidth="1"/>
    <col min="3346" max="3584" width="11.3984375" style="88"/>
    <col min="3585" max="3585" width="4.296875" style="88" customWidth="1"/>
    <col min="3586" max="3586" width="6.296875" style="88" customWidth="1"/>
    <col min="3587" max="3587" width="11.3984375" style="88"/>
    <col min="3588" max="3601" width="8.69921875" style="88" customWidth="1"/>
    <col min="3602" max="3840" width="11.3984375" style="88"/>
    <col min="3841" max="3841" width="4.296875" style="88" customWidth="1"/>
    <col min="3842" max="3842" width="6.296875" style="88" customWidth="1"/>
    <col min="3843" max="3843" width="11.3984375" style="88"/>
    <col min="3844" max="3857" width="8.69921875" style="88" customWidth="1"/>
    <col min="3858" max="4096" width="11.3984375" style="88"/>
    <col min="4097" max="4097" width="4.296875" style="88" customWidth="1"/>
    <col min="4098" max="4098" width="6.296875" style="88" customWidth="1"/>
    <col min="4099" max="4099" width="11.3984375" style="88"/>
    <col min="4100" max="4113" width="8.69921875" style="88" customWidth="1"/>
    <col min="4114" max="4352" width="11.3984375" style="88"/>
    <col min="4353" max="4353" width="4.296875" style="88" customWidth="1"/>
    <col min="4354" max="4354" width="6.296875" style="88" customWidth="1"/>
    <col min="4355" max="4355" width="11.3984375" style="88"/>
    <col min="4356" max="4369" width="8.69921875" style="88" customWidth="1"/>
    <col min="4370" max="4608" width="11.3984375" style="88"/>
    <col min="4609" max="4609" width="4.296875" style="88" customWidth="1"/>
    <col min="4610" max="4610" width="6.296875" style="88" customWidth="1"/>
    <col min="4611" max="4611" width="11.3984375" style="88"/>
    <col min="4612" max="4625" width="8.69921875" style="88" customWidth="1"/>
    <col min="4626" max="4864" width="11.3984375" style="88"/>
    <col min="4865" max="4865" width="4.296875" style="88" customWidth="1"/>
    <col min="4866" max="4866" width="6.296875" style="88" customWidth="1"/>
    <col min="4867" max="4867" width="11.3984375" style="88"/>
    <col min="4868" max="4881" width="8.69921875" style="88" customWidth="1"/>
    <col min="4882" max="5120" width="11.3984375" style="88"/>
    <col min="5121" max="5121" width="4.296875" style="88" customWidth="1"/>
    <col min="5122" max="5122" width="6.296875" style="88" customWidth="1"/>
    <col min="5123" max="5123" width="11.3984375" style="88"/>
    <col min="5124" max="5137" width="8.69921875" style="88" customWidth="1"/>
    <col min="5138" max="5376" width="11.3984375" style="88"/>
    <col min="5377" max="5377" width="4.296875" style="88" customWidth="1"/>
    <col min="5378" max="5378" width="6.296875" style="88" customWidth="1"/>
    <col min="5379" max="5379" width="11.3984375" style="88"/>
    <col min="5380" max="5393" width="8.69921875" style="88" customWidth="1"/>
    <col min="5394" max="5632" width="11.3984375" style="88"/>
    <col min="5633" max="5633" width="4.296875" style="88" customWidth="1"/>
    <col min="5634" max="5634" width="6.296875" style="88" customWidth="1"/>
    <col min="5635" max="5635" width="11.3984375" style="88"/>
    <col min="5636" max="5649" width="8.69921875" style="88" customWidth="1"/>
    <col min="5650" max="5888" width="11.3984375" style="88"/>
    <col min="5889" max="5889" width="4.296875" style="88" customWidth="1"/>
    <col min="5890" max="5890" width="6.296875" style="88" customWidth="1"/>
    <col min="5891" max="5891" width="11.3984375" style="88"/>
    <col min="5892" max="5905" width="8.69921875" style="88" customWidth="1"/>
    <col min="5906" max="6144" width="11.3984375" style="88"/>
    <col min="6145" max="6145" width="4.296875" style="88" customWidth="1"/>
    <col min="6146" max="6146" width="6.296875" style="88" customWidth="1"/>
    <col min="6147" max="6147" width="11.3984375" style="88"/>
    <col min="6148" max="6161" width="8.69921875" style="88" customWidth="1"/>
    <col min="6162" max="6400" width="11.3984375" style="88"/>
    <col min="6401" max="6401" width="4.296875" style="88" customWidth="1"/>
    <col min="6402" max="6402" width="6.296875" style="88" customWidth="1"/>
    <col min="6403" max="6403" width="11.3984375" style="88"/>
    <col min="6404" max="6417" width="8.69921875" style="88" customWidth="1"/>
    <col min="6418" max="6656" width="11.3984375" style="88"/>
    <col min="6657" max="6657" width="4.296875" style="88" customWidth="1"/>
    <col min="6658" max="6658" width="6.296875" style="88" customWidth="1"/>
    <col min="6659" max="6659" width="11.3984375" style="88"/>
    <col min="6660" max="6673" width="8.69921875" style="88" customWidth="1"/>
    <col min="6674" max="6912" width="11.3984375" style="88"/>
    <col min="6913" max="6913" width="4.296875" style="88" customWidth="1"/>
    <col min="6914" max="6914" width="6.296875" style="88" customWidth="1"/>
    <col min="6915" max="6915" width="11.3984375" style="88"/>
    <col min="6916" max="6929" width="8.69921875" style="88" customWidth="1"/>
    <col min="6930" max="7168" width="11.3984375" style="88"/>
    <col min="7169" max="7169" width="4.296875" style="88" customWidth="1"/>
    <col min="7170" max="7170" width="6.296875" style="88" customWidth="1"/>
    <col min="7171" max="7171" width="11.3984375" style="88"/>
    <col min="7172" max="7185" width="8.69921875" style="88" customWidth="1"/>
    <col min="7186" max="7424" width="11.3984375" style="88"/>
    <col min="7425" max="7425" width="4.296875" style="88" customWidth="1"/>
    <col min="7426" max="7426" width="6.296875" style="88" customWidth="1"/>
    <col min="7427" max="7427" width="11.3984375" style="88"/>
    <col min="7428" max="7441" width="8.69921875" style="88" customWidth="1"/>
    <col min="7442" max="7680" width="11.3984375" style="88"/>
    <col min="7681" max="7681" width="4.296875" style="88" customWidth="1"/>
    <col min="7682" max="7682" width="6.296875" style="88" customWidth="1"/>
    <col min="7683" max="7683" width="11.3984375" style="88"/>
    <col min="7684" max="7697" width="8.69921875" style="88" customWidth="1"/>
    <col min="7698" max="7936" width="11.3984375" style="88"/>
    <col min="7937" max="7937" width="4.296875" style="88" customWidth="1"/>
    <col min="7938" max="7938" width="6.296875" style="88" customWidth="1"/>
    <col min="7939" max="7939" width="11.3984375" style="88"/>
    <col min="7940" max="7953" width="8.69921875" style="88" customWidth="1"/>
    <col min="7954" max="8192" width="11.3984375" style="88"/>
    <col min="8193" max="8193" width="4.296875" style="88" customWidth="1"/>
    <col min="8194" max="8194" width="6.296875" style="88" customWidth="1"/>
    <col min="8195" max="8195" width="11.3984375" style="88"/>
    <col min="8196" max="8209" width="8.69921875" style="88" customWidth="1"/>
    <col min="8210" max="8448" width="11.3984375" style="88"/>
    <col min="8449" max="8449" width="4.296875" style="88" customWidth="1"/>
    <col min="8450" max="8450" width="6.296875" style="88" customWidth="1"/>
    <col min="8451" max="8451" width="11.3984375" style="88"/>
    <col min="8452" max="8465" width="8.69921875" style="88" customWidth="1"/>
    <col min="8466" max="8704" width="11.3984375" style="88"/>
    <col min="8705" max="8705" width="4.296875" style="88" customWidth="1"/>
    <col min="8706" max="8706" width="6.296875" style="88" customWidth="1"/>
    <col min="8707" max="8707" width="11.3984375" style="88"/>
    <col min="8708" max="8721" width="8.69921875" style="88" customWidth="1"/>
    <col min="8722" max="8960" width="11.3984375" style="88"/>
    <col min="8961" max="8961" width="4.296875" style="88" customWidth="1"/>
    <col min="8962" max="8962" width="6.296875" style="88" customWidth="1"/>
    <col min="8963" max="8963" width="11.3984375" style="88"/>
    <col min="8964" max="8977" width="8.69921875" style="88" customWidth="1"/>
    <col min="8978" max="9216" width="11.3984375" style="88"/>
    <col min="9217" max="9217" width="4.296875" style="88" customWidth="1"/>
    <col min="9218" max="9218" width="6.296875" style="88" customWidth="1"/>
    <col min="9219" max="9219" width="11.3984375" style="88"/>
    <col min="9220" max="9233" width="8.69921875" style="88" customWidth="1"/>
    <col min="9234" max="9472" width="11.3984375" style="88"/>
    <col min="9473" max="9473" width="4.296875" style="88" customWidth="1"/>
    <col min="9474" max="9474" width="6.296875" style="88" customWidth="1"/>
    <col min="9475" max="9475" width="11.3984375" style="88"/>
    <col min="9476" max="9489" width="8.69921875" style="88" customWidth="1"/>
    <col min="9490" max="9728" width="11.3984375" style="88"/>
    <col min="9729" max="9729" width="4.296875" style="88" customWidth="1"/>
    <col min="9730" max="9730" width="6.296875" style="88" customWidth="1"/>
    <col min="9731" max="9731" width="11.3984375" style="88"/>
    <col min="9732" max="9745" width="8.69921875" style="88" customWidth="1"/>
    <col min="9746" max="9984" width="11.3984375" style="88"/>
    <col min="9985" max="9985" width="4.296875" style="88" customWidth="1"/>
    <col min="9986" max="9986" width="6.296875" style="88" customWidth="1"/>
    <col min="9987" max="9987" width="11.3984375" style="88"/>
    <col min="9988" max="10001" width="8.69921875" style="88" customWidth="1"/>
    <col min="10002" max="10240" width="11.3984375" style="88"/>
    <col min="10241" max="10241" width="4.296875" style="88" customWidth="1"/>
    <col min="10242" max="10242" width="6.296875" style="88" customWidth="1"/>
    <col min="10243" max="10243" width="11.3984375" style="88"/>
    <col min="10244" max="10257" width="8.69921875" style="88" customWidth="1"/>
    <col min="10258" max="10496" width="11.3984375" style="88"/>
    <col min="10497" max="10497" width="4.296875" style="88" customWidth="1"/>
    <col min="10498" max="10498" width="6.296875" style="88" customWidth="1"/>
    <col min="10499" max="10499" width="11.3984375" style="88"/>
    <col min="10500" max="10513" width="8.69921875" style="88" customWidth="1"/>
    <col min="10514" max="10752" width="11.3984375" style="88"/>
    <col min="10753" max="10753" width="4.296875" style="88" customWidth="1"/>
    <col min="10754" max="10754" width="6.296875" style="88" customWidth="1"/>
    <col min="10755" max="10755" width="11.3984375" style="88"/>
    <col min="10756" max="10769" width="8.69921875" style="88" customWidth="1"/>
    <col min="10770" max="11008" width="11.3984375" style="88"/>
    <col min="11009" max="11009" width="4.296875" style="88" customWidth="1"/>
    <col min="11010" max="11010" width="6.296875" style="88" customWidth="1"/>
    <col min="11011" max="11011" width="11.3984375" style="88"/>
    <col min="11012" max="11025" width="8.69921875" style="88" customWidth="1"/>
    <col min="11026" max="11264" width="11.3984375" style="88"/>
    <col min="11265" max="11265" width="4.296875" style="88" customWidth="1"/>
    <col min="11266" max="11266" width="6.296875" style="88" customWidth="1"/>
    <col min="11267" max="11267" width="11.3984375" style="88"/>
    <col min="11268" max="11281" width="8.69921875" style="88" customWidth="1"/>
    <col min="11282" max="11520" width="11.3984375" style="88"/>
    <col min="11521" max="11521" width="4.296875" style="88" customWidth="1"/>
    <col min="11522" max="11522" width="6.296875" style="88" customWidth="1"/>
    <col min="11523" max="11523" width="11.3984375" style="88"/>
    <col min="11524" max="11537" width="8.69921875" style="88" customWidth="1"/>
    <col min="11538" max="11776" width="11.3984375" style="88"/>
    <col min="11777" max="11777" width="4.296875" style="88" customWidth="1"/>
    <col min="11778" max="11778" width="6.296875" style="88" customWidth="1"/>
    <col min="11779" max="11779" width="11.3984375" style="88"/>
    <col min="11780" max="11793" width="8.69921875" style="88" customWidth="1"/>
    <col min="11794" max="12032" width="11.3984375" style="88"/>
    <col min="12033" max="12033" width="4.296875" style="88" customWidth="1"/>
    <col min="12034" max="12034" width="6.296875" style="88" customWidth="1"/>
    <col min="12035" max="12035" width="11.3984375" style="88"/>
    <col min="12036" max="12049" width="8.69921875" style="88" customWidth="1"/>
    <col min="12050" max="12288" width="11.3984375" style="88"/>
    <col min="12289" max="12289" width="4.296875" style="88" customWidth="1"/>
    <col min="12290" max="12290" width="6.296875" style="88" customWidth="1"/>
    <col min="12291" max="12291" width="11.3984375" style="88"/>
    <col min="12292" max="12305" width="8.69921875" style="88" customWidth="1"/>
    <col min="12306" max="12544" width="11.3984375" style="88"/>
    <col min="12545" max="12545" width="4.296875" style="88" customWidth="1"/>
    <col min="12546" max="12546" width="6.296875" style="88" customWidth="1"/>
    <col min="12547" max="12547" width="11.3984375" style="88"/>
    <col min="12548" max="12561" width="8.69921875" style="88" customWidth="1"/>
    <col min="12562" max="12800" width="11.3984375" style="88"/>
    <col min="12801" max="12801" width="4.296875" style="88" customWidth="1"/>
    <col min="12802" max="12802" width="6.296875" style="88" customWidth="1"/>
    <col min="12803" max="12803" width="11.3984375" style="88"/>
    <col min="12804" max="12817" width="8.69921875" style="88" customWidth="1"/>
    <col min="12818" max="13056" width="11.3984375" style="88"/>
    <col min="13057" max="13057" width="4.296875" style="88" customWidth="1"/>
    <col min="13058" max="13058" width="6.296875" style="88" customWidth="1"/>
    <col min="13059" max="13059" width="11.3984375" style="88"/>
    <col min="13060" max="13073" width="8.69921875" style="88" customWidth="1"/>
    <col min="13074" max="13312" width="11.3984375" style="88"/>
    <col min="13313" max="13313" width="4.296875" style="88" customWidth="1"/>
    <col min="13314" max="13314" width="6.296875" style="88" customWidth="1"/>
    <col min="13315" max="13315" width="11.3984375" style="88"/>
    <col min="13316" max="13329" width="8.69921875" style="88" customWidth="1"/>
    <col min="13330" max="13568" width="11.3984375" style="88"/>
    <col min="13569" max="13569" width="4.296875" style="88" customWidth="1"/>
    <col min="13570" max="13570" width="6.296875" style="88" customWidth="1"/>
    <col min="13571" max="13571" width="11.3984375" style="88"/>
    <col min="13572" max="13585" width="8.69921875" style="88" customWidth="1"/>
    <col min="13586" max="13824" width="11.3984375" style="88"/>
    <col min="13825" max="13825" width="4.296875" style="88" customWidth="1"/>
    <col min="13826" max="13826" width="6.296875" style="88" customWidth="1"/>
    <col min="13827" max="13827" width="11.3984375" style="88"/>
    <col min="13828" max="13841" width="8.69921875" style="88" customWidth="1"/>
    <col min="13842" max="14080" width="11.3984375" style="88"/>
    <col min="14081" max="14081" width="4.296875" style="88" customWidth="1"/>
    <col min="14082" max="14082" width="6.296875" style="88" customWidth="1"/>
    <col min="14083" max="14083" width="11.3984375" style="88"/>
    <col min="14084" max="14097" width="8.69921875" style="88" customWidth="1"/>
    <col min="14098" max="14336" width="11.3984375" style="88"/>
    <col min="14337" max="14337" width="4.296875" style="88" customWidth="1"/>
    <col min="14338" max="14338" width="6.296875" style="88" customWidth="1"/>
    <col min="14339" max="14339" width="11.3984375" style="88"/>
    <col min="14340" max="14353" width="8.69921875" style="88" customWidth="1"/>
    <col min="14354" max="14592" width="11.3984375" style="88"/>
    <col min="14593" max="14593" width="4.296875" style="88" customWidth="1"/>
    <col min="14594" max="14594" width="6.296875" style="88" customWidth="1"/>
    <col min="14595" max="14595" width="11.3984375" style="88"/>
    <col min="14596" max="14609" width="8.69921875" style="88" customWidth="1"/>
    <col min="14610" max="14848" width="11.3984375" style="88"/>
    <col min="14849" max="14849" width="4.296875" style="88" customWidth="1"/>
    <col min="14850" max="14850" width="6.296875" style="88" customWidth="1"/>
    <col min="14851" max="14851" width="11.3984375" style="88"/>
    <col min="14852" max="14865" width="8.69921875" style="88" customWidth="1"/>
    <col min="14866" max="15104" width="11.3984375" style="88"/>
    <col min="15105" max="15105" width="4.296875" style="88" customWidth="1"/>
    <col min="15106" max="15106" width="6.296875" style="88" customWidth="1"/>
    <col min="15107" max="15107" width="11.3984375" style="88"/>
    <col min="15108" max="15121" width="8.69921875" style="88" customWidth="1"/>
    <col min="15122" max="15360" width="11.3984375" style="88"/>
    <col min="15361" max="15361" width="4.296875" style="88" customWidth="1"/>
    <col min="15362" max="15362" width="6.296875" style="88" customWidth="1"/>
    <col min="15363" max="15363" width="11.3984375" style="88"/>
    <col min="15364" max="15377" width="8.69921875" style="88" customWidth="1"/>
    <col min="15378" max="15616" width="11.3984375" style="88"/>
    <col min="15617" max="15617" width="4.296875" style="88" customWidth="1"/>
    <col min="15618" max="15618" width="6.296875" style="88" customWidth="1"/>
    <col min="15619" max="15619" width="11.3984375" style="88"/>
    <col min="15620" max="15633" width="8.69921875" style="88" customWidth="1"/>
    <col min="15634" max="15872" width="11.3984375" style="88"/>
    <col min="15873" max="15873" width="4.296875" style="88" customWidth="1"/>
    <col min="15874" max="15874" width="6.296875" style="88" customWidth="1"/>
    <col min="15875" max="15875" width="11.3984375" style="88"/>
    <col min="15876" max="15889" width="8.69921875" style="88" customWidth="1"/>
    <col min="15890" max="16128" width="11.3984375" style="88"/>
    <col min="16129" max="16129" width="4.296875" style="88" customWidth="1"/>
    <col min="16130" max="16130" width="6.296875" style="88" customWidth="1"/>
    <col min="16131" max="16131" width="11.3984375" style="88"/>
    <col min="16132" max="16145" width="8.69921875" style="88" customWidth="1"/>
    <col min="16146" max="16384" width="11.3984375" style="88"/>
  </cols>
  <sheetData>
    <row r="1" spans="1:5" ht="15.75" customHeight="1" x14ac:dyDescent="0.45">
      <c r="A1" s="223" t="e">
        <v>#REF!</v>
      </c>
      <c r="B1" s="223"/>
      <c r="C1" s="224"/>
    </row>
    <row r="2" spans="1:5" ht="15.75" customHeight="1" x14ac:dyDescent="0.45">
      <c r="A2" s="89" t="s">
        <v>63</v>
      </c>
      <c r="B2" s="90"/>
      <c r="C2" s="90"/>
      <c r="D2" s="89" t="s">
        <v>64</v>
      </c>
      <c r="E2" s="100" t="s">
        <v>65</v>
      </c>
    </row>
    <row r="3" spans="1:5" ht="15.75" customHeight="1" x14ac:dyDescent="0.45">
      <c r="A3" s="101"/>
      <c r="B3" s="102"/>
      <c r="C3" s="102"/>
      <c r="D3" s="98" t="s">
        <v>66</v>
      </c>
      <c r="E3" s="99" t="s">
        <v>67</v>
      </c>
    </row>
    <row r="4" spans="1:5" ht="15.75" customHeight="1" x14ac:dyDescent="0.45">
      <c r="A4" s="89" t="s">
        <v>68</v>
      </c>
      <c r="B4" s="89" t="s">
        <v>58</v>
      </c>
      <c r="C4" s="89" t="s">
        <v>59</v>
      </c>
      <c r="D4" s="98" t="s">
        <v>66</v>
      </c>
      <c r="E4" s="103"/>
    </row>
    <row r="5" spans="1:5" ht="15.75" customHeight="1" x14ac:dyDescent="0.45">
      <c r="A5" s="91" t="s">
        <v>66</v>
      </c>
      <c r="B5" s="91" t="s">
        <v>66</v>
      </c>
      <c r="C5" s="91" t="s">
        <v>66</v>
      </c>
      <c r="D5" s="94">
        <v>0</v>
      </c>
      <c r="E5" s="95">
        <v>0</v>
      </c>
    </row>
    <row r="6" spans="1:5" ht="15.75" customHeight="1" x14ac:dyDescent="0.45">
      <c r="A6" s="91" t="s">
        <v>69</v>
      </c>
      <c r="B6" s="90"/>
      <c r="C6" s="90"/>
      <c r="D6" s="94">
        <v>0</v>
      </c>
      <c r="E6" s="95">
        <v>0</v>
      </c>
    </row>
    <row r="7" spans="1:5" ht="15.75" customHeight="1" x14ac:dyDescent="0.45">
      <c r="A7" s="92" t="s">
        <v>67</v>
      </c>
      <c r="B7" s="93"/>
      <c r="C7" s="93"/>
      <c r="D7" s="96">
        <v>0</v>
      </c>
      <c r="E7" s="97">
        <v>0</v>
      </c>
    </row>
    <row r="9" spans="1:5" ht="15.75" customHeight="1" x14ac:dyDescent="0.45">
      <c r="A9" s="107"/>
      <c r="B9" s="107"/>
      <c r="C9" s="107"/>
    </row>
    <row r="10" spans="1:5" ht="15.75" customHeight="1" x14ac:dyDescent="0.45">
      <c r="A10" s="106"/>
      <c r="B10" s="106"/>
      <c r="C10" s="106"/>
    </row>
    <row r="11" spans="1:5" ht="15.75" customHeight="1" x14ac:dyDescent="0.45">
      <c r="A11" s="105"/>
      <c r="B11" s="105"/>
      <c r="C11" s="105"/>
    </row>
  </sheetData>
  <mergeCells count="1">
    <mergeCell ref="A1:C1"/>
  </mergeCells>
  <phoneticPr fontId="2"/>
  <pageMargins left="0.70866141732283472" right="0.70866141732283472" top="0.74803149606299213" bottom="0.74803149606299213" header="0.31496062992125984" footer="0.31496062992125984"/>
  <pageSetup paperSize="9" fitToHeight="0" orientation="landscape" r:id="rId2"/>
  <headerFooter>
    <oddFooter>&amp;C&amp;P / &amp;N &amp;R©2024 SMS DataTech Corporation. All rights reserved.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zoomScale="40" zoomScaleNormal="40" workbookViewId="0"/>
  </sheetViews>
  <sheetFormatPr defaultRowHeight="18" x14ac:dyDescent="0.45"/>
  <sheetData/>
  <phoneticPr fontId="2"/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>
    <oddFooter>&amp;C&amp;P / &amp;N &amp;R©2024 SMS DataTech Corporation. All rights reserved.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69" t="s">
        <v>47</v>
      </c>
    </row>
    <row r="2" spans="1:1" x14ac:dyDescent="0.45">
      <c r="A2" s="70" t="s">
        <v>37</v>
      </c>
    </row>
    <row r="3" spans="1:1" x14ac:dyDescent="0.45">
      <c r="A3" s="69" t="s">
        <v>38</v>
      </c>
    </row>
    <row r="4" spans="1:1" x14ac:dyDescent="0.45">
      <c r="A4" s="69" t="s">
        <v>41</v>
      </c>
    </row>
    <row r="5" spans="1:1" x14ac:dyDescent="0.45">
      <c r="A5" s="69" t="s">
        <v>39</v>
      </c>
    </row>
    <row r="6" spans="1:1" x14ac:dyDescent="0.45">
      <c r="A6" s="69" t="s">
        <v>40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18</vt:i4>
      </vt:variant>
    </vt:vector>
  </HeadingPairs>
  <TitlesOfParts>
    <vt:vector size="31" baseType="lpstr">
      <vt:lpstr>変更履歴</vt:lpstr>
      <vt:lpstr>概要</vt:lpstr>
      <vt:lpstr>帳票レイアウト(Data)</vt:lpstr>
      <vt:lpstr>帳票レイアウト(ピボット)</vt:lpstr>
      <vt:lpstr>項目一覧 (Data)</vt:lpstr>
      <vt:lpstr>項目一覧(ピボット)</vt:lpstr>
      <vt:lpstr>処理詳細</vt:lpstr>
      <vt:lpstr>処理詳細_書き方</vt:lpstr>
      <vt:lpstr>確認事項</vt:lpstr>
      <vt:lpstr>別紙_テンプレート(Data)</vt:lpstr>
      <vt:lpstr>別紙_テンプレート(ピボット) </vt:lpstr>
      <vt:lpstr>別紙_印刷レイアウト(ピボット)</vt:lpstr>
      <vt:lpstr>参照</vt:lpstr>
      <vt:lpstr>概要!Print_Area</vt:lpstr>
      <vt:lpstr>'項目一覧 (Data)'!Print_Area</vt:lpstr>
      <vt:lpstr>'項目一覧(ピボット)'!Print_Area</vt:lpstr>
      <vt:lpstr>処理詳細!Print_Area</vt:lpstr>
      <vt:lpstr>処理詳細_書き方!Print_Area</vt:lpstr>
      <vt:lpstr>'帳票レイアウト(Data)'!Print_Area</vt:lpstr>
      <vt:lpstr>'帳票レイアウト(ピボット)'!Print_Area</vt:lpstr>
      <vt:lpstr>変更履歴!Print_Area</vt:lpstr>
      <vt:lpstr>概要!Print_Titles</vt:lpstr>
      <vt:lpstr>'項目一覧 (Data)'!Print_Titles</vt:lpstr>
      <vt:lpstr>'項目一覧(ピボット)'!Print_Titles</vt:lpstr>
      <vt:lpstr>処理詳細!Print_Titles</vt:lpstr>
      <vt:lpstr>処理詳細_書き方!Print_Titles</vt:lpstr>
      <vt:lpstr>'帳票レイアウト(Data)'!Print_Titles</vt:lpstr>
      <vt:lpstr>'帳票レイアウト(ピボット)'!Print_Titles</vt:lpstr>
      <vt:lpstr>'別紙_テンプレート(ピボット) '!Print_Titles</vt:lpstr>
      <vt:lpstr>変更履歴!Print_Titles</vt:lpstr>
      <vt:lpstr>日付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2025-05-24T05:52:04Z</dcterms:modified>
</cp:coreProperties>
</file>