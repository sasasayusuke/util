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616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8" r:id="rId5"/>
    <sheet name="処理詳細_書き方" sheetId="19" state="hidden" r:id="rId6"/>
    <sheet name="確認事項" sheetId="15" r:id="rId7"/>
    <sheet name="別紙_印刷レイアウト" sheetId="20" r:id="rId8"/>
    <sheet name="参照" sheetId="12" state="hidden" r:id="rId9"/>
  </sheets>
  <definedNames>
    <definedName name="_xlnm.Print_Area" localSheetId="1">概要!$A$1:$BN$31</definedName>
    <definedName name="_xlnm.Print_Area" localSheetId="3">項目一覧!$A$1:$BX$53</definedName>
    <definedName name="_xlnm.Print_Area" localSheetId="4">処理詳細!$A$1:$BR$55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9" l="1"/>
  <c r="BF3" i="19"/>
  <c r="BB3" i="19"/>
  <c r="AX3" i="19"/>
  <c r="L3" i="19"/>
  <c r="B3" i="19"/>
  <c r="BJ3" i="18"/>
  <c r="BF3" i="18"/>
  <c r="BB3" i="18"/>
  <c r="AX3" i="18"/>
  <c r="L3" i="18"/>
  <c r="B3" i="18"/>
  <c r="BJ3" i="14" l="1"/>
  <c r="BF3" i="14"/>
  <c r="BB3" i="14"/>
  <c r="AX3" i="14"/>
  <c r="L3" i="14"/>
  <c r="B3" i="14"/>
  <c r="X3" i="1" l="1"/>
  <c r="X3" i="18" l="1"/>
  <c r="X3" i="19"/>
  <c r="X3" i="14"/>
  <c r="H3" i="1"/>
  <c r="R3" i="1"/>
  <c r="AK3" i="1"/>
  <c r="AK3" i="18" l="1"/>
  <c r="AK3" i="19"/>
  <c r="R3" i="18"/>
  <c r="R3" i="19"/>
  <c r="H3" i="18"/>
  <c r="H3" i="19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<sst xmlns="http://schemas.openxmlformats.org/spreadsheetml/2006/main" count="333" uniqueCount="220">
  <si>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</si>
  <si>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</si>
  <si>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</si>
  <si>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</si>
  <si>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</si>
  <si>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</si>
  <si>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</si>
  <si>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</si>
  <si>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</si>
  <si>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</si>
  <si>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</si>
  <si>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</si>
  <si>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</si>
  <si>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</si>
  <si>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</si>
  <si>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</si>
  <si>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</si>
  <si>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</si>
  <si>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</si>
  <si>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</si>
  <si>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</si>
  <si>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</si>
  <si>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</si>
  <si>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</si>
  <si>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</si>
  <si>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</si>
  <si>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</si>
  <si>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</si>
  <si>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</si>
  <si>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</si>
  <si>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</si>
  <si>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</si>
  <si>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</si>
  <si>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</si>
  <si>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</si>
  <si>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</si>
  <si>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</si>
  <si>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</si>
  <si>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</si>
  <si>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</si>
  <si>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</si>
  <si>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</si>
  <si>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</si>
  <si>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</si>
  <si>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</si>
  <si>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</si>
  <si>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</si>
  <si>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</si>
  <si>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</si>
  <si>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</si>
  <si>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</si>
  <si>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</si>
  <si>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</si>
  <si>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</si>
  <si>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</si>
  <si>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</si>
  <si>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</si>
  <si>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</si>
  <si>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</si>
  <si>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</si>
  <si>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</si>
  <si>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</si>
  <si>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</si>
  <si>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</si>
  <si>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</si>
  <si>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</si>
  <si>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</si>
  <si>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</si>
  <si>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</si>
  <si>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</si>
  <si>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</si>
  <si>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</si>
  <si>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</si>
  <si>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</si>
  <si>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</si>
  <si>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</si>
  <si>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</si>
  <si>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</si>
  <si>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</si>
  <si>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</si>
  <si>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</si>
  <si>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</si>
  <si>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</si>
  <si>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</si>
  <si>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</si>
  <si>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</si>
  <si>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</si>
  <si>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</si>
  <si>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</si>
  <si>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</si>
  <si>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-</t>
    <phoneticPr fontId="2"/>
  </si>
  <si>
    <t>PDF</t>
    <phoneticPr fontId="2"/>
  </si>
  <si>
    <t>pdf</t>
    <phoneticPr fontId="2"/>
  </si>
  <si>
    <t>-</t>
    <phoneticPr fontId="2"/>
  </si>
  <si>
    <t>-</t>
    <phoneticPr fontId="2"/>
  </si>
  <si>
    <t>-</t>
    <phoneticPr fontId="2"/>
  </si>
  <si>
    <t>請求日付from</t>
    <rPh sb="0" eb="2">
      <t>セイキュウ</t>
    </rPh>
    <rPh sb="2" eb="4">
      <t>ヒヅケ</t>
    </rPh>
    <phoneticPr fontId="1"/>
  </si>
  <si>
    <t>請求日付to</t>
    <rPh sb="0" eb="2">
      <t>セイキュウ</t>
    </rPh>
    <rPh sb="2" eb="4">
      <t>ヒヅケ</t>
    </rPh>
    <phoneticPr fontId="1"/>
  </si>
  <si>
    <t>得意先範囲from</t>
    <rPh sb="0" eb="5">
      <t>トクイサキハンイ</t>
    </rPh>
    <phoneticPr fontId="1"/>
  </si>
  <si>
    <t>得意先範囲to</t>
    <rPh sb="0" eb="5">
      <t>トクイサキハンイ</t>
    </rPh>
    <phoneticPr fontId="1"/>
  </si>
  <si>
    <t>作成日</t>
    <rPh sb="0" eb="3">
      <t>サクセイビ</t>
    </rPh>
    <phoneticPr fontId="1"/>
  </si>
  <si>
    <t>入金状況</t>
    <rPh sb="0" eb="4">
      <t>ニュウキンジョウキョウ</t>
    </rPh>
    <phoneticPr fontId="1"/>
  </si>
  <si>
    <t>売上日付</t>
    <rPh sb="0" eb="4">
      <t>ウリアゲヒヅケ</t>
    </rPh>
    <phoneticPr fontId="1"/>
  </si>
  <si>
    <t>請求日付</t>
    <rPh sb="0" eb="4">
      <t>セイキュウヒヅケ</t>
    </rPh>
    <phoneticPr fontId="1"/>
  </si>
  <si>
    <t>売上番号</t>
    <rPh sb="0" eb="4">
      <t>ウリアゲバンゴウ</t>
    </rPh>
    <phoneticPr fontId="1"/>
  </si>
  <si>
    <t>得意先CD</t>
    <rPh sb="0" eb="3">
      <t>トクイサキ</t>
    </rPh>
    <phoneticPr fontId="1"/>
  </si>
  <si>
    <t>得意先名1</t>
    <rPh sb="0" eb="4">
      <t>トクイサキメイ</t>
    </rPh>
    <phoneticPr fontId="1"/>
  </si>
  <si>
    <t>得意先名2</t>
    <rPh sb="0" eb="4">
      <t>トクイサキメイ</t>
    </rPh>
    <phoneticPr fontId="1"/>
  </si>
  <si>
    <t>見積件名</t>
    <rPh sb="0" eb="4">
      <t>ミツモリケンメイ</t>
    </rPh>
    <phoneticPr fontId="1"/>
  </si>
  <si>
    <t>決算月</t>
    <rPh sb="0" eb="3">
      <t>ケッサンツキ</t>
    </rPh>
    <phoneticPr fontId="1"/>
  </si>
  <si>
    <t>回収予定日</t>
    <rPh sb="0" eb="2">
      <t>カイシュウ</t>
    </rPh>
    <rPh sb="2" eb="5">
      <t>ヨテイビ</t>
    </rPh>
    <phoneticPr fontId="1"/>
  </si>
  <si>
    <t>売上金額</t>
    <rPh sb="0" eb="4">
      <t>ウリアゲキンガク</t>
    </rPh>
    <phoneticPr fontId="1"/>
  </si>
  <si>
    <t>入金済金額</t>
    <rPh sb="0" eb="2">
      <t>ニュウキン</t>
    </rPh>
    <rPh sb="2" eb="3">
      <t>スミ</t>
    </rPh>
    <rPh sb="3" eb="5">
      <t>キンガク</t>
    </rPh>
    <phoneticPr fontId="1"/>
  </si>
  <si>
    <t>未入金金額</t>
    <rPh sb="0" eb="5">
      <t>ミニュウキンキンガク</t>
    </rPh>
    <phoneticPr fontId="1"/>
  </si>
  <si>
    <t>売上金額合計</t>
    <rPh sb="0" eb="4">
      <t>ウリアゲキンガク</t>
    </rPh>
    <rPh sb="4" eb="6">
      <t>ゴウケイ</t>
    </rPh>
    <phoneticPr fontId="1"/>
  </si>
  <si>
    <t>入金済金額合計</t>
    <rPh sb="0" eb="2">
      <t>ニュウキン</t>
    </rPh>
    <rPh sb="2" eb="3">
      <t>スミ</t>
    </rPh>
    <rPh sb="3" eb="5">
      <t>キンガク</t>
    </rPh>
    <phoneticPr fontId="1"/>
  </si>
  <si>
    <t>未入金金額合計</t>
    <rPh sb="0" eb="5">
      <t>ミニュウキンキンガク</t>
    </rPh>
    <phoneticPr fontId="1"/>
  </si>
  <si>
    <t>17.売上金額</t>
    <rPh sb="3" eb="7">
      <t>ウリアゲキンガク</t>
    </rPh>
    <phoneticPr fontId="1"/>
  </si>
  <si>
    <t>18.入金済金額</t>
    <rPh sb="3" eb="6">
      <t>ニュウキンズ</t>
    </rPh>
    <rPh sb="6" eb="8">
      <t>キンガク</t>
    </rPh>
    <phoneticPr fontId="1"/>
  </si>
  <si>
    <t>19.未入金金額</t>
    <rPh sb="3" eb="6">
      <t>ミニュウキン</t>
    </rPh>
    <rPh sb="6" eb="8">
      <t>キンガク</t>
    </rPh>
    <phoneticPr fontId="1"/>
  </si>
  <si>
    <t>SQL1.入金状況</t>
    <rPh sb="5" eb="9">
      <t>ニュウキンジョウキョウ</t>
    </rPh>
    <phoneticPr fontId="1"/>
  </si>
  <si>
    <t>SQL1.売上日付</t>
    <phoneticPr fontId="1"/>
  </si>
  <si>
    <t>SQL1.請求日付</t>
    <phoneticPr fontId="1"/>
  </si>
  <si>
    <t>SQL1.見積番号</t>
    <rPh sb="5" eb="7">
      <t>ミツモリ</t>
    </rPh>
    <rPh sb="7" eb="9">
      <t>バンゴウ</t>
    </rPh>
    <phoneticPr fontId="1"/>
  </si>
  <si>
    <t>SQL1.得意先CD</t>
    <phoneticPr fontId="1"/>
  </si>
  <si>
    <t>SQL1.見積件名</t>
    <phoneticPr fontId="1"/>
  </si>
  <si>
    <t>SQL1.決算月</t>
    <phoneticPr fontId="1"/>
  </si>
  <si>
    <t>SQL1.回収予定日</t>
    <phoneticPr fontId="1"/>
  </si>
  <si>
    <t>SQL1.税込金額</t>
    <rPh sb="5" eb="7">
      <t>ゼイコミ</t>
    </rPh>
    <rPh sb="7" eb="9">
      <t>キンガク</t>
    </rPh>
    <phoneticPr fontId="1"/>
  </si>
  <si>
    <t>SQL1.入金済金額</t>
    <phoneticPr fontId="1"/>
  </si>
  <si>
    <t>SQL1.未入金額</t>
    <phoneticPr fontId="1"/>
  </si>
  <si>
    <t>半角</t>
    <rPh sb="0" eb="2">
      <t>ハンカク</t>
    </rPh>
    <phoneticPr fontId="1"/>
  </si>
  <si>
    <t>[17.売上金額]の合計</t>
    <rPh sb="10" eb="12">
      <t>ゴウケイ</t>
    </rPh>
    <phoneticPr fontId="1"/>
  </si>
  <si>
    <t>[18.入金済金額]の合計</t>
    <rPh sb="11" eb="13">
      <t>ゴウケイ</t>
    </rPh>
    <phoneticPr fontId="1"/>
  </si>
  <si>
    <t>[19.未入金金額]の合計</t>
    <rPh sb="11" eb="13">
      <t>ゴウケイ</t>
    </rPh>
    <phoneticPr fontId="1"/>
  </si>
  <si>
    <t>現在日付</t>
    <rPh sb="0" eb="4">
      <t>ゲンザイヒヅケ</t>
    </rPh>
    <phoneticPr fontId="1"/>
  </si>
  <si>
    <t>画面.開始得意先CD</t>
    <rPh sb="0" eb="2">
      <t>ガメン</t>
    </rPh>
    <phoneticPr fontId="1"/>
  </si>
  <si>
    <t>画面.終了得意先CD</t>
    <rPh sb="0" eb="2">
      <t>ガメン</t>
    </rPh>
    <phoneticPr fontId="1"/>
  </si>
  <si>
    <t>画面.開始日付</t>
    <rPh sb="0" eb="2">
      <t>ガメン</t>
    </rPh>
    <phoneticPr fontId="1"/>
  </si>
  <si>
    <t>画面.終了日付</t>
    <rPh sb="0" eb="2">
      <t>ガメン</t>
    </rPh>
    <phoneticPr fontId="1"/>
  </si>
  <si>
    <t>全角</t>
    <rPh sb="0" eb="2">
      <t>ゼンカク</t>
    </rPh>
    <phoneticPr fontId="1"/>
  </si>
  <si>
    <t>SQL1.得意先名1,SQL1.得意先名2</t>
    <phoneticPr fontId="1"/>
  </si>
  <si>
    <t>[SQL1.得意先名2]が空の場合、""を表示。空でない場合は[SQL1.得意先名1]を表示。</t>
    <rPh sb="13" eb="14">
      <t>カラ</t>
    </rPh>
    <rPh sb="15" eb="17">
      <t>バアイ</t>
    </rPh>
    <rPh sb="21" eb="23">
      <t>ヒョウジ</t>
    </rPh>
    <rPh sb="24" eb="25">
      <t>カラ</t>
    </rPh>
    <rPh sb="28" eb="30">
      <t>バアイ</t>
    </rPh>
    <rPh sb="44" eb="46">
      <t>ヒョウジ</t>
    </rPh>
    <phoneticPr fontId="1"/>
  </si>
  <si>
    <t>[SQL1.得意先名2]が空の場合、[SQL1.得意先名1]を表示。空でない場合は[SQL1.得意先名2]を表示。</t>
    <rPh sb="13" eb="14">
      <t>カラ</t>
    </rPh>
    <rPh sb="15" eb="17">
      <t>バアイ</t>
    </rPh>
    <rPh sb="31" eb="33">
      <t>ヒョウジ</t>
    </rPh>
    <rPh sb="34" eb="35">
      <t>カラ</t>
    </rPh>
    <rPh sb="38" eb="40">
      <t>バアイ</t>
    </rPh>
    <rPh sb="54" eb="56">
      <t>ヒョウジ</t>
    </rPh>
    <phoneticPr fontId="1"/>
  </si>
  <si>
    <t>yyyy年mm月dd日</t>
    <phoneticPr fontId="1"/>
  </si>
  <si>
    <t>[999999]</t>
    <phoneticPr fontId="1"/>
  </si>
  <si>
    <t>画面からの入力が空の場合"[最初]"を表示。</t>
    <rPh sb="0" eb="2">
      <t>ガメン</t>
    </rPh>
    <rPh sb="5" eb="7">
      <t>ニュウリョク</t>
    </rPh>
    <rPh sb="8" eb="9">
      <t>カラ</t>
    </rPh>
    <rPh sb="10" eb="12">
      <t>バアイ</t>
    </rPh>
    <rPh sb="14" eb="16">
      <t>サイショ</t>
    </rPh>
    <rPh sb="19" eb="21">
      <t>ヒョウジ</t>
    </rPh>
    <phoneticPr fontId="1"/>
  </si>
  <si>
    <t>画面からの入力が空の場合"[最後]"を表示。</t>
    <rPh sb="0" eb="2">
      <t>ガメン</t>
    </rPh>
    <rPh sb="5" eb="7">
      <t>ニュウリョク</t>
    </rPh>
    <rPh sb="8" eb="9">
      <t>カラ</t>
    </rPh>
    <rPh sb="10" eb="12">
      <t>バアイ</t>
    </rPh>
    <rPh sb="14" eb="16">
      <t>サイゴ</t>
    </rPh>
    <rPh sb="19" eb="21">
      <t>ヒョウジ</t>
    </rPh>
    <phoneticPr fontId="1"/>
  </si>
  <si>
    <t>[SQL1.未入金額]が0より小さい場合は赤文字で表示。</t>
    <rPh sb="15" eb="16">
      <t>チイ</t>
    </rPh>
    <rPh sb="18" eb="20">
      <t>バアイ</t>
    </rPh>
    <rPh sb="21" eb="24">
      <t>アカモジ</t>
    </rPh>
    <rPh sb="25" eb="27">
      <t>ヒョウジ</t>
    </rPh>
    <phoneticPr fontId="1"/>
  </si>
  <si>
    <t>見積番号</t>
    <phoneticPr fontId="2"/>
  </si>
  <si>
    <t>売上日付</t>
    <phoneticPr fontId="2"/>
  </si>
  <si>
    <t>請求日付</t>
    <phoneticPr fontId="2"/>
  </si>
  <si>
    <t>得意先CD</t>
    <phoneticPr fontId="2"/>
  </si>
  <si>
    <t>得意先名1</t>
    <phoneticPr fontId="2"/>
  </si>
  <si>
    <t>得意先名2</t>
    <phoneticPr fontId="2"/>
  </si>
  <si>
    <t>見積件名</t>
    <phoneticPr fontId="2"/>
  </si>
  <si>
    <t>税込金額</t>
    <phoneticPr fontId="2"/>
  </si>
  <si>
    <t>入金済金額</t>
    <phoneticPr fontId="2"/>
  </si>
  <si>
    <t>未入金額</t>
    <phoneticPr fontId="2"/>
  </si>
  <si>
    <t>入金状況</t>
    <phoneticPr fontId="2"/>
  </si>
  <si>
    <t>回収予定日</t>
    <phoneticPr fontId="2"/>
  </si>
  <si>
    <t>請求</t>
    <phoneticPr fontId="2"/>
  </si>
  <si>
    <t>締日</t>
    <phoneticPr fontId="2"/>
  </si>
  <si>
    <t>請求年月日</t>
    <phoneticPr fontId="2"/>
  </si>
  <si>
    <t>入金サイクル</t>
    <phoneticPr fontId="2"/>
  </si>
  <si>
    <t>入金予定日</t>
    <phoneticPr fontId="2"/>
  </si>
  <si>
    <t xml:space="preserve">決算月 </t>
    <phoneticPr fontId="2"/>
  </si>
  <si>
    <t>TD売上請求H</t>
    <phoneticPr fontId="2"/>
  </si>
  <si>
    <t>TD見積</t>
    <phoneticPr fontId="2"/>
  </si>
  <si>
    <t>SQL2</t>
    <phoneticPr fontId="2"/>
  </si>
  <si>
    <t>SQL3</t>
    <phoneticPr fontId="2"/>
  </si>
  <si>
    <t>TM得意先</t>
    <phoneticPr fontId="2"/>
  </si>
  <si>
    <t>INNER JOIN</t>
    <phoneticPr fontId="2"/>
  </si>
  <si>
    <t>TD見積</t>
    <phoneticPr fontId="2"/>
  </si>
  <si>
    <t>SQL2</t>
    <phoneticPr fontId="2"/>
  </si>
  <si>
    <t>LEFT JOIN</t>
    <phoneticPr fontId="2"/>
  </si>
  <si>
    <t>TM得意先</t>
    <phoneticPr fontId="2"/>
  </si>
  <si>
    <t>AND</t>
    <phoneticPr fontId="2"/>
  </si>
  <si>
    <t>(</t>
    <phoneticPr fontId="2"/>
  </si>
  <si>
    <t>OR</t>
    <phoneticPr fontId="2"/>
  </si>
  <si>
    <t>)</t>
    <phoneticPr fontId="2"/>
  </si>
  <si>
    <t>order by</t>
    <phoneticPr fontId="2"/>
  </si>
  <si>
    <t>TD売上請求H.見積番号</t>
  </si>
  <si>
    <t>TD売上請求H.請求日付</t>
  </si>
  <si>
    <t>TD売上請求H.合計金額 + TD売上請求H.外税額</t>
  </si>
  <si>
    <t>TD売上請求H.請求年月日</t>
  </si>
  <si>
    <t>(TD売上請求H.合計金額 + TD売上請求H.外税額) &lt;&gt; 0</t>
  </si>
  <si>
    <t>[TD売上請求H.請求日付]昇順</t>
    <rPh sb="14" eb="16">
      <t>ショウジュン</t>
    </rPh>
    <phoneticPr fontId="2"/>
  </si>
  <si>
    <t>[TD売上請求H.見積番号]昇順</t>
    <rPh sb="14" eb="16">
      <t>ショウジュン</t>
    </rPh>
    <phoneticPr fontId="2"/>
  </si>
  <si>
    <t>TD見積.得意先CD</t>
  </si>
  <si>
    <t>TD見積.得意先名1</t>
  </si>
  <si>
    <t>TD見積.得意先名2</t>
  </si>
  <si>
    <t>TD見積.見積件名</t>
  </si>
  <si>
    <t>TD売上請求H.見積番号 = TD見積.見積番号</t>
  </si>
  <si>
    <t>[TD見積.得意先CD]昇順</t>
    <rPh sb="12" eb="14">
      <t>ショウジュン</t>
    </rPh>
    <phoneticPr fontId="2"/>
  </si>
  <si>
    <t>SQL2.売上日付</t>
  </si>
  <si>
    <t>TD売上請求H.見積番号 = SQL2.見積番号</t>
  </si>
  <si>
    <t>ISNULL(SQL3.明細入金合計, 0)</t>
  </si>
  <si>
    <t>(TD売上請求H.合計金額 + TD売上請求H.外税額) - ISNULL(SQL3.明細入金合計, 0)</t>
  </si>
  <si>
    <t>CASE WHEN ISNULL(SQL3.明細入金合計, 0) &lt;&gt; 0 THEN CASE WHEN ISNULL(SQL3.明細入金合計, 0) &gt;= (TD売上請求H.合計金額 + TD売上請求H.外税額) THEN '全額入金' ELSE '一部入金' END END</t>
  </si>
  <si>
    <t>TD売上請求H.見積番号 = SQL3.売上番号</t>
  </si>
  <si>
    <t>ISNULL(SQL3.明細入金合計, 0) = 0</t>
  </si>
  <si>
    <t>abs(TD売上請求H.合計金額 + TD売上請求H.外税額) - abs(ISNULL(SQL3.明細入金合計, 0)) &lt;&gt; 0</t>
  </si>
  <si>
    <t xml:space="preserve">dbo.fn_Get入金予定日(dbo.ufn_GetLastDateOfScope(TD売上請求H.請求日付, TM得意先.締日), TM得意先.入金サイクル, TM得意先.入金予定日) </t>
  </si>
  <si>
    <t>dbo.ufn_GetLastDateOfScope(TD売上請求H.請求日付, TM得意先.締日)</t>
  </si>
  <si>
    <t>TM得意先.締日</t>
  </si>
  <si>
    <t>TM得意先.入金サイクル</t>
  </si>
  <si>
    <t>TM得意先.入金予定日</t>
  </si>
  <si>
    <t xml:space="preserve">TM得意先.決算月 </t>
  </si>
  <si>
    <t>TD見積.得意先CD = TM得意先.得意先CD</t>
  </si>
  <si>
    <t>TD売上請求H.請求日付 &gt;= [画面.開始日付]</t>
    <phoneticPr fontId="2"/>
  </si>
  <si>
    <t>TD売上請求H.請求日付 &lt;= [画面.終了日付]</t>
    <rPh sb="20" eb="22">
      <t>シュウリョウ</t>
    </rPh>
    <phoneticPr fontId="2"/>
  </si>
  <si>
    <t>TD見積.得意先CD = coalesce([画面.開始得意先CD], TD見積.得意先CD)</t>
    <phoneticPr fontId="2"/>
  </si>
  <si>
    <t>TD見積.得意先CD = coalesce(画面.終了得意先CD, TD見積.得意先CD)</t>
    <rPh sb="25" eb="27">
      <t>シュウリョウ</t>
    </rPh>
    <phoneticPr fontId="2"/>
  </si>
  <si>
    <t>[画面.全額含むflg] = 1</t>
    <rPh sb="1" eb="3">
      <t>ガメン</t>
    </rPh>
    <rPh sb="4" eb="7">
      <t>ゼンガクフク</t>
    </rPh>
    <phoneticPr fontId="2"/>
  </si>
  <si>
    <t>A3横</t>
    <rPh sb="2" eb="3">
      <t>ヨコ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</si>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</sst>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9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3" fontId="3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6" xfId="0" applyFont="1" applyFill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55419</xdr:colOff>
      <xdr:row>8</xdr:row>
      <xdr:rowOff>152399</xdr:rowOff>
    </xdr:from>
    <xdr:to>
      <xdr:col>64</xdr:col>
      <xdr:colOff>26629</xdr:colOff>
      <xdr:row>38</xdr:row>
      <xdr:rowOff>138545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546" y="1759526"/>
          <a:ext cx="17427938" cy="7467601"/>
        </a:xfrm>
        <a:prstGeom prst="rect">
          <a:avLst/>
        </a:prstGeom>
      </xdr:spPr>
    </xdr:pic>
    <xdr:clientData/>
  </xdr:twoCellAnchor>
  <xdr:twoCellAnchor>
    <xdr:from>
      <xdr:col>1</xdr:col>
      <xdr:colOff>170330</xdr:colOff>
      <xdr:row>17</xdr:row>
      <xdr:rowOff>35861</xdr:rowOff>
    </xdr:from>
    <xdr:to>
      <xdr:col>2</xdr:col>
      <xdr:colOff>233082</xdr:colOff>
      <xdr:row>18</xdr:row>
      <xdr:rowOff>107579</xdr:rowOff>
    </xdr:to>
    <xdr:sp macro="" textlink="">
      <xdr:nvSpPr>
        <xdr:cNvPr id="7" name="正方形/長方形 6"/>
        <xdr:cNvSpPr/>
      </xdr:nvSpPr>
      <xdr:spPr>
        <a:xfrm>
          <a:off x="251012" y="392654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38</xdr:col>
      <xdr:colOff>8965</xdr:colOff>
      <xdr:row>12</xdr:row>
      <xdr:rowOff>233083</xdr:rowOff>
    </xdr:from>
    <xdr:to>
      <xdr:col>39</xdr:col>
      <xdr:colOff>71717</xdr:colOff>
      <xdr:row>14</xdr:row>
      <xdr:rowOff>53790</xdr:rowOff>
    </xdr:to>
    <xdr:sp macro="" textlink="">
      <xdr:nvSpPr>
        <xdr:cNvPr id="8" name="正方形/長方形 7"/>
        <xdr:cNvSpPr/>
      </xdr:nvSpPr>
      <xdr:spPr>
        <a:xfrm>
          <a:off x="10372165" y="286870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125506</xdr:colOff>
      <xdr:row>12</xdr:row>
      <xdr:rowOff>125506</xdr:rowOff>
    </xdr:from>
    <xdr:to>
      <xdr:col>13</xdr:col>
      <xdr:colOff>188258</xdr:colOff>
      <xdr:row>13</xdr:row>
      <xdr:rowOff>197225</xdr:rowOff>
    </xdr:to>
    <xdr:sp macro="" textlink="">
      <xdr:nvSpPr>
        <xdr:cNvPr id="9" name="正方形/長方形 8"/>
        <xdr:cNvSpPr/>
      </xdr:nvSpPr>
      <xdr:spPr>
        <a:xfrm>
          <a:off x="3263153" y="276113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161365</xdr:colOff>
      <xdr:row>13</xdr:row>
      <xdr:rowOff>197225</xdr:rowOff>
    </xdr:from>
    <xdr:to>
      <xdr:col>12</xdr:col>
      <xdr:colOff>224117</xdr:colOff>
      <xdr:row>15</xdr:row>
      <xdr:rowOff>17931</xdr:rowOff>
    </xdr:to>
    <xdr:sp macro="" textlink="">
      <xdr:nvSpPr>
        <xdr:cNvPr id="10" name="正方形/長方形 9"/>
        <xdr:cNvSpPr/>
      </xdr:nvSpPr>
      <xdr:spPr>
        <a:xfrm>
          <a:off x="3021106" y="308386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71718</xdr:colOff>
      <xdr:row>13</xdr:row>
      <xdr:rowOff>188260</xdr:rowOff>
    </xdr:from>
    <xdr:to>
      <xdr:col>7</xdr:col>
      <xdr:colOff>134470</xdr:colOff>
      <xdr:row>15</xdr:row>
      <xdr:rowOff>8966</xdr:rowOff>
    </xdr:to>
    <xdr:sp macro="" textlink="">
      <xdr:nvSpPr>
        <xdr:cNvPr id="11" name="正方形/長方形 10"/>
        <xdr:cNvSpPr/>
      </xdr:nvSpPr>
      <xdr:spPr>
        <a:xfrm>
          <a:off x="1541930" y="307489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71718</xdr:colOff>
      <xdr:row>12</xdr:row>
      <xdr:rowOff>116542</xdr:rowOff>
    </xdr:from>
    <xdr:to>
      <xdr:col>7</xdr:col>
      <xdr:colOff>134470</xdr:colOff>
      <xdr:row>13</xdr:row>
      <xdr:rowOff>188261</xdr:rowOff>
    </xdr:to>
    <xdr:sp macro="" textlink="">
      <xdr:nvSpPr>
        <xdr:cNvPr id="12" name="正方形/長方形 11"/>
        <xdr:cNvSpPr/>
      </xdr:nvSpPr>
      <xdr:spPr>
        <a:xfrm>
          <a:off x="1541930" y="275216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134471</xdr:colOff>
      <xdr:row>17</xdr:row>
      <xdr:rowOff>35860</xdr:rowOff>
    </xdr:from>
    <xdr:to>
      <xdr:col>18</xdr:col>
      <xdr:colOff>197223</xdr:colOff>
      <xdr:row>18</xdr:row>
      <xdr:rowOff>107578</xdr:rowOff>
    </xdr:to>
    <xdr:sp macro="" textlink="">
      <xdr:nvSpPr>
        <xdr:cNvPr id="13" name="正方形/長方形 12"/>
        <xdr:cNvSpPr/>
      </xdr:nvSpPr>
      <xdr:spPr>
        <a:xfrm>
          <a:off x="4661647" y="392654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0</xdr:colOff>
      <xdr:row>17</xdr:row>
      <xdr:rowOff>35860</xdr:rowOff>
    </xdr:from>
    <xdr:to>
      <xdr:col>15</xdr:col>
      <xdr:colOff>62752</xdr:colOff>
      <xdr:row>18</xdr:row>
      <xdr:rowOff>107578</xdr:rowOff>
    </xdr:to>
    <xdr:sp macro="" textlink="">
      <xdr:nvSpPr>
        <xdr:cNvPr id="14" name="正方形/長方形 13"/>
        <xdr:cNvSpPr/>
      </xdr:nvSpPr>
      <xdr:spPr>
        <a:xfrm>
          <a:off x="3693459" y="392654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5</xdr:colOff>
      <xdr:row>17</xdr:row>
      <xdr:rowOff>35860</xdr:rowOff>
    </xdr:from>
    <xdr:to>
      <xdr:col>11</xdr:col>
      <xdr:colOff>62757</xdr:colOff>
      <xdr:row>18</xdr:row>
      <xdr:rowOff>107578</xdr:rowOff>
    </xdr:to>
    <xdr:sp macro="" textlink="">
      <xdr:nvSpPr>
        <xdr:cNvPr id="15" name="正方形/長方形 14"/>
        <xdr:cNvSpPr/>
      </xdr:nvSpPr>
      <xdr:spPr>
        <a:xfrm>
          <a:off x="2581840" y="392654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116544</xdr:colOff>
      <xdr:row>17</xdr:row>
      <xdr:rowOff>35861</xdr:rowOff>
    </xdr:from>
    <xdr:to>
      <xdr:col>6</xdr:col>
      <xdr:colOff>179296</xdr:colOff>
      <xdr:row>18</xdr:row>
      <xdr:rowOff>107579</xdr:rowOff>
    </xdr:to>
    <xdr:sp macro="" textlink="">
      <xdr:nvSpPr>
        <xdr:cNvPr id="16" name="正方形/長方形 15"/>
        <xdr:cNvSpPr/>
      </xdr:nvSpPr>
      <xdr:spPr>
        <a:xfrm>
          <a:off x="1308850" y="392654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268941</xdr:colOff>
      <xdr:row>17</xdr:row>
      <xdr:rowOff>35860</xdr:rowOff>
    </xdr:from>
    <xdr:to>
      <xdr:col>47</xdr:col>
      <xdr:colOff>53787</xdr:colOff>
      <xdr:row>18</xdr:row>
      <xdr:rowOff>107578</xdr:rowOff>
    </xdr:to>
    <xdr:sp macro="" textlink="">
      <xdr:nvSpPr>
        <xdr:cNvPr id="19" name="正方形/長方形 18"/>
        <xdr:cNvSpPr/>
      </xdr:nvSpPr>
      <xdr:spPr>
        <a:xfrm>
          <a:off x="12577482" y="392654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233081</xdr:colOff>
      <xdr:row>17</xdr:row>
      <xdr:rowOff>35860</xdr:rowOff>
    </xdr:from>
    <xdr:to>
      <xdr:col>44</xdr:col>
      <xdr:colOff>17928</xdr:colOff>
      <xdr:row>18</xdr:row>
      <xdr:rowOff>107578</xdr:rowOff>
    </xdr:to>
    <xdr:sp macro="" textlink="">
      <xdr:nvSpPr>
        <xdr:cNvPr id="20" name="正方形/長方形 19"/>
        <xdr:cNvSpPr/>
      </xdr:nvSpPr>
      <xdr:spPr>
        <a:xfrm>
          <a:off x="11707905" y="392654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51</xdr:col>
      <xdr:colOff>215154</xdr:colOff>
      <xdr:row>20</xdr:row>
      <xdr:rowOff>125506</xdr:rowOff>
    </xdr:from>
    <xdr:to>
      <xdr:col>53</xdr:col>
      <xdr:colOff>0</xdr:colOff>
      <xdr:row>21</xdr:row>
      <xdr:rowOff>197225</xdr:rowOff>
    </xdr:to>
    <xdr:sp macro="" textlink="">
      <xdr:nvSpPr>
        <xdr:cNvPr id="21" name="正方形/長方形 20"/>
        <xdr:cNvSpPr/>
      </xdr:nvSpPr>
      <xdr:spPr>
        <a:xfrm>
          <a:off x="14191130" y="47692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60</xdr:col>
      <xdr:colOff>161366</xdr:colOff>
      <xdr:row>17</xdr:row>
      <xdr:rowOff>35860</xdr:rowOff>
    </xdr:from>
    <xdr:to>
      <xdr:col>61</xdr:col>
      <xdr:colOff>224118</xdr:colOff>
      <xdr:row>18</xdr:row>
      <xdr:rowOff>107578</xdr:rowOff>
    </xdr:to>
    <xdr:sp macro="" textlink="">
      <xdr:nvSpPr>
        <xdr:cNvPr id="22" name="正方形/長方形 21"/>
        <xdr:cNvSpPr/>
      </xdr:nvSpPr>
      <xdr:spPr>
        <a:xfrm>
          <a:off x="16638495" y="392654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55</xdr:col>
      <xdr:colOff>224118</xdr:colOff>
      <xdr:row>17</xdr:row>
      <xdr:rowOff>35859</xdr:rowOff>
    </xdr:from>
    <xdr:to>
      <xdr:col>57</xdr:col>
      <xdr:colOff>8964</xdr:colOff>
      <xdr:row>18</xdr:row>
      <xdr:rowOff>107577</xdr:rowOff>
    </xdr:to>
    <xdr:sp macro="" textlink="">
      <xdr:nvSpPr>
        <xdr:cNvPr id="23" name="正方形/長方形 22"/>
        <xdr:cNvSpPr/>
      </xdr:nvSpPr>
      <xdr:spPr>
        <a:xfrm>
          <a:off x="15311718" y="392654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51</xdr:col>
      <xdr:colOff>188259</xdr:colOff>
      <xdr:row>17</xdr:row>
      <xdr:rowOff>35859</xdr:rowOff>
    </xdr:from>
    <xdr:to>
      <xdr:col>52</xdr:col>
      <xdr:colOff>251011</xdr:colOff>
      <xdr:row>18</xdr:row>
      <xdr:rowOff>107577</xdr:rowOff>
    </xdr:to>
    <xdr:sp macro="" textlink="">
      <xdr:nvSpPr>
        <xdr:cNvPr id="24" name="正方形/長方形 23"/>
        <xdr:cNvSpPr/>
      </xdr:nvSpPr>
      <xdr:spPr>
        <a:xfrm>
          <a:off x="14164235" y="392654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60</xdr:col>
      <xdr:colOff>179294</xdr:colOff>
      <xdr:row>20</xdr:row>
      <xdr:rowOff>125506</xdr:rowOff>
    </xdr:from>
    <xdr:to>
      <xdr:col>61</xdr:col>
      <xdr:colOff>242046</xdr:colOff>
      <xdr:row>21</xdr:row>
      <xdr:rowOff>197225</xdr:rowOff>
    </xdr:to>
    <xdr:sp macro="" textlink="">
      <xdr:nvSpPr>
        <xdr:cNvPr id="25" name="正方形/長方形 24"/>
        <xdr:cNvSpPr/>
      </xdr:nvSpPr>
      <xdr:spPr>
        <a:xfrm>
          <a:off x="16656423" y="47692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55</xdr:col>
      <xdr:colOff>242047</xdr:colOff>
      <xdr:row>20</xdr:row>
      <xdr:rowOff>125506</xdr:rowOff>
    </xdr:from>
    <xdr:to>
      <xdr:col>57</xdr:col>
      <xdr:colOff>26893</xdr:colOff>
      <xdr:row>21</xdr:row>
      <xdr:rowOff>197225</xdr:rowOff>
    </xdr:to>
    <xdr:sp macro="" textlink="">
      <xdr:nvSpPr>
        <xdr:cNvPr id="26" name="正方形/長方形 25"/>
        <xdr:cNvSpPr/>
      </xdr:nvSpPr>
      <xdr:spPr>
        <a:xfrm>
          <a:off x="15329647" y="47692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80683</xdr:colOff>
      <xdr:row>17</xdr:row>
      <xdr:rowOff>35859</xdr:rowOff>
    </xdr:from>
    <xdr:to>
      <xdr:col>21</xdr:col>
      <xdr:colOff>143435</xdr:colOff>
      <xdr:row>18</xdr:row>
      <xdr:rowOff>107577</xdr:rowOff>
    </xdr:to>
    <xdr:sp macro="" textlink="">
      <xdr:nvSpPr>
        <xdr:cNvPr id="27" name="正方形/長方形 26"/>
        <xdr:cNvSpPr/>
      </xdr:nvSpPr>
      <xdr:spPr>
        <a:xfrm>
          <a:off x="5441577" y="392654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29</xdr:col>
      <xdr:colOff>152401</xdr:colOff>
      <xdr:row>17</xdr:row>
      <xdr:rowOff>35860</xdr:rowOff>
    </xdr:from>
    <xdr:to>
      <xdr:col>30</xdr:col>
      <xdr:colOff>215153</xdr:colOff>
      <xdr:row>18</xdr:row>
      <xdr:rowOff>107578</xdr:rowOff>
    </xdr:to>
    <xdr:sp macro="" textlink="">
      <xdr:nvSpPr>
        <xdr:cNvPr id="28" name="正方形/長方形 27"/>
        <xdr:cNvSpPr/>
      </xdr:nvSpPr>
      <xdr:spPr>
        <a:xfrm>
          <a:off x="8014448" y="392654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80683</xdr:colOff>
      <xdr:row>18</xdr:row>
      <xdr:rowOff>26894</xdr:rowOff>
    </xdr:from>
    <xdr:to>
      <xdr:col>21</xdr:col>
      <xdr:colOff>143435</xdr:colOff>
      <xdr:row>19</xdr:row>
      <xdr:rowOff>98612</xdr:rowOff>
    </xdr:to>
    <xdr:sp macro="" textlink="">
      <xdr:nvSpPr>
        <xdr:cNvPr id="29" name="正方形/長方形 28"/>
        <xdr:cNvSpPr/>
      </xdr:nvSpPr>
      <xdr:spPr>
        <a:xfrm>
          <a:off x="5441577" y="416858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390359</xdr:colOff>
      <xdr:row>38</xdr:row>
      <xdr:rowOff>220286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2460439" cy="86784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53" t="s">
        <v>0</v>
      </c>
      <c r="C2" s="136"/>
      <c r="D2" s="136"/>
      <c r="E2" s="136"/>
      <c r="F2" s="136"/>
      <c r="G2" s="136"/>
      <c r="H2" s="136" t="s">
        <v>17</v>
      </c>
      <c r="I2" s="136"/>
      <c r="J2" s="136"/>
      <c r="K2" s="136"/>
      <c r="L2" s="136" t="s">
        <v>218</v>
      </c>
      <c r="M2" s="136"/>
      <c r="N2" s="136"/>
      <c r="O2" s="136"/>
      <c r="P2" s="136"/>
      <c r="Q2" s="136"/>
      <c r="R2" s="136" t="s">
        <v>2</v>
      </c>
      <c r="S2" s="136"/>
      <c r="T2" s="136"/>
      <c r="U2" s="136"/>
      <c r="V2" s="136"/>
      <c r="W2" s="136"/>
      <c r="X2" s="148" t="s">
        <v>3</v>
      </c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148" t="s">
        <v>31</v>
      </c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36" t="s">
        <v>5</v>
      </c>
      <c r="AY2" s="136"/>
      <c r="AZ2" s="136"/>
      <c r="BA2" s="136"/>
      <c r="BB2" s="136" t="s">
        <v>4</v>
      </c>
      <c r="BC2" s="136"/>
      <c r="BD2" s="136"/>
      <c r="BE2" s="136"/>
      <c r="BF2" s="136" t="s">
        <v>6</v>
      </c>
      <c r="BG2" s="136"/>
      <c r="BH2" s="136"/>
      <c r="BI2" s="136"/>
      <c r="BJ2" s="136" t="s">
        <v>7</v>
      </c>
      <c r="BK2" s="136"/>
      <c r="BL2" s="136"/>
      <c r="BM2" s="137"/>
      <c r="BN2" s="14"/>
    </row>
    <row r="3" spans="1:66" ht="20.100000000000001" customHeight="1" x14ac:dyDescent="0.45">
      <c r="A3" s="8"/>
      <c r="B3" s="151" t="s">
        <v>216</v>
      </c>
      <c r="C3" s="139"/>
      <c r="D3" s="139"/>
      <c r="E3" s="139"/>
      <c r="F3" s="139"/>
      <c r="G3" s="139"/>
      <c r="H3" s="139" t="str">
        <f ca="1">LEFT($X$3,FIND("_",$X$3)-1)</f>
        <v>UN0600</v>
      </c>
      <c r="I3" s="139"/>
      <c r="J3" s="139"/>
      <c r="K3" s="139"/>
      <c r="L3" s="139" t="s">
        <v>217</v>
      </c>
      <c r="M3" s="139"/>
      <c r="N3" s="139"/>
      <c r="O3" s="139"/>
      <c r="P3" s="139"/>
      <c r="Q3" s="139"/>
      <c r="R3" s="152" t="str">
        <f ca="1">MID($X$3,FIND("_",$X$3,FIND("_",$X$3)+1)+1,LEN($X$3)-FIND("_",$X$3,FIND("_",$X$3)+1))</f>
        <v>帳票設計書</v>
      </c>
      <c r="S3" s="139"/>
      <c r="T3" s="139"/>
      <c r="U3" s="139"/>
      <c r="V3" s="139"/>
      <c r="W3" s="139"/>
      <c r="X3" s="142" t="str">
        <f ca="1">REPLACE(LEFT(CELL("filename",$B$2),FIND(".x",CELL("filename",$B$2))-1),1,FIND("[",CELL("filename",$B$2)),)</f>
        <v>UN0600_未回収一覧表_帳票設計書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4"/>
      <c r="AK3" s="142" t="str">
        <f ca="1">MID($X$3,FIND("_",$X$3)+1,FIND("_",$X$3,FIND("_",$X$3)+1)-FIND("_",$X$3)-1)</f>
        <v>未回収一覧表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4"/>
      <c r="AX3" s="138">
        <v>45583</v>
      </c>
      <c r="AY3" s="139"/>
      <c r="AZ3" s="139"/>
      <c r="BA3" s="139"/>
      <c r="BB3" s="139" t="s">
        <v>219</v>
      </c>
      <c r="BC3" s="139"/>
      <c r="BD3" s="139"/>
      <c r="BE3" s="139"/>
      <c r="BF3" s="138">
        <v>45583</v>
      </c>
      <c r="BG3" s="139"/>
      <c r="BH3" s="139"/>
      <c r="BI3" s="139"/>
      <c r="BJ3" s="139" t="s">
        <v>219</v>
      </c>
      <c r="BK3" s="139"/>
      <c r="BL3" s="139"/>
      <c r="BM3" s="141"/>
      <c r="BN3" s="14"/>
    </row>
    <row r="4" spans="1:66" ht="20.100000000000001" customHeight="1" thickBot="1" x14ac:dyDescent="0.5">
      <c r="A4" s="8"/>
      <c r="B4" s="144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2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35" t="s">
        <v>8</v>
      </c>
      <c r="D8" s="135"/>
      <c r="E8" s="135"/>
      <c r="F8" s="135"/>
      <c r="G8" s="135" t="s">
        <v>9</v>
      </c>
      <c r="H8" s="135"/>
      <c r="I8" s="135"/>
      <c r="J8" s="135"/>
      <c r="K8" s="135" t="s">
        <v>10</v>
      </c>
      <c r="L8" s="135"/>
      <c r="M8" s="135"/>
      <c r="N8" s="135"/>
      <c r="O8" s="135" t="s">
        <v>11</v>
      </c>
      <c r="P8" s="135"/>
      <c r="Q8" s="135"/>
      <c r="R8" s="135"/>
      <c r="S8" s="135"/>
      <c r="T8" s="135"/>
      <c r="U8" s="135"/>
      <c r="V8" s="135"/>
      <c r="W8" s="135"/>
      <c r="X8" s="135"/>
      <c r="Y8" s="135" t="s">
        <v>12</v>
      </c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5"/>
      <c r="BD8" s="135"/>
      <c r="BE8" s="135"/>
      <c r="BF8" s="135"/>
      <c r="BG8" s="135"/>
      <c r="BH8" s="135"/>
      <c r="BI8" s="135"/>
      <c r="BJ8" s="135"/>
      <c r="BK8" s="135"/>
      <c r="BL8" s="135"/>
      <c r="BM8" s="7"/>
      <c r="BN8" s="14"/>
    </row>
    <row r="9" spans="1:66" ht="20.100000000000001" customHeight="1" x14ac:dyDescent="0.45">
      <c r="A9" s="8"/>
      <c r="B9" s="7"/>
      <c r="C9" s="134">
        <v>45583</v>
      </c>
      <c r="D9" s="132"/>
      <c r="E9" s="132"/>
      <c r="F9" s="133"/>
      <c r="G9" s="128" t="s">
        <v>16</v>
      </c>
      <c r="H9" s="129"/>
      <c r="I9" s="129"/>
      <c r="J9" s="130"/>
      <c r="K9" s="131" t="s">
        <v>219</v>
      </c>
      <c r="L9" s="132"/>
      <c r="M9" s="132"/>
      <c r="N9" s="133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34"/>
      <c r="D10" s="132"/>
      <c r="E10" s="132"/>
      <c r="F10" s="133"/>
      <c r="G10" s="128"/>
      <c r="H10" s="129"/>
      <c r="I10" s="129"/>
      <c r="J10" s="130"/>
      <c r="K10" s="131"/>
      <c r="L10" s="132"/>
      <c r="M10" s="132"/>
      <c r="N10" s="133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34"/>
      <c r="D11" s="132"/>
      <c r="E11" s="132"/>
      <c r="F11" s="133"/>
      <c r="G11" s="128"/>
      <c r="H11" s="129"/>
      <c r="I11" s="129"/>
      <c r="J11" s="130"/>
      <c r="K11" s="131"/>
      <c r="L11" s="132"/>
      <c r="M11" s="132"/>
      <c r="N11" s="133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34"/>
      <c r="D36" s="132"/>
      <c r="E36" s="132"/>
      <c r="F36" s="133"/>
      <c r="G36" s="128"/>
      <c r="H36" s="129"/>
      <c r="I36" s="129"/>
      <c r="J36" s="130"/>
      <c r="K36" s="131"/>
      <c r="L36" s="132"/>
      <c r="M36" s="132"/>
      <c r="N36" s="133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34"/>
      <c r="D37" s="132"/>
      <c r="E37" s="132"/>
      <c r="F37" s="133"/>
      <c r="G37" s="128"/>
      <c r="H37" s="129"/>
      <c r="I37" s="129"/>
      <c r="J37" s="130"/>
      <c r="K37" s="131"/>
      <c r="L37" s="132"/>
      <c r="M37" s="132"/>
      <c r="N37" s="133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34"/>
      <c r="D38" s="132"/>
      <c r="E38" s="132"/>
      <c r="F38" s="133"/>
      <c r="G38" s="128"/>
      <c r="H38" s="129"/>
      <c r="I38" s="129"/>
      <c r="J38" s="130"/>
      <c r="K38" s="131"/>
      <c r="L38" s="132"/>
      <c r="M38" s="132"/>
      <c r="N38" s="133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34"/>
      <c r="D39" s="132"/>
      <c r="E39" s="132"/>
      <c r="F39" s="133"/>
      <c r="G39" s="128"/>
      <c r="H39" s="129"/>
      <c r="I39" s="129"/>
      <c r="J39" s="130"/>
      <c r="K39" s="131"/>
      <c r="L39" s="132"/>
      <c r="M39" s="132"/>
      <c r="N39" s="133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34"/>
      <c r="D40" s="132"/>
      <c r="E40" s="132"/>
      <c r="F40" s="133"/>
      <c r="G40" s="128"/>
      <c r="H40" s="129"/>
      <c r="I40" s="129"/>
      <c r="J40" s="130"/>
      <c r="K40" s="131"/>
      <c r="L40" s="132"/>
      <c r="M40" s="132"/>
      <c r="N40" s="133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34"/>
      <c r="D41" s="132"/>
      <c r="E41" s="132"/>
      <c r="F41" s="133"/>
      <c r="G41" s="128"/>
      <c r="H41" s="129"/>
      <c r="I41" s="129"/>
      <c r="J41" s="130"/>
      <c r="K41" s="131"/>
      <c r="L41" s="132"/>
      <c r="M41" s="132"/>
      <c r="N41" s="133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34"/>
      <c r="D42" s="132"/>
      <c r="E42" s="132"/>
      <c r="F42" s="133"/>
      <c r="G42" s="128"/>
      <c r="H42" s="129"/>
      <c r="I42" s="129"/>
      <c r="J42" s="130"/>
      <c r="K42" s="131"/>
      <c r="L42" s="132"/>
      <c r="M42" s="132"/>
      <c r="N42" s="133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34"/>
      <c r="D43" s="132"/>
      <c r="E43" s="132"/>
      <c r="F43" s="133"/>
      <c r="G43" s="128"/>
      <c r="H43" s="129"/>
      <c r="I43" s="129"/>
      <c r="J43" s="130"/>
      <c r="K43" s="131"/>
      <c r="L43" s="132"/>
      <c r="M43" s="132"/>
      <c r="N43" s="133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34"/>
      <c r="D44" s="132"/>
      <c r="E44" s="132"/>
      <c r="F44" s="133"/>
      <c r="G44" s="128"/>
      <c r="H44" s="129"/>
      <c r="I44" s="129"/>
      <c r="J44" s="130"/>
      <c r="K44" s="131"/>
      <c r="L44" s="132"/>
      <c r="M44" s="132"/>
      <c r="N44" s="133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34"/>
      <c r="D45" s="132"/>
      <c r="E45" s="132"/>
      <c r="F45" s="133"/>
      <c r="G45" s="128"/>
      <c r="H45" s="129"/>
      <c r="I45" s="129"/>
      <c r="J45" s="130"/>
      <c r="K45" s="131"/>
      <c r="L45" s="132"/>
      <c r="M45" s="132"/>
      <c r="N45" s="133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34"/>
      <c r="D46" s="132"/>
      <c r="E46" s="132"/>
      <c r="F46" s="133"/>
      <c r="G46" s="128"/>
      <c r="H46" s="129"/>
      <c r="I46" s="129"/>
      <c r="J46" s="130"/>
      <c r="K46" s="131"/>
      <c r="L46" s="132"/>
      <c r="M46" s="132"/>
      <c r="N46" s="133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34"/>
      <c r="D47" s="132"/>
      <c r="E47" s="132"/>
      <c r="F47" s="133"/>
      <c r="G47" s="128"/>
      <c r="H47" s="129"/>
      <c r="I47" s="129"/>
      <c r="J47" s="130"/>
      <c r="K47" s="131"/>
      <c r="L47" s="132"/>
      <c r="M47" s="132"/>
      <c r="N47" s="133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53" t="s">
        <v>0</v>
      </c>
      <c r="C2" s="136"/>
      <c r="D2" s="136"/>
      <c r="E2" s="136"/>
      <c r="F2" s="136"/>
      <c r="G2" s="136"/>
      <c r="H2" s="136" t="s">
        <v>17</v>
      </c>
      <c r="I2" s="136"/>
      <c r="J2" s="136"/>
      <c r="K2" s="136"/>
      <c r="L2" s="136" t="s">
        <v>218</v>
      </c>
      <c r="M2" s="136"/>
      <c r="N2" s="136"/>
      <c r="O2" s="136"/>
      <c r="P2" s="136"/>
      <c r="Q2" s="136"/>
      <c r="R2" s="136" t="s">
        <v>2</v>
      </c>
      <c r="S2" s="136"/>
      <c r="T2" s="136"/>
      <c r="U2" s="136"/>
      <c r="V2" s="136"/>
      <c r="W2" s="136"/>
      <c r="X2" s="148" t="s">
        <v>3</v>
      </c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148" t="s">
        <v>32</v>
      </c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36" t="s">
        <v>5</v>
      </c>
      <c r="AY2" s="136"/>
      <c r="AZ2" s="136"/>
      <c r="BA2" s="136"/>
      <c r="BB2" s="136" t="s">
        <v>4</v>
      </c>
      <c r="BC2" s="136"/>
      <c r="BD2" s="136"/>
      <c r="BE2" s="136"/>
      <c r="BF2" s="136" t="s">
        <v>6</v>
      </c>
      <c r="BG2" s="136"/>
      <c r="BH2" s="136"/>
      <c r="BI2" s="136"/>
      <c r="BJ2" s="136" t="s">
        <v>7</v>
      </c>
      <c r="BK2" s="136"/>
      <c r="BL2" s="136"/>
      <c r="BM2" s="137"/>
      <c r="BN2" s="35"/>
    </row>
    <row r="3" spans="1:66" ht="20.100000000000001" customHeight="1" x14ac:dyDescent="0.45">
      <c r="A3" s="32"/>
      <c r="B3" s="151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UN0600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2" t="str">
        <f ca="1">変更履歴!X3</f>
        <v>UN0600_未回収一覧表_帳票設計書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4"/>
      <c r="AK3" s="142" t="str">
        <f ca="1">変更履歴!AK3</f>
        <v>未回収一覧表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4"/>
      <c r="AX3" s="138">
        <f>変更履歴!AX3</f>
        <v>45583</v>
      </c>
      <c r="AY3" s="138"/>
      <c r="AZ3" s="138"/>
      <c r="BA3" s="138"/>
      <c r="BB3" s="139" t="str">
        <f>変更履歴!BB3</f>
        <v>大谷</v>
      </c>
      <c r="BC3" s="139"/>
      <c r="BD3" s="139"/>
      <c r="BE3" s="139"/>
      <c r="BF3" s="138">
        <f>変更履歴!BF3</f>
        <v>45583</v>
      </c>
      <c r="BG3" s="138"/>
      <c r="BH3" s="138"/>
      <c r="BI3" s="138"/>
      <c r="BJ3" s="139" t="str">
        <f>変更履歴!BJ3</f>
        <v>大谷</v>
      </c>
      <c r="BK3" s="139"/>
      <c r="BL3" s="139"/>
      <c r="BM3" s="141"/>
      <c r="BN3" s="35"/>
    </row>
    <row r="4" spans="1:66" ht="20.100000000000001" customHeight="1" thickBot="1" x14ac:dyDescent="0.5">
      <c r="A4" s="32"/>
      <c r="B4" s="144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54"/>
      <c r="AY4" s="154"/>
      <c r="AZ4" s="154"/>
      <c r="BA4" s="154"/>
      <c r="BB4" s="140"/>
      <c r="BC4" s="140"/>
      <c r="BD4" s="140"/>
      <c r="BE4" s="140"/>
      <c r="BF4" s="154"/>
      <c r="BG4" s="154"/>
      <c r="BH4" s="154"/>
      <c r="BI4" s="154"/>
      <c r="BJ4" s="140"/>
      <c r="BK4" s="140"/>
      <c r="BL4" s="140"/>
      <c r="BM4" s="142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未回収一覧表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90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91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92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93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94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95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90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215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53" t="s">
        <v>0</v>
      </c>
      <c r="C2" s="136"/>
      <c r="D2" s="136"/>
      <c r="E2" s="136"/>
      <c r="F2" s="136"/>
      <c r="G2" s="136"/>
      <c r="H2" s="136" t="s">
        <v>17</v>
      </c>
      <c r="I2" s="136"/>
      <c r="J2" s="136"/>
      <c r="K2" s="136"/>
      <c r="L2" s="136" t="s">
        <v>218</v>
      </c>
      <c r="M2" s="136"/>
      <c r="N2" s="136"/>
      <c r="O2" s="136"/>
      <c r="P2" s="136"/>
      <c r="Q2" s="136"/>
      <c r="R2" s="136" t="s">
        <v>2</v>
      </c>
      <c r="S2" s="136"/>
      <c r="T2" s="136"/>
      <c r="U2" s="136"/>
      <c r="V2" s="136"/>
      <c r="W2" s="136"/>
      <c r="X2" s="148" t="s">
        <v>3</v>
      </c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148" t="s">
        <v>32</v>
      </c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36" t="s">
        <v>5</v>
      </c>
      <c r="AY2" s="136"/>
      <c r="AZ2" s="136"/>
      <c r="BA2" s="136"/>
      <c r="BB2" s="136" t="s">
        <v>4</v>
      </c>
      <c r="BC2" s="136"/>
      <c r="BD2" s="136"/>
      <c r="BE2" s="136"/>
      <c r="BF2" s="136" t="s">
        <v>6</v>
      </c>
      <c r="BG2" s="136"/>
      <c r="BH2" s="136"/>
      <c r="BI2" s="136"/>
      <c r="BJ2" s="136" t="s">
        <v>7</v>
      </c>
      <c r="BK2" s="136"/>
      <c r="BL2" s="136"/>
      <c r="BM2" s="137"/>
      <c r="BN2" s="15"/>
    </row>
    <row r="3" spans="1:66" ht="20.100000000000001" customHeight="1" x14ac:dyDescent="0.45">
      <c r="A3" s="9"/>
      <c r="B3" s="151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UN0600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2" t="str">
        <f ca="1">変更履歴!X3</f>
        <v>UN0600_未回収一覧表_帳票設計書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4"/>
      <c r="AK3" s="142" t="str">
        <f ca="1">変更履歴!AK3</f>
        <v>未回収一覧表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4"/>
      <c r="AX3" s="138">
        <f>変更履歴!AX3</f>
        <v>45583</v>
      </c>
      <c r="AY3" s="138"/>
      <c r="AZ3" s="138"/>
      <c r="BA3" s="138"/>
      <c r="BB3" s="139" t="str">
        <f>変更履歴!BB3</f>
        <v>大谷</v>
      </c>
      <c r="BC3" s="139"/>
      <c r="BD3" s="139"/>
      <c r="BE3" s="139"/>
      <c r="BF3" s="138">
        <f>変更履歴!BF3</f>
        <v>45583</v>
      </c>
      <c r="BG3" s="138"/>
      <c r="BH3" s="138"/>
      <c r="BI3" s="138"/>
      <c r="BJ3" s="139" t="str">
        <f>変更履歴!BJ3</f>
        <v>大谷</v>
      </c>
      <c r="BK3" s="139"/>
      <c r="BL3" s="139"/>
      <c r="BM3" s="141"/>
      <c r="BN3" s="15"/>
    </row>
    <row r="4" spans="1:66" ht="20.100000000000001" customHeight="1" thickBot="1" x14ac:dyDescent="0.5">
      <c r="A4" s="9"/>
      <c r="B4" s="144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54"/>
      <c r="AY4" s="154"/>
      <c r="AZ4" s="154"/>
      <c r="BA4" s="154"/>
      <c r="BB4" s="140"/>
      <c r="BC4" s="140"/>
      <c r="BD4" s="140"/>
      <c r="BE4" s="140"/>
      <c r="BF4" s="154"/>
      <c r="BG4" s="154"/>
      <c r="BH4" s="154"/>
      <c r="BI4" s="154"/>
      <c r="BJ4" s="140"/>
      <c r="BK4" s="140"/>
      <c r="BL4" s="140"/>
      <c r="BM4" s="142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4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53" t="s">
        <v>0</v>
      </c>
      <c r="C2" s="136"/>
      <c r="D2" s="136"/>
      <c r="E2" s="136"/>
      <c r="F2" s="136"/>
      <c r="G2" s="136"/>
      <c r="H2" s="136" t="s">
        <v>17</v>
      </c>
      <c r="I2" s="136"/>
      <c r="J2" s="136"/>
      <c r="K2" s="136"/>
      <c r="L2" s="136" t="s">
        <v>218</v>
      </c>
      <c r="M2" s="136"/>
      <c r="N2" s="136"/>
      <c r="O2" s="136"/>
      <c r="P2" s="136"/>
      <c r="Q2" s="136"/>
      <c r="R2" s="136" t="s">
        <v>2</v>
      </c>
      <c r="S2" s="136"/>
      <c r="T2" s="136"/>
      <c r="U2" s="136"/>
      <c r="V2" s="136"/>
      <c r="W2" s="136"/>
      <c r="X2" s="148" t="s">
        <v>3</v>
      </c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148" t="s">
        <v>32</v>
      </c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36" t="s">
        <v>5</v>
      </c>
      <c r="AY2" s="136"/>
      <c r="AZ2" s="136"/>
      <c r="BA2" s="136"/>
      <c r="BB2" s="136" t="s">
        <v>4</v>
      </c>
      <c r="BC2" s="136"/>
      <c r="BD2" s="136"/>
      <c r="BE2" s="136"/>
      <c r="BF2" s="136" t="s">
        <v>6</v>
      </c>
      <c r="BG2" s="136"/>
      <c r="BH2" s="136"/>
      <c r="BI2" s="136"/>
      <c r="BJ2" s="136" t="s">
        <v>7</v>
      </c>
      <c r="BK2" s="136"/>
      <c r="BL2" s="136"/>
      <c r="BM2" s="137"/>
      <c r="BN2" s="15"/>
    </row>
    <row r="3" spans="1:85" ht="20.100000000000001" customHeight="1" x14ac:dyDescent="0.45">
      <c r="A3" s="9"/>
      <c r="B3" s="151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UN0600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2" t="str">
        <f ca="1">変更履歴!X3</f>
        <v>UN0600_未回収一覧表_帳票設計書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4"/>
      <c r="AK3" s="142" t="str">
        <f ca="1">変更履歴!AK3</f>
        <v>未回収一覧表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4"/>
      <c r="AX3" s="138">
        <f>変更履歴!AX3</f>
        <v>45583</v>
      </c>
      <c r="AY3" s="138"/>
      <c r="AZ3" s="138"/>
      <c r="BA3" s="138"/>
      <c r="BB3" s="139" t="str">
        <f>変更履歴!BB3</f>
        <v>大谷</v>
      </c>
      <c r="BC3" s="139"/>
      <c r="BD3" s="139"/>
      <c r="BE3" s="139"/>
      <c r="BF3" s="138">
        <f>変更履歴!BF3</f>
        <v>45583</v>
      </c>
      <c r="BG3" s="138"/>
      <c r="BH3" s="138"/>
      <c r="BI3" s="138"/>
      <c r="BJ3" s="139" t="str">
        <f>変更履歴!BJ3</f>
        <v>大谷</v>
      </c>
      <c r="BK3" s="139"/>
      <c r="BL3" s="139"/>
      <c r="BM3" s="141"/>
      <c r="BN3" s="15"/>
    </row>
    <row r="4" spans="1:85" ht="20.100000000000001" customHeight="1" thickBot="1" x14ac:dyDescent="0.5">
      <c r="A4" s="9"/>
      <c r="B4" s="144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54"/>
      <c r="AY4" s="154"/>
      <c r="AZ4" s="154"/>
      <c r="BA4" s="154"/>
      <c r="BB4" s="140"/>
      <c r="BC4" s="140"/>
      <c r="BD4" s="140"/>
      <c r="BE4" s="140"/>
      <c r="BF4" s="154"/>
      <c r="BG4" s="154"/>
      <c r="BH4" s="154"/>
      <c r="BI4" s="154"/>
      <c r="BJ4" s="140"/>
      <c r="BK4" s="140"/>
      <c r="BL4" s="140"/>
      <c r="BM4" s="142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72" t="s">
        <v>20</v>
      </c>
      <c r="F10" s="173"/>
      <c r="G10" s="173"/>
      <c r="H10" s="173"/>
      <c r="I10" s="173"/>
      <c r="J10" s="173"/>
      <c r="K10" s="173"/>
      <c r="L10" s="174"/>
      <c r="M10" s="175" t="s">
        <v>24</v>
      </c>
      <c r="N10" s="176"/>
      <c r="O10" s="176"/>
      <c r="P10" s="175" t="s">
        <v>33</v>
      </c>
      <c r="Q10" s="176"/>
      <c r="R10" s="176"/>
      <c r="S10" s="175" t="s">
        <v>34</v>
      </c>
      <c r="T10" s="176"/>
      <c r="U10" s="176"/>
      <c r="V10" s="175" t="s">
        <v>36</v>
      </c>
      <c r="W10" s="176"/>
      <c r="X10" s="176"/>
      <c r="Y10" s="176"/>
      <c r="Z10" s="176"/>
      <c r="AA10" s="179"/>
      <c r="AB10" s="175" t="s">
        <v>35</v>
      </c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  <c r="AQ10" s="179"/>
      <c r="AR10" s="175" t="s">
        <v>42</v>
      </c>
      <c r="AS10" s="176"/>
      <c r="AT10" s="176"/>
      <c r="AU10" s="176"/>
      <c r="AV10" s="176"/>
      <c r="AW10" s="179"/>
      <c r="AX10" s="175" t="s">
        <v>43</v>
      </c>
      <c r="AY10" s="176"/>
      <c r="AZ10" s="176"/>
      <c r="BA10" s="176"/>
      <c r="BB10" s="176"/>
      <c r="BC10" s="176"/>
      <c r="BD10" s="176"/>
      <c r="BE10" s="176"/>
      <c r="BF10" s="176"/>
      <c r="BG10" s="176"/>
      <c r="BH10" s="176"/>
      <c r="BI10" s="176"/>
      <c r="BJ10" s="176"/>
      <c r="BK10" s="176"/>
      <c r="BL10" s="176"/>
      <c r="BM10" s="176"/>
      <c r="BN10" s="176"/>
      <c r="BO10" s="176"/>
      <c r="BP10" s="176"/>
      <c r="BQ10" s="176"/>
      <c r="BR10" s="176"/>
      <c r="BS10" s="176"/>
      <c r="BT10" s="178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65" t="s">
        <v>96</v>
      </c>
      <c r="F11" s="166"/>
      <c r="G11" s="166"/>
      <c r="H11" s="166"/>
      <c r="I11" s="166"/>
      <c r="J11" s="166"/>
      <c r="K11" s="166"/>
      <c r="L11" s="167"/>
      <c r="M11" s="131" t="s">
        <v>8</v>
      </c>
      <c r="N11" s="132"/>
      <c r="O11" s="132"/>
      <c r="P11" s="131" t="s">
        <v>131</v>
      </c>
      <c r="Q11" s="132"/>
      <c r="R11" s="132"/>
      <c r="S11" s="131"/>
      <c r="T11" s="132"/>
      <c r="U11" s="132"/>
      <c r="V11" s="169" t="s">
        <v>138</v>
      </c>
      <c r="W11" s="170"/>
      <c r="X11" s="170"/>
      <c r="Y11" s="170"/>
      <c r="Z11" s="170"/>
      <c r="AA11" s="177"/>
      <c r="AB11" s="158" t="s">
        <v>146</v>
      </c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60"/>
      <c r="AR11" s="131" t="s">
        <v>144</v>
      </c>
      <c r="AS11" s="132"/>
      <c r="AT11" s="132"/>
      <c r="AU11" s="132"/>
      <c r="AV11" s="132"/>
      <c r="AW11" s="133"/>
      <c r="AX11" s="169"/>
      <c r="AY11" s="170"/>
      <c r="AZ11" s="170"/>
      <c r="BA11" s="170"/>
      <c r="BB11" s="170"/>
      <c r="BC11" s="170"/>
      <c r="BD11" s="170"/>
      <c r="BE11" s="170"/>
      <c r="BF11" s="170"/>
      <c r="BG11" s="170"/>
      <c r="BH11" s="170"/>
      <c r="BI11" s="170"/>
      <c r="BJ11" s="170"/>
      <c r="BK11" s="170"/>
      <c r="BL11" s="170"/>
      <c r="BM11" s="170"/>
      <c r="BN11" s="170"/>
      <c r="BO11" s="170"/>
      <c r="BP11" s="170"/>
      <c r="BQ11" s="170"/>
      <c r="BR11" s="170"/>
      <c r="BS11" s="170"/>
      <c r="BT11" s="171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65" t="s">
        <v>97</v>
      </c>
      <c r="F12" s="166"/>
      <c r="G12" s="166"/>
      <c r="H12" s="166"/>
      <c r="I12" s="166"/>
      <c r="J12" s="166"/>
      <c r="K12" s="166"/>
      <c r="L12" s="167"/>
      <c r="M12" s="131" t="s">
        <v>8</v>
      </c>
      <c r="N12" s="132"/>
      <c r="O12" s="132"/>
      <c r="P12" s="131" t="s">
        <v>131</v>
      </c>
      <c r="Q12" s="132"/>
      <c r="R12" s="132"/>
      <c r="S12" s="131"/>
      <c r="T12" s="132"/>
      <c r="U12" s="132"/>
      <c r="V12" s="169" t="s">
        <v>139</v>
      </c>
      <c r="W12" s="170"/>
      <c r="X12" s="170"/>
      <c r="Y12" s="170"/>
      <c r="Z12" s="170"/>
      <c r="AA12" s="177"/>
      <c r="AB12" s="158" t="s">
        <v>147</v>
      </c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60"/>
      <c r="AR12" s="131" t="s">
        <v>144</v>
      </c>
      <c r="AS12" s="132"/>
      <c r="AT12" s="132"/>
      <c r="AU12" s="132"/>
      <c r="AV12" s="132"/>
      <c r="AW12" s="133"/>
      <c r="AX12" s="169"/>
      <c r="AY12" s="170"/>
      <c r="AZ12" s="170"/>
      <c r="BA12" s="170"/>
      <c r="BB12" s="170"/>
      <c r="BC12" s="170"/>
      <c r="BD12" s="170"/>
      <c r="BE12" s="170"/>
      <c r="BF12" s="170"/>
      <c r="BG12" s="170"/>
      <c r="BH12" s="170"/>
      <c r="BI12" s="170"/>
      <c r="BJ12" s="170"/>
      <c r="BK12" s="170"/>
      <c r="BL12" s="170"/>
      <c r="BM12" s="170"/>
      <c r="BN12" s="170"/>
      <c r="BO12" s="170"/>
      <c r="BP12" s="170"/>
      <c r="BQ12" s="170"/>
      <c r="BR12" s="170"/>
      <c r="BS12" s="170"/>
      <c r="BT12" s="171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65" t="s">
        <v>98</v>
      </c>
      <c r="F13" s="166"/>
      <c r="G13" s="166"/>
      <c r="H13" s="166"/>
      <c r="I13" s="166"/>
      <c r="J13" s="166"/>
      <c r="K13" s="166"/>
      <c r="L13" s="167"/>
      <c r="M13" s="131" t="s">
        <v>47</v>
      </c>
      <c r="N13" s="132"/>
      <c r="O13" s="132"/>
      <c r="P13" s="131" t="s">
        <v>131</v>
      </c>
      <c r="Q13" s="132"/>
      <c r="R13" s="132"/>
      <c r="S13" s="131"/>
      <c r="T13" s="132"/>
      <c r="U13" s="132"/>
      <c r="V13" s="169" t="s">
        <v>136</v>
      </c>
      <c r="W13" s="170"/>
      <c r="X13" s="170"/>
      <c r="Y13" s="170"/>
      <c r="Z13" s="170"/>
      <c r="AA13" s="177"/>
      <c r="AB13" s="158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60"/>
      <c r="AR13" s="131" t="s">
        <v>145</v>
      </c>
      <c r="AS13" s="132"/>
      <c r="AT13" s="132"/>
      <c r="AU13" s="132"/>
      <c r="AV13" s="132"/>
      <c r="AW13" s="133"/>
      <c r="AX13" s="169"/>
      <c r="AY13" s="170"/>
      <c r="AZ13" s="170"/>
      <c r="BA13" s="170"/>
      <c r="BB13" s="170"/>
      <c r="BC13" s="170"/>
      <c r="BD13" s="170"/>
      <c r="BE13" s="170"/>
      <c r="BF13" s="170"/>
      <c r="BG13" s="170"/>
      <c r="BH13" s="170"/>
      <c r="BI13" s="170"/>
      <c r="BJ13" s="170"/>
      <c r="BK13" s="170"/>
      <c r="BL13" s="170"/>
      <c r="BM13" s="170"/>
      <c r="BN13" s="170"/>
      <c r="BO13" s="170"/>
      <c r="BP13" s="170"/>
      <c r="BQ13" s="170"/>
      <c r="BR13" s="170"/>
      <c r="BS13" s="170"/>
      <c r="BT13" s="171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65" t="s">
        <v>99</v>
      </c>
      <c r="F14" s="166"/>
      <c r="G14" s="166"/>
      <c r="H14" s="166"/>
      <c r="I14" s="166"/>
      <c r="J14" s="166"/>
      <c r="K14" s="166"/>
      <c r="L14" s="167"/>
      <c r="M14" s="131" t="s">
        <v>47</v>
      </c>
      <c r="N14" s="132"/>
      <c r="O14" s="132"/>
      <c r="P14" s="131" t="s">
        <v>131</v>
      </c>
      <c r="Q14" s="132"/>
      <c r="R14" s="132"/>
      <c r="S14" s="131"/>
      <c r="T14" s="132"/>
      <c r="U14" s="132"/>
      <c r="V14" s="169" t="s">
        <v>137</v>
      </c>
      <c r="W14" s="170"/>
      <c r="X14" s="170"/>
      <c r="Y14" s="170"/>
      <c r="Z14" s="170"/>
      <c r="AA14" s="177"/>
      <c r="AB14" s="158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59"/>
      <c r="AQ14" s="160"/>
      <c r="AR14" s="131" t="s">
        <v>145</v>
      </c>
      <c r="AS14" s="132"/>
      <c r="AT14" s="132"/>
      <c r="AU14" s="132"/>
      <c r="AV14" s="132"/>
      <c r="AW14" s="133"/>
      <c r="AX14" s="169"/>
      <c r="AY14" s="170"/>
      <c r="AZ14" s="170"/>
      <c r="BA14" s="170"/>
      <c r="BB14" s="170"/>
      <c r="BC14" s="170"/>
      <c r="BD14" s="170"/>
      <c r="BE14" s="170"/>
      <c r="BF14" s="170"/>
      <c r="BG14" s="170"/>
      <c r="BH14" s="170"/>
      <c r="BI14" s="170"/>
      <c r="BJ14" s="170"/>
      <c r="BK14" s="170"/>
      <c r="BL14" s="170"/>
      <c r="BM14" s="170"/>
      <c r="BN14" s="170"/>
      <c r="BO14" s="170"/>
      <c r="BP14" s="170"/>
      <c r="BQ14" s="170"/>
      <c r="BR14" s="170"/>
      <c r="BS14" s="170"/>
      <c r="BT14" s="171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65" t="s">
        <v>100</v>
      </c>
      <c r="F15" s="166"/>
      <c r="G15" s="166"/>
      <c r="H15" s="166"/>
      <c r="I15" s="166"/>
      <c r="J15" s="166"/>
      <c r="K15" s="166"/>
      <c r="L15" s="167"/>
      <c r="M15" s="131" t="s">
        <v>8</v>
      </c>
      <c r="N15" s="132"/>
      <c r="O15" s="132"/>
      <c r="P15" s="131" t="s">
        <v>131</v>
      </c>
      <c r="Q15" s="132"/>
      <c r="R15" s="132"/>
      <c r="S15" s="131"/>
      <c r="T15" s="132"/>
      <c r="U15" s="132"/>
      <c r="V15" s="169" t="s">
        <v>135</v>
      </c>
      <c r="W15" s="170"/>
      <c r="X15" s="170"/>
      <c r="Y15" s="170"/>
      <c r="Z15" s="170"/>
      <c r="AA15" s="177"/>
      <c r="AB15" s="158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60"/>
      <c r="AR15" s="131"/>
      <c r="AS15" s="132"/>
      <c r="AT15" s="132"/>
      <c r="AU15" s="132"/>
      <c r="AV15" s="132"/>
      <c r="AW15" s="133"/>
      <c r="AX15" s="169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71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65" t="s">
        <v>101</v>
      </c>
      <c r="F16" s="166"/>
      <c r="G16" s="166"/>
      <c r="H16" s="166"/>
      <c r="I16" s="166"/>
      <c r="J16" s="166"/>
      <c r="K16" s="166"/>
      <c r="L16" s="167"/>
      <c r="M16" s="131" t="s">
        <v>38</v>
      </c>
      <c r="N16" s="132"/>
      <c r="O16" s="132"/>
      <c r="P16" s="131" t="s">
        <v>140</v>
      </c>
      <c r="Q16" s="132"/>
      <c r="R16" s="132"/>
      <c r="S16" s="131"/>
      <c r="T16" s="132"/>
      <c r="U16" s="132"/>
      <c r="V16" s="169" t="s">
        <v>120</v>
      </c>
      <c r="W16" s="170"/>
      <c r="X16" s="170"/>
      <c r="Y16" s="170"/>
      <c r="Z16" s="170"/>
      <c r="AA16" s="177"/>
      <c r="AB16" s="158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60"/>
      <c r="AR16" s="131"/>
      <c r="AS16" s="132"/>
      <c r="AT16" s="132"/>
      <c r="AU16" s="132"/>
      <c r="AV16" s="132"/>
      <c r="AW16" s="133"/>
      <c r="AX16" s="169"/>
      <c r="AY16" s="170"/>
      <c r="AZ16" s="170"/>
      <c r="BA16" s="170"/>
      <c r="BB16" s="170"/>
      <c r="BC16" s="170"/>
      <c r="BD16" s="170"/>
      <c r="BE16" s="170"/>
      <c r="BF16" s="170"/>
      <c r="BG16" s="170"/>
      <c r="BH16" s="170"/>
      <c r="BI16" s="170"/>
      <c r="BJ16" s="170"/>
      <c r="BK16" s="170"/>
      <c r="BL16" s="170"/>
      <c r="BM16" s="170"/>
      <c r="BN16" s="170"/>
      <c r="BO16" s="170"/>
      <c r="BP16" s="170"/>
      <c r="BQ16" s="170"/>
      <c r="BR16" s="170"/>
      <c r="BS16" s="170"/>
      <c r="BT16" s="171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165" t="s">
        <v>102</v>
      </c>
      <c r="F17" s="166"/>
      <c r="G17" s="166"/>
      <c r="H17" s="166"/>
      <c r="I17" s="166"/>
      <c r="J17" s="166"/>
      <c r="K17" s="166"/>
      <c r="L17" s="167"/>
      <c r="M17" s="131" t="s">
        <v>8</v>
      </c>
      <c r="N17" s="132"/>
      <c r="O17" s="132"/>
      <c r="P17" s="131" t="s">
        <v>131</v>
      </c>
      <c r="Q17" s="132"/>
      <c r="R17" s="132"/>
      <c r="S17" s="131"/>
      <c r="T17" s="132"/>
      <c r="U17" s="132"/>
      <c r="V17" s="169" t="s">
        <v>121</v>
      </c>
      <c r="W17" s="170"/>
      <c r="X17" s="170"/>
      <c r="Y17" s="170"/>
      <c r="Z17" s="170"/>
      <c r="AA17" s="177"/>
      <c r="AB17" s="158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60"/>
      <c r="AR17" s="131"/>
      <c r="AS17" s="132"/>
      <c r="AT17" s="132"/>
      <c r="AU17" s="132"/>
      <c r="AV17" s="132"/>
      <c r="AW17" s="133"/>
      <c r="AX17" s="169"/>
      <c r="AY17" s="170"/>
      <c r="AZ17" s="170"/>
      <c r="BA17" s="170"/>
      <c r="BB17" s="170"/>
      <c r="BC17" s="170"/>
      <c r="BD17" s="170"/>
      <c r="BE17" s="170"/>
      <c r="BF17" s="170"/>
      <c r="BG17" s="170"/>
      <c r="BH17" s="170"/>
      <c r="BI17" s="170"/>
      <c r="BJ17" s="170"/>
      <c r="BK17" s="170"/>
      <c r="BL17" s="170"/>
      <c r="BM17" s="170"/>
      <c r="BN17" s="170"/>
      <c r="BO17" s="170"/>
      <c r="BP17" s="170"/>
      <c r="BQ17" s="170"/>
      <c r="BR17" s="170"/>
      <c r="BS17" s="170"/>
      <c r="BT17" s="171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65" t="s">
        <v>103</v>
      </c>
      <c r="F18" s="166"/>
      <c r="G18" s="166"/>
      <c r="H18" s="166"/>
      <c r="I18" s="166"/>
      <c r="J18" s="166"/>
      <c r="K18" s="166"/>
      <c r="L18" s="167"/>
      <c r="M18" s="131" t="s">
        <v>8</v>
      </c>
      <c r="N18" s="132"/>
      <c r="O18" s="132"/>
      <c r="P18" s="131" t="s">
        <v>131</v>
      </c>
      <c r="Q18" s="132"/>
      <c r="R18" s="132"/>
      <c r="S18" s="131"/>
      <c r="T18" s="132"/>
      <c r="U18" s="132"/>
      <c r="V18" s="169" t="s">
        <v>122</v>
      </c>
      <c r="W18" s="170"/>
      <c r="X18" s="170"/>
      <c r="Y18" s="170"/>
      <c r="Z18" s="170"/>
      <c r="AA18" s="177"/>
      <c r="AB18" s="158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60"/>
      <c r="AR18" s="131"/>
      <c r="AS18" s="132"/>
      <c r="AT18" s="132"/>
      <c r="AU18" s="132"/>
      <c r="AV18" s="132"/>
      <c r="AW18" s="133"/>
      <c r="AX18" s="169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1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165" t="s">
        <v>104</v>
      </c>
      <c r="F19" s="166"/>
      <c r="G19" s="166"/>
      <c r="H19" s="166"/>
      <c r="I19" s="166"/>
      <c r="J19" s="166"/>
      <c r="K19" s="166"/>
      <c r="L19" s="167"/>
      <c r="M19" s="131" t="s">
        <v>47</v>
      </c>
      <c r="N19" s="132"/>
      <c r="O19" s="132"/>
      <c r="P19" s="131" t="s">
        <v>131</v>
      </c>
      <c r="Q19" s="132"/>
      <c r="R19" s="132"/>
      <c r="S19" s="131"/>
      <c r="T19" s="132"/>
      <c r="U19" s="132"/>
      <c r="V19" s="169" t="s">
        <v>123</v>
      </c>
      <c r="W19" s="170"/>
      <c r="X19" s="170"/>
      <c r="Y19" s="170"/>
      <c r="Z19" s="170"/>
      <c r="AA19" s="177"/>
      <c r="AB19" s="158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60"/>
      <c r="AR19" s="131"/>
      <c r="AS19" s="132"/>
      <c r="AT19" s="132"/>
      <c r="AU19" s="132"/>
      <c r="AV19" s="132"/>
      <c r="AW19" s="133"/>
      <c r="AX19" s="169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1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165" t="s">
        <v>105</v>
      </c>
      <c r="F20" s="166"/>
      <c r="G20" s="166"/>
      <c r="H20" s="166"/>
      <c r="I20" s="166"/>
      <c r="J20" s="166"/>
      <c r="K20" s="166"/>
      <c r="L20" s="167"/>
      <c r="M20" s="131" t="s">
        <v>47</v>
      </c>
      <c r="N20" s="132"/>
      <c r="O20" s="132"/>
      <c r="P20" s="131" t="s">
        <v>131</v>
      </c>
      <c r="Q20" s="132"/>
      <c r="R20" s="132"/>
      <c r="S20" s="131"/>
      <c r="T20" s="132"/>
      <c r="U20" s="132"/>
      <c r="V20" s="169" t="s">
        <v>124</v>
      </c>
      <c r="W20" s="170"/>
      <c r="X20" s="170"/>
      <c r="Y20" s="170"/>
      <c r="Z20" s="170"/>
      <c r="AA20" s="177"/>
      <c r="AB20" s="158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60"/>
      <c r="AR20" s="131"/>
      <c r="AS20" s="132"/>
      <c r="AT20" s="132"/>
      <c r="AU20" s="132"/>
      <c r="AV20" s="132"/>
      <c r="AW20" s="133"/>
      <c r="AX20" s="169"/>
      <c r="AY20" s="170"/>
      <c r="AZ20" s="170"/>
      <c r="BA20" s="170"/>
      <c r="BB20" s="170"/>
      <c r="BC20" s="170"/>
      <c r="BD20" s="170"/>
      <c r="BE20" s="170"/>
      <c r="BF20" s="170"/>
      <c r="BG20" s="170"/>
      <c r="BH20" s="170"/>
      <c r="BI20" s="170"/>
      <c r="BJ20" s="170"/>
      <c r="BK20" s="170"/>
      <c r="BL20" s="170"/>
      <c r="BM20" s="170"/>
      <c r="BN20" s="170"/>
      <c r="BO20" s="170"/>
      <c r="BP20" s="170"/>
      <c r="BQ20" s="170"/>
      <c r="BR20" s="170"/>
      <c r="BS20" s="170"/>
      <c r="BT20" s="171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65" t="s">
        <v>106</v>
      </c>
      <c r="F21" s="166"/>
      <c r="G21" s="166"/>
      <c r="H21" s="166"/>
      <c r="I21" s="166"/>
      <c r="J21" s="166"/>
      <c r="K21" s="166"/>
      <c r="L21" s="167"/>
      <c r="M21" s="131" t="s">
        <v>38</v>
      </c>
      <c r="N21" s="132"/>
      <c r="O21" s="132"/>
      <c r="P21" s="131" t="s">
        <v>140</v>
      </c>
      <c r="Q21" s="132"/>
      <c r="R21" s="132"/>
      <c r="S21" s="131"/>
      <c r="T21" s="132"/>
      <c r="U21" s="132"/>
      <c r="V21" s="169" t="s">
        <v>141</v>
      </c>
      <c r="W21" s="170"/>
      <c r="X21" s="170"/>
      <c r="Y21" s="170"/>
      <c r="Z21" s="170"/>
      <c r="AA21" s="177"/>
      <c r="AB21" s="158" t="s">
        <v>142</v>
      </c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60"/>
      <c r="AR21" s="131"/>
      <c r="AS21" s="132"/>
      <c r="AT21" s="132"/>
      <c r="AU21" s="132"/>
      <c r="AV21" s="132"/>
      <c r="AW21" s="133"/>
      <c r="AX21" s="169"/>
      <c r="AY21" s="170"/>
      <c r="AZ21" s="170"/>
      <c r="BA21" s="170"/>
      <c r="BB21" s="170"/>
      <c r="BC21" s="170"/>
      <c r="BD21" s="170"/>
      <c r="BE21" s="170"/>
      <c r="BF21" s="170"/>
      <c r="BG21" s="170"/>
      <c r="BH21" s="170"/>
      <c r="BI21" s="170"/>
      <c r="BJ21" s="170"/>
      <c r="BK21" s="170"/>
      <c r="BL21" s="170"/>
      <c r="BM21" s="170"/>
      <c r="BN21" s="170"/>
      <c r="BO21" s="170"/>
      <c r="BP21" s="170"/>
      <c r="BQ21" s="170"/>
      <c r="BR21" s="170"/>
      <c r="BS21" s="170"/>
      <c r="BT21" s="171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65" t="s">
        <v>107</v>
      </c>
      <c r="F22" s="166"/>
      <c r="G22" s="166"/>
      <c r="H22" s="166"/>
      <c r="I22" s="166"/>
      <c r="J22" s="166"/>
      <c r="K22" s="166"/>
      <c r="L22" s="167"/>
      <c r="M22" s="131" t="s">
        <v>38</v>
      </c>
      <c r="N22" s="132"/>
      <c r="O22" s="132"/>
      <c r="P22" s="131" t="s">
        <v>140</v>
      </c>
      <c r="Q22" s="132"/>
      <c r="R22" s="132"/>
      <c r="S22" s="131"/>
      <c r="T22" s="132"/>
      <c r="U22" s="132"/>
      <c r="V22" s="169" t="s">
        <v>141</v>
      </c>
      <c r="W22" s="170"/>
      <c r="X22" s="170"/>
      <c r="Y22" s="170"/>
      <c r="Z22" s="170"/>
      <c r="AA22" s="177"/>
      <c r="AB22" s="158" t="s">
        <v>143</v>
      </c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60"/>
      <c r="AR22" s="131"/>
      <c r="AS22" s="132"/>
      <c r="AT22" s="132"/>
      <c r="AU22" s="132"/>
      <c r="AV22" s="132"/>
      <c r="AW22" s="133"/>
      <c r="AX22" s="169"/>
      <c r="AY22" s="170"/>
      <c r="AZ22" s="170"/>
      <c r="BA22" s="170"/>
      <c r="BB22" s="170"/>
      <c r="BC22" s="170"/>
      <c r="BD22" s="170"/>
      <c r="BE22" s="170"/>
      <c r="BF22" s="170"/>
      <c r="BG22" s="170"/>
      <c r="BH22" s="170"/>
      <c r="BI22" s="170"/>
      <c r="BJ22" s="170"/>
      <c r="BK22" s="170"/>
      <c r="BL22" s="170"/>
      <c r="BM22" s="170"/>
      <c r="BN22" s="170"/>
      <c r="BO22" s="170"/>
      <c r="BP22" s="170"/>
      <c r="BQ22" s="170"/>
      <c r="BR22" s="170"/>
      <c r="BS22" s="170"/>
      <c r="BT22" s="171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65" t="s">
        <v>108</v>
      </c>
      <c r="F23" s="166"/>
      <c r="G23" s="166"/>
      <c r="H23" s="166"/>
      <c r="I23" s="166"/>
      <c r="J23" s="166"/>
      <c r="K23" s="166"/>
      <c r="L23" s="167"/>
      <c r="M23" s="131" t="s">
        <v>38</v>
      </c>
      <c r="N23" s="132"/>
      <c r="O23" s="132"/>
      <c r="P23" s="131" t="s">
        <v>140</v>
      </c>
      <c r="Q23" s="132"/>
      <c r="R23" s="132"/>
      <c r="S23" s="131"/>
      <c r="T23" s="132"/>
      <c r="U23" s="132"/>
      <c r="V23" s="169" t="s">
        <v>125</v>
      </c>
      <c r="W23" s="170"/>
      <c r="X23" s="170"/>
      <c r="Y23" s="170"/>
      <c r="Z23" s="170"/>
      <c r="AA23" s="177"/>
      <c r="AB23" s="158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60"/>
      <c r="AR23" s="131"/>
      <c r="AS23" s="132"/>
      <c r="AT23" s="132"/>
      <c r="AU23" s="132"/>
      <c r="AV23" s="132"/>
      <c r="AW23" s="133"/>
      <c r="AX23" s="169"/>
      <c r="AY23" s="170"/>
      <c r="AZ23" s="170"/>
      <c r="BA23" s="170"/>
      <c r="BB23" s="170"/>
      <c r="BC23" s="170"/>
      <c r="BD23" s="170"/>
      <c r="BE23" s="170"/>
      <c r="BF23" s="170"/>
      <c r="BG23" s="170"/>
      <c r="BH23" s="170"/>
      <c r="BI23" s="170"/>
      <c r="BJ23" s="170"/>
      <c r="BK23" s="170"/>
      <c r="BL23" s="170"/>
      <c r="BM23" s="170"/>
      <c r="BN23" s="170"/>
      <c r="BO23" s="170"/>
      <c r="BP23" s="170"/>
      <c r="BQ23" s="170"/>
      <c r="BR23" s="170"/>
      <c r="BS23" s="170"/>
      <c r="BT23" s="171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65" t="s">
        <v>109</v>
      </c>
      <c r="F24" s="166"/>
      <c r="G24" s="166"/>
      <c r="H24" s="166"/>
      <c r="I24" s="166"/>
      <c r="J24" s="166"/>
      <c r="K24" s="166"/>
      <c r="L24" s="167"/>
      <c r="M24" s="131" t="s">
        <v>8</v>
      </c>
      <c r="N24" s="132"/>
      <c r="O24" s="132"/>
      <c r="P24" s="131" t="s">
        <v>131</v>
      </c>
      <c r="Q24" s="132"/>
      <c r="R24" s="132"/>
      <c r="S24" s="131"/>
      <c r="T24" s="132"/>
      <c r="U24" s="132"/>
      <c r="V24" s="169" t="s">
        <v>126</v>
      </c>
      <c r="W24" s="170"/>
      <c r="X24" s="170"/>
      <c r="Y24" s="170"/>
      <c r="Z24" s="170"/>
      <c r="AA24" s="177"/>
      <c r="AB24" s="158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60"/>
      <c r="AR24" s="131"/>
      <c r="AS24" s="132"/>
      <c r="AT24" s="132"/>
      <c r="AU24" s="132"/>
      <c r="AV24" s="132"/>
      <c r="AW24" s="133"/>
      <c r="AX24" s="169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1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65" t="s">
        <v>110</v>
      </c>
      <c r="F25" s="166"/>
      <c r="G25" s="166"/>
      <c r="H25" s="166"/>
      <c r="I25" s="166"/>
      <c r="J25" s="166"/>
      <c r="K25" s="166"/>
      <c r="L25" s="167"/>
      <c r="M25" s="131" t="s">
        <v>8</v>
      </c>
      <c r="N25" s="132"/>
      <c r="O25" s="132"/>
      <c r="P25" s="131" t="s">
        <v>131</v>
      </c>
      <c r="Q25" s="132"/>
      <c r="R25" s="132"/>
      <c r="S25" s="131"/>
      <c r="T25" s="132"/>
      <c r="U25" s="132"/>
      <c r="V25" s="169" t="s">
        <v>127</v>
      </c>
      <c r="W25" s="170"/>
      <c r="X25" s="170"/>
      <c r="Y25" s="170"/>
      <c r="Z25" s="170"/>
      <c r="AA25" s="177"/>
      <c r="AB25" s="158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60"/>
      <c r="AR25" s="131"/>
      <c r="AS25" s="132"/>
      <c r="AT25" s="132"/>
      <c r="AU25" s="132"/>
      <c r="AV25" s="132"/>
      <c r="AW25" s="133"/>
      <c r="AX25" s="169"/>
      <c r="AY25" s="170"/>
      <c r="AZ25" s="170"/>
      <c r="BA25" s="170"/>
      <c r="BB25" s="170"/>
      <c r="BC25" s="170"/>
      <c r="BD25" s="170"/>
      <c r="BE25" s="170"/>
      <c r="BF25" s="170"/>
      <c r="BG25" s="170"/>
      <c r="BH25" s="170"/>
      <c r="BI25" s="170"/>
      <c r="BJ25" s="170"/>
      <c r="BK25" s="170"/>
      <c r="BL25" s="170"/>
      <c r="BM25" s="170"/>
      <c r="BN25" s="170"/>
      <c r="BO25" s="170"/>
      <c r="BP25" s="170"/>
      <c r="BQ25" s="170"/>
      <c r="BR25" s="170"/>
      <c r="BS25" s="170"/>
      <c r="BT25" s="171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65" t="s">
        <v>111</v>
      </c>
      <c r="F26" s="166"/>
      <c r="G26" s="166"/>
      <c r="H26" s="166"/>
      <c r="I26" s="166"/>
      <c r="J26" s="166"/>
      <c r="K26" s="166"/>
      <c r="L26" s="167"/>
      <c r="M26" s="131" t="s">
        <v>47</v>
      </c>
      <c r="N26" s="132"/>
      <c r="O26" s="132"/>
      <c r="P26" s="131" t="s">
        <v>131</v>
      </c>
      <c r="Q26" s="132"/>
      <c r="R26" s="132"/>
      <c r="S26" s="131"/>
      <c r="T26" s="132"/>
      <c r="U26" s="132"/>
      <c r="V26" s="169" t="s">
        <v>128</v>
      </c>
      <c r="W26" s="170"/>
      <c r="X26" s="170"/>
      <c r="Y26" s="170"/>
      <c r="Z26" s="170"/>
      <c r="AA26" s="177"/>
      <c r="AB26" s="158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60"/>
      <c r="AR26" s="161">
        <v>999999</v>
      </c>
      <c r="AS26" s="162"/>
      <c r="AT26" s="162"/>
      <c r="AU26" s="162"/>
      <c r="AV26" s="162"/>
      <c r="AW26" s="163"/>
      <c r="AX26" s="169"/>
      <c r="AY26" s="170"/>
      <c r="AZ26" s="170"/>
      <c r="BA26" s="170"/>
      <c r="BB26" s="170"/>
      <c r="BC26" s="170"/>
      <c r="BD26" s="170"/>
      <c r="BE26" s="170"/>
      <c r="BF26" s="170"/>
      <c r="BG26" s="170"/>
      <c r="BH26" s="170"/>
      <c r="BI26" s="170"/>
      <c r="BJ26" s="170"/>
      <c r="BK26" s="170"/>
      <c r="BL26" s="170"/>
      <c r="BM26" s="170"/>
      <c r="BN26" s="170"/>
      <c r="BO26" s="170"/>
      <c r="BP26" s="170"/>
      <c r="BQ26" s="170"/>
      <c r="BR26" s="170"/>
      <c r="BS26" s="170"/>
      <c r="BT26" s="171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65" t="s">
        <v>112</v>
      </c>
      <c r="F27" s="166"/>
      <c r="G27" s="166"/>
      <c r="H27" s="166"/>
      <c r="I27" s="166"/>
      <c r="J27" s="166"/>
      <c r="K27" s="166"/>
      <c r="L27" s="167"/>
      <c r="M27" s="131" t="s">
        <v>47</v>
      </c>
      <c r="N27" s="132"/>
      <c r="O27" s="132"/>
      <c r="P27" s="131" t="s">
        <v>131</v>
      </c>
      <c r="Q27" s="132"/>
      <c r="R27" s="132"/>
      <c r="S27" s="131"/>
      <c r="T27" s="132"/>
      <c r="U27" s="132"/>
      <c r="V27" s="169" t="s">
        <v>129</v>
      </c>
      <c r="W27" s="170"/>
      <c r="X27" s="170"/>
      <c r="Y27" s="170"/>
      <c r="Z27" s="170"/>
      <c r="AA27" s="177"/>
      <c r="AB27" s="158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60"/>
      <c r="AR27" s="161">
        <v>999999</v>
      </c>
      <c r="AS27" s="162"/>
      <c r="AT27" s="162"/>
      <c r="AU27" s="162"/>
      <c r="AV27" s="162"/>
      <c r="AW27" s="163"/>
      <c r="AX27" s="169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1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165" t="s">
        <v>113</v>
      </c>
      <c r="F28" s="166"/>
      <c r="G28" s="166"/>
      <c r="H28" s="166"/>
      <c r="I28" s="166"/>
      <c r="J28" s="166"/>
      <c r="K28" s="166"/>
      <c r="L28" s="167"/>
      <c r="M28" s="131" t="s">
        <v>47</v>
      </c>
      <c r="N28" s="132"/>
      <c r="O28" s="132"/>
      <c r="P28" s="131" t="s">
        <v>131</v>
      </c>
      <c r="Q28" s="132"/>
      <c r="R28" s="132"/>
      <c r="S28" s="131"/>
      <c r="T28" s="132"/>
      <c r="U28" s="132"/>
      <c r="V28" s="169" t="s">
        <v>130</v>
      </c>
      <c r="W28" s="170"/>
      <c r="X28" s="170"/>
      <c r="Y28" s="170"/>
      <c r="Z28" s="170"/>
      <c r="AA28" s="177"/>
      <c r="AB28" s="158" t="s">
        <v>148</v>
      </c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60"/>
      <c r="AR28" s="161">
        <v>999999</v>
      </c>
      <c r="AS28" s="162"/>
      <c r="AT28" s="162"/>
      <c r="AU28" s="162"/>
      <c r="AV28" s="162"/>
      <c r="AW28" s="163"/>
      <c r="AX28" s="169"/>
      <c r="AY28" s="170"/>
      <c r="AZ28" s="170"/>
      <c r="BA28" s="170"/>
      <c r="BB28" s="170"/>
      <c r="BC28" s="170"/>
      <c r="BD28" s="170"/>
      <c r="BE28" s="170"/>
      <c r="BF28" s="170"/>
      <c r="BG28" s="170"/>
      <c r="BH28" s="170"/>
      <c r="BI28" s="170"/>
      <c r="BJ28" s="170"/>
      <c r="BK28" s="170"/>
      <c r="BL28" s="170"/>
      <c r="BM28" s="170"/>
      <c r="BN28" s="170"/>
      <c r="BO28" s="170"/>
      <c r="BP28" s="170"/>
      <c r="BQ28" s="170"/>
      <c r="BR28" s="170"/>
      <c r="BS28" s="170"/>
      <c r="BT28" s="171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65" t="s">
        <v>114</v>
      </c>
      <c r="F29" s="166"/>
      <c r="G29" s="166"/>
      <c r="H29" s="166"/>
      <c r="I29" s="166"/>
      <c r="J29" s="166"/>
      <c r="K29" s="166"/>
      <c r="L29" s="167"/>
      <c r="M29" s="131" t="s">
        <v>47</v>
      </c>
      <c r="N29" s="132"/>
      <c r="O29" s="132"/>
      <c r="P29" s="131" t="s">
        <v>131</v>
      </c>
      <c r="Q29" s="132"/>
      <c r="R29" s="132"/>
      <c r="S29" s="131"/>
      <c r="T29" s="132"/>
      <c r="U29" s="132"/>
      <c r="V29" s="169" t="s">
        <v>117</v>
      </c>
      <c r="W29" s="170"/>
      <c r="X29" s="170"/>
      <c r="Y29" s="170"/>
      <c r="Z29" s="170"/>
      <c r="AA29" s="177"/>
      <c r="AB29" s="158" t="s">
        <v>132</v>
      </c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60"/>
      <c r="AR29" s="161">
        <v>999999</v>
      </c>
      <c r="AS29" s="162"/>
      <c r="AT29" s="162"/>
      <c r="AU29" s="162"/>
      <c r="AV29" s="162"/>
      <c r="AW29" s="163"/>
      <c r="AX29" s="169"/>
      <c r="AY29" s="170"/>
      <c r="AZ29" s="170"/>
      <c r="BA29" s="170"/>
      <c r="BB29" s="170"/>
      <c r="BC29" s="170"/>
      <c r="BD29" s="170"/>
      <c r="BE29" s="170"/>
      <c r="BF29" s="170"/>
      <c r="BG29" s="170"/>
      <c r="BH29" s="170"/>
      <c r="BI29" s="170"/>
      <c r="BJ29" s="170"/>
      <c r="BK29" s="170"/>
      <c r="BL29" s="170"/>
      <c r="BM29" s="170"/>
      <c r="BN29" s="170"/>
      <c r="BO29" s="170"/>
      <c r="BP29" s="170"/>
      <c r="BQ29" s="170"/>
      <c r="BR29" s="170"/>
      <c r="BS29" s="170"/>
      <c r="BT29" s="171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x14ac:dyDescent="0.45">
      <c r="A30" s="29"/>
      <c r="B30" s="44"/>
      <c r="C30" s="29"/>
      <c r="D30" s="37">
        <v>20</v>
      </c>
      <c r="E30" s="165" t="s">
        <v>115</v>
      </c>
      <c r="F30" s="166"/>
      <c r="G30" s="166"/>
      <c r="H30" s="166"/>
      <c r="I30" s="166"/>
      <c r="J30" s="166"/>
      <c r="K30" s="166"/>
      <c r="L30" s="167"/>
      <c r="M30" s="131" t="s">
        <v>47</v>
      </c>
      <c r="N30" s="132"/>
      <c r="O30" s="132"/>
      <c r="P30" s="131" t="s">
        <v>131</v>
      </c>
      <c r="Q30" s="132"/>
      <c r="R30" s="132"/>
      <c r="S30" s="168"/>
      <c r="T30" s="162"/>
      <c r="U30" s="162"/>
      <c r="V30" s="155" t="s">
        <v>118</v>
      </c>
      <c r="W30" s="156"/>
      <c r="X30" s="156"/>
      <c r="Y30" s="156"/>
      <c r="Z30" s="156"/>
      <c r="AA30" s="157"/>
      <c r="AB30" s="158" t="s">
        <v>133</v>
      </c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60"/>
      <c r="AR30" s="161">
        <v>999999</v>
      </c>
      <c r="AS30" s="162"/>
      <c r="AT30" s="162"/>
      <c r="AU30" s="162"/>
      <c r="AV30" s="162"/>
      <c r="AW30" s="163"/>
      <c r="AX30" s="155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64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thickBot="1" x14ac:dyDescent="0.5">
      <c r="A31" s="29"/>
      <c r="B31" s="44"/>
      <c r="C31"/>
      <c r="D31" s="37">
        <v>21</v>
      </c>
      <c r="E31" s="165" t="s">
        <v>116</v>
      </c>
      <c r="F31" s="166"/>
      <c r="G31" s="166"/>
      <c r="H31" s="166"/>
      <c r="I31" s="166"/>
      <c r="J31" s="166"/>
      <c r="K31" s="166"/>
      <c r="L31" s="167"/>
      <c r="M31" s="131" t="s">
        <v>47</v>
      </c>
      <c r="N31" s="132"/>
      <c r="O31" s="132"/>
      <c r="P31" s="131" t="s">
        <v>131</v>
      </c>
      <c r="Q31" s="132"/>
      <c r="R31" s="132"/>
      <c r="S31" s="168"/>
      <c r="T31" s="162"/>
      <c r="U31" s="162"/>
      <c r="V31" s="155" t="s">
        <v>119</v>
      </c>
      <c r="W31" s="156"/>
      <c r="X31" s="156"/>
      <c r="Y31" s="156"/>
      <c r="Z31" s="156"/>
      <c r="AA31" s="157"/>
      <c r="AB31" s="158" t="s">
        <v>134</v>
      </c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60"/>
      <c r="AR31" s="161">
        <v>999999</v>
      </c>
      <c r="AS31" s="162"/>
      <c r="AT31" s="162"/>
      <c r="AU31" s="162"/>
      <c r="AV31" s="162"/>
      <c r="AW31" s="163"/>
      <c r="AX31" s="155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  <c r="BJ31" s="156"/>
      <c r="BK31" s="156"/>
      <c r="BL31" s="156"/>
      <c r="BM31" s="156"/>
      <c r="BN31" s="156"/>
      <c r="BO31" s="156"/>
      <c r="BP31" s="156"/>
      <c r="BQ31" s="156"/>
      <c r="BR31" s="156"/>
      <c r="BS31" s="156"/>
      <c r="BT31" s="164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20.100000000000001" customHeight="1" thickTop="1" thickBot="1" x14ac:dyDescent="0.5">
      <c r="A32" s="29"/>
      <c r="B32" s="40"/>
      <c r="C32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46"/>
      <c r="BR32" s="46"/>
      <c r="BS32" s="46"/>
      <c r="BT32" s="46"/>
      <c r="BU32" s="28"/>
    </row>
    <row r="33" spans="1:68" ht="20.100000000000001" customHeight="1" thickTop="1" x14ac:dyDescent="0.45">
      <c r="A33" s="29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33"/>
      <c r="BD33" s="33"/>
      <c r="BE33" s="33"/>
      <c r="BF33" s="33"/>
      <c r="BG33" s="33"/>
      <c r="BH33" s="33"/>
      <c r="BI33" s="42"/>
      <c r="BJ33" s="42"/>
      <c r="BK33" s="42"/>
      <c r="BL33" s="42"/>
      <c r="BM33" s="42"/>
      <c r="BN33" s="42"/>
      <c r="BO33" s="42"/>
      <c r="BP33" s="41"/>
    </row>
    <row r="34" spans="1:68" ht="20.100000000000001" customHeight="1" x14ac:dyDescent="0.4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</row>
    <row r="35" spans="1:68" ht="20.100000000000001" customHeight="1" x14ac:dyDescent="0.4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spans="1:68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31"/>
      <c r="BH36" s="31"/>
      <c r="BI36" s="31"/>
      <c r="BJ36" s="31"/>
      <c r="BK36" s="31"/>
      <c r="BL36" s="31"/>
      <c r="BM36" s="31"/>
      <c r="BN36" s="31"/>
      <c r="BO36" s="31"/>
      <c r="BP36" s="31"/>
    </row>
    <row r="37" spans="1:68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31"/>
      <c r="BH37" s="31"/>
      <c r="BI37" s="31"/>
      <c r="BJ37" s="31"/>
      <c r="BK37" s="31"/>
      <c r="BL37" s="31"/>
      <c r="BM37" s="31"/>
      <c r="BN37" s="31"/>
      <c r="BO37" s="31"/>
      <c r="BP37" s="31"/>
    </row>
    <row r="38" spans="1:68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1:68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1:68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1:68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1:68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1:68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1:68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1:68" ht="20.100000000000001" customHeight="1" x14ac:dyDescent="0.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1:68" ht="20.100000000000001" customHeight="1" x14ac:dyDescent="0.45">
      <c r="B46" s="3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spans="1:68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31"/>
      <c r="BP47" s="31"/>
    </row>
    <row r="48" spans="1:68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31"/>
      <c r="BP48" s="31"/>
    </row>
    <row r="49" spans="1:68" ht="20.100000000000001" customHeight="1" x14ac:dyDescent="0.45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31"/>
      <c r="BP49" s="31"/>
    </row>
    <row r="50" spans="1:68" ht="20.100000000000001" customHeight="1" x14ac:dyDescent="0.45">
      <c r="A50" s="29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31"/>
      <c r="BP50" s="31"/>
    </row>
    <row r="51" spans="1:68" ht="20.100000000000001" customHeight="1" x14ac:dyDescent="0.45">
      <c r="A51" s="29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31"/>
      <c r="BP51" s="31"/>
    </row>
    <row r="52" spans="1:68" ht="20.100000000000001" customHeight="1" x14ac:dyDescent="0.4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</row>
    <row r="53" spans="1:68" ht="20.100000000000001" customHeight="1" x14ac:dyDescent="0.4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</row>
    <row r="54" spans="1:68" ht="20.100000000000001" customHeight="1" x14ac:dyDescent="0.4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</row>
  </sheetData>
  <mergeCells count="196"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B24:AQ24"/>
    <mergeCell ref="AB25:AQ25"/>
    <mergeCell ref="AB26:AQ26"/>
    <mergeCell ref="AB27:AQ27"/>
    <mergeCell ref="AB28:AQ28"/>
    <mergeCell ref="AX31:BT31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R31:AW31"/>
    <mergeCell ref="AR10:AW10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X10:BT10"/>
    <mergeCell ref="AX11:BT11"/>
    <mergeCell ref="AX12:BT12"/>
    <mergeCell ref="AX13:BT13"/>
    <mergeCell ref="AX14:BT14"/>
    <mergeCell ref="V29:AA29"/>
    <mergeCell ref="V31:AA31"/>
    <mergeCell ref="S10:U10"/>
    <mergeCell ref="S24:U24"/>
    <mergeCell ref="S25:U25"/>
    <mergeCell ref="S26:U26"/>
    <mergeCell ref="S27:U27"/>
    <mergeCell ref="S28:U28"/>
    <mergeCell ref="S29:U29"/>
    <mergeCell ref="V10:AA10"/>
    <mergeCell ref="S31:U31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S11:U11"/>
    <mergeCell ref="S12:U12"/>
    <mergeCell ref="S13:U13"/>
    <mergeCell ref="S14:U14"/>
    <mergeCell ref="S15:U15"/>
    <mergeCell ref="S16:U16"/>
    <mergeCell ref="S17:U17"/>
    <mergeCell ref="S18:U18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V30:AA30"/>
    <mergeCell ref="AB30:AQ30"/>
    <mergeCell ref="AR30:AW30"/>
    <mergeCell ref="AX30:BT30"/>
    <mergeCell ref="E31:L31"/>
    <mergeCell ref="M26:O26"/>
    <mergeCell ref="M27:O27"/>
    <mergeCell ref="M28:O28"/>
    <mergeCell ref="M29:O29"/>
    <mergeCell ref="M31:O31"/>
    <mergeCell ref="E30:L30"/>
    <mergeCell ref="M30:O30"/>
    <mergeCell ref="P29:R29"/>
    <mergeCell ref="P31:R31"/>
    <mergeCell ref="P28:R28"/>
    <mergeCell ref="P30:R30"/>
    <mergeCell ref="S30:U30"/>
    <mergeCell ref="AX27:BT27"/>
    <mergeCell ref="AX28:BT28"/>
    <mergeCell ref="AX29:BT29"/>
    <mergeCell ref="AB29:AQ29"/>
    <mergeCell ref="AB31:AQ31"/>
    <mergeCell ref="AR29:AW29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BM55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83" t="s">
        <v>0</v>
      </c>
      <c r="C2" s="184"/>
      <c r="D2" s="184"/>
      <c r="E2" s="184"/>
      <c r="F2" s="184"/>
      <c r="G2" s="184"/>
      <c r="H2" s="184" t="s">
        <v>17</v>
      </c>
      <c r="I2" s="184"/>
      <c r="J2" s="184"/>
      <c r="K2" s="184"/>
      <c r="L2" s="184" t="s">
        <v>218</v>
      </c>
      <c r="M2" s="184"/>
      <c r="N2" s="184"/>
      <c r="O2" s="184"/>
      <c r="P2" s="184"/>
      <c r="Q2" s="184"/>
      <c r="R2" s="184" t="s">
        <v>2</v>
      </c>
      <c r="S2" s="184"/>
      <c r="T2" s="184"/>
      <c r="U2" s="184"/>
      <c r="V2" s="184"/>
      <c r="W2" s="184"/>
      <c r="X2" s="185" t="s">
        <v>3</v>
      </c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7"/>
      <c r="AK2" s="185" t="s">
        <v>32</v>
      </c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7"/>
      <c r="AX2" s="184" t="s">
        <v>5</v>
      </c>
      <c r="AY2" s="184"/>
      <c r="AZ2" s="184"/>
      <c r="BA2" s="184"/>
      <c r="BB2" s="184" t="s">
        <v>4</v>
      </c>
      <c r="BC2" s="184"/>
      <c r="BD2" s="184"/>
      <c r="BE2" s="184"/>
      <c r="BF2" s="184" t="s">
        <v>6</v>
      </c>
      <c r="BG2" s="184"/>
      <c r="BH2" s="184"/>
      <c r="BI2" s="184"/>
      <c r="BJ2" s="184" t="s">
        <v>7</v>
      </c>
      <c r="BK2" s="184"/>
      <c r="BL2" s="184"/>
      <c r="BM2" s="194"/>
    </row>
    <row r="3" spans="2:65" ht="20.100000000000001" customHeight="1" x14ac:dyDescent="0.45">
      <c r="B3" s="188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UN0600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2" t="str">
        <f ca="1">変更履歴!X3</f>
        <v>UN0600_未回収一覧表_帳票設計書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4"/>
      <c r="AK3" s="142" t="str">
        <f ca="1">変更履歴!AK3</f>
        <v>未回収一覧表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4"/>
      <c r="AX3" s="138">
        <f>変更履歴!AX3</f>
        <v>45583</v>
      </c>
      <c r="AY3" s="138"/>
      <c r="AZ3" s="138"/>
      <c r="BA3" s="138"/>
      <c r="BB3" s="139" t="str">
        <f>変更履歴!BB3</f>
        <v>大谷</v>
      </c>
      <c r="BC3" s="139"/>
      <c r="BD3" s="139"/>
      <c r="BE3" s="139"/>
      <c r="BF3" s="138">
        <f>変更履歴!BF3</f>
        <v>45583</v>
      </c>
      <c r="BG3" s="138"/>
      <c r="BH3" s="138"/>
      <c r="BI3" s="138"/>
      <c r="BJ3" s="139" t="str">
        <f>変更履歴!BJ3</f>
        <v>大谷</v>
      </c>
      <c r="BK3" s="139"/>
      <c r="BL3" s="139"/>
      <c r="BM3" s="192"/>
    </row>
    <row r="4" spans="2:65" ht="20.100000000000001" customHeight="1" thickBot="1" x14ac:dyDescent="0.5">
      <c r="B4" s="189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80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2"/>
      <c r="AK4" s="180"/>
      <c r="AL4" s="181"/>
      <c r="AM4" s="181"/>
      <c r="AN4" s="181"/>
      <c r="AO4" s="181"/>
      <c r="AP4" s="181"/>
      <c r="AQ4" s="181"/>
      <c r="AR4" s="181"/>
      <c r="AS4" s="181"/>
      <c r="AT4" s="181"/>
      <c r="AU4" s="181"/>
      <c r="AV4" s="181"/>
      <c r="AW4" s="182"/>
      <c r="AX4" s="191"/>
      <c r="AY4" s="191"/>
      <c r="AZ4" s="191"/>
      <c r="BA4" s="191"/>
      <c r="BB4" s="190"/>
      <c r="BC4" s="190"/>
      <c r="BD4" s="190"/>
      <c r="BE4" s="190"/>
      <c r="BF4" s="191"/>
      <c r="BG4" s="191"/>
      <c r="BH4" s="191"/>
      <c r="BI4" s="191"/>
      <c r="BJ4" s="190"/>
      <c r="BK4" s="190"/>
      <c r="BL4" s="190"/>
      <c r="BM4" s="193"/>
    </row>
    <row r="5" spans="2:65" ht="5.0999999999999996" customHeight="1" thickBot="1" x14ac:dyDescent="0.5"/>
    <row r="6" spans="2:65" ht="20.100000000000001" customHeight="1" x14ac:dyDescent="0.45">
      <c r="B6" s="89">
        <v>1</v>
      </c>
      <c r="C6" s="90"/>
      <c r="D6" s="90"/>
      <c r="E6" s="90"/>
      <c r="F6" s="90"/>
      <c r="G6" s="91"/>
      <c r="H6" s="92" t="s">
        <v>84</v>
      </c>
      <c r="I6" s="90"/>
      <c r="J6" s="120" t="s">
        <v>149</v>
      </c>
      <c r="K6" s="121"/>
      <c r="L6" s="121"/>
      <c r="M6" s="121"/>
      <c r="N6" s="121"/>
      <c r="O6" s="121"/>
      <c r="P6" s="121"/>
      <c r="Q6" s="122"/>
      <c r="R6" s="121" t="s">
        <v>182</v>
      </c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3"/>
      <c r="C7" s="31"/>
      <c r="D7" s="31"/>
      <c r="E7" s="31"/>
      <c r="F7" s="31"/>
      <c r="G7" s="96"/>
      <c r="H7" s="97"/>
      <c r="I7" s="31"/>
      <c r="J7" s="124" t="s">
        <v>150</v>
      </c>
      <c r="K7" s="52"/>
      <c r="L7" s="52"/>
      <c r="M7" s="52"/>
      <c r="N7" s="52"/>
      <c r="O7" s="52"/>
      <c r="P7" s="52"/>
      <c r="Q7" s="125"/>
      <c r="R7" s="52" t="s">
        <v>195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5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3"/>
      <c r="C8" s="31"/>
      <c r="D8" s="31"/>
      <c r="E8" s="31"/>
      <c r="F8" s="31"/>
      <c r="G8" s="96"/>
      <c r="H8" s="97"/>
      <c r="I8" s="31"/>
      <c r="J8" s="124" t="s">
        <v>151</v>
      </c>
      <c r="K8" s="52"/>
      <c r="L8" s="52"/>
      <c r="M8" s="52"/>
      <c r="N8" s="52"/>
      <c r="O8" s="52"/>
      <c r="P8" s="52"/>
      <c r="Q8" s="125"/>
      <c r="R8" s="52" t="s">
        <v>183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3"/>
      <c r="C9" s="31"/>
      <c r="D9" s="31"/>
      <c r="E9" s="31"/>
      <c r="F9" s="31"/>
      <c r="G9" s="96"/>
      <c r="H9" s="97"/>
      <c r="I9" s="31"/>
      <c r="J9" s="124" t="s">
        <v>152</v>
      </c>
      <c r="K9" s="52"/>
      <c r="L9" s="52"/>
      <c r="M9" s="52"/>
      <c r="N9" s="52"/>
      <c r="O9" s="52"/>
      <c r="P9" s="52"/>
      <c r="Q9" s="125"/>
      <c r="R9" s="52" t="s">
        <v>189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31"/>
      <c r="I10" s="31"/>
      <c r="J10" s="124" t="s">
        <v>153</v>
      </c>
      <c r="K10" s="52"/>
      <c r="L10" s="52"/>
      <c r="M10" s="52"/>
      <c r="N10" s="52"/>
      <c r="O10" s="52"/>
      <c r="P10" s="52"/>
      <c r="Q10" s="125"/>
      <c r="R10" s="52" t="s">
        <v>190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5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2:65" ht="20.100000000000001" customHeight="1" x14ac:dyDescent="0.45">
      <c r="B11" s="123"/>
      <c r="C11" s="31"/>
      <c r="D11" s="31"/>
      <c r="E11" s="31"/>
      <c r="F11" s="31"/>
      <c r="G11" s="96"/>
      <c r="H11" s="31"/>
      <c r="I11" s="31"/>
      <c r="J11" s="124" t="s">
        <v>154</v>
      </c>
      <c r="K11" s="52"/>
      <c r="L11" s="52"/>
      <c r="M11" s="52"/>
      <c r="N11" s="52"/>
      <c r="O11" s="52"/>
      <c r="P11" s="52"/>
      <c r="Q11" s="125"/>
      <c r="R11" s="52" t="s">
        <v>191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5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2:65" ht="20.100000000000001" customHeight="1" x14ac:dyDescent="0.45">
      <c r="B12" s="123"/>
      <c r="C12" s="31"/>
      <c r="D12" s="31"/>
      <c r="E12" s="31"/>
      <c r="F12" s="31"/>
      <c r="G12" s="96"/>
      <c r="H12" s="31"/>
      <c r="I12" s="31"/>
      <c r="J12" s="124" t="s">
        <v>155</v>
      </c>
      <c r="K12" s="52"/>
      <c r="L12" s="52"/>
      <c r="M12" s="52"/>
      <c r="N12" s="52"/>
      <c r="O12" s="52"/>
      <c r="P12" s="52"/>
      <c r="Q12" s="125"/>
      <c r="R12" s="52" t="s">
        <v>192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5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</row>
    <row r="13" spans="2:65" ht="20.100000000000001" customHeight="1" x14ac:dyDescent="0.45">
      <c r="B13" s="123"/>
      <c r="C13" s="31"/>
      <c r="D13" s="31"/>
      <c r="E13" s="31"/>
      <c r="F13" s="31"/>
      <c r="G13" s="96"/>
      <c r="H13" s="31"/>
      <c r="I13" s="31"/>
      <c r="J13" s="124" t="s">
        <v>156</v>
      </c>
      <c r="K13" s="52"/>
      <c r="L13" s="52"/>
      <c r="M13" s="52"/>
      <c r="N13" s="52"/>
      <c r="O13" s="52"/>
      <c r="P13" s="52"/>
      <c r="Q13" s="125"/>
      <c r="R13" s="52" t="s">
        <v>184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5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2:65" ht="20.100000000000001" customHeight="1" x14ac:dyDescent="0.45">
      <c r="B14" s="123"/>
      <c r="C14" s="31"/>
      <c r="D14" s="31"/>
      <c r="E14" s="31"/>
      <c r="F14" s="31"/>
      <c r="G14" s="96"/>
      <c r="H14" s="31"/>
      <c r="I14" s="31"/>
      <c r="J14" s="124" t="s">
        <v>157</v>
      </c>
      <c r="K14" s="52"/>
      <c r="L14" s="52"/>
      <c r="M14" s="52"/>
      <c r="N14" s="52"/>
      <c r="O14" s="52"/>
      <c r="P14" s="52"/>
      <c r="Q14" s="125"/>
      <c r="R14" s="52" t="s">
        <v>197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25"/>
      <c r="AK14" s="9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9"/>
    </row>
    <row r="15" spans="2:65" ht="20.100000000000001" customHeight="1" x14ac:dyDescent="0.45">
      <c r="B15" s="123"/>
      <c r="C15" s="31"/>
      <c r="D15" s="31"/>
      <c r="E15" s="31"/>
      <c r="F15" s="31"/>
      <c r="G15" s="96"/>
      <c r="H15" s="31"/>
      <c r="I15" s="31"/>
      <c r="J15" s="124" t="s">
        <v>158</v>
      </c>
      <c r="K15" s="52"/>
      <c r="L15" s="52"/>
      <c r="M15" s="52"/>
      <c r="N15" s="52"/>
      <c r="O15" s="52"/>
      <c r="P15" s="52"/>
      <c r="Q15" s="125"/>
      <c r="R15" s="52" t="s">
        <v>198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25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2:65" ht="20.100000000000001" customHeight="1" x14ac:dyDescent="0.45">
      <c r="B16" s="123"/>
      <c r="C16" s="31"/>
      <c r="D16" s="31"/>
      <c r="E16" s="31"/>
      <c r="F16" s="31"/>
      <c r="G16" s="96"/>
      <c r="H16" s="31"/>
      <c r="I16" s="31"/>
      <c r="J16" s="124" t="s">
        <v>159</v>
      </c>
      <c r="K16" s="52"/>
      <c r="L16" s="52"/>
      <c r="M16" s="52"/>
      <c r="N16" s="52"/>
      <c r="O16" s="52"/>
      <c r="P16" s="52"/>
      <c r="Q16" s="125"/>
      <c r="R16" s="52" t="s">
        <v>199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25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</row>
    <row r="17" spans="2:61" ht="20.100000000000001" customHeight="1" x14ac:dyDescent="0.45">
      <c r="B17" s="123"/>
      <c r="C17" s="31"/>
      <c r="D17" s="31"/>
      <c r="E17" s="31"/>
      <c r="F17" s="31"/>
      <c r="G17" s="96"/>
      <c r="H17" s="31"/>
      <c r="I17" s="31"/>
      <c r="J17" s="124" t="s">
        <v>160</v>
      </c>
      <c r="K17" s="52"/>
      <c r="L17" s="52"/>
      <c r="M17" s="52"/>
      <c r="N17" s="52"/>
      <c r="O17" s="52"/>
      <c r="P17" s="52"/>
      <c r="Q17" s="125"/>
      <c r="R17" s="52" t="s">
        <v>203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25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</row>
    <row r="18" spans="2:61" ht="20.100000000000001" customHeight="1" x14ac:dyDescent="0.45">
      <c r="B18" s="123"/>
      <c r="C18" s="31"/>
      <c r="D18" s="31"/>
      <c r="E18" s="31"/>
      <c r="F18" s="31"/>
      <c r="G18" s="96"/>
      <c r="H18" s="31"/>
      <c r="I18" s="31"/>
      <c r="J18" s="124" t="s">
        <v>161</v>
      </c>
      <c r="K18" s="52"/>
      <c r="L18" s="52"/>
      <c r="M18" s="52"/>
      <c r="N18" s="52"/>
      <c r="O18" s="52"/>
      <c r="P18" s="52"/>
      <c r="Q18" s="125"/>
      <c r="R18" s="52" t="s">
        <v>204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25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20.100000000000001" customHeight="1" x14ac:dyDescent="0.45">
      <c r="B19" s="123"/>
      <c r="C19" s="31"/>
      <c r="D19" s="31"/>
      <c r="E19" s="31"/>
      <c r="F19" s="31"/>
      <c r="G19" s="96"/>
      <c r="H19" s="31"/>
      <c r="I19" s="31"/>
      <c r="J19" s="124" t="s">
        <v>162</v>
      </c>
      <c r="K19" s="52"/>
      <c r="L19" s="52"/>
      <c r="M19" s="52"/>
      <c r="N19" s="52"/>
      <c r="O19" s="52"/>
      <c r="P19" s="52"/>
      <c r="Q19" s="125"/>
      <c r="R19" s="52" t="s">
        <v>205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25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</row>
    <row r="20" spans="2:61" ht="20.100000000000001" customHeight="1" x14ac:dyDescent="0.45">
      <c r="B20" s="123"/>
      <c r="C20" s="31"/>
      <c r="D20" s="31"/>
      <c r="E20" s="31"/>
      <c r="F20" s="31"/>
      <c r="G20" s="96"/>
      <c r="H20" s="31"/>
      <c r="I20" s="31"/>
      <c r="J20" s="124" t="s">
        <v>163</v>
      </c>
      <c r="K20" s="52"/>
      <c r="L20" s="52"/>
      <c r="M20" s="52"/>
      <c r="N20" s="52"/>
      <c r="O20" s="52"/>
      <c r="P20" s="52"/>
      <c r="Q20" s="125"/>
      <c r="R20" s="52" t="s">
        <v>185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25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</row>
    <row r="21" spans="2:61" ht="20.100000000000001" customHeight="1" x14ac:dyDescent="0.45">
      <c r="B21" s="123"/>
      <c r="C21" s="31"/>
      <c r="D21" s="31"/>
      <c r="E21" s="31"/>
      <c r="F21" s="31"/>
      <c r="G21" s="96"/>
      <c r="H21" s="31"/>
      <c r="I21" s="31"/>
      <c r="J21" s="124" t="s">
        <v>164</v>
      </c>
      <c r="K21" s="52"/>
      <c r="L21" s="52"/>
      <c r="M21" s="52"/>
      <c r="N21" s="52"/>
      <c r="O21" s="52"/>
      <c r="P21" s="52"/>
      <c r="Q21" s="125"/>
      <c r="R21" s="52" t="s">
        <v>206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25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1" ht="20.100000000000001" customHeight="1" x14ac:dyDescent="0.45">
      <c r="B22" s="123"/>
      <c r="C22" s="31"/>
      <c r="D22" s="31"/>
      <c r="E22" s="31"/>
      <c r="F22" s="31"/>
      <c r="G22" s="96"/>
      <c r="H22" s="31"/>
      <c r="I22" s="31"/>
      <c r="J22" s="124" t="s">
        <v>165</v>
      </c>
      <c r="K22" s="52"/>
      <c r="L22" s="52"/>
      <c r="M22" s="52"/>
      <c r="N22" s="52"/>
      <c r="O22" s="52"/>
      <c r="P22" s="52"/>
      <c r="Q22" s="125"/>
      <c r="R22" s="52" t="s">
        <v>207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25"/>
      <c r="AK22" s="9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9"/>
    </row>
    <row r="23" spans="2:61" ht="20.100000000000001" customHeight="1" x14ac:dyDescent="0.45">
      <c r="B23" s="123"/>
      <c r="C23" s="31"/>
      <c r="D23" s="31"/>
      <c r="E23" s="31"/>
      <c r="F23" s="31"/>
      <c r="G23" s="96"/>
      <c r="I23" s="31"/>
      <c r="J23" s="124" t="s">
        <v>166</v>
      </c>
      <c r="K23" s="52"/>
      <c r="L23" s="52"/>
      <c r="M23" s="52"/>
      <c r="N23" s="52"/>
      <c r="O23" s="52"/>
      <c r="P23" s="52"/>
      <c r="Q23" s="125"/>
      <c r="R23" s="52" t="s">
        <v>208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25"/>
      <c r="AK23" s="98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1" ht="20.100000000000001" customHeight="1" x14ac:dyDescent="0.45">
      <c r="B24" s="123"/>
      <c r="C24" s="31"/>
      <c r="D24" s="31"/>
      <c r="E24" s="31"/>
      <c r="F24" s="31"/>
      <c r="G24" s="96"/>
      <c r="H24" s="100" t="s">
        <v>53</v>
      </c>
      <c r="I24" s="55"/>
      <c r="J24" s="100" t="s">
        <v>167</v>
      </c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101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102"/>
    </row>
    <row r="25" spans="2:61" ht="20.100000000000001" customHeight="1" x14ac:dyDescent="0.45">
      <c r="B25" s="123"/>
      <c r="C25" s="31"/>
      <c r="D25" s="31"/>
      <c r="E25" s="31"/>
      <c r="F25" s="31"/>
      <c r="G25" s="96"/>
      <c r="H25" s="97"/>
      <c r="I25" s="31"/>
      <c r="J25" s="97" t="s">
        <v>168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1" ht="20.100000000000001" customHeight="1" x14ac:dyDescent="0.45">
      <c r="B26" s="95"/>
      <c r="C26" s="31"/>
      <c r="D26" s="31"/>
      <c r="E26" s="31"/>
      <c r="F26" s="31"/>
      <c r="G26" s="96"/>
      <c r="I26" s="31"/>
      <c r="J26" s="97" t="s">
        <v>169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1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 t="s">
        <v>170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98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1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171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8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1" ht="20.100000000000001" customHeight="1" x14ac:dyDescent="0.45">
      <c r="B29" s="95"/>
      <c r="C29" s="31"/>
      <c r="D29" s="31"/>
      <c r="E29" s="31"/>
      <c r="F29" s="31"/>
      <c r="G29" s="96"/>
      <c r="H29" s="100" t="s">
        <v>54</v>
      </c>
      <c r="I29" s="55"/>
      <c r="J29" s="100" t="s">
        <v>172</v>
      </c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101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102"/>
    </row>
    <row r="30" spans="2:61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 t="s">
        <v>173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8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1" ht="20.100000000000001" customHeight="1" x14ac:dyDescent="0.45">
      <c r="B31" s="95"/>
      <c r="C31" s="31"/>
      <c r="D31" s="31"/>
      <c r="E31" s="31"/>
      <c r="F31" s="31"/>
      <c r="G31" s="96"/>
      <c r="H31" s="97"/>
      <c r="I31" s="31"/>
      <c r="J31" s="97"/>
      <c r="K31" s="31"/>
      <c r="L31" s="31"/>
      <c r="M31" s="31" t="s">
        <v>193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98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99"/>
    </row>
    <row r="32" spans="2:61" ht="20.100000000000001" customHeight="1" x14ac:dyDescent="0.45">
      <c r="B32" s="95"/>
      <c r="C32" s="31"/>
      <c r="D32" s="31"/>
      <c r="E32" s="31"/>
      <c r="F32" s="31"/>
      <c r="G32" s="96"/>
      <c r="H32" s="97"/>
      <c r="I32" s="31"/>
      <c r="J32" s="97" t="s">
        <v>172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8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97"/>
      <c r="K33" s="31" t="s">
        <v>174</v>
      </c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8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x14ac:dyDescent="0.45">
      <c r="B34" s="95"/>
      <c r="C34" s="31"/>
      <c r="D34" s="31"/>
      <c r="E34" s="31"/>
      <c r="F34" s="31"/>
      <c r="G34" s="96"/>
      <c r="H34" s="97"/>
      <c r="I34" s="31"/>
      <c r="J34" s="97"/>
      <c r="K34" s="31"/>
      <c r="L34" s="31"/>
      <c r="M34" s="31" t="s">
        <v>196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98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99"/>
    </row>
    <row r="35" spans="2:61" ht="20.100000000000001" customHeight="1" x14ac:dyDescent="0.45">
      <c r="B35" s="95"/>
      <c r="C35" s="31"/>
      <c r="D35" s="31"/>
      <c r="E35" s="31"/>
      <c r="F35" s="31"/>
      <c r="G35" s="96"/>
      <c r="H35" s="97"/>
      <c r="I35" s="31"/>
      <c r="J35" s="97" t="s">
        <v>172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98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99"/>
    </row>
    <row r="36" spans="2:61" ht="20.100000000000001" customHeight="1" x14ac:dyDescent="0.45">
      <c r="B36" s="95"/>
      <c r="C36" s="31"/>
      <c r="D36" s="31"/>
      <c r="E36" s="31"/>
      <c r="F36" s="31"/>
      <c r="G36" s="96"/>
      <c r="H36" s="97"/>
      <c r="I36" s="31"/>
      <c r="J36" s="97"/>
      <c r="K36" s="31" t="s">
        <v>170</v>
      </c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98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99"/>
    </row>
    <row r="37" spans="2:61" ht="20.100000000000001" customHeight="1" x14ac:dyDescent="0.45">
      <c r="B37" s="95"/>
      <c r="C37" s="31"/>
      <c r="D37" s="31"/>
      <c r="E37" s="31"/>
      <c r="F37" s="31"/>
      <c r="G37" s="96"/>
      <c r="H37" s="97"/>
      <c r="I37" s="31"/>
      <c r="J37" s="97"/>
      <c r="K37" s="31"/>
      <c r="L37" s="31"/>
      <c r="M37" s="31" t="s">
        <v>200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98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99"/>
    </row>
    <row r="38" spans="2:61" ht="20.100000000000001" customHeight="1" x14ac:dyDescent="0.45">
      <c r="B38" s="95"/>
      <c r="C38" s="31"/>
      <c r="D38" s="31"/>
      <c r="E38" s="31"/>
      <c r="F38" s="31"/>
      <c r="G38" s="96"/>
      <c r="H38" s="97"/>
      <c r="I38" s="31"/>
      <c r="J38" s="97" t="s">
        <v>175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98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99"/>
    </row>
    <row r="39" spans="2:61" ht="20.100000000000001" customHeight="1" x14ac:dyDescent="0.45">
      <c r="B39" s="95"/>
      <c r="C39" s="31"/>
      <c r="D39" s="31"/>
      <c r="E39" s="31"/>
      <c r="F39" s="31"/>
      <c r="G39" s="96"/>
      <c r="H39" s="97"/>
      <c r="I39" s="31"/>
      <c r="J39" s="97"/>
      <c r="K39" s="31" t="s">
        <v>176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98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99"/>
    </row>
    <row r="40" spans="2:61" ht="20.100000000000001" customHeight="1" x14ac:dyDescent="0.45">
      <c r="B40" s="95"/>
      <c r="C40" s="31"/>
      <c r="D40" s="31"/>
      <c r="E40" s="31"/>
      <c r="F40" s="31"/>
      <c r="G40" s="96"/>
      <c r="H40" s="97"/>
      <c r="I40" s="31"/>
      <c r="J40" s="97"/>
      <c r="K40" s="31"/>
      <c r="L40" s="31"/>
      <c r="M40" s="31" t="s">
        <v>209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98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99"/>
    </row>
    <row r="41" spans="2:61" ht="20.100000000000001" customHeight="1" x14ac:dyDescent="0.45">
      <c r="B41" s="95"/>
      <c r="C41" s="31"/>
      <c r="D41" s="31"/>
      <c r="E41" s="31"/>
      <c r="F41" s="31"/>
      <c r="G41" s="96"/>
      <c r="H41" s="100" t="s">
        <v>55</v>
      </c>
      <c r="I41" s="55"/>
      <c r="J41" s="100"/>
      <c r="K41" s="55" t="s">
        <v>210</v>
      </c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101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102"/>
    </row>
    <row r="42" spans="2:61" ht="20.100000000000001" customHeight="1" x14ac:dyDescent="0.45">
      <c r="B42" s="95"/>
      <c r="C42" s="31"/>
      <c r="D42" s="31"/>
      <c r="E42" s="31"/>
      <c r="F42" s="31"/>
      <c r="G42" s="96"/>
      <c r="H42" s="97"/>
      <c r="I42" s="31"/>
      <c r="J42" s="97" t="s">
        <v>177</v>
      </c>
      <c r="K42" s="31" t="s">
        <v>211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97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99"/>
    </row>
    <row r="43" spans="2:61" ht="20.100000000000001" customHeight="1" x14ac:dyDescent="0.45">
      <c r="B43" s="95"/>
      <c r="C43" s="31"/>
      <c r="D43" s="31"/>
      <c r="E43" s="31"/>
      <c r="F43" s="31"/>
      <c r="G43" s="96"/>
      <c r="H43" s="97"/>
      <c r="I43" s="31"/>
      <c r="J43" s="97" t="s">
        <v>177</v>
      </c>
      <c r="K43" s="31" t="s">
        <v>212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97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99"/>
    </row>
    <row r="44" spans="2:61" ht="20.100000000000001" customHeight="1" x14ac:dyDescent="0.45">
      <c r="B44" s="95"/>
      <c r="C44" s="31"/>
      <c r="D44" s="31"/>
      <c r="E44" s="31"/>
      <c r="F44" s="31"/>
      <c r="G44" s="96"/>
      <c r="H44" s="97"/>
      <c r="I44" s="31"/>
      <c r="J44" s="97" t="s">
        <v>177</v>
      </c>
      <c r="K44" s="31" t="s">
        <v>213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97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99"/>
    </row>
    <row r="45" spans="2:61" ht="20.100000000000001" customHeight="1" x14ac:dyDescent="0.45">
      <c r="B45" s="95"/>
      <c r="C45" s="31"/>
      <c r="D45" s="31"/>
      <c r="E45" s="31"/>
      <c r="F45" s="31"/>
      <c r="G45" s="96"/>
      <c r="H45" s="97"/>
      <c r="I45" s="31"/>
      <c r="J45" s="97" t="s">
        <v>177</v>
      </c>
      <c r="K45" s="31" t="s">
        <v>186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97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99"/>
    </row>
    <row r="46" spans="2:61" ht="20.100000000000001" customHeight="1" x14ac:dyDescent="0.45">
      <c r="B46" s="95"/>
      <c r="C46" s="31"/>
      <c r="D46" s="31"/>
      <c r="E46" s="31"/>
      <c r="F46" s="31"/>
      <c r="G46" s="96"/>
      <c r="H46" s="97"/>
      <c r="I46" s="31"/>
      <c r="J46" s="97" t="s">
        <v>177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97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99"/>
    </row>
    <row r="47" spans="2:61" ht="20.100000000000001" customHeight="1" x14ac:dyDescent="0.45">
      <c r="B47" s="95"/>
      <c r="C47" s="31"/>
      <c r="D47" s="31"/>
      <c r="E47" s="31"/>
      <c r="F47" s="31"/>
      <c r="G47" s="96"/>
      <c r="H47" s="97"/>
      <c r="I47" s="31"/>
      <c r="J47" s="97"/>
      <c r="K47" s="31" t="s">
        <v>178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97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99"/>
    </row>
    <row r="48" spans="2:61" ht="20.100000000000001" customHeight="1" x14ac:dyDescent="0.45">
      <c r="B48" s="95"/>
      <c r="C48" s="31"/>
      <c r="D48" s="31"/>
      <c r="E48" s="31"/>
      <c r="F48" s="31"/>
      <c r="G48" s="96"/>
      <c r="H48" s="97"/>
      <c r="I48" s="31"/>
      <c r="J48" s="97"/>
      <c r="K48" s="31"/>
      <c r="L48" s="31"/>
      <c r="M48" s="31" t="s">
        <v>214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97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99"/>
    </row>
    <row r="49" spans="2:61" ht="20.100000000000001" customHeight="1" x14ac:dyDescent="0.45">
      <c r="B49" s="95"/>
      <c r="C49" s="31"/>
      <c r="D49" s="31"/>
      <c r="E49" s="31"/>
      <c r="F49" s="31"/>
      <c r="G49" s="96"/>
      <c r="H49" s="97"/>
      <c r="I49" s="31"/>
      <c r="J49" s="97"/>
      <c r="K49" s="31"/>
      <c r="L49" s="31" t="s">
        <v>179</v>
      </c>
      <c r="M49" s="31" t="s">
        <v>201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97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99"/>
    </row>
    <row r="50" spans="2:61" ht="20.100000000000001" customHeight="1" x14ac:dyDescent="0.45">
      <c r="B50" s="95"/>
      <c r="C50" s="31"/>
      <c r="D50" s="31"/>
      <c r="E50" s="31"/>
      <c r="F50" s="31"/>
      <c r="G50" s="96"/>
      <c r="H50" s="97"/>
      <c r="I50" s="31"/>
      <c r="J50" s="97"/>
      <c r="K50" s="31"/>
      <c r="L50" s="31" t="s">
        <v>179</v>
      </c>
      <c r="M50" s="31" t="s">
        <v>202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97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99"/>
    </row>
    <row r="51" spans="2:61" ht="20.100000000000001" customHeight="1" x14ac:dyDescent="0.45">
      <c r="B51" s="95"/>
      <c r="C51" s="31"/>
      <c r="D51" s="31"/>
      <c r="E51" s="31"/>
      <c r="F51" s="31"/>
      <c r="G51" s="96"/>
      <c r="H51" s="97"/>
      <c r="I51" s="31"/>
      <c r="J51" s="97"/>
      <c r="K51" s="31" t="s">
        <v>180</v>
      </c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97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99"/>
    </row>
    <row r="52" spans="2:61" ht="20.100000000000001" customHeight="1" x14ac:dyDescent="0.45">
      <c r="B52" s="95"/>
      <c r="C52" s="31"/>
      <c r="D52" s="31"/>
      <c r="E52" s="31"/>
      <c r="F52" s="31"/>
      <c r="G52" s="96"/>
      <c r="H52" s="100" t="s">
        <v>181</v>
      </c>
      <c r="I52" s="55"/>
      <c r="J52" s="100" t="s">
        <v>187</v>
      </c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100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102"/>
    </row>
    <row r="53" spans="2:61" ht="20.100000000000001" customHeight="1" x14ac:dyDescent="0.45">
      <c r="B53" s="95"/>
      <c r="C53" s="31"/>
      <c r="D53" s="31"/>
      <c r="E53" s="31"/>
      <c r="F53" s="31"/>
      <c r="G53" s="96"/>
      <c r="H53" s="97"/>
      <c r="I53" s="31"/>
      <c r="J53" s="97" t="s">
        <v>194</v>
      </c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97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99"/>
    </row>
    <row r="54" spans="2:61" ht="20.100000000000001" customHeight="1" thickBot="1" x14ac:dyDescent="0.5">
      <c r="B54" s="95"/>
      <c r="C54" s="31"/>
      <c r="D54" s="31"/>
      <c r="E54" s="31"/>
      <c r="F54" s="31"/>
      <c r="G54" s="96"/>
      <c r="H54" s="103"/>
      <c r="I54" s="104"/>
      <c r="J54" s="117" t="s">
        <v>188</v>
      </c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04"/>
      <c r="AK54" s="103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6"/>
    </row>
    <row r="55" spans="2:61" ht="5.0999999999999996" customHeight="1" x14ac:dyDescent="0.45"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90"/>
      <c r="AY55" s="90"/>
      <c r="AZ55" s="90"/>
      <c r="BA55" s="90"/>
      <c r="BB55" s="90"/>
      <c r="BC55" s="90"/>
      <c r="BD55" s="90"/>
      <c r="BE55" s="90"/>
      <c r="BF55" s="90"/>
      <c r="BG55" s="90"/>
      <c r="BH55" s="90"/>
      <c r="BI55" s="90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83" t="s">
        <v>0</v>
      </c>
      <c r="C2" s="184"/>
      <c r="D2" s="184"/>
      <c r="E2" s="184"/>
      <c r="F2" s="184"/>
      <c r="G2" s="184"/>
      <c r="H2" s="184" t="s">
        <v>17</v>
      </c>
      <c r="I2" s="184"/>
      <c r="J2" s="184"/>
      <c r="K2" s="184"/>
      <c r="L2" s="184" t="s">
        <v>1</v>
      </c>
      <c r="M2" s="184"/>
      <c r="N2" s="184"/>
      <c r="O2" s="184"/>
      <c r="P2" s="184"/>
      <c r="Q2" s="184"/>
      <c r="R2" s="184" t="s">
        <v>2</v>
      </c>
      <c r="S2" s="184"/>
      <c r="T2" s="184"/>
      <c r="U2" s="184"/>
      <c r="V2" s="184"/>
      <c r="W2" s="184"/>
      <c r="X2" s="185" t="s">
        <v>3</v>
      </c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7"/>
      <c r="AK2" s="185" t="s">
        <v>32</v>
      </c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7"/>
      <c r="AX2" s="184" t="s">
        <v>5</v>
      </c>
      <c r="AY2" s="184"/>
      <c r="AZ2" s="184"/>
      <c r="BA2" s="184"/>
      <c r="BB2" s="184" t="s">
        <v>4</v>
      </c>
      <c r="BC2" s="184"/>
      <c r="BD2" s="184"/>
      <c r="BE2" s="184"/>
      <c r="BF2" s="184" t="s">
        <v>6</v>
      </c>
      <c r="BG2" s="184"/>
      <c r="BH2" s="184"/>
      <c r="BI2" s="184"/>
      <c r="BJ2" s="184" t="s">
        <v>7</v>
      </c>
      <c r="BK2" s="184"/>
      <c r="BL2" s="184"/>
      <c r="BM2" s="194"/>
    </row>
    <row r="3" spans="2:65" ht="20.100000000000001" customHeight="1" x14ac:dyDescent="0.45">
      <c r="B3" s="188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UN0600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2" t="str">
        <f ca="1">変更履歴!X3</f>
        <v>UN0600_未回収一覧表_帳票設計書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4"/>
      <c r="AK3" s="142" t="str">
        <f ca="1">変更履歴!AK3</f>
        <v>未回収一覧表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4"/>
      <c r="AX3" s="138">
        <f>変更履歴!AX3</f>
        <v>45583</v>
      </c>
      <c r="AY3" s="138"/>
      <c r="AZ3" s="138"/>
      <c r="BA3" s="138"/>
      <c r="BB3" s="139" t="str">
        <f>変更履歴!BB3</f>
        <v>大谷</v>
      </c>
      <c r="BC3" s="139"/>
      <c r="BD3" s="139"/>
      <c r="BE3" s="139"/>
      <c r="BF3" s="138">
        <f>変更履歴!BF3</f>
        <v>45583</v>
      </c>
      <c r="BG3" s="138"/>
      <c r="BH3" s="138"/>
      <c r="BI3" s="138"/>
      <c r="BJ3" s="139" t="str">
        <f>変更履歴!BJ3</f>
        <v>大谷</v>
      </c>
      <c r="BK3" s="139"/>
      <c r="BL3" s="139"/>
      <c r="BM3" s="192"/>
    </row>
    <row r="4" spans="2:65" ht="20.100000000000001" customHeight="1" thickBot="1" x14ac:dyDescent="0.5">
      <c r="B4" s="189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80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2"/>
      <c r="AK4" s="180"/>
      <c r="AL4" s="181"/>
      <c r="AM4" s="181"/>
      <c r="AN4" s="181"/>
      <c r="AO4" s="181"/>
      <c r="AP4" s="181"/>
      <c r="AQ4" s="181"/>
      <c r="AR4" s="181"/>
      <c r="AS4" s="181"/>
      <c r="AT4" s="181"/>
      <c r="AU4" s="181"/>
      <c r="AV4" s="181"/>
      <c r="AW4" s="182"/>
      <c r="AX4" s="191"/>
      <c r="AY4" s="191"/>
      <c r="AZ4" s="191"/>
      <c r="BA4" s="191"/>
      <c r="BB4" s="190"/>
      <c r="BC4" s="190"/>
      <c r="BD4" s="190"/>
      <c r="BE4" s="190"/>
      <c r="BF4" s="191"/>
      <c r="BG4" s="191"/>
      <c r="BH4" s="191"/>
      <c r="BI4" s="191"/>
      <c r="BJ4" s="190"/>
      <c r="BK4" s="190"/>
      <c r="BL4" s="190"/>
      <c r="BM4" s="193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9" t="s">
        <v>56</v>
      </c>
      <c r="C7" s="90"/>
      <c r="D7" s="90"/>
      <c r="E7" s="90"/>
      <c r="F7" s="90"/>
      <c r="G7" s="90"/>
      <c r="H7" s="92" t="s">
        <v>84</v>
      </c>
      <c r="I7" s="91"/>
      <c r="J7" s="126" t="s">
        <v>20</v>
      </c>
      <c r="K7" s="121"/>
      <c r="L7" s="121"/>
      <c r="M7" s="121"/>
      <c r="N7" s="121"/>
      <c r="O7" s="121"/>
      <c r="P7" s="121"/>
      <c r="Q7" s="121"/>
      <c r="R7" s="126" t="s">
        <v>85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 x14ac:dyDescent="0.45">
      <c r="B8" s="123"/>
      <c r="C8" s="31"/>
      <c r="D8" s="31"/>
      <c r="E8" s="31"/>
      <c r="F8" s="31"/>
      <c r="G8" s="31"/>
      <c r="H8" s="97"/>
      <c r="I8" s="96"/>
      <c r="J8" s="124" t="s">
        <v>86</v>
      </c>
      <c r="K8" s="52"/>
      <c r="L8" s="52"/>
      <c r="M8" s="52"/>
      <c r="N8" s="52"/>
      <c r="O8" s="52"/>
      <c r="P8" s="52"/>
      <c r="Q8" s="52"/>
      <c r="R8" s="124" t="s">
        <v>87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 x14ac:dyDescent="0.45">
      <c r="B9" s="123"/>
      <c r="C9" s="31"/>
      <c r="D9" s="31"/>
      <c r="E9" s="31"/>
      <c r="F9" s="31"/>
      <c r="G9" s="31"/>
      <c r="H9" s="103"/>
      <c r="I9" s="127"/>
      <c r="J9" s="124" t="s">
        <v>88</v>
      </c>
      <c r="K9" s="52"/>
      <c r="L9" s="52"/>
      <c r="M9" s="52"/>
      <c r="N9" s="52"/>
      <c r="O9" s="52"/>
      <c r="P9" s="52"/>
      <c r="Q9" s="52"/>
      <c r="R9" s="124" t="s">
        <v>89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97" t="s">
        <v>57</v>
      </c>
      <c r="I10" s="31"/>
      <c r="J10" s="111" t="s">
        <v>58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 x14ac:dyDescent="0.45">
      <c r="B11" s="95"/>
      <c r="C11" s="31"/>
      <c r="D11" s="31"/>
      <c r="E11" s="31"/>
      <c r="F11" s="31"/>
      <c r="G11" s="96"/>
      <c r="H11" s="97"/>
      <c r="I11" s="31"/>
      <c r="J11" s="97" t="s">
        <v>59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 x14ac:dyDescent="0.45">
      <c r="B12" s="95"/>
      <c r="C12" s="31"/>
      <c r="D12" s="31"/>
      <c r="E12" s="31"/>
      <c r="F12" s="31"/>
      <c r="G12" s="96"/>
      <c r="H12" s="97"/>
      <c r="I12" s="31"/>
      <c r="J12" s="97" t="s">
        <v>60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97"/>
      <c r="I13" s="31"/>
      <c r="J13" s="97" t="s">
        <v>61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100" t="s">
        <v>62</v>
      </c>
      <c r="I14" s="55"/>
      <c r="J14" s="107" t="s">
        <v>63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64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65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66</v>
      </c>
      <c r="M17" s="109" t="s">
        <v>65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67</v>
      </c>
      <c r="M18" s="109" t="s">
        <v>65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 x14ac:dyDescent="0.45">
      <c r="B19" s="95"/>
      <c r="C19" s="31"/>
      <c r="D19" s="31"/>
      <c r="E19" s="31"/>
      <c r="F19" s="31"/>
      <c r="G19" s="96"/>
      <c r="H19" s="97"/>
      <c r="I19" s="31"/>
      <c r="J19" s="97" t="s">
        <v>68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69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70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66</v>
      </c>
      <c r="M22" s="104" t="s">
        <v>71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 x14ac:dyDescent="0.45">
      <c r="B23" s="95"/>
      <c r="C23" s="31"/>
      <c r="D23" s="31"/>
      <c r="E23" s="31"/>
      <c r="F23" s="31"/>
      <c r="G23" s="96"/>
      <c r="H23" s="97" t="s">
        <v>72</v>
      </c>
      <c r="I23" s="31"/>
      <c r="J23" s="111"/>
      <c r="K23" s="109" t="s">
        <v>73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74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111" t="s">
        <v>66</v>
      </c>
      <c r="K24" s="109" t="s">
        <v>75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11" t="s">
        <v>67</v>
      </c>
      <c r="K25" s="109" t="s">
        <v>75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111" t="s">
        <v>76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77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78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66</v>
      </c>
      <c r="K28" s="31" t="s">
        <v>79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 x14ac:dyDescent="0.45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 x14ac:dyDescent="0.45">
      <c r="B32" s="95"/>
      <c r="C32" s="31"/>
      <c r="D32" s="31"/>
      <c r="E32" s="31"/>
      <c r="F32" s="31"/>
      <c r="G32" s="96"/>
      <c r="H32" s="97" t="s">
        <v>80</v>
      </c>
      <c r="I32" s="31"/>
      <c r="J32" s="111" t="s">
        <v>81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111" t="s">
        <v>82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9" t="s">
        <v>83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106.8984375" style="29" customWidth="1"/>
    <col min="6" max="16384" width="8.796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79"/>
      <c r="D4" s="79"/>
      <c r="E4" s="80"/>
      <c r="F4" s="81"/>
    </row>
    <row r="5" spans="2:6" x14ac:dyDescent="0.45">
      <c r="B5" s="37">
        <v>2</v>
      </c>
      <c r="C5" s="79"/>
      <c r="D5" s="79"/>
      <c r="E5" s="82"/>
      <c r="F5" s="81"/>
    </row>
    <row r="6" spans="2:6" x14ac:dyDescent="0.45">
      <c r="B6" s="37">
        <v>3</v>
      </c>
      <c r="C6" s="79"/>
      <c r="D6" s="79"/>
      <c r="E6" s="82"/>
      <c r="F6" s="81"/>
    </row>
    <row r="7" spans="2:6" x14ac:dyDescent="0.45">
      <c r="B7" s="37">
        <v>4</v>
      </c>
      <c r="C7" s="79"/>
      <c r="D7" s="79"/>
      <c r="E7" s="82"/>
      <c r="F7" s="81"/>
    </row>
    <row r="8" spans="2:6" x14ac:dyDescent="0.45">
      <c r="B8" s="37">
        <v>5</v>
      </c>
      <c r="C8" s="79"/>
      <c r="D8" s="79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12</vt:i4>
      </vt:variant>
    </vt:vector>
  </HeadingPairs>
  <TitlesOfParts>
    <vt:vector size="21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別紙_印刷レイアウト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2025-05-24T05:36:37Z</dcterms:modified>
</cp:coreProperties>
</file>