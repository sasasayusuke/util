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7" r:id="rId5"/>
    <sheet name="確認事項" sheetId="15" r:id="rId6"/>
    <sheet name="別紙_テンプレート" sheetId="16" r:id="rId7"/>
    <sheet name="別紙_印刷レイアウト" sheetId="18" r:id="rId8"/>
    <sheet name="参照" sheetId="12" state="hidden" r:id="rId9"/>
  </sheets>
  <externalReferences>
    <externalReference r:id="rId10"/>
  </externalReferences>
  <definedNames>
    <definedName name="CoreCells">別紙_テンプレート!$A$43:$AC$43</definedName>
    <definedName name="CoreCellsRow">別紙_テンプレート!$39:$73</definedName>
    <definedName name="_xlnm.Print_Area" localSheetId="1">概要!$A$1:$BN$31</definedName>
    <definedName name="_xlnm.Print_Area" localSheetId="3">項目一覧!$A$1:$BX$73</definedName>
    <definedName name="_xlnm.Print_Area" localSheetId="4">処理詳細!$A$1:$BR$811</definedName>
    <definedName name="_xlnm.Print_Area" localSheetId="2">帳票レイアウト!$A$1:$BN$50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2">帳票レイアウト!$1:$5</definedName>
    <definedName name="_xlnm.Print_Titles" localSheetId="6">別紙_テンプレート!$1:$2</definedName>
    <definedName name="_xlnm.Print_Titles" localSheetId="0">変更履歴!$1:$5</definedName>
    <definedName name="クレーム区分">別紙_テンプレート!$AB$12</definedName>
    <definedName name="会社担当者">別紙_テンプレート!$K$16</definedName>
    <definedName name="会社担当者E_mail">別紙_テンプレート!$K$17</definedName>
    <definedName name="見積金額">別紙_テンプレート!$D$8</definedName>
    <definedName name="見積件名">別紙_テンプレート!$D$12</definedName>
    <definedName name="見積日">別紙_テンプレート!$U$14</definedName>
    <definedName name="見積番号">別紙_テンプレート!$A$1</definedName>
    <definedName name="見積有効期限">別紙_テンプレート!$D$16</definedName>
    <definedName name="原価_見出し">[1]別紙_テンプレート!#REF!</definedName>
    <definedName name="現場名">別紙_テンプレート!$U$17</definedName>
    <definedName name="合計金額">別紙_テンプレート!$D$10</definedName>
    <definedName name="作成日">別紙_テンプレート!$O$1</definedName>
    <definedName name="支払条件">別紙_テンプレート!$D$15</definedName>
    <definedName name="施工仕入金額">[1]別紙_テンプレート!#REF!</definedName>
    <definedName name="施工売上金額">[1]別紙_テンプレート!#REF!</definedName>
    <definedName name="受注区分">別紙_テンプレート!$AB$11</definedName>
    <definedName name="受注先1">別紙_テンプレート!$U$11</definedName>
    <definedName name="受渡地">別紙_テンプレート!$D$14</definedName>
    <definedName name="消費税額">別紙_テンプレート!$D$9</definedName>
    <definedName name="消費税等">別紙_テンプレート!$A$9</definedName>
    <definedName name="担当者">別紙_テンプレート!$U$12</definedName>
    <definedName name="担当者名">別紙_テンプレート!$K$16</definedName>
    <definedName name="店番">別紙_テンプレート!$G$14</definedName>
    <definedName name="得意先名1">別紙_テンプレート!$A$3</definedName>
    <definedName name="得意先名2">別紙_テンプレート!$A$4</definedName>
    <definedName name="納期">別紙_テンプレート!$D$13</definedName>
    <definedName name="納入先1">別紙_テンプレート!$U$15</definedName>
    <definedName name="納入先住所1">別紙_テンプレート!$U$16</definedName>
    <definedName name="備考">別紙_テンプレート!$D$17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7" l="1"/>
  <c r="BF3" i="17"/>
  <c r="BB3" i="17"/>
  <c r="AX3" i="17"/>
  <c r="L3" i="17"/>
  <c r="B3" i="17"/>
  <c r="D10" i="16" l="1"/>
  <c r="N21" i="16" l="1"/>
  <c r="N73" i="16" l="1"/>
  <c r="K73" i="16"/>
  <c r="N72" i="16"/>
  <c r="K72" i="16"/>
  <c r="N71" i="16"/>
  <c r="K71" i="16"/>
  <c r="N70" i="16"/>
  <c r="K70" i="16"/>
  <c r="N69" i="16"/>
  <c r="K69" i="16"/>
  <c r="N68" i="16"/>
  <c r="K68" i="16"/>
  <c r="N67" i="16"/>
  <c r="K67" i="16"/>
  <c r="N66" i="16"/>
  <c r="K66" i="16"/>
  <c r="N65" i="16"/>
  <c r="K65" i="16"/>
  <c r="N64" i="16"/>
  <c r="K64" i="16"/>
  <c r="N63" i="16"/>
  <c r="K63" i="16"/>
  <c r="N62" i="16"/>
  <c r="K62" i="16"/>
  <c r="N61" i="16"/>
  <c r="K61" i="16"/>
  <c r="N60" i="16"/>
  <c r="K60" i="16"/>
  <c r="N59" i="16"/>
  <c r="K59" i="16"/>
  <c r="N58" i="16"/>
  <c r="K58" i="16"/>
  <c r="N57" i="16"/>
  <c r="K57" i="16"/>
  <c r="N56" i="16"/>
  <c r="K56" i="16"/>
  <c r="N55" i="16"/>
  <c r="K55" i="16"/>
  <c r="N54" i="16"/>
  <c r="K54" i="16"/>
  <c r="N53" i="16"/>
  <c r="K53" i="16"/>
  <c r="N52" i="16"/>
  <c r="K52" i="16"/>
  <c r="N51" i="16"/>
  <c r="K51" i="16"/>
  <c r="N50" i="16"/>
  <c r="K50" i="16"/>
  <c r="N49" i="16"/>
  <c r="K49" i="16"/>
  <c r="N48" i="16"/>
  <c r="K48" i="16"/>
  <c r="N47" i="16"/>
  <c r="K47" i="16"/>
  <c r="N46" i="16"/>
  <c r="K46" i="16"/>
  <c r="N45" i="16"/>
  <c r="K45" i="16"/>
  <c r="N44" i="16"/>
  <c r="K44" i="16"/>
  <c r="N43" i="16"/>
  <c r="K43" i="16"/>
  <c r="N42" i="16"/>
  <c r="K42" i="16"/>
  <c r="N38" i="16"/>
  <c r="K38" i="16"/>
  <c r="N37" i="16"/>
  <c r="K37" i="16"/>
  <c r="N36" i="16"/>
  <c r="K36" i="16"/>
  <c r="N35" i="16"/>
  <c r="K35" i="16"/>
  <c r="N34" i="16"/>
  <c r="K34" i="16"/>
  <c r="N33" i="16"/>
  <c r="K33" i="16"/>
  <c r="N32" i="16"/>
  <c r="K32" i="16"/>
  <c r="N31" i="16"/>
  <c r="K31" i="16"/>
  <c r="N30" i="16"/>
  <c r="K30" i="16"/>
  <c r="N29" i="16"/>
  <c r="K29" i="16"/>
  <c r="N28" i="16"/>
  <c r="K28" i="16"/>
  <c r="N27" i="16"/>
  <c r="K27" i="16"/>
  <c r="N26" i="16"/>
  <c r="K26" i="16"/>
  <c r="N25" i="16"/>
  <c r="K25" i="16"/>
  <c r="N24" i="16"/>
  <c r="K24" i="16"/>
  <c r="N23" i="16"/>
  <c r="K23" i="16"/>
  <c r="N22" i="16"/>
  <c r="K22" i="16"/>
  <c r="K21" i="16"/>
  <c r="BJ3" i="3"/>
  <c r="BF3" i="3"/>
  <c r="BB3" i="3"/>
  <c r="AX3" i="3"/>
  <c r="L3" i="3"/>
  <c r="B3" i="3"/>
  <c r="BJ3" i="2"/>
  <c r="BF3" i="2"/>
  <c r="BB3" i="2"/>
  <c r="AX3" i="2"/>
  <c r="L3" i="2"/>
  <c r="B3" i="2"/>
  <c r="BJ3" i="14"/>
  <c r="BF3" i="14"/>
  <c r="BB3" i="14"/>
  <c r="AX3" i="14"/>
  <c r="L3" i="14"/>
  <c r="B3" i="14"/>
  <c r="X3" i="1"/>
  <c r="X3" i="17" l="1"/>
  <c r="X3" i="2"/>
  <c r="X3" i="3"/>
  <c r="H3" i="1"/>
  <c r="X3" i="14"/>
  <c r="R3" i="1"/>
  <c r="AK3" i="1"/>
  <c r="AK3" i="17" l="1"/>
  <c r="R3" i="17"/>
  <c r="H3" i="17"/>
  <c r="AK3" i="2"/>
  <c r="AK3" i="14"/>
  <c r="H7" i="14" s="1"/>
  <c r="AK3" i="3"/>
  <c r="H3" i="3"/>
  <c r="H3" i="2"/>
  <c r="H3" i="14"/>
  <c r="R3" i="3"/>
  <c r="R3" i="2"/>
  <c r="R3" i="14"/>
</calcChain>
</file>

<file path=xl/sharedStrings.xml><?xml version="1.0" encoding="utf-8"?>
<sst xmlns="http://schemas.openxmlformats.org/spreadsheetml/2006/main" count="1989" uniqueCount="878">
  <si>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</si>
  <si>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</si>
  <si>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</si>
  <si>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</si>
  <si>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</si>
  <si>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</si>
  <si>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</si>
  <si>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</si>
  <si>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</si>
  <si>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</si>
  <si>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</si>
  <si>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</si>
  <si>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</si>
  <si>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</si>
  <si>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</si>
  <si>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</si>
  <si>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</si>
  <si>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</si>
  <si>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</si>
  <si>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</si>
  <si>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</si>
  <si>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</si>
  <si>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</si>
  <si>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</si>
  <si>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</si>
  <si>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</si>
  <si>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</si>
  <si>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</si>
  <si>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</si>
  <si>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</si>
  <si>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</si>
  <si>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</si>
  <si>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</si>
  <si>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</si>
  <si>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</si>
  <si>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</si>
  <si>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</si>
  <si>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</si>
  <si>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</si>
  <si>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</si>
  <si>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</si>
  <si>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</si>
  <si>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</si>
  <si>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</si>
  <si>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</si>
  <si>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</si>
  <si>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</si>
  <si>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</si>
  <si>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</si>
  <si>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</si>
  <si>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</si>
  <si>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　御　　見　　積　　書</t>
  </si>
  <si>
    <t>下記の通り御見積り申し上げます。</t>
  </si>
  <si>
    <t>御見積金額</t>
  </si>
  <si>
    <t>合計</t>
  </si>
  <si>
    <t>〒360-0012</t>
  </si>
  <si>
    <t>埼玉県熊谷市上之2919-5</t>
  </si>
  <si>
    <t>件　　　名　：</t>
    <phoneticPr fontId="16"/>
  </si>
  <si>
    <t>TEL 048-525-1171㈹</t>
  </si>
  <si>
    <t>納　　　期　：</t>
  </si>
  <si>
    <t>FAX 048-525-0008</t>
  </si>
  <si>
    <t>受　渡　地　：</t>
  </si>
  <si>
    <t>御支払条件　：</t>
  </si>
  <si>
    <t>コールセンター：048-507-1130</t>
    <phoneticPr fontId="16"/>
  </si>
  <si>
    <t>見積有効期限：</t>
  </si>
  <si>
    <t>備　　　考　：</t>
  </si>
  <si>
    <t>E-mail:xxxxx@sanwashouken.co.jp</t>
    <phoneticPr fontId="16"/>
  </si>
  <si>
    <t>(単位：円)</t>
  </si>
  <si>
    <t>SEC</t>
  </si>
  <si>
    <t>項目</t>
  </si>
  <si>
    <t>品名</t>
  </si>
  <si>
    <t>製品</t>
  </si>
  <si>
    <t>仕様</t>
  </si>
  <si>
    <t>Ｗ</t>
  </si>
  <si>
    <t>Ｄ</t>
  </si>
  <si>
    <t>Ｈ</t>
  </si>
  <si>
    <t>数量</t>
  </si>
  <si>
    <t>単位</t>
  </si>
  <si>
    <t>単価</t>
  </si>
  <si>
    <t>金額</t>
  </si>
  <si>
    <t>Template_見積積算書.xlsx</t>
    <rPh sb="9" eb="11">
      <t>ミツモリ</t>
    </rPh>
    <rPh sb="11" eb="14">
      <t>セキサンショ</t>
    </rPh>
    <phoneticPr fontId="2"/>
  </si>
  <si>
    <t>-</t>
    <phoneticPr fontId="2"/>
  </si>
  <si>
    <t>作成日</t>
    <rPh sb="0" eb="3">
      <t>サクセイビ</t>
    </rPh>
    <phoneticPr fontId="1"/>
  </si>
  <si>
    <t>得意先名1</t>
    <rPh sb="0" eb="3">
      <t>トクイサキ</t>
    </rPh>
    <rPh sb="3" eb="4">
      <t>メイ</t>
    </rPh>
    <phoneticPr fontId="1"/>
  </si>
  <si>
    <t>得意先名2</t>
    <rPh sb="0" eb="3">
      <t>トクイサキ</t>
    </rPh>
    <rPh sb="3" eb="4">
      <t>メイ</t>
    </rPh>
    <phoneticPr fontId="1"/>
  </si>
  <si>
    <t>御見積金額</t>
    <rPh sb="0" eb="5">
      <t>オミツモリキンガク</t>
    </rPh>
    <phoneticPr fontId="1"/>
  </si>
  <si>
    <t>消費税等</t>
    <rPh sb="0" eb="3">
      <t>ショウヒゼイ</t>
    </rPh>
    <rPh sb="3" eb="4">
      <t>トウ</t>
    </rPh>
    <phoneticPr fontId="1"/>
  </si>
  <si>
    <t>消費税額</t>
    <rPh sb="0" eb="4">
      <t>ショウヒゼイガク</t>
    </rPh>
    <phoneticPr fontId="1"/>
  </si>
  <si>
    <t>合計</t>
    <rPh sb="0" eb="2">
      <t>ゴウケイ</t>
    </rPh>
    <phoneticPr fontId="1"/>
  </si>
  <si>
    <t>件名</t>
    <rPh sb="0" eb="2">
      <t>ケンメイ</t>
    </rPh>
    <phoneticPr fontId="1"/>
  </si>
  <si>
    <t>受渡地</t>
    <rPh sb="0" eb="3">
      <t>ウケワタシチ</t>
    </rPh>
    <phoneticPr fontId="1"/>
  </si>
  <si>
    <t>店番</t>
    <rPh sb="0" eb="2">
      <t>ミセバン</t>
    </rPh>
    <phoneticPr fontId="1"/>
  </si>
  <si>
    <t>御支払条件</t>
    <rPh sb="0" eb="3">
      <t>オシハライ</t>
    </rPh>
    <rPh sb="3" eb="5">
      <t>ジョウケン</t>
    </rPh>
    <phoneticPr fontId="1"/>
  </si>
  <si>
    <t>見積有効期限</t>
    <rPh sb="0" eb="2">
      <t>ミツモリ</t>
    </rPh>
    <rPh sb="2" eb="6">
      <t>ユウコウキゲン</t>
    </rPh>
    <phoneticPr fontId="1"/>
  </si>
  <si>
    <t>備考</t>
    <rPh sb="0" eb="2">
      <t>ビコウ</t>
    </rPh>
    <phoneticPr fontId="1"/>
  </si>
  <si>
    <t>売場面積</t>
    <rPh sb="0" eb="4">
      <t>ウリバメンセキ</t>
    </rPh>
    <phoneticPr fontId="1"/>
  </si>
  <si>
    <t>ウエルシア売場面積</t>
    <rPh sb="5" eb="9">
      <t>ウリバメンセキ</t>
    </rPh>
    <phoneticPr fontId="1"/>
  </si>
  <si>
    <t>会社担当者E-mail</t>
    <rPh sb="0" eb="5">
      <t>カイシャタントウシャ</t>
    </rPh>
    <phoneticPr fontId="1"/>
  </si>
  <si>
    <t>(単位：円)</t>
    <rPh sb="1" eb="3">
      <t>タンイ</t>
    </rPh>
    <rPh sb="4" eb="5">
      <t>エン</t>
    </rPh>
    <phoneticPr fontId="1"/>
  </si>
  <si>
    <t>SEC</t>
    <phoneticPr fontId="1"/>
  </si>
  <si>
    <t>項目</t>
    <rPh sb="0" eb="2">
      <t>コウモク</t>
    </rPh>
    <phoneticPr fontId="1"/>
  </si>
  <si>
    <t>製品</t>
    <rPh sb="0" eb="2">
      <t>セイヒン</t>
    </rPh>
    <phoneticPr fontId="1"/>
  </si>
  <si>
    <t>仕様</t>
    <rPh sb="0" eb="2">
      <t>シヨウ</t>
    </rPh>
    <phoneticPr fontId="1"/>
  </si>
  <si>
    <t>W</t>
    <phoneticPr fontId="1"/>
  </si>
  <si>
    <t>D</t>
    <phoneticPr fontId="1"/>
  </si>
  <si>
    <t>H</t>
    <phoneticPr fontId="1"/>
  </si>
  <si>
    <t>数量</t>
    <rPh sb="0" eb="2">
      <t>スウリョウ</t>
    </rPh>
    <phoneticPr fontId="1"/>
  </si>
  <si>
    <t>単位</t>
    <rPh sb="0" eb="2">
      <t>タンイ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</si>
  <si>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</si>
  <si>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</si>
  <si>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9999年99月99日</t>
    <rPh sb="4" eb="5">
      <t>ネン</t>
    </rPh>
    <rPh sb="7" eb="8">
      <t>ガツ</t>
    </rPh>
    <rPh sb="10" eb="11">
      <t>ニチ</t>
    </rPh>
    <phoneticPr fontId="1"/>
  </si>
  <si>
    <t>cTanto.GetbyID</t>
    <phoneticPr fontId="1"/>
  </si>
  <si>
    <t>[TM担当者.問い合わせ先]が空の場合は何も表示しない</t>
    <rPh sb="3" eb="6">
      <t>タントウシャ</t>
    </rPh>
    <rPh sb="7" eb="8">
      <t>ト</t>
    </rPh>
    <rPh sb="9" eb="10">
      <t>ア</t>
    </rPh>
    <rPh sb="12" eb="13">
      <t>サキ</t>
    </rPh>
    <rPh sb="15" eb="16">
      <t>カラ</t>
    </rPh>
    <rPh sb="17" eb="19">
      <t>バアイ</t>
    </rPh>
    <rPh sb="20" eb="21">
      <t>ナニ</t>
    </rPh>
    <rPh sb="22" eb="24">
      <t>ヒョウジ</t>
    </rPh>
    <phoneticPr fontId="1"/>
  </si>
  <si>
    <t>空</t>
    <rPh sb="0" eb="1">
      <t>カラ</t>
    </rPh>
    <phoneticPr fontId="1"/>
  </si>
  <si>
    <t>\9,999-</t>
    <phoneticPr fontId="1"/>
  </si>
  <si>
    <t>\9,999-</t>
    <phoneticPr fontId="1"/>
  </si>
  <si>
    <t>数量_元</t>
    <rPh sb="0" eb="2">
      <t>スウリョウ</t>
    </rPh>
    <rPh sb="3" eb="4">
      <t>モト</t>
    </rPh>
    <phoneticPr fontId="1"/>
  </si>
  <si>
    <t>単価_元</t>
    <rPh sb="0" eb="2">
      <t>タンカ</t>
    </rPh>
    <rPh sb="3" eb="4">
      <t>モト</t>
    </rPh>
    <phoneticPr fontId="1"/>
  </si>
  <si>
    <t>[32.単価_元]が整数の場合は1の位まで表示、小数の場合は小数点第2位まで表示</t>
    <rPh sb="4" eb="6">
      <t>タンカ</t>
    </rPh>
    <rPh sb="7" eb="8">
      <t>モト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</si>
  <si>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</si>
  <si>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</si>
  <si>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全角</t>
    <rPh sb="0" eb="2">
      <t>ゼンカク</t>
    </rPh>
    <phoneticPr fontId="1"/>
  </si>
  <si>
    <t>【合計】_1</t>
    <rPh sb="1" eb="3">
      <t>ゴウケイ</t>
    </rPh>
    <phoneticPr fontId="1"/>
  </si>
  <si>
    <t>金額合計</t>
    <rPh sb="0" eb="2">
      <t>キンガク</t>
    </rPh>
    <rPh sb="2" eb="4">
      <t>ゴウケイ</t>
    </rPh>
    <phoneticPr fontId="1"/>
  </si>
  <si>
    <t>品名_1</t>
    <rPh sb="0" eb="2">
      <t>ヒンメイ</t>
    </rPh>
    <phoneticPr fontId="1"/>
  </si>
  <si>
    <t>見積番号_見出し</t>
    <rPh sb="0" eb="4">
      <t>ミツモリバンゴウ</t>
    </rPh>
    <rPh sb="5" eb="7">
      <t>ミダ</t>
    </rPh>
    <phoneticPr fontId="1"/>
  </si>
  <si>
    <t>納期_見出し</t>
    <rPh sb="0" eb="2">
      <t>ノウキ</t>
    </rPh>
    <rPh sb="3" eb="5">
      <t>ミダ</t>
    </rPh>
    <phoneticPr fontId="1"/>
  </si>
  <si>
    <t>1行空けて表示</t>
    <rPh sb="1" eb="3">
      <t>ギョウア</t>
    </rPh>
    <rPh sb="5" eb="7">
      <t>ヒョウジ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</si>
  <si>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</si>
  <si>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消費税等(10%)</t>
    <phoneticPr fontId="2"/>
  </si>
  <si>
    <t>問い合わせ先：[TM担当者.問い合わせ先]</t>
    <rPh sb="10" eb="13">
      <t>タントウシャ</t>
    </rPh>
    <rPh sb="14" eb="15">
      <t>ト</t>
    </rPh>
    <rPh sb="16" eb="17">
      <t>ア</t>
    </rPh>
    <rPh sb="19" eb="20">
      <t>サキ</t>
    </rPh>
    <phoneticPr fontId="1"/>
  </si>
  <si>
    <t>問い合わせ先：蓮見　明</t>
    <phoneticPr fontId="2"/>
  </si>
  <si>
    <t>(単位：円)</t>
    <phoneticPr fontId="2"/>
  </si>
  <si>
    <t>9,999 or 9,999.99</t>
    <phoneticPr fontId="1"/>
  </si>
  <si>
    <t>マイナスの値の場合は赤字で表示</t>
    <rPh sb="5" eb="6">
      <t>アタイ</t>
    </rPh>
    <rPh sb="7" eb="9">
      <t>バアイ</t>
    </rPh>
    <rPh sb="10" eb="12">
      <t>アカジ</t>
    </rPh>
    <rPh sb="13" eb="15">
      <t>ヒョウジ</t>
    </rPh>
    <phoneticPr fontId="1"/>
  </si>
  <si>
    <t>見積明細が16件以上(ヘッダー1件 + レコード15件)の場合はどのようなレイアウト変更があるか</t>
    <rPh sb="0" eb="2">
      <t>ミツモリ</t>
    </rPh>
    <rPh sb="2" eb="4">
      <t>メイサイ</t>
    </rPh>
    <rPh sb="7" eb="8">
      <t>ケン</t>
    </rPh>
    <rPh sb="8" eb="10">
      <t>イジョウ</t>
    </rPh>
    <rPh sb="16" eb="17">
      <t>ケン</t>
    </rPh>
    <rPh sb="26" eb="27">
      <t>ケン</t>
    </rPh>
    <rPh sb="29" eb="31">
      <t>バアイ</t>
    </rPh>
    <rPh sb="42" eb="44">
      <t>ヘンコウ</t>
    </rPh>
    <phoneticPr fontId="2"/>
  </si>
  <si>
    <t>帳票レイアウト</t>
    <rPh sb="0" eb="2">
      <t>チョウヒョウ</t>
    </rPh>
    <phoneticPr fontId="2"/>
  </si>
  <si>
    <t>Excel形式での出力で問題ないか</t>
    <rPh sb="5" eb="7">
      <t>ケイシキ</t>
    </rPh>
    <rPh sb="9" eb="11">
      <t>シュツリョク</t>
    </rPh>
    <rPh sb="12" eb="14">
      <t>モンダイ</t>
    </rPh>
    <phoneticPr fontId="2"/>
  </si>
  <si>
    <t>概要</t>
    <rPh sb="0" eb="2">
      <t>ガイヨウ</t>
    </rPh>
    <phoneticPr fontId="2"/>
  </si>
  <si>
    <t>PDFとエクセル。エクセルは権限がある人のみ</t>
    <rPh sb="14" eb="16">
      <t>ケンゲン</t>
    </rPh>
    <rPh sb="19" eb="20">
      <t>ヒト</t>
    </rPh>
    <phoneticPr fontId="2"/>
  </si>
  <si>
    <t>仕分レベルごとに明細が出力される。各レベルの１行目はその仕分の合計が表示される。⇒サンプルをいただく。</t>
    <rPh sb="0" eb="2">
      <t>シワ</t>
    </rPh>
    <rPh sb="8" eb="10">
      <t>メイサイ</t>
    </rPh>
    <rPh sb="11" eb="13">
      <t>シュツリョク</t>
    </rPh>
    <rPh sb="17" eb="18">
      <t>カク</t>
    </rPh>
    <rPh sb="23" eb="25">
      <t>ギョウメ</t>
    </rPh>
    <rPh sb="28" eb="30">
      <t>シワ</t>
    </rPh>
    <rPh sb="31" eb="33">
      <t>ゴウケイ</t>
    </rPh>
    <rPh sb="34" eb="36">
      <t>ヒョウジ</t>
    </rPh>
    <phoneticPr fontId="2"/>
  </si>
  <si>
    <t>⇒会社情報と消費税はDBから取得して埋める。(※ほかの帳票も同様)</t>
    <rPh sb="1" eb="5">
      <t>カイシャジョウホウ</t>
    </rPh>
    <rPh sb="6" eb="9">
      <t>ショウヒゼイ</t>
    </rPh>
    <rPh sb="14" eb="16">
      <t>シュトク</t>
    </rPh>
    <rPh sb="18" eb="19">
      <t>ウ</t>
    </rPh>
    <rPh sb="27" eb="29">
      <t>チョウヒョウ</t>
    </rPh>
    <rPh sb="30" eb="32">
      <t>ドウヨウ</t>
    </rPh>
    <phoneticPr fontId="2"/>
  </si>
  <si>
    <t>三和商研様の会社情報（郵便番号、住所、TELなど）はテンプレートに埋め込まれている形で問題ないか。
今後変わる場合はテンプレートを修正する必要がある</t>
    <rPh sb="0" eb="4">
      <t>サンワショウケン</t>
    </rPh>
    <rPh sb="4" eb="5">
      <t>サマ</t>
    </rPh>
    <rPh sb="6" eb="8">
      <t>カイシャ</t>
    </rPh>
    <rPh sb="8" eb="10">
      <t>ジョウホウ</t>
    </rPh>
    <rPh sb="11" eb="15">
      <t>ユウビンバンゴウ</t>
    </rPh>
    <rPh sb="16" eb="18">
      <t>ジュウショ</t>
    </rPh>
    <rPh sb="33" eb="34">
      <t>ウ</t>
    </rPh>
    <rPh sb="35" eb="36">
      <t>コ</t>
    </rPh>
    <rPh sb="41" eb="42">
      <t>カタチ</t>
    </rPh>
    <rPh sb="43" eb="45">
      <t>モンダイ</t>
    </rPh>
    <rPh sb="50" eb="52">
      <t>コンゴ</t>
    </rPh>
    <rPh sb="52" eb="53">
      <t>カ</t>
    </rPh>
    <rPh sb="55" eb="57">
      <t>バアイ</t>
    </rPh>
    <rPh sb="65" eb="67">
      <t>シュウセイ</t>
    </rPh>
    <rPh sb="69" eb="71">
      <t>ヒツヨウ</t>
    </rPh>
    <phoneticPr fontId="2"/>
  </si>
  <si>
    <t>回答</t>
    <rPh sb="0" eb="2">
      <t>カイトウ</t>
    </rPh>
    <phoneticPr fontId="2"/>
  </si>
  <si>
    <t>項目一覧</t>
    <rPh sb="0" eb="4">
      <t>コウモクイチラン</t>
    </rPh>
    <phoneticPr fontId="2"/>
  </si>
  <si>
    <t>指摘反映</t>
    <rPh sb="0" eb="4">
      <t>シテキハンエイ</t>
    </rPh>
    <phoneticPr fontId="2"/>
  </si>
  <si>
    <t>中国版の仕様は不要</t>
    <rPh sb="0" eb="3">
      <t>チュウゴクバン</t>
    </rPh>
    <rPh sb="4" eb="6">
      <t>シヨウ</t>
    </rPh>
    <rPh sb="7" eb="9">
      <t>フヨウ</t>
    </rPh>
    <phoneticPr fontId="2"/>
  </si>
  <si>
    <t>〇</t>
    <phoneticPr fontId="2"/>
  </si>
  <si>
    <t>右半分は不要</t>
    <rPh sb="0" eb="3">
      <t>ミギハンブン</t>
    </rPh>
    <rPh sb="4" eb="6">
      <t>フヨウ</t>
    </rPh>
    <phoneticPr fontId="2"/>
  </si>
  <si>
    <t>[5.御見積金額],[7.消費税額]</t>
    <rPh sb="3" eb="6">
      <t>オミツモリ</t>
    </rPh>
    <rPh sb="6" eb="8">
      <t>キンガク</t>
    </rPh>
    <rPh sb="13" eb="16">
      <t>ショウヒゼイ</t>
    </rPh>
    <rPh sb="16" eb="17">
      <t>ガク</t>
    </rPh>
    <phoneticPr fontId="1"/>
  </si>
  <si>
    <t>[5.御見積金額]と[7.消費税額]の合計。</t>
    <rPh sb="3" eb="8">
      <t>オミツモリキンガク</t>
    </rPh>
    <rPh sb="13" eb="17">
      <t>ショウヒゼイガク</t>
    </rPh>
    <rPh sb="19" eb="21">
      <t>ゴウケイ</t>
    </rPh>
    <phoneticPr fontId="1"/>
  </si>
  <si>
    <t>"(単位：円)"</t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</si>
  <si>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</si>
  <si>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</si>
  <si>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TEL</t>
    <phoneticPr fontId="1"/>
  </si>
  <si>
    <t>FAX</t>
    <phoneticPr fontId="1"/>
  </si>
  <si>
    <t>xlsx,pdf</t>
    <phoneticPr fontId="2"/>
  </si>
  <si>
    <t>Excel,PDF</t>
    <phoneticPr fontId="2"/>
  </si>
  <si>
    <t>SQL1</t>
    <phoneticPr fontId="2"/>
  </si>
  <si>
    <t>select</t>
    <phoneticPr fontId="2"/>
  </si>
  <si>
    <t>見積番号</t>
    <phoneticPr fontId="2"/>
  </si>
  <si>
    <t>TD見積.見積番号</t>
  </si>
  <si>
    <t>見積日付</t>
    <phoneticPr fontId="2"/>
  </si>
  <si>
    <t>物件種別</t>
    <phoneticPr fontId="2"/>
  </si>
  <si>
    <t>得意先CD</t>
    <phoneticPr fontId="2"/>
  </si>
  <si>
    <t>見積件名</t>
    <phoneticPr fontId="2"/>
  </si>
  <si>
    <t>合計金額</t>
    <phoneticPr fontId="2"/>
  </si>
  <si>
    <t>納期S</t>
    <phoneticPr fontId="2"/>
  </si>
  <si>
    <t>原価率</t>
    <phoneticPr fontId="2"/>
  </si>
  <si>
    <t>from</t>
    <phoneticPr fontId="2"/>
  </si>
  <si>
    <t>FROM TD見積 AS MT</t>
    <phoneticPr fontId="2"/>
  </si>
  <si>
    <t>join</t>
    <phoneticPr fontId="2"/>
  </si>
  <si>
    <t>SQL2</t>
    <phoneticPr fontId="2"/>
  </si>
  <si>
    <t>where</t>
    <phoneticPr fontId="2"/>
  </si>
  <si>
    <t>order by</t>
    <phoneticPr fontId="2"/>
  </si>
  <si>
    <t>SQL3</t>
    <phoneticPr fontId="2"/>
  </si>
  <si>
    <t>SQL4</t>
    <phoneticPr fontId="2"/>
  </si>
  <si>
    <t>得意先名1</t>
    <phoneticPr fontId="2"/>
  </si>
  <si>
    <t>得意先名2</t>
    <phoneticPr fontId="2"/>
  </si>
  <si>
    <t>現場名</t>
  </si>
  <si>
    <t>納期E</t>
    <phoneticPr fontId="2"/>
  </si>
  <si>
    <t>担当者CD</t>
    <phoneticPr fontId="2"/>
  </si>
  <si>
    <t>From TD見積</t>
    <phoneticPr fontId="2"/>
  </si>
  <si>
    <t>TD見積.見積番号</t>
    <phoneticPr fontId="2"/>
  </si>
  <si>
    <t>TD見積.見積件名</t>
    <phoneticPr fontId="2"/>
  </si>
  <si>
    <t>TD見積.得意先名1</t>
    <phoneticPr fontId="2"/>
  </si>
  <si>
    <t>TD見積.得意先名2</t>
    <phoneticPr fontId="2"/>
  </si>
  <si>
    <t>TD見積.現場名</t>
    <phoneticPr fontId="2"/>
  </si>
  <si>
    <t>TD見積.納期S</t>
    <phoneticPr fontId="2"/>
  </si>
  <si>
    <t>TD見積.納期E</t>
    <phoneticPr fontId="2"/>
  </si>
  <si>
    <t>TD見積.原価率</t>
    <phoneticPr fontId="2"/>
  </si>
  <si>
    <t>TD見積.担当者CD</t>
    <phoneticPr fontId="2"/>
  </si>
  <si>
    <t>見積書出力日</t>
    <phoneticPr fontId="2"/>
  </si>
  <si>
    <t>注文発行日</t>
    <phoneticPr fontId="2"/>
  </si>
  <si>
    <t>TD見積.見積日付</t>
    <phoneticPr fontId="2"/>
  </si>
  <si>
    <t>TD見積.物件種別</t>
    <phoneticPr fontId="2"/>
  </si>
  <si>
    <t>TD見積.得意先CD</t>
    <phoneticPr fontId="2"/>
  </si>
  <si>
    <t>TD見積.合計金額 + TD見積.出精値引 AS 合計金額</t>
    <phoneticPr fontId="2"/>
  </si>
  <si>
    <t>TD見積.見積書出力日</t>
    <phoneticPr fontId="2"/>
  </si>
  <si>
    <t>TD見積.注文発行日</t>
    <phoneticPr fontId="2"/>
  </si>
  <si>
    <t>WHERE</t>
    <phoneticPr fontId="2"/>
  </si>
  <si>
    <t>WHERE句が存在するときのみ</t>
    <rPh sb="4" eb="5">
      <t>ク</t>
    </rPh>
    <rPh sb="6" eb="8">
      <t>ソンザイ</t>
    </rPh>
    <phoneticPr fontId="2"/>
  </si>
  <si>
    <t>得意先CD LIKE '画面.得意先CD%'</t>
    <rPh sb="12" eb="14">
      <t>ガメン</t>
    </rPh>
    <phoneticPr fontId="2"/>
  </si>
  <si>
    <t>納入先CD Like '画面.納入先CD%'</t>
    <rPh sb="12" eb="14">
      <t>ガメン</t>
    </rPh>
    <phoneticPr fontId="2"/>
  </si>
  <si>
    <t>MT.見積番号 &gt;= 画面.開始見積番号 And MT.見積番号 &lt;= 画面.終了見積番号</t>
    <rPh sb="3" eb="5">
      <t>ミツモリ</t>
    </rPh>
    <rPh sb="5" eb="7">
      <t>バンゴウ</t>
    </rPh>
    <rPh sb="11" eb="13">
      <t>ガメン</t>
    </rPh>
    <rPh sb="14" eb="16">
      <t>カイシ</t>
    </rPh>
    <rPh sb="39" eb="41">
      <t>シュウリョウ</t>
    </rPh>
    <phoneticPr fontId="2"/>
  </si>
  <si>
    <t>画面.得意先CDが入力されている場合</t>
    <rPh sb="0" eb="1">
      <t>ガメン</t>
    </rPh>
    <rPh sb="2" eb="5">
      <t>トクイサキ</t>
    </rPh>
    <rPh sb="9" eb="11">
      <t>ニュウリョク</t>
    </rPh>
    <rPh sb="16" eb="18">
      <t>バアイ</t>
    </rPh>
    <phoneticPr fontId="2"/>
  </si>
  <si>
    <t>画面.納入先CDが入力されている場合</t>
    <rPh sb="0" eb="1">
      <t>ガメン</t>
    </rPh>
    <rPh sb="3" eb="5">
      <t>ノウニュウ</t>
    </rPh>
    <rPh sb="5" eb="6">
      <t>サキ</t>
    </rPh>
    <rPh sb="9" eb="11">
      <t>ニュウリョク</t>
    </rPh>
    <rPh sb="16" eb="18">
      <t>バアイ</t>
    </rPh>
    <phoneticPr fontId="2"/>
  </si>
  <si>
    <t>画面.開始見積番号または画面.終了見積番号が入力されている場合</t>
    <rPh sb="0" eb="1">
      <t>ガメン</t>
    </rPh>
    <rPh sb="2" eb="7">
      <t>カイシミツモリバンゴウ</t>
    </rPh>
    <rPh sb="11" eb="13">
      <t>ガメン</t>
    </rPh>
    <rPh sb="14" eb="16">
      <t>シュウリョウ</t>
    </rPh>
    <rPh sb="15" eb="19">
      <t>ミツモリバンゴウ</t>
    </rPh>
    <rPh sb="20" eb="22">
      <t>ニュウリョク</t>
    </rPh>
    <rPh sb="27" eb="29">
      <t>バアイ</t>
    </rPh>
    <phoneticPr fontId="2"/>
  </si>
  <si>
    <t>見積件名 Like '%画面.見積件名%'</t>
    <rPh sb="12" eb="14">
      <t>ガメン</t>
    </rPh>
    <phoneticPr fontId="2"/>
  </si>
  <si>
    <t>画面.見積件名が入力されている場合</t>
    <rPh sb="0" eb="1">
      <t>ガメン</t>
    </rPh>
    <rPh sb="3" eb="7">
      <t>ミツモリケンメイ</t>
    </rPh>
    <rPh sb="8" eb="10">
      <t>ニュウリョク</t>
    </rPh>
    <rPh sb="15" eb="17">
      <t>バアイ</t>
    </rPh>
    <phoneticPr fontId="2"/>
  </si>
  <si>
    <t>MT.合計金額 + MT.出精値引 &gt;= 画面.開始見積金額 And MT.合計金額 + MT.出精値引 &lt;= 画面.終了見積金額</t>
    <rPh sb="3" eb="7">
      <t>ゴウケイキンガク</t>
    </rPh>
    <rPh sb="21" eb="23">
      <t>ガメン</t>
    </rPh>
    <phoneticPr fontId="2"/>
  </si>
  <si>
    <t>画面.開始見積金額または画面.終了見積金額が入力されている場合</t>
    <rPh sb="0" eb="1">
      <t>ガメン</t>
    </rPh>
    <rPh sb="2" eb="7">
      <t>カイシミツモリバンゴウ</t>
    </rPh>
    <rPh sb="7" eb="8">
      <t>キン</t>
    </rPh>
    <rPh sb="8" eb="9">
      <t>ガク</t>
    </rPh>
    <rPh sb="11" eb="13">
      <t>ガメン</t>
    </rPh>
    <rPh sb="14" eb="16">
      <t>シュウリョウ</t>
    </rPh>
    <rPh sb="15" eb="19">
      <t>ミツモリバンゴウ</t>
    </rPh>
    <rPh sb="19" eb="21">
      <t>キンガク</t>
    </rPh>
    <rPh sb="22" eb="24">
      <t>ニュウリョク</t>
    </rPh>
    <rPh sb="27" eb="29">
      <t>バアイ</t>
    </rPh>
    <phoneticPr fontId="2"/>
  </si>
  <si>
    <t>MT見積日付 &gt;= 開始見積日付 And MT見積日付 &gt;= 終了見積日付</t>
    <rPh sb="2" eb="6">
      <t>ミツモリヒヅケ</t>
    </rPh>
    <rPh sb="10" eb="16">
      <t>カイシミツモリヒヅケ</t>
    </rPh>
    <rPh sb="31" eb="33">
      <t>シュウリョウ</t>
    </rPh>
    <phoneticPr fontId="2"/>
  </si>
  <si>
    <t>ORDER BY MT.見積日付 DESC の降順でソート, MT.見積番号 DESC の降順でソート</t>
    <phoneticPr fontId="2"/>
  </si>
  <si>
    <t>SELECT * INTO #WK見積明細</t>
    <phoneticPr fontId="2"/>
  </si>
  <si>
    <t>0 AS 原価率</t>
    <phoneticPr fontId="2"/>
  </si>
  <si>
    <t>0 AS 粗利益</t>
    <phoneticPr fontId="2"/>
  </si>
  <si>
    <t>配送先名 AS 配送先略称</t>
    <phoneticPr fontId="2"/>
  </si>
  <si>
    <t>FROM  TD見積 AS MH</t>
    <phoneticPr fontId="2"/>
  </si>
  <si>
    <t>INNER JOIN TD見積シートM AS MSM ON MSM.見積番号 = MH.見積番号</t>
    <phoneticPr fontId="2"/>
  </si>
  <si>
    <t>INNER JOIN TD見積シート内訳 AS MSU ON MSM.見積明細連番 = MSU.見積明細連番</t>
    <phoneticPr fontId="2"/>
  </si>
  <si>
    <t>LEFT JOIN TD見積シート内訳名称 MSUN ON MSU.見積番号 = MSUN.見積番号</t>
    <phoneticPr fontId="2"/>
  </si>
  <si>
    <t>AND MSU.仕分番号 = MSUN.仕分番号</t>
    <phoneticPr fontId="2"/>
  </si>
  <si>
    <t>AND  MSM.見積区分 IN ('','1','2','3','4','5','6','7','8','9')</t>
    <phoneticPr fontId="2"/>
  </si>
  <si>
    <t>AND  MSU.数量 &lt;&gt; 0</t>
    <phoneticPr fontId="2"/>
  </si>
  <si>
    <t>AND  MSM.客先在庫数 = 0</t>
    <phoneticPr fontId="2"/>
  </si>
  <si>
    <t>AND  MSM.転用数 = 0</t>
    <phoneticPr fontId="2"/>
  </si>
  <si>
    <t>仕分番号</t>
    <phoneticPr fontId="2"/>
  </si>
  <si>
    <t>仕分名称</t>
    <phoneticPr fontId="2"/>
  </si>
  <si>
    <t>行番号</t>
    <phoneticPr fontId="2"/>
  </si>
  <si>
    <t>W</t>
    <phoneticPr fontId="2"/>
  </si>
  <si>
    <t>D</t>
    <phoneticPr fontId="2"/>
  </si>
  <si>
    <t>H</t>
    <phoneticPr fontId="2"/>
  </si>
  <si>
    <t>D1</t>
    <phoneticPr fontId="2"/>
  </si>
  <si>
    <t>D2</t>
    <phoneticPr fontId="2"/>
  </si>
  <si>
    <t>H1</t>
    <phoneticPr fontId="2"/>
  </si>
  <si>
    <t>H2</t>
    <phoneticPr fontId="2"/>
  </si>
  <si>
    <t>数量</t>
    <phoneticPr fontId="2"/>
  </si>
  <si>
    <t>単位名</t>
    <phoneticPr fontId="2"/>
  </si>
  <si>
    <t>売上単価</t>
    <phoneticPr fontId="2"/>
  </si>
  <si>
    <t>売上金額</t>
    <phoneticPr fontId="2"/>
  </si>
  <si>
    <t>仕入先CD</t>
    <phoneticPr fontId="2"/>
  </si>
  <si>
    <t>仕入先略称</t>
    <phoneticPr fontId="2"/>
  </si>
  <si>
    <t>仕入単価</t>
    <phoneticPr fontId="2"/>
  </si>
  <si>
    <t>仕入金額</t>
    <phoneticPr fontId="2"/>
  </si>
  <si>
    <t>粗利益</t>
    <phoneticPr fontId="2"/>
  </si>
  <si>
    <t>配送先CD</t>
    <phoneticPr fontId="2"/>
  </si>
  <si>
    <t>社内在庫数</t>
    <phoneticPr fontId="2"/>
  </si>
  <si>
    <t>配送先略称</t>
    <phoneticPr fontId="2"/>
  </si>
  <si>
    <t>客先在庫数</t>
    <phoneticPr fontId="2"/>
  </si>
  <si>
    <t>転用数</t>
    <phoneticPr fontId="2"/>
  </si>
  <si>
    <t>発注数</t>
    <phoneticPr fontId="2"/>
  </si>
  <si>
    <t>製品区分</t>
  </si>
  <si>
    <t>見積区分</t>
  </si>
  <si>
    <t>RIGHT('0'+CONVERT(VARCHAR(2),TD見積シート内訳.仕分番号),2) AS 仕分番号</t>
  </si>
  <si>
    <t>ISNULL(TD見積シート内訳N.名称,'') AS 仕分名称</t>
  </si>
  <si>
    <t>TD見積シート内訳.数量</t>
  </si>
  <si>
    <t>TD見積シートM.行番号</t>
    <phoneticPr fontId="2"/>
  </si>
  <si>
    <t>TD見積シートM.W</t>
  </si>
  <si>
    <t>TD見積シートM.D</t>
  </si>
  <si>
    <t>TD見積シートM.H</t>
  </si>
  <si>
    <t>TD見積シートM.D1</t>
  </si>
  <si>
    <t>TD見積シートM.D2</t>
  </si>
  <si>
    <t>TD見積シートM.H1</t>
  </si>
  <si>
    <t>TD見積シートM.H2</t>
  </si>
  <si>
    <t>TD見積シートM.単位名</t>
  </si>
  <si>
    <t>TD見積シートM.売上単価</t>
  </si>
  <si>
    <t>TD見積シートM.仕入先CD</t>
  </si>
  <si>
    <t>TD見積シートM.仕入先名 AS 仕入先略称</t>
  </si>
  <si>
    <t>TD見積シートM.仕入単価</t>
  </si>
  <si>
    <t>TD見積シートM.配送先CD</t>
  </si>
  <si>
    <t>TD見積シートM.社内在庫数</t>
  </si>
  <si>
    <t>TD見積シートM.客先在庫数</t>
  </si>
  <si>
    <t>TD見積シートM.転用数</t>
  </si>
  <si>
    <t>TD見積シートM.発注数</t>
  </si>
  <si>
    <t>TD見積シートM.製品区分</t>
  </si>
  <si>
    <t>TD見積シートM.見積区分</t>
  </si>
  <si>
    <t>CASE WHEN COUNTRY_CODE = 'CN' THEN 2 ELSE 0 END</t>
    <phoneticPr fontId="2"/>
  </si>
  <si>
    <t>FROM AppCountry</t>
    <phoneticPr fontId="2"/>
  </si>
  <si>
    <t>decimalPoint</t>
    <phoneticPr fontId="2"/>
  </si>
  <si>
    <t>decimalPointは変数</t>
    <rPh sb="12" eb="14">
      <t>ヘンスウ</t>
    </rPh>
    <phoneticPr fontId="2"/>
  </si>
  <si>
    <t>TD見積.売上端数が0の場合はTD見積シート内訳.数量 * TD見積シートM.売上単価の結果を[SQL3.decimalPoint]の桁数で四捨五入、1の場合は切り上げ、2の場合は切り捨て</t>
    <rPh sb="12" eb="14">
      <t>バアイ</t>
    </rPh>
    <rPh sb="44" eb="46">
      <t>ケッカ</t>
    </rPh>
    <rPh sb="67" eb="69">
      <t>ケタスウ</t>
    </rPh>
    <rPh sb="70" eb="74">
      <t>シシャゴニュウ</t>
    </rPh>
    <rPh sb="80" eb="81">
      <t>キ</t>
    </rPh>
    <rPh sb="82" eb="83">
      <t>ア</t>
    </rPh>
    <rPh sb="90" eb="91">
      <t>キ</t>
    </rPh>
    <rPh sb="92" eb="93">
      <t>ス</t>
    </rPh>
    <phoneticPr fontId="2"/>
  </si>
  <si>
    <t>TD見積.売上端数が0の場合はTD見積シート内訳.数量 * TD見積シートM.仕入単価の結果を[SQL3.decimalPoint]の桁数で四捨五入、1の場合は切り上げ、2の場合は切り捨て</t>
    <phoneticPr fontId="2"/>
  </si>
  <si>
    <t>SQL5</t>
    <phoneticPr fontId="2"/>
  </si>
  <si>
    <t>附属部材以外で</t>
    <phoneticPr fontId="2"/>
  </si>
  <si>
    <t>コメントでないもの</t>
    <phoneticPr fontId="2"/>
  </si>
  <si>
    <t>コメントAのもの</t>
    <phoneticPr fontId="2"/>
  </si>
  <si>
    <t>SP区分</t>
    <phoneticPr fontId="2"/>
  </si>
  <si>
    <t>PC区分</t>
    <phoneticPr fontId="2"/>
  </si>
  <si>
    <t>製品NO</t>
    <phoneticPr fontId="2"/>
  </si>
  <si>
    <t>仕様NO</t>
    <phoneticPr fontId="2"/>
  </si>
  <si>
    <t>漢字名称</t>
    <phoneticPr fontId="2"/>
  </si>
  <si>
    <t>TD見積シートM.SP区分</t>
    <phoneticPr fontId="2"/>
  </si>
  <si>
    <t>TD見積シートM.PC区分</t>
    <phoneticPr fontId="2"/>
  </si>
  <si>
    <t>TD見積シートM.製品NO</t>
    <phoneticPr fontId="2"/>
  </si>
  <si>
    <t>TD見積シートM.仕様NO</t>
    <phoneticPr fontId="2"/>
  </si>
  <si>
    <t>TD見積シートM.漢字名称</t>
    <phoneticPr fontId="2"/>
  </si>
  <si>
    <t>AND  MSM.見積区分 = 'A'</t>
    <phoneticPr fontId="2"/>
  </si>
  <si>
    <t>AND  (</t>
    <phoneticPr fontId="2"/>
  </si>
  <si>
    <t>SQL6</t>
    <phoneticPr fontId="2"/>
  </si>
  <si>
    <t>) &lt;&gt; 0</t>
    <phoneticPr fontId="2"/>
  </si>
  <si>
    <t>) = 0</t>
    <phoneticPr fontId="2"/>
  </si>
  <si>
    <t>SQL7</t>
    <phoneticPr fontId="2"/>
  </si>
  <si>
    <t>SQL8</t>
    <phoneticPr fontId="2"/>
  </si>
  <si>
    <t>WHERE MH.見積番号 = 画面.見積番号</t>
    <rPh sb="16" eb="18">
      <t>ガメン</t>
    </rPh>
    <phoneticPr fontId="2"/>
  </si>
  <si>
    <t>SELECT  TOP 1 MSU1.数量</t>
    <phoneticPr fontId="2"/>
  </si>
  <si>
    <t>FROM TD見積シートM AS MSM1</t>
    <phoneticPr fontId="2"/>
  </si>
  <si>
    <t>INNER JOIN TD見積シート内訳 AS MSU1 ON MSM1.見積明細連番 = MSU1.見積明細連番</t>
    <phoneticPr fontId="2"/>
  </si>
  <si>
    <t>WHERE MSM1.見積番号 = MSM.見積番号</t>
    <phoneticPr fontId="2"/>
  </si>
  <si>
    <t>AND MSM1.見積区分 IN ('','1','2','3','4','5','6','7','8','9')</t>
    <phoneticPr fontId="2"/>
  </si>
  <si>
    <t>AND  MSU1.仕分番号 = MSU.仕分番号</t>
    <phoneticPr fontId="2"/>
  </si>
  <si>
    <t>AND  MSM1.行番号 &gt;= MSM.行番号</t>
    <phoneticPr fontId="2"/>
  </si>
  <si>
    <t>ORDER BY MSM1.行番号 ASC 昇順でソート</t>
    <rPh sb="22" eb="24">
      <t>ショウジュン</t>
    </rPh>
    <phoneticPr fontId="2"/>
  </si>
  <si>
    <t>TD見積シート内訳.数量</t>
    <phoneticPr fontId="2"/>
  </si>
  <si>
    <t>SELECT  TOP 1 MSM1.客先在庫数</t>
    <phoneticPr fontId="2"/>
  </si>
  <si>
    <t>ORDER BY MSM1.行番号 ASC 昇順でソート</t>
    <phoneticPr fontId="2"/>
  </si>
  <si>
    <t>TD見積シートM.客先在庫数</t>
    <phoneticPr fontId="2"/>
  </si>
  <si>
    <t>SELECT  TOP 1 MSM1.転用数</t>
    <phoneticPr fontId="2"/>
  </si>
  <si>
    <t>TD見積シートM.転用数</t>
    <phoneticPr fontId="2"/>
  </si>
  <si>
    <t>SQL9</t>
    <phoneticPr fontId="2"/>
  </si>
  <si>
    <t>コメントCのもの</t>
    <phoneticPr fontId="2"/>
  </si>
  <si>
    <t>AND  (MSM.見積区分 = 'C'</t>
    <phoneticPr fontId="2"/>
  </si>
  <si>
    <t>OR MSM.見積区分 = 'S')</t>
    <phoneticPr fontId="2"/>
  </si>
  <si>
    <t>SQL10</t>
    <phoneticPr fontId="2"/>
  </si>
  <si>
    <t>SQL11</t>
    <phoneticPr fontId="2"/>
  </si>
  <si>
    <t>SQL12</t>
    <phoneticPr fontId="2"/>
  </si>
  <si>
    <t>ORDER BY MSM1.行番号 DESC 降順でソート</t>
    <rPh sb="23" eb="25">
      <t>コウジュン</t>
    </rPh>
    <phoneticPr fontId="2"/>
  </si>
  <si>
    <t>WHERE MSM1.見積番号 = MSM.見積番号</t>
    <rPh sb="24" eb="26">
      <t>バンゴウ</t>
    </rPh>
    <phoneticPr fontId="2"/>
  </si>
  <si>
    <t>AND  MSM1.行番号 &lt;= MSM.行番号</t>
    <phoneticPr fontId="2"/>
  </si>
  <si>
    <t>SQL13</t>
    <phoneticPr fontId="2"/>
  </si>
  <si>
    <t>附属部材で</t>
    <phoneticPr fontId="2"/>
  </si>
  <si>
    <t>仕入先名 AS 仕入先略称</t>
    <phoneticPr fontId="2"/>
  </si>
  <si>
    <t>0 AS 原価率</t>
    <phoneticPr fontId="2"/>
  </si>
  <si>
    <t>0 AS 粗利益</t>
    <phoneticPr fontId="2"/>
  </si>
  <si>
    <t>配送先名 AS 配送先略称</t>
    <phoneticPr fontId="2"/>
  </si>
  <si>
    <t>AND  MSM.見積区分 IN ('','1','2','3','4','5','6','7','8','9')</t>
    <phoneticPr fontId="2"/>
  </si>
  <si>
    <t>AND   見積数量 &lt;&gt; 0</t>
    <phoneticPr fontId="2"/>
  </si>
  <si>
    <t>AND  (客先在庫数 &gt; 0</t>
    <phoneticPr fontId="2"/>
  </si>
  <si>
    <t>OR  転用数 &gt; 0)</t>
    <phoneticPr fontId="2"/>
  </si>
  <si>
    <t>TD見積シートM.行番号</t>
  </si>
  <si>
    <t>TD見積シートM.SP区分</t>
  </si>
  <si>
    <t>TD見積シートM.PC区分</t>
  </si>
  <si>
    <t>TD見積シートM.製品NO</t>
  </si>
  <si>
    <t>TD見積シートM.仕様NO</t>
  </si>
  <si>
    <t>TD見積シートM.漢字名称</t>
  </si>
  <si>
    <t>TD見積シートM.見積数量</t>
  </si>
  <si>
    <t>TD見積シートM.売上金額</t>
  </si>
  <si>
    <t>TD見積シートM.仕入金額</t>
  </si>
  <si>
    <t>'Z9' AS 仕分番号</t>
    <phoneticPr fontId="2"/>
  </si>
  <si>
    <t>'付属部材'AS 仕分名称</t>
    <phoneticPr fontId="2"/>
  </si>
  <si>
    <t>AND  MSM.見積区分 = 'A'</t>
    <phoneticPr fontId="2"/>
  </si>
  <si>
    <t>SQL14</t>
    <phoneticPr fontId="2"/>
  </si>
  <si>
    <t>SQL15</t>
    <phoneticPr fontId="2"/>
  </si>
  <si>
    <t>SQL16</t>
    <phoneticPr fontId="2"/>
  </si>
  <si>
    <t>) &gt; 0</t>
    <phoneticPr fontId="2"/>
  </si>
  <si>
    <t>SQL17</t>
    <phoneticPr fontId="2"/>
  </si>
  <si>
    <t>AND  MSM.見積区分 = 'C'</t>
    <phoneticPr fontId="2"/>
  </si>
  <si>
    <t>SQL18</t>
    <phoneticPr fontId="2"/>
  </si>
  <si>
    <t>SQL19</t>
    <phoneticPr fontId="2"/>
  </si>
  <si>
    <t>SQL20</t>
    <phoneticPr fontId="2"/>
  </si>
  <si>
    <t>SQL21</t>
    <phoneticPr fontId="2"/>
  </si>
  <si>
    <t>SQL22</t>
    <phoneticPr fontId="2"/>
  </si>
  <si>
    <t>出精値引</t>
    <phoneticPr fontId="2"/>
  </si>
  <si>
    <t>'ZA' AS 仕分番号</t>
    <phoneticPr fontId="2"/>
  </si>
  <si>
    <t>'出精値引'AS 仕分名称</t>
    <phoneticPr fontId="2"/>
  </si>
  <si>
    <t>1 AS 行番号</t>
    <phoneticPr fontId="2"/>
  </si>
  <si>
    <t>'' AS SP区分</t>
    <phoneticPr fontId="2"/>
  </si>
  <si>
    <t>'' AS PC区分</t>
    <phoneticPr fontId="2"/>
  </si>
  <si>
    <t>'' AS 製品NO</t>
    <phoneticPr fontId="2"/>
  </si>
  <si>
    <t>'' AS 仕様NO</t>
    <phoneticPr fontId="2"/>
  </si>
  <si>
    <t>'出精値引' AS 漢字名称</t>
    <phoneticPr fontId="2"/>
  </si>
  <si>
    <t>0 AS W</t>
    <phoneticPr fontId="2"/>
  </si>
  <si>
    <t>0 AS D</t>
    <phoneticPr fontId="2"/>
  </si>
  <si>
    <t>0 AS H</t>
    <phoneticPr fontId="2"/>
  </si>
  <si>
    <t>0 AS D1</t>
    <phoneticPr fontId="2"/>
  </si>
  <si>
    <t>0 AS D2</t>
    <phoneticPr fontId="2"/>
  </si>
  <si>
    <t>0 AS H1</t>
    <phoneticPr fontId="2"/>
  </si>
  <si>
    <t>0 AS H2</t>
    <phoneticPr fontId="2"/>
  </si>
  <si>
    <t>0 AS 数量</t>
    <phoneticPr fontId="2"/>
  </si>
  <si>
    <t>'' AS 単位名</t>
    <phoneticPr fontId="2"/>
  </si>
  <si>
    <t>0 AS 売上単価</t>
    <phoneticPr fontId="2"/>
  </si>
  <si>
    <t>出精値引 AS 売上金額</t>
    <phoneticPr fontId="2"/>
  </si>
  <si>
    <t>'' AS 仕入先CD</t>
    <phoneticPr fontId="2"/>
  </si>
  <si>
    <t>'' AS 仕入略称</t>
    <phoneticPr fontId="2"/>
  </si>
  <si>
    <t>0 AS 仕入単価</t>
    <phoneticPr fontId="2"/>
  </si>
  <si>
    <t>0 AS 仕入金額</t>
    <phoneticPr fontId="2"/>
  </si>
  <si>
    <t>'' AS 配送先CD</t>
    <phoneticPr fontId="2"/>
  </si>
  <si>
    <t>'' AS 配送略称</t>
    <phoneticPr fontId="2"/>
  </si>
  <si>
    <t>0 AS 社内在庫数</t>
    <phoneticPr fontId="2"/>
  </si>
  <si>
    <t>0 AS 客先在庫数</t>
    <phoneticPr fontId="2"/>
  </si>
  <si>
    <t>0 AS 転用数</t>
    <phoneticPr fontId="2"/>
  </si>
  <si>
    <t>0 AS 発注数</t>
    <phoneticPr fontId="2"/>
  </si>
  <si>
    <t>NULL AS 製品区分</t>
    <phoneticPr fontId="2"/>
  </si>
  <si>
    <t>'' AS 見積区分</t>
    <phoneticPr fontId="2"/>
  </si>
  <si>
    <t>AND  出精値引 &lt;&gt; 0</t>
    <phoneticPr fontId="2"/>
  </si>
  <si>
    <t>#WK見積明細.見積番号</t>
    <phoneticPr fontId="2"/>
  </si>
  <si>
    <t>#WK見積明細.仕分番号</t>
    <phoneticPr fontId="2"/>
  </si>
  <si>
    <t>#WK見積明細.仕分名称</t>
    <phoneticPr fontId="2"/>
  </si>
  <si>
    <t>#WK見積明細.行番号</t>
    <phoneticPr fontId="2"/>
  </si>
  <si>
    <t>#WK見積明細.SP区分</t>
    <phoneticPr fontId="2"/>
  </si>
  <si>
    <t>#WK見積明細.PC区分</t>
    <phoneticPr fontId="2"/>
  </si>
  <si>
    <t>#WK見積明細.製品NO</t>
    <phoneticPr fontId="2"/>
  </si>
  <si>
    <t>#WK見積明細.仕様NO</t>
    <phoneticPr fontId="2"/>
  </si>
  <si>
    <t>#WK見積明細.漢字名称</t>
    <phoneticPr fontId="2"/>
  </si>
  <si>
    <t>#WK見積明細.W</t>
    <phoneticPr fontId="2"/>
  </si>
  <si>
    <t>#WK見積明細.D</t>
    <phoneticPr fontId="2"/>
  </si>
  <si>
    <t>#WK見積明細.H</t>
    <phoneticPr fontId="2"/>
  </si>
  <si>
    <t>#WK見積明細.D1</t>
    <phoneticPr fontId="2"/>
  </si>
  <si>
    <t>#WK見積明細.D2</t>
    <phoneticPr fontId="2"/>
  </si>
  <si>
    <t>#WK見積明細.H1</t>
    <phoneticPr fontId="2"/>
  </si>
  <si>
    <t>#WK見積明細.H2</t>
    <phoneticPr fontId="2"/>
  </si>
  <si>
    <t>#WK見積明細.数量</t>
    <phoneticPr fontId="2"/>
  </si>
  <si>
    <t>#WK見積明細.単位名</t>
    <phoneticPr fontId="2"/>
  </si>
  <si>
    <t>#WK見積明細.売上単価</t>
    <phoneticPr fontId="2"/>
  </si>
  <si>
    <t>#WK見積明細.売上金額</t>
    <phoneticPr fontId="2"/>
  </si>
  <si>
    <t>#WK見積明細.仕入先CD</t>
    <phoneticPr fontId="2"/>
  </si>
  <si>
    <t>#WK見積明細.仕入先略称</t>
    <phoneticPr fontId="2"/>
  </si>
  <si>
    <t>#WK見積明細.仕入単価</t>
    <phoneticPr fontId="2"/>
  </si>
  <si>
    <t>#WK見積明細.仕入金額</t>
    <phoneticPr fontId="2"/>
  </si>
  <si>
    <t>#WK見積明細.原価率</t>
    <phoneticPr fontId="2"/>
  </si>
  <si>
    <t>#WK見積明細.粗利益</t>
    <phoneticPr fontId="2"/>
  </si>
  <si>
    <t>#WK見積明細.配送先CD</t>
    <phoneticPr fontId="2"/>
  </si>
  <si>
    <t>#WK見積明細.配送先略称</t>
    <phoneticPr fontId="2"/>
  </si>
  <si>
    <t>#WK見積明細.社内在庫数</t>
    <phoneticPr fontId="2"/>
  </si>
  <si>
    <t>#WK見積明細.客先在庫数</t>
    <phoneticPr fontId="2"/>
  </si>
  <si>
    <t>#WK見積明細.転用数</t>
    <phoneticPr fontId="2"/>
  </si>
  <si>
    <t>#WK見積明細.発注数</t>
    <phoneticPr fontId="2"/>
  </si>
  <si>
    <t>#WK見積明細.製品区分</t>
    <phoneticPr fontId="2"/>
  </si>
  <si>
    <t>#WK見積明細.見積区分</t>
    <phoneticPr fontId="2"/>
  </si>
  <si>
    <t>FROM (</t>
    <phoneticPr fontId="2"/>
  </si>
  <si>
    <t>SQL23</t>
    <phoneticPr fontId="2"/>
  </si>
  <si>
    <t>SQL5</t>
    <phoneticPr fontId="2"/>
  </si>
  <si>
    <t>UNION ALL</t>
    <phoneticPr fontId="2"/>
  </si>
  <si>
    <t>SQL6</t>
    <phoneticPr fontId="2"/>
  </si>
  <si>
    <t>SQL10</t>
    <phoneticPr fontId="2"/>
  </si>
  <si>
    <t>SQL14</t>
    <phoneticPr fontId="2"/>
  </si>
  <si>
    <t>SQL15</t>
    <phoneticPr fontId="2"/>
  </si>
  <si>
    <t>SQL19</t>
    <phoneticPr fontId="2"/>
  </si>
  <si>
    <t>SQL23</t>
    <phoneticPr fontId="2"/>
  </si>
  <si>
    <t>) AS 見積明細</t>
    <rPh sb="5" eb="9">
      <t>ミツモリメイサイ</t>
    </rPh>
    <phoneticPr fontId="2"/>
  </si>
  <si>
    <t>見積区分での集計処理（1～9）</t>
    <phoneticPr fontId="2"/>
  </si>
  <si>
    <t>SELECT * INTO #WK見積明細集計</t>
    <phoneticPr fontId="2"/>
  </si>
  <si>
    <t>FROM  (</t>
    <phoneticPr fontId="2"/>
  </si>
  <si>
    <t>SQL24</t>
    <phoneticPr fontId="2"/>
  </si>
  <si>
    <t>) AS A</t>
    <phoneticPr fontId="2"/>
  </si>
  <si>
    <t>#WK見積明細集計.見積番号</t>
    <phoneticPr fontId="2"/>
  </si>
  <si>
    <t>#WK見積明細集計.仕分番号</t>
    <phoneticPr fontId="2"/>
  </si>
  <si>
    <t>#WK見積明細集計.仕分名称</t>
    <phoneticPr fontId="2"/>
  </si>
  <si>
    <t>#WK見積明細集計.行番号</t>
    <phoneticPr fontId="2"/>
  </si>
  <si>
    <t>#WK見積明細集計.SP区分</t>
    <phoneticPr fontId="2"/>
  </si>
  <si>
    <t>#WK見積明細集計.PC区分</t>
    <phoneticPr fontId="2"/>
  </si>
  <si>
    <t>#WK見積明細集計.製品NO</t>
    <phoneticPr fontId="2"/>
  </si>
  <si>
    <t>#WK見積明細集計.仕様NO</t>
    <phoneticPr fontId="2"/>
  </si>
  <si>
    <t>#WK見積明細集計.漢字名称</t>
    <phoneticPr fontId="2"/>
  </si>
  <si>
    <t>#WK見積明細集計.W</t>
    <phoneticPr fontId="2"/>
  </si>
  <si>
    <t>#WK見積明細集計.D</t>
    <phoneticPr fontId="2"/>
  </si>
  <si>
    <t>#WK見積明細集計.H</t>
    <phoneticPr fontId="2"/>
  </si>
  <si>
    <t>#WK見積明細集計.D1</t>
    <phoneticPr fontId="2"/>
  </si>
  <si>
    <t>#WK見積明細集計.D2</t>
    <phoneticPr fontId="2"/>
  </si>
  <si>
    <t>#WK見積明細集計.H1</t>
    <phoneticPr fontId="2"/>
  </si>
  <si>
    <t>#WK見積明細集計.H2</t>
    <phoneticPr fontId="2"/>
  </si>
  <si>
    <t>#WK見積明細集計.数量</t>
    <phoneticPr fontId="2"/>
  </si>
  <si>
    <t>#WK見積明細集計.単位名</t>
    <phoneticPr fontId="2"/>
  </si>
  <si>
    <t>#WK見積明細集計.売上単価</t>
    <phoneticPr fontId="2"/>
  </si>
  <si>
    <t>#WK見積明細集計.売上金額</t>
    <phoneticPr fontId="2"/>
  </si>
  <si>
    <t>#WK見積明細集計.仕入先CD</t>
    <phoneticPr fontId="2"/>
  </si>
  <si>
    <t>#WK見積明細集計.仕入先略称</t>
    <phoneticPr fontId="2"/>
  </si>
  <si>
    <t>#WK見積明細集計.仕入単価</t>
    <phoneticPr fontId="2"/>
  </si>
  <si>
    <t>#WK見積明細集計.仕入金額</t>
    <phoneticPr fontId="2"/>
  </si>
  <si>
    <t>#WK見積明細集計.原価率</t>
    <phoneticPr fontId="2"/>
  </si>
  <si>
    <t>#WK見積明細集計.粗利益</t>
    <phoneticPr fontId="2"/>
  </si>
  <si>
    <t>#WK見積明細集計.配送先CD</t>
    <phoneticPr fontId="2"/>
  </si>
  <si>
    <t>#WK見積明細集計.配送先略称</t>
    <phoneticPr fontId="2"/>
  </si>
  <si>
    <t>#WK見積明細集計.社内在庫数</t>
    <phoneticPr fontId="2"/>
  </si>
  <si>
    <t>#WK見積明細集計.客先在庫数</t>
    <phoneticPr fontId="2"/>
  </si>
  <si>
    <t>#WK見積明細集計.転用数</t>
    <phoneticPr fontId="2"/>
  </si>
  <si>
    <t>#WK見積明細集計.発注数</t>
    <phoneticPr fontId="2"/>
  </si>
  <si>
    <t>#WK見積明細集計.製品区分</t>
    <phoneticPr fontId="2"/>
  </si>
  <si>
    <t>#WK見積明細集計.見積区分</t>
    <phoneticPr fontId="2"/>
  </si>
  <si>
    <t>SQL24</t>
    <phoneticPr fontId="2"/>
  </si>
  <si>
    <t>SQL25</t>
    <phoneticPr fontId="2"/>
  </si>
  <si>
    <t>INNER JOIN (</t>
    <phoneticPr fontId="2"/>
  </si>
  <si>
    <t>SQL26</t>
    <phoneticPr fontId="2"/>
  </si>
  <si>
    <t>) AS B</t>
    <phoneticPr fontId="2"/>
  </si>
  <si>
    <t>ON A.見積番号 = B.見積番号</t>
    <phoneticPr fontId="2"/>
  </si>
  <si>
    <t>AND A.仕分番号 = B.仕分番号</t>
    <phoneticPr fontId="2"/>
  </si>
  <si>
    <t>AND A.見積区分 = B.見積区分</t>
    <phoneticPr fontId="2"/>
  </si>
  <si>
    <t>AND A.行番号 = B.行番号</t>
    <phoneticPr fontId="2"/>
  </si>
  <si>
    <t>SQL25</t>
    <phoneticPr fontId="2"/>
  </si>
  <si>
    <t>見積区分</t>
    <phoneticPr fontId="2"/>
  </si>
  <si>
    <t>売上金額</t>
    <rPh sb="0" eb="2">
      <t>ウリア</t>
    </rPh>
    <phoneticPr fontId="2"/>
  </si>
  <si>
    <t>FROM  [#WK見積明細]</t>
    <phoneticPr fontId="2"/>
  </si>
  <si>
    <t>WHERE NOT  見積区分 IN ('','A', 'C', 'S')</t>
    <phoneticPr fontId="2"/>
  </si>
  <si>
    <t>group by</t>
    <phoneticPr fontId="2"/>
  </si>
  <si>
    <t>GROUP BY 見積番号, 仕分番号, 見積区分</t>
    <phoneticPr fontId="2"/>
  </si>
  <si>
    <t>SQL26</t>
    <phoneticPr fontId="2"/>
  </si>
  <si>
    <t>' ' AS [仕入先CD]</t>
    <phoneticPr fontId="2"/>
  </si>
  <si>
    <t>' ' AS [仕入先略称]</t>
    <phoneticPr fontId="2"/>
  </si>
  <si>
    <t>' ' AS [配送先CD]</t>
    <phoneticPr fontId="2"/>
  </si>
  <si>
    <t>' ' AS [配送先略称]</t>
    <phoneticPr fontId="2"/>
  </si>
  <si>
    <t>FROM [#WK見積明細]</t>
    <phoneticPr fontId="2"/>
  </si>
  <si>
    <t>SQL25.見積番号</t>
  </si>
  <si>
    <t>SQL25.仕分番号</t>
  </si>
  <si>
    <t>SQL25.行番号</t>
  </si>
  <si>
    <t>SQL25.数量</t>
  </si>
  <si>
    <t>SQL25.売上金額 AS 売上単価</t>
    <phoneticPr fontId="2"/>
  </si>
  <si>
    <t>SQL25.売上金額</t>
  </si>
  <si>
    <t>SQL25.[仕入金額]</t>
  </si>
  <si>
    <t>SQL25.[見積区分]</t>
  </si>
  <si>
    <t>SQL25.[仕入金額] AS 仕入単価</t>
    <phoneticPr fontId="2"/>
  </si>
  <si>
    <t>SQL26.仕分名称</t>
  </si>
  <si>
    <t>SQL26.SP区分</t>
  </si>
  <si>
    <t>SQL26.PC区分</t>
  </si>
  <si>
    <t>SQL26.製品NO</t>
  </si>
  <si>
    <t>SQL26.仕様NO</t>
  </si>
  <si>
    <t>SQL26.漢字名称</t>
  </si>
  <si>
    <t>SQL26.W</t>
  </si>
  <si>
    <t>SQL26.D</t>
  </si>
  <si>
    <t>SQL26.H</t>
  </si>
  <si>
    <t>SQL26.D1</t>
  </si>
  <si>
    <t>SQL26.D2</t>
  </si>
  <si>
    <t>SQL26.H1</t>
  </si>
  <si>
    <t>SQL26.H2</t>
  </si>
  <si>
    <t>SQL26.単位名</t>
  </si>
  <si>
    <t>SQL26.[仕入先CD]</t>
  </si>
  <si>
    <t>SQL26.[仕入先略称]</t>
    <phoneticPr fontId="2"/>
  </si>
  <si>
    <t>SQL26.[原価率]</t>
    <phoneticPr fontId="2"/>
  </si>
  <si>
    <t>SQL26.[粗利益]</t>
    <phoneticPr fontId="2"/>
  </si>
  <si>
    <t>SQL26.[配送先CD]</t>
    <phoneticPr fontId="2"/>
  </si>
  <si>
    <t>SQL26.[配送先略称]</t>
    <phoneticPr fontId="2"/>
  </si>
  <si>
    <t>SQL26.[社内在庫数]</t>
    <phoneticPr fontId="2"/>
  </si>
  <si>
    <t>SQL26.[客先在庫数]</t>
    <phoneticPr fontId="2"/>
  </si>
  <si>
    <t>SQL26.[転用数]</t>
    <phoneticPr fontId="2"/>
  </si>
  <si>
    <t>SQL26.[発注数]</t>
    <phoneticPr fontId="2"/>
  </si>
  <si>
    <t>SQL26.[製品区分]</t>
    <phoneticPr fontId="2"/>
  </si>
  <si>
    <t>MIN(#WK見積明細.行番号) AS 行番号</t>
    <phoneticPr fontId="2"/>
  </si>
  <si>
    <t>1/*SUM(#WK見積明細.数量)*/ AS 数量</t>
    <phoneticPr fontId="2"/>
  </si>
  <si>
    <t>SUM(#WK見積明細.仕入金額) AS 仕入金額</t>
    <phoneticPr fontId="2"/>
  </si>
  <si>
    <t>SUM(#WK見積明細.売上金額) AS 売上金額</t>
    <phoneticPr fontId="2"/>
  </si>
  <si>
    <t>#WK見積明細.[見積番号]</t>
    <phoneticPr fontId="2"/>
  </si>
  <si>
    <t>#WK見積明細.[仕分番号]</t>
    <phoneticPr fontId="2"/>
  </si>
  <si>
    <t>#WK見積明細.[仕分名称]</t>
    <phoneticPr fontId="2"/>
  </si>
  <si>
    <t>#WK見積明細.[行番号]</t>
    <phoneticPr fontId="2"/>
  </si>
  <si>
    <t>#WK見積明細.[SP区分]</t>
    <phoneticPr fontId="2"/>
  </si>
  <si>
    <t>#WK見積明細.[PC区分]</t>
    <phoneticPr fontId="2"/>
  </si>
  <si>
    <t>#WK見積明細.[製品NO]</t>
    <phoneticPr fontId="2"/>
  </si>
  <si>
    <t>#WK見積明細.[仕様NO]</t>
    <phoneticPr fontId="2"/>
  </si>
  <si>
    <t>#WK見積明細.[漢字名称]</t>
    <phoneticPr fontId="2"/>
  </si>
  <si>
    <t>#WK見積明細.[W]</t>
    <phoneticPr fontId="2"/>
  </si>
  <si>
    <t>#WK見積明細.[D]</t>
    <phoneticPr fontId="2"/>
  </si>
  <si>
    <t>#WK見積明細.[H]</t>
    <phoneticPr fontId="2"/>
  </si>
  <si>
    <t>#WK見積明細.[D1]</t>
    <phoneticPr fontId="2"/>
  </si>
  <si>
    <t>#WK見積明細.[D2]</t>
    <phoneticPr fontId="2"/>
  </si>
  <si>
    <t>#WK見積明細.[H1]</t>
    <phoneticPr fontId="2"/>
  </si>
  <si>
    <t>#WK見積明細.[H2]</t>
    <phoneticPr fontId="2"/>
  </si>
  <si>
    <t>#WK見積明細.[単位名]</t>
    <phoneticPr fontId="2"/>
  </si>
  <si>
    <t>#WK見積明細.[原価率]</t>
    <phoneticPr fontId="2"/>
  </si>
  <si>
    <t>#WK見積明細.[粗利益]</t>
    <phoneticPr fontId="2"/>
  </si>
  <si>
    <t>#WK見積明細.[社内在庫数]</t>
    <phoneticPr fontId="2"/>
  </si>
  <si>
    <t>#WK見積明細.[客先在庫数]</t>
    <phoneticPr fontId="2"/>
  </si>
  <si>
    <t>#WK見積明細.[転用数]</t>
    <phoneticPr fontId="2"/>
  </si>
  <si>
    <t>#WK見積明細.[発注数]</t>
    <phoneticPr fontId="2"/>
  </si>
  <si>
    <t>#WK見積明細.[製品区分]</t>
    <phoneticPr fontId="2"/>
  </si>
  <si>
    <t>#WK見積明細.[見積区分]</t>
    <phoneticPr fontId="2"/>
  </si>
  <si>
    <t>SQL27</t>
    <phoneticPr fontId="2"/>
  </si>
  <si>
    <t>delete</t>
    <phoneticPr fontId="2"/>
  </si>
  <si>
    <t>見積明細からの集計（1～9）対象の削除</t>
    <phoneticPr fontId="2"/>
  </si>
  <si>
    <t>WHERE  見積区分 NOT IN ('','A', 'C', 'S')</t>
    <phoneticPr fontId="2"/>
  </si>
  <si>
    <t>FROM #WK見積明細</t>
    <phoneticPr fontId="2"/>
  </si>
  <si>
    <t>SQL28</t>
    <phoneticPr fontId="2"/>
  </si>
  <si>
    <t>INSERT INTO #WK見積明細 SELECT *</t>
  </si>
  <si>
    <t>見積明細へ集計（1～9）結果の追加</t>
    <phoneticPr fontId="2"/>
  </si>
  <si>
    <t>FROM #WK見積明細集計</t>
    <phoneticPr fontId="2"/>
  </si>
  <si>
    <t>insert</t>
    <phoneticPr fontId="2"/>
  </si>
  <si>
    <t>SQL29</t>
    <phoneticPr fontId="2"/>
  </si>
  <si>
    <t>見積ヘッダー部出力</t>
    <phoneticPr fontId="2"/>
  </si>
  <si>
    <t>SELECT MH.*, TT.担当者名</t>
    <phoneticPr fontId="2"/>
  </si>
  <si>
    <t>LEFT JOIN  TM担当者 AS TT ON MH.担当者CD = TT.担当者CD</t>
    <phoneticPr fontId="2"/>
  </si>
  <si>
    <t>見積番号 = 画面.見積番号</t>
    <rPh sb="7" eb="9">
      <t>ガメン</t>
    </rPh>
    <phoneticPr fontId="2"/>
  </si>
  <si>
    <t>見積日付</t>
    <rPh sb="0" eb="4">
      <t>ミツモリヒヅケ</t>
    </rPh>
    <phoneticPr fontId="2"/>
  </si>
  <si>
    <t>担当者CD</t>
    <rPh sb="0" eb="3">
      <t>タントウシャ</t>
    </rPh>
    <phoneticPr fontId="2"/>
  </si>
  <si>
    <t>見積件名</t>
    <rPh sb="0" eb="4">
      <t>ミツモリケンメイ</t>
    </rPh>
    <phoneticPr fontId="2"/>
  </si>
  <si>
    <t>得意先CD</t>
    <rPh sb="0" eb="3">
      <t>トクイサキ</t>
    </rPh>
    <phoneticPr fontId="2"/>
  </si>
  <si>
    <t>得意先名1</t>
    <rPh sb="0" eb="4">
      <t>トクイサキメイ</t>
    </rPh>
    <phoneticPr fontId="2"/>
  </si>
  <si>
    <t>得意先名2</t>
    <rPh sb="0" eb="4">
      <t>トクイサキメイ</t>
    </rPh>
    <phoneticPr fontId="2"/>
  </si>
  <si>
    <t>得TEL</t>
    <rPh sb="0" eb="1">
      <t>トク</t>
    </rPh>
    <phoneticPr fontId="2"/>
  </si>
  <si>
    <t>得FAX</t>
    <rPh sb="0" eb="1">
      <t>トク</t>
    </rPh>
    <phoneticPr fontId="2"/>
  </si>
  <si>
    <t>得意先担当者</t>
    <rPh sb="0" eb="3">
      <t>トクイサキ</t>
    </rPh>
    <rPh sb="3" eb="6">
      <t>タントウシャ</t>
    </rPh>
    <phoneticPr fontId="2"/>
  </si>
  <si>
    <t>納入得意先CD</t>
    <rPh sb="0" eb="2">
      <t>ノウニュウ</t>
    </rPh>
    <rPh sb="2" eb="5">
      <t>トクイサキ</t>
    </rPh>
    <phoneticPr fontId="2"/>
  </si>
  <si>
    <t>納入先CD</t>
    <rPh sb="0" eb="3">
      <t>ノウニュウサキ</t>
    </rPh>
    <phoneticPr fontId="2"/>
  </si>
  <si>
    <t>納入先名1</t>
    <rPh sb="0" eb="4">
      <t>ノウニュウサキメイ</t>
    </rPh>
    <phoneticPr fontId="2"/>
  </si>
  <si>
    <t>納入先名2</t>
    <rPh sb="0" eb="4">
      <t>ノウニュウサキメイ</t>
    </rPh>
    <phoneticPr fontId="2"/>
  </si>
  <si>
    <t>郵便番号</t>
    <rPh sb="0" eb="4">
      <t>ユウビンバンゴウ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</si>
  <si>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</si>
  <si>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</si>
  <si>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納TEL</t>
    <rPh sb="0" eb="1">
      <t>ノウ</t>
    </rPh>
    <phoneticPr fontId="2"/>
  </si>
  <si>
    <t>納FAX</t>
    <rPh sb="0" eb="1">
      <t>ノウ</t>
    </rPh>
    <phoneticPr fontId="2"/>
  </si>
  <si>
    <t>納入先担当者</t>
    <rPh sb="0" eb="6">
      <t>ノウニュウサキタントウシャ</t>
    </rPh>
    <phoneticPr fontId="2"/>
  </si>
  <si>
    <t>納期S</t>
    <rPh sb="0" eb="2">
      <t>ノウキ</t>
    </rPh>
    <phoneticPr fontId="2"/>
  </si>
  <si>
    <t>納期E</t>
    <rPh sb="0" eb="2">
      <t>ノウキ</t>
    </rPh>
    <phoneticPr fontId="2"/>
  </si>
  <si>
    <t>備考</t>
    <rPh sb="0" eb="2">
      <t>ビコウ</t>
    </rPh>
    <phoneticPr fontId="2"/>
  </si>
  <si>
    <t>物件規模金額</t>
    <rPh sb="0" eb="6">
      <t>ブッケンキボキンガク</t>
    </rPh>
    <phoneticPr fontId="2"/>
  </si>
  <si>
    <t>オープン日</t>
    <rPh sb="4" eb="5">
      <t>ビ</t>
    </rPh>
    <phoneticPr fontId="2"/>
  </si>
  <si>
    <t>物件種別</t>
    <rPh sb="0" eb="4">
      <t>ブッケンシュベツ</t>
    </rPh>
    <phoneticPr fontId="2"/>
  </si>
  <si>
    <t>現場名</t>
    <rPh sb="0" eb="3">
      <t>ゲンバメイ</t>
    </rPh>
    <phoneticPr fontId="2"/>
  </si>
  <si>
    <t>支払条件</t>
    <rPh sb="0" eb="4">
      <t>シハライジョウケン</t>
    </rPh>
    <phoneticPr fontId="2"/>
  </si>
  <si>
    <t>支払条件その他</t>
    <rPh sb="0" eb="4">
      <t>シハライジョウケン</t>
    </rPh>
    <rPh sb="6" eb="7">
      <t>タ</t>
    </rPh>
    <phoneticPr fontId="2"/>
  </si>
  <si>
    <t>納期表示</t>
    <rPh sb="0" eb="4">
      <t>ノウキヒョウジ</t>
    </rPh>
    <phoneticPr fontId="2"/>
  </si>
  <si>
    <t>納期その他</t>
    <rPh sb="0" eb="2">
      <t>ノウキ</t>
    </rPh>
    <rPh sb="4" eb="5">
      <t>タ</t>
    </rPh>
    <phoneticPr fontId="2"/>
  </si>
  <si>
    <t>見積日出力</t>
    <rPh sb="0" eb="5">
      <t>ミツモリビシュツリョク</t>
    </rPh>
    <phoneticPr fontId="2"/>
  </si>
  <si>
    <t>有効期限</t>
    <rPh sb="0" eb="4">
      <t>ユウコウキゲン</t>
    </rPh>
    <phoneticPr fontId="2"/>
  </si>
  <si>
    <t>受注区分</t>
    <rPh sb="0" eb="4">
      <t>ジュチュウクブン</t>
    </rPh>
    <phoneticPr fontId="2"/>
  </si>
  <si>
    <t>受注日付</t>
    <rPh sb="0" eb="4">
      <t>ジュチュウヒヅケ</t>
    </rPh>
    <phoneticPr fontId="2"/>
  </si>
  <si>
    <t>大小口区分</t>
    <rPh sb="0" eb="3">
      <t>ダイショウグチ</t>
    </rPh>
    <rPh sb="3" eb="5">
      <t>クブン</t>
    </rPh>
    <phoneticPr fontId="2"/>
  </si>
  <si>
    <t>出精値引</t>
    <rPh sb="0" eb="4">
      <t>シュッセイネビ</t>
    </rPh>
    <phoneticPr fontId="2"/>
  </si>
  <si>
    <t>合計金額</t>
    <rPh sb="0" eb="4">
      <t>ゴウケイキンガク</t>
    </rPh>
    <phoneticPr fontId="2"/>
  </si>
  <si>
    <t>原価合計</t>
    <phoneticPr fontId="2"/>
  </si>
  <si>
    <t>外税額</t>
    <rPh sb="0" eb="1">
      <t>ガイ</t>
    </rPh>
    <rPh sb="1" eb="3">
      <t>ゼイガク</t>
    </rPh>
    <phoneticPr fontId="2"/>
  </si>
  <si>
    <t>税集計区分</t>
    <rPh sb="0" eb="1">
      <t>ゼイ</t>
    </rPh>
    <rPh sb="1" eb="3">
      <t>シュウケイ</t>
    </rPh>
    <rPh sb="3" eb="5">
      <t>クブン</t>
    </rPh>
    <phoneticPr fontId="2"/>
  </si>
  <si>
    <t>売上端数</t>
    <rPh sb="0" eb="2">
      <t>ウリアゲ</t>
    </rPh>
    <rPh sb="2" eb="3">
      <t>ハシ</t>
    </rPh>
    <rPh sb="3" eb="4">
      <t>スウ</t>
    </rPh>
    <phoneticPr fontId="2"/>
  </si>
  <si>
    <t>消費税端数</t>
    <rPh sb="0" eb="5">
      <t>ショウヒゼイハスウ</t>
    </rPh>
    <phoneticPr fontId="2"/>
  </si>
  <si>
    <t>見積書出力日</t>
    <rPh sb="0" eb="6">
      <t>ミツモリショシュツリョクビ</t>
    </rPh>
    <phoneticPr fontId="2"/>
  </si>
  <si>
    <t>注文発行日</t>
    <rPh sb="0" eb="5">
      <t>チュウモンハッコウビ</t>
    </rPh>
    <phoneticPr fontId="2"/>
  </si>
  <si>
    <t>仕入日付</t>
    <rPh sb="0" eb="4">
      <t>シイレヒヅケ</t>
    </rPh>
    <phoneticPr fontId="2"/>
  </si>
  <si>
    <t>売上日付</t>
    <rPh sb="0" eb="2">
      <t>ウリア</t>
    </rPh>
    <rPh sb="2" eb="4">
      <t>ヒヅケ</t>
    </rPh>
    <phoneticPr fontId="2"/>
  </si>
  <si>
    <t>得意先別見積番号</t>
    <rPh sb="0" eb="3">
      <t>トクイサキ</t>
    </rPh>
    <rPh sb="3" eb="4">
      <t>ベツ</t>
    </rPh>
    <rPh sb="4" eb="8">
      <t>ミツモリバンゴウ</t>
    </rPh>
    <phoneticPr fontId="2"/>
  </si>
  <si>
    <t>初期登録日</t>
    <rPh sb="0" eb="5">
      <t>ショキトウロクビ</t>
    </rPh>
    <phoneticPr fontId="2"/>
  </si>
  <si>
    <t>登録変更日</t>
    <rPh sb="0" eb="5">
      <t>トウロクヘンコウビ</t>
    </rPh>
    <phoneticPr fontId="2"/>
  </si>
  <si>
    <t>見積区分</t>
    <phoneticPr fontId="2"/>
  </si>
  <si>
    <t>売上納期</t>
    <rPh sb="0" eb="4">
      <t>ウリアゲノウキ</t>
    </rPh>
    <phoneticPr fontId="2"/>
  </si>
  <si>
    <t>部署CD</t>
    <rPh sb="0" eb="2">
      <t>ブショ</t>
    </rPh>
    <phoneticPr fontId="2"/>
  </si>
  <si>
    <t>販売先得意先CD</t>
    <rPh sb="0" eb="6">
      <t>ハンバイサキトクイサキ</t>
    </rPh>
    <phoneticPr fontId="2"/>
  </si>
  <si>
    <t>販売先得意先名1</t>
    <rPh sb="0" eb="3">
      <t>ハンバイサキ</t>
    </rPh>
    <rPh sb="3" eb="7">
      <t>トクイサキメイ</t>
    </rPh>
    <phoneticPr fontId="2"/>
  </si>
  <si>
    <t>販売先得意先名2</t>
    <rPh sb="0" eb="3">
      <t>ハンバイサキ</t>
    </rPh>
    <rPh sb="3" eb="7">
      <t>トクイサキメイ</t>
    </rPh>
    <phoneticPr fontId="2"/>
  </si>
  <si>
    <t>販売先納得意先CD</t>
    <rPh sb="0" eb="3">
      <t>ハンバイサキ</t>
    </rPh>
    <rPh sb="3" eb="4">
      <t>ノウ</t>
    </rPh>
    <rPh sb="4" eb="7">
      <t>トクイサキ</t>
    </rPh>
    <phoneticPr fontId="2"/>
  </si>
  <si>
    <t>販売先納入先CD</t>
    <rPh sb="0" eb="6">
      <t>ハンバイサキノウニュウサキ</t>
    </rPh>
    <phoneticPr fontId="2"/>
  </si>
  <si>
    <t>販売先納入先名1</t>
    <rPh sb="0" eb="3">
      <t>ハンバイサキ</t>
    </rPh>
    <rPh sb="3" eb="6">
      <t>ノウニュウサキ</t>
    </rPh>
    <rPh sb="6" eb="7">
      <t>メイ</t>
    </rPh>
    <phoneticPr fontId="2"/>
  </si>
  <si>
    <t>販売先納入先名2</t>
    <rPh sb="0" eb="3">
      <t>ハンバイサキ</t>
    </rPh>
    <rPh sb="3" eb="6">
      <t>ノウニュウサキ</t>
    </rPh>
    <rPh sb="6" eb="7">
      <t>メイ</t>
    </rPh>
    <phoneticPr fontId="2"/>
  </si>
  <si>
    <t>社内伝票扱い</t>
    <rPh sb="0" eb="5">
      <t>シャナイデンピョウアツカ</t>
    </rPh>
    <phoneticPr fontId="2"/>
  </si>
  <si>
    <t>伝票種類</t>
    <rPh sb="0" eb="4">
      <t>デンヒョウシュルイ</t>
    </rPh>
    <phoneticPr fontId="2"/>
  </si>
  <si>
    <t>物件番号</t>
    <rPh sb="0" eb="4">
      <t>ブッケンバンゴウ</t>
    </rPh>
    <phoneticPr fontId="2"/>
  </si>
  <si>
    <t>ウエルシア物件内容CD</t>
    <rPh sb="5" eb="9">
      <t>ブッケンナイヨウ</t>
    </rPh>
    <phoneticPr fontId="2"/>
  </si>
  <si>
    <t>ウエルシア物件内容名</t>
    <rPh sb="5" eb="7">
      <t>ブッケン</t>
    </rPh>
    <rPh sb="7" eb="9">
      <t>ナイヨウ</t>
    </rPh>
    <rPh sb="9" eb="10">
      <t>メイ</t>
    </rPh>
    <phoneticPr fontId="2"/>
  </si>
  <si>
    <t>ウエルシアリース区分</t>
    <rPh sb="8" eb="10">
      <t>クブン</t>
    </rPh>
    <phoneticPr fontId="2"/>
  </si>
  <si>
    <t>ウエルシア物件区分CD</t>
    <rPh sb="5" eb="9">
      <t>ブッケンクブン</t>
    </rPh>
    <phoneticPr fontId="2"/>
  </si>
  <si>
    <t>ウエルシア売場面積</t>
    <rPh sb="5" eb="9">
      <t>ウリバメンセキ</t>
    </rPh>
    <phoneticPr fontId="2"/>
  </si>
  <si>
    <t>受付日付</t>
    <rPh sb="0" eb="2">
      <t>ウケツケ</t>
    </rPh>
    <rPh sb="2" eb="4">
      <t>ヒヅケ</t>
    </rPh>
    <phoneticPr fontId="2"/>
  </si>
  <si>
    <t>完工日付</t>
    <rPh sb="0" eb="4">
      <t>カンコウヒヅケ</t>
    </rPh>
    <phoneticPr fontId="2"/>
  </si>
  <si>
    <t>発注担当者名</t>
    <rPh sb="0" eb="6">
      <t>ハッチュウタントウシャメイ</t>
    </rPh>
    <phoneticPr fontId="2"/>
  </si>
  <si>
    <t>作業内容</t>
    <rPh sb="0" eb="4">
      <t>サギョウナイヨウ</t>
    </rPh>
    <phoneticPr fontId="2"/>
  </si>
  <si>
    <t>YKサプライ区分</t>
    <rPh sb="6" eb="8">
      <t>クブン</t>
    </rPh>
    <phoneticPr fontId="2"/>
  </si>
  <si>
    <t>YK物件区分</t>
    <rPh sb="2" eb="6">
      <t>ブッケンクブン</t>
    </rPh>
    <phoneticPr fontId="2"/>
  </si>
  <si>
    <t>YK請求区分</t>
    <rPh sb="2" eb="6">
      <t>セイキュウクブン</t>
    </rPh>
    <phoneticPr fontId="2"/>
  </si>
  <si>
    <t>化粧品メーカー区分</t>
    <rPh sb="0" eb="3">
      <t>ケショウヒン</t>
    </rPh>
    <rPh sb="7" eb="9">
      <t>クブン</t>
    </rPh>
    <phoneticPr fontId="2"/>
  </si>
  <si>
    <t>クレーム区分</t>
    <rPh sb="4" eb="6">
      <t>クブン</t>
    </rPh>
    <phoneticPr fontId="2"/>
  </si>
  <si>
    <t>営業推進部CD</t>
    <rPh sb="0" eb="5">
      <t>エイギョウスイシンブ</t>
    </rPh>
    <phoneticPr fontId="2"/>
  </si>
  <si>
    <t>集計CD</t>
    <rPh sb="0" eb="2">
      <t>シュウケイ</t>
    </rPh>
    <phoneticPr fontId="2"/>
  </si>
  <si>
    <t>工事担当CD</t>
    <rPh sb="0" eb="4">
      <t>コウジタントウ</t>
    </rPh>
    <phoneticPr fontId="2"/>
  </si>
  <si>
    <t>B請求管轄区分</t>
    <rPh sb="1" eb="3">
      <t>セイキュウ</t>
    </rPh>
    <rPh sb="3" eb="5">
      <t>カンカツ</t>
    </rPh>
    <rPh sb="5" eb="7">
      <t>クブン</t>
    </rPh>
    <phoneticPr fontId="2"/>
  </si>
  <si>
    <t>BtoB番号</t>
    <rPh sb="4" eb="6">
      <t>バンゴウ</t>
    </rPh>
    <phoneticPr fontId="2"/>
  </si>
  <si>
    <t>業種区分</t>
    <rPh sb="0" eb="4">
      <t>ギョウシュクブン</t>
    </rPh>
    <phoneticPr fontId="2"/>
  </si>
  <si>
    <t>統合見積番号</t>
    <rPh sb="0" eb="6">
      <t>トウゴウミツモリバンゴウ</t>
    </rPh>
    <phoneticPr fontId="2"/>
  </si>
  <si>
    <t>SM内容区分</t>
    <rPh sb="2" eb="6">
      <t>ナイヨウクブン</t>
    </rPh>
    <phoneticPr fontId="2"/>
  </si>
  <si>
    <t>TD見積.見積日付</t>
    <rPh sb="5" eb="9">
      <t>ミツモリヒヅケ</t>
    </rPh>
    <phoneticPr fontId="2"/>
  </si>
  <si>
    <t>TD見積.担当者CD</t>
    <rPh sb="5" eb="8">
      <t>タントウシャ</t>
    </rPh>
    <phoneticPr fontId="2"/>
  </si>
  <si>
    <t>TD見積.見積件名</t>
    <rPh sb="5" eb="9">
      <t>ミツモリケンメイ</t>
    </rPh>
    <phoneticPr fontId="2"/>
  </si>
  <si>
    <t>TD見積.得意先CD</t>
    <rPh sb="5" eb="8">
      <t>トクイサキ</t>
    </rPh>
    <phoneticPr fontId="2"/>
  </si>
  <si>
    <t>TD見積.得意先名1</t>
    <rPh sb="5" eb="9">
      <t>トクイサキメイ</t>
    </rPh>
    <phoneticPr fontId="2"/>
  </si>
  <si>
    <t>TD見積.得意先名2</t>
    <rPh sb="5" eb="9">
      <t>トクイサキメイ</t>
    </rPh>
    <phoneticPr fontId="2"/>
  </si>
  <si>
    <t>TD見積.得TEL</t>
    <rPh sb="5" eb="6">
      <t>トク</t>
    </rPh>
    <phoneticPr fontId="2"/>
  </si>
  <si>
    <t>TD見積.得FAX</t>
    <rPh sb="5" eb="6">
      <t>トク</t>
    </rPh>
    <phoneticPr fontId="2"/>
  </si>
  <si>
    <t>TD見積.得意先担当者</t>
    <rPh sb="5" eb="8">
      <t>トクイサキ</t>
    </rPh>
    <rPh sb="8" eb="11">
      <t>タントウシャ</t>
    </rPh>
    <phoneticPr fontId="2"/>
  </si>
  <si>
    <t>TD見積.納入得意先CD</t>
    <rPh sb="5" eb="7">
      <t>ノウニュウ</t>
    </rPh>
    <rPh sb="7" eb="10">
      <t>トクイサキ</t>
    </rPh>
    <phoneticPr fontId="2"/>
  </si>
  <si>
    <t>TD見積.納入先CD</t>
    <rPh sb="5" eb="8">
      <t>ノウニュウサキ</t>
    </rPh>
    <phoneticPr fontId="2"/>
  </si>
  <si>
    <t>TD見積.納入先名1</t>
    <rPh sb="5" eb="9">
      <t>ノウニュウサキメイ</t>
    </rPh>
    <phoneticPr fontId="2"/>
  </si>
  <si>
    <t>TD見積.納入先名2</t>
    <rPh sb="5" eb="9">
      <t>ノウニュウサキメイ</t>
    </rPh>
    <phoneticPr fontId="2"/>
  </si>
  <si>
    <t>TD見積.郵便番号</t>
    <rPh sb="5" eb="9">
      <t>ユウビンバンゴウ</t>
    </rPh>
    <phoneticPr fontId="2"/>
  </si>
  <si>
    <t>TD見積.住所1</t>
    <rPh sb="5" eb="7">
      <t>ジュウショ</t>
    </rPh>
    <phoneticPr fontId="2"/>
  </si>
  <si>
    <t>TD見積.住所2</t>
    <rPh sb="5" eb="7">
      <t>ジュウショ</t>
    </rPh>
    <phoneticPr fontId="2"/>
  </si>
  <si>
    <t>TD見積.納TEL</t>
    <rPh sb="5" eb="6">
      <t>ノウ</t>
    </rPh>
    <phoneticPr fontId="2"/>
  </si>
  <si>
    <t>TD見積.納FAX</t>
    <rPh sb="5" eb="6">
      <t>ノウ</t>
    </rPh>
    <phoneticPr fontId="2"/>
  </si>
  <si>
    <t>TD見積.納入先担当者</t>
    <rPh sb="5" eb="11">
      <t>ノウニュウサキタントウシャ</t>
    </rPh>
    <phoneticPr fontId="2"/>
  </si>
  <si>
    <t>TD見積.納期S</t>
    <rPh sb="5" eb="7">
      <t>ノウキ</t>
    </rPh>
    <phoneticPr fontId="2"/>
  </si>
  <si>
    <t>TD見積.納期E</t>
    <rPh sb="5" eb="7">
      <t>ノウキ</t>
    </rPh>
    <phoneticPr fontId="2"/>
  </si>
  <si>
    <t>TD見積.備考</t>
    <rPh sb="5" eb="7">
      <t>ビコウ</t>
    </rPh>
    <phoneticPr fontId="2"/>
  </si>
  <si>
    <t>TD見積.物件規模金額</t>
    <rPh sb="5" eb="11">
      <t>ブッケンキボキンガク</t>
    </rPh>
    <phoneticPr fontId="2"/>
  </si>
  <si>
    <t>TD見積.オープン日</t>
    <rPh sb="9" eb="10">
      <t>ビ</t>
    </rPh>
    <phoneticPr fontId="2"/>
  </si>
  <si>
    <t>TD見積.物件種別</t>
    <rPh sb="5" eb="9">
      <t>ブッケンシュベツ</t>
    </rPh>
    <phoneticPr fontId="2"/>
  </si>
  <si>
    <t>TD見積.現場名</t>
    <rPh sb="5" eb="8">
      <t>ゲンバメイ</t>
    </rPh>
    <phoneticPr fontId="2"/>
  </si>
  <si>
    <t>TD見積.支払条件</t>
    <rPh sb="5" eb="9">
      <t>シハライジョウケン</t>
    </rPh>
    <phoneticPr fontId="2"/>
  </si>
  <si>
    <t>TD見積.支払条件その他</t>
    <rPh sb="5" eb="9">
      <t>シハライジョウケン</t>
    </rPh>
    <rPh sb="11" eb="12">
      <t>タ</t>
    </rPh>
    <phoneticPr fontId="2"/>
  </si>
  <si>
    <t>TD見積.納期表示</t>
    <rPh sb="5" eb="9">
      <t>ノウキヒョウジ</t>
    </rPh>
    <phoneticPr fontId="2"/>
  </si>
  <si>
    <t>TD見積.納期その他</t>
    <rPh sb="5" eb="7">
      <t>ノウキ</t>
    </rPh>
    <rPh sb="9" eb="10">
      <t>タ</t>
    </rPh>
    <phoneticPr fontId="2"/>
  </si>
  <si>
    <t>TD見積.見積日出力</t>
    <rPh sb="5" eb="10">
      <t>ミツモリビシュツリョク</t>
    </rPh>
    <phoneticPr fontId="2"/>
  </si>
  <si>
    <t>TD見積.有効期限</t>
    <rPh sb="5" eb="9">
      <t>ユウコウキゲン</t>
    </rPh>
    <phoneticPr fontId="2"/>
  </si>
  <si>
    <t>TD見積.受注区分</t>
    <rPh sb="5" eb="9">
      <t>ジュチュウクブン</t>
    </rPh>
    <phoneticPr fontId="2"/>
  </si>
  <si>
    <t>TD見積.受注日付</t>
    <rPh sb="5" eb="9">
      <t>ジュチュウヒヅケ</t>
    </rPh>
    <phoneticPr fontId="2"/>
  </si>
  <si>
    <t>TD見積.大小口区分</t>
    <rPh sb="5" eb="8">
      <t>ダイショウグチ</t>
    </rPh>
    <rPh sb="8" eb="10">
      <t>クブン</t>
    </rPh>
    <phoneticPr fontId="2"/>
  </si>
  <si>
    <t>TD見積.出精値引</t>
    <rPh sb="5" eb="9">
      <t>シュッセイネビ</t>
    </rPh>
    <phoneticPr fontId="2"/>
  </si>
  <si>
    <t>TD見積.合計金額</t>
    <rPh sb="5" eb="9">
      <t>ゴウケイキンガク</t>
    </rPh>
    <phoneticPr fontId="2"/>
  </si>
  <si>
    <t>TD見積.原価合計</t>
    <phoneticPr fontId="2"/>
  </si>
  <si>
    <t>TD見積.外税額</t>
    <rPh sb="5" eb="6">
      <t>ガイ</t>
    </rPh>
    <rPh sb="6" eb="8">
      <t>ゼイガク</t>
    </rPh>
    <phoneticPr fontId="2"/>
  </si>
  <si>
    <t>TD見積.税集計区分</t>
    <rPh sb="5" eb="6">
      <t>ゼイ</t>
    </rPh>
    <rPh sb="6" eb="8">
      <t>シュウケイ</t>
    </rPh>
    <rPh sb="8" eb="10">
      <t>クブン</t>
    </rPh>
    <phoneticPr fontId="2"/>
  </si>
  <si>
    <t>TD見積.売上端数</t>
    <rPh sb="5" eb="7">
      <t>ウリアゲ</t>
    </rPh>
    <rPh sb="7" eb="8">
      <t>ハシ</t>
    </rPh>
    <rPh sb="8" eb="9">
      <t>スウ</t>
    </rPh>
    <phoneticPr fontId="2"/>
  </si>
  <si>
    <t>TD見積.消費税端数</t>
    <rPh sb="5" eb="10">
      <t>ショウヒゼイハスウ</t>
    </rPh>
    <phoneticPr fontId="2"/>
  </si>
  <si>
    <t>TD見積.見積書出力日</t>
    <rPh sb="5" eb="11">
      <t>ミツモリショシュツリョクビ</t>
    </rPh>
    <phoneticPr fontId="2"/>
  </si>
  <si>
    <t>TD見積.注文発行日</t>
    <rPh sb="5" eb="10">
      <t>チュウモンハッコウビ</t>
    </rPh>
    <phoneticPr fontId="2"/>
  </si>
  <si>
    <t>TD見積.仕入日付</t>
    <rPh sb="5" eb="9">
      <t>シイレヒヅケ</t>
    </rPh>
    <phoneticPr fontId="2"/>
  </si>
  <si>
    <t>TD見積.売上日付</t>
    <rPh sb="5" eb="7">
      <t>ウリア</t>
    </rPh>
    <rPh sb="7" eb="9">
      <t>ヒヅケ</t>
    </rPh>
    <phoneticPr fontId="2"/>
  </si>
  <si>
    <t>TD見積.得意先別見積番号</t>
    <rPh sb="5" eb="8">
      <t>トクイサキ</t>
    </rPh>
    <rPh sb="8" eb="9">
      <t>ベツ</t>
    </rPh>
    <rPh sb="9" eb="13">
      <t>ミツモリバンゴウ</t>
    </rPh>
    <phoneticPr fontId="2"/>
  </si>
  <si>
    <t>TD見積.初期登録日</t>
    <rPh sb="5" eb="10">
      <t>ショキトウロクビ</t>
    </rPh>
    <phoneticPr fontId="2"/>
  </si>
  <si>
    <t>TD見積.登録変更日</t>
    <rPh sb="5" eb="10">
      <t>トウロクヘンコウビ</t>
    </rPh>
    <phoneticPr fontId="2"/>
  </si>
  <si>
    <t>TD見積.見積区分</t>
    <phoneticPr fontId="2"/>
  </si>
  <si>
    <t>TD見積.売上納期</t>
    <rPh sb="5" eb="9">
      <t>ウリアゲノウキ</t>
    </rPh>
    <phoneticPr fontId="2"/>
  </si>
  <si>
    <t>TD見積.部署CD</t>
    <rPh sb="5" eb="7">
      <t>ブショ</t>
    </rPh>
    <phoneticPr fontId="2"/>
  </si>
  <si>
    <t>TD見積.販売先得意先CD</t>
    <rPh sb="5" eb="11">
      <t>ハンバイサキトクイサキ</t>
    </rPh>
    <phoneticPr fontId="2"/>
  </si>
  <si>
    <t>TD見積.販売先得意先名1</t>
    <rPh sb="5" eb="8">
      <t>ハンバイサキ</t>
    </rPh>
    <rPh sb="8" eb="12">
      <t>トクイサキメイ</t>
    </rPh>
    <phoneticPr fontId="2"/>
  </si>
  <si>
    <t>TD見積.販売先得意先名2</t>
    <rPh sb="5" eb="8">
      <t>ハンバイサキ</t>
    </rPh>
    <rPh sb="8" eb="12">
      <t>トクイサキメイ</t>
    </rPh>
    <phoneticPr fontId="2"/>
  </si>
  <si>
    <t>TD見積.販売先納得意先CD</t>
    <rPh sb="5" eb="8">
      <t>ハンバイサキ</t>
    </rPh>
    <rPh sb="8" eb="9">
      <t>ノウ</t>
    </rPh>
    <rPh sb="9" eb="12">
      <t>トクイサキ</t>
    </rPh>
    <phoneticPr fontId="2"/>
  </si>
  <si>
    <t>TD見積.販売先納入先CD</t>
    <rPh sb="5" eb="11">
      <t>ハンバイサキノウニュウサキ</t>
    </rPh>
    <phoneticPr fontId="2"/>
  </si>
  <si>
    <t>TD見積.販売先納入先名1</t>
    <rPh sb="5" eb="8">
      <t>ハンバイサキ</t>
    </rPh>
    <rPh sb="8" eb="11">
      <t>ノウニュウサキ</t>
    </rPh>
    <rPh sb="11" eb="12">
      <t>メイ</t>
    </rPh>
    <phoneticPr fontId="2"/>
  </si>
  <si>
    <t>TD見積.販売先納入先名2</t>
    <rPh sb="5" eb="8">
      <t>ハンバイサキ</t>
    </rPh>
    <rPh sb="8" eb="11">
      <t>ノウニュウサキ</t>
    </rPh>
    <rPh sb="11" eb="12">
      <t>メイ</t>
    </rPh>
    <phoneticPr fontId="2"/>
  </si>
  <si>
    <t>TD見積.社内伝票扱い</t>
    <rPh sb="5" eb="10">
      <t>シャナイデンピョウアツカ</t>
    </rPh>
    <phoneticPr fontId="2"/>
  </si>
  <si>
    <t>TD見積.伝票種類</t>
    <rPh sb="5" eb="9">
      <t>デンヒョウシュルイ</t>
    </rPh>
    <phoneticPr fontId="2"/>
  </si>
  <si>
    <t>TD見積.物件番号</t>
    <rPh sb="5" eb="9">
      <t>ブッケンバンゴウ</t>
    </rPh>
    <phoneticPr fontId="2"/>
  </si>
  <si>
    <t>TD見積.ウエルシア物件内容CD</t>
    <rPh sb="10" eb="14">
      <t>ブッケンナイヨウ</t>
    </rPh>
    <phoneticPr fontId="2"/>
  </si>
  <si>
    <t>TD見積.ウエルシア物件内容名</t>
    <rPh sb="10" eb="12">
      <t>ブッケン</t>
    </rPh>
    <rPh sb="12" eb="14">
      <t>ナイヨウ</t>
    </rPh>
    <rPh sb="14" eb="15">
      <t>メイ</t>
    </rPh>
    <phoneticPr fontId="2"/>
  </si>
  <si>
    <t>TD見積.ウエルシアリース区分</t>
    <rPh sb="13" eb="15">
      <t>クブン</t>
    </rPh>
    <phoneticPr fontId="2"/>
  </si>
  <si>
    <t>TD見積.ウエルシア物件区分CD</t>
    <rPh sb="10" eb="14">
      <t>ブッケンクブン</t>
    </rPh>
    <phoneticPr fontId="2"/>
  </si>
  <si>
    <t>TD見積.ウエルシア売場面積</t>
    <rPh sb="10" eb="14">
      <t>ウリバメンセキ</t>
    </rPh>
    <phoneticPr fontId="2"/>
  </si>
  <si>
    <t>TD見積.受付日付</t>
    <rPh sb="5" eb="7">
      <t>ウケツケ</t>
    </rPh>
    <rPh sb="7" eb="9">
      <t>ヒヅケ</t>
    </rPh>
    <phoneticPr fontId="2"/>
  </si>
  <si>
    <t>TD見積.完工日付</t>
    <rPh sb="5" eb="9">
      <t>カンコウヒヅケ</t>
    </rPh>
    <phoneticPr fontId="2"/>
  </si>
  <si>
    <t>TD見積.発注担当者名</t>
    <rPh sb="5" eb="11">
      <t>ハッチュウタントウシャメイ</t>
    </rPh>
    <phoneticPr fontId="2"/>
  </si>
  <si>
    <t>TD見積.作業内容</t>
    <rPh sb="5" eb="9">
      <t>サギョウナイヨウ</t>
    </rPh>
    <phoneticPr fontId="2"/>
  </si>
  <si>
    <t>TD見積.YKサプライ区分</t>
    <rPh sb="11" eb="13">
      <t>クブン</t>
    </rPh>
    <phoneticPr fontId="2"/>
  </si>
  <si>
    <t>TD見積.YK物件区分</t>
    <rPh sb="7" eb="11">
      <t>ブッケンクブン</t>
    </rPh>
    <phoneticPr fontId="2"/>
  </si>
  <si>
    <t>TD見積.YK請求区分</t>
    <rPh sb="7" eb="11">
      <t>セイキュウクブン</t>
    </rPh>
    <phoneticPr fontId="2"/>
  </si>
  <si>
    <t>TD見積.化粧品メーカー区分</t>
    <rPh sb="5" eb="8">
      <t>ケショウヒン</t>
    </rPh>
    <rPh sb="12" eb="14">
      <t>クブン</t>
    </rPh>
    <phoneticPr fontId="2"/>
  </si>
  <si>
    <t>TD見積.SM内容区分</t>
    <rPh sb="7" eb="11">
      <t>ナイヨウクブン</t>
    </rPh>
    <phoneticPr fontId="2"/>
  </si>
  <si>
    <t>TD見積.クレーム区分</t>
    <rPh sb="9" eb="11">
      <t>クブン</t>
    </rPh>
    <phoneticPr fontId="2"/>
  </si>
  <si>
    <t>TD見積.営業推進部CD</t>
    <rPh sb="5" eb="10">
      <t>エイギョウスイシンブ</t>
    </rPh>
    <phoneticPr fontId="2"/>
  </si>
  <si>
    <t>TD見積.集計CD</t>
    <rPh sb="5" eb="7">
      <t>シュウケイ</t>
    </rPh>
    <phoneticPr fontId="2"/>
  </si>
  <si>
    <t>TD見積.工事担当CD</t>
    <rPh sb="5" eb="9">
      <t>コウジタントウ</t>
    </rPh>
    <phoneticPr fontId="2"/>
  </si>
  <si>
    <t>TD見積.B請求管轄区分</t>
    <rPh sb="6" eb="8">
      <t>セイキュウ</t>
    </rPh>
    <rPh sb="8" eb="10">
      <t>カンカツ</t>
    </rPh>
    <rPh sb="10" eb="12">
      <t>クブン</t>
    </rPh>
    <phoneticPr fontId="2"/>
  </si>
  <si>
    <t>TD見積.BtoB番号</t>
    <rPh sb="9" eb="11">
      <t>バンゴウ</t>
    </rPh>
    <phoneticPr fontId="2"/>
  </si>
  <si>
    <t>TD見積.業種区分</t>
    <rPh sb="5" eb="9">
      <t>ギョウシュクブン</t>
    </rPh>
    <phoneticPr fontId="2"/>
  </si>
  <si>
    <t>TD見積.統合見積番号</t>
    <rPh sb="5" eb="11">
      <t>トウゴウミツモリバンゴウ</t>
    </rPh>
    <phoneticPr fontId="2"/>
  </si>
  <si>
    <t>担当者名</t>
    <rPh sb="0" eb="4">
      <t>タントウシャメイ</t>
    </rPh>
    <phoneticPr fontId="2"/>
  </si>
  <si>
    <t>TM担当者.担当者名</t>
    <phoneticPr fontId="2"/>
  </si>
  <si>
    <t>SQL30</t>
    <phoneticPr fontId="2"/>
  </si>
  <si>
    <t>#WK見積明細.仕分名称</t>
    <rPh sb="8" eb="12">
      <t>シワケメイショウ</t>
    </rPh>
    <phoneticPr fontId="2"/>
  </si>
  <si>
    <t>FROM  #WK見積明細</t>
    <phoneticPr fontId="2"/>
  </si>
  <si>
    <t>GROUP BY 見積番号, 仕分番号, 仕分名称</t>
    <phoneticPr fontId="2"/>
  </si>
  <si>
    <t>ORDER BY 仕分番号 の昇順でソート</t>
    <rPh sb="15" eb="17">
      <t>ショウジュン</t>
    </rPh>
    <phoneticPr fontId="2"/>
  </si>
  <si>
    <t>SQL31</t>
    <phoneticPr fontId="2"/>
  </si>
  <si>
    <t>見積明細部出力</t>
    <phoneticPr fontId="2"/>
  </si>
  <si>
    <t>SELECT MW.*, CN.仕分行数</t>
    <phoneticPr fontId="2"/>
  </si>
  <si>
    <t>仕分行数</t>
    <rPh sb="0" eb="2">
      <t>シワケ</t>
    </rPh>
    <rPh sb="2" eb="4">
      <t>ギョウスウ</t>
    </rPh>
    <phoneticPr fontId="2"/>
  </si>
  <si>
    <t>join</t>
    <phoneticPr fontId="2"/>
  </si>
  <si>
    <t>LEFT JOIN</t>
    <phoneticPr fontId="2"/>
  </si>
  <si>
    <t>(</t>
    <phoneticPr fontId="2"/>
  </si>
  <si>
    <t>SQL32</t>
    <phoneticPr fontId="2"/>
  </si>
  <si>
    <t>) AS CN</t>
    <phoneticPr fontId="2"/>
  </si>
  <si>
    <t>ON MW.見積番号 = CN.見積番号 AND MW.仕分番号 = CN.仕分番号 AND MW.仕分名称 = CN.仕分名称</t>
    <phoneticPr fontId="2"/>
  </si>
  <si>
    <t>ORDER BY MW.仕分番号, MW.行番号 の昇順でソート</t>
    <rPh sb="26" eb="28">
      <t>ショウジュン</t>
    </rPh>
    <phoneticPr fontId="2"/>
  </si>
  <si>
    <t>FROM #WK見積明細 AS MW</t>
    <phoneticPr fontId="2"/>
  </si>
  <si>
    <t>SQL32.仕分行数</t>
    <rPh sb="6" eb="10">
      <t>シワケギョウスウ</t>
    </rPh>
    <phoneticPr fontId="2"/>
  </si>
  <si>
    <t>SQL32</t>
    <phoneticPr fontId="2"/>
  </si>
  <si>
    <t>仕分行数</t>
    <phoneticPr fontId="2"/>
  </si>
  <si>
    <t>COUNT(#WK見積明細.行番号) AS 仕分行数</t>
    <phoneticPr fontId="2"/>
  </si>
  <si>
    <t>SQL33</t>
    <phoneticPr fontId="2"/>
  </si>
  <si>
    <t>update</t>
    <phoneticPr fontId="2"/>
  </si>
  <si>
    <t>UPDATE TD見積</t>
    <phoneticPr fontId="2"/>
  </si>
  <si>
    <t>出力日更新</t>
    <phoneticPr fontId="2"/>
  </si>
  <si>
    <t>TD見積</t>
    <rPh sb="2" eb="4">
      <t>ミツモリ</t>
    </rPh>
    <phoneticPr fontId="2"/>
  </si>
  <si>
    <t>set</t>
    <phoneticPr fontId="2"/>
  </si>
  <si>
    <t>SET 見積書出力日 = GETDATE()</t>
    <phoneticPr fontId="2"/>
  </si>
  <si>
    <t>WHERE 見積番号 = 画面.見積番号</t>
    <rPh sb="13" eb="15">
      <t>ガメン</t>
    </rPh>
    <phoneticPr fontId="2"/>
  </si>
  <si>
    <t>GETDATE()は現在日付</t>
    <rPh sb="9" eb="13">
      <t>ゲンザイヒヅケ</t>
    </rPh>
    <phoneticPr fontId="2"/>
  </si>
  <si>
    <t>[38.金額]</t>
    <rPh sb="4" eb="6">
      <t>キンガク</t>
    </rPh>
    <phoneticPr fontId="1"/>
  </si>
  <si>
    <t>[38.金額]の合計</t>
    <rPh sb="4" eb="6">
      <t>キンガク</t>
    </rPh>
    <rPh sb="8" eb="10">
      <t>ゴウケイ</t>
    </rPh>
    <phoneticPr fontId="1"/>
  </si>
  <si>
    <t>[33.数量_元]</t>
    <rPh sb="4" eb="6">
      <t>スウリョウ</t>
    </rPh>
    <rPh sb="7" eb="8">
      <t>モト</t>
    </rPh>
    <phoneticPr fontId="1"/>
  </si>
  <si>
    <t>[33.数量_元]が整数の場合は1の位まで表示、小数の場合は小数点第2位まで表示</t>
    <phoneticPr fontId="1"/>
  </si>
  <si>
    <t>[SQL29.見積番号]</t>
    <rPh sb="7" eb="11">
      <t>ミツモリバンゴウ</t>
    </rPh>
    <phoneticPr fontId="1"/>
  </si>
  <si>
    <t>[SQL29.見積日出力],[SQL29.見積日付]</t>
    <rPh sb="7" eb="12">
      <t>ミツモリビシュツリョク</t>
    </rPh>
    <rPh sb="21" eb="25">
      <t>ミツモリヒヅケ</t>
    </rPh>
    <phoneticPr fontId="1"/>
  </si>
  <si>
    <t>[SQL29.得意先名1],[SQL29.得意先名2]</t>
    <rPh sb="7" eb="10">
      <t>トクイサキ</t>
    </rPh>
    <rPh sb="10" eb="11">
      <t>メイ</t>
    </rPh>
    <rPh sb="21" eb="24">
      <t>トクイサキ</t>
    </rPh>
    <rPh sb="24" eb="25">
      <t>メイ</t>
    </rPh>
    <phoneticPr fontId="1"/>
  </si>
  <si>
    <t>[SQL29.得意先名1],[SQL29.得意先名2]</t>
    <phoneticPr fontId="1"/>
  </si>
  <si>
    <t>[SQL29.合計金額],[SQL29.出精値引]</t>
    <rPh sb="7" eb="11">
      <t>ゴウケイキンガク</t>
    </rPh>
    <rPh sb="20" eb="24">
      <t>シュッセイネビキ</t>
    </rPh>
    <phoneticPr fontId="1"/>
  </si>
  <si>
    <t>[SQL29.外税額]</t>
    <rPh sb="7" eb="10">
      <t>ガイゼイガク</t>
    </rPh>
    <phoneticPr fontId="1"/>
  </si>
  <si>
    <t>[SQL29.見積件名]</t>
    <rPh sb="7" eb="11">
      <t>ミツモリケンメイ</t>
    </rPh>
    <phoneticPr fontId="1"/>
  </si>
  <si>
    <t>[SQL29.納期表示],[SQL29.納期S],[SQL29.納期E],[SQL29.納期その他]</t>
    <rPh sb="7" eb="11">
      <t>ノウキヒョウジ</t>
    </rPh>
    <rPh sb="20" eb="22">
      <t>ノウキ</t>
    </rPh>
    <rPh sb="32" eb="34">
      <t>ノウキ</t>
    </rPh>
    <rPh sb="44" eb="46">
      <t>ノウキ</t>
    </rPh>
    <rPh sb="48" eb="49">
      <t>タ</t>
    </rPh>
    <phoneticPr fontId="1"/>
  </si>
  <si>
    <t>[SQL29.納入得意先CD],[SQL29.現場名],[SQL29.納入先CD]</t>
    <rPh sb="7" eb="12">
      <t>ノウニュウトクイサキ</t>
    </rPh>
    <rPh sb="23" eb="26">
      <t>ゲンバメイ</t>
    </rPh>
    <rPh sb="35" eb="38">
      <t>ノウニュウサキ</t>
    </rPh>
    <phoneticPr fontId="1"/>
  </si>
  <si>
    <t>[SQL29.納入得意先CD],[SQL29.納入先CD]</t>
    <rPh sb="7" eb="12">
      <t>ノウニュウトクイサキ</t>
    </rPh>
    <rPh sb="23" eb="26">
      <t>ノウニュウサキ</t>
    </rPh>
    <phoneticPr fontId="1"/>
  </si>
  <si>
    <t>[SQL29.支払条件],[SQL29.支払条件その他]</t>
    <rPh sb="7" eb="11">
      <t>シハライジョウケン</t>
    </rPh>
    <rPh sb="20" eb="24">
      <t>シハライジョウケン</t>
    </rPh>
    <rPh sb="26" eb="27">
      <t>タ</t>
    </rPh>
    <phoneticPr fontId="1"/>
  </si>
  <si>
    <t>[SQL29.有効期限]</t>
    <rPh sb="7" eb="9">
      <t>ユウコウ</t>
    </rPh>
    <rPh sb="9" eb="11">
      <t>キゲン</t>
    </rPh>
    <phoneticPr fontId="1"/>
  </si>
  <si>
    <t>[SQL29.備考]</t>
    <rPh sb="7" eb="9">
      <t>ビコウ</t>
    </rPh>
    <phoneticPr fontId="1"/>
  </si>
  <si>
    <t>[SQL29.ウエルシア売場面積]</t>
    <rPh sb="12" eb="16">
      <t>ウリバメンセキ</t>
    </rPh>
    <phoneticPr fontId="1"/>
  </si>
  <si>
    <t>[SQL31.仕分番号]</t>
    <rPh sb="7" eb="9">
      <t>シワケ</t>
    </rPh>
    <rPh sb="9" eb="11">
      <t>バンゴウ</t>
    </rPh>
    <phoneticPr fontId="1"/>
  </si>
  <si>
    <t>[SQL31.見積区分],[SQL31.行番号]</t>
    <rPh sb="7" eb="9">
      <t>ミツモリ</t>
    </rPh>
    <rPh sb="9" eb="11">
      <t>クブン</t>
    </rPh>
    <rPh sb="20" eb="23">
      <t>ギョウバンゴウ</t>
    </rPh>
    <phoneticPr fontId="1"/>
  </si>
  <si>
    <t>[SQL31.見積区分],[SQL31.漢字名称]</t>
    <rPh sb="7" eb="11">
      <t>ミツモリクブン</t>
    </rPh>
    <rPh sb="20" eb="24">
      <t>カンジメイショウ</t>
    </rPh>
    <phoneticPr fontId="1"/>
  </si>
  <si>
    <t>[SQL31.PC区分],[SQL31.製品NO]</t>
    <rPh sb="9" eb="11">
      <t>クブン</t>
    </rPh>
    <rPh sb="20" eb="22">
      <t>セイヒン</t>
    </rPh>
    <phoneticPr fontId="1"/>
  </si>
  <si>
    <t>[SQL31.仕様NO]</t>
    <rPh sb="7" eb="9">
      <t>シヨウ</t>
    </rPh>
    <phoneticPr fontId="1"/>
  </si>
  <si>
    <t>[SQL31.W]</t>
    <phoneticPr fontId="1"/>
  </si>
  <si>
    <t>[SQL31.D],[SQL31.D1],[SQL31.D2]</t>
    <phoneticPr fontId="1"/>
  </si>
  <si>
    <t>[SQL31.H],[SQL31.H1],[SQL31.H2]</t>
    <phoneticPr fontId="1"/>
  </si>
  <si>
    <t>[SQL31.数量]</t>
    <phoneticPr fontId="1"/>
  </si>
  <si>
    <t>[SQL31.単位名]</t>
    <rPh sb="7" eb="10">
      <t>タンイメイ</t>
    </rPh>
    <phoneticPr fontId="1"/>
  </si>
  <si>
    <t>[画面.書式区分],[SQL31.売上単価]</t>
    <rPh sb="1" eb="3">
      <t>ガメン</t>
    </rPh>
    <rPh sb="4" eb="6">
      <t>ショシキ</t>
    </rPh>
    <rPh sb="17" eb="21">
      <t>ウリアゲタンカ</t>
    </rPh>
    <phoneticPr fontId="1"/>
  </si>
  <si>
    <t>[36.単価_元]</t>
    <rPh sb="4" eb="6">
      <t>タンカ</t>
    </rPh>
    <rPh sb="7" eb="8">
      <t>モト</t>
    </rPh>
    <phoneticPr fontId="1"/>
  </si>
  <si>
    <t>[SQL31.売上端数],[SQL31.数量],[SQL31.売上単価][画面.書式区分],[SQL31.見積区分]</t>
    <rPh sb="37" eb="39">
      <t>ガメン</t>
    </rPh>
    <rPh sb="40" eb="42">
      <t>ショシキ</t>
    </rPh>
    <rPh sb="53" eb="57">
      <t>ミツモリクブン</t>
    </rPh>
    <phoneticPr fontId="1"/>
  </si>
  <si>
    <t>[[SQL31.仕分名称]</t>
    <rPh sb="8" eb="10">
      <t>シワケ</t>
    </rPh>
    <rPh sb="10" eb="12">
      <t>メイショウ</t>
    </rPh>
    <phoneticPr fontId="1"/>
  </si>
  <si>
    <t>"No." + [SQL29.見積番号]</t>
    <rPh sb="15" eb="19">
      <t>ミツモリバンゴウ</t>
    </rPh>
    <phoneticPr fontId="1"/>
  </si>
  <si>
    <t>[SQL29.見積日出力]が1の場合[SQL29.見積日付]を表示</t>
    <rPh sb="7" eb="10">
      <t>ミツモリビ</t>
    </rPh>
    <rPh sb="10" eb="12">
      <t>シュツリョク</t>
    </rPh>
    <rPh sb="16" eb="18">
      <t>バアイ</t>
    </rPh>
    <rPh sb="25" eb="29">
      <t>ミツモリヒヅケ</t>
    </rPh>
    <rPh sb="31" eb="33">
      <t>ヒョウジ</t>
    </rPh>
    <phoneticPr fontId="1"/>
  </si>
  <si>
    <t>[SQL29.得意先名2]が空の場合は何も表示しない、空でない場合は[SQL29.得意先名1]を表示。</t>
    <rPh sb="7" eb="10">
      <t>トクイサキ</t>
    </rPh>
    <rPh sb="10" eb="11">
      <t>メイ</t>
    </rPh>
    <rPh sb="14" eb="15">
      <t>カラ</t>
    </rPh>
    <rPh sb="16" eb="18">
      <t>バアイ</t>
    </rPh>
    <rPh sb="19" eb="20">
      <t>ナニ</t>
    </rPh>
    <rPh sb="21" eb="23">
      <t>ヒョウジ</t>
    </rPh>
    <rPh sb="27" eb="28">
      <t>カラ</t>
    </rPh>
    <rPh sb="31" eb="33">
      <t>バアイ</t>
    </rPh>
    <rPh sb="41" eb="44">
      <t>トクイサキ</t>
    </rPh>
    <rPh sb="44" eb="45">
      <t>メイ</t>
    </rPh>
    <rPh sb="48" eb="50">
      <t>ヒョウジ</t>
    </rPh>
    <phoneticPr fontId="1"/>
  </si>
  <si>
    <t>[SQL29.得意先名2]が空の場合は[SQL29.得意先名1]、空でない場合は[SQL29.得意先名2]を表示。</t>
    <rPh sb="7" eb="10">
      <t>トクイサキ</t>
    </rPh>
    <rPh sb="10" eb="11">
      <t>メイ</t>
    </rPh>
    <rPh sb="14" eb="15">
      <t>カラ</t>
    </rPh>
    <rPh sb="16" eb="18">
      <t>バアイ</t>
    </rPh>
    <rPh sb="26" eb="29">
      <t>トクイサキ</t>
    </rPh>
    <rPh sb="29" eb="30">
      <t>メイ</t>
    </rPh>
    <rPh sb="33" eb="34">
      <t>カラ</t>
    </rPh>
    <rPh sb="37" eb="39">
      <t>バアイ</t>
    </rPh>
    <phoneticPr fontId="1"/>
  </si>
  <si>
    <t>[SQL29.合計金額]と[SQL29.出精値引]の合計。</t>
    <rPh sb="26" eb="28">
      <t>ゴウケイ</t>
    </rPh>
    <phoneticPr fontId="1"/>
  </si>
  <si>
    <t>[SQL29.納期表示]が0のとき[SQL29.納期S]と[SQL29.納期E]がどちらもnullでない場合は[SQL29.納期S] + "～" + [SQL29.納期E]を表示、どちらか片方がnullでない場合はnullでないものを表示、どちらもnullの場合は何も表示しない。
[SQL29.納期表示]が1の場合は"別途御打ち合せによる"、2の場合は[SQL29.納期その他]を表示。</t>
    <rPh sb="7" eb="11">
      <t>ノウキヒョウジ</t>
    </rPh>
    <rPh sb="24" eb="26">
      <t>ノウキ</t>
    </rPh>
    <rPh sb="36" eb="38">
      <t>ノウキ</t>
    </rPh>
    <rPh sb="52" eb="54">
      <t>バアイ</t>
    </rPh>
    <rPh sb="62" eb="64">
      <t>ノウキ</t>
    </rPh>
    <rPh sb="82" eb="84">
      <t>ノウキ</t>
    </rPh>
    <rPh sb="87" eb="89">
      <t>ヒョウジ</t>
    </rPh>
    <rPh sb="94" eb="96">
      <t>カタホウ</t>
    </rPh>
    <rPh sb="104" eb="106">
      <t>バアイ</t>
    </rPh>
    <rPh sb="117" eb="119">
      <t>ヒョウジ</t>
    </rPh>
    <rPh sb="129" eb="131">
      <t>バアイ</t>
    </rPh>
    <rPh sb="132" eb="133">
      <t>ナニ</t>
    </rPh>
    <rPh sb="134" eb="136">
      <t>ヒョウジ</t>
    </rPh>
    <rPh sb="148" eb="152">
      <t>ノウキヒョウジ</t>
    </rPh>
    <rPh sb="156" eb="158">
      <t>バアイ</t>
    </rPh>
    <rPh sb="174" eb="176">
      <t>バアイ</t>
    </rPh>
    <rPh sb="184" eb="186">
      <t>ノウキ</t>
    </rPh>
    <rPh sb="188" eb="189">
      <t>タ</t>
    </rPh>
    <rPh sb="191" eb="193">
      <t>ヒョウジ</t>
    </rPh>
    <phoneticPr fontId="1"/>
  </si>
  <si>
    <t>[SQL29.納入得意先CD]が"2401","8001"の場合は[SQL29.現場名]に対して[SQL29.納入先CD]文字を""に置き換えた値、そうでない場合は[SQL29.現場名]を表示。</t>
    <rPh sb="7" eb="12">
      <t>ノウニュウトクイサキ</t>
    </rPh>
    <rPh sb="30" eb="32">
      <t>バアイ</t>
    </rPh>
    <rPh sb="79" eb="81">
      <t>バアイ</t>
    </rPh>
    <rPh sb="89" eb="92">
      <t>ゲンバメイ</t>
    </rPh>
    <rPh sb="94" eb="96">
      <t>ヒョウジ</t>
    </rPh>
    <phoneticPr fontId="1"/>
  </si>
  <si>
    <t>[SQL29.納入得意先CD]が"2401","8001"の場合は[SQL29.納入先CD]、そうでない場合は何も表示しない。</t>
    <rPh sb="7" eb="12">
      <t>ノウニュウトクイサキ</t>
    </rPh>
    <rPh sb="30" eb="32">
      <t>バアイ</t>
    </rPh>
    <rPh sb="40" eb="43">
      <t>ノウニュウサキ</t>
    </rPh>
    <rPh sb="52" eb="54">
      <t>バアイ</t>
    </rPh>
    <rPh sb="55" eb="56">
      <t>ナニ</t>
    </rPh>
    <rPh sb="57" eb="59">
      <t>ヒョウジ</t>
    </rPh>
    <phoneticPr fontId="1"/>
  </si>
  <si>
    <t>[SQL29.支払条件]が0の場合は"別途御打ち合せによる"、1の場合は[SQL29.支払条件その他]</t>
    <rPh sb="7" eb="11">
      <t>シハライジョウケン</t>
    </rPh>
    <rPh sb="15" eb="17">
      <t>バアイ</t>
    </rPh>
    <rPh sb="19" eb="21">
      <t>ベット</t>
    </rPh>
    <rPh sb="21" eb="23">
      <t>オウ</t>
    </rPh>
    <rPh sb="24" eb="25">
      <t>アワ</t>
    </rPh>
    <rPh sb="33" eb="35">
      <t>バアイ</t>
    </rPh>
    <rPh sb="43" eb="47">
      <t>シハライジョウケン</t>
    </rPh>
    <rPh sb="49" eb="50">
      <t>タ</t>
    </rPh>
    <phoneticPr fontId="1"/>
  </si>
  <si>
    <t>[SQL29.有効期限]が0でない場合は[SQL29.有効期限] + "日"で表示。</t>
    <rPh sb="7" eb="11">
      <t>ユウコウキゲン</t>
    </rPh>
    <rPh sb="17" eb="19">
      <t>バアイ</t>
    </rPh>
    <rPh sb="27" eb="31">
      <t>ユウコウキゲン</t>
    </rPh>
    <rPh sb="36" eb="37">
      <t>ヒ</t>
    </rPh>
    <rPh sb="39" eb="41">
      <t>ヒョウジ</t>
    </rPh>
    <phoneticPr fontId="1"/>
  </si>
  <si>
    <t>[SQL29.ウエルシア売場面積]が0でない場合は"売 場 面 積 ："を表示。</t>
    <rPh sb="12" eb="16">
      <t>ウリバメンセキ</t>
    </rPh>
    <rPh sb="22" eb="24">
      <t>バアイ</t>
    </rPh>
    <rPh sb="37" eb="39">
      <t>ヒョウジ</t>
    </rPh>
    <phoneticPr fontId="1"/>
  </si>
  <si>
    <t>[SQL29.ウエルシア売場面積]が0でない場合は[TD見積.ウエルシ売場面積]　+ "坪"を表示。</t>
    <rPh sb="12" eb="16">
      <t>ウリバメンセキ</t>
    </rPh>
    <rPh sb="22" eb="24">
      <t>バアイ</t>
    </rPh>
    <rPh sb="28" eb="30">
      <t>ミツモリ</t>
    </rPh>
    <rPh sb="35" eb="37">
      <t>ウリバ</t>
    </rPh>
    <rPh sb="37" eb="39">
      <t>メンセキ</t>
    </rPh>
    <rPh sb="44" eb="45">
      <t>ツボ</t>
    </rPh>
    <rPh sb="47" eb="49">
      <t>ヒョウジ</t>
    </rPh>
    <phoneticPr fontId="1"/>
  </si>
  <si>
    <t>[SQL31.仕分番号]のデータ型をVARCHAR(2)に変換し、"0"と結合した後に末尾2文字を取得する</t>
    <rPh sb="7" eb="9">
      <t>シワケ</t>
    </rPh>
    <rPh sb="9" eb="11">
      <t>バンゴウ</t>
    </rPh>
    <phoneticPr fontId="1"/>
  </si>
  <si>
    <t>[SQL31.見積区分]が"C"か"A"か"S"の場合は""、それ以外の場合は[TD見積シートM.行番号]を表示</t>
    <rPh sb="7" eb="11">
      <t>ミツモリクブン</t>
    </rPh>
    <phoneticPr fontId="1"/>
  </si>
  <si>
    <t>[SQL31.見積区分]が"C"か"A"か"S"の場合は半角スペース2つ + [SQL31.漢字名称]、それ以外の場合は[SQL31.漢字名称]のみ表示</t>
    <phoneticPr fontId="1"/>
  </si>
  <si>
    <t>[SQL31.PC区分] + [SQL31.製品NO]で表示</t>
    <phoneticPr fontId="1"/>
  </si>
  <si>
    <t>[SQL31.D]が0でない場合は[SQL31.D]を表示。
[SQL31.D]が0で[SQL31.D1]と[SQL31.D2]が0でない場合は[SQL31.D1] + "/" [SQL31.D2]を表示。すべて0の場合は何も表示しない。</t>
    <phoneticPr fontId="1"/>
  </si>
  <si>
    <t>[SQL31.H]が0でない場合は[SQL31.H]を表示。
[SQL31.H]が0で[SQL31.H1]と[SQL31.H2]が0でない場合は[SQL31.H1] + "/" [SQL31.H2]を表示。すべて0の場合は何も表示しない。</t>
    <phoneticPr fontId="1"/>
  </si>
  <si>
    <t>[画面.書式区分]が1以外の場合は[SQL31.売上単価]を表示、それ以外の場合は何も表示しない。</t>
    <rPh sb="1" eb="3">
      <t>ガメン</t>
    </rPh>
    <rPh sb="4" eb="6">
      <t>ショシキ</t>
    </rPh>
    <rPh sb="11" eb="13">
      <t>イガイ</t>
    </rPh>
    <rPh sb="14" eb="16">
      <t>バアイ</t>
    </rPh>
    <rPh sb="24" eb="26">
      <t>ウリアゲ</t>
    </rPh>
    <rPh sb="26" eb="28">
      <t>タンカ</t>
    </rPh>
    <rPh sb="30" eb="32">
      <t>ヒョウジ</t>
    </rPh>
    <rPh sb="35" eb="37">
      <t>イガイ</t>
    </rPh>
    <rPh sb="38" eb="40">
      <t>バアイ</t>
    </rPh>
    <rPh sb="41" eb="42">
      <t>ナニ</t>
    </rPh>
    <rPh sb="43" eb="45">
      <t>ヒョウジ</t>
    </rPh>
    <phoneticPr fontId="1"/>
  </si>
  <si>
    <t>[SQL31.数量]と[SQL31.売上単価]をかけ、[SQL31.売上端数]が0の場合は四捨五入、1の場合は切り上げ、2の場合は切り捨てを行ったものを[売上金額]とする。
[画面.書式区分]が1以外かつ[SQL31.見積区分]が"A","C","S"のいずれにも該当しない場合は[売上金額]を表示。
[画面.書式区分]が1以外かつ[SQL31.見積区分]が"A","C","S"のいずれかに該当する場合は[売上金額]が0であれば何も表示しない、0でなければ[売上金額]を表示。
上記以外の場合は何も表示しない。</t>
    <rPh sb="88" eb="90">
      <t>ガメン</t>
    </rPh>
    <rPh sb="91" eb="93">
      <t>ショシキ</t>
    </rPh>
    <rPh sb="98" eb="100">
      <t>イガイ</t>
    </rPh>
    <rPh sb="109" eb="113">
      <t>ミツモリクブン</t>
    </rPh>
    <rPh sb="152" eb="154">
      <t>ガメン</t>
    </rPh>
    <rPh sb="155" eb="157">
      <t>ショシキ</t>
    </rPh>
    <rPh sb="162" eb="164">
      <t>イガイ</t>
    </rPh>
    <rPh sb="173" eb="177">
      <t>ミツモリクブン</t>
    </rPh>
    <rPh sb="196" eb="198">
      <t>ガイトウ</t>
    </rPh>
    <rPh sb="200" eb="202">
      <t>バアイ</t>
    </rPh>
    <rPh sb="204" eb="208">
      <t>ウリアゲキンガク</t>
    </rPh>
    <rPh sb="215" eb="216">
      <t>ナニ</t>
    </rPh>
    <rPh sb="217" eb="219">
      <t>ヒョウジ</t>
    </rPh>
    <rPh sb="230" eb="234">
      <t>ウリアゲキンガク</t>
    </rPh>
    <rPh sb="236" eb="238">
      <t>ヒョウジ</t>
    </rPh>
    <rPh sb="240" eb="244">
      <t>ジョウキイガイ</t>
    </rPh>
    <rPh sb="245" eb="247">
      <t>バアイ</t>
    </rPh>
    <rPh sb="248" eb="249">
      <t>ナニ</t>
    </rPh>
    <rPh sb="250" eb="252">
      <t>ヒョウジ</t>
    </rPh>
    <phoneticPr fontId="1"/>
  </si>
  <si>
    <t>17行目でまだデータが存在する場合、"次ページへ"を表示、
データ最終行の場合は"【合　　計】"を表示、
最終行ではなくページの終わりの場合は"【" &amp; [SQL31.名称] &amp; "小計】"を表示。</t>
    <rPh sb="33" eb="36">
      <t>サイシュウギョウ</t>
    </rPh>
    <rPh sb="37" eb="39">
      <t>バアイ</t>
    </rPh>
    <rPh sb="49" eb="51">
      <t>ヒョウジ</t>
    </rPh>
    <phoneticPr fontId="1"/>
  </si>
  <si>
    <t>SQL34</t>
    <phoneticPr fontId="2"/>
  </si>
  <si>
    <t>SELECT *</t>
    <phoneticPr fontId="2"/>
  </si>
  <si>
    <t>FROM TM税率</t>
    <phoneticPr fontId="2"/>
  </si>
  <si>
    <t>WHERE 税率ID = 'ZR'</t>
    <phoneticPr fontId="2"/>
  </si>
  <si>
    <t>cZeiritsu.GetbyDate</t>
    <phoneticPr fontId="1"/>
  </si>
  <si>
    <t>税率ID</t>
    <rPh sb="0" eb="2">
      <t>ゼイリツ</t>
    </rPh>
    <phoneticPr fontId="2"/>
  </si>
  <si>
    <t>税率</t>
    <rPh sb="0" eb="2">
      <t>ゼイリツ</t>
    </rPh>
    <phoneticPr fontId="2"/>
  </si>
  <si>
    <t>切替日付</t>
    <rPh sb="0" eb="2">
      <t>キリカエ</t>
    </rPh>
    <rPh sb="2" eb="4">
      <t>ヒヅケ</t>
    </rPh>
    <phoneticPr fontId="2"/>
  </si>
  <si>
    <t>旧税率</t>
    <rPh sb="0" eb="3">
      <t>キュウゼイリツ</t>
    </rPh>
    <phoneticPr fontId="2"/>
  </si>
  <si>
    <t>TM税率.税率ID</t>
    <rPh sb="5" eb="7">
      <t>ゼイリツ</t>
    </rPh>
    <phoneticPr fontId="2"/>
  </si>
  <si>
    <t>TM税率.税率</t>
    <rPh sb="5" eb="7">
      <t>ゼイリツ</t>
    </rPh>
    <phoneticPr fontId="2"/>
  </si>
  <si>
    <t>TM税率.切替日付</t>
    <rPh sb="5" eb="7">
      <t>キリカエ</t>
    </rPh>
    <rPh sb="7" eb="9">
      <t>ヒヅケ</t>
    </rPh>
    <phoneticPr fontId="2"/>
  </si>
  <si>
    <t>TM税率.旧税率</t>
    <rPh sb="5" eb="8">
      <t>キュウゼイリツ</t>
    </rPh>
    <phoneticPr fontId="2"/>
  </si>
  <si>
    <t>TM税率.初期登録日</t>
    <rPh sb="5" eb="10">
      <t>ショキトウロクビ</t>
    </rPh>
    <phoneticPr fontId="2"/>
  </si>
  <si>
    <t>TM税率.登録変更日</t>
    <rPh sb="5" eb="10">
      <t>トウロクヘンコウビ</t>
    </rPh>
    <phoneticPr fontId="2"/>
  </si>
  <si>
    <t>[SQL29.見積日付],[SQL34.切替日付],[SQL34.税率],[SQL34.旧税率]</t>
    <phoneticPr fontId="1"/>
  </si>
  <si>
    <t>[SQL29.見積日付] &gt;= [SQL34.切替日付]の場合は[SQL34.税率]、
[SQL29.見積日付] &lt; [SQL34.切替日付]の場合は[SQL34.旧税率]を[税率]とする。
"消費税等(" + [税率] + "%)"で表示。</t>
    <rPh sb="97" eb="101">
      <t>ショウヒゼイトウ</t>
    </rPh>
    <rPh sb="107" eb="109">
      <t>ゼイリツ</t>
    </rPh>
    <rPh sb="118" eb="120">
      <t>ヒョウジ</t>
    </rPh>
    <phoneticPr fontId="1"/>
  </si>
  <si>
    <t>SQL35</t>
    <phoneticPr fontId="2"/>
  </si>
  <si>
    <t>担当者ID</t>
    <rPh sb="0" eb="3">
      <t>タントウシャ</t>
    </rPh>
    <phoneticPr fontId="2"/>
  </si>
  <si>
    <t>順序</t>
    <rPh sb="0" eb="2">
      <t>ジュンジョ</t>
    </rPh>
    <phoneticPr fontId="2"/>
  </si>
  <si>
    <t>メールアドレス</t>
    <phoneticPr fontId="2"/>
  </si>
  <si>
    <t>問い合わせ先</t>
    <rPh sb="0" eb="1">
      <t>ト</t>
    </rPh>
    <rPh sb="2" eb="3">
      <t>ア</t>
    </rPh>
    <rPh sb="5" eb="6">
      <t>サキ</t>
    </rPh>
    <phoneticPr fontId="2"/>
  </si>
  <si>
    <t>FROM TM担当者</t>
    <phoneticPr fontId="2"/>
  </si>
  <si>
    <t>WHERE 担当者CD = 画面.担当者CD</t>
    <rPh sb="14" eb="16">
      <t>ガメン</t>
    </rPh>
    <rPh sb="17" eb="20">
      <t>タントウシャ</t>
    </rPh>
    <phoneticPr fontId="2"/>
  </si>
  <si>
    <t>TM担当者.担当者ID</t>
    <rPh sb="6" eb="9">
      <t>タントウシャ</t>
    </rPh>
    <phoneticPr fontId="2"/>
  </si>
  <si>
    <t>TM担当者.担当者名</t>
    <rPh sb="6" eb="10">
      <t>タントウシャメイ</t>
    </rPh>
    <phoneticPr fontId="2"/>
  </si>
  <si>
    <t>TM担当者.初期登録日</t>
    <rPh sb="6" eb="11">
      <t>ショキトウロクビ</t>
    </rPh>
    <phoneticPr fontId="2"/>
  </si>
  <si>
    <t>TM担当者.登録変更日</t>
    <rPh sb="6" eb="11">
      <t>トウロクヘンコウビ</t>
    </rPh>
    <phoneticPr fontId="2"/>
  </si>
  <si>
    <t>TM担当者.順序</t>
    <rPh sb="6" eb="8">
      <t>ジュンジョ</t>
    </rPh>
    <phoneticPr fontId="2"/>
  </si>
  <si>
    <t>TM担当者.部署CD</t>
    <rPh sb="6" eb="8">
      <t>ブショ</t>
    </rPh>
    <phoneticPr fontId="2"/>
  </si>
  <si>
    <t>TM担当者.メールアドレス</t>
    <phoneticPr fontId="2"/>
  </si>
  <si>
    <t>TM担当者.問い合わせ先</t>
    <rPh sb="6" eb="7">
      <t>ト</t>
    </rPh>
    <rPh sb="8" eb="9">
      <t>ア</t>
    </rPh>
    <rPh sb="11" eb="12">
      <t>サキ</t>
    </rPh>
    <phoneticPr fontId="2"/>
  </si>
  <si>
    <t>[SQL35.問い合わせ先]</t>
    <rPh sb="7" eb="8">
      <t>ト</t>
    </rPh>
    <rPh sb="9" eb="10">
      <t>ア</t>
    </rPh>
    <rPh sb="12" eb="13">
      <t>サキ</t>
    </rPh>
    <phoneticPr fontId="1"/>
  </si>
  <si>
    <t>WHERE 見積番号 =  画面.見積番号</t>
    <rPh sb="14" eb="16">
      <t>ガメン</t>
    </rPh>
    <rPh sb="17" eb="21">
      <t>ミツモリバンゴウ</t>
    </rPh>
    <phoneticPr fontId="2"/>
  </si>
  <si>
    <t>[TM会社.郵便番号]</t>
    <rPh sb="3" eb="5">
      <t>カイシャ</t>
    </rPh>
    <rPh sb="6" eb="10">
      <t>ユウビンバンゴウ</t>
    </rPh>
    <phoneticPr fontId="1"/>
  </si>
  <si>
    <t>[TM会社.住所1]</t>
    <rPh sb="3" eb="5">
      <t>カイシャ</t>
    </rPh>
    <rPh sb="6" eb="8">
      <t>ジュウショ</t>
    </rPh>
    <phoneticPr fontId="1"/>
  </si>
  <si>
    <t>[TM会社.電話番号]</t>
    <rPh sb="3" eb="5">
      <t>カイシャ</t>
    </rPh>
    <rPh sb="6" eb="8">
      <t>デンワ</t>
    </rPh>
    <rPh sb="8" eb="10">
      <t>バンゴウ</t>
    </rPh>
    <phoneticPr fontId="1"/>
  </si>
  <si>
    <t>[TM会社.FAX番号]</t>
    <rPh sb="3" eb="5">
      <t>カイシャ</t>
    </rPh>
    <rPh sb="9" eb="11">
      <t>バンゴウ</t>
    </rPh>
    <phoneticPr fontId="1"/>
  </si>
  <si>
    <t>コールセンター</t>
    <phoneticPr fontId="1"/>
  </si>
  <si>
    <t>問い合わせ先</t>
    <rPh sb="0" eb="1">
      <t>ト</t>
    </rPh>
    <rPh sb="2" eb="3">
      <t>ア</t>
    </rPh>
    <rPh sb="5" eb="6">
      <t>サキ</t>
    </rPh>
    <phoneticPr fontId="1"/>
  </si>
  <si>
    <t>[TM会社.コールセンター番号]</t>
    <phoneticPr fontId="1"/>
  </si>
  <si>
    <t>A4横</t>
    <rPh sb="2" eb="3">
      <t>ヨコ</t>
    </rPh>
    <phoneticPr fontId="2"/>
  </si>
  <si>
    <t>システム分類</t>
    <phoneticPr fontId="2"/>
  </si>
  <si>
    <t>受発注</t>
    <phoneticPr fontId="2"/>
  </si>
  <si>
    <t>受発注システム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</si>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</sst>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 "/>
    <numFmt numFmtId="177" formatCode="&quot;¥&quot;#,##0\-;&quot;¥&quot;\-#,##0\-"/>
    <numFmt numFmtId="178" formatCode="#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6"/>
      <name val="ＭＳ ゴシック"/>
      <family val="3"/>
      <charset val="128"/>
    </font>
    <font>
      <sz val="11"/>
      <name val="ＭＳ 明朝"/>
      <family val="1"/>
      <charset val="128"/>
    </font>
    <font>
      <sz val="12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9"/>
      <name val="ＭＳ ゴシック"/>
      <family val="3"/>
      <charset val="128"/>
    </font>
    <font>
      <sz val="9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25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49" fontId="9" fillId="0" borderId="41" xfId="1" applyNumberFormat="1" applyFont="1" applyBorder="1" applyAlignment="1"/>
    <xf numFmtId="49" fontId="10" fillId="0" borderId="41" xfId="1" applyNumberFormat="1" applyFont="1" applyBorder="1" applyAlignment="1">
      <alignment horizontal="centerContinuous"/>
    </xf>
    <xf numFmtId="0" fontId="10" fillId="0" borderId="41" xfId="1" applyFont="1" applyBorder="1" applyAlignment="1">
      <alignment horizontal="centerContinuous"/>
    </xf>
    <xf numFmtId="0" fontId="11" fillId="0" borderId="41" xfId="1" applyFont="1" applyBorder="1" applyAlignment="1"/>
    <xf numFmtId="31" fontId="9" fillId="0" borderId="41" xfId="1" applyNumberFormat="1" applyFont="1" applyBorder="1" applyAlignment="1">
      <alignment horizontal="right"/>
    </xf>
    <xf numFmtId="0" fontId="10" fillId="0" borderId="0" xfId="1" applyFont="1"/>
    <xf numFmtId="0" fontId="10" fillId="0" borderId="0" xfId="1" applyFont="1" applyBorder="1"/>
    <xf numFmtId="0" fontId="13" fillId="0" borderId="0" xfId="1" applyFont="1" applyAlignment="1"/>
    <xf numFmtId="0" fontId="14" fillId="0" borderId="0" xfId="1" applyFont="1" applyBorder="1" applyAlignment="1">
      <alignment horizontal="left"/>
    </xf>
    <xf numFmtId="0" fontId="15" fillId="0" borderId="0" xfId="1" applyFont="1"/>
    <xf numFmtId="0" fontId="9" fillId="0" borderId="0" xfId="1" applyFont="1"/>
    <xf numFmtId="0" fontId="12" fillId="0" borderId="41" xfId="1" applyFont="1" applyBorder="1"/>
    <xf numFmtId="0" fontId="14" fillId="0" borderId="41" xfId="1" applyFont="1" applyBorder="1"/>
    <xf numFmtId="0" fontId="10" fillId="0" borderId="41" xfId="1" applyFont="1" applyBorder="1"/>
    <xf numFmtId="0" fontId="12" fillId="0" borderId="0" xfId="1" applyFont="1"/>
    <xf numFmtId="0" fontId="12" fillId="0" borderId="6" xfId="1" applyFont="1" applyBorder="1"/>
    <xf numFmtId="0" fontId="14" fillId="0" borderId="6" xfId="1" applyFont="1" applyBorder="1"/>
    <xf numFmtId="0" fontId="10" fillId="0" borderId="6" xfId="1" applyFont="1" applyBorder="1"/>
    <xf numFmtId="0" fontId="10" fillId="0" borderId="0" xfId="1" applyFont="1" applyAlignment="1">
      <alignment vertical="top"/>
    </xf>
    <xf numFmtId="0" fontId="10" fillId="0" borderId="0" xfId="1" applyFont="1" applyAlignment="1">
      <alignment horizontal="right"/>
    </xf>
    <xf numFmtId="0" fontId="10" fillId="0" borderId="6" xfId="1" applyFont="1" applyBorder="1" applyAlignment="1">
      <alignment shrinkToFit="1"/>
    </xf>
    <xf numFmtId="0" fontId="17" fillId="0" borderId="0" xfId="1" applyFont="1"/>
    <xf numFmtId="0" fontId="10" fillId="0" borderId="41" xfId="1" applyFont="1" applyBorder="1" applyAlignment="1">
      <alignment shrinkToFit="1"/>
    </xf>
    <xf numFmtId="0" fontId="18" fillId="0" borderId="0" xfId="1" applyFont="1"/>
    <xf numFmtId="0" fontId="9" fillId="6" borderId="1" xfId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1" xfId="1" applyFont="1" applyBorder="1"/>
    <xf numFmtId="49" fontId="9" fillId="0" borderId="1" xfId="1" applyNumberFormat="1" applyFont="1" applyBorder="1"/>
    <xf numFmtId="178" fontId="9" fillId="0" borderId="1" xfId="1" applyNumberFormat="1" applyFont="1" applyBorder="1"/>
    <xf numFmtId="49" fontId="9" fillId="0" borderId="1" xfId="1" applyNumberFormat="1" applyFont="1" applyBorder="1" applyAlignment="1">
      <alignment horizontal="right"/>
    </xf>
    <xf numFmtId="0" fontId="9" fillId="0" borderId="1" xfId="1" applyNumberFormat="1" applyFont="1" applyBorder="1" applyAlignment="1">
      <alignment horizontal="right"/>
    </xf>
    <xf numFmtId="38" fontId="9" fillId="0" borderId="1" xfId="1" applyNumberFormat="1" applyFont="1" applyBorder="1"/>
    <xf numFmtId="0" fontId="10" fillId="0" borderId="0" xfId="1" applyFont="1" applyFill="1"/>
    <xf numFmtId="0" fontId="9" fillId="0" borderId="1" xfId="1" applyFont="1" applyFill="1" applyBorder="1" applyAlignment="1">
      <alignment horizontal="center" vertical="center"/>
    </xf>
    <xf numFmtId="0" fontId="9" fillId="0" borderId="1" xfId="1" applyFont="1" applyFill="1" applyBorder="1"/>
    <xf numFmtId="0" fontId="10" fillId="0" borderId="41" xfId="1" applyFont="1" applyFill="1" applyBorder="1" applyAlignment="1">
      <alignment horizontal="centerContinuous"/>
    </xf>
    <xf numFmtId="0" fontId="10" fillId="0" borderId="0" xfId="1" applyFont="1" applyFill="1" applyAlignment="1">
      <alignment vertical="top"/>
    </xf>
    <xf numFmtId="178" fontId="9" fillId="0" borderId="1" xfId="1" applyNumberFormat="1" applyFont="1" applyFill="1" applyBorder="1"/>
    <xf numFmtId="0" fontId="3" fillId="5" borderId="17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2" borderId="56" xfId="0" applyFont="1" applyFill="1" applyBorder="1" applyAlignment="1">
      <alignment horizontal="left"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46" xfId="0" applyFont="1" applyFill="1" applyBorder="1">
      <alignment vertical="center"/>
    </xf>
    <xf numFmtId="0" fontId="3" fillId="2" borderId="59" xfId="0" quotePrefix="1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 applyAlignment="1">
      <alignment horizontal="left"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63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44" xfId="0" quotePrefix="1" applyFont="1" applyFill="1" applyBorder="1">
      <alignment vertical="center"/>
    </xf>
    <xf numFmtId="0" fontId="3" fillId="2" borderId="41" xfId="0" quotePrefix="1" applyFont="1" applyFill="1" applyBorder="1">
      <alignment vertical="center"/>
    </xf>
    <xf numFmtId="0" fontId="3" fillId="2" borderId="63" xfId="0" applyFont="1" applyFill="1" applyBorder="1" applyAlignment="1">
      <alignment vertical="center"/>
    </xf>
    <xf numFmtId="0" fontId="3" fillId="2" borderId="57" xfId="0" quotePrefix="1" applyFont="1" applyFill="1" applyBorder="1">
      <alignment vertical="center"/>
    </xf>
    <xf numFmtId="0" fontId="20" fillId="2" borderId="2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14" fontId="3" fillId="2" borderId="2" xfId="0" applyNumberFormat="1" applyFont="1" applyFill="1" applyBorder="1" applyAlignment="1">
      <alignment horizontal="center" vertical="center" shrinkToFit="1"/>
    </xf>
    <xf numFmtId="14" fontId="3" fillId="2" borderId="3" xfId="0" applyNumberFormat="1" applyFont="1" applyFill="1" applyBorder="1" applyAlignment="1">
      <alignment horizontal="center" vertical="center" shrinkToFit="1"/>
    </xf>
    <xf numFmtId="14" fontId="3" fillId="2" borderId="4" xfId="0" applyNumberFormat="1" applyFont="1" applyFill="1" applyBorder="1" applyAlignment="1">
      <alignment horizontal="center" vertical="center" shrinkToFit="1"/>
    </xf>
    <xf numFmtId="14" fontId="3" fillId="2" borderId="25" xfId="0" applyNumberFormat="1" applyFont="1" applyFill="1" applyBorder="1" applyAlignment="1">
      <alignment horizontal="center" vertical="center" shrinkToFit="1"/>
    </xf>
    <xf numFmtId="14" fontId="3" fillId="2" borderId="14" xfId="0" applyNumberFormat="1" applyFont="1" applyFill="1" applyBorder="1" applyAlignment="1">
      <alignment horizontal="center" vertical="center" shrinkToFit="1"/>
    </xf>
    <xf numFmtId="14" fontId="3" fillId="2" borderId="26" xfId="0" applyNumberFormat="1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14" fontId="3" fillId="2" borderId="51" xfId="0" applyNumberFormat="1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3" borderId="47" xfId="0" applyFont="1" applyFill="1" applyBorder="1" applyAlignment="1">
      <alignment horizontal="center" vertical="center"/>
    </xf>
    <xf numFmtId="0" fontId="10" fillId="0" borderId="41" xfId="1" applyFont="1" applyBorder="1" applyAlignment="1">
      <alignment shrinkToFit="1"/>
    </xf>
    <xf numFmtId="0" fontId="10" fillId="0" borderId="41" xfId="1" applyFont="1" applyBorder="1" applyAlignment="1">
      <alignment horizontal="left" shrinkToFit="1"/>
    </xf>
    <xf numFmtId="0" fontId="10" fillId="0" borderId="6" xfId="1" applyFont="1" applyBorder="1" applyAlignment="1">
      <alignment shrinkToFit="1"/>
    </xf>
    <xf numFmtId="0" fontId="12" fillId="0" borderId="0" xfId="1" applyFont="1" applyAlignment="1"/>
    <xf numFmtId="0" fontId="10" fillId="0" borderId="0" xfId="1" applyFont="1" applyAlignment="1"/>
    <xf numFmtId="0" fontId="12" fillId="0" borderId="0" xfId="1" applyFont="1" applyBorder="1" applyAlignment="1">
      <alignment shrinkToFit="1"/>
    </xf>
    <xf numFmtId="0" fontId="10" fillId="0" borderId="0" xfId="1" applyFont="1" applyBorder="1" applyAlignment="1">
      <alignment shrinkToFit="1"/>
    </xf>
    <xf numFmtId="177" fontId="14" fillId="0" borderId="41" xfId="1" applyNumberFormat="1" applyFont="1" applyBorder="1" applyAlignment="1">
      <alignment horizontal="right"/>
    </xf>
    <xf numFmtId="177" fontId="13" fillId="0" borderId="41" xfId="1" applyNumberFormat="1" applyFont="1" applyBorder="1" applyAlignment="1"/>
    <xf numFmtId="177" fontId="14" fillId="0" borderId="6" xfId="1" applyNumberFormat="1" applyFont="1" applyBorder="1" applyAlignment="1">
      <alignment horizontal="right"/>
    </xf>
    <xf numFmtId="49" fontId="9" fillId="0" borderId="5" xfId="1" applyNumberFormat="1" applyFont="1" applyBorder="1" applyAlignment="1">
      <alignment shrinkToFit="1"/>
    </xf>
    <xf numFmtId="49" fontId="9" fillId="0" borderId="7" xfId="1" applyNumberFormat="1" applyFont="1" applyBorder="1" applyAlignment="1">
      <alignment shrinkToFit="1"/>
    </xf>
    <xf numFmtId="0" fontId="9" fillId="0" borderId="6" xfId="1" applyFont="1" applyBorder="1" applyAlignment="1">
      <alignment shrinkToFit="1"/>
    </xf>
    <xf numFmtId="0" fontId="19" fillId="0" borderId="41" xfId="1" applyFont="1" applyBorder="1" applyAlignment="1">
      <alignment vertical="center" wrapText="1"/>
    </xf>
    <xf numFmtId="0" fontId="9" fillId="6" borderId="5" xfId="1" applyFont="1" applyFill="1" applyBorder="1" applyAlignment="1">
      <alignment horizontal="center" vertical="center"/>
    </xf>
    <xf numFmtId="0" fontId="10" fillId="6" borderId="7" xfId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179293</xdr:colOff>
      <xdr:row>6</xdr:row>
      <xdr:rowOff>136393</xdr:rowOff>
    </xdr:from>
    <xdr:to>
      <xdr:col>55</xdr:col>
      <xdr:colOff>235433</xdr:colOff>
      <xdr:row>41</xdr:row>
      <xdr:rowOff>227171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3636" y="1268507"/>
          <a:ext cx="12792426" cy="8853778"/>
        </a:xfrm>
        <a:prstGeom prst="rect">
          <a:avLst/>
        </a:prstGeom>
      </xdr:spPr>
    </xdr:pic>
    <xdr:clientData/>
  </xdr:twoCellAnchor>
  <xdr:twoCellAnchor>
    <xdr:from>
      <xdr:col>50</xdr:col>
      <xdr:colOff>47385</xdr:colOff>
      <xdr:row>39</xdr:row>
      <xdr:rowOff>200426</xdr:rowOff>
    </xdr:from>
    <xdr:to>
      <xdr:col>51</xdr:col>
      <xdr:colOff>110137</xdr:colOff>
      <xdr:row>41</xdr:row>
      <xdr:rowOff>21133</xdr:rowOff>
    </xdr:to>
    <xdr:sp macro="" textlink="">
      <xdr:nvSpPr>
        <xdr:cNvPr id="39" name="正方形/長方形 38"/>
        <xdr:cNvSpPr/>
      </xdr:nvSpPr>
      <xdr:spPr>
        <a:xfrm>
          <a:off x="14002871" y="95947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134471</xdr:colOff>
      <xdr:row>22</xdr:row>
      <xdr:rowOff>211312</xdr:rowOff>
    </xdr:from>
    <xdr:to>
      <xdr:col>51</xdr:col>
      <xdr:colOff>197223</xdr:colOff>
      <xdr:row>24</xdr:row>
      <xdr:rowOff>32019</xdr:rowOff>
    </xdr:to>
    <xdr:sp macro="" textlink="">
      <xdr:nvSpPr>
        <xdr:cNvPr id="49" name="正方形/長方形 48"/>
        <xdr:cNvSpPr/>
      </xdr:nvSpPr>
      <xdr:spPr>
        <a:xfrm>
          <a:off x="14089957" y="53493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188900</xdr:colOff>
      <xdr:row>25</xdr:row>
      <xdr:rowOff>26255</xdr:rowOff>
    </xdr:from>
    <xdr:to>
      <xdr:col>41</xdr:col>
      <xdr:colOff>251651</xdr:colOff>
      <xdr:row>26</xdr:row>
      <xdr:rowOff>97333</xdr:rowOff>
    </xdr:to>
    <xdr:sp macro="" textlink="">
      <xdr:nvSpPr>
        <xdr:cNvPr id="50" name="正方形/長方形 49"/>
        <xdr:cNvSpPr/>
      </xdr:nvSpPr>
      <xdr:spPr>
        <a:xfrm>
          <a:off x="11314100" y="5915426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69156</xdr:colOff>
      <xdr:row>25</xdr:row>
      <xdr:rowOff>26255</xdr:rowOff>
    </xdr:from>
    <xdr:to>
      <xdr:col>30</xdr:col>
      <xdr:colOff>131908</xdr:colOff>
      <xdr:row>26</xdr:row>
      <xdr:rowOff>97333</xdr:rowOff>
    </xdr:to>
    <xdr:sp macro="" textlink="">
      <xdr:nvSpPr>
        <xdr:cNvPr id="51" name="正方形/長方形 50"/>
        <xdr:cNvSpPr/>
      </xdr:nvSpPr>
      <xdr:spPr>
        <a:xfrm>
          <a:off x="8081042" y="5915426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90927</xdr:colOff>
      <xdr:row>25</xdr:row>
      <xdr:rowOff>37141</xdr:rowOff>
    </xdr:from>
    <xdr:to>
      <xdr:col>14</xdr:col>
      <xdr:colOff>153679</xdr:colOff>
      <xdr:row>26</xdr:row>
      <xdr:rowOff>108219</xdr:rowOff>
    </xdr:to>
    <xdr:sp macro="" textlink="">
      <xdr:nvSpPr>
        <xdr:cNvPr id="52" name="正方形/長方形 51"/>
        <xdr:cNvSpPr/>
      </xdr:nvSpPr>
      <xdr:spPr>
        <a:xfrm>
          <a:off x="3574356" y="5926312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265100</xdr:colOff>
      <xdr:row>25</xdr:row>
      <xdr:rowOff>26255</xdr:rowOff>
    </xdr:from>
    <xdr:to>
      <xdr:col>39</xdr:col>
      <xdr:colOff>44823</xdr:colOff>
      <xdr:row>26</xdr:row>
      <xdr:rowOff>97333</xdr:rowOff>
    </xdr:to>
    <xdr:sp macro="" textlink="">
      <xdr:nvSpPr>
        <xdr:cNvPr id="63" name="正方形/長方形 62"/>
        <xdr:cNvSpPr/>
      </xdr:nvSpPr>
      <xdr:spPr>
        <a:xfrm>
          <a:off x="10541214" y="5915426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25</xdr:col>
      <xdr:colOff>275986</xdr:colOff>
      <xdr:row>25</xdr:row>
      <xdr:rowOff>15369</xdr:rowOff>
    </xdr:from>
    <xdr:to>
      <xdr:col>27</xdr:col>
      <xdr:colOff>55708</xdr:colOff>
      <xdr:row>26</xdr:row>
      <xdr:rowOff>86447</xdr:rowOff>
    </xdr:to>
    <xdr:sp macro="" textlink="">
      <xdr:nvSpPr>
        <xdr:cNvPr id="64" name="正方形/長方形 63"/>
        <xdr:cNvSpPr/>
      </xdr:nvSpPr>
      <xdr:spPr>
        <a:xfrm>
          <a:off x="7155757" y="590454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265099</xdr:colOff>
      <xdr:row>25</xdr:row>
      <xdr:rowOff>37141</xdr:rowOff>
    </xdr:from>
    <xdr:to>
      <xdr:col>13</xdr:col>
      <xdr:colOff>44821</xdr:colOff>
      <xdr:row>26</xdr:row>
      <xdr:rowOff>108219</xdr:rowOff>
    </xdr:to>
    <xdr:sp macro="" textlink="">
      <xdr:nvSpPr>
        <xdr:cNvPr id="65" name="正方形/長方形 64"/>
        <xdr:cNvSpPr/>
      </xdr:nvSpPr>
      <xdr:spPr>
        <a:xfrm>
          <a:off x="3182470" y="5926312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188899</xdr:colOff>
      <xdr:row>18</xdr:row>
      <xdr:rowOff>243969</xdr:rowOff>
    </xdr:from>
    <xdr:to>
      <xdr:col>34</xdr:col>
      <xdr:colOff>251650</xdr:colOff>
      <xdr:row>20</xdr:row>
      <xdr:rowOff>64676</xdr:rowOff>
    </xdr:to>
    <xdr:sp macro="" textlink="">
      <xdr:nvSpPr>
        <xdr:cNvPr id="66" name="正方形/長方形 65"/>
        <xdr:cNvSpPr/>
      </xdr:nvSpPr>
      <xdr:spPr>
        <a:xfrm>
          <a:off x="9332899" y="438054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69156</xdr:colOff>
      <xdr:row>21</xdr:row>
      <xdr:rowOff>48025</xdr:rowOff>
    </xdr:from>
    <xdr:to>
      <xdr:col>23</xdr:col>
      <xdr:colOff>131908</xdr:colOff>
      <xdr:row>22</xdr:row>
      <xdr:rowOff>119104</xdr:rowOff>
    </xdr:to>
    <xdr:sp macro="" textlink="">
      <xdr:nvSpPr>
        <xdr:cNvPr id="67" name="正方形/長方形 66"/>
        <xdr:cNvSpPr/>
      </xdr:nvSpPr>
      <xdr:spPr>
        <a:xfrm>
          <a:off x="6099842" y="4935711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210671</xdr:colOff>
      <xdr:row>25</xdr:row>
      <xdr:rowOff>26255</xdr:rowOff>
    </xdr:from>
    <xdr:to>
      <xdr:col>46</xdr:col>
      <xdr:colOff>273423</xdr:colOff>
      <xdr:row>26</xdr:row>
      <xdr:rowOff>97333</xdr:rowOff>
    </xdr:to>
    <xdr:sp macro="" textlink="">
      <xdr:nvSpPr>
        <xdr:cNvPr id="75" name="正方形/長方形 74"/>
        <xdr:cNvSpPr/>
      </xdr:nvSpPr>
      <xdr:spPr>
        <a:xfrm>
          <a:off x="12751014" y="5915426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47385</xdr:colOff>
      <xdr:row>25</xdr:row>
      <xdr:rowOff>37141</xdr:rowOff>
    </xdr:from>
    <xdr:to>
      <xdr:col>36</xdr:col>
      <xdr:colOff>110136</xdr:colOff>
      <xdr:row>26</xdr:row>
      <xdr:rowOff>108219</xdr:rowOff>
    </xdr:to>
    <xdr:sp macro="" textlink="">
      <xdr:nvSpPr>
        <xdr:cNvPr id="76" name="正方形/長方形 75"/>
        <xdr:cNvSpPr/>
      </xdr:nvSpPr>
      <xdr:spPr>
        <a:xfrm>
          <a:off x="9757442" y="5926312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199785</xdr:colOff>
      <xdr:row>25</xdr:row>
      <xdr:rowOff>48026</xdr:rowOff>
    </xdr:from>
    <xdr:to>
      <xdr:col>15</xdr:col>
      <xdr:colOff>262536</xdr:colOff>
      <xdr:row>26</xdr:row>
      <xdr:rowOff>119104</xdr:rowOff>
    </xdr:to>
    <xdr:sp macro="" textlink="">
      <xdr:nvSpPr>
        <xdr:cNvPr id="77" name="正方形/長方形 76"/>
        <xdr:cNvSpPr/>
      </xdr:nvSpPr>
      <xdr:spPr>
        <a:xfrm>
          <a:off x="3966242" y="59371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3842</xdr:colOff>
      <xdr:row>20</xdr:row>
      <xdr:rowOff>113340</xdr:rowOff>
    </xdr:from>
    <xdr:to>
      <xdr:col>22</xdr:col>
      <xdr:colOff>66593</xdr:colOff>
      <xdr:row>21</xdr:row>
      <xdr:rowOff>184418</xdr:rowOff>
    </xdr:to>
    <xdr:sp macro="" textlink="">
      <xdr:nvSpPr>
        <xdr:cNvPr id="78" name="正方形/長方形 77"/>
        <xdr:cNvSpPr/>
      </xdr:nvSpPr>
      <xdr:spPr>
        <a:xfrm>
          <a:off x="5751499" y="4750654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134471</xdr:colOff>
      <xdr:row>18</xdr:row>
      <xdr:rowOff>243968</xdr:rowOff>
    </xdr:from>
    <xdr:to>
      <xdr:col>19</xdr:col>
      <xdr:colOff>197222</xdr:colOff>
      <xdr:row>20</xdr:row>
      <xdr:rowOff>64675</xdr:rowOff>
    </xdr:to>
    <xdr:sp macro="" textlink="">
      <xdr:nvSpPr>
        <xdr:cNvPr id="79" name="正方形/長方形 78"/>
        <xdr:cNvSpPr/>
      </xdr:nvSpPr>
      <xdr:spPr>
        <a:xfrm>
          <a:off x="5033042" y="438053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210671</xdr:colOff>
      <xdr:row>19</xdr:row>
      <xdr:rowOff>178654</xdr:rowOff>
    </xdr:from>
    <xdr:to>
      <xdr:col>20</xdr:col>
      <xdr:colOff>273422</xdr:colOff>
      <xdr:row>20</xdr:row>
      <xdr:rowOff>249733</xdr:rowOff>
    </xdr:to>
    <xdr:sp macro="" textlink="">
      <xdr:nvSpPr>
        <xdr:cNvPr id="80" name="正方形/長方形 79"/>
        <xdr:cNvSpPr/>
      </xdr:nvSpPr>
      <xdr:spPr>
        <a:xfrm>
          <a:off x="5392271" y="45655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80043</xdr:colOff>
      <xdr:row>18</xdr:row>
      <xdr:rowOff>58911</xdr:rowOff>
    </xdr:from>
    <xdr:to>
      <xdr:col>18</xdr:col>
      <xdr:colOff>142795</xdr:colOff>
      <xdr:row>19</xdr:row>
      <xdr:rowOff>129989</xdr:rowOff>
    </xdr:to>
    <xdr:sp macro="" textlink="">
      <xdr:nvSpPr>
        <xdr:cNvPr id="81" name="正方形/長方形 80"/>
        <xdr:cNvSpPr/>
      </xdr:nvSpPr>
      <xdr:spPr>
        <a:xfrm>
          <a:off x="4695586" y="4195482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14728</xdr:colOff>
      <xdr:row>17</xdr:row>
      <xdr:rowOff>124225</xdr:rowOff>
    </xdr:from>
    <xdr:to>
      <xdr:col>17</xdr:col>
      <xdr:colOff>77479</xdr:colOff>
      <xdr:row>18</xdr:row>
      <xdr:rowOff>195304</xdr:rowOff>
    </xdr:to>
    <xdr:sp macro="" textlink="">
      <xdr:nvSpPr>
        <xdr:cNvPr id="82" name="正方形/長方形 81"/>
        <xdr:cNvSpPr/>
      </xdr:nvSpPr>
      <xdr:spPr>
        <a:xfrm>
          <a:off x="4347242" y="4010425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47384</xdr:colOff>
      <xdr:row>25</xdr:row>
      <xdr:rowOff>15370</xdr:rowOff>
    </xdr:from>
    <xdr:to>
      <xdr:col>51</xdr:col>
      <xdr:colOff>110136</xdr:colOff>
      <xdr:row>26</xdr:row>
      <xdr:rowOff>86448</xdr:rowOff>
    </xdr:to>
    <xdr:sp macro="" textlink="">
      <xdr:nvSpPr>
        <xdr:cNvPr id="86" name="正方形/長方形 85"/>
        <xdr:cNvSpPr/>
      </xdr:nvSpPr>
      <xdr:spPr>
        <a:xfrm>
          <a:off x="14002870" y="5904541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188900</xdr:colOff>
      <xdr:row>39</xdr:row>
      <xdr:rowOff>211312</xdr:rowOff>
    </xdr:from>
    <xdr:to>
      <xdr:col>15</xdr:col>
      <xdr:colOff>251651</xdr:colOff>
      <xdr:row>41</xdr:row>
      <xdr:rowOff>32019</xdr:rowOff>
    </xdr:to>
    <xdr:sp macro="" textlink="">
      <xdr:nvSpPr>
        <xdr:cNvPr id="87" name="正方形/長方形 86"/>
        <xdr:cNvSpPr/>
      </xdr:nvSpPr>
      <xdr:spPr>
        <a:xfrm>
          <a:off x="3955357" y="960568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254214</xdr:colOff>
      <xdr:row>25</xdr:row>
      <xdr:rowOff>26255</xdr:rowOff>
    </xdr:from>
    <xdr:to>
      <xdr:col>45</xdr:col>
      <xdr:colOff>33937</xdr:colOff>
      <xdr:row>26</xdr:row>
      <xdr:rowOff>97333</xdr:rowOff>
    </xdr:to>
    <xdr:sp macro="" textlink="">
      <xdr:nvSpPr>
        <xdr:cNvPr id="88" name="正方形/長方形 87"/>
        <xdr:cNvSpPr/>
      </xdr:nvSpPr>
      <xdr:spPr>
        <a:xfrm>
          <a:off x="12228500" y="5915426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123585</xdr:colOff>
      <xdr:row>25</xdr:row>
      <xdr:rowOff>26255</xdr:rowOff>
    </xdr:from>
    <xdr:to>
      <xdr:col>33</xdr:col>
      <xdr:colOff>186336</xdr:colOff>
      <xdr:row>26</xdr:row>
      <xdr:rowOff>97333</xdr:rowOff>
    </xdr:to>
    <xdr:sp macro="" textlink="">
      <xdr:nvSpPr>
        <xdr:cNvPr id="89" name="正方形/長方形 88"/>
        <xdr:cNvSpPr/>
      </xdr:nvSpPr>
      <xdr:spPr>
        <a:xfrm>
          <a:off x="8984556" y="5915426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232442</xdr:colOff>
      <xdr:row>14</xdr:row>
      <xdr:rowOff>222197</xdr:rowOff>
    </xdr:from>
    <xdr:to>
      <xdr:col>12</xdr:col>
      <xdr:colOff>12165</xdr:colOff>
      <xdr:row>16</xdr:row>
      <xdr:rowOff>42904</xdr:rowOff>
    </xdr:to>
    <xdr:sp macro="" textlink="">
      <xdr:nvSpPr>
        <xdr:cNvPr id="90" name="正方形/長方形 89"/>
        <xdr:cNvSpPr/>
      </xdr:nvSpPr>
      <xdr:spPr>
        <a:xfrm>
          <a:off x="2866785" y="335728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69156</xdr:colOff>
      <xdr:row>16</xdr:row>
      <xdr:rowOff>4482</xdr:rowOff>
    </xdr:from>
    <xdr:to>
      <xdr:col>18</xdr:col>
      <xdr:colOff>131908</xdr:colOff>
      <xdr:row>17</xdr:row>
      <xdr:rowOff>75561</xdr:rowOff>
    </xdr:to>
    <xdr:sp macro="" textlink="">
      <xdr:nvSpPr>
        <xdr:cNvPr id="91" name="正方形/長方形 90"/>
        <xdr:cNvSpPr/>
      </xdr:nvSpPr>
      <xdr:spPr>
        <a:xfrm>
          <a:off x="4684699" y="3640311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69156</xdr:colOff>
      <xdr:row>14</xdr:row>
      <xdr:rowOff>211312</xdr:rowOff>
    </xdr:from>
    <xdr:to>
      <xdr:col>18</xdr:col>
      <xdr:colOff>131908</xdr:colOff>
      <xdr:row>16</xdr:row>
      <xdr:rowOff>32019</xdr:rowOff>
    </xdr:to>
    <xdr:sp macro="" textlink="">
      <xdr:nvSpPr>
        <xdr:cNvPr id="92" name="正方形/長方形 91"/>
        <xdr:cNvSpPr/>
      </xdr:nvSpPr>
      <xdr:spPr>
        <a:xfrm>
          <a:off x="4684699" y="3346398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69156</xdr:colOff>
      <xdr:row>13</xdr:row>
      <xdr:rowOff>178655</xdr:rowOff>
    </xdr:from>
    <xdr:to>
      <xdr:col>18</xdr:col>
      <xdr:colOff>131908</xdr:colOff>
      <xdr:row>14</xdr:row>
      <xdr:rowOff>249733</xdr:rowOff>
    </xdr:to>
    <xdr:sp macro="" textlink="">
      <xdr:nvSpPr>
        <xdr:cNvPr id="93" name="正方形/長方形 92"/>
        <xdr:cNvSpPr/>
      </xdr:nvSpPr>
      <xdr:spPr>
        <a:xfrm>
          <a:off x="4684699" y="306336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254214</xdr:colOff>
      <xdr:row>10</xdr:row>
      <xdr:rowOff>69797</xdr:rowOff>
    </xdr:from>
    <xdr:to>
      <xdr:col>13</xdr:col>
      <xdr:colOff>33936</xdr:colOff>
      <xdr:row>11</xdr:row>
      <xdr:rowOff>140876</xdr:rowOff>
    </xdr:to>
    <xdr:sp macro="" textlink="">
      <xdr:nvSpPr>
        <xdr:cNvPr id="94" name="正方形/長方形 93"/>
        <xdr:cNvSpPr/>
      </xdr:nvSpPr>
      <xdr:spPr>
        <a:xfrm>
          <a:off x="3171585" y="22033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254214</xdr:colOff>
      <xdr:row>8</xdr:row>
      <xdr:rowOff>243969</xdr:rowOff>
    </xdr:from>
    <xdr:to>
      <xdr:col>13</xdr:col>
      <xdr:colOff>33936</xdr:colOff>
      <xdr:row>10</xdr:row>
      <xdr:rowOff>64676</xdr:rowOff>
    </xdr:to>
    <xdr:sp macro="" textlink="">
      <xdr:nvSpPr>
        <xdr:cNvPr id="95" name="正方形/長方形 94"/>
        <xdr:cNvSpPr/>
      </xdr:nvSpPr>
      <xdr:spPr>
        <a:xfrm>
          <a:off x="3171585" y="1876826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36499</xdr:colOff>
      <xdr:row>7</xdr:row>
      <xdr:rowOff>102454</xdr:rowOff>
    </xdr:from>
    <xdr:to>
      <xdr:col>54</xdr:col>
      <xdr:colOff>99250</xdr:colOff>
      <xdr:row>8</xdr:row>
      <xdr:rowOff>173533</xdr:rowOff>
    </xdr:to>
    <xdr:sp macro="" textlink="">
      <xdr:nvSpPr>
        <xdr:cNvPr id="96" name="正方形/長方形 95"/>
        <xdr:cNvSpPr/>
      </xdr:nvSpPr>
      <xdr:spPr>
        <a:xfrm>
          <a:off x="14841070" y="148494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243329</xdr:colOff>
      <xdr:row>7</xdr:row>
      <xdr:rowOff>102454</xdr:rowOff>
    </xdr:from>
    <xdr:to>
      <xdr:col>13</xdr:col>
      <xdr:colOff>23051</xdr:colOff>
      <xdr:row>8</xdr:row>
      <xdr:rowOff>173533</xdr:rowOff>
    </xdr:to>
    <xdr:sp macro="" textlink="">
      <xdr:nvSpPr>
        <xdr:cNvPr id="97" name="正方形/長方形 96"/>
        <xdr:cNvSpPr/>
      </xdr:nvSpPr>
      <xdr:spPr>
        <a:xfrm>
          <a:off x="3160700" y="148494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265100</xdr:colOff>
      <xdr:row>22</xdr:row>
      <xdr:rowOff>124225</xdr:rowOff>
    </xdr:from>
    <xdr:to>
      <xdr:col>13</xdr:col>
      <xdr:colOff>44822</xdr:colOff>
      <xdr:row>23</xdr:row>
      <xdr:rowOff>195303</xdr:rowOff>
    </xdr:to>
    <xdr:sp macro="" textlink="">
      <xdr:nvSpPr>
        <xdr:cNvPr id="120" name="正方形/長方形 119"/>
        <xdr:cNvSpPr/>
      </xdr:nvSpPr>
      <xdr:spPr>
        <a:xfrm>
          <a:off x="3182471" y="5262282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3843</xdr:colOff>
      <xdr:row>22</xdr:row>
      <xdr:rowOff>124226</xdr:rowOff>
    </xdr:from>
    <xdr:to>
      <xdr:col>17</xdr:col>
      <xdr:colOff>66594</xdr:colOff>
      <xdr:row>23</xdr:row>
      <xdr:rowOff>195304</xdr:rowOff>
    </xdr:to>
    <xdr:sp macro="" textlink="">
      <xdr:nvSpPr>
        <xdr:cNvPr id="121" name="正方形/長方形 120"/>
        <xdr:cNvSpPr/>
      </xdr:nvSpPr>
      <xdr:spPr>
        <a:xfrm>
          <a:off x="4336357" y="526228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130629</xdr:colOff>
      <xdr:row>15</xdr:row>
      <xdr:rowOff>239486</xdr:rowOff>
    </xdr:from>
    <xdr:to>
      <xdr:col>40</xdr:col>
      <xdr:colOff>193380</xdr:colOff>
      <xdr:row>17</xdr:row>
      <xdr:rowOff>60193</xdr:rowOff>
    </xdr:to>
    <xdr:sp macro="" textlink="">
      <xdr:nvSpPr>
        <xdr:cNvPr id="37" name="正方形/長方形 36"/>
        <xdr:cNvSpPr/>
      </xdr:nvSpPr>
      <xdr:spPr>
        <a:xfrm>
          <a:off x="10972800" y="3624943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130629</xdr:colOff>
      <xdr:row>16</xdr:row>
      <xdr:rowOff>228599</xdr:rowOff>
    </xdr:from>
    <xdr:to>
      <xdr:col>40</xdr:col>
      <xdr:colOff>193380</xdr:colOff>
      <xdr:row>18</xdr:row>
      <xdr:rowOff>49307</xdr:rowOff>
    </xdr:to>
    <xdr:sp macro="" textlink="">
      <xdr:nvSpPr>
        <xdr:cNvPr id="38" name="正方形/長方形 37"/>
        <xdr:cNvSpPr/>
      </xdr:nvSpPr>
      <xdr:spPr>
        <a:xfrm>
          <a:off x="10972800" y="3864428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130629</xdr:colOff>
      <xdr:row>17</xdr:row>
      <xdr:rowOff>228600</xdr:rowOff>
    </xdr:from>
    <xdr:to>
      <xdr:col>40</xdr:col>
      <xdr:colOff>193380</xdr:colOff>
      <xdr:row>19</xdr:row>
      <xdr:rowOff>49307</xdr:rowOff>
    </xdr:to>
    <xdr:sp macro="" textlink="">
      <xdr:nvSpPr>
        <xdr:cNvPr id="41" name="正方形/長方形 40"/>
        <xdr:cNvSpPr/>
      </xdr:nvSpPr>
      <xdr:spPr>
        <a:xfrm>
          <a:off x="10972800" y="411480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130629</xdr:colOff>
      <xdr:row>18</xdr:row>
      <xdr:rowOff>195943</xdr:rowOff>
    </xdr:from>
    <xdr:to>
      <xdr:col>40</xdr:col>
      <xdr:colOff>193380</xdr:colOff>
      <xdr:row>20</xdr:row>
      <xdr:rowOff>16650</xdr:rowOff>
    </xdr:to>
    <xdr:sp macro="" textlink="">
      <xdr:nvSpPr>
        <xdr:cNvPr id="42" name="正方形/長方形 41"/>
        <xdr:cNvSpPr/>
      </xdr:nvSpPr>
      <xdr:spPr>
        <a:xfrm>
          <a:off x="10972800" y="4332514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130629</xdr:colOff>
      <xdr:row>20</xdr:row>
      <xdr:rowOff>0</xdr:rowOff>
    </xdr:from>
    <xdr:to>
      <xdr:col>40</xdr:col>
      <xdr:colOff>193380</xdr:colOff>
      <xdr:row>21</xdr:row>
      <xdr:rowOff>71078</xdr:rowOff>
    </xdr:to>
    <xdr:sp macro="" textlink="">
      <xdr:nvSpPr>
        <xdr:cNvPr id="43" name="正方形/長方形 42"/>
        <xdr:cNvSpPr/>
      </xdr:nvSpPr>
      <xdr:spPr>
        <a:xfrm>
          <a:off x="10972800" y="4637314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134470</xdr:colOff>
      <xdr:row>21</xdr:row>
      <xdr:rowOff>26254</xdr:rowOff>
    </xdr:from>
    <xdr:to>
      <xdr:col>40</xdr:col>
      <xdr:colOff>197221</xdr:colOff>
      <xdr:row>22</xdr:row>
      <xdr:rowOff>97333</xdr:rowOff>
    </xdr:to>
    <xdr:sp macro="" textlink="">
      <xdr:nvSpPr>
        <xdr:cNvPr id="40" name="正方形/長方形 39"/>
        <xdr:cNvSpPr/>
      </xdr:nvSpPr>
      <xdr:spPr>
        <a:xfrm>
          <a:off x="10976641" y="491394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134472</xdr:colOff>
      <xdr:row>22</xdr:row>
      <xdr:rowOff>37140</xdr:rowOff>
    </xdr:from>
    <xdr:to>
      <xdr:col>40</xdr:col>
      <xdr:colOff>197223</xdr:colOff>
      <xdr:row>23</xdr:row>
      <xdr:rowOff>108218</xdr:rowOff>
    </xdr:to>
    <xdr:sp macro="" textlink="">
      <xdr:nvSpPr>
        <xdr:cNvPr id="62" name="正方形/長方形 61"/>
        <xdr:cNvSpPr/>
      </xdr:nvSpPr>
      <xdr:spPr>
        <a:xfrm>
          <a:off x="10976643" y="5175197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4</xdr:row>
      <xdr:rowOff>0</xdr:rowOff>
    </xdr:from>
    <xdr:to>
      <xdr:col>4</xdr:col>
      <xdr:colOff>137160</xdr:colOff>
      <xdr:row>4</xdr:row>
      <xdr:rowOff>0</xdr:rowOff>
    </xdr:to>
    <xdr:sp macro="" textlink="">
      <xdr:nvSpPr>
        <xdr:cNvPr id="2" name="Line 7"/>
        <xdr:cNvSpPr>
          <a:spLocks noChangeShapeType="1"/>
        </xdr:cNvSpPr>
      </xdr:nvSpPr>
      <xdr:spPr bwMode="auto">
        <a:xfrm flipV="1">
          <a:off x="22860" y="922020"/>
          <a:ext cx="3314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1533525</xdr:colOff>
      <xdr:row>2</xdr:row>
      <xdr:rowOff>230505</xdr:rowOff>
    </xdr:from>
    <xdr:to>
      <xdr:col>4</xdr:col>
      <xdr:colOff>181707</xdr:colOff>
      <xdr:row>4</xdr:row>
      <xdr:rowOff>38188</xdr:rowOff>
    </xdr:to>
    <xdr:sp macro="" textlink="">
      <xdr:nvSpPr>
        <xdr:cNvPr id="3" name="Text Box 8"/>
        <xdr:cNvSpPr txBox="1">
          <a:spLocks noChangeArrowheads="1"/>
        </xdr:cNvSpPr>
      </xdr:nvSpPr>
      <xdr:spPr bwMode="auto">
        <a:xfrm>
          <a:off x="3072765" y="672465"/>
          <a:ext cx="309342" cy="287743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殿</a:t>
          </a:r>
          <a:endParaRPr lang="ja-JP" altLang="en-US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449580</xdr:colOff>
          <xdr:row>4</xdr:row>
          <xdr:rowOff>60960</xdr:rowOff>
        </xdr:from>
        <xdr:to>
          <xdr:col>14</xdr:col>
          <xdr:colOff>274320</xdr:colOff>
          <xdr:row>8</xdr:row>
          <xdr:rowOff>121920</xdr:rowOff>
        </xdr:to>
        <xdr:sp macro="" textlink="">
          <xdr:nvSpPr>
            <xdr:cNvPr id="7169" name="inei1_松﨑 由誉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396240</xdr:colOff>
      <xdr:row>5</xdr:row>
      <xdr:rowOff>121920</xdr:rowOff>
    </xdr:from>
    <xdr:to>
      <xdr:col>13</xdr:col>
      <xdr:colOff>723900</xdr:colOff>
      <xdr:row>7</xdr:row>
      <xdr:rowOff>232634</xdr:rowOff>
    </xdr:to>
    <xdr:pic>
      <xdr:nvPicPr>
        <xdr:cNvPr id="13" name="図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9360" y="1143000"/>
          <a:ext cx="21031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464477</xdr:colOff>
      <xdr:row>35</xdr:row>
      <xdr:rowOff>134453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1193437" cy="79068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H0300_&#32076;&#36942;&#30906;&#35469;&#34920;_&#24115;&#31080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概要"/>
      <sheetName val="帳票レイアウト"/>
      <sheetName val="処理詳細_書き方"/>
      <sheetName val="項目一覧"/>
      <sheetName val="処理詳細"/>
      <sheetName val="確認事項"/>
      <sheetName val="別紙_テンプレート"/>
      <sheetName val="参照"/>
    </sheetNames>
    <sheetDataSet>
      <sheetData sheetId="0">
        <row r="3">
          <cell r="B3" t="str">
            <v>XXXXXXXX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58" t="s">
        <v>0</v>
      </c>
      <c r="C2" s="159"/>
      <c r="D2" s="159"/>
      <c r="E2" s="159"/>
      <c r="F2" s="159"/>
      <c r="G2" s="159"/>
      <c r="H2" s="159" t="s">
        <v>16</v>
      </c>
      <c r="I2" s="159"/>
      <c r="J2" s="159"/>
      <c r="K2" s="159"/>
      <c r="L2" s="159" t="s">
        <v>874</v>
      </c>
      <c r="M2" s="159"/>
      <c r="N2" s="159"/>
      <c r="O2" s="159"/>
      <c r="P2" s="159"/>
      <c r="Q2" s="159"/>
      <c r="R2" s="159" t="s">
        <v>1</v>
      </c>
      <c r="S2" s="159"/>
      <c r="T2" s="159"/>
      <c r="U2" s="159"/>
      <c r="V2" s="159"/>
      <c r="W2" s="159"/>
      <c r="X2" s="160" t="s">
        <v>2</v>
      </c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2"/>
      <c r="AK2" s="160" t="s">
        <v>30</v>
      </c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2"/>
      <c r="AX2" s="159" t="s">
        <v>4</v>
      </c>
      <c r="AY2" s="159"/>
      <c r="AZ2" s="159"/>
      <c r="BA2" s="159"/>
      <c r="BB2" s="159" t="s">
        <v>3</v>
      </c>
      <c r="BC2" s="159"/>
      <c r="BD2" s="159"/>
      <c r="BE2" s="159"/>
      <c r="BF2" s="159" t="s">
        <v>5</v>
      </c>
      <c r="BG2" s="159"/>
      <c r="BH2" s="159"/>
      <c r="BI2" s="159"/>
      <c r="BJ2" s="159" t="s">
        <v>6</v>
      </c>
      <c r="BK2" s="159"/>
      <c r="BL2" s="159"/>
      <c r="BM2" s="173"/>
      <c r="BN2" s="14"/>
    </row>
    <row r="3" spans="1:66" ht="20.100000000000001" customHeight="1" x14ac:dyDescent="0.45">
      <c r="A3" s="8"/>
      <c r="B3" s="163" t="s">
        <v>876</v>
      </c>
      <c r="C3" s="164"/>
      <c r="D3" s="164"/>
      <c r="E3" s="164"/>
      <c r="F3" s="164"/>
      <c r="G3" s="164"/>
      <c r="H3" s="164" t="str">
        <f ca="1">LEFT($X$3,FIND("_",$X$3)-1)</f>
        <v>MH0400</v>
      </c>
      <c r="I3" s="164"/>
      <c r="J3" s="164"/>
      <c r="K3" s="164"/>
      <c r="L3" s="164" t="s">
        <v>875</v>
      </c>
      <c r="M3" s="164"/>
      <c r="N3" s="164"/>
      <c r="O3" s="164"/>
      <c r="P3" s="164"/>
      <c r="Q3" s="164"/>
      <c r="R3" s="167" t="str">
        <f ca="1">MID($X$3,FIND("_",$X$3,FIND("_",$X$3)+1)+1,LEN($X$3)-FIND("_",$X$3,FIND("_",$X$3)+1))</f>
        <v>帳票設計書</v>
      </c>
      <c r="S3" s="164"/>
      <c r="T3" s="164"/>
      <c r="U3" s="164"/>
      <c r="V3" s="164"/>
      <c r="W3" s="164"/>
      <c r="X3" s="168" t="str">
        <f ca="1">REPLACE(LEFT(CELL("filename",$B$2),FIND(".x",CELL("filename",$B$2))-1),1,FIND("[",CELL("filename",$B$2)),)</f>
        <v>MH0400_見積書_帳票設計書</v>
      </c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5"/>
      <c r="AK3" s="168" t="str">
        <f ca="1">MID($X$3,FIND("_",$X$3)+1,FIND("_",$X$3,FIND("_",$X$3)+1)-FIND("_",$X$3)-1)</f>
        <v>見積書</v>
      </c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5"/>
      <c r="AX3" s="175">
        <v>45581</v>
      </c>
      <c r="AY3" s="164"/>
      <c r="AZ3" s="164"/>
      <c r="BA3" s="164"/>
      <c r="BB3" s="164" t="s">
        <v>877</v>
      </c>
      <c r="BC3" s="164"/>
      <c r="BD3" s="164"/>
      <c r="BE3" s="164"/>
      <c r="BF3" s="176">
        <v>45581</v>
      </c>
      <c r="BG3" s="177"/>
      <c r="BH3" s="177"/>
      <c r="BI3" s="178"/>
      <c r="BJ3" s="168" t="s">
        <v>877</v>
      </c>
      <c r="BK3" s="169"/>
      <c r="BL3" s="169"/>
      <c r="BM3" s="182"/>
      <c r="BN3" s="14"/>
    </row>
    <row r="4" spans="1:66" ht="20.100000000000001" customHeight="1" thickBot="1" x14ac:dyDescent="0.5">
      <c r="A4" s="8"/>
      <c r="B4" s="165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70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2"/>
      <c r="AK4" s="170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2"/>
      <c r="AX4" s="166"/>
      <c r="AY4" s="166"/>
      <c r="AZ4" s="166"/>
      <c r="BA4" s="166"/>
      <c r="BB4" s="166"/>
      <c r="BC4" s="166"/>
      <c r="BD4" s="166"/>
      <c r="BE4" s="166"/>
      <c r="BF4" s="179"/>
      <c r="BG4" s="180"/>
      <c r="BH4" s="180"/>
      <c r="BI4" s="181"/>
      <c r="BJ4" s="170"/>
      <c r="BK4" s="171"/>
      <c r="BL4" s="171"/>
      <c r="BM4" s="183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74" t="s">
        <v>7</v>
      </c>
      <c r="D8" s="174"/>
      <c r="E8" s="174"/>
      <c r="F8" s="174"/>
      <c r="G8" s="174" t="s">
        <v>8</v>
      </c>
      <c r="H8" s="174"/>
      <c r="I8" s="174"/>
      <c r="J8" s="174"/>
      <c r="K8" s="174" t="s">
        <v>9</v>
      </c>
      <c r="L8" s="174"/>
      <c r="M8" s="174"/>
      <c r="N8" s="174"/>
      <c r="O8" s="174" t="s">
        <v>10</v>
      </c>
      <c r="P8" s="174"/>
      <c r="Q8" s="174"/>
      <c r="R8" s="174"/>
      <c r="S8" s="174"/>
      <c r="T8" s="174"/>
      <c r="U8" s="174"/>
      <c r="V8" s="174"/>
      <c r="W8" s="174"/>
      <c r="X8" s="174"/>
      <c r="Y8" s="174" t="s">
        <v>11</v>
      </c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4"/>
      <c r="BA8" s="174"/>
      <c r="BB8" s="174"/>
      <c r="BC8" s="174"/>
      <c r="BD8" s="174"/>
      <c r="BE8" s="174"/>
      <c r="BF8" s="174"/>
      <c r="BG8" s="174"/>
      <c r="BH8" s="174"/>
      <c r="BI8" s="174"/>
      <c r="BJ8" s="174"/>
      <c r="BK8" s="174"/>
      <c r="BL8" s="174"/>
      <c r="BM8" s="7"/>
      <c r="BN8" s="14"/>
    </row>
    <row r="9" spans="1:66" ht="20.100000000000001" customHeight="1" x14ac:dyDescent="0.45">
      <c r="A9" s="8"/>
      <c r="B9" s="7"/>
      <c r="C9" s="184">
        <v>45581</v>
      </c>
      <c r="D9" s="185"/>
      <c r="E9" s="185"/>
      <c r="F9" s="186"/>
      <c r="G9" s="187" t="s">
        <v>15</v>
      </c>
      <c r="H9" s="188"/>
      <c r="I9" s="188"/>
      <c r="J9" s="189"/>
      <c r="K9" s="190" t="s">
        <v>877</v>
      </c>
      <c r="L9" s="185"/>
      <c r="M9" s="185"/>
      <c r="N9" s="186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84"/>
      <c r="D10" s="185"/>
      <c r="E10" s="185"/>
      <c r="F10" s="186"/>
      <c r="G10" s="187"/>
      <c r="H10" s="188"/>
      <c r="I10" s="188"/>
      <c r="J10" s="189"/>
      <c r="K10" s="190"/>
      <c r="L10" s="185"/>
      <c r="M10" s="185"/>
      <c r="N10" s="18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84"/>
      <c r="D11" s="185"/>
      <c r="E11" s="185"/>
      <c r="F11" s="186"/>
      <c r="G11" s="187"/>
      <c r="H11" s="188"/>
      <c r="I11" s="188"/>
      <c r="J11" s="189"/>
      <c r="K11" s="190"/>
      <c r="L11" s="185"/>
      <c r="M11" s="185"/>
      <c r="N11" s="18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84"/>
      <c r="D36" s="185"/>
      <c r="E36" s="185"/>
      <c r="F36" s="186"/>
      <c r="G36" s="187"/>
      <c r="H36" s="188"/>
      <c r="I36" s="188"/>
      <c r="J36" s="189"/>
      <c r="K36" s="190"/>
      <c r="L36" s="185"/>
      <c r="M36" s="185"/>
      <c r="N36" s="18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84"/>
      <c r="D37" s="185"/>
      <c r="E37" s="185"/>
      <c r="F37" s="186"/>
      <c r="G37" s="187"/>
      <c r="H37" s="188"/>
      <c r="I37" s="188"/>
      <c r="J37" s="189"/>
      <c r="K37" s="190"/>
      <c r="L37" s="185"/>
      <c r="M37" s="185"/>
      <c r="N37" s="18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84"/>
      <c r="D38" s="185"/>
      <c r="E38" s="185"/>
      <c r="F38" s="186"/>
      <c r="G38" s="187"/>
      <c r="H38" s="188"/>
      <c r="I38" s="188"/>
      <c r="J38" s="189"/>
      <c r="K38" s="190"/>
      <c r="L38" s="185"/>
      <c r="M38" s="185"/>
      <c r="N38" s="18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84"/>
      <c r="D39" s="185"/>
      <c r="E39" s="185"/>
      <c r="F39" s="186"/>
      <c r="G39" s="187"/>
      <c r="H39" s="188"/>
      <c r="I39" s="188"/>
      <c r="J39" s="189"/>
      <c r="K39" s="190"/>
      <c r="L39" s="185"/>
      <c r="M39" s="185"/>
      <c r="N39" s="18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84"/>
      <c r="D40" s="185"/>
      <c r="E40" s="185"/>
      <c r="F40" s="186"/>
      <c r="G40" s="187"/>
      <c r="H40" s="188"/>
      <c r="I40" s="188"/>
      <c r="J40" s="189"/>
      <c r="K40" s="190"/>
      <c r="L40" s="185"/>
      <c r="M40" s="185"/>
      <c r="N40" s="18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84"/>
      <c r="D41" s="185"/>
      <c r="E41" s="185"/>
      <c r="F41" s="186"/>
      <c r="G41" s="187"/>
      <c r="H41" s="188"/>
      <c r="I41" s="188"/>
      <c r="J41" s="189"/>
      <c r="K41" s="190"/>
      <c r="L41" s="185"/>
      <c r="M41" s="185"/>
      <c r="N41" s="18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84"/>
      <c r="D42" s="185"/>
      <c r="E42" s="185"/>
      <c r="F42" s="186"/>
      <c r="G42" s="187"/>
      <c r="H42" s="188"/>
      <c r="I42" s="188"/>
      <c r="J42" s="189"/>
      <c r="K42" s="190"/>
      <c r="L42" s="185"/>
      <c r="M42" s="185"/>
      <c r="N42" s="18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84"/>
      <c r="D43" s="185"/>
      <c r="E43" s="185"/>
      <c r="F43" s="186"/>
      <c r="G43" s="187"/>
      <c r="H43" s="188"/>
      <c r="I43" s="188"/>
      <c r="J43" s="189"/>
      <c r="K43" s="190"/>
      <c r="L43" s="185"/>
      <c r="M43" s="185"/>
      <c r="N43" s="18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84"/>
      <c r="D44" s="185"/>
      <c r="E44" s="185"/>
      <c r="F44" s="186"/>
      <c r="G44" s="187"/>
      <c r="H44" s="188"/>
      <c r="I44" s="188"/>
      <c r="J44" s="189"/>
      <c r="K44" s="190"/>
      <c r="L44" s="185"/>
      <c r="M44" s="185"/>
      <c r="N44" s="18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84"/>
      <c r="D45" s="185"/>
      <c r="E45" s="185"/>
      <c r="F45" s="186"/>
      <c r="G45" s="187"/>
      <c r="H45" s="188"/>
      <c r="I45" s="188"/>
      <c r="J45" s="189"/>
      <c r="K45" s="190"/>
      <c r="L45" s="185"/>
      <c r="M45" s="185"/>
      <c r="N45" s="18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84"/>
      <c r="D46" s="185"/>
      <c r="E46" s="185"/>
      <c r="F46" s="186"/>
      <c r="G46" s="187"/>
      <c r="H46" s="188"/>
      <c r="I46" s="188"/>
      <c r="J46" s="189"/>
      <c r="K46" s="190"/>
      <c r="L46" s="185"/>
      <c r="M46" s="185"/>
      <c r="N46" s="18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84"/>
      <c r="D47" s="185"/>
      <c r="E47" s="185"/>
      <c r="F47" s="186"/>
      <c r="G47" s="187"/>
      <c r="H47" s="188"/>
      <c r="I47" s="188"/>
      <c r="J47" s="189"/>
      <c r="K47" s="190"/>
      <c r="L47" s="185"/>
      <c r="M47" s="185"/>
      <c r="N47" s="18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2"/>
  <sheetViews>
    <sheetView showGridLines="0" view="pageBreakPreview" zoomScaleNormal="100" zoomScaleSheetLayoutView="100" workbookViewId="0">
      <selection activeCell="L2" sqref="L2:Q2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58" t="s">
        <v>0</v>
      </c>
      <c r="C2" s="159"/>
      <c r="D2" s="159"/>
      <c r="E2" s="159"/>
      <c r="F2" s="159"/>
      <c r="G2" s="159"/>
      <c r="H2" s="159" t="s">
        <v>16</v>
      </c>
      <c r="I2" s="159"/>
      <c r="J2" s="159"/>
      <c r="K2" s="159"/>
      <c r="L2" s="159" t="s">
        <v>874</v>
      </c>
      <c r="M2" s="159"/>
      <c r="N2" s="159"/>
      <c r="O2" s="159"/>
      <c r="P2" s="159"/>
      <c r="Q2" s="159"/>
      <c r="R2" s="159" t="s">
        <v>1</v>
      </c>
      <c r="S2" s="159"/>
      <c r="T2" s="159"/>
      <c r="U2" s="159"/>
      <c r="V2" s="159"/>
      <c r="W2" s="159"/>
      <c r="X2" s="160" t="s">
        <v>2</v>
      </c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2"/>
      <c r="AK2" s="160" t="s">
        <v>31</v>
      </c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2"/>
      <c r="AX2" s="159" t="s">
        <v>4</v>
      </c>
      <c r="AY2" s="159"/>
      <c r="AZ2" s="159"/>
      <c r="BA2" s="159"/>
      <c r="BB2" s="159" t="s">
        <v>3</v>
      </c>
      <c r="BC2" s="159"/>
      <c r="BD2" s="159"/>
      <c r="BE2" s="159"/>
      <c r="BF2" s="159" t="s">
        <v>5</v>
      </c>
      <c r="BG2" s="159"/>
      <c r="BH2" s="159"/>
      <c r="BI2" s="159"/>
      <c r="BJ2" s="159" t="s">
        <v>6</v>
      </c>
      <c r="BK2" s="159"/>
      <c r="BL2" s="159"/>
      <c r="BM2" s="173"/>
      <c r="BN2" s="35"/>
    </row>
    <row r="3" spans="1:66" ht="20.100000000000001" customHeight="1" x14ac:dyDescent="0.45">
      <c r="A3" s="32"/>
      <c r="B3" s="163" t="str">
        <f>変更履歴!B3</f>
        <v>受発注システム</v>
      </c>
      <c r="C3" s="164"/>
      <c r="D3" s="164"/>
      <c r="E3" s="164"/>
      <c r="F3" s="164"/>
      <c r="G3" s="164"/>
      <c r="H3" s="164" t="str">
        <f ca="1">変更履歴!H3</f>
        <v>MH0400</v>
      </c>
      <c r="I3" s="164"/>
      <c r="J3" s="164"/>
      <c r="K3" s="164"/>
      <c r="L3" s="164" t="str">
        <f>変更履歴!L3</f>
        <v>受発注</v>
      </c>
      <c r="M3" s="164"/>
      <c r="N3" s="164"/>
      <c r="O3" s="164"/>
      <c r="P3" s="164"/>
      <c r="Q3" s="164"/>
      <c r="R3" s="164" t="str">
        <f ca="1">変更履歴!R3</f>
        <v>帳票設計書</v>
      </c>
      <c r="S3" s="164"/>
      <c r="T3" s="164"/>
      <c r="U3" s="164"/>
      <c r="V3" s="164"/>
      <c r="W3" s="164"/>
      <c r="X3" s="168" t="str">
        <f ca="1">変更履歴!X3</f>
        <v>MH0400_見積書_帳票設計書</v>
      </c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5"/>
      <c r="AK3" s="168" t="str">
        <f ca="1">変更履歴!AK3</f>
        <v>見積書</v>
      </c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5"/>
      <c r="AX3" s="175">
        <f>変更履歴!AX3</f>
        <v>45581</v>
      </c>
      <c r="AY3" s="175"/>
      <c r="AZ3" s="175"/>
      <c r="BA3" s="175"/>
      <c r="BB3" s="164" t="str">
        <f>変更履歴!BB3</f>
        <v>大谷</v>
      </c>
      <c r="BC3" s="164"/>
      <c r="BD3" s="164"/>
      <c r="BE3" s="164"/>
      <c r="BF3" s="175">
        <f>変更履歴!BF3</f>
        <v>45581</v>
      </c>
      <c r="BG3" s="175"/>
      <c r="BH3" s="175"/>
      <c r="BI3" s="175"/>
      <c r="BJ3" s="164" t="str">
        <f>変更履歴!BJ3</f>
        <v>大谷</v>
      </c>
      <c r="BK3" s="164"/>
      <c r="BL3" s="164"/>
      <c r="BM3" s="192"/>
      <c r="BN3" s="35"/>
    </row>
    <row r="4" spans="1:66" ht="20.100000000000001" customHeight="1" thickBot="1" x14ac:dyDescent="0.5">
      <c r="A4" s="32"/>
      <c r="B4" s="165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70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2"/>
      <c r="AK4" s="170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2"/>
      <c r="AX4" s="191"/>
      <c r="AY4" s="191"/>
      <c r="AZ4" s="191"/>
      <c r="BA4" s="191"/>
      <c r="BB4" s="166"/>
      <c r="BC4" s="166"/>
      <c r="BD4" s="166"/>
      <c r="BE4" s="166"/>
      <c r="BF4" s="191"/>
      <c r="BG4" s="191"/>
      <c r="BH4" s="191"/>
      <c r="BI4" s="191"/>
      <c r="BJ4" s="166"/>
      <c r="BK4" s="166"/>
      <c r="BL4" s="166"/>
      <c r="BM4" s="168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21</v>
      </c>
      <c r="E7" s="47"/>
      <c r="F7" s="47"/>
      <c r="G7" s="67"/>
      <c r="H7" s="48" t="str">
        <f ca="1">AK3</f>
        <v>見積書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24</v>
      </c>
      <c r="E8" s="50"/>
      <c r="F8" s="50"/>
      <c r="G8" s="56"/>
      <c r="H8" s="51" t="s">
        <v>80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22</v>
      </c>
      <c r="E9" s="50"/>
      <c r="F9" s="50"/>
      <c r="G9" s="56"/>
      <c r="H9" s="51" t="s">
        <v>157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25</v>
      </c>
      <c r="E10" s="50"/>
      <c r="F10" s="50"/>
      <c r="G10" s="56"/>
      <c r="H10" s="54" t="s">
        <v>156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26</v>
      </c>
      <c r="E11" s="50"/>
      <c r="F11" s="50"/>
      <c r="G11" s="56"/>
      <c r="H11" s="54" t="s">
        <v>81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27</v>
      </c>
      <c r="E12" s="50"/>
      <c r="F12" s="50"/>
      <c r="G12" s="56"/>
      <c r="H12" s="54" t="s">
        <v>81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28</v>
      </c>
      <c r="E13" s="50"/>
      <c r="F13" s="50"/>
      <c r="G13" s="56"/>
      <c r="H13" s="54" t="s">
        <v>81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29</v>
      </c>
      <c r="E14" s="50"/>
      <c r="F14" s="50"/>
      <c r="G14" s="56"/>
      <c r="H14" s="51" t="s">
        <v>81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43</v>
      </c>
      <c r="E15" s="50"/>
      <c r="F15" s="50"/>
      <c r="G15" s="56"/>
      <c r="H15" s="54" t="s">
        <v>873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20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8"/>
  <sheetViews>
    <sheetView showGridLines="0" view="pageBreakPreview" zoomScale="70" zoomScaleNormal="100" zoomScaleSheetLayoutView="70" workbookViewId="0">
      <selection activeCell="L2" sqref="L2:Q2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8" t="s">
        <v>0</v>
      </c>
      <c r="C2" s="159"/>
      <c r="D2" s="159"/>
      <c r="E2" s="159"/>
      <c r="F2" s="159"/>
      <c r="G2" s="159"/>
      <c r="H2" s="159" t="s">
        <v>16</v>
      </c>
      <c r="I2" s="159"/>
      <c r="J2" s="159"/>
      <c r="K2" s="159"/>
      <c r="L2" s="159" t="s">
        <v>874</v>
      </c>
      <c r="M2" s="159"/>
      <c r="N2" s="159"/>
      <c r="O2" s="159"/>
      <c r="P2" s="159"/>
      <c r="Q2" s="159"/>
      <c r="R2" s="159" t="s">
        <v>1</v>
      </c>
      <c r="S2" s="159"/>
      <c r="T2" s="159"/>
      <c r="U2" s="159"/>
      <c r="V2" s="159"/>
      <c r="W2" s="159"/>
      <c r="X2" s="160" t="s">
        <v>2</v>
      </c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2"/>
      <c r="AK2" s="160" t="s">
        <v>31</v>
      </c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2"/>
      <c r="AX2" s="159" t="s">
        <v>4</v>
      </c>
      <c r="AY2" s="159"/>
      <c r="AZ2" s="159"/>
      <c r="BA2" s="159"/>
      <c r="BB2" s="159" t="s">
        <v>3</v>
      </c>
      <c r="BC2" s="159"/>
      <c r="BD2" s="159"/>
      <c r="BE2" s="159"/>
      <c r="BF2" s="159" t="s">
        <v>5</v>
      </c>
      <c r="BG2" s="159"/>
      <c r="BH2" s="159"/>
      <c r="BI2" s="159"/>
      <c r="BJ2" s="159" t="s">
        <v>6</v>
      </c>
      <c r="BK2" s="159"/>
      <c r="BL2" s="159"/>
      <c r="BM2" s="173"/>
      <c r="BN2" s="15"/>
    </row>
    <row r="3" spans="1:66" ht="20.100000000000001" customHeight="1" x14ac:dyDescent="0.45">
      <c r="A3" s="9"/>
      <c r="B3" s="163" t="str">
        <f>変更履歴!B3</f>
        <v>受発注システム</v>
      </c>
      <c r="C3" s="164"/>
      <c r="D3" s="164"/>
      <c r="E3" s="164"/>
      <c r="F3" s="164"/>
      <c r="G3" s="164"/>
      <c r="H3" s="164" t="str">
        <f ca="1">変更履歴!H3</f>
        <v>MH0400</v>
      </c>
      <c r="I3" s="164"/>
      <c r="J3" s="164"/>
      <c r="K3" s="164"/>
      <c r="L3" s="164" t="str">
        <f>変更履歴!L3</f>
        <v>受発注</v>
      </c>
      <c r="M3" s="164"/>
      <c r="N3" s="164"/>
      <c r="O3" s="164"/>
      <c r="P3" s="164"/>
      <c r="Q3" s="164"/>
      <c r="R3" s="164" t="str">
        <f ca="1">変更履歴!R3</f>
        <v>帳票設計書</v>
      </c>
      <c r="S3" s="164"/>
      <c r="T3" s="164"/>
      <c r="U3" s="164"/>
      <c r="V3" s="164"/>
      <c r="W3" s="164"/>
      <c r="X3" s="168" t="str">
        <f ca="1">変更履歴!X3</f>
        <v>MH0400_見積書_帳票設計書</v>
      </c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5"/>
      <c r="AK3" s="168" t="str">
        <f ca="1">変更履歴!AK3</f>
        <v>見積書</v>
      </c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5"/>
      <c r="AX3" s="175">
        <f>変更履歴!AX3</f>
        <v>45581</v>
      </c>
      <c r="AY3" s="175"/>
      <c r="AZ3" s="175"/>
      <c r="BA3" s="175"/>
      <c r="BB3" s="164" t="str">
        <f>変更履歴!BB3</f>
        <v>大谷</v>
      </c>
      <c r="BC3" s="164"/>
      <c r="BD3" s="164"/>
      <c r="BE3" s="164"/>
      <c r="BF3" s="175">
        <f>変更履歴!BF3</f>
        <v>45581</v>
      </c>
      <c r="BG3" s="175"/>
      <c r="BH3" s="175"/>
      <c r="BI3" s="175"/>
      <c r="BJ3" s="164" t="str">
        <f>変更履歴!BJ3</f>
        <v>大谷</v>
      </c>
      <c r="BK3" s="164"/>
      <c r="BL3" s="164"/>
      <c r="BM3" s="192"/>
      <c r="BN3" s="15"/>
    </row>
    <row r="4" spans="1:66" ht="20.100000000000001" customHeight="1" thickBot="1" x14ac:dyDescent="0.5">
      <c r="A4" s="9"/>
      <c r="B4" s="165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70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2"/>
      <c r="AK4" s="170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2"/>
      <c r="AX4" s="191"/>
      <c r="AY4" s="191"/>
      <c r="AZ4" s="191"/>
      <c r="BA4" s="191"/>
      <c r="BB4" s="166"/>
      <c r="BC4" s="166"/>
      <c r="BD4" s="166"/>
      <c r="BE4" s="166"/>
      <c r="BF4" s="191"/>
      <c r="BG4" s="191"/>
      <c r="BH4" s="191"/>
      <c r="BI4" s="191"/>
      <c r="BJ4" s="166"/>
      <c r="BK4" s="166"/>
      <c r="BL4" s="166"/>
      <c r="BM4" s="168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G74"/>
  <sheetViews>
    <sheetView showGridLines="0" view="pageBreakPreview" zoomScaleNormal="100" zoomScaleSheetLayoutView="100" workbookViewId="0">
      <selection activeCell="L2" sqref="L2:Q2"/>
    </sheetView>
  </sheetViews>
  <sheetFormatPr defaultColWidth="3.59765625" defaultRowHeight="20.100000000000001" customHeight="1" x14ac:dyDescent="0.45"/>
  <cols>
    <col min="1" max="1" width="1.09765625" style="6" customWidth="1"/>
    <col min="2" max="21" width="3.69921875" style="6" customWidth="1"/>
    <col min="22" max="27" width="17.09765625" style="6" customWidth="1"/>
    <col min="28" max="43" width="8.5" style="6" customWidth="1"/>
    <col min="44" max="49" width="5.19921875" style="6" customWidth="1"/>
    <col min="50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58" t="s">
        <v>0</v>
      </c>
      <c r="C2" s="159"/>
      <c r="D2" s="159"/>
      <c r="E2" s="159"/>
      <c r="F2" s="159"/>
      <c r="G2" s="159"/>
      <c r="H2" s="159" t="s">
        <v>16</v>
      </c>
      <c r="I2" s="159"/>
      <c r="J2" s="159"/>
      <c r="K2" s="159"/>
      <c r="L2" s="159" t="s">
        <v>874</v>
      </c>
      <c r="M2" s="159"/>
      <c r="N2" s="159"/>
      <c r="O2" s="159"/>
      <c r="P2" s="159"/>
      <c r="Q2" s="159"/>
      <c r="R2" s="159" t="s">
        <v>1</v>
      </c>
      <c r="S2" s="159"/>
      <c r="T2" s="159"/>
      <c r="U2" s="159"/>
      <c r="V2" s="159"/>
      <c r="W2" s="159"/>
      <c r="X2" s="160" t="s">
        <v>2</v>
      </c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2"/>
      <c r="AK2" s="160" t="s">
        <v>31</v>
      </c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2"/>
      <c r="AX2" s="159" t="s">
        <v>4</v>
      </c>
      <c r="AY2" s="159"/>
      <c r="AZ2" s="159"/>
      <c r="BA2" s="159"/>
      <c r="BB2" s="159" t="s">
        <v>3</v>
      </c>
      <c r="BC2" s="159"/>
      <c r="BD2" s="159"/>
      <c r="BE2" s="159"/>
      <c r="BF2" s="159" t="s">
        <v>5</v>
      </c>
      <c r="BG2" s="159"/>
      <c r="BH2" s="159"/>
      <c r="BI2" s="159"/>
      <c r="BJ2" s="159" t="s">
        <v>6</v>
      </c>
      <c r="BK2" s="159"/>
      <c r="BL2" s="159"/>
      <c r="BM2" s="173"/>
      <c r="BN2" s="15"/>
    </row>
    <row r="3" spans="1:85" ht="20.100000000000001" customHeight="1" x14ac:dyDescent="0.45">
      <c r="A3" s="9"/>
      <c r="B3" s="163" t="str">
        <f>変更履歴!B3</f>
        <v>受発注システム</v>
      </c>
      <c r="C3" s="164"/>
      <c r="D3" s="164"/>
      <c r="E3" s="164"/>
      <c r="F3" s="164"/>
      <c r="G3" s="164"/>
      <c r="H3" s="164" t="str">
        <f ca="1">変更履歴!H3</f>
        <v>MH0400</v>
      </c>
      <c r="I3" s="164"/>
      <c r="J3" s="164"/>
      <c r="K3" s="164"/>
      <c r="L3" s="164" t="str">
        <f>変更履歴!L3</f>
        <v>受発注</v>
      </c>
      <c r="M3" s="164"/>
      <c r="N3" s="164"/>
      <c r="O3" s="164"/>
      <c r="P3" s="164"/>
      <c r="Q3" s="164"/>
      <c r="R3" s="164" t="str">
        <f ca="1">変更履歴!R3</f>
        <v>帳票設計書</v>
      </c>
      <c r="S3" s="164"/>
      <c r="T3" s="164"/>
      <c r="U3" s="164"/>
      <c r="V3" s="164"/>
      <c r="W3" s="164"/>
      <c r="X3" s="168" t="str">
        <f ca="1">変更履歴!X3</f>
        <v>MH0400_見積書_帳票設計書</v>
      </c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5"/>
      <c r="AK3" s="168" t="str">
        <f ca="1">変更履歴!AK3</f>
        <v>見積書</v>
      </c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5"/>
      <c r="AX3" s="175">
        <f>変更履歴!AX3</f>
        <v>45581</v>
      </c>
      <c r="AY3" s="175"/>
      <c r="AZ3" s="175"/>
      <c r="BA3" s="175"/>
      <c r="BB3" s="164" t="str">
        <f>変更履歴!BB3</f>
        <v>大谷</v>
      </c>
      <c r="BC3" s="164"/>
      <c r="BD3" s="164"/>
      <c r="BE3" s="164"/>
      <c r="BF3" s="175">
        <f>変更履歴!BF3</f>
        <v>45581</v>
      </c>
      <c r="BG3" s="175"/>
      <c r="BH3" s="175"/>
      <c r="BI3" s="175"/>
      <c r="BJ3" s="164" t="str">
        <f>変更履歴!BJ3</f>
        <v>大谷</v>
      </c>
      <c r="BK3" s="164"/>
      <c r="BL3" s="164"/>
      <c r="BM3" s="192"/>
      <c r="BN3" s="15"/>
    </row>
    <row r="4" spans="1:85" ht="20.100000000000001" customHeight="1" thickBot="1" x14ac:dyDescent="0.5">
      <c r="A4" s="9"/>
      <c r="B4" s="165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70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2"/>
      <c r="AK4" s="170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2"/>
      <c r="AX4" s="191"/>
      <c r="AY4" s="191"/>
      <c r="AZ4" s="191"/>
      <c r="BA4" s="191"/>
      <c r="BB4" s="166"/>
      <c r="BC4" s="166"/>
      <c r="BD4" s="166"/>
      <c r="BE4" s="166"/>
      <c r="BF4" s="191"/>
      <c r="BG4" s="191"/>
      <c r="BH4" s="191"/>
      <c r="BI4" s="191"/>
      <c r="BJ4" s="166"/>
      <c r="BK4" s="166"/>
      <c r="BL4" s="166"/>
      <c r="BM4" s="168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17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45</v>
      </c>
      <c r="D9" s="34"/>
      <c r="E9" s="34"/>
      <c r="F9" s="88" t="s">
        <v>50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18</v>
      </c>
      <c r="E10" s="214" t="s">
        <v>19</v>
      </c>
      <c r="F10" s="215"/>
      <c r="G10" s="215"/>
      <c r="H10" s="215"/>
      <c r="I10" s="215"/>
      <c r="J10" s="215"/>
      <c r="K10" s="215"/>
      <c r="L10" s="216"/>
      <c r="M10" s="205" t="s">
        <v>23</v>
      </c>
      <c r="N10" s="206"/>
      <c r="O10" s="206"/>
      <c r="P10" s="205" t="s">
        <v>32</v>
      </c>
      <c r="Q10" s="206"/>
      <c r="R10" s="206"/>
      <c r="S10" s="205" t="s">
        <v>33</v>
      </c>
      <c r="T10" s="206"/>
      <c r="U10" s="206"/>
      <c r="V10" s="205" t="s">
        <v>35</v>
      </c>
      <c r="W10" s="206"/>
      <c r="X10" s="206"/>
      <c r="Y10" s="206"/>
      <c r="Z10" s="206"/>
      <c r="AA10" s="207"/>
      <c r="AB10" s="205" t="s">
        <v>34</v>
      </c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7"/>
      <c r="AR10" s="205" t="s">
        <v>41</v>
      </c>
      <c r="AS10" s="206"/>
      <c r="AT10" s="206"/>
      <c r="AU10" s="206"/>
      <c r="AV10" s="206"/>
      <c r="AW10" s="207"/>
      <c r="AX10" s="205" t="s">
        <v>42</v>
      </c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12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02" t="s">
        <v>125</v>
      </c>
      <c r="F11" s="203"/>
      <c r="G11" s="203"/>
      <c r="H11" s="203"/>
      <c r="I11" s="203"/>
      <c r="J11" s="203"/>
      <c r="K11" s="203"/>
      <c r="L11" s="204"/>
      <c r="M11" s="190" t="s">
        <v>37</v>
      </c>
      <c r="N11" s="185"/>
      <c r="O11" s="185"/>
      <c r="P11" s="190" t="s">
        <v>119</v>
      </c>
      <c r="Q11" s="185"/>
      <c r="R11" s="185"/>
      <c r="S11" s="190">
        <v>4</v>
      </c>
      <c r="T11" s="185"/>
      <c r="U11" s="185"/>
      <c r="V11" s="209" t="s">
        <v>783</v>
      </c>
      <c r="W11" s="210"/>
      <c r="X11" s="210"/>
      <c r="Y11" s="210"/>
      <c r="Z11" s="210"/>
      <c r="AA11" s="213"/>
      <c r="AB11" s="199" t="s">
        <v>811</v>
      </c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1"/>
      <c r="AR11" s="190"/>
      <c r="AS11" s="185"/>
      <c r="AT11" s="185"/>
      <c r="AU11" s="185"/>
      <c r="AV11" s="185"/>
      <c r="AW11" s="186"/>
      <c r="AX11" s="209"/>
      <c r="AY11" s="210"/>
      <c r="AZ11" s="210"/>
      <c r="BA11" s="210"/>
      <c r="BB11" s="210"/>
      <c r="BC11" s="210"/>
      <c r="BD11" s="210"/>
      <c r="BE11" s="210"/>
      <c r="BF11" s="210"/>
      <c r="BG11" s="210"/>
      <c r="BH11" s="210"/>
      <c r="BI11" s="210"/>
      <c r="BJ11" s="210"/>
      <c r="BK11" s="210"/>
      <c r="BL11" s="210"/>
      <c r="BM11" s="210"/>
      <c r="BN11" s="210"/>
      <c r="BO11" s="210"/>
      <c r="BP11" s="210"/>
      <c r="BQ11" s="210"/>
      <c r="BR11" s="210"/>
      <c r="BS11" s="210"/>
      <c r="BT11" s="211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02" t="s">
        <v>82</v>
      </c>
      <c r="F12" s="203"/>
      <c r="G12" s="203"/>
      <c r="H12" s="203"/>
      <c r="I12" s="203"/>
      <c r="J12" s="203"/>
      <c r="K12" s="203"/>
      <c r="L12" s="204"/>
      <c r="M12" s="190" t="s">
        <v>7</v>
      </c>
      <c r="N12" s="185"/>
      <c r="O12" s="185"/>
      <c r="P12" s="190" t="s">
        <v>119</v>
      </c>
      <c r="Q12" s="185"/>
      <c r="R12" s="185"/>
      <c r="S12" s="190">
        <v>8</v>
      </c>
      <c r="T12" s="185"/>
      <c r="U12" s="185"/>
      <c r="V12" s="209" t="s">
        <v>784</v>
      </c>
      <c r="W12" s="210"/>
      <c r="X12" s="210"/>
      <c r="Y12" s="210"/>
      <c r="Z12" s="210"/>
      <c r="AA12" s="213"/>
      <c r="AB12" s="199" t="s">
        <v>812</v>
      </c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1"/>
      <c r="AR12" s="190" t="s">
        <v>110</v>
      </c>
      <c r="AS12" s="185"/>
      <c r="AT12" s="185"/>
      <c r="AU12" s="185"/>
      <c r="AV12" s="185"/>
      <c r="AW12" s="186"/>
      <c r="AX12" s="209"/>
      <c r="AY12" s="210"/>
      <c r="AZ12" s="210"/>
      <c r="BA12" s="210"/>
      <c r="BB12" s="210"/>
      <c r="BC12" s="210"/>
      <c r="BD12" s="210"/>
      <c r="BE12" s="210"/>
      <c r="BF12" s="210"/>
      <c r="BG12" s="210"/>
      <c r="BH12" s="210"/>
      <c r="BI12" s="210"/>
      <c r="BJ12" s="210"/>
      <c r="BK12" s="210"/>
      <c r="BL12" s="210"/>
      <c r="BM12" s="210"/>
      <c r="BN12" s="210"/>
      <c r="BO12" s="210"/>
      <c r="BP12" s="210"/>
      <c r="BQ12" s="210"/>
      <c r="BR12" s="210"/>
      <c r="BS12" s="210"/>
      <c r="BT12" s="211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02" t="s">
        <v>83</v>
      </c>
      <c r="F13" s="203"/>
      <c r="G13" s="203"/>
      <c r="H13" s="203"/>
      <c r="I13" s="203"/>
      <c r="J13" s="203"/>
      <c r="K13" s="203"/>
      <c r="L13" s="204"/>
      <c r="M13" s="190" t="s">
        <v>37</v>
      </c>
      <c r="N13" s="185"/>
      <c r="O13" s="185"/>
      <c r="P13" s="190" t="s">
        <v>120</v>
      </c>
      <c r="Q13" s="185"/>
      <c r="R13" s="185"/>
      <c r="S13" s="190">
        <v>17</v>
      </c>
      <c r="T13" s="185"/>
      <c r="U13" s="185"/>
      <c r="V13" s="209" t="s">
        <v>785</v>
      </c>
      <c r="W13" s="210"/>
      <c r="X13" s="210"/>
      <c r="Y13" s="210"/>
      <c r="Z13" s="210"/>
      <c r="AA13" s="213"/>
      <c r="AB13" s="199" t="s">
        <v>813</v>
      </c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1"/>
      <c r="AR13" s="190"/>
      <c r="AS13" s="185"/>
      <c r="AT13" s="185"/>
      <c r="AU13" s="185"/>
      <c r="AV13" s="185"/>
      <c r="AW13" s="186"/>
      <c r="AX13" s="209"/>
      <c r="AY13" s="210"/>
      <c r="AZ13" s="210"/>
      <c r="BA13" s="210"/>
      <c r="BB13" s="210"/>
      <c r="BC13" s="210"/>
      <c r="BD13" s="210"/>
      <c r="BE13" s="210"/>
      <c r="BF13" s="210"/>
      <c r="BG13" s="210"/>
      <c r="BH13" s="210"/>
      <c r="BI13" s="210"/>
      <c r="BJ13" s="210"/>
      <c r="BK13" s="210"/>
      <c r="BL13" s="210"/>
      <c r="BM13" s="210"/>
      <c r="BN13" s="210"/>
      <c r="BO13" s="210"/>
      <c r="BP13" s="210"/>
      <c r="BQ13" s="210"/>
      <c r="BR13" s="210"/>
      <c r="BS13" s="210"/>
      <c r="BT13" s="211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02" t="s">
        <v>84</v>
      </c>
      <c r="F14" s="203"/>
      <c r="G14" s="203"/>
      <c r="H14" s="203"/>
      <c r="I14" s="203"/>
      <c r="J14" s="203"/>
      <c r="K14" s="203"/>
      <c r="L14" s="204"/>
      <c r="M14" s="190" t="s">
        <v>37</v>
      </c>
      <c r="N14" s="185"/>
      <c r="O14" s="185"/>
      <c r="P14" s="190" t="s">
        <v>121</v>
      </c>
      <c r="Q14" s="185"/>
      <c r="R14" s="185"/>
      <c r="S14" s="190" t="s">
        <v>128</v>
      </c>
      <c r="T14" s="185"/>
      <c r="U14" s="185"/>
      <c r="V14" s="209" t="s">
        <v>786</v>
      </c>
      <c r="W14" s="210"/>
      <c r="X14" s="210"/>
      <c r="Y14" s="210"/>
      <c r="Z14" s="210"/>
      <c r="AA14" s="213"/>
      <c r="AB14" s="199" t="s">
        <v>814</v>
      </c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1"/>
      <c r="AR14" s="190"/>
      <c r="AS14" s="185"/>
      <c r="AT14" s="185"/>
      <c r="AU14" s="185"/>
      <c r="AV14" s="185"/>
      <c r="AW14" s="186"/>
      <c r="AX14" s="209"/>
      <c r="AY14" s="210"/>
      <c r="AZ14" s="210"/>
      <c r="BA14" s="210"/>
      <c r="BB14" s="210"/>
      <c r="BC14" s="210"/>
      <c r="BD14" s="210"/>
      <c r="BE14" s="210"/>
      <c r="BF14" s="210"/>
      <c r="BG14" s="210"/>
      <c r="BH14" s="210"/>
      <c r="BI14" s="210"/>
      <c r="BJ14" s="210"/>
      <c r="BK14" s="210"/>
      <c r="BL14" s="210"/>
      <c r="BM14" s="210"/>
      <c r="BN14" s="210"/>
      <c r="BO14" s="210"/>
      <c r="BP14" s="210"/>
      <c r="BQ14" s="210"/>
      <c r="BR14" s="210"/>
      <c r="BS14" s="210"/>
      <c r="BT14" s="211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02" t="s">
        <v>85</v>
      </c>
      <c r="F15" s="203"/>
      <c r="G15" s="203"/>
      <c r="H15" s="203"/>
      <c r="I15" s="203"/>
      <c r="J15" s="203"/>
      <c r="K15" s="203"/>
      <c r="L15" s="204"/>
      <c r="M15" s="190" t="s">
        <v>46</v>
      </c>
      <c r="N15" s="185"/>
      <c r="O15" s="185"/>
      <c r="P15" s="190" t="s">
        <v>119</v>
      </c>
      <c r="Q15" s="185"/>
      <c r="R15" s="185"/>
      <c r="S15" s="190">
        <v>13</v>
      </c>
      <c r="T15" s="185"/>
      <c r="U15" s="185"/>
      <c r="V15" s="209" t="s">
        <v>787</v>
      </c>
      <c r="W15" s="210"/>
      <c r="X15" s="210"/>
      <c r="Y15" s="210"/>
      <c r="Z15" s="210"/>
      <c r="AA15" s="213"/>
      <c r="AB15" s="199" t="s">
        <v>815</v>
      </c>
      <c r="AC15" s="200"/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  <c r="AQ15" s="201"/>
      <c r="AR15" s="190" t="s">
        <v>115</v>
      </c>
      <c r="AS15" s="185"/>
      <c r="AT15" s="185"/>
      <c r="AU15" s="185"/>
      <c r="AV15" s="185"/>
      <c r="AW15" s="186"/>
      <c r="AX15" s="209"/>
      <c r="AY15" s="210"/>
      <c r="AZ15" s="210"/>
      <c r="BA15" s="210"/>
      <c r="BB15" s="210"/>
      <c r="BC15" s="210"/>
      <c r="BD15" s="210"/>
      <c r="BE15" s="210"/>
      <c r="BF15" s="210"/>
      <c r="BG15" s="210"/>
      <c r="BH15" s="210"/>
      <c r="BI15" s="210"/>
      <c r="BJ15" s="210"/>
      <c r="BK15" s="210"/>
      <c r="BL15" s="210"/>
      <c r="BM15" s="210"/>
      <c r="BN15" s="210"/>
      <c r="BO15" s="210"/>
      <c r="BP15" s="210"/>
      <c r="BQ15" s="210"/>
      <c r="BR15" s="210"/>
      <c r="BS15" s="210"/>
      <c r="BT15" s="211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42.6" customHeight="1" x14ac:dyDescent="0.45">
      <c r="A16" s="30"/>
      <c r="B16" s="44"/>
      <c r="C16" s="30"/>
      <c r="D16" s="37">
        <v>6</v>
      </c>
      <c r="E16" s="202" t="s">
        <v>86</v>
      </c>
      <c r="F16" s="203"/>
      <c r="G16" s="203"/>
      <c r="H16" s="203"/>
      <c r="I16" s="203"/>
      <c r="J16" s="203"/>
      <c r="K16" s="203"/>
      <c r="L16" s="204"/>
      <c r="M16" s="190" t="s">
        <v>37</v>
      </c>
      <c r="N16" s="185"/>
      <c r="O16" s="185"/>
      <c r="P16" s="190" t="s">
        <v>121</v>
      </c>
      <c r="Q16" s="185"/>
      <c r="R16" s="185"/>
      <c r="S16" s="190">
        <v>8</v>
      </c>
      <c r="T16" s="185"/>
      <c r="U16" s="185"/>
      <c r="V16" s="199" t="s">
        <v>847</v>
      </c>
      <c r="W16" s="200"/>
      <c r="X16" s="200"/>
      <c r="Y16" s="200"/>
      <c r="Z16" s="200"/>
      <c r="AA16" s="201"/>
      <c r="AB16" s="208" t="s">
        <v>848</v>
      </c>
      <c r="AC16" s="200"/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200"/>
      <c r="AP16" s="200"/>
      <c r="AQ16" s="201"/>
      <c r="AR16" s="190"/>
      <c r="AS16" s="185"/>
      <c r="AT16" s="185"/>
      <c r="AU16" s="185"/>
      <c r="AV16" s="185"/>
      <c r="AW16" s="186"/>
      <c r="AX16" s="209" t="s">
        <v>836</v>
      </c>
      <c r="AY16" s="210"/>
      <c r="AZ16" s="210"/>
      <c r="BA16" s="210"/>
      <c r="BB16" s="210"/>
      <c r="BC16" s="210"/>
      <c r="BD16" s="210"/>
      <c r="BE16" s="210"/>
      <c r="BF16" s="210"/>
      <c r="BG16" s="210"/>
      <c r="BH16" s="210"/>
      <c r="BI16" s="210"/>
      <c r="BJ16" s="210"/>
      <c r="BK16" s="210"/>
      <c r="BL16" s="210"/>
      <c r="BM16" s="210"/>
      <c r="BN16" s="210"/>
      <c r="BO16" s="210"/>
      <c r="BP16" s="210"/>
      <c r="BQ16" s="210"/>
      <c r="BR16" s="210"/>
      <c r="BS16" s="210"/>
      <c r="BT16" s="211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202" t="s">
        <v>87</v>
      </c>
      <c r="F17" s="203"/>
      <c r="G17" s="203"/>
      <c r="H17" s="203"/>
      <c r="I17" s="203"/>
      <c r="J17" s="203"/>
      <c r="K17" s="203"/>
      <c r="L17" s="204"/>
      <c r="M17" s="190" t="s">
        <v>46</v>
      </c>
      <c r="N17" s="185"/>
      <c r="O17" s="185"/>
      <c r="P17" s="190" t="s">
        <v>119</v>
      </c>
      <c r="Q17" s="185"/>
      <c r="R17" s="185"/>
      <c r="S17" s="190">
        <v>13</v>
      </c>
      <c r="T17" s="185"/>
      <c r="U17" s="185"/>
      <c r="V17" s="209" t="s">
        <v>788</v>
      </c>
      <c r="W17" s="210"/>
      <c r="X17" s="210"/>
      <c r="Y17" s="210"/>
      <c r="Z17" s="210"/>
      <c r="AA17" s="213"/>
      <c r="AB17" s="199"/>
      <c r="AC17" s="200"/>
      <c r="AD17" s="200"/>
      <c r="AE17" s="200"/>
      <c r="AF17" s="200"/>
      <c r="AG17" s="200"/>
      <c r="AH17" s="200"/>
      <c r="AI17" s="200"/>
      <c r="AJ17" s="200"/>
      <c r="AK17" s="200"/>
      <c r="AL17" s="200"/>
      <c r="AM17" s="200"/>
      <c r="AN17" s="200"/>
      <c r="AO17" s="200"/>
      <c r="AP17" s="200"/>
      <c r="AQ17" s="201"/>
      <c r="AR17" s="190" t="s">
        <v>114</v>
      </c>
      <c r="AS17" s="185"/>
      <c r="AT17" s="185"/>
      <c r="AU17" s="185"/>
      <c r="AV17" s="185"/>
      <c r="AW17" s="186"/>
      <c r="AX17" s="209"/>
      <c r="AY17" s="210"/>
      <c r="AZ17" s="210"/>
      <c r="BA17" s="210"/>
      <c r="BB17" s="210"/>
      <c r="BC17" s="210"/>
      <c r="BD17" s="210"/>
      <c r="BE17" s="210"/>
      <c r="BF17" s="210"/>
      <c r="BG17" s="210"/>
      <c r="BH17" s="210"/>
      <c r="BI17" s="210"/>
      <c r="BJ17" s="210"/>
      <c r="BK17" s="210"/>
      <c r="BL17" s="210"/>
      <c r="BM17" s="210"/>
      <c r="BN17" s="210"/>
      <c r="BO17" s="210"/>
      <c r="BP17" s="210"/>
      <c r="BQ17" s="210"/>
      <c r="BR17" s="210"/>
      <c r="BS17" s="210"/>
      <c r="BT17" s="211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202" t="s">
        <v>88</v>
      </c>
      <c r="F18" s="203"/>
      <c r="G18" s="203"/>
      <c r="H18" s="203"/>
      <c r="I18" s="203"/>
      <c r="J18" s="203"/>
      <c r="K18" s="203"/>
      <c r="L18" s="204"/>
      <c r="M18" s="190" t="s">
        <v>46</v>
      </c>
      <c r="N18" s="185"/>
      <c r="O18" s="185"/>
      <c r="P18" s="190" t="s">
        <v>119</v>
      </c>
      <c r="Q18" s="185"/>
      <c r="R18" s="185"/>
      <c r="S18" s="190">
        <v>13</v>
      </c>
      <c r="T18" s="185"/>
      <c r="U18" s="185"/>
      <c r="V18" s="209" t="s">
        <v>149</v>
      </c>
      <c r="W18" s="210"/>
      <c r="X18" s="210"/>
      <c r="Y18" s="210"/>
      <c r="Z18" s="210"/>
      <c r="AA18" s="213"/>
      <c r="AB18" s="199" t="s">
        <v>150</v>
      </c>
      <c r="AC18" s="200"/>
      <c r="AD18" s="200"/>
      <c r="AE18" s="200"/>
      <c r="AF18" s="200"/>
      <c r="AG18" s="200"/>
      <c r="AH18" s="200"/>
      <c r="AI18" s="200"/>
      <c r="AJ18" s="200"/>
      <c r="AK18" s="200"/>
      <c r="AL18" s="200"/>
      <c r="AM18" s="200"/>
      <c r="AN18" s="200"/>
      <c r="AO18" s="200"/>
      <c r="AP18" s="200"/>
      <c r="AQ18" s="201"/>
      <c r="AR18" s="190" t="s">
        <v>115</v>
      </c>
      <c r="AS18" s="185"/>
      <c r="AT18" s="185"/>
      <c r="AU18" s="185"/>
      <c r="AV18" s="185"/>
      <c r="AW18" s="186"/>
      <c r="AX18" s="209"/>
      <c r="AY18" s="210"/>
      <c r="AZ18" s="210"/>
      <c r="BA18" s="210"/>
      <c r="BB18" s="210"/>
      <c r="BC18" s="210"/>
      <c r="BD18" s="210"/>
      <c r="BE18" s="210"/>
      <c r="BF18" s="210"/>
      <c r="BG18" s="210"/>
      <c r="BH18" s="210"/>
      <c r="BI18" s="210"/>
      <c r="BJ18" s="210"/>
      <c r="BK18" s="210"/>
      <c r="BL18" s="210"/>
      <c r="BM18" s="210"/>
      <c r="BN18" s="210"/>
      <c r="BO18" s="210"/>
      <c r="BP18" s="210"/>
      <c r="BQ18" s="210"/>
      <c r="BR18" s="210"/>
      <c r="BS18" s="210"/>
      <c r="BT18" s="211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202" t="s">
        <v>89</v>
      </c>
      <c r="F19" s="203"/>
      <c r="G19" s="203"/>
      <c r="H19" s="203"/>
      <c r="I19" s="203"/>
      <c r="J19" s="203"/>
      <c r="K19" s="203"/>
      <c r="L19" s="204"/>
      <c r="M19" s="190" t="s">
        <v>37</v>
      </c>
      <c r="N19" s="185"/>
      <c r="O19" s="185"/>
      <c r="P19" s="190" t="s">
        <v>121</v>
      </c>
      <c r="Q19" s="185"/>
      <c r="R19" s="185"/>
      <c r="S19" s="190" t="s">
        <v>128</v>
      </c>
      <c r="T19" s="185"/>
      <c r="U19" s="185"/>
      <c r="V19" s="209" t="s">
        <v>789</v>
      </c>
      <c r="W19" s="210"/>
      <c r="X19" s="210"/>
      <c r="Y19" s="210"/>
      <c r="Z19" s="210"/>
      <c r="AA19" s="213"/>
      <c r="AB19" s="199"/>
      <c r="AC19" s="200"/>
      <c r="AD19" s="200"/>
      <c r="AE19" s="200"/>
      <c r="AF19" s="200"/>
      <c r="AG19" s="200"/>
      <c r="AH19" s="200"/>
      <c r="AI19" s="200"/>
      <c r="AJ19" s="200"/>
      <c r="AK19" s="200"/>
      <c r="AL19" s="200"/>
      <c r="AM19" s="200"/>
      <c r="AN19" s="200"/>
      <c r="AO19" s="200"/>
      <c r="AP19" s="200"/>
      <c r="AQ19" s="201"/>
      <c r="AR19" s="190"/>
      <c r="AS19" s="185"/>
      <c r="AT19" s="185"/>
      <c r="AU19" s="185"/>
      <c r="AV19" s="185"/>
      <c r="AW19" s="186"/>
      <c r="AX19" s="209"/>
      <c r="AY19" s="210"/>
      <c r="AZ19" s="210"/>
      <c r="BA19" s="210"/>
      <c r="BB19" s="210"/>
      <c r="BC19" s="210"/>
      <c r="BD19" s="210"/>
      <c r="BE19" s="210"/>
      <c r="BF19" s="210"/>
      <c r="BG19" s="210"/>
      <c r="BH19" s="210"/>
      <c r="BI19" s="210"/>
      <c r="BJ19" s="210"/>
      <c r="BK19" s="210"/>
      <c r="BL19" s="210"/>
      <c r="BM19" s="210"/>
      <c r="BN19" s="210"/>
      <c r="BO19" s="210"/>
      <c r="BP19" s="210"/>
      <c r="BQ19" s="210"/>
      <c r="BR19" s="210"/>
      <c r="BS19" s="210"/>
      <c r="BT19" s="211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40.799999999999997" customHeight="1" x14ac:dyDescent="0.45">
      <c r="A20" s="29"/>
      <c r="B20" s="35"/>
      <c r="C20"/>
      <c r="D20" s="37">
        <v>10</v>
      </c>
      <c r="E20" s="202" t="s">
        <v>126</v>
      </c>
      <c r="F20" s="203"/>
      <c r="G20" s="203"/>
      <c r="H20" s="203"/>
      <c r="I20" s="203"/>
      <c r="J20" s="203"/>
      <c r="K20" s="203"/>
      <c r="L20" s="204"/>
      <c r="M20" s="190" t="s">
        <v>37</v>
      </c>
      <c r="N20" s="185"/>
      <c r="O20" s="185"/>
      <c r="P20" s="190" t="s">
        <v>121</v>
      </c>
      <c r="Q20" s="185"/>
      <c r="R20" s="185"/>
      <c r="S20" s="190" t="s">
        <v>128</v>
      </c>
      <c r="T20" s="185"/>
      <c r="U20" s="185"/>
      <c r="V20" s="209" t="s">
        <v>790</v>
      </c>
      <c r="W20" s="210"/>
      <c r="X20" s="210"/>
      <c r="Y20" s="210"/>
      <c r="Z20" s="210"/>
      <c r="AA20" s="213"/>
      <c r="AB20" s="208" t="s">
        <v>816</v>
      </c>
      <c r="AC20" s="200"/>
      <c r="AD20" s="200"/>
      <c r="AE20" s="200"/>
      <c r="AF20" s="200"/>
      <c r="AG20" s="200"/>
      <c r="AH20" s="200"/>
      <c r="AI20" s="200"/>
      <c r="AJ20" s="200"/>
      <c r="AK20" s="200"/>
      <c r="AL20" s="200"/>
      <c r="AM20" s="200"/>
      <c r="AN20" s="200"/>
      <c r="AO20" s="200"/>
      <c r="AP20" s="200"/>
      <c r="AQ20" s="201"/>
      <c r="AR20" s="190"/>
      <c r="AS20" s="185"/>
      <c r="AT20" s="185"/>
      <c r="AU20" s="185"/>
      <c r="AV20" s="185"/>
      <c r="AW20" s="186"/>
      <c r="AX20" s="209"/>
      <c r="AY20" s="210"/>
      <c r="AZ20" s="210"/>
      <c r="BA20" s="210"/>
      <c r="BB20" s="210"/>
      <c r="BC20" s="210"/>
      <c r="BD20" s="210"/>
      <c r="BE20" s="210"/>
      <c r="BF20" s="210"/>
      <c r="BG20" s="210"/>
      <c r="BH20" s="210"/>
      <c r="BI20" s="210"/>
      <c r="BJ20" s="210"/>
      <c r="BK20" s="210"/>
      <c r="BL20" s="210"/>
      <c r="BM20" s="210"/>
      <c r="BN20" s="210"/>
      <c r="BO20" s="210"/>
      <c r="BP20" s="210"/>
      <c r="BQ20" s="210"/>
      <c r="BR20" s="210"/>
      <c r="BS20" s="210"/>
      <c r="BT20" s="211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202" t="s">
        <v>90</v>
      </c>
      <c r="F21" s="203"/>
      <c r="G21" s="203"/>
      <c r="H21" s="203"/>
      <c r="I21" s="203"/>
      <c r="J21" s="203"/>
      <c r="K21" s="203"/>
      <c r="L21" s="204"/>
      <c r="M21" s="190" t="s">
        <v>37</v>
      </c>
      <c r="N21" s="185"/>
      <c r="O21" s="185"/>
      <c r="P21" s="190" t="s">
        <v>121</v>
      </c>
      <c r="Q21" s="185"/>
      <c r="R21" s="185"/>
      <c r="S21" s="190" t="s">
        <v>128</v>
      </c>
      <c r="T21" s="185"/>
      <c r="U21" s="185"/>
      <c r="V21" s="209" t="s">
        <v>791</v>
      </c>
      <c r="W21" s="210"/>
      <c r="X21" s="210"/>
      <c r="Y21" s="210"/>
      <c r="Z21" s="210"/>
      <c r="AA21" s="213"/>
      <c r="AB21" s="199" t="s">
        <v>817</v>
      </c>
      <c r="AC21" s="200"/>
      <c r="AD21" s="200"/>
      <c r="AE21" s="200"/>
      <c r="AF21" s="200"/>
      <c r="AG21" s="200"/>
      <c r="AH21" s="200"/>
      <c r="AI21" s="200"/>
      <c r="AJ21" s="200"/>
      <c r="AK21" s="200"/>
      <c r="AL21" s="200"/>
      <c r="AM21" s="200"/>
      <c r="AN21" s="200"/>
      <c r="AO21" s="200"/>
      <c r="AP21" s="200"/>
      <c r="AQ21" s="201"/>
      <c r="AR21" s="190"/>
      <c r="AS21" s="185"/>
      <c r="AT21" s="185"/>
      <c r="AU21" s="185"/>
      <c r="AV21" s="185"/>
      <c r="AW21" s="186"/>
      <c r="AX21" s="209"/>
      <c r="AY21" s="210"/>
      <c r="AZ21" s="210"/>
      <c r="BA21" s="210"/>
      <c r="BB21" s="210"/>
      <c r="BC21" s="210"/>
      <c r="BD21" s="210"/>
      <c r="BE21" s="210"/>
      <c r="BF21" s="210"/>
      <c r="BG21" s="210"/>
      <c r="BH21" s="210"/>
      <c r="BI21" s="210"/>
      <c r="BJ21" s="210"/>
      <c r="BK21" s="210"/>
      <c r="BL21" s="210"/>
      <c r="BM21" s="210"/>
      <c r="BN21" s="210"/>
      <c r="BO21" s="210"/>
      <c r="BP21" s="210"/>
      <c r="BQ21" s="210"/>
      <c r="BR21" s="210"/>
      <c r="BS21" s="210"/>
      <c r="BT21" s="211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202" t="s">
        <v>91</v>
      </c>
      <c r="F22" s="203"/>
      <c r="G22" s="203"/>
      <c r="H22" s="203"/>
      <c r="I22" s="203"/>
      <c r="J22" s="203"/>
      <c r="K22" s="203"/>
      <c r="L22" s="204"/>
      <c r="M22" s="190" t="s">
        <v>37</v>
      </c>
      <c r="N22" s="185"/>
      <c r="O22" s="185"/>
      <c r="P22" s="190" t="s">
        <v>119</v>
      </c>
      <c r="Q22" s="185"/>
      <c r="R22" s="185"/>
      <c r="S22" s="190" t="s">
        <v>128</v>
      </c>
      <c r="T22" s="185"/>
      <c r="U22" s="185"/>
      <c r="V22" s="209" t="s">
        <v>792</v>
      </c>
      <c r="W22" s="210"/>
      <c r="X22" s="210"/>
      <c r="Y22" s="210"/>
      <c r="Z22" s="210"/>
      <c r="AA22" s="213"/>
      <c r="AB22" s="199" t="s">
        <v>818</v>
      </c>
      <c r="AC22" s="200"/>
      <c r="AD22" s="200"/>
      <c r="AE22" s="200"/>
      <c r="AF22" s="200"/>
      <c r="AG22" s="200"/>
      <c r="AH22" s="200"/>
      <c r="AI22" s="200"/>
      <c r="AJ22" s="200"/>
      <c r="AK22" s="200"/>
      <c r="AL22" s="200"/>
      <c r="AM22" s="200"/>
      <c r="AN22" s="200"/>
      <c r="AO22" s="200"/>
      <c r="AP22" s="200"/>
      <c r="AQ22" s="201"/>
      <c r="AR22" s="190"/>
      <c r="AS22" s="185"/>
      <c r="AT22" s="185"/>
      <c r="AU22" s="185"/>
      <c r="AV22" s="185"/>
      <c r="AW22" s="186"/>
      <c r="AX22" s="209"/>
      <c r="AY22" s="210"/>
      <c r="AZ22" s="210"/>
      <c r="BA22" s="210"/>
      <c r="BB22" s="210"/>
      <c r="BC22" s="210"/>
      <c r="BD22" s="210"/>
      <c r="BE22" s="210"/>
      <c r="BF22" s="210"/>
      <c r="BG22" s="210"/>
      <c r="BH22" s="210"/>
      <c r="BI22" s="210"/>
      <c r="BJ22" s="210"/>
      <c r="BK22" s="210"/>
      <c r="BL22" s="210"/>
      <c r="BM22" s="210"/>
      <c r="BN22" s="210"/>
      <c r="BO22" s="210"/>
      <c r="BP22" s="210"/>
      <c r="BQ22" s="210"/>
      <c r="BR22" s="210"/>
      <c r="BS22" s="210"/>
      <c r="BT22" s="211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202" t="s">
        <v>92</v>
      </c>
      <c r="F23" s="203"/>
      <c r="G23" s="203"/>
      <c r="H23" s="203"/>
      <c r="I23" s="203"/>
      <c r="J23" s="203"/>
      <c r="K23" s="203"/>
      <c r="L23" s="204"/>
      <c r="M23" s="190" t="s">
        <v>37</v>
      </c>
      <c r="N23" s="185"/>
      <c r="O23" s="185"/>
      <c r="P23" s="190" t="s">
        <v>121</v>
      </c>
      <c r="Q23" s="185"/>
      <c r="R23" s="185"/>
      <c r="S23" s="190" t="s">
        <v>128</v>
      </c>
      <c r="T23" s="185"/>
      <c r="U23" s="185"/>
      <c r="V23" s="209" t="s">
        <v>793</v>
      </c>
      <c r="W23" s="210"/>
      <c r="X23" s="210"/>
      <c r="Y23" s="210"/>
      <c r="Z23" s="210"/>
      <c r="AA23" s="213"/>
      <c r="AB23" s="199" t="s">
        <v>819</v>
      </c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  <c r="AQ23" s="201"/>
      <c r="AR23" s="190"/>
      <c r="AS23" s="185"/>
      <c r="AT23" s="185"/>
      <c r="AU23" s="185"/>
      <c r="AV23" s="185"/>
      <c r="AW23" s="186"/>
      <c r="AX23" s="209"/>
      <c r="AY23" s="210"/>
      <c r="AZ23" s="210"/>
      <c r="BA23" s="210"/>
      <c r="BB23" s="210"/>
      <c r="BC23" s="210"/>
      <c r="BD23" s="210"/>
      <c r="BE23" s="210"/>
      <c r="BF23" s="210"/>
      <c r="BG23" s="210"/>
      <c r="BH23" s="210"/>
      <c r="BI23" s="210"/>
      <c r="BJ23" s="210"/>
      <c r="BK23" s="210"/>
      <c r="BL23" s="210"/>
      <c r="BM23" s="210"/>
      <c r="BN23" s="210"/>
      <c r="BO23" s="210"/>
      <c r="BP23" s="210"/>
      <c r="BQ23" s="210"/>
      <c r="BR23" s="210"/>
      <c r="BS23" s="210"/>
      <c r="BT23" s="211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02" t="s">
        <v>93</v>
      </c>
      <c r="F24" s="203"/>
      <c r="G24" s="203"/>
      <c r="H24" s="203"/>
      <c r="I24" s="203"/>
      <c r="J24" s="203"/>
      <c r="K24" s="203"/>
      <c r="L24" s="204"/>
      <c r="M24" s="190" t="s">
        <v>37</v>
      </c>
      <c r="N24" s="185"/>
      <c r="O24" s="185"/>
      <c r="P24" s="190" t="s">
        <v>121</v>
      </c>
      <c r="Q24" s="185"/>
      <c r="R24" s="185"/>
      <c r="S24" s="190" t="s">
        <v>128</v>
      </c>
      <c r="T24" s="185"/>
      <c r="U24" s="185"/>
      <c r="V24" s="209" t="s">
        <v>794</v>
      </c>
      <c r="W24" s="210"/>
      <c r="X24" s="210"/>
      <c r="Y24" s="210"/>
      <c r="Z24" s="210"/>
      <c r="AA24" s="213"/>
      <c r="AB24" s="199" t="s">
        <v>820</v>
      </c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1"/>
      <c r="AR24" s="190"/>
      <c r="AS24" s="185"/>
      <c r="AT24" s="185"/>
      <c r="AU24" s="185"/>
      <c r="AV24" s="185"/>
      <c r="AW24" s="186"/>
      <c r="AX24" s="209"/>
      <c r="AY24" s="210"/>
      <c r="AZ24" s="210"/>
      <c r="BA24" s="210"/>
      <c r="BB24" s="210"/>
      <c r="BC24" s="210"/>
      <c r="BD24" s="210"/>
      <c r="BE24" s="210"/>
      <c r="BF24" s="210"/>
      <c r="BG24" s="210"/>
      <c r="BH24" s="210"/>
      <c r="BI24" s="210"/>
      <c r="BJ24" s="210"/>
      <c r="BK24" s="210"/>
      <c r="BL24" s="210"/>
      <c r="BM24" s="210"/>
      <c r="BN24" s="210"/>
      <c r="BO24" s="210"/>
      <c r="BP24" s="210"/>
      <c r="BQ24" s="210"/>
      <c r="BR24" s="210"/>
      <c r="BS24" s="210"/>
      <c r="BT24" s="211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02" t="s">
        <v>94</v>
      </c>
      <c r="F25" s="203"/>
      <c r="G25" s="203"/>
      <c r="H25" s="203"/>
      <c r="I25" s="203"/>
      <c r="J25" s="203"/>
      <c r="K25" s="203"/>
      <c r="L25" s="204"/>
      <c r="M25" s="190" t="s">
        <v>37</v>
      </c>
      <c r="N25" s="185"/>
      <c r="O25" s="185"/>
      <c r="P25" s="190" t="s">
        <v>121</v>
      </c>
      <c r="Q25" s="185"/>
      <c r="R25" s="185"/>
      <c r="S25" s="190" t="s">
        <v>128</v>
      </c>
      <c r="T25" s="185"/>
      <c r="U25" s="185"/>
      <c r="V25" s="209" t="s">
        <v>795</v>
      </c>
      <c r="W25" s="210"/>
      <c r="X25" s="210"/>
      <c r="Y25" s="210"/>
      <c r="Z25" s="210"/>
      <c r="AA25" s="213"/>
      <c r="AB25" s="199"/>
      <c r="AC25" s="200"/>
      <c r="AD25" s="200"/>
      <c r="AE25" s="200"/>
      <c r="AF25" s="200"/>
      <c r="AG25" s="200"/>
      <c r="AH25" s="200"/>
      <c r="AI25" s="200"/>
      <c r="AJ25" s="200"/>
      <c r="AK25" s="200"/>
      <c r="AL25" s="200"/>
      <c r="AM25" s="200"/>
      <c r="AN25" s="200"/>
      <c r="AO25" s="200"/>
      <c r="AP25" s="200"/>
      <c r="AQ25" s="201"/>
      <c r="AR25" s="190"/>
      <c r="AS25" s="185"/>
      <c r="AT25" s="185"/>
      <c r="AU25" s="185"/>
      <c r="AV25" s="185"/>
      <c r="AW25" s="186"/>
      <c r="AX25" s="209"/>
      <c r="AY25" s="210"/>
      <c r="AZ25" s="210"/>
      <c r="BA25" s="210"/>
      <c r="BB25" s="210"/>
      <c r="BC25" s="210"/>
      <c r="BD25" s="210"/>
      <c r="BE25" s="210"/>
      <c r="BF25" s="210"/>
      <c r="BG25" s="210"/>
      <c r="BH25" s="210"/>
      <c r="BI25" s="210"/>
      <c r="BJ25" s="210"/>
      <c r="BK25" s="210"/>
      <c r="BL25" s="210"/>
      <c r="BM25" s="210"/>
      <c r="BN25" s="210"/>
      <c r="BO25" s="210"/>
      <c r="BP25" s="210"/>
      <c r="BQ25" s="210"/>
      <c r="BR25" s="210"/>
      <c r="BS25" s="210"/>
      <c r="BT25" s="211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93" t="s">
        <v>95</v>
      </c>
      <c r="F26" s="194"/>
      <c r="G26" s="194"/>
      <c r="H26" s="194"/>
      <c r="I26" s="194"/>
      <c r="J26" s="194"/>
      <c r="K26" s="194"/>
      <c r="L26" s="195"/>
      <c r="M26" s="190" t="s">
        <v>37</v>
      </c>
      <c r="N26" s="185"/>
      <c r="O26" s="185"/>
      <c r="P26" s="190" t="s">
        <v>121</v>
      </c>
      <c r="Q26" s="185"/>
      <c r="R26" s="185"/>
      <c r="S26" s="190">
        <v>9</v>
      </c>
      <c r="T26" s="185"/>
      <c r="U26" s="185"/>
      <c r="V26" s="209" t="s">
        <v>796</v>
      </c>
      <c r="W26" s="210"/>
      <c r="X26" s="210"/>
      <c r="Y26" s="210"/>
      <c r="Z26" s="210"/>
      <c r="AA26" s="213"/>
      <c r="AB26" s="199" t="s">
        <v>821</v>
      </c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200"/>
      <c r="AO26" s="200"/>
      <c r="AP26" s="200"/>
      <c r="AQ26" s="201"/>
      <c r="AR26" s="190"/>
      <c r="AS26" s="185"/>
      <c r="AT26" s="185"/>
      <c r="AU26" s="185"/>
      <c r="AV26" s="185"/>
      <c r="AW26" s="186"/>
      <c r="AX26" s="209"/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0"/>
      <c r="BK26" s="210"/>
      <c r="BL26" s="210"/>
      <c r="BM26" s="210"/>
      <c r="BN26" s="210"/>
      <c r="BO26" s="210"/>
      <c r="BP26" s="210"/>
      <c r="BQ26" s="210"/>
      <c r="BR26" s="210"/>
      <c r="BS26" s="210"/>
      <c r="BT26" s="211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93" t="s">
        <v>96</v>
      </c>
      <c r="F27" s="194"/>
      <c r="G27" s="194"/>
      <c r="H27" s="194"/>
      <c r="I27" s="194"/>
      <c r="J27" s="194"/>
      <c r="K27" s="194"/>
      <c r="L27" s="195"/>
      <c r="M27" s="190" t="s">
        <v>37</v>
      </c>
      <c r="N27" s="185"/>
      <c r="O27" s="185"/>
      <c r="P27" s="190" t="s">
        <v>121</v>
      </c>
      <c r="Q27" s="185"/>
      <c r="R27" s="185"/>
      <c r="S27" s="190">
        <v>10</v>
      </c>
      <c r="T27" s="185"/>
      <c r="U27" s="185"/>
      <c r="V27" s="209" t="s">
        <v>796</v>
      </c>
      <c r="W27" s="210"/>
      <c r="X27" s="210"/>
      <c r="Y27" s="210"/>
      <c r="Z27" s="210"/>
      <c r="AA27" s="213"/>
      <c r="AB27" s="199" t="s">
        <v>822</v>
      </c>
      <c r="AC27" s="200"/>
      <c r="AD27" s="200"/>
      <c r="AE27" s="200"/>
      <c r="AF27" s="200"/>
      <c r="AG27" s="200"/>
      <c r="AH27" s="200"/>
      <c r="AI27" s="200"/>
      <c r="AJ27" s="200"/>
      <c r="AK27" s="200"/>
      <c r="AL27" s="200"/>
      <c r="AM27" s="200"/>
      <c r="AN27" s="200"/>
      <c r="AO27" s="200"/>
      <c r="AP27" s="200"/>
      <c r="AQ27" s="201"/>
      <c r="AR27" s="190"/>
      <c r="AS27" s="185"/>
      <c r="AT27" s="185"/>
      <c r="AU27" s="185"/>
      <c r="AV27" s="185"/>
      <c r="AW27" s="186"/>
      <c r="AX27" s="209"/>
      <c r="AY27" s="210"/>
      <c r="AZ27" s="210"/>
      <c r="BA27" s="210"/>
      <c r="BB27" s="210"/>
      <c r="BC27" s="210"/>
      <c r="BD27" s="210"/>
      <c r="BE27" s="210"/>
      <c r="BF27" s="210"/>
      <c r="BG27" s="210"/>
      <c r="BH27" s="210"/>
      <c r="BI27" s="210"/>
      <c r="BJ27" s="210"/>
      <c r="BK27" s="210"/>
      <c r="BL27" s="210"/>
      <c r="BM27" s="210"/>
      <c r="BN27" s="210"/>
      <c r="BO27" s="210"/>
      <c r="BP27" s="210"/>
      <c r="BQ27" s="210"/>
      <c r="BR27" s="210"/>
      <c r="BS27" s="210"/>
      <c r="BT27" s="211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20.100000000000001" customHeight="1" x14ac:dyDescent="0.45">
      <c r="A28" s="29"/>
      <c r="B28" s="44"/>
      <c r="C28" s="29"/>
      <c r="D28" s="37">
        <v>18</v>
      </c>
      <c r="E28" s="193" t="s">
        <v>152</v>
      </c>
      <c r="F28" s="194"/>
      <c r="G28" s="194"/>
      <c r="H28" s="194"/>
      <c r="I28" s="194"/>
      <c r="J28" s="194"/>
      <c r="K28" s="194"/>
      <c r="L28" s="195"/>
      <c r="M28" s="190" t="s">
        <v>46</v>
      </c>
      <c r="N28" s="185"/>
      <c r="O28" s="185"/>
      <c r="P28" s="190" t="s">
        <v>119</v>
      </c>
      <c r="Q28" s="185"/>
      <c r="R28" s="185"/>
      <c r="S28" s="190">
        <v>7</v>
      </c>
      <c r="T28" s="185"/>
      <c r="U28" s="185"/>
      <c r="V28" s="196" t="s">
        <v>866</v>
      </c>
      <c r="W28" s="197"/>
      <c r="X28" s="197"/>
      <c r="Y28" s="197"/>
      <c r="Z28" s="197"/>
      <c r="AA28" s="198"/>
      <c r="AB28" s="199"/>
      <c r="AC28" s="200"/>
      <c r="AD28" s="200"/>
      <c r="AE28" s="200"/>
      <c r="AF28" s="200"/>
      <c r="AG28" s="200"/>
      <c r="AH28" s="200"/>
      <c r="AI28" s="200"/>
      <c r="AJ28" s="200"/>
      <c r="AK28" s="200"/>
      <c r="AL28" s="200"/>
      <c r="AM28" s="200"/>
      <c r="AN28" s="200"/>
      <c r="AO28" s="200"/>
      <c r="AP28" s="200"/>
      <c r="AQ28" s="201"/>
      <c r="AR28" s="190"/>
      <c r="AS28" s="185"/>
      <c r="AT28" s="185"/>
      <c r="AU28" s="185"/>
      <c r="AV28" s="185"/>
      <c r="AW28" s="186"/>
      <c r="AX28" s="209"/>
      <c r="AY28" s="210"/>
      <c r="AZ28" s="210"/>
      <c r="BA28" s="210"/>
      <c r="BB28" s="210"/>
      <c r="BC28" s="210"/>
      <c r="BD28" s="210"/>
      <c r="BE28" s="210"/>
      <c r="BF28" s="210"/>
      <c r="BG28" s="210"/>
      <c r="BH28" s="210"/>
      <c r="BI28" s="210"/>
      <c r="BJ28" s="210"/>
      <c r="BK28" s="210"/>
      <c r="BL28" s="210"/>
      <c r="BM28" s="210"/>
      <c r="BN28" s="210"/>
      <c r="BO28" s="210"/>
      <c r="BP28" s="210"/>
      <c r="BQ28" s="210"/>
      <c r="BR28" s="210"/>
      <c r="BS28" s="210"/>
      <c r="BT28" s="211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20.100000000000001" customHeight="1" x14ac:dyDescent="0.45">
      <c r="A29" s="29"/>
      <c r="B29" s="44"/>
      <c r="C29" s="29"/>
      <c r="D29" s="37">
        <v>19</v>
      </c>
      <c r="E29" s="193" t="s">
        <v>153</v>
      </c>
      <c r="F29" s="194"/>
      <c r="G29" s="194"/>
      <c r="H29" s="194"/>
      <c r="I29" s="194"/>
      <c r="J29" s="194"/>
      <c r="K29" s="194"/>
      <c r="L29" s="195"/>
      <c r="M29" s="190" t="s">
        <v>37</v>
      </c>
      <c r="N29" s="185"/>
      <c r="O29" s="185"/>
      <c r="P29" s="190" t="s">
        <v>120</v>
      </c>
      <c r="Q29" s="185"/>
      <c r="R29" s="185"/>
      <c r="S29" s="190">
        <v>41</v>
      </c>
      <c r="T29" s="185"/>
      <c r="U29" s="185"/>
      <c r="V29" s="196" t="s">
        <v>867</v>
      </c>
      <c r="W29" s="197"/>
      <c r="X29" s="197"/>
      <c r="Y29" s="197"/>
      <c r="Z29" s="197"/>
      <c r="AA29" s="198"/>
      <c r="AB29" s="199"/>
      <c r="AC29" s="200"/>
      <c r="AD29" s="200"/>
      <c r="AE29" s="200"/>
      <c r="AF29" s="200"/>
      <c r="AG29" s="200"/>
      <c r="AH29" s="200"/>
      <c r="AI29" s="200"/>
      <c r="AJ29" s="200"/>
      <c r="AK29" s="200"/>
      <c r="AL29" s="200"/>
      <c r="AM29" s="200"/>
      <c r="AN29" s="200"/>
      <c r="AO29" s="200"/>
      <c r="AP29" s="200"/>
      <c r="AQ29" s="201"/>
      <c r="AR29" s="190"/>
      <c r="AS29" s="185"/>
      <c r="AT29" s="185"/>
      <c r="AU29" s="185"/>
      <c r="AV29" s="185"/>
      <c r="AW29" s="186"/>
      <c r="AX29" s="209"/>
      <c r="AY29" s="210"/>
      <c r="AZ29" s="210"/>
      <c r="BA29" s="210"/>
      <c r="BB29" s="210"/>
      <c r="BC29" s="210"/>
      <c r="BD29" s="210"/>
      <c r="BE29" s="210"/>
      <c r="BF29" s="210"/>
      <c r="BG29" s="210"/>
      <c r="BH29" s="210"/>
      <c r="BI29" s="210"/>
      <c r="BJ29" s="210"/>
      <c r="BK29" s="210"/>
      <c r="BL29" s="210"/>
      <c r="BM29" s="210"/>
      <c r="BN29" s="210"/>
      <c r="BO29" s="210"/>
      <c r="BP29" s="210"/>
      <c r="BQ29" s="210"/>
      <c r="BR29" s="210"/>
      <c r="BS29" s="210"/>
      <c r="BT29" s="211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 s="29"/>
      <c r="D30" s="37">
        <v>20</v>
      </c>
      <c r="E30" s="193" t="s">
        <v>154</v>
      </c>
      <c r="F30" s="194"/>
      <c r="G30" s="194"/>
      <c r="H30" s="194"/>
      <c r="I30" s="194"/>
      <c r="J30" s="194"/>
      <c r="K30" s="194"/>
      <c r="L30" s="195"/>
      <c r="M30" s="190" t="s">
        <v>46</v>
      </c>
      <c r="N30" s="185"/>
      <c r="O30" s="185"/>
      <c r="P30" s="190" t="s">
        <v>119</v>
      </c>
      <c r="Q30" s="185"/>
      <c r="R30" s="185"/>
      <c r="S30" s="190">
        <v>11</v>
      </c>
      <c r="T30" s="185"/>
      <c r="U30" s="185"/>
      <c r="V30" s="196" t="s">
        <v>868</v>
      </c>
      <c r="W30" s="197"/>
      <c r="X30" s="197"/>
      <c r="Y30" s="197"/>
      <c r="Z30" s="197"/>
      <c r="AA30" s="198"/>
      <c r="AB30" s="199"/>
      <c r="AC30" s="200"/>
      <c r="AD30" s="200"/>
      <c r="AE30" s="200"/>
      <c r="AF30" s="200"/>
      <c r="AG30" s="200"/>
      <c r="AH30" s="200"/>
      <c r="AI30" s="200"/>
      <c r="AJ30" s="200"/>
      <c r="AK30" s="200"/>
      <c r="AL30" s="200"/>
      <c r="AM30" s="200"/>
      <c r="AN30" s="200"/>
      <c r="AO30" s="200"/>
      <c r="AP30" s="200"/>
      <c r="AQ30" s="201"/>
      <c r="AR30" s="190"/>
      <c r="AS30" s="185"/>
      <c r="AT30" s="185"/>
      <c r="AU30" s="185"/>
      <c r="AV30" s="185"/>
      <c r="AW30" s="186"/>
      <c r="AX30" s="209"/>
      <c r="AY30" s="210"/>
      <c r="AZ30" s="210"/>
      <c r="BA30" s="210"/>
      <c r="BB30" s="210"/>
      <c r="BC30" s="210"/>
      <c r="BD30" s="210"/>
      <c r="BE30" s="210"/>
      <c r="BF30" s="210"/>
      <c r="BG30" s="210"/>
      <c r="BH30" s="210"/>
      <c r="BI30" s="210"/>
      <c r="BJ30" s="210"/>
      <c r="BK30" s="210"/>
      <c r="BL30" s="210"/>
      <c r="BM30" s="210"/>
      <c r="BN30" s="210"/>
      <c r="BO30" s="210"/>
      <c r="BP30" s="210"/>
      <c r="BQ30" s="210"/>
      <c r="BR30" s="210"/>
      <c r="BS30" s="210"/>
      <c r="BT30" s="211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x14ac:dyDescent="0.45">
      <c r="A31" s="29"/>
      <c r="B31" s="44"/>
      <c r="C31" s="29"/>
      <c r="D31" s="37">
        <v>21</v>
      </c>
      <c r="E31" s="193" t="s">
        <v>155</v>
      </c>
      <c r="F31" s="194"/>
      <c r="G31" s="194"/>
      <c r="H31" s="194"/>
      <c r="I31" s="194"/>
      <c r="J31" s="194"/>
      <c r="K31" s="194"/>
      <c r="L31" s="195"/>
      <c r="M31" s="190" t="s">
        <v>46</v>
      </c>
      <c r="N31" s="185"/>
      <c r="O31" s="185"/>
      <c r="P31" s="190" t="s">
        <v>119</v>
      </c>
      <c r="Q31" s="185"/>
      <c r="R31" s="185"/>
      <c r="S31" s="190">
        <v>11</v>
      </c>
      <c r="T31" s="185"/>
      <c r="U31" s="185"/>
      <c r="V31" s="196" t="s">
        <v>869</v>
      </c>
      <c r="W31" s="197"/>
      <c r="X31" s="197"/>
      <c r="Y31" s="197"/>
      <c r="Z31" s="197"/>
      <c r="AA31" s="198"/>
      <c r="AB31" s="199"/>
      <c r="AC31" s="200"/>
      <c r="AD31" s="200"/>
      <c r="AE31" s="200"/>
      <c r="AF31" s="200"/>
      <c r="AG31" s="200"/>
      <c r="AH31" s="200"/>
      <c r="AI31" s="200"/>
      <c r="AJ31" s="200"/>
      <c r="AK31" s="200"/>
      <c r="AL31" s="200"/>
      <c r="AM31" s="200"/>
      <c r="AN31" s="200"/>
      <c r="AO31" s="200"/>
      <c r="AP31" s="200"/>
      <c r="AQ31" s="201"/>
      <c r="AR31" s="190"/>
      <c r="AS31" s="185"/>
      <c r="AT31" s="185"/>
      <c r="AU31" s="185"/>
      <c r="AV31" s="185"/>
      <c r="AW31" s="186"/>
      <c r="AX31" s="209"/>
      <c r="AY31" s="210"/>
      <c r="AZ31" s="210"/>
      <c r="BA31" s="210"/>
      <c r="BB31" s="210"/>
      <c r="BC31" s="210"/>
      <c r="BD31" s="210"/>
      <c r="BE31" s="210"/>
      <c r="BF31" s="210"/>
      <c r="BG31" s="210"/>
      <c r="BH31" s="210"/>
      <c r="BI31" s="210"/>
      <c r="BJ31" s="210"/>
      <c r="BK31" s="210"/>
      <c r="BL31" s="210"/>
      <c r="BM31" s="210"/>
      <c r="BN31" s="210"/>
      <c r="BO31" s="210"/>
      <c r="BP31" s="210"/>
      <c r="BQ31" s="210"/>
      <c r="BR31" s="210"/>
      <c r="BS31" s="210"/>
      <c r="BT31" s="211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19.5" customHeight="1" x14ac:dyDescent="0.45">
      <c r="A32" s="29"/>
      <c r="B32" s="44"/>
      <c r="C32"/>
      <c r="D32" s="37">
        <v>22</v>
      </c>
      <c r="E32" s="202" t="s">
        <v>870</v>
      </c>
      <c r="F32" s="203"/>
      <c r="G32" s="203"/>
      <c r="H32" s="203"/>
      <c r="I32" s="203"/>
      <c r="J32" s="203"/>
      <c r="K32" s="203"/>
      <c r="L32" s="204"/>
      <c r="M32" s="190" t="s">
        <v>46</v>
      </c>
      <c r="N32" s="185"/>
      <c r="O32" s="185"/>
      <c r="P32" s="190" t="s">
        <v>119</v>
      </c>
      <c r="Q32" s="185"/>
      <c r="R32" s="185"/>
      <c r="S32" s="190">
        <v>11</v>
      </c>
      <c r="T32" s="185"/>
      <c r="U32" s="185"/>
      <c r="V32" s="196" t="s">
        <v>872</v>
      </c>
      <c r="W32" s="197"/>
      <c r="X32" s="197"/>
      <c r="Y32" s="197"/>
      <c r="Z32" s="197"/>
      <c r="AA32" s="198"/>
      <c r="AB32" s="199"/>
      <c r="AC32" s="200"/>
      <c r="AD32" s="200"/>
      <c r="AE32" s="200"/>
      <c r="AF32" s="200"/>
      <c r="AG32" s="200"/>
      <c r="AH32" s="200"/>
      <c r="AI32" s="200"/>
      <c r="AJ32" s="200"/>
      <c r="AK32" s="200"/>
      <c r="AL32" s="200"/>
      <c r="AM32" s="200"/>
      <c r="AN32" s="200"/>
      <c r="AO32" s="200"/>
      <c r="AP32" s="200"/>
      <c r="AQ32" s="201"/>
      <c r="AR32" s="190"/>
      <c r="AS32" s="185"/>
      <c r="AT32" s="185"/>
      <c r="AU32" s="185"/>
      <c r="AV32" s="185"/>
      <c r="AW32" s="186"/>
      <c r="AX32" s="209"/>
      <c r="AY32" s="210"/>
      <c r="AZ32" s="210"/>
      <c r="BA32" s="210"/>
      <c r="BB32" s="210"/>
      <c r="BC32" s="210"/>
      <c r="BD32" s="210"/>
      <c r="BE32" s="210"/>
      <c r="BF32" s="210"/>
      <c r="BG32" s="210"/>
      <c r="BH32" s="210"/>
      <c r="BI32" s="210"/>
      <c r="BJ32" s="210"/>
      <c r="BK32" s="210"/>
      <c r="BL32" s="210"/>
      <c r="BM32" s="210"/>
      <c r="BN32" s="210"/>
      <c r="BO32" s="210"/>
      <c r="BP32" s="210"/>
      <c r="BQ32" s="210"/>
      <c r="BR32" s="210"/>
      <c r="BS32" s="210"/>
      <c r="BT32" s="211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 x14ac:dyDescent="0.45">
      <c r="A33" s="29"/>
      <c r="B33" s="44"/>
      <c r="C33"/>
      <c r="D33" s="37">
        <v>23</v>
      </c>
      <c r="E33" s="202" t="s">
        <v>871</v>
      </c>
      <c r="F33" s="203"/>
      <c r="G33" s="203"/>
      <c r="H33" s="203"/>
      <c r="I33" s="203"/>
      <c r="J33" s="203"/>
      <c r="K33" s="203"/>
      <c r="L33" s="204"/>
      <c r="M33" s="190" t="s">
        <v>37</v>
      </c>
      <c r="N33" s="185"/>
      <c r="O33" s="185"/>
      <c r="P33" s="190" t="s">
        <v>120</v>
      </c>
      <c r="Q33" s="185"/>
      <c r="R33" s="185"/>
      <c r="S33" s="190">
        <v>20</v>
      </c>
      <c r="T33" s="185"/>
      <c r="U33" s="185"/>
      <c r="V33" s="209" t="s">
        <v>864</v>
      </c>
      <c r="W33" s="210"/>
      <c r="X33" s="210"/>
      <c r="Y33" s="210"/>
      <c r="Z33" s="210"/>
      <c r="AA33" s="213"/>
      <c r="AB33" s="199" t="s">
        <v>112</v>
      </c>
      <c r="AC33" s="200"/>
      <c r="AD33" s="200"/>
      <c r="AE33" s="200"/>
      <c r="AF33" s="200"/>
      <c r="AG33" s="200"/>
      <c r="AH33" s="200"/>
      <c r="AI33" s="200"/>
      <c r="AJ33" s="200"/>
      <c r="AK33" s="200"/>
      <c r="AL33" s="200"/>
      <c r="AM33" s="200"/>
      <c r="AN33" s="200"/>
      <c r="AO33" s="200"/>
      <c r="AP33" s="200"/>
      <c r="AQ33" s="201"/>
      <c r="AR33" s="190" t="s">
        <v>130</v>
      </c>
      <c r="AS33" s="185"/>
      <c r="AT33" s="185"/>
      <c r="AU33" s="185"/>
      <c r="AV33" s="185"/>
      <c r="AW33" s="186"/>
      <c r="AX33" s="209" t="s">
        <v>111</v>
      </c>
      <c r="AY33" s="210"/>
      <c r="AZ33" s="210"/>
      <c r="BA33" s="210"/>
      <c r="BB33" s="210"/>
      <c r="BC33" s="210"/>
      <c r="BD33" s="210"/>
      <c r="BE33" s="210"/>
      <c r="BF33" s="210"/>
      <c r="BG33" s="210"/>
      <c r="BH33" s="210"/>
      <c r="BI33" s="210"/>
      <c r="BJ33" s="210"/>
      <c r="BK33" s="210"/>
      <c r="BL33" s="210"/>
      <c r="BM33" s="210"/>
      <c r="BN33" s="210"/>
      <c r="BO33" s="210"/>
      <c r="BP33" s="210"/>
      <c r="BQ33" s="210"/>
      <c r="BR33" s="210"/>
      <c r="BS33" s="210"/>
      <c r="BT33" s="211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 x14ac:dyDescent="0.45">
      <c r="A34" s="29"/>
      <c r="B34" s="44"/>
      <c r="C34" s="29"/>
      <c r="D34" s="37">
        <v>24</v>
      </c>
      <c r="E34" s="202" t="s">
        <v>97</v>
      </c>
      <c r="F34" s="203"/>
      <c r="G34" s="203"/>
      <c r="H34" s="203"/>
      <c r="I34" s="203"/>
      <c r="J34" s="203"/>
      <c r="K34" s="203"/>
      <c r="L34" s="204"/>
      <c r="M34" s="190" t="s">
        <v>37</v>
      </c>
      <c r="N34" s="185"/>
      <c r="O34" s="185"/>
      <c r="P34" s="190" t="s">
        <v>119</v>
      </c>
      <c r="Q34" s="185"/>
      <c r="R34" s="185"/>
      <c r="S34" s="190">
        <v>41</v>
      </c>
      <c r="T34" s="185"/>
      <c r="U34" s="185"/>
      <c r="V34" s="209" t="s">
        <v>113</v>
      </c>
      <c r="W34" s="210"/>
      <c r="X34" s="210"/>
      <c r="Y34" s="210"/>
      <c r="Z34" s="210"/>
      <c r="AA34" s="213"/>
      <c r="AB34" s="199"/>
      <c r="AC34" s="200"/>
      <c r="AD34" s="200"/>
      <c r="AE34" s="200"/>
      <c r="AF34" s="200"/>
      <c r="AG34" s="200"/>
      <c r="AH34" s="200"/>
      <c r="AI34" s="200"/>
      <c r="AJ34" s="200"/>
      <c r="AK34" s="200"/>
      <c r="AL34" s="200"/>
      <c r="AM34" s="200"/>
      <c r="AN34" s="200"/>
      <c r="AO34" s="200"/>
      <c r="AP34" s="200"/>
      <c r="AQ34" s="201"/>
      <c r="AR34" s="190"/>
      <c r="AS34" s="185"/>
      <c r="AT34" s="185"/>
      <c r="AU34" s="185"/>
      <c r="AV34" s="185"/>
      <c r="AW34" s="186"/>
      <c r="AX34" s="209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  <c r="BM34" s="210"/>
      <c r="BN34" s="210"/>
      <c r="BO34" s="210"/>
      <c r="BP34" s="210"/>
      <c r="BQ34" s="210"/>
      <c r="BR34" s="210"/>
      <c r="BS34" s="210"/>
      <c r="BT34" s="211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19.5" customHeight="1" x14ac:dyDescent="0.45">
      <c r="A35" s="29"/>
      <c r="B35" s="44"/>
      <c r="C35" s="29"/>
      <c r="D35" s="37">
        <v>25</v>
      </c>
      <c r="E35" s="202" t="s">
        <v>98</v>
      </c>
      <c r="F35" s="203"/>
      <c r="G35" s="203"/>
      <c r="H35" s="203"/>
      <c r="I35" s="203"/>
      <c r="J35" s="203"/>
      <c r="K35" s="203"/>
      <c r="L35" s="204"/>
      <c r="M35" s="190" t="s">
        <v>37</v>
      </c>
      <c r="N35" s="185"/>
      <c r="O35" s="185"/>
      <c r="P35" s="190" t="s">
        <v>120</v>
      </c>
      <c r="Q35" s="185"/>
      <c r="R35" s="185"/>
      <c r="S35" s="190">
        <v>6</v>
      </c>
      <c r="T35" s="185"/>
      <c r="U35" s="185"/>
      <c r="V35" s="209" t="s">
        <v>151</v>
      </c>
      <c r="W35" s="210"/>
      <c r="X35" s="210"/>
      <c r="Y35" s="210"/>
      <c r="Z35" s="210"/>
      <c r="AA35" s="213"/>
      <c r="AB35" s="199"/>
      <c r="AC35" s="200"/>
      <c r="AD35" s="200"/>
      <c r="AE35" s="200"/>
      <c r="AF35" s="200"/>
      <c r="AG35" s="200"/>
      <c r="AH35" s="200"/>
      <c r="AI35" s="200"/>
      <c r="AJ35" s="200"/>
      <c r="AK35" s="200"/>
      <c r="AL35" s="200"/>
      <c r="AM35" s="200"/>
      <c r="AN35" s="200"/>
      <c r="AO35" s="200"/>
      <c r="AP35" s="200"/>
      <c r="AQ35" s="201"/>
      <c r="AR35" s="190"/>
      <c r="AS35" s="185"/>
      <c r="AT35" s="185"/>
      <c r="AU35" s="185"/>
      <c r="AV35" s="185"/>
      <c r="AW35" s="186"/>
      <c r="AX35" s="209"/>
      <c r="AY35" s="210"/>
      <c r="AZ35" s="210"/>
      <c r="BA35" s="210"/>
      <c r="BB35" s="210"/>
      <c r="BC35" s="210"/>
      <c r="BD35" s="210"/>
      <c r="BE35" s="210"/>
      <c r="BF35" s="210"/>
      <c r="BG35" s="210"/>
      <c r="BH35" s="210"/>
      <c r="BI35" s="210"/>
      <c r="BJ35" s="210"/>
      <c r="BK35" s="210"/>
      <c r="BL35" s="210"/>
      <c r="BM35" s="210"/>
      <c r="BN35" s="210"/>
      <c r="BO35" s="210"/>
      <c r="BP35" s="210"/>
      <c r="BQ35" s="210"/>
      <c r="BR35" s="210"/>
      <c r="BS35" s="210"/>
      <c r="BT35" s="211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ht="19.5" customHeight="1" x14ac:dyDescent="0.45">
      <c r="A36" s="29"/>
      <c r="B36" s="44"/>
      <c r="C36" s="29"/>
      <c r="D36" s="37">
        <v>26</v>
      </c>
      <c r="E36" s="202" t="s">
        <v>99</v>
      </c>
      <c r="F36" s="203"/>
      <c r="G36" s="203"/>
      <c r="H36" s="203"/>
      <c r="I36" s="203"/>
      <c r="J36" s="203"/>
      <c r="K36" s="203"/>
      <c r="L36" s="204"/>
      <c r="M36" s="190" t="s">
        <v>37</v>
      </c>
      <c r="N36" s="185"/>
      <c r="O36" s="185"/>
      <c r="P36" s="190" t="s">
        <v>119</v>
      </c>
      <c r="Q36" s="185"/>
      <c r="R36" s="185"/>
      <c r="S36" s="190">
        <v>4</v>
      </c>
      <c r="T36" s="185"/>
      <c r="U36" s="185"/>
      <c r="V36" s="209" t="s">
        <v>797</v>
      </c>
      <c r="W36" s="210"/>
      <c r="X36" s="210"/>
      <c r="Y36" s="210"/>
      <c r="Z36" s="210"/>
      <c r="AA36" s="213"/>
      <c r="AB36" s="199" t="s">
        <v>823</v>
      </c>
      <c r="AC36" s="200"/>
      <c r="AD36" s="200"/>
      <c r="AE36" s="200"/>
      <c r="AF36" s="200"/>
      <c r="AG36" s="200"/>
      <c r="AH36" s="200"/>
      <c r="AI36" s="200"/>
      <c r="AJ36" s="200"/>
      <c r="AK36" s="200"/>
      <c r="AL36" s="200"/>
      <c r="AM36" s="200"/>
      <c r="AN36" s="200"/>
      <c r="AO36" s="200"/>
      <c r="AP36" s="200"/>
      <c r="AQ36" s="201"/>
      <c r="AR36" s="190"/>
      <c r="AS36" s="185"/>
      <c r="AT36" s="185"/>
      <c r="AU36" s="185"/>
      <c r="AV36" s="185"/>
      <c r="AW36" s="186"/>
      <c r="AX36" s="209"/>
      <c r="AY36" s="210"/>
      <c r="AZ36" s="210"/>
      <c r="BA36" s="210"/>
      <c r="BB36" s="210"/>
      <c r="BC36" s="210"/>
      <c r="BD36" s="210"/>
      <c r="BE36" s="210"/>
      <c r="BF36" s="210"/>
      <c r="BG36" s="210"/>
      <c r="BH36" s="210"/>
      <c r="BI36" s="210"/>
      <c r="BJ36" s="210"/>
      <c r="BK36" s="210"/>
      <c r="BL36" s="210"/>
      <c r="BM36" s="210"/>
      <c r="BN36" s="210"/>
      <c r="BO36" s="210"/>
      <c r="BP36" s="210"/>
      <c r="BQ36" s="210"/>
      <c r="BR36" s="210"/>
      <c r="BS36" s="210"/>
      <c r="BT36" s="211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ht="19.5" customHeight="1" x14ac:dyDescent="0.45">
      <c r="A37" s="29"/>
      <c r="B37" s="44"/>
      <c r="C37" s="29"/>
      <c r="D37" s="37">
        <v>27</v>
      </c>
      <c r="E37" s="202" t="s">
        <v>100</v>
      </c>
      <c r="F37" s="203"/>
      <c r="G37" s="203"/>
      <c r="H37" s="203"/>
      <c r="I37" s="203"/>
      <c r="J37" s="203"/>
      <c r="K37" s="203"/>
      <c r="L37" s="204"/>
      <c r="M37" s="190" t="s">
        <v>37</v>
      </c>
      <c r="N37" s="185"/>
      <c r="O37" s="185"/>
      <c r="P37" s="190" t="s">
        <v>119</v>
      </c>
      <c r="Q37" s="185"/>
      <c r="R37" s="185"/>
      <c r="S37" s="190">
        <v>4</v>
      </c>
      <c r="T37" s="185"/>
      <c r="U37" s="185"/>
      <c r="V37" s="209" t="s">
        <v>798</v>
      </c>
      <c r="W37" s="210"/>
      <c r="X37" s="210"/>
      <c r="Y37" s="210"/>
      <c r="Z37" s="210"/>
      <c r="AA37" s="213"/>
      <c r="AB37" s="199" t="s">
        <v>824</v>
      </c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1"/>
      <c r="AR37" s="190"/>
      <c r="AS37" s="185"/>
      <c r="AT37" s="185"/>
      <c r="AU37" s="185"/>
      <c r="AV37" s="185"/>
      <c r="AW37" s="186"/>
      <c r="AX37" s="209"/>
      <c r="AY37" s="210"/>
      <c r="AZ37" s="210"/>
      <c r="BA37" s="210"/>
      <c r="BB37" s="210"/>
      <c r="BC37" s="210"/>
      <c r="BD37" s="210"/>
      <c r="BE37" s="210"/>
      <c r="BF37" s="210"/>
      <c r="BG37" s="210"/>
      <c r="BH37" s="210"/>
      <c r="BI37" s="210"/>
      <c r="BJ37" s="210"/>
      <c r="BK37" s="210"/>
      <c r="BL37" s="210"/>
      <c r="BM37" s="210"/>
      <c r="BN37" s="210"/>
      <c r="BO37" s="210"/>
      <c r="BP37" s="210"/>
      <c r="BQ37" s="210"/>
      <c r="BR37" s="210"/>
      <c r="BS37" s="210"/>
      <c r="BT37" s="211"/>
      <c r="BU37" s="41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</row>
    <row r="38" spans="1:85" ht="19.5" customHeight="1" x14ac:dyDescent="0.45">
      <c r="A38" s="29"/>
      <c r="B38" s="44"/>
      <c r="C38" s="29"/>
      <c r="D38" s="37">
        <v>28</v>
      </c>
      <c r="E38" s="193" t="s">
        <v>124</v>
      </c>
      <c r="F38" s="194"/>
      <c r="G38" s="194"/>
      <c r="H38" s="194"/>
      <c r="I38" s="194"/>
      <c r="J38" s="194"/>
      <c r="K38" s="194"/>
      <c r="L38" s="195"/>
      <c r="M38" s="190" t="s">
        <v>37</v>
      </c>
      <c r="N38" s="185"/>
      <c r="O38" s="185"/>
      <c r="P38" s="190" t="s">
        <v>120</v>
      </c>
      <c r="Q38" s="185"/>
      <c r="R38" s="185"/>
      <c r="S38" s="190" t="s">
        <v>128</v>
      </c>
      <c r="T38" s="185"/>
      <c r="U38" s="185"/>
      <c r="V38" s="209" t="s">
        <v>799</v>
      </c>
      <c r="W38" s="210"/>
      <c r="X38" s="210"/>
      <c r="Y38" s="210"/>
      <c r="Z38" s="210"/>
      <c r="AA38" s="213"/>
      <c r="AB38" s="199" t="s">
        <v>825</v>
      </c>
      <c r="AC38" s="200"/>
      <c r="AD38" s="200"/>
      <c r="AE38" s="200"/>
      <c r="AF38" s="200"/>
      <c r="AG38" s="200"/>
      <c r="AH38" s="200"/>
      <c r="AI38" s="200"/>
      <c r="AJ38" s="200"/>
      <c r="AK38" s="200"/>
      <c r="AL38" s="200"/>
      <c r="AM38" s="200"/>
      <c r="AN38" s="200"/>
      <c r="AO38" s="200"/>
      <c r="AP38" s="200"/>
      <c r="AQ38" s="201"/>
      <c r="AR38" s="190"/>
      <c r="AS38" s="185"/>
      <c r="AT38" s="185"/>
      <c r="AU38" s="185"/>
      <c r="AV38" s="185"/>
      <c r="AW38" s="186"/>
      <c r="AX38" s="209"/>
      <c r="AY38" s="210"/>
      <c r="AZ38" s="210"/>
      <c r="BA38" s="210"/>
      <c r="BB38" s="210"/>
      <c r="BC38" s="210"/>
      <c r="BD38" s="210"/>
      <c r="BE38" s="210"/>
      <c r="BF38" s="210"/>
      <c r="BG38" s="210"/>
      <c r="BH38" s="210"/>
      <c r="BI38" s="210"/>
      <c r="BJ38" s="210"/>
      <c r="BK38" s="210"/>
      <c r="BL38" s="210"/>
      <c r="BM38" s="210"/>
      <c r="BN38" s="210"/>
      <c r="BO38" s="210"/>
      <c r="BP38" s="210"/>
      <c r="BQ38" s="210"/>
      <c r="BR38" s="210"/>
      <c r="BS38" s="210"/>
      <c r="BT38" s="211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ht="19.5" customHeight="1" x14ac:dyDescent="0.45">
      <c r="A39" s="29"/>
      <c r="B39" s="44"/>
      <c r="C39" s="29"/>
      <c r="D39" s="37">
        <v>29</v>
      </c>
      <c r="E39" s="202" t="s">
        <v>101</v>
      </c>
      <c r="F39" s="203"/>
      <c r="G39" s="203"/>
      <c r="H39" s="203"/>
      <c r="I39" s="203"/>
      <c r="J39" s="203"/>
      <c r="K39" s="203"/>
      <c r="L39" s="204"/>
      <c r="M39" s="190" t="s">
        <v>37</v>
      </c>
      <c r="N39" s="185"/>
      <c r="O39" s="185"/>
      <c r="P39" s="190" t="s">
        <v>119</v>
      </c>
      <c r="Q39" s="185"/>
      <c r="R39" s="185"/>
      <c r="S39" s="190">
        <v>10</v>
      </c>
      <c r="T39" s="185"/>
      <c r="U39" s="185"/>
      <c r="V39" s="209" t="s">
        <v>800</v>
      </c>
      <c r="W39" s="210"/>
      <c r="X39" s="210"/>
      <c r="Y39" s="210"/>
      <c r="Z39" s="210"/>
      <c r="AA39" s="213"/>
      <c r="AB39" s="199" t="s">
        <v>826</v>
      </c>
      <c r="AC39" s="200"/>
      <c r="AD39" s="200"/>
      <c r="AE39" s="200"/>
      <c r="AF39" s="200"/>
      <c r="AG39" s="200"/>
      <c r="AH39" s="200"/>
      <c r="AI39" s="200"/>
      <c r="AJ39" s="200"/>
      <c r="AK39" s="200"/>
      <c r="AL39" s="200"/>
      <c r="AM39" s="200"/>
      <c r="AN39" s="200"/>
      <c r="AO39" s="200"/>
      <c r="AP39" s="200"/>
      <c r="AQ39" s="201"/>
      <c r="AR39" s="190"/>
      <c r="AS39" s="185"/>
      <c r="AT39" s="185"/>
      <c r="AU39" s="185"/>
      <c r="AV39" s="185"/>
      <c r="AW39" s="186"/>
      <c r="AX39" s="209"/>
      <c r="AY39" s="210"/>
      <c r="AZ39" s="210"/>
      <c r="BA39" s="210"/>
      <c r="BB39" s="210"/>
      <c r="BC39" s="210"/>
      <c r="BD39" s="210"/>
      <c r="BE39" s="210"/>
      <c r="BF39" s="210"/>
      <c r="BG39" s="210"/>
      <c r="BH39" s="210"/>
      <c r="BI39" s="210"/>
      <c r="BJ39" s="210"/>
      <c r="BK39" s="210"/>
      <c r="BL39" s="210"/>
      <c r="BM39" s="210"/>
      <c r="BN39" s="210"/>
      <c r="BO39" s="210"/>
      <c r="BP39" s="210"/>
      <c r="BQ39" s="210"/>
      <c r="BR39" s="210"/>
      <c r="BS39" s="210"/>
      <c r="BT39" s="211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ht="19.5" customHeight="1" x14ac:dyDescent="0.45">
      <c r="A40" s="29"/>
      <c r="B40" s="44"/>
      <c r="C40" s="29"/>
      <c r="D40" s="37">
        <v>30</v>
      </c>
      <c r="E40" s="202" t="s">
        <v>102</v>
      </c>
      <c r="F40" s="203"/>
      <c r="G40" s="203"/>
      <c r="H40" s="203"/>
      <c r="I40" s="203"/>
      <c r="J40" s="203"/>
      <c r="K40" s="203"/>
      <c r="L40" s="204"/>
      <c r="M40" s="190" t="s">
        <v>37</v>
      </c>
      <c r="N40" s="185"/>
      <c r="O40" s="185"/>
      <c r="P40" s="190" t="s">
        <v>119</v>
      </c>
      <c r="Q40" s="185"/>
      <c r="R40" s="185"/>
      <c r="S40" s="190">
        <v>10</v>
      </c>
      <c r="T40" s="185"/>
      <c r="U40" s="185"/>
      <c r="V40" s="209" t="s">
        <v>801</v>
      </c>
      <c r="W40" s="210"/>
      <c r="X40" s="210"/>
      <c r="Y40" s="210"/>
      <c r="Z40" s="210"/>
      <c r="AA40" s="213"/>
      <c r="AB40" s="199"/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  <c r="AM40" s="200"/>
      <c r="AN40" s="200"/>
      <c r="AO40" s="200"/>
      <c r="AP40" s="200"/>
      <c r="AQ40" s="201"/>
      <c r="AR40" s="190"/>
      <c r="AS40" s="185"/>
      <c r="AT40" s="185"/>
      <c r="AU40" s="185"/>
      <c r="AV40" s="185"/>
      <c r="AW40" s="186"/>
      <c r="AX40" s="209"/>
      <c r="AY40" s="210"/>
      <c r="AZ40" s="210"/>
      <c r="BA40" s="210"/>
      <c r="BB40" s="210"/>
      <c r="BC40" s="210"/>
      <c r="BD40" s="210"/>
      <c r="BE40" s="210"/>
      <c r="BF40" s="210"/>
      <c r="BG40" s="210"/>
      <c r="BH40" s="210"/>
      <c r="BI40" s="210"/>
      <c r="BJ40" s="210"/>
      <c r="BK40" s="210"/>
      <c r="BL40" s="210"/>
      <c r="BM40" s="210"/>
      <c r="BN40" s="210"/>
      <c r="BO40" s="210"/>
      <c r="BP40" s="210"/>
      <c r="BQ40" s="210"/>
      <c r="BR40" s="210"/>
      <c r="BS40" s="210"/>
      <c r="BT40" s="211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ht="19.5" customHeight="1" x14ac:dyDescent="0.45">
      <c r="A41" s="29"/>
      <c r="B41" s="44"/>
      <c r="C41" s="29"/>
      <c r="D41" s="37">
        <v>31</v>
      </c>
      <c r="E41" s="202" t="s">
        <v>103</v>
      </c>
      <c r="F41" s="203"/>
      <c r="G41" s="203"/>
      <c r="H41" s="203"/>
      <c r="I41" s="203"/>
      <c r="J41" s="203"/>
      <c r="K41" s="203"/>
      <c r="L41" s="204"/>
      <c r="M41" s="190" t="s">
        <v>37</v>
      </c>
      <c r="N41" s="185"/>
      <c r="O41" s="185"/>
      <c r="P41" s="190" t="s">
        <v>119</v>
      </c>
      <c r="Q41" s="185"/>
      <c r="R41" s="185"/>
      <c r="S41" s="190">
        <v>9</v>
      </c>
      <c r="T41" s="185"/>
      <c r="U41" s="185"/>
      <c r="V41" s="209" t="s">
        <v>802</v>
      </c>
      <c r="W41" s="210"/>
      <c r="X41" s="210"/>
      <c r="Y41" s="210"/>
      <c r="Z41" s="210"/>
      <c r="AA41" s="213"/>
      <c r="AB41" s="199"/>
      <c r="AC41" s="200"/>
      <c r="AD41" s="200"/>
      <c r="AE41" s="200"/>
      <c r="AF41" s="200"/>
      <c r="AG41" s="200"/>
      <c r="AH41" s="200"/>
      <c r="AI41" s="200"/>
      <c r="AJ41" s="200"/>
      <c r="AK41" s="200"/>
      <c r="AL41" s="200"/>
      <c r="AM41" s="200"/>
      <c r="AN41" s="200"/>
      <c r="AO41" s="200"/>
      <c r="AP41" s="200"/>
      <c r="AQ41" s="201"/>
      <c r="AR41" s="190"/>
      <c r="AS41" s="185"/>
      <c r="AT41" s="185"/>
      <c r="AU41" s="185"/>
      <c r="AV41" s="185"/>
      <c r="AW41" s="186"/>
      <c r="AX41" s="209"/>
      <c r="AY41" s="210"/>
      <c r="AZ41" s="210"/>
      <c r="BA41" s="210"/>
      <c r="BB41" s="210"/>
      <c r="BC41" s="210"/>
      <c r="BD41" s="210"/>
      <c r="BE41" s="210"/>
      <c r="BF41" s="210"/>
      <c r="BG41" s="210"/>
      <c r="BH41" s="210"/>
      <c r="BI41" s="210"/>
      <c r="BJ41" s="210"/>
      <c r="BK41" s="210"/>
      <c r="BL41" s="210"/>
      <c r="BM41" s="210"/>
      <c r="BN41" s="210"/>
      <c r="BO41" s="210"/>
      <c r="BP41" s="210"/>
      <c r="BQ41" s="210"/>
      <c r="BR41" s="210"/>
      <c r="BS41" s="210"/>
      <c r="BT41" s="211"/>
      <c r="BU41" s="41"/>
      <c r="BV41" s="40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</row>
    <row r="42" spans="1:85" ht="28.8" customHeight="1" x14ac:dyDescent="0.45">
      <c r="A42" s="29"/>
      <c r="B42" s="44"/>
      <c r="C42" s="29"/>
      <c r="D42" s="37">
        <v>32</v>
      </c>
      <c r="E42" s="202" t="s">
        <v>104</v>
      </c>
      <c r="F42" s="203"/>
      <c r="G42" s="203"/>
      <c r="H42" s="203"/>
      <c r="I42" s="203"/>
      <c r="J42" s="203"/>
      <c r="K42" s="203"/>
      <c r="L42" s="204"/>
      <c r="M42" s="190" t="s">
        <v>37</v>
      </c>
      <c r="N42" s="185"/>
      <c r="O42" s="185"/>
      <c r="P42" s="190" t="s">
        <v>119</v>
      </c>
      <c r="Q42" s="185"/>
      <c r="R42" s="185"/>
      <c r="S42" s="190">
        <v>9</v>
      </c>
      <c r="T42" s="185"/>
      <c r="U42" s="185"/>
      <c r="V42" s="209" t="s">
        <v>803</v>
      </c>
      <c r="W42" s="210"/>
      <c r="X42" s="210"/>
      <c r="Y42" s="210"/>
      <c r="Z42" s="210"/>
      <c r="AA42" s="213"/>
      <c r="AB42" s="208" t="s">
        <v>827</v>
      </c>
      <c r="AC42" s="200"/>
      <c r="AD42" s="200"/>
      <c r="AE42" s="200"/>
      <c r="AF42" s="200"/>
      <c r="AG42" s="200"/>
      <c r="AH42" s="200"/>
      <c r="AI42" s="200"/>
      <c r="AJ42" s="200"/>
      <c r="AK42" s="200"/>
      <c r="AL42" s="200"/>
      <c r="AM42" s="200"/>
      <c r="AN42" s="200"/>
      <c r="AO42" s="200"/>
      <c r="AP42" s="200"/>
      <c r="AQ42" s="201"/>
      <c r="AR42" s="190"/>
      <c r="AS42" s="185"/>
      <c r="AT42" s="185"/>
      <c r="AU42" s="185"/>
      <c r="AV42" s="185"/>
      <c r="AW42" s="186"/>
      <c r="AX42" s="209"/>
      <c r="AY42" s="210"/>
      <c r="AZ42" s="210"/>
      <c r="BA42" s="210"/>
      <c r="BB42" s="210"/>
      <c r="BC42" s="210"/>
      <c r="BD42" s="210"/>
      <c r="BE42" s="210"/>
      <c r="BF42" s="210"/>
      <c r="BG42" s="210"/>
      <c r="BH42" s="210"/>
      <c r="BI42" s="210"/>
      <c r="BJ42" s="210"/>
      <c r="BK42" s="210"/>
      <c r="BL42" s="210"/>
      <c r="BM42" s="210"/>
      <c r="BN42" s="210"/>
      <c r="BO42" s="210"/>
      <c r="BP42" s="210"/>
      <c r="BQ42" s="210"/>
      <c r="BR42" s="210"/>
      <c r="BS42" s="210"/>
      <c r="BT42" s="211"/>
      <c r="BU42" s="41"/>
      <c r="BV42" s="40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</row>
    <row r="43" spans="1:85" ht="28.8" customHeight="1" x14ac:dyDescent="0.45">
      <c r="A43" s="29"/>
      <c r="B43" s="44"/>
      <c r="C43" s="29"/>
      <c r="D43" s="37">
        <v>33</v>
      </c>
      <c r="E43" s="202" t="s">
        <v>105</v>
      </c>
      <c r="F43" s="203"/>
      <c r="G43" s="203"/>
      <c r="H43" s="203"/>
      <c r="I43" s="203"/>
      <c r="J43" s="203"/>
      <c r="K43" s="203"/>
      <c r="L43" s="204"/>
      <c r="M43" s="190" t="s">
        <v>37</v>
      </c>
      <c r="N43" s="185"/>
      <c r="O43" s="185"/>
      <c r="P43" s="190" t="s">
        <v>119</v>
      </c>
      <c r="Q43" s="185"/>
      <c r="R43" s="185"/>
      <c r="S43" s="190">
        <v>9</v>
      </c>
      <c r="T43" s="185"/>
      <c r="U43" s="185"/>
      <c r="V43" s="209" t="s">
        <v>804</v>
      </c>
      <c r="W43" s="210"/>
      <c r="X43" s="210"/>
      <c r="Y43" s="210"/>
      <c r="Z43" s="210"/>
      <c r="AA43" s="213"/>
      <c r="AB43" s="208" t="s">
        <v>828</v>
      </c>
      <c r="AC43" s="200"/>
      <c r="AD43" s="200"/>
      <c r="AE43" s="200"/>
      <c r="AF43" s="200"/>
      <c r="AG43" s="200"/>
      <c r="AH43" s="200"/>
      <c r="AI43" s="200"/>
      <c r="AJ43" s="200"/>
      <c r="AK43" s="200"/>
      <c r="AL43" s="200"/>
      <c r="AM43" s="200"/>
      <c r="AN43" s="200"/>
      <c r="AO43" s="200"/>
      <c r="AP43" s="200"/>
      <c r="AQ43" s="201"/>
      <c r="AR43" s="190"/>
      <c r="AS43" s="185"/>
      <c r="AT43" s="185"/>
      <c r="AU43" s="185"/>
      <c r="AV43" s="185"/>
      <c r="AW43" s="186"/>
      <c r="AX43" s="209"/>
      <c r="AY43" s="210"/>
      <c r="AZ43" s="210"/>
      <c r="BA43" s="210"/>
      <c r="BB43" s="210"/>
      <c r="BC43" s="210"/>
      <c r="BD43" s="210"/>
      <c r="BE43" s="210"/>
      <c r="BF43" s="210"/>
      <c r="BG43" s="210"/>
      <c r="BH43" s="210"/>
      <c r="BI43" s="210"/>
      <c r="BJ43" s="210"/>
      <c r="BK43" s="210"/>
      <c r="BL43" s="210"/>
      <c r="BM43" s="210"/>
      <c r="BN43" s="210"/>
      <c r="BO43" s="210"/>
      <c r="BP43" s="210"/>
      <c r="BQ43" s="210"/>
      <c r="BR43" s="210"/>
      <c r="BS43" s="210"/>
      <c r="BT43" s="211"/>
      <c r="BU43" s="41"/>
      <c r="BV43" s="40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</row>
    <row r="44" spans="1:85" ht="28.8" customHeight="1" x14ac:dyDescent="0.45">
      <c r="A44" s="29"/>
      <c r="B44" s="44"/>
      <c r="C44" s="29"/>
      <c r="D44" s="37">
        <v>34</v>
      </c>
      <c r="E44" s="193" t="s">
        <v>116</v>
      </c>
      <c r="F44" s="194"/>
      <c r="G44" s="194"/>
      <c r="H44" s="194"/>
      <c r="I44" s="194"/>
      <c r="J44" s="194"/>
      <c r="K44" s="194"/>
      <c r="L44" s="195"/>
      <c r="M44" s="190" t="s">
        <v>46</v>
      </c>
      <c r="N44" s="185"/>
      <c r="O44" s="185"/>
      <c r="P44" s="190" t="s">
        <v>119</v>
      </c>
      <c r="Q44" s="185"/>
      <c r="R44" s="185"/>
      <c r="S44" s="190">
        <v>6</v>
      </c>
      <c r="T44" s="185"/>
      <c r="U44" s="185"/>
      <c r="V44" s="209" t="s">
        <v>805</v>
      </c>
      <c r="W44" s="210"/>
      <c r="X44" s="210"/>
      <c r="Y44" s="210"/>
      <c r="Z44" s="210"/>
      <c r="AA44" s="213"/>
      <c r="AB44" s="208"/>
      <c r="AC44" s="200"/>
      <c r="AD44" s="200"/>
      <c r="AE44" s="200"/>
      <c r="AF44" s="200"/>
      <c r="AG44" s="200"/>
      <c r="AH44" s="200"/>
      <c r="AI44" s="200"/>
      <c r="AJ44" s="200"/>
      <c r="AK44" s="200"/>
      <c r="AL44" s="200"/>
      <c r="AM44" s="200"/>
      <c r="AN44" s="200"/>
      <c r="AO44" s="200"/>
      <c r="AP44" s="200"/>
      <c r="AQ44" s="201"/>
      <c r="AR44" s="190"/>
      <c r="AS44" s="185"/>
      <c r="AT44" s="185"/>
      <c r="AU44" s="185"/>
      <c r="AV44" s="185"/>
      <c r="AW44" s="186"/>
      <c r="AX44" s="209"/>
      <c r="AY44" s="210"/>
      <c r="AZ44" s="210"/>
      <c r="BA44" s="210"/>
      <c r="BB44" s="210"/>
      <c r="BC44" s="210"/>
      <c r="BD44" s="210"/>
      <c r="BE44" s="210"/>
      <c r="BF44" s="210"/>
      <c r="BG44" s="210"/>
      <c r="BH44" s="210"/>
      <c r="BI44" s="210"/>
      <c r="BJ44" s="210"/>
      <c r="BK44" s="210"/>
      <c r="BL44" s="210"/>
      <c r="BM44" s="210"/>
      <c r="BN44" s="210"/>
      <c r="BO44" s="210"/>
      <c r="BP44" s="210"/>
      <c r="BQ44" s="210"/>
      <c r="BR44" s="210"/>
      <c r="BS44" s="210"/>
      <c r="BT44" s="211"/>
      <c r="BU44" s="41"/>
      <c r="BV44" s="40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</row>
    <row r="45" spans="1:85" ht="19.5" customHeight="1" x14ac:dyDescent="0.45">
      <c r="A45" s="29"/>
      <c r="B45" s="44"/>
      <c r="C45" s="29"/>
      <c r="D45" s="37">
        <v>35</v>
      </c>
      <c r="E45" s="202" t="s">
        <v>106</v>
      </c>
      <c r="F45" s="203"/>
      <c r="G45" s="203"/>
      <c r="H45" s="203"/>
      <c r="I45" s="203"/>
      <c r="J45" s="203"/>
      <c r="K45" s="203"/>
      <c r="L45" s="204"/>
      <c r="M45" s="190" t="s">
        <v>46</v>
      </c>
      <c r="N45" s="185"/>
      <c r="O45" s="185"/>
      <c r="P45" s="190" t="s">
        <v>119</v>
      </c>
      <c r="Q45" s="185"/>
      <c r="R45" s="185"/>
      <c r="S45" s="190">
        <v>9</v>
      </c>
      <c r="T45" s="185"/>
      <c r="U45" s="185"/>
      <c r="V45" s="209" t="s">
        <v>781</v>
      </c>
      <c r="W45" s="210"/>
      <c r="X45" s="210"/>
      <c r="Y45" s="210"/>
      <c r="Z45" s="210"/>
      <c r="AA45" s="213"/>
      <c r="AB45" s="199" t="s">
        <v>782</v>
      </c>
      <c r="AC45" s="200"/>
      <c r="AD45" s="200"/>
      <c r="AE45" s="200"/>
      <c r="AF45" s="200"/>
      <c r="AG45" s="200"/>
      <c r="AH45" s="200"/>
      <c r="AI45" s="200"/>
      <c r="AJ45" s="200"/>
      <c r="AK45" s="200"/>
      <c r="AL45" s="200"/>
      <c r="AM45" s="200"/>
      <c r="AN45" s="200"/>
      <c r="AO45" s="200"/>
      <c r="AP45" s="200"/>
      <c r="AQ45" s="201"/>
      <c r="AR45" s="217" t="s">
        <v>133</v>
      </c>
      <c r="AS45" s="185"/>
      <c r="AT45" s="185"/>
      <c r="AU45" s="185"/>
      <c r="AV45" s="185"/>
      <c r="AW45" s="186"/>
      <c r="AX45" s="209"/>
      <c r="AY45" s="210"/>
      <c r="AZ45" s="210"/>
      <c r="BA45" s="210"/>
      <c r="BB45" s="210"/>
      <c r="BC45" s="210"/>
      <c r="BD45" s="210"/>
      <c r="BE45" s="210"/>
      <c r="BF45" s="210"/>
      <c r="BG45" s="210"/>
      <c r="BH45" s="210"/>
      <c r="BI45" s="210"/>
      <c r="BJ45" s="210"/>
      <c r="BK45" s="210"/>
      <c r="BL45" s="210"/>
      <c r="BM45" s="210"/>
      <c r="BN45" s="210"/>
      <c r="BO45" s="210"/>
      <c r="BP45" s="210"/>
      <c r="BQ45" s="210"/>
      <c r="BR45" s="210"/>
      <c r="BS45" s="210"/>
      <c r="BT45" s="211"/>
      <c r="BU45" s="41"/>
      <c r="BV45" s="40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</row>
    <row r="46" spans="1:85" ht="19.5" customHeight="1" x14ac:dyDescent="0.45">
      <c r="A46" s="29"/>
      <c r="B46" s="44"/>
      <c r="C46" s="29"/>
      <c r="D46" s="37">
        <v>36</v>
      </c>
      <c r="E46" s="202" t="s">
        <v>107</v>
      </c>
      <c r="F46" s="203"/>
      <c r="G46" s="203"/>
      <c r="H46" s="203"/>
      <c r="I46" s="203"/>
      <c r="J46" s="203"/>
      <c r="K46" s="203"/>
      <c r="L46" s="204"/>
      <c r="M46" s="190" t="s">
        <v>37</v>
      </c>
      <c r="N46" s="185"/>
      <c r="O46" s="185"/>
      <c r="P46" s="190" t="s">
        <v>120</v>
      </c>
      <c r="Q46" s="185"/>
      <c r="R46" s="185"/>
      <c r="S46" s="190">
        <v>3</v>
      </c>
      <c r="T46" s="185"/>
      <c r="U46" s="185"/>
      <c r="V46" s="209" t="s">
        <v>806</v>
      </c>
      <c r="W46" s="210"/>
      <c r="X46" s="210"/>
      <c r="Y46" s="210"/>
      <c r="Z46" s="210"/>
      <c r="AA46" s="213"/>
      <c r="AB46" s="199"/>
      <c r="AC46" s="200"/>
      <c r="AD46" s="200"/>
      <c r="AE46" s="200"/>
      <c r="AF46" s="200"/>
      <c r="AG46" s="200"/>
      <c r="AH46" s="200"/>
      <c r="AI46" s="200"/>
      <c r="AJ46" s="200"/>
      <c r="AK46" s="200"/>
      <c r="AL46" s="200"/>
      <c r="AM46" s="200"/>
      <c r="AN46" s="200"/>
      <c r="AO46" s="200"/>
      <c r="AP46" s="200"/>
      <c r="AQ46" s="201"/>
      <c r="AR46" s="190"/>
      <c r="AS46" s="185"/>
      <c r="AT46" s="185"/>
      <c r="AU46" s="185"/>
      <c r="AV46" s="185"/>
      <c r="AW46" s="186"/>
      <c r="AX46" s="209"/>
      <c r="AY46" s="210"/>
      <c r="AZ46" s="210"/>
      <c r="BA46" s="210"/>
      <c r="BB46" s="210"/>
      <c r="BC46" s="210"/>
      <c r="BD46" s="210"/>
      <c r="BE46" s="210"/>
      <c r="BF46" s="210"/>
      <c r="BG46" s="210"/>
      <c r="BH46" s="210"/>
      <c r="BI46" s="210"/>
      <c r="BJ46" s="210"/>
      <c r="BK46" s="210"/>
      <c r="BL46" s="210"/>
      <c r="BM46" s="210"/>
      <c r="BN46" s="210"/>
      <c r="BO46" s="210"/>
      <c r="BP46" s="210"/>
      <c r="BQ46" s="210"/>
      <c r="BR46" s="210"/>
      <c r="BS46" s="210"/>
      <c r="BT46" s="211"/>
      <c r="BU46" s="41"/>
      <c r="BV46" s="40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</row>
    <row r="47" spans="1:85" ht="19.5" customHeight="1" x14ac:dyDescent="0.45">
      <c r="A47" s="29"/>
      <c r="B47" s="44"/>
      <c r="C47" s="29"/>
      <c r="D47" s="37">
        <v>37</v>
      </c>
      <c r="E47" s="193" t="s">
        <v>117</v>
      </c>
      <c r="F47" s="194"/>
      <c r="G47" s="194"/>
      <c r="H47" s="194"/>
      <c r="I47" s="194"/>
      <c r="J47" s="194"/>
      <c r="K47" s="194"/>
      <c r="L47" s="195"/>
      <c r="M47" s="190" t="s">
        <v>46</v>
      </c>
      <c r="N47" s="185"/>
      <c r="O47" s="185"/>
      <c r="P47" s="190" t="s">
        <v>119</v>
      </c>
      <c r="Q47" s="185"/>
      <c r="R47" s="185"/>
      <c r="S47" s="190">
        <v>6</v>
      </c>
      <c r="T47" s="185"/>
      <c r="U47" s="185"/>
      <c r="V47" s="209" t="s">
        <v>807</v>
      </c>
      <c r="W47" s="210"/>
      <c r="X47" s="210"/>
      <c r="Y47" s="210"/>
      <c r="Z47" s="210"/>
      <c r="AA47" s="213"/>
      <c r="AB47" s="199" t="s">
        <v>829</v>
      </c>
      <c r="AC47" s="200"/>
      <c r="AD47" s="200"/>
      <c r="AE47" s="200"/>
      <c r="AF47" s="200"/>
      <c r="AG47" s="200"/>
      <c r="AH47" s="200"/>
      <c r="AI47" s="200"/>
      <c r="AJ47" s="200"/>
      <c r="AK47" s="200"/>
      <c r="AL47" s="200"/>
      <c r="AM47" s="200"/>
      <c r="AN47" s="200"/>
      <c r="AO47" s="200"/>
      <c r="AP47" s="200"/>
      <c r="AQ47" s="201"/>
      <c r="AR47" s="190"/>
      <c r="AS47" s="185"/>
      <c r="AT47" s="185"/>
      <c r="AU47" s="185"/>
      <c r="AV47" s="185"/>
      <c r="AW47" s="186"/>
      <c r="AX47" s="209"/>
      <c r="AY47" s="210"/>
      <c r="AZ47" s="210"/>
      <c r="BA47" s="210"/>
      <c r="BB47" s="210"/>
      <c r="BC47" s="210"/>
      <c r="BD47" s="210"/>
      <c r="BE47" s="210"/>
      <c r="BF47" s="210"/>
      <c r="BG47" s="210"/>
      <c r="BH47" s="210"/>
      <c r="BI47" s="210"/>
      <c r="BJ47" s="210"/>
      <c r="BK47" s="210"/>
      <c r="BL47" s="210"/>
      <c r="BM47" s="210"/>
      <c r="BN47" s="210"/>
      <c r="BO47" s="210"/>
      <c r="BP47" s="210"/>
      <c r="BQ47" s="210"/>
      <c r="BR47" s="210"/>
      <c r="BS47" s="210"/>
      <c r="BT47" s="211"/>
      <c r="BU47" s="41"/>
      <c r="BV47" s="40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</row>
    <row r="48" spans="1:85" ht="19.5" customHeight="1" x14ac:dyDescent="0.45">
      <c r="A48" s="29"/>
      <c r="B48" s="44"/>
      <c r="C48" s="29"/>
      <c r="D48" s="37">
        <v>38</v>
      </c>
      <c r="E48" s="202" t="s">
        <v>108</v>
      </c>
      <c r="F48" s="203"/>
      <c r="G48" s="203"/>
      <c r="H48" s="203"/>
      <c r="I48" s="203"/>
      <c r="J48" s="203"/>
      <c r="K48" s="203"/>
      <c r="L48" s="204"/>
      <c r="M48" s="190" t="s">
        <v>46</v>
      </c>
      <c r="N48" s="185"/>
      <c r="O48" s="185"/>
      <c r="P48" s="190" t="s">
        <v>119</v>
      </c>
      <c r="Q48" s="185"/>
      <c r="R48" s="185"/>
      <c r="S48" s="190">
        <v>12</v>
      </c>
      <c r="T48" s="185"/>
      <c r="U48" s="185"/>
      <c r="V48" s="209" t="s">
        <v>808</v>
      </c>
      <c r="W48" s="210"/>
      <c r="X48" s="210"/>
      <c r="Y48" s="210"/>
      <c r="Z48" s="210"/>
      <c r="AA48" s="213"/>
      <c r="AB48" s="199" t="s">
        <v>118</v>
      </c>
      <c r="AC48" s="200"/>
      <c r="AD48" s="200"/>
      <c r="AE48" s="200"/>
      <c r="AF48" s="200"/>
      <c r="AG48" s="200"/>
      <c r="AH48" s="200"/>
      <c r="AI48" s="200"/>
      <c r="AJ48" s="200"/>
      <c r="AK48" s="200"/>
      <c r="AL48" s="200"/>
      <c r="AM48" s="200"/>
      <c r="AN48" s="200"/>
      <c r="AO48" s="200"/>
      <c r="AP48" s="200"/>
      <c r="AQ48" s="201"/>
      <c r="AR48" s="217" t="s">
        <v>133</v>
      </c>
      <c r="AS48" s="185"/>
      <c r="AT48" s="185"/>
      <c r="AU48" s="185"/>
      <c r="AV48" s="185"/>
      <c r="AW48" s="186"/>
      <c r="AX48" s="209"/>
      <c r="AY48" s="210"/>
      <c r="AZ48" s="210"/>
      <c r="BA48" s="210"/>
      <c r="BB48" s="210"/>
      <c r="BC48" s="210"/>
      <c r="BD48" s="210"/>
      <c r="BE48" s="210"/>
      <c r="BF48" s="210"/>
      <c r="BG48" s="210"/>
      <c r="BH48" s="210"/>
      <c r="BI48" s="210"/>
      <c r="BJ48" s="210"/>
      <c r="BK48" s="210"/>
      <c r="BL48" s="210"/>
      <c r="BM48" s="210"/>
      <c r="BN48" s="210"/>
      <c r="BO48" s="210"/>
      <c r="BP48" s="210"/>
      <c r="BQ48" s="210"/>
      <c r="BR48" s="210"/>
      <c r="BS48" s="210"/>
      <c r="BT48" s="211"/>
      <c r="BU48" s="41"/>
      <c r="BV48" s="40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</row>
    <row r="49" spans="1:85" ht="49.95" customHeight="1" x14ac:dyDescent="0.45">
      <c r="A49" s="29"/>
      <c r="B49" s="44"/>
      <c r="C49" s="29"/>
      <c r="D49" s="37">
        <v>39</v>
      </c>
      <c r="E49" s="202" t="s">
        <v>109</v>
      </c>
      <c r="F49" s="203"/>
      <c r="G49" s="203"/>
      <c r="H49" s="203"/>
      <c r="I49" s="203"/>
      <c r="J49" s="203"/>
      <c r="K49" s="203"/>
      <c r="L49" s="204"/>
      <c r="M49" s="190" t="s">
        <v>46</v>
      </c>
      <c r="N49" s="185"/>
      <c r="O49" s="185"/>
      <c r="P49" s="190" t="s">
        <v>119</v>
      </c>
      <c r="Q49" s="185"/>
      <c r="R49" s="185"/>
      <c r="S49" s="190">
        <v>12</v>
      </c>
      <c r="T49" s="185"/>
      <c r="U49" s="185"/>
      <c r="V49" s="209" t="s">
        <v>809</v>
      </c>
      <c r="W49" s="210"/>
      <c r="X49" s="210"/>
      <c r="Y49" s="210"/>
      <c r="Z49" s="210"/>
      <c r="AA49" s="213"/>
      <c r="AB49" s="208" t="s">
        <v>830</v>
      </c>
      <c r="AC49" s="200"/>
      <c r="AD49" s="200"/>
      <c r="AE49" s="200"/>
      <c r="AF49" s="200"/>
      <c r="AG49" s="200"/>
      <c r="AH49" s="200"/>
      <c r="AI49" s="200"/>
      <c r="AJ49" s="200"/>
      <c r="AK49" s="200"/>
      <c r="AL49" s="200"/>
      <c r="AM49" s="200"/>
      <c r="AN49" s="200"/>
      <c r="AO49" s="200"/>
      <c r="AP49" s="200"/>
      <c r="AQ49" s="201"/>
      <c r="AR49" s="217">
        <v>9999</v>
      </c>
      <c r="AS49" s="185"/>
      <c r="AT49" s="185"/>
      <c r="AU49" s="185"/>
      <c r="AV49" s="185"/>
      <c r="AW49" s="186"/>
      <c r="AX49" s="209" t="s">
        <v>134</v>
      </c>
      <c r="AY49" s="210"/>
      <c r="AZ49" s="210"/>
      <c r="BA49" s="210"/>
      <c r="BB49" s="210"/>
      <c r="BC49" s="210"/>
      <c r="BD49" s="210"/>
      <c r="BE49" s="210"/>
      <c r="BF49" s="210"/>
      <c r="BG49" s="210"/>
      <c r="BH49" s="210"/>
      <c r="BI49" s="210"/>
      <c r="BJ49" s="210"/>
      <c r="BK49" s="210"/>
      <c r="BL49" s="210"/>
      <c r="BM49" s="210"/>
      <c r="BN49" s="210"/>
      <c r="BO49" s="210"/>
      <c r="BP49" s="210"/>
      <c r="BQ49" s="210"/>
      <c r="BR49" s="210"/>
      <c r="BS49" s="210"/>
      <c r="BT49" s="211"/>
      <c r="BU49" s="41"/>
      <c r="BV49" s="40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</row>
    <row r="50" spans="1:85" ht="39.6" customHeight="1" x14ac:dyDescent="0.45">
      <c r="A50" s="29"/>
      <c r="B50" s="44"/>
      <c r="C50" s="29"/>
      <c r="D50" s="37">
        <v>40</v>
      </c>
      <c r="E50" s="193" t="s">
        <v>122</v>
      </c>
      <c r="F50" s="194"/>
      <c r="G50" s="194"/>
      <c r="H50" s="194"/>
      <c r="I50" s="194"/>
      <c r="J50" s="194"/>
      <c r="K50" s="194"/>
      <c r="L50" s="195"/>
      <c r="M50" s="190" t="s">
        <v>37</v>
      </c>
      <c r="N50" s="185"/>
      <c r="O50" s="185"/>
      <c r="P50" s="190" t="s">
        <v>120</v>
      </c>
      <c r="Q50" s="185"/>
      <c r="R50" s="185"/>
      <c r="S50" s="190" t="s">
        <v>128</v>
      </c>
      <c r="T50" s="185"/>
      <c r="U50" s="185"/>
      <c r="V50" s="199" t="s">
        <v>810</v>
      </c>
      <c r="W50" s="200"/>
      <c r="X50" s="200"/>
      <c r="Y50" s="200"/>
      <c r="Z50" s="200"/>
      <c r="AA50" s="201"/>
      <c r="AB50" s="208" t="s">
        <v>831</v>
      </c>
      <c r="AC50" s="200"/>
      <c r="AD50" s="200"/>
      <c r="AE50" s="200"/>
      <c r="AF50" s="200"/>
      <c r="AG50" s="200"/>
      <c r="AH50" s="200"/>
      <c r="AI50" s="200"/>
      <c r="AJ50" s="200"/>
      <c r="AK50" s="200"/>
      <c r="AL50" s="200"/>
      <c r="AM50" s="200"/>
      <c r="AN50" s="200"/>
      <c r="AO50" s="200"/>
      <c r="AP50" s="200"/>
      <c r="AQ50" s="201"/>
      <c r="AR50" s="190" t="s">
        <v>127</v>
      </c>
      <c r="AS50" s="185"/>
      <c r="AT50" s="185"/>
      <c r="AU50" s="185"/>
      <c r="AV50" s="185"/>
      <c r="AW50" s="186"/>
      <c r="AX50" s="209"/>
      <c r="AY50" s="210"/>
      <c r="AZ50" s="210"/>
      <c r="BA50" s="210"/>
      <c r="BB50" s="210"/>
      <c r="BC50" s="210"/>
      <c r="BD50" s="210"/>
      <c r="BE50" s="210"/>
      <c r="BF50" s="210"/>
      <c r="BG50" s="210"/>
      <c r="BH50" s="210"/>
      <c r="BI50" s="210"/>
      <c r="BJ50" s="210"/>
      <c r="BK50" s="210"/>
      <c r="BL50" s="210"/>
      <c r="BM50" s="210"/>
      <c r="BN50" s="210"/>
      <c r="BO50" s="210"/>
      <c r="BP50" s="210"/>
      <c r="BQ50" s="210"/>
      <c r="BR50" s="210"/>
      <c r="BS50" s="210"/>
      <c r="BT50" s="211"/>
      <c r="BU50" s="41"/>
      <c r="BV50" s="40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</row>
    <row r="51" spans="1:85" ht="19.5" customHeight="1" thickBot="1" x14ac:dyDescent="0.5">
      <c r="A51" s="29"/>
      <c r="B51" s="44"/>
      <c r="C51" s="29"/>
      <c r="D51" s="37">
        <v>41</v>
      </c>
      <c r="E51" s="193" t="s">
        <v>123</v>
      </c>
      <c r="F51" s="194"/>
      <c r="G51" s="194"/>
      <c r="H51" s="194"/>
      <c r="I51" s="194"/>
      <c r="J51" s="194"/>
      <c r="K51" s="194"/>
      <c r="L51" s="195"/>
      <c r="M51" s="190"/>
      <c r="N51" s="185"/>
      <c r="O51" s="185"/>
      <c r="P51" s="190" t="s">
        <v>119</v>
      </c>
      <c r="Q51" s="185"/>
      <c r="R51" s="185"/>
      <c r="S51" s="190">
        <v>12</v>
      </c>
      <c r="T51" s="185"/>
      <c r="U51" s="185"/>
      <c r="V51" s="199" t="s">
        <v>779</v>
      </c>
      <c r="W51" s="200"/>
      <c r="X51" s="200"/>
      <c r="Y51" s="200"/>
      <c r="Z51" s="200"/>
      <c r="AA51" s="201"/>
      <c r="AB51" s="199" t="s">
        <v>780</v>
      </c>
      <c r="AC51" s="200"/>
      <c r="AD51" s="200"/>
      <c r="AE51" s="200"/>
      <c r="AF51" s="200"/>
      <c r="AG51" s="200"/>
      <c r="AH51" s="200"/>
      <c r="AI51" s="200"/>
      <c r="AJ51" s="200"/>
      <c r="AK51" s="200"/>
      <c r="AL51" s="200"/>
      <c r="AM51" s="200"/>
      <c r="AN51" s="200"/>
      <c r="AO51" s="200"/>
      <c r="AP51" s="200"/>
      <c r="AQ51" s="201"/>
      <c r="AR51" s="190"/>
      <c r="AS51" s="185"/>
      <c r="AT51" s="185"/>
      <c r="AU51" s="185"/>
      <c r="AV51" s="185"/>
      <c r="AW51" s="186"/>
      <c r="AX51" s="209"/>
      <c r="AY51" s="210"/>
      <c r="AZ51" s="210"/>
      <c r="BA51" s="210"/>
      <c r="BB51" s="210"/>
      <c r="BC51" s="210"/>
      <c r="BD51" s="210"/>
      <c r="BE51" s="210"/>
      <c r="BF51" s="210"/>
      <c r="BG51" s="210"/>
      <c r="BH51" s="210"/>
      <c r="BI51" s="210"/>
      <c r="BJ51" s="210"/>
      <c r="BK51" s="210"/>
      <c r="BL51" s="210"/>
      <c r="BM51" s="210"/>
      <c r="BN51" s="210"/>
      <c r="BO51" s="210"/>
      <c r="BP51" s="210"/>
      <c r="BQ51" s="210"/>
      <c r="BR51" s="210"/>
      <c r="BS51" s="210"/>
      <c r="BT51" s="211"/>
      <c r="BU51" s="41"/>
      <c r="BV51" s="40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</row>
    <row r="52" spans="1:85" ht="20.100000000000001" customHeight="1" thickTop="1" thickBot="1" x14ac:dyDescent="0.5">
      <c r="A52" s="29"/>
      <c r="B52" s="40"/>
      <c r="C52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46"/>
      <c r="BR52" s="46"/>
      <c r="BS52" s="46"/>
      <c r="BT52" s="46"/>
      <c r="BU52" s="28"/>
    </row>
    <row r="53" spans="1:85" ht="20.100000000000001" customHeight="1" thickTop="1" x14ac:dyDescent="0.45">
      <c r="A53" s="29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33"/>
      <c r="BD53" s="33"/>
      <c r="BE53" s="33"/>
      <c r="BF53" s="33"/>
      <c r="BG53" s="33"/>
      <c r="BH53" s="33"/>
      <c r="BI53" s="42"/>
      <c r="BJ53" s="42"/>
      <c r="BK53" s="42"/>
      <c r="BL53" s="42"/>
      <c r="BM53" s="42"/>
      <c r="BN53" s="42"/>
      <c r="BO53" s="42"/>
      <c r="BP53" s="41"/>
    </row>
    <row r="54" spans="1:85" ht="20.100000000000001" customHeight="1" x14ac:dyDescent="0.45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</row>
    <row r="55" spans="1:85" ht="20.100000000000001" customHeight="1" x14ac:dyDescent="0.4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spans="1:85" ht="20.100000000000001" customHeight="1" x14ac:dyDescent="0.4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31"/>
      <c r="BH56" s="31"/>
      <c r="BI56" s="31"/>
      <c r="BJ56" s="31"/>
      <c r="BK56" s="31"/>
      <c r="BL56" s="31"/>
      <c r="BM56" s="31"/>
      <c r="BN56" s="31"/>
      <c r="BO56" s="31"/>
      <c r="BP56" s="31"/>
    </row>
    <row r="57" spans="1:85" ht="20.100000000000001" customHeight="1" x14ac:dyDescent="0.45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31"/>
      <c r="BH57" s="31"/>
      <c r="BI57" s="31"/>
      <c r="BJ57" s="31"/>
      <c r="BK57" s="31"/>
      <c r="BL57" s="31"/>
      <c r="BM57" s="31"/>
      <c r="BN57" s="31"/>
      <c r="BO57" s="31"/>
      <c r="BP57" s="31"/>
    </row>
    <row r="58" spans="1:85" ht="20.100000000000001" customHeight="1" x14ac:dyDescent="0.45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31"/>
      <c r="BH58" s="31"/>
      <c r="BI58" s="31"/>
      <c r="BJ58" s="31"/>
      <c r="BK58" s="31"/>
      <c r="BL58" s="31"/>
      <c r="BM58" s="31"/>
      <c r="BN58" s="31"/>
      <c r="BO58" s="31"/>
      <c r="BP58" s="31"/>
    </row>
    <row r="59" spans="1:85" ht="20.100000000000001" customHeight="1" x14ac:dyDescent="0.45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31"/>
      <c r="BH59" s="31"/>
      <c r="BI59" s="31"/>
      <c r="BJ59" s="31"/>
      <c r="BK59" s="31"/>
      <c r="BL59" s="31"/>
      <c r="BM59" s="31"/>
      <c r="BN59" s="31"/>
      <c r="BO59" s="31"/>
      <c r="BP59" s="31"/>
    </row>
    <row r="60" spans="1:85" ht="20.100000000000001" customHeight="1" x14ac:dyDescent="0.45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31"/>
      <c r="BH60" s="31"/>
      <c r="BI60" s="31"/>
      <c r="BJ60" s="31"/>
      <c r="BK60" s="31"/>
      <c r="BL60" s="31"/>
      <c r="BM60" s="31"/>
      <c r="BN60" s="31"/>
      <c r="BO60" s="31"/>
      <c r="BP60" s="31"/>
    </row>
    <row r="61" spans="1:85" ht="20.100000000000001" customHeight="1" x14ac:dyDescent="0.45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31"/>
      <c r="BH61" s="31"/>
      <c r="BI61" s="31"/>
      <c r="BJ61" s="31"/>
      <c r="BK61" s="31"/>
      <c r="BL61" s="31"/>
      <c r="BM61" s="31"/>
      <c r="BN61" s="31"/>
      <c r="BO61" s="31"/>
      <c r="BP61" s="31"/>
    </row>
    <row r="62" spans="1:85" ht="20.100000000000001" customHeight="1" x14ac:dyDescent="0.45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31"/>
      <c r="BH62" s="31"/>
      <c r="BI62" s="31"/>
      <c r="BJ62" s="31"/>
      <c r="BK62" s="31"/>
      <c r="BL62" s="31"/>
      <c r="BM62" s="31"/>
      <c r="BN62" s="31"/>
      <c r="BO62" s="31"/>
      <c r="BP62" s="31"/>
    </row>
    <row r="63" spans="1:85" ht="20.100000000000001" customHeight="1" x14ac:dyDescent="0.45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31"/>
      <c r="BH63" s="31"/>
      <c r="BI63" s="31"/>
      <c r="BJ63" s="31"/>
      <c r="BK63" s="31"/>
      <c r="BL63" s="31"/>
      <c r="BM63" s="31"/>
      <c r="BN63" s="31"/>
      <c r="BO63" s="31"/>
      <c r="BP63" s="31"/>
    </row>
    <row r="64" spans="1:85" ht="20.100000000000001" customHeight="1" x14ac:dyDescent="0.45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31"/>
      <c r="BH64" s="31"/>
      <c r="BI64" s="31"/>
      <c r="BJ64" s="31"/>
      <c r="BK64" s="31"/>
      <c r="BL64" s="31"/>
      <c r="BM64" s="31"/>
      <c r="BN64" s="31"/>
      <c r="BO64" s="31"/>
      <c r="BP64" s="31"/>
    </row>
    <row r="65" spans="1:68" ht="20.100000000000001" customHeight="1" x14ac:dyDescent="0.45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</row>
    <row r="66" spans="1:68" ht="20.100000000000001" customHeight="1" x14ac:dyDescent="0.45">
      <c r="B66" s="3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</row>
    <row r="67" spans="1:68" ht="20.100000000000001" customHeight="1" x14ac:dyDescent="0.45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31"/>
      <c r="BP67" s="31"/>
    </row>
    <row r="68" spans="1:68" ht="20.100000000000001" customHeight="1" x14ac:dyDescent="0.45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31"/>
      <c r="BP68" s="31"/>
    </row>
    <row r="69" spans="1:68" ht="20.100000000000001" customHeight="1" x14ac:dyDescent="0.45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31"/>
      <c r="BP69" s="31"/>
    </row>
    <row r="70" spans="1:68" ht="20.100000000000001" customHeight="1" x14ac:dyDescent="0.45">
      <c r="A70" s="29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31"/>
      <c r="BP70" s="31"/>
    </row>
    <row r="71" spans="1:68" ht="20.100000000000001" customHeight="1" x14ac:dyDescent="0.45">
      <c r="A71" s="29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31"/>
      <c r="BP71" s="31"/>
    </row>
    <row r="72" spans="1:68" ht="20.100000000000001" customHeight="1" x14ac:dyDescent="0.4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</row>
    <row r="73" spans="1:68" ht="20.100000000000001" customHeight="1" x14ac:dyDescent="0.4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</row>
    <row r="74" spans="1:68" ht="20.100000000000001" customHeight="1" x14ac:dyDescent="0.4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</row>
  </sheetData>
  <mergeCells count="356">
    <mergeCell ref="E36:L36"/>
    <mergeCell ref="M36:O36"/>
    <mergeCell ref="P36:R36"/>
    <mergeCell ref="S36:U36"/>
    <mergeCell ref="V36:AA36"/>
    <mergeCell ref="AB36:AQ36"/>
    <mergeCell ref="AR36:AW36"/>
    <mergeCell ref="AX36:BT36"/>
    <mergeCell ref="E51:L51"/>
    <mergeCell ref="M51:O51"/>
    <mergeCell ref="P51:R51"/>
    <mergeCell ref="S51:U51"/>
    <mergeCell ref="V51:AA51"/>
    <mergeCell ref="AB51:AQ51"/>
    <mergeCell ref="AR51:AW51"/>
    <mergeCell ref="AX51:BT51"/>
    <mergeCell ref="E49:L49"/>
    <mergeCell ref="M49:O49"/>
    <mergeCell ref="P49:R49"/>
    <mergeCell ref="S49:U49"/>
    <mergeCell ref="V49:AA49"/>
    <mergeCell ref="AB49:AQ49"/>
    <mergeCell ref="AR49:AW49"/>
    <mergeCell ref="AX49:BT49"/>
    <mergeCell ref="E50:L50"/>
    <mergeCell ref="M50:O50"/>
    <mergeCell ref="P50:R50"/>
    <mergeCell ref="S50:U50"/>
    <mergeCell ref="V50:AA50"/>
    <mergeCell ref="AB50:AQ50"/>
    <mergeCell ref="AR50:AW50"/>
    <mergeCell ref="AX50:BT50"/>
    <mergeCell ref="E47:L47"/>
    <mergeCell ref="M47:O47"/>
    <mergeCell ref="P47:R47"/>
    <mergeCell ref="S47:U47"/>
    <mergeCell ref="V47:AA47"/>
    <mergeCell ref="AB47:AQ47"/>
    <mergeCell ref="AR47:AW47"/>
    <mergeCell ref="AX47:BT47"/>
    <mergeCell ref="E48:L48"/>
    <mergeCell ref="M48:O48"/>
    <mergeCell ref="P48:R48"/>
    <mergeCell ref="S48:U48"/>
    <mergeCell ref="V48:AA48"/>
    <mergeCell ref="AB48:AQ48"/>
    <mergeCell ref="AR48:AW48"/>
    <mergeCell ref="AX48:BT48"/>
    <mergeCell ref="E45:L45"/>
    <mergeCell ref="M45:O45"/>
    <mergeCell ref="P45:R45"/>
    <mergeCell ref="S45:U45"/>
    <mergeCell ref="V45:AA45"/>
    <mergeCell ref="AB45:AQ45"/>
    <mergeCell ref="AR45:AW45"/>
    <mergeCell ref="AX45:BT45"/>
    <mergeCell ref="E46:L46"/>
    <mergeCell ref="M46:O46"/>
    <mergeCell ref="P46:R46"/>
    <mergeCell ref="S46:U46"/>
    <mergeCell ref="V46:AA46"/>
    <mergeCell ref="AB46:AQ46"/>
    <mergeCell ref="AR46:AW46"/>
    <mergeCell ref="AX46:BT46"/>
    <mergeCell ref="M43:O43"/>
    <mergeCell ref="P43:R43"/>
    <mergeCell ref="S43:U43"/>
    <mergeCell ref="V43:AA43"/>
    <mergeCell ref="AB43:AQ43"/>
    <mergeCell ref="AR43:AW43"/>
    <mergeCell ref="AX43:BT43"/>
    <mergeCell ref="E44:L44"/>
    <mergeCell ref="M44:O44"/>
    <mergeCell ref="P44:R44"/>
    <mergeCell ref="S44:U44"/>
    <mergeCell ref="V44:AA44"/>
    <mergeCell ref="AB44:AQ44"/>
    <mergeCell ref="AR44:AW44"/>
    <mergeCell ref="AX44:BT44"/>
    <mergeCell ref="E43:L43"/>
    <mergeCell ref="P41:R41"/>
    <mergeCell ref="S41:U41"/>
    <mergeCell ref="V41:AA41"/>
    <mergeCell ref="AB41:AQ41"/>
    <mergeCell ref="AR41:AW41"/>
    <mergeCell ref="AX41:BT41"/>
    <mergeCell ref="E42:L42"/>
    <mergeCell ref="M42:O42"/>
    <mergeCell ref="P42:R42"/>
    <mergeCell ref="S42:U42"/>
    <mergeCell ref="V42:AA42"/>
    <mergeCell ref="AB42:AQ42"/>
    <mergeCell ref="AR42:AW42"/>
    <mergeCell ref="AX42:BT42"/>
    <mergeCell ref="E41:L41"/>
    <mergeCell ref="M41:O41"/>
    <mergeCell ref="P39:R39"/>
    <mergeCell ref="S39:U39"/>
    <mergeCell ref="V39:AA39"/>
    <mergeCell ref="AB39:AQ39"/>
    <mergeCell ref="AR39:AW39"/>
    <mergeCell ref="AX39:BT39"/>
    <mergeCell ref="E40:L40"/>
    <mergeCell ref="M40:O40"/>
    <mergeCell ref="P40:R40"/>
    <mergeCell ref="S40:U40"/>
    <mergeCell ref="V40:AA40"/>
    <mergeCell ref="AB40:AQ40"/>
    <mergeCell ref="AR40:AW40"/>
    <mergeCell ref="AX40:BT40"/>
    <mergeCell ref="E39:L39"/>
    <mergeCell ref="M39:O39"/>
    <mergeCell ref="V37:AA37"/>
    <mergeCell ref="AB37:AQ37"/>
    <mergeCell ref="AR37:AW37"/>
    <mergeCell ref="AX37:BT37"/>
    <mergeCell ref="E38:L38"/>
    <mergeCell ref="M38:O38"/>
    <mergeCell ref="P38:R38"/>
    <mergeCell ref="S38:U38"/>
    <mergeCell ref="V38:AA38"/>
    <mergeCell ref="AB38:AQ38"/>
    <mergeCell ref="AR38:AW38"/>
    <mergeCell ref="AX38:BT38"/>
    <mergeCell ref="E37:L37"/>
    <mergeCell ref="M37:O37"/>
    <mergeCell ref="P37:R37"/>
    <mergeCell ref="S37:U37"/>
    <mergeCell ref="V34:AA34"/>
    <mergeCell ref="AB34:AQ34"/>
    <mergeCell ref="AR34:AW34"/>
    <mergeCell ref="AX34:BT34"/>
    <mergeCell ref="E35:L35"/>
    <mergeCell ref="M35:O35"/>
    <mergeCell ref="P35:R35"/>
    <mergeCell ref="S35:U35"/>
    <mergeCell ref="V35:AA35"/>
    <mergeCell ref="AB35:AQ35"/>
    <mergeCell ref="AR35:AW35"/>
    <mergeCell ref="AX35:BT35"/>
    <mergeCell ref="E34:L34"/>
    <mergeCell ref="M34:O34"/>
    <mergeCell ref="P34:R34"/>
    <mergeCell ref="S34:U34"/>
    <mergeCell ref="M32:O32"/>
    <mergeCell ref="M33:O33"/>
    <mergeCell ref="E23:L23"/>
    <mergeCell ref="E26:L26"/>
    <mergeCell ref="E27:L27"/>
    <mergeCell ref="E32:L32"/>
    <mergeCell ref="E33:L33"/>
    <mergeCell ref="E25:L25"/>
    <mergeCell ref="E24:L24"/>
    <mergeCell ref="M24:O24"/>
    <mergeCell ref="M25:O25"/>
    <mergeCell ref="M31:O3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32:AA32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V31:AA31"/>
    <mergeCell ref="V24:AA24"/>
    <mergeCell ref="V25:AA25"/>
    <mergeCell ref="V26:AA26"/>
    <mergeCell ref="V27:AA27"/>
    <mergeCell ref="P33:R33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32:R32"/>
    <mergeCell ref="P31:R31"/>
    <mergeCell ref="S31:U31"/>
    <mergeCell ref="AX10:BT10"/>
    <mergeCell ref="AX11:BT11"/>
    <mergeCell ref="AX12:BT12"/>
    <mergeCell ref="AX13:BT13"/>
    <mergeCell ref="AX14:BT14"/>
    <mergeCell ref="V33:AA33"/>
    <mergeCell ref="S10:U10"/>
    <mergeCell ref="S24:U24"/>
    <mergeCell ref="S25:U25"/>
    <mergeCell ref="S26:U26"/>
    <mergeCell ref="S27:U27"/>
    <mergeCell ref="S32:U32"/>
    <mergeCell ref="S33:U33"/>
    <mergeCell ref="V10:AA1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32:BT32"/>
    <mergeCell ref="AX33:BT33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25:BT25"/>
    <mergeCell ref="AX26:BT26"/>
    <mergeCell ref="AX28:BT28"/>
    <mergeCell ref="AX29:BT29"/>
    <mergeCell ref="AX30:BT30"/>
    <mergeCell ref="AX31:BT31"/>
    <mergeCell ref="AB33:AQ33"/>
    <mergeCell ref="AB24:AQ24"/>
    <mergeCell ref="AB25:AQ25"/>
    <mergeCell ref="AB26:AQ26"/>
    <mergeCell ref="AB27:AQ27"/>
    <mergeCell ref="AB32:AQ32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B31:AQ31"/>
    <mergeCell ref="AR31:AW31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E20:L20"/>
    <mergeCell ref="E21:L21"/>
    <mergeCell ref="E22:L22"/>
    <mergeCell ref="M26:O26"/>
    <mergeCell ref="M27:O27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32:AW32"/>
    <mergeCell ref="AR33:AW33"/>
    <mergeCell ref="E28:L28"/>
    <mergeCell ref="M28:O28"/>
    <mergeCell ref="P28:R28"/>
    <mergeCell ref="S28:U28"/>
    <mergeCell ref="V28:AA28"/>
    <mergeCell ref="AB28:AQ28"/>
    <mergeCell ref="AR28:AW28"/>
    <mergeCell ref="E29:L29"/>
    <mergeCell ref="M29:O29"/>
    <mergeCell ref="P29:R29"/>
    <mergeCell ref="S29:U29"/>
    <mergeCell ref="V29:AA29"/>
    <mergeCell ref="AB29:AQ29"/>
    <mergeCell ref="AR29:AW29"/>
    <mergeCell ref="E30:L30"/>
    <mergeCell ref="M30:O30"/>
    <mergeCell ref="P30:R30"/>
    <mergeCell ref="S30:U30"/>
    <mergeCell ref="V30:AA30"/>
    <mergeCell ref="AB30:AQ30"/>
    <mergeCell ref="AR30:AW30"/>
    <mergeCell ref="E31:L31"/>
  </mergeCells>
  <phoneticPr fontId="1"/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M811"/>
  <sheetViews>
    <sheetView zoomScale="115" zoomScaleNormal="115" zoomScaleSheetLayoutView="100" workbookViewId="0">
      <selection activeCell="L2" sqref="L2:Q2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21" t="s">
        <v>0</v>
      </c>
      <c r="C2" s="222"/>
      <c r="D2" s="222"/>
      <c r="E2" s="222"/>
      <c r="F2" s="222"/>
      <c r="G2" s="222"/>
      <c r="H2" s="222" t="s">
        <v>16</v>
      </c>
      <c r="I2" s="222"/>
      <c r="J2" s="222"/>
      <c r="K2" s="222"/>
      <c r="L2" s="222" t="s">
        <v>874</v>
      </c>
      <c r="M2" s="222"/>
      <c r="N2" s="222"/>
      <c r="O2" s="222"/>
      <c r="P2" s="222"/>
      <c r="Q2" s="222"/>
      <c r="R2" s="222" t="s">
        <v>1</v>
      </c>
      <c r="S2" s="222"/>
      <c r="T2" s="222"/>
      <c r="U2" s="222"/>
      <c r="V2" s="222"/>
      <c r="W2" s="222"/>
      <c r="X2" s="223" t="s">
        <v>2</v>
      </c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5"/>
      <c r="AK2" s="223" t="s">
        <v>31</v>
      </c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5"/>
      <c r="AX2" s="222" t="s">
        <v>4</v>
      </c>
      <c r="AY2" s="222"/>
      <c r="AZ2" s="222"/>
      <c r="BA2" s="222"/>
      <c r="BB2" s="222" t="s">
        <v>3</v>
      </c>
      <c r="BC2" s="222"/>
      <c r="BD2" s="222"/>
      <c r="BE2" s="222"/>
      <c r="BF2" s="222" t="s">
        <v>5</v>
      </c>
      <c r="BG2" s="222"/>
      <c r="BH2" s="222"/>
      <c r="BI2" s="222"/>
      <c r="BJ2" s="222" t="s">
        <v>6</v>
      </c>
      <c r="BK2" s="222"/>
      <c r="BL2" s="222"/>
      <c r="BM2" s="232"/>
    </row>
    <row r="3" spans="2:65" ht="20.100000000000001" customHeight="1" x14ac:dyDescent="0.45">
      <c r="B3" s="226" t="str">
        <f>変更履歴!B3</f>
        <v>受発注システム</v>
      </c>
      <c r="C3" s="164"/>
      <c r="D3" s="164"/>
      <c r="E3" s="164"/>
      <c r="F3" s="164"/>
      <c r="G3" s="164"/>
      <c r="H3" s="164" t="str">
        <f ca="1">変更履歴!H3</f>
        <v>MH0400</v>
      </c>
      <c r="I3" s="164"/>
      <c r="J3" s="164"/>
      <c r="K3" s="164"/>
      <c r="L3" s="164" t="str">
        <f>変更履歴!L3</f>
        <v>受発注</v>
      </c>
      <c r="M3" s="164"/>
      <c r="N3" s="164"/>
      <c r="O3" s="164"/>
      <c r="P3" s="164"/>
      <c r="Q3" s="164"/>
      <c r="R3" s="164" t="str">
        <f ca="1">変更履歴!R3</f>
        <v>帳票設計書</v>
      </c>
      <c r="S3" s="164"/>
      <c r="T3" s="164"/>
      <c r="U3" s="164"/>
      <c r="V3" s="164"/>
      <c r="W3" s="164"/>
      <c r="X3" s="168" t="str">
        <f ca="1">変更履歴!X3</f>
        <v>MH0400_見積書_帳票設計書</v>
      </c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5"/>
      <c r="AK3" s="168" t="str">
        <f ca="1">変更履歴!AK3</f>
        <v>見積書</v>
      </c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5"/>
      <c r="AX3" s="175">
        <f>変更履歴!AX3</f>
        <v>45581</v>
      </c>
      <c r="AY3" s="175"/>
      <c r="AZ3" s="175"/>
      <c r="BA3" s="175"/>
      <c r="BB3" s="164" t="str">
        <f>変更履歴!BB3</f>
        <v>大谷</v>
      </c>
      <c r="BC3" s="164"/>
      <c r="BD3" s="164"/>
      <c r="BE3" s="164"/>
      <c r="BF3" s="175">
        <f>変更履歴!BF3</f>
        <v>45581</v>
      </c>
      <c r="BG3" s="175"/>
      <c r="BH3" s="175"/>
      <c r="BI3" s="175"/>
      <c r="BJ3" s="164" t="str">
        <f>変更履歴!BJ3</f>
        <v>大谷</v>
      </c>
      <c r="BK3" s="164"/>
      <c r="BL3" s="164"/>
      <c r="BM3" s="230"/>
    </row>
    <row r="4" spans="2:65" ht="20.100000000000001" customHeight="1" thickBot="1" x14ac:dyDescent="0.5">
      <c r="B4" s="227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18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20"/>
      <c r="AK4" s="218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20"/>
      <c r="AX4" s="229"/>
      <c r="AY4" s="229"/>
      <c r="AZ4" s="229"/>
      <c r="BA4" s="229"/>
      <c r="BB4" s="228"/>
      <c r="BC4" s="228"/>
      <c r="BD4" s="228"/>
      <c r="BE4" s="228"/>
      <c r="BF4" s="229"/>
      <c r="BG4" s="229"/>
      <c r="BH4" s="229"/>
      <c r="BI4" s="229"/>
      <c r="BJ4" s="228"/>
      <c r="BK4" s="228"/>
      <c r="BL4" s="228"/>
      <c r="BM4" s="231"/>
    </row>
    <row r="5" spans="2:65" ht="5.0999999999999996" customHeight="1" thickBot="1" x14ac:dyDescent="0.5"/>
    <row r="6" spans="2:65" ht="20.100000000000001" customHeight="1" x14ac:dyDescent="0.45">
      <c r="B6" s="129" t="s">
        <v>158</v>
      </c>
      <c r="C6" s="130"/>
      <c r="D6" s="130"/>
      <c r="E6" s="130"/>
      <c r="F6" s="130"/>
      <c r="G6" s="131"/>
      <c r="H6" s="132" t="s">
        <v>159</v>
      </c>
      <c r="I6" s="130"/>
      <c r="J6" s="133" t="s">
        <v>160</v>
      </c>
      <c r="K6" s="134"/>
      <c r="L6" s="134"/>
      <c r="M6" s="134"/>
      <c r="N6" s="134"/>
      <c r="O6" s="134"/>
      <c r="P6" s="134"/>
      <c r="Q6" s="135"/>
      <c r="R6" s="134" t="s">
        <v>183</v>
      </c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5"/>
      <c r="AK6" s="136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7"/>
    </row>
    <row r="7" spans="2:65" ht="20.100000000000001" customHeight="1" x14ac:dyDescent="0.45">
      <c r="B7" s="138"/>
      <c r="C7" s="31"/>
      <c r="D7" s="31"/>
      <c r="E7" s="31"/>
      <c r="F7" s="31"/>
      <c r="G7" s="139"/>
      <c r="H7" s="140"/>
      <c r="I7" s="31"/>
      <c r="J7" s="141" t="s">
        <v>165</v>
      </c>
      <c r="K7" s="52"/>
      <c r="L7" s="52"/>
      <c r="M7" s="52"/>
      <c r="N7" s="52"/>
      <c r="O7" s="52"/>
      <c r="P7" s="52"/>
      <c r="Q7" s="142"/>
      <c r="R7" s="52" t="s">
        <v>184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42"/>
      <c r="AK7" s="143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44"/>
    </row>
    <row r="8" spans="2:65" ht="20.100000000000001" customHeight="1" x14ac:dyDescent="0.45">
      <c r="B8" s="138"/>
      <c r="C8" s="31"/>
      <c r="D8" s="31"/>
      <c r="E8" s="31"/>
      <c r="F8" s="31"/>
      <c r="G8" s="139"/>
      <c r="H8" s="140"/>
      <c r="I8" s="31"/>
      <c r="J8" s="141" t="s">
        <v>177</v>
      </c>
      <c r="K8" s="52"/>
      <c r="L8" s="52"/>
      <c r="M8" s="52"/>
      <c r="N8" s="52"/>
      <c r="O8" s="52"/>
      <c r="P8" s="52"/>
      <c r="Q8" s="142"/>
      <c r="R8" s="52" t="s">
        <v>185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2"/>
      <c r="AK8" s="143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44"/>
    </row>
    <row r="9" spans="2:65" ht="20.100000000000001" customHeight="1" x14ac:dyDescent="0.45">
      <c r="B9" s="138"/>
      <c r="C9" s="31"/>
      <c r="D9" s="31"/>
      <c r="E9" s="31"/>
      <c r="F9" s="31"/>
      <c r="G9" s="139"/>
      <c r="H9" s="140"/>
      <c r="I9" s="31"/>
      <c r="J9" s="141" t="s">
        <v>178</v>
      </c>
      <c r="K9" s="52"/>
      <c r="L9" s="52"/>
      <c r="M9" s="52"/>
      <c r="N9" s="52"/>
      <c r="O9" s="52"/>
      <c r="P9" s="52"/>
      <c r="Q9" s="142"/>
      <c r="R9" s="52" t="s">
        <v>186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2"/>
      <c r="AK9" s="143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44"/>
    </row>
    <row r="10" spans="2:65" ht="20.100000000000001" customHeight="1" x14ac:dyDescent="0.45">
      <c r="B10" s="138"/>
      <c r="C10" s="31"/>
      <c r="D10" s="31"/>
      <c r="E10" s="31"/>
      <c r="F10" s="31"/>
      <c r="G10" s="139"/>
      <c r="H10" s="31"/>
      <c r="I10" s="31"/>
      <c r="J10" s="141" t="s">
        <v>179</v>
      </c>
      <c r="K10" s="52"/>
      <c r="L10" s="52"/>
      <c r="M10" s="52"/>
      <c r="N10" s="52"/>
      <c r="O10" s="52"/>
      <c r="P10" s="52"/>
      <c r="Q10" s="142"/>
      <c r="R10" s="52" t="s">
        <v>187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42"/>
      <c r="AK10" s="143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44"/>
    </row>
    <row r="11" spans="2:65" ht="20.100000000000001" customHeight="1" x14ac:dyDescent="0.45">
      <c r="B11" s="138"/>
      <c r="C11" s="31"/>
      <c r="D11" s="31"/>
      <c r="E11" s="31"/>
      <c r="F11" s="31"/>
      <c r="G11" s="139"/>
      <c r="H11" s="31"/>
      <c r="I11" s="31"/>
      <c r="J11" s="141" t="s">
        <v>167</v>
      </c>
      <c r="K11" s="52"/>
      <c r="L11" s="52"/>
      <c r="M11" s="52"/>
      <c r="N11" s="52"/>
      <c r="O11" s="52"/>
      <c r="P11" s="52"/>
      <c r="Q11" s="142"/>
      <c r="R11" s="52" t="s">
        <v>188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42"/>
      <c r="AK11" s="143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44"/>
    </row>
    <row r="12" spans="2:65" ht="20.100000000000001" customHeight="1" x14ac:dyDescent="0.45">
      <c r="B12" s="138"/>
      <c r="C12" s="31"/>
      <c r="D12" s="31"/>
      <c r="E12" s="31"/>
      <c r="F12" s="31"/>
      <c r="G12" s="139"/>
      <c r="H12" s="31"/>
      <c r="I12" s="31"/>
      <c r="J12" s="141" t="s">
        <v>180</v>
      </c>
      <c r="K12" s="52"/>
      <c r="L12" s="52"/>
      <c r="M12" s="52"/>
      <c r="N12" s="52"/>
      <c r="O12" s="52"/>
      <c r="P12" s="52"/>
      <c r="Q12" s="142"/>
      <c r="R12" s="52" t="s">
        <v>189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42"/>
      <c r="AK12" s="143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44"/>
    </row>
    <row r="13" spans="2:65" ht="20.100000000000001" customHeight="1" x14ac:dyDescent="0.45">
      <c r="B13" s="138"/>
      <c r="C13" s="31"/>
      <c r="D13" s="31"/>
      <c r="E13" s="31"/>
      <c r="F13" s="31"/>
      <c r="G13" s="139"/>
      <c r="H13" s="31"/>
      <c r="I13" s="31"/>
      <c r="J13" s="141" t="s">
        <v>168</v>
      </c>
      <c r="K13" s="52"/>
      <c r="L13" s="52"/>
      <c r="M13" s="52"/>
      <c r="N13" s="52"/>
      <c r="O13" s="52"/>
      <c r="P13" s="52"/>
      <c r="Q13" s="142"/>
      <c r="R13" s="52" t="s">
        <v>190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42"/>
      <c r="AK13" s="143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44"/>
    </row>
    <row r="14" spans="2:65" ht="20.100000000000001" customHeight="1" x14ac:dyDescent="0.45">
      <c r="B14" s="138"/>
      <c r="C14" s="31"/>
      <c r="D14" s="31"/>
      <c r="E14" s="31"/>
      <c r="F14" s="31"/>
      <c r="G14" s="139"/>
      <c r="H14" s="31"/>
      <c r="I14" s="31"/>
      <c r="J14" s="141" t="s">
        <v>181</v>
      </c>
      <c r="K14" s="52"/>
      <c r="L14" s="52"/>
      <c r="M14" s="52"/>
      <c r="N14" s="52"/>
      <c r="O14" s="52"/>
      <c r="P14" s="52"/>
      <c r="Q14" s="142"/>
      <c r="R14" s="52" t="s">
        <v>191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42"/>
      <c r="AK14" s="143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44"/>
    </row>
    <row r="15" spans="2:65" ht="20.100000000000001" customHeight="1" x14ac:dyDescent="0.45">
      <c r="B15" s="138"/>
      <c r="C15" s="31"/>
      <c r="D15" s="31"/>
      <c r="E15" s="31"/>
      <c r="F15" s="31"/>
      <c r="G15" s="139"/>
      <c r="H15" s="145" t="s">
        <v>169</v>
      </c>
      <c r="I15" s="55"/>
      <c r="J15" s="145" t="s">
        <v>182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146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147"/>
    </row>
    <row r="16" spans="2:65" ht="20.100000000000001" customHeight="1" thickBot="1" x14ac:dyDescent="0.5">
      <c r="B16" s="148"/>
      <c r="C16" s="31"/>
      <c r="D16" s="31"/>
      <c r="E16" s="31"/>
      <c r="F16" s="31"/>
      <c r="G16" s="139"/>
      <c r="H16" s="145" t="s">
        <v>173</v>
      </c>
      <c r="I16" s="55"/>
      <c r="J16" s="157" t="s">
        <v>865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146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147"/>
    </row>
    <row r="17" spans="2:61" ht="20.100000000000001" customHeight="1" x14ac:dyDescent="0.45">
      <c r="B17" s="129" t="s">
        <v>172</v>
      </c>
      <c r="C17" s="130"/>
      <c r="D17" s="130"/>
      <c r="E17" s="130"/>
      <c r="F17" s="130"/>
      <c r="G17" s="131"/>
      <c r="H17" s="132" t="s">
        <v>159</v>
      </c>
      <c r="I17" s="130"/>
      <c r="J17" s="133" t="s">
        <v>160</v>
      </c>
      <c r="K17" s="134"/>
      <c r="L17" s="134"/>
      <c r="M17" s="134"/>
      <c r="N17" s="134"/>
      <c r="O17" s="134"/>
      <c r="P17" s="134"/>
      <c r="Q17" s="135"/>
      <c r="R17" s="134" t="s">
        <v>183</v>
      </c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5"/>
      <c r="AK17" s="136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7"/>
    </row>
    <row r="18" spans="2:61" ht="20.100000000000001" customHeight="1" x14ac:dyDescent="0.45">
      <c r="B18" s="138"/>
      <c r="C18" s="31"/>
      <c r="D18" s="31"/>
      <c r="E18" s="31"/>
      <c r="F18" s="31"/>
      <c r="G18" s="139"/>
      <c r="H18" s="140"/>
      <c r="I18" s="31"/>
      <c r="J18" s="149" t="s">
        <v>162</v>
      </c>
      <c r="K18" s="150"/>
      <c r="L18" s="150"/>
      <c r="M18" s="150"/>
      <c r="N18" s="150"/>
      <c r="O18" s="150"/>
      <c r="P18" s="150"/>
      <c r="Q18" s="151"/>
      <c r="R18" s="150" t="s">
        <v>194</v>
      </c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1"/>
      <c r="AK18" s="143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44"/>
    </row>
    <row r="19" spans="2:61" ht="20.100000000000001" customHeight="1" x14ac:dyDescent="0.45">
      <c r="B19" s="138"/>
      <c r="C19" s="31"/>
      <c r="D19" s="31"/>
      <c r="E19" s="31"/>
      <c r="F19" s="31"/>
      <c r="G19" s="139"/>
      <c r="H19" s="140"/>
      <c r="I19" s="31"/>
      <c r="J19" s="149" t="s">
        <v>163</v>
      </c>
      <c r="K19" s="150"/>
      <c r="L19" s="150"/>
      <c r="M19" s="150"/>
      <c r="N19" s="150"/>
      <c r="O19" s="150"/>
      <c r="P19" s="150"/>
      <c r="Q19" s="151"/>
      <c r="R19" s="150" t="s">
        <v>195</v>
      </c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1"/>
      <c r="AK19" s="143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44"/>
    </row>
    <row r="20" spans="2:61" ht="20.100000000000001" customHeight="1" x14ac:dyDescent="0.45">
      <c r="B20" s="138"/>
      <c r="C20" s="31"/>
      <c r="D20" s="31"/>
      <c r="E20" s="31"/>
      <c r="F20" s="31"/>
      <c r="G20" s="139"/>
      <c r="H20" s="140"/>
      <c r="I20" s="31"/>
      <c r="J20" s="149" t="s">
        <v>164</v>
      </c>
      <c r="K20" s="150"/>
      <c r="L20" s="150"/>
      <c r="M20" s="150"/>
      <c r="N20" s="150"/>
      <c r="O20" s="150"/>
      <c r="P20" s="150"/>
      <c r="Q20" s="151"/>
      <c r="R20" s="150" t="s">
        <v>196</v>
      </c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1"/>
      <c r="AK20" s="143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44"/>
    </row>
    <row r="21" spans="2:61" ht="20.100000000000001" customHeight="1" x14ac:dyDescent="0.45">
      <c r="B21" s="138"/>
      <c r="C21" s="31"/>
      <c r="D21" s="31"/>
      <c r="E21" s="31"/>
      <c r="F21" s="31"/>
      <c r="G21" s="139"/>
      <c r="H21" s="140"/>
      <c r="I21" s="31"/>
      <c r="J21" s="149" t="s">
        <v>165</v>
      </c>
      <c r="K21" s="150"/>
      <c r="L21" s="150"/>
      <c r="M21" s="150"/>
      <c r="N21" s="150"/>
      <c r="O21" s="150"/>
      <c r="P21" s="150"/>
      <c r="Q21" s="151"/>
      <c r="R21" s="150" t="s">
        <v>184</v>
      </c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1"/>
      <c r="AK21" s="143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44"/>
    </row>
    <row r="22" spans="2:61" ht="20.100000000000001" customHeight="1" x14ac:dyDescent="0.45">
      <c r="B22" s="138"/>
      <c r="C22" s="31"/>
      <c r="D22" s="31"/>
      <c r="E22" s="31"/>
      <c r="F22" s="31"/>
      <c r="G22" s="139"/>
      <c r="H22" s="140"/>
      <c r="I22" s="31"/>
      <c r="J22" s="149" t="s">
        <v>166</v>
      </c>
      <c r="K22" s="150"/>
      <c r="L22" s="150"/>
      <c r="M22" s="150"/>
      <c r="N22" s="150"/>
      <c r="O22" s="150"/>
      <c r="P22" s="150"/>
      <c r="Q22" s="151"/>
      <c r="R22" s="150" t="s">
        <v>197</v>
      </c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1"/>
      <c r="AK22" s="143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44"/>
    </row>
    <row r="23" spans="2:61" ht="20.100000000000001" customHeight="1" x14ac:dyDescent="0.45">
      <c r="B23" s="138"/>
      <c r="C23" s="31"/>
      <c r="D23" s="31"/>
      <c r="E23" s="31"/>
      <c r="F23" s="31"/>
      <c r="G23" s="139"/>
      <c r="H23" s="140"/>
      <c r="I23" s="31"/>
      <c r="J23" s="149" t="s">
        <v>192</v>
      </c>
      <c r="K23" s="150"/>
      <c r="L23" s="150"/>
      <c r="M23" s="150"/>
      <c r="N23" s="150"/>
      <c r="O23" s="150"/>
      <c r="P23" s="150"/>
      <c r="Q23" s="151"/>
      <c r="R23" s="150" t="s">
        <v>198</v>
      </c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1"/>
      <c r="AK23" s="143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44"/>
    </row>
    <row r="24" spans="2:61" ht="20.100000000000001" customHeight="1" x14ac:dyDescent="0.45">
      <c r="B24" s="138"/>
      <c r="C24" s="31"/>
      <c r="D24" s="31"/>
      <c r="E24" s="31"/>
      <c r="F24" s="31"/>
      <c r="G24" s="139"/>
      <c r="H24" s="140"/>
      <c r="I24" s="31"/>
      <c r="J24" s="149" t="s">
        <v>193</v>
      </c>
      <c r="K24" s="150"/>
      <c r="L24" s="150"/>
      <c r="M24" s="150"/>
      <c r="N24" s="150"/>
      <c r="O24" s="150"/>
      <c r="P24" s="150"/>
      <c r="Q24" s="151"/>
      <c r="R24" s="150" t="s">
        <v>199</v>
      </c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1"/>
      <c r="AK24" s="143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44"/>
    </row>
    <row r="25" spans="2:61" ht="20.100000000000001" customHeight="1" x14ac:dyDescent="0.45">
      <c r="B25" s="138"/>
      <c r="C25" s="31"/>
      <c r="D25" s="31"/>
      <c r="E25" s="31"/>
      <c r="F25" s="31"/>
      <c r="G25" s="139"/>
      <c r="H25" s="145" t="s">
        <v>169</v>
      </c>
      <c r="I25" s="55"/>
      <c r="J25" s="145" t="s">
        <v>170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146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147"/>
    </row>
    <row r="26" spans="2:61" ht="20.100000000000001" customHeight="1" x14ac:dyDescent="0.45">
      <c r="B26" s="148"/>
      <c r="C26" s="31"/>
      <c r="D26" s="31"/>
      <c r="E26" s="31"/>
      <c r="F26" s="31"/>
      <c r="G26" s="139"/>
      <c r="H26" s="145" t="s">
        <v>173</v>
      </c>
      <c r="I26" s="55"/>
      <c r="J26" s="145" t="s">
        <v>200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146" t="s">
        <v>201</v>
      </c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147"/>
    </row>
    <row r="27" spans="2:61" ht="20.100000000000001" customHeight="1" x14ac:dyDescent="0.45">
      <c r="B27" s="148"/>
      <c r="C27" s="31"/>
      <c r="D27" s="31"/>
      <c r="E27" s="31"/>
      <c r="F27" s="31"/>
      <c r="G27" s="139"/>
      <c r="H27" s="140"/>
      <c r="I27" s="31"/>
      <c r="J27" s="140"/>
      <c r="K27" s="31" t="s">
        <v>202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43" t="s">
        <v>205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44"/>
    </row>
    <row r="28" spans="2:61" ht="20.100000000000001" customHeight="1" x14ac:dyDescent="0.45">
      <c r="B28" s="148"/>
      <c r="C28" s="31"/>
      <c r="D28" s="31"/>
      <c r="E28" s="31"/>
      <c r="F28" s="31"/>
      <c r="G28" s="139"/>
      <c r="H28" s="140"/>
      <c r="I28" s="31"/>
      <c r="J28" s="140"/>
      <c r="K28" s="31" t="s">
        <v>203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43" t="s">
        <v>206</v>
      </c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44"/>
    </row>
    <row r="29" spans="2:61" ht="20.100000000000001" customHeight="1" x14ac:dyDescent="0.45">
      <c r="B29" s="148"/>
      <c r="C29" s="31"/>
      <c r="D29" s="31"/>
      <c r="E29" s="31"/>
      <c r="F29" s="31"/>
      <c r="G29" s="139"/>
      <c r="H29" s="140"/>
      <c r="I29" s="31"/>
      <c r="J29" s="140"/>
      <c r="K29" s="31" t="s">
        <v>204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43" t="s">
        <v>207</v>
      </c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44"/>
    </row>
    <row r="30" spans="2:61" ht="20.100000000000001" customHeight="1" x14ac:dyDescent="0.45">
      <c r="B30" s="148"/>
      <c r="C30" s="31"/>
      <c r="D30" s="31"/>
      <c r="E30" s="31"/>
      <c r="F30" s="31"/>
      <c r="G30" s="139"/>
      <c r="H30" s="140"/>
      <c r="I30" s="31"/>
      <c r="J30" s="140"/>
      <c r="K30" s="31" t="s">
        <v>208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43" t="s">
        <v>209</v>
      </c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44"/>
    </row>
    <row r="31" spans="2:61" ht="20.100000000000001" customHeight="1" x14ac:dyDescent="0.45">
      <c r="B31" s="148"/>
      <c r="C31" s="31"/>
      <c r="D31" s="31"/>
      <c r="E31" s="31"/>
      <c r="F31" s="31"/>
      <c r="G31" s="139"/>
      <c r="H31" s="140"/>
      <c r="I31" s="31"/>
      <c r="J31" s="140"/>
      <c r="K31" s="31" t="s">
        <v>210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143" t="s">
        <v>211</v>
      </c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44"/>
    </row>
    <row r="32" spans="2:61" ht="20.100000000000001" customHeight="1" x14ac:dyDescent="0.45">
      <c r="B32" s="148"/>
      <c r="C32" s="31"/>
      <c r="D32" s="31"/>
      <c r="E32" s="31"/>
      <c r="F32" s="31"/>
      <c r="G32" s="139"/>
      <c r="H32" s="140"/>
      <c r="I32" s="31"/>
      <c r="J32" s="140"/>
      <c r="K32" s="31" t="s">
        <v>212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43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44"/>
    </row>
    <row r="33" spans="2:61" ht="20.100000000000001" customHeight="1" thickBot="1" x14ac:dyDescent="0.5">
      <c r="B33" s="148"/>
      <c r="C33" s="31"/>
      <c r="D33" s="31"/>
      <c r="E33" s="31"/>
      <c r="F33" s="31"/>
      <c r="G33" s="139"/>
      <c r="H33" s="145" t="s">
        <v>174</v>
      </c>
      <c r="I33" s="55"/>
      <c r="J33" s="145" t="s">
        <v>213</v>
      </c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146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147"/>
    </row>
    <row r="34" spans="2:61" ht="20.100000000000001" customHeight="1" x14ac:dyDescent="0.45">
      <c r="B34" s="129" t="s">
        <v>175</v>
      </c>
      <c r="C34" s="130"/>
      <c r="D34" s="130"/>
      <c r="E34" s="130"/>
      <c r="F34" s="130"/>
      <c r="G34" s="131"/>
      <c r="H34" s="132" t="s">
        <v>159</v>
      </c>
      <c r="I34" s="130"/>
      <c r="J34" s="153" t="s">
        <v>279</v>
      </c>
      <c r="K34" s="134"/>
      <c r="L34" s="134"/>
      <c r="M34" s="134"/>
      <c r="N34" s="134"/>
      <c r="O34" s="134"/>
      <c r="P34" s="134"/>
      <c r="Q34" s="135"/>
      <c r="R34" s="134" t="s">
        <v>277</v>
      </c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5"/>
      <c r="AK34" s="136" t="s">
        <v>280</v>
      </c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7"/>
    </row>
    <row r="35" spans="2:61" ht="20.100000000000001" customHeight="1" thickBot="1" x14ac:dyDescent="0.5">
      <c r="B35" s="138"/>
      <c r="C35" s="31"/>
      <c r="D35" s="31"/>
      <c r="E35" s="31"/>
      <c r="F35" s="31"/>
      <c r="G35" s="139"/>
      <c r="H35" s="145" t="s">
        <v>169</v>
      </c>
      <c r="I35" s="55"/>
      <c r="J35" s="145" t="s">
        <v>278</v>
      </c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146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147"/>
    </row>
    <row r="36" spans="2:61" ht="20.100000000000001" customHeight="1" x14ac:dyDescent="0.45">
      <c r="B36" s="129" t="s">
        <v>176</v>
      </c>
      <c r="C36" s="130"/>
      <c r="D36" s="130"/>
      <c r="E36" s="130"/>
      <c r="F36" s="130"/>
      <c r="G36" s="131"/>
      <c r="H36" s="132" t="s">
        <v>159</v>
      </c>
      <c r="I36" s="130"/>
      <c r="J36" s="133" t="s">
        <v>160</v>
      </c>
      <c r="K36" s="134"/>
      <c r="L36" s="134"/>
      <c r="M36" s="134"/>
      <c r="N36" s="134"/>
      <c r="O36" s="134"/>
      <c r="P36" s="134"/>
      <c r="Q36" s="135"/>
      <c r="R36" s="133" t="s">
        <v>395</v>
      </c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5"/>
      <c r="AK36" s="136" t="s">
        <v>214</v>
      </c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7"/>
    </row>
    <row r="37" spans="2:61" ht="20.100000000000001" customHeight="1" x14ac:dyDescent="0.45">
      <c r="B37" s="138"/>
      <c r="C37" s="31"/>
      <c r="D37" s="31"/>
      <c r="E37" s="31"/>
      <c r="F37" s="31"/>
      <c r="G37" s="139"/>
      <c r="H37" s="140"/>
      <c r="I37" s="31"/>
      <c r="J37" s="149" t="s">
        <v>227</v>
      </c>
      <c r="K37" s="150"/>
      <c r="L37" s="150"/>
      <c r="M37" s="150"/>
      <c r="N37" s="150"/>
      <c r="O37" s="150"/>
      <c r="P37" s="150"/>
      <c r="Q37" s="151"/>
      <c r="R37" s="149" t="s">
        <v>396</v>
      </c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0"/>
      <c r="AJ37" s="151"/>
      <c r="AK37" s="143" t="s">
        <v>284</v>
      </c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44"/>
    </row>
    <row r="38" spans="2:61" ht="20.100000000000001" customHeight="1" x14ac:dyDescent="0.45">
      <c r="B38" s="138"/>
      <c r="C38" s="31"/>
      <c r="D38" s="31"/>
      <c r="E38" s="31"/>
      <c r="F38" s="31"/>
      <c r="G38" s="139"/>
      <c r="H38" s="140"/>
      <c r="I38" s="31"/>
      <c r="J38" s="149" t="s">
        <v>228</v>
      </c>
      <c r="K38" s="150"/>
      <c r="L38" s="150"/>
      <c r="M38" s="150"/>
      <c r="N38" s="150"/>
      <c r="O38" s="150"/>
      <c r="P38" s="150"/>
      <c r="Q38" s="151"/>
      <c r="R38" s="149" t="s">
        <v>397</v>
      </c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1"/>
      <c r="AK38" s="143" t="s">
        <v>285</v>
      </c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44"/>
    </row>
    <row r="39" spans="2:61" ht="20.100000000000001" customHeight="1" x14ac:dyDescent="0.45">
      <c r="B39" s="138"/>
      <c r="C39" s="31"/>
      <c r="D39" s="31"/>
      <c r="E39" s="31"/>
      <c r="F39" s="31"/>
      <c r="G39" s="139"/>
      <c r="H39" s="140"/>
      <c r="I39" s="31"/>
      <c r="J39" s="149" t="s">
        <v>229</v>
      </c>
      <c r="K39" s="150"/>
      <c r="L39" s="150"/>
      <c r="M39" s="150"/>
      <c r="N39" s="150"/>
      <c r="O39" s="150"/>
      <c r="P39" s="150"/>
      <c r="Q39" s="151"/>
      <c r="R39" s="149" t="s">
        <v>398</v>
      </c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1"/>
      <c r="AK39" s="143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144"/>
    </row>
    <row r="40" spans="2:61" ht="20.100000000000001" customHeight="1" x14ac:dyDescent="0.45">
      <c r="B40" s="138"/>
      <c r="C40" s="31"/>
      <c r="D40" s="31"/>
      <c r="E40" s="31"/>
      <c r="F40" s="31"/>
      <c r="G40" s="139"/>
      <c r="H40" s="140"/>
      <c r="I40" s="31"/>
      <c r="J40" s="149" t="s">
        <v>287</v>
      </c>
      <c r="K40" s="150"/>
      <c r="L40" s="150"/>
      <c r="M40" s="150"/>
      <c r="N40" s="150"/>
      <c r="O40" s="150"/>
      <c r="P40" s="150"/>
      <c r="Q40" s="151"/>
      <c r="R40" s="149" t="s">
        <v>399</v>
      </c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1"/>
      <c r="AK40" s="143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44"/>
    </row>
    <row r="41" spans="2:61" ht="20.100000000000001" customHeight="1" x14ac:dyDescent="0.45">
      <c r="B41" s="138"/>
      <c r="C41" s="31"/>
      <c r="D41" s="31"/>
      <c r="E41" s="31"/>
      <c r="F41" s="31"/>
      <c r="G41" s="139"/>
      <c r="H41" s="140"/>
      <c r="I41" s="31"/>
      <c r="J41" s="149" t="s">
        <v>288</v>
      </c>
      <c r="K41" s="150"/>
      <c r="L41" s="150"/>
      <c r="M41" s="150"/>
      <c r="N41" s="150"/>
      <c r="O41" s="150"/>
      <c r="P41" s="150"/>
      <c r="Q41" s="151"/>
      <c r="R41" s="149" t="s">
        <v>400</v>
      </c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  <c r="AH41" s="150"/>
      <c r="AI41" s="150"/>
      <c r="AJ41" s="151"/>
      <c r="AK41" s="143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44"/>
    </row>
    <row r="42" spans="2:61" ht="20.100000000000001" customHeight="1" x14ac:dyDescent="0.45">
      <c r="B42" s="138"/>
      <c r="C42" s="31"/>
      <c r="D42" s="31"/>
      <c r="E42" s="31"/>
      <c r="F42" s="31"/>
      <c r="G42" s="139"/>
      <c r="H42" s="140"/>
      <c r="I42" s="31"/>
      <c r="J42" s="149" t="s">
        <v>289</v>
      </c>
      <c r="K42" s="150"/>
      <c r="L42" s="150"/>
      <c r="M42" s="150"/>
      <c r="N42" s="150"/>
      <c r="O42" s="150"/>
      <c r="P42" s="150"/>
      <c r="Q42" s="151"/>
      <c r="R42" s="149" t="s">
        <v>401</v>
      </c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1"/>
      <c r="AK42" s="143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44"/>
    </row>
    <row r="43" spans="2:61" ht="20.100000000000001" customHeight="1" x14ac:dyDescent="0.45">
      <c r="B43" s="138"/>
      <c r="C43" s="31"/>
      <c r="D43" s="31"/>
      <c r="E43" s="31"/>
      <c r="F43" s="31"/>
      <c r="G43" s="139"/>
      <c r="H43" s="140"/>
      <c r="I43" s="31"/>
      <c r="J43" s="149" t="s">
        <v>290</v>
      </c>
      <c r="K43" s="150"/>
      <c r="L43" s="150"/>
      <c r="M43" s="150"/>
      <c r="N43" s="150"/>
      <c r="O43" s="150"/>
      <c r="P43" s="150"/>
      <c r="Q43" s="151"/>
      <c r="R43" s="149" t="s">
        <v>402</v>
      </c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  <c r="AF43" s="150"/>
      <c r="AG43" s="150"/>
      <c r="AH43" s="150"/>
      <c r="AI43" s="150"/>
      <c r="AJ43" s="151"/>
      <c r="AK43" s="143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44"/>
    </row>
    <row r="44" spans="2:61" ht="20.100000000000001" customHeight="1" x14ac:dyDescent="0.45">
      <c r="B44" s="138"/>
      <c r="C44" s="31"/>
      <c r="D44" s="31"/>
      <c r="E44" s="31"/>
      <c r="F44" s="31"/>
      <c r="G44" s="139"/>
      <c r="H44" s="140"/>
      <c r="I44" s="31"/>
      <c r="J44" s="149" t="s">
        <v>291</v>
      </c>
      <c r="K44" s="150"/>
      <c r="L44" s="150"/>
      <c r="M44" s="150"/>
      <c r="N44" s="150"/>
      <c r="O44" s="150"/>
      <c r="P44" s="150"/>
      <c r="Q44" s="151"/>
      <c r="R44" s="149" t="s">
        <v>403</v>
      </c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1"/>
      <c r="AK44" s="143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44"/>
    </row>
    <row r="45" spans="2:61" ht="20.100000000000001" customHeight="1" x14ac:dyDescent="0.45">
      <c r="B45" s="138"/>
      <c r="C45" s="31"/>
      <c r="D45" s="31"/>
      <c r="E45" s="31"/>
      <c r="F45" s="31"/>
      <c r="G45" s="139"/>
      <c r="H45" s="140"/>
      <c r="I45" s="31"/>
      <c r="J45" s="149" t="s">
        <v>230</v>
      </c>
      <c r="K45" s="150"/>
      <c r="L45" s="150"/>
      <c r="M45" s="150"/>
      <c r="N45" s="150"/>
      <c r="O45" s="150"/>
      <c r="P45" s="150"/>
      <c r="Q45" s="151"/>
      <c r="R45" s="149" t="s">
        <v>404</v>
      </c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1"/>
      <c r="AK45" s="143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44"/>
    </row>
    <row r="46" spans="2:61" ht="20.100000000000001" customHeight="1" x14ac:dyDescent="0.45">
      <c r="B46" s="138"/>
      <c r="C46" s="31"/>
      <c r="D46" s="31"/>
      <c r="E46" s="31"/>
      <c r="F46" s="31"/>
      <c r="G46" s="139"/>
      <c r="H46" s="140"/>
      <c r="I46" s="31"/>
      <c r="J46" s="149" t="s">
        <v>231</v>
      </c>
      <c r="K46" s="150"/>
      <c r="L46" s="150"/>
      <c r="M46" s="150"/>
      <c r="N46" s="150"/>
      <c r="O46" s="150"/>
      <c r="P46" s="150"/>
      <c r="Q46" s="151"/>
      <c r="R46" s="149" t="s">
        <v>405</v>
      </c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1"/>
      <c r="AK46" s="143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44"/>
    </row>
    <row r="47" spans="2:61" ht="20.100000000000001" customHeight="1" x14ac:dyDescent="0.45">
      <c r="B47" s="138"/>
      <c r="C47" s="31"/>
      <c r="D47" s="31"/>
      <c r="E47" s="31"/>
      <c r="F47" s="31"/>
      <c r="G47" s="139"/>
      <c r="H47" s="140"/>
      <c r="I47" s="31"/>
      <c r="J47" s="149" t="s">
        <v>232</v>
      </c>
      <c r="K47" s="150"/>
      <c r="L47" s="150"/>
      <c r="M47" s="150"/>
      <c r="N47" s="150"/>
      <c r="O47" s="150"/>
      <c r="P47" s="150"/>
      <c r="Q47" s="151"/>
      <c r="R47" s="149" t="s">
        <v>406</v>
      </c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1"/>
      <c r="AK47" s="143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44"/>
    </row>
    <row r="48" spans="2:61" ht="20.100000000000001" customHeight="1" x14ac:dyDescent="0.45">
      <c r="B48" s="138"/>
      <c r="C48" s="31"/>
      <c r="D48" s="31"/>
      <c r="E48" s="31"/>
      <c r="F48" s="31"/>
      <c r="G48" s="139"/>
      <c r="H48" s="140"/>
      <c r="I48" s="31"/>
      <c r="J48" s="149" t="s">
        <v>233</v>
      </c>
      <c r="K48" s="150"/>
      <c r="L48" s="150"/>
      <c r="M48" s="150"/>
      <c r="N48" s="150"/>
      <c r="O48" s="150"/>
      <c r="P48" s="150"/>
      <c r="Q48" s="151"/>
      <c r="R48" s="149" t="s">
        <v>407</v>
      </c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1"/>
      <c r="AK48" s="143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44"/>
    </row>
    <row r="49" spans="2:61" ht="20.100000000000001" customHeight="1" x14ac:dyDescent="0.45">
      <c r="B49" s="138"/>
      <c r="C49" s="31"/>
      <c r="D49" s="31"/>
      <c r="E49" s="31"/>
      <c r="F49" s="31"/>
      <c r="G49" s="139"/>
      <c r="H49" s="140"/>
      <c r="I49" s="31"/>
      <c r="J49" s="149" t="s">
        <v>234</v>
      </c>
      <c r="K49" s="150"/>
      <c r="L49" s="150"/>
      <c r="M49" s="150"/>
      <c r="N49" s="150"/>
      <c r="O49" s="150"/>
      <c r="P49" s="150"/>
      <c r="Q49" s="151"/>
      <c r="R49" s="149" t="s">
        <v>408</v>
      </c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1"/>
      <c r="AK49" s="143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44"/>
    </row>
    <row r="50" spans="2:61" ht="20.100000000000001" customHeight="1" x14ac:dyDescent="0.45">
      <c r="B50" s="138"/>
      <c r="C50" s="31"/>
      <c r="D50" s="31"/>
      <c r="E50" s="31"/>
      <c r="F50" s="31"/>
      <c r="G50" s="139"/>
      <c r="H50" s="140"/>
      <c r="I50" s="31"/>
      <c r="J50" s="149" t="s">
        <v>235</v>
      </c>
      <c r="K50" s="150"/>
      <c r="L50" s="150"/>
      <c r="M50" s="150"/>
      <c r="N50" s="150"/>
      <c r="O50" s="150"/>
      <c r="P50" s="150"/>
      <c r="Q50" s="151"/>
      <c r="R50" s="149" t="s">
        <v>409</v>
      </c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1"/>
      <c r="AK50" s="143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144"/>
    </row>
    <row r="51" spans="2:61" ht="20.100000000000001" customHeight="1" x14ac:dyDescent="0.45">
      <c r="B51" s="138"/>
      <c r="C51" s="31"/>
      <c r="D51" s="31"/>
      <c r="E51" s="31"/>
      <c r="F51" s="31"/>
      <c r="G51" s="139"/>
      <c r="H51" s="140"/>
      <c r="I51" s="31"/>
      <c r="J51" s="149" t="s">
        <v>236</v>
      </c>
      <c r="K51" s="150"/>
      <c r="L51" s="150"/>
      <c r="M51" s="150"/>
      <c r="N51" s="150"/>
      <c r="O51" s="150"/>
      <c r="P51" s="150"/>
      <c r="Q51" s="151"/>
      <c r="R51" s="149" t="s">
        <v>410</v>
      </c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1"/>
      <c r="AK51" s="143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144"/>
    </row>
    <row r="52" spans="2:61" ht="20.100000000000001" customHeight="1" x14ac:dyDescent="0.45">
      <c r="B52" s="138"/>
      <c r="C52" s="31"/>
      <c r="D52" s="31"/>
      <c r="E52" s="31"/>
      <c r="F52" s="31"/>
      <c r="G52" s="139"/>
      <c r="H52" s="140"/>
      <c r="I52" s="31"/>
      <c r="J52" s="149" t="s">
        <v>237</v>
      </c>
      <c r="K52" s="150"/>
      <c r="L52" s="150"/>
      <c r="M52" s="150"/>
      <c r="N52" s="150"/>
      <c r="O52" s="150"/>
      <c r="P52" s="150"/>
      <c r="Q52" s="151"/>
      <c r="R52" s="149" t="s">
        <v>411</v>
      </c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1"/>
      <c r="AK52" s="143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44"/>
    </row>
    <row r="53" spans="2:61" ht="20.100000000000001" customHeight="1" x14ac:dyDescent="0.45">
      <c r="B53" s="138"/>
      <c r="C53" s="31"/>
      <c r="D53" s="31"/>
      <c r="E53" s="31"/>
      <c r="F53" s="31"/>
      <c r="G53" s="139"/>
      <c r="H53" s="140"/>
      <c r="I53" s="31"/>
      <c r="J53" s="149" t="s">
        <v>238</v>
      </c>
      <c r="K53" s="150"/>
      <c r="L53" s="150"/>
      <c r="M53" s="150"/>
      <c r="N53" s="150"/>
      <c r="O53" s="150"/>
      <c r="P53" s="150"/>
      <c r="Q53" s="151"/>
      <c r="R53" s="149" t="s">
        <v>412</v>
      </c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1"/>
      <c r="AK53" s="143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44"/>
    </row>
    <row r="54" spans="2:61" ht="20.100000000000001" customHeight="1" x14ac:dyDescent="0.45">
      <c r="B54" s="138"/>
      <c r="C54" s="31"/>
      <c r="D54" s="31"/>
      <c r="E54" s="31"/>
      <c r="F54" s="31"/>
      <c r="G54" s="139"/>
      <c r="H54" s="140"/>
      <c r="I54" s="31"/>
      <c r="J54" s="149" t="s">
        <v>239</v>
      </c>
      <c r="K54" s="150"/>
      <c r="L54" s="150"/>
      <c r="M54" s="150"/>
      <c r="N54" s="150"/>
      <c r="O54" s="150"/>
      <c r="P54" s="150"/>
      <c r="Q54" s="151"/>
      <c r="R54" s="149" t="s">
        <v>413</v>
      </c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1"/>
      <c r="AK54" s="143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144"/>
    </row>
    <row r="55" spans="2:61" ht="20.100000000000001" customHeight="1" x14ac:dyDescent="0.45">
      <c r="B55" s="138"/>
      <c r="C55" s="31"/>
      <c r="D55" s="31"/>
      <c r="E55" s="31"/>
      <c r="F55" s="31"/>
      <c r="G55" s="139"/>
      <c r="H55" s="140"/>
      <c r="I55" s="31"/>
      <c r="J55" s="149" t="s">
        <v>240</v>
      </c>
      <c r="K55" s="150"/>
      <c r="L55" s="150"/>
      <c r="M55" s="150"/>
      <c r="N55" s="150"/>
      <c r="O55" s="150"/>
      <c r="P55" s="150"/>
      <c r="Q55" s="151"/>
      <c r="R55" s="149" t="s">
        <v>414</v>
      </c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1"/>
      <c r="AK55" s="143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144"/>
    </row>
    <row r="56" spans="2:61" ht="20.100000000000001" customHeight="1" x14ac:dyDescent="0.45">
      <c r="B56" s="138"/>
      <c r="C56" s="31"/>
      <c r="D56" s="31"/>
      <c r="E56" s="31"/>
      <c r="F56" s="31"/>
      <c r="G56" s="139"/>
      <c r="H56" s="140"/>
      <c r="I56" s="31"/>
      <c r="J56" s="149" t="s">
        <v>241</v>
      </c>
      <c r="K56" s="150"/>
      <c r="L56" s="150"/>
      <c r="M56" s="150"/>
      <c r="N56" s="150"/>
      <c r="O56" s="150"/>
      <c r="P56" s="150"/>
      <c r="Q56" s="151"/>
      <c r="R56" s="149" t="s">
        <v>415</v>
      </c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1"/>
      <c r="AK56" s="143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144"/>
    </row>
    <row r="57" spans="2:61" ht="20.100000000000001" customHeight="1" x14ac:dyDescent="0.45">
      <c r="B57" s="138"/>
      <c r="C57" s="31"/>
      <c r="D57" s="31"/>
      <c r="E57" s="31"/>
      <c r="F57" s="31"/>
      <c r="G57" s="139"/>
      <c r="H57" s="140"/>
      <c r="I57" s="31"/>
      <c r="J57" s="149" t="s">
        <v>242</v>
      </c>
      <c r="K57" s="150"/>
      <c r="L57" s="150"/>
      <c r="M57" s="150"/>
      <c r="N57" s="150"/>
      <c r="O57" s="150"/>
      <c r="P57" s="150"/>
      <c r="Q57" s="151"/>
      <c r="R57" s="149" t="s">
        <v>416</v>
      </c>
      <c r="S57" s="150"/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1"/>
      <c r="AK57" s="143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144"/>
    </row>
    <row r="58" spans="2:61" ht="20.100000000000001" customHeight="1" x14ac:dyDescent="0.45">
      <c r="B58" s="138"/>
      <c r="C58" s="31"/>
      <c r="D58" s="31"/>
      <c r="E58" s="31"/>
      <c r="F58" s="31"/>
      <c r="G58" s="139"/>
      <c r="H58" s="140"/>
      <c r="I58" s="31"/>
      <c r="J58" s="149" t="s">
        <v>243</v>
      </c>
      <c r="K58" s="150"/>
      <c r="L58" s="150"/>
      <c r="M58" s="150"/>
      <c r="N58" s="150"/>
      <c r="O58" s="150"/>
      <c r="P58" s="150"/>
      <c r="Q58" s="151"/>
      <c r="R58" s="149" t="s">
        <v>417</v>
      </c>
      <c r="S58" s="150"/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1"/>
      <c r="AK58" s="143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144"/>
    </row>
    <row r="59" spans="2:61" ht="20.100000000000001" customHeight="1" x14ac:dyDescent="0.45">
      <c r="B59" s="138"/>
      <c r="C59" s="31"/>
      <c r="D59" s="31"/>
      <c r="E59" s="31"/>
      <c r="F59" s="31"/>
      <c r="G59" s="139"/>
      <c r="H59" s="140"/>
      <c r="I59" s="31"/>
      <c r="J59" s="149" t="s">
        <v>244</v>
      </c>
      <c r="K59" s="150"/>
      <c r="L59" s="150"/>
      <c r="M59" s="150"/>
      <c r="N59" s="150"/>
      <c r="O59" s="150"/>
      <c r="P59" s="150"/>
      <c r="Q59" s="151"/>
      <c r="R59" s="149" t="s">
        <v>418</v>
      </c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1"/>
      <c r="AK59" s="143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144"/>
    </row>
    <row r="60" spans="2:61" ht="20.100000000000001" customHeight="1" x14ac:dyDescent="0.45">
      <c r="B60" s="138"/>
      <c r="C60" s="31"/>
      <c r="D60" s="31"/>
      <c r="E60" s="31"/>
      <c r="F60" s="31"/>
      <c r="G60" s="139"/>
      <c r="H60" s="140"/>
      <c r="I60" s="31"/>
      <c r="J60" s="149" t="s">
        <v>168</v>
      </c>
      <c r="K60" s="150"/>
      <c r="L60" s="150"/>
      <c r="M60" s="150"/>
      <c r="N60" s="150"/>
      <c r="O60" s="150"/>
      <c r="P60" s="150"/>
      <c r="Q60" s="151"/>
      <c r="R60" s="149" t="s">
        <v>419</v>
      </c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1"/>
      <c r="AK60" s="143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144"/>
    </row>
    <row r="61" spans="2:61" ht="20.100000000000001" customHeight="1" x14ac:dyDescent="0.45">
      <c r="B61" s="138"/>
      <c r="C61" s="31"/>
      <c r="D61" s="31"/>
      <c r="E61" s="31"/>
      <c r="F61" s="31"/>
      <c r="G61" s="139"/>
      <c r="H61" s="140"/>
      <c r="I61" s="31"/>
      <c r="J61" s="149" t="s">
        <v>245</v>
      </c>
      <c r="K61" s="150"/>
      <c r="L61" s="150"/>
      <c r="M61" s="150"/>
      <c r="N61" s="150"/>
      <c r="O61" s="150"/>
      <c r="P61" s="150"/>
      <c r="Q61" s="151"/>
      <c r="R61" s="149" t="s">
        <v>420</v>
      </c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1"/>
      <c r="AK61" s="143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144"/>
    </row>
    <row r="62" spans="2:61" ht="20.100000000000001" customHeight="1" x14ac:dyDescent="0.45">
      <c r="B62" s="138"/>
      <c r="C62" s="31"/>
      <c r="D62" s="31"/>
      <c r="E62" s="31"/>
      <c r="F62" s="31"/>
      <c r="G62" s="139"/>
      <c r="H62" s="140"/>
      <c r="I62" s="31"/>
      <c r="J62" s="149" t="s">
        <v>246</v>
      </c>
      <c r="K62" s="150"/>
      <c r="L62" s="150"/>
      <c r="M62" s="150"/>
      <c r="N62" s="150"/>
      <c r="O62" s="150"/>
      <c r="P62" s="150"/>
      <c r="Q62" s="151"/>
      <c r="R62" s="149" t="s">
        <v>421</v>
      </c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1"/>
      <c r="AK62" s="143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44"/>
    </row>
    <row r="63" spans="2:61" ht="20.100000000000001" customHeight="1" x14ac:dyDescent="0.45">
      <c r="B63" s="138"/>
      <c r="C63" s="31"/>
      <c r="D63" s="31"/>
      <c r="E63" s="31"/>
      <c r="F63" s="31"/>
      <c r="G63" s="139"/>
      <c r="H63" s="140"/>
      <c r="I63" s="31"/>
      <c r="J63" s="149" t="s">
        <v>248</v>
      </c>
      <c r="K63" s="150"/>
      <c r="L63" s="150"/>
      <c r="M63" s="150"/>
      <c r="N63" s="150"/>
      <c r="O63" s="150"/>
      <c r="P63" s="150"/>
      <c r="Q63" s="151"/>
      <c r="R63" s="149" t="s">
        <v>422</v>
      </c>
      <c r="S63" s="150"/>
      <c r="T63" s="150"/>
      <c r="U63" s="150"/>
      <c r="V63" s="150"/>
      <c r="W63" s="150"/>
      <c r="X63" s="150"/>
      <c r="Y63" s="150"/>
      <c r="Z63" s="150"/>
      <c r="AA63" s="150"/>
      <c r="AB63" s="150"/>
      <c r="AC63" s="150"/>
      <c r="AD63" s="150"/>
      <c r="AE63" s="150"/>
      <c r="AF63" s="150"/>
      <c r="AG63" s="150"/>
      <c r="AH63" s="150"/>
      <c r="AI63" s="150"/>
      <c r="AJ63" s="151"/>
      <c r="AK63" s="143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144"/>
    </row>
    <row r="64" spans="2:61" ht="20.100000000000001" customHeight="1" x14ac:dyDescent="0.45">
      <c r="B64" s="138"/>
      <c r="C64" s="31"/>
      <c r="D64" s="31"/>
      <c r="E64" s="31"/>
      <c r="F64" s="31"/>
      <c r="G64" s="139"/>
      <c r="H64" s="140"/>
      <c r="I64" s="31"/>
      <c r="J64" s="149" t="s">
        <v>247</v>
      </c>
      <c r="K64" s="150"/>
      <c r="L64" s="150"/>
      <c r="M64" s="150"/>
      <c r="N64" s="150"/>
      <c r="O64" s="150"/>
      <c r="P64" s="150"/>
      <c r="Q64" s="151"/>
      <c r="R64" s="149" t="s">
        <v>423</v>
      </c>
      <c r="S64" s="150"/>
      <c r="T64" s="150"/>
      <c r="U64" s="150"/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1"/>
      <c r="AK64" s="143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144"/>
    </row>
    <row r="65" spans="2:61" ht="20.100000000000001" customHeight="1" x14ac:dyDescent="0.45">
      <c r="B65" s="138"/>
      <c r="C65" s="31"/>
      <c r="D65" s="31"/>
      <c r="E65" s="31"/>
      <c r="F65" s="31"/>
      <c r="G65" s="139"/>
      <c r="H65" s="140"/>
      <c r="I65" s="31"/>
      <c r="J65" s="149" t="s">
        <v>249</v>
      </c>
      <c r="K65" s="150"/>
      <c r="L65" s="150"/>
      <c r="M65" s="150"/>
      <c r="N65" s="150"/>
      <c r="O65" s="150"/>
      <c r="P65" s="150"/>
      <c r="Q65" s="151"/>
      <c r="R65" s="149" t="s">
        <v>424</v>
      </c>
      <c r="S65" s="150"/>
      <c r="T65" s="150"/>
      <c r="U65" s="150"/>
      <c r="V65" s="150"/>
      <c r="W65" s="150"/>
      <c r="X65" s="150"/>
      <c r="Y65" s="150"/>
      <c r="Z65" s="150"/>
      <c r="AA65" s="150"/>
      <c r="AB65" s="150"/>
      <c r="AC65" s="150"/>
      <c r="AD65" s="150"/>
      <c r="AE65" s="150"/>
      <c r="AF65" s="150"/>
      <c r="AG65" s="150"/>
      <c r="AH65" s="150"/>
      <c r="AI65" s="150"/>
      <c r="AJ65" s="151"/>
      <c r="AK65" s="143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144"/>
    </row>
    <row r="66" spans="2:61" ht="20.100000000000001" customHeight="1" x14ac:dyDescent="0.45">
      <c r="B66" s="138"/>
      <c r="C66" s="31"/>
      <c r="D66" s="31"/>
      <c r="E66" s="31"/>
      <c r="F66" s="31"/>
      <c r="G66" s="139"/>
      <c r="H66" s="140"/>
      <c r="I66" s="31"/>
      <c r="J66" s="149" t="s">
        <v>250</v>
      </c>
      <c r="K66" s="150"/>
      <c r="L66" s="150"/>
      <c r="M66" s="150"/>
      <c r="N66" s="150"/>
      <c r="O66" s="150"/>
      <c r="P66" s="150"/>
      <c r="Q66" s="151"/>
      <c r="R66" s="149" t="s">
        <v>425</v>
      </c>
      <c r="S66" s="150"/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1"/>
      <c r="AK66" s="143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144"/>
    </row>
    <row r="67" spans="2:61" ht="20.100000000000001" customHeight="1" x14ac:dyDescent="0.45">
      <c r="B67" s="138"/>
      <c r="C67" s="31"/>
      <c r="D67" s="31"/>
      <c r="E67" s="31"/>
      <c r="F67" s="31"/>
      <c r="G67" s="139"/>
      <c r="H67" s="140"/>
      <c r="I67" s="31"/>
      <c r="J67" s="149" t="s">
        <v>251</v>
      </c>
      <c r="K67" s="150"/>
      <c r="L67" s="150"/>
      <c r="M67" s="150"/>
      <c r="N67" s="150"/>
      <c r="O67" s="150"/>
      <c r="P67" s="150"/>
      <c r="Q67" s="151"/>
      <c r="R67" s="149" t="s">
        <v>426</v>
      </c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0"/>
      <c r="AH67" s="150"/>
      <c r="AI67" s="150"/>
      <c r="AJ67" s="151"/>
      <c r="AK67" s="143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144"/>
    </row>
    <row r="68" spans="2:61" ht="20.100000000000001" customHeight="1" x14ac:dyDescent="0.45">
      <c r="B68" s="138"/>
      <c r="C68" s="31"/>
      <c r="D68" s="31"/>
      <c r="E68" s="31"/>
      <c r="F68" s="31"/>
      <c r="G68" s="139"/>
      <c r="H68" s="140"/>
      <c r="I68" s="31"/>
      <c r="J68" s="149" t="s">
        <v>252</v>
      </c>
      <c r="K68" s="150"/>
      <c r="L68" s="150"/>
      <c r="M68" s="150"/>
      <c r="N68" s="150"/>
      <c r="O68" s="150"/>
      <c r="P68" s="150"/>
      <c r="Q68" s="151"/>
      <c r="R68" s="149" t="s">
        <v>427</v>
      </c>
      <c r="S68" s="150"/>
      <c r="T68" s="150"/>
      <c r="U68" s="150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150"/>
      <c r="AH68" s="150"/>
      <c r="AI68" s="150"/>
      <c r="AJ68" s="151"/>
      <c r="AK68" s="143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144"/>
    </row>
    <row r="69" spans="2:61" ht="20.100000000000001" customHeight="1" x14ac:dyDescent="0.45">
      <c r="B69" s="138"/>
      <c r="C69" s="31"/>
      <c r="D69" s="31"/>
      <c r="E69" s="31"/>
      <c r="F69" s="31"/>
      <c r="G69" s="139"/>
      <c r="H69" s="140"/>
      <c r="I69" s="31"/>
      <c r="J69" s="149" t="s">
        <v>253</v>
      </c>
      <c r="K69" s="150"/>
      <c r="L69" s="150"/>
      <c r="M69" s="150"/>
      <c r="N69" s="150"/>
      <c r="O69" s="150"/>
      <c r="P69" s="150"/>
      <c r="Q69" s="151"/>
      <c r="R69" s="149" t="s">
        <v>428</v>
      </c>
      <c r="S69" s="150"/>
      <c r="T69" s="150"/>
      <c r="U69" s="150"/>
      <c r="V69" s="150"/>
      <c r="W69" s="150"/>
      <c r="X69" s="150"/>
      <c r="Y69" s="150"/>
      <c r="Z69" s="150"/>
      <c r="AA69" s="150"/>
      <c r="AB69" s="150"/>
      <c r="AC69" s="150"/>
      <c r="AD69" s="150"/>
      <c r="AE69" s="150"/>
      <c r="AF69" s="150"/>
      <c r="AG69" s="150"/>
      <c r="AH69" s="150"/>
      <c r="AI69" s="150"/>
      <c r="AJ69" s="151"/>
      <c r="AK69" s="143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144"/>
    </row>
    <row r="70" spans="2:61" ht="20.100000000000001" customHeight="1" x14ac:dyDescent="0.45">
      <c r="B70" s="138"/>
      <c r="C70" s="31"/>
      <c r="D70" s="31"/>
      <c r="E70" s="31"/>
      <c r="F70" s="31"/>
      <c r="G70" s="139"/>
      <c r="H70" s="145" t="s">
        <v>169</v>
      </c>
      <c r="I70" s="55"/>
      <c r="J70" s="145" t="s">
        <v>429</v>
      </c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146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147"/>
    </row>
    <row r="71" spans="2:61" ht="20.100000000000001" customHeight="1" x14ac:dyDescent="0.45">
      <c r="B71" s="138"/>
      <c r="C71" s="31"/>
      <c r="D71" s="31"/>
      <c r="E71" s="31"/>
      <c r="F71" s="31"/>
      <c r="G71" s="139"/>
      <c r="H71" s="140"/>
      <c r="I71" s="31"/>
      <c r="J71" s="140" t="s">
        <v>431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143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144"/>
    </row>
    <row r="72" spans="2:61" ht="20.100000000000001" customHeight="1" x14ac:dyDescent="0.45">
      <c r="B72" s="138"/>
      <c r="C72" s="31"/>
      <c r="D72" s="31"/>
      <c r="E72" s="31"/>
      <c r="F72" s="31"/>
      <c r="G72" s="139"/>
      <c r="H72" s="140"/>
      <c r="I72" s="31"/>
      <c r="J72" s="140" t="s">
        <v>432</v>
      </c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143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144"/>
    </row>
    <row r="73" spans="2:61" ht="20.100000000000001" customHeight="1" x14ac:dyDescent="0.45">
      <c r="B73" s="138"/>
      <c r="C73" s="31"/>
      <c r="D73" s="31"/>
      <c r="E73" s="31"/>
      <c r="F73" s="31"/>
      <c r="G73" s="139"/>
      <c r="H73" s="140"/>
      <c r="I73" s="31"/>
      <c r="J73" s="140" t="s">
        <v>433</v>
      </c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143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144"/>
    </row>
    <row r="74" spans="2:61" ht="20.100000000000001" customHeight="1" x14ac:dyDescent="0.45">
      <c r="B74" s="138"/>
      <c r="C74" s="31"/>
      <c r="D74" s="31"/>
      <c r="E74" s="31"/>
      <c r="F74" s="31"/>
      <c r="G74" s="139"/>
      <c r="H74" s="140"/>
      <c r="I74" s="31"/>
      <c r="J74" s="140" t="s">
        <v>432</v>
      </c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143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144"/>
    </row>
    <row r="75" spans="2:61" ht="20.100000000000001" customHeight="1" x14ac:dyDescent="0.45">
      <c r="B75" s="138"/>
      <c r="C75" s="31"/>
      <c r="D75" s="31"/>
      <c r="E75" s="31"/>
      <c r="F75" s="31"/>
      <c r="G75" s="139"/>
      <c r="H75" s="140"/>
      <c r="I75" s="31"/>
      <c r="J75" s="140" t="s">
        <v>434</v>
      </c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143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144"/>
    </row>
    <row r="76" spans="2:61" ht="20.100000000000001" customHeight="1" x14ac:dyDescent="0.45">
      <c r="B76" s="138"/>
      <c r="C76" s="31"/>
      <c r="D76" s="31"/>
      <c r="E76" s="31"/>
      <c r="F76" s="31"/>
      <c r="G76" s="139"/>
      <c r="H76" s="140"/>
      <c r="I76" s="31"/>
      <c r="J76" s="140" t="s">
        <v>432</v>
      </c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143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144"/>
    </row>
    <row r="77" spans="2:61" ht="20.100000000000001" customHeight="1" x14ac:dyDescent="0.45">
      <c r="B77" s="138"/>
      <c r="C77" s="31"/>
      <c r="D77" s="31"/>
      <c r="E77" s="31"/>
      <c r="F77" s="31"/>
      <c r="G77" s="139"/>
      <c r="H77" s="140"/>
      <c r="I77" s="31"/>
      <c r="J77" s="140" t="s">
        <v>435</v>
      </c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143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144"/>
    </row>
    <row r="78" spans="2:61" ht="20.100000000000001" customHeight="1" x14ac:dyDescent="0.45">
      <c r="B78" s="138"/>
      <c r="C78" s="31"/>
      <c r="D78" s="31"/>
      <c r="E78" s="31"/>
      <c r="F78" s="31"/>
      <c r="G78" s="139"/>
      <c r="H78" s="140"/>
      <c r="I78" s="31"/>
      <c r="J78" s="140" t="s">
        <v>432</v>
      </c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143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144"/>
    </row>
    <row r="79" spans="2:61" ht="20.100000000000001" customHeight="1" x14ac:dyDescent="0.45">
      <c r="B79" s="138"/>
      <c r="C79" s="31"/>
      <c r="D79" s="31"/>
      <c r="E79" s="31"/>
      <c r="F79" s="31"/>
      <c r="G79" s="139"/>
      <c r="H79" s="140"/>
      <c r="I79" s="31"/>
      <c r="J79" s="140" t="s">
        <v>436</v>
      </c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143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144"/>
    </row>
    <row r="80" spans="2:61" ht="20.100000000000001" customHeight="1" x14ac:dyDescent="0.45">
      <c r="B80" s="138"/>
      <c r="C80" s="31"/>
      <c r="D80" s="31"/>
      <c r="E80" s="31"/>
      <c r="F80" s="31"/>
      <c r="G80" s="139"/>
      <c r="H80" s="140"/>
      <c r="I80" s="31"/>
      <c r="J80" s="140" t="s">
        <v>432</v>
      </c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143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144"/>
    </row>
    <row r="81" spans="2:61" ht="20.100000000000001" customHeight="1" x14ac:dyDescent="0.45">
      <c r="B81" s="138"/>
      <c r="C81" s="31"/>
      <c r="D81" s="31"/>
      <c r="E81" s="31"/>
      <c r="F81" s="31"/>
      <c r="G81" s="139"/>
      <c r="H81" s="140"/>
      <c r="I81" s="31"/>
      <c r="J81" s="140" t="s">
        <v>437</v>
      </c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143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144"/>
    </row>
    <row r="82" spans="2:61" ht="20.100000000000001" customHeight="1" x14ac:dyDescent="0.45">
      <c r="B82" s="138"/>
      <c r="C82" s="31"/>
      <c r="D82" s="31"/>
      <c r="E82" s="31"/>
      <c r="F82" s="31"/>
      <c r="G82" s="139"/>
      <c r="H82" s="140"/>
      <c r="I82" s="31"/>
      <c r="J82" s="140" t="s">
        <v>432</v>
      </c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143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144"/>
    </row>
    <row r="83" spans="2:61" ht="20.100000000000001" customHeight="1" x14ac:dyDescent="0.45">
      <c r="B83" s="138"/>
      <c r="C83" s="31"/>
      <c r="D83" s="31"/>
      <c r="E83" s="31"/>
      <c r="F83" s="31"/>
      <c r="G83" s="139"/>
      <c r="H83" s="140"/>
      <c r="I83" s="31"/>
      <c r="J83" s="140" t="s">
        <v>438</v>
      </c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143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144"/>
    </row>
    <row r="84" spans="2:61" ht="20.100000000000001" customHeight="1" x14ac:dyDescent="0.45">
      <c r="B84" s="138"/>
      <c r="C84" s="31"/>
      <c r="D84" s="31"/>
      <c r="E84" s="31"/>
      <c r="F84" s="31"/>
      <c r="G84" s="139"/>
      <c r="H84" s="140"/>
      <c r="I84" s="31"/>
      <c r="J84" s="140" t="s">
        <v>432</v>
      </c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143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144"/>
    </row>
    <row r="85" spans="2:61" ht="20.100000000000001" customHeight="1" x14ac:dyDescent="0.45">
      <c r="B85" s="138"/>
      <c r="C85" s="31"/>
      <c r="D85" s="31"/>
      <c r="E85" s="31"/>
      <c r="F85" s="31"/>
      <c r="G85" s="139"/>
      <c r="H85" s="140"/>
      <c r="I85" s="31"/>
      <c r="J85" s="140" t="s">
        <v>439</v>
      </c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143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144"/>
    </row>
    <row r="86" spans="2:61" ht="20.100000000000001" customHeight="1" thickBot="1" x14ac:dyDescent="0.5">
      <c r="B86" s="138"/>
      <c r="C86" s="31"/>
      <c r="D86" s="31"/>
      <c r="E86" s="31"/>
      <c r="F86" s="31"/>
      <c r="G86" s="139"/>
      <c r="H86" s="140"/>
      <c r="I86" s="31"/>
      <c r="J86" s="140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143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144"/>
    </row>
    <row r="87" spans="2:61" ht="20.100000000000001" customHeight="1" x14ac:dyDescent="0.45">
      <c r="B87" s="129" t="s">
        <v>283</v>
      </c>
      <c r="C87" s="130"/>
      <c r="D87" s="130"/>
      <c r="E87" s="130"/>
      <c r="F87" s="130"/>
      <c r="G87" s="131"/>
      <c r="H87" s="132" t="s">
        <v>159</v>
      </c>
      <c r="I87" s="130"/>
      <c r="J87" s="133" t="s">
        <v>160</v>
      </c>
      <c r="K87" s="134"/>
      <c r="L87" s="134"/>
      <c r="M87" s="134"/>
      <c r="N87" s="134"/>
      <c r="O87" s="134"/>
      <c r="P87" s="134"/>
      <c r="Q87" s="135"/>
      <c r="R87" s="134" t="s">
        <v>161</v>
      </c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5"/>
      <c r="AK87" s="136" t="s">
        <v>214</v>
      </c>
      <c r="AL87" s="130"/>
      <c r="AM87" s="130"/>
      <c r="AN87" s="130"/>
      <c r="AO87" s="130"/>
      <c r="AP87" s="130"/>
      <c r="AQ87" s="130"/>
      <c r="AR87" s="130"/>
      <c r="AS87" s="130"/>
      <c r="AT87" s="130"/>
      <c r="AU87" s="130"/>
      <c r="AV87" s="130"/>
      <c r="AW87" s="130"/>
      <c r="AX87" s="130"/>
      <c r="AY87" s="130"/>
      <c r="AZ87" s="130"/>
      <c r="BA87" s="130"/>
      <c r="BB87" s="130"/>
      <c r="BC87" s="130"/>
      <c r="BD87" s="130"/>
      <c r="BE87" s="130"/>
      <c r="BF87" s="130"/>
      <c r="BG87" s="130"/>
      <c r="BH87" s="130"/>
      <c r="BI87" s="137"/>
    </row>
    <row r="88" spans="2:61" ht="20.100000000000001" customHeight="1" x14ac:dyDescent="0.45">
      <c r="B88" s="138"/>
      <c r="C88" s="31"/>
      <c r="D88" s="31"/>
      <c r="E88" s="31"/>
      <c r="F88" s="31"/>
      <c r="G88" s="139"/>
      <c r="H88" s="140"/>
      <c r="I88" s="31"/>
      <c r="J88" s="149" t="s">
        <v>227</v>
      </c>
      <c r="K88" s="150"/>
      <c r="L88" s="150"/>
      <c r="M88" s="150"/>
      <c r="N88" s="150"/>
      <c r="O88" s="150"/>
      <c r="P88" s="150"/>
      <c r="Q88" s="151"/>
      <c r="R88" s="150" t="s">
        <v>254</v>
      </c>
      <c r="S88" s="150"/>
      <c r="T88" s="150"/>
      <c r="U88" s="150"/>
      <c r="V88" s="150"/>
      <c r="W88" s="150"/>
      <c r="X88" s="150"/>
      <c r="Y88" s="150"/>
      <c r="Z88" s="150"/>
      <c r="AA88" s="150"/>
      <c r="AB88" s="150"/>
      <c r="AC88" s="150"/>
      <c r="AD88" s="150"/>
      <c r="AE88" s="150"/>
      <c r="AF88" s="150"/>
      <c r="AG88" s="150"/>
      <c r="AH88" s="150"/>
      <c r="AI88" s="150"/>
      <c r="AJ88" s="151"/>
      <c r="AK88" s="143" t="s">
        <v>284</v>
      </c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144"/>
    </row>
    <row r="89" spans="2:61" ht="20.100000000000001" customHeight="1" x14ac:dyDescent="0.45">
      <c r="B89" s="138"/>
      <c r="C89" s="31"/>
      <c r="D89" s="31"/>
      <c r="E89" s="31"/>
      <c r="F89" s="31"/>
      <c r="G89" s="139"/>
      <c r="H89" s="140"/>
      <c r="I89" s="31"/>
      <c r="J89" s="149" t="s">
        <v>228</v>
      </c>
      <c r="K89" s="150"/>
      <c r="L89" s="150"/>
      <c r="M89" s="150"/>
      <c r="N89" s="150"/>
      <c r="O89" s="150"/>
      <c r="P89" s="150"/>
      <c r="Q89" s="151"/>
      <c r="R89" s="150" t="s">
        <v>255</v>
      </c>
      <c r="S89" s="150"/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1"/>
      <c r="AK89" s="143" t="s">
        <v>285</v>
      </c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144"/>
    </row>
    <row r="90" spans="2:61" ht="20.100000000000001" customHeight="1" x14ac:dyDescent="0.45">
      <c r="B90" s="138"/>
      <c r="C90" s="31"/>
      <c r="D90" s="31"/>
      <c r="E90" s="31"/>
      <c r="F90" s="31"/>
      <c r="G90" s="139"/>
      <c r="H90" s="140"/>
      <c r="I90" s="31"/>
      <c r="J90" s="149" t="s">
        <v>229</v>
      </c>
      <c r="K90" s="150"/>
      <c r="L90" s="150"/>
      <c r="M90" s="150"/>
      <c r="N90" s="150"/>
      <c r="O90" s="150"/>
      <c r="P90" s="150"/>
      <c r="Q90" s="151"/>
      <c r="R90" s="150" t="s">
        <v>257</v>
      </c>
      <c r="S90" s="150"/>
      <c r="T90" s="150"/>
      <c r="U90" s="150"/>
      <c r="V90" s="150"/>
      <c r="W90" s="150"/>
      <c r="X90" s="150"/>
      <c r="Y90" s="150"/>
      <c r="Z90" s="150"/>
      <c r="AA90" s="150"/>
      <c r="AB90" s="150"/>
      <c r="AC90" s="150"/>
      <c r="AD90" s="150"/>
      <c r="AE90" s="150"/>
      <c r="AF90" s="150"/>
      <c r="AG90" s="150"/>
      <c r="AH90" s="150"/>
      <c r="AI90" s="150"/>
      <c r="AJ90" s="151"/>
      <c r="AK90" s="143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144"/>
    </row>
    <row r="91" spans="2:61" ht="20.100000000000001" customHeight="1" x14ac:dyDescent="0.45">
      <c r="B91" s="138"/>
      <c r="C91" s="31"/>
      <c r="D91" s="31"/>
      <c r="E91" s="31"/>
      <c r="F91" s="31"/>
      <c r="G91" s="139"/>
      <c r="H91" s="140"/>
      <c r="I91" s="31"/>
      <c r="J91" s="149" t="s">
        <v>287</v>
      </c>
      <c r="K91" s="150"/>
      <c r="L91" s="150"/>
      <c r="M91" s="150"/>
      <c r="N91" s="150"/>
      <c r="O91" s="150"/>
      <c r="P91" s="150"/>
      <c r="Q91" s="151"/>
      <c r="R91" s="150" t="s">
        <v>292</v>
      </c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1"/>
      <c r="AK91" s="143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144"/>
    </row>
    <row r="92" spans="2:61" ht="20.100000000000001" customHeight="1" x14ac:dyDescent="0.45">
      <c r="B92" s="138"/>
      <c r="C92" s="31"/>
      <c r="D92" s="31"/>
      <c r="E92" s="31"/>
      <c r="F92" s="31"/>
      <c r="G92" s="139"/>
      <c r="H92" s="140"/>
      <c r="I92" s="31"/>
      <c r="J92" s="149" t="s">
        <v>288</v>
      </c>
      <c r="K92" s="150"/>
      <c r="L92" s="150"/>
      <c r="M92" s="150"/>
      <c r="N92" s="150"/>
      <c r="O92" s="150"/>
      <c r="P92" s="150"/>
      <c r="Q92" s="151"/>
      <c r="R92" s="150" t="s">
        <v>293</v>
      </c>
      <c r="S92" s="150"/>
      <c r="T92" s="150"/>
      <c r="U92" s="150"/>
      <c r="V92" s="150"/>
      <c r="W92" s="150"/>
      <c r="X92" s="150"/>
      <c r="Y92" s="150"/>
      <c r="Z92" s="150"/>
      <c r="AA92" s="150"/>
      <c r="AB92" s="150"/>
      <c r="AC92" s="150"/>
      <c r="AD92" s="150"/>
      <c r="AE92" s="150"/>
      <c r="AF92" s="150"/>
      <c r="AG92" s="150"/>
      <c r="AH92" s="150"/>
      <c r="AI92" s="150"/>
      <c r="AJ92" s="151"/>
      <c r="AK92" s="143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144"/>
    </row>
    <row r="93" spans="2:61" ht="20.100000000000001" customHeight="1" x14ac:dyDescent="0.45">
      <c r="B93" s="138"/>
      <c r="C93" s="31"/>
      <c r="D93" s="31"/>
      <c r="E93" s="31"/>
      <c r="F93" s="31"/>
      <c r="G93" s="139"/>
      <c r="H93" s="140"/>
      <c r="I93" s="31"/>
      <c r="J93" s="149" t="s">
        <v>289</v>
      </c>
      <c r="K93" s="150"/>
      <c r="L93" s="150"/>
      <c r="M93" s="150"/>
      <c r="N93" s="150"/>
      <c r="O93" s="150"/>
      <c r="P93" s="150"/>
      <c r="Q93" s="151"/>
      <c r="R93" s="150" t="s">
        <v>294</v>
      </c>
      <c r="S93" s="150"/>
      <c r="T93" s="150"/>
      <c r="U93" s="150"/>
      <c r="V93" s="150"/>
      <c r="W93" s="150"/>
      <c r="X93" s="150"/>
      <c r="Y93" s="150"/>
      <c r="Z93" s="150"/>
      <c r="AA93" s="150"/>
      <c r="AB93" s="150"/>
      <c r="AC93" s="150"/>
      <c r="AD93" s="150"/>
      <c r="AE93" s="150"/>
      <c r="AF93" s="150"/>
      <c r="AG93" s="150"/>
      <c r="AH93" s="150"/>
      <c r="AI93" s="150"/>
      <c r="AJ93" s="151"/>
      <c r="AK93" s="143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144"/>
    </row>
    <row r="94" spans="2:61" ht="20.100000000000001" customHeight="1" x14ac:dyDescent="0.45">
      <c r="B94" s="138"/>
      <c r="C94" s="31"/>
      <c r="D94" s="31"/>
      <c r="E94" s="31"/>
      <c r="F94" s="31"/>
      <c r="G94" s="139"/>
      <c r="H94" s="140"/>
      <c r="I94" s="31"/>
      <c r="J94" s="149" t="s">
        <v>290</v>
      </c>
      <c r="K94" s="150"/>
      <c r="L94" s="150"/>
      <c r="M94" s="150"/>
      <c r="N94" s="150"/>
      <c r="O94" s="150"/>
      <c r="P94" s="150"/>
      <c r="Q94" s="151"/>
      <c r="R94" s="150" t="s">
        <v>295</v>
      </c>
      <c r="S94" s="150"/>
      <c r="T94" s="150"/>
      <c r="U94" s="150"/>
      <c r="V94" s="150"/>
      <c r="W94" s="150"/>
      <c r="X94" s="150"/>
      <c r="Y94" s="150"/>
      <c r="Z94" s="150"/>
      <c r="AA94" s="150"/>
      <c r="AB94" s="150"/>
      <c r="AC94" s="150"/>
      <c r="AD94" s="150"/>
      <c r="AE94" s="150"/>
      <c r="AF94" s="150"/>
      <c r="AG94" s="150"/>
      <c r="AH94" s="150"/>
      <c r="AI94" s="150"/>
      <c r="AJ94" s="151"/>
      <c r="AK94" s="143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144"/>
    </row>
    <row r="95" spans="2:61" ht="20.100000000000001" customHeight="1" x14ac:dyDescent="0.45">
      <c r="B95" s="138"/>
      <c r="C95" s="31"/>
      <c r="D95" s="31"/>
      <c r="E95" s="31"/>
      <c r="F95" s="31"/>
      <c r="G95" s="139"/>
      <c r="H95" s="140"/>
      <c r="I95" s="31"/>
      <c r="J95" s="149" t="s">
        <v>291</v>
      </c>
      <c r="K95" s="150"/>
      <c r="L95" s="150"/>
      <c r="M95" s="150"/>
      <c r="N95" s="150"/>
      <c r="O95" s="150"/>
      <c r="P95" s="150"/>
      <c r="Q95" s="151"/>
      <c r="R95" s="150" t="s">
        <v>296</v>
      </c>
      <c r="S95" s="150"/>
      <c r="T95" s="150"/>
      <c r="U95" s="150"/>
      <c r="V95" s="150"/>
      <c r="W95" s="150"/>
      <c r="X95" s="150"/>
      <c r="Y95" s="150"/>
      <c r="Z95" s="150"/>
      <c r="AA95" s="150"/>
      <c r="AB95" s="150"/>
      <c r="AC95" s="150"/>
      <c r="AD95" s="150"/>
      <c r="AE95" s="150"/>
      <c r="AF95" s="150"/>
      <c r="AG95" s="150"/>
      <c r="AH95" s="150"/>
      <c r="AI95" s="150"/>
      <c r="AJ95" s="151"/>
      <c r="AK95" s="143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144"/>
    </row>
    <row r="96" spans="2:61" ht="20.100000000000001" customHeight="1" x14ac:dyDescent="0.45">
      <c r="B96" s="138"/>
      <c r="C96" s="31"/>
      <c r="D96" s="31"/>
      <c r="E96" s="31"/>
      <c r="F96" s="31"/>
      <c r="G96" s="139"/>
      <c r="H96" s="140"/>
      <c r="I96" s="31"/>
      <c r="J96" s="149" t="s">
        <v>230</v>
      </c>
      <c r="K96" s="150"/>
      <c r="L96" s="150"/>
      <c r="M96" s="150"/>
      <c r="N96" s="150"/>
      <c r="O96" s="150"/>
      <c r="P96" s="150"/>
      <c r="Q96" s="151"/>
      <c r="R96" s="150" t="s">
        <v>258</v>
      </c>
      <c r="S96" s="150"/>
      <c r="T96" s="150"/>
      <c r="U96" s="150"/>
      <c r="V96" s="150"/>
      <c r="W96" s="150"/>
      <c r="X96" s="150"/>
      <c r="Y96" s="150"/>
      <c r="Z96" s="150"/>
      <c r="AA96" s="150"/>
      <c r="AB96" s="150"/>
      <c r="AC96" s="150"/>
      <c r="AD96" s="150"/>
      <c r="AE96" s="150"/>
      <c r="AF96" s="150"/>
      <c r="AG96" s="150"/>
      <c r="AH96" s="150"/>
      <c r="AI96" s="150"/>
      <c r="AJ96" s="151"/>
      <c r="AK96" s="143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144"/>
    </row>
    <row r="97" spans="2:61" ht="20.100000000000001" customHeight="1" x14ac:dyDescent="0.45">
      <c r="B97" s="138"/>
      <c r="C97" s="31"/>
      <c r="D97" s="31"/>
      <c r="E97" s="31"/>
      <c r="F97" s="31"/>
      <c r="G97" s="139"/>
      <c r="H97" s="140"/>
      <c r="I97" s="31"/>
      <c r="J97" s="149" t="s">
        <v>231</v>
      </c>
      <c r="K97" s="150"/>
      <c r="L97" s="150"/>
      <c r="M97" s="150"/>
      <c r="N97" s="150"/>
      <c r="O97" s="150"/>
      <c r="P97" s="150"/>
      <c r="Q97" s="151"/>
      <c r="R97" s="150" t="s">
        <v>259</v>
      </c>
      <c r="S97" s="150"/>
      <c r="T97" s="150"/>
      <c r="U97" s="150"/>
      <c r="V97" s="150"/>
      <c r="W97" s="150"/>
      <c r="X97" s="150"/>
      <c r="Y97" s="150"/>
      <c r="Z97" s="150"/>
      <c r="AA97" s="150"/>
      <c r="AB97" s="150"/>
      <c r="AC97" s="150"/>
      <c r="AD97" s="150"/>
      <c r="AE97" s="150"/>
      <c r="AF97" s="150"/>
      <c r="AG97" s="150"/>
      <c r="AH97" s="150"/>
      <c r="AI97" s="150"/>
      <c r="AJ97" s="151"/>
      <c r="AK97" s="143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144"/>
    </row>
    <row r="98" spans="2:61" ht="20.100000000000001" customHeight="1" x14ac:dyDescent="0.45">
      <c r="B98" s="138"/>
      <c r="C98" s="31"/>
      <c r="D98" s="31"/>
      <c r="E98" s="31"/>
      <c r="F98" s="31"/>
      <c r="G98" s="139"/>
      <c r="H98" s="140"/>
      <c r="I98" s="31"/>
      <c r="J98" s="149" t="s">
        <v>232</v>
      </c>
      <c r="K98" s="150"/>
      <c r="L98" s="150"/>
      <c r="M98" s="150"/>
      <c r="N98" s="150"/>
      <c r="O98" s="150"/>
      <c r="P98" s="150"/>
      <c r="Q98" s="151"/>
      <c r="R98" s="150" t="s">
        <v>260</v>
      </c>
      <c r="S98" s="150"/>
      <c r="T98" s="150"/>
      <c r="U98" s="150"/>
      <c r="V98" s="150"/>
      <c r="W98" s="150"/>
      <c r="X98" s="150"/>
      <c r="Y98" s="150"/>
      <c r="Z98" s="150"/>
      <c r="AA98" s="150"/>
      <c r="AB98" s="150"/>
      <c r="AC98" s="150"/>
      <c r="AD98" s="150"/>
      <c r="AE98" s="150"/>
      <c r="AF98" s="150"/>
      <c r="AG98" s="150"/>
      <c r="AH98" s="150"/>
      <c r="AI98" s="150"/>
      <c r="AJ98" s="151"/>
      <c r="AK98" s="143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144"/>
    </row>
    <row r="99" spans="2:61" ht="20.100000000000001" customHeight="1" x14ac:dyDescent="0.45">
      <c r="B99" s="138"/>
      <c r="C99" s="31"/>
      <c r="D99" s="31"/>
      <c r="E99" s="31"/>
      <c r="F99" s="31"/>
      <c r="G99" s="139"/>
      <c r="H99" s="140"/>
      <c r="I99" s="31"/>
      <c r="J99" s="149" t="s">
        <v>233</v>
      </c>
      <c r="K99" s="150"/>
      <c r="L99" s="150"/>
      <c r="M99" s="150"/>
      <c r="N99" s="150"/>
      <c r="O99" s="150"/>
      <c r="P99" s="150"/>
      <c r="Q99" s="151"/>
      <c r="R99" s="150" t="s">
        <v>261</v>
      </c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150"/>
      <c r="AG99" s="150"/>
      <c r="AH99" s="150"/>
      <c r="AI99" s="150"/>
      <c r="AJ99" s="151"/>
      <c r="AK99" s="143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144"/>
    </row>
    <row r="100" spans="2:61" ht="20.100000000000001" customHeight="1" x14ac:dyDescent="0.45">
      <c r="B100" s="138"/>
      <c r="C100" s="31"/>
      <c r="D100" s="31"/>
      <c r="E100" s="31"/>
      <c r="F100" s="31"/>
      <c r="G100" s="139"/>
      <c r="H100" s="140"/>
      <c r="I100" s="31"/>
      <c r="J100" s="149" t="s">
        <v>234</v>
      </c>
      <c r="K100" s="150"/>
      <c r="L100" s="150"/>
      <c r="M100" s="150"/>
      <c r="N100" s="150"/>
      <c r="O100" s="150"/>
      <c r="P100" s="150"/>
      <c r="Q100" s="151"/>
      <c r="R100" s="150" t="s">
        <v>262</v>
      </c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1"/>
      <c r="AK100" s="143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144"/>
    </row>
    <row r="101" spans="2:61" ht="20.100000000000001" customHeight="1" x14ac:dyDescent="0.45">
      <c r="B101" s="138"/>
      <c r="C101" s="31"/>
      <c r="D101" s="31"/>
      <c r="E101" s="31"/>
      <c r="F101" s="31"/>
      <c r="G101" s="139"/>
      <c r="H101" s="140"/>
      <c r="I101" s="31"/>
      <c r="J101" s="149" t="s">
        <v>235</v>
      </c>
      <c r="K101" s="150"/>
      <c r="L101" s="150"/>
      <c r="M101" s="150"/>
      <c r="N101" s="150"/>
      <c r="O101" s="150"/>
      <c r="P101" s="150"/>
      <c r="Q101" s="151"/>
      <c r="R101" s="150" t="s">
        <v>263</v>
      </c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  <c r="AC101" s="150"/>
      <c r="AD101" s="150"/>
      <c r="AE101" s="150"/>
      <c r="AF101" s="150"/>
      <c r="AG101" s="150"/>
      <c r="AH101" s="150"/>
      <c r="AI101" s="150"/>
      <c r="AJ101" s="151"/>
      <c r="AK101" s="143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144"/>
    </row>
    <row r="102" spans="2:61" ht="20.100000000000001" customHeight="1" x14ac:dyDescent="0.45">
      <c r="B102" s="138"/>
      <c r="C102" s="31"/>
      <c r="D102" s="31"/>
      <c r="E102" s="31"/>
      <c r="F102" s="31"/>
      <c r="G102" s="139"/>
      <c r="H102" s="140"/>
      <c r="I102" s="31"/>
      <c r="J102" s="149" t="s">
        <v>236</v>
      </c>
      <c r="K102" s="150"/>
      <c r="L102" s="150"/>
      <c r="M102" s="150"/>
      <c r="N102" s="150"/>
      <c r="O102" s="150"/>
      <c r="P102" s="150"/>
      <c r="Q102" s="151"/>
      <c r="R102" s="150" t="s">
        <v>264</v>
      </c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1"/>
      <c r="AK102" s="143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144"/>
    </row>
    <row r="103" spans="2:61" ht="20.100000000000001" customHeight="1" x14ac:dyDescent="0.45">
      <c r="B103" s="138"/>
      <c r="C103" s="31"/>
      <c r="D103" s="31"/>
      <c r="E103" s="31"/>
      <c r="F103" s="31"/>
      <c r="G103" s="139"/>
      <c r="H103" s="140"/>
      <c r="I103" s="31"/>
      <c r="J103" s="149" t="s">
        <v>237</v>
      </c>
      <c r="K103" s="150"/>
      <c r="L103" s="150"/>
      <c r="M103" s="150"/>
      <c r="N103" s="150"/>
      <c r="O103" s="150"/>
      <c r="P103" s="150"/>
      <c r="Q103" s="151"/>
      <c r="R103" s="150" t="s">
        <v>256</v>
      </c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  <c r="AC103" s="150"/>
      <c r="AD103" s="150"/>
      <c r="AE103" s="150"/>
      <c r="AF103" s="150"/>
      <c r="AG103" s="150"/>
      <c r="AH103" s="150"/>
      <c r="AI103" s="150"/>
      <c r="AJ103" s="151"/>
      <c r="AK103" s="143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144"/>
    </row>
    <row r="104" spans="2:61" ht="20.100000000000001" customHeight="1" x14ac:dyDescent="0.45">
      <c r="B104" s="138"/>
      <c r="C104" s="31"/>
      <c r="D104" s="31"/>
      <c r="E104" s="31"/>
      <c r="F104" s="31"/>
      <c r="G104" s="139"/>
      <c r="H104" s="140"/>
      <c r="I104" s="31"/>
      <c r="J104" s="149" t="s">
        <v>238</v>
      </c>
      <c r="K104" s="150"/>
      <c r="L104" s="150"/>
      <c r="M104" s="150"/>
      <c r="N104" s="150"/>
      <c r="O104" s="150"/>
      <c r="P104" s="150"/>
      <c r="Q104" s="151"/>
      <c r="R104" s="150" t="s">
        <v>265</v>
      </c>
      <c r="S104" s="150"/>
      <c r="T104" s="150"/>
      <c r="U104" s="150"/>
      <c r="V104" s="150"/>
      <c r="W104" s="150"/>
      <c r="X104" s="150"/>
      <c r="Y104" s="150"/>
      <c r="Z104" s="150"/>
      <c r="AA104" s="150"/>
      <c r="AB104" s="150"/>
      <c r="AC104" s="150"/>
      <c r="AD104" s="150"/>
      <c r="AE104" s="150"/>
      <c r="AF104" s="150"/>
      <c r="AG104" s="150"/>
      <c r="AH104" s="150"/>
      <c r="AI104" s="150"/>
      <c r="AJ104" s="151"/>
      <c r="AK104" s="143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144"/>
    </row>
    <row r="105" spans="2:61" ht="20.100000000000001" customHeight="1" x14ac:dyDescent="0.45">
      <c r="B105" s="138"/>
      <c r="C105" s="31"/>
      <c r="D105" s="31"/>
      <c r="E105" s="31"/>
      <c r="F105" s="31"/>
      <c r="G105" s="139"/>
      <c r="H105" s="140"/>
      <c r="I105" s="31"/>
      <c r="J105" s="149" t="s">
        <v>239</v>
      </c>
      <c r="K105" s="150"/>
      <c r="L105" s="150"/>
      <c r="M105" s="150"/>
      <c r="N105" s="150"/>
      <c r="O105" s="150"/>
      <c r="P105" s="150"/>
      <c r="Q105" s="151"/>
      <c r="R105" s="150" t="s">
        <v>266</v>
      </c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  <c r="AC105" s="150"/>
      <c r="AD105" s="150"/>
      <c r="AE105" s="150"/>
      <c r="AF105" s="150"/>
      <c r="AG105" s="150"/>
      <c r="AH105" s="150"/>
      <c r="AI105" s="150"/>
      <c r="AJ105" s="151"/>
      <c r="AK105" s="143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144"/>
    </row>
    <row r="106" spans="2:61" ht="20.100000000000001" customHeight="1" x14ac:dyDescent="0.45">
      <c r="B106" s="138"/>
      <c r="C106" s="31"/>
      <c r="D106" s="31"/>
      <c r="E106" s="31"/>
      <c r="F106" s="31"/>
      <c r="G106" s="139"/>
      <c r="H106" s="140"/>
      <c r="I106" s="31"/>
      <c r="J106" s="149" t="s">
        <v>240</v>
      </c>
      <c r="K106" s="150"/>
      <c r="L106" s="150"/>
      <c r="M106" s="150"/>
      <c r="N106" s="150"/>
      <c r="O106" s="150"/>
      <c r="P106" s="150"/>
      <c r="Q106" s="151"/>
      <c r="R106" s="150" t="s">
        <v>281</v>
      </c>
      <c r="S106" s="150"/>
      <c r="T106" s="150"/>
      <c r="U106" s="150"/>
      <c r="V106" s="150"/>
      <c r="W106" s="150"/>
      <c r="X106" s="150"/>
      <c r="Y106" s="150"/>
      <c r="Z106" s="150"/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1"/>
      <c r="AK106" s="143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144"/>
    </row>
    <row r="107" spans="2:61" ht="20.100000000000001" customHeight="1" x14ac:dyDescent="0.45">
      <c r="B107" s="138"/>
      <c r="C107" s="31"/>
      <c r="D107" s="31"/>
      <c r="E107" s="31"/>
      <c r="F107" s="31"/>
      <c r="G107" s="139"/>
      <c r="H107" s="140"/>
      <c r="I107" s="31"/>
      <c r="J107" s="149" t="s">
        <v>241</v>
      </c>
      <c r="K107" s="150"/>
      <c r="L107" s="150"/>
      <c r="M107" s="150"/>
      <c r="N107" s="150"/>
      <c r="O107" s="150"/>
      <c r="P107" s="150"/>
      <c r="Q107" s="151"/>
      <c r="R107" s="150" t="s">
        <v>267</v>
      </c>
      <c r="S107" s="150"/>
      <c r="T107" s="150"/>
      <c r="U107" s="150"/>
      <c r="V107" s="150"/>
      <c r="W107" s="150"/>
      <c r="X107" s="150"/>
      <c r="Y107" s="150"/>
      <c r="Z107" s="150"/>
      <c r="AA107" s="150"/>
      <c r="AB107" s="150"/>
      <c r="AC107" s="150"/>
      <c r="AD107" s="150"/>
      <c r="AE107" s="150"/>
      <c r="AF107" s="150"/>
      <c r="AG107" s="150"/>
      <c r="AH107" s="150"/>
      <c r="AI107" s="150"/>
      <c r="AJ107" s="151"/>
      <c r="AK107" s="143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144"/>
    </row>
    <row r="108" spans="2:61" ht="20.100000000000001" customHeight="1" x14ac:dyDescent="0.45">
      <c r="B108" s="138"/>
      <c r="C108" s="31"/>
      <c r="D108" s="31"/>
      <c r="E108" s="31"/>
      <c r="F108" s="31"/>
      <c r="G108" s="139"/>
      <c r="H108" s="140"/>
      <c r="I108" s="31"/>
      <c r="J108" s="149" t="s">
        <v>242</v>
      </c>
      <c r="K108" s="150"/>
      <c r="L108" s="150"/>
      <c r="M108" s="150"/>
      <c r="N108" s="150"/>
      <c r="O108" s="150"/>
      <c r="P108" s="150"/>
      <c r="Q108" s="151"/>
      <c r="R108" s="150" t="s">
        <v>268</v>
      </c>
      <c r="S108" s="150"/>
      <c r="T108" s="150"/>
      <c r="U108" s="150"/>
      <c r="V108" s="150"/>
      <c r="W108" s="150"/>
      <c r="X108" s="150"/>
      <c r="Y108" s="150"/>
      <c r="Z108" s="150"/>
      <c r="AA108" s="150"/>
      <c r="AB108" s="150"/>
      <c r="AC108" s="150"/>
      <c r="AD108" s="150"/>
      <c r="AE108" s="150"/>
      <c r="AF108" s="150"/>
      <c r="AG108" s="150"/>
      <c r="AH108" s="150"/>
      <c r="AI108" s="150"/>
      <c r="AJ108" s="151"/>
      <c r="AK108" s="143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144"/>
    </row>
    <row r="109" spans="2:61" ht="20.100000000000001" customHeight="1" x14ac:dyDescent="0.45">
      <c r="B109" s="138"/>
      <c r="C109" s="31"/>
      <c r="D109" s="31"/>
      <c r="E109" s="31"/>
      <c r="F109" s="31"/>
      <c r="G109" s="139"/>
      <c r="H109" s="140"/>
      <c r="I109" s="31"/>
      <c r="J109" s="149" t="s">
        <v>243</v>
      </c>
      <c r="K109" s="150"/>
      <c r="L109" s="150"/>
      <c r="M109" s="150"/>
      <c r="N109" s="150"/>
      <c r="O109" s="150"/>
      <c r="P109" s="150"/>
      <c r="Q109" s="151"/>
      <c r="R109" s="150" t="s">
        <v>269</v>
      </c>
      <c r="S109" s="15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50"/>
      <c r="AF109" s="150"/>
      <c r="AG109" s="150"/>
      <c r="AH109" s="150"/>
      <c r="AI109" s="150"/>
      <c r="AJ109" s="151"/>
      <c r="AK109" s="143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144"/>
    </row>
    <row r="110" spans="2:61" ht="20.100000000000001" customHeight="1" x14ac:dyDescent="0.45">
      <c r="B110" s="138"/>
      <c r="C110" s="31"/>
      <c r="D110" s="31"/>
      <c r="E110" s="31"/>
      <c r="F110" s="31"/>
      <c r="G110" s="139"/>
      <c r="H110" s="140"/>
      <c r="I110" s="31"/>
      <c r="J110" s="149" t="s">
        <v>244</v>
      </c>
      <c r="K110" s="150"/>
      <c r="L110" s="150"/>
      <c r="M110" s="150"/>
      <c r="N110" s="150"/>
      <c r="O110" s="150"/>
      <c r="P110" s="150"/>
      <c r="Q110" s="151"/>
      <c r="R110" s="154" t="s">
        <v>282</v>
      </c>
      <c r="S110" s="150"/>
      <c r="T110" s="150"/>
      <c r="U110" s="150"/>
      <c r="V110" s="150"/>
      <c r="W110" s="150"/>
      <c r="X110" s="150"/>
      <c r="Y110" s="150"/>
      <c r="Z110" s="150"/>
      <c r="AA110" s="150"/>
      <c r="AB110" s="150"/>
      <c r="AC110" s="150"/>
      <c r="AD110" s="150"/>
      <c r="AE110" s="150"/>
      <c r="AF110" s="150"/>
      <c r="AG110" s="150"/>
      <c r="AH110" s="150"/>
      <c r="AI110" s="150"/>
      <c r="AJ110" s="151"/>
      <c r="AK110" s="143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144"/>
    </row>
    <row r="111" spans="2:61" ht="20.100000000000001" customHeight="1" x14ac:dyDescent="0.45">
      <c r="B111" s="138"/>
      <c r="C111" s="31"/>
      <c r="D111" s="31"/>
      <c r="E111" s="31"/>
      <c r="F111" s="31"/>
      <c r="G111" s="139"/>
      <c r="H111" s="140"/>
      <c r="I111" s="31"/>
      <c r="J111" s="149" t="s">
        <v>168</v>
      </c>
      <c r="K111" s="150"/>
      <c r="L111" s="150"/>
      <c r="M111" s="150"/>
      <c r="N111" s="150"/>
      <c r="O111" s="150"/>
      <c r="P111" s="150"/>
      <c r="Q111" s="151"/>
      <c r="R111" s="150" t="s">
        <v>215</v>
      </c>
      <c r="S111" s="150"/>
      <c r="T111" s="150"/>
      <c r="U111" s="15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150"/>
      <c r="AG111" s="150"/>
      <c r="AH111" s="150"/>
      <c r="AI111" s="150"/>
      <c r="AJ111" s="151"/>
      <c r="AK111" s="143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144"/>
    </row>
    <row r="112" spans="2:61" ht="20.100000000000001" customHeight="1" x14ac:dyDescent="0.45">
      <c r="B112" s="138"/>
      <c r="C112" s="31"/>
      <c r="D112" s="31"/>
      <c r="E112" s="31"/>
      <c r="F112" s="31"/>
      <c r="G112" s="139"/>
      <c r="H112" s="140"/>
      <c r="I112" s="31"/>
      <c r="J112" s="149" t="s">
        <v>245</v>
      </c>
      <c r="K112" s="150"/>
      <c r="L112" s="150"/>
      <c r="M112" s="150"/>
      <c r="N112" s="150"/>
      <c r="O112" s="150"/>
      <c r="P112" s="150"/>
      <c r="Q112" s="151"/>
      <c r="R112" s="150" t="s">
        <v>216</v>
      </c>
      <c r="S112" s="150"/>
      <c r="T112" s="150"/>
      <c r="U112" s="150"/>
      <c r="V112" s="150"/>
      <c r="W112" s="150"/>
      <c r="X112" s="150"/>
      <c r="Y112" s="150"/>
      <c r="Z112" s="150"/>
      <c r="AA112" s="150"/>
      <c r="AB112" s="150"/>
      <c r="AC112" s="150"/>
      <c r="AD112" s="150"/>
      <c r="AE112" s="150"/>
      <c r="AF112" s="150"/>
      <c r="AG112" s="150"/>
      <c r="AH112" s="150"/>
      <c r="AI112" s="150"/>
      <c r="AJ112" s="151"/>
      <c r="AK112" s="143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144"/>
    </row>
    <row r="113" spans="2:61" ht="20.100000000000001" customHeight="1" x14ac:dyDescent="0.45">
      <c r="B113" s="138"/>
      <c r="C113" s="31"/>
      <c r="D113" s="31"/>
      <c r="E113" s="31"/>
      <c r="F113" s="31"/>
      <c r="G113" s="139"/>
      <c r="H113" s="140"/>
      <c r="I113" s="31"/>
      <c r="J113" s="149" t="s">
        <v>246</v>
      </c>
      <c r="K113" s="150"/>
      <c r="L113" s="150"/>
      <c r="M113" s="150"/>
      <c r="N113" s="150"/>
      <c r="O113" s="150"/>
      <c r="P113" s="150"/>
      <c r="Q113" s="151"/>
      <c r="R113" s="150" t="s">
        <v>270</v>
      </c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  <c r="AC113" s="150"/>
      <c r="AD113" s="150"/>
      <c r="AE113" s="150"/>
      <c r="AF113" s="150"/>
      <c r="AG113" s="150"/>
      <c r="AH113" s="150"/>
      <c r="AI113" s="150"/>
      <c r="AJ113" s="151"/>
      <c r="AK113" s="143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144"/>
    </row>
    <row r="114" spans="2:61" ht="20.100000000000001" customHeight="1" x14ac:dyDescent="0.45">
      <c r="B114" s="138"/>
      <c r="C114" s="31"/>
      <c r="D114" s="31"/>
      <c r="E114" s="31"/>
      <c r="F114" s="31"/>
      <c r="G114" s="139"/>
      <c r="H114" s="140"/>
      <c r="I114" s="31"/>
      <c r="J114" s="149" t="s">
        <v>248</v>
      </c>
      <c r="K114" s="150"/>
      <c r="L114" s="150"/>
      <c r="M114" s="150"/>
      <c r="N114" s="150"/>
      <c r="O114" s="150"/>
      <c r="P114" s="150"/>
      <c r="Q114" s="151"/>
      <c r="R114" s="150" t="s">
        <v>217</v>
      </c>
      <c r="S114" s="150"/>
      <c r="T114" s="150"/>
      <c r="U114" s="150"/>
      <c r="V114" s="150"/>
      <c r="W114" s="150"/>
      <c r="X114" s="150"/>
      <c r="Y114" s="150"/>
      <c r="Z114" s="150"/>
      <c r="AA114" s="150"/>
      <c r="AB114" s="150"/>
      <c r="AC114" s="150"/>
      <c r="AD114" s="150"/>
      <c r="AE114" s="150"/>
      <c r="AF114" s="150"/>
      <c r="AG114" s="150"/>
      <c r="AH114" s="150"/>
      <c r="AI114" s="150"/>
      <c r="AJ114" s="151"/>
      <c r="AK114" s="143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144"/>
    </row>
    <row r="115" spans="2:61" ht="20.100000000000001" customHeight="1" x14ac:dyDescent="0.45">
      <c r="B115" s="138"/>
      <c r="C115" s="31"/>
      <c r="D115" s="31"/>
      <c r="E115" s="31"/>
      <c r="F115" s="31"/>
      <c r="G115" s="139"/>
      <c r="H115" s="140"/>
      <c r="I115" s="31"/>
      <c r="J115" s="149" t="s">
        <v>247</v>
      </c>
      <c r="K115" s="150"/>
      <c r="L115" s="150"/>
      <c r="M115" s="150"/>
      <c r="N115" s="150"/>
      <c r="O115" s="150"/>
      <c r="P115" s="150"/>
      <c r="Q115" s="151"/>
      <c r="R115" s="150" t="s">
        <v>271</v>
      </c>
      <c r="S115" s="150"/>
      <c r="T115" s="150"/>
      <c r="U115" s="150"/>
      <c r="V115" s="150"/>
      <c r="W115" s="150"/>
      <c r="X115" s="150"/>
      <c r="Y115" s="150"/>
      <c r="Z115" s="150"/>
      <c r="AA115" s="150"/>
      <c r="AB115" s="150"/>
      <c r="AC115" s="150"/>
      <c r="AD115" s="150"/>
      <c r="AE115" s="150"/>
      <c r="AF115" s="150"/>
      <c r="AG115" s="150"/>
      <c r="AH115" s="150"/>
      <c r="AI115" s="150"/>
      <c r="AJ115" s="151"/>
      <c r="AK115" s="143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144"/>
    </row>
    <row r="116" spans="2:61" ht="20.100000000000001" customHeight="1" x14ac:dyDescent="0.45">
      <c r="B116" s="138"/>
      <c r="C116" s="31"/>
      <c r="D116" s="31"/>
      <c r="E116" s="31"/>
      <c r="F116" s="31"/>
      <c r="G116" s="139"/>
      <c r="H116" s="140"/>
      <c r="I116" s="31"/>
      <c r="J116" s="149" t="s">
        <v>249</v>
      </c>
      <c r="K116" s="150"/>
      <c r="L116" s="150"/>
      <c r="M116" s="150"/>
      <c r="N116" s="150"/>
      <c r="O116" s="150"/>
      <c r="P116" s="150"/>
      <c r="Q116" s="151"/>
      <c r="R116" s="150" t="s">
        <v>272</v>
      </c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51"/>
      <c r="AK116" s="143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144"/>
    </row>
    <row r="117" spans="2:61" ht="20.100000000000001" customHeight="1" x14ac:dyDescent="0.45">
      <c r="B117" s="138"/>
      <c r="C117" s="31"/>
      <c r="D117" s="31"/>
      <c r="E117" s="31"/>
      <c r="F117" s="31"/>
      <c r="G117" s="139"/>
      <c r="H117" s="140"/>
      <c r="I117" s="31"/>
      <c r="J117" s="149" t="s">
        <v>250</v>
      </c>
      <c r="K117" s="150"/>
      <c r="L117" s="150"/>
      <c r="M117" s="150"/>
      <c r="N117" s="150"/>
      <c r="O117" s="150"/>
      <c r="P117" s="150"/>
      <c r="Q117" s="151"/>
      <c r="R117" s="150" t="s">
        <v>273</v>
      </c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50"/>
      <c r="AG117" s="150"/>
      <c r="AH117" s="150"/>
      <c r="AI117" s="150"/>
      <c r="AJ117" s="151"/>
      <c r="AK117" s="143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144"/>
    </row>
    <row r="118" spans="2:61" ht="20.100000000000001" customHeight="1" x14ac:dyDescent="0.45">
      <c r="B118" s="138"/>
      <c r="C118" s="31"/>
      <c r="D118" s="31"/>
      <c r="E118" s="31"/>
      <c r="F118" s="31"/>
      <c r="G118" s="139"/>
      <c r="H118" s="140"/>
      <c r="I118" s="31"/>
      <c r="J118" s="149" t="s">
        <v>251</v>
      </c>
      <c r="K118" s="150"/>
      <c r="L118" s="150"/>
      <c r="M118" s="150"/>
      <c r="N118" s="150"/>
      <c r="O118" s="150"/>
      <c r="P118" s="150"/>
      <c r="Q118" s="151"/>
      <c r="R118" s="150" t="s">
        <v>274</v>
      </c>
      <c r="S118" s="150"/>
      <c r="T118" s="150"/>
      <c r="U118" s="150"/>
      <c r="V118" s="150"/>
      <c r="W118" s="150"/>
      <c r="X118" s="150"/>
      <c r="Y118" s="150"/>
      <c r="Z118" s="150"/>
      <c r="AA118" s="150"/>
      <c r="AB118" s="150"/>
      <c r="AC118" s="150"/>
      <c r="AD118" s="150"/>
      <c r="AE118" s="150"/>
      <c r="AF118" s="150"/>
      <c r="AG118" s="150"/>
      <c r="AH118" s="150"/>
      <c r="AI118" s="150"/>
      <c r="AJ118" s="151"/>
      <c r="AK118" s="143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144"/>
    </row>
    <row r="119" spans="2:61" ht="20.100000000000001" customHeight="1" x14ac:dyDescent="0.45">
      <c r="B119" s="138"/>
      <c r="C119" s="31"/>
      <c r="D119" s="31"/>
      <c r="E119" s="31"/>
      <c r="F119" s="31"/>
      <c r="G119" s="139"/>
      <c r="H119" s="140"/>
      <c r="I119" s="31"/>
      <c r="J119" s="149" t="s">
        <v>252</v>
      </c>
      <c r="K119" s="150"/>
      <c r="L119" s="150"/>
      <c r="M119" s="150"/>
      <c r="N119" s="150"/>
      <c r="O119" s="150"/>
      <c r="P119" s="150"/>
      <c r="Q119" s="151"/>
      <c r="R119" s="150" t="s">
        <v>275</v>
      </c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1"/>
      <c r="AK119" s="143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144"/>
    </row>
    <row r="120" spans="2:61" ht="20.100000000000001" customHeight="1" x14ac:dyDescent="0.45">
      <c r="B120" s="138"/>
      <c r="C120" s="31"/>
      <c r="D120" s="31"/>
      <c r="E120" s="31"/>
      <c r="F120" s="31"/>
      <c r="G120" s="139"/>
      <c r="H120" s="140"/>
      <c r="I120" s="31"/>
      <c r="J120" s="149" t="s">
        <v>253</v>
      </c>
      <c r="K120" s="150"/>
      <c r="L120" s="150"/>
      <c r="M120" s="150"/>
      <c r="N120" s="150"/>
      <c r="O120" s="150"/>
      <c r="P120" s="150"/>
      <c r="Q120" s="151"/>
      <c r="R120" s="150" t="s">
        <v>276</v>
      </c>
      <c r="S120" s="150"/>
      <c r="T120" s="150"/>
      <c r="U120" s="150"/>
      <c r="V120" s="150"/>
      <c r="W120" s="150"/>
      <c r="X120" s="150"/>
      <c r="Y120" s="150"/>
      <c r="Z120" s="150"/>
      <c r="AA120" s="150"/>
      <c r="AB120" s="150"/>
      <c r="AC120" s="150"/>
      <c r="AD120" s="150"/>
      <c r="AE120" s="150"/>
      <c r="AF120" s="150"/>
      <c r="AG120" s="150"/>
      <c r="AH120" s="150"/>
      <c r="AI120" s="150"/>
      <c r="AJ120" s="151"/>
      <c r="AK120" s="143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144"/>
    </row>
    <row r="121" spans="2:61" ht="20.100000000000001" customHeight="1" x14ac:dyDescent="0.45">
      <c r="B121" s="138"/>
      <c r="C121" s="31"/>
      <c r="D121" s="31"/>
      <c r="E121" s="31"/>
      <c r="F121" s="31"/>
      <c r="G121" s="139"/>
      <c r="H121" s="145" t="s">
        <v>169</v>
      </c>
      <c r="I121" s="55"/>
      <c r="J121" s="145" t="s">
        <v>218</v>
      </c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146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147"/>
    </row>
    <row r="122" spans="2:61" ht="20.100000000000001" customHeight="1" x14ac:dyDescent="0.45">
      <c r="B122" s="148"/>
      <c r="C122" s="31"/>
      <c r="D122" s="31"/>
      <c r="E122" s="31"/>
      <c r="F122" s="31"/>
      <c r="G122" s="139"/>
      <c r="H122" s="145" t="s">
        <v>171</v>
      </c>
      <c r="I122" s="55"/>
      <c r="J122" s="152" t="s">
        <v>219</v>
      </c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146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147"/>
    </row>
    <row r="123" spans="2:61" ht="20.100000000000001" customHeight="1" x14ac:dyDescent="0.45">
      <c r="B123" s="148"/>
      <c r="C123" s="31"/>
      <c r="D123" s="31"/>
      <c r="E123" s="31"/>
      <c r="F123" s="31"/>
      <c r="G123" s="139"/>
      <c r="H123" s="140"/>
      <c r="I123" s="31"/>
      <c r="J123" s="140" t="s">
        <v>220</v>
      </c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140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144"/>
    </row>
    <row r="124" spans="2:61" ht="20.100000000000001" customHeight="1" x14ac:dyDescent="0.45">
      <c r="B124" s="148"/>
      <c r="C124" s="31"/>
      <c r="D124" s="31"/>
      <c r="E124" s="31"/>
      <c r="F124" s="31"/>
      <c r="G124" s="139"/>
      <c r="H124" s="140"/>
      <c r="I124" s="31"/>
      <c r="J124" s="140" t="s">
        <v>221</v>
      </c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140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144"/>
    </row>
    <row r="125" spans="2:61" ht="20.100000000000001" customHeight="1" x14ac:dyDescent="0.45">
      <c r="B125" s="148"/>
      <c r="C125" s="31"/>
      <c r="D125" s="31"/>
      <c r="E125" s="31"/>
      <c r="F125" s="31"/>
      <c r="G125" s="139"/>
      <c r="H125" s="140"/>
      <c r="I125" s="31"/>
      <c r="J125" s="140"/>
      <c r="K125" s="31" t="s">
        <v>222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140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144"/>
    </row>
    <row r="126" spans="2:61" ht="20.100000000000001" customHeight="1" x14ac:dyDescent="0.45">
      <c r="B126" s="148"/>
      <c r="C126" s="31"/>
      <c r="D126" s="31"/>
      <c r="E126" s="31"/>
      <c r="F126" s="31"/>
      <c r="G126" s="139"/>
      <c r="H126" s="145" t="s">
        <v>173</v>
      </c>
      <c r="I126" s="55"/>
      <c r="J126" s="145" t="s">
        <v>304</v>
      </c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146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147"/>
    </row>
    <row r="127" spans="2:61" ht="20.100000000000001" customHeight="1" x14ac:dyDescent="0.45">
      <c r="B127" s="148"/>
      <c r="C127" s="31"/>
      <c r="D127" s="31"/>
      <c r="E127" s="31"/>
      <c r="F127" s="31"/>
      <c r="G127" s="139"/>
      <c r="H127" s="140"/>
      <c r="I127" s="31"/>
      <c r="J127" s="140" t="s">
        <v>223</v>
      </c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143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144"/>
    </row>
    <row r="128" spans="2:61" ht="20.100000000000001" customHeight="1" x14ac:dyDescent="0.45">
      <c r="B128" s="148"/>
      <c r="C128" s="31"/>
      <c r="D128" s="31"/>
      <c r="E128" s="31"/>
      <c r="F128" s="31"/>
      <c r="G128" s="139"/>
      <c r="H128" s="140"/>
      <c r="I128" s="31"/>
      <c r="J128" s="140" t="s">
        <v>224</v>
      </c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143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144"/>
    </row>
    <row r="129" spans="2:61" ht="20.100000000000001" customHeight="1" x14ac:dyDescent="0.45">
      <c r="B129" s="148"/>
      <c r="C129" s="31"/>
      <c r="D129" s="31"/>
      <c r="E129" s="31"/>
      <c r="F129" s="31"/>
      <c r="G129" s="139"/>
      <c r="H129" s="140"/>
      <c r="I129" s="31"/>
      <c r="J129" s="140" t="s">
        <v>225</v>
      </c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143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144"/>
    </row>
    <row r="130" spans="2:61" ht="20.100000000000001" customHeight="1" thickBot="1" x14ac:dyDescent="0.5">
      <c r="B130" s="148"/>
      <c r="C130" s="31"/>
      <c r="D130" s="31"/>
      <c r="E130" s="31"/>
      <c r="F130" s="31"/>
      <c r="G130" s="139"/>
      <c r="H130" s="140"/>
      <c r="I130" s="31"/>
      <c r="J130" s="140" t="s">
        <v>226</v>
      </c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143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144"/>
    </row>
    <row r="131" spans="2:61" ht="20.100000000000001" customHeight="1" x14ac:dyDescent="0.45">
      <c r="B131" s="129" t="s">
        <v>299</v>
      </c>
      <c r="C131" s="130"/>
      <c r="D131" s="130"/>
      <c r="E131" s="130"/>
      <c r="F131" s="130"/>
      <c r="G131" s="131"/>
      <c r="H131" s="132" t="s">
        <v>159</v>
      </c>
      <c r="I131" s="130"/>
      <c r="J131" s="133" t="s">
        <v>160</v>
      </c>
      <c r="K131" s="134"/>
      <c r="L131" s="134"/>
      <c r="M131" s="134"/>
      <c r="N131" s="134"/>
      <c r="O131" s="134"/>
      <c r="P131" s="134"/>
      <c r="Q131" s="135"/>
      <c r="R131" s="134" t="s">
        <v>161</v>
      </c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  <c r="AJ131" s="135"/>
      <c r="AK131" s="136" t="s">
        <v>214</v>
      </c>
      <c r="AL131" s="130"/>
      <c r="AM131" s="130"/>
      <c r="AN131" s="130"/>
      <c r="AO131" s="130"/>
      <c r="AP131" s="130"/>
      <c r="AQ131" s="130"/>
      <c r="AR131" s="130"/>
      <c r="AS131" s="130"/>
      <c r="AT131" s="130"/>
      <c r="AU131" s="130"/>
      <c r="AV131" s="130"/>
      <c r="AW131" s="130"/>
      <c r="AX131" s="130"/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/>
      <c r="BI131" s="137"/>
    </row>
    <row r="132" spans="2:61" ht="20.100000000000001" customHeight="1" x14ac:dyDescent="0.45">
      <c r="B132" s="138"/>
      <c r="C132" s="31"/>
      <c r="D132" s="31"/>
      <c r="E132" s="31"/>
      <c r="F132" s="31"/>
      <c r="G132" s="139"/>
      <c r="H132" s="140"/>
      <c r="I132" s="31"/>
      <c r="J132" s="149" t="s">
        <v>227</v>
      </c>
      <c r="K132" s="150"/>
      <c r="L132" s="150"/>
      <c r="M132" s="150"/>
      <c r="N132" s="150"/>
      <c r="O132" s="150"/>
      <c r="P132" s="150"/>
      <c r="Q132" s="151"/>
      <c r="R132" s="150" t="s">
        <v>254</v>
      </c>
      <c r="S132" s="150"/>
      <c r="T132" s="150"/>
      <c r="U132" s="150"/>
      <c r="V132" s="150"/>
      <c r="W132" s="150"/>
      <c r="X132" s="150"/>
      <c r="Y132" s="150"/>
      <c r="Z132" s="150"/>
      <c r="AA132" s="150"/>
      <c r="AB132" s="150"/>
      <c r="AC132" s="150"/>
      <c r="AD132" s="150"/>
      <c r="AE132" s="150"/>
      <c r="AF132" s="150"/>
      <c r="AG132" s="150"/>
      <c r="AH132" s="150"/>
      <c r="AI132" s="150"/>
      <c r="AJ132" s="151"/>
      <c r="AK132" s="143" t="s">
        <v>284</v>
      </c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144"/>
    </row>
    <row r="133" spans="2:61" ht="20.100000000000001" customHeight="1" x14ac:dyDescent="0.45">
      <c r="B133" s="138"/>
      <c r="C133" s="31"/>
      <c r="D133" s="31"/>
      <c r="E133" s="31"/>
      <c r="F133" s="31"/>
      <c r="G133" s="139"/>
      <c r="H133" s="140"/>
      <c r="I133" s="31"/>
      <c r="J133" s="149" t="s">
        <v>228</v>
      </c>
      <c r="K133" s="150"/>
      <c r="L133" s="150"/>
      <c r="M133" s="150"/>
      <c r="N133" s="150"/>
      <c r="O133" s="150"/>
      <c r="P133" s="150"/>
      <c r="Q133" s="151"/>
      <c r="R133" s="150" t="s">
        <v>255</v>
      </c>
      <c r="S133" s="150"/>
      <c r="T133" s="150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150"/>
      <c r="AG133" s="150"/>
      <c r="AH133" s="150"/>
      <c r="AI133" s="150"/>
      <c r="AJ133" s="151"/>
      <c r="AK133" s="143" t="s">
        <v>286</v>
      </c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144"/>
    </row>
    <row r="134" spans="2:61" ht="20.100000000000001" customHeight="1" x14ac:dyDescent="0.45">
      <c r="B134" s="138"/>
      <c r="C134" s="31"/>
      <c r="D134" s="31"/>
      <c r="E134" s="31"/>
      <c r="F134" s="31"/>
      <c r="G134" s="139"/>
      <c r="H134" s="140"/>
      <c r="I134" s="31"/>
      <c r="J134" s="149" t="s">
        <v>229</v>
      </c>
      <c r="K134" s="150"/>
      <c r="L134" s="150"/>
      <c r="M134" s="150"/>
      <c r="N134" s="150"/>
      <c r="O134" s="150"/>
      <c r="P134" s="150"/>
      <c r="Q134" s="151"/>
      <c r="R134" s="150" t="s">
        <v>257</v>
      </c>
      <c r="S134" s="150"/>
      <c r="T134" s="150"/>
      <c r="U134" s="150"/>
      <c r="V134" s="150"/>
      <c r="W134" s="150"/>
      <c r="X134" s="150"/>
      <c r="Y134" s="150"/>
      <c r="Z134" s="150"/>
      <c r="AA134" s="150"/>
      <c r="AB134" s="150"/>
      <c r="AC134" s="150"/>
      <c r="AD134" s="150"/>
      <c r="AE134" s="150"/>
      <c r="AF134" s="150"/>
      <c r="AG134" s="150"/>
      <c r="AH134" s="150"/>
      <c r="AI134" s="150"/>
      <c r="AJ134" s="151"/>
      <c r="AK134" s="143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144"/>
    </row>
    <row r="135" spans="2:61" ht="20.100000000000001" customHeight="1" x14ac:dyDescent="0.45">
      <c r="B135" s="138"/>
      <c r="C135" s="31"/>
      <c r="D135" s="31"/>
      <c r="E135" s="31"/>
      <c r="F135" s="31"/>
      <c r="G135" s="139"/>
      <c r="H135" s="140"/>
      <c r="I135" s="31"/>
      <c r="J135" s="149" t="s">
        <v>287</v>
      </c>
      <c r="K135" s="150"/>
      <c r="L135" s="150"/>
      <c r="M135" s="150"/>
      <c r="N135" s="150"/>
      <c r="O135" s="150"/>
      <c r="P135" s="150"/>
      <c r="Q135" s="151"/>
      <c r="R135" s="150" t="s">
        <v>292</v>
      </c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  <c r="AD135" s="150"/>
      <c r="AE135" s="150"/>
      <c r="AF135" s="150"/>
      <c r="AG135" s="150"/>
      <c r="AH135" s="150"/>
      <c r="AI135" s="150"/>
      <c r="AJ135" s="151"/>
      <c r="AK135" s="143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144"/>
    </row>
    <row r="136" spans="2:61" ht="20.100000000000001" customHeight="1" x14ac:dyDescent="0.45">
      <c r="B136" s="138"/>
      <c r="C136" s="31"/>
      <c r="D136" s="31"/>
      <c r="E136" s="31"/>
      <c r="F136" s="31"/>
      <c r="G136" s="139"/>
      <c r="H136" s="140"/>
      <c r="I136" s="31"/>
      <c r="J136" s="149" t="s">
        <v>288</v>
      </c>
      <c r="K136" s="150"/>
      <c r="L136" s="150"/>
      <c r="M136" s="150"/>
      <c r="N136" s="150"/>
      <c r="O136" s="150"/>
      <c r="P136" s="150"/>
      <c r="Q136" s="151"/>
      <c r="R136" s="150" t="s">
        <v>293</v>
      </c>
      <c r="S136" s="150"/>
      <c r="T136" s="150"/>
      <c r="U136" s="150"/>
      <c r="V136" s="150"/>
      <c r="W136" s="150"/>
      <c r="X136" s="150"/>
      <c r="Y136" s="150"/>
      <c r="Z136" s="150"/>
      <c r="AA136" s="150"/>
      <c r="AB136" s="150"/>
      <c r="AC136" s="150"/>
      <c r="AD136" s="150"/>
      <c r="AE136" s="150"/>
      <c r="AF136" s="150"/>
      <c r="AG136" s="150"/>
      <c r="AH136" s="150"/>
      <c r="AI136" s="150"/>
      <c r="AJ136" s="151"/>
      <c r="AK136" s="143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144"/>
    </row>
    <row r="137" spans="2:61" ht="20.100000000000001" customHeight="1" x14ac:dyDescent="0.45">
      <c r="B137" s="138"/>
      <c r="C137" s="31"/>
      <c r="D137" s="31"/>
      <c r="E137" s="31"/>
      <c r="F137" s="31"/>
      <c r="G137" s="139"/>
      <c r="H137" s="140"/>
      <c r="I137" s="31"/>
      <c r="J137" s="149" t="s">
        <v>289</v>
      </c>
      <c r="K137" s="150"/>
      <c r="L137" s="150"/>
      <c r="M137" s="150"/>
      <c r="N137" s="150"/>
      <c r="O137" s="150"/>
      <c r="P137" s="150"/>
      <c r="Q137" s="151"/>
      <c r="R137" s="150" t="s">
        <v>294</v>
      </c>
      <c r="S137" s="150"/>
      <c r="T137" s="150"/>
      <c r="U137" s="150"/>
      <c r="V137" s="150"/>
      <c r="W137" s="150"/>
      <c r="X137" s="150"/>
      <c r="Y137" s="150"/>
      <c r="Z137" s="150"/>
      <c r="AA137" s="150"/>
      <c r="AB137" s="150"/>
      <c r="AC137" s="150"/>
      <c r="AD137" s="150"/>
      <c r="AE137" s="150"/>
      <c r="AF137" s="150"/>
      <c r="AG137" s="150"/>
      <c r="AH137" s="150"/>
      <c r="AI137" s="150"/>
      <c r="AJ137" s="151"/>
      <c r="AK137" s="143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144"/>
    </row>
    <row r="138" spans="2:61" ht="20.100000000000001" customHeight="1" x14ac:dyDescent="0.45">
      <c r="B138" s="138"/>
      <c r="C138" s="31"/>
      <c r="D138" s="31"/>
      <c r="E138" s="31"/>
      <c r="F138" s="31"/>
      <c r="G138" s="139"/>
      <c r="H138" s="140"/>
      <c r="I138" s="31"/>
      <c r="J138" s="149" t="s">
        <v>290</v>
      </c>
      <c r="K138" s="150"/>
      <c r="L138" s="150"/>
      <c r="M138" s="150"/>
      <c r="N138" s="150"/>
      <c r="O138" s="150"/>
      <c r="P138" s="150"/>
      <c r="Q138" s="151"/>
      <c r="R138" s="150" t="s">
        <v>295</v>
      </c>
      <c r="S138" s="150"/>
      <c r="T138" s="150"/>
      <c r="U138" s="15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50"/>
      <c r="AF138" s="150"/>
      <c r="AG138" s="150"/>
      <c r="AH138" s="150"/>
      <c r="AI138" s="150"/>
      <c r="AJ138" s="151"/>
      <c r="AK138" s="143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144"/>
    </row>
    <row r="139" spans="2:61" ht="20.100000000000001" customHeight="1" x14ac:dyDescent="0.45">
      <c r="B139" s="138"/>
      <c r="C139" s="31"/>
      <c r="D139" s="31"/>
      <c r="E139" s="31"/>
      <c r="F139" s="31"/>
      <c r="G139" s="139"/>
      <c r="H139" s="140"/>
      <c r="I139" s="31"/>
      <c r="J139" s="149" t="s">
        <v>291</v>
      </c>
      <c r="K139" s="150"/>
      <c r="L139" s="150"/>
      <c r="M139" s="150"/>
      <c r="N139" s="150"/>
      <c r="O139" s="150"/>
      <c r="P139" s="150"/>
      <c r="Q139" s="151"/>
      <c r="R139" s="150" t="s">
        <v>296</v>
      </c>
      <c r="S139" s="150"/>
      <c r="T139" s="150"/>
      <c r="U139" s="150"/>
      <c r="V139" s="150"/>
      <c r="W139" s="150"/>
      <c r="X139" s="150"/>
      <c r="Y139" s="150"/>
      <c r="Z139" s="150"/>
      <c r="AA139" s="150"/>
      <c r="AB139" s="150"/>
      <c r="AC139" s="150"/>
      <c r="AD139" s="150"/>
      <c r="AE139" s="150"/>
      <c r="AF139" s="150"/>
      <c r="AG139" s="150"/>
      <c r="AH139" s="150"/>
      <c r="AI139" s="150"/>
      <c r="AJ139" s="151"/>
      <c r="AK139" s="143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144"/>
    </row>
    <row r="140" spans="2:61" ht="20.100000000000001" customHeight="1" x14ac:dyDescent="0.45">
      <c r="B140" s="138"/>
      <c r="C140" s="31"/>
      <c r="D140" s="31"/>
      <c r="E140" s="31"/>
      <c r="F140" s="31"/>
      <c r="G140" s="139"/>
      <c r="H140" s="140"/>
      <c r="I140" s="31"/>
      <c r="J140" s="149" t="s">
        <v>230</v>
      </c>
      <c r="K140" s="150"/>
      <c r="L140" s="150"/>
      <c r="M140" s="150"/>
      <c r="N140" s="150"/>
      <c r="O140" s="150"/>
      <c r="P140" s="150"/>
      <c r="Q140" s="151"/>
      <c r="R140" s="150" t="s">
        <v>258</v>
      </c>
      <c r="S140" s="150"/>
      <c r="T140" s="150"/>
      <c r="U140" s="150"/>
      <c r="V140" s="150"/>
      <c r="W140" s="150"/>
      <c r="X140" s="150"/>
      <c r="Y140" s="150"/>
      <c r="Z140" s="150"/>
      <c r="AA140" s="150"/>
      <c r="AB140" s="150"/>
      <c r="AC140" s="150"/>
      <c r="AD140" s="150"/>
      <c r="AE140" s="150"/>
      <c r="AF140" s="150"/>
      <c r="AG140" s="150"/>
      <c r="AH140" s="150"/>
      <c r="AI140" s="150"/>
      <c r="AJ140" s="151"/>
      <c r="AK140" s="143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144"/>
    </row>
    <row r="141" spans="2:61" ht="20.100000000000001" customHeight="1" x14ac:dyDescent="0.45">
      <c r="B141" s="138"/>
      <c r="C141" s="31"/>
      <c r="D141" s="31"/>
      <c r="E141" s="31"/>
      <c r="F141" s="31"/>
      <c r="G141" s="139"/>
      <c r="H141" s="140"/>
      <c r="I141" s="31"/>
      <c r="J141" s="149" t="s">
        <v>231</v>
      </c>
      <c r="K141" s="150"/>
      <c r="L141" s="150"/>
      <c r="M141" s="150"/>
      <c r="N141" s="150"/>
      <c r="O141" s="150"/>
      <c r="P141" s="150"/>
      <c r="Q141" s="151"/>
      <c r="R141" s="150" t="s">
        <v>259</v>
      </c>
      <c r="S141" s="150"/>
      <c r="T141" s="150"/>
      <c r="U141" s="150"/>
      <c r="V141" s="150"/>
      <c r="W141" s="150"/>
      <c r="X141" s="150"/>
      <c r="Y141" s="150"/>
      <c r="Z141" s="150"/>
      <c r="AA141" s="150"/>
      <c r="AB141" s="150"/>
      <c r="AC141" s="150"/>
      <c r="AD141" s="150"/>
      <c r="AE141" s="150"/>
      <c r="AF141" s="150"/>
      <c r="AG141" s="150"/>
      <c r="AH141" s="150"/>
      <c r="AI141" s="150"/>
      <c r="AJ141" s="151"/>
      <c r="AK141" s="143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144"/>
    </row>
    <row r="142" spans="2:61" ht="20.100000000000001" customHeight="1" x14ac:dyDescent="0.45">
      <c r="B142" s="138"/>
      <c r="C142" s="31"/>
      <c r="D142" s="31"/>
      <c r="E142" s="31"/>
      <c r="F142" s="31"/>
      <c r="G142" s="139"/>
      <c r="H142" s="140"/>
      <c r="I142" s="31"/>
      <c r="J142" s="149" t="s">
        <v>232</v>
      </c>
      <c r="K142" s="150"/>
      <c r="L142" s="150"/>
      <c r="M142" s="150"/>
      <c r="N142" s="150"/>
      <c r="O142" s="150"/>
      <c r="P142" s="150"/>
      <c r="Q142" s="151"/>
      <c r="R142" s="150" t="s">
        <v>260</v>
      </c>
      <c r="S142" s="150"/>
      <c r="T142" s="150"/>
      <c r="U142" s="150"/>
      <c r="V142" s="150"/>
      <c r="W142" s="150"/>
      <c r="X142" s="150"/>
      <c r="Y142" s="150"/>
      <c r="Z142" s="150"/>
      <c r="AA142" s="150"/>
      <c r="AB142" s="150"/>
      <c r="AC142" s="150"/>
      <c r="AD142" s="150"/>
      <c r="AE142" s="150"/>
      <c r="AF142" s="150"/>
      <c r="AG142" s="150"/>
      <c r="AH142" s="150"/>
      <c r="AI142" s="150"/>
      <c r="AJ142" s="151"/>
      <c r="AK142" s="143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144"/>
    </row>
    <row r="143" spans="2:61" ht="20.100000000000001" customHeight="1" x14ac:dyDescent="0.45">
      <c r="B143" s="138"/>
      <c r="C143" s="31"/>
      <c r="D143" s="31"/>
      <c r="E143" s="31"/>
      <c r="F143" s="31"/>
      <c r="G143" s="139"/>
      <c r="H143" s="140"/>
      <c r="I143" s="31"/>
      <c r="J143" s="149" t="s">
        <v>233</v>
      </c>
      <c r="K143" s="150"/>
      <c r="L143" s="150"/>
      <c r="M143" s="150"/>
      <c r="N143" s="150"/>
      <c r="O143" s="150"/>
      <c r="P143" s="150"/>
      <c r="Q143" s="151"/>
      <c r="R143" s="150" t="s">
        <v>261</v>
      </c>
      <c r="S143" s="150"/>
      <c r="T143" s="150"/>
      <c r="U143" s="150"/>
      <c r="V143" s="150"/>
      <c r="W143" s="150"/>
      <c r="X143" s="150"/>
      <c r="Y143" s="150"/>
      <c r="Z143" s="150"/>
      <c r="AA143" s="150"/>
      <c r="AB143" s="150"/>
      <c r="AC143" s="150"/>
      <c r="AD143" s="150"/>
      <c r="AE143" s="150"/>
      <c r="AF143" s="150"/>
      <c r="AG143" s="150"/>
      <c r="AH143" s="150"/>
      <c r="AI143" s="150"/>
      <c r="AJ143" s="151"/>
      <c r="AK143" s="143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144"/>
    </row>
    <row r="144" spans="2:61" ht="20.100000000000001" customHeight="1" x14ac:dyDescent="0.45">
      <c r="B144" s="138"/>
      <c r="C144" s="31"/>
      <c r="D144" s="31"/>
      <c r="E144" s="31"/>
      <c r="F144" s="31"/>
      <c r="G144" s="139"/>
      <c r="H144" s="140"/>
      <c r="I144" s="31"/>
      <c r="J144" s="149" t="s">
        <v>234</v>
      </c>
      <c r="K144" s="150"/>
      <c r="L144" s="150"/>
      <c r="M144" s="150"/>
      <c r="N144" s="150"/>
      <c r="O144" s="150"/>
      <c r="P144" s="150"/>
      <c r="Q144" s="151"/>
      <c r="R144" s="150" t="s">
        <v>262</v>
      </c>
      <c r="S144" s="150"/>
      <c r="T144" s="150"/>
      <c r="U144" s="15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50"/>
      <c r="AG144" s="150"/>
      <c r="AH144" s="150"/>
      <c r="AI144" s="150"/>
      <c r="AJ144" s="151"/>
      <c r="AK144" s="143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144"/>
    </row>
    <row r="145" spans="2:61" ht="20.100000000000001" customHeight="1" x14ac:dyDescent="0.45">
      <c r="B145" s="138"/>
      <c r="C145" s="31"/>
      <c r="D145" s="31"/>
      <c r="E145" s="31"/>
      <c r="F145" s="31"/>
      <c r="G145" s="139"/>
      <c r="H145" s="140"/>
      <c r="I145" s="31"/>
      <c r="J145" s="149" t="s">
        <v>235</v>
      </c>
      <c r="K145" s="150"/>
      <c r="L145" s="150"/>
      <c r="M145" s="150"/>
      <c r="N145" s="150"/>
      <c r="O145" s="150"/>
      <c r="P145" s="150"/>
      <c r="Q145" s="151"/>
      <c r="R145" s="150" t="s">
        <v>263</v>
      </c>
      <c r="S145" s="150"/>
      <c r="T145" s="150"/>
      <c r="U145" s="150"/>
      <c r="V145" s="150"/>
      <c r="W145" s="150"/>
      <c r="X145" s="150"/>
      <c r="Y145" s="150"/>
      <c r="Z145" s="150"/>
      <c r="AA145" s="150"/>
      <c r="AB145" s="150"/>
      <c r="AC145" s="150"/>
      <c r="AD145" s="150"/>
      <c r="AE145" s="150"/>
      <c r="AF145" s="150"/>
      <c r="AG145" s="150"/>
      <c r="AH145" s="150"/>
      <c r="AI145" s="150"/>
      <c r="AJ145" s="151"/>
      <c r="AK145" s="143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144"/>
    </row>
    <row r="146" spans="2:61" ht="20.100000000000001" customHeight="1" x14ac:dyDescent="0.45">
      <c r="B146" s="138"/>
      <c r="C146" s="31"/>
      <c r="D146" s="31"/>
      <c r="E146" s="31"/>
      <c r="F146" s="31"/>
      <c r="G146" s="139"/>
      <c r="H146" s="140"/>
      <c r="I146" s="31"/>
      <c r="J146" s="149" t="s">
        <v>236</v>
      </c>
      <c r="K146" s="150"/>
      <c r="L146" s="150"/>
      <c r="M146" s="150"/>
      <c r="N146" s="150"/>
      <c r="O146" s="150"/>
      <c r="P146" s="150"/>
      <c r="Q146" s="151"/>
      <c r="R146" s="150" t="s">
        <v>264</v>
      </c>
      <c r="S146" s="150"/>
      <c r="T146" s="150"/>
      <c r="U146" s="150"/>
      <c r="V146" s="150"/>
      <c r="W146" s="150"/>
      <c r="X146" s="150"/>
      <c r="Y146" s="150"/>
      <c r="Z146" s="150"/>
      <c r="AA146" s="150"/>
      <c r="AB146" s="150"/>
      <c r="AC146" s="150"/>
      <c r="AD146" s="150"/>
      <c r="AE146" s="150"/>
      <c r="AF146" s="150"/>
      <c r="AG146" s="150"/>
      <c r="AH146" s="150"/>
      <c r="AI146" s="150"/>
      <c r="AJ146" s="151"/>
      <c r="AK146" s="143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144"/>
    </row>
    <row r="147" spans="2:61" ht="20.100000000000001" customHeight="1" x14ac:dyDescent="0.45">
      <c r="B147" s="138"/>
      <c r="C147" s="31"/>
      <c r="D147" s="31"/>
      <c r="E147" s="31"/>
      <c r="F147" s="31"/>
      <c r="G147" s="139"/>
      <c r="H147" s="140"/>
      <c r="I147" s="31"/>
      <c r="J147" s="149" t="s">
        <v>237</v>
      </c>
      <c r="K147" s="150"/>
      <c r="L147" s="150"/>
      <c r="M147" s="150"/>
      <c r="N147" s="150"/>
      <c r="O147" s="150"/>
      <c r="P147" s="150"/>
      <c r="Q147" s="151"/>
      <c r="R147" s="150" t="s">
        <v>256</v>
      </c>
      <c r="S147" s="150"/>
      <c r="T147" s="150"/>
      <c r="U147" s="150"/>
      <c r="V147" s="150"/>
      <c r="W147" s="150"/>
      <c r="X147" s="150"/>
      <c r="Y147" s="150"/>
      <c r="Z147" s="150"/>
      <c r="AA147" s="150"/>
      <c r="AB147" s="150"/>
      <c r="AC147" s="150"/>
      <c r="AD147" s="150"/>
      <c r="AE147" s="150"/>
      <c r="AF147" s="150"/>
      <c r="AG147" s="150"/>
      <c r="AH147" s="150"/>
      <c r="AI147" s="150"/>
      <c r="AJ147" s="151"/>
      <c r="AK147" s="143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144"/>
    </row>
    <row r="148" spans="2:61" ht="20.100000000000001" customHeight="1" x14ac:dyDescent="0.45">
      <c r="B148" s="138"/>
      <c r="C148" s="31"/>
      <c r="D148" s="31"/>
      <c r="E148" s="31"/>
      <c r="F148" s="31"/>
      <c r="G148" s="139"/>
      <c r="H148" s="140"/>
      <c r="I148" s="31"/>
      <c r="J148" s="149" t="s">
        <v>238</v>
      </c>
      <c r="K148" s="150"/>
      <c r="L148" s="150"/>
      <c r="M148" s="150"/>
      <c r="N148" s="150"/>
      <c r="O148" s="150"/>
      <c r="P148" s="150"/>
      <c r="Q148" s="151"/>
      <c r="R148" s="150" t="s">
        <v>265</v>
      </c>
      <c r="S148" s="150"/>
      <c r="T148" s="150"/>
      <c r="U148" s="15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50"/>
      <c r="AG148" s="150"/>
      <c r="AH148" s="150"/>
      <c r="AI148" s="150"/>
      <c r="AJ148" s="151"/>
      <c r="AK148" s="143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144"/>
    </row>
    <row r="149" spans="2:61" ht="20.100000000000001" customHeight="1" x14ac:dyDescent="0.45">
      <c r="B149" s="138"/>
      <c r="C149" s="31"/>
      <c r="D149" s="31"/>
      <c r="E149" s="31"/>
      <c r="F149" s="31"/>
      <c r="G149" s="139"/>
      <c r="H149" s="140"/>
      <c r="I149" s="31"/>
      <c r="J149" s="149" t="s">
        <v>239</v>
      </c>
      <c r="K149" s="150"/>
      <c r="L149" s="150"/>
      <c r="M149" s="150"/>
      <c r="N149" s="150"/>
      <c r="O149" s="150"/>
      <c r="P149" s="150"/>
      <c r="Q149" s="151"/>
      <c r="R149" s="150" t="s">
        <v>266</v>
      </c>
      <c r="S149" s="150"/>
      <c r="T149" s="150"/>
      <c r="U149" s="150"/>
      <c r="V149" s="150"/>
      <c r="W149" s="150"/>
      <c r="X149" s="150"/>
      <c r="Y149" s="150"/>
      <c r="Z149" s="150"/>
      <c r="AA149" s="150"/>
      <c r="AB149" s="150"/>
      <c r="AC149" s="150"/>
      <c r="AD149" s="150"/>
      <c r="AE149" s="150"/>
      <c r="AF149" s="150"/>
      <c r="AG149" s="150"/>
      <c r="AH149" s="150"/>
      <c r="AI149" s="150"/>
      <c r="AJ149" s="151"/>
      <c r="AK149" s="143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144"/>
    </row>
    <row r="150" spans="2:61" ht="20.100000000000001" customHeight="1" x14ac:dyDescent="0.45">
      <c r="B150" s="138"/>
      <c r="C150" s="31"/>
      <c r="D150" s="31"/>
      <c r="E150" s="31"/>
      <c r="F150" s="31"/>
      <c r="G150" s="139"/>
      <c r="H150" s="140"/>
      <c r="I150" s="31"/>
      <c r="J150" s="149" t="s">
        <v>240</v>
      </c>
      <c r="K150" s="150"/>
      <c r="L150" s="150"/>
      <c r="M150" s="150"/>
      <c r="N150" s="150"/>
      <c r="O150" s="150"/>
      <c r="P150" s="150"/>
      <c r="Q150" s="151"/>
      <c r="R150" s="150" t="s">
        <v>281</v>
      </c>
      <c r="S150" s="150"/>
      <c r="T150" s="150"/>
      <c r="U150" s="150"/>
      <c r="V150" s="150"/>
      <c r="W150" s="150"/>
      <c r="X150" s="150"/>
      <c r="Y150" s="150"/>
      <c r="Z150" s="150"/>
      <c r="AA150" s="150"/>
      <c r="AB150" s="150"/>
      <c r="AC150" s="150"/>
      <c r="AD150" s="150"/>
      <c r="AE150" s="150"/>
      <c r="AF150" s="150"/>
      <c r="AG150" s="150"/>
      <c r="AH150" s="150"/>
      <c r="AI150" s="150"/>
      <c r="AJ150" s="151"/>
      <c r="AK150" s="143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144"/>
    </row>
    <row r="151" spans="2:61" ht="20.100000000000001" customHeight="1" x14ac:dyDescent="0.45">
      <c r="B151" s="138"/>
      <c r="C151" s="31"/>
      <c r="D151" s="31"/>
      <c r="E151" s="31"/>
      <c r="F151" s="31"/>
      <c r="G151" s="139"/>
      <c r="H151" s="140"/>
      <c r="I151" s="31"/>
      <c r="J151" s="149" t="s">
        <v>241</v>
      </c>
      <c r="K151" s="150"/>
      <c r="L151" s="150"/>
      <c r="M151" s="150"/>
      <c r="N151" s="150"/>
      <c r="O151" s="150"/>
      <c r="P151" s="150"/>
      <c r="Q151" s="151"/>
      <c r="R151" s="150" t="s">
        <v>267</v>
      </c>
      <c r="S151" s="150"/>
      <c r="T151" s="150"/>
      <c r="U151" s="150"/>
      <c r="V151" s="150"/>
      <c r="W151" s="150"/>
      <c r="X151" s="150"/>
      <c r="Y151" s="150"/>
      <c r="Z151" s="150"/>
      <c r="AA151" s="150"/>
      <c r="AB151" s="150"/>
      <c r="AC151" s="150"/>
      <c r="AD151" s="150"/>
      <c r="AE151" s="150"/>
      <c r="AF151" s="150"/>
      <c r="AG151" s="150"/>
      <c r="AH151" s="150"/>
      <c r="AI151" s="150"/>
      <c r="AJ151" s="151"/>
      <c r="AK151" s="143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144"/>
    </row>
    <row r="152" spans="2:61" ht="20.100000000000001" customHeight="1" x14ac:dyDescent="0.45">
      <c r="B152" s="138"/>
      <c r="C152" s="31"/>
      <c r="D152" s="31"/>
      <c r="E152" s="31"/>
      <c r="F152" s="31"/>
      <c r="G152" s="139"/>
      <c r="H152" s="140"/>
      <c r="I152" s="31"/>
      <c r="J152" s="149" t="s">
        <v>242</v>
      </c>
      <c r="K152" s="150"/>
      <c r="L152" s="150"/>
      <c r="M152" s="150"/>
      <c r="N152" s="150"/>
      <c r="O152" s="150"/>
      <c r="P152" s="150"/>
      <c r="Q152" s="151"/>
      <c r="R152" s="150" t="s">
        <v>268</v>
      </c>
      <c r="S152" s="150"/>
      <c r="T152" s="150"/>
      <c r="U152" s="150"/>
      <c r="V152" s="150"/>
      <c r="W152" s="150"/>
      <c r="X152" s="150"/>
      <c r="Y152" s="150"/>
      <c r="Z152" s="150"/>
      <c r="AA152" s="150"/>
      <c r="AB152" s="150"/>
      <c r="AC152" s="150"/>
      <c r="AD152" s="150"/>
      <c r="AE152" s="150"/>
      <c r="AF152" s="150"/>
      <c r="AG152" s="150"/>
      <c r="AH152" s="150"/>
      <c r="AI152" s="150"/>
      <c r="AJ152" s="151"/>
      <c r="AK152" s="143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144"/>
    </row>
    <row r="153" spans="2:61" ht="20.100000000000001" customHeight="1" x14ac:dyDescent="0.45">
      <c r="B153" s="138"/>
      <c r="C153" s="31"/>
      <c r="D153" s="31"/>
      <c r="E153" s="31"/>
      <c r="F153" s="31"/>
      <c r="G153" s="139"/>
      <c r="H153" s="140"/>
      <c r="I153" s="31"/>
      <c r="J153" s="149" t="s">
        <v>243</v>
      </c>
      <c r="K153" s="150"/>
      <c r="L153" s="150"/>
      <c r="M153" s="150"/>
      <c r="N153" s="150"/>
      <c r="O153" s="150"/>
      <c r="P153" s="150"/>
      <c r="Q153" s="151"/>
      <c r="R153" s="150" t="s">
        <v>269</v>
      </c>
      <c r="S153" s="150"/>
      <c r="T153" s="150"/>
      <c r="U153" s="150"/>
      <c r="V153" s="150"/>
      <c r="W153" s="150"/>
      <c r="X153" s="150"/>
      <c r="Y153" s="150"/>
      <c r="Z153" s="150"/>
      <c r="AA153" s="150"/>
      <c r="AB153" s="150"/>
      <c r="AC153" s="150"/>
      <c r="AD153" s="150"/>
      <c r="AE153" s="150"/>
      <c r="AF153" s="150"/>
      <c r="AG153" s="150"/>
      <c r="AH153" s="150"/>
      <c r="AI153" s="150"/>
      <c r="AJ153" s="151"/>
      <c r="AK153" s="143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144"/>
    </row>
    <row r="154" spans="2:61" ht="20.100000000000001" customHeight="1" x14ac:dyDescent="0.45">
      <c r="B154" s="138"/>
      <c r="C154" s="31"/>
      <c r="D154" s="31"/>
      <c r="E154" s="31"/>
      <c r="F154" s="31"/>
      <c r="G154" s="139"/>
      <c r="H154" s="140"/>
      <c r="I154" s="31"/>
      <c r="J154" s="149" t="s">
        <v>244</v>
      </c>
      <c r="K154" s="150"/>
      <c r="L154" s="150"/>
      <c r="M154" s="150"/>
      <c r="N154" s="150"/>
      <c r="O154" s="150"/>
      <c r="P154" s="150"/>
      <c r="Q154" s="151"/>
      <c r="R154" s="154" t="s">
        <v>282</v>
      </c>
      <c r="S154" s="150"/>
      <c r="T154" s="150"/>
      <c r="U154" s="150"/>
      <c r="V154" s="150"/>
      <c r="W154" s="150"/>
      <c r="X154" s="150"/>
      <c r="Y154" s="150"/>
      <c r="Z154" s="150"/>
      <c r="AA154" s="150"/>
      <c r="AB154" s="150"/>
      <c r="AC154" s="150"/>
      <c r="AD154" s="150"/>
      <c r="AE154" s="150"/>
      <c r="AF154" s="150"/>
      <c r="AG154" s="150"/>
      <c r="AH154" s="150"/>
      <c r="AI154" s="150"/>
      <c r="AJ154" s="151"/>
      <c r="AK154" s="143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144"/>
    </row>
    <row r="155" spans="2:61" ht="20.100000000000001" customHeight="1" x14ac:dyDescent="0.45">
      <c r="B155" s="138"/>
      <c r="C155" s="31"/>
      <c r="D155" s="31"/>
      <c r="E155" s="31"/>
      <c r="F155" s="31"/>
      <c r="G155" s="139"/>
      <c r="H155" s="140"/>
      <c r="I155" s="31"/>
      <c r="J155" s="149" t="s">
        <v>168</v>
      </c>
      <c r="K155" s="150"/>
      <c r="L155" s="150"/>
      <c r="M155" s="150"/>
      <c r="N155" s="150"/>
      <c r="O155" s="150"/>
      <c r="P155" s="150"/>
      <c r="Q155" s="151"/>
      <c r="R155" s="150" t="s">
        <v>215</v>
      </c>
      <c r="S155" s="150"/>
      <c r="T155" s="150"/>
      <c r="U155" s="150"/>
      <c r="V155" s="150"/>
      <c r="W155" s="150"/>
      <c r="X155" s="150"/>
      <c r="Y155" s="150"/>
      <c r="Z155" s="150"/>
      <c r="AA155" s="150"/>
      <c r="AB155" s="150"/>
      <c r="AC155" s="150"/>
      <c r="AD155" s="150"/>
      <c r="AE155" s="150"/>
      <c r="AF155" s="150"/>
      <c r="AG155" s="150"/>
      <c r="AH155" s="150"/>
      <c r="AI155" s="150"/>
      <c r="AJ155" s="151"/>
      <c r="AK155" s="143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144"/>
    </row>
    <row r="156" spans="2:61" ht="20.100000000000001" customHeight="1" x14ac:dyDescent="0.45">
      <c r="B156" s="138"/>
      <c r="C156" s="31"/>
      <c r="D156" s="31"/>
      <c r="E156" s="31"/>
      <c r="F156" s="31"/>
      <c r="G156" s="139"/>
      <c r="H156" s="140"/>
      <c r="I156" s="31"/>
      <c r="J156" s="149" t="s">
        <v>245</v>
      </c>
      <c r="K156" s="150"/>
      <c r="L156" s="150"/>
      <c r="M156" s="150"/>
      <c r="N156" s="150"/>
      <c r="O156" s="150"/>
      <c r="P156" s="150"/>
      <c r="Q156" s="151"/>
      <c r="R156" s="150" t="s">
        <v>216</v>
      </c>
      <c r="S156" s="150"/>
      <c r="T156" s="150"/>
      <c r="U156" s="150"/>
      <c r="V156" s="150"/>
      <c r="W156" s="150"/>
      <c r="X156" s="150"/>
      <c r="Y156" s="150"/>
      <c r="Z156" s="150"/>
      <c r="AA156" s="150"/>
      <c r="AB156" s="150"/>
      <c r="AC156" s="150"/>
      <c r="AD156" s="150"/>
      <c r="AE156" s="150"/>
      <c r="AF156" s="150"/>
      <c r="AG156" s="150"/>
      <c r="AH156" s="150"/>
      <c r="AI156" s="150"/>
      <c r="AJ156" s="151"/>
      <c r="AK156" s="143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144"/>
    </row>
    <row r="157" spans="2:61" ht="20.100000000000001" customHeight="1" x14ac:dyDescent="0.45">
      <c r="B157" s="138"/>
      <c r="C157" s="31"/>
      <c r="D157" s="31"/>
      <c r="E157" s="31"/>
      <c r="F157" s="31"/>
      <c r="G157" s="139"/>
      <c r="H157" s="140"/>
      <c r="I157" s="31"/>
      <c r="J157" s="149" t="s">
        <v>246</v>
      </c>
      <c r="K157" s="150"/>
      <c r="L157" s="150"/>
      <c r="M157" s="150"/>
      <c r="N157" s="150"/>
      <c r="O157" s="150"/>
      <c r="P157" s="150"/>
      <c r="Q157" s="151"/>
      <c r="R157" s="150" t="s">
        <v>270</v>
      </c>
      <c r="S157" s="150"/>
      <c r="T157" s="150"/>
      <c r="U157" s="150"/>
      <c r="V157" s="150"/>
      <c r="W157" s="150"/>
      <c r="X157" s="150"/>
      <c r="Y157" s="150"/>
      <c r="Z157" s="150"/>
      <c r="AA157" s="150"/>
      <c r="AB157" s="150"/>
      <c r="AC157" s="150"/>
      <c r="AD157" s="150"/>
      <c r="AE157" s="150"/>
      <c r="AF157" s="150"/>
      <c r="AG157" s="150"/>
      <c r="AH157" s="150"/>
      <c r="AI157" s="150"/>
      <c r="AJ157" s="151"/>
      <c r="AK157" s="143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144"/>
    </row>
    <row r="158" spans="2:61" ht="20.100000000000001" customHeight="1" x14ac:dyDescent="0.45">
      <c r="B158" s="138"/>
      <c r="C158" s="31"/>
      <c r="D158" s="31"/>
      <c r="E158" s="31"/>
      <c r="F158" s="31"/>
      <c r="G158" s="139"/>
      <c r="H158" s="140"/>
      <c r="I158" s="31"/>
      <c r="J158" s="149" t="s">
        <v>248</v>
      </c>
      <c r="K158" s="150"/>
      <c r="L158" s="150"/>
      <c r="M158" s="150"/>
      <c r="N158" s="150"/>
      <c r="O158" s="150"/>
      <c r="P158" s="150"/>
      <c r="Q158" s="151"/>
      <c r="R158" s="150" t="s">
        <v>217</v>
      </c>
      <c r="S158" s="150"/>
      <c r="T158" s="150"/>
      <c r="U158" s="150"/>
      <c r="V158" s="150"/>
      <c r="W158" s="150"/>
      <c r="X158" s="150"/>
      <c r="Y158" s="150"/>
      <c r="Z158" s="150"/>
      <c r="AA158" s="150"/>
      <c r="AB158" s="150"/>
      <c r="AC158" s="150"/>
      <c r="AD158" s="150"/>
      <c r="AE158" s="150"/>
      <c r="AF158" s="150"/>
      <c r="AG158" s="150"/>
      <c r="AH158" s="150"/>
      <c r="AI158" s="150"/>
      <c r="AJ158" s="151"/>
      <c r="AK158" s="143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144"/>
    </row>
    <row r="159" spans="2:61" ht="20.100000000000001" customHeight="1" x14ac:dyDescent="0.45">
      <c r="B159" s="138"/>
      <c r="C159" s="31"/>
      <c r="D159" s="31"/>
      <c r="E159" s="31"/>
      <c r="F159" s="31"/>
      <c r="G159" s="139"/>
      <c r="H159" s="140"/>
      <c r="I159" s="31"/>
      <c r="J159" s="149" t="s">
        <v>247</v>
      </c>
      <c r="K159" s="150"/>
      <c r="L159" s="150"/>
      <c r="M159" s="150"/>
      <c r="N159" s="150"/>
      <c r="O159" s="150"/>
      <c r="P159" s="150"/>
      <c r="Q159" s="151"/>
      <c r="R159" s="150" t="s">
        <v>271</v>
      </c>
      <c r="S159" s="150"/>
      <c r="T159" s="150"/>
      <c r="U159" s="150"/>
      <c r="V159" s="150"/>
      <c r="W159" s="150"/>
      <c r="X159" s="150"/>
      <c r="Y159" s="150"/>
      <c r="Z159" s="150"/>
      <c r="AA159" s="150"/>
      <c r="AB159" s="150"/>
      <c r="AC159" s="150"/>
      <c r="AD159" s="150"/>
      <c r="AE159" s="150"/>
      <c r="AF159" s="150"/>
      <c r="AG159" s="150"/>
      <c r="AH159" s="150"/>
      <c r="AI159" s="150"/>
      <c r="AJ159" s="151"/>
      <c r="AK159" s="143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144"/>
    </row>
    <row r="160" spans="2:61" ht="20.100000000000001" customHeight="1" x14ac:dyDescent="0.45">
      <c r="B160" s="138"/>
      <c r="C160" s="31"/>
      <c r="D160" s="31"/>
      <c r="E160" s="31"/>
      <c r="F160" s="31"/>
      <c r="G160" s="139"/>
      <c r="H160" s="140"/>
      <c r="I160" s="31"/>
      <c r="J160" s="149" t="s">
        <v>249</v>
      </c>
      <c r="K160" s="150"/>
      <c r="L160" s="150"/>
      <c r="M160" s="150"/>
      <c r="N160" s="150"/>
      <c r="O160" s="150"/>
      <c r="P160" s="150"/>
      <c r="Q160" s="151"/>
      <c r="R160" s="150" t="s">
        <v>272</v>
      </c>
      <c r="S160" s="150"/>
      <c r="T160" s="150"/>
      <c r="U160" s="150"/>
      <c r="V160" s="150"/>
      <c r="W160" s="150"/>
      <c r="X160" s="150"/>
      <c r="Y160" s="150"/>
      <c r="Z160" s="150"/>
      <c r="AA160" s="150"/>
      <c r="AB160" s="150"/>
      <c r="AC160" s="150"/>
      <c r="AD160" s="150"/>
      <c r="AE160" s="150"/>
      <c r="AF160" s="150"/>
      <c r="AG160" s="150"/>
      <c r="AH160" s="150"/>
      <c r="AI160" s="150"/>
      <c r="AJ160" s="151"/>
      <c r="AK160" s="143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144"/>
    </row>
    <row r="161" spans="2:61" ht="20.100000000000001" customHeight="1" x14ac:dyDescent="0.45">
      <c r="B161" s="138"/>
      <c r="C161" s="31"/>
      <c r="D161" s="31"/>
      <c r="E161" s="31"/>
      <c r="F161" s="31"/>
      <c r="G161" s="139"/>
      <c r="H161" s="140"/>
      <c r="I161" s="31"/>
      <c r="J161" s="149" t="s">
        <v>250</v>
      </c>
      <c r="K161" s="150"/>
      <c r="L161" s="150"/>
      <c r="M161" s="150"/>
      <c r="N161" s="150"/>
      <c r="O161" s="150"/>
      <c r="P161" s="150"/>
      <c r="Q161" s="151"/>
      <c r="R161" s="150" t="s">
        <v>273</v>
      </c>
      <c r="S161" s="150"/>
      <c r="T161" s="150"/>
      <c r="U161" s="150"/>
      <c r="V161" s="150"/>
      <c r="W161" s="150"/>
      <c r="X161" s="150"/>
      <c r="Y161" s="150"/>
      <c r="Z161" s="150"/>
      <c r="AA161" s="150"/>
      <c r="AB161" s="150"/>
      <c r="AC161" s="150"/>
      <c r="AD161" s="150"/>
      <c r="AE161" s="150"/>
      <c r="AF161" s="150"/>
      <c r="AG161" s="150"/>
      <c r="AH161" s="150"/>
      <c r="AI161" s="150"/>
      <c r="AJ161" s="151"/>
      <c r="AK161" s="143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144"/>
    </row>
    <row r="162" spans="2:61" ht="20.100000000000001" customHeight="1" x14ac:dyDescent="0.45">
      <c r="B162" s="138"/>
      <c r="C162" s="31"/>
      <c r="D162" s="31"/>
      <c r="E162" s="31"/>
      <c r="F162" s="31"/>
      <c r="G162" s="139"/>
      <c r="H162" s="140"/>
      <c r="I162" s="31"/>
      <c r="J162" s="149" t="s">
        <v>251</v>
      </c>
      <c r="K162" s="150"/>
      <c r="L162" s="150"/>
      <c r="M162" s="150"/>
      <c r="N162" s="150"/>
      <c r="O162" s="150"/>
      <c r="P162" s="150"/>
      <c r="Q162" s="151"/>
      <c r="R162" s="150" t="s">
        <v>274</v>
      </c>
      <c r="S162" s="150"/>
      <c r="T162" s="150"/>
      <c r="U162" s="150"/>
      <c r="V162" s="150"/>
      <c r="W162" s="150"/>
      <c r="X162" s="150"/>
      <c r="Y162" s="150"/>
      <c r="Z162" s="150"/>
      <c r="AA162" s="150"/>
      <c r="AB162" s="150"/>
      <c r="AC162" s="150"/>
      <c r="AD162" s="150"/>
      <c r="AE162" s="150"/>
      <c r="AF162" s="150"/>
      <c r="AG162" s="150"/>
      <c r="AH162" s="150"/>
      <c r="AI162" s="150"/>
      <c r="AJ162" s="151"/>
      <c r="AK162" s="143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144"/>
    </row>
    <row r="163" spans="2:61" ht="20.100000000000001" customHeight="1" x14ac:dyDescent="0.45">
      <c r="B163" s="138"/>
      <c r="C163" s="31"/>
      <c r="D163" s="31"/>
      <c r="E163" s="31"/>
      <c r="F163" s="31"/>
      <c r="G163" s="139"/>
      <c r="H163" s="140"/>
      <c r="I163" s="31"/>
      <c r="J163" s="149" t="s">
        <v>252</v>
      </c>
      <c r="K163" s="150"/>
      <c r="L163" s="150"/>
      <c r="M163" s="150"/>
      <c r="N163" s="150"/>
      <c r="O163" s="150"/>
      <c r="P163" s="150"/>
      <c r="Q163" s="151"/>
      <c r="R163" s="150" t="s">
        <v>275</v>
      </c>
      <c r="S163" s="150"/>
      <c r="T163" s="150"/>
      <c r="U163" s="150"/>
      <c r="V163" s="150"/>
      <c r="W163" s="150"/>
      <c r="X163" s="150"/>
      <c r="Y163" s="150"/>
      <c r="Z163" s="150"/>
      <c r="AA163" s="150"/>
      <c r="AB163" s="150"/>
      <c r="AC163" s="150"/>
      <c r="AD163" s="150"/>
      <c r="AE163" s="150"/>
      <c r="AF163" s="150"/>
      <c r="AG163" s="150"/>
      <c r="AH163" s="150"/>
      <c r="AI163" s="150"/>
      <c r="AJ163" s="151"/>
      <c r="AK163" s="143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144"/>
    </row>
    <row r="164" spans="2:61" ht="20.100000000000001" customHeight="1" x14ac:dyDescent="0.45">
      <c r="B164" s="138"/>
      <c r="C164" s="31"/>
      <c r="D164" s="31"/>
      <c r="E164" s="31"/>
      <c r="F164" s="31"/>
      <c r="G164" s="139"/>
      <c r="H164" s="140"/>
      <c r="I164" s="31"/>
      <c r="J164" s="149" t="s">
        <v>253</v>
      </c>
      <c r="K164" s="150"/>
      <c r="L164" s="150"/>
      <c r="M164" s="150"/>
      <c r="N164" s="150"/>
      <c r="O164" s="150"/>
      <c r="P164" s="150"/>
      <c r="Q164" s="151"/>
      <c r="R164" s="150" t="s">
        <v>276</v>
      </c>
      <c r="S164" s="150"/>
      <c r="T164" s="150"/>
      <c r="U164" s="150"/>
      <c r="V164" s="150"/>
      <c r="W164" s="150"/>
      <c r="X164" s="150"/>
      <c r="Y164" s="150"/>
      <c r="Z164" s="150"/>
      <c r="AA164" s="150"/>
      <c r="AB164" s="150"/>
      <c r="AC164" s="150"/>
      <c r="AD164" s="150"/>
      <c r="AE164" s="150"/>
      <c r="AF164" s="150"/>
      <c r="AG164" s="150"/>
      <c r="AH164" s="150"/>
      <c r="AI164" s="150"/>
      <c r="AJ164" s="151"/>
      <c r="AK164" s="143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144"/>
    </row>
    <row r="165" spans="2:61" ht="20.100000000000001" customHeight="1" x14ac:dyDescent="0.45">
      <c r="B165" s="138"/>
      <c r="C165" s="31"/>
      <c r="D165" s="31"/>
      <c r="E165" s="31"/>
      <c r="F165" s="31"/>
      <c r="G165" s="139"/>
      <c r="H165" s="145" t="s">
        <v>169</v>
      </c>
      <c r="I165" s="55"/>
      <c r="J165" s="145" t="s">
        <v>218</v>
      </c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146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  <c r="BD165" s="55"/>
      <c r="BE165" s="55"/>
      <c r="BF165" s="55"/>
      <c r="BG165" s="55"/>
      <c r="BH165" s="55"/>
      <c r="BI165" s="147"/>
    </row>
    <row r="166" spans="2:61" ht="20.100000000000001" customHeight="1" x14ac:dyDescent="0.45">
      <c r="B166" s="148"/>
      <c r="C166" s="31"/>
      <c r="D166" s="31"/>
      <c r="E166" s="31"/>
      <c r="F166" s="31"/>
      <c r="G166" s="139"/>
      <c r="H166" s="145" t="s">
        <v>171</v>
      </c>
      <c r="I166" s="55"/>
      <c r="J166" s="152" t="s">
        <v>219</v>
      </c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146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  <c r="BD166" s="55"/>
      <c r="BE166" s="55"/>
      <c r="BF166" s="55"/>
      <c r="BG166" s="55"/>
      <c r="BH166" s="55"/>
      <c r="BI166" s="147"/>
    </row>
    <row r="167" spans="2:61" ht="20.100000000000001" customHeight="1" x14ac:dyDescent="0.45">
      <c r="B167" s="148"/>
      <c r="C167" s="31"/>
      <c r="D167" s="31"/>
      <c r="E167" s="31"/>
      <c r="F167" s="31"/>
      <c r="G167" s="139"/>
      <c r="H167" s="140"/>
      <c r="I167" s="31"/>
      <c r="J167" s="140" t="s">
        <v>220</v>
      </c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140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144"/>
    </row>
    <row r="168" spans="2:61" ht="20.100000000000001" customHeight="1" x14ac:dyDescent="0.45">
      <c r="B168" s="148"/>
      <c r="C168" s="31"/>
      <c r="D168" s="31"/>
      <c r="E168" s="31"/>
      <c r="F168" s="31"/>
      <c r="G168" s="139"/>
      <c r="H168" s="140"/>
      <c r="I168" s="31"/>
      <c r="J168" s="140" t="s">
        <v>221</v>
      </c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140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144"/>
    </row>
    <row r="169" spans="2:61" ht="20.100000000000001" customHeight="1" x14ac:dyDescent="0.45">
      <c r="B169" s="148"/>
      <c r="C169" s="31"/>
      <c r="D169" s="31"/>
      <c r="E169" s="31"/>
      <c r="F169" s="31"/>
      <c r="G169" s="139"/>
      <c r="H169" s="140"/>
      <c r="I169" s="31"/>
      <c r="J169" s="140"/>
      <c r="K169" s="31" t="s">
        <v>222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140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144"/>
    </row>
    <row r="170" spans="2:61" ht="20.100000000000001" customHeight="1" x14ac:dyDescent="0.45">
      <c r="B170" s="148"/>
      <c r="C170" s="31"/>
      <c r="D170" s="31"/>
      <c r="E170" s="31"/>
      <c r="F170" s="31"/>
      <c r="G170" s="139"/>
      <c r="H170" s="145" t="s">
        <v>173</v>
      </c>
      <c r="I170" s="55"/>
      <c r="J170" s="145" t="s">
        <v>304</v>
      </c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146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147"/>
    </row>
    <row r="171" spans="2:61" ht="20.100000000000001" customHeight="1" x14ac:dyDescent="0.45">
      <c r="B171" s="148"/>
      <c r="C171" s="31"/>
      <c r="D171" s="31"/>
      <c r="E171" s="31"/>
      <c r="F171" s="31"/>
      <c r="G171" s="139"/>
      <c r="H171" s="140"/>
      <c r="I171" s="31"/>
      <c r="J171" s="140" t="s">
        <v>297</v>
      </c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143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144"/>
    </row>
    <row r="172" spans="2:61" ht="20.100000000000001" customHeight="1" x14ac:dyDescent="0.45">
      <c r="B172" s="148"/>
      <c r="C172" s="31"/>
      <c r="D172" s="31"/>
      <c r="E172" s="31"/>
      <c r="F172" s="31"/>
      <c r="G172" s="139"/>
      <c r="H172" s="140"/>
      <c r="I172" s="31"/>
      <c r="J172" s="140" t="s">
        <v>298</v>
      </c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143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144"/>
    </row>
    <row r="173" spans="2:61" ht="20.100000000000001" customHeight="1" x14ac:dyDescent="0.45">
      <c r="B173" s="148"/>
      <c r="C173" s="31"/>
      <c r="D173" s="31"/>
      <c r="E173" s="31"/>
      <c r="F173" s="31"/>
      <c r="G173" s="139"/>
      <c r="H173" s="140"/>
      <c r="I173" s="31"/>
      <c r="J173" s="140"/>
      <c r="K173" s="31" t="s">
        <v>302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143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144"/>
    </row>
    <row r="174" spans="2:61" ht="20.100000000000001" customHeight="1" x14ac:dyDescent="0.45">
      <c r="B174" s="148"/>
      <c r="C174" s="31"/>
      <c r="D174" s="31"/>
      <c r="E174" s="31"/>
      <c r="F174" s="31"/>
      <c r="G174" s="139"/>
      <c r="H174" s="140"/>
      <c r="I174" s="31"/>
      <c r="J174" s="140"/>
      <c r="K174" s="31" t="s">
        <v>300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143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144"/>
    </row>
    <row r="175" spans="2:61" ht="20.100000000000001" customHeight="1" x14ac:dyDescent="0.45">
      <c r="B175" s="148"/>
      <c r="C175" s="31"/>
      <c r="D175" s="31"/>
      <c r="E175" s="31"/>
      <c r="F175" s="31"/>
      <c r="G175" s="139"/>
      <c r="H175" s="140"/>
      <c r="I175" s="31"/>
      <c r="J175" s="140" t="s">
        <v>298</v>
      </c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143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144"/>
    </row>
    <row r="176" spans="2:61" ht="20.100000000000001" customHeight="1" x14ac:dyDescent="0.45">
      <c r="B176" s="148"/>
      <c r="C176" s="31"/>
      <c r="D176" s="31"/>
      <c r="E176" s="31"/>
      <c r="F176" s="31"/>
      <c r="G176" s="139"/>
      <c r="H176" s="140"/>
      <c r="I176" s="31"/>
      <c r="J176" s="140"/>
      <c r="K176" s="31" t="s">
        <v>303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143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144"/>
    </row>
    <row r="177" spans="2:61" ht="20.100000000000001" customHeight="1" x14ac:dyDescent="0.45">
      <c r="B177" s="148"/>
      <c r="C177" s="31"/>
      <c r="D177" s="31"/>
      <c r="E177" s="31"/>
      <c r="F177" s="31"/>
      <c r="G177" s="139"/>
      <c r="H177" s="140"/>
      <c r="I177" s="31"/>
      <c r="J177" s="140"/>
      <c r="K177" s="31" t="s">
        <v>301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143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144"/>
    </row>
    <row r="178" spans="2:61" ht="20.100000000000001" customHeight="1" x14ac:dyDescent="0.45">
      <c r="B178" s="148"/>
      <c r="C178" s="31"/>
      <c r="D178" s="31"/>
      <c r="E178" s="31"/>
      <c r="F178" s="31"/>
      <c r="G178" s="139"/>
      <c r="H178" s="140"/>
      <c r="I178" s="31"/>
      <c r="J178" s="140" t="s">
        <v>298</v>
      </c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143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144"/>
    </row>
    <row r="179" spans="2:61" ht="20.100000000000001" customHeight="1" x14ac:dyDescent="0.45">
      <c r="B179" s="148"/>
      <c r="C179" s="31"/>
      <c r="D179" s="31"/>
      <c r="E179" s="31"/>
      <c r="F179" s="31"/>
      <c r="G179" s="139"/>
      <c r="H179" s="140"/>
      <c r="I179" s="31"/>
      <c r="J179" s="140"/>
      <c r="K179" s="31" t="s">
        <v>319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143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144"/>
    </row>
    <row r="180" spans="2:61" ht="20.100000000000001" customHeight="1" thickBot="1" x14ac:dyDescent="0.5">
      <c r="B180" s="148"/>
      <c r="C180" s="31"/>
      <c r="D180" s="31"/>
      <c r="E180" s="31"/>
      <c r="F180" s="31"/>
      <c r="G180" s="139"/>
      <c r="H180" s="140"/>
      <c r="I180" s="31"/>
      <c r="J180" s="140"/>
      <c r="K180" s="31" t="s">
        <v>301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143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144"/>
    </row>
    <row r="181" spans="2:61" ht="20.100000000000001" customHeight="1" x14ac:dyDescent="0.45">
      <c r="B181" s="129" t="s">
        <v>302</v>
      </c>
      <c r="C181" s="130"/>
      <c r="D181" s="130"/>
      <c r="E181" s="130"/>
      <c r="F181" s="130"/>
      <c r="G181" s="131"/>
      <c r="H181" s="132" t="s">
        <v>159</v>
      </c>
      <c r="I181" s="130"/>
      <c r="J181" s="133" t="s">
        <v>237</v>
      </c>
      <c r="K181" s="134"/>
      <c r="L181" s="134"/>
      <c r="M181" s="134"/>
      <c r="N181" s="134"/>
      <c r="O181" s="134"/>
      <c r="P181" s="134"/>
      <c r="Q181" s="135"/>
      <c r="R181" s="134" t="s">
        <v>313</v>
      </c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  <c r="AC181" s="134"/>
      <c r="AD181" s="134"/>
      <c r="AE181" s="134"/>
      <c r="AF181" s="134"/>
      <c r="AG181" s="134"/>
      <c r="AH181" s="134"/>
      <c r="AI181" s="134"/>
      <c r="AJ181" s="135"/>
      <c r="AK181" s="136" t="s">
        <v>305</v>
      </c>
      <c r="AL181" s="130"/>
      <c r="AM181" s="130"/>
      <c r="AN181" s="130"/>
      <c r="AO181" s="130"/>
      <c r="AP181" s="130"/>
      <c r="AQ181" s="130"/>
      <c r="AR181" s="130"/>
      <c r="AS181" s="130"/>
      <c r="AT181" s="130"/>
      <c r="AU181" s="130"/>
      <c r="AV181" s="130"/>
      <c r="AW181" s="130"/>
      <c r="AX181" s="130"/>
      <c r="AY181" s="130"/>
      <c r="AZ181" s="130"/>
      <c r="BA181" s="130"/>
      <c r="BB181" s="130"/>
      <c r="BC181" s="130"/>
      <c r="BD181" s="130"/>
      <c r="BE181" s="130"/>
      <c r="BF181" s="130"/>
      <c r="BG181" s="130"/>
      <c r="BH181" s="130"/>
      <c r="BI181" s="137"/>
    </row>
    <row r="182" spans="2:61" ht="20.100000000000001" customHeight="1" x14ac:dyDescent="0.45">
      <c r="B182" s="138"/>
      <c r="C182" s="31"/>
      <c r="D182" s="31"/>
      <c r="E182" s="31"/>
      <c r="F182" s="31"/>
      <c r="G182" s="139"/>
      <c r="H182" s="145" t="s">
        <v>169</v>
      </c>
      <c r="I182" s="55"/>
      <c r="J182" s="145" t="s">
        <v>306</v>
      </c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146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147"/>
    </row>
    <row r="183" spans="2:61" ht="20.100000000000001" customHeight="1" x14ac:dyDescent="0.45">
      <c r="B183" s="148"/>
      <c r="C183" s="31"/>
      <c r="D183" s="31"/>
      <c r="E183" s="31"/>
      <c r="F183" s="31"/>
      <c r="G183" s="139"/>
      <c r="H183" s="145" t="s">
        <v>171</v>
      </c>
      <c r="I183" s="55"/>
      <c r="J183" s="152" t="s">
        <v>307</v>
      </c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146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147"/>
    </row>
    <row r="184" spans="2:61" ht="20.100000000000001" customHeight="1" x14ac:dyDescent="0.45">
      <c r="B184" s="148"/>
      <c r="C184" s="31"/>
      <c r="D184" s="31"/>
      <c r="E184" s="31"/>
      <c r="F184" s="31"/>
      <c r="G184" s="139"/>
      <c r="H184" s="145" t="s">
        <v>173</v>
      </c>
      <c r="I184" s="55"/>
      <c r="J184" s="145" t="s">
        <v>308</v>
      </c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146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/>
      <c r="BF184" s="55"/>
      <c r="BG184" s="55"/>
      <c r="BH184" s="55"/>
      <c r="BI184" s="147"/>
    </row>
    <row r="185" spans="2:61" ht="20.100000000000001" customHeight="1" x14ac:dyDescent="0.45">
      <c r="B185" s="148"/>
      <c r="C185" s="31"/>
      <c r="D185" s="31"/>
      <c r="E185" s="31"/>
      <c r="F185" s="31"/>
      <c r="G185" s="139"/>
      <c r="H185" s="140"/>
      <c r="I185" s="31"/>
      <c r="J185" s="140"/>
      <c r="K185" s="31" t="s">
        <v>309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143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144"/>
    </row>
    <row r="186" spans="2:61" ht="20.100000000000001" customHeight="1" x14ac:dyDescent="0.45">
      <c r="B186" s="148"/>
      <c r="C186" s="31"/>
      <c r="D186" s="31"/>
      <c r="E186" s="31"/>
      <c r="F186" s="31"/>
      <c r="G186" s="139"/>
      <c r="H186" s="140"/>
      <c r="I186" s="31"/>
      <c r="J186" s="140"/>
      <c r="K186" s="31" t="s">
        <v>310</v>
      </c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143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144"/>
    </row>
    <row r="187" spans="2:61" ht="20.100000000000001" customHeight="1" x14ac:dyDescent="0.45">
      <c r="B187" s="148"/>
      <c r="C187" s="31"/>
      <c r="D187" s="31"/>
      <c r="E187" s="31"/>
      <c r="F187" s="31"/>
      <c r="G187" s="139"/>
      <c r="H187" s="140"/>
      <c r="I187" s="31"/>
      <c r="J187" s="140"/>
      <c r="K187" s="31" t="s">
        <v>311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143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144"/>
    </row>
    <row r="188" spans="2:61" ht="20.100000000000001" customHeight="1" thickBot="1" x14ac:dyDescent="0.5">
      <c r="B188" s="148"/>
      <c r="C188" s="31"/>
      <c r="D188" s="31"/>
      <c r="E188" s="31"/>
      <c r="F188" s="31"/>
      <c r="G188" s="139"/>
      <c r="H188" s="145" t="s">
        <v>174</v>
      </c>
      <c r="I188" s="55"/>
      <c r="J188" s="145" t="s">
        <v>312</v>
      </c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146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147"/>
    </row>
    <row r="189" spans="2:61" ht="20.100000000000001" customHeight="1" x14ac:dyDescent="0.45">
      <c r="B189" s="129" t="s">
        <v>303</v>
      </c>
      <c r="C189" s="130"/>
      <c r="D189" s="130"/>
      <c r="E189" s="130"/>
      <c r="F189" s="130"/>
      <c r="G189" s="131"/>
      <c r="H189" s="132" t="s">
        <v>159</v>
      </c>
      <c r="I189" s="130"/>
      <c r="J189" s="133" t="s">
        <v>249</v>
      </c>
      <c r="K189" s="134"/>
      <c r="L189" s="134"/>
      <c r="M189" s="134"/>
      <c r="N189" s="134"/>
      <c r="O189" s="134"/>
      <c r="P189" s="134"/>
      <c r="Q189" s="135"/>
      <c r="R189" s="134" t="s">
        <v>316</v>
      </c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34"/>
      <c r="AD189" s="134"/>
      <c r="AE189" s="134"/>
      <c r="AF189" s="134"/>
      <c r="AG189" s="134"/>
      <c r="AH189" s="134"/>
      <c r="AI189" s="134"/>
      <c r="AJ189" s="135"/>
      <c r="AK189" s="136" t="s">
        <v>314</v>
      </c>
      <c r="AL189" s="130"/>
      <c r="AM189" s="130"/>
      <c r="AN189" s="130"/>
      <c r="AO189" s="130"/>
      <c r="AP189" s="130"/>
      <c r="AQ189" s="130"/>
      <c r="AR189" s="130"/>
      <c r="AS189" s="130"/>
      <c r="AT189" s="130"/>
      <c r="AU189" s="130"/>
      <c r="AV189" s="130"/>
      <c r="AW189" s="130"/>
      <c r="AX189" s="130"/>
      <c r="AY189" s="130"/>
      <c r="AZ189" s="130"/>
      <c r="BA189" s="130"/>
      <c r="BB189" s="130"/>
      <c r="BC189" s="130"/>
      <c r="BD189" s="130"/>
      <c r="BE189" s="130"/>
      <c r="BF189" s="130"/>
      <c r="BG189" s="130"/>
      <c r="BH189" s="130"/>
      <c r="BI189" s="137"/>
    </row>
    <row r="190" spans="2:61" ht="20.100000000000001" customHeight="1" x14ac:dyDescent="0.45">
      <c r="B190" s="138"/>
      <c r="C190" s="31"/>
      <c r="D190" s="31"/>
      <c r="E190" s="31"/>
      <c r="F190" s="31"/>
      <c r="G190" s="139"/>
      <c r="H190" s="145" t="s">
        <v>169</v>
      </c>
      <c r="I190" s="55"/>
      <c r="J190" s="145" t="s">
        <v>306</v>
      </c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146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147"/>
    </row>
    <row r="191" spans="2:61" ht="20.100000000000001" customHeight="1" x14ac:dyDescent="0.45">
      <c r="B191" s="148"/>
      <c r="C191" s="31"/>
      <c r="D191" s="31"/>
      <c r="E191" s="31"/>
      <c r="F191" s="31"/>
      <c r="G191" s="139"/>
      <c r="H191" s="145" t="s">
        <v>173</v>
      </c>
      <c r="I191" s="55"/>
      <c r="J191" s="145" t="s">
        <v>327</v>
      </c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146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147"/>
    </row>
    <row r="192" spans="2:61" ht="20.100000000000001" customHeight="1" x14ac:dyDescent="0.45">
      <c r="B192" s="148"/>
      <c r="C192" s="31"/>
      <c r="D192" s="31"/>
      <c r="E192" s="31"/>
      <c r="F192" s="31"/>
      <c r="G192" s="139"/>
      <c r="H192" s="140"/>
      <c r="I192" s="31"/>
      <c r="J192" s="140"/>
      <c r="K192" s="31" t="s">
        <v>309</v>
      </c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143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144"/>
    </row>
    <row r="193" spans="2:61" ht="20.100000000000001" customHeight="1" x14ac:dyDescent="0.45">
      <c r="B193" s="148"/>
      <c r="C193" s="31"/>
      <c r="D193" s="31"/>
      <c r="E193" s="31"/>
      <c r="F193" s="31"/>
      <c r="G193" s="139"/>
      <c r="H193" s="140"/>
      <c r="I193" s="31"/>
      <c r="J193" s="140"/>
      <c r="K193" s="31" t="s">
        <v>311</v>
      </c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143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144"/>
    </row>
    <row r="194" spans="2:61" ht="20.100000000000001" customHeight="1" thickBot="1" x14ac:dyDescent="0.5">
      <c r="B194" s="148"/>
      <c r="C194" s="31"/>
      <c r="D194" s="31"/>
      <c r="E194" s="31"/>
      <c r="F194" s="31"/>
      <c r="G194" s="139"/>
      <c r="H194" s="145" t="s">
        <v>174</v>
      </c>
      <c r="I194" s="55"/>
      <c r="J194" s="145" t="s">
        <v>315</v>
      </c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146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147"/>
    </row>
    <row r="195" spans="2:61" ht="20.100000000000001" customHeight="1" x14ac:dyDescent="0.45">
      <c r="B195" s="129" t="s">
        <v>319</v>
      </c>
      <c r="C195" s="130"/>
      <c r="D195" s="130"/>
      <c r="E195" s="130"/>
      <c r="F195" s="130"/>
      <c r="G195" s="131"/>
      <c r="H195" s="132" t="s">
        <v>159</v>
      </c>
      <c r="I195" s="130"/>
      <c r="J195" s="133" t="s">
        <v>250</v>
      </c>
      <c r="K195" s="134"/>
      <c r="L195" s="134"/>
      <c r="M195" s="134"/>
      <c r="N195" s="134"/>
      <c r="O195" s="134"/>
      <c r="P195" s="134"/>
      <c r="Q195" s="135"/>
      <c r="R195" s="134" t="s">
        <v>318</v>
      </c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5"/>
      <c r="AK195" s="136" t="s">
        <v>317</v>
      </c>
      <c r="AL195" s="130"/>
      <c r="AM195" s="130"/>
      <c r="AN195" s="130"/>
      <c r="AO195" s="130"/>
      <c r="AP195" s="130"/>
      <c r="AQ195" s="130"/>
      <c r="AR195" s="130"/>
      <c r="AS195" s="130"/>
      <c r="AT195" s="130"/>
      <c r="AU195" s="130"/>
      <c r="AV195" s="130"/>
      <c r="AW195" s="130"/>
      <c r="AX195" s="130"/>
      <c r="AY195" s="130"/>
      <c r="AZ195" s="130"/>
      <c r="BA195" s="130"/>
      <c r="BB195" s="130"/>
      <c r="BC195" s="130"/>
      <c r="BD195" s="130"/>
      <c r="BE195" s="130"/>
      <c r="BF195" s="130"/>
      <c r="BG195" s="130"/>
      <c r="BH195" s="130"/>
      <c r="BI195" s="137"/>
    </row>
    <row r="196" spans="2:61" ht="20.100000000000001" customHeight="1" x14ac:dyDescent="0.45">
      <c r="B196" s="138"/>
      <c r="C196" s="31"/>
      <c r="D196" s="31"/>
      <c r="E196" s="31"/>
      <c r="F196" s="31"/>
      <c r="G196" s="139"/>
      <c r="H196" s="145" t="s">
        <v>169</v>
      </c>
      <c r="I196" s="55"/>
      <c r="J196" s="145" t="s">
        <v>306</v>
      </c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146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55"/>
      <c r="BE196" s="55"/>
      <c r="BF196" s="55"/>
      <c r="BG196" s="55"/>
      <c r="BH196" s="55"/>
      <c r="BI196" s="147"/>
    </row>
    <row r="197" spans="2:61" ht="20.100000000000001" customHeight="1" x14ac:dyDescent="0.45">
      <c r="B197" s="148"/>
      <c r="C197" s="31"/>
      <c r="D197" s="31"/>
      <c r="E197" s="31"/>
      <c r="F197" s="31"/>
      <c r="G197" s="139"/>
      <c r="H197" s="145" t="s">
        <v>173</v>
      </c>
      <c r="I197" s="55"/>
      <c r="J197" s="145" t="s">
        <v>308</v>
      </c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146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147"/>
    </row>
    <row r="198" spans="2:61" ht="20.100000000000001" customHeight="1" x14ac:dyDescent="0.45">
      <c r="B198" s="148"/>
      <c r="C198" s="31"/>
      <c r="D198" s="31"/>
      <c r="E198" s="31"/>
      <c r="F198" s="31"/>
      <c r="G198" s="139"/>
      <c r="H198" s="140"/>
      <c r="I198" s="31"/>
      <c r="J198" s="140"/>
      <c r="K198" s="31" t="s">
        <v>309</v>
      </c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143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144"/>
    </row>
    <row r="199" spans="2:61" ht="20.100000000000001" customHeight="1" x14ac:dyDescent="0.45">
      <c r="B199" s="148"/>
      <c r="C199" s="31"/>
      <c r="D199" s="31"/>
      <c r="E199" s="31"/>
      <c r="F199" s="31"/>
      <c r="G199" s="139"/>
      <c r="H199" s="140"/>
      <c r="I199" s="31"/>
      <c r="J199" s="140"/>
      <c r="K199" s="31" t="s">
        <v>311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143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144"/>
    </row>
    <row r="200" spans="2:61" ht="20.100000000000001" customHeight="1" thickBot="1" x14ac:dyDescent="0.5">
      <c r="B200" s="148"/>
      <c r="C200" s="31"/>
      <c r="D200" s="31"/>
      <c r="E200" s="31"/>
      <c r="F200" s="31"/>
      <c r="G200" s="139"/>
      <c r="H200" s="145" t="s">
        <v>174</v>
      </c>
      <c r="I200" s="55"/>
      <c r="J200" s="145" t="s">
        <v>315</v>
      </c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146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147"/>
    </row>
    <row r="201" spans="2:61" ht="20.100000000000001" customHeight="1" x14ac:dyDescent="0.45">
      <c r="B201" s="129" t="s">
        <v>323</v>
      </c>
      <c r="C201" s="130"/>
      <c r="D201" s="130"/>
      <c r="E201" s="130"/>
      <c r="F201" s="130"/>
      <c r="G201" s="131"/>
      <c r="H201" s="132" t="s">
        <v>159</v>
      </c>
      <c r="I201" s="130"/>
      <c r="J201" s="133" t="s">
        <v>160</v>
      </c>
      <c r="K201" s="134"/>
      <c r="L201" s="134"/>
      <c r="M201" s="134"/>
      <c r="N201" s="134"/>
      <c r="O201" s="134"/>
      <c r="P201" s="134"/>
      <c r="Q201" s="135"/>
      <c r="R201" s="134" t="s">
        <v>161</v>
      </c>
      <c r="S201" s="134"/>
      <c r="T201" s="134"/>
      <c r="U201" s="134"/>
      <c r="V201" s="134"/>
      <c r="W201" s="134"/>
      <c r="X201" s="134"/>
      <c r="Y201" s="134"/>
      <c r="Z201" s="134"/>
      <c r="AA201" s="134"/>
      <c r="AB201" s="134"/>
      <c r="AC201" s="134"/>
      <c r="AD201" s="134"/>
      <c r="AE201" s="134"/>
      <c r="AF201" s="134"/>
      <c r="AG201" s="134"/>
      <c r="AH201" s="134"/>
      <c r="AI201" s="134"/>
      <c r="AJ201" s="135"/>
      <c r="AK201" s="136"/>
      <c r="AL201" s="130"/>
      <c r="AM201" s="130"/>
      <c r="AN201" s="130"/>
      <c r="AO201" s="130"/>
      <c r="AP201" s="130"/>
      <c r="AQ201" s="130"/>
      <c r="AR201" s="130"/>
      <c r="AS201" s="130"/>
      <c r="AT201" s="130"/>
      <c r="AU201" s="130"/>
      <c r="AV201" s="130"/>
      <c r="AW201" s="130"/>
      <c r="AX201" s="130"/>
      <c r="AY201" s="130"/>
      <c r="AZ201" s="130"/>
      <c r="BA201" s="130"/>
      <c r="BB201" s="130"/>
      <c r="BC201" s="130"/>
      <c r="BD201" s="130"/>
      <c r="BE201" s="130"/>
      <c r="BF201" s="130"/>
      <c r="BG201" s="130"/>
      <c r="BH201" s="130"/>
      <c r="BI201" s="137"/>
    </row>
    <row r="202" spans="2:61" ht="20.100000000000001" customHeight="1" x14ac:dyDescent="0.45">
      <c r="B202" s="138"/>
      <c r="C202" s="31"/>
      <c r="D202" s="31"/>
      <c r="E202" s="31"/>
      <c r="F202" s="31"/>
      <c r="G202" s="139"/>
      <c r="H202" s="140"/>
      <c r="I202" s="31"/>
      <c r="J202" s="149" t="s">
        <v>227</v>
      </c>
      <c r="K202" s="150"/>
      <c r="L202" s="150"/>
      <c r="M202" s="150"/>
      <c r="N202" s="150"/>
      <c r="O202" s="150"/>
      <c r="P202" s="150"/>
      <c r="Q202" s="151"/>
      <c r="R202" s="150" t="s">
        <v>254</v>
      </c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0"/>
      <c r="AG202" s="150"/>
      <c r="AH202" s="150"/>
      <c r="AI202" s="150"/>
      <c r="AJ202" s="151"/>
      <c r="AK202" s="143" t="s">
        <v>284</v>
      </c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144"/>
    </row>
    <row r="203" spans="2:61" ht="20.100000000000001" customHeight="1" x14ac:dyDescent="0.45">
      <c r="B203" s="138"/>
      <c r="C203" s="31"/>
      <c r="D203" s="31"/>
      <c r="E203" s="31"/>
      <c r="F203" s="31"/>
      <c r="G203" s="139"/>
      <c r="H203" s="140"/>
      <c r="I203" s="31"/>
      <c r="J203" s="149" t="s">
        <v>228</v>
      </c>
      <c r="K203" s="150"/>
      <c r="L203" s="150"/>
      <c r="M203" s="150"/>
      <c r="N203" s="150"/>
      <c r="O203" s="150"/>
      <c r="P203" s="150"/>
      <c r="Q203" s="151"/>
      <c r="R203" s="150" t="s">
        <v>255</v>
      </c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0"/>
      <c r="AG203" s="150"/>
      <c r="AH203" s="150"/>
      <c r="AI203" s="150"/>
      <c r="AJ203" s="151"/>
      <c r="AK203" s="143" t="s">
        <v>320</v>
      </c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144"/>
    </row>
    <row r="204" spans="2:61" ht="20.100000000000001" customHeight="1" x14ac:dyDescent="0.45">
      <c r="B204" s="138"/>
      <c r="C204" s="31"/>
      <c r="D204" s="31"/>
      <c r="E204" s="31"/>
      <c r="F204" s="31"/>
      <c r="G204" s="139"/>
      <c r="H204" s="140"/>
      <c r="I204" s="31"/>
      <c r="J204" s="149" t="s">
        <v>229</v>
      </c>
      <c r="K204" s="150"/>
      <c r="L204" s="150"/>
      <c r="M204" s="150"/>
      <c r="N204" s="150"/>
      <c r="O204" s="150"/>
      <c r="P204" s="150"/>
      <c r="Q204" s="151"/>
      <c r="R204" s="150" t="s">
        <v>257</v>
      </c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0"/>
      <c r="AG204" s="150"/>
      <c r="AH204" s="150"/>
      <c r="AI204" s="150"/>
      <c r="AJ204" s="151"/>
      <c r="AK204" s="143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144"/>
    </row>
    <row r="205" spans="2:61" ht="20.100000000000001" customHeight="1" x14ac:dyDescent="0.45">
      <c r="B205" s="138"/>
      <c r="C205" s="31"/>
      <c r="D205" s="31"/>
      <c r="E205" s="31"/>
      <c r="F205" s="31"/>
      <c r="G205" s="139"/>
      <c r="H205" s="140"/>
      <c r="I205" s="31"/>
      <c r="J205" s="149" t="s">
        <v>287</v>
      </c>
      <c r="K205" s="150"/>
      <c r="L205" s="150"/>
      <c r="M205" s="150"/>
      <c r="N205" s="150"/>
      <c r="O205" s="150"/>
      <c r="P205" s="150"/>
      <c r="Q205" s="151"/>
      <c r="R205" s="150" t="s">
        <v>292</v>
      </c>
      <c r="S205" s="150"/>
      <c r="T205" s="150"/>
      <c r="U205" s="150"/>
      <c r="V205" s="150"/>
      <c r="W205" s="150"/>
      <c r="X205" s="150"/>
      <c r="Y205" s="150"/>
      <c r="Z205" s="150"/>
      <c r="AA205" s="150"/>
      <c r="AB205" s="150"/>
      <c r="AC205" s="150"/>
      <c r="AD205" s="150"/>
      <c r="AE205" s="150"/>
      <c r="AF205" s="150"/>
      <c r="AG205" s="150"/>
      <c r="AH205" s="150"/>
      <c r="AI205" s="150"/>
      <c r="AJ205" s="151"/>
      <c r="AK205" s="143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144"/>
    </row>
    <row r="206" spans="2:61" ht="20.100000000000001" customHeight="1" x14ac:dyDescent="0.45">
      <c r="B206" s="138"/>
      <c r="C206" s="31"/>
      <c r="D206" s="31"/>
      <c r="E206" s="31"/>
      <c r="F206" s="31"/>
      <c r="G206" s="139"/>
      <c r="H206" s="140"/>
      <c r="I206" s="31"/>
      <c r="J206" s="149" t="s">
        <v>288</v>
      </c>
      <c r="K206" s="150"/>
      <c r="L206" s="150"/>
      <c r="M206" s="150"/>
      <c r="N206" s="150"/>
      <c r="O206" s="150"/>
      <c r="P206" s="150"/>
      <c r="Q206" s="151"/>
      <c r="R206" s="150" t="s">
        <v>293</v>
      </c>
      <c r="S206" s="150"/>
      <c r="T206" s="150"/>
      <c r="U206" s="150"/>
      <c r="V206" s="150"/>
      <c r="W206" s="150"/>
      <c r="X206" s="150"/>
      <c r="Y206" s="150"/>
      <c r="Z206" s="150"/>
      <c r="AA206" s="150"/>
      <c r="AB206" s="150"/>
      <c r="AC206" s="150"/>
      <c r="AD206" s="150"/>
      <c r="AE206" s="150"/>
      <c r="AF206" s="150"/>
      <c r="AG206" s="150"/>
      <c r="AH206" s="150"/>
      <c r="AI206" s="150"/>
      <c r="AJ206" s="151"/>
      <c r="AK206" s="143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144"/>
    </row>
    <row r="207" spans="2:61" ht="20.100000000000001" customHeight="1" x14ac:dyDescent="0.45">
      <c r="B207" s="138"/>
      <c r="C207" s="31"/>
      <c r="D207" s="31"/>
      <c r="E207" s="31"/>
      <c r="F207" s="31"/>
      <c r="G207" s="139"/>
      <c r="H207" s="140"/>
      <c r="I207" s="31"/>
      <c r="J207" s="149" t="s">
        <v>289</v>
      </c>
      <c r="K207" s="150"/>
      <c r="L207" s="150"/>
      <c r="M207" s="150"/>
      <c r="N207" s="150"/>
      <c r="O207" s="150"/>
      <c r="P207" s="150"/>
      <c r="Q207" s="151"/>
      <c r="R207" s="150" t="s">
        <v>294</v>
      </c>
      <c r="S207" s="150"/>
      <c r="T207" s="150"/>
      <c r="U207" s="150"/>
      <c r="V207" s="150"/>
      <c r="W207" s="150"/>
      <c r="X207" s="150"/>
      <c r="Y207" s="150"/>
      <c r="Z207" s="150"/>
      <c r="AA207" s="150"/>
      <c r="AB207" s="150"/>
      <c r="AC207" s="150"/>
      <c r="AD207" s="150"/>
      <c r="AE207" s="150"/>
      <c r="AF207" s="150"/>
      <c r="AG207" s="150"/>
      <c r="AH207" s="150"/>
      <c r="AI207" s="150"/>
      <c r="AJ207" s="151"/>
      <c r="AK207" s="143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144"/>
    </row>
    <row r="208" spans="2:61" ht="20.100000000000001" customHeight="1" x14ac:dyDescent="0.45">
      <c r="B208" s="138"/>
      <c r="C208" s="31"/>
      <c r="D208" s="31"/>
      <c r="E208" s="31"/>
      <c r="F208" s="31"/>
      <c r="G208" s="139"/>
      <c r="H208" s="140"/>
      <c r="I208" s="31"/>
      <c r="J208" s="149" t="s">
        <v>290</v>
      </c>
      <c r="K208" s="150"/>
      <c r="L208" s="150"/>
      <c r="M208" s="150"/>
      <c r="N208" s="150"/>
      <c r="O208" s="150"/>
      <c r="P208" s="150"/>
      <c r="Q208" s="151"/>
      <c r="R208" s="150" t="s">
        <v>295</v>
      </c>
      <c r="S208" s="150"/>
      <c r="T208" s="150"/>
      <c r="U208" s="150"/>
      <c r="V208" s="150"/>
      <c r="W208" s="150"/>
      <c r="X208" s="150"/>
      <c r="Y208" s="150"/>
      <c r="Z208" s="150"/>
      <c r="AA208" s="150"/>
      <c r="AB208" s="150"/>
      <c r="AC208" s="150"/>
      <c r="AD208" s="150"/>
      <c r="AE208" s="150"/>
      <c r="AF208" s="150"/>
      <c r="AG208" s="150"/>
      <c r="AH208" s="150"/>
      <c r="AI208" s="150"/>
      <c r="AJ208" s="151"/>
      <c r="AK208" s="143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144"/>
    </row>
    <row r="209" spans="2:61" ht="20.100000000000001" customHeight="1" x14ac:dyDescent="0.45">
      <c r="B209" s="138"/>
      <c r="C209" s="31"/>
      <c r="D209" s="31"/>
      <c r="E209" s="31"/>
      <c r="F209" s="31"/>
      <c r="G209" s="139"/>
      <c r="H209" s="140"/>
      <c r="I209" s="31"/>
      <c r="J209" s="149" t="s">
        <v>291</v>
      </c>
      <c r="K209" s="150"/>
      <c r="L209" s="150"/>
      <c r="M209" s="150"/>
      <c r="N209" s="150"/>
      <c r="O209" s="150"/>
      <c r="P209" s="150"/>
      <c r="Q209" s="151"/>
      <c r="R209" s="150" t="s">
        <v>296</v>
      </c>
      <c r="S209" s="150"/>
      <c r="T209" s="150"/>
      <c r="U209" s="150"/>
      <c r="V209" s="150"/>
      <c r="W209" s="150"/>
      <c r="X209" s="150"/>
      <c r="Y209" s="150"/>
      <c r="Z209" s="150"/>
      <c r="AA209" s="150"/>
      <c r="AB209" s="150"/>
      <c r="AC209" s="150"/>
      <c r="AD209" s="150"/>
      <c r="AE209" s="150"/>
      <c r="AF209" s="150"/>
      <c r="AG209" s="150"/>
      <c r="AH209" s="150"/>
      <c r="AI209" s="150"/>
      <c r="AJ209" s="151"/>
      <c r="AK209" s="143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144"/>
    </row>
    <row r="210" spans="2:61" ht="20.100000000000001" customHeight="1" x14ac:dyDescent="0.45">
      <c r="B210" s="138"/>
      <c r="C210" s="31"/>
      <c r="D210" s="31"/>
      <c r="E210" s="31"/>
      <c r="F210" s="31"/>
      <c r="G210" s="139"/>
      <c r="H210" s="140"/>
      <c r="I210" s="31"/>
      <c r="J210" s="149" t="s">
        <v>230</v>
      </c>
      <c r="K210" s="150"/>
      <c r="L210" s="150"/>
      <c r="M210" s="150"/>
      <c r="N210" s="150"/>
      <c r="O210" s="150"/>
      <c r="P210" s="150"/>
      <c r="Q210" s="151"/>
      <c r="R210" s="150" t="s">
        <v>258</v>
      </c>
      <c r="S210" s="150"/>
      <c r="T210" s="150"/>
      <c r="U210" s="150"/>
      <c r="V210" s="150"/>
      <c r="W210" s="150"/>
      <c r="X210" s="150"/>
      <c r="Y210" s="150"/>
      <c r="Z210" s="150"/>
      <c r="AA210" s="150"/>
      <c r="AB210" s="150"/>
      <c r="AC210" s="150"/>
      <c r="AD210" s="150"/>
      <c r="AE210" s="150"/>
      <c r="AF210" s="150"/>
      <c r="AG210" s="150"/>
      <c r="AH210" s="150"/>
      <c r="AI210" s="150"/>
      <c r="AJ210" s="151"/>
      <c r="AK210" s="143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144"/>
    </row>
    <row r="211" spans="2:61" ht="20.100000000000001" customHeight="1" x14ac:dyDescent="0.45">
      <c r="B211" s="138"/>
      <c r="C211" s="31"/>
      <c r="D211" s="31"/>
      <c r="E211" s="31"/>
      <c r="F211" s="31"/>
      <c r="G211" s="139"/>
      <c r="H211" s="140"/>
      <c r="I211" s="31"/>
      <c r="J211" s="149" t="s">
        <v>231</v>
      </c>
      <c r="K211" s="150"/>
      <c r="L211" s="150"/>
      <c r="M211" s="150"/>
      <c r="N211" s="150"/>
      <c r="O211" s="150"/>
      <c r="P211" s="150"/>
      <c r="Q211" s="151"/>
      <c r="R211" s="150" t="s">
        <v>259</v>
      </c>
      <c r="S211" s="150"/>
      <c r="T211" s="150"/>
      <c r="U211" s="150"/>
      <c r="V211" s="150"/>
      <c r="W211" s="150"/>
      <c r="X211" s="150"/>
      <c r="Y211" s="150"/>
      <c r="Z211" s="150"/>
      <c r="AA211" s="150"/>
      <c r="AB211" s="150"/>
      <c r="AC211" s="150"/>
      <c r="AD211" s="150"/>
      <c r="AE211" s="150"/>
      <c r="AF211" s="150"/>
      <c r="AG211" s="150"/>
      <c r="AH211" s="150"/>
      <c r="AI211" s="150"/>
      <c r="AJ211" s="151"/>
      <c r="AK211" s="143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144"/>
    </row>
    <row r="212" spans="2:61" ht="20.100000000000001" customHeight="1" x14ac:dyDescent="0.45">
      <c r="B212" s="138"/>
      <c r="C212" s="31"/>
      <c r="D212" s="31"/>
      <c r="E212" s="31"/>
      <c r="F212" s="31"/>
      <c r="G212" s="139"/>
      <c r="H212" s="140"/>
      <c r="I212" s="31"/>
      <c r="J212" s="149" t="s">
        <v>232</v>
      </c>
      <c r="K212" s="150"/>
      <c r="L212" s="150"/>
      <c r="M212" s="150"/>
      <c r="N212" s="150"/>
      <c r="O212" s="150"/>
      <c r="P212" s="150"/>
      <c r="Q212" s="151"/>
      <c r="R212" s="150" t="s">
        <v>260</v>
      </c>
      <c r="S212" s="150"/>
      <c r="T212" s="150"/>
      <c r="U212" s="150"/>
      <c r="V212" s="150"/>
      <c r="W212" s="150"/>
      <c r="X212" s="150"/>
      <c r="Y212" s="150"/>
      <c r="Z212" s="150"/>
      <c r="AA212" s="150"/>
      <c r="AB212" s="150"/>
      <c r="AC212" s="150"/>
      <c r="AD212" s="150"/>
      <c r="AE212" s="150"/>
      <c r="AF212" s="150"/>
      <c r="AG212" s="150"/>
      <c r="AH212" s="150"/>
      <c r="AI212" s="150"/>
      <c r="AJ212" s="151"/>
      <c r="AK212" s="143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144"/>
    </row>
    <row r="213" spans="2:61" ht="20.100000000000001" customHeight="1" x14ac:dyDescent="0.45">
      <c r="B213" s="138"/>
      <c r="C213" s="31"/>
      <c r="D213" s="31"/>
      <c r="E213" s="31"/>
      <c r="F213" s="31"/>
      <c r="G213" s="139"/>
      <c r="H213" s="140"/>
      <c r="I213" s="31"/>
      <c r="J213" s="149" t="s">
        <v>233</v>
      </c>
      <c r="K213" s="150"/>
      <c r="L213" s="150"/>
      <c r="M213" s="150"/>
      <c r="N213" s="150"/>
      <c r="O213" s="150"/>
      <c r="P213" s="150"/>
      <c r="Q213" s="151"/>
      <c r="R213" s="150" t="s">
        <v>261</v>
      </c>
      <c r="S213" s="150"/>
      <c r="T213" s="150"/>
      <c r="U213" s="150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  <c r="AI213" s="150"/>
      <c r="AJ213" s="151"/>
      <c r="AK213" s="143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144"/>
    </row>
    <row r="214" spans="2:61" ht="20.100000000000001" customHeight="1" x14ac:dyDescent="0.45">
      <c r="B214" s="138"/>
      <c r="C214" s="31"/>
      <c r="D214" s="31"/>
      <c r="E214" s="31"/>
      <c r="F214" s="31"/>
      <c r="G214" s="139"/>
      <c r="H214" s="140"/>
      <c r="I214" s="31"/>
      <c r="J214" s="149" t="s">
        <v>234</v>
      </c>
      <c r="K214" s="150"/>
      <c r="L214" s="150"/>
      <c r="M214" s="150"/>
      <c r="N214" s="150"/>
      <c r="O214" s="150"/>
      <c r="P214" s="150"/>
      <c r="Q214" s="151"/>
      <c r="R214" s="150" t="s">
        <v>262</v>
      </c>
      <c r="S214" s="150"/>
      <c r="T214" s="150"/>
      <c r="U214" s="150"/>
      <c r="V214" s="150"/>
      <c r="W214" s="150"/>
      <c r="X214" s="150"/>
      <c r="Y214" s="150"/>
      <c r="Z214" s="150"/>
      <c r="AA214" s="150"/>
      <c r="AB214" s="150"/>
      <c r="AC214" s="150"/>
      <c r="AD214" s="150"/>
      <c r="AE214" s="150"/>
      <c r="AF214" s="150"/>
      <c r="AG214" s="150"/>
      <c r="AH214" s="150"/>
      <c r="AI214" s="150"/>
      <c r="AJ214" s="151"/>
      <c r="AK214" s="143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144"/>
    </row>
    <row r="215" spans="2:61" ht="20.100000000000001" customHeight="1" x14ac:dyDescent="0.45">
      <c r="B215" s="138"/>
      <c r="C215" s="31"/>
      <c r="D215" s="31"/>
      <c r="E215" s="31"/>
      <c r="F215" s="31"/>
      <c r="G215" s="139"/>
      <c r="H215" s="140"/>
      <c r="I215" s="31"/>
      <c r="J215" s="149" t="s">
        <v>235</v>
      </c>
      <c r="K215" s="150"/>
      <c r="L215" s="150"/>
      <c r="M215" s="150"/>
      <c r="N215" s="150"/>
      <c r="O215" s="150"/>
      <c r="P215" s="150"/>
      <c r="Q215" s="151"/>
      <c r="R215" s="150" t="s">
        <v>263</v>
      </c>
      <c r="S215" s="150"/>
      <c r="T215" s="150"/>
      <c r="U215" s="150"/>
      <c r="V215" s="150"/>
      <c r="W215" s="150"/>
      <c r="X215" s="150"/>
      <c r="Y215" s="150"/>
      <c r="Z215" s="150"/>
      <c r="AA215" s="150"/>
      <c r="AB215" s="150"/>
      <c r="AC215" s="150"/>
      <c r="AD215" s="150"/>
      <c r="AE215" s="150"/>
      <c r="AF215" s="150"/>
      <c r="AG215" s="150"/>
      <c r="AH215" s="150"/>
      <c r="AI215" s="150"/>
      <c r="AJ215" s="151"/>
      <c r="AK215" s="143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144"/>
    </row>
    <row r="216" spans="2:61" ht="20.100000000000001" customHeight="1" x14ac:dyDescent="0.45">
      <c r="B216" s="138"/>
      <c r="C216" s="31"/>
      <c r="D216" s="31"/>
      <c r="E216" s="31"/>
      <c r="F216" s="31"/>
      <c r="G216" s="139"/>
      <c r="H216" s="140"/>
      <c r="I216" s="31"/>
      <c r="J216" s="149" t="s">
        <v>236</v>
      </c>
      <c r="K216" s="150"/>
      <c r="L216" s="150"/>
      <c r="M216" s="150"/>
      <c r="N216" s="150"/>
      <c r="O216" s="150"/>
      <c r="P216" s="150"/>
      <c r="Q216" s="151"/>
      <c r="R216" s="150" t="s">
        <v>264</v>
      </c>
      <c r="S216" s="150"/>
      <c r="T216" s="150"/>
      <c r="U216" s="150"/>
      <c r="V216" s="150"/>
      <c r="W216" s="150"/>
      <c r="X216" s="150"/>
      <c r="Y216" s="150"/>
      <c r="Z216" s="150"/>
      <c r="AA216" s="150"/>
      <c r="AB216" s="150"/>
      <c r="AC216" s="150"/>
      <c r="AD216" s="150"/>
      <c r="AE216" s="150"/>
      <c r="AF216" s="150"/>
      <c r="AG216" s="150"/>
      <c r="AH216" s="150"/>
      <c r="AI216" s="150"/>
      <c r="AJ216" s="151"/>
      <c r="AK216" s="143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144"/>
    </row>
    <row r="217" spans="2:61" ht="20.100000000000001" customHeight="1" x14ac:dyDescent="0.45">
      <c r="B217" s="138"/>
      <c r="C217" s="31"/>
      <c r="D217" s="31"/>
      <c r="E217" s="31"/>
      <c r="F217" s="31"/>
      <c r="G217" s="139"/>
      <c r="H217" s="140"/>
      <c r="I217" s="31"/>
      <c r="J217" s="149" t="s">
        <v>237</v>
      </c>
      <c r="K217" s="150"/>
      <c r="L217" s="150"/>
      <c r="M217" s="150"/>
      <c r="N217" s="150"/>
      <c r="O217" s="150"/>
      <c r="P217" s="150"/>
      <c r="Q217" s="151"/>
      <c r="R217" s="150" t="s">
        <v>256</v>
      </c>
      <c r="S217" s="150"/>
      <c r="T217" s="150"/>
      <c r="U217" s="150"/>
      <c r="V217" s="150"/>
      <c r="W217" s="150"/>
      <c r="X217" s="150"/>
      <c r="Y217" s="150"/>
      <c r="Z217" s="150"/>
      <c r="AA217" s="150"/>
      <c r="AB217" s="150"/>
      <c r="AC217" s="150"/>
      <c r="AD217" s="150"/>
      <c r="AE217" s="150"/>
      <c r="AF217" s="150"/>
      <c r="AG217" s="150"/>
      <c r="AH217" s="150"/>
      <c r="AI217" s="150"/>
      <c r="AJ217" s="151"/>
      <c r="AK217" s="143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144"/>
    </row>
    <row r="218" spans="2:61" ht="20.100000000000001" customHeight="1" x14ac:dyDescent="0.45">
      <c r="B218" s="138"/>
      <c r="C218" s="31"/>
      <c r="D218" s="31"/>
      <c r="E218" s="31"/>
      <c r="F218" s="31"/>
      <c r="G218" s="139"/>
      <c r="H218" s="140"/>
      <c r="I218" s="31"/>
      <c r="J218" s="149" t="s">
        <v>238</v>
      </c>
      <c r="K218" s="150"/>
      <c r="L218" s="150"/>
      <c r="M218" s="150"/>
      <c r="N218" s="150"/>
      <c r="O218" s="150"/>
      <c r="P218" s="150"/>
      <c r="Q218" s="151"/>
      <c r="R218" s="150" t="s">
        <v>265</v>
      </c>
      <c r="S218" s="150"/>
      <c r="T218" s="150"/>
      <c r="U218" s="150"/>
      <c r="V218" s="150"/>
      <c r="W218" s="150"/>
      <c r="X218" s="150"/>
      <c r="Y218" s="150"/>
      <c r="Z218" s="150"/>
      <c r="AA218" s="150"/>
      <c r="AB218" s="150"/>
      <c r="AC218" s="150"/>
      <c r="AD218" s="150"/>
      <c r="AE218" s="150"/>
      <c r="AF218" s="150"/>
      <c r="AG218" s="150"/>
      <c r="AH218" s="150"/>
      <c r="AI218" s="150"/>
      <c r="AJ218" s="151"/>
      <c r="AK218" s="143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144"/>
    </row>
    <row r="219" spans="2:61" ht="20.100000000000001" customHeight="1" x14ac:dyDescent="0.45">
      <c r="B219" s="138"/>
      <c r="C219" s="31"/>
      <c r="D219" s="31"/>
      <c r="E219" s="31"/>
      <c r="F219" s="31"/>
      <c r="G219" s="139"/>
      <c r="H219" s="140"/>
      <c r="I219" s="31"/>
      <c r="J219" s="149" t="s">
        <v>239</v>
      </c>
      <c r="K219" s="150"/>
      <c r="L219" s="150"/>
      <c r="M219" s="150"/>
      <c r="N219" s="150"/>
      <c r="O219" s="150"/>
      <c r="P219" s="150"/>
      <c r="Q219" s="151"/>
      <c r="R219" s="150" t="s">
        <v>266</v>
      </c>
      <c r="S219" s="150"/>
      <c r="T219" s="150"/>
      <c r="U219" s="150"/>
      <c r="V219" s="150"/>
      <c r="W219" s="150"/>
      <c r="X219" s="150"/>
      <c r="Y219" s="150"/>
      <c r="Z219" s="150"/>
      <c r="AA219" s="150"/>
      <c r="AB219" s="150"/>
      <c r="AC219" s="150"/>
      <c r="AD219" s="150"/>
      <c r="AE219" s="150"/>
      <c r="AF219" s="150"/>
      <c r="AG219" s="150"/>
      <c r="AH219" s="150"/>
      <c r="AI219" s="150"/>
      <c r="AJ219" s="151"/>
      <c r="AK219" s="143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144"/>
    </row>
    <row r="220" spans="2:61" ht="20.100000000000001" customHeight="1" x14ac:dyDescent="0.45">
      <c r="B220" s="138"/>
      <c r="C220" s="31"/>
      <c r="D220" s="31"/>
      <c r="E220" s="31"/>
      <c r="F220" s="31"/>
      <c r="G220" s="139"/>
      <c r="H220" s="140"/>
      <c r="I220" s="31"/>
      <c r="J220" s="149" t="s">
        <v>240</v>
      </c>
      <c r="K220" s="150"/>
      <c r="L220" s="150"/>
      <c r="M220" s="150"/>
      <c r="N220" s="150"/>
      <c r="O220" s="150"/>
      <c r="P220" s="150"/>
      <c r="Q220" s="151"/>
      <c r="R220" s="150" t="s">
        <v>281</v>
      </c>
      <c r="S220" s="150"/>
      <c r="T220" s="150"/>
      <c r="U220" s="150"/>
      <c r="V220" s="150"/>
      <c r="W220" s="150"/>
      <c r="X220" s="150"/>
      <c r="Y220" s="150"/>
      <c r="Z220" s="150"/>
      <c r="AA220" s="150"/>
      <c r="AB220" s="150"/>
      <c r="AC220" s="150"/>
      <c r="AD220" s="150"/>
      <c r="AE220" s="150"/>
      <c r="AF220" s="150"/>
      <c r="AG220" s="150"/>
      <c r="AH220" s="150"/>
      <c r="AI220" s="150"/>
      <c r="AJ220" s="151"/>
      <c r="AK220" s="143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144"/>
    </row>
    <row r="221" spans="2:61" ht="20.100000000000001" customHeight="1" x14ac:dyDescent="0.45">
      <c r="B221" s="138"/>
      <c r="C221" s="31"/>
      <c r="D221" s="31"/>
      <c r="E221" s="31"/>
      <c r="F221" s="31"/>
      <c r="G221" s="139"/>
      <c r="H221" s="140"/>
      <c r="I221" s="31"/>
      <c r="J221" s="149" t="s">
        <v>241</v>
      </c>
      <c r="K221" s="150"/>
      <c r="L221" s="150"/>
      <c r="M221" s="150"/>
      <c r="N221" s="150"/>
      <c r="O221" s="150"/>
      <c r="P221" s="150"/>
      <c r="Q221" s="151"/>
      <c r="R221" s="150" t="s">
        <v>267</v>
      </c>
      <c r="S221" s="150"/>
      <c r="T221" s="150"/>
      <c r="U221" s="150"/>
      <c r="V221" s="150"/>
      <c r="W221" s="150"/>
      <c r="X221" s="150"/>
      <c r="Y221" s="150"/>
      <c r="Z221" s="150"/>
      <c r="AA221" s="150"/>
      <c r="AB221" s="150"/>
      <c r="AC221" s="150"/>
      <c r="AD221" s="150"/>
      <c r="AE221" s="150"/>
      <c r="AF221" s="150"/>
      <c r="AG221" s="150"/>
      <c r="AH221" s="150"/>
      <c r="AI221" s="150"/>
      <c r="AJ221" s="151"/>
      <c r="AK221" s="143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144"/>
    </row>
    <row r="222" spans="2:61" ht="20.100000000000001" customHeight="1" x14ac:dyDescent="0.45">
      <c r="B222" s="138"/>
      <c r="C222" s="31"/>
      <c r="D222" s="31"/>
      <c r="E222" s="31"/>
      <c r="F222" s="31"/>
      <c r="G222" s="139"/>
      <c r="H222" s="140"/>
      <c r="I222" s="31"/>
      <c r="J222" s="149" t="s">
        <v>242</v>
      </c>
      <c r="K222" s="150"/>
      <c r="L222" s="150"/>
      <c r="M222" s="150"/>
      <c r="N222" s="150"/>
      <c r="O222" s="150"/>
      <c r="P222" s="150"/>
      <c r="Q222" s="151"/>
      <c r="R222" s="150" t="s">
        <v>268</v>
      </c>
      <c r="S222" s="150"/>
      <c r="T222" s="150"/>
      <c r="U222" s="150"/>
      <c r="V222" s="150"/>
      <c r="W222" s="150"/>
      <c r="X222" s="150"/>
      <c r="Y222" s="150"/>
      <c r="Z222" s="150"/>
      <c r="AA222" s="150"/>
      <c r="AB222" s="150"/>
      <c r="AC222" s="150"/>
      <c r="AD222" s="150"/>
      <c r="AE222" s="150"/>
      <c r="AF222" s="150"/>
      <c r="AG222" s="150"/>
      <c r="AH222" s="150"/>
      <c r="AI222" s="150"/>
      <c r="AJ222" s="151"/>
      <c r="AK222" s="143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144"/>
    </row>
    <row r="223" spans="2:61" ht="20.100000000000001" customHeight="1" x14ac:dyDescent="0.45">
      <c r="B223" s="138"/>
      <c r="C223" s="31"/>
      <c r="D223" s="31"/>
      <c r="E223" s="31"/>
      <c r="F223" s="31"/>
      <c r="G223" s="139"/>
      <c r="H223" s="140"/>
      <c r="I223" s="31"/>
      <c r="J223" s="149" t="s">
        <v>243</v>
      </c>
      <c r="K223" s="150"/>
      <c r="L223" s="150"/>
      <c r="M223" s="150"/>
      <c r="N223" s="150"/>
      <c r="O223" s="150"/>
      <c r="P223" s="150"/>
      <c r="Q223" s="151"/>
      <c r="R223" s="150" t="s">
        <v>269</v>
      </c>
      <c r="S223" s="150"/>
      <c r="T223" s="150"/>
      <c r="U223" s="150"/>
      <c r="V223" s="150"/>
      <c r="W223" s="150"/>
      <c r="X223" s="150"/>
      <c r="Y223" s="150"/>
      <c r="Z223" s="150"/>
      <c r="AA223" s="150"/>
      <c r="AB223" s="150"/>
      <c r="AC223" s="150"/>
      <c r="AD223" s="150"/>
      <c r="AE223" s="150"/>
      <c r="AF223" s="150"/>
      <c r="AG223" s="150"/>
      <c r="AH223" s="150"/>
      <c r="AI223" s="150"/>
      <c r="AJ223" s="151"/>
      <c r="AK223" s="143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144"/>
    </row>
    <row r="224" spans="2:61" ht="20.100000000000001" customHeight="1" x14ac:dyDescent="0.45">
      <c r="B224" s="138"/>
      <c r="C224" s="31"/>
      <c r="D224" s="31"/>
      <c r="E224" s="31"/>
      <c r="F224" s="31"/>
      <c r="G224" s="139"/>
      <c r="H224" s="140"/>
      <c r="I224" s="31"/>
      <c r="J224" s="149" t="s">
        <v>244</v>
      </c>
      <c r="K224" s="150"/>
      <c r="L224" s="150"/>
      <c r="M224" s="150"/>
      <c r="N224" s="150"/>
      <c r="O224" s="150"/>
      <c r="P224" s="150"/>
      <c r="Q224" s="151"/>
      <c r="R224" s="154" t="s">
        <v>282</v>
      </c>
      <c r="S224" s="150"/>
      <c r="T224" s="150"/>
      <c r="U224" s="150"/>
      <c r="V224" s="150"/>
      <c r="W224" s="150"/>
      <c r="X224" s="150"/>
      <c r="Y224" s="150"/>
      <c r="Z224" s="150"/>
      <c r="AA224" s="150"/>
      <c r="AB224" s="150"/>
      <c r="AC224" s="150"/>
      <c r="AD224" s="150"/>
      <c r="AE224" s="150"/>
      <c r="AF224" s="150"/>
      <c r="AG224" s="150"/>
      <c r="AH224" s="150"/>
      <c r="AI224" s="150"/>
      <c r="AJ224" s="151"/>
      <c r="AK224" s="143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144"/>
    </row>
    <row r="225" spans="2:61" ht="20.100000000000001" customHeight="1" x14ac:dyDescent="0.45">
      <c r="B225" s="138"/>
      <c r="C225" s="31"/>
      <c r="D225" s="31"/>
      <c r="E225" s="31"/>
      <c r="F225" s="31"/>
      <c r="G225" s="139"/>
      <c r="H225" s="140"/>
      <c r="I225" s="31"/>
      <c r="J225" s="149" t="s">
        <v>168</v>
      </c>
      <c r="K225" s="150"/>
      <c r="L225" s="150"/>
      <c r="M225" s="150"/>
      <c r="N225" s="150"/>
      <c r="O225" s="150"/>
      <c r="P225" s="150"/>
      <c r="Q225" s="151"/>
      <c r="R225" s="150" t="s">
        <v>215</v>
      </c>
      <c r="S225" s="150"/>
      <c r="T225" s="150"/>
      <c r="U225" s="150"/>
      <c r="V225" s="150"/>
      <c r="W225" s="150"/>
      <c r="X225" s="150"/>
      <c r="Y225" s="150"/>
      <c r="Z225" s="150"/>
      <c r="AA225" s="150"/>
      <c r="AB225" s="150"/>
      <c r="AC225" s="150"/>
      <c r="AD225" s="150"/>
      <c r="AE225" s="150"/>
      <c r="AF225" s="150"/>
      <c r="AG225" s="150"/>
      <c r="AH225" s="150"/>
      <c r="AI225" s="150"/>
      <c r="AJ225" s="151"/>
      <c r="AK225" s="143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144"/>
    </row>
    <row r="226" spans="2:61" ht="20.100000000000001" customHeight="1" x14ac:dyDescent="0.45">
      <c r="B226" s="138"/>
      <c r="C226" s="31"/>
      <c r="D226" s="31"/>
      <c r="E226" s="31"/>
      <c r="F226" s="31"/>
      <c r="G226" s="139"/>
      <c r="H226" s="140"/>
      <c r="I226" s="31"/>
      <c r="J226" s="149" t="s">
        <v>245</v>
      </c>
      <c r="K226" s="150"/>
      <c r="L226" s="150"/>
      <c r="M226" s="150"/>
      <c r="N226" s="150"/>
      <c r="O226" s="150"/>
      <c r="P226" s="150"/>
      <c r="Q226" s="151"/>
      <c r="R226" s="150" t="s">
        <v>216</v>
      </c>
      <c r="S226" s="150"/>
      <c r="T226" s="150"/>
      <c r="U226" s="150"/>
      <c r="V226" s="150"/>
      <c r="W226" s="150"/>
      <c r="X226" s="150"/>
      <c r="Y226" s="150"/>
      <c r="Z226" s="150"/>
      <c r="AA226" s="150"/>
      <c r="AB226" s="150"/>
      <c r="AC226" s="150"/>
      <c r="AD226" s="150"/>
      <c r="AE226" s="150"/>
      <c r="AF226" s="150"/>
      <c r="AG226" s="150"/>
      <c r="AH226" s="150"/>
      <c r="AI226" s="150"/>
      <c r="AJ226" s="151"/>
      <c r="AK226" s="143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144"/>
    </row>
    <row r="227" spans="2:61" ht="20.100000000000001" customHeight="1" x14ac:dyDescent="0.45">
      <c r="B227" s="138"/>
      <c r="C227" s="31"/>
      <c r="D227" s="31"/>
      <c r="E227" s="31"/>
      <c r="F227" s="31"/>
      <c r="G227" s="139"/>
      <c r="H227" s="140"/>
      <c r="I227" s="31"/>
      <c r="J227" s="149" t="s">
        <v>246</v>
      </c>
      <c r="K227" s="150"/>
      <c r="L227" s="150"/>
      <c r="M227" s="150"/>
      <c r="N227" s="150"/>
      <c r="O227" s="150"/>
      <c r="P227" s="150"/>
      <c r="Q227" s="151"/>
      <c r="R227" s="150" t="s">
        <v>270</v>
      </c>
      <c r="S227" s="150"/>
      <c r="T227" s="150"/>
      <c r="U227" s="150"/>
      <c r="V227" s="150"/>
      <c r="W227" s="150"/>
      <c r="X227" s="150"/>
      <c r="Y227" s="150"/>
      <c r="Z227" s="150"/>
      <c r="AA227" s="150"/>
      <c r="AB227" s="150"/>
      <c r="AC227" s="150"/>
      <c r="AD227" s="150"/>
      <c r="AE227" s="150"/>
      <c r="AF227" s="150"/>
      <c r="AG227" s="150"/>
      <c r="AH227" s="150"/>
      <c r="AI227" s="150"/>
      <c r="AJ227" s="151"/>
      <c r="AK227" s="143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144"/>
    </row>
    <row r="228" spans="2:61" ht="20.100000000000001" customHeight="1" x14ac:dyDescent="0.45">
      <c r="B228" s="138"/>
      <c r="C228" s="31"/>
      <c r="D228" s="31"/>
      <c r="E228" s="31"/>
      <c r="F228" s="31"/>
      <c r="G228" s="139"/>
      <c r="H228" s="140"/>
      <c r="I228" s="31"/>
      <c r="J228" s="149" t="s">
        <v>248</v>
      </c>
      <c r="K228" s="150"/>
      <c r="L228" s="150"/>
      <c r="M228" s="150"/>
      <c r="N228" s="150"/>
      <c r="O228" s="150"/>
      <c r="P228" s="150"/>
      <c r="Q228" s="151"/>
      <c r="R228" s="150" t="s">
        <v>217</v>
      </c>
      <c r="S228" s="150"/>
      <c r="T228" s="150"/>
      <c r="U228" s="150"/>
      <c r="V228" s="150"/>
      <c r="W228" s="150"/>
      <c r="X228" s="150"/>
      <c r="Y228" s="150"/>
      <c r="Z228" s="150"/>
      <c r="AA228" s="150"/>
      <c r="AB228" s="150"/>
      <c r="AC228" s="150"/>
      <c r="AD228" s="150"/>
      <c r="AE228" s="150"/>
      <c r="AF228" s="150"/>
      <c r="AG228" s="150"/>
      <c r="AH228" s="150"/>
      <c r="AI228" s="150"/>
      <c r="AJ228" s="151"/>
      <c r="AK228" s="143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144"/>
    </row>
    <row r="229" spans="2:61" ht="20.100000000000001" customHeight="1" x14ac:dyDescent="0.45">
      <c r="B229" s="138"/>
      <c r="C229" s="31"/>
      <c r="D229" s="31"/>
      <c r="E229" s="31"/>
      <c r="F229" s="31"/>
      <c r="G229" s="139"/>
      <c r="H229" s="140"/>
      <c r="I229" s="31"/>
      <c r="J229" s="149" t="s">
        <v>247</v>
      </c>
      <c r="K229" s="150"/>
      <c r="L229" s="150"/>
      <c r="M229" s="150"/>
      <c r="N229" s="150"/>
      <c r="O229" s="150"/>
      <c r="P229" s="150"/>
      <c r="Q229" s="151"/>
      <c r="R229" s="150" t="s">
        <v>271</v>
      </c>
      <c r="S229" s="150"/>
      <c r="T229" s="150"/>
      <c r="U229" s="150"/>
      <c r="V229" s="150"/>
      <c r="W229" s="150"/>
      <c r="X229" s="150"/>
      <c r="Y229" s="150"/>
      <c r="Z229" s="150"/>
      <c r="AA229" s="150"/>
      <c r="AB229" s="150"/>
      <c r="AC229" s="150"/>
      <c r="AD229" s="150"/>
      <c r="AE229" s="150"/>
      <c r="AF229" s="150"/>
      <c r="AG229" s="150"/>
      <c r="AH229" s="150"/>
      <c r="AI229" s="150"/>
      <c r="AJ229" s="151"/>
      <c r="AK229" s="143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144"/>
    </row>
    <row r="230" spans="2:61" ht="20.100000000000001" customHeight="1" x14ac:dyDescent="0.45">
      <c r="B230" s="138"/>
      <c r="C230" s="31"/>
      <c r="D230" s="31"/>
      <c r="E230" s="31"/>
      <c r="F230" s="31"/>
      <c r="G230" s="139"/>
      <c r="H230" s="140"/>
      <c r="I230" s="31"/>
      <c r="J230" s="149" t="s">
        <v>249</v>
      </c>
      <c r="K230" s="150"/>
      <c r="L230" s="150"/>
      <c r="M230" s="150"/>
      <c r="N230" s="150"/>
      <c r="O230" s="150"/>
      <c r="P230" s="150"/>
      <c r="Q230" s="151"/>
      <c r="R230" s="150" t="s">
        <v>272</v>
      </c>
      <c r="S230" s="150"/>
      <c r="T230" s="150"/>
      <c r="U230" s="150"/>
      <c r="V230" s="150"/>
      <c r="W230" s="150"/>
      <c r="X230" s="150"/>
      <c r="Y230" s="150"/>
      <c r="Z230" s="150"/>
      <c r="AA230" s="150"/>
      <c r="AB230" s="150"/>
      <c r="AC230" s="150"/>
      <c r="AD230" s="150"/>
      <c r="AE230" s="150"/>
      <c r="AF230" s="150"/>
      <c r="AG230" s="150"/>
      <c r="AH230" s="150"/>
      <c r="AI230" s="150"/>
      <c r="AJ230" s="151"/>
      <c r="AK230" s="143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144"/>
    </row>
    <row r="231" spans="2:61" ht="20.100000000000001" customHeight="1" x14ac:dyDescent="0.45">
      <c r="B231" s="138"/>
      <c r="C231" s="31"/>
      <c r="D231" s="31"/>
      <c r="E231" s="31"/>
      <c r="F231" s="31"/>
      <c r="G231" s="139"/>
      <c r="H231" s="140"/>
      <c r="I231" s="31"/>
      <c r="J231" s="149" t="s">
        <v>250</v>
      </c>
      <c r="K231" s="150"/>
      <c r="L231" s="150"/>
      <c r="M231" s="150"/>
      <c r="N231" s="150"/>
      <c r="O231" s="150"/>
      <c r="P231" s="150"/>
      <c r="Q231" s="151"/>
      <c r="R231" s="150" t="s">
        <v>273</v>
      </c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0"/>
      <c r="AG231" s="150"/>
      <c r="AH231" s="150"/>
      <c r="AI231" s="150"/>
      <c r="AJ231" s="151"/>
      <c r="AK231" s="143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144"/>
    </row>
    <row r="232" spans="2:61" ht="20.100000000000001" customHeight="1" x14ac:dyDescent="0.45">
      <c r="B232" s="138"/>
      <c r="C232" s="31"/>
      <c r="D232" s="31"/>
      <c r="E232" s="31"/>
      <c r="F232" s="31"/>
      <c r="G232" s="139"/>
      <c r="H232" s="140"/>
      <c r="I232" s="31"/>
      <c r="J232" s="149" t="s">
        <v>251</v>
      </c>
      <c r="K232" s="150"/>
      <c r="L232" s="150"/>
      <c r="M232" s="150"/>
      <c r="N232" s="150"/>
      <c r="O232" s="150"/>
      <c r="P232" s="150"/>
      <c r="Q232" s="151"/>
      <c r="R232" s="150" t="s">
        <v>274</v>
      </c>
      <c r="S232" s="150"/>
      <c r="T232" s="150"/>
      <c r="U232" s="150"/>
      <c r="V232" s="150"/>
      <c r="W232" s="150"/>
      <c r="X232" s="150"/>
      <c r="Y232" s="150"/>
      <c r="Z232" s="150"/>
      <c r="AA232" s="150"/>
      <c r="AB232" s="150"/>
      <c r="AC232" s="150"/>
      <c r="AD232" s="150"/>
      <c r="AE232" s="150"/>
      <c r="AF232" s="150"/>
      <c r="AG232" s="150"/>
      <c r="AH232" s="150"/>
      <c r="AI232" s="150"/>
      <c r="AJ232" s="151"/>
      <c r="AK232" s="143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144"/>
    </row>
    <row r="233" spans="2:61" ht="20.100000000000001" customHeight="1" x14ac:dyDescent="0.45">
      <c r="B233" s="138"/>
      <c r="C233" s="31"/>
      <c r="D233" s="31"/>
      <c r="E233" s="31"/>
      <c r="F233" s="31"/>
      <c r="G233" s="139"/>
      <c r="H233" s="140"/>
      <c r="I233" s="31"/>
      <c r="J233" s="149" t="s">
        <v>252</v>
      </c>
      <c r="K233" s="150"/>
      <c r="L233" s="150"/>
      <c r="M233" s="150"/>
      <c r="N233" s="150"/>
      <c r="O233" s="150"/>
      <c r="P233" s="150"/>
      <c r="Q233" s="151"/>
      <c r="R233" s="150" t="s">
        <v>275</v>
      </c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  <c r="AC233" s="150"/>
      <c r="AD233" s="150"/>
      <c r="AE233" s="150"/>
      <c r="AF233" s="150"/>
      <c r="AG233" s="150"/>
      <c r="AH233" s="150"/>
      <c r="AI233" s="150"/>
      <c r="AJ233" s="151"/>
      <c r="AK233" s="143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144"/>
    </row>
    <row r="234" spans="2:61" ht="20.100000000000001" customHeight="1" x14ac:dyDescent="0.45">
      <c r="B234" s="138"/>
      <c r="C234" s="31"/>
      <c r="D234" s="31"/>
      <c r="E234" s="31"/>
      <c r="F234" s="31"/>
      <c r="G234" s="139"/>
      <c r="H234" s="140"/>
      <c r="I234" s="31"/>
      <c r="J234" s="149" t="s">
        <v>253</v>
      </c>
      <c r="K234" s="150"/>
      <c r="L234" s="150"/>
      <c r="M234" s="150"/>
      <c r="N234" s="150"/>
      <c r="O234" s="150"/>
      <c r="P234" s="150"/>
      <c r="Q234" s="151"/>
      <c r="R234" s="150" t="s">
        <v>276</v>
      </c>
      <c r="S234" s="150"/>
      <c r="T234" s="150"/>
      <c r="U234" s="150"/>
      <c r="V234" s="150"/>
      <c r="W234" s="150"/>
      <c r="X234" s="150"/>
      <c r="Y234" s="150"/>
      <c r="Z234" s="150"/>
      <c r="AA234" s="150"/>
      <c r="AB234" s="150"/>
      <c r="AC234" s="150"/>
      <c r="AD234" s="150"/>
      <c r="AE234" s="150"/>
      <c r="AF234" s="150"/>
      <c r="AG234" s="150"/>
      <c r="AH234" s="150"/>
      <c r="AI234" s="150"/>
      <c r="AJ234" s="151"/>
      <c r="AK234" s="143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144"/>
    </row>
    <row r="235" spans="2:61" ht="20.100000000000001" customHeight="1" x14ac:dyDescent="0.45">
      <c r="B235" s="138"/>
      <c r="C235" s="31"/>
      <c r="D235" s="31"/>
      <c r="E235" s="31"/>
      <c r="F235" s="31"/>
      <c r="G235" s="139"/>
      <c r="H235" s="145" t="s">
        <v>169</v>
      </c>
      <c r="I235" s="55"/>
      <c r="J235" s="145" t="s">
        <v>218</v>
      </c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146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  <c r="BH235" s="55"/>
      <c r="BI235" s="147"/>
    </row>
    <row r="236" spans="2:61" ht="20.100000000000001" customHeight="1" x14ac:dyDescent="0.45">
      <c r="B236" s="148"/>
      <c r="C236" s="31"/>
      <c r="D236" s="31"/>
      <c r="E236" s="31"/>
      <c r="F236" s="31"/>
      <c r="G236" s="139"/>
      <c r="H236" s="145" t="s">
        <v>171</v>
      </c>
      <c r="I236" s="55"/>
      <c r="J236" s="152" t="s">
        <v>219</v>
      </c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146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55"/>
      <c r="BI236" s="147"/>
    </row>
    <row r="237" spans="2:61" ht="20.100000000000001" customHeight="1" x14ac:dyDescent="0.45">
      <c r="B237" s="148"/>
      <c r="C237" s="31"/>
      <c r="D237" s="31"/>
      <c r="E237" s="31"/>
      <c r="F237" s="31"/>
      <c r="G237" s="139"/>
      <c r="H237" s="140"/>
      <c r="I237" s="31"/>
      <c r="J237" s="140" t="s">
        <v>220</v>
      </c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140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144"/>
    </row>
    <row r="238" spans="2:61" ht="20.100000000000001" customHeight="1" x14ac:dyDescent="0.45">
      <c r="B238" s="148"/>
      <c r="C238" s="31"/>
      <c r="D238" s="31"/>
      <c r="E238" s="31"/>
      <c r="F238" s="31"/>
      <c r="G238" s="139"/>
      <c r="H238" s="140"/>
      <c r="I238" s="31"/>
      <c r="J238" s="140" t="s">
        <v>221</v>
      </c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140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144"/>
    </row>
    <row r="239" spans="2:61" ht="20.100000000000001" customHeight="1" x14ac:dyDescent="0.45">
      <c r="B239" s="148"/>
      <c r="C239" s="31"/>
      <c r="D239" s="31"/>
      <c r="E239" s="31"/>
      <c r="F239" s="31"/>
      <c r="G239" s="139"/>
      <c r="H239" s="140"/>
      <c r="I239" s="31"/>
      <c r="J239" s="140"/>
      <c r="K239" s="31" t="s">
        <v>222</v>
      </c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140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144"/>
    </row>
    <row r="240" spans="2:61" ht="20.100000000000001" customHeight="1" x14ac:dyDescent="0.45">
      <c r="B240" s="148"/>
      <c r="C240" s="31"/>
      <c r="D240" s="31"/>
      <c r="E240" s="31"/>
      <c r="F240" s="31"/>
      <c r="G240" s="139"/>
      <c r="H240" s="145" t="s">
        <v>173</v>
      </c>
      <c r="I240" s="55"/>
      <c r="J240" s="145" t="s">
        <v>304</v>
      </c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146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  <c r="BI240" s="147"/>
    </row>
    <row r="241" spans="2:61" ht="20.100000000000001" customHeight="1" x14ac:dyDescent="0.45">
      <c r="B241" s="148"/>
      <c r="C241" s="31"/>
      <c r="D241" s="31"/>
      <c r="E241" s="31"/>
      <c r="F241" s="31"/>
      <c r="G241" s="139"/>
      <c r="H241" s="140"/>
      <c r="I241" s="31"/>
      <c r="J241" s="140" t="s">
        <v>321</v>
      </c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143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144"/>
    </row>
    <row r="242" spans="2:61" ht="20.100000000000001" customHeight="1" x14ac:dyDescent="0.45">
      <c r="B242" s="148"/>
      <c r="C242" s="31"/>
      <c r="D242" s="31"/>
      <c r="E242" s="31"/>
      <c r="F242" s="31"/>
      <c r="G242" s="139"/>
      <c r="H242" s="140"/>
      <c r="I242" s="31"/>
      <c r="J242" s="140"/>
      <c r="K242" s="31" t="s">
        <v>322</v>
      </c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143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144"/>
    </row>
    <row r="243" spans="2:61" ht="20.100000000000001" customHeight="1" x14ac:dyDescent="0.45">
      <c r="B243" s="148"/>
      <c r="C243" s="31"/>
      <c r="D243" s="31"/>
      <c r="E243" s="31"/>
      <c r="F243" s="31"/>
      <c r="G243" s="139"/>
      <c r="H243" s="140"/>
      <c r="I243" s="31"/>
      <c r="J243" s="140" t="s">
        <v>298</v>
      </c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143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144"/>
    </row>
    <row r="244" spans="2:61" ht="20.100000000000001" customHeight="1" x14ac:dyDescent="0.45">
      <c r="B244" s="148"/>
      <c r="C244" s="31"/>
      <c r="D244" s="31"/>
      <c r="E244" s="31"/>
      <c r="F244" s="31"/>
      <c r="G244" s="139"/>
      <c r="H244" s="140"/>
      <c r="I244" s="31"/>
      <c r="J244" s="140"/>
      <c r="K244" s="31" t="s">
        <v>324</v>
      </c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143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144"/>
    </row>
    <row r="245" spans="2:61" ht="20.100000000000001" customHeight="1" x14ac:dyDescent="0.45">
      <c r="B245" s="148"/>
      <c r="C245" s="31"/>
      <c r="D245" s="31"/>
      <c r="E245" s="31"/>
      <c r="F245" s="31"/>
      <c r="G245" s="139"/>
      <c r="H245" s="140"/>
      <c r="I245" s="31"/>
      <c r="J245" s="140"/>
      <c r="K245" s="31" t="s">
        <v>300</v>
      </c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143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144"/>
    </row>
    <row r="246" spans="2:61" ht="20.100000000000001" customHeight="1" x14ac:dyDescent="0.45">
      <c r="B246" s="148"/>
      <c r="C246" s="31"/>
      <c r="D246" s="31"/>
      <c r="E246" s="31"/>
      <c r="F246" s="31"/>
      <c r="G246" s="139"/>
      <c r="H246" s="140"/>
      <c r="I246" s="31"/>
      <c r="J246" s="140" t="s">
        <v>298</v>
      </c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143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144"/>
    </row>
    <row r="247" spans="2:61" ht="20.100000000000001" customHeight="1" x14ac:dyDescent="0.45">
      <c r="B247" s="148"/>
      <c r="C247" s="31"/>
      <c r="D247" s="31"/>
      <c r="E247" s="31"/>
      <c r="F247" s="31"/>
      <c r="G247" s="139"/>
      <c r="H247" s="140"/>
      <c r="I247" s="31"/>
      <c r="J247" s="140"/>
      <c r="K247" s="31" t="s">
        <v>325</v>
      </c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143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144"/>
    </row>
    <row r="248" spans="2:61" ht="20.100000000000001" customHeight="1" x14ac:dyDescent="0.45">
      <c r="B248" s="148"/>
      <c r="C248" s="31"/>
      <c r="D248" s="31"/>
      <c r="E248" s="31"/>
      <c r="F248" s="31"/>
      <c r="G248" s="139"/>
      <c r="H248" s="140"/>
      <c r="I248" s="31"/>
      <c r="J248" s="140"/>
      <c r="K248" s="31" t="s">
        <v>301</v>
      </c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143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144"/>
    </row>
    <row r="249" spans="2:61" ht="20.100000000000001" customHeight="1" x14ac:dyDescent="0.45">
      <c r="B249" s="148"/>
      <c r="C249" s="31"/>
      <c r="D249" s="31"/>
      <c r="E249" s="31"/>
      <c r="F249" s="31"/>
      <c r="G249" s="139"/>
      <c r="H249" s="140"/>
      <c r="I249" s="31"/>
      <c r="J249" s="140" t="s">
        <v>298</v>
      </c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143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144"/>
    </row>
    <row r="250" spans="2:61" ht="20.100000000000001" customHeight="1" x14ac:dyDescent="0.45">
      <c r="B250" s="148"/>
      <c r="C250" s="31"/>
      <c r="D250" s="31"/>
      <c r="E250" s="31"/>
      <c r="F250" s="31"/>
      <c r="G250" s="139"/>
      <c r="H250" s="140"/>
      <c r="I250" s="31"/>
      <c r="J250" s="140"/>
      <c r="K250" s="31" t="s">
        <v>329</v>
      </c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143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144"/>
    </row>
    <row r="251" spans="2:61" ht="20.100000000000001" customHeight="1" thickBot="1" x14ac:dyDescent="0.5">
      <c r="B251" s="148"/>
      <c r="C251" s="31"/>
      <c r="D251" s="31"/>
      <c r="E251" s="31"/>
      <c r="F251" s="31"/>
      <c r="G251" s="139"/>
      <c r="H251" s="140"/>
      <c r="I251" s="31"/>
      <c r="J251" s="140"/>
      <c r="K251" s="31" t="s">
        <v>301</v>
      </c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143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144"/>
    </row>
    <row r="252" spans="2:61" ht="20.100000000000001" customHeight="1" x14ac:dyDescent="0.45">
      <c r="B252" s="129" t="s">
        <v>324</v>
      </c>
      <c r="C252" s="130"/>
      <c r="D252" s="130"/>
      <c r="E252" s="130"/>
      <c r="F252" s="130"/>
      <c r="G252" s="131"/>
      <c r="H252" s="132" t="s">
        <v>159</v>
      </c>
      <c r="I252" s="130"/>
      <c r="J252" s="133" t="s">
        <v>237</v>
      </c>
      <c r="K252" s="134"/>
      <c r="L252" s="134"/>
      <c r="M252" s="134"/>
      <c r="N252" s="134"/>
      <c r="O252" s="134"/>
      <c r="P252" s="134"/>
      <c r="Q252" s="135"/>
      <c r="R252" s="134" t="s">
        <v>313</v>
      </c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4"/>
      <c r="AI252" s="134"/>
      <c r="AJ252" s="135"/>
      <c r="AK252" s="136" t="s">
        <v>305</v>
      </c>
      <c r="AL252" s="130"/>
      <c r="AM252" s="130"/>
      <c r="AN252" s="130"/>
      <c r="AO252" s="130"/>
      <c r="AP252" s="130"/>
      <c r="AQ252" s="130"/>
      <c r="AR252" s="130"/>
      <c r="AS252" s="130"/>
      <c r="AT252" s="130"/>
      <c r="AU252" s="130"/>
      <c r="AV252" s="130"/>
      <c r="AW252" s="130"/>
      <c r="AX252" s="130"/>
      <c r="AY252" s="130"/>
      <c r="AZ252" s="130"/>
      <c r="BA252" s="130"/>
      <c r="BB252" s="130"/>
      <c r="BC252" s="130"/>
      <c r="BD252" s="130"/>
      <c r="BE252" s="130"/>
      <c r="BF252" s="130"/>
      <c r="BG252" s="130"/>
      <c r="BH252" s="130"/>
      <c r="BI252" s="137"/>
    </row>
    <row r="253" spans="2:61" ht="20.100000000000001" customHeight="1" x14ac:dyDescent="0.45">
      <c r="B253" s="138"/>
      <c r="C253" s="31"/>
      <c r="D253" s="31"/>
      <c r="E253" s="31"/>
      <c r="F253" s="31"/>
      <c r="G253" s="139"/>
      <c r="H253" s="145" t="s">
        <v>169</v>
      </c>
      <c r="I253" s="55"/>
      <c r="J253" s="145" t="s">
        <v>306</v>
      </c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146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147"/>
    </row>
    <row r="254" spans="2:61" ht="20.100000000000001" customHeight="1" x14ac:dyDescent="0.45">
      <c r="B254" s="148"/>
      <c r="C254" s="31"/>
      <c r="D254" s="31"/>
      <c r="E254" s="31"/>
      <c r="F254" s="31"/>
      <c r="G254" s="139"/>
      <c r="H254" s="145" t="s">
        <v>171</v>
      </c>
      <c r="I254" s="55"/>
      <c r="J254" s="152" t="s">
        <v>307</v>
      </c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146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  <c r="BG254" s="55"/>
      <c r="BH254" s="55"/>
      <c r="BI254" s="147"/>
    </row>
    <row r="255" spans="2:61" ht="20.100000000000001" customHeight="1" x14ac:dyDescent="0.45">
      <c r="B255" s="148"/>
      <c r="C255" s="31"/>
      <c r="D255" s="31"/>
      <c r="E255" s="31"/>
      <c r="F255" s="31"/>
      <c r="G255" s="139"/>
      <c r="H255" s="145" t="s">
        <v>173</v>
      </c>
      <c r="I255" s="55"/>
      <c r="J255" s="145" t="s">
        <v>308</v>
      </c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146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  <c r="BD255" s="55"/>
      <c r="BE255" s="55"/>
      <c r="BF255" s="55"/>
      <c r="BG255" s="55"/>
      <c r="BH255" s="55"/>
      <c r="BI255" s="147"/>
    </row>
    <row r="256" spans="2:61" ht="20.100000000000001" customHeight="1" x14ac:dyDescent="0.45">
      <c r="B256" s="148"/>
      <c r="C256" s="31"/>
      <c r="D256" s="31"/>
      <c r="E256" s="31"/>
      <c r="F256" s="31"/>
      <c r="G256" s="139"/>
      <c r="H256" s="140"/>
      <c r="I256" s="31"/>
      <c r="J256" s="140"/>
      <c r="K256" s="31" t="s">
        <v>309</v>
      </c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143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144"/>
    </row>
    <row r="257" spans="2:61" ht="20.100000000000001" customHeight="1" x14ac:dyDescent="0.45">
      <c r="B257" s="148"/>
      <c r="C257" s="31"/>
      <c r="D257" s="31"/>
      <c r="E257" s="31"/>
      <c r="F257" s="31"/>
      <c r="G257" s="139"/>
      <c r="H257" s="140"/>
      <c r="I257" s="31"/>
      <c r="J257" s="140"/>
      <c r="K257" s="31" t="s">
        <v>310</v>
      </c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143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144"/>
    </row>
    <row r="258" spans="2:61" ht="20.100000000000001" customHeight="1" x14ac:dyDescent="0.45">
      <c r="B258" s="148"/>
      <c r="C258" s="31"/>
      <c r="D258" s="31"/>
      <c r="E258" s="31"/>
      <c r="F258" s="31"/>
      <c r="G258" s="139"/>
      <c r="H258" s="140"/>
      <c r="I258" s="31"/>
      <c r="J258" s="140"/>
      <c r="K258" s="31" t="s">
        <v>328</v>
      </c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143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144"/>
    </row>
    <row r="259" spans="2:61" ht="20.100000000000001" customHeight="1" thickBot="1" x14ac:dyDescent="0.5">
      <c r="B259" s="148"/>
      <c r="C259" s="31"/>
      <c r="D259" s="31"/>
      <c r="E259" s="31"/>
      <c r="F259" s="31"/>
      <c r="G259" s="139"/>
      <c r="H259" s="145" t="s">
        <v>174</v>
      </c>
      <c r="I259" s="55"/>
      <c r="J259" s="145" t="s">
        <v>326</v>
      </c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146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55"/>
      <c r="BE259" s="55"/>
      <c r="BF259" s="55"/>
      <c r="BG259" s="55"/>
      <c r="BH259" s="55"/>
      <c r="BI259" s="147"/>
    </row>
    <row r="260" spans="2:61" ht="20.100000000000001" customHeight="1" x14ac:dyDescent="0.45">
      <c r="B260" s="129" t="s">
        <v>325</v>
      </c>
      <c r="C260" s="130"/>
      <c r="D260" s="130"/>
      <c r="E260" s="130"/>
      <c r="F260" s="130"/>
      <c r="G260" s="131"/>
      <c r="H260" s="132" t="s">
        <v>159</v>
      </c>
      <c r="I260" s="130"/>
      <c r="J260" s="133" t="s">
        <v>249</v>
      </c>
      <c r="K260" s="134"/>
      <c r="L260" s="134"/>
      <c r="M260" s="134"/>
      <c r="N260" s="134"/>
      <c r="O260" s="134"/>
      <c r="P260" s="134"/>
      <c r="Q260" s="135"/>
      <c r="R260" s="134" t="s">
        <v>316</v>
      </c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  <c r="AE260" s="134"/>
      <c r="AF260" s="134"/>
      <c r="AG260" s="134"/>
      <c r="AH260" s="134"/>
      <c r="AI260" s="134"/>
      <c r="AJ260" s="135"/>
      <c r="AK260" s="136" t="s">
        <v>314</v>
      </c>
      <c r="AL260" s="130"/>
      <c r="AM260" s="130"/>
      <c r="AN260" s="130"/>
      <c r="AO260" s="130"/>
      <c r="AP260" s="130"/>
      <c r="AQ260" s="130"/>
      <c r="AR260" s="130"/>
      <c r="AS260" s="130"/>
      <c r="AT260" s="130"/>
      <c r="AU260" s="130"/>
      <c r="AV260" s="130"/>
      <c r="AW260" s="130"/>
      <c r="AX260" s="130"/>
      <c r="AY260" s="130"/>
      <c r="AZ260" s="130"/>
      <c r="BA260" s="130"/>
      <c r="BB260" s="130"/>
      <c r="BC260" s="130"/>
      <c r="BD260" s="130"/>
      <c r="BE260" s="130"/>
      <c r="BF260" s="130"/>
      <c r="BG260" s="130"/>
      <c r="BH260" s="130"/>
      <c r="BI260" s="137"/>
    </row>
    <row r="261" spans="2:61" ht="20.100000000000001" customHeight="1" x14ac:dyDescent="0.45">
      <c r="B261" s="138"/>
      <c r="C261" s="31"/>
      <c r="D261" s="31"/>
      <c r="E261" s="31"/>
      <c r="F261" s="31"/>
      <c r="G261" s="139"/>
      <c r="H261" s="145" t="s">
        <v>169</v>
      </c>
      <c r="I261" s="55"/>
      <c r="J261" s="145" t="s">
        <v>306</v>
      </c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146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  <c r="BD261" s="55"/>
      <c r="BE261" s="55"/>
      <c r="BF261" s="55"/>
      <c r="BG261" s="55"/>
      <c r="BH261" s="55"/>
      <c r="BI261" s="147"/>
    </row>
    <row r="262" spans="2:61" ht="20.100000000000001" customHeight="1" x14ac:dyDescent="0.45">
      <c r="B262" s="148"/>
      <c r="C262" s="31"/>
      <c r="D262" s="31"/>
      <c r="E262" s="31"/>
      <c r="F262" s="31"/>
      <c r="G262" s="139"/>
      <c r="H262" s="145" t="s">
        <v>173</v>
      </c>
      <c r="I262" s="55"/>
      <c r="J262" s="145" t="s">
        <v>327</v>
      </c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146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  <c r="BD262" s="55"/>
      <c r="BE262" s="55"/>
      <c r="BF262" s="55"/>
      <c r="BG262" s="55"/>
      <c r="BH262" s="55"/>
      <c r="BI262" s="147"/>
    </row>
    <row r="263" spans="2:61" ht="20.100000000000001" customHeight="1" x14ac:dyDescent="0.45">
      <c r="B263" s="148"/>
      <c r="C263" s="31"/>
      <c r="D263" s="31"/>
      <c r="E263" s="31"/>
      <c r="F263" s="31"/>
      <c r="G263" s="139"/>
      <c r="H263" s="140"/>
      <c r="I263" s="31"/>
      <c r="J263" s="140"/>
      <c r="K263" s="31" t="s">
        <v>309</v>
      </c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143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144"/>
    </row>
    <row r="264" spans="2:61" ht="20.100000000000001" customHeight="1" x14ac:dyDescent="0.45">
      <c r="B264" s="148"/>
      <c r="C264" s="31"/>
      <c r="D264" s="31"/>
      <c r="E264" s="31"/>
      <c r="F264" s="31"/>
      <c r="G264" s="139"/>
      <c r="H264" s="140"/>
      <c r="I264" s="31"/>
      <c r="J264" s="140"/>
      <c r="K264" s="31" t="s">
        <v>328</v>
      </c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143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144"/>
    </row>
    <row r="265" spans="2:61" ht="20.100000000000001" customHeight="1" thickBot="1" x14ac:dyDescent="0.5">
      <c r="B265" s="148"/>
      <c r="C265" s="31"/>
      <c r="D265" s="31"/>
      <c r="E265" s="31"/>
      <c r="F265" s="31"/>
      <c r="G265" s="139"/>
      <c r="H265" s="145" t="s">
        <v>174</v>
      </c>
      <c r="I265" s="55"/>
      <c r="J265" s="145" t="s">
        <v>326</v>
      </c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146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  <c r="BD265" s="55"/>
      <c r="BE265" s="55"/>
      <c r="BF265" s="55"/>
      <c r="BG265" s="55"/>
      <c r="BH265" s="55"/>
      <c r="BI265" s="147"/>
    </row>
    <row r="266" spans="2:61" ht="20.100000000000001" customHeight="1" x14ac:dyDescent="0.45">
      <c r="B266" s="129" t="s">
        <v>329</v>
      </c>
      <c r="C266" s="130"/>
      <c r="D266" s="130"/>
      <c r="E266" s="130"/>
      <c r="F266" s="130"/>
      <c r="G266" s="131"/>
      <c r="H266" s="132" t="s">
        <v>159</v>
      </c>
      <c r="I266" s="130"/>
      <c r="J266" s="133" t="s">
        <v>250</v>
      </c>
      <c r="K266" s="134"/>
      <c r="L266" s="134"/>
      <c r="M266" s="134"/>
      <c r="N266" s="134"/>
      <c r="O266" s="134"/>
      <c r="P266" s="134"/>
      <c r="Q266" s="135"/>
      <c r="R266" s="134" t="s">
        <v>318</v>
      </c>
      <c r="S266" s="134"/>
      <c r="T266" s="134"/>
      <c r="U266" s="134"/>
      <c r="V266" s="134"/>
      <c r="W266" s="134"/>
      <c r="X266" s="134"/>
      <c r="Y266" s="134"/>
      <c r="Z266" s="134"/>
      <c r="AA266" s="134"/>
      <c r="AB266" s="134"/>
      <c r="AC266" s="134"/>
      <c r="AD266" s="134"/>
      <c r="AE266" s="134"/>
      <c r="AF266" s="134"/>
      <c r="AG266" s="134"/>
      <c r="AH266" s="134"/>
      <c r="AI266" s="134"/>
      <c r="AJ266" s="135"/>
      <c r="AK266" s="136" t="s">
        <v>317</v>
      </c>
      <c r="AL266" s="130"/>
      <c r="AM266" s="130"/>
      <c r="AN266" s="130"/>
      <c r="AO266" s="130"/>
      <c r="AP266" s="130"/>
      <c r="AQ266" s="130"/>
      <c r="AR266" s="130"/>
      <c r="AS266" s="130"/>
      <c r="AT266" s="130"/>
      <c r="AU266" s="130"/>
      <c r="AV266" s="130"/>
      <c r="AW266" s="130"/>
      <c r="AX266" s="130"/>
      <c r="AY266" s="130"/>
      <c r="AZ266" s="130"/>
      <c r="BA266" s="130"/>
      <c r="BB266" s="130"/>
      <c r="BC266" s="130"/>
      <c r="BD266" s="130"/>
      <c r="BE266" s="130"/>
      <c r="BF266" s="130"/>
      <c r="BG266" s="130"/>
      <c r="BH266" s="130"/>
      <c r="BI266" s="137"/>
    </row>
    <row r="267" spans="2:61" ht="20.100000000000001" customHeight="1" x14ac:dyDescent="0.45">
      <c r="B267" s="138"/>
      <c r="C267" s="31"/>
      <c r="D267" s="31"/>
      <c r="E267" s="31"/>
      <c r="F267" s="31"/>
      <c r="G267" s="139"/>
      <c r="H267" s="145" t="s">
        <v>169</v>
      </c>
      <c r="I267" s="55"/>
      <c r="J267" s="145" t="s">
        <v>306</v>
      </c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146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  <c r="BD267" s="55"/>
      <c r="BE267" s="55"/>
      <c r="BF267" s="55"/>
      <c r="BG267" s="55"/>
      <c r="BH267" s="55"/>
      <c r="BI267" s="147"/>
    </row>
    <row r="268" spans="2:61" ht="20.100000000000001" customHeight="1" x14ac:dyDescent="0.45">
      <c r="B268" s="148"/>
      <c r="C268" s="31"/>
      <c r="D268" s="31"/>
      <c r="E268" s="31"/>
      <c r="F268" s="31"/>
      <c r="G268" s="139"/>
      <c r="H268" s="145" t="s">
        <v>173</v>
      </c>
      <c r="I268" s="55"/>
      <c r="J268" s="145" t="s">
        <v>308</v>
      </c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146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  <c r="BD268" s="55"/>
      <c r="BE268" s="55"/>
      <c r="BF268" s="55"/>
      <c r="BG268" s="55"/>
      <c r="BH268" s="55"/>
      <c r="BI268" s="147"/>
    </row>
    <row r="269" spans="2:61" ht="20.100000000000001" customHeight="1" x14ac:dyDescent="0.45">
      <c r="B269" s="148"/>
      <c r="C269" s="31"/>
      <c r="D269" s="31"/>
      <c r="E269" s="31"/>
      <c r="F269" s="31"/>
      <c r="G269" s="139"/>
      <c r="H269" s="140"/>
      <c r="I269" s="31"/>
      <c r="J269" s="140"/>
      <c r="K269" s="31" t="s">
        <v>309</v>
      </c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143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144"/>
    </row>
    <row r="270" spans="2:61" ht="20.100000000000001" customHeight="1" x14ac:dyDescent="0.45">
      <c r="B270" s="148"/>
      <c r="C270" s="31"/>
      <c r="D270" s="31"/>
      <c r="E270" s="31"/>
      <c r="F270" s="31"/>
      <c r="G270" s="139"/>
      <c r="H270" s="140"/>
      <c r="I270" s="31"/>
      <c r="J270" s="140"/>
      <c r="K270" s="31" t="s">
        <v>328</v>
      </c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143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144"/>
    </row>
    <row r="271" spans="2:61" ht="20.100000000000001" customHeight="1" thickBot="1" x14ac:dyDescent="0.5">
      <c r="B271" s="148"/>
      <c r="C271" s="31"/>
      <c r="D271" s="31"/>
      <c r="E271" s="31"/>
      <c r="F271" s="31"/>
      <c r="G271" s="139"/>
      <c r="H271" s="145" t="s">
        <v>174</v>
      </c>
      <c r="I271" s="55"/>
      <c r="J271" s="145" t="s">
        <v>326</v>
      </c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146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  <c r="BD271" s="55"/>
      <c r="BE271" s="55"/>
      <c r="BF271" s="55"/>
      <c r="BG271" s="55"/>
      <c r="BH271" s="55"/>
      <c r="BI271" s="147"/>
    </row>
    <row r="272" spans="2:61" ht="20.100000000000001" customHeight="1" x14ac:dyDescent="0.45">
      <c r="B272" s="129" t="s">
        <v>351</v>
      </c>
      <c r="C272" s="130"/>
      <c r="D272" s="130"/>
      <c r="E272" s="130"/>
      <c r="F272" s="130"/>
      <c r="G272" s="131"/>
      <c r="H272" s="132" t="s">
        <v>159</v>
      </c>
      <c r="I272" s="130"/>
      <c r="J272" s="133" t="s">
        <v>160</v>
      </c>
      <c r="K272" s="134"/>
      <c r="L272" s="134"/>
      <c r="M272" s="134"/>
      <c r="N272" s="134"/>
      <c r="O272" s="134"/>
      <c r="P272" s="134"/>
      <c r="Q272" s="135"/>
      <c r="R272" s="134" t="s">
        <v>161</v>
      </c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  <c r="AC272" s="134"/>
      <c r="AD272" s="134"/>
      <c r="AE272" s="134"/>
      <c r="AF272" s="134"/>
      <c r="AG272" s="134"/>
      <c r="AH272" s="134"/>
      <c r="AI272" s="134"/>
      <c r="AJ272" s="135"/>
      <c r="AK272" s="136"/>
      <c r="AL272" s="130"/>
      <c r="AM272" s="130"/>
      <c r="AN272" s="130"/>
      <c r="AO272" s="130"/>
      <c r="AP272" s="130"/>
      <c r="AQ272" s="130"/>
      <c r="AR272" s="130"/>
      <c r="AS272" s="130"/>
      <c r="AT272" s="130"/>
      <c r="AU272" s="130"/>
      <c r="AV272" s="130"/>
      <c r="AW272" s="130"/>
      <c r="AX272" s="130"/>
      <c r="AY272" s="130"/>
      <c r="AZ272" s="130"/>
      <c r="BA272" s="130"/>
      <c r="BB272" s="130"/>
      <c r="BC272" s="130"/>
      <c r="BD272" s="130"/>
      <c r="BE272" s="130"/>
      <c r="BF272" s="130"/>
      <c r="BG272" s="130"/>
      <c r="BH272" s="130"/>
      <c r="BI272" s="137"/>
    </row>
    <row r="273" spans="2:61" ht="20.100000000000001" customHeight="1" x14ac:dyDescent="0.45">
      <c r="B273" s="138"/>
      <c r="C273" s="31"/>
      <c r="D273" s="31"/>
      <c r="E273" s="31"/>
      <c r="F273" s="31"/>
      <c r="G273" s="139"/>
      <c r="H273" s="140"/>
      <c r="I273" s="31"/>
      <c r="J273" s="149" t="s">
        <v>227</v>
      </c>
      <c r="K273" s="150"/>
      <c r="L273" s="150"/>
      <c r="M273" s="150"/>
      <c r="N273" s="150"/>
      <c r="O273" s="150"/>
      <c r="P273" s="150"/>
      <c r="Q273" s="151"/>
      <c r="R273" s="154" t="s">
        <v>348</v>
      </c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  <c r="AC273" s="150"/>
      <c r="AD273" s="150"/>
      <c r="AE273" s="150"/>
      <c r="AF273" s="150"/>
      <c r="AG273" s="150"/>
      <c r="AH273" s="150"/>
      <c r="AI273" s="150"/>
      <c r="AJ273" s="151"/>
      <c r="AK273" s="143" t="s">
        <v>330</v>
      </c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144"/>
    </row>
    <row r="274" spans="2:61" ht="20.100000000000001" customHeight="1" x14ac:dyDescent="0.45">
      <c r="B274" s="138"/>
      <c r="C274" s="31"/>
      <c r="D274" s="31"/>
      <c r="E274" s="31"/>
      <c r="F274" s="31"/>
      <c r="G274" s="139"/>
      <c r="H274" s="140"/>
      <c r="I274" s="31"/>
      <c r="J274" s="149" t="s">
        <v>228</v>
      </c>
      <c r="K274" s="150"/>
      <c r="L274" s="150"/>
      <c r="M274" s="150"/>
      <c r="N274" s="150"/>
      <c r="O274" s="150"/>
      <c r="P274" s="150"/>
      <c r="Q274" s="151"/>
      <c r="R274" s="154" t="s">
        <v>349</v>
      </c>
      <c r="S274" s="150"/>
      <c r="T274" s="150"/>
      <c r="U274" s="150"/>
      <c r="V274" s="150"/>
      <c r="W274" s="150"/>
      <c r="X274" s="150"/>
      <c r="Y274" s="150"/>
      <c r="Z274" s="150"/>
      <c r="AA274" s="150"/>
      <c r="AB274" s="150"/>
      <c r="AC274" s="150"/>
      <c r="AD274" s="150"/>
      <c r="AE274" s="150"/>
      <c r="AF274" s="150"/>
      <c r="AG274" s="150"/>
      <c r="AH274" s="150"/>
      <c r="AI274" s="150"/>
      <c r="AJ274" s="151"/>
      <c r="AK274" s="143" t="s">
        <v>285</v>
      </c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144"/>
    </row>
    <row r="275" spans="2:61" ht="20.100000000000001" customHeight="1" x14ac:dyDescent="0.45">
      <c r="B275" s="138"/>
      <c r="C275" s="31"/>
      <c r="D275" s="31"/>
      <c r="E275" s="31"/>
      <c r="F275" s="31"/>
      <c r="G275" s="139"/>
      <c r="H275" s="140"/>
      <c r="I275" s="31"/>
      <c r="J275" s="149" t="s">
        <v>229</v>
      </c>
      <c r="K275" s="150"/>
      <c r="L275" s="150"/>
      <c r="M275" s="150"/>
      <c r="N275" s="150"/>
      <c r="O275" s="150"/>
      <c r="P275" s="150"/>
      <c r="Q275" s="151"/>
      <c r="R275" s="150" t="s">
        <v>339</v>
      </c>
      <c r="S275" s="150"/>
      <c r="T275" s="150"/>
      <c r="U275" s="150"/>
      <c r="V275" s="150"/>
      <c r="W275" s="150"/>
      <c r="X275" s="150"/>
      <c r="Y275" s="150"/>
      <c r="Z275" s="150"/>
      <c r="AA275" s="150"/>
      <c r="AB275" s="150"/>
      <c r="AC275" s="150"/>
      <c r="AD275" s="150"/>
      <c r="AE275" s="150"/>
      <c r="AF275" s="150"/>
      <c r="AG275" s="150"/>
      <c r="AH275" s="150"/>
      <c r="AI275" s="150"/>
      <c r="AJ275" s="151"/>
      <c r="AK275" s="143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144"/>
    </row>
    <row r="276" spans="2:61" ht="20.100000000000001" customHeight="1" x14ac:dyDescent="0.45">
      <c r="B276" s="138"/>
      <c r="C276" s="31"/>
      <c r="D276" s="31"/>
      <c r="E276" s="31"/>
      <c r="F276" s="31"/>
      <c r="G276" s="139"/>
      <c r="H276" s="140"/>
      <c r="I276" s="31"/>
      <c r="J276" s="149" t="s">
        <v>287</v>
      </c>
      <c r="K276" s="150"/>
      <c r="L276" s="150"/>
      <c r="M276" s="150"/>
      <c r="N276" s="150"/>
      <c r="O276" s="150"/>
      <c r="P276" s="150"/>
      <c r="Q276" s="151"/>
      <c r="R276" s="150" t="s">
        <v>340</v>
      </c>
      <c r="S276" s="150"/>
      <c r="T276" s="150"/>
      <c r="U276" s="150"/>
      <c r="V276" s="150"/>
      <c r="W276" s="150"/>
      <c r="X276" s="150"/>
      <c r="Y276" s="150"/>
      <c r="Z276" s="150"/>
      <c r="AA276" s="150"/>
      <c r="AB276" s="150"/>
      <c r="AC276" s="150"/>
      <c r="AD276" s="150"/>
      <c r="AE276" s="150"/>
      <c r="AF276" s="150"/>
      <c r="AG276" s="150"/>
      <c r="AH276" s="150"/>
      <c r="AI276" s="150"/>
      <c r="AJ276" s="151"/>
      <c r="AK276" s="143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144"/>
    </row>
    <row r="277" spans="2:61" ht="20.100000000000001" customHeight="1" x14ac:dyDescent="0.45">
      <c r="B277" s="138"/>
      <c r="C277" s="31"/>
      <c r="D277" s="31"/>
      <c r="E277" s="31"/>
      <c r="F277" s="31"/>
      <c r="G277" s="139"/>
      <c r="H277" s="140"/>
      <c r="I277" s="31"/>
      <c r="J277" s="149" t="s">
        <v>288</v>
      </c>
      <c r="K277" s="150"/>
      <c r="L277" s="150"/>
      <c r="M277" s="150"/>
      <c r="N277" s="150"/>
      <c r="O277" s="150"/>
      <c r="P277" s="150"/>
      <c r="Q277" s="151"/>
      <c r="R277" s="150" t="s">
        <v>341</v>
      </c>
      <c r="S277" s="150"/>
      <c r="T277" s="150"/>
      <c r="U277" s="150"/>
      <c r="V277" s="150"/>
      <c r="W277" s="150"/>
      <c r="X277" s="150"/>
      <c r="Y277" s="150"/>
      <c r="Z277" s="150"/>
      <c r="AA277" s="150"/>
      <c r="AB277" s="150"/>
      <c r="AC277" s="150"/>
      <c r="AD277" s="150"/>
      <c r="AE277" s="150"/>
      <c r="AF277" s="150"/>
      <c r="AG277" s="150"/>
      <c r="AH277" s="150"/>
      <c r="AI277" s="150"/>
      <c r="AJ277" s="151"/>
      <c r="AK277" s="143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144"/>
    </row>
    <row r="278" spans="2:61" ht="20.100000000000001" customHeight="1" x14ac:dyDescent="0.45">
      <c r="B278" s="138"/>
      <c r="C278" s="31"/>
      <c r="D278" s="31"/>
      <c r="E278" s="31"/>
      <c r="F278" s="31"/>
      <c r="G278" s="139"/>
      <c r="H278" s="140"/>
      <c r="I278" s="31"/>
      <c r="J278" s="149" t="s">
        <v>289</v>
      </c>
      <c r="K278" s="150"/>
      <c r="L278" s="150"/>
      <c r="M278" s="150"/>
      <c r="N278" s="150"/>
      <c r="O278" s="150"/>
      <c r="P278" s="150"/>
      <c r="Q278" s="151"/>
      <c r="R278" s="150" t="s">
        <v>342</v>
      </c>
      <c r="S278" s="150"/>
      <c r="T278" s="150"/>
      <c r="U278" s="150"/>
      <c r="V278" s="150"/>
      <c r="W278" s="150"/>
      <c r="X278" s="150"/>
      <c r="Y278" s="150"/>
      <c r="Z278" s="150"/>
      <c r="AA278" s="150"/>
      <c r="AB278" s="150"/>
      <c r="AC278" s="150"/>
      <c r="AD278" s="150"/>
      <c r="AE278" s="150"/>
      <c r="AF278" s="150"/>
      <c r="AG278" s="150"/>
      <c r="AH278" s="150"/>
      <c r="AI278" s="150"/>
      <c r="AJ278" s="151"/>
      <c r="AK278" s="143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144"/>
    </row>
    <row r="279" spans="2:61" ht="20.100000000000001" customHeight="1" x14ac:dyDescent="0.45">
      <c r="B279" s="138"/>
      <c r="C279" s="31"/>
      <c r="D279" s="31"/>
      <c r="E279" s="31"/>
      <c r="F279" s="31"/>
      <c r="G279" s="139"/>
      <c r="H279" s="140"/>
      <c r="I279" s="31"/>
      <c r="J279" s="149" t="s">
        <v>290</v>
      </c>
      <c r="K279" s="150"/>
      <c r="L279" s="150"/>
      <c r="M279" s="150"/>
      <c r="N279" s="150"/>
      <c r="O279" s="150"/>
      <c r="P279" s="150"/>
      <c r="Q279" s="151"/>
      <c r="R279" s="150" t="s">
        <v>343</v>
      </c>
      <c r="S279" s="150"/>
      <c r="T279" s="150"/>
      <c r="U279" s="150"/>
      <c r="V279" s="150"/>
      <c r="W279" s="150"/>
      <c r="X279" s="150"/>
      <c r="Y279" s="150"/>
      <c r="Z279" s="150"/>
      <c r="AA279" s="150"/>
      <c r="AB279" s="150"/>
      <c r="AC279" s="150"/>
      <c r="AD279" s="150"/>
      <c r="AE279" s="150"/>
      <c r="AF279" s="150"/>
      <c r="AG279" s="150"/>
      <c r="AH279" s="150"/>
      <c r="AI279" s="150"/>
      <c r="AJ279" s="151"/>
      <c r="AK279" s="143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144"/>
    </row>
    <row r="280" spans="2:61" ht="20.100000000000001" customHeight="1" x14ac:dyDescent="0.45">
      <c r="B280" s="138"/>
      <c r="C280" s="31"/>
      <c r="D280" s="31"/>
      <c r="E280" s="31"/>
      <c r="F280" s="31"/>
      <c r="G280" s="139"/>
      <c r="H280" s="140"/>
      <c r="I280" s="31"/>
      <c r="J280" s="149" t="s">
        <v>291</v>
      </c>
      <c r="K280" s="150"/>
      <c r="L280" s="150"/>
      <c r="M280" s="150"/>
      <c r="N280" s="150"/>
      <c r="O280" s="150"/>
      <c r="P280" s="150"/>
      <c r="Q280" s="151"/>
      <c r="R280" s="150" t="s">
        <v>344</v>
      </c>
      <c r="S280" s="150"/>
      <c r="T280" s="150"/>
      <c r="U280" s="150"/>
      <c r="V280" s="150"/>
      <c r="W280" s="150"/>
      <c r="X280" s="150"/>
      <c r="Y280" s="150"/>
      <c r="Z280" s="150"/>
      <c r="AA280" s="150"/>
      <c r="AB280" s="150"/>
      <c r="AC280" s="150"/>
      <c r="AD280" s="150"/>
      <c r="AE280" s="150"/>
      <c r="AF280" s="150"/>
      <c r="AG280" s="150"/>
      <c r="AH280" s="150"/>
      <c r="AI280" s="150"/>
      <c r="AJ280" s="151"/>
      <c r="AK280" s="143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144"/>
    </row>
    <row r="281" spans="2:61" ht="20.100000000000001" customHeight="1" x14ac:dyDescent="0.45">
      <c r="B281" s="138"/>
      <c r="C281" s="31"/>
      <c r="D281" s="31"/>
      <c r="E281" s="31"/>
      <c r="F281" s="31"/>
      <c r="G281" s="139"/>
      <c r="H281" s="140"/>
      <c r="I281" s="31"/>
      <c r="J281" s="149" t="s">
        <v>230</v>
      </c>
      <c r="K281" s="150"/>
      <c r="L281" s="150"/>
      <c r="M281" s="150"/>
      <c r="N281" s="150"/>
      <c r="O281" s="150"/>
      <c r="P281" s="150"/>
      <c r="Q281" s="151"/>
      <c r="R281" s="150" t="s">
        <v>258</v>
      </c>
      <c r="S281" s="150"/>
      <c r="T281" s="150"/>
      <c r="U281" s="150"/>
      <c r="V281" s="150"/>
      <c r="W281" s="150"/>
      <c r="X281" s="150"/>
      <c r="Y281" s="150"/>
      <c r="Z281" s="150"/>
      <c r="AA281" s="150"/>
      <c r="AB281" s="150"/>
      <c r="AC281" s="150"/>
      <c r="AD281" s="150"/>
      <c r="AE281" s="150"/>
      <c r="AF281" s="150"/>
      <c r="AG281" s="150"/>
      <c r="AH281" s="150"/>
      <c r="AI281" s="150"/>
      <c r="AJ281" s="151"/>
      <c r="AK281" s="143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144"/>
    </row>
    <row r="282" spans="2:61" ht="20.100000000000001" customHeight="1" x14ac:dyDescent="0.45">
      <c r="B282" s="138"/>
      <c r="C282" s="31"/>
      <c r="D282" s="31"/>
      <c r="E282" s="31"/>
      <c r="F282" s="31"/>
      <c r="G282" s="139"/>
      <c r="H282" s="140"/>
      <c r="I282" s="31"/>
      <c r="J282" s="149" t="s">
        <v>231</v>
      </c>
      <c r="K282" s="150"/>
      <c r="L282" s="150"/>
      <c r="M282" s="150"/>
      <c r="N282" s="150"/>
      <c r="O282" s="150"/>
      <c r="P282" s="150"/>
      <c r="Q282" s="151"/>
      <c r="R282" s="150" t="s">
        <v>259</v>
      </c>
      <c r="S282" s="150"/>
      <c r="T282" s="150"/>
      <c r="U282" s="150"/>
      <c r="V282" s="150"/>
      <c r="W282" s="150"/>
      <c r="X282" s="150"/>
      <c r="Y282" s="150"/>
      <c r="Z282" s="150"/>
      <c r="AA282" s="150"/>
      <c r="AB282" s="150"/>
      <c r="AC282" s="150"/>
      <c r="AD282" s="150"/>
      <c r="AE282" s="150"/>
      <c r="AF282" s="150"/>
      <c r="AG282" s="150"/>
      <c r="AH282" s="150"/>
      <c r="AI282" s="150"/>
      <c r="AJ282" s="151"/>
      <c r="AK282" s="143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144"/>
    </row>
    <row r="283" spans="2:61" ht="20.100000000000001" customHeight="1" x14ac:dyDescent="0.45">
      <c r="B283" s="138"/>
      <c r="C283" s="31"/>
      <c r="D283" s="31"/>
      <c r="E283" s="31"/>
      <c r="F283" s="31"/>
      <c r="G283" s="139"/>
      <c r="H283" s="140"/>
      <c r="I283" s="31"/>
      <c r="J283" s="149" t="s">
        <v>232</v>
      </c>
      <c r="K283" s="150"/>
      <c r="L283" s="150"/>
      <c r="M283" s="150"/>
      <c r="N283" s="150"/>
      <c r="O283" s="150"/>
      <c r="P283" s="150"/>
      <c r="Q283" s="151"/>
      <c r="R283" s="150" t="s">
        <v>260</v>
      </c>
      <c r="S283" s="150"/>
      <c r="T283" s="150"/>
      <c r="U283" s="150"/>
      <c r="V283" s="150"/>
      <c r="W283" s="150"/>
      <c r="X283" s="150"/>
      <c r="Y283" s="150"/>
      <c r="Z283" s="150"/>
      <c r="AA283" s="150"/>
      <c r="AB283" s="150"/>
      <c r="AC283" s="150"/>
      <c r="AD283" s="150"/>
      <c r="AE283" s="150"/>
      <c r="AF283" s="150"/>
      <c r="AG283" s="150"/>
      <c r="AH283" s="150"/>
      <c r="AI283" s="150"/>
      <c r="AJ283" s="151"/>
      <c r="AK283" s="143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144"/>
    </row>
    <row r="284" spans="2:61" ht="20.100000000000001" customHeight="1" x14ac:dyDescent="0.45">
      <c r="B284" s="138"/>
      <c r="C284" s="31"/>
      <c r="D284" s="31"/>
      <c r="E284" s="31"/>
      <c r="F284" s="31"/>
      <c r="G284" s="139"/>
      <c r="H284" s="140"/>
      <c r="I284" s="31"/>
      <c r="J284" s="149" t="s">
        <v>233</v>
      </c>
      <c r="K284" s="150"/>
      <c r="L284" s="150"/>
      <c r="M284" s="150"/>
      <c r="N284" s="150"/>
      <c r="O284" s="150"/>
      <c r="P284" s="150"/>
      <c r="Q284" s="151"/>
      <c r="R284" s="150" t="s">
        <v>261</v>
      </c>
      <c r="S284" s="150"/>
      <c r="T284" s="150"/>
      <c r="U284" s="150"/>
      <c r="V284" s="150"/>
      <c r="W284" s="150"/>
      <c r="X284" s="150"/>
      <c r="Y284" s="150"/>
      <c r="Z284" s="150"/>
      <c r="AA284" s="150"/>
      <c r="AB284" s="150"/>
      <c r="AC284" s="150"/>
      <c r="AD284" s="150"/>
      <c r="AE284" s="150"/>
      <c r="AF284" s="150"/>
      <c r="AG284" s="150"/>
      <c r="AH284" s="150"/>
      <c r="AI284" s="150"/>
      <c r="AJ284" s="151"/>
      <c r="AK284" s="143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144"/>
    </row>
    <row r="285" spans="2:61" ht="20.100000000000001" customHeight="1" x14ac:dyDescent="0.45">
      <c r="B285" s="138"/>
      <c r="C285" s="31"/>
      <c r="D285" s="31"/>
      <c r="E285" s="31"/>
      <c r="F285" s="31"/>
      <c r="G285" s="139"/>
      <c r="H285" s="140"/>
      <c r="I285" s="31"/>
      <c r="J285" s="149" t="s">
        <v>234</v>
      </c>
      <c r="K285" s="150"/>
      <c r="L285" s="150"/>
      <c r="M285" s="150"/>
      <c r="N285" s="150"/>
      <c r="O285" s="150"/>
      <c r="P285" s="150"/>
      <c r="Q285" s="151"/>
      <c r="R285" s="150" t="s">
        <v>262</v>
      </c>
      <c r="S285" s="150"/>
      <c r="T285" s="150"/>
      <c r="U285" s="150"/>
      <c r="V285" s="150"/>
      <c r="W285" s="150"/>
      <c r="X285" s="150"/>
      <c r="Y285" s="150"/>
      <c r="Z285" s="150"/>
      <c r="AA285" s="150"/>
      <c r="AB285" s="150"/>
      <c r="AC285" s="150"/>
      <c r="AD285" s="150"/>
      <c r="AE285" s="150"/>
      <c r="AF285" s="150"/>
      <c r="AG285" s="150"/>
      <c r="AH285" s="150"/>
      <c r="AI285" s="150"/>
      <c r="AJ285" s="151"/>
      <c r="AK285" s="143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144"/>
    </row>
    <row r="286" spans="2:61" ht="20.100000000000001" customHeight="1" x14ac:dyDescent="0.45">
      <c r="B286" s="138"/>
      <c r="C286" s="31"/>
      <c r="D286" s="31"/>
      <c r="E286" s="31"/>
      <c r="F286" s="31"/>
      <c r="G286" s="139"/>
      <c r="H286" s="140"/>
      <c r="I286" s="31"/>
      <c r="J286" s="149" t="s">
        <v>235</v>
      </c>
      <c r="K286" s="150"/>
      <c r="L286" s="150"/>
      <c r="M286" s="150"/>
      <c r="N286" s="150"/>
      <c r="O286" s="150"/>
      <c r="P286" s="150"/>
      <c r="Q286" s="151"/>
      <c r="R286" s="150" t="s">
        <v>263</v>
      </c>
      <c r="S286" s="150"/>
      <c r="T286" s="150"/>
      <c r="U286" s="150"/>
      <c r="V286" s="150"/>
      <c r="W286" s="150"/>
      <c r="X286" s="150"/>
      <c r="Y286" s="150"/>
      <c r="Z286" s="150"/>
      <c r="AA286" s="150"/>
      <c r="AB286" s="150"/>
      <c r="AC286" s="150"/>
      <c r="AD286" s="150"/>
      <c r="AE286" s="150"/>
      <c r="AF286" s="150"/>
      <c r="AG286" s="150"/>
      <c r="AH286" s="150"/>
      <c r="AI286" s="150"/>
      <c r="AJ286" s="151"/>
      <c r="AK286" s="143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144"/>
    </row>
    <row r="287" spans="2:61" ht="20.100000000000001" customHeight="1" x14ac:dyDescent="0.45">
      <c r="B287" s="138"/>
      <c r="C287" s="31"/>
      <c r="D287" s="31"/>
      <c r="E287" s="31"/>
      <c r="F287" s="31"/>
      <c r="G287" s="139"/>
      <c r="H287" s="140"/>
      <c r="I287" s="31"/>
      <c r="J287" s="149" t="s">
        <v>236</v>
      </c>
      <c r="K287" s="150"/>
      <c r="L287" s="150"/>
      <c r="M287" s="150"/>
      <c r="N287" s="150"/>
      <c r="O287" s="150"/>
      <c r="P287" s="150"/>
      <c r="Q287" s="151"/>
      <c r="R287" s="150" t="s">
        <v>264</v>
      </c>
      <c r="S287" s="150"/>
      <c r="T287" s="150"/>
      <c r="U287" s="150"/>
      <c r="V287" s="150"/>
      <c r="W287" s="150"/>
      <c r="X287" s="150"/>
      <c r="Y287" s="150"/>
      <c r="Z287" s="150"/>
      <c r="AA287" s="150"/>
      <c r="AB287" s="150"/>
      <c r="AC287" s="150"/>
      <c r="AD287" s="150"/>
      <c r="AE287" s="150"/>
      <c r="AF287" s="150"/>
      <c r="AG287" s="150"/>
      <c r="AH287" s="150"/>
      <c r="AI287" s="150"/>
      <c r="AJ287" s="151"/>
      <c r="AK287" s="143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144"/>
    </row>
    <row r="288" spans="2:61" ht="20.100000000000001" customHeight="1" x14ac:dyDescent="0.45">
      <c r="B288" s="138"/>
      <c r="C288" s="31"/>
      <c r="D288" s="31"/>
      <c r="E288" s="31"/>
      <c r="F288" s="31"/>
      <c r="G288" s="139"/>
      <c r="H288" s="140"/>
      <c r="I288" s="31"/>
      <c r="J288" s="149" t="s">
        <v>237</v>
      </c>
      <c r="K288" s="150"/>
      <c r="L288" s="150"/>
      <c r="M288" s="150"/>
      <c r="N288" s="150"/>
      <c r="O288" s="150"/>
      <c r="P288" s="150"/>
      <c r="Q288" s="151"/>
      <c r="R288" s="150" t="s">
        <v>345</v>
      </c>
      <c r="S288" s="150"/>
      <c r="T288" s="150"/>
      <c r="U288" s="150"/>
      <c r="V288" s="150"/>
      <c r="W288" s="150"/>
      <c r="X288" s="150"/>
      <c r="Y288" s="150"/>
      <c r="Z288" s="150"/>
      <c r="AA288" s="150"/>
      <c r="AB288" s="150"/>
      <c r="AC288" s="150"/>
      <c r="AD288" s="150"/>
      <c r="AE288" s="150"/>
      <c r="AF288" s="150"/>
      <c r="AG288" s="150"/>
      <c r="AH288" s="150"/>
      <c r="AI288" s="150"/>
      <c r="AJ288" s="151"/>
      <c r="AK288" s="143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144"/>
    </row>
    <row r="289" spans="2:61" ht="20.100000000000001" customHeight="1" x14ac:dyDescent="0.45">
      <c r="B289" s="138"/>
      <c r="C289" s="31"/>
      <c r="D289" s="31"/>
      <c r="E289" s="31"/>
      <c r="F289" s="31"/>
      <c r="G289" s="139"/>
      <c r="H289" s="140"/>
      <c r="I289" s="31"/>
      <c r="J289" s="149" t="s">
        <v>238</v>
      </c>
      <c r="K289" s="150"/>
      <c r="L289" s="150"/>
      <c r="M289" s="150"/>
      <c r="N289" s="150"/>
      <c r="O289" s="150"/>
      <c r="P289" s="150"/>
      <c r="Q289" s="151"/>
      <c r="R289" s="150" t="s">
        <v>265</v>
      </c>
      <c r="S289" s="150"/>
      <c r="T289" s="150"/>
      <c r="U289" s="150"/>
      <c r="V289" s="150"/>
      <c r="W289" s="150"/>
      <c r="X289" s="150"/>
      <c r="Y289" s="150"/>
      <c r="Z289" s="150"/>
      <c r="AA289" s="150"/>
      <c r="AB289" s="150"/>
      <c r="AC289" s="150"/>
      <c r="AD289" s="150"/>
      <c r="AE289" s="150"/>
      <c r="AF289" s="150"/>
      <c r="AG289" s="150"/>
      <c r="AH289" s="150"/>
      <c r="AI289" s="150"/>
      <c r="AJ289" s="151"/>
      <c r="AK289" s="143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144"/>
    </row>
    <row r="290" spans="2:61" ht="20.100000000000001" customHeight="1" x14ac:dyDescent="0.45">
      <c r="B290" s="138"/>
      <c r="C290" s="31"/>
      <c r="D290" s="31"/>
      <c r="E290" s="31"/>
      <c r="F290" s="31"/>
      <c r="G290" s="139"/>
      <c r="H290" s="140"/>
      <c r="I290" s="31"/>
      <c r="J290" s="149" t="s">
        <v>239</v>
      </c>
      <c r="K290" s="150"/>
      <c r="L290" s="150"/>
      <c r="M290" s="150"/>
      <c r="N290" s="150"/>
      <c r="O290" s="150"/>
      <c r="P290" s="150"/>
      <c r="Q290" s="151"/>
      <c r="R290" s="150" t="s">
        <v>266</v>
      </c>
      <c r="S290" s="150"/>
      <c r="T290" s="150"/>
      <c r="U290" s="150"/>
      <c r="V290" s="150"/>
      <c r="W290" s="150"/>
      <c r="X290" s="150"/>
      <c r="Y290" s="150"/>
      <c r="Z290" s="150"/>
      <c r="AA290" s="150"/>
      <c r="AB290" s="150"/>
      <c r="AC290" s="150"/>
      <c r="AD290" s="150"/>
      <c r="AE290" s="150"/>
      <c r="AF290" s="150"/>
      <c r="AG290" s="150"/>
      <c r="AH290" s="150"/>
      <c r="AI290" s="150"/>
      <c r="AJ290" s="151"/>
      <c r="AK290" s="143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144"/>
    </row>
    <row r="291" spans="2:61" ht="20.100000000000001" customHeight="1" x14ac:dyDescent="0.45">
      <c r="B291" s="138"/>
      <c r="C291" s="31"/>
      <c r="D291" s="31"/>
      <c r="E291" s="31"/>
      <c r="F291" s="31"/>
      <c r="G291" s="139"/>
      <c r="H291" s="140"/>
      <c r="I291" s="31"/>
      <c r="J291" s="149" t="s">
        <v>240</v>
      </c>
      <c r="K291" s="150"/>
      <c r="L291" s="150"/>
      <c r="M291" s="150"/>
      <c r="N291" s="150"/>
      <c r="O291" s="150"/>
      <c r="P291" s="150"/>
      <c r="Q291" s="151"/>
      <c r="R291" s="150" t="s">
        <v>346</v>
      </c>
      <c r="S291" s="150"/>
      <c r="T291" s="150"/>
      <c r="U291" s="150"/>
      <c r="V291" s="150"/>
      <c r="W291" s="150"/>
      <c r="X291" s="150"/>
      <c r="Y291" s="150"/>
      <c r="Z291" s="150"/>
      <c r="AA291" s="150"/>
      <c r="AB291" s="150"/>
      <c r="AC291" s="150"/>
      <c r="AD291" s="150"/>
      <c r="AE291" s="150"/>
      <c r="AF291" s="150"/>
      <c r="AG291" s="150"/>
      <c r="AH291" s="150"/>
      <c r="AI291" s="150"/>
      <c r="AJ291" s="151"/>
      <c r="AK291" s="143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144"/>
    </row>
    <row r="292" spans="2:61" ht="20.100000000000001" customHeight="1" x14ac:dyDescent="0.45">
      <c r="B292" s="138"/>
      <c r="C292" s="31"/>
      <c r="D292" s="31"/>
      <c r="E292" s="31"/>
      <c r="F292" s="31"/>
      <c r="G292" s="139"/>
      <c r="H292" s="140"/>
      <c r="I292" s="31"/>
      <c r="J292" s="149" t="s">
        <v>241</v>
      </c>
      <c r="K292" s="150"/>
      <c r="L292" s="150"/>
      <c r="M292" s="150"/>
      <c r="N292" s="150"/>
      <c r="O292" s="150"/>
      <c r="P292" s="150"/>
      <c r="Q292" s="151"/>
      <c r="R292" s="150" t="s">
        <v>267</v>
      </c>
      <c r="S292" s="150"/>
      <c r="T292" s="150"/>
      <c r="U292" s="150"/>
      <c r="V292" s="150"/>
      <c r="W292" s="150"/>
      <c r="X292" s="150"/>
      <c r="Y292" s="150"/>
      <c r="Z292" s="150"/>
      <c r="AA292" s="150"/>
      <c r="AB292" s="150"/>
      <c r="AC292" s="150"/>
      <c r="AD292" s="150"/>
      <c r="AE292" s="150"/>
      <c r="AF292" s="150"/>
      <c r="AG292" s="150"/>
      <c r="AH292" s="150"/>
      <c r="AI292" s="150"/>
      <c r="AJ292" s="151"/>
      <c r="AK292" s="143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144"/>
    </row>
    <row r="293" spans="2:61" ht="20.100000000000001" customHeight="1" x14ac:dyDescent="0.45">
      <c r="B293" s="138"/>
      <c r="C293" s="31"/>
      <c r="D293" s="31"/>
      <c r="E293" s="31"/>
      <c r="F293" s="31"/>
      <c r="G293" s="139"/>
      <c r="H293" s="140"/>
      <c r="I293" s="31"/>
      <c r="J293" s="149" t="s">
        <v>242</v>
      </c>
      <c r="K293" s="150"/>
      <c r="L293" s="150"/>
      <c r="M293" s="150"/>
      <c r="N293" s="150"/>
      <c r="O293" s="150"/>
      <c r="P293" s="150"/>
      <c r="Q293" s="151"/>
      <c r="R293" s="150" t="s">
        <v>331</v>
      </c>
      <c r="S293" s="150"/>
      <c r="T293" s="150"/>
      <c r="U293" s="150"/>
      <c r="V293" s="150"/>
      <c r="W293" s="150"/>
      <c r="X293" s="150"/>
      <c r="Y293" s="150"/>
      <c r="Z293" s="150"/>
      <c r="AA293" s="150"/>
      <c r="AB293" s="150"/>
      <c r="AC293" s="150"/>
      <c r="AD293" s="150"/>
      <c r="AE293" s="150"/>
      <c r="AF293" s="150"/>
      <c r="AG293" s="150"/>
      <c r="AH293" s="150"/>
      <c r="AI293" s="150"/>
      <c r="AJ293" s="151"/>
      <c r="AK293" s="143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144"/>
    </row>
    <row r="294" spans="2:61" ht="20.100000000000001" customHeight="1" x14ac:dyDescent="0.45">
      <c r="B294" s="138"/>
      <c r="C294" s="31"/>
      <c r="D294" s="31"/>
      <c r="E294" s="31"/>
      <c r="F294" s="31"/>
      <c r="G294" s="139"/>
      <c r="H294" s="140"/>
      <c r="I294" s="31"/>
      <c r="J294" s="149" t="s">
        <v>243</v>
      </c>
      <c r="K294" s="150"/>
      <c r="L294" s="150"/>
      <c r="M294" s="150"/>
      <c r="N294" s="150"/>
      <c r="O294" s="150"/>
      <c r="P294" s="150"/>
      <c r="Q294" s="151"/>
      <c r="R294" s="150" t="s">
        <v>269</v>
      </c>
      <c r="S294" s="150"/>
      <c r="T294" s="150"/>
      <c r="U294" s="150"/>
      <c r="V294" s="150"/>
      <c r="W294" s="150"/>
      <c r="X294" s="150"/>
      <c r="Y294" s="150"/>
      <c r="Z294" s="150"/>
      <c r="AA294" s="150"/>
      <c r="AB294" s="150"/>
      <c r="AC294" s="150"/>
      <c r="AD294" s="150"/>
      <c r="AE294" s="150"/>
      <c r="AF294" s="150"/>
      <c r="AG294" s="150"/>
      <c r="AH294" s="150"/>
      <c r="AI294" s="150"/>
      <c r="AJ294" s="151"/>
      <c r="AK294" s="143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144"/>
    </row>
    <row r="295" spans="2:61" ht="20.100000000000001" customHeight="1" x14ac:dyDescent="0.45">
      <c r="B295" s="138"/>
      <c r="C295" s="31"/>
      <c r="D295" s="31"/>
      <c r="E295" s="31"/>
      <c r="F295" s="31"/>
      <c r="G295" s="139"/>
      <c r="H295" s="140"/>
      <c r="I295" s="31"/>
      <c r="J295" s="149" t="s">
        <v>244</v>
      </c>
      <c r="K295" s="150"/>
      <c r="L295" s="150"/>
      <c r="M295" s="150"/>
      <c r="N295" s="150"/>
      <c r="O295" s="150"/>
      <c r="P295" s="150"/>
      <c r="Q295" s="151"/>
      <c r="R295" s="154" t="s">
        <v>347</v>
      </c>
      <c r="S295" s="150"/>
      <c r="T295" s="150"/>
      <c r="U295" s="150"/>
      <c r="V295" s="150"/>
      <c r="W295" s="150"/>
      <c r="X295" s="150"/>
      <c r="Y295" s="150"/>
      <c r="Z295" s="150"/>
      <c r="AA295" s="150"/>
      <c r="AB295" s="150"/>
      <c r="AC295" s="150"/>
      <c r="AD295" s="150"/>
      <c r="AE295" s="150"/>
      <c r="AF295" s="150"/>
      <c r="AG295" s="150"/>
      <c r="AH295" s="150"/>
      <c r="AI295" s="150"/>
      <c r="AJ295" s="151"/>
      <c r="AK295" s="143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144"/>
    </row>
    <row r="296" spans="2:61" ht="20.100000000000001" customHeight="1" x14ac:dyDescent="0.45">
      <c r="B296" s="138"/>
      <c r="C296" s="31"/>
      <c r="D296" s="31"/>
      <c r="E296" s="31"/>
      <c r="F296" s="31"/>
      <c r="G296" s="139"/>
      <c r="H296" s="140"/>
      <c r="I296" s="31"/>
      <c r="J296" s="149" t="s">
        <v>168</v>
      </c>
      <c r="K296" s="150"/>
      <c r="L296" s="150"/>
      <c r="M296" s="150"/>
      <c r="N296" s="150"/>
      <c r="O296" s="150"/>
      <c r="P296" s="150"/>
      <c r="Q296" s="151"/>
      <c r="R296" s="150" t="s">
        <v>332</v>
      </c>
      <c r="S296" s="150"/>
      <c r="T296" s="150"/>
      <c r="U296" s="150"/>
      <c r="V296" s="150"/>
      <c r="W296" s="150"/>
      <c r="X296" s="150"/>
      <c r="Y296" s="150"/>
      <c r="Z296" s="150"/>
      <c r="AA296" s="150"/>
      <c r="AB296" s="150"/>
      <c r="AC296" s="150"/>
      <c r="AD296" s="150"/>
      <c r="AE296" s="150"/>
      <c r="AF296" s="150"/>
      <c r="AG296" s="150"/>
      <c r="AH296" s="150"/>
      <c r="AI296" s="150"/>
      <c r="AJ296" s="151"/>
      <c r="AK296" s="143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144"/>
    </row>
    <row r="297" spans="2:61" ht="20.100000000000001" customHeight="1" x14ac:dyDescent="0.45">
      <c r="B297" s="138"/>
      <c r="C297" s="31"/>
      <c r="D297" s="31"/>
      <c r="E297" s="31"/>
      <c r="F297" s="31"/>
      <c r="G297" s="139"/>
      <c r="H297" s="140"/>
      <c r="I297" s="31"/>
      <c r="J297" s="149" t="s">
        <v>245</v>
      </c>
      <c r="K297" s="150"/>
      <c r="L297" s="150"/>
      <c r="M297" s="150"/>
      <c r="N297" s="150"/>
      <c r="O297" s="150"/>
      <c r="P297" s="150"/>
      <c r="Q297" s="151"/>
      <c r="R297" s="150" t="s">
        <v>333</v>
      </c>
      <c r="S297" s="150"/>
      <c r="T297" s="150"/>
      <c r="U297" s="150"/>
      <c r="V297" s="150"/>
      <c r="W297" s="150"/>
      <c r="X297" s="150"/>
      <c r="Y297" s="150"/>
      <c r="Z297" s="150"/>
      <c r="AA297" s="150"/>
      <c r="AB297" s="150"/>
      <c r="AC297" s="150"/>
      <c r="AD297" s="150"/>
      <c r="AE297" s="150"/>
      <c r="AF297" s="150"/>
      <c r="AG297" s="150"/>
      <c r="AH297" s="150"/>
      <c r="AI297" s="150"/>
      <c r="AJ297" s="151"/>
      <c r="AK297" s="143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144"/>
    </row>
    <row r="298" spans="2:61" ht="20.100000000000001" customHeight="1" x14ac:dyDescent="0.45">
      <c r="B298" s="138"/>
      <c r="C298" s="31"/>
      <c r="D298" s="31"/>
      <c r="E298" s="31"/>
      <c r="F298" s="31"/>
      <c r="G298" s="139"/>
      <c r="H298" s="140"/>
      <c r="I298" s="31"/>
      <c r="J298" s="149" t="s">
        <v>246</v>
      </c>
      <c r="K298" s="150"/>
      <c r="L298" s="150"/>
      <c r="M298" s="150"/>
      <c r="N298" s="150"/>
      <c r="O298" s="150"/>
      <c r="P298" s="150"/>
      <c r="Q298" s="151"/>
      <c r="R298" s="150" t="s">
        <v>270</v>
      </c>
      <c r="S298" s="150"/>
      <c r="T298" s="150"/>
      <c r="U298" s="150"/>
      <c r="V298" s="150"/>
      <c r="W298" s="150"/>
      <c r="X298" s="150"/>
      <c r="Y298" s="150"/>
      <c r="Z298" s="150"/>
      <c r="AA298" s="150"/>
      <c r="AB298" s="150"/>
      <c r="AC298" s="150"/>
      <c r="AD298" s="150"/>
      <c r="AE298" s="150"/>
      <c r="AF298" s="150"/>
      <c r="AG298" s="150"/>
      <c r="AH298" s="150"/>
      <c r="AI298" s="150"/>
      <c r="AJ298" s="151"/>
      <c r="AK298" s="143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144"/>
    </row>
    <row r="299" spans="2:61" ht="20.100000000000001" customHeight="1" x14ac:dyDescent="0.45">
      <c r="B299" s="138"/>
      <c r="C299" s="31"/>
      <c r="D299" s="31"/>
      <c r="E299" s="31"/>
      <c r="F299" s="31"/>
      <c r="G299" s="139"/>
      <c r="H299" s="140"/>
      <c r="I299" s="31"/>
      <c r="J299" s="149" t="s">
        <v>248</v>
      </c>
      <c r="K299" s="150"/>
      <c r="L299" s="150"/>
      <c r="M299" s="150"/>
      <c r="N299" s="150"/>
      <c r="O299" s="150"/>
      <c r="P299" s="150"/>
      <c r="Q299" s="151"/>
      <c r="R299" s="150" t="s">
        <v>334</v>
      </c>
      <c r="S299" s="150"/>
      <c r="T299" s="150"/>
      <c r="U299" s="150"/>
      <c r="V299" s="150"/>
      <c r="W299" s="150"/>
      <c r="X299" s="150"/>
      <c r="Y299" s="150"/>
      <c r="Z299" s="150"/>
      <c r="AA299" s="150"/>
      <c r="AB299" s="150"/>
      <c r="AC299" s="150"/>
      <c r="AD299" s="150"/>
      <c r="AE299" s="150"/>
      <c r="AF299" s="150"/>
      <c r="AG299" s="150"/>
      <c r="AH299" s="150"/>
      <c r="AI299" s="150"/>
      <c r="AJ299" s="151"/>
      <c r="AK299" s="143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144"/>
    </row>
    <row r="300" spans="2:61" ht="20.100000000000001" customHeight="1" x14ac:dyDescent="0.45">
      <c r="B300" s="138"/>
      <c r="C300" s="31"/>
      <c r="D300" s="31"/>
      <c r="E300" s="31"/>
      <c r="F300" s="31"/>
      <c r="G300" s="139"/>
      <c r="H300" s="140"/>
      <c r="I300" s="31"/>
      <c r="J300" s="149" t="s">
        <v>247</v>
      </c>
      <c r="K300" s="150"/>
      <c r="L300" s="150"/>
      <c r="M300" s="150"/>
      <c r="N300" s="150"/>
      <c r="O300" s="150"/>
      <c r="P300" s="150"/>
      <c r="Q300" s="151"/>
      <c r="R300" s="150" t="s">
        <v>271</v>
      </c>
      <c r="S300" s="150"/>
      <c r="T300" s="150"/>
      <c r="U300" s="150"/>
      <c r="V300" s="150"/>
      <c r="W300" s="150"/>
      <c r="X300" s="150"/>
      <c r="Y300" s="150"/>
      <c r="Z300" s="150"/>
      <c r="AA300" s="150"/>
      <c r="AB300" s="150"/>
      <c r="AC300" s="150"/>
      <c r="AD300" s="150"/>
      <c r="AE300" s="150"/>
      <c r="AF300" s="150"/>
      <c r="AG300" s="150"/>
      <c r="AH300" s="150"/>
      <c r="AI300" s="150"/>
      <c r="AJ300" s="151"/>
      <c r="AK300" s="143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144"/>
    </row>
    <row r="301" spans="2:61" ht="20.100000000000001" customHeight="1" x14ac:dyDescent="0.45">
      <c r="B301" s="138"/>
      <c r="C301" s="31"/>
      <c r="D301" s="31"/>
      <c r="E301" s="31"/>
      <c r="F301" s="31"/>
      <c r="G301" s="139"/>
      <c r="H301" s="140"/>
      <c r="I301" s="31"/>
      <c r="J301" s="149" t="s">
        <v>249</v>
      </c>
      <c r="K301" s="150"/>
      <c r="L301" s="150"/>
      <c r="M301" s="150"/>
      <c r="N301" s="150"/>
      <c r="O301" s="150"/>
      <c r="P301" s="150"/>
      <c r="Q301" s="151"/>
      <c r="R301" s="150" t="s">
        <v>272</v>
      </c>
      <c r="S301" s="150"/>
      <c r="T301" s="150"/>
      <c r="U301" s="150"/>
      <c r="V301" s="150"/>
      <c r="W301" s="150"/>
      <c r="X301" s="150"/>
      <c r="Y301" s="150"/>
      <c r="Z301" s="150"/>
      <c r="AA301" s="150"/>
      <c r="AB301" s="150"/>
      <c r="AC301" s="150"/>
      <c r="AD301" s="150"/>
      <c r="AE301" s="150"/>
      <c r="AF301" s="150"/>
      <c r="AG301" s="150"/>
      <c r="AH301" s="150"/>
      <c r="AI301" s="150"/>
      <c r="AJ301" s="151"/>
      <c r="AK301" s="143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144"/>
    </row>
    <row r="302" spans="2:61" ht="20.100000000000001" customHeight="1" x14ac:dyDescent="0.45">
      <c r="B302" s="138"/>
      <c r="C302" s="31"/>
      <c r="D302" s="31"/>
      <c r="E302" s="31"/>
      <c r="F302" s="31"/>
      <c r="G302" s="139"/>
      <c r="H302" s="140"/>
      <c r="I302" s="31"/>
      <c r="J302" s="149" t="s">
        <v>250</v>
      </c>
      <c r="K302" s="150"/>
      <c r="L302" s="150"/>
      <c r="M302" s="150"/>
      <c r="N302" s="150"/>
      <c r="O302" s="150"/>
      <c r="P302" s="150"/>
      <c r="Q302" s="151"/>
      <c r="R302" s="150" t="s">
        <v>273</v>
      </c>
      <c r="S302" s="150"/>
      <c r="T302" s="150"/>
      <c r="U302" s="150"/>
      <c r="V302" s="150"/>
      <c r="W302" s="150"/>
      <c r="X302" s="150"/>
      <c r="Y302" s="150"/>
      <c r="Z302" s="150"/>
      <c r="AA302" s="150"/>
      <c r="AB302" s="150"/>
      <c r="AC302" s="150"/>
      <c r="AD302" s="150"/>
      <c r="AE302" s="150"/>
      <c r="AF302" s="150"/>
      <c r="AG302" s="150"/>
      <c r="AH302" s="150"/>
      <c r="AI302" s="150"/>
      <c r="AJ302" s="151"/>
      <c r="AK302" s="143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144"/>
    </row>
    <row r="303" spans="2:61" ht="20.100000000000001" customHeight="1" x14ac:dyDescent="0.45">
      <c r="B303" s="138"/>
      <c r="C303" s="31"/>
      <c r="D303" s="31"/>
      <c r="E303" s="31"/>
      <c r="F303" s="31"/>
      <c r="G303" s="139"/>
      <c r="H303" s="140"/>
      <c r="I303" s="31"/>
      <c r="J303" s="149" t="s">
        <v>251</v>
      </c>
      <c r="K303" s="150"/>
      <c r="L303" s="150"/>
      <c r="M303" s="150"/>
      <c r="N303" s="150"/>
      <c r="O303" s="150"/>
      <c r="P303" s="150"/>
      <c r="Q303" s="151"/>
      <c r="R303" s="150" t="s">
        <v>274</v>
      </c>
      <c r="S303" s="150"/>
      <c r="T303" s="150"/>
      <c r="U303" s="150"/>
      <c r="V303" s="150"/>
      <c r="W303" s="150"/>
      <c r="X303" s="150"/>
      <c r="Y303" s="150"/>
      <c r="Z303" s="150"/>
      <c r="AA303" s="150"/>
      <c r="AB303" s="150"/>
      <c r="AC303" s="150"/>
      <c r="AD303" s="150"/>
      <c r="AE303" s="150"/>
      <c r="AF303" s="150"/>
      <c r="AG303" s="150"/>
      <c r="AH303" s="150"/>
      <c r="AI303" s="150"/>
      <c r="AJ303" s="151"/>
      <c r="AK303" s="143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144"/>
    </row>
    <row r="304" spans="2:61" ht="20.100000000000001" customHeight="1" x14ac:dyDescent="0.45">
      <c r="B304" s="138"/>
      <c r="C304" s="31"/>
      <c r="D304" s="31"/>
      <c r="E304" s="31"/>
      <c r="F304" s="31"/>
      <c r="G304" s="139"/>
      <c r="H304" s="140"/>
      <c r="I304" s="31"/>
      <c r="J304" s="149" t="s">
        <v>252</v>
      </c>
      <c r="K304" s="150"/>
      <c r="L304" s="150"/>
      <c r="M304" s="150"/>
      <c r="N304" s="150"/>
      <c r="O304" s="150"/>
      <c r="P304" s="150"/>
      <c r="Q304" s="151"/>
      <c r="R304" s="150" t="s">
        <v>275</v>
      </c>
      <c r="S304" s="150"/>
      <c r="T304" s="150"/>
      <c r="U304" s="150"/>
      <c r="V304" s="150"/>
      <c r="W304" s="150"/>
      <c r="X304" s="150"/>
      <c r="Y304" s="150"/>
      <c r="Z304" s="150"/>
      <c r="AA304" s="150"/>
      <c r="AB304" s="150"/>
      <c r="AC304" s="150"/>
      <c r="AD304" s="150"/>
      <c r="AE304" s="150"/>
      <c r="AF304" s="150"/>
      <c r="AG304" s="150"/>
      <c r="AH304" s="150"/>
      <c r="AI304" s="150"/>
      <c r="AJ304" s="151"/>
      <c r="AK304" s="143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144"/>
    </row>
    <row r="305" spans="2:61" ht="20.100000000000001" customHeight="1" x14ac:dyDescent="0.45">
      <c r="B305" s="138"/>
      <c r="C305" s="31"/>
      <c r="D305" s="31"/>
      <c r="E305" s="31"/>
      <c r="F305" s="31"/>
      <c r="G305" s="139"/>
      <c r="H305" s="140"/>
      <c r="I305" s="31"/>
      <c r="J305" s="149" t="s">
        <v>253</v>
      </c>
      <c r="K305" s="150"/>
      <c r="L305" s="150"/>
      <c r="M305" s="150"/>
      <c r="N305" s="150"/>
      <c r="O305" s="150"/>
      <c r="P305" s="150"/>
      <c r="Q305" s="151"/>
      <c r="R305" s="150" t="s">
        <v>276</v>
      </c>
      <c r="S305" s="150"/>
      <c r="T305" s="150"/>
      <c r="U305" s="150"/>
      <c r="V305" s="150"/>
      <c r="W305" s="150"/>
      <c r="X305" s="150"/>
      <c r="Y305" s="150"/>
      <c r="Z305" s="150"/>
      <c r="AA305" s="150"/>
      <c r="AB305" s="150"/>
      <c r="AC305" s="150"/>
      <c r="AD305" s="150"/>
      <c r="AE305" s="150"/>
      <c r="AF305" s="150"/>
      <c r="AG305" s="150"/>
      <c r="AH305" s="150"/>
      <c r="AI305" s="150"/>
      <c r="AJ305" s="151"/>
      <c r="AK305" s="143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144"/>
    </row>
    <row r="306" spans="2:61" ht="20.100000000000001" customHeight="1" x14ac:dyDescent="0.45">
      <c r="B306" s="138"/>
      <c r="C306" s="31"/>
      <c r="D306" s="31"/>
      <c r="E306" s="31"/>
      <c r="F306" s="31"/>
      <c r="G306" s="139"/>
      <c r="H306" s="145" t="s">
        <v>169</v>
      </c>
      <c r="I306" s="55"/>
      <c r="J306" s="145" t="s">
        <v>218</v>
      </c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146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  <c r="BD306" s="55"/>
      <c r="BE306" s="55"/>
      <c r="BF306" s="55"/>
      <c r="BG306" s="55"/>
      <c r="BH306" s="55"/>
      <c r="BI306" s="147"/>
    </row>
    <row r="307" spans="2:61" ht="20.100000000000001" customHeight="1" x14ac:dyDescent="0.45">
      <c r="B307" s="148"/>
      <c r="C307" s="31"/>
      <c r="D307" s="31"/>
      <c r="E307" s="31"/>
      <c r="F307" s="31"/>
      <c r="G307" s="139"/>
      <c r="H307" s="145" t="s">
        <v>171</v>
      </c>
      <c r="I307" s="55"/>
      <c r="J307" s="152" t="s">
        <v>219</v>
      </c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146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  <c r="BD307" s="55"/>
      <c r="BE307" s="55"/>
      <c r="BF307" s="55"/>
      <c r="BG307" s="55"/>
      <c r="BH307" s="55"/>
      <c r="BI307" s="147"/>
    </row>
    <row r="308" spans="2:61" ht="20.100000000000001" customHeight="1" x14ac:dyDescent="0.45">
      <c r="B308" s="148"/>
      <c r="C308" s="31"/>
      <c r="D308" s="31"/>
      <c r="E308" s="31"/>
      <c r="F308" s="31"/>
      <c r="G308" s="139"/>
      <c r="H308" s="145" t="s">
        <v>173</v>
      </c>
      <c r="I308" s="55"/>
      <c r="J308" s="145" t="s">
        <v>304</v>
      </c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146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  <c r="BD308" s="55"/>
      <c r="BE308" s="55"/>
      <c r="BF308" s="55"/>
      <c r="BG308" s="55"/>
      <c r="BH308" s="55"/>
      <c r="BI308" s="147"/>
    </row>
    <row r="309" spans="2:61" ht="20.100000000000001" customHeight="1" x14ac:dyDescent="0.45">
      <c r="B309" s="148"/>
      <c r="C309" s="31"/>
      <c r="D309" s="31"/>
      <c r="E309" s="31"/>
      <c r="F309" s="31"/>
      <c r="G309" s="139"/>
      <c r="H309" s="140"/>
      <c r="I309" s="31"/>
      <c r="J309" s="140"/>
      <c r="K309" s="31" t="s">
        <v>335</v>
      </c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143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144"/>
    </row>
    <row r="310" spans="2:61" ht="20.100000000000001" customHeight="1" x14ac:dyDescent="0.45">
      <c r="B310" s="148"/>
      <c r="C310" s="31"/>
      <c r="D310" s="31"/>
      <c r="E310" s="31"/>
      <c r="F310" s="31"/>
      <c r="G310" s="139"/>
      <c r="H310" s="140"/>
      <c r="I310" s="31"/>
      <c r="J310" s="140"/>
      <c r="K310" s="31" t="s">
        <v>336</v>
      </c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143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144"/>
    </row>
    <row r="311" spans="2:61" ht="20.100000000000001" customHeight="1" x14ac:dyDescent="0.45">
      <c r="B311" s="148"/>
      <c r="C311" s="31"/>
      <c r="D311" s="31"/>
      <c r="E311" s="31"/>
      <c r="F311" s="31"/>
      <c r="G311" s="139"/>
      <c r="H311" s="140"/>
      <c r="I311" s="31"/>
      <c r="J311" s="140"/>
      <c r="K311" s="31" t="s">
        <v>337</v>
      </c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143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144"/>
    </row>
    <row r="312" spans="2:61" ht="20.100000000000001" customHeight="1" thickBot="1" x14ac:dyDescent="0.5">
      <c r="B312" s="148"/>
      <c r="C312" s="31"/>
      <c r="D312" s="31"/>
      <c r="E312" s="31"/>
      <c r="F312" s="31"/>
      <c r="G312" s="139"/>
      <c r="H312" s="140"/>
      <c r="I312" s="31"/>
      <c r="J312" s="140"/>
      <c r="K312" s="31"/>
      <c r="L312" s="31" t="s">
        <v>338</v>
      </c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143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144"/>
    </row>
    <row r="313" spans="2:61" ht="20.100000000000001" customHeight="1" x14ac:dyDescent="0.45">
      <c r="B313" s="129" t="s">
        <v>352</v>
      </c>
      <c r="C313" s="130"/>
      <c r="D313" s="130"/>
      <c r="E313" s="130"/>
      <c r="F313" s="130"/>
      <c r="G313" s="131"/>
      <c r="H313" s="132" t="s">
        <v>159</v>
      </c>
      <c r="I313" s="130"/>
      <c r="J313" s="133" t="s">
        <v>160</v>
      </c>
      <c r="K313" s="134"/>
      <c r="L313" s="134"/>
      <c r="M313" s="134"/>
      <c r="N313" s="134"/>
      <c r="O313" s="134"/>
      <c r="P313" s="134"/>
      <c r="Q313" s="135"/>
      <c r="R313" s="134" t="s">
        <v>161</v>
      </c>
      <c r="S313" s="134"/>
      <c r="T313" s="134"/>
      <c r="U313" s="134"/>
      <c r="V313" s="134"/>
      <c r="W313" s="134"/>
      <c r="X313" s="134"/>
      <c r="Y313" s="134"/>
      <c r="Z313" s="134"/>
      <c r="AA313" s="134"/>
      <c r="AB313" s="134"/>
      <c r="AC313" s="134"/>
      <c r="AD313" s="134"/>
      <c r="AE313" s="134"/>
      <c r="AF313" s="134"/>
      <c r="AG313" s="134"/>
      <c r="AH313" s="134"/>
      <c r="AI313" s="134"/>
      <c r="AJ313" s="135"/>
      <c r="AK313" s="136"/>
      <c r="AL313" s="130"/>
      <c r="AM313" s="130"/>
      <c r="AN313" s="130"/>
      <c r="AO313" s="130"/>
      <c r="AP313" s="130"/>
      <c r="AQ313" s="130"/>
      <c r="AR313" s="130"/>
      <c r="AS313" s="130"/>
      <c r="AT313" s="130"/>
      <c r="AU313" s="130"/>
      <c r="AV313" s="130"/>
      <c r="AW313" s="130"/>
      <c r="AX313" s="130"/>
      <c r="AY313" s="130"/>
      <c r="AZ313" s="130"/>
      <c r="BA313" s="130"/>
      <c r="BB313" s="130"/>
      <c r="BC313" s="130"/>
      <c r="BD313" s="130"/>
      <c r="BE313" s="130"/>
      <c r="BF313" s="130"/>
      <c r="BG313" s="130"/>
      <c r="BH313" s="130"/>
      <c r="BI313" s="137"/>
    </row>
    <row r="314" spans="2:61" ht="20.100000000000001" customHeight="1" x14ac:dyDescent="0.45">
      <c r="B314" s="138"/>
      <c r="C314" s="31"/>
      <c r="D314" s="31"/>
      <c r="E314" s="31"/>
      <c r="F314" s="31"/>
      <c r="G314" s="139"/>
      <c r="H314" s="140"/>
      <c r="I314" s="31"/>
      <c r="J314" s="149" t="s">
        <v>227</v>
      </c>
      <c r="K314" s="150"/>
      <c r="L314" s="150"/>
      <c r="M314" s="150"/>
      <c r="N314" s="150"/>
      <c r="O314" s="150"/>
      <c r="P314" s="150"/>
      <c r="Q314" s="151"/>
      <c r="R314" s="154" t="s">
        <v>348</v>
      </c>
      <c r="S314" s="150"/>
      <c r="T314" s="150"/>
      <c r="U314" s="150"/>
      <c r="V314" s="150"/>
      <c r="W314" s="150"/>
      <c r="X314" s="150"/>
      <c r="Y314" s="150"/>
      <c r="Z314" s="150"/>
      <c r="AA314" s="150"/>
      <c r="AB314" s="150"/>
      <c r="AC314" s="150"/>
      <c r="AD314" s="150"/>
      <c r="AE314" s="150"/>
      <c r="AF314" s="150"/>
      <c r="AG314" s="150"/>
      <c r="AH314" s="150"/>
      <c r="AI314" s="150"/>
      <c r="AJ314" s="151"/>
      <c r="AK314" s="143" t="s">
        <v>330</v>
      </c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144"/>
    </row>
    <row r="315" spans="2:61" ht="20.100000000000001" customHeight="1" x14ac:dyDescent="0.45">
      <c r="B315" s="138"/>
      <c r="C315" s="31"/>
      <c r="D315" s="31"/>
      <c r="E315" s="31"/>
      <c r="F315" s="31"/>
      <c r="G315" s="139"/>
      <c r="H315" s="140"/>
      <c r="I315" s="31"/>
      <c r="J315" s="149" t="s">
        <v>228</v>
      </c>
      <c r="K315" s="150"/>
      <c r="L315" s="150"/>
      <c r="M315" s="150"/>
      <c r="N315" s="150"/>
      <c r="O315" s="150"/>
      <c r="P315" s="150"/>
      <c r="Q315" s="151"/>
      <c r="R315" s="154" t="s">
        <v>349</v>
      </c>
      <c r="S315" s="150"/>
      <c r="T315" s="150"/>
      <c r="U315" s="150"/>
      <c r="V315" s="150"/>
      <c r="W315" s="150"/>
      <c r="X315" s="150"/>
      <c r="Y315" s="150"/>
      <c r="Z315" s="150"/>
      <c r="AA315" s="150"/>
      <c r="AB315" s="150"/>
      <c r="AC315" s="150"/>
      <c r="AD315" s="150"/>
      <c r="AE315" s="150"/>
      <c r="AF315" s="150"/>
      <c r="AG315" s="150"/>
      <c r="AH315" s="150"/>
      <c r="AI315" s="150"/>
      <c r="AJ315" s="151"/>
      <c r="AK315" s="143" t="s">
        <v>286</v>
      </c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144"/>
    </row>
    <row r="316" spans="2:61" ht="20.100000000000001" customHeight="1" x14ac:dyDescent="0.45">
      <c r="B316" s="138"/>
      <c r="C316" s="31"/>
      <c r="D316" s="31"/>
      <c r="E316" s="31"/>
      <c r="F316" s="31"/>
      <c r="G316" s="139"/>
      <c r="H316" s="140"/>
      <c r="I316" s="31"/>
      <c r="J316" s="149" t="s">
        <v>229</v>
      </c>
      <c r="K316" s="150"/>
      <c r="L316" s="150"/>
      <c r="M316" s="150"/>
      <c r="N316" s="150"/>
      <c r="O316" s="150"/>
      <c r="P316" s="150"/>
      <c r="Q316" s="151"/>
      <c r="R316" s="150" t="s">
        <v>339</v>
      </c>
      <c r="S316" s="150"/>
      <c r="T316" s="150"/>
      <c r="U316" s="150"/>
      <c r="V316" s="150"/>
      <c r="W316" s="150"/>
      <c r="X316" s="150"/>
      <c r="Y316" s="150"/>
      <c r="Z316" s="150"/>
      <c r="AA316" s="150"/>
      <c r="AB316" s="150"/>
      <c r="AC316" s="150"/>
      <c r="AD316" s="150"/>
      <c r="AE316" s="150"/>
      <c r="AF316" s="150"/>
      <c r="AG316" s="150"/>
      <c r="AH316" s="150"/>
      <c r="AI316" s="150"/>
      <c r="AJ316" s="151"/>
      <c r="AK316" s="143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144"/>
    </row>
    <row r="317" spans="2:61" ht="20.100000000000001" customHeight="1" x14ac:dyDescent="0.45">
      <c r="B317" s="138"/>
      <c r="C317" s="31"/>
      <c r="D317" s="31"/>
      <c r="E317" s="31"/>
      <c r="F317" s="31"/>
      <c r="G317" s="139"/>
      <c r="H317" s="140"/>
      <c r="I317" s="31"/>
      <c r="J317" s="149" t="s">
        <v>287</v>
      </c>
      <c r="K317" s="150"/>
      <c r="L317" s="150"/>
      <c r="M317" s="150"/>
      <c r="N317" s="150"/>
      <c r="O317" s="150"/>
      <c r="P317" s="150"/>
      <c r="Q317" s="151"/>
      <c r="R317" s="150" t="s">
        <v>340</v>
      </c>
      <c r="S317" s="150"/>
      <c r="T317" s="150"/>
      <c r="U317" s="150"/>
      <c r="V317" s="150"/>
      <c r="W317" s="150"/>
      <c r="X317" s="150"/>
      <c r="Y317" s="150"/>
      <c r="Z317" s="150"/>
      <c r="AA317" s="150"/>
      <c r="AB317" s="150"/>
      <c r="AC317" s="150"/>
      <c r="AD317" s="150"/>
      <c r="AE317" s="150"/>
      <c r="AF317" s="150"/>
      <c r="AG317" s="150"/>
      <c r="AH317" s="150"/>
      <c r="AI317" s="150"/>
      <c r="AJ317" s="151"/>
      <c r="AK317" s="143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144"/>
    </row>
    <row r="318" spans="2:61" ht="20.100000000000001" customHeight="1" x14ac:dyDescent="0.45">
      <c r="B318" s="138"/>
      <c r="C318" s="31"/>
      <c r="D318" s="31"/>
      <c r="E318" s="31"/>
      <c r="F318" s="31"/>
      <c r="G318" s="139"/>
      <c r="H318" s="140"/>
      <c r="I318" s="31"/>
      <c r="J318" s="149" t="s">
        <v>288</v>
      </c>
      <c r="K318" s="150"/>
      <c r="L318" s="150"/>
      <c r="M318" s="150"/>
      <c r="N318" s="150"/>
      <c r="O318" s="150"/>
      <c r="P318" s="150"/>
      <c r="Q318" s="151"/>
      <c r="R318" s="150" t="s">
        <v>341</v>
      </c>
      <c r="S318" s="150"/>
      <c r="T318" s="150"/>
      <c r="U318" s="150"/>
      <c r="V318" s="150"/>
      <c r="W318" s="150"/>
      <c r="X318" s="150"/>
      <c r="Y318" s="150"/>
      <c r="Z318" s="150"/>
      <c r="AA318" s="150"/>
      <c r="AB318" s="150"/>
      <c r="AC318" s="150"/>
      <c r="AD318" s="150"/>
      <c r="AE318" s="150"/>
      <c r="AF318" s="150"/>
      <c r="AG318" s="150"/>
      <c r="AH318" s="150"/>
      <c r="AI318" s="150"/>
      <c r="AJ318" s="151"/>
      <c r="AK318" s="143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144"/>
    </row>
    <row r="319" spans="2:61" ht="20.100000000000001" customHeight="1" x14ac:dyDescent="0.45">
      <c r="B319" s="138"/>
      <c r="C319" s="31"/>
      <c r="D319" s="31"/>
      <c r="E319" s="31"/>
      <c r="F319" s="31"/>
      <c r="G319" s="139"/>
      <c r="H319" s="140"/>
      <c r="I319" s="31"/>
      <c r="J319" s="149" t="s">
        <v>289</v>
      </c>
      <c r="K319" s="150"/>
      <c r="L319" s="150"/>
      <c r="M319" s="150"/>
      <c r="N319" s="150"/>
      <c r="O319" s="150"/>
      <c r="P319" s="150"/>
      <c r="Q319" s="151"/>
      <c r="R319" s="150" t="s">
        <v>342</v>
      </c>
      <c r="S319" s="150"/>
      <c r="T319" s="150"/>
      <c r="U319" s="150"/>
      <c r="V319" s="150"/>
      <c r="W319" s="150"/>
      <c r="X319" s="150"/>
      <c r="Y319" s="150"/>
      <c r="Z319" s="150"/>
      <c r="AA319" s="150"/>
      <c r="AB319" s="150"/>
      <c r="AC319" s="150"/>
      <c r="AD319" s="150"/>
      <c r="AE319" s="150"/>
      <c r="AF319" s="150"/>
      <c r="AG319" s="150"/>
      <c r="AH319" s="150"/>
      <c r="AI319" s="150"/>
      <c r="AJ319" s="151"/>
      <c r="AK319" s="143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144"/>
    </row>
    <row r="320" spans="2:61" ht="20.100000000000001" customHeight="1" x14ac:dyDescent="0.45">
      <c r="B320" s="138"/>
      <c r="C320" s="31"/>
      <c r="D320" s="31"/>
      <c r="E320" s="31"/>
      <c r="F320" s="31"/>
      <c r="G320" s="139"/>
      <c r="H320" s="140"/>
      <c r="I320" s="31"/>
      <c r="J320" s="149" t="s">
        <v>290</v>
      </c>
      <c r="K320" s="150"/>
      <c r="L320" s="150"/>
      <c r="M320" s="150"/>
      <c r="N320" s="150"/>
      <c r="O320" s="150"/>
      <c r="P320" s="150"/>
      <c r="Q320" s="151"/>
      <c r="R320" s="150" t="s">
        <v>343</v>
      </c>
      <c r="S320" s="150"/>
      <c r="T320" s="150"/>
      <c r="U320" s="150"/>
      <c r="V320" s="150"/>
      <c r="W320" s="150"/>
      <c r="X320" s="150"/>
      <c r="Y320" s="150"/>
      <c r="Z320" s="150"/>
      <c r="AA320" s="150"/>
      <c r="AB320" s="150"/>
      <c r="AC320" s="150"/>
      <c r="AD320" s="150"/>
      <c r="AE320" s="150"/>
      <c r="AF320" s="150"/>
      <c r="AG320" s="150"/>
      <c r="AH320" s="150"/>
      <c r="AI320" s="150"/>
      <c r="AJ320" s="151"/>
      <c r="AK320" s="143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144"/>
    </row>
    <row r="321" spans="2:61" ht="20.100000000000001" customHeight="1" x14ac:dyDescent="0.45">
      <c r="B321" s="138"/>
      <c r="C321" s="31"/>
      <c r="D321" s="31"/>
      <c r="E321" s="31"/>
      <c r="F321" s="31"/>
      <c r="G321" s="139"/>
      <c r="H321" s="140"/>
      <c r="I321" s="31"/>
      <c r="J321" s="149" t="s">
        <v>291</v>
      </c>
      <c r="K321" s="150"/>
      <c r="L321" s="150"/>
      <c r="M321" s="150"/>
      <c r="N321" s="150"/>
      <c r="O321" s="150"/>
      <c r="P321" s="150"/>
      <c r="Q321" s="151"/>
      <c r="R321" s="150" t="s">
        <v>344</v>
      </c>
      <c r="S321" s="150"/>
      <c r="T321" s="150"/>
      <c r="U321" s="150"/>
      <c r="V321" s="150"/>
      <c r="W321" s="150"/>
      <c r="X321" s="150"/>
      <c r="Y321" s="150"/>
      <c r="Z321" s="150"/>
      <c r="AA321" s="150"/>
      <c r="AB321" s="150"/>
      <c r="AC321" s="150"/>
      <c r="AD321" s="150"/>
      <c r="AE321" s="150"/>
      <c r="AF321" s="150"/>
      <c r="AG321" s="150"/>
      <c r="AH321" s="150"/>
      <c r="AI321" s="150"/>
      <c r="AJ321" s="151"/>
      <c r="AK321" s="143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144"/>
    </row>
    <row r="322" spans="2:61" ht="20.100000000000001" customHeight="1" x14ac:dyDescent="0.45">
      <c r="B322" s="138"/>
      <c r="C322" s="31"/>
      <c r="D322" s="31"/>
      <c r="E322" s="31"/>
      <c r="F322" s="31"/>
      <c r="G322" s="139"/>
      <c r="H322" s="140"/>
      <c r="I322" s="31"/>
      <c r="J322" s="149" t="s">
        <v>230</v>
      </c>
      <c r="K322" s="150"/>
      <c r="L322" s="150"/>
      <c r="M322" s="150"/>
      <c r="N322" s="150"/>
      <c r="O322" s="150"/>
      <c r="P322" s="150"/>
      <c r="Q322" s="151"/>
      <c r="R322" s="150" t="s">
        <v>258</v>
      </c>
      <c r="S322" s="150"/>
      <c r="T322" s="150"/>
      <c r="U322" s="150"/>
      <c r="V322" s="150"/>
      <c r="W322" s="150"/>
      <c r="X322" s="150"/>
      <c r="Y322" s="150"/>
      <c r="Z322" s="150"/>
      <c r="AA322" s="150"/>
      <c r="AB322" s="150"/>
      <c r="AC322" s="150"/>
      <c r="AD322" s="150"/>
      <c r="AE322" s="150"/>
      <c r="AF322" s="150"/>
      <c r="AG322" s="150"/>
      <c r="AH322" s="150"/>
      <c r="AI322" s="150"/>
      <c r="AJ322" s="151"/>
      <c r="AK322" s="143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144"/>
    </row>
    <row r="323" spans="2:61" ht="20.100000000000001" customHeight="1" x14ac:dyDescent="0.45">
      <c r="B323" s="138"/>
      <c r="C323" s="31"/>
      <c r="D323" s="31"/>
      <c r="E323" s="31"/>
      <c r="F323" s="31"/>
      <c r="G323" s="139"/>
      <c r="H323" s="140"/>
      <c r="I323" s="31"/>
      <c r="J323" s="149" t="s">
        <v>231</v>
      </c>
      <c r="K323" s="150"/>
      <c r="L323" s="150"/>
      <c r="M323" s="150"/>
      <c r="N323" s="150"/>
      <c r="O323" s="150"/>
      <c r="P323" s="150"/>
      <c r="Q323" s="151"/>
      <c r="R323" s="150" t="s">
        <v>259</v>
      </c>
      <c r="S323" s="150"/>
      <c r="T323" s="150"/>
      <c r="U323" s="150"/>
      <c r="V323" s="150"/>
      <c r="W323" s="150"/>
      <c r="X323" s="150"/>
      <c r="Y323" s="150"/>
      <c r="Z323" s="150"/>
      <c r="AA323" s="150"/>
      <c r="AB323" s="150"/>
      <c r="AC323" s="150"/>
      <c r="AD323" s="150"/>
      <c r="AE323" s="150"/>
      <c r="AF323" s="150"/>
      <c r="AG323" s="150"/>
      <c r="AH323" s="150"/>
      <c r="AI323" s="150"/>
      <c r="AJ323" s="151"/>
      <c r="AK323" s="143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144"/>
    </row>
    <row r="324" spans="2:61" ht="20.100000000000001" customHeight="1" x14ac:dyDescent="0.45">
      <c r="B324" s="138"/>
      <c r="C324" s="31"/>
      <c r="D324" s="31"/>
      <c r="E324" s="31"/>
      <c r="F324" s="31"/>
      <c r="G324" s="139"/>
      <c r="H324" s="140"/>
      <c r="I324" s="31"/>
      <c r="J324" s="149" t="s">
        <v>232</v>
      </c>
      <c r="K324" s="150"/>
      <c r="L324" s="150"/>
      <c r="M324" s="150"/>
      <c r="N324" s="150"/>
      <c r="O324" s="150"/>
      <c r="P324" s="150"/>
      <c r="Q324" s="151"/>
      <c r="R324" s="150" t="s">
        <v>260</v>
      </c>
      <c r="S324" s="150"/>
      <c r="T324" s="150"/>
      <c r="U324" s="150"/>
      <c r="V324" s="150"/>
      <c r="W324" s="150"/>
      <c r="X324" s="150"/>
      <c r="Y324" s="150"/>
      <c r="Z324" s="150"/>
      <c r="AA324" s="150"/>
      <c r="AB324" s="150"/>
      <c r="AC324" s="150"/>
      <c r="AD324" s="150"/>
      <c r="AE324" s="150"/>
      <c r="AF324" s="150"/>
      <c r="AG324" s="150"/>
      <c r="AH324" s="150"/>
      <c r="AI324" s="150"/>
      <c r="AJ324" s="151"/>
      <c r="AK324" s="143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144"/>
    </row>
    <row r="325" spans="2:61" ht="20.100000000000001" customHeight="1" x14ac:dyDescent="0.45">
      <c r="B325" s="138"/>
      <c r="C325" s="31"/>
      <c r="D325" s="31"/>
      <c r="E325" s="31"/>
      <c r="F325" s="31"/>
      <c r="G325" s="139"/>
      <c r="H325" s="140"/>
      <c r="I325" s="31"/>
      <c r="J325" s="149" t="s">
        <v>233</v>
      </c>
      <c r="K325" s="150"/>
      <c r="L325" s="150"/>
      <c r="M325" s="150"/>
      <c r="N325" s="150"/>
      <c r="O325" s="150"/>
      <c r="P325" s="150"/>
      <c r="Q325" s="151"/>
      <c r="R325" s="150" t="s">
        <v>261</v>
      </c>
      <c r="S325" s="150"/>
      <c r="T325" s="150"/>
      <c r="U325" s="150"/>
      <c r="V325" s="150"/>
      <c r="W325" s="150"/>
      <c r="X325" s="150"/>
      <c r="Y325" s="150"/>
      <c r="Z325" s="150"/>
      <c r="AA325" s="150"/>
      <c r="AB325" s="150"/>
      <c r="AC325" s="150"/>
      <c r="AD325" s="150"/>
      <c r="AE325" s="150"/>
      <c r="AF325" s="150"/>
      <c r="AG325" s="150"/>
      <c r="AH325" s="150"/>
      <c r="AI325" s="150"/>
      <c r="AJ325" s="151"/>
      <c r="AK325" s="143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144"/>
    </row>
    <row r="326" spans="2:61" ht="20.100000000000001" customHeight="1" x14ac:dyDescent="0.45">
      <c r="B326" s="138"/>
      <c r="C326" s="31"/>
      <c r="D326" s="31"/>
      <c r="E326" s="31"/>
      <c r="F326" s="31"/>
      <c r="G326" s="139"/>
      <c r="H326" s="140"/>
      <c r="I326" s="31"/>
      <c r="J326" s="149" t="s">
        <v>234</v>
      </c>
      <c r="K326" s="150"/>
      <c r="L326" s="150"/>
      <c r="M326" s="150"/>
      <c r="N326" s="150"/>
      <c r="O326" s="150"/>
      <c r="P326" s="150"/>
      <c r="Q326" s="151"/>
      <c r="R326" s="150" t="s">
        <v>262</v>
      </c>
      <c r="S326" s="150"/>
      <c r="T326" s="150"/>
      <c r="U326" s="150"/>
      <c r="V326" s="150"/>
      <c r="W326" s="150"/>
      <c r="X326" s="150"/>
      <c r="Y326" s="150"/>
      <c r="Z326" s="150"/>
      <c r="AA326" s="150"/>
      <c r="AB326" s="150"/>
      <c r="AC326" s="150"/>
      <c r="AD326" s="150"/>
      <c r="AE326" s="150"/>
      <c r="AF326" s="150"/>
      <c r="AG326" s="150"/>
      <c r="AH326" s="150"/>
      <c r="AI326" s="150"/>
      <c r="AJ326" s="151"/>
      <c r="AK326" s="143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144"/>
    </row>
    <row r="327" spans="2:61" ht="20.100000000000001" customHeight="1" x14ac:dyDescent="0.45">
      <c r="B327" s="138"/>
      <c r="C327" s="31"/>
      <c r="D327" s="31"/>
      <c r="E327" s="31"/>
      <c r="F327" s="31"/>
      <c r="G327" s="139"/>
      <c r="H327" s="140"/>
      <c r="I327" s="31"/>
      <c r="J327" s="149" t="s">
        <v>235</v>
      </c>
      <c r="K327" s="150"/>
      <c r="L327" s="150"/>
      <c r="M327" s="150"/>
      <c r="N327" s="150"/>
      <c r="O327" s="150"/>
      <c r="P327" s="150"/>
      <c r="Q327" s="151"/>
      <c r="R327" s="150" t="s">
        <v>263</v>
      </c>
      <c r="S327" s="150"/>
      <c r="T327" s="150"/>
      <c r="U327" s="150"/>
      <c r="V327" s="150"/>
      <c r="W327" s="150"/>
      <c r="X327" s="150"/>
      <c r="Y327" s="150"/>
      <c r="Z327" s="150"/>
      <c r="AA327" s="150"/>
      <c r="AB327" s="150"/>
      <c r="AC327" s="150"/>
      <c r="AD327" s="150"/>
      <c r="AE327" s="150"/>
      <c r="AF327" s="150"/>
      <c r="AG327" s="150"/>
      <c r="AH327" s="150"/>
      <c r="AI327" s="150"/>
      <c r="AJ327" s="151"/>
      <c r="AK327" s="143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144"/>
    </row>
    <row r="328" spans="2:61" ht="20.100000000000001" customHeight="1" x14ac:dyDescent="0.45">
      <c r="B328" s="138"/>
      <c r="C328" s="31"/>
      <c r="D328" s="31"/>
      <c r="E328" s="31"/>
      <c r="F328" s="31"/>
      <c r="G328" s="139"/>
      <c r="H328" s="140"/>
      <c r="I328" s="31"/>
      <c r="J328" s="149" t="s">
        <v>236</v>
      </c>
      <c r="K328" s="150"/>
      <c r="L328" s="150"/>
      <c r="M328" s="150"/>
      <c r="N328" s="150"/>
      <c r="O328" s="150"/>
      <c r="P328" s="150"/>
      <c r="Q328" s="151"/>
      <c r="R328" s="150" t="s">
        <v>264</v>
      </c>
      <c r="S328" s="150"/>
      <c r="T328" s="150"/>
      <c r="U328" s="150"/>
      <c r="V328" s="150"/>
      <c r="W328" s="150"/>
      <c r="X328" s="150"/>
      <c r="Y328" s="150"/>
      <c r="Z328" s="150"/>
      <c r="AA328" s="150"/>
      <c r="AB328" s="150"/>
      <c r="AC328" s="150"/>
      <c r="AD328" s="150"/>
      <c r="AE328" s="150"/>
      <c r="AF328" s="150"/>
      <c r="AG328" s="150"/>
      <c r="AH328" s="150"/>
      <c r="AI328" s="150"/>
      <c r="AJ328" s="151"/>
      <c r="AK328" s="143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144"/>
    </row>
    <row r="329" spans="2:61" ht="20.100000000000001" customHeight="1" x14ac:dyDescent="0.45">
      <c r="B329" s="138"/>
      <c r="C329" s="31"/>
      <c r="D329" s="31"/>
      <c r="E329" s="31"/>
      <c r="F329" s="31"/>
      <c r="G329" s="139"/>
      <c r="H329" s="140"/>
      <c r="I329" s="31"/>
      <c r="J329" s="149" t="s">
        <v>237</v>
      </c>
      <c r="K329" s="150"/>
      <c r="L329" s="150"/>
      <c r="M329" s="150"/>
      <c r="N329" s="150"/>
      <c r="O329" s="150"/>
      <c r="P329" s="150"/>
      <c r="Q329" s="151"/>
      <c r="R329" s="150" t="s">
        <v>345</v>
      </c>
      <c r="S329" s="150"/>
      <c r="T329" s="150"/>
      <c r="U329" s="150"/>
      <c r="V329" s="150"/>
      <c r="W329" s="150"/>
      <c r="X329" s="150"/>
      <c r="Y329" s="150"/>
      <c r="Z329" s="150"/>
      <c r="AA329" s="150"/>
      <c r="AB329" s="150"/>
      <c r="AC329" s="150"/>
      <c r="AD329" s="150"/>
      <c r="AE329" s="150"/>
      <c r="AF329" s="150"/>
      <c r="AG329" s="150"/>
      <c r="AH329" s="150"/>
      <c r="AI329" s="150"/>
      <c r="AJ329" s="151"/>
      <c r="AK329" s="143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144"/>
    </row>
    <row r="330" spans="2:61" ht="20.100000000000001" customHeight="1" x14ac:dyDescent="0.45">
      <c r="B330" s="138"/>
      <c r="C330" s="31"/>
      <c r="D330" s="31"/>
      <c r="E330" s="31"/>
      <c r="F330" s="31"/>
      <c r="G330" s="139"/>
      <c r="H330" s="140"/>
      <c r="I330" s="31"/>
      <c r="J330" s="149" t="s">
        <v>238</v>
      </c>
      <c r="K330" s="150"/>
      <c r="L330" s="150"/>
      <c r="M330" s="150"/>
      <c r="N330" s="150"/>
      <c r="O330" s="150"/>
      <c r="P330" s="150"/>
      <c r="Q330" s="151"/>
      <c r="R330" s="150" t="s">
        <v>265</v>
      </c>
      <c r="S330" s="150"/>
      <c r="T330" s="150"/>
      <c r="U330" s="150"/>
      <c r="V330" s="150"/>
      <c r="W330" s="150"/>
      <c r="X330" s="150"/>
      <c r="Y330" s="150"/>
      <c r="Z330" s="150"/>
      <c r="AA330" s="150"/>
      <c r="AB330" s="150"/>
      <c r="AC330" s="150"/>
      <c r="AD330" s="150"/>
      <c r="AE330" s="150"/>
      <c r="AF330" s="150"/>
      <c r="AG330" s="150"/>
      <c r="AH330" s="150"/>
      <c r="AI330" s="150"/>
      <c r="AJ330" s="151"/>
      <c r="AK330" s="143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144"/>
    </row>
    <row r="331" spans="2:61" ht="20.100000000000001" customHeight="1" x14ac:dyDescent="0.45">
      <c r="B331" s="138"/>
      <c r="C331" s="31"/>
      <c r="D331" s="31"/>
      <c r="E331" s="31"/>
      <c r="F331" s="31"/>
      <c r="G331" s="139"/>
      <c r="H331" s="140"/>
      <c r="I331" s="31"/>
      <c r="J331" s="149" t="s">
        <v>239</v>
      </c>
      <c r="K331" s="150"/>
      <c r="L331" s="150"/>
      <c r="M331" s="150"/>
      <c r="N331" s="150"/>
      <c r="O331" s="150"/>
      <c r="P331" s="150"/>
      <c r="Q331" s="151"/>
      <c r="R331" s="150" t="s">
        <v>266</v>
      </c>
      <c r="S331" s="150"/>
      <c r="T331" s="150"/>
      <c r="U331" s="150"/>
      <c r="V331" s="150"/>
      <c r="W331" s="150"/>
      <c r="X331" s="150"/>
      <c r="Y331" s="150"/>
      <c r="Z331" s="150"/>
      <c r="AA331" s="150"/>
      <c r="AB331" s="150"/>
      <c r="AC331" s="150"/>
      <c r="AD331" s="150"/>
      <c r="AE331" s="150"/>
      <c r="AF331" s="150"/>
      <c r="AG331" s="150"/>
      <c r="AH331" s="150"/>
      <c r="AI331" s="150"/>
      <c r="AJ331" s="151"/>
      <c r="AK331" s="143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144"/>
    </row>
    <row r="332" spans="2:61" ht="20.100000000000001" customHeight="1" x14ac:dyDescent="0.45">
      <c r="B332" s="138"/>
      <c r="C332" s="31"/>
      <c r="D332" s="31"/>
      <c r="E332" s="31"/>
      <c r="F332" s="31"/>
      <c r="G332" s="139"/>
      <c r="H332" s="140"/>
      <c r="I332" s="31"/>
      <c r="J332" s="149" t="s">
        <v>240</v>
      </c>
      <c r="K332" s="150"/>
      <c r="L332" s="150"/>
      <c r="M332" s="150"/>
      <c r="N332" s="150"/>
      <c r="O332" s="150"/>
      <c r="P332" s="150"/>
      <c r="Q332" s="151"/>
      <c r="R332" s="150" t="s">
        <v>346</v>
      </c>
      <c r="S332" s="150"/>
      <c r="T332" s="150"/>
      <c r="U332" s="150"/>
      <c r="V332" s="150"/>
      <c r="W332" s="150"/>
      <c r="X332" s="150"/>
      <c r="Y332" s="150"/>
      <c r="Z332" s="150"/>
      <c r="AA332" s="150"/>
      <c r="AB332" s="150"/>
      <c r="AC332" s="150"/>
      <c r="AD332" s="150"/>
      <c r="AE332" s="150"/>
      <c r="AF332" s="150"/>
      <c r="AG332" s="150"/>
      <c r="AH332" s="150"/>
      <c r="AI332" s="150"/>
      <c r="AJ332" s="151"/>
      <c r="AK332" s="143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144"/>
    </row>
    <row r="333" spans="2:61" ht="20.100000000000001" customHeight="1" x14ac:dyDescent="0.45">
      <c r="B333" s="138"/>
      <c r="C333" s="31"/>
      <c r="D333" s="31"/>
      <c r="E333" s="31"/>
      <c r="F333" s="31"/>
      <c r="G333" s="139"/>
      <c r="H333" s="140"/>
      <c r="I333" s="31"/>
      <c r="J333" s="149" t="s">
        <v>241</v>
      </c>
      <c r="K333" s="150"/>
      <c r="L333" s="150"/>
      <c r="M333" s="150"/>
      <c r="N333" s="150"/>
      <c r="O333" s="150"/>
      <c r="P333" s="150"/>
      <c r="Q333" s="151"/>
      <c r="R333" s="150" t="s">
        <v>267</v>
      </c>
      <c r="S333" s="150"/>
      <c r="T333" s="150"/>
      <c r="U333" s="150"/>
      <c r="V333" s="150"/>
      <c r="W333" s="150"/>
      <c r="X333" s="150"/>
      <c r="Y333" s="150"/>
      <c r="Z333" s="150"/>
      <c r="AA333" s="150"/>
      <c r="AB333" s="150"/>
      <c r="AC333" s="150"/>
      <c r="AD333" s="150"/>
      <c r="AE333" s="150"/>
      <c r="AF333" s="150"/>
      <c r="AG333" s="150"/>
      <c r="AH333" s="150"/>
      <c r="AI333" s="150"/>
      <c r="AJ333" s="151"/>
      <c r="AK333" s="143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144"/>
    </row>
    <row r="334" spans="2:61" ht="20.100000000000001" customHeight="1" x14ac:dyDescent="0.45">
      <c r="B334" s="138"/>
      <c r="C334" s="31"/>
      <c r="D334" s="31"/>
      <c r="E334" s="31"/>
      <c r="F334" s="31"/>
      <c r="G334" s="139"/>
      <c r="H334" s="140"/>
      <c r="I334" s="31"/>
      <c r="J334" s="149" t="s">
        <v>242</v>
      </c>
      <c r="K334" s="150"/>
      <c r="L334" s="150"/>
      <c r="M334" s="150"/>
      <c r="N334" s="150"/>
      <c r="O334" s="150"/>
      <c r="P334" s="150"/>
      <c r="Q334" s="151"/>
      <c r="R334" s="150" t="s">
        <v>331</v>
      </c>
      <c r="S334" s="150"/>
      <c r="T334" s="150"/>
      <c r="U334" s="150"/>
      <c r="V334" s="150"/>
      <c r="W334" s="150"/>
      <c r="X334" s="150"/>
      <c r="Y334" s="150"/>
      <c r="Z334" s="150"/>
      <c r="AA334" s="150"/>
      <c r="AB334" s="150"/>
      <c r="AC334" s="150"/>
      <c r="AD334" s="150"/>
      <c r="AE334" s="150"/>
      <c r="AF334" s="150"/>
      <c r="AG334" s="150"/>
      <c r="AH334" s="150"/>
      <c r="AI334" s="150"/>
      <c r="AJ334" s="151"/>
      <c r="AK334" s="143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144"/>
    </row>
    <row r="335" spans="2:61" ht="20.100000000000001" customHeight="1" x14ac:dyDescent="0.45">
      <c r="B335" s="138"/>
      <c r="C335" s="31"/>
      <c r="D335" s="31"/>
      <c r="E335" s="31"/>
      <c r="F335" s="31"/>
      <c r="G335" s="139"/>
      <c r="H335" s="140"/>
      <c r="I335" s="31"/>
      <c r="J335" s="149" t="s">
        <v>243</v>
      </c>
      <c r="K335" s="150"/>
      <c r="L335" s="150"/>
      <c r="M335" s="150"/>
      <c r="N335" s="150"/>
      <c r="O335" s="150"/>
      <c r="P335" s="150"/>
      <c r="Q335" s="151"/>
      <c r="R335" s="150" t="s">
        <v>269</v>
      </c>
      <c r="S335" s="150"/>
      <c r="T335" s="150"/>
      <c r="U335" s="150"/>
      <c r="V335" s="150"/>
      <c r="W335" s="150"/>
      <c r="X335" s="150"/>
      <c r="Y335" s="150"/>
      <c r="Z335" s="150"/>
      <c r="AA335" s="150"/>
      <c r="AB335" s="150"/>
      <c r="AC335" s="150"/>
      <c r="AD335" s="150"/>
      <c r="AE335" s="150"/>
      <c r="AF335" s="150"/>
      <c r="AG335" s="150"/>
      <c r="AH335" s="150"/>
      <c r="AI335" s="150"/>
      <c r="AJ335" s="151"/>
      <c r="AK335" s="143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144"/>
    </row>
    <row r="336" spans="2:61" ht="20.100000000000001" customHeight="1" x14ac:dyDescent="0.45">
      <c r="B336" s="138"/>
      <c r="C336" s="31"/>
      <c r="D336" s="31"/>
      <c r="E336" s="31"/>
      <c r="F336" s="31"/>
      <c r="G336" s="139"/>
      <c r="H336" s="140"/>
      <c r="I336" s="31"/>
      <c r="J336" s="149" t="s">
        <v>244</v>
      </c>
      <c r="K336" s="150"/>
      <c r="L336" s="150"/>
      <c r="M336" s="150"/>
      <c r="N336" s="150"/>
      <c r="O336" s="150"/>
      <c r="P336" s="150"/>
      <c r="Q336" s="151"/>
      <c r="R336" s="154" t="s">
        <v>347</v>
      </c>
      <c r="S336" s="150"/>
      <c r="T336" s="150"/>
      <c r="U336" s="150"/>
      <c r="V336" s="150"/>
      <c r="W336" s="150"/>
      <c r="X336" s="150"/>
      <c r="Y336" s="150"/>
      <c r="Z336" s="150"/>
      <c r="AA336" s="150"/>
      <c r="AB336" s="150"/>
      <c r="AC336" s="150"/>
      <c r="AD336" s="150"/>
      <c r="AE336" s="150"/>
      <c r="AF336" s="150"/>
      <c r="AG336" s="150"/>
      <c r="AH336" s="150"/>
      <c r="AI336" s="150"/>
      <c r="AJ336" s="151"/>
      <c r="AK336" s="143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144"/>
    </row>
    <row r="337" spans="2:61" ht="20.100000000000001" customHeight="1" x14ac:dyDescent="0.45">
      <c r="B337" s="138"/>
      <c r="C337" s="31"/>
      <c r="D337" s="31"/>
      <c r="E337" s="31"/>
      <c r="F337" s="31"/>
      <c r="G337" s="139"/>
      <c r="H337" s="140"/>
      <c r="I337" s="31"/>
      <c r="J337" s="149" t="s">
        <v>168</v>
      </c>
      <c r="K337" s="150"/>
      <c r="L337" s="150"/>
      <c r="M337" s="150"/>
      <c r="N337" s="150"/>
      <c r="O337" s="150"/>
      <c r="P337" s="150"/>
      <c r="Q337" s="151"/>
      <c r="R337" s="150" t="s">
        <v>332</v>
      </c>
      <c r="S337" s="150"/>
      <c r="T337" s="150"/>
      <c r="U337" s="150"/>
      <c r="V337" s="150"/>
      <c r="W337" s="150"/>
      <c r="X337" s="150"/>
      <c r="Y337" s="150"/>
      <c r="Z337" s="150"/>
      <c r="AA337" s="150"/>
      <c r="AB337" s="150"/>
      <c r="AC337" s="150"/>
      <c r="AD337" s="150"/>
      <c r="AE337" s="150"/>
      <c r="AF337" s="150"/>
      <c r="AG337" s="150"/>
      <c r="AH337" s="150"/>
      <c r="AI337" s="150"/>
      <c r="AJ337" s="151"/>
      <c r="AK337" s="143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144"/>
    </row>
    <row r="338" spans="2:61" ht="20.100000000000001" customHeight="1" x14ac:dyDescent="0.45">
      <c r="B338" s="138"/>
      <c r="C338" s="31"/>
      <c r="D338" s="31"/>
      <c r="E338" s="31"/>
      <c r="F338" s="31"/>
      <c r="G338" s="139"/>
      <c r="H338" s="140"/>
      <c r="I338" s="31"/>
      <c r="J338" s="149" t="s">
        <v>245</v>
      </c>
      <c r="K338" s="150"/>
      <c r="L338" s="150"/>
      <c r="M338" s="150"/>
      <c r="N338" s="150"/>
      <c r="O338" s="150"/>
      <c r="P338" s="150"/>
      <c r="Q338" s="151"/>
      <c r="R338" s="150" t="s">
        <v>333</v>
      </c>
      <c r="S338" s="150"/>
      <c r="T338" s="150"/>
      <c r="U338" s="150"/>
      <c r="V338" s="150"/>
      <c r="W338" s="150"/>
      <c r="X338" s="150"/>
      <c r="Y338" s="150"/>
      <c r="Z338" s="150"/>
      <c r="AA338" s="150"/>
      <c r="AB338" s="150"/>
      <c r="AC338" s="150"/>
      <c r="AD338" s="150"/>
      <c r="AE338" s="150"/>
      <c r="AF338" s="150"/>
      <c r="AG338" s="150"/>
      <c r="AH338" s="150"/>
      <c r="AI338" s="150"/>
      <c r="AJ338" s="151"/>
      <c r="AK338" s="143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144"/>
    </row>
    <row r="339" spans="2:61" ht="20.100000000000001" customHeight="1" x14ac:dyDescent="0.45">
      <c r="B339" s="138"/>
      <c r="C339" s="31"/>
      <c r="D339" s="31"/>
      <c r="E339" s="31"/>
      <c r="F339" s="31"/>
      <c r="G339" s="139"/>
      <c r="H339" s="140"/>
      <c r="I339" s="31"/>
      <c r="J339" s="149" t="s">
        <v>246</v>
      </c>
      <c r="K339" s="150"/>
      <c r="L339" s="150"/>
      <c r="M339" s="150"/>
      <c r="N339" s="150"/>
      <c r="O339" s="150"/>
      <c r="P339" s="150"/>
      <c r="Q339" s="151"/>
      <c r="R339" s="150" t="s">
        <v>270</v>
      </c>
      <c r="S339" s="150"/>
      <c r="T339" s="150"/>
      <c r="U339" s="150"/>
      <c r="V339" s="150"/>
      <c r="W339" s="150"/>
      <c r="X339" s="150"/>
      <c r="Y339" s="150"/>
      <c r="Z339" s="150"/>
      <c r="AA339" s="150"/>
      <c r="AB339" s="150"/>
      <c r="AC339" s="150"/>
      <c r="AD339" s="150"/>
      <c r="AE339" s="150"/>
      <c r="AF339" s="150"/>
      <c r="AG339" s="150"/>
      <c r="AH339" s="150"/>
      <c r="AI339" s="150"/>
      <c r="AJ339" s="151"/>
      <c r="AK339" s="143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144"/>
    </row>
    <row r="340" spans="2:61" ht="20.100000000000001" customHeight="1" x14ac:dyDescent="0.45">
      <c r="B340" s="138"/>
      <c r="C340" s="31"/>
      <c r="D340" s="31"/>
      <c r="E340" s="31"/>
      <c r="F340" s="31"/>
      <c r="G340" s="139"/>
      <c r="H340" s="140"/>
      <c r="I340" s="31"/>
      <c r="J340" s="149" t="s">
        <v>248</v>
      </c>
      <c r="K340" s="150"/>
      <c r="L340" s="150"/>
      <c r="M340" s="150"/>
      <c r="N340" s="150"/>
      <c r="O340" s="150"/>
      <c r="P340" s="150"/>
      <c r="Q340" s="151"/>
      <c r="R340" s="150" t="s">
        <v>334</v>
      </c>
      <c r="S340" s="150"/>
      <c r="T340" s="150"/>
      <c r="U340" s="150"/>
      <c r="V340" s="150"/>
      <c r="W340" s="150"/>
      <c r="X340" s="150"/>
      <c r="Y340" s="150"/>
      <c r="Z340" s="150"/>
      <c r="AA340" s="150"/>
      <c r="AB340" s="150"/>
      <c r="AC340" s="150"/>
      <c r="AD340" s="150"/>
      <c r="AE340" s="150"/>
      <c r="AF340" s="150"/>
      <c r="AG340" s="150"/>
      <c r="AH340" s="150"/>
      <c r="AI340" s="150"/>
      <c r="AJ340" s="151"/>
      <c r="AK340" s="143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144"/>
    </row>
    <row r="341" spans="2:61" ht="20.100000000000001" customHeight="1" x14ac:dyDescent="0.45">
      <c r="B341" s="138"/>
      <c r="C341" s="31"/>
      <c r="D341" s="31"/>
      <c r="E341" s="31"/>
      <c r="F341" s="31"/>
      <c r="G341" s="139"/>
      <c r="H341" s="140"/>
      <c r="I341" s="31"/>
      <c r="J341" s="149" t="s">
        <v>247</v>
      </c>
      <c r="K341" s="150"/>
      <c r="L341" s="150"/>
      <c r="M341" s="150"/>
      <c r="N341" s="150"/>
      <c r="O341" s="150"/>
      <c r="P341" s="150"/>
      <c r="Q341" s="151"/>
      <c r="R341" s="150" t="s">
        <v>271</v>
      </c>
      <c r="S341" s="150"/>
      <c r="T341" s="150"/>
      <c r="U341" s="150"/>
      <c r="V341" s="150"/>
      <c r="W341" s="150"/>
      <c r="X341" s="150"/>
      <c r="Y341" s="150"/>
      <c r="Z341" s="150"/>
      <c r="AA341" s="150"/>
      <c r="AB341" s="150"/>
      <c r="AC341" s="150"/>
      <c r="AD341" s="150"/>
      <c r="AE341" s="150"/>
      <c r="AF341" s="150"/>
      <c r="AG341" s="150"/>
      <c r="AH341" s="150"/>
      <c r="AI341" s="150"/>
      <c r="AJ341" s="151"/>
      <c r="AK341" s="143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144"/>
    </row>
    <row r="342" spans="2:61" ht="20.100000000000001" customHeight="1" x14ac:dyDescent="0.45">
      <c r="B342" s="138"/>
      <c r="C342" s="31"/>
      <c r="D342" s="31"/>
      <c r="E342" s="31"/>
      <c r="F342" s="31"/>
      <c r="G342" s="139"/>
      <c r="H342" s="140"/>
      <c r="I342" s="31"/>
      <c r="J342" s="149" t="s">
        <v>249</v>
      </c>
      <c r="K342" s="150"/>
      <c r="L342" s="150"/>
      <c r="M342" s="150"/>
      <c r="N342" s="150"/>
      <c r="O342" s="150"/>
      <c r="P342" s="150"/>
      <c r="Q342" s="151"/>
      <c r="R342" s="150" t="s">
        <v>272</v>
      </c>
      <c r="S342" s="150"/>
      <c r="T342" s="150"/>
      <c r="U342" s="150"/>
      <c r="V342" s="150"/>
      <c r="W342" s="150"/>
      <c r="X342" s="150"/>
      <c r="Y342" s="150"/>
      <c r="Z342" s="150"/>
      <c r="AA342" s="150"/>
      <c r="AB342" s="150"/>
      <c r="AC342" s="150"/>
      <c r="AD342" s="150"/>
      <c r="AE342" s="150"/>
      <c r="AF342" s="150"/>
      <c r="AG342" s="150"/>
      <c r="AH342" s="150"/>
      <c r="AI342" s="150"/>
      <c r="AJ342" s="151"/>
      <c r="AK342" s="143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144"/>
    </row>
    <row r="343" spans="2:61" ht="20.100000000000001" customHeight="1" x14ac:dyDescent="0.45">
      <c r="B343" s="138"/>
      <c r="C343" s="31"/>
      <c r="D343" s="31"/>
      <c r="E343" s="31"/>
      <c r="F343" s="31"/>
      <c r="G343" s="139"/>
      <c r="H343" s="140"/>
      <c r="I343" s="31"/>
      <c r="J343" s="149" t="s">
        <v>250</v>
      </c>
      <c r="K343" s="150"/>
      <c r="L343" s="150"/>
      <c r="M343" s="150"/>
      <c r="N343" s="150"/>
      <c r="O343" s="150"/>
      <c r="P343" s="150"/>
      <c r="Q343" s="151"/>
      <c r="R343" s="150" t="s">
        <v>273</v>
      </c>
      <c r="S343" s="150"/>
      <c r="T343" s="150"/>
      <c r="U343" s="150"/>
      <c r="V343" s="150"/>
      <c r="W343" s="150"/>
      <c r="X343" s="150"/>
      <c r="Y343" s="150"/>
      <c r="Z343" s="150"/>
      <c r="AA343" s="150"/>
      <c r="AB343" s="150"/>
      <c r="AC343" s="150"/>
      <c r="AD343" s="150"/>
      <c r="AE343" s="150"/>
      <c r="AF343" s="150"/>
      <c r="AG343" s="150"/>
      <c r="AH343" s="150"/>
      <c r="AI343" s="150"/>
      <c r="AJ343" s="151"/>
      <c r="AK343" s="143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144"/>
    </row>
    <row r="344" spans="2:61" ht="20.100000000000001" customHeight="1" x14ac:dyDescent="0.45">
      <c r="B344" s="138"/>
      <c r="C344" s="31"/>
      <c r="D344" s="31"/>
      <c r="E344" s="31"/>
      <c r="F344" s="31"/>
      <c r="G344" s="139"/>
      <c r="H344" s="140"/>
      <c r="I344" s="31"/>
      <c r="J344" s="149" t="s">
        <v>251</v>
      </c>
      <c r="K344" s="150"/>
      <c r="L344" s="150"/>
      <c r="M344" s="150"/>
      <c r="N344" s="150"/>
      <c r="O344" s="150"/>
      <c r="P344" s="150"/>
      <c r="Q344" s="151"/>
      <c r="R344" s="150" t="s">
        <v>274</v>
      </c>
      <c r="S344" s="150"/>
      <c r="T344" s="150"/>
      <c r="U344" s="150"/>
      <c r="V344" s="150"/>
      <c r="W344" s="150"/>
      <c r="X344" s="150"/>
      <c r="Y344" s="150"/>
      <c r="Z344" s="150"/>
      <c r="AA344" s="150"/>
      <c r="AB344" s="150"/>
      <c r="AC344" s="150"/>
      <c r="AD344" s="150"/>
      <c r="AE344" s="150"/>
      <c r="AF344" s="150"/>
      <c r="AG344" s="150"/>
      <c r="AH344" s="150"/>
      <c r="AI344" s="150"/>
      <c r="AJ344" s="151"/>
      <c r="AK344" s="143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144"/>
    </row>
    <row r="345" spans="2:61" ht="20.100000000000001" customHeight="1" x14ac:dyDescent="0.45">
      <c r="B345" s="138"/>
      <c r="C345" s="31"/>
      <c r="D345" s="31"/>
      <c r="E345" s="31"/>
      <c r="F345" s="31"/>
      <c r="G345" s="139"/>
      <c r="H345" s="140"/>
      <c r="I345" s="31"/>
      <c r="J345" s="149" t="s">
        <v>252</v>
      </c>
      <c r="K345" s="150"/>
      <c r="L345" s="150"/>
      <c r="M345" s="150"/>
      <c r="N345" s="150"/>
      <c r="O345" s="150"/>
      <c r="P345" s="150"/>
      <c r="Q345" s="151"/>
      <c r="R345" s="150" t="s">
        <v>275</v>
      </c>
      <c r="S345" s="150"/>
      <c r="T345" s="150"/>
      <c r="U345" s="150"/>
      <c r="V345" s="150"/>
      <c r="W345" s="150"/>
      <c r="X345" s="150"/>
      <c r="Y345" s="150"/>
      <c r="Z345" s="150"/>
      <c r="AA345" s="150"/>
      <c r="AB345" s="150"/>
      <c r="AC345" s="150"/>
      <c r="AD345" s="150"/>
      <c r="AE345" s="150"/>
      <c r="AF345" s="150"/>
      <c r="AG345" s="150"/>
      <c r="AH345" s="150"/>
      <c r="AI345" s="150"/>
      <c r="AJ345" s="151"/>
      <c r="AK345" s="143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144"/>
    </row>
    <row r="346" spans="2:61" ht="20.100000000000001" customHeight="1" x14ac:dyDescent="0.45">
      <c r="B346" s="138"/>
      <c r="C346" s="31"/>
      <c r="D346" s="31"/>
      <c r="E346" s="31"/>
      <c r="F346" s="31"/>
      <c r="G346" s="139"/>
      <c r="H346" s="140"/>
      <c r="I346" s="31"/>
      <c r="J346" s="149" t="s">
        <v>253</v>
      </c>
      <c r="K346" s="150"/>
      <c r="L346" s="150"/>
      <c r="M346" s="150"/>
      <c r="N346" s="150"/>
      <c r="O346" s="150"/>
      <c r="P346" s="150"/>
      <c r="Q346" s="151"/>
      <c r="R346" s="150" t="s">
        <v>276</v>
      </c>
      <c r="S346" s="150"/>
      <c r="T346" s="150"/>
      <c r="U346" s="150"/>
      <c r="V346" s="150"/>
      <c r="W346" s="150"/>
      <c r="X346" s="150"/>
      <c r="Y346" s="150"/>
      <c r="Z346" s="150"/>
      <c r="AA346" s="150"/>
      <c r="AB346" s="150"/>
      <c r="AC346" s="150"/>
      <c r="AD346" s="150"/>
      <c r="AE346" s="150"/>
      <c r="AF346" s="150"/>
      <c r="AG346" s="150"/>
      <c r="AH346" s="150"/>
      <c r="AI346" s="150"/>
      <c r="AJ346" s="151"/>
      <c r="AK346" s="143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144"/>
    </row>
    <row r="347" spans="2:61" ht="20.100000000000001" customHeight="1" x14ac:dyDescent="0.45">
      <c r="B347" s="138"/>
      <c r="C347" s="31"/>
      <c r="D347" s="31"/>
      <c r="E347" s="31"/>
      <c r="F347" s="31"/>
      <c r="G347" s="139"/>
      <c r="H347" s="145" t="s">
        <v>169</v>
      </c>
      <c r="I347" s="55"/>
      <c r="J347" s="145" t="s">
        <v>218</v>
      </c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146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  <c r="BD347" s="55"/>
      <c r="BE347" s="55"/>
      <c r="BF347" s="55"/>
      <c r="BG347" s="55"/>
      <c r="BH347" s="55"/>
      <c r="BI347" s="147"/>
    </row>
    <row r="348" spans="2:61" ht="20.100000000000001" customHeight="1" x14ac:dyDescent="0.45">
      <c r="B348" s="148"/>
      <c r="C348" s="31"/>
      <c r="D348" s="31"/>
      <c r="E348" s="31"/>
      <c r="F348" s="31"/>
      <c r="G348" s="139"/>
      <c r="H348" s="145" t="s">
        <v>171</v>
      </c>
      <c r="I348" s="55"/>
      <c r="J348" s="152" t="s">
        <v>219</v>
      </c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146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  <c r="BD348" s="55"/>
      <c r="BE348" s="55"/>
      <c r="BF348" s="55"/>
      <c r="BG348" s="55"/>
      <c r="BH348" s="55"/>
      <c r="BI348" s="147"/>
    </row>
    <row r="349" spans="2:61" ht="20.100000000000001" customHeight="1" x14ac:dyDescent="0.45">
      <c r="B349" s="148"/>
      <c r="C349" s="31"/>
      <c r="D349" s="31"/>
      <c r="E349" s="31"/>
      <c r="F349" s="31"/>
      <c r="G349" s="139"/>
      <c r="H349" s="145" t="s">
        <v>173</v>
      </c>
      <c r="I349" s="55"/>
      <c r="J349" s="145" t="s">
        <v>304</v>
      </c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146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  <c r="BD349" s="55"/>
      <c r="BE349" s="55"/>
      <c r="BF349" s="55"/>
      <c r="BG349" s="55"/>
      <c r="BH349" s="55"/>
      <c r="BI349" s="147"/>
    </row>
    <row r="350" spans="2:61" ht="20.100000000000001" customHeight="1" x14ac:dyDescent="0.45">
      <c r="B350" s="148"/>
      <c r="C350" s="31"/>
      <c r="D350" s="31"/>
      <c r="E350" s="31"/>
      <c r="F350" s="31"/>
      <c r="G350" s="139"/>
      <c r="H350" s="140"/>
      <c r="I350" s="31"/>
      <c r="J350" s="140" t="s">
        <v>350</v>
      </c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143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144"/>
    </row>
    <row r="351" spans="2:61" ht="20.100000000000001" customHeight="1" x14ac:dyDescent="0.45">
      <c r="B351" s="148"/>
      <c r="C351" s="31"/>
      <c r="D351" s="31"/>
      <c r="E351" s="31"/>
      <c r="F351" s="31"/>
      <c r="G351" s="139"/>
      <c r="H351" s="140"/>
      <c r="I351" s="31"/>
      <c r="J351" s="140" t="s">
        <v>298</v>
      </c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143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144"/>
    </row>
    <row r="352" spans="2:61" ht="20.100000000000001" customHeight="1" x14ac:dyDescent="0.45">
      <c r="B352" s="148"/>
      <c r="C352" s="31"/>
      <c r="D352" s="31"/>
      <c r="E352" s="31"/>
      <c r="F352" s="31"/>
      <c r="G352" s="139"/>
      <c r="H352" s="140"/>
      <c r="I352" s="31"/>
      <c r="J352" s="140"/>
      <c r="K352" s="31" t="s">
        <v>353</v>
      </c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143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144"/>
    </row>
    <row r="353" spans="2:61" ht="20.100000000000001" customHeight="1" x14ac:dyDescent="0.45">
      <c r="B353" s="148"/>
      <c r="C353" s="31"/>
      <c r="D353" s="31"/>
      <c r="E353" s="31"/>
      <c r="F353" s="31"/>
      <c r="G353" s="139"/>
      <c r="H353" s="140"/>
      <c r="I353" s="31"/>
      <c r="J353" s="140"/>
      <c r="K353" s="31" t="s">
        <v>300</v>
      </c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143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144"/>
    </row>
    <row r="354" spans="2:61" ht="20.100000000000001" customHeight="1" x14ac:dyDescent="0.45">
      <c r="B354" s="148"/>
      <c r="C354" s="31"/>
      <c r="D354" s="31"/>
      <c r="E354" s="31"/>
      <c r="F354" s="31"/>
      <c r="G354" s="139"/>
      <c r="H354" s="140"/>
      <c r="I354" s="31"/>
      <c r="J354" s="140" t="s">
        <v>298</v>
      </c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143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144"/>
    </row>
    <row r="355" spans="2:61" ht="20.100000000000001" customHeight="1" x14ac:dyDescent="0.45">
      <c r="B355" s="148"/>
      <c r="C355" s="31"/>
      <c r="D355" s="31"/>
      <c r="E355" s="31"/>
      <c r="F355" s="31"/>
      <c r="G355" s="139"/>
      <c r="H355" s="140"/>
      <c r="I355" s="31"/>
      <c r="J355" s="140"/>
      <c r="K355" s="31" t="s">
        <v>355</v>
      </c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143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144"/>
    </row>
    <row r="356" spans="2:61" ht="20.100000000000001" customHeight="1" x14ac:dyDescent="0.45">
      <c r="B356" s="148"/>
      <c r="C356" s="31"/>
      <c r="D356" s="31"/>
      <c r="E356" s="31"/>
      <c r="F356" s="31"/>
      <c r="G356" s="139"/>
      <c r="H356" s="140"/>
      <c r="I356" s="31"/>
      <c r="J356" s="140"/>
      <c r="K356" s="31" t="s">
        <v>354</v>
      </c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143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144"/>
    </row>
    <row r="357" spans="2:61" ht="20.100000000000001" customHeight="1" x14ac:dyDescent="0.45">
      <c r="B357" s="148"/>
      <c r="C357" s="31"/>
      <c r="D357" s="31"/>
      <c r="E357" s="31"/>
      <c r="F357" s="31"/>
      <c r="G357" s="139"/>
      <c r="H357" s="140"/>
      <c r="I357" s="31"/>
      <c r="J357" s="140" t="s">
        <v>298</v>
      </c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143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144"/>
    </row>
    <row r="358" spans="2:61" ht="20.100000000000001" customHeight="1" x14ac:dyDescent="0.45">
      <c r="B358" s="148"/>
      <c r="C358" s="31"/>
      <c r="D358" s="31"/>
      <c r="E358" s="31"/>
      <c r="F358" s="31"/>
      <c r="G358" s="139"/>
      <c r="H358" s="140"/>
      <c r="I358" s="31"/>
      <c r="J358" s="140"/>
      <c r="K358" s="31" t="s">
        <v>357</v>
      </c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143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144"/>
    </row>
    <row r="359" spans="2:61" ht="20.100000000000001" customHeight="1" thickBot="1" x14ac:dyDescent="0.5">
      <c r="B359" s="148"/>
      <c r="C359" s="31"/>
      <c r="D359" s="31"/>
      <c r="E359" s="31"/>
      <c r="F359" s="31"/>
      <c r="G359" s="139"/>
      <c r="H359" s="140"/>
      <c r="I359" s="31"/>
      <c r="J359" s="140"/>
      <c r="K359" s="31" t="s">
        <v>354</v>
      </c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143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144"/>
    </row>
    <row r="360" spans="2:61" ht="20.100000000000001" customHeight="1" x14ac:dyDescent="0.45">
      <c r="B360" s="129" t="s">
        <v>353</v>
      </c>
      <c r="C360" s="130"/>
      <c r="D360" s="130"/>
      <c r="E360" s="130"/>
      <c r="F360" s="130"/>
      <c r="G360" s="131"/>
      <c r="H360" s="132" t="s">
        <v>159</v>
      </c>
      <c r="I360" s="130"/>
      <c r="J360" s="133" t="s">
        <v>237</v>
      </c>
      <c r="K360" s="134"/>
      <c r="L360" s="134"/>
      <c r="M360" s="134"/>
      <c r="N360" s="134"/>
      <c r="O360" s="134"/>
      <c r="P360" s="134"/>
      <c r="Q360" s="135"/>
      <c r="R360" s="134" t="s">
        <v>313</v>
      </c>
      <c r="S360" s="134"/>
      <c r="T360" s="134"/>
      <c r="U360" s="134"/>
      <c r="V360" s="134"/>
      <c r="W360" s="134"/>
      <c r="X360" s="134"/>
      <c r="Y360" s="134"/>
      <c r="Z360" s="134"/>
      <c r="AA360" s="134"/>
      <c r="AB360" s="134"/>
      <c r="AC360" s="134"/>
      <c r="AD360" s="134"/>
      <c r="AE360" s="134"/>
      <c r="AF360" s="134"/>
      <c r="AG360" s="134"/>
      <c r="AH360" s="134"/>
      <c r="AI360" s="134"/>
      <c r="AJ360" s="135"/>
      <c r="AK360" s="136" t="s">
        <v>305</v>
      </c>
      <c r="AL360" s="130"/>
      <c r="AM360" s="130"/>
      <c r="AN360" s="130"/>
      <c r="AO360" s="130"/>
      <c r="AP360" s="130"/>
      <c r="AQ360" s="130"/>
      <c r="AR360" s="130"/>
      <c r="AS360" s="130"/>
      <c r="AT360" s="130"/>
      <c r="AU360" s="130"/>
      <c r="AV360" s="130"/>
      <c r="AW360" s="130"/>
      <c r="AX360" s="130"/>
      <c r="AY360" s="130"/>
      <c r="AZ360" s="130"/>
      <c r="BA360" s="130"/>
      <c r="BB360" s="130"/>
      <c r="BC360" s="130"/>
      <c r="BD360" s="130"/>
      <c r="BE360" s="130"/>
      <c r="BF360" s="130"/>
      <c r="BG360" s="130"/>
      <c r="BH360" s="130"/>
      <c r="BI360" s="137"/>
    </row>
    <row r="361" spans="2:61" ht="20.100000000000001" customHeight="1" x14ac:dyDescent="0.45">
      <c r="B361" s="138"/>
      <c r="C361" s="31"/>
      <c r="D361" s="31"/>
      <c r="E361" s="31"/>
      <c r="F361" s="31"/>
      <c r="G361" s="139"/>
      <c r="H361" s="145" t="s">
        <v>169</v>
      </c>
      <c r="I361" s="55"/>
      <c r="J361" s="145" t="s">
        <v>306</v>
      </c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146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  <c r="BD361" s="55"/>
      <c r="BE361" s="55"/>
      <c r="BF361" s="55"/>
      <c r="BG361" s="55"/>
      <c r="BH361" s="55"/>
      <c r="BI361" s="147"/>
    </row>
    <row r="362" spans="2:61" ht="20.100000000000001" customHeight="1" x14ac:dyDescent="0.45">
      <c r="B362" s="148"/>
      <c r="C362" s="31"/>
      <c r="D362" s="31"/>
      <c r="E362" s="31"/>
      <c r="F362" s="31"/>
      <c r="G362" s="139"/>
      <c r="H362" s="145" t="s">
        <v>171</v>
      </c>
      <c r="I362" s="55"/>
      <c r="J362" s="152" t="s">
        <v>307</v>
      </c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146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  <c r="BD362" s="55"/>
      <c r="BE362" s="55"/>
      <c r="BF362" s="55"/>
      <c r="BG362" s="55"/>
      <c r="BH362" s="55"/>
      <c r="BI362" s="147"/>
    </row>
    <row r="363" spans="2:61" ht="20.100000000000001" customHeight="1" x14ac:dyDescent="0.45">
      <c r="B363" s="148"/>
      <c r="C363" s="31"/>
      <c r="D363" s="31"/>
      <c r="E363" s="31"/>
      <c r="F363" s="31"/>
      <c r="G363" s="139"/>
      <c r="H363" s="145" t="s">
        <v>173</v>
      </c>
      <c r="I363" s="55"/>
      <c r="J363" s="145" t="s">
        <v>308</v>
      </c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146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  <c r="BD363" s="55"/>
      <c r="BE363" s="55"/>
      <c r="BF363" s="55"/>
      <c r="BG363" s="55"/>
      <c r="BH363" s="55"/>
      <c r="BI363" s="147"/>
    </row>
    <row r="364" spans="2:61" ht="20.100000000000001" customHeight="1" x14ac:dyDescent="0.45">
      <c r="B364" s="148"/>
      <c r="C364" s="31"/>
      <c r="D364" s="31"/>
      <c r="E364" s="31"/>
      <c r="F364" s="31"/>
      <c r="G364" s="139"/>
      <c r="H364" s="140"/>
      <c r="I364" s="31"/>
      <c r="J364" s="140"/>
      <c r="K364" s="31" t="s">
        <v>309</v>
      </c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143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144"/>
    </row>
    <row r="365" spans="2:61" ht="20.100000000000001" customHeight="1" x14ac:dyDescent="0.45">
      <c r="B365" s="148"/>
      <c r="C365" s="31"/>
      <c r="D365" s="31"/>
      <c r="E365" s="31"/>
      <c r="F365" s="31"/>
      <c r="G365" s="139"/>
      <c r="H365" s="140"/>
      <c r="I365" s="31"/>
      <c r="J365" s="140"/>
      <c r="K365" s="31" t="s">
        <v>311</v>
      </c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143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144"/>
    </row>
    <row r="366" spans="2:61" ht="20.100000000000001" customHeight="1" thickBot="1" x14ac:dyDescent="0.5">
      <c r="B366" s="148"/>
      <c r="C366" s="31"/>
      <c r="D366" s="31"/>
      <c r="E366" s="31"/>
      <c r="F366" s="31"/>
      <c r="G366" s="139"/>
      <c r="H366" s="145" t="s">
        <v>174</v>
      </c>
      <c r="I366" s="55"/>
      <c r="J366" s="145" t="s">
        <v>312</v>
      </c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146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  <c r="BD366" s="55"/>
      <c r="BE366" s="55"/>
      <c r="BF366" s="55"/>
      <c r="BG366" s="55"/>
      <c r="BH366" s="55"/>
      <c r="BI366" s="147"/>
    </row>
    <row r="367" spans="2:61" ht="20.100000000000001" customHeight="1" x14ac:dyDescent="0.45">
      <c r="B367" s="129" t="s">
        <v>355</v>
      </c>
      <c r="C367" s="130"/>
      <c r="D367" s="130"/>
      <c r="E367" s="130"/>
      <c r="F367" s="130"/>
      <c r="G367" s="131"/>
      <c r="H367" s="132" t="s">
        <v>159</v>
      </c>
      <c r="I367" s="130"/>
      <c r="J367" s="133" t="s">
        <v>249</v>
      </c>
      <c r="K367" s="134"/>
      <c r="L367" s="134"/>
      <c r="M367" s="134"/>
      <c r="N367" s="134"/>
      <c r="O367" s="134"/>
      <c r="P367" s="134"/>
      <c r="Q367" s="135"/>
      <c r="R367" s="134" t="s">
        <v>316</v>
      </c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  <c r="AC367" s="134"/>
      <c r="AD367" s="134"/>
      <c r="AE367" s="134"/>
      <c r="AF367" s="134"/>
      <c r="AG367" s="134"/>
      <c r="AH367" s="134"/>
      <c r="AI367" s="134"/>
      <c r="AJ367" s="135"/>
      <c r="AK367" s="136" t="s">
        <v>314</v>
      </c>
      <c r="AL367" s="130"/>
      <c r="AM367" s="130"/>
      <c r="AN367" s="130"/>
      <c r="AO367" s="130"/>
      <c r="AP367" s="130"/>
      <c r="AQ367" s="130"/>
      <c r="AR367" s="130"/>
      <c r="AS367" s="130"/>
      <c r="AT367" s="130"/>
      <c r="AU367" s="130"/>
      <c r="AV367" s="130"/>
      <c r="AW367" s="130"/>
      <c r="AX367" s="130"/>
      <c r="AY367" s="130"/>
      <c r="AZ367" s="130"/>
      <c r="BA367" s="130"/>
      <c r="BB367" s="130"/>
      <c r="BC367" s="130"/>
      <c r="BD367" s="130"/>
      <c r="BE367" s="130"/>
      <c r="BF367" s="130"/>
      <c r="BG367" s="130"/>
      <c r="BH367" s="130"/>
      <c r="BI367" s="137"/>
    </row>
    <row r="368" spans="2:61" ht="20.100000000000001" customHeight="1" x14ac:dyDescent="0.45">
      <c r="B368" s="138"/>
      <c r="C368" s="31"/>
      <c r="D368" s="31"/>
      <c r="E368" s="31"/>
      <c r="F368" s="31"/>
      <c r="G368" s="139"/>
      <c r="H368" s="145" t="s">
        <v>169</v>
      </c>
      <c r="I368" s="55"/>
      <c r="J368" s="145" t="s">
        <v>306</v>
      </c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146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  <c r="BD368" s="55"/>
      <c r="BE368" s="55"/>
      <c r="BF368" s="55"/>
      <c r="BG368" s="55"/>
      <c r="BH368" s="55"/>
      <c r="BI368" s="147"/>
    </row>
    <row r="369" spans="2:61" ht="20.100000000000001" customHeight="1" x14ac:dyDescent="0.45">
      <c r="B369" s="148"/>
      <c r="C369" s="31"/>
      <c r="D369" s="31"/>
      <c r="E369" s="31"/>
      <c r="F369" s="31"/>
      <c r="G369" s="139"/>
      <c r="H369" s="145" t="s">
        <v>173</v>
      </c>
      <c r="I369" s="55"/>
      <c r="J369" s="145" t="s">
        <v>327</v>
      </c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146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  <c r="BD369" s="55"/>
      <c r="BE369" s="55"/>
      <c r="BF369" s="55"/>
      <c r="BG369" s="55"/>
      <c r="BH369" s="55"/>
      <c r="BI369" s="147"/>
    </row>
    <row r="370" spans="2:61" ht="20.100000000000001" customHeight="1" x14ac:dyDescent="0.45">
      <c r="B370" s="148"/>
      <c r="C370" s="31"/>
      <c r="D370" s="31"/>
      <c r="E370" s="31"/>
      <c r="F370" s="31"/>
      <c r="G370" s="139"/>
      <c r="H370" s="140"/>
      <c r="I370" s="31"/>
      <c r="J370" s="140"/>
      <c r="K370" s="31" t="s">
        <v>309</v>
      </c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143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144"/>
    </row>
    <row r="371" spans="2:61" ht="20.100000000000001" customHeight="1" x14ac:dyDescent="0.45">
      <c r="B371" s="148"/>
      <c r="C371" s="31"/>
      <c r="D371" s="31"/>
      <c r="E371" s="31"/>
      <c r="F371" s="31"/>
      <c r="G371" s="139"/>
      <c r="H371" s="140"/>
      <c r="I371" s="31"/>
      <c r="J371" s="140"/>
      <c r="K371" s="31" t="s">
        <v>311</v>
      </c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143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144"/>
    </row>
    <row r="372" spans="2:61" ht="20.100000000000001" customHeight="1" thickBot="1" x14ac:dyDescent="0.5">
      <c r="B372" s="148"/>
      <c r="C372" s="31"/>
      <c r="D372" s="31"/>
      <c r="E372" s="31"/>
      <c r="F372" s="31"/>
      <c r="G372" s="139"/>
      <c r="H372" s="145" t="s">
        <v>174</v>
      </c>
      <c r="I372" s="55"/>
      <c r="J372" s="145" t="s">
        <v>312</v>
      </c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146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  <c r="BD372" s="55"/>
      <c r="BE372" s="55"/>
      <c r="BF372" s="55"/>
      <c r="BG372" s="55"/>
      <c r="BH372" s="55"/>
      <c r="BI372" s="147"/>
    </row>
    <row r="373" spans="2:61" ht="20.100000000000001" customHeight="1" x14ac:dyDescent="0.45">
      <c r="B373" s="129" t="s">
        <v>357</v>
      </c>
      <c r="C373" s="130"/>
      <c r="D373" s="130"/>
      <c r="E373" s="130"/>
      <c r="F373" s="130"/>
      <c r="G373" s="131"/>
      <c r="H373" s="132" t="s">
        <v>159</v>
      </c>
      <c r="I373" s="130"/>
      <c r="J373" s="133" t="s">
        <v>250</v>
      </c>
      <c r="K373" s="134"/>
      <c r="L373" s="134"/>
      <c r="M373" s="134"/>
      <c r="N373" s="134"/>
      <c r="O373" s="134"/>
      <c r="P373" s="134"/>
      <c r="Q373" s="135"/>
      <c r="R373" s="134" t="s">
        <v>318</v>
      </c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  <c r="AC373" s="134"/>
      <c r="AD373" s="134"/>
      <c r="AE373" s="134"/>
      <c r="AF373" s="134"/>
      <c r="AG373" s="134"/>
      <c r="AH373" s="134"/>
      <c r="AI373" s="134"/>
      <c r="AJ373" s="135"/>
      <c r="AK373" s="136" t="s">
        <v>317</v>
      </c>
      <c r="AL373" s="130"/>
      <c r="AM373" s="130"/>
      <c r="AN373" s="130"/>
      <c r="AO373" s="130"/>
      <c r="AP373" s="130"/>
      <c r="AQ373" s="130"/>
      <c r="AR373" s="130"/>
      <c r="AS373" s="130"/>
      <c r="AT373" s="130"/>
      <c r="AU373" s="130"/>
      <c r="AV373" s="130"/>
      <c r="AW373" s="130"/>
      <c r="AX373" s="130"/>
      <c r="AY373" s="130"/>
      <c r="AZ373" s="130"/>
      <c r="BA373" s="130"/>
      <c r="BB373" s="130"/>
      <c r="BC373" s="130"/>
      <c r="BD373" s="130"/>
      <c r="BE373" s="130"/>
      <c r="BF373" s="130"/>
      <c r="BG373" s="130"/>
      <c r="BH373" s="130"/>
      <c r="BI373" s="137"/>
    </row>
    <row r="374" spans="2:61" ht="20.100000000000001" customHeight="1" x14ac:dyDescent="0.45">
      <c r="B374" s="138"/>
      <c r="C374" s="31"/>
      <c r="D374" s="31"/>
      <c r="E374" s="31"/>
      <c r="F374" s="31"/>
      <c r="G374" s="139"/>
      <c r="H374" s="145" t="s">
        <v>169</v>
      </c>
      <c r="I374" s="55"/>
      <c r="J374" s="145" t="s">
        <v>306</v>
      </c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146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  <c r="BD374" s="55"/>
      <c r="BE374" s="55"/>
      <c r="BF374" s="55"/>
      <c r="BG374" s="55"/>
      <c r="BH374" s="55"/>
      <c r="BI374" s="147"/>
    </row>
    <row r="375" spans="2:61" ht="20.100000000000001" customHeight="1" x14ac:dyDescent="0.45">
      <c r="B375" s="148"/>
      <c r="C375" s="31"/>
      <c r="D375" s="31"/>
      <c r="E375" s="31"/>
      <c r="F375" s="31"/>
      <c r="G375" s="139"/>
      <c r="H375" s="145" t="s">
        <v>173</v>
      </c>
      <c r="I375" s="55"/>
      <c r="J375" s="145" t="s">
        <v>308</v>
      </c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146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  <c r="BD375" s="55"/>
      <c r="BE375" s="55"/>
      <c r="BF375" s="55"/>
      <c r="BG375" s="55"/>
      <c r="BH375" s="55"/>
      <c r="BI375" s="147"/>
    </row>
    <row r="376" spans="2:61" ht="20.100000000000001" customHeight="1" x14ac:dyDescent="0.45">
      <c r="B376" s="148"/>
      <c r="C376" s="31"/>
      <c r="D376" s="31"/>
      <c r="E376" s="31"/>
      <c r="F376" s="31"/>
      <c r="G376" s="139"/>
      <c r="H376" s="140"/>
      <c r="I376" s="31"/>
      <c r="J376" s="140"/>
      <c r="K376" s="31" t="s">
        <v>309</v>
      </c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143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144"/>
    </row>
    <row r="377" spans="2:61" ht="20.100000000000001" customHeight="1" x14ac:dyDescent="0.45">
      <c r="B377" s="148"/>
      <c r="C377" s="31"/>
      <c r="D377" s="31"/>
      <c r="E377" s="31"/>
      <c r="F377" s="31"/>
      <c r="G377" s="139"/>
      <c r="H377" s="140"/>
      <c r="I377" s="31"/>
      <c r="J377" s="140"/>
      <c r="K377" s="31" t="s">
        <v>311</v>
      </c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143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144"/>
    </row>
    <row r="378" spans="2:61" ht="20.100000000000001" customHeight="1" thickBot="1" x14ac:dyDescent="0.5">
      <c r="B378" s="148"/>
      <c r="C378" s="31"/>
      <c r="D378" s="31"/>
      <c r="E378" s="31"/>
      <c r="F378" s="31"/>
      <c r="G378" s="139"/>
      <c r="H378" s="145" t="s">
        <v>174</v>
      </c>
      <c r="I378" s="55"/>
      <c r="J378" s="145" t="s">
        <v>312</v>
      </c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146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  <c r="BD378" s="55"/>
      <c r="BE378" s="55"/>
      <c r="BF378" s="55"/>
      <c r="BG378" s="55"/>
      <c r="BH378" s="55"/>
      <c r="BI378" s="147"/>
    </row>
    <row r="379" spans="2:61" ht="20.100000000000001" customHeight="1" x14ac:dyDescent="0.45">
      <c r="B379" s="129" t="s">
        <v>358</v>
      </c>
      <c r="C379" s="130"/>
      <c r="D379" s="130"/>
      <c r="E379" s="130"/>
      <c r="F379" s="130"/>
      <c r="G379" s="131"/>
      <c r="H379" s="132" t="s">
        <v>159</v>
      </c>
      <c r="I379" s="130"/>
      <c r="J379" s="133" t="s">
        <v>160</v>
      </c>
      <c r="K379" s="134"/>
      <c r="L379" s="134"/>
      <c r="M379" s="134"/>
      <c r="N379" s="134"/>
      <c r="O379" s="134"/>
      <c r="P379" s="134"/>
      <c r="Q379" s="135"/>
      <c r="R379" s="134" t="s">
        <v>161</v>
      </c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  <c r="AC379" s="134"/>
      <c r="AD379" s="134"/>
      <c r="AE379" s="134"/>
      <c r="AF379" s="134"/>
      <c r="AG379" s="134"/>
      <c r="AH379" s="134"/>
      <c r="AI379" s="134"/>
      <c r="AJ379" s="135"/>
      <c r="AK379" s="136"/>
      <c r="AL379" s="130"/>
      <c r="AM379" s="130"/>
      <c r="AN379" s="130"/>
      <c r="AO379" s="130"/>
      <c r="AP379" s="130"/>
      <c r="AQ379" s="130"/>
      <c r="AR379" s="130"/>
      <c r="AS379" s="130"/>
      <c r="AT379" s="130"/>
      <c r="AU379" s="130"/>
      <c r="AV379" s="130"/>
      <c r="AW379" s="130"/>
      <c r="AX379" s="130"/>
      <c r="AY379" s="130"/>
      <c r="AZ379" s="130"/>
      <c r="BA379" s="130"/>
      <c r="BB379" s="130"/>
      <c r="BC379" s="130"/>
      <c r="BD379" s="130"/>
      <c r="BE379" s="130"/>
      <c r="BF379" s="130"/>
      <c r="BG379" s="130"/>
      <c r="BH379" s="130"/>
      <c r="BI379" s="137"/>
    </row>
    <row r="380" spans="2:61" ht="20.100000000000001" customHeight="1" x14ac:dyDescent="0.45">
      <c r="B380" s="138"/>
      <c r="C380" s="31"/>
      <c r="D380" s="31"/>
      <c r="E380" s="31"/>
      <c r="F380" s="31"/>
      <c r="G380" s="139"/>
      <c r="H380" s="140"/>
      <c r="I380" s="31"/>
      <c r="J380" s="149" t="s">
        <v>227</v>
      </c>
      <c r="K380" s="150"/>
      <c r="L380" s="150"/>
      <c r="M380" s="150"/>
      <c r="N380" s="150"/>
      <c r="O380" s="150"/>
      <c r="P380" s="150"/>
      <c r="Q380" s="151"/>
      <c r="R380" s="154" t="s">
        <v>348</v>
      </c>
      <c r="S380" s="150"/>
      <c r="T380" s="150"/>
      <c r="U380" s="150"/>
      <c r="V380" s="150"/>
      <c r="W380" s="150"/>
      <c r="X380" s="150"/>
      <c r="Y380" s="150"/>
      <c r="Z380" s="150"/>
      <c r="AA380" s="150"/>
      <c r="AB380" s="150"/>
      <c r="AC380" s="150"/>
      <c r="AD380" s="150"/>
      <c r="AE380" s="150"/>
      <c r="AF380" s="150"/>
      <c r="AG380" s="150"/>
      <c r="AH380" s="150"/>
      <c r="AI380" s="150"/>
      <c r="AJ380" s="151"/>
      <c r="AK380" s="143" t="s">
        <v>330</v>
      </c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144"/>
    </row>
    <row r="381" spans="2:61" ht="20.100000000000001" customHeight="1" x14ac:dyDescent="0.45">
      <c r="B381" s="138"/>
      <c r="C381" s="31"/>
      <c r="D381" s="31"/>
      <c r="E381" s="31"/>
      <c r="F381" s="31"/>
      <c r="G381" s="139"/>
      <c r="H381" s="140"/>
      <c r="I381" s="31"/>
      <c r="J381" s="149" t="s">
        <v>228</v>
      </c>
      <c r="K381" s="150"/>
      <c r="L381" s="150"/>
      <c r="M381" s="150"/>
      <c r="N381" s="150"/>
      <c r="O381" s="150"/>
      <c r="P381" s="150"/>
      <c r="Q381" s="151"/>
      <c r="R381" s="154" t="s">
        <v>349</v>
      </c>
      <c r="S381" s="150"/>
      <c r="T381" s="150"/>
      <c r="U381" s="150"/>
      <c r="V381" s="150"/>
      <c r="W381" s="150"/>
      <c r="X381" s="150"/>
      <c r="Y381" s="150"/>
      <c r="Z381" s="150"/>
      <c r="AA381" s="150"/>
      <c r="AB381" s="150"/>
      <c r="AC381" s="150"/>
      <c r="AD381" s="150"/>
      <c r="AE381" s="150"/>
      <c r="AF381" s="150"/>
      <c r="AG381" s="150"/>
      <c r="AH381" s="150"/>
      <c r="AI381" s="150"/>
      <c r="AJ381" s="151"/>
      <c r="AK381" s="143" t="s">
        <v>320</v>
      </c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144"/>
    </row>
    <row r="382" spans="2:61" ht="20.100000000000001" customHeight="1" x14ac:dyDescent="0.45">
      <c r="B382" s="138"/>
      <c r="C382" s="31"/>
      <c r="D382" s="31"/>
      <c r="E382" s="31"/>
      <c r="F382" s="31"/>
      <c r="G382" s="139"/>
      <c r="H382" s="140"/>
      <c r="I382" s="31"/>
      <c r="J382" s="149" t="s">
        <v>229</v>
      </c>
      <c r="K382" s="150"/>
      <c r="L382" s="150"/>
      <c r="M382" s="150"/>
      <c r="N382" s="150"/>
      <c r="O382" s="150"/>
      <c r="P382" s="150"/>
      <c r="Q382" s="151"/>
      <c r="R382" s="150" t="s">
        <v>339</v>
      </c>
      <c r="S382" s="150"/>
      <c r="T382" s="150"/>
      <c r="U382" s="150"/>
      <c r="V382" s="150"/>
      <c r="W382" s="150"/>
      <c r="X382" s="150"/>
      <c r="Y382" s="150"/>
      <c r="Z382" s="150"/>
      <c r="AA382" s="150"/>
      <c r="AB382" s="150"/>
      <c r="AC382" s="150"/>
      <c r="AD382" s="150"/>
      <c r="AE382" s="150"/>
      <c r="AF382" s="150"/>
      <c r="AG382" s="150"/>
      <c r="AH382" s="150"/>
      <c r="AI382" s="150"/>
      <c r="AJ382" s="151"/>
      <c r="AK382" s="143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144"/>
    </row>
    <row r="383" spans="2:61" ht="20.100000000000001" customHeight="1" x14ac:dyDescent="0.45">
      <c r="B383" s="138"/>
      <c r="C383" s="31"/>
      <c r="D383" s="31"/>
      <c r="E383" s="31"/>
      <c r="F383" s="31"/>
      <c r="G383" s="139"/>
      <c r="H383" s="140"/>
      <c r="I383" s="31"/>
      <c r="J383" s="149" t="s">
        <v>287</v>
      </c>
      <c r="K383" s="150"/>
      <c r="L383" s="150"/>
      <c r="M383" s="150"/>
      <c r="N383" s="150"/>
      <c r="O383" s="150"/>
      <c r="P383" s="150"/>
      <c r="Q383" s="151"/>
      <c r="R383" s="150" t="s">
        <v>340</v>
      </c>
      <c r="S383" s="150"/>
      <c r="T383" s="150"/>
      <c r="U383" s="150"/>
      <c r="V383" s="150"/>
      <c r="W383" s="150"/>
      <c r="X383" s="150"/>
      <c r="Y383" s="150"/>
      <c r="Z383" s="150"/>
      <c r="AA383" s="150"/>
      <c r="AB383" s="150"/>
      <c r="AC383" s="150"/>
      <c r="AD383" s="150"/>
      <c r="AE383" s="150"/>
      <c r="AF383" s="150"/>
      <c r="AG383" s="150"/>
      <c r="AH383" s="150"/>
      <c r="AI383" s="150"/>
      <c r="AJ383" s="151"/>
      <c r="AK383" s="143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144"/>
    </row>
    <row r="384" spans="2:61" ht="20.100000000000001" customHeight="1" x14ac:dyDescent="0.45">
      <c r="B384" s="138"/>
      <c r="C384" s="31"/>
      <c r="D384" s="31"/>
      <c r="E384" s="31"/>
      <c r="F384" s="31"/>
      <c r="G384" s="139"/>
      <c r="H384" s="140"/>
      <c r="I384" s="31"/>
      <c r="J384" s="149" t="s">
        <v>288</v>
      </c>
      <c r="K384" s="150"/>
      <c r="L384" s="150"/>
      <c r="M384" s="150"/>
      <c r="N384" s="150"/>
      <c r="O384" s="150"/>
      <c r="P384" s="150"/>
      <c r="Q384" s="151"/>
      <c r="R384" s="150" t="s">
        <v>341</v>
      </c>
      <c r="S384" s="150"/>
      <c r="T384" s="150"/>
      <c r="U384" s="150"/>
      <c r="V384" s="150"/>
      <c r="W384" s="150"/>
      <c r="X384" s="150"/>
      <c r="Y384" s="150"/>
      <c r="Z384" s="150"/>
      <c r="AA384" s="150"/>
      <c r="AB384" s="150"/>
      <c r="AC384" s="150"/>
      <c r="AD384" s="150"/>
      <c r="AE384" s="150"/>
      <c r="AF384" s="150"/>
      <c r="AG384" s="150"/>
      <c r="AH384" s="150"/>
      <c r="AI384" s="150"/>
      <c r="AJ384" s="151"/>
      <c r="AK384" s="143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144"/>
    </row>
    <row r="385" spans="2:61" ht="20.100000000000001" customHeight="1" x14ac:dyDescent="0.45">
      <c r="B385" s="138"/>
      <c r="C385" s="31"/>
      <c r="D385" s="31"/>
      <c r="E385" s="31"/>
      <c r="F385" s="31"/>
      <c r="G385" s="139"/>
      <c r="H385" s="140"/>
      <c r="I385" s="31"/>
      <c r="J385" s="149" t="s">
        <v>289</v>
      </c>
      <c r="K385" s="150"/>
      <c r="L385" s="150"/>
      <c r="M385" s="150"/>
      <c r="N385" s="150"/>
      <c r="O385" s="150"/>
      <c r="P385" s="150"/>
      <c r="Q385" s="151"/>
      <c r="R385" s="150" t="s">
        <v>342</v>
      </c>
      <c r="S385" s="150"/>
      <c r="T385" s="150"/>
      <c r="U385" s="150"/>
      <c r="V385" s="150"/>
      <c r="W385" s="150"/>
      <c r="X385" s="150"/>
      <c r="Y385" s="150"/>
      <c r="Z385" s="150"/>
      <c r="AA385" s="150"/>
      <c r="AB385" s="150"/>
      <c r="AC385" s="150"/>
      <c r="AD385" s="150"/>
      <c r="AE385" s="150"/>
      <c r="AF385" s="150"/>
      <c r="AG385" s="150"/>
      <c r="AH385" s="150"/>
      <c r="AI385" s="150"/>
      <c r="AJ385" s="151"/>
      <c r="AK385" s="143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144"/>
    </row>
    <row r="386" spans="2:61" ht="20.100000000000001" customHeight="1" x14ac:dyDescent="0.45">
      <c r="B386" s="138"/>
      <c r="C386" s="31"/>
      <c r="D386" s="31"/>
      <c r="E386" s="31"/>
      <c r="F386" s="31"/>
      <c r="G386" s="139"/>
      <c r="H386" s="140"/>
      <c r="I386" s="31"/>
      <c r="J386" s="149" t="s">
        <v>290</v>
      </c>
      <c r="K386" s="150"/>
      <c r="L386" s="150"/>
      <c r="M386" s="150"/>
      <c r="N386" s="150"/>
      <c r="O386" s="150"/>
      <c r="P386" s="150"/>
      <c r="Q386" s="151"/>
      <c r="R386" s="150" t="s">
        <v>343</v>
      </c>
      <c r="S386" s="150"/>
      <c r="T386" s="150"/>
      <c r="U386" s="150"/>
      <c r="V386" s="150"/>
      <c r="W386" s="150"/>
      <c r="X386" s="150"/>
      <c r="Y386" s="150"/>
      <c r="Z386" s="150"/>
      <c r="AA386" s="150"/>
      <c r="AB386" s="150"/>
      <c r="AC386" s="150"/>
      <c r="AD386" s="150"/>
      <c r="AE386" s="150"/>
      <c r="AF386" s="150"/>
      <c r="AG386" s="150"/>
      <c r="AH386" s="150"/>
      <c r="AI386" s="150"/>
      <c r="AJ386" s="151"/>
      <c r="AK386" s="143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144"/>
    </row>
    <row r="387" spans="2:61" ht="20.100000000000001" customHeight="1" x14ac:dyDescent="0.45">
      <c r="B387" s="138"/>
      <c r="C387" s="31"/>
      <c r="D387" s="31"/>
      <c r="E387" s="31"/>
      <c r="F387" s="31"/>
      <c r="G387" s="139"/>
      <c r="H387" s="140"/>
      <c r="I387" s="31"/>
      <c r="J387" s="149" t="s">
        <v>291</v>
      </c>
      <c r="K387" s="150"/>
      <c r="L387" s="150"/>
      <c r="M387" s="150"/>
      <c r="N387" s="150"/>
      <c r="O387" s="150"/>
      <c r="P387" s="150"/>
      <c r="Q387" s="151"/>
      <c r="R387" s="150" t="s">
        <v>344</v>
      </c>
      <c r="S387" s="150"/>
      <c r="T387" s="150"/>
      <c r="U387" s="150"/>
      <c r="V387" s="150"/>
      <c r="W387" s="150"/>
      <c r="X387" s="150"/>
      <c r="Y387" s="150"/>
      <c r="Z387" s="150"/>
      <c r="AA387" s="150"/>
      <c r="AB387" s="150"/>
      <c r="AC387" s="150"/>
      <c r="AD387" s="150"/>
      <c r="AE387" s="150"/>
      <c r="AF387" s="150"/>
      <c r="AG387" s="150"/>
      <c r="AH387" s="150"/>
      <c r="AI387" s="150"/>
      <c r="AJ387" s="151"/>
      <c r="AK387" s="143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144"/>
    </row>
    <row r="388" spans="2:61" ht="20.100000000000001" customHeight="1" x14ac:dyDescent="0.45">
      <c r="B388" s="138"/>
      <c r="C388" s="31"/>
      <c r="D388" s="31"/>
      <c r="E388" s="31"/>
      <c r="F388" s="31"/>
      <c r="G388" s="139"/>
      <c r="H388" s="140"/>
      <c r="I388" s="31"/>
      <c r="J388" s="149" t="s">
        <v>230</v>
      </c>
      <c r="K388" s="150"/>
      <c r="L388" s="150"/>
      <c r="M388" s="150"/>
      <c r="N388" s="150"/>
      <c r="O388" s="150"/>
      <c r="P388" s="150"/>
      <c r="Q388" s="151"/>
      <c r="R388" s="150" t="s">
        <v>258</v>
      </c>
      <c r="S388" s="150"/>
      <c r="T388" s="150"/>
      <c r="U388" s="150"/>
      <c r="V388" s="150"/>
      <c r="W388" s="150"/>
      <c r="X388" s="150"/>
      <c r="Y388" s="150"/>
      <c r="Z388" s="150"/>
      <c r="AA388" s="150"/>
      <c r="AB388" s="150"/>
      <c r="AC388" s="150"/>
      <c r="AD388" s="150"/>
      <c r="AE388" s="150"/>
      <c r="AF388" s="150"/>
      <c r="AG388" s="150"/>
      <c r="AH388" s="150"/>
      <c r="AI388" s="150"/>
      <c r="AJ388" s="151"/>
      <c r="AK388" s="143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144"/>
    </row>
    <row r="389" spans="2:61" ht="20.100000000000001" customHeight="1" x14ac:dyDescent="0.45">
      <c r="B389" s="138"/>
      <c r="C389" s="31"/>
      <c r="D389" s="31"/>
      <c r="E389" s="31"/>
      <c r="F389" s="31"/>
      <c r="G389" s="139"/>
      <c r="H389" s="140"/>
      <c r="I389" s="31"/>
      <c r="J389" s="149" t="s">
        <v>231</v>
      </c>
      <c r="K389" s="150"/>
      <c r="L389" s="150"/>
      <c r="M389" s="150"/>
      <c r="N389" s="150"/>
      <c r="O389" s="150"/>
      <c r="P389" s="150"/>
      <c r="Q389" s="151"/>
      <c r="R389" s="150" t="s">
        <v>259</v>
      </c>
      <c r="S389" s="150"/>
      <c r="T389" s="150"/>
      <c r="U389" s="150"/>
      <c r="V389" s="150"/>
      <c r="W389" s="150"/>
      <c r="X389" s="150"/>
      <c r="Y389" s="150"/>
      <c r="Z389" s="150"/>
      <c r="AA389" s="150"/>
      <c r="AB389" s="150"/>
      <c r="AC389" s="150"/>
      <c r="AD389" s="150"/>
      <c r="AE389" s="150"/>
      <c r="AF389" s="150"/>
      <c r="AG389" s="150"/>
      <c r="AH389" s="150"/>
      <c r="AI389" s="150"/>
      <c r="AJ389" s="151"/>
      <c r="AK389" s="143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144"/>
    </row>
    <row r="390" spans="2:61" ht="20.100000000000001" customHeight="1" x14ac:dyDescent="0.45">
      <c r="B390" s="138"/>
      <c r="C390" s="31"/>
      <c r="D390" s="31"/>
      <c r="E390" s="31"/>
      <c r="F390" s="31"/>
      <c r="G390" s="139"/>
      <c r="H390" s="140"/>
      <c r="I390" s="31"/>
      <c r="J390" s="149" t="s">
        <v>232</v>
      </c>
      <c r="K390" s="150"/>
      <c r="L390" s="150"/>
      <c r="M390" s="150"/>
      <c r="N390" s="150"/>
      <c r="O390" s="150"/>
      <c r="P390" s="150"/>
      <c r="Q390" s="151"/>
      <c r="R390" s="150" t="s">
        <v>260</v>
      </c>
      <c r="S390" s="150"/>
      <c r="T390" s="150"/>
      <c r="U390" s="150"/>
      <c r="V390" s="150"/>
      <c r="W390" s="150"/>
      <c r="X390" s="150"/>
      <c r="Y390" s="150"/>
      <c r="Z390" s="150"/>
      <c r="AA390" s="150"/>
      <c r="AB390" s="150"/>
      <c r="AC390" s="150"/>
      <c r="AD390" s="150"/>
      <c r="AE390" s="150"/>
      <c r="AF390" s="150"/>
      <c r="AG390" s="150"/>
      <c r="AH390" s="150"/>
      <c r="AI390" s="150"/>
      <c r="AJ390" s="151"/>
      <c r="AK390" s="143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144"/>
    </row>
    <row r="391" spans="2:61" ht="20.100000000000001" customHeight="1" x14ac:dyDescent="0.45">
      <c r="B391" s="138"/>
      <c r="C391" s="31"/>
      <c r="D391" s="31"/>
      <c r="E391" s="31"/>
      <c r="F391" s="31"/>
      <c r="G391" s="139"/>
      <c r="H391" s="140"/>
      <c r="I391" s="31"/>
      <c r="J391" s="149" t="s">
        <v>233</v>
      </c>
      <c r="K391" s="150"/>
      <c r="L391" s="150"/>
      <c r="M391" s="150"/>
      <c r="N391" s="150"/>
      <c r="O391" s="150"/>
      <c r="P391" s="150"/>
      <c r="Q391" s="151"/>
      <c r="R391" s="150" t="s">
        <v>261</v>
      </c>
      <c r="S391" s="150"/>
      <c r="T391" s="150"/>
      <c r="U391" s="150"/>
      <c r="V391" s="150"/>
      <c r="W391" s="150"/>
      <c r="X391" s="150"/>
      <c r="Y391" s="150"/>
      <c r="Z391" s="150"/>
      <c r="AA391" s="150"/>
      <c r="AB391" s="150"/>
      <c r="AC391" s="150"/>
      <c r="AD391" s="150"/>
      <c r="AE391" s="150"/>
      <c r="AF391" s="150"/>
      <c r="AG391" s="150"/>
      <c r="AH391" s="150"/>
      <c r="AI391" s="150"/>
      <c r="AJ391" s="151"/>
      <c r="AK391" s="143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144"/>
    </row>
    <row r="392" spans="2:61" ht="20.100000000000001" customHeight="1" x14ac:dyDescent="0.45">
      <c r="B392" s="138"/>
      <c r="C392" s="31"/>
      <c r="D392" s="31"/>
      <c r="E392" s="31"/>
      <c r="F392" s="31"/>
      <c r="G392" s="139"/>
      <c r="H392" s="140"/>
      <c r="I392" s="31"/>
      <c r="J392" s="149" t="s">
        <v>234</v>
      </c>
      <c r="K392" s="150"/>
      <c r="L392" s="150"/>
      <c r="M392" s="150"/>
      <c r="N392" s="150"/>
      <c r="O392" s="150"/>
      <c r="P392" s="150"/>
      <c r="Q392" s="151"/>
      <c r="R392" s="150" t="s">
        <v>262</v>
      </c>
      <c r="S392" s="150"/>
      <c r="T392" s="150"/>
      <c r="U392" s="150"/>
      <c r="V392" s="150"/>
      <c r="W392" s="150"/>
      <c r="X392" s="150"/>
      <c r="Y392" s="150"/>
      <c r="Z392" s="150"/>
      <c r="AA392" s="150"/>
      <c r="AB392" s="150"/>
      <c r="AC392" s="150"/>
      <c r="AD392" s="150"/>
      <c r="AE392" s="150"/>
      <c r="AF392" s="150"/>
      <c r="AG392" s="150"/>
      <c r="AH392" s="150"/>
      <c r="AI392" s="150"/>
      <c r="AJ392" s="151"/>
      <c r="AK392" s="143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144"/>
    </row>
    <row r="393" spans="2:61" ht="20.100000000000001" customHeight="1" x14ac:dyDescent="0.45">
      <c r="B393" s="138"/>
      <c r="C393" s="31"/>
      <c r="D393" s="31"/>
      <c r="E393" s="31"/>
      <c r="F393" s="31"/>
      <c r="G393" s="139"/>
      <c r="H393" s="140"/>
      <c r="I393" s="31"/>
      <c r="J393" s="149" t="s">
        <v>235</v>
      </c>
      <c r="K393" s="150"/>
      <c r="L393" s="150"/>
      <c r="M393" s="150"/>
      <c r="N393" s="150"/>
      <c r="O393" s="150"/>
      <c r="P393" s="150"/>
      <c r="Q393" s="151"/>
      <c r="R393" s="150" t="s">
        <v>263</v>
      </c>
      <c r="S393" s="150"/>
      <c r="T393" s="150"/>
      <c r="U393" s="150"/>
      <c r="V393" s="150"/>
      <c r="W393" s="150"/>
      <c r="X393" s="150"/>
      <c r="Y393" s="150"/>
      <c r="Z393" s="150"/>
      <c r="AA393" s="150"/>
      <c r="AB393" s="150"/>
      <c r="AC393" s="150"/>
      <c r="AD393" s="150"/>
      <c r="AE393" s="150"/>
      <c r="AF393" s="150"/>
      <c r="AG393" s="150"/>
      <c r="AH393" s="150"/>
      <c r="AI393" s="150"/>
      <c r="AJ393" s="151"/>
      <c r="AK393" s="143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144"/>
    </row>
    <row r="394" spans="2:61" ht="20.100000000000001" customHeight="1" x14ac:dyDescent="0.45">
      <c r="B394" s="138"/>
      <c r="C394" s="31"/>
      <c r="D394" s="31"/>
      <c r="E394" s="31"/>
      <c r="F394" s="31"/>
      <c r="G394" s="139"/>
      <c r="H394" s="140"/>
      <c r="I394" s="31"/>
      <c r="J394" s="149" t="s">
        <v>236</v>
      </c>
      <c r="K394" s="150"/>
      <c r="L394" s="150"/>
      <c r="M394" s="150"/>
      <c r="N394" s="150"/>
      <c r="O394" s="150"/>
      <c r="P394" s="150"/>
      <c r="Q394" s="151"/>
      <c r="R394" s="150" t="s">
        <v>264</v>
      </c>
      <c r="S394" s="150"/>
      <c r="T394" s="150"/>
      <c r="U394" s="150"/>
      <c r="V394" s="150"/>
      <c r="W394" s="150"/>
      <c r="X394" s="150"/>
      <c r="Y394" s="150"/>
      <c r="Z394" s="150"/>
      <c r="AA394" s="150"/>
      <c r="AB394" s="150"/>
      <c r="AC394" s="150"/>
      <c r="AD394" s="150"/>
      <c r="AE394" s="150"/>
      <c r="AF394" s="150"/>
      <c r="AG394" s="150"/>
      <c r="AH394" s="150"/>
      <c r="AI394" s="150"/>
      <c r="AJ394" s="151"/>
      <c r="AK394" s="143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144"/>
    </row>
    <row r="395" spans="2:61" ht="20.100000000000001" customHeight="1" x14ac:dyDescent="0.45">
      <c r="B395" s="138"/>
      <c r="C395" s="31"/>
      <c r="D395" s="31"/>
      <c r="E395" s="31"/>
      <c r="F395" s="31"/>
      <c r="G395" s="139"/>
      <c r="H395" s="140"/>
      <c r="I395" s="31"/>
      <c r="J395" s="149" t="s">
        <v>237</v>
      </c>
      <c r="K395" s="150"/>
      <c r="L395" s="150"/>
      <c r="M395" s="150"/>
      <c r="N395" s="150"/>
      <c r="O395" s="150"/>
      <c r="P395" s="150"/>
      <c r="Q395" s="151"/>
      <c r="R395" s="150" t="s">
        <v>345</v>
      </c>
      <c r="S395" s="150"/>
      <c r="T395" s="150"/>
      <c r="U395" s="150"/>
      <c r="V395" s="150"/>
      <c r="W395" s="150"/>
      <c r="X395" s="150"/>
      <c r="Y395" s="150"/>
      <c r="Z395" s="150"/>
      <c r="AA395" s="150"/>
      <c r="AB395" s="150"/>
      <c r="AC395" s="150"/>
      <c r="AD395" s="150"/>
      <c r="AE395" s="150"/>
      <c r="AF395" s="150"/>
      <c r="AG395" s="150"/>
      <c r="AH395" s="150"/>
      <c r="AI395" s="150"/>
      <c r="AJ395" s="151"/>
      <c r="AK395" s="143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144"/>
    </row>
    <row r="396" spans="2:61" ht="20.100000000000001" customHeight="1" x14ac:dyDescent="0.45">
      <c r="B396" s="138"/>
      <c r="C396" s="31"/>
      <c r="D396" s="31"/>
      <c r="E396" s="31"/>
      <c r="F396" s="31"/>
      <c r="G396" s="139"/>
      <c r="H396" s="140"/>
      <c r="I396" s="31"/>
      <c r="J396" s="149" t="s">
        <v>238</v>
      </c>
      <c r="K396" s="150"/>
      <c r="L396" s="150"/>
      <c r="M396" s="150"/>
      <c r="N396" s="150"/>
      <c r="O396" s="150"/>
      <c r="P396" s="150"/>
      <c r="Q396" s="151"/>
      <c r="R396" s="150" t="s">
        <v>265</v>
      </c>
      <c r="S396" s="150"/>
      <c r="T396" s="150"/>
      <c r="U396" s="150"/>
      <c r="V396" s="150"/>
      <c r="W396" s="150"/>
      <c r="X396" s="150"/>
      <c r="Y396" s="150"/>
      <c r="Z396" s="150"/>
      <c r="AA396" s="150"/>
      <c r="AB396" s="150"/>
      <c r="AC396" s="150"/>
      <c r="AD396" s="150"/>
      <c r="AE396" s="150"/>
      <c r="AF396" s="150"/>
      <c r="AG396" s="150"/>
      <c r="AH396" s="150"/>
      <c r="AI396" s="150"/>
      <c r="AJ396" s="151"/>
      <c r="AK396" s="143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144"/>
    </row>
    <row r="397" spans="2:61" ht="20.100000000000001" customHeight="1" x14ac:dyDescent="0.45">
      <c r="B397" s="138"/>
      <c r="C397" s="31"/>
      <c r="D397" s="31"/>
      <c r="E397" s="31"/>
      <c r="F397" s="31"/>
      <c r="G397" s="139"/>
      <c r="H397" s="140"/>
      <c r="I397" s="31"/>
      <c r="J397" s="149" t="s">
        <v>239</v>
      </c>
      <c r="K397" s="150"/>
      <c r="L397" s="150"/>
      <c r="M397" s="150"/>
      <c r="N397" s="150"/>
      <c r="O397" s="150"/>
      <c r="P397" s="150"/>
      <c r="Q397" s="151"/>
      <c r="R397" s="150" t="s">
        <v>266</v>
      </c>
      <c r="S397" s="150"/>
      <c r="T397" s="150"/>
      <c r="U397" s="150"/>
      <c r="V397" s="150"/>
      <c r="W397" s="150"/>
      <c r="X397" s="150"/>
      <c r="Y397" s="150"/>
      <c r="Z397" s="150"/>
      <c r="AA397" s="150"/>
      <c r="AB397" s="150"/>
      <c r="AC397" s="150"/>
      <c r="AD397" s="150"/>
      <c r="AE397" s="150"/>
      <c r="AF397" s="150"/>
      <c r="AG397" s="150"/>
      <c r="AH397" s="150"/>
      <c r="AI397" s="150"/>
      <c r="AJ397" s="151"/>
      <c r="AK397" s="143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144"/>
    </row>
    <row r="398" spans="2:61" ht="20.100000000000001" customHeight="1" x14ac:dyDescent="0.45">
      <c r="B398" s="138"/>
      <c r="C398" s="31"/>
      <c r="D398" s="31"/>
      <c r="E398" s="31"/>
      <c r="F398" s="31"/>
      <c r="G398" s="139"/>
      <c r="H398" s="140"/>
      <c r="I398" s="31"/>
      <c r="J398" s="149" t="s">
        <v>240</v>
      </c>
      <c r="K398" s="150"/>
      <c r="L398" s="150"/>
      <c r="M398" s="150"/>
      <c r="N398" s="150"/>
      <c r="O398" s="150"/>
      <c r="P398" s="150"/>
      <c r="Q398" s="151"/>
      <c r="R398" s="150" t="s">
        <v>346</v>
      </c>
      <c r="S398" s="150"/>
      <c r="T398" s="150"/>
      <c r="U398" s="150"/>
      <c r="V398" s="150"/>
      <c r="W398" s="150"/>
      <c r="X398" s="150"/>
      <c r="Y398" s="150"/>
      <c r="Z398" s="150"/>
      <c r="AA398" s="150"/>
      <c r="AB398" s="150"/>
      <c r="AC398" s="150"/>
      <c r="AD398" s="150"/>
      <c r="AE398" s="150"/>
      <c r="AF398" s="150"/>
      <c r="AG398" s="150"/>
      <c r="AH398" s="150"/>
      <c r="AI398" s="150"/>
      <c r="AJ398" s="151"/>
      <c r="AK398" s="143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144"/>
    </row>
    <row r="399" spans="2:61" ht="20.100000000000001" customHeight="1" x14ac:dyDescent="0.45">
      <c r="B399" s="138"/>
      <c r="C399" s="31"/>
      <c r="D399" s="31"/>
      <c r="E399" s="31"/>
      <c r="F399" s="31"/>
      <c r="G399" s="139"/>
      <c r="H399" s="140"/>
      <c r="I399" s="31"/>
      <c r="J399" s="149" t="s">
        <v>241</v>
      </c>
      <c r="K399" s="150"/>
      <c r="L399" s="150"/>
      <c r="M399" s="150"/>
      <c r="N399" s="150"/>
      <c r="O399" s="150"/>
      <c r="P399" s="150"/>
      <c r="Q399" s="151"/>
      <c r="R399" s="150" t="s">
        <v>267</v>
      </c>
      <c r="S399" s="150"/>
      <c r="T399" s="150"/>
      <c r="U399" s="150"/>
      <c r="V399" s="150"/>
      <c r="W399" s="150"/>
      <c r="X399" s="150"/>
      <c r="Y399" s="150"/>
      <c r="Z399" s="150"/>
      <c r="AA399" s="150"/>
      <c r="AB399" s="150"/>
      <c r="AC399" s="150"/>
      <c r="AD399" s="150"/>
      <c r="AE399" s="150"/>
      <c r="AF399" s="150"/>
      <c r="AG399" s="150"/>
      <c r="AH399" s="150"/>
      <c r="AI399" s="150"/>
      <c r="AJ399" s="151"/>
      <c r="AK399" s="143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144"/>
    </row>
    <row r="400" spans="2:61" ht="20.100000000000001" customHeight="1" x14ac:dyDescent="0.45">
      <c r="B400" s="138"/>
      <c r="C400" s="31"/>
      <c r="D400" s="31"/>
      <c r="E400" s="31"/>
      <c r="F400" s="31"/>
      <c r="G400" s="139"/>
      <c r="H400" s="140"/>
      <c r="I400" s="31"/>
      <c r="J400" s="149" t="s">
        <v>242</v>
      </c>
      <c r="K400" s="150"/>
      <c r="L400" s="150"/>
      <c r="M400" s="150"/>
      <c r="N400" s="150"/>
      <c r="O400" s="150"/>
      <c r="P400" s="150"/>
      <c r="Q400" s="151"/>
      <c r="R400" s="150" t="s">
        <v>331</v>
      </c>
      <c r="S400" s="150"/>
      <c r="T400" s="150"/>
      <c r="U400" s="150"/>
      <c r="V400" s="150"/>
      <c r="W400" s="150"/>
      <c r="X400" s="150"/>
      <c r="Y400" s="150"/>
      <c r="Z400" s="150"/>
      <c r="AA400" s="150"/>
      <c r="AB400" s="150"/>
      <c r="AC400" s="150"/>
      <c r="AD400" s="150"/>
      <c r="AE400" s="150"/>
      <c r="AF400" s="150"/>
      <c r="AG400" s="150"/>
      <c r="AH400" s="150"/>
      <c r="AI400" s="150"/>
      <c r="AJ400" s="151"/>
      <c r="AK400" s="143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144"/>
    </row>
    <row r="401" spans="2:61" ht="20.100000000000001" customHeight="1" x14ac:dyDescent="0.45">
      <c r="B401" s="138"/>
      <c r="C401" s="31"/>
      <c r="D401" s="31"/>
      <c r="E401" s="31"/>
      <c r="F401" s="31"/>
      <c r="G401" s="139"/>
      <c r="H401" s="140"/>
      <c r="I401" s="31"/>
      <c r="J401" s="149" t="s">
        <v>243</v>
      </c>
      <c r="K401" s="150"/>
      <c r="L401" s="150"/>
      <c r="M401" s="150"/>
      <c r="N401" s="150"/>
      <c r="O401" s="150"/>
      <c r="P401" s="150"/>
      <c r="Q401" s="151"/>
      <c r="R401" s="150" t="s">
        <v>269</v>
      </c>
      <c r="S401" s="150"/>
      <c r="T401" s="150"/>
      <c r="U401" s="150"/>
      <c r="V401" s="150"/>
      <c r="W401" s="150"/>
      <c r="X401" s="150"/>
      <c r="Y401" s="150"/>
      <c r="Z401" s="150"/>
      <c r="AA401" s="150"/>
      <c r="AB401" s="150"/>
      <c r="AC401" s="150"/>
      <c r="AD401" s="150"/>
      <c r="AE401" s="150"/>
      <c r="AF401" s="150"/>
      <c r="AG401" s="150"/>
      <c r="AH401" s="150"/>
      <c r="AI401" s="150"/>
      <c r="AJ401" s="151"/>
      <c r="AK401" s="143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144"/>
    </row>
    <row r="402" spans="2:61" ht="20.100000000000001" customHeight="1" x14ac:dyDescent="0.45">
      <c r="B402" s="138"/>
      <c r="C402" s="31"/>
      <c r="D402" s="31"/>
      <c r="E402" s="31"/>
      <c r="F402" s="31"/>
      <c r="G402" s="139"/>
      <c r="H402" s="140"/>
      <c r="I402" s="31"/>
      <c r="J402" s="149" t="s">
        <v>244</v>
      </c>
      <c r="K402" s="150"/>
      <c r="L402" s="150"/>
      <c r="M402" s="150"/>
      <c r="N402" s="150"/>
      <c r="O402" s="150"/>
      <c r="P402" s="150"/>
      <c r="Q402" s="151"/>
      <c r="R402" s="154" t="s">
        <v>347</v>
      </c>
      <c r="S402" s="150"/>
      <c r="T402" s="150"/>
      <c r="U402" s="150"/>
      <c r="V402" s="150"/>
      <c r="W402" s="150"/>
      <c r="X402" s="150"/>
      <c r="Y402" s="150"/>
      <c r="Z402" s="150"/>
      <c r="AA402" s="150"/>
      <c r="AB402" s="150"/>
      <c r="AC402" s="150"/>
      <c r="AD402" s="150"/>
      <c r="AE402" s="150"/>
      <c r="AF402" s="150"/>
      <c r="AG402" s="150"/>
      <c r="AH402" s="150"/>
      <c r="AI402" s="150"/>
      <c r="AJ402" s="151"/>
      <c r="AK402" s="143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144"/>
    </row>
    <row r="403" spans="2:61" ht="20.100000000000001" customHeight="1" x14ac:dyDescent="0.45">
      <c r="B403" s="138"/>
      <c r="C403" s="31"/>
      <c r="D403" s="31"/>
      <c r="E403" s="31"/>
      <c r="F403" s="31"/>
      <c r="G403" s="139"/>
      <c r="H403" s="140"/>
      <c r="I403" s="31"/>
      <c r="J403" s="149" t="s">
        <v>168</v>
      </c>
      <c r="K403" s="150"/>
      <c r="L403" s="150"/>
      <c r="M403" s="150"/>
      <c r="N403" s="150"/>
      <c r="O403" s="150"/>
      <c r="P403" s="150"/>
      <c r="Q403" s="151"/>
      <c r="R403" s="150" t="s">
        <v>332</v>
      </c>
      <c r="S403" s="150"/>
      <c r="T403" s="150"/>
      <c r="U403" s="150"/>
      <c r="V403" s="150"/>
      <c r="W403" s="150"/>
      <c r="X403" s="150"/>
      <c r="Y403" s="150"/>
      <c r="Z403" s="150"/>
      <c r="AA403" s="150"/>
      <c r="AB403" s="150"/>
      <c r="AC403" s="150"/>
      <c r="AD403" s="150"/>
      <c r="AE403" s="150"/>
      <c r="AF403" s="150"/>
      <c r="AG403" s="150"/>
      <c r="AH403" s="150"/>
      <c r="AI403" s="150"/>
      <c r="AJ403" s="151"/>
      <c r="AK403" s="143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144"/>
    </row>
    <row r="404" spans="2:61" ht="20.100000000000001" customHeight="1" x14ac:dyDescent="0.45">
      <c r="B404" s="138"/>
      <c r="C404" s="31"/>
      <c r="D404" s="31"/>
      <c r="E404" s="31"/>
      <c r="F404" s="31"/>
      <c r="G404" s="139"/>
      <c r="H404" s="140"/>
      <c r="I404" s="31"/>
      <c r="J404" s="149" t="s">
        <v>245</v>
      </c>
      <c r="K404" s="150"/>
      <c r="L404" s="150"/>
      <c r="M404" s="150"/>
      <c r="N404" s="150"/>
      <c r="O404" s="150"/>
      <c r="P404" s="150"/>
      <c r="Q404" s="151"/>
      <c r="R404" s="150" t="s">
        <v>333</v>
      </c>
      <c r="S404" s="150"/>
      <c r="T404" s="150"/>
      <c r="U404" s="150"/>
      <c r="V404" s="150"/>
      <c r="W404" s="150"/>
      <c r="X404" s="150"/>
      <c r="Y404" s="150"/>
      <c r="Z404" s="150"/>
      <c r="AA404" s="150"/>
      <c r="AB404" s="150"/>
      <c r="AC404" s="150"/>
      <c r="AD404" s="150"/>
      <c r="AE404" s="150"/>
      <c r="AF404" s="150"/>
      <c r="AG404" s="150"/>
      <c r="AH404" s="150"/>
      <c r="AI404" s="150"/>
      <c r="AJ404" s="151"/>
      <c r="AK404" s="143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144"/>
    </row>
    <row r="405" spans="2:61" ht="20.100000000000001" customHeight="1" x14ac:dyDescent="0.45">
      <c r="B405" s="138"/>
      <c r="C405" s="31"/>
      <c r="D405" s="31"/>
      <c r="E405" s="31"/>
      <c r="F405" s="31"/>
      <c r="G405" s="139"/>
      <c r="H405" s="140"/>
      <c r="I405" s="31"/>
      <c r="J405" s="149" t="s">
        <v>246</v>
      </c>
      <c r="K405" s="150"/>
      <c r="L405" s="150"/>
      <c r="M405" s="150"/>
      <c r="N405" s="150"/>
      <c r="O405" s="150"/>
      <c r="P405" s="150"/>
      <c r="Q405" s="151"/>
      <c r="R405" s="150" t="s">
        <v>270</v>
      </c>
      <c r="S405" s="150"/>
      <c r="T405" s="150"/>
      <c r="U405" s="150"/>
      <c r="V405" s="150"/>
      <c r="W405" s="150"/>
      <c r="X405" s="150"/>
      <c r="Y405" s="150"/>
      <c r="Z405" s="150"/>
      <c r="AA405" s="150"/>
      <c r="AB405" s="150"/>
      <c r="AC405" s="150"/>
      <c r="AD405" s="150"/>
      <c r="AE405" s="150"/>
      <c r="AF405" s="150"/>
      <c r="AG405" s="150"/>
      <c r="AH405" s="150"/>
      <c r="AI405" s="150"/>
      <c r="AJ405" s="151"/>
      <c r="AK405" s="143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144"/>
    </row>
    <row r="406" spans="2:61" ht="20.100000000000001" customHeight="1" x14ac:dyDescent="0.45">
      <c r="B406" s="138"/>
      <c r="C406" s="31"/>
      <c r="D406" s="31"/>
      <c r="E406" s="31"/>
      <c r="F406" s="31"/>
      <c r="G406" s="139"/>
      <c r="H406" s="140"/>
      <c r="I406" s="31"/>
      <c r="J406" s="149" t="s">
        <v>248</v>
      </c>
      <c r="K406" s="150"/>
      <c r="L406" s="150"/>
      <c r="M406" s="150"/>
      <c r="N406" s="150"/>
      <c r="O406" s="150"/>
      <c r="P406" s="150"/>
      <c r="Q406" s="151"/>
      <c r="R406" s="150" t="s">
        <v>334</v>
      </c>
      <c r="S406" s="150"/>
      <c r="T406" s="150"/>
      <c r="U406" s="150"/>
      <c r="V406" s="150"/>
      <c r="W406" s="150"/>
      <c r="X406" s="150"/>
      <c r="Y406" s="150"/>
      <c r="Z406" s="150"/>
      <c r="AA406" s="150"/>
      <c r="AB406" s="150"/>
      <c r="AC406" s="150"/>
      <c r="AD406" s="150"/>
      <c r="AE406" s="150"/>
      <c r="AF406" s="150"/>
      <c r="AG406" s="150"/>
      <c r="AH406" s="150"/>
      <c r="AI406" s="150"/>
      <c r="AJ406" s="151"/>
      <c r="AK406" s="143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144"/>
    </row>
    <row r="407" spans="2:61" ht="20.100000000000001" customHeight="1" x14ac:dyDescent="0.45">
      <c r="B407" s="138"/>
      <c r="C407" s="31"/>
      <c r="D407" s="31"/>
      <c r="E407" s="31"/>
      <c r="F407" s="31"/>
      <c r="G407" s="139"/>
      <c r="H407" s="140"/>
      <c r="I407" s="31"/>
      <c r="J407" s="149" t="s">
        <v>247</v>
      </c>
      <c r="K407" s="150"/>
      <c r="L407" s="150"/>
      <c r="M407" s="150"/>
      <c r="N407" s="150"/>
      <c r="O407" s="150"/>
      <c r="P407" s="150"/>
      <c r="Q407" s="151"/>
      <c r="R407" s="150" t="s">
        <v>271</v>
      </c>
      <c r="S407" s="150"/>
      <c r="T407" s="150"/>
      <c r="U407" s="150"/>
      <c r="V407" s="150"/>
      <c r="W407" s="150"/>
      <c r="X407" s="150"/>
      <c r="Y407" s="150"/>
      <c r="Z407" s="150"/>
      <c r="AA407" s="150"/>
      <c r="AB407" s="150"/>
      <c r="AC407" s="150"/>
      <c r="AD407" s="150"/>
      <c r="AE407" s="150"/>
      <c r="AF407" s="150"/>
      <c r="AG407" s="150"/>
      <c r="AH407" s="150"/>
      <c r="AI407" s="150"/>
      <c r="AJ407" s="151"/>
      <c r="AK407" s="143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144"/>
    </row>
    <row r="408" spans="2:61" ht="20.100000000000001" customHeight="1" x14ac:dyDescent="0.45">
      <c r="B408" s="138"/>
      <c r="C408" s="31"/>
      <c r="D408" s="31"/>
      <c r="E408" s="31"/>
      <c r="F408" s="31"/>
      <c r="G408" s="139"/>
      <c r="H408" s="140"/>
      <c r="I408" s="31"/>
      <c r="J408" s="149" t="s">
        <v>249</v>
      </c>
      <c r="K408" s="150"/>
      <c r="L408" s="150"/>
      <c r="M408" s="150"/>
      <c r="N408" s="150"/>
      <c r="O408" s="150"/>
      <c r="P408" s="150"/>
      <c r="Q408" s="151"/>
      <c r="R408" s="150" t="s">
        <v>272</v>
      </c>
      <c r="S408" s="150"/>
      <c r="T408" s="150"/>
      <c r="U408" s="150"/>
      <c r="V408" s="150"/>
      <c r="W408" s="150"/>
      <c r="X408" s="150"/>
      <c r="Y408" s="150"/>
      <c r="Z408" s="150"/>
      <c r="AA408" s="150"/>
      <c r="AB408" s="150"/>
      <c r="AC408" s="150"/>
      <c r="AD408" s="150"/>
      <c r="AE408" s="150"/>
      <c r="AF408" s="150"/>
      <c r="AG408" s="150"/>
      <c r="AH408" s="150"/>
      <c r="AI408" s="150"/>
      <c r="AJ408" s="151"/>
      <c r="AK408" s="143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144"/>
    </row>
    <row r="409" spans="2:61" ht="20.100000000000001" customHeight="1" x14ac:dyDescent="0.45">
      <c r="B409" s="138"/>
      <c r="C409" s="31"/>
      <c r="D409" s="31"/>
      <c r="E409" s="31"/>
      <c r="F409" s="31"/>
      <c r="G409" s="139"/>
      <c r="H409" s="140"/>
      <c r="I409" s="31"/>
      <c r="J409" s="149" t="s">
        <v>250</v>
      </c>
      <c r="K409" s="150"/>
      <c r="L409" s="150"/>
      <c r="M409" s="150"/>
      <c r="N409" s="150"/>
      <c r="O409" s="150"/>
      <c r="P409" s="150"/>
      <c r="Q409" s="151"/>
      <c r="R409" s="150" t="s">
        <v>273</v>
      </c>
      <c r="S409" s="150"/>
      <c r="T409" s="150"/>
      <c r="U409" s="150"/>
      <c r="V409" s="150"/>
      <c r="W409" s="150"/>
      <c r="X409" s="150"/>
      <c r="Y409" s="150"/>
      <c r="Z409" s="150"/>
      <c r="AA409" s="150"/>
      <c r="AB409" s="150"/>
      <c r="AC409" s="150"/>
      <c r="AD409" s="150"/>
      <c r="AE409" s="150"/>
      <c r="AF409" s="150"/>
      <c r="AG409" s="150"/>
      <c r="AH409" s="150"/>
      <c r="AI409" s="150"/>
      <c r="AJ409" s="151"/>
      <c r="AK409" s="143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144"/>
    </row>
    <row r="410" spans="2:61" ht="20.100000000000001" customHeight="1" x14ac:dyDescent="0.45">
      <c r="B410" s="138"/>
      <c r="C410" s="31"/>
      <c r="D410" s="31"/>
      <c r="E410" s="31"/>
      <c r="F410" s="31"/>
      <c r="G410" s="139"/>
      <c r="H410" s="140"/>
      <c r="I410" s="31"/>
      <c r="J410" s="149" t="s">
        <v>251</v>
      </c>
      <c r="K410" s="150"/>
      <c r="L410" s="150"/>
      <c r="M410" s="150"/>
      <c r="N410" s="150"/>
      <c r="O410" s="150"/>
      <c r="P410" s="150"/>
      <c r="Q410" s="151"/>
      <c r="R410" s="150" t="s">
        <v>274</v>
      </c>
      <c r="S410" s="150"/>
      <c r="T410" s="150"/>
      <c r="U410" s="150"/>
      <c r="V410" s="150"/>
      <c r="W410" s="150"/>
      <c r="X410" s="150"/>
      <c r="Y410" s="150"/>
      <c r="Z410" s="150"/>
      <c r="AA410" s="150"/>
      <c r="AB410" s="150"/>
      <c r="AC410" s="150"/>
      <c r="AD410" s="150"/>
      <c r="AE410" s="150"/>
      <c r="AF410" s="150"/>
      <c r="AG410" s="150"/>
      <c r="AH410" s="150"/>
      <c r="AI410" s="150"/>
      <c r="AJ410" s="151"/>
      <c r="AK410" s="143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144"/>
    </row>
    <row r="411" spans="2:61" ht="20.100000000000001" customHeight="1" x14ac:dyDescent="0.45">
      <c r="B411" s="138"/>
      <c r="C411" s="31"/>
      <c r="D411" s="31"/>
      <c r="E411" s="31"/>
      <c r="F411" s="31"/>
      <c r="G411" s="139"/>
      <c r="H411" s="140"/>
      <c r="I411" s="31"/>
      <c r="J411" s="149" t="s">
        <v>252</v>
      </c>
      <c r="K411" s="150"/>
      <c r="L411" s="150"/>
      <c r="M411" s="150"/>
      <c r="N411" s="150"/>
      <c r="O411" s="150"/>
      <c r="P411" s="150"/>
      <c r="Q411" s="151"/>
      <c r="R411" s="150" t="s">
        <v>275</v>
      </c>
      <c r="S411" s="150"/>
      <c r="T411" s="150"/>
      <c r="U411" s="150"/>
      <c r="V411" s="150"/>
      <c r="W411" s="150"/>
      <c r="X411" s="150"/>
      <c r="Y411" s="150"/>
      <c r="Z411" s="150"/>
      <c r="AA411" s="150"/>
      <c r="AB411" s="150"/>
      <c r="AC411" s="150"/>
      <c r="AD411" s="150"/>
      <c r="AE411" s="150"/>
      <c r="AF411" s="150"/>
      <c r="AG411" s="150"/>
      <c r="AH411" s="150"/>
      <c r="AI411" s="150"/>
      <c r="AJ411" s="151"/>
      <c r="AK411" s="143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144"/>
    </row>
    <row r="412" spans="2:61" ht="20.100000000000001" customHeight="1" x14ac:dyDescent="0.45">
      <c r="B412" s="138"/>
      <c r="C412" s="31"/>
      <c r="D412" s="31"/>
      <c r="E412" s="31"/>
      <c r="F412" s="31"/>
      <c r="G412" s="139"/>
      <c r="H412" s="140"/>
      <c r="I412" s="31"/>
      <c r="J412" s="149" t="s">
        <v>253</v>
      </c>
      <c r="K412" s="150"/>
      <c r="L412" s="150"/>
      <c r="M412" s="150"/>
      <c r="N412" s="150"/>
      <c r="O412" s="150"/>
      <c r="P412" s="150"/>
      <c r="Q412" s="151"/>
      <c r="R412" s="150" t="s">
        <v>276</v>
      </c>
      <c r="S412" s="150"/>
      <c r="T412" s="150"/>
      <c r="U412" s="150"/>
      <c r="V412" s="150"/>
      <c r="W412" s="150"/>
      <c r="X412" s="150"/>
      <c r="Y412" s="150"/>
      <c r="Z412" s="150"/>
      <c r="AA412" s="150"/>
      <c r="AB412" s="150"/>
      <c r="AC412" s="150"/>
      <c r="AD412" s="150"/>
      <c r="AE412" s="150"/>
      <c r="AF412" s="150"/>
      <c r="AG412" s="150"/>
      <c r="AH412" s="150"/>
      <c r="AI412" s="150"/>
      <c r="AJ412" s="151"/>
      <c r="AK412" s="143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144"/>
    </row>
    <row r="413" spans="2:61" ht="20.100000000000001" customHeight="1" x14ac:dyDescent="0.45">
      <c r="B413" s="138"/>
      <c r="C413" s="31"/>
      <c r="D413" s="31"/>
      <c r="E413" s="31"/>
      <c r="F413" s="31"/>
      <c r="G413" s="139"/>
      <c r="H413" s="145" t="s">
        <v>169</v>
      </c>
      <c r="I413" s="55"/>
      <c r="J413" s="145" t="s">
        <v>218</v>
      </c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146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  <c r="BD413" s="55"/>
      <c r="BE413" s="55"/>
      <c r="BF413" s="55"/>
      <c r="BG413" s="55"/>
      <c r="BH413" s="55"/>
      <c r="BI413" s="147"/>
    </row>
    <row r="414" spans="2:61" ht="20.100000000000001" customHeight="1" x14ac:dyDescent="0.45">
      <c r="B414" s="148"/>
      <c r="C414" s="31"/>
      <c r="D414" s="31"/>
      <c r="E414" s="31"/>
      <c r="F414" s="31"/>
      <c r="G414" s="139"/>
      <c r="H414" s="145" t="s">
        <v>171</v>
      </c>
      <c r="I414" s="55"/>
      <c r="J414" s="152" t="s">
        <v>219</v>
      </c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146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  <c r="BD414" s="55"/>
      <c r="BE414" s="55"/>
      <c r="BF414" s="55"/>
      <c r="BG414" s="55"/>
      <c r="BH414" s="55"/>
      <c r="BI414" s="147"/>
    </row>
    <row r="415" spans="2:61" ht="20.100000000000001" customHeight="1" x14ac:dyDescent="0.45">
      <c r="B415" s="148"/>
      <c r="C415" s="31"/>
      <c r="D415" s="31"/>
      <c r="E415" s="31"/>
      <c r="F415" s="31"/>
      <c r="G415" s="139"/>
      <c r="H415" s="145" t="s">
        <v>173</v>
      </c>
      <c r="I415" s="55"/>
      <c r="J415" s="145" t="s">
        <v>304</v>
      </c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146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  <c r="BD415" s="55"/>
      <c r="BE415" s="55"/>
      <c r="BF415" s="55"/>
      <c r="BG415" s="55"/>
      <c r="BH415" s="55"/>
      <c r="BI415" s="147"/>
    </row>
    <row r="416" spans="2:61" ht="20.100000000000001" customHeight="1" x14ac:dyDescent="0.45">
      <c r="B416" s="148"/>
      <c r="C416" s="31"/>
      <c r="D416" s="31"/>
      <c r="E416" s="31"/>
      <c r="F416" s="31"/>
      <c r="G416" s="139"/>
      <c r="H416" s="140"/>
      <c r="I416" s="31"/>
      <c r="J416" s="140" t="s">
        <v>356</v>
      </c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143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144"/>
    </row>
    <row r="417" spans="2:61" ht="20.100000000000001" customHeight="1" x14ac:dyDescent="0.45">
      <c r="B417" s="148"/>
      <c r="C417" s="31"/>
      <c r="D417" s="31"/>
      <c r="E417" s="31"/>
      <c r="F417" s="31"/>
      <c r="G417" s="139"/>
      <c r="H417" s="140"/>
      <c r="I417" s="31"/>
      <c r="J417" s="140"/>
      <c r="K417" s="31" t="s">
        <v>322</v>
      </c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143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144"/>
    </row>
    <row r="418" spans="2:61" ht="20.100000000000001" customHeight="1" x14ac:dyDescent="0.45">
      <c r="B418" s="148"/>
      <c r="C418" s="31"/>
      <c r="D418" s="31"/>
      <c r="E418" s="31"/>
      <c r="F418" s="31"/>
      <c r="G418" s="139"/>
      <c r="H418" s="140"/>
      <c r="I418" s="31"/>
      <c r="J418" s="140" t="s">
        <v>298</v>
      </c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143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144"/>
    </row>
    <row r="419" spans="2:61" ht="20.100000000000001" customHeight="1" x14ac:dyDescent="0.45">
      <c r="B419" s="148"/>
      <c r="C419" s="31"/>
      <c r="D419" s="31"/>
      <c r="E419" s="31"/>
      <c r="F419" s="31"/>
      <c r="G419" s="139"/>
      <c r="H419" s="140"/>
      <c r="I419" s="31"/>
      <c r="J419" s="140"/>
      <c r="K419" s="31" t="s">
        <v>359</v>
      </c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143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144"/>
    </row>
    <row r="420" spans="2:61" ht="20.100000000000001" customHeight="1" x14ac:dyDescent="0.45">
      <c r="B420" s="148"/>
      <c r="C420" s="31"/>
      <c r="D420" s="31"/>
      <c r="E420" s="31"/>
      <c r="F420" s="31"/>
      <c r="G420" s="139"/>
      <c r="H420" s="140"/>
      <c r="I420" s="31"/>
      <c r="J420" s="140"/>
      <c r="K420" s="31" t="s">
        <v>300</v>
      </c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143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144"/>
    </row>
    <row r="421" spans="2:61" ht="20.100000000000001" customHeight="1" x14ac:dyDescent="0.45">
      <c r="B421" s="148"/>
      <c r="C421" s="31"/>
      <c r="D421" s="31"/>
      <c r="E421" s="31"/>
      <c r="F421" s="31"/>
      <c r="G421" s="139"/>
      <c r="H421" s="140"/>
      <c r="I421" s="31"/>
      <c r="J421" s="140" t="s">
        <v>298</v>
      </c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143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144"/>
    </row>
    <row r="422" spans="2:61" ht="20.100000000000001" customHeight="1" x14ac:dyDescent="0.45">
      <c r="B422" s="148"/>
      <c r="C422" s="31"/>
      <c r="D422" s="31"/>
      <c r="E422" s="31"/>
      <c r="F422" s="31"/>
      <c r="G422" s="139"/>
      <c r="H422" s="140"/>
      <c r="I422" s="31"/>
      <c r="J422" s="140"/>
      <c r="K422" s="31" t="s">
        <v>360</v>
      </c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143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144"/>
    </row>
    <row r="423" spans="2:61" ht="20.100000000000001" customHeight="1" x14ac:dyDescent="0.45">
      <c r="B423" s="148"/>
      <c r="C423" s="31"/>
      <c r="D423" s="31"/>
      <c r="E423" s="31"/>
      <c r="F423" s="31"/>
      <c r="G423" s="139"/>
      <c r="H423" s="140"/>
      <c r="I423" s="31"/>
      <c r="J423" s="140"/>
      <c r="K423" s="31" t="s">
        <v>354</v>
      </c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143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144"/>
    </row>
    <row r="424" spans="2:61" ht="20.100000000000001" customHeight="1" x14ac:dyDescent="0.45">
      <c r="B424" s="148"/>
      <c r="C424" s="31"/>
      <c r="D424" s="31"/>
      <c r="E424" s="31"/>
      <c r="F424" s="31"/>
      <c r="G424" s="139"/>
      <c r="H424" s="140"/>
      <c r="I424" s="31"/>
      <c r="J424" s="140" t="s">
        <v>298</v>
      </c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143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144"/>
    </row>
    <row r="425" spans="2:61" ht="20.100000000000001" customHeight="1" x14ac:dyDescent="0.45">
      <c r="B425" s="148"/>
      <c r="C425" s="31"/>
      <c r="D425" s="31"/>
      <c r="E425" s="31"/>
      <c r="F425" s="31"/>
      <c r="G425" s="139"/>
      <c r="H425" s="140"/>
      <c r="I425" s="31"/>
      <c r="J425" s="140"/>
      <c r="K425" s="31" t="s">
        <v>361</v>
      </c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143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144"/>
    </row>
    <row r="426" spans="2:61" ht="20.100000000000001" customHeight="1" thickBot="1" x14ac:dyDescent="0.5">
      <c r="B426" s="148"/>
      <c r="C426" s="31"/>
      <c r="D426" s="31"/>
      <c r="E426" s="31"/>
      <c r="F426" s="31"/>
      <c r="G426" s="139"/>
      <c r="H426" s="140"/>
      <c r="I426" s="31"/>
      <c r="J426" s="140"/>
      <c r="K426" s="31" t="s">
        <v>354</v>
      </c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143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144"/>
    </row>
    <row r="427" spans="2:61" ht="20.100000000000001" customHeight="1" x14ac:dyDescent="0.45">
      <c r="B427" s="129" t="s">
        <v>359</v>
      </c>
      <c r="C427" s="130"/>
      <c r="D427" s="130"/>
      <c r="E427" s="130"/>
      <c r="F427" s="130"/>
      <c r="G427" s="131"/>
      <c r="H427" s="132" t="s">
        <v>159</v>
      </c>
      <c r="I427" s="130"/>
      <c r="J427" s="133" t="s">
        <v>237</v>
      </c>
      <c r="K427" s="134"/>
      <c r="L427" s="134"/>
      <c r="M427" s="134"/>
      <c r="N427" s="134"/>
      <c r="O427" s="134"/>
      <c r="P427" s="134"/>
      <c r="Q427" s="135"/>
      <c r="R427" s="134" t="s">
        <v>313</v>
      </c>
      <c r="S427" s="134"/>
      <c r="T427" s="134"/>
      <c r="U427" s="134"/>
      <c r="V427" s="134"/>
      <c r="W427" s="134"/>
      <c r="X427" s="134"/>
      <c r="Y427" s="134"/>
      <c r="Z427" s="134"/>
      <c r="AA427" s="134"/>
      <c r="AB427" s="134"/>
      <c r="AC427" s="134"/>
      <c r="AD427" s="134"/>
      <c r="AE427" s="134"/>
      <c r="AF427" s="134"/>
      <c r="AG427" s="134"/>
      <c r="AH427" s="134"/>
      <c r="AI427" s="134"/>
      <c r="AJ427" s="135"/>
      <c r="AK427" s="136" t="s">
        <v>305</v>
      </c>
      <c r="AL427" s="130"/>
      <c r="AM427" s="130"/>
      <c r="AN427" s="130"/>
      <c r="AO427" s="130"/>
      <c r="AP427" s="130"/>
      <c r="AQ427" s="130"/>
      <c r="AR427" s="130"/>
      <c r="AS427" s="130"/>
      <c r="AT427" s="130"/>
      <c r="AU427" s="130"/>
      <c r="AV427" s="130"/>
      <c r="AW427" s="130"/>
      <c r="AX427" s="130"/>
      <c r="AY427" s="130"/>
      <c r="AZ427" s="130"/>
      <c r="BA427" s="130"/>
      <c r="BB427" s="130"/>
      <c r="BC427" s="130"/>
      <c r="BD427" s="130"/>
      <c r="BE427" s="130"/>
      <c r="BF427" s="130"/>
      <c r="BG427" s="130"/>
      <c r="BH427" s="130"/>
      <c r="BI427" s="137"/>
    </row>
    <row r="428" spans="2:61" ht="20.100000000000001" customHeight="1" x14ac:dyDescent="0.45">
      <c r="B428" s="138"/>
      <c r="C428" s="31"/>
      <c r="D428" s="31"/>
      <c r="E428" s="31"/>
      <c r="F428" s="31"/>
      <c r="G428" s="139"/>
      <c r="H428" s="145" t="s">
        <v>169</v>
      </c>
      <c r="I428" s="55"/>
      <c r="J428" s="145" t="s">
        <v>306</v>
      </c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146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  <c r="BD428" s="55"/>
      <c r="BE428" s="55"/>
      <c r="BF428" s="55"/>
      <c r="BG428" s="55"/>
      <c r="BH428" s="55"/>
      <c r="BI428" s="147"/>
    </row>
    <row r="429" spans="2:61" ht="20.100000000000001" customHeight="1" x14ac:dyDescent="0.45">
      <c r="B429" s="148"/>
      <c r="C429" s="31"/>
      <c r="D429" s="31"/>
      <c r="E429" s="31"/>
      <c r="F429" s="31"/>
      <c r="G429" s="139"/>
      <c r="H429" s="145" t="s">
        <v>171</v>
      </c>
      <c r="I429" s="55"/>
      <c r="J429" s="152" t="s">
        <v>307</v>
      </c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146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  <c r="BD429" s="55"/>
      <c r="BE429" s="55"/>
      <c r="BF429" s="55"/>
      <c r="BG429" s="55"/>
      <c r="BH429" s="55"/>
      <c r="BI429" s="147"/>
    </row>
    <row r="430" spans="2:61" ht="20.100000000000001" customHeight="1" x14ac:dyDescent="0.45">
      <c r="B430" s="148"/>
      <c r="C430" s="31"/>
      <c r="D430" s="31"/>
      <c r="E430" s="31"/>
      <c r="F430" s="31"/>
      <c r="G430" s="139"/>
      <c r="H430" s="145" t="s">
        <v>173</v>
      </c>
      <c r="I430" s="55"/>
      <c r="J430" s="145" t="s">
        <v>308</v>
      </c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146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  <c r="BD430" s="55"/>
      <c r="BE430" s="55"/>
      <c r="BF430" s="55"/>
      <c r="BG430" s="55"/>
      <c r="BH430" s="55"/>
      <c r="BI430" s="147"/>
    </row>
    <row r="431" spans="2:61" ht="20.100000000000001" customHeight="1" x14ac:dyDescent="0.45">
      <c r="B431" s="148"/>
      <c r="C431" s="31"/>
      <c r="D431" s="31"/>
      <c r="E431" s="31"/>
      <c r="F431" s="31"/>
      <c r="G431" s="139"/>
      <c r="H431" s="140"/>
      <c r="I431" s="31"/>
      <c r="J431" s="140"/>
      <c r="K431" s="31" t="s">
        <v>309</v>
      </c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143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144"/>
    </row>
    <row r="432" spans="2:61" ht="20.100000000000001" customHeight="1" x14ac:dyDescent="0.45">
      <c r="B432" s="148"/>
      <c r="C432" s="31"/>
      <c r="D432" s="31"/>
      <c r="E432" s="31"/>
      <c r="F432" s="31"/>
      <c r="G432" s="139"/>
      <c r="H432" s="140"/>
      <c r="I432" s="31"/>
      <c r="J432" s="140"/>
      <c r="K432" s="31" t="s">
        <v>328</v>
      </c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143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144"/>
    </row>
    <row r="433" spans="2:61" ht="20.100000000000001" customHeight="1" thickBot="1" x14ac:dyDescent="0.5">
      <c r="B433" s="148"/>
      <c r="C433" s="31"/>
      <c r="D433" s="31"/>
      <c r="E433" s="31"/>
      <c r="F433" s="31"/>
      <c r="G433" s="139"/>
      <c r="H433" s="145" t="s">
        <v>174</v>
      </c>
      <c r="I433" s="55"/>
      <c r="J433" s="145" t="s">
        <v>326</v>
      </c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146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  <c r="BD433" s="55"/>
      <c r="BE433" s="55"/>
      <c r="BF433" s="55"/>
      <c r="BG433" s="55"/>
      <c r="BH433" s="55"/>
      <c r="BI433" s="147"/>
    </row>
    <row r="434" spans="2:61" ht="20.100000000000001" customHeight="1" x14ac:dyDescent="0.45">
      <c r="B434" s="129" t="s">
        <v>360</v>
      </c>
      <c r="C434" s="130"/>
      <c r="D434" s="130"/>
      <c r="E434" s="130"/>
      <c r="F434" s="130"/>
      <c r="G434" s="131"/>
      <c r="H434" s="132" t="s">
        <v>159</v>
      </c>
      <c r="I434" s="130"/>
      <c r="J434" s="133" t="s">
        <v>249</v>
      </c>
      <c r="K434" s="134"/>
      <c r="L434" s="134"/>
      <c r="M434" s="134"/>
      <c r="N434" s="134"/>
      <c r="O434" s="134"/>
      <c r="P434" s="134"/>
      <c r="Q434" s="135"/>
      <c r="R434" s="134" t="s">
        <v>316</v>
      </c>
      <c r="S434" s="134"/>
      <c r="T434" s="134"/>
      <c r="U434" s="134"/>
      <c r="V434" s="134"/>
      <c r="W434" s="134"/>
      <c r="X434" s="134"/>
      <c r="Y434" s="134"/>
      <c r="Z434" s="134"/>
      <c r="AA434" s="134"/>
      <c r="AB434" s="134"/>
      <c r="AC434" s="134"/>
      <c r="AD434" s="134"/>
      <c r="AE434" s="134"/>
      <c r="AF434" s="134"/>
      <c r="AG434" s="134"/>
      <c r="AH434" s="134"/>
      <c r="AI434" s="134"/>
      <c r="AJ434" s="135"/>
      <c r="AK434" s="136" t="s">
        <v>314</v>
      </c>
      <c r="AL434" s="130"/>
      <c r="AM434" s="130"/>
      <c r="AN434" s="130"/>
      <c r="AO434" s="130"/>
      <c r="AP434" s="130"/>
      <c r="AQ434" s="130"/>
      <c r="AR434" s="130"/>
      <c r="AS434" s="130"/>
      <c r="AT434" s="130"/>
      <c r="AU434" s="130"/>
      <c r="AV434" s="130"/>
      <c r="AW434" s="130"/>
      <c r="AX434" s="130"/>
      <c r="AY434" s="130"/>
      <c r="AZ434" s="130"/>
      <c r="BA434" s="130"/>
      <c r="BB434" s="130"/>
      <c r="BC434" s="130"/>
      <c r="BD434" s="130"/>
      <c r="BE434" s="130"/>
      <c r="BF434" s="130"/>
      <c r="BG434" s="130"/>
      <c r="BH434" s="130"/>
      <c r="BI434" s="137"/>
    </row>
    <row r="435" spans="2:61" ht="20.100000000000001" customHeight="1" x14ac:dyDescent="0.45">
      <c r="B435" s="138"/>
      <c r="C435" s="31"/>
      <c r="D435" s="31"/>
      <c r="E435" s="31"/>
      <c r="F435" s="31"/>
      <c r="G435" s="139"/>
      <c r="H435" s="145" t="s">
        <v>169</v>
      </c>
      <c r="I435" s="55"/>
      <c r="J435" s="145" t="s">
        <v>306</v>
      </c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146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  <c r="BD435" s="55"/>
      <c r="BE435" s="55"/>
      <c r="BF435" s="55"/>
      <c r="BG435" s="55"/>
      <c r="BH435" s="55"/>
      <c r="BI435" s="147"/>
    </row>
    <row r="436" spans="2:61" ht="20.100000000000001" customHeight="1" x14ac:dyDescent="0.45">
      <c r="B436" s="148"/>
      <c r="C436" s="31"/>
      <c r="D436" s="31"/>
      <c r="E436" s="31"/>
      <c r="F436" s="31"/>
      <c r="G436" s="139"/>
      <c r="H436" s="145" t="s">
        <v>173</v>
      </c>
      <c r="I436" s="55"/>
      <c r="J436" s="145" t="s">
        <v>327</v>
      </c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146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  <c r="BD436" s="55"/>
      <c r="BE436" s="55"/>
      <c r="BF436" s="55"/>
      <c r="BG436" s="55"/>
      <c r="BH436" s="55"/>
      <c r="BI436" s="147"/>
    </row>
    <row r="437" spans="2:61" ht="20.100000000000001" customHeight="1" x14ac:dyDescent="0.45">
      <c r="B437" s="148"/>
      <c r="C437" s="31"/>
      <c r="D437" s="31"/>
      <c r="E437" s="31"/>
      <c r="F437" s="31"/>
      <c r="G437" s="139"/>
      <c r="H437" s="140"/>
      <c r="I437" s="31"/>
      <c r="J437" s="140"/>
      <c r="K437" s="31" t="s">
        <v>309</v>
      </c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143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144"/>
    </row>
    <row r="438" spans="2:61" ht="20.100000000000001" customHeight="1" x14ac:dyDescent="0.45">
      <c r="B438" s="148"/>
      <c r="C438" s="31"/>
      <c r="D438" s="31"/>
      <c r="E438" s="31"/>
      <c r="F438" s="31"/>
      <c r="G438" s="139"/>
      <c r="H438" s="140"/>
      <c r="I438" s="31"/>
      <c r="J438" s="140"/>
      <c r="K438" s="31" t="s">
        <v>328</v>
      </c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143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144"/>
    </row>
    <row r="439" spans="2:61" ht="20.100000000000001" customHeight="1" thickBot="1" x14ac:dyDescent="0.5">
      <c r="B439" s="148"/>
      <c r="C439" s="31"/>
      <c r="D439" s="31"/>
      <c r="E439" s="31"/>
      <c r="F439" s="31"/>
      <c r="G439" s="139"/>
      <c r="H439" s="145" t="s">
        <v>174</v>
      </c>
      <c r="I439" s="55"/>
      <c r="J439" s="145" t="s">
        <v>326</v>
      </c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146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  <c r="BD439" s="55"/>
      <c r="BE439" s="55"/>
      <c r="BF439" s="55"/>
      <c r="BG439" s="55"/>
      <c r="BH439" s="55"/>
      <c r="BI439" s="147"/>
    </row>
    <row r="440" spans="2:61" ht="20.100000000000001" customHeight="1" x14ac:dyDescent="0.45">
      <c r="B440" s="129" t="s">
        <v>361</v>
      </c>
      <c r="C440" s="130"/>
      <c r="D440" s="130"/>
      <c r="E440" s="130"/>
      <c r="F440" s="130"/>
      <c r="G440" s="131"/>
      <c r="H440" s="132" t="s">
        <v>159</v>
      </c>
      <c r="I440" s="130"/>
      <c r="J440" s="133" t="s">
        <v>250</v>
      </c>
      <c r="K440" s="134"/>
      <c r="L440" s="134"/>
      <c r="M440" s="134"/>
      <c r="N440" s="134"/>
      <c r="O440" s="134"/>
      <c r="P440" s="134"/>
      <c r="Q440" s="135"/>
      <c r="R440" s="134" t="s">
        <v>318</v>
      </c>
      <c r="S440" s="134"/>
      <c r="T440" s="134"/>
      <c r="U440" s="134"/>
      <c r="V440" s="134"/>
      <c r="W440" s="134"/>
      <c r="X440" s="134"/>
      <c r="Y440" s="134"/>
      <c r="Z440" s="134"/>
      <c r="AA440" s="134"/>
      <c r="AB440" s="134"/>
      <c r="AC440" s="134"/>
      <c r="AD440" s="134"/>
      <c r="AE440" s="134"/>
      <c r="AF440" s="134"/>
      <c r="AG440" s="134"/>
      <c r="AH440" s="134"/>
      <c r="AI440" s="134"/>
      <c r="AJ440" s="135"/>
      <c r="AK440" s="136" t="s">
        <v>317</v>
      </c>
      <c r="AL440" s="130"/>
      <c r="AM440" s="130"/>
      <c r="AN440" s="130"/>
      <c r="AO440" s="130"/>
      <c r="AP440" s="130"/>
      <c r="AQ440" s="130"/>
      <c r="AR440" s="130"/>
      <c r="AS440" s="130"/>
      <c r="AT440" s="130"/>
      <c r="AU440" s="130"/>
      <c r="AV440" s="130"/>
      <c r="AW440" s="130"/>
      <c r="AX440" s="130"/>
      <c r="AY440" s="130"/>
      <c r="AZ440" s="130"/>
      <c r="BA440" s="130"/>
      <c r="BB440" s="130"/>
      <c r="BC440" s="130"/>
      <c r="BD440" s="130"/>
      <c r="BE440" s="130"/>
      <c r="BF440" s="130"/>
      <c r="BG440" s="130"/>
      <c r="BH440" s="130"/>
      <c r="BI440" s="137"/>
    </row>
    <row r="441" spans="2:61" ht="20.100000000000001" customHeight="1" x14ac:dyDescent="0.45">
      <c r="B441" s="138"/>
      <c r="C441" s="31"/>
      <c r="D441" s="31"/>
      <c r="E441" s="31"/>
      <c r="F441" s="31"/>
      <c r="G441" s="139"/>
      <c r="H441" s="145" t="s">
        <v>169</v>
      </c>
      <c r="I441" s="55"/>
      <c r="J441" s="145" t="s">
        <v>306</v>
      </c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146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  <c r="BD441" s="55"/>
      <c r="BE441" s="55"/>
      <c r="BF441" s="55"/>
      <c r="BG441" s="55"/>
      <c r="BH441" s="55"/>
      <c r="BI441" s="147"/>
    </row>
    <row r="442" spans="2:61" ht="20.100000000000001" customHeight="1" x14ac:dyDescent="0.45">
      <c r="B442" s="148"/>
      <c r="C442" s="31"/>
      <c r="D442" s="31"/>
      <c r="E442" s="31"/>
      <c r="F442" s="31"/>
      <c r="G442" s="139"/>
      <c r="H442" s="145" t="s">
        <v>173</v>
      </c>
      <c r="I442" s="55"/>
      <c r="J442" s="145" t="s">
        <v>308</v>
      </c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146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  <c r="BD442" s="55"/>
      <c r="BE442" s="55"/>
      <c r="BF442" s="55"/>
      <c r="BG442" s="55"/>
      <c r="BH442" s="55"/>
      <c r="BI442" s="147"/>
    </row>
    <row r="443" spans="2:61" ht="20.100000000000001" customHeight="1" x14ac:dyDescent="0.45">
      <c r="B443" s="148"/>
      <c r="C443" s="31"/>
      <c r="D443" s="31"/>
      <c r="E443" s="31"/>
      <c r="F443" s="31"/>
      <c r="G443" s="139"/>
      <c r="H443" s="140"/>
      <c r="I443" s="31"/>
      <c r="J443" s="140"/>
      <c r="K443" s="31" t="s">
        <v>309</v>
      </c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143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144"/>
    </row>
    <row r="444" spans="2:61" ht="20.100000000000001" customHeight="1" x14ac:dyDescent="0.45">
      <c r="B444" s="148"/>
      <c r="C444" s="31"/>
      <c r="D444" s="31"/>
      <c r="E444" s="31"/>
      <c r="F444" s="31"/>
      <c r="G444" s="139"/>
      <c r="H444" s="140"/>
      <c r="I444" s="31"/>
      <c r="J444" s="140"/>
      <c r="K444" s="31" t="s">
        <v>328</v>
      </c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143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144"/>
    </row>
    <row r="445" spans="2:61" ht="20.100000000000001" customHeight="1" thickBot="1" x14ac:dyDescent="0.5">
      <c r="B445" s="148"/>
      <c r="C445" s="31"/>
      <c r="D445" s="31"/>
      <c r="E445" s="31"/>
      <c r="F445" s="31"/>
      <c r="G445" s="139"/>
      <c r="H445" s="145" t="s">
        <v>174</v>
      </c>
      <c r="I445" s="55"/>
      <c r="J445" s="145" t="s">
        <v>326</v>
      </c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146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  <c r="BD445" s="55"/>
      <c r="BE445" s="55"/>
      <c r="BF445" s="55"/>
      <c r="BG445" s="55"/>
      <c r="BH445" s="55"/>
      <c r="BI445" s="147"/>
    </row>
    <row r="446" spans="2:61" ht="20.100000000000001" customHeight="1" x14ac:dyDescent="0.45">
      <c r="B446" s="129" t="s">
        <v>430</v>
      </c>
      <c r="C446" s="130"/>
      <c r="D446" s="130"/>
      <c r="E446" s="130"/>
      <c r="F446" s="130"/>
      <c r="G446" s="131"/>
      <c r="H446" s="132" t="s">
        <v>159</v>
      </c>
      <c r="I446" s="130"/>
      <c r="J446" s="133" t="s">
        <v>160</v>
      </c>
      <c r="K446" s="134"/>
      <c r="L446" s="134"/>
      <c r="M446" s="134"/>
      <c r="N446" s="134"/>
      <c r="O446" s="134"/>
      <c r="P446" s="134"/>
      <c r="Q446" s="135"/>
      <c r="R446" s="134" t="s">
        <v>161</v>
      </c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  <c r="AC446" s="134"/>
      <c r="AD446" s="134"/>
      <c r="AE446" s="134"/>
      <c r="AF446" s="134"/>
      <c r="AG446" s="134"/>
      <c r="AH446" s="134"/>
      <c r="AI446" s="134"/>
      <c r="AJ446" s="135"/>
      <c r="AK446" s="136" t="s">
        <v>362</v>
      </c>
      <c r="AL446" s="130"/>
      <c r="AM446" s="130"/>
      <c r="AN446" s="130"/>
      <c r="AO446" s="130"/>
      <c r="AP446" s="130"/>
      <c r="AQ446" s="130"/>
      <c r="AR446" s="130"/>
      <c r="AS446" s="130"/>
      <c r="AT446" s="130"/>
      <c r="AU446" s="130"/>
      <c r="AV446" s="130"/>
      <c r="AW446" s="130"/>
      <c r="AX446" s="130"/>
      <c r="AY446" s="130"/>
      <c r="AZ446" s="130"/>
      <c r="BA446" s="130"/>
      <c r="BB446" s="130"/>
      <c r="BC446" s="130"/>
      <c r="BD446" s="130"/>
      <c r="BE446" s="130"/>
      <c r="BF446" s="130"/>
      <c r="BG446" s="130"/>
      <c r="BH446" s="130"/>
      <c r="BI446" s="137"/>
    </row>
    <row r="447" spans="2:61" ht="20.100000000000001" customHeight="1" x14ac:dyDescent="0.45">
      <c r="B447" s="138"/>
      <c r="C447" s="31"/>
      <c r="D447" s="31"/>
      <c r="E447" s="31"/>
      <c r="F447" s="31"/>
      <c r="G447" s="139"/>
      <c r="H447" s="140"/>
      <c r="I447" s="31"/>
      <c r="J447" s="149" t="s">
        <v>227</v>
      </c>
      <c r="K447" s="150"/>
      <c r="L447" s="150"/>
      <c r="M447" s="150"/>
      <c r="N447" s="150"/>
      <c r="O447" s="150"/>
      <c r="P447" s="150"/>
      <c r="Q447" s="151"/>
      <c r="R447" s="154" t="s">
        <v>363</v>
      </c>
      <c r="S447" s="150"/>
      <c r="T447" s="150"/>
      <c r="U447" s="150"/>
      <c r="V447" s="150"/>
      <c r="W447" s="150"/>
      <c r="X447" s="150"/>
      <c r="Y447" s="150"/>
      <c r="Z447" s="150"/>
      <c r="AA447" s="150"/>
      <c r="AB447" s="150"/>
      <c r="AC447" s="150"/>
      <c r="AD447" s="150"/>
      <c r="AE447" s="150"/>
      <c r="AF447" s="150"/>
      <c r="AG447" s="150"/>
      <c r="AH447" s="150"/>
      <c r="AI447" s="150"/>
      <c r="AJ447" s="151"/>
      <c r="AK447" s="143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144"/>
    </row>
    <row r="448" spans="2:61" ht="20.100000000000001" customHeight="1" x14ac:dyDescent="0.45">
      <c r="B448" s="138"/>
      <c r="C448" s="31"/>
      <c r="D448" s="31"/>
      <c r="E448" s="31"/>
      <c r="F448" s="31"/>
      <c r="G448" s="139"/>
      <c r="H448" s="140"/>
      <c r="I448" s="31"/>
      <c r="J448" s="149" t="s">
        <v>228</v>
      </c>
      <c r="K448" s="150"/>
      <c r="L448" s="150"/>
      <c r="M448" s="150"/>
      <c r="N448" s="150"/>
      <c r="O448" s="150"/>
      <c r="P448" s="150"/>
      <c r="Q448" s="151"/>
      <c r="R448" s="154" t="s">
        <v>364</v>
      </c>
      <c r="S448" s="150"/>
      <c r="T448" s="150"/>
      <c r="U448" s="150"/>
      <c r="V448" s="150"/>
      <c r="W448" s="150"/>
      <c r="X448" s="150"/>
      <c r="Y448" s="150"/>
      <c r="Z448" s="150"/>
      <c r="AA448" s="150"/>
      <c r="AB448" s="150"/>
      <c r="AC448" s="150"/>
      <c r="AD448" s="150"/>
      <c r="AE448" s="150"/>
      <c r="AF448" s="150"/>
      <c r="AG448" s="150"/>
      <c r="AH448" s="150"/>
      <c r="AI448" s="150"/>
      <c r="AJ448" s="151"/>
      <c r="AK448" s="143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144"/>
    </row>
    <row r="449" spans="2:61" ht="20.100000000000001" customHeight="1" x14ac:dyDescent="0.45">
      <c r="B449" s="138"/>
      <c r="C449" s="31"/>
      <c r="D449" s="31"/>
      <c r="E449" s="31"/>
      <c r="F449" s="31"/>
      <c r="G449" s="139"/>
      <c r="H449" s="140"/>
      <c r="I449" s="31"/>
      <c r="J449" s="149" t="s">
        <v>229</v>
      </c>
      <c r="K449" s="150"/>
      <c r="L449" s="150"/>
      <c r="M449" s="150"/>
      <c r="N449" s="150"/>
      <c r="O449" s="150"/>
      <c r="P449" s="150"/>
      <c r="Q449" s="151"/>
      <c r="R449" s="150" t="s">
        <v>365</v>
      </c>
      <c r="S449" s="150"/>
      <c r="T449" s="150"/>
      <c r="U449" s="150"/>
      <c r="V449" s="150"/>
      <c r="W449" s="150"/>
      <c r="X449" s="150"/>
      <c r="Y449" s="150"/>
      <c r="Z449" s="150"/>
      <c r="AA449" s="150"/>
      <c r="AB449" s="150"/>
      <c r="AC449" s="150"/>
      <c r="AD449" s="150"/>
      <c r="AE449" s="150"/>
      <c r="AF449" s="150"/>
      <c r="AG449" s="150"/>
      <c r="AH449" s="150"/>
      <c r="AI449" s="150"/>
      <c r="AJ449" s="151"/>
      <c r="AK449" s="143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144"/>
    </row>
    <row r="450" spans="2:61" ht="20.100000000000001" customHeight="1" x14ac:dyDescent="0.45">
      <c r="B450" s="138"/>
      <c r="C450" s="31"/>
      <c r="D450" s="31"/>
      <c r="E450" s="31"/>
      <c r="F450" s="31"/>
      <c r="G450" s="139"/>
      <c r="H450" s="140"/>
      <c r="I450" s="31"/>
      <c r="J450" s="149" t="s">
        <v>287</v>
      </c>
      <c r="K450" s="150"/>
      <c r="L450" s="150"/>
      <c r="M450" s="150"/>
      <c r="N450" s="150"/>
      <c r="O450" s="150"/>
      <c r="P450" s="150"/>
      <c r="Q450" s="151"/>
      <c r="R450" s="154" t="s">
        <v>366</v>
      </c>
      <c r="S450" s="150"/>
      <c r="T450" s="150"/>
      <c r="U450" s="150"/>
      <c r="V450" s="150"/>
      <c r="W450" s="150"/>
      <c r="X450" s="150"/>
      <c r="Y450" s="150"/>
      <c r="Z450" s="150"/>
      <c r="AA450" s="150"/>
      <c r="AB450" s="150"/>
      <c r="AC450" s="150"/>
      <c r="AD450" s="150"/>
      <c r="AE450" s="150"/>
      <c r="AF450" s="150"/>
      <c r="AG450" s="150"/>
      <c r="AH450" s="150"/>
      <c r="AI450" s="150"/>
      <c r="AJ450" s="151"/>
      <c r="AK450" s="143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144"/>
    </row>
    <row r="451" spans="2:61" ht="20.100000000000001" customHeight="1" x14ac:dyDescent="0.45">
      <c r="B451" s="138"/>
      <c r="C451" s="31"/>
      <c r="D451" s="31"/>
      <c r="E451" s="31"/>
      <c r="F451" s="31"/>
      <c r="G451" s="139"/>
      <c r="H451" s="140"/>
      <c r="I451" s="31"/>
      <c r="J451" s="149" t="s">
        <v>288</v>
      </c>
      <c r="K451" s="150"/>
      <c r="L451" s="150"/>
      <c r="M451" s="150"/>
      <c r="N451" s="150"/>
      <c r="O451" s="150"/>
      <c r="P451" s="150"/>
      <c r="Q451" s="151"/>
      <c r="R451" s="154" t="s">
        <v>367</v>
      </c>
      <c r="S451" s="150"/>
      <c r="T451" s="150"/>
      <c r="U451" s="150"/>
      <c r="V451" s="150"/>
      <c r="W451" s="150"/>
      <c r="X451" s="150"/>
      <c r="Y451" s="150"/>
      <c r="Z451" s="150"/>
      <c r="AA451" s="150"/>
      <c r="AB451" s="150"/>
      <c r="AC451" s="150"/>
      <c r="AD451" s="150"/>
      <c r="AE451" s="150"/>
      <c r="AF451" s="150"/>
      <c r="AG451" s="150"/>
      <c r="AH451" s="150"/>
      <c r="AI451" s="150"/>
      <c r="AJ451" s="151"/>
      <c r="AK451" s="143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144"/>
    </row>
    <row r="452" spans="2:61" ht="20.100000000000001" customHeight="1" x14ac:dyDescent="0.45">
      <c r="B452" s="138"/>
      <c r="C452" s="31"/>
      <c r="D452" s="31"/>
      <c r="E452" s="31"/>
      <c r="F452" s="31"/>
      <c r="G452" s="139"/>
      <c r="H452" s="140"/>
      <c r="I452" s="31"/>
      <c r="J452" s="149" t="s">
        <v>289</v>
      </c>
      <c r="K452" s="150"/>
      <c r="L452" s="150"/>
      <c r="M452" s="150"/>
      <c r="N452" s="150"/>
      <c r="O452" s="150"/>
      <c r="P452" s="150"/>
      <c r="Q452" s="151"/>
      <c r="R452" s="154" t="s">
        <v>368</v>
      </c>
      <c r="S452" s="150"/>
      <c r="T452" s="150"/>
      <c r="U452" s="150"/>
      <c r="V452" s="150"/>
      <c r="W452" s="150"/>
      <c r="X452" s="150"/>
      <c r="Y452" s="150"/>
      <c r="Z452" s="150"/>
      <c r="AA452" s="150"/>
      <c r="AB452" s="150"/>
      <c r="AC452" s="150"/>
      <c r="AD452" s="150"/>
      <c r="AE452" s="150"/>
      <c r="AF452" s="150"/>
      <c r="AG452" s="150"/>
      <c r="AH452" s="150"/>
      <c r="AI452" s="150"/>
      <c r="AJ452" s="151"/>
      <c r="AK452" s="143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144"/>
    </row>
    <row r="453" spans="2:61" ht="20.100000000000001" customHeight="1" x14ac:dyDescent="0.45">
      <c r="B453" s="138"/>
      <c r="C453" s="31"/>
      <c r="D453" s="31"/>
      <c r="E453" s="31"/>
      <c r="F453" s="31"/>
      <c r="G453" s="139"/>
      <c r="H453" s="140"/>
      <c r="I453" s="31"/>
      <c r="J453" s="149" t="s">
        <v>290</v>
      </c>
      <c r="K453" s="150"/>
      <c r="L453" s="150"/>
      <c r="M453" s="150"/>
      <c r="N453" s="150"/>
      <c r="O453" s="150"/>
      <c r="P453" s="150"/>
      <c r="Q453" s="151"/>
      <c r="R453" s="154" t="s">
        <v>369</v>
      </c>
      <c r="S453" s="150"/>
      <c r="T453" s="150"/>
      <c r="U453" s="150"/>
      <c r="V453" s="150"/>
      <c r="W453" s="150"/>
      <c r="X453" s="150"/>
      <c r="Y453" s="150"/>
      <c r="Z453" s="150"/>
      <c r="AA453" s="150"/>
      <c r="AB453" s="150"/>
      <c r="AC453" s="150"/>
      <c r="AD453" s="150"/>
      <c r="AE453" s="150"/>
      <c r="AF453" s="150"/>
      <c r="AG453" s="150"/>
      <c r="AH453" s="150"/>
      <c r="AI453" s="150"/>
      <c r="AJ453" s="151"/>
      <c r="AK453" s="143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144"/>
    </row>
    <row r="454" spans="2:61" ht="20.100000000000001" customHeight="1" x14ac:dyDescent="0.45">
      <c r="B454" s="138"/>
      <c r="C454" s="31"/>
      <c r="D454" s="31"/>
      <c r="E454" s="31"/>
      <c r="F454" s="31"/>
      <c r="G454" s="139"/>
      <c r="H454" s="140"/>
      <c r="I454" s="31"/>
      <c r="J454" s="149" t="s">
        <v>291</v>
      </c>
      <c r="K454" s="150"/>
      <c r="L454" s="150"/>
      <c r="M454" s="150"/>
      <c r="N454" s="150"/>
      <c r="O454" s="150"/>
      <c r="P454" s="150"/>
      <c r="Q454" s="151"/>
      <c r="R454" s="154" t="s">
        <v>370</v>
      </c>
      <c r="S454" s="150"/>
      <c r="T454" s="150"/>
      <c r="U454" s="150"/>
      <c r="V454" s="150"/>
      <c r="W454" s="150"/>
      <c r="X454" s="150"/>
      <c r="Y454" s="150"/>
      <c r="Z454" s="150"/>
      <c r="AA454" s="150"/>
      <c r="AB454" s="150"/>
      <c r="AC454" s="150"/>
      <c r="AD454" s="150"/>
      <c r="AE454" s="150"/>
      <c r="AF454" s="150"/>
      <c r="AG454" s="150"/>
      <c r="AH454" s="150"/>
      <c r="AI454" s="150"/>
      <c r="AJ454" s="151"/>
      <c r="AK454" s="143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144"/>
    </row>
    <row r="455" spans="2:61" ht="20.100000000000001" customHeight="1" x14ac:dyDescent="0.45">
      <c r="B455" s="138"/>
      <c r="C455" s="31"/>
      <c r="D455" s="31"/>
      <c r="E455" s="31"/>
      <c r="F455" s="31"/>
      <c r="G455" s="139"/>
      <c r="H455" s="140"/>
      <c r="I455" s="31"/>
      <c r="J455" s="149" t="s">
        <v>230</v>
      </c>
      <c r="K455" s="150"/>
      <c r="L455" s="150"/>
      <c r="M455" s="150"/>
      <c r="N455" s="150"/>
      <c r="O455" s="150"/>
      <c r="P455" s="150"/>
      <c r="Q455" s="151"/>
      <c r="R455" s="154" t="s">
        <v>371</v>
      </c>
      <c r="S455" s="150"/>
      <c r="T455" s="150"/>
      <c r="U455" s="150"/>
      <c r="V455" s="150"/>
      <c r="W455" s="150"/>
      <c r="X455" s="150"/>
      <c r="Y455" s="150"/>
      <c r="Z455" s="150"/>
      <c r="AA455" s="150"/>
      <c r="AB455" s="150"/>
      <c r="AC455" s="150"/>
      <c r="AD455" s="150"/>
      <c r="AE455" s="150"/>
      <c r="AF455" s="150"/>
      <c r="AG455" s="150"/>
      <c r="AH455" s="150"/>
      <c r="AI455" s="150"/>
      <c r="AJ455" s="151"/>
      <c r="AK455" s="143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144"/>
    </row>
    <row r="456" spans="2:61" ht="20.100000000000001" customHeight="1" x14ac:dyDescent="0.45">
      <c r="B456" s="138"/>
      <c r="C456" s="31"/>
      <c r="D456" s="31"/>
      <c r="E456" s="31"/>
      <c r="F456" s="31"/>
      <c r="G456" s="139"/>
      <c r="H456" s="140"/>
      <c r="I456" s="31"/>
      <c r="J456" s="149" t="s">
        <v>231</v>
      </c>
      <c r="K456" s="150"/>
      <c r="L456" s="150"/>
      <c r="M456" s="150"/>
      <c r="N456" s="150"/>
      <c r="O456" s="150"/>
      <c r="P456" s="150"/>
      <c r="Q456" s="151"/>
      <c r="R456" s="154" t="s">
        <v>372</v>
      </c>
      <c r="S456" s="150"/>
      <c r="T456" s="150"/>
      <c r="U456" s="150"/>
      <c r="V456" s="150"/>
      <c r="W456" s="150"/>
      <c r="X456" s="150"/>
      <c r="Y456" s="150"/>
      <c r="Z456" s="150"/>
      <c r="AA456" s="150"/>
      <c r="AB456" s="150"/>
      <c r="AC456" s="150"/>
      <c r="AD456" s="150"/>
      <c r="AE456" s="150"/>
      <c r="AF456" s="150"/>
      <c r="AG456" s="150"/>
      <c r="AH456" s="150"/>
      <c r="AI456" s="150"/>
      <c r="AJ456" s="151"/>
      <c r="AK456" s="143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144"/>
    </row>
    <row r="457" spans="2:61" ht="20.100000000000001" customHeight="1" x14ac:dyDescent="0.45">
      <c r="B457" s="138"/>
      <c r="C457" s="31"/>
      <c r="D457" s="31"/>
      <c r="E457" s="31"/>
      <c r="F457" s="31"/>
      <c r="G457" s="139"/>
      <c r="H457" s="140"/>
      <c r="I457" s="31"/>
      <c r="J457" s="149" t="s">
        <v>232</v>
      </c>
      <c r="K457" s="150"/>
      <c r="L457" s="150"/>
      <c r="M457" s="150"/>
      <c r="N457" s="150"/>
      <c r="O457" s="150"/>
      <c r="P457" s="150"/>
      <c r="Q457" s="151"/>
      <c r="R457" s="154" t="s">
        <v>373</v>
      </c>
      <c r="S457" s="150"/>
      <c r="T457" s="150"/>
      <c r="U457" s="150"/>
      <c r="V457" s="150"/>
      <c r="W457" s="150"/>
      <c r="X457" s="150"/>
      <c r="Y457" s="150"/>
      <c r="Z457" s="150"/>
      <c r="AA457" s="150"/>
      <c r="AB457" s="150"/>
      <c r="AC457" s="150"/>
      <c r="AD457" s="150"/>
      <c r="AE457" s="150"/>
      <c r="AF457" s="150"/>
      <c r="AG457" s="150"/>
      <c r="AH457" s="150"/>
      <c r="AI457" s="150"/>
      <c r="AJ457" s="151"/>
      <c r="AK457" s="143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144"/>
    </row>
    <row r="458" spans="2:61" ht="20.100000000000001" customHeight="1" x14ac:dyDescent="0.45">
      <c r="B458" s="138"/>
      <c r="C458" s="31"/>
      <c r="D458" s="31"/>
      <c r="E458" s="31"/>
      <c r="F458" s="31"/>
      <c r="G458" s="139"/>
      <c r="H458" s="140"/>
      <c r="I458" s="31"/>
      <c r="J458" s="149" t="s">
        <v>233</v>
      </c>
      <c r="K458" s="150"/>
      <c r="L458" s="150"/>
      <c r="M458" s="150"/>
      <c r="N458" s="150"/>
      <c r="O458" s="150"/>
      <c r="P458" s="150"/>
      <c r="Q458" s="151"/>
      <c r="R458" s="154" t="s">
        <v>374</v>
      </c>
      <c r="S458" s="150"/>
      <c r="T458" s="150"/>
      <c r="U458" s="150"/>
      <c r="V458" s="150"/>
      <c r="W458" s="150"/>
      <c r="X458" s="150"/>
      <c r="Y458" s="150"/>
      <c r="Z458" s="150"/>
      <c r="AA458" s="150"/>
      <c r="AB458" s="150"/>
      <c r="AC458" s="150"/>
      <c r="AD458" s="150"/>
      <c r="AE458" s="150"/>
      <c r="AF458" s="150"/>
      <c r="AG458" s="150"/>
      <c r="AH458" s="150"/>
      <c r="AI458" s="150"/>
      <c r="AJ458" s="151"/>
      <c r="AK458" s="143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144"/>
    </row>
    <row r="459" spans="2:61" ht="20.100000000000001" customHeight="1" x14ac:dyDescent="0.45">
      <c r="B459" s="138"/>
      <c r="C459" s="31"/>
      <c r="D459" s="31"/>
      <c r="E459" s="31"/>
      <c r="F459" s="31"/>
      <c r="G459" s="139"/>
      <c r="H459" s="140"/>
      <c r="I459" s="31"/>
      <c r="J459" s="149" t="s">
        <v>234</v>
      </c>
      <c r="K459" s="150"/>
      <c r="L459" s="150"/>
      <c r="M459" s="150"/>
      <c r="N459" s="150"/>
      <c r="O459" s="150"/>
      <c r="P459" s="150"/>
      <c r="Q459" s="151"/>
      <c r="R459" s="154" t="s">
        <v>375</v>
      </c>
      <c r="S459" s="150"/>
      <c r="T459" s="150"/>
      <c r="U459" s="150"/>
      <c r="V459" s="150"/>
      <c r="W459" s="150"/>
      <c r="X459" s="150"/>
      <c r="Y459" s="150"/>
      <c r="Z459" s="150"/>
      <c r="AA459" s="150"/>
      <c r="AB459" s="150"/>
      <c r="AC459" s="150"/>
      <c r="AD459" s="150"/>
      <c r="AE459" s="150"/>
      <c r="AF459" s="150"/>
      <c r="AG459" s="150"/>
      <c r="AH459" s="150"/>
      <c r="AI459" s="150"/>
      <c r="AJ459" s="151"/>
      <c r="AK459" s="143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144"/>
    </row>
    <row r="460" spans="2:61" ht="20.100000000000001" customHeight="1" x14ac:dyDescent="0.45">
      <c r="B460" s="138"/>
      <c r="C460" s="31"/>
      <c r="D460" s="31"/>
      <c r="E460" s="31"/>
      <c r="F460" s="31"/>
      <c r="G460" s="139"/>
      <c r="H460" s="140"/>
      <c r="I460" s="31"/>
      <c r="J460" s="149" t="s">
        <v>235</v>
      </c>
      <c r="K460" s="150"/>
      <c r="L460" s="150"/>
      <c r="M460" s="150"/>
      <c r="N460" s="150"/>
      <c r="O460" s="150"/>
      <c r="P460" s="150"/>
      <c r="Q460" s="151"/>
      <c r="R460" s="154" t="s">
        <v>376</v>
      </c>
      <c r="S460" s="150"/>
      <c r="T460" s="150"/>
      <c r="U460" s="150"/>
      <c r="V460" s="150"/>
      <c r="W460" s="150"/>
      <c r="X460" s="150"/>
      <c r="Y460" s="150"/>
      <c r="Z460" s="150"/>
      <c r="AA460" s="150"/>
      <c r="AB460" s="150"/>
      <c r="AC460" s="150"/>
      <c r="AD460" s="150"/>
      <c r="AE460" s="150"/>
      <c r="AF460" s="150"/>
      <c r="AG460" s="150"/>
      <c r="AH460" s="150"/>
      <c r="AI460" s="150"/>
      <c r="AJ460" s="151"/>
      <c r="AK460" s="143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144"/>
    </row>
    <row r="461" spans="2:61" ht="20.100000000000001" customHeight="1" x14ac:dyDescent="0.45">
      <c r="B461" s="138"/>
      <c r="C461" s="31"/>
      <c r="D461" s="31"/>
      <c r="E461" s="31"/>
      <c r="F461" s="31"/>
      <c r="G461" s="139"/>
      <c r="H461" s="140"/>
      <c r="I461" s="31"/>
      <c r="J461" s="149" t="s">
        <v>236</v>
      </c>
      <c r="K461" s="150"/>
      <c r="L461" s="150"/>
      <c r="M461" s="150"/>
      <c r="N461" s="150"/>
      <c r="O461" s="150"/>
      <c r="P461" s="150"/>
      <c r="Q461" s="151"/>
      <c r="R461" s="154" t="s">
        <v>377</v>
      </c>
      <c r="S461" s="150"/>
      <c r="T461" s="150"/>
      <c r="U461" s="150"/>
      <c r="V461" s="150"/>
      <c r="W461" s="150"/>
      <c r="X461" s="150"/>
      <c r="Y461" s="150"/>
      <c r="Z461" s="150"/>
      <c r="AA461" s="150"/>
      <c r="AB461" s="150"/>
      <c r="AC461" s="150"/>
      <c r="AD461" s="150"/>
      <c r="AE461" s="150"/>
      <c r="AF461" s="150"/>
      <c r="AG461" s="150"/>
      <c r="AH461" s="150"/>
      <c r="AI461" s="150"/>
      <c r="AJ461" s="151"/>
      <c r="AK461" s="143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144"/>
    </row>
    <row r="462" spans="2:61" ht="20.100000000000001" customHeight="1" x14ac:dyDescent="0.45">
      <c r="B462" s="138"/>
      <c r="C462" s="31"/>
      <c r="D462" s="31"/>
      <c r="E462" s="31"/>
      <c r="F462" s="31"/>
      <c r="G462" s="139"/>
      <c r="H462" s="140"/>
      <c r="I462" s="31"/>
      <c r="J462" s="149" t="s">
        <v>237</v>
      </c>
      <c r="K462" s="150"/>
      <c r="L462" s="150"/>
      <c r="M462" s="150"/>
      <c r="N462" s="150"/>
      <c r="O462" s="150"/>
      <c r="P462" s="150"/>
      <c r="Q462" s="151"/>
      <c r="R462" s="154" t="s">
        <v>378</v>
      </c>
      <c r="S462" s="150"/>
      <c r="T462" s="150"/>
      <c r="U462" s="150"/>
      <c r="V462" s="150"/>
      <c r="W462" s="150"/>
      <c r="X462" s="150"/>
      <c r="Y462" s="150"/>
      <c r="Z462" s="150"/>
      <c r="AA462" s="150"/>
      <c r="AB462" s="150"/>
      <c r="AC462" s="150"/>
      <c r="AD462" s="150"/>
      <c r="AE462" s="150"/>
      <c r="AF462" s="150"/>
      <c r="AG462" s="150"/>
      <c r="AH462" s="150"/>
      <c r="AI462" s="150"/>
      <c r="AJ462" s="151"/>
      <c r="AK462" s="143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144"/>
    </row>
    <row r="463" spans="2:61" ht="20.100000000000001" customHeight="1" x14ac:dyDescent="0.45">
      <c r="B463" s="138"/>
      <c r="C463" s="31"/>
      <c r="D463" s="31"/>
      <c r="E463" s="31"/>
      <c r="F463" s="31"/>
      <c r="G463" s="139"/>
      <c r="H463" s="140"/>
      <c r="I463" s="31"/>
      <c r="J463" s="149" t="s">
        <v>238</v>
      </c>
      <c r="K463" s="150"/>
      <c r="L463" s="150"/>
      <c r="M463" s="150"/>
      <c r="N463" s="150"/>
      <c r="O463" s="150"/>
      <c r="P463" s="150"/>
      <c r="Q463" s="151"/>
      <c r="R463" s="154" t="s">
        <v>379</v>
      </c>
      <c r="S463" s="150"/>
      <c r="T463" s="150"/>
      <c r="U463" s="150"/>
      <c r="V463" s="150"/>
      <c r="W463" s="150"/>
      <c r="X463" s="150"/>
      <c r="Y463" s="150"/>
      <c r="Z463" s="150"/>
      <c r="AA463" s="150"/>
      <c r="AB463" s="150"/>
      <c r="AC463" s="150"/>
      <c r="AD463" s="150"/>
      <c r="AE463" s="150"/>
      <c r="AF463" s="150"/>
      <c r="AG463" s="150"/>
      <c r="AH463" s="150"/>
      <c r="AI463" s="150"/>
      <c r="AJ463" s="151"/>
      <c r="AK463" s="143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144"/>
    </row>
    <row r="464" spans="2:61" ht="20.100000000000001" customHeight="1" x14ac:dyDescent="0.45">
      <c r="B464" s="138"/>
      <c r="C464" s="31"/>
      <c r="D464" s="31"/>
      <c r="E464" s="31"/>
      <c r="F464" s="31"/>
      <c r="G464" s="139"/>
      <c r="H464" s="140"/>
      <c r="I464" s="31"/>
      <c r="J464" s="149" t="s">
        <v>239</v>
      </c>
      <c r="K464" s="150"/>
      <c r="L464" s="150"/>
      <c r="M464" s="150"/>
      <c r="N464" s="150"/>
      <c r="O464" s="150"/>
      <c r="P464" s="150"/>
      <c r="Q464" s="151"/>
      <c r="R464" s="154" t="s">
        <v>380</v>
      </c>
      <c r="S464" s="150"/>
      <c r="T464" s="150"/>
      <c r="U464" s="150"/>
      <c r="V464" s="150"/>
      <c r="W464" s="150"/>
      <c r="X464" s="150"/>
      <c r="Y464" s="150"/>
      <c r="Z464" s="150"/>
      <c r="AA464" s="150"/>
      <c r="AB464" s="150"/>
      <c r="AC464" s="150"/>
      <c r="AD464" s="150"/>
      <c r="AE464" s="150"/>
      <c r="AF464" s="150"/>
      <c r="AG464" s="150"/>
      <c r="AH464" s="150"/>
      <c r="AI464" s="150"/>
      <c r="AJ464" s="151"/>
      <c r="AK464" s="143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144"/>
    </row>
    <row r="465" spans="2:61" ht="20.100000000000001" customHeight="1" x14ac:dyDescent="0.45">
      <c r="B465" s="138"/>
      <c r="C465" s="31"/>
      <c r="D465" s="31"/>
      <c r="E465" s="31"/>
      <c r="F465" s="31"/>
      <c r="G465" s="139"/>
      <c r="H465" s="140"/>
      <c r="I465" s="31"/>
      <c r="J465" s="149" t="s">
        <v>240</v>
      </c>
      <c r="K465" s="150"/>
      <c r="L465" s="150"/>
      <c r="M465" s="150"/>
      <c r="N465" s="150"/>
      <c r="O465" s="150"/>
      <c r="P465" s="150"/>
      <c r="Q465" s="151"/>
      <c r="R465" s="154" t="s">
        <v>381</v>
      </c>
      <c r="S465" s="150"/>
      <c r="T465" s="150"/>
      <c r="U465" s="150"/>
      <c r="V465" s="150"/>
      <c r="W465" s="150"/>
      <c r="X465" s="150"/>
      <c r="Y465" s="150"/>
      <c r="Z465" s="150"/>
      <c r="AA465" s="150"/>
      <c r="AB465" s="150"/>
      <c r="AC465" s="150"/>
      <c r="AD465" s="150"/>
      <c r="AE465" s="150"/>
      <c r="AF465" s="150"/>
      <c r="AG465" s="150"/>
      <c r="AH465" s="150"/>
      <c r="AI465" s="150"/>
      <c r="AJ465" s="151"/>
      <c r="AK465" s="143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144"/>
    </row>
    <row r="466" spans="2:61" ht="20.100000000000001" customHeight="1" x14ac:dyDescent="0.45">
      <c r="B466" s="138"/>
      <c r="C466" s="31"/>
      <c r="D466" s="31"/>
      <c r="E466" s="31"/>
      <c r="F466" s="31"/>
      <c r="G466" s="139"/>
      <c r="H466" s="140"/>
      <c r="I466" s="31"/>
      <c r="J466" s="149" t="s">
        <v>241</v>
      </c>
      <c r="K466" s="150"/>
      <c r="L466" s="150"/>
      <c r="M466" s="150"/>
      <c r="N466" s="150"/>
      <c r="O466" s="150"/>
      <c r="P466" s="150"/>
      <c r="Q466" s="151"/>
      <c r="R466" s="154" t="s">
        <v>382</v>
      </c>
      <c r="S466" s="150"/>
      <c r="T466" s="150"/>
      <c r="U466" s="150"/>
      <c r="V466" s="150"/>
      <c r="W466" s="150"/>
      <c r="X466" s="150"/>
      <c r="Y466" s="150"/>
      <c r="Z466" s="150"/>
      <c r="AA466" s="150"/>
      <c r="AB466" s="150"/>
      <c r="AC466" s="150"/>
      <c r="AD466" s="150"/>
      <c r="AE466" s="150"/>
      <c r="AF466" s="150"/>
      <c r="AG466" s="150"/>
      <c r="AH466" s="150"/>
      <c r="AI466" s="150"/>
      <c r="AJ466" s="151"/>
      <c r="AK466" s="143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144"/>
    </row>
    <row r="467" spans="2:61" ht="20.100000000000001" customHeight="1" x14ac:dyDescent="0.45">
      <c r="B467" s="138"/>
      <c r="C467" s="31"/>
      <c r="D467" s="31"/>
      <c r="E467" s="31"/>
      <c r="F467" s="31"/>
      <c r="G467" s="139"/>
      <c r="H467" s="140"/>
      <c r="I467" s="31"/>
      <c r="J467" s="149" t="s">
        <v>242</v>
      </c>
      <c r="K467" s="150"/>
      <c r="L467" s="150"/>
      <c r="M467" s="150"/>
      <c r="N467" s="150"/>
      <c r="O467" s="150"/>
      <c r="P467" s="150"/>
      <c r="Q467" s="151"/>
      <c r="R467" s="154" t="s">
        <v>383</v>
      </c>
      <c r="S467" s="150"/>
      <c r="T467" s="150"/>
      <c r="U467" s="150"/>
      <c r="V467" s="150"/>
      <c r="W467" s="150"/>
      <c r="X467" s="150"/>
      <c r="Y467" s="150"/>
      <c r="Z467" s="150"/>
      <c r="AA467" s="150"/>
      <c r="AB467" s="150"/>
      <c r="AC467" s="150"/>
      <c r="AD467" s="150"/>
      <c r="AE467" s="150"/>
      <c r="AF467" s="150"/>
      <c r="AG467" s="150"/>
      <c r="AH467" s="150"/>
      <c r="AI467" s="150"/>
      <c r="AJ467" s="151"/>
      <c r="AK467" s="143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144"/>
    </row>
    <row r="468" spans="2:61" ht="20.100000000000001" customHeight="1" x14ac:dyDescent="0.45">
      <c r="B468" s="138"/>
      <c r="C468" s="31"/>
      <c r="D468" s="31"/>
      <c r="E468" s="31"/>
      <c r="F468" s="31"/>
      <c r="G468" s="139"/>
      <c r="H468" s="140"/>
      <c r="I468" s="31"/>
      <c r="J468" s="149" t="s">
        <v>243</v>
      </c>
      <c r="K468" s="150"/>
      <c r="L468" s="150"/>
      <c r="M468" s="150"/>
      <c r="N468" s="150"/>
      <c r="O468" s="150"/>
      <c r="P468" s="150"/>
      <c r="Q468" s="151"/>
      <c r="R468" s="154" t="s">
        <v>384</v>
      </c>
      <c r="S468" s="150"/>
      <c r="T468" s="150"/>
      <c r="U468" s="150"/>
      <c r="V468" s="150"/>
      <c r="W468" s="150"/>
      <c r="X468" s="150"/>
      <c r="Y468" s="150"/>
      <c r="Z468" s="150"/>
      <c r="AA468" s="150"/>
      <c r="AB468" s="150"/>
      <c r="AC468" s="150"/>
      <c r="AD468" s="150"/>
      <c r="AE468" s="150"/>
      <c r="AF468" s="150"/>
      <c r="AG468" s="150"/>
      <c r="AH468" s="150"/>
      <c r="AI468" s="150"/>
      <c r="AJ468" s="151"/>
      <c r="AK468" s="143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144"/>
    </row>
    <row r="469" spans="2:61" ht="20.100000000000001" customHeight="1" x14ac:dyDescent="0.45">
      <c r="B469" s="138"/>
      <c r="C469" s="31"/>
      <c r="D469" s="31"/>
      <c r="E469" s="31"/>
      <c r="F469" s="31"/>
      <c r="G469" s="139"/>
      <c r="H469" s="140"/>
      <c r="I469" s="31"/>
      <c r="J469" s="149" t="s">
        <v>244</v>
      </c>
      <c r="K469" s="150"/>
      <c r="L469" s="150"/>
      <c r="M469" s="150"/>
      <c r="N469" s="150"/>
      <c r="O469" s="150"/>
      <c r="P469" s="150"/>
      <c r="Q469" s="151"/>
      <c r="R469" s="154" t="s">
        <v>385</v>
      </c>
      <c r="S469" s="150"/>
      <c r="T469" s="150"/>
      <c r="U469" s="150"/>
      <c r="V469" s="150"/>
      <c r="W469" s="150"/>
      <c r="X469" s="150"/>
      <c r="Y469" s="150"/>
      <c r="Z469" s="150"/>
      <c r="AA469" s="150"/>
      <c r="AB469" s="150"/>
      <c r="AC469" s="150"/>
      <c r="AD469" s="150"/>
      <c r="AE469" s="150"/>
      <c r="AF469" s="150"/>
      <c r="AG469" s="150"/>
      <c r="AH469" s="150"/>
      <c r="AI469" s="150"/>
      <c r="AJ469" s="151"/>
      <c r="AK469" s="143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144"/>
    </row>
    <row r="470" spans="2:61" ht="20.100000000000001" customHeight="1" x14ac:dyDescent="0.45">
      <c r="B470" s="138"/>
      <c r="C470" s="31"/>
      <c r="D470" s="31"/>
      <c r="E470" s="31"/>
      <c r="F470" s="31"/>
      <c r="G470" s="139"/>
      <c r="H470" s="140"/>
      <c r="I470" s="31"/>
      <c r="J470" s="149" t="s">
        <v>168</v>
      </c>
      <c r="K470" s="150"/>
      <c r="L470" s="150"/>
      <c r="M470" s="150"/>
      <c r="N470" s="150"/>
      <c r="O470" s="150"/>
      <c r="P470" s="150"/>
      <c r="Q470" s="151"/>
      <c r="R470" s="154" t="s">
        <v>332</v>
      </c>
      <c r="S470" s="150"/>
      <c r="T470" s="150"/>
      <c r="U470" s="150"/>
      <c r="V470" s="150"/>
      <c r="W470" s="150"/>
      <c r="X470" s="150"/>
      <c r="Y470" s="150"/>
      <c r="Z470" s="150"/>
      <c r="AA470" s="150"/>
      <c r="AB470" s="150"/>
      <c r="AC470" s="150"/>
      <c r="AD470" s="150"/>
      <c r="AE470" s="150"/>
      <c r="AF470" s="150"/>
      <c r="AG470" s="150"/>
      <c r="AH470" s="150"/>
      <c r="AI470" s="150"/>
      <c r="AJ470" s="151"/>
      <c r="AK470" s="143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144"/>
    </row>
    <row r="471" spans="2:61" ht="20.100000000000001" customHeight="1" x14ac:dyDescent="0.45">
      <c r="B471" s="138"/>
      <c r="C471" s="31"/>
      <c r="D471" s="31"/>
      <c r="E471" s="31"/>
      <c r="F471" s="31"/>
      <c r="G471" s="139"/>
      <c r="H471" s="140"/>
      <c r="I471" s="31"/>
      <c r="J471" s="149" t="s">
        <v>245</v>
      </c>
      <c r="K471" s="150"/>
      <c r="L471" s="150"/>
      <c r="M471" s="150"/>
      <c r="N471" s="150"/>
      <c r="O471" s="150"/>
      <c r="P471" s="150"/>
      <c r="Q471" s="151"/>
      <c r="R471" s="154" t="s">
        <v>333</v>
      </c>
      <c r="S471" s="150"/>
      <c r="T471" s="150"/>
      <c r="U471" s="150"/>
      <c r="V471" s="150"/>
      <c r="W471" s="150"/>
      <c r="X471" s="150"/>
      <c r="Y471" s="150"/>
      <c r="Z471" s="150"/>
      <c r="AA471" s="150"/>
      <c r="AB471" s="150"/>
      <c r="AC471" s="150"/>
      <c r="AD471" s="150"/>
      <c r="AE471" s="150"/>
      <c r="AF471" s="150"/>
      <c r="AG471" s="150"/>
      <c r="AH471" s="150"/>
      <c r="AI471" s="150"/>
      <c r="AJ471" s="151"/>
      <c r="AK471" s="143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144"/>
    </row>
    <row r="472" spans="2:61" ht="20.100000000000001" customHeight="1" x14ac:dyDescent="0.45">
      <c r="B472" s="138"/>
      <c r="C472" s="31"/>
      <c r="D472" s="31"/>
      <c r="E472" s="31"/>
      <c r="F472" s="31"/>
      <c r="G472" s="139"/>
      <c r="H472" s="140"/>
      <c r="I472" s="31"/>
      <c r="J472" s="149" t="s">
        <v>246</v>
      </c>
      <c r="K472" s="150"/>
      <c r="L472" s="150"/>
      <c r="M472" s="150"/>
      <c r="N472" s="150"/>
      <c r="O472" s="150"/>
      <c r="P472" s="150"/>
      <c r="Q472" s="151"/>
      <c r="R472" s="154" t="s">
        <v>386</v>
      </c>
      <c r="S472" s="150"/>
      <c r="T472" s="150"/>
      <c r="U472" s="150"/>
      <c r="V472" s="150"/>
      <c r="W472" s="150"/>
      <c r="X472" s="150"/>
      <c r="Y472" s="150"/>
      <c r="Z472" s="150"/>
      <c r="AA472" s="150"/>
      <c r="AB472" s="150"/>
      <c r="AC472" s="150"/>
      <c r="AD472" s="150"/>
      <c r="AE472" s="150"/>
      <c r="AF472" s="150"/>
      <c r="AG472" s="150"/>
      <c r="AH472" s="150"/>
      <c r="AI472" s="150"/>
      <c r="AJ472" s="151"/>
      <c r="AK472" s="143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144"/>
    </row>
    <row r="473" spans="2:61" ht="20.100000000000001" customHeight="1" x14ac:dyDescent="0.45">
      <c r="B473" s="138"/>
      <c r="C473" s="31"/>
      <c r="D473" s="31"/>
      <c r="E473" s="31"/>
      <c r="F473" s="31"/>
      <c r="G473" s="139"/>
      <c r="H473" s="140"/>
      <c r="I473" s="31"/>
      <c r="J473" s="149" t="s">
        <v>248</v>
      </c>
      <c r="K473" s="150"/>
      <c r="L473" s="150"/>
      <c r="M473" s="150"/>
      <c r="N473" s="150"/>
      <c r="O473" s="150"/>
      <c r="P473" s="150"/>
      <c r="Q473" s="151"/>
      <c r="R473" s="154" t="s">
        <v>387</v>
      </c>
      <c r="S473" s="150"/>
      <c r="T473" s="150"/>
      <c r="U473" s="150"/>
      <c r="V473" s="150"/>
      <c r="W473" s="150"/>
      <c r="X473" s="150"/>
      <c r="Y473" s="150"/>
      <c r="Z473" s="150"/>
      <c r="AA473" s="150"/>
      <c r="AB473" s="150"/>
      <c r="AC473" s="150"/>
      <c r="AD473" s="150"/>
      <c r="AE473" s="150"/>
      <c r="AF473" s="150"/>
      <c r="AG473" s="150"/>
      <c r="AH473" s="150"/>
      <c r="AI473" s="150"/>
      <c r="AJ473" s="151"/>
      <c r="AK473" s="143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144"/>
    </row>
    <row r="474" spans="2:61" ht="20.100000000000001" customHeight="1" x14ac:dyDescent="0.45">
      <c r="B474" s="138"/>
      <c r="C474" s="31"/>
      <c r="D474" s="31"/>
      <c r="E474" s="31"/>
      <c r="F474" s="31"/>
      <c r="G474" s="139"/>
      <c r="H474" s="140"/>
      <c r="I474" s="31"/>
      <c r="J474" s="149" t="s">
        <v>247</v>
      </c>
      <c r="K474" s="150"/>
      <c r="L474" s="150"/>
      <c r="M474" s="150"/>
      <c r="N474" s="150"/>
      <c r="O474" s="150"/>
      <c r="P474" s="150"/>
      <c r="Q474" s="151"/>
      <c r="R474" s="154" t="s">
        <v>388</v>
      </c>
      <c r="S474" s="150"/>
      <c r="T474" s="150"/>
      <c r="U474" s="150"/>
      <c r="V474" s="150"/>
      <c r="W474" s="150"/>
      <c r="X474" s="150"/>
      <c r="Y474" s="150"/>
      <c r="Z474" s="150"/>
      <c r="AA474" s="150"/>
      <c r="AB474" s="150"/>
      <c r="AC474" s="150"/>
      <c r="AD474" s="150"/>
      <c r="AE474" s="150"/>
      <c r="AF474" s="150"/>
      <c r="AG474" s="150"/>
      <c r="AH474" s="150"/>
      <c r="AI474" s="150"/>
      <c r="AJ474" s="151"/>
      <c r="AK474" s="143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144"/>
    </row>
    <row r="475" spans="2:61" ht="20.100000000000001" customHeight="1" x14ac:dyDescent="0.45">
      <c r="B475" s="138"/>
      <c r="C475" s="31"/>
      <c r="D475" s="31"/>
      <c r="E475" s="31"/>
      <c r="F475" s="31"/>
      <c r="G475" s="139"/>
      <c r="H475" s="140"/>
      <c r="I475" s="31"/>
      <c r="J475" s="149" t="s">
        <v>249</v>
      </c>
      <c r="K475" s="150"/>
      <c r="L475" s="150"/>
      <c r="M475" s="150"/>
      <c r="N475" s="150"/>
      <c r="O475" s="150"/>
      <c r="P475" s="150"/>
      <c r="Q475" s="151"/>
      <c r="R475" s="154" t="s">
        <v>389</v>
      </c>
      <c r="S475" s="150"/>
      <c r="T475" s="150"/>
      <c r="U475" s="150"/>
      <c r="V475" s="150"/>
      <c r="W475" s="150"/>
      <c r="X475" s="150"/>
      <c r="Y475" s="150"/>
      <c r="Z475" s="150"/>
      <c r="AA475" s="150"/>
      <c r="AB475" s="150"/>
      <c r="AC475" s="150"/>
      <c r="AD475" s="150"/>
      <c r="AE475" s="150"/>
      <c r="AF475" s="150"/>
      <c r="AG475" s="150"/>
      <c r="AH475" s="150"/>
      <c r="AI475" s="150"/>
      <c r="AJ475" s="151"/>
      <c r="AK475" s="143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144"/>
    </row>
    <row r="476" spans="2:61" ht="20.100000000000001" customHeight="1" x14ac:dyDescent="0.45">
      <c r="B476" s="138"/>
      <c r="C476" s="31"/>
      <c r="D476" s="31"/>
      <c r="E476" s="31"/>
      <c r="F476" s="31"/>
      <c r="G476" s="139"/>
      <c r="H476" s="140"/>
      <c r="I476" s="31"/>
      <c r="J476" s="149" t="s">
        <v>250</v>
      </c>
      <c r="K476" s="150"/>
      <c r="L476" s="150"/>
      <c r="M476" s="150"/>
      <c r="N476" s="150"/>
      <c r="O476" s="150"/>
      <c r="P476" s="150"/>
      <c r="Q476" s="151"/>
      <c r="R476" s="154" t="s">
        <v>390</v>
      </c>
      <c r="S476" s="150"/>
      <c r="T476" s="150"/>
      <c r="U476" s="150"/>
      <c r="V476" s="150"/>
      <c r="W476" s="150"/>
      <c r="X476" s="150"/>
      <c r="Y476" s="150"/>
      <c r="Z476" s="150"/>
      <c r="AA476" s="150"/>
      <c r="AB476" s="150"/>
      <c r="AC476" s="150"/>
      <c r="AD476" s="150"/>
      <c r="AE476" s="150"/>
      <c r="AF476" s="150"/>
      <c r="AG476" s="150"/>
      <c r="AH476" s="150"/>
      <c r="AI476" s="150"/>
      <c r="AJ476" s="151"/>
      <c r="AK476" s="143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144"/>
    </row>
    <row r="477" spans="2:61" ht="20.100000000000001" customHeight="1" x14ac:dyDescent="0.45">
      <c r="B477" s="138"/>
      <c r="C477" s="31"/>
      <c r="D477" s="31"/>
      <c r="E477" s="31"/>
      <c r="F477" s="31"/>
      <c r="G477" s="139"/>
      <c r="H477" s="140"/>
      <c r="I477" s="31"/>
      <c r="J477" s="149" t="s">
        <v>251</v>
      </c>
      <c r="K477" s="150"/>
      <c r="L477" s="150"/>
      <c r="M477" s="150"/>
      <c r="N477" s="150"/>
      <c r="O477" s="150"/>
      <c r="P477" s="150"/>
      <c r="Q477" s="151"/>
      <c r="R477" s="154" t="s">
        <v>391</v>
      </c>
      <c r="S477" s="150"/>
      <c r="T477" s="150"/>
      <c r="U477" s="150"/>
      <c r="V477" s="150"/>
      <c r="W477" s="150"/>
      <c r="X477" s="150"/>
      <c r="Y477" s="150"/>
      <c r="Z477" s="150"/>
      <c r="AA477" s="150"/>
      <c r="AB477" s="150"/>
      <c r="AC477" s="150"/>
      <c r="AD477" s="150"/>
      <c r="AE477" s="150"/>
      <c r="AF477" s="150"/>
      <c r="AG477" s="150"/>
      <c r="AH477" s="150"/>
      <c r="AI477" s="150"/>
      <c r="AJ477" s="151"/>
      <c r="AK477" s="143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144"/>
    </row>
    <row r="478" spans="2:61" ht="20.100000000000001" customHeight="1" x14ac:dyDescent="0.45">
      <c r="B478" s="138"/>
      <c r="C478" s="31"/>
      <c r="D478" s="31"/>
      <c r="E478" s="31"/>
      <c r="F478" s="31"/>
      <c r="G478" s="139"/>
      <c r="H478" s="140"/>
      <c r="I478" s="31"/>
      <c r="J478" s="149" t="s">
        <v>252</v>
      </c>
      <c r="K478" s="150"/>
      <c r="L478" s="150"/>
      <c r="M478" s="150"/>
      <c r="N478" s="150"/>
      <c r="O478" s="150"/>
      <c r="P478" s="150"/>
      <c r="Q478" s="151"/>
      <c r="R478" s="154" t="s">
        <v>392</v>
      </c>
      <c r="S478" s="150"/>
      <c r="T478" s="150"/>
      <c r="U478" s="150"/>
      <c r="V478" s="150"/>
      <c r="W478" s="150"/>
      <c r="X478" s="150"/>
      <c r="Y478" s="150"/>
      <c r="Z478" s="150"/>
      <c r="AA478" s="150"/>
      <c r="AB478" s="150"/>
      <c r="AC478" s="150"/>
      <c r="AD478" s="150"/>
      <c r="AE478" s="150"/>
      <c r="AF478" s="150"/>
      <c r="AG478" s="150"/>
      <c r="AH478" s="150"/>
      <c r="AI478" s="150"/>
      <c r="AJ478" s="151"/>
      <c r="AK478" s="143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144"/>
    </row>
    <row r="479" spans="2:61" ht="20.100000000000001" customHeight="1" x14ac:dyDescent="0.45">
      <c r="B479" s="138"/>
      <c r="C479" s="31"/>
      <c r="D479" s="31"/>
      <c r="E479" s="31"/>
      <c r="F479" s="31"/>
      <c r="G479" s="139"/>
      <c r="H479" s="140"/>
      <c r="I479" s="31"/>
      <c r="J479" s="149" t="s">
        <v>253</v>
      </c>
      <c r="K479" s="150"/>
      <c r="L479" s="150"/>
      <c r="M479" s="150"/>
      <c r="N479" s="150"/>
      <c r="O479" s="150"/>
      <c r="P479" s="150"/>
      <c r="Q479" s="151"/>
      <c r="R479" s="154" t="s">
        <v>393</v>
      </c>
      <c r="S479" s="150"/>
      <c r="T479" s="150"/>
      <c r="U479" s="150"/>
      <c r="V479" s="150"/>
      <c r="W479" s="150"/>
      <c r="X479" s="150"/>
      <c r="Y479" s="150"/>
      <c r="Z479" s="150"/>
      <c r="AA479" s="150"/>
      <c r="AB479" s="150"/>
      <c r="AC479" s="150"/>
      <c r="AD479" s="150"/>
      <c r="AE479" s="150"/>
      <c r="AF479" s="150"/>
      <c r="AG479" s="150"/>
      <c r="AH479" s="150"/>
      <c r="AI479" s="150"/>
      <c r="AJ479" s="151"/>
      <c r="AK479" s="143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144"/>
    </row>
    <row r="480" spans="2:61" ht="20.100000000000001" customHeight="1" x14ac:dyDescent="0.45">
      <c r="B480" s="138"/>
      <c r="C480" s="31"/>
      <c r="D480" s="31"/>
      <c r="E480" s="31"/>
      <c r="F480" s="31"/>
      <c r="G480" s="139"/>
      <c r="H480" s="145" t="s">
        <v>169</v>
      </c>
      <c r="I480" s="55"/>
      <c r="J480" s="145" t="s">
        <v>218</v>
      </c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146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  <c r="BD480" s="55"/>
      <c r="BE480" s="55"/>
      <c r="BF480" s="55"/>
      <c r="BG480" s="55"/>
      <c r="BH480" s="55"/>
      <c r="BI480" s="147"/>
    </row>
    <row r="481" spans="2:61" ht="20.100000000000001" customHeight="1" x14ac:dyDescent="0.45">
      <c r="B481" s="148"/>
      <c r="C481" s="31"/>
      <c r="D481" s="31"/>
      <c r="E481" s="31"/>
      <c r="F481" s="31"/>
      <c r="G481" s="139"/>
      <c r="H481" s="145" t="s">
        <v>173</v>
      </c>
      <c r="I481" s="55"/>
      <c r="J481" s="145" t="s">
        <v>304</v>
      </c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146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  <c r="BD481" s="55"/>
      <c r="BE481" s="55"/>
      <c r="BF481" s="55"/>
      <c r="BG481" s="55"/>
      <c r="BH481" s="55"/>
      <c r="BI481" s="147"/>
    </row>
    <row r="482" spans="2:61" ht="20.100000000000001" customHeight="1" thickBot="1" x14ac:dyDescent="0.5">
      <c r="B482" s="148"/>
      <c r="C482" s="31"/>
      <c r="D482" s="31"/>
      <c r="E482" s="31"/>
      <c r="F482" s="31"/>
      <c r="G482" s="139"/>
      <c r="H482" s="140"/>
      <c r="I482" s="31"/>
      <c r="J482" s="140" t="s">
        <v>394</v>
      </c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143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144"/>
    </row>
    <row r="483" spans="2:61" ht="20.100000000000001" customHeight="1" x14ac:dyDescent="0.45">
      <c r="B483" s="129" t="s">
        <v>430</v>
      </c>
      <c r="C483" s="130"/>
      <c r="D483" s="130"/>
      <c r="E483" s="130"/>
      <c r="F483" s="130"/>
      <c r="G483" s="131"/>
      <c r="H483" s="132" t="s">
        <v>159</v>
      </c>
      <c r="I483" s="130"/>
      <c r="J483" s="133" t="s">
        <v>160</v>
      </c>
      <c r="K483" s="134"/>
      <c r="L483" s="134"/>
      <c r="M483" s="134"/>
      <c r="N483" s="134"/>
      <c r="O483" s="134"/>
      <c r="P483" s="134"/>
      <c r="Q483" s="135"/>
      <c r="R483" s="134" t="s">
        <v>445</v>
      </c>
      <c r="S483" s="134"/>
      <c r="T483" s="134"/>
      <c r="U483" s="134"/>
      <c r="V483" s="134"/>
      <c r="W483" s="134"/>
      <c r="X483" s="134"/>
      <c r="Y483" s="134"/>
      <c r="Z483" s="134"/>
      <c r="AA483" s="134"/>
      <c r="AB483" s="134"/>
      <c r="AC483" s="134"/>
      <c r="AD483" s="134"/>
      <c r="AE483" s="134"/>
      <c r="AF483" s="134"/>
      <c r="AG483" s="134"/>
      <c r="AH483" s="134"/>
      <c r="AI483" s="134"/>
      <c r="AJ483" s="135"/>
      <c r="AK483" s="136" t="s">
        <v>441</v>
      </c>
      <c r="AL483" s="130"/>
      <c r="AM483" s="130"/>
      <c r="AN483" s="130"/>
      <c r="AO483" s="130"/>
      <c r="AP483" s="130"/>
      <c r="AQ483" s="130"/>
      <c r="AR483" s="130"/>
      <c r="AS483" s="130"/>
      <c r="AT483" s="130"/>
      <c r="AU483" s="130"/>
      <c r="AV483" s="130"/>
      <c r="AW483" s="130"/>
      <c r="AX483" s="130"/>
      <c r="AY483" s="130"/>
      <c r="AZ483" s="130"/>
      <c r="BA483" s="130"/>
      <c r="BB483" s="130"/>
      <c r="BC483" s="130"/>
      <c r="BD483" s="130"/>
      <c r="BE483" s="130"/>
      <c r="BF483" s="130"/>
      <c r="BG483" s="130"/>
      <c r="BH483" s="130"/>
      <c r="BI483" s="137"/>
    </row>
    <row r="484" spans="2:61" ht="20.100000000000001" customHeight="1" x14ac:dyDescent="0.45">
      <c r="B484" s="138"/>
      <c r="C484" s="31"/>
      <c r="D484" s="31"/>
      <c r="E484" s="31"/>
      <c r="F484" s="31"/>
      <c r="G484" s="139"/>
      <c r="H484" s="140"/>
      <c r="I484" s="31"/>
      <c r="J484" s="149" t="s">
        <v>227</v>
      </c>
      <c r="K484" s="150"/>
      <c r="L484" s="150"/>
      <c r="M484" s="150"/>
      <c r="N484" s="150"/>
      <c r="O484" s="150"/>
      <c r="P484" s="150"/>
      <c r="Q484" s="151"/>
      <c r="R484" s="154" t="s">
        <v>446</v>
      </c>
      <c r="S484" s="150"/>
      <c r="T484" s="150"/>
      <c r="U484" s="150"/>
      <c r="V484" s="150"/>
      <c r="W484" s="150"/>
      <c r="X484" s="150"/>
      <c r="Y484" s="150"/>
      <c r="Z484" s="150"/>
      <c r="AA484" s="150"/>
      <c r="AB484" s="150"/>
      <c r="AC484" s="150"/>
      <c r="AD484" s="150"/>
      <c r="AE484" s="150"/>
      <c r="AF484" s="150"/>
      <c r="AG484" s="150"/>
      <c r="AH484" s="150"/>
      <c r="AI484" s="150"/>
      <c r="AJ484" s="151"/>
      <c r="AK484" s="143" t="s">
        <v>440</v>
      </c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144"/>
    </row>
    <row r="485" spans="2:61" ht="20.100000000000001" customHeight="1" x14ac:dyDescent="0.45">
      <c r="B485" s="138"/>
      <c r="C485" s="31"/>
      <c r="D485" s="31"/>
      <c r="E485" s="31"/>
      <c r="F485" s="31"/>
      <c r="G485" s="139"/>
      <c r="H485" s="140"/>
      <c r="I485" s="31"/>
      <c r="J485" s="149" t="s">
        <v>228</v>
      </c>
      <c r="K485" s="150"/>
      <c r="L485" s="150"/>
      <c r="M485" s="150"/>
      <c r="N485" s="150"/>
      <c r="O485" s="150"/>
      <c r="P485" s="150"/>
      <c r="Q485" s="151"/>
      <c r="R485" s="154" t="s">
        <v>447</v>
      </c>
      <c r="S485" s="150"/>
      <c r="T485" s="150"/>
      <c r="U485" s="150"/>
      <c r="V485" s="150"/>
      <c r="W485" s="150"/>
      <c r="X485" s="150"/>
      <c r="Y485" s="150"/>
      <c r="Z485" s="150"/>
      <c r="AA485" s="150"/>
      <c r="AB485" s="150"/>
      <c r="AC485" s="150"/>
      <c r="AD485" s="150"/>
      <c r="AE485" s="150"/>
      <c r="AF485" s="150"/>
      <c r="AG485" s="150"/>
      <c r="AH485" s="150"/>
      <c r="AI485" s="150"/>
      <c r="AJ485" s="151"/>
      <c r="AK485" s="143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144"/>
    </row>
    <row r="486" spans="2:61" ht="20.100000000000001" customHeight="1" x14ac:dyDescent="0.45">
      <c r="B486" s="138"/>
      <c r="C486" s="31"/>
      <c r="D486" s="31"/>
      <c r="E486" s="31"/>
      <c r="F486" s="31"/>
      <c r="G486" s="139"/>
      <c r="H486" s="140"/>
      <c r="I486" s="31"/>
      <c r="J486" s="149" t="s">
        <v>229</v>
      </c>
      <c r="K486" s="150"/>
      <c r="L486" s="150"/>
      <c r="M486" s="150"/>
      <c r="N486" s="150"/>
      <c r="O486" s="150"/>
      <c r="P486" s="150"/>
      <c r="Q486" s="151"/>
      <c r="R486" s="150" t="s">
        <v>448</v>
      </c>
      <c r="S486" s="150"/>
      <c r="T486" s="150"/>
      <c r="U486" s="150"/>
      <c r="V486" s="150"/>
      <c r="W486" s="150"/>
      <c r="X486" s="150"/>
      <c r="Y486" s="150"/>
      <c r="Z486" s="150"/>
      <c r="AA486" s="150"/>
      <c r="AB486" s="150"/>
      <c r="AC486" s="150"/>
      <c r="AD486" s="150"/>
      <c r="AE486" s="150"/>
      <c r="AF486" s="150"/>
      <c r="AG486" s="150"/>
      <c r="AH486" s="150"/>
      <c r="AI486" s="150"/>
      <c r="AJ486" s="151"/>
      <c r="AK486" s="143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144"/>
    </row>
    <row r="487" spans="2:61" ht="20.100000000000001" customHeight="1" x14ac:dyDescent="0.45">
      <c r="B487" s="138"/>
      <c r="C487" s="31"/>
      <c r="D487" s="31"/>
      <c r="E487" s="31"/>
      <c r="F487" s="31"/>
      <c r="G487" s="139"/>
      <c r="H487" s="140"/>
      <c r="I487" s="31"/>
      <c r="J487" s="149" t="s">
        <v>287</v>
      </c>
      <c r="K487" s="150"/>
      <c r="L487" s="150"/>
      <c r="M487" s="150"/>
      <c r="N487" s="150"/>
      <c r="O487" s="150"/>
      <c r="P487" s="150"/>
      <c r="Q487" s="151"/>
      <c r="R487" s="154" t="s">
        <v>449</v>
      </c>
      <c r="S487" s="150"/>
      <c r="T487" s="150"/>
      <c r="U487" s="150"/>
      <c r="V487" s="150"/>
      <c r="W487" s="150"/>
      <c r="X487" s="150"/>
      <c r="Y487" s="150"/>
      <c r="Z487" s="150"/>
      <c r="AA487" s="150"/>
      <c r="AB487" s="150"/>
      <c r="AC487" s="150"/>
      <c r="AD487" s="150"/>
      <c r="AE487" s="150"/>
      <c r="AF487" s="150"/>
      <c r="AG487" s="150"/>
      <c r="AH487" s="150"/>
      <c r="AI487" s="150"/>
      <c r="AJ487" s="151"/>
      <c r="AK487" s="143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144"/>
    </row>
    <row r="488" spans="2:61" ht="20.100000000000001" customHeight="1" x14ac:dyDescent="0.45">
      <c r="B488" s="138"/>
      <c r="C488" s="31"/>
      <c r="D488" s="31"/>
      <c r="E488" s="31"/>
      <c r="F488" s="31"/>
      <c r="G488" s="139"/>
      <c r="H488" s="140"/>
      <c r="I488" s="31"/>
      <c r="J488" s="149" t="s">
        <v>288</v>
      </c>
      <c r="K488" s="150"/>
      <c r="L488" s="150"/>
      <c r="M488" s="150"/>
      <c r="N488" s="150"/>
      <c r="O488" s="150"/>
      <c r="P488" s="150"/>
      <c r="Q488" s="151"/>
      <c r="R488" s="154" t="s">
        <v>450</v>
      </c>
      <c r="S488" s="150"/>
      <c r="T488" s="150"/>
      <c r="U488" s="150"/>
      <c r="V488" s="150"/>
      <c r="W488" s="150"/>
      <c r="X488" s="150"/>
      <c r="Y488" s="150"/>
      <c r="Z488" s="150"/>
      <c r="AA488" s="150"/>
      <c r="AB488" s="150"/>
      <c r="AC488" s="150"/>
      <c r="AD488" s="150"/>
      <c r="AE488" s="150"/>
      <c r="AF488" s="150"/>
      <c r="AG488" s="150"/>
      <c r="AH488" s="150"/>
      <c r="AI488" s="150"/>
      <c r="AJ488" s="151"/>
      <c r="AK488" s="143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144"/>
    </row>
    <row r="489" spans="2:61" ht="20.100000000000001" customHeight="1" x14ac:dyDescent="0.45">
      <c r="B489" s="138"/>
      <c r="C489" s="31"/>
      <c r="D489" s="31"/>
      <c r="E489" s="31"/>
      <c r="F489" s="31"/>
      <c r="G489" s="139"/>
      <c r="H489" s="140"/>
      <c r="I489" s="31"/>
      <c r="J489" s="149" t="s">
        <v>289</v>
      </c>
      <c r="K489" s="150"/>
      <c r="L489" s="150"/>
      <c r="M489" s="150"/>
      <c r="N489" s="150"/>
      <c r="O489" s="150"/>
      <c r="P489" s="150"/>
      <c r="Q489" s="151"/>
      <c r="R489" s="154" t="s">
        <v>451</v>
      </c>
      <c r="S489" s="150"/>
      <c r="T489" s="150"/>
      <c r="U489" s="150"/>
      <c r="V489" s="150"/>
      <c r="W489" s="150"/>
      <c r="X489" s="150"/>
      <c r="Y489" s="150"/>
      <c r="Z489" s="150"/>
      <c r="AA489" s="150"/>
      <c r="AB489" s="150"/>
      <c r="AC489" s="150"/>
      <c r="AD489" s="150"/>
      <c r="AE489" s="150"/>
      <c r="AF489" s="150"/>
      <c r="AG489" s="150"/>
      <c r="AH489" s="150"/>
      <c r="AI489" s="150"/>
      <c r="AJ489" s="151"/>
      <c r="AK489" s="143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144"/>
    </row>
    <row r="490" spans="2:61" ht="20.100000000000001" customHeight="1" x14ac:dyDescent="0.45">
      <c r="B490" s="138"/>
      <c r="C490" s="31"/>
      <c r="D490" s="31"/>
      <c r="E490" s="31"/>
      <c r="F490" s="31"/>
      <c r="G490" s="139"/>
      <c r="H490" s="140"/>
      <c r="I490" s="31"/>
      <c r="J490" s="149" t="s">
        <v>290</v>
      </c>
      <c r="K490" s="150"/>
      <c r="L490" s="150"/>
      <c r="M490" s="150"/>
      <c r="N490" s="150"/>
      <c r="O490" s="150"/>
      <c r="P490" s="150"/>
      <c r="Q490" s="151"/>
      <c r="R490" s="154" t="s">
        <v>452</v>
      </c>
      <c r="S490" s="150"/>
      <c r="T490" s="150"/>
      <c r="U490" s="150"/>
      <c r="V490" s="150"/>
      <c r="W490" s="150"/>
      <c r="X490" s="150"/>
      <c r="Y490" s="150"/>
      <c r="Z490" s="150"/>
      <c r="AA490" s="150"/>
      <c r="AB490" s="150"/>
      <c r="AC490" s="150"/>
      <c r="AD490" s="150"/>
      <c r="AE490" s="150"/>
      <c r="AF490" s="150"/>
      <c r="AG490" s="150"/>
      <c r="AH490" s="150"/>
      <c r="AI490" s="150"/>
      <c r="AJ490" s="151"/>
      <c r="AK490" s="143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144"/>
    </row>
    <row r="491" spans="2:61" ht="20.100000000000001" customHeight="1" x14ac:dyDescent="0.45">
      <c r="B491" s="138"/>
      <c r="C491" s="31"/>
      <c r="D491" s="31"/>
      <c r="E491" s="31"/>
      <c r="F491" s="31"/>
      <c r="G491" s="139"/>
      <c r="H491" s="140"/>
      <c r="I491" s="31"/>
      <c r="J491" s="149" t="s">
        <v>291</v>
      </c>
      <c r="K491" s="150"/>
      <c r="L491" s="150"/>
      <c r="M491" s="150"/>
      <c r="N491" s="150"/>
      <c r="O491" s="150"/>
      <c r="P491" s="150"/>
      <c r="Q491" s="151"/>
      <c r="R491" s="154" t="s">
        <v>453</v>
      </c>
      <c r="S491" s="150"/>
      <c r="T491" s="150"/>
      <c r="U491" s="150"/>
      <c r="V491" s="150"/>
      <c r="W491" s="150"/>
      <c r="X491" s="150"/>
      <c r="Y491" s="150"/>
      <c r="Z491" s="150"/>
      <c r="AA491" s="150"/>
      <c r="AB491" s="150"/>
      <c r="AC491" s="150"/>
      <c r="AD491" s="150"/>
      <c r="AE491" s="150"/>
      <c r="AF491" s="150"/>
      <c r="AG491" s="150"/>
      <c r="AH491" s="150"/>
      <c r="AI491" s="150"/>
      <c r="AJ491" s="151"/>
      <c r="AK491" s="143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144"/>
    </row>
    <row r="492" spans="2:61" ht="20.100000000000001" customHeight="1" x14ac:dyDescent="0.45">
      <c r="B492" s="138"/>
      <c r="C492" s="31"/>
      <c r="D492" s="31"/>
      <c r="E492" s="31"/>
      <c r="F492" s="31"/>
      <c r="G492" s="139"/>
      <c r="H492" s="140"/>
      <c r="I492" s="31"/>
      <c r="J492" s="149" t="s">
        <v>230</v>
      </c>
      <c r="K492" s="150"/>
      <c r="L492" s="150"/>
      <c r="M492" s="150"/>
      <c r="N492" s="150"/>
      <c r="O492" s="150"/>
      <c r="P492" s="150"/>
      <c r="Q492" s="151"/>
      <c r="R492" s="154" t="s">
        <v>454</v>
      </c>
      <c r="S492" s="150"/>
      <c r="T492" s="150"/>
      <c r="U492" s="150"/>
      <c r="V492" s="150"/>
      <c r="W492" s="150"/>
      <c r="X492" s="150"/>
      <c r="Y492" s="150"/>
      <c r="Z492" s="150"/>
      <c r="AA492" s="150"/>
      <c r="AB492" s="150"/>
      <c r="AC492" s="150"/>
      <c r="AD492" s="150"/>
      <c r="AE492" s="150"/>
      <c r="AF492" s="150"/>
      <c r="AG492" s="150"/>
      <c r="AH492" s="150"/>
      <c r="AI492" s="150"/>
      <c r="AJ492" s="151"/>
      <c r="AK492" s="143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144"/>
    </row>
    <row r="493" spans="2:61" ht="20.100000000000001" customHeight="1" x14ac:dyDescent="0.45">
      <c r="B493" s="138"/>
      <c r="C493" s="31"/>
      <c r="D493" s="31"/>
      <c r="E493" s="31"/>
      <c r="F493" s="31"/>
      <c r="G493" s="139"/>
      <c r="H493" s="140"/>
      <c r="I493" s="31"/>
      <c r="J493" s="149" t="s">
        <v>231</v>
      </c>
      <c r="K493" s="150"/>
      <c r="L493" s="150"/>
      <c r="M493" s="150"/>
      <c r="N493" s="150"/>
      <c r="O493" s="150"/>
      <c r="P493" s="150"/>
      <c r="Q493" s="151"/>
      <c r="R493" s="154" t="s">
        <v>455</v>
      </c>
      <c r="S493" s="150"/>
      <c r="T493" s="150"/>
      <c r="U493" s="150"/>
      <c r="V493" s="150"/>
      <c r="W493" s="150"/>
      <c r="X493" s="150"/>
      <c r="Y493" s="150"/>
      <c r="Z493" s="150"/>
      <c r="AA493" s="150"/>
      <c r="AB493" s="150"/>
      <c r="AC493" s="150"/>
      <c r="AD493" s="150"/>
      <c r="AE493" s="150"/>
      <c r="AF493" s="150"/>
      <c r="AG493" s="150"/>
      <c r="AH493" s="150"/>
      <c r="AI493" s="150"/>
      <c r="AJ493" s="151"/>
      <c r="AK493" s="143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144"/>
    </row>
    <row r="494" spans="2:61" ht="20.100000000000001" customHeight="1" x14ac:dyDescent="0.45">
      <c r="B494" s="138"/>
      <c r="C494" s="31"/>
      <c r="D494" s="31"/>
      <c r="E494" s="31"/>
      <c r="F494" s="31"/>
      <c r="G494" s="139"/>
      <c r="H494" s="140"/>
      <c r="I494" s="31"/>
      <c r="J494" s="149" t="s">
        <v>232</v>
      </c>
      <c r="K494" s="150"/>
      <c r="L494" s="150"/>
      <c r="M494" s="150"/>
      <c r="N494" s="150"/>
      <c r="O494" s="150"/>
      <c r="P494" s="150"/>
      <c r="Q494" s="151"/>
      <c r="R494" s="154" t="s">
        <v>456</v>
      </c>
      <c r="S494" s="150"/>
      <c r="T494" s="150"/>
      <c r="U494" s="150"/>
      <c r="V494" s="150"/>
      <c r="W494" s="150"/>
      <c r="X494" s="150"/>
      <c r="Y494" s="150"/>
      <c r="Z494" s="150"/>
      <c r="AA494" s="150"/>
      <c r="AB494" s="150"/>
      <c r="AC494" s="150"/>
      <c r="AD494" s="150"/>
      <c r="AE494" s="150"/>
      <c r="AF494" s="150"/>
      <c r="AG494" s="150"/>
      <c r="AH494" s="150"/>
      <c r="AI494" s="150"/>
      <c r="AJ494" s="151"/>
      <c r="AK494" s="143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144"/>
    </row>
    <row r="495" spans="2:61" ht="20.100000000000001" customHeight="1" x14ac:dyDescent="0.45">
      <c r="B495" s="138"/>
      <c r="C495" s="31"/>
      <c r="D495" s="31"/>
      <c r="E495" s="31"/>
      <c r="F495" s="31"/>
      <c r="G495" s="139"/>
      <c r="H495" s="140"/>
      <c r="I495" s="31"/>
      <c r="J495" s="149" t="s">
        <v>233</v>
      </c>
      <c r="K495" s="150"/>
      <c r="L495" s="150"/>
      <c r="M495" s="150"/>
      <c r="N495" s="150"/>
      <c r="O495" s="150"/>
      <c r="P495" s="150"/>
      <c r="Q495" s="151"/>
      <c r="R495" s="154" t="s">
        <v>457</v>
      </c>
      <c r="S495" s="150"/>
      <c r="T495" s="150"/>
      <c r="U495" s="150"/>
      <c r="V495" s="150"/>
      <c r="W495" s="150"/>
      <c r="X495" s="150"/>
      <c r="Y495" s="150"/>
      <c r="Z495" s="150"/>
      <c r="AA495" s="150"/>
      <c r="AB495" s="150"/>
      <c r="AC495" s="150"/>
      <c r="AD495" s="150"/>
      <c r="AE495" s="150"/>
      <c r="AF495" s="150"/>
      <c r="AG495" s="150"/>
      <c r="AH495" s="150"/>
      <c r="AI495" s="150"/>
      <c r="AJ495" s="151"/>
      <c r="AK495" s="143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144"/>
    </row>
    <row r="496" spans="2:61" ht="20.100000000000001" customHeight="1" x14ac:dyDescent="0.45">
      <c r="B496" s="138"/>
      <c r="C496" s="31"/>
      <c r="D496" s="31"/>
      <c r="E496" s="31"/>
      <c r="F496" s="31"/>
      <c r="G496" s="139"/>
      <c r="H496" s="140"/>
      <c r="I496" s="31"/>
      <c r="J496" s="149" t="s">
        <v>234</v>
      </c>
      <c r="K496" s="150"/>
      <c r="L496" s="150"/>
      <c r="M496" s="150"/>
      <c r="N496" s="150"/>
      <c r="O496" s="150"/>
      <c r="P496" s="150"/>
      <c r="Q496" s="151"/>
      <c r="R496" s="154" t="s">
        <v>458</v>
      </c>
      <c r="S496" s="150"/>
      <c r="T496" s="150"/>
      <c r="U496" s="150"/>
      <c r="V496" s="150"/>
      <c r="W496" s="150"/>
      <c r="X496" s="150"/>
      <c r="Y496" s="150"/>
      <c r="Z496" s="150"/>
      <c r="AA496" s="150"/>
      <c r="AB496" s="150"/>
      <c r="AC496" s="150"/>
      <c r="AD496" s="150"/>
      <c r="AE496" s="150"/>
      <c r="AF496" s="150"/>
      <c r="AG496" s="150"/>
      <c r="AH496" s="150"/>
      <c r="AI496" s="150"/>
      <c r="AJ496" s="151"/>
      <c r="AK496" s="143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144"/>
    </row>
    <row r="497" spans="2:61" ht="20.100000000000001" customHeight="1" x14ac:dyDescent="0.45">
      <c r="B497" s="138"/>
      <c r="C497" s="31"/>
      <c r="D497" s="31"/>
      <c r="E497" s="31"/>
      <c r="F497" s="31"/>
      <c r="G497" s="139"/>
      <c r="H497" s="140"/>
      <c r="I497" s="31"/>
      <c r="J497" s="149" t="s">
        <v>235</v>
      </c>
      <c r="K497" s="150"/>
      <c r="L497" s="150"/>
      <c r="M497" s="150"/>
      <c r="N497" s="150"/>
      <c r="O497" s="150"/>
      <c r="P497" s="150"/>
      <c r="Q497" s="151"/>
      <c r="R497" s="154" t="s">
        <v>459</v>
      </c>
      <c r="S497" s="150"/>
      <c r="T497" s="150"/>
      <c r="U497" s="150"/>
      <c r="V497" s="150"/>
      <c r="W497" s="150"/>
      <c r="X497" s="150"/>
      <c r="Y497" s="150"/>
      <c r="Z497" s="150"/>
      <c r="AA497" s="150"/>
      <c r="AB497" s="150"/>
      <c r="AC497" s="150"/>
      <c r="AD497" s="150"/>
      <c r="AE497" s="150"/>
      <c r="AF497" s="150"/>
      <c r="AG497" s="150"/>
      <c r="AH497" s="150"/>
      <c r="AI497" s="150"/>
      <c r="AJ497" s="151"/>
      <c r="AK497" s="143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144"/>
    </row>
    <row r="498" spans="2:61" ht="20.100000000000001" customHeight="1" x14ac:dyDescent="0.45">
      <c r="B498" s="138"/>
      <c r="C498" s="31"/>
      <c r="D498" s="31"/>
      <c r="E498" s="31"/>
      <c r="F498" s="31"/>
      <c r="G498" s="139"/>
      <c r="H498" s="140"/>
      <c r="I498" s="31"/>
      <c r="J498" s="149" t="s">
        <v>236</v>
      </c>
      <c r="K498" s="150"/>
      <c r="L498" s="150"/>
      <c r="M498" s="150"/>
      <c r="N498" s="150"/>
      <c r="O498" s="150"/>
      <c r="P498" s="150"/>
      <c r="Q498" s="151"/>
      <c r="R498" s="154" t="s">
        <v>460</v>
      </c>
      <c r="S498" s="150"/>
      <c r="T498" s="150"/>
      <c r="U498" s="150"/>
      <c r="V498" s="150"/>
      <c r="W498" s="150"/>
      <c r="X498" s="150"/>
      <c r="Y498" s="150"/>
      <c r="Z498" s="150"/>
      <c r="AA498" s="150"/>
      <c r="AB498" s="150"/>
      <c r="AC498" s="150"/>
      <c r="AD498" s="150"/>
      <c r="AE498" s="150"/>
      <c r="AF498" s="150"/>
      <c r="AG498" s="150"/>
      <c r="AH498" s="150"/>
      <c r="AI498" s="150"/>
      <c r="AJ498" s="151"/>
      <c r="AK498" s="143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144"/>
    </row>
    <row r="499" spans="2:61" ht="20.100000000000001" customHeight="1" x14ac:dyDescent="0.45">
      <c r="B499" s="138"/>
      <c r="C499" s="31"/>
      <c r="D499" s="31"/>
      <c r="E499" s="31"/>
      <c r="F499" s="31"/>
      <c r="G499" s="139"/>
      <c r="H499" s="140"/>
      <c r="I499" s="31"/>
      <c r="J499" s="149" t="s">
        <v>237</v>
      </c>
      <c r="K499" s="150"/>
      <c r="L499" s="150"/>
      <c r="M499" s="150"/>
      <c r="N499" s="150"/>
      <c r="O499" s="150"/>
      <c r="P499" s="150"/>
      <c r="Q499" s="151"/>
      <c r="R499" s="154" t="s">
        <v>461</v>
      </c>
      <c r="S499" s="150"/>
      <c r="T499" s="150"/>
      <c r="U499" s="150"/>
      <c r="V499" s="150"/>
      <c r="W499" s="150"/>
      <c r="X499" s="150"/>
      <c r="Y499" s="150"/>
      <c r="Z499" s="150"/>
      <c r="AA499" s="150"/>
      <c r="AB499" s="150"/>
      <c r="AC499" s="150"/>
      <c r="AD499" s="150"/>
      <c r="AE499" s="150"/>
      <c r="AF499" s="150"/>
      <c r="AG499" s="150"/>
      <c r="AH499" s="150"/>
      <c r="AI499" s="150"/>
      <c r="AJ499" s="151"/>
      <c r="AK499" s="143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144"/>
    </row>
    <row r="500" spans="2:61" ht="20.100000000000001" customHeight="1" x14ac:dyDescent="0.45">
      <c r="B500" s="138"/>
      <c r="C500" s="31"/>
      <c r="D500" s="31"/>
      <c r="E500" s="31"/>
      <c r="F500" s="31"/>
      <c r="G500" s="139"/>
      <c r="H500" s="140"/>
      <c r="I500" s="31"/>
      <c r="J500" s="149" t="s">
        <v>238</v>
      </c>
      <c r="K500" s="150"/>
      <c r="L500" s="150"/>
      <c r="M500" s="150"/>
      <c r="N500" s="150"/>
      <c r="O500" s="150"/>
      <c r="P500" s="150"/>
      <c r="Q500" s="151"/>
      <c r="R500" s="154" t="s">
        <v>462</v>
      </c>
      <c r="S500" s="150"/>
      <c r="T500" s="150"/>
      <c r="U500" s="150"/>
      <c r="V500" s="150"/>
      <c r="W500" s="150"/>
      <c r="X500" s="150"/>
      <c r="Y500" s="150"/>
      <c r="Z500" s="150"/>
      <c r="AA500" s="150"/>
      <c r="AB500" s="150"/>
      <c r="AC500" s="150"/>
      <c r="AD500" s="150"/>
      <c r="AE500" s="150"/>
      <c r="AF500" s="150"/>
      <c r="AG500" s="150"/>
      <c r="AH500" s="150"/>
      <c r="AI500" s="150"/>
      <c r="AJ500" s="151"/>
      <c r="AK500" s="143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144"/>
    </row>
    <row r="501" spans="2:61" ht="20.100000000000001" customHeight="1" x14ac:dyDescent="0.45">
      <c r="B501" s="138"/>
      <c r="C501" s="31"/>
      <c r="D501" s="31"/>
      <c r="E501" s="31"/>
      <c r="F501" s="31"/>
      <c r="G501" s="139"/>
      <c r="H501" s="140"/>
      <c r="I501" s="31"/>
      <c r="J501" s="149" t="s">
        <v>239</v>
      </c>
      <c r="K501" s="150"/>
      <c r="L501" s="150"/>
      <c r="M501" s="150"/>
      <c r="N501" s="150"/>
      <c r="O501" s="150"/>
      <c r="P501" s="150"/>
      <c r="Q501" s="151"/>
      <c r="R501" s="154" t="s">
        <v>463</v>
      </c>
      <c r="S501" s="150"/>
      <c r="T501" s="150"/>
      <c r="U501" s="150"/>
      <c r="V501" s="150"/>
      <c r="W501" s="150"/>
      <c r="X501" s="150"/>
      <c r="Y501" s="150"/>
      <c r="Z501" s="150"/>
      <c r="AA501" s="150"/>
      <c r="AB501" s="150"/>
      <c r="AC501" s="150"/>
      <c r="AD501" s="150"/>
      <c r="AE501" s="150"/>
      <c r="AF501" s="150"/>
      <c r="AG501" s="150"/>
      <c r="AH501" s="150"/>
      <c r="AI501" s="150"/>
      <c r="AJ501" s="151"/>
      <c r="AK501" s="143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144"/>
    </row>
    <row r="502" spans="2:61" ht="20.100000000000001" customHeight="1" x14ac:dyDescent="0.45">
      <c r="B502" s="138"/>
      <c r="C502" s="31"/>
      <c r="D502" s="31"/>
      <c r="E502" s="31"/>
      <c r="F502" s="31"/>
      <c r="G502" s="139"/>
      <c r="H502" s="140"/>
      <c r="I502" s="31"/>
      <c r="J502" s="149" t="s">
        <v>240</v>
      </c>
      <c r="K502" s="150"/>
      <c r="L502" s="150"/>
      <c r="M502" s="150"/>
      <c r="N502" s="150"/>
      <c r="O502" s="150"/>
      <c r="P502" s="150"/>
      <c r="Q502" s="151"/>
      <c r="R502" s="154" t="s">
        <v>464</v>
      </c>
      <c r="S502" s="150"/>
      <c r="T502" s="150"/>
      <c r="U502" s="150"/>
      <c r="V502" s="150"/>
      <c r="W502" s="150"/>
      <c r="X502" s="150"/>
      <c r="Y502" s="150"/>
      <c r="Z502" s="150"/>
      <c r="AA502" s="150"/>
      <c r="AB502" s="150"/>
      <c r="AC502" s="150"/>
      <c r="AD502" s="150"/>
      <c r="AE502" s="150"/>
      <c r="AF502" s="150"/>
      <c r="AG502" s="150"/>
      <c r="AH502" s="150"/>
      <c r="AI502" s="150"/>
      <c r="AJ502" s="151"/>
      <c r="AK502" s="143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144"/>
    </row>
    <row r="503" spans="2:61" ht="20.100000000000001" customHeight="1" x14ac:dyDescent="0.45">
      <c r="B503" s="138"/>
      <c r="C503" s="31"/>
      <c r="D503" s="31"/>
      <c r="E503" s="31"/>
      <c r="F503" s="31"/>
      <c r="G503" s="139"/>
      <c r="H503" s="140"/>
      <c r="I503" s="31"/>
      <c r="J503" s="149" t="s">
        <v>241</v>
      </c>
      <c r="K503" s="150"/>
      <c r="L503" s="150"/>
      <c r="M503" s="150"/>
      <c r="N503" s="150"/>
      <c r="O503" s="150"/>
      <c r="P503" s="150"/>
      <c r="Q503" s="151"/>
      <c r="R503" s="154" t="s">
        <v>465</v>
      </c>
      <c r="S503" s="150"/>
      <c r="T503" s="150"/>
      <c r="U503" s="150"/>
      <c r="V503" s="150"/>
      <c r="W503" s="150"/>
      <c r="X503" s="150"/>
      <c r="Y503" s="150"/>
      <c r="Z503" s="150"/>
      <c r="AA503" s="150"/>
      <c r="AB503" s="150"/>
      <c r="AC503" s="150"/>
      <c r="AD503" s="150"/>
      <c r="AE503" s="150"/>
      <c r="AF503" s="150"/>
      <c r="AG503" s="150"/>
      <c r="AH503" s="150"/>
      <c r="AI503" s="150"/>
      <c r="AJ503" s="151"/>
      <c r="AK503" s="143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144"/>
    </row>
    <row r="504" spans="2:61" ht="20.100000000000001" customHeight="1" x14ac:dyDescent="0.45">
      <c r="B504" s="138"/>
      <c r="C504" s="31"/>
      <c r="D504" s="31"/>
      <c r="E504" s="31"/>
      <c r="F504" s="31"/>
      <c r="G504" s="139"/>
      <c r="H504" s="140"/>
      <c r="I504" s="31"/>
      <c r="J504" s="149" t="s">
        <v>242</v>
      </c>
      <c r="K504" s="150"/>
      <c r="L504" s="150"/>
      <c r="M504" s="150"/>
      <c r="N504" s="150"/>
      <c r="O504" s="150"/>
      <c r="P504" s="150"/>
      <c r="Q504" s="151"/>
      <c r="R504" s="154" t="s">
        <v>466</v>
      </c>
      <c r="S504" s="150"/>
      <c r="T504" s="150"/>
      <c r="U504" s="150"/>
      <c r="V504" s="150"/>
      <c r="W504" s="150"/>
      <c r="X504" s="150"/>
      <c r="Y504" s="150"/>
      <c r="Z504" s="150"/>
      <c r="AA504" s="150"/>
      <c r="AB504" s="150"/>
      <c r="AC504" s="150"/>
      <c r="AD504" s="150"/>
      <c r="AE504" s="150"/>
      <c r="AF504" s="150"/>
      <c r="AG504" s="150"/>
      <c r="AH504" s="150"/>
      <c r="AI504" s="150"/>
      <c r="AJ504" s="151"/>
      <c r="AK504" s="143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144"/>
    </row>
    <row r="505" spans="2:61" ht="20.100000000000001" customHeight="1" x14ac:dyDescent="0.45">
      <c r="B505" s="138"/>
      <c r="C505" s="31"/>
      <c r="D505" s="31"/>
      <c r="E505" s="31"/>
      <c r="F505" s="31"/>
      <c r="G505" s="139"/>
      <c r="H505" s="140"/>
      <c r="I505" s="31"/>
      <c r="J505" s="149" t="s">
        <v>243</v>
      </c>
      <c r="K505" s="150"/>
      <c r="L505" s="150"/>
      <c r="M505" s="150"/>
      <c r="N505" s="150"/>
      <c r="O505" s="150"/>
      <c r="P505" s="150"/>
      <c r="Q505" s="151"/>
      <c r="R505" s="154" t="s">
        <v>467</v>
      </c>
      <c r="S505" s="150"/>
      <c r="T505" s="150"/>
      <c r="U505" s="150"/>
      <c r="V505" s="150"/>
      <c r="W505" s="150"/>
      <c r="X505" s="150"/>
      <c r="Y505" s="150"/>
      <c r="Z505" s="150"/>
      <c r="AA505" s="150"/>
      <c r="AB505" s="150"/>
      <c r="AC505" s="150"/>
      <c r="AD505" s="150"/>
      <c r="AE505" s="150"/>
      <c r="AF505" s="150"/>
      <c r="AG505" s="150"/>
      <c r="AH505" s="150"/>
      <c r="AI505" s="150"/>
      <c r="AJ505" s="151"/>
      <c r="AK505" s="143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144"/>
    </row>
    <row r="506" spans="2:61" ht="20.100000000000001" customHeight="1" x14ac:dyDescent="0.45">
      <c r="B506" s="138"/>
      <c r="C506" s="31"/>
      <c r="D506" s="31"/>
      <c r="E506" s="31"/>
      <c r="F506" s="31"/>
      <c r="G506" s="139"/>
      <c r="H506" s="140"/>
      <c r="I506" s="31"/>
      <c r="J506" s="149" t="s">
        <v>244</v>
      </c>
      <c r="K506" s="150"/>
      <c r="L506" s="150"/>
      <c r="M506" s="150"/>
      <c r="N506" s="150"/>
      <c r="O506" s="150"/>
      <c r="P506" s="150"/>
      <c r="Q506" s="151"/>
      <c r="R506" s="154" t="s">
        <v>468</v>
      </c>
      <c r="S506" s="150"/>
      <c r="T506" s="150"/>
      <c r="U506" s="150"/>
      <c r="V506" s="150"/>
      <c r="W506" s="150"/>
      <c r="X506" s="150"/>
      <c r="Y506" s="150"/>
      <c r="Z506" s="150"/>
      <c r="AA506" s="150"/>
      <c r="AB506" s="150"/>
      <c r="AC506" s="150"/>
      <c r="AD506" s="150"/>
      <c r="AE506" s="150"/>
      <c r="AF506" s="150"/>
      <c r="AG506" s="150"/>
      <c r="AH506" s="150"/>
      <c r="AI506" s="150"/>
      <c r="AJ506" s="151"/>
      <c r="AK506" s="143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144"/>
    </row>
    <row r="507" spans="2:61" ht="20.100000000000001" customHeight="1" x14ac:dyDescent="0.45">
      <c r="B507" s="138"/>
      <c r="C507" s="31"/>
      <c r="D507" s="31"/>
      <c r="E507" s="31"/>
      <c r="F507" s="31"/>
      <c r="G507" s="139"/>
      <c r="H507" s="140"/>
      <c r="I507" s="31"/>
      <c r="J507" s="149" t="s">
        <v>168</v>
      </c>
      <c r="K507" s="150"/>
      <c r="L507" s="150"/>
      <c r="M507" s="150"/>
      <c r="N507" s="150"/>
      <c r="O507" s="150"/>
      <c r="P507" s="150"/>
      <c r="Q507" s="151"/>
      <c r="R507" s="154" t="s">
        <v>469</v>
      </c>
      <c r="S507" s="150"/>
      <c r="T507" s="150"/>
      <c r="U507" s="150"/>
      <c r="V507" s="150"/>
      <c r="W507" s="150"/>
      <c r="X507" s="150"/>
      <c r="Y507" s="150"/>
      <c r="Z507" s="150"/>
      <c r="AA507" s="150"/>
      <c r="AB507" s="150"/>
      <c r="AC507" s="150"/>
      <c r="AD507" s="150"/>
      <c r="AE507" s="150"/>
      <c r="AF507" s="150"/>
      <c r="AG507" s="150"/>
      <c r="AH507" s="150"/>
      <c r="AI507" s="150"/>
      <c r="AJ507" s="151"/>
      <c r="AK507" s="143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144"/>
    </row>
    <row r="508" spans="2:61" ht="20.100000000000001" customHeight="1" x14ac:dyDescent="0.45">
      <c r="B508" s="138"/>
      <c r="C508" s="31"/>
      <c r="D508" s="31"/>
      <c r="E508" s="31"/>
      <c r="F508" s="31"/>
      <c r="G508" s="139"/>
      <c r="H508" s="140"/>
      <c r="I508" s="31"/>
      <c r="J508" s="149" t="s">
        <v>245</v>
      </c>
      <c r="K508" s="150"/>
      <c r="L508" s="150"/>
      <c r="M508" s="150"/>
      <c r="N508" s="150"/>
      <c r="O508" s="150"/>
      <c r="P508" s="150"/>
      <c r="Q508" s="151"/>
      <c r="R508" s="154" t="s">
        <v>470</v>
      </c>
      <c r="S508" s="150"/>
      <c r="T508" s="150"/>
      <c r="U508" s="150"/>
      <c r="V508" s="150"/>
      <c r="W508" s="150"/>
      <c r="X508" s="150"/>
      <c r="Y508" s="150"/>
      <c r="Z508" s="150"/>
      <c r="AA508" s="150"/>
      <c r="AB508" s="150"/>
      <c r="AC508" s="150"/>
      <c r="AD508" s="150"/>
      <c r="AE508" s="150"/>
      <c r="AF508" s="150"/>
      <c r="AG508" s="150"/>
      <c r="AH508" s="150"/>
      <c r="AI508" s="150"/>
      <c r="AJ508" s="151"/>
      <c r="AK508" s="143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144"/>
    </row>
    <row r="509" spans="2:61" ht="20.100000000000001" customHeight="1" x14ac:dyDescent="0.45">
      <c r="B509" s="138"/>
      <c r="C509" s="31"/>
      <c r="D509" s="31"/>
      <c r="E509" s="31"/>
      <c r="F509" s="31"/>
      <c r="G509" s="139"/>
      <c r="H509" s="140"/>
      <c r="I509" s="31"/>
      <c r="J509" s="149" t="s">
        <v>246</v>
      </c>
      <c r="K509" s="150"/>
      <c r="L509" s="150"/>
      <c r="M509" s="150"/>
      <c r="N509" s="150"/>
      <c r="O509" s="150"/>
      <c r="P509" s="150"/>
      <c r="Q509" s="151"/>
      <c r="R509" s="154" t="s">
        <v>471</v>
      </c>
      <c r="S509" s="150"/>
      <c r="T509" s="150"/>
      <c r="U509" s="150"/>
      <c r="V509" s="150"/>
      <c r="W509" s="150"/>
      <c r="X509" s="150"/>
      <c r="Y509" s="150"/>
      <c r="Z509" s="150"/>
      <c r="AA509" s="150"/>
      <c r="AB509" s="150"/>
      <c r="AC509" s="150"/>
      <c r="AD509" s="150"/>
      <c r="AE509" s="150"/>
      <c r="AF509" s="150"/>
      <c r="AG509" s="150"/>
      <c r="AH509" s="150"/>
      <c r="AI509" s="150"/>
      <c r="AJ509" s="151"/>
      <c r="AK509" s="143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144"/>
    </row>
    <row r="510" spans="2:61" ht="20.100000000000001" customHeight="1" x14ac:dyDescent="0.45">
      <c r="B510" s="138"/>
      <c r="C510" s="31"/>
      <c r="D510" s="31"/>
      <c r="E510" s="31"/>
      <c r="F510" s="31"/>
      <c r="G510" s="139"/>
      <c r="H510" s="140"/>
      <c r="I510" s="31"/>
      <c r="J510" s="149" t="s">
        <v>248</v>
      </c>
      <c r="K510" s="150"/>
      <c r="L510" s="150"/>
      <c r="M510" s="150"/>
      <c r="N510" s="150"/>
      <c r="O510" s="150"/>
      <c r="P510" s="150"/>
      <c r="Q510" s="151"/>
      <c r="R510" s="154" t="s">
        <v>472</v>
      </c>
      <c r="S510" s="150"/>
      <c r="T510" s="150"/>
      <c r="U510" s="150"/>
      <c r="V510" s="150"/>
      <c r="W510" s="150"/>
      <c r="X510" s="150"/>
      <c r="Y510" s="150"/>
      <c r="Z510" s="150"/>
      <c r="AA510" s="150"/>
      <c r="AB510" s="150"/>
      <c r="AC510" s="150"/>
      <c r="AD510" s="150"/>
      <c r="AE510" s="150"/>
      <c r="AF510" s="150"/>
      <c r="AG510" s="150"/>
      <c r="AH510" s="150"/>
      <c r="AI510" s="150"/>
      <c r="AJ510" s="151"/>
      <c r="AK510" s="143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144"/>
    </row>
    <row r="511" spans="2:61" ht="20.100000000000001" customHeight="1" x14ac:dyDescent="0.45">
      <c r="B511" s="138"/>
      <c r="C511" s="31"/>
      <c r="D511" s="31"/>
      <c r="E511" s="31"/>
      <c r="F511" s="31"/>
      <c r="G511" s="139"/>
      <c r="H511" s="140"/>
      <c r="I511" s="31"/>
      <c r="J511" s="149" t="s">
        <v>247</v>
      </c>
      <c r="K511" s="150"/>
      <c r="L511" s="150"/>
      <c r="M511" s="150"/>
      <c r="N511" s="150"/>
      <c r="O511" s="150"/>
      <c r="P511" s="150"/>
      <c r="Q511" s="151"/>
      <c r="R511" s="154" t="s">
        <v>473</v>
      </c>
      <c r="S511" s="150"/>
      <c r="T511" s="150"/>
      <c r="U511" s="150"/>
      <c r="V511" s="150"/>
      <c r="W511" s="150"/>
      <c r="X511" s="150"/>
      <c r="Y511" s="150"/>
      <c r="Z511" s="150"/>
      <c r="AA511" s="150"/>
      <c r="AB511" s="150"/>
      <c r="AC511" s="150"/>
      <c r="AD511" s="150"/>
      <c r="AE511" s="150"/>
      <c r="AF511" s="150"/>
      <c r="AG511" s="150"/>
      <c r="AH511" s="150"/>
      <c r="AI511" s="150"/>
      <c r="AJ511" s="151"/>
      <c r="AK511" s="143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144"/>
    </row>
    <row r="512" spans="2:61" ht="20.100000000000001" customHeight="1" x14ac:dyDescent="0.45">
      <c r="B512" s="138"/>
      <c r="C512" s="31"/>
      <c r="D512" s="31"/>
      <c r="E512" s="31"/>
      <c r="F512" s="31"/>
      <c r="G512" s="139"/>
      <c r="H512" s="140"/>
      <c r="I512" s="31"/>
      <c r="J512" s="149" t="s">
        <v>249</v>
      </c>
      <c r="K512" s="150"/>
      <c r="L512" s="150"/>
      <c r="M512" s="150"/>
      <c r="N512" s="150"/>
      <c r="O512" s="150"/>
      <c r="P512" s="150"/>
      <c r="Q512" s="151"/>
      <c r="R512" s="154" t="s">
        <v>474</v>
      </c>
      <c r="S512" s="150"/>
      <c r="T512" s="150"/>
      <c r="U512" s="150"/>
      <c r="V512" s="150"/>
      <c r="W512" s="150"/>
      <c r="X512" s="150"/>
      <c r="Y512" s="150"/>
      <c r="Z512" s="150"/>
      <c r="AA512" s="150"/>
      <c r="AB512" s="150"/>
      <c r="AC512" s="150"/>
      <c r="AD512" s="150"/>
      <c r="AE512" s="150"/>
      <c r="AF512" s="150"/>
      <c r="AG512" s="150"/>
      <c r="AH512" s="150"/>
      <c r="AI512" s="150"/>
      <c r="AJ512" s="151"/>
      <c r="AK512" s="143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144"/>
    </row>
    <row r="513" spans="2:61" ht="20.100000000000001" customHeight="1" x14ac:dyDescent="0.45">
      <c r="B513" s="138"/>
      <c r="C513" s="31"/>
      <c r="D513" s="31"/>
      <c r="E513" s="31"/>
      <c r="F513" s="31"/>
      <c r="G513" s="139"/>
      <c r="H513" s="140"/>
      <c r="I513" s="31"/>
      <c r="J513" s="149" t="s">
        <v>250</v>
      </c>
      <c r="K513" s="150"/>
      <c r="L513" s="150"/>
      <c r="M513" s="150"/>
      <c r="N513" s="150"/>
      <c r="O513" s="150"/>
      <c r="P513" s="150"/>
      <c r="Q513" s="151"/>
      <c r="R513" s="154" t="s">
        <v>475</v>
      </c>
      <c r="S513" s="150"/>
      <c r="T513" s="150"/>
      <c r="U513" s="150"/>
      <c r="V513" s="150"/>
      <c r="W513" s="150"/>
      <c r="X513" s="150"/>
      <c r="Y513" s="150"/>
      <c r="Z513" s="150"/>
      <c r="AA513" s="150"/>
      <c r="AB513" s="150"/>
      <c r="AC513" s="150"/>
      <c r="AD513" s="150"/>
      <c r="AE513" s="150"/>
      <c r="AF513" s="150"/>
      <c r="AG513" s="150"/>
      <c r="AH513" s="150"/>
      <c r="AI513" s="150"/>
      <c r="AJ513" s="151"/>
      <c r="AK513" s="143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144"/>
    </row>
    <row r="514" spans="2:61" ht="20.100000000000001" customHeight="1" x14ac:dyDescent="0.45">
      <c r="B514" s="138"/>
      <c r="C514" s="31"/>
      <c r="D514" s="31"/>
      <c r="E514" s="31"/>
      <c r="F514" s="31"/>
      <c r="G514" s="139"/>
      <c r="H514" s="140"/>
      <c r="I514" s="31"/>
      <c r="J514" s="149" t="s">
        <v>251</v>
      </c>
      <c r="K514" s="150"/>
      <c r="L514" s="150"/>
      <c r="M514" s="150"/>
      <c r="N514" s="150"/>
      <c r="O514" s="150"/>
      <c r="P514" s="150"/>
      <c r="Q514" s="151"/>
      <c r="R514" s="154" t="s">
        <v>476</v>
      </c>
      <c r="S514" s="150"/>
      <c r="T514" s="150"/>
      <c r="U514" s="150"/>
      <c r="V514" s="150"/>
      <c r="W514" s="150"/>
      <c r="X514" s="150"/>
      <c r="Y514" s="150"/>
      <c r="Z514" s="150"/>
      <c r="AA514" s="150"/>
      <c r="AB514" s="150"/>
      <c r="AC514" s="150"/>
      <c r="AD514" s="150"/>
      <c r="AE514" s="150"/>
      <c r="AF514" s="150"/>
      <c r="AG514" s="150"/>
      <c r="AH514" s="150"/>
      <c r="AI514" s="150"/>
      <c r="AJ514" s="151"/>
      <c r="AK514" s="143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144"/>
    </row>
    <row r="515" spans="2:61" ht="20.100000000000001" customHeight="1" x14ac:dyDescent="0.45">
      <c r="B515" s="138"/>
      <c r="C515" s="31"/>
      <c r="D515" s="31"/>
      <c r="E515" s="31"/>
      <c r="F515" s="31"/>
      <c r="G515" s="139"/>
      <c r="H515" s="140"/>
      <c r="I515" s="31"/>
      <c r="J515" s="149" t="s">
        <v>252</v>
      </c>
      <c r="K515" s="150"/>
      <c r="L515" s="150"/>
      <c r="M515" s="150"/>
      <c r="N515" s="150"/>
      <c r="O515" s="150"/>
      <c r="P515" s="150"/>
      <c r="Q515" s="151"/>
      <c r="R515" s="154" t="s">
        <v>477</v>
      </c>
      <c r="S515" s="150"/>
      <c r="T515" s="150"/>
      <c r="U515" s="150"/>
      <c r="V515" s="150"/>
      <c r="W515" s="150"/>
      <c r="X515" s="150"/>
      <c r="Y515" s="150"/>
      <c r="Z515" s="150"/>
      <c r="AA515" s="150"/>
      <c r="AB515" s="150"/>
      <c r="AC515" s="150"/>
      <c r="AD515" s="150"/>
      <c r="AE515" s="150"/>
      <c r="AF515" s="150"/>
      <c r="AG515" s="150"/>
      <c r="AH515" s="150"/>
      <c r="AI515" s="150"/>
      <c r="AJ515" s="151"/>
      <c r="AK515" s="143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144"/>
    </row>
    <row r="516" spans="2:61" ht="20.100000000000001" customHeight="1" x14ac:dyDescent="0.45">
      <c r="B516" s="138"/>
      <c r="C516" s="31"/>
      <c r="D516" s="31"/>
      <c r="E516" s="31"/>
      <c r="F516" s="31"/>
      <c r="G516" s="139"/>
      <c r="H516" s="140"/>
      <c r="I516" s="31"/>
      <c r="J516" s="149" t="s">
        <v>253</v>
      </c>
      <c r="K516" s="150"/>
      <c r="L516" s="150"/>
      <c r="M516" s="150"/>
      <c r="N516" s="150"/>
      <c r="O516" s="150"/>
      <c r="P516" s="150"/>
      <c r="Q516" s="151"/>
      <c r="R516" s="154" t="s">
        <v>478</v>
      </c>
      <c r="S516" s="150"/>
      <c r="T516" s="150"/>
      <c r="U516" s="150"/>
      <c r="V516" s="150"/>
      <c r="W516" s="150"/>
      <c r="X516" s="150"/>
      <c r="Y516" s="150"/>
      <c r="Z516" s="150"/>
      <c r="AA516" s="150"/>
      <c r="AB516" s="150"/>
      <c r="AC516" s="150"/>
      <c r="AD516" s="150"/>
      <c r="AE516" s="150"/>
      <c r="AF516" s="150"/>
      <c r="AG516" s="150"/>
      <c r="AH516" s="150"/>
      <c r="AI516" s="150"/>
      <c r="AJ516" s="151"/>
      <c r="AK516" s="143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144"/>
    </row>
    <row r="517" spans="2:61" ht="20.100000000000001" customHeight="1" x14ac:dyDescent="0.45">
      <c r="B517" s="138"/>
      <c r="C517" s="31"/>
      <c r="D517" s="31"/>
      <c r="E517" s="31"/>
      <c r="F517" s="31"/>
      <c r="G517" s="139"/>
      <c r="H517" s="145" t="s">
        <v>169</v>
      </c>
      <c r="I517" s="55"/>
      <c r="J517" s="145" t="s">
        <v>442</v>
      </c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146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  <c r="BD517" s="55"/>
      <c r="BE517" s="55"/>
      <c r="BF517" s="55"/>
      <c r="BG517" s="55"/>
      <c r="BH517" s="55"/>
      <c r="BI517" s="147"/>
    </row>
    <row r="518" spans="2:61" ht="20.100000000000001" customHeight="1" x14ac:dyDescent="0.45">
      <c r="B518" s="138"/>
      <c r="C518" s="31"/>
      <c r="D518" s="31"/>
      <c r="E518" s="31"/>
      <c r="F518" s="31"/>
      <c r="G518" s="139"/>
      <c r="H518" s="140"/>
      <c r="I518" s="31"/>
      <c r="J518" s="140"/>
      <c r="K518" s="31" t="s">
        <v>443</v>
      </c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143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144"/>
    </row>
    <row r="519" spans="2:61" ht="20.100000000000001" customHeight="1" thickBot="1" x14ac:dyDescent="0.5">
      <c r="B519" s="138"/>
      <c r="C519" s="31"/>
      <c r="D519" s="31"/>
      <c r="E519" s="31"/>
      <c r="F519" s="31"/>
      <c r="G519" s="139"/>
      <c r="H519" s="140"/>
      <c r="I519" s="31"/>
      <c r="J519" s="140"/>
      <c r="K519" s="31" t="s">
        <v>444</v>
      </c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143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144"/>
    </row>
    <row r="520" spans="2:61" ht="20.100000000000001" customHeight="1" x14ac:dyDescent="0.45">
      <c r="B520" s="129" t="s">
        <v>479</v>
      </c>
      <c r="C520" s="130"/>
      <c r="D520" s="130"/>
      <c r="E520" s="130"/>
      <c r="F520" s="130"/>
      <c r="G520" s="131"/>
      <c r="H520" s="132" t="s">
        <v>159</v>
      </c>
      <c r="I520" s="130"/>
      <c r="J520" s="133" t="s">
        <v>160</v>
      </c>
      <c r="K520" s="134"/>
      <c r="L520" s="134"/>
      <c r="M520" s="134"/>
      <c r="N520" s="134"/>
      <c r="O520" s="134"/>
      <c r="P520" s="134"/>
      <c r="Q520" s="135"/>
      <c r="R520" s="134" t="s">
        <v>501</v>
      </c>
      <c r="S520" s="134"/>
      <c r="T520" s="134"/>
      <c r="U520" s="134"/>
      <c r="V520" s="134"/>
      <c r="W520" s="134"/>
      <c r="X520" s="134"/>
      <c r="Y520" s="134"/>
      <c r="Z520" s="134"/>
      <c r="AA520" s="134"/>
      <c r="AB520" s="134"/>
      <c r="AC520" s="134"/>
      <c r="AD520" s="134"/>
      <c r="AE520" s="134"/>
      <c r="AF520" s="134"/>
      <c r="AG520" s="134"/>
      <c r="AH520" s="134"/>
      <c r="AI520" s="134"/>
      <c r="AJ520" s="135"/>
      <c r="AK520" s="136"/>
      <c r="AL520" s="130"/>
      <c r="AM520" s="130"/>
      <c r="AN520" s="130"/>
      <c r="AO520" s="130"/>
      <c r="AP520" s="130"/>
      <c r="AQ520" s="130"/>
      <c r="AR520" s="130"/>
      <c r="AS520" s="130"/>
      <c r="AT520" s="130"/>
      <c r="AU520" s="130"/>
      <c r="AV520" s="130"/>
      <c r="AW520" s="130"/>
      <c r="AX520" s="130"/>
      <c r="AY520" s="130"/>
      <c r="AZ520" s="130"/>
      <c r="BA520" s="130"/>
      <c r="BB520" s="130"/>
      <c r="BC520" s="130"/>
      <c r="BD520" s="130"/>
      <c r="BE520" s="130"/>
      <c r="BF520" s="130"/>
      <c r="BG520" s="130"/>
      <c r="BH520" s="130"/>
      <c r="BI520" s="137"/>
    </row>
    <row r="521" spans="2:61" ht="20.100000000000001" customHeight="1" x14ac:dyDescent="0.45">
      <c r="B521" s="138"/>
      <c r="C521" s="31"/>
      <c r="D521" s="31"/>
      <c r="E521" s="31"/>
      <c r="F521" s="31"/>
      <c r="G521" s="139"/>
      <c r="H521" s="140"/>
      <c r="I521" s="31"/>
      <c r="J521" s="149" t="s">
        <v>227</v>
      </c>
      <c r="K521" s="150"/>
      <c r="L521" s="150"/>
      <c r="M521" s="150"/>
      <c r="N521" s="150"/>
      <c r="O521" s="150"/>
      <c r="P521" s="150"/>
      <c r="Q521" s="151"/>
      <c r="R521" s="154" t="s">
        <v>502</v>
      </c>
      <c r="S521" s="150"/>
      <c r="T521" s="150"/>
      <c r="U521" s="150"/>
      <c r="V521" s="150"/>
      <c r="W521" s="150"/>
      <c r="X521" s="150"/>
      <c r="Y521" s="150"/>
      <c r="Z521" s="150"/>
      <c r="AA521" s="150"/>
      <c r="AB521" s="150"/>
      <c r="AC521" s="150"/>
      <c r="AD521" s="150"/>
      <c r="AE521" s="150"/>
      <c r="AF521" s="150"/>
      <c r="AG521" s="150"/>
      <c r="AH521" s="150"/>
      <c r="AI521" s="150"/>
      <c r="AJ521" s="151"/>
      <c r="AK521" s="143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144"/>
    </row>
    <row r="522" spans="2:61" ht="20.100000000000001" customHeight="1" x14ac:dyDescent="0.45">
      <c r="B522" s="138"/>
      <c r="C522" s="31"/>
      <c r="D522" s="31"/>
      <c r="E522" s="31"/>
      <c r="F522" s="31"/>
      <c r="G522" s="139"/>
      <c r="H522" s="140"/>
      <c r="I522" s="31"/>
      <c r="J522" s="149" t="s">
        <v>228</v>
      </c>
      <c r="K522" s="150"/>
      <c r="L522" s="150"/>
      <c r="M522" s="150"/>
      <c r="N522" s="150"/>
      <c r="O522" s="150"/>
      <c r="P522" s="150"/>
      <c r="Q522" s="151"/>
      <c r="R522" s="154" t="s">
        <v>510</v>
      </c>
      <c r="S522" s="150"/>
      <c r="T522" s="150"/>
      <c r="U522" s="150"/>
      <c r="V522" s="150"/>
      <c r="W522" s="150"/>
      <c r="X522" s="150"/>
      <c r="Y522" s="150"/>
      <c r="Z522" s="150"/>
      <c r="AA522" s="150"/>
      <c r="AB522" s="150"/>
      <c r="AC522" s="150"/>
      <c r="AD522" s="150"/>
      <c r="AE522" s="150"/>
      <c r="AF522" s="150"/>
      <c r="AG522" s="150"/>
      <c r="AH522" s="150"/>
      <c r="AI522" s="150"/>
      <c r="AJ522" s="151"/>
      <c r="AK522" s="143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144"/>
    </row>
    <row r="523" spans="2:61" ht="20.100000000000001" customHeight="1" x14ac:dyDescent="0.45">
      <c r="B523" s="138"/>
      <c r="C523" s="31"/>
      <c r="D523" s="31"/>
      <c r="E523" s="31"/>
      <c r="F523" s="31"/>
      <c r="G523" s="139"/>
      <c r="H523" s="140"/>
      <c r="I523" s="31"/>
      <c r="J523" s="149" t="s">
        <v>229</v>
      </c>
      <c r="K523" s="150"/>
      <c r="L523" s="150"/>
      <c r="M523" s="150"/>
      <c r="N523" s="150"/>
      <c r="O523" s="150"/>
      <c r="P523" s="150"/>
      <c r="Q523" s="151"/>
      <c r="R523" s="150" t="s">
        <v>503</v>
      </c>
      <c r="S523" s="150"/>
      <c r="T523" s="150"/>
      <c r="U523" s="150"/>
      <c r="V523" s="150"/>
      <c r="W523" s="150"/>
      <c r="X523" s="150"/>
      <c r="Y523" s="150"/>
      <c r="Z523" s="150"/>
      <c r="AA523" s="150"/>
      <c r="AB523" s="150"/>
      <c r="AC523" s="150"/>
      <c r="AD523" s="150"/>
      <c r="AE523" s="150"/>
      <c r="AF523" s="150"/>
      <c r="AG523" s="150"/>
      <c r="AH523" s="150"/>
      <c r="AI523" s="150"/>
      <c r="AJ523" s="151"/>
      <c r="AK523" s="143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144"/>
    </row>
    <row r="524" spans="2:61" ht="20.100000000000001" customHeight="1" x14ac:dyDescent="0.45">
      <c r="B524" s="138"/>
      <c r="C524" s="31"/>
      <c r="D524" s="31"/>
      <c r="E524" s="31"/>
      <c r="F524" s="31"/>
      <c r="G524" s="139"/>
      <c r="H524" s="140"/>
      <c r="I524" s="31"/>
      <c r="J524" s="149" t="s">
        <v>287</v>
      </c>
      <c r="K524" s="150"/>
      <c r="L524" s="150"/>
      <c r="M524" s="150"/>
      <c r="N524" s="150"/>
      <c r="O524" s="150"/>
      <c r="P524" s="150"/>
      <c r="Q524" s="151"/>
      <c r="R524" s="150" t="s">
        <v>511</v>
      </c>
      <c r="S524" s="150"/>
      <c r="T524" s="150"/>
      <c r="U524" s="150"/>
      <c r="V524" s="150"/>
      <c r="W524" s="150"/>
      <c r="X524" s="150"/>
      <c r="Y524" s="150"/>
      <c r="Z524" s="150"/>
      <c r="AA524" s="150"/>
      <c r="AB524" s="150"/>
      <c r="AC524" s="150"/>
      <c r="AD524" s="150"/>
      <c r="AE524" s="150"/>
      <c r="AF524" s="150"/>
      <c r="AG524" s="150"/>
      <c r="AH524" s="150"/>
      <c r="AI524" s="150"/>
      <c r="AJ524" s="151"/>
      <c r="AK524" s="143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144"/>
    </row>
    <row r="525" spans="2:61" ht="20.100000000000001" customHeight="1" x14ac:dyDescent="0.45">
      <c r="B525" s="138"/>
      <c r="C525" s="31"/>
      <c r="D525" s="31"/>
      <c r="E525" s="31"/>
      <c r="F525" s="31"/>
      <c r="G525" s="139"/>
      <c r="H525" s="140"/>
      <c r="I525" s="31"/>
      <c r="J525" s="149" t="s">
        <v>288</v>
      </c>
      <c r="K525" s="150"/>
      <c r="L525" s="150"/>
      <c r="M525" s="150"/>
      <c r="N525" s="150"/>
      <c r="O525" s="150"/>
      <c r="P525" s="150"/>
      <c r="Q525" s="151"/>
      <c r="R525" s="150" t="s">
        <v>512</v>
      </c>
      <c r="S525" s="150"/>
      <c r="T525" s="150"/>
      <c r="U525" s="150"/>
      <c r="V525" s="150"/>
      <c r="W525" s="150"/>
      <c r="X525" s="150"/>
      <c r="Y525" s="150"/>
      <c r="Z525" s="150"/>
      <c r="AA525" s="150"/>
      <c r="AB525" s="150"/>
      <c r="AC525" s="150"/>
      <c r="AD525" s="150"/>
      <c r="AE525" s="150"/>
      <c r="AF525" s="150"/>
      <c r="AG525" s="150"/>
      <c r="AH525" s="150"/>
      <c r="AI525" s="150"/>
      <c r="AJ525" s="151"/>
      <c r="AK525" s="143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144"/>
    </row>
    <row r="526" spans="2:61" ht="20.100000000000001" customHeight="1" x14ac:dyDescent="0.45">
      <c r="B526" s="138"/>
      <c r="C526" s="31"/>
      <c r="D526" s="31"/>
      <c r="E526" s="31"/>
      <c r="F526" s="31"/>
      <c r="G526" s="139"/>
      <c r="H526" s="140"/>
      <c r="I526" s="31"/>
      <c r="J526" s="149" t="s">
        <v>289</v>
      </c>
      <c r="K526" s="150"/>
      <c r="L526" s="150"/>
      <c r="M526" s="150"/>
      <c r="N526" s="150"/>
      <c r="O526" s="150"/>
      <c r="P526" s="150"/>
      <c r="Q526" s="151"/>
      <c r="R526" s="150" t="s">
        <v>513</v>
      </c>
      <c r="S526" s="150"/>
      <c r="T526" s="150"/>
      <c r="U526" s="150"/>
      <c r="V526" s="150"/>
      <c r="W526" s="150"/>
      <c r="X526" s="150"/>
      <c r="Y526" s="150"/>
      <c r="Z526" s="150"/>
      <c r="AA526" s="150"/>
      <c r="AB526" s="150"/>
      <c r="AC526" s="150"/>
      <c r="AD526" s="150"/>
      <c r="AE526" s="150"/>
      <c r="AF526" s="150"/>
      <c r="AG526" s="150"/>
      <c r="AH526" s="150"/>
      <c r="AI526" s="150"/>
      <c r="AJ526" s="151"/>
      <c r="AK526" s="143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144"/>
    </row>
    <row r="527" spans="2:61" ht="20.100000000000001" customHeight="1" x14ac:dyDescent="0.45">
      <c r="B527" s="138"/>
      <c r="C527" s="31"/>
      <c r="D527" s="31"/>
      <c r="E527" s="31"/>
      <c r="F527" s="31"/>
      <c r="G527" s="139"/>
      <c r="H527" s="140"/>
      <c r="I527" s="31"/>
      <c r="J527" s="149" t="s">
        <v>290</v>
      </c>
      <c r="K527" s="150"/>
      <c r="L527" s="150"/>
      <c r="M527" s="150"/>
      <c r="N527" s="150"/>
      <c r="O527" s="150"/>
      <c r="P527" s="150"/>
      <c r="Q527" s="151"/>
      <c r="R527" s="150" t="s">
        <v>514</v>
      </c>
      <c r="S527" s="150"/>
      <c r="T527" s="150"/>
      <c r="U527" s="150"/>
      <c r="V527" s="150"/>
      <c r="W527" s="150"/>
      <c r="X527" s="150"/>
      <c r="Y527" s="150"/>
      <c r="Z527" s="150"/>
      <c r="AA527" s="150"/>
      <c r="AB527" s="150"/>
      <c r="AC527" s="150"/>
      <c r="AD527" s="150"/>
      <c r="AE527" s="150"/>
      <c r="AF527" s="150"/>
      <c r="AG527" s="150"/>
      <c r="AH527" s="150"/>
      <c r="AI527" s="150"/>
      <c r="AJ527" s="151"/>
      <c r="AK527" s="143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144"/>
    </row>
    <row r="528" spans="2:61" ht="20.100000000000001" customHeight="1" x14ac:dyDescent="0.45">
      <c r="B528" s="138"/>
      <c r="C528" s="31"/>
      <c r="D528" s="31"/>
      <c r="E528" s="31"/>
      <c r="F528" s="31"/>
      <c r="G528" s="139"/>
      <c r="H528" s="140"/>
      <c r="I528" s="31"/>
      <c r="J528" s="149" t="s">
        <v>291</v>
      </c>
      <c r="K528" s="150"/>
      <c r="L528" s="150"/>
      <c r="M528" s="150"/>
      <c r="N528" s="150"/>
      <c r="O528" s="150"/>
      <c r="P528" s="150"/>
      <c r="Q528" s="151"/>
      <c r="R528" s="150" t="s">
        <v>515</v>
      </c>
      <c r="S528" s="150"/>
      <c r="T528" s="150"/>
      <c r="U528" s="150"/>
      <c r="V528" s="150"/>
      <c r="W528" s="150"/>
      <c r="X528" s="150"/>
      <c r="Y528" s="150"/>
      <c r="Z528" s="150"/>
      <c r="AA528" s="150"/>
      <c r="AB528" s="150"/>
      <c r="AC528" s="150"/>
      <c r="AD528" s="150"/>
      <c r="AE528" s="150"/>
      <c r="AF528" s="150"/>
      <c r="AG528" s="150"/>
      <c r="AH528" s="150"/>
      <c r="AI528" s="150"/>
      <c r="AJ528" s="151"/>
      <c r="AK528" s="143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144"/>
    </row>
    <row r="529" spans="2:61" ht="20.100000000000001" customHeight="1" x14ac:dyDescent="0.45">
      <c r="B529" s="138"/>
      <c r="C529" s="31"/>
      <c r="D529" s="31"/>
      <c r="E529" s="31"/>
      <c r="F529" s="31"/>
      <c r="G529" s="139"/>
      <c r="H529" s="140"/>
      <c r="I529" s="31"/>
      <c r="J529" s="149" t="s">
        <v>230</v>
      </c>
      <c r="K529" s="150"/>
      <c r="L529" s="150"/>
      <c r="M529" s="150"/>
      <c r="N529" s="150"/>
      <c r="O529" s="150"/>
      <c r="P529" s="150"/>
      <c r="Q529" s="151"/>
      <c r="R529" s="150" t="s">
        <v>516</v>
      </c>
      <c r="S529" s="150"/>
      <c r="T529" s="150"/>
      <c r="U529" s="150"/>
      <c r="V529" s="150"/>
      <c r="W529" s="150"/>
      <c r="X529" s="150"/>
      <c r="Y529" s="150"/>
      <c r="Z529" s="150"/>
      <c r="AA529" s="150"/>
      <c r="AB529" s="150"/>
      <c r="AC529" s="150"/>
      <c r="AD529" s="150"/>
      <c r="AE529" s="150"/>
      <c r="AF529" s="150"/>
      <c r="AG529" s="150"/>
      <c r="AH529" s="150"/>
      <c r="AI529" s="150"/>
      <c r="AJ529" s="151"/>
      <c r="AK529" s="143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144"/>
    </row>
    <row r="530" spans="2:61" ht="20.100000000000001" customHeight="1" x14ac:dyDescent="0.45">
      <c r="B530" s="138"/>
      <c r="C530" s="31"/>
      <c r="D530" s="31"/>
      <c r="E530" s="31"/>
      <c r="F530" s="31"/>
      <c r="G530" s="139"/>
      <c r="H530" s="140"/>
      <c r="I530" s="31"/>
      <c r="J530" s="149" t="s">
        <v>231</v>
      </c>
      <c r="K530" s="150"/>
      <c r="L530" s="150"/>
      <c r="M530" s="150"/>
      <c r="N530" s="150"/>
      <c r="O530" s="150"/>
      <c r="P530" s="150"/>
      <c r="Q530" s="151"/>
      <c r="R530" s="150" t="s">
        <v>517</v>
      </c>
      <c r="S530" s="150"/>
      <c r="T530" s="150"/>
      <c r="U530" s="150"/>
      <c r="V530" s="150"/>
      <c r="W530" s="150"/>
      <c r="X530" s="150"/>
      <c r="Y530" s="150"/>
      <c r="Z530" s="150"/>
      <c r="AA530" s="150"/>
      <c r="AB530" s="150"/>
      <c r="AC530" s="150"/>
      <c r="AD530" s="150"/>
      <c r="AE530" s="150"/>
      <c r="AF530" s="150"/>
      <c r="AG530" s="150"/>
      <c r="AH530" s="150"/>
      <c r="AI530" s="150"/>
      <c r="AJ530" s="151"/>
      <c r="AK530" s="143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144"/>
    </row>
    <row r="531" spans="2:61" ht="20.100000000000001" customHeight="1" x14ac:dyDescent="0.45">
      <c r="B531" s="138"/>
      <c r="C531" s="31"/>
      <c r="D531" s="31"/>
      <c r="E531" s="31"/>
      <c r="F531" s="31"/>
      <c r="G531" s="139"/>
      <c r="H531" s="140"/>
      <c r="I531" s="31"/>
      <c r="J531" s="149" t="s">
        <v>232</v>
      </c>
      <c r="K531" s="150"/>
      <c r="L531" s="150"/>
      <c r="M531" s="150"/>
      <c r="N531" s="150"/>
      <c r="O531" s="150"/>
      <c r="P531" s="150"/>
      <c r="Q531" s="151"/>
      <c r="R531" s="150" t="s">
        <v>518</v>
      </c>
      <c r="S531" s="150"/>
      <c r="T531" s="150"/>
      <c r="U531" s="150"/>
      <c r="V531" s="150"/>
      <c r="W531" s="150"/>
      <c r="X531" s="150"/>
      <c r="Y531" s="150"/>
      <c r="Z531" s="150"/>
      <c r="AA531" s="150"/>
      <c r="AB531" s="150"/>
      <c r="AC531" s="150"/>
      <c r="AD531" s="150"/>
      <c r="AE531" s="150"/>
      <c r="AF531" s="150"/>
      <c r="AG531" s="150"/>
      <c r="AH531" s="150"/>
      <c r="AI531" s="150"/>
      <c r="AJ531" s="151"/>
      <c r="AK531" s="143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144"/>
    </row>
    <row r="532" spans="2:61" ht="20.100000000000001" customHeight="1" x14ac:dyDescent="0.45">
      <c r="B532" s="138"/>
      <c r="C532" s="31"/>
      <c r="D532" s="31"/>
      <c r="E532" s="31"/>
      <c r="F532" s="31"/>
      <c r="G532" s="139"/>
      <c r="H532" s="140"/>
      <c r="I532" s="31"/>
      <c r="J532" s="149" t="s">
        <v>233</v>
      </c>
      <c r="K532" s="150"/>
      <c r="L532" s="150"/>
      <c r="M532" s="150"/>
      <c r="N532" s="150"/>
      <c r="O532" s="150"/>
      <c r="P532" s="150"/>
      <c r="Q532" s="151"/>
      <c r="R532" s="150" t="s">
        <v>519</v>
      </c>
      <c r="S532" s="150"/>
      <c r="T532" s="150"/>
      <c r="U532" s="150"/>
      <c r="V532" s="150"/>
      <c r="W532" s="150"/>
      <c r="X532" s="150"/>
      <c r="Y532" s="150"/>
      <c r="Z532" s="150"/>
      <c r="AA532" s="150"/>
      <c r="AB532" s="150"/>
      <c r="AC532" s="150"/>
      <c r="AD532" s="150"/>
      <c r="AE532" s="150"/>
      <c r="AF532" s="150"/>
      <c r="AG532" s="150"/>
      <c r="AH532" s="150"/>
      <c r="AI532" s="150"/>
      <c r="AJ532" s="151"/>
      <c r="AK532" s="143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144"/>
    </row>
    <row r="533" spans="2:61" ht="20.100000000000001" customHeight="1" x14ac:dyDescent="0.45">
      <c r="B533" s="138"/>
      <c r="C533" s="31"/>
      <c r="D533" s="31"/>
      <c r="E533" s="31"/>
      <c r="F533" s="31"/>
      <c r="G533" s="139"/>
      <c r="H533" s="140"/>
      <c r="I533" s="31"/>
      <c r="J533" s="149" t="s">
        <v>234</v>
      </c>
      <c r="K533" s="150"/>
      <c r="L533" s="150"/>
      <c r="M533" s="150"/>
      <c r="N533" s="150"/>
      <c r="O533" s="150"/>
      <c r="P533" s="150"/>
      <c r="Q533" s="151"/>
      <c r="R533" s="150" t="s">
        <v>520</v>
      </c>
      <c r="S533" s="150"/>
      <c r="T533" s="150"/>
      <c r="U533" s="150"/>
      <c r="V533" s="150"/>
      <c r="W533" s="150"/>
      <c r="X533" s="150"/>
      <c r="Y533" s="150"/>
      <c r="Z533" s="150"/>
      <c r="AA533" s="150"/>
      <c r="AB533" s="150"/>
      <c r="AC533" s="150"/>
      <c r="AD533" s="150"/>
      <c r="AE533" s="150"/>
      <c r="AF533" s="150"/>
      <c r="AG533" s="150"/>
      <c r="AH533" s="150"/>
      <c r="AI533" s="150"/>
      <c r="AJ533" s="151"/>
      <c r="AK533" s="143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144"/>
    </row>
    <row r="534" spans="2:61" ht="20.100000000000001" customHeight="1" x14ac:dyDescent="0.45">
      <c r="B534" s="138"/>
      <c r="C534" s="31"/>
      <c r="D534" s="31"/>
      <c r="E534" s="31"/>
      <c r="F534" s="31"/>
      <c r="G534" s="139"/>
      <c r="H534" s="140"/>
      <c r="I534" s="31"/>
      <c r="J534" s="149" t="s">
        <v>235</v>
      </c>
      <c r="K534" s="150"/>
      <c r="L534" s="150"/>
      <c r="M534" s="150"/>
      <c r="N534" s="150"/>
      <c r="O534" s="150"/>
      <c r="P534" s="150"/>
      <c r="Q534" s="151"/>
      <c r="R534" s="150" t="s">
        <v>521</v>
      </c>
      <c r="S534" s="150"/>
      <c r="T534" s="150"/>
      <c r="U534" s="150"/>
      <c r="V534" s="150"/>
      <c r="W534" s="150"/>
      <c r="X534" s="150"/>
      <c r="Y534" s="150"/>
      <c r="Z534" s="150"/>
      <c r="AA534" s="150"/>
      <c r="AB534" s="150"/>
      <c r="AC534" s="150"/>
      <c r="AD534" s="150"/>
      <c r="AE534" s="150"/>
      <c r="AF534" s="150"/>
      <c r="AG534" s="150"/>
      <c r="AH534" s="150"/>
      <c r="AI534" s="150"/>
      <c r="AJ534" s="151"/>
      <c r="AK534" s="143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144"/>
    </row>
    <row r="535" spans="2:61" ht="20.100000000000001" customHeight="1" x14ac:dyDescent="0.45">
      <c r="B535" s="138"/>
      <c r="C535" s="31"/>
      <c r="D535" s="31"/>
      <c r="E535" s="31"/>
      <c r="F535" s="31"/>
      <c r="G535" s="139"/>
      <c r="H535" s="140"/>
      <c r="I535" s="31"/>
      <c r="J535" s="149" t="s">
        <v>236</v>
      </c>
      <c r="K535" s="150"/>
      <c r="L535" s="150"/>
      <c r="M535" s="150"/>
      <c r="N535" s="150"/>
      <c r="O535" s="150"/>
      <c r="P535" s="150"/>
      <c r="Q535" s="151"/>
      <c r="R535" s="150" t="s">
        <v>522</v>
      </c>
      <c r="S535" s="150"/>
      <c r="T535" s="150"/>
      <c r="U535" s="150"/>
      <c r="V535" s="150"/>
      <c r="W535" s="150"/>
      <c r="X535" s="150"/>
      <c r="Y535" s="150"/>
      <c r="Z535" s="150"/>
      <c r="AA535" s="150"/>
      <c r="AB535" s="150"/>
      <c r="AC535" s="150"/>
      <c r="AD535" s="150"/>
      <c r="AE535" s="150"/>
      <c r="AF535" s="150"/>
      <c r="AG535" s="150"/>
      <c r="AH535" s="150"/>
      <c r="AI535" s="150"/>
      <c r="AJ535" s="151"/>
      <c r="AK535" s="143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144"/>
    </row>
    <row r="536" spans="2:61" ht="20.100000000000001" customHeight="1" x14ac:dyDescent="0.45">
      <c r="B536" s="138"/>
      <c r="C536" s="31"/>
      <c r="D536" s="31"/>
      <c r="E536" s="31"/>
      <c r="F536" s="31"/>
      <c r="G536" s="139"/>
      <c r="H536" s="140"/>
      <c r="I536" s="31"/>
      <c r="J536" s="149" t="s">
        <v>237</v>
      </c>
      <c r="K536" s="150"/>
      <c r="L536" s="150"/>
      <c r="M536" s="150"/>
      <c r="N536" s="150"/>
      <c r="O536" s="150"/>
      <c r="P536" s="150"/>
      <c r="Q536" s="151"/>
      <c r="R536" s="150" t="s">
        <v>504</v>
      </c>
      <c r="S536" s="150"/>
      <c r="T536" s="150"/>
      <c r="U536" s="150"/>
      <c r="V536" s="150"/>
      <c r="W536" s="150"/>
      <c r="X536" s="150"/>
      <c r="Y536" s="150"/>
      <c r="Z536" s="150"/>
      <c r="AA536" s="150"/>
      <c r="AB536" s="150"/>
      <c r="AC536" s="150"/>
      <c r="AD536" s="150"/>
      <c r="AE536" s="150"/>
      <c r="AF536" s="150"/>
      <c r="AG536" s="150"/>
      <c r="AH536" s="150"/>
      <c r="AI536" s="150"/>
      <c r="AJ536" s="151"/>
      <c r="AK536" s="143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144"/>
    </row>
    <row r="537" spans="2:61" ht="20.100000000000001" customHeight="1" x14ac:dyDescent="0.45">
      <c r="B537" s="138"/>
      <c r="C537" s="31"/>
      <c r="D537" s="31"/>
      <c r="E537" s="31"/>
      <c r="F537" s="31"/>
      <c r="G537" s="139"/>
      <c r="H537" s="140"/>
      <c r="I537" s="31"/>
      <c r="J537" s="149" t="s">
        <v>238</v>
      </c>
      <c r="K537" s="150"/>
      <c r="L537" s="150"/>
      <c r="M537" s="150"/>
      <c r="N537" s="150"/>
      <c r="O537" s="150"/>
      <c r="P537" s="150"/>
      <c r="Q537" s="151"/>
      <c r="R537" s="150" t="s">
        <v>523</v>
      </c>
      <c r="S537" s="150"/>
      <c r="T537" s="150"/>
      <c r="U537" s="150"/>
      <c r="V537" s="150"/>
      <c r="W537" s="150"/>
      <c r="X537" s="150"/>
      <c r="Y537" s="150"/>
      <c r="Z537" s="150"/>
      <c r="AA537" s="150"/>
      <c r="AB537" s="150"/>
      <c r="AC537" s="150"/>
      <c r="AD537" s="150"/>
      <c r="AE537" s="150"/>
      <c r="AF537" s="150"/>
      <c r="AG537" s="150"/>
      <c r="AH537" s="150"/>
      <c r="AI537" s="150"/>
      <c r="AJ537" s="151"/>
      <c r="AK537" s="143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144"/>
    </row>
    <row r="538" spans="2:61" ht="20.100000000000001" customHeight="1" x14ac:dyDescent="0.45">
      <c r="B538" s="138"/>
      <c r="C538" s="31"/>
      <c r="D538" s="31"/>
      <c r="E538" s="31"/>
      <c r="F538" s="31"/>
      <c r="G538" s="139"/>
      <c r="H538" s="140"/>
      <c r="I538" s="31"/>
      <c r="J538" s="149" t="s">
        <v>239</v>
      </c>
      <c r="K538" s="150"/>
      <c r="L538" s="150"/>
      <c r="M538" s="150"/>
      <c r="N538" s="150"/>
      <c r="O538" s="150"/>
      <c r="P538" s="150"/>
      <c r="Q538" s="151"/>
      <c r="R538" s="150" t="s">
        <v>505</v>
      </c>
      <c r="S538" s="150"/>
      <c r="T538" s="150"/>
      <c r="U538" s="150"/>
      <c r="V538" s="150"/>
      <c r="W538" s="150"/>
      <c r="X538" s="150"/>
      <c r="Y538" s="150"/>
      <c r="Z538" s="150"/>
      <c r="AA538" s="150"/>
      <c r="AB538" s="150"/>
      <c r="AC538" s="150"/>
      <c r="AD538" s="150"/>
      <c r="AE538" s="150"/>
      <c r="AF538" s="150"/>
      <c r="AG538" s="150"/>
      <c r="AH538" s="150"/>
      <c r="AI538" s="150"/>
      <c r="AJ538" s="151"/>
      <c r="AK538" s="143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144"/>
    </row>
    <row r="539" spans="2:61" ht="20.100000000000001" customHeight="1" x14ac:dyDescent="0.45">
      <c r="B539" s="138"/>
      <c r="C539" s="31"/>
      <c r="D539" s="31"/>
      <c r="E539" s="31"/>
      <c r="F539" s="31"/>
      <c r="G539" s="139"/>
      <c r="H539" s="140"/>
      <c r="I539" s="31"/>
      <c r="J539" s="149" t="s">
        <v>240</v>
      </c>
      <c r="K539" s="150"/>
      <c r="L539" s="150"/>
      <c r="M539" s="150"/>
      <c r="N539" s="150"/>
      <c r="O539" s="150"/>
      <c r="P539" s="150"/>
      <c r="Q539" s="151"/>
      <c r="R539" s="150" t="s">
        <v>506</v>
      </c>
      <c r="S539" s="150"/>
      <c r="T539" s="150"/>
      <c r="U539" s="150"/>
      <c r="V539" s="150"/>
      <c r="W539" s="150"/>
      <c r="X539" s="150"/>
      <c r="Y539" s="150"/>
      <c r="Z539" s="150"/>
      <c r="AA539" s="150"/>
      <c r="AB539" s="150"/>
      <c r="AC539" s="150"/>
      <c r="AD539" s="150"/>
      <c r="AE539" s="150"/>
      <c r="AF539" s="150"/>
      <c r="AG539" s="150"/>
      <c r="AH539" s="150"/>
      <c r="AI539" s="150"/>
      <c r="AJ539" s="151"/>
      <c r="AK539" s="143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144"/>
    </row>
    <row r="540" spans="2:61" ht="20.100000000000001" customHeight="1" x14ac:dyDescent="0.45">
      <c r="B540" s="138"/>
      <c r="C540" s="31"/>
      <c r="D540" s="31"/>
      <c r="E540" s="31"/>
      <c r="F540" s="31"/>
      <c r="G540" s="139"/>
      <c r="H540" s="140"/>
      <c r="I540" s="31"/>
      <c r="J540" s="149" t="s">
        <v>241</v>
      </c>
      <c r="K540" s="150"/>
      <c r="L540" s="150"/>
      <c r="M540" s="150"/>
      <c r="N540" s="150"/>
      <c r="O540" s="150"/>
      <c r="P540" s="150"/>
      <c r="Q540" s="151"/>
      <c r="R540" s="150" t="s">
        <v>524</v>
      </c>
      <c r="S540" s="150"/>
      <c r="T540" s="150"/>
      <c r="U540" s="150"/>
      <c r="V540" s="150"/>
      <c r="W540" s="150"/>
      <c r="X540" s="150"/>
      <c r="Y540" s="150"/>
      <c r="Z540" s="150"/>
      <c r="AA540" s="150"/>
      <c r="AB540" s="150"/>
      <c r="AC540" s="150"/>
      <c r="AD540" s="150"/>
      <c r="AE540" s="150"/>
      <c r="AF540" s="150"/>
      <c r="AG540" s="150"/>
      <c r="AH540" s="150"/>
      <c r="AI540" s="150"/>
      <c r="AJ540" s="151"/>
      <c r="AK540" s="143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144"/>
    </row>
    <row r="541" spans="2:61" ht="20.100000000000001" customHeight="1" x14ac:dyDescent="0.45">
      <c r="B541" s="138"/>
      <c r="C541" s="31"/>
      <c r="D541" s="31"/>
      <c r="E541" s="31"/>
      <c r="F541" s="31"/>
      <c r="G541" s="139"/>
      <c r="H541" s="140"/>
      <c r="I541" s="31"/>
      <c r="J541" s="149" t="s">
        <v>242</v>
      </c>
      <c r="K541" s="150"/>
      <c r="L541" s="150"/>
      <c r="M541" s="150"/>
      <c r="N541" s="150"/>
      <c r="O541" s="150"/>
      <c r="P541" s="150"/>
      <c r="Q541" s="151"/>
      <c r="R541" s="150" t="s">
        <v>525</v>
      </c>
      <c r="S541" s="150"/>
      <c r="T541" s="150"/>
      <c r="U541" s="150"/>
      <c r="V541" s="150"/>
      <c r="W541" s="150"/>
      <c r="X541" s="150"/>
      <c r="Y541" s="150"/>
      <c r="Z541" s="150"/>
      <c r="AA541" s="150"/>
      <c r="AB541" s="150"/>
      <c r="AC541" s="150"/>
      <c r="AD541" s="150"/>
      <c r="AE541" s="150"/>
      <c r="AF541" s="150"/>
      <c r="AG541" s="150"/>
      <c r="AH541" s="150"/>
      <c r="AI541" s="150"/>
      <c r="AJ541" s="151"/>
      <c r="AK541" s="143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144"/>
    </row>
    <row r="542" spans="2:61" ht="20.100000000000001" customHeight="1" x14ac:dyDescent="0.45">
      <c r="B542" s="138"/>
      <c r="C542" s="31"/>
      <c r="D542" s="31"/>
      <c r="E542" s="31"/>
      <c r="F542" s="31"/>
      <c r="G542" s="139"/>
      <c r="H542" s="140"/>
      <c r="I542" s="31"/>
      <c r="J542" s="149" t="s">
        <v>243</v>
      </c>
      <c r="K542" s="150"/>
      <c r="L542" s="150"/>
      <c r="M542" s="150"/>
      <c r="N542" s="150"/>
      <c r="O542" s="150"/>
      <c r="P542" s="150"/>
      <c r="Q542" s="151"/>
      <c r="R542" s="150" t="s">
        <v>509</v>
      </c>
      <c r="S542" s="150"/>
      <c r="T542" s="150"/>
      <c r="U542" s="150"/>
      <c r="V542" s="150"/>
      <c r="W542" s="150"/>
      <c r="X542" s="150"/>
      <c r="Y542" s="150"/>
      <c r="Z542" s="150"/>
      <c r="AA542" s="150"/>
      <c r="AB542" s="150"/>
      <c r="AC542" s="150"/>
      <c r="AD542" s="150"/>
      <c r="AE542" s="150"/>
      <c r="AF542" s="150"/>
      <c r="AG542" s="150"/>
      <c r="AH542" s="150"/>
      <c r="AI542" s="150"/>
      <c r="AJ542" s="151"/>
      <c r="AK542" s="143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144"/>
    </row>
    <row r="543" spans="2:61" ht="20.100000000000001" customHeight="1" x14ac:dyDescent="0.45">
      <c r="B543" s="138"/>
      <c r="C543" s="31"/>
      <c r="D543" s="31"/>
      <c r="E543" s="31"/>
      <c r="F543" s="31"/>
      <c r="G543" s="139"/>
      <c r="H543" s="140"/>
      <c r="I543" s="31"/>
      <c r="J543" s="149" t="s">
        <v>244</v>
      </c>
      <c r="K543" s="150"/>
      <c r="L543" s="150"/>
      <c r="M543" s="150"/>
      <c r="N543" s="150"/>
      <c r="O543" s="150"/>
      <c r="P543" s="150"/>
      <c r="Q543" s="151"/>
      <c r="R543" s="154" t="s">
        <v>507</v>
      </c>
      <c r="S543" s="150"/>
      <c r="T543" s="150"/>
      <c r="U543" s="150"/>
      <c r="V543" s="150"/>
      <c r="W543" s="150"/>
      <c r="X543" s="150"/>
      <c r="Y543" s="150"/>
      <c r="Z543" s="150"/>
      <c r="AA543" s="150"/>
      <c r="AB543" s="150"/>
      <c r="AC543" s="150"/>
      <c r="AD543" s="150"/>
      <c r="AE543" s="150"/>
      <c r="AF543" s="150"/>
      <c r="AG543" s="150"/>
      <c r="AH543" s="150"/>
      <c r="AI543" s="150"/>
      <c r="AJ543" s="151"/>
      <c r="AK543" s="143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144"/>
    </row>
    <row r="544" spans="2:61" ht="20.100000000000001" customHeight="1" x14ac:dyDescent="0.45">
      <c r="B544" s="138"/>
      <c r="C544" s="31"/>
      <c r="D544" s="31"/>
      <c r="E544" s="31"/>
      <c r="F544" s="31"/>
      <c r="G544" s="139"/>
      <c r="H544" s="140"/>
      <c r="I544" s="31"/>
      <c r="J544" s="149" t="s">
        <v>168</v>
      </c>
      <c r="K544" s="150"/>
      <c r="L544" s="150"/>
      <c r="M544" s="150"/>
      <c r="N544" s="150"/>
      <c r="O544" s="150"/>
      <c r="P544" s="150"/>
      <c r="Q544" s="151"/>
      <c r="R544" s="150" t="s">
        <v>526</v>
      </c>
      <c r="S544" s="150"/>
      <c r="T544" s="150"/>
      <c r="U544" s="150"/>
      <c r="V544" s="150"/>
      <c r="W544" s="150"/>
      <c r="X544" s="150"/>
      <c r="Y544" s="150"/>
      <c r="Z544" s="150"/>
      <c r="AA544" s="150"/>
      <c r="AB544" s="150"/>
      <c r="AC544" s="150"/>
      <c r="AD544" s="150"/>
      <c r="AE544" s="150"/>
      <c r="AF544" s="150"/>
      <c r="AG544" s="150"/>
      <c r="AH544" s="150"/>
      <c r="AI544" s="150"/>
      <c r="AJ544" s="151"/>
      <c r="AK544" s="143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144"/>
    </row>
    <row r="545" spans="2:61" ht="20.100000000000001" customHeight="1" x14ac:dyDescent="0.45">
      <c r="B545" s="138"/>
      <c r="C545" s="31"/>
      <c r="D545" s="31"/>
      <c r="E545" s="31"/>
      <c r="F545" s="31"/>
      <c r="G545" s="139"/>
      <c r="H545" s="140"/>
      <c r="I545" s="31"/>
      <c r="J545" s="149" t="s">
        <v>245</v>
      </c>
      <c r="K545" s="150"/>
      <c r="L545" s="150"/>
      <c r="M545" s="150"/>
      <c r="N545" s="150"/>
      <c r="O545" s="150"/>
      <c r="P545" s="150"/>
      <c r="Q545" s="151"/>
      <c r="R545" s="150" t="s">
        <v>527</v>
      </c>
      <c r="S545" s="150"/>
      <c r="T545" s="150"/>
      <c r="U545" s="150"/>
      <c r="V545" s="150"/>
      <c r="W545" s="150"/>
      <c r="X545" s="150"/>
      <c r="Y545" s="150"/>
      <c r="Z545" s="150"/>
      <c r="AA545" s="150"/>
      <c r="AB545" s="150"/>
      <c r="AC545" s="150"/>
      <c r="AD545" s="150"/>
      <c r="AE545" s="150"/>
      <c r="AF545" s="150"/>
      <c r="AG545" s="150"/>
      <c r="AH545" s="150"/>
      <c r="AI545" s="150"/>
      <c r="AJ545" s="151"/>
      <c r="AK545" s="143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144"/>
    </row>
    <row r="546" spans="2:61" ht="20.100000000000001" customHeight="1" x14ac:dyDescent="0.45">
      <c r="B546" s="138"/>
      <c r="C546" s="31"/>
      <c r="D546" s="31"/>
      <c r="E546" s="31"/>
      <c r="F546" s="31"/>
      <c r="G546" s="139"/>
      <c r="H546" s="140"/>
      <c r="I546" s="31"/>
      <c r="J546" s="149" t="s">
        <v>246</v>
      </c>
      <c r="K546" s="150"/>
      <c r="L546" s="150"/>
      <c r="M546" s="150"/>
      <c r="N546" s="150"/>
      <c r="O546" s="150"/>
      <c r="P546" s="150"/>
      <c r="Q546" s="151"/>
      <c r="R546" s="150" t="s">
        <v>528</v>
      </c>
      <c r="S546" s="150"/>
      <c r="T546" s="150"/>
      <c r="U546" s="150"/>
      <c r="V546" s="150"/>
      <c r="W546" s="150"/>
      <c r="X546" s="150"/>
      <c r="Y546" s="150"/>
      <c r="Z546" s="150"/>
      <c r="AA546" s="150"/>
      <c r="AB546" s="150"/>
      <c r="AC546" s="150"/>
      <c r="AD546" s="150"/>
      <c r="AE546" s="150"/>
      <c r="AF546" s="150"/>
      <c r="AG546" s="150"/>
      <c r="AH546" s="150"/>
      <c r="AI546" s="150"/>
      <c r="AJ546" s="151"/>
      <c r="AK546" s="143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144"/>
    </row>
    <row r="547" spans="2:61" ht="20.100000000000001" customHeight="1" x14ac:dyDescent="0.45">
      <c r="B547" s="138"/>
      <c r="C547" s="31"/>
      <c r="D547" s="31"/>
      <c r="E547" s="31"/>
      <c r="F547" s="31"/>
      <c r="G547" s="139"/>
      <c r="H547" s="140"/>
      <c r="I547" s="31"/>
      <c r="J547" s="149" t="s">
        <v>248</v>
      </c>
      <c r="K547" s="150"/>
      <c r="L547" s="150"/>
      <c r="M547" s="150"/>
      <c r="N547" s="150"/>
      <c r="O547" s="150"/>
      <c r="P547" s="150"/>
      <c r="Q547" s="151"/>
      <c r="R547" s="150" t="s">
        <v>529</v>
      </c>
      <c r="S547" s="150"/>
      <c r="T547" s="150"/>
      <c r="U547" s="150"/>
      <c r="V547" s="150"/>
      <c r="W547" s="150"/>
      <c r="X547" s="150"/>
      <c r="Y547" s="150"/>
      <c r="Z547" s="150"/>
      <c r="AA547" s="150"/>
      <c r="AB547" s="150"/>
      <c r="AC547" s="150"/>
      <c r="AD547" s="150"/>
      <c r="AE547" s="150"/>
      <c r="AF547" s="150"/>
      <c r="AG547" s="150"/>
      <c r="AH547" s="150"/>
      <c r="AI547" s="150"/>
      <c r="AJ547" s="151"/>
      <c r="AK547" s="143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144"/>
    </row>
    <row r="548" spans="2:61" ht="20.100000000000001" customHeight="1" x14ac:dyDescent="0.45">
      <c r="B548" s="138"/>
      <c r="C548" s="31"/>
      <c r="D548" s="31"/>
      <c r="E548" s="31"/>
      <c r="F548" s="31"/>
      <c r="G548" s="139"/>
      <c r="H548" s="140"/>
      <c r="I548" s="31"/>
      <c r="J548" s="149" t="s">
        <v>247</v>
      </c>
      <c r="K548" s="150"/>
      <c r="L548" s="150"/>
      <c r="M548" s="150"/>
      <c r="N548" s="150"/>
      <c r="O548" s="150"/>
      <c r="P548" s="150"/>
      <c r="Q548" s="151"/>
      <c r="R548" s="150" t="s">
        <v>530</v>
      </c>
      <c r="S548" s="150"/>
      <c r="T548" s="150"/>
      <c r="U548" s="150"/>
      <c r="V548" s="150"/>
      <c r="W548" s="150"/>
      <c r="X548" s="150"/>
      <c r="Y548" s="150"/>
      <c r="Z548" s="150"/>
      <c r="AA548" s="150"/>
      <c r="AB548" s="150"/>
      <c r="AC548" s="150"/>
      <c r="AD548" s="150"/>
      <c r="AE548" s="150"/>
      <c r="AF548" s="150"/>
      <c r="AG548" s="150"/>
      <c r="AH548" s="150"/>
      <c r="AI548" s="150"/>
      <c r="AJ548" s="151"/>
      <c r="AK548" s="143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144"/>
    </row>
    <row r="549" spans="2:61" ht="20.100000000000001" customHeight="1" x14ac:dyDescent="0.45">
      <c r="B549" s="138"/>
      <c r="C549" s="31"/>
      <c r="D549" s="31"/>
      <c r="E549" s="31"/>
      <c r="F549" s="31"/>
      <c r="G549" s="139"/>
      <c r="H549" s="140"/>
      <c r="I549" s="31"/>
      <c r="J549" s="149" t="s">
        <v>249</v>
      </c>
      <c r="K549" s="150"/>
      <c r="L549" s="150"/>
      <c r="M549" s="150"/>
      <c r="N549" s="150"/>
      <c r="O549" s="150"/>
      <c r="P549" s="150"/>
      <c r="Q549" s="151"/>
      <c r="R549" s="150" t="s">
        <v>531</v>
      </c>
      <c r="S549" s="150"/>
      <c r="T549" s="150"/>
      <c r="U549" s="150"/>
      <c r="V549" s="150"/>
      <c r="W549" s="150"/>
      <c r="X549" s="150"/>
      <c r="Y549" s="150"/>
      <c r="Z549" s="150"/>
      <c r="AA549" s="150"/>
      <c r="AB549" s="150"/>
      <c r="AC549" s="150"/>
      <c r="AD549" s="150"/>
      <c r="AE549" s="150"/>
      <c r="AF549" s="150"/>
      <c r="AG549" s="150"/>
      <c r="AH549" s="150"/>
      <c r="AI549" s="150"/>
      <c r="AJ549" s="151"/>
      <c r="AK549" s="143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144"/>
    </row>
    <row r="550" spans="2:61" ht="20.100000000000001" customHeight="1" x14ac:dyDescent="0.45">
      <c r="B550" s="138"/>
      <c r="C550" s="31"/>
      <c r="D550" s="31"/>
      <c r="E550" s="31"/>
      <c r="F550" s="31"/>
      <c r="G550" s="139"/>
      <c r="H550" s="140"/>
      <c r="I550" s="31"/>
      <c r="J550" s="149" t="s">
        <v>250</v>
      </c>
      <c r="K550" s="150"/>
      <c r="L550" s="150"/>
      <c r="M550" s="150"/>
      <c r="N550" s="150"/>
      <c r="O550" s="150"/>
      <c r="P550" s="150"/>
      <c r="Q550" s="151"/>
      <c r="R550" s="150" t="s">
        <v>532</v>
      </c>
      <c r="S550" s="150"/>
      <c r="T550" s="150"/>
      <c r="U550" s="150"/>
      <c r="V550" s="150"/>
      <c r="W550" s="150"/>
      <c r="X550" s="150"/>
      <c r="Y550" s="150"/>
      <c r="Z550" s="150"/>
      <c r="AA550" s="150"/>
      <c r="AB550" s="150"/>
      <c r="AC550" s="150"/>
      <c r="AD550" s="150"/>
      <c r="AE550" s="150"/>
      <c r="AF550" s="150"/>
      <c r="AG550" s="150"/>
      <c r="AH550" s="150"/>
      <c r="AI550" s="150"/>
      <c r="AJ550" s="151"/>
      <c r="AK550" s="143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144"/>
    </row>
    <row r="551" spans="2:61" ht="20.100000000000001" customHeight="1" x14ac:dyDescent="0.45">
      <c r="B551" s="138"/>
      <c r="C551" s="31"/>
      <c r="D551" s="31"/>
      <c r="E551" s="31"/>
      <c r="F551" s="31"/>
      <c r="G551" s="139"/>
      <c r="H551" s="140"/>
      <c r="I551" s="31"/>
      <c r="J551" s="149" t="s">
        <v>251</v>
      </c>
      <c r="K551" s="150"/>
      <c r="L551" s="150"/>
      <c r="M551" s="150"/>
      <c r="N551" s="150"/>
      <c r="O551" s="150"/>
      <c r="P551" s="150"/>
      <c r="Q551" s="151"/>
      <c r="R551" s="150" t="s">
        <v>533</v>
      </c>
      <c r="S551" s="150"/>
      <c r="T551" s="150"/>
      <c r="U551" s="150"/>
      <c r="V551" s="150"/>
      <c r="W551" s="150"/>
      <c r="X551" s="150"/>
      <c r="Y551" s="150"/>
      <c r="Z551" s="150"/>
      <c r="AA551" s="150"/>
      <c r="AB551" s="150"/>
      <c r="AC551" s="150"/>
      <c r="AD551" s="150"/>
      <c r="AE551" s="150"/>
      <c r="AF551" s="150"/>
      <c r="AG551" s="150"/>
      <c r="AH551" s="150"/>
      <c r="AI551" s="150"/>
      <c r="AJ551" s="151"/>
      <c r="AK551" s="143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144"/>
    </row>
    <row r="552" spans="2:61" ht="20.100000000000001" customHeight="1" x14ac:dyDescent="0.45">
      <c r="B552" s="138"/>
      <c r="C552" s="31"/>
      <c r="D552" s="31"/>
      <c r="E552" s="31"/>
      <c r="F552" s="31"/>
      <c r="G552" s="139"/>
      <c r="H552" s="140"/>
      <c r="I552" s="31"/>
      <c r="J552" s="149" t="s">
        <v>252</v>
      </c>
      <c r="K552" s="150"/>
      <c r="L552" s="150"/>
      <c r="M552" s="150"/>
      <c r="N552" s="150"/>
      <c r="O552" s="150"/>
      <c r="P552" s="150"/>
      <c r="Q552" s="151"/>
      <c r="R552" s="150" t="s">
        <v>534</v>
      </c>
      <c r="S552" s="150"/>
      <c r="T552" s="150"/>
      <c r="U552" s="150"/>
      <c r="V552" s="150"/>
      <c r="W552" s="150"/>
      <c r="X552" s="150"/>
      <c r="Y552" s="150"/>
      <c r="Z552" s="150"/>
      <c r="AA552" s="150"/>
      <c r="AB552" s="150"/>
      <c r="AC552" s="150"/>
      <c r="AD552" s="150"/>
      <c r="AE552" s="150"/>
      <c r="AF552" s="150"/>
      <c r="AG552" s="150"/>
      <c r="AH552" s="150"/>
      <c r="AI552" s="150"/>
      <c r="AJ552" s="151"/>
      <c r="AK552" s="143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144"/>
    </row>
    <row r="553" spans="2:61" ht="20.100000000000001" customHeight="1" x14ac:dyDescent="0.45">
      <c r="B553" s="138"/>
      <c r="C553" s="31"/>
      <c r="D553" s="31"/>
      <c r="E553" s="31"/>
      <c r="F553" s="31"/>
      <c r="G553" s="139"/>
      <c r="H553" s="140"/>
      <c r="I553" s="31"/>
      <c r="J553" s="149" t="s">
        <v>253</v>
      </c>
      <c r="K553" s="150"/>
      <c r="L553" s="150"/>
      <c r="M553" s="150"/>
      <c r="N553" s="150"/>
      <c r="O553" s="150"/>
      <c r="P553" s="150"/>
      <c r="Q553" s="151"/>
      <c r="R553" s="150" t="s">
        <v>508</v>
      </c>
      <c r="S553" s="150"/>
      <c r="T553" s="150"/>
      <c r="U553" s="150"/>
      <c r="V553" s="150"/>
      <c r="W553" s="150"/>
      <c r="X553" s="150"/>
      <c r="Y553" s="150"/>
      <c r="Z553" s="150"/>
      <c r="AA553" s="150"/>
      <c r="AB553" s="150"/>
      <c r="AC553" s="150"/>
      <c r="AD553" s="150"/>
      <c r="AE553" s="150"/>
      <c r="AF553" s="150"/>
      <c r="AG553" s="150"/>
      <c r="AH553" s="150"/>
      <c r="AI553" s="150"/>
      <c r="AJ553" s="151"/>
      <c r="AK553" s="143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144"/>
    </row>
    <row r="554" spans="2:61" ht="20.100000000000001" customHeight="1" x14ac:dyDescent="0.45">
      <c r="B554" s="138"/>
      <c r="C554" s="31"/>
      <c r="D554" s="31"/>
      <c r="E554" s="31"/>
      <c r="F554" s="31"/>
      <c r="G554" s="139"/>
      <c r="H554" s="145" t="s">
        <v>169</v>
      </c>
      <c r="I554" s="55"/>
      <c r="J554" s="145" t="s">
        <v>429</v>
      </c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146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  <c r="BD554" s="55"/>
      <c r="BE554" s="55"/>
      <c r="BF554" s="55"/>
      <c r="BG554" s="55"/>
      <c r="BH554" s="55"/>
      <c r="BI554" s="147"/>
    </row>
    <row r="555" spans="2:61" ht="20.100000000000001" customHeight="1" x14ac:dyDescent="0.45">
      <c r="B555" s="138"/>
      <c r="C555" s="31"/>
      <c r="D555" s="31"/>
      <c r="E555" s="31"/>
      <c r="F555" s="31"/>
      <c r="G555" s="139"/>
      <c r="H555" s="140"/>
      <c r="I555" s="31"/>
      <c r="J555" s="140"/>
      <c r="K555" s="31" t="s">
        <v>480</v>
      </c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143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144"/>
    </row>
    <row r="556" spans="2:61" ht="20.100000000000001" customHeight="1" x14ac:dyDescent="0.45">
      <c r="B556" s="138"/>
      <c r="C556" s="31"/>
      <c r="D556" s="31"/>
      <c r="E556" s="31"/>
      <c r="F556" s="31"/>
      <c r="G556" s="139"/>
      <c r="H556" s="140"/>
      <c r="I556" s="31"/>
      <c r="J556" s="140"/>
      <c r="K556" s="31" t="s">
        <v>444</v>
      </c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143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144"/>
    </row>
    <row r="557" spans="2:61" ht="20.100000000000001" customHeight="1" x14ac:dyDescent="0.45">
      <c r="B557" s="148"/>
      <c r="C557" s="31"/>
      <c r="D557" s="31"/>
      <c r="E557" s="31"/>
      <c r="F557" s="31"/>
      <c r="G557" s="139"/>
      <c r="H557" s="145" t="s">
        <v>171</v>
      </c>
      <c r="I557" s="55"/>
      <c r="J557" s="152" t="s">
        <v>481</v>
      </c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146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  <c r="BD557" s="55"/>
      <c r="BE557" s="55"/>
      <c r="BF557" s="55"/>
      <c r="BG557" s="55"/>
      <c r="BH557" s="55"/>
      <c r="BI557" s="147"/>
    </row>
    <row r="558" spans="2:61" ht="20.100000000000001" customHeight="1" x14ac:dyDescent="0.45">
      <c r="B558" s="148"/>
      <c r="C558" s="31"/>
      <c r="D558" s="31"/>
      <c r="E558" s="31"/>
      <c r="F558" s="31"/>
      <c r="G558" s="139"/>
      <c r="H558" s="140"/>
      <c r="I558" s="31"/>
      <c r="J558" s="155"/>
      <c r="K558" s="31" t="s">
        <v>482</v>
      </c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143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144"/>
    </row>
    <row r="559" spans="2:61" ht="20.100000000000001" customHeight="1" x14ac:dyDescent="0.45">
      <c r="B559" s="148"/>
      <c r="C559" s="31"/>
      <c r="D559" s="31"/>
      <c r="E559" s="31"/>
      <c r="F559" s="31"/>
      <c r="G559" s="139"/>
      <c r="H559" s="140"/>
      <c r="I559" s="31"/>
      <c r="J559" s="155"/>
      <c r="K559" s="31" t="s">
        <v>483</v>
      </c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143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144"/>
    </row>
    <row r="560" spans="2:61" ht="20.100000000000001" customHeight="1" x14ac:dyDescent="0.45">
      <c r="B560" s="148"/>
      <c r="C560" s="31"/>
      <c r="D560" s="31"/>
      <c r="E560" s="31"/>
      <c r="F560" s="31"/>
      <c r="G560" s="139"/>
      <c r="H560" s="140"/>
      <c r="I560" s="31"/>
      <c r="J560" s="155"/>
      <c r="K560" s="31" t="s">
        <v>484</v>
      </c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143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144"/>
    </row>
    <row r="561" spans="2:61" ht="20.100000000000001" customHeight="1" x14ac:dyDescent="0.45">
      <c r="B561" s="148"/>
      <c r="C561" s="31"/>
      <c r="D561" s="31"/>
      <c r="E561" s="31"/>
      <c r="F561" s="31"/>
      <c r="G561" s="139"/>
      <c r="H561" s="140"/>
      <c r="I561" s="31"/>
      <c r="J561" s="155"/>
      <c r="K561" s="31" t="s">
        <v>485</v>
      </c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143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144"/>
    </row>
    <row r="562" spans="2:61" ht="20.100000000000001" customHeight="1" x14ac:dyDescent="0.45">
      <c r="B562" s="148"/>
      <c r="C562" s="31"/>
      <c r="D562" s="31"/>
      <c r="E562" s="31"/>
      <c r="F562" s="31"/>
      <c r="G562" s="139"/>
      <c r="H562" s="140"/>
      <c r="I562" s="31"/>
      <c r="J562" s="155"/>
      <c r="K562" s="31" t="s">
        <v>486</v>
      </c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143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144"/>
    </row>
    <row r="563" spans="2:61" ht="20.100000000000001" customHeight="1" thickBot="1" x14ac:dyDescent="0.5">
      <c r="B563" s="148"/>
      <c r="C563" s="31"/>
      <c r="D563" s="31"/>
      <c r="E563" s="31"/>
      <c r="F563" s="31"/>
      <c r="G563" s="139"/>
      <c r="H563" s="140"/>
      <c r="I563" s="31"/>
      <c r="J563" s="155"/>
      <c r="K563" s="31" t="s">
        <v>487</v>
      </c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143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144"/>
    </row>
    <row r="564" spans="2:61" ht="20.100000000000001" customHeight="1" x14ac:dyDescent="0.45">
      <c r="B564" s="129" t="s">
        <v>488</v>
      </c>
      <c r="C564" s="130"/>
      <c r="D564" s="130"/>
      <c r="E564" s="130"/>
      <c r="F564" s="130"/>
      <c r="G564" s="131"/>
      <c r="H564" s="132" t="s">
        <v>159</v>
      </c>
      <c r="I564" s="130"/>
      <c r="J564" s="133" t="s">
        <v>160</v>
      </c>
      <c r="K564" s="134"/>
      <c r="L564" s="134"/>
      <c r="M564" s="134"/>
      <c r="N564" s="134"/>
      <c r="O564" s="134"/>
      <c r="P564" s="134"/>
      <c r="Q564" s="135"/>
      <c r="R564" s="134" t="s">
        <v>395</v>
      </c>
      <c r="S564" s="134"/>
      <c r="T564" s="134"/>
      <c r="U564" s="134"/>
      <c r="V564" s="134"/>
      <c r="W564" s="134"/>
      <c r="X564" s="134"/>
      <c r="Y564" s="134"/>
      <c r="Z564" s="134"/>
      <c r="AA564" s="134"/>
      <c r="AB564" s="134"/>
      <c r="AC564" s="134"/>
      <c r="AD564" s="134"/>
      <c r="AE564" s="134"/>
      <c r="AF564" s="134"/>
      <c r="AG564" s="134"/>
      <c r="AH564" s="134"/>
      <c r="AI564" s="134"/>
      <c r="AJ564" s="135"/>
      <c r="AK564" s="136"/>
      <c r="AL564" s="130"/>
      <c r="AM564" s="130"/>
      <c r="AN564" s="130"/>
      <c r="AO564" s="130"/>
      <c r="AP564" s="130"/>
      <c r="AQ564" s="130"/>
      <c r="AR564" s="130"/>
      <c r="AS564" s="130"/>
      <c r="AT564" s="130"/>
      <c r="AU564" s="130"/>
      <c r="AV564" s="130"/>
      <c r="AW564" s="130"/>
      <c r="AX564" s="130"/>
      <c r="AY564" s="130"/>
      <c r="AZ564" s="130"/>
      <c r="BA564" s="130"/>
      <c r="BB564" s="130"/>
      <c r="BC564" s="130"/>
      <c r="BD564" s="130"/>
      <c r="BE564" s="130"/>
      <c r="BF564" s="130"/>
      <c r="BG564" s="130"/>
      <c r="BH564" s="130"/>
      <c r="BI564" s="137"/>
    </row>
    <row r="565" spans="2:61" ht="20.100000000000001" customHeight="1" x14ac:dyDescent="0.45">
      <c r="B565" s="138"/>
      <c r="C565" s="31"/>
      <c r="D565" s="31"/>
      <c r="E565" s="31"/>
      <c r="F565" s="31"/>
      <c r="G565" s="139"/>
      <c r="H565" s="140"/>
      <c r="I565" s="31"/>
      <c r="J565" s="149" t="s">
        <v>227</v>
      </c>
      <c r="K565" s="150"/>
      <c r="L565" s="150"/>
      <c r="M565" s="150"/>
      <c r="N565" s="150"/>
      <c r="O565" s="150"/>
      <c r="P565" s="150"/>
      <c r="Q565" s="151"/>
      <c r="R565" s="154" t="s">
        <v>396</v>
      </c>
      <c r="S565" s="150"/>
      <c r="T565" s="150"/>
      <c r="U565" s="150"/>
      <c r="V565" s="150"/>
      <c r="W565" s="150"/>
      <c r="X565" s="150"/>
      <c r="Y565" s="150"/>
      <c r="Z565" s="150"/>
      <c r="AA565" s="150"/>
      <c r="AB565" s="150"/>
      <c r="AC565" s="150"/>
      <c r="AD565" s="150"/>
      <c r="AE565" s="150"/>
      <c r="AF565" s="150"/>
      <c r="AG565" s="150"/>
      <c r="AH565" s="150"/>
      <c r="AI565" s="150"/>
      <c r="AJ565" s="151"/>
      <c r="AK565" s="143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144"/>
    </row>
    <row r="566" spans="2:61" ht="20.100000000000001" customHeight="1" x14ac:dyDescent="0.45">
      <c r="B566" s="138"/>
      <c r="C566" s="31"/>
      <c r="D566" s="31"/>
      <c r="E566" s="31"/>
      <c r="F566" s="31"/>
      <c r="G566" s="139"/>
      <c r="H566" s="140"/>
      <c r="I566" s="31"/>
      <c r="J566" s="149" t="s">
        <v>489</v>
      </c>
      <c r="K566" s="150"/>
      <c r="L566" s="150"/>
      <c r="M566" s="150"/>
      <c r="N566" s="150"/>
      <c r="O566" s="150"/>
      <c r="P566" s="150"/>
      <c r="Q566" s="151"/>
      <c r="R566" s="154" t="s">
        <v>428</v>
      </c>
      <c r="S566" s="150"/>
      <c r="T566" s="150"/>
      <c r="U566" s="150"/>
      <c r="V566" s="150"/>
      <c r="W566" s="150"/>
      <c r="X566" s="150"/>
      <c r="Y566" s="150"/>
      <c r="Z566" s="150"/>
      <c r="AA566" s="150"/>
      <c r="AB566" s="150"/>
      <c r="AC566" s="150"/>
      <c r="AD566" s="150"/>
      <c r="AE566" s="150"/>
      <c r="AF566" s="150"/>
      <c r="AG566" s="150"/>
      <c r="AH566" s="150"/>
      <c r="AI566" s="150"/>
      <c r="AJ566" s="151"/>
      <c r="AK566" s="143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144"/>
    </row>
    <row r="567" spans="2:61" ht="20.100000000000001" customHeight="1" x14ac:dyDescent="0.45">
      <c r="B567" s="138"/>
      <c r="C567" s="31"/>
      <c r="D567" s="31"/>
      <c r="E567" s="31"/>
      <c r="F567" s="31"/>
      <c r="G567" s="139"/>
      <c r="H567" s="140"/>
      <c r="I567" s="31"/>
      <c r="J567" s="149" t="s">
        <v>229</v>
      </c>
      <c r="K567" s="150"/>
      <c r="L567" s="150"/>
      <c r="M567" s="150"/>
      <c r="N567" s="150"/>
      <c r="O567" s="150"/>
      <c r="P567" s="150"/>
      <c r="Q567" s="151"/>
      <c r="R567" s="150" t="s">
        <v>535</v>
      </c>
      <c r="S567" s="150"/>
      <c r="T567" s="150"/>
      <c r="U567" s="150"/>
      <c r="V567" s="150"/>
      <c r="W567" s="150"/>
      <c r="X567" s="150"/>
      <c r="Y567" s="150"/>
      <c r="Z567" s="150"/>
      <c r="AA567" s="150"/>
      <c r="AB567" s="150"/>
      <c r="AC567" s="150"/>
      <c r="AD567" s="150"/>
      <c r="AE567" s="150"/>
      <c r="AF567" s="150"/>
      <c r="AG567" s="150"/>
      <c r="AH567" s="150"/>
      <c r="AI567" s="150"/>
      <c r="AJ567" s="151"/>
      <c r="AK567" s="143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144"/>
    </row>
    <row r="568" spans="2:61" ht="20.100000000000001" customHeight="1" x14ac:dyDescent="0.45">
      <c r="B568" s="138"/>
      <c r="C568" s="31"/>
      <c r="D568" s="31"/>
      <c r="E568" s="31"/>
      <c r="F568" s="31"/>
      <c r="G568" s="139"/>
      <c r="H568" s="140"/>
      <c r="I568" s="31"/>
      <c r="J568" s="149" t="s">
        <v>237</v>
      </c>
      <c r="K568" s="150"/>
      <c r="L568" s="150"/>
      <c r="M568" s="150"/>
      <c r="N568" s="150"/>
      <c r="O568" s="150"/>
      <c r="P568" s="150"/>
      <c r="Q568" s="151"/>
      <c r="R568" s="150" t="s">
        <v>536</v>
      </c>
      <c r="S568" s="150"/>
      <c r="T568" s="150"/>
      <c r="U568" s="150"/>
      <c r="V568" s="150"/>
      <c r="W568" s="150"/>
      <c r="X568" s="150"/>
      <c r="Y568" s="150"/>
      <c r="Z568" s="150"/>
      <c r="AA568" s="150"/>
      <c r="AB568" s="150"/>
      <c r="AC568" s="150"/>
      <c r="AD568" s="150"/>
      <c r="AE568" s="150"/>
      <c r="AF568" s="150"/>
      <c r="AG568" s="150"/>
      <c r="AH568" s="150"/>
      <c r="AI568" s="150"/>
      <c r="AJ568" s="151"/>
      <c r="AK568" s="143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144"/>
    </row>
    <row r="569" spans="2:61" ht="20.100000000000001" customHeight="1" x14ac:dyDescent="0.45">
      <c r="B569" s="138"/>
      <c r="C569" s="31"/>
      <c r="D569" s="31"/>
      <c r="E569" s="31"/>
      <c r="F569" s="31"/>
      <c r="G569" s="139"/>
      <c r="H569" s="140"/>
      <c r="I569" s="31"/>
      <c r="J569" s="149" t="s">
        <v>244</v>
      </c>
      <c r="K569" s="150"/>
      <c r="L569" s="150"/>
      <c r="M569" s="150"/>
      <c r="N569" s="150"/>
      <c r="O569" s="150"/>
      <c r="P569" s="150"/>
      <c r="Q569" s="151"/>
      <c r="R569" s="154" t="s">
        <v>537</v>
      </c>
      <c r="S569" s="150"/>
      <c r="T569" s="150"/>
      <c r="U569" s="150"/>
      <c r="V569" s="150"/>
      <c r="W569" s="150"/>
      <c r="X569" s="150"/>
      <c r="Y569" s="150"/>
      <c r="Z569" s="150"/>
      <c r="AA569" s="150"/>
      <c r="AB569" s="150"/>
      <c r="AC569" s="150"/>
      <c r="AD569" s="150"/>
      <c r="AE569" s="150"/>
      <c r="AF569" s="150"/>
      <c r="AG569" s="150"/>
      <c r="AH569" s="150"/>
      <c r="AI569" s="150"/>
      <c r="AJ569" s="151"/>
      <c r="AK569" s="143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144"/>
    </row>
    <row r="570" spans="2:61" ht="20.100000000000001" customHeight="1" x14ac:dyDescent="0.45">
      <c r="B570" s="138"/>
      <c r="C570" s="31"/>
      <c r="D570" s="31"/>
      <c r="E570" s="31"/>
      <c r="F570" s="31"/>
      <c r="G570" s="139"/>
      <c r="H570" s="140"/>
      <c r="I570" s="31"/>
      <c r="J570" s="149" t="s">
        <v>490</v>
      </c>
      <c r="K570" s="150"/>
      <c r="L570" s="150"/>
      <c r="M570" s="150"/>
      <c r="N570" s="150"/>
      <c r="O570" s="150"/>
      <c r="P570" s="150"/>
      <c r="Q570" s="151"/>
      <c r="R570" s="154" t="s">
        <v>538</v>
      </c>
      <c r="S570" s="150"/>
      <c r="T570" s="150"/>
      <c r="U570" s="150"/>
      <c r="V570" s="150"/>
      <c r="W570" s="150"/>
      <c r="X570" s="150"/>
      <c r="Y570" s="150"/>
      <c r="Z570" s="150"/>
      <c r="AA570" s="150"/>
      <c r="AB570" s="150"/>
      <c r="AC570" s="150"/>
      <c r="AD570" s="150"/>
      <c r="AE570" s="150"/>
      <c r="AF570" s="150"/>
      <c r="AG570" s="150"/>
      <c r="AH570" s="150"/>
      <c r="AI570" s="150"/>
      <c r="AJ570" s="151"/>
      <c r="AK570" s="143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144"/>
    </row>
    <row r="571" spans="2:61" ht="20.100000000000001" customHeight="1" x14ac:dyDescent="0.45">
      <c r="B571" s="138"/>
      <c r="C571" s="31"/>
      <c r="D571" s="31"/>
      <c r="E571" s="31"/>
      <c r="F571" s="31"/>
      <c r="G571" s="139"/>
      <c r="H571" s="145" t="s">
        <v>169</v>
      </c>
      <c r="I571" s="55"/>
      <c r="J571" s="145" t="s">
        <v>491</v>
      </c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146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  <c r="BD571" s="55"/>
      <c r="BE571" s="55"/>
      <c r="BF571" s="55"/>
      <c r="BG571" s="55"/>
      <c r="BH571" s="55"/>
      <c r="BI571" s="147"/>
    </row>
    <row r="572" spans="2:61" ht="20.100000000000001" customHeight="1" x14ac:dyDescent="0.45">
      <c r="B572" s="148"/>
      <c r="C572" s="31"/>
      <c r="D572" s="31"/>
      <c r="E572" s="31"/>
      <c r="F572" s="31"/>
      <c r="G572" s="139"/>
      <c r="H572" s="145" t="s">
        <v>173</v>
      </c>
      <c r="I572" s="55"/>
      <c r="J572" s="152" t="s">
        <v>492</v>
      </c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146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  <c r="BI572" s="147"/>
    </row>
    <row r="573" spans="2:61" ht="20.100000000000001" customHeight="1" thickBot="1" x14ac:dyDescent="0.5">
      <c r="B573" s="148"/>
      <c r="C573" s="31"/>
      <c r="D573" s="31"/>
      <c r="E573" s="31"/>
      <c r="F573" s="31"/>
      <c r="G573" s="139"/>
      <c r="H573" s="145" t="s">
        <v>493</v>
      </c>
      <c r="I573" s="55"/>
      <c r="J573" s="152" t="s">
        <v>494</v>
      </c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146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  <c r="BD573" s="55"/>
      <c r="BE573" s="55"/>
      <c r="BF573" s="55"/>
      <c r="BG573" s="55"/>
      <c r="BH573" s="55"/>
      <c r="BI573" s="147"/>
    </row>
    <row r="574" spans="2:61" ht="20.100000000000001" customHeight="1" x14ac:dyDescent="0.45">
      <c r="B574" s="129" t="s">
        <v>495</v>
      </c>
      <c r="C574" s="130"/>
      <c r="D574" s="130"/>
      <c r="E574" s="130"/>
      <c r="F574" s="130"/>
      <c r="G574" s="131"/>
      <c r="H574" s="132" t="s">
        <v>159</v>
      </c>
      <c r="I574" s="130"/>
      <c r="J574" s="133" t="s">
        <v>160</v>
      </c>
      <c r="K574" s="134"/>
      <c r="L574" s="134"/>
      <c r="M574" s="134"/>
      <c r="N574" s="134"/>
      <c r="O574" s="134"/>
      <c r="P574" s="134"/>
      <c r="Q574" s="135"/>
      <c r="R574" s="134" t="s">
        <v>539</v>
      </c>
      <c r="S574" s="134"/>
      <c r="T574" s="134"/>
      <c r="U574" s="134"/>
      <c r="V574" s="134"/>
      <c r="W574" s="134"/>
      <c r="X574" s="134"/>
      <c r="Y574" s="134"/>
      <c r="Z574" s="134"/>
      <c r="AA574" s="134"/>
      <c r="AB574" s="134"/>
      <c r="AC574" s="134"/>
      <c r="AD574" s="134"/>
      <c r="AE574" s="134"/>
      <c r="AF574" s="134"/>
      <c r="AG574" s="134"/>
      <c r="AH574" s="134"/>
      <c r="AI574" s="134"/>
      <c r="AJ574" s="135"/>
      <c r="AK574" s="136"/>
      <c r="AL574" s="130"/>
      <c r="AM574" s="130"/>
      <c r="AN574" s="130"/>
      <c r="AO574" s="130"/>
      <c r="AP574" s="130"/>
      <c r="AQ574" s="130"/>
      <c r="AR574" s="130"/>
      <c r="AS574" s="130"/>
      <c r="AT574" s="130"/>
      <c r="AU574" s="130"/>
      <c r="AV574" s="130"/>
      <c r="AW574" s="130"/>
      <c r="AX574" s="130"/>
      <c r="AY574" s="130"/>
      <c r="AZ574" s="130"/>
      <c r="BA574" s="130"/>
      <c r="BB574" s="130"/>
      <c r="BC574" s="130"/>
      <c r="BD574" s="130"/>
      <c r="BE574" s="130"/>
      <c r="BF574" s="130"/>
      <c r="BG574" s="130"/>
      <c r="BH574" s="130"/>
      <c r="BI574" s="137"/>
    </row>
    <row r="575" spans="2:61" ht="20.100000000000001" customHeight="1" x14ac:dyDescent="0.45">
      <c r="B575" s="138"/>
      <c r="C575" s="31"/>
      <c r="D575" s="31"/>
      <c r="E575" s="31"/>
      <c r="F575" s="31"/>
      <c r="G575" s="139"/>
      <c r="H575" s="140"/>
      <c r="I575" s="31"/>
      <c r="J575" s="149" t="s">
        <v>227</v>
      </c>
      <c r="K575" s="150"/>
      <c r="L575" s="150"/>
      <c r="M575" s="150"/>
      <c r="N575" s="150"/>
      <c r="O575" s="150"/>
      <c r="P575" s="150"/>
      <c r="Q575" s="151"/>
      <c r="R575" s="154" t="s">
        <v>540</v>
      </c>
      <c r="S575" s="150"/>
      <c r="T575" s="150"/>
      <c r="U575" s="150"/>
      <c r="V575" s="150"/>
      <c r="W575" s="150"/>
      <c r="X575" s="150"/>
      <c r="Y575" s="150"/>
      <c r="Z575" s="150"/>
      <c r="AA575" s="150"/>
      <c r="AB575" s="150"/>
      <c r="AC575" s="150"/>
      <c r="AD575" s="150"/>
      <c r="AE575" s="150"/>
      <c r="AF575" s="150"/>
      <c r="AG575" s="150"/>
      <c r="AH575" s="150"/>
      <c r="AI575" s="150"/>
      <c r="AJ575" s="151"/>
      <c r="AK575" s="143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144"/>
    </row>
    <row r="576" spans="2:61" ht="20.100000000000001" customHeight="1" x14ac:dyDescent="0.45">
      <c r="B576" s="138"/>
      <c r="C576" s="31"/>
      <c r="D576" s="31"/>
      <c r="E576" s="31"/>
      <c r="F576" s="31"/>
      <c r="G576" s="139"/>
      <c r="H576" s="140"/>
      <c r="I576" s="31"/>
      <c r="J576" s="149" t="s">
        <v>228</v>
      </c>
      <c r="K576" s="150"/>
      <c r="L576" s="150"/>
      <c r="M576" s="150"/>
      <c r="N576" s="150"/>
      <c r="O576" s="150"/>
      <c r="P576" s="150"/>
      <c r="Q576" s="151"/>
      <c r="R576" s="154" t="s">
        <v>541</v>
      </c>
      <c r="S576" s="150"/>
      <c r="T576" s="150"/>
      <c r="U576" s="150"/>
      <c r="V576" s="150"/>
      <c r="W576" s="150"/>
      <c r="X576" s="150"/>
      <c r="Y576" s="150"/>
      <c r="Z576" s="150"/>
      <c r="AA576" s="150"/>
      <c r="AB576" s="150"/>
      <c r="AC576" s="150"/>
      <c r="AD576" s="150"/>
      <c r="AE576" s="150"/>
      <c r="AF576" s="150"/>
      <c r="AG576" s="150"/>
      <c r="AH576" s="150"/>
      <c r="AI576" s="150"/>
      <c r="AJ576" s="151"/>
      <c r="AK576" s="143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144"/>
    </row>
    <row r="577" spans="2:61" ht="20.100000000000001" customHeight="1" x14ac:dyDescent="0.45">
      <c r="B577" s="138"/>
      <c r="C577" s="31"/>
      <c r="D577" s="31"/>
      <c r="E577" s="31"/>
      <c r="F577" s="31"/>
      <c r="G577" s="139"/>
      <c r="H577" s="140"/>
      <c r="I577" s="31"/>
      <c r="J577" s="149" t="s">
        <v>229</v>
      </c>
      <c r="K577" s="150"/>
      <c r="L577" s="150"/>
      <c r="M577" s="150"/>
      <c r="N577" s="150"/>
      <c r="O577" s="150"/>
      <c r="P577" s="150"/>
      <c r="Q577" s="151"/>
      <c r="R577" s="150" t="s">
        <v>542</v>
      </c>
      <c r="S577" s="150"/>
      <c r="T577" s="150"/>
      <c r="U577" s="150"/>
      <c r="V577" s="150"/>
      <c r="W577" s="150"/>
      <c r="X577" s="150"/>
      <c r="Y577" s="150"/>
      <c r="Z577" s="150"/>
      <c r="AA577" s="150"/>
      <c r="AB577" s="150"/>
      <c r="AC577" s="150"/>
      <c r="AD577" s="150"/>
      <c r="AE577" s="150"/>
      <c r="AF577" s="150"/>
      <c r="AG577" s="150"/>
      <c r="AH577" s="150"/>
      <c r="AI577" s="150"/>
      <c r="AJ577" s="151"/>
      <c r="AK577" s="143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144"/>
    </row>
    <row r="578" spans="2:61" ht="20.100000000000001" customHeight="1" x14ac:dyDescent="0.45">
      <c r="B578" s="138"/>
      <c r="C578" s="31"/>
      <c r="D578" s="31"/>
      <c r="E578" s="31"/>
      <c r="F578" s="31"/>
      <c r="G578" s="139"/>
      <c r="H578" s="140"/>
      <c r="I578" s="31"/>
      <c r="J578" s="149" t="s">
        <v>287</v>
      </c>
      <c r="K578" s="150"/>
      <c r="L578" s="150"/>
      <c r="M578" s="150"/>
      <c r="N578" s="150"/>
      <c r="O578" s="150"/>
      <c r="P578" s="150"/>
      <c r="Q578" s="151"/>
      <c r="R578" s="150" t="s">
        <v>543</v>
      </c>
      <c r="S578" s="150"/>
      <c r="T578" s="150"/>
      <c r="U578" s="150"/>
      <c r="V578" s="150"/>
      <c r="W578" s="150"/>
      <c r="X578" s="150"/>
      <c r="Y578" s="150"/>
      <c r="Z578" s="150"/>
      <c r="AA578" s="150"/>
      <c r="AB578" s="150"/>
      <c r="AC578" s="150"/>
      <c r="AD578" s="150"/>
      <c r="AE578" s="150"/>
      <c r="AF578" s="150"/>
      <c r="AG578" s="150"/>
      <c r="AH578" s="150"/>
      <c r="AI578" s="150"/>
      <c r="AJ578" s="151"/>
      <c r="AK578" s="143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144"/>
    </row>
    <row r="579" spans="2:61" ht="20.100000000000001" customHeight="1" x14ac:dyDescent="0.45">
      <c r="B579" s="138"/>
      <c r="C579" s="31"/>
      <c r="D579" s="31"/>
      <c r="E579" s="31"/>
      <c r="F579" s="31"/>
      <c r="G579" s="139"/>
      <c r="H579" s="140"/>
      <c r="I579" s="31"/>
      <c r="J579" s="149" t="s">
        <v>288</v>
      </c>
      <c r="K579" s="150"/>
      <c r="L579" s="150"/>
      <c r="M579" s="150"/>
      <c r="N579" s="150"/>
      <c r="O579" s="150"/>
      <c r="P579" s="150"/>
      <c r="Q579" s="151"/>
      <c r="R579" s="150" t="s">
        <v>544</v>
      </c>
      <c r="S579" s="150"/>
      <c r="T579" s="150"/>
      <c r="U579" s="150"/>
      <c r="V579" s="150"/>
      <c r="W579" s="150"/>
      <c r="X579" s="150"/>
      <c r="Y579" s="150"/>
      <c r="Z579" s="150"/>
      <c r="AA579" s="150"/>
      <c r="AB579" s="150"/>
      <c r="AC579" s="150"/>
      <c r="AD579" s="150"/>
      <c r="AE579" s="150"/>
      <c r="AF579" s="150"/>
      <c r="AG579" s="150"/>
      <c r="AH579" s="150"/>
      <c r="AI579" s="150"/>
      <c r="AJ579" s="151"/>
      <c r="AK579" s="143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144"/>
    </row>
    <row r="580" spans="2:61" ht="20.100000000000001" customHeight="1" x14ac:dyDescent="0.45">
      <c r="B580" s="138"/>
      <c r="C580" s="31"/>
      <c r="D580" s="31"/>
      <c r="E580" s="31"/>
      <c r="F580" s="31"/>
      <c r="G580" s="139"/>
      <c r="H580" s="140"/>
      <c r="I580" s="31"/>
      <c r="J580" s="149" t="s">
        <v>289</v>
      </c>
      <c r="K580" s="150"/>
      <c r="L580" s="150"/>
      <c r="M580" s="150"/>
      <c r="N580" s="150"/>
      <c r="O580" s="150"/>
      <c r="P580" s="150"/>
      <c r="Q580" s="151"/>
      <c r="R580" s="150" t="s">
        <v>545</v>
      </c>
      <c r="S580" s="150"/>
      <c r="T580" s="150"/>
      <c r="U580" s="150"/>
      <c r="V580" s="150"/>
      <c r="W580" s="150"/>
      <c r="X580" s="150"/>
      <c r="Y580" s="150"/>
      <c r="Z580" s="150"/>
      <c r="AA580" s="150"/>
      <c r="AB580" s="150"/>
      <c r="AC580" s="150"/>
      <c r="AD580" s="150"/>
      <c r="AE580" s="150"/>
      <c r="AF580" s="150"/>
      <c r="AG580" s="150"/>
      <c r="AH580" s="150"/>
      <c r="AI580" s="150"/>
      <c r="AJ580" s="151"/>
      <c r="AK580" s="143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144"/>
    </row>
    <row r="581" spans="2:61" ht="20.100000000000001" customHeight="1" x14ac:dyDescent="0.45">
      <c r="B581" s="138"/>
      <c r="C581" s="31"/>
      <c r="D581" s="31"/>
      <c r="E581" s="31"/>
      <c r="F581" s="31"/>
      <c r="G581" s="139"/>
      <c r="H581" s="140"/>
      <c r="I581" s="31"/>
      <c r="J581" s="149" t="s">
        <v>290</v>
      </c>
      <c r="K581" s="150"/>
      <c r="L581" s="150"/>
      <c r="M581" s="150"/>
      <c r="N581" s="150"/>
      <c r="O581" s="150"/>
      <c r="P581" s="150"/>
      <c r="Q581" s="151"/>
      <c r="R581" s="150" t="s">
        <v>546</v>
      </c>
      <c r="S581" s="150"/>
      <c r="T581" s="150"/>
      <c r="U581" s="150"/>
      <c r="V581" s="150"/>
      <c r="W581" s="150"/>
      <c r="X581" s="150"/>
      <c r="Y581" s="150"/>
      <c r="Z581" s="150"/>
      <c r="AA581" s="150"/>
      <c r="AB581" s="150"/>
      <c r="AC581" s="150"/>
      <c r="AD581" s="150"/>
      <c r="AE581" s="150"/>
      <c r="AF581" s="150"/>
      <c r="AG581" s="150"/>
      <c r="AH581" s="150"/>
      <c r="AI581" s="150"/>
      <c r="AJ581" s="151"/>
      <c r="AK581" s="143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144"/>
    </row>
    <row r="582" spans="2:61" ht="20.100000000000001" customHeight="1" x14ac:dyDescent="0.45">
      <c r="B582" s="138"/>
      <c r="C582" s="31"/>
      <c r="D582" s="31"/>
      <c r="E582" s="31"/>
      <c r="F582" s="31"/>
      <c r="G582" s="139"/>
      <c r="H582" s="140"/>
      <c r="I582" s="31"/>
      <c r="J582" s="149" t="s">
        <v>291</v>
      </c>
      <c r="K582" s="150"/>
      <c r="L582" s="150"/>
      <c r="M582" s="150"/>
      <c r="N582" s="150"/>
      <c r="O582" s="150"/>
      <c r="P582" s="150"/>
      <c r="Q582" s="151"/>
      <c r="R582" s="150" t="s">
        <v>547</v>
      </c>
      <c r="S582" s="150"/>
      <c r="T582" s="150"/>
      <c r="U582" s="150"/>
      <c r="V582" s="150"/>
      <c r="W582" s="150"/>
      <c r="X582" s="150"/>
      <c r="Y582" s="150"/>
      <c r="Z582" s="150"/>
      <c r="AA582" s="150"/>
      <c r="AB582" s="150"/>
      <c r="AC582" s="150"/>
      <c r="AD582" s="150"/>
      <c r="AE582" s="150"/>
      <c r="AF582" s="150"/>
      <c r="AG582" s="150"/>
      <c r="AH582" s="150"/>
      <c r="AI582" s="150"/>
      <c r="AJ582" s="151"/>
      <c r="AK582" s="143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144"/>
    </row>
    <row r="583" spans="2:61" ht="20.100000000000001" customHeight="1" x14ac:dyDescent="0.45">
      <c r="B583" s="138"/>
      <c r="C583" s="31"/>
      <c r="D583" s="31"/>
      <c r="E583" s="31"/>
      <c r="F583" s="31"/>
      <c r="G583" s="139"/>
      <c r="H583" s="140"/>
      <c r="I583" s="31"/>
      <c r="J583" s="149" t="s">
        <v>230</v>
      </c>
      <c r="K583" s="150"/>
      <c r="L583" s="150"/>
      <c r="M583" s="150"/>
      <c r="N583" s="150"/>
      <c r="O583" s="150"/>
      <c r="P583" s="150"/>
      <c r="Q583" s="151"/>
      <c r="R583" s="150" t="s">
        <v>548</v>
      </c>
      <c r="S583" s="150"/>
      <c r="T583" s="150"/>
      <c r="U583" s="150"/>
      <c r="V583" s="150"/>
      <c r="W583" s="150"/>
      <c r="X583" s="150"/>
      <c r="Y583" s="150"/>
      <c r="Z583" s="150"/>
      <c r="AA583" s="150"/>
      <c r="AB583" s="150"/>
      <c r="AC583" s="150"/>
      <c r="AD583" s="150"/>
      <c r="AE583" s="150"/>
      <c r="AF583" s="150"/>
      <c r="AG583" s="150"/>
      <c r="AH583" s="150"/>
      <c r="AI583" s="150"/>
      <c r="AJ583" s="151"/>
      <c r="AK583" s="143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144"/>
    </row>
    <row r="584" spans="2:61" ht="20.100000000000001" customHeight="1" x14ac:dyDescent="0.45">
      <c r="B584" s="138"/>
      <c r="C584" s="31"/>
      <c r="D584" s="31"/>
      <c r="E584" s="31"/>
      <c r="F584" s="31"/>
      <c r="G584" s="139"/>
      <c r="H584" s="140"/>
      <c r="I584" s="31"/>
      <c r="J584" s="149" t="s">
        <v>231</v>
      </c>
      <c r="K584" s="150"/>
      <c r="L584" s="150"/>
      <c r="M584" s="150"/>
      <c r="N584" s="150"/>
      <c r="O584" s="150"/>
      <c r="P584" s="150"/>
      <c r="Q584" s="151"/>
      <c r="R584" s="150" t="s">
        <v>549</v>
      </c>
      <c r="S584" s="150"/>
      <c r="T584" s="150"/>
      <c r="U584" s="150"/>
      <c r="V584" s="150"/>
      <c r="W584" s="150"/>
      <c r="X584" s="150"/>
      <c r="Y584" s="150"/>
      <c r="Z584" s="150"/>
      <c r="AA584" s="150"/>
      <c r="AB584" s="150"/>
      <c r="AC584" s="150"/>
      <c r="AD584" s="150"/>
      <c r="AE584" s="150"/>
      <c r="AF584" s="150"/>
      <c r="AG584" s="150"/>
      <c r="AH584" s="150"/>
      <c r="AI584" s="150"/>
      <c r="AJ584" s="151"/>
      <c r="AK584" s="143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144"/>
    </row>
    <row r="585" spans="2:61" ht="20.100000000000001" customHeight="1" x14ac:dyDescent="0.45">
      <c r="B585" s="138"/>
      <c r="C585" s="31"/>
      <c r="D585" s="31"/>
      <c r="E585" s="31"/>
      <c r="F585" s="31"/>
      <c r="G585" s="139"/>
      <c r="H585" s="140"/>
      <c r="I585" s="31"/>
      <c r="J585" s="149" t="s">
        <v>232</v>
      </c>
      <c r="K585" s="150"/>
      <c r="L585" s="150"/>
      <c r="M585" s="150"/>
      <c r="N585" s="150"/>
      <c r="O585" s="150"/>
      <c r="P585" s="150"/>
      <c r="Q585" s="151"/>
      <c r="R585" s="150" t="s">
        <v>550</v>
      </c>
      <c r="S585" s="150"/>
      <c r="T585" s="150"/>
      <c r="U585" s="150"/>
      <c r="V585" s="150"/>
      <c r="W585" s="150"/>
      <c r="X585" s="150"/>
      <c r="Y585" s="150"/>
      <c r="Z585" s="150"/>
      <c r="AA585" s="150"/>
      <c r="AB585" s="150"/>
      <c r="AC585" s="150"/>
      <c r="AD585" s="150"/>
      <c r="AE585" s="150"/>
      <c r="AF585" s="150"/>
      <c r="AG585" s="150"/>
      <c r="AH585" s="150"/>
      <c r="AI585" s="150"/>
      <c r="AJ585" s="151"/>
      <c r="AK585" s="143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144"/>
    </row>
    <row r="586" spans="2:61" ht="20.100000000000001" customHeight="1" x14ac:dyDescent="0.45">
      <c r="B586" s="138"/>
      <c r="C586" s="31"/>
      <c r="D586" s="31"/>
      <c r="E586" s="31"/>
      <c r="F586" s="31"/>
      <c r="G586" s="139"/>
      <c r="H586" s="140"/>
      <c r="I586" s="31"/>
      <c r="J586" s="149" t="s">
        <v>233</v>
      </c>
      <c r="K586" s="150"/>
      <c r="L586" s="150"/>
      <c r="M586" s="150"/>
      <c r="N586" s="150"/>
      <c r="O586" s="150"/>
      <c r="P586" s="150"/>
      <c r="Q586" s="151"/>
      <c r="R586" s="150" t="s">
        <v>551</v>
      </c>
      <c r="S586" s="150"/>
      <c r="T586" s="150"/>
      <c r="U586" s="150"/>
      <c r="V586" s="150"/>
      <c r="W586" s="150"/>
      <c r="X586" s="150"/>
      <c r="Y586" s="150"/>
      <c r="Z586" s="150"/>
      <c r="AA586" s="150"/>
      <c r="AB586" s="150"/>
      <c r="AC586" s="150"/>
      <c r="AD586" s="150"/>
      <c r="AE586" s="150"/>
      <c r="AF586" s="150"/>
      <c r="AG586" s="150"/>
      <c r="AH586" s="150"/>
      <c r="AI586" s="150"/>
      <c r="AJ586" s="151"/>
      <c r="AK586" s="143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144"/>
    </row>
    <row r="587" spans="2:61" ht="20.100000000000001" customHeight="1" x14ac:dyDescent="0.45">
      <c r="B587" s="138"/>
      <c r="C587" s="31"/>
      <c r="D587" s="31"/>
      <c r="E587" s="31"/>
      <c r="F587" s="31"/>
      <c r="G587" s="139"/>
      <c r="H587" s="140"/>
      <c r="I587" s="31"/>
      <c r="J587" s="149" t="s">
        <v>234</v>
      </c>
      <c r="K587" s="150"/>
      <c r="L587" s="150"/>
      <c r="M587" s="150"/>
      <c r="N587" s="150"/>
      <c r="O587" s="150"/>
      <c r="P587" s="150"/>
      <c r="Q587" s="151"/>
      <c r="R587" s="150" t="s">
        <v>552</v>
      </c>
      <c r="S587" s="150"/>
      <c r="T587" s="150"/>
      <c r="U587" s="150"/>
      <c r="V587" s="150"/>
      <c r="W587" s="150"/>
      <c r="X587" s="150"/>
      <c r="Y587" s="150"/>
      <c r="Z587" s="150"/>
      <c r="AA587" s="150"/>
      <c r="AB587" s="150"/>
      <c r="AC587" s="150"/>
      <c r="AD587" s="150"/>
      <c r="AE587" s="150"/>
      <c r="AF587" s="150"/>
      <c r="AG587" s="150"/>
      <c r="AH587" s="150"/>
      <c r="AI587" s="150"/>
      <c r="AJ587" s="151"/>
      <c r="AK587" s="143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144"/>
    </row>
    <row r="588" spans="2:61" ht="20.100000000000001" customHeight="1" x14ac:dyDescent="0.45">
      <c r="B588" s="138"/>
      <c r="C588" s="31"/>
      <c r="D588" s="31"/>
      <c r="E588" s="31"/>
      <c r="F588" s="31"/>
      <c r="G588" s="139"/>
      <c r="H588" s="140"/>
      <c r="I588" s="31"/>
      <c r="J588" s="149" t="s">
        <v>235</v>
      </c>
      <c r="K588" s="150"/>
      <c r="L588" s="150"/>
      <c r="M588" s="150"/>
      <c r="N588" s="150"/>
      <c r="O588" s="150"/>
      <c r="P588" s="150"/>
      <c r="Q588" s="151"/>
      <c r="R588" s="150" t="s">
        <v>553</v>
      </c>
      <c r="S588" s="150"/>
      <c r="T588" s="150"/>
      <c r="U588" s="150"/>
      <c r="V588" s="150"/>
      <c r="W588" s="150"/>
      <c r="X588" s="150"/>
      <c r="Y588" s="150"/>
      <c r="Z588" s="150"/>
      <c r="AA588" s="150"/>
      <c r="AB588" s="150"/>
      <c r="AC588" s="150"/>
      <c r="AD588" s="150"/>
      <c r="AE588" s="150"/>
      <c r="AF588" s="150"/>
      <c r="AG588" s="150"/>
      <c r="AH588" s="150"/>
      <c r="AI588" s="150"/>
      <c r="AJ588" s="151"/>
      <c r="AK588" s="143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144"/>
    </row>
    <row r="589" spans="2:61" ht="20.100000000000001" customHeight="1" x14ac:dyDescent="0.45">
      <c r="B589" s="138"/>
      <c r="C589" s="31"/>
      <c r="D589" s="31"/>
      <c r="E589" s="31"/>
      <c r="F589" s="31"/>
      <c r="G589" s="139"/>
      <c r="H589" s="140"/>
      <c r="I589" s="31"/>
      <c r="J589" s="149" t="s">
        <v>236</v>
      </c>
      <c r="K589" s="150"/>
      <c r="L589" s="150"/>
      <c r="M589" s="150"/>
      <c r="N589" s="150"/>
      <c r="O589" s="150"/>
      <c r="P589" s="150"/>
      <c r="Q589" s="151"/>
      <c r="R589" s="150" t="s">
        <v>554</v>
      </c>
      <c r="S589" s="150"/>
      <c r="T589" s="150"/>
      <c r="U589" s="150"/>
      <c r="V589" s="150"/>
      <c r="W589" s="150"/>
      <c r="X589" s="150"/>
      <c r="Y589" s="150"/>
      <c r="Z589" s="150"/>
      <c r="AA589" s="150"/>
      <c r="AB589" s="150"/>
      <c r="AC589" s="150"/>
      <c r="AD589" s="150"/>
      <c r="AE589" s="150"/>
      <c r="AF589" s="150"/>
      <c r="AG589" s="150"/>
      <c r="AH589" s="150"/>
      <c r="AI589" s="150"/>
      <c r="AJ589" s="151"/>
      <c r="AK589" s="143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144"/>
    </row>
    <row r="590" spans="2:61" ht="20.100000000000001" customHeight="1" x14ac:dyDescent="0.45">
      <c r="B590" s="138"/>
      <c r="C590" s="31"/>
      <c r="D590" s="31"/>
      <c r="E590" s="31"/>
      <c r="F590" s="31"/>
      <c r="G590" s="139"/>
      <c r="H590" s="140"/>
      <c r="I590" s="31"/>
      <c r="J590" s="149" t="s">
        <v>238</v>
      </c>
      <c r="K590" s="150"/>
      <c r="L590" s="150"/>
      <c r="M590" s="150"/>
      <c r="N590" s="150"/>
      <c r="O590" s="150"/>
      <c r="P590" s="150"/>
      <c r="Q590" s="151"/>
      <c r="R590" s="150" t="s">
        <v>555</v>
      </c>
      <c r="S590" s="150"/>
      <c r="T590" s="150"/>
      <c r="U590" s="150"/>
      <c r="V590" s="150"/>
      <c r="W590" s="150"/>
      <c r="X590" s="150"/>
      <c r="Y590" s="150"/>
      <c r="Z590" s="150"/>
      <c r="AA590" s="150"/>
      <c r="AB590" s="150"/>
      <c r="AC590" s="150"/>
      <c r="AD590" s="150"/>
      <c r="AE590" s="150"/>
      <c r="AF590" s="150"/>
      <c r="AG590" s="150"/>
      <c r="AH590" s="150"/>
      <c r="AI590" s="150"/>
      <c r="AJ590" s="151"/>
      <c r="AK590" s="143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144"/>
    </row>
    <row r="591" spans="2:61" ht="20.100000000000001" customHeight="1" x14ac:dyDescent="0.45">
      <c r="B591" s="138"/>
      <c r="C591" s="31"/>
      <c r="D591" s="31"/>
      <c r="E591" s="31"/>
      <c r="F591" s="31"/>
      <c r="G591" s="139"/>
      <c r="H591" s="140"/>
      <c r="I591" s="31"/>
      <c r="J591" s="149" t="s">
        <v>241</v>
      </c>
      <c r="K591" s="150"/>
      <c r="L591" s="150"/>
      <c r="M591" s="150"/>
      <c r="N591" s="150"/>
      <c r="O591" s="150"/>
      <c r="P591" s="150"/>
      <c r="Q591" s="151"/>
      <c r="R591" s="154" t="s">
        <v>496</v>
      </c>
      <c r="S591" s="150"/>
      <c r="T591" s="150"/>
      <c r="U591" s="150"/>
      <c r="V591" s="150"/>
      <c r="W591" s="150"/>
      <c r="X591" s="150"/>
      <c r="Y591" s="150"/>
      <c r="Z591" s="150"/>
      <c r="AA591" s="150"/>
      <c r="AB591" s="150"/>
      <c r="AC591" s="150"/>
      <c r="AD591" s="150"/>
      <c r="AE591" s="150"/>
      <c r="AF591" s="150"/>
      <c r="AG591" s="150"/>
      <c r="AH591" s="150"/>
      <c r="AI591" s="150"/>
      <c r="AJ591" s="151"/>
      <c r="AK591" s="143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144"/>
    </row>
    <row r="592" spans="2:61" ht="20.100000000000001" customHeight="1" x14ac:dyDescent="0.45">
      <c r="B592" s="138"/>
      <c r="C592" s="31"/>
      <c r="D592" s="31"/>
      <c r="E592" s="31"/>
      <c r="F592" s="31"/>
      <c r="G592" s="139"/>
      <c r="H592" s="140"/>
      <c r="I592" s="31"/>
      <c r="J592" s="149" t="s">
        <v>242</v>
      </c>
      <c r="K592" s="150"/>
      <c r="L592" s="150"/>
      <c r="M592" s="150"/>
      <c r="N592" s="150"/>
      <c r="O592" s="150"/>
      <c r="P592" s="150"/>
      <c r="Q592" s="151"/>
      <c r="R592" s="154" t="s">
        <v>497</v>
      </c>
      <c r="S592" s="150"/>
      <c r="T592" s="150"/>
      <c r="U592" s="150"/>
      <c r="V592" s="150"/>
      <c r="W592" s="150"/>
      <c r="X592" s="150"/>
      <c r="Y592" s="150"/>
      <c r="Z592" s="150"/>
      <c r="AA592" s="150"/>
      <c r="AB592" s="150"/>
      <c r="AC592" s="150"/>
      <c r="AD592" s="150"/>
      <c r="AE592" s="150"/>
      <c r="AF592" s="150"/>
      <c r="AG592" s="150"/>
      <c r="AH592" s="150"/>
      <c r="AI592" s="150"/>
      <c r="AJ592" s="151"/>
      <c r="AK592" s="143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144"/>
    </row>
    <row r="593" spans="2:61" ht="20.100000000000001" customHeight="1" x14ac:dyDescent="0.45">
      <c r="B593" s="138"/>
      <c r="C593" s="31"/>
      <c r="D593" s="31"/>
      <c r="E593" s="31"/>
      <c r="F593" s="31"/>
      <c r="G593" s="139"/>
      <c r="H593" s="140"/>
      <c r="I593" s="31"/>
      <c r="J593" s="149" t="s">
        <v>168</v>
      </c>
      <c r="K593" s="150"/>
      <c r="L593" s="150"/>
      <c r="M593" s="150"/>
      <c r="N593" s="150"/>
      <c r="O593" s="150"/>
      <c r="P593" s="150"/>
      <c r="Q593" s="151"/>
      <c r="R593" s="150" t="s">
        <v>556</v>
      </c>
      <c r="S593" s="150"/>
      <c r="T593" s="150"/>
      <c r="U593" s="150"/>
      <c r="V593" s="150"/>
      <c r="W593" s="150"/>
      <c r="X593" s="150"/>
      <c r="Y593" s="150"/>
      <c r="Z593" s="150"/>
      <c r="AA593" s="150"/>
      <c r="AB593" s="150"/>
      <c r="AC593" s="150"/>
      <c r="AD593" s="150"/>
      <c r="AE593" s="150"/>
      <c r="AF593" s="150"/>
      <c r="AG593" s="150"/>
      <c r="AH593" s="150"/>
      <c r="AI593" s="150"/>
      <c r="AJ593" s="151"/>
      <c r="AK593" s="143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144"/>
    </row>
    <row r="594" spans="2:61" ht="20.100000000000001" customHeight="1" x14ac:dyDescent="0.45">
      <c r="B594" s="138"/>
      <c r="C594" s="31"/>
      <c r="D594" s="31"/>
      <c r="E594" s="31"/>
      <c r="F594" s="31"/>
      <c r="G594" s="139"/>
      <c r="H594" s="140"/>
      <c r="I594" s="31"/>
      <c r="J594" s="149" t="s">
        <v>245</v>
      </c>
      <c r="K594" s="150"/>
      <c r="L594" s="150"/>
      <c r="M594" s="150"/>
      <c r="N594" s="150"/>
      <c r="O594" s="150"/>
      <c r="P594" s="150"/>
      <c r="Q594" s="151"/>
      <c r="R594" s="150" t="s">
        <v>557</v>
      </c>
      <c r="S594" s="150"/>
      <c r="T594" s="150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50"/>
      <c r="AF594" s="150"/>
      <c r="AG594" s="150"/>
      <c r="AH594" s="150"/>
      <c r="AI594" s="150"/>
      <c r="AJ594" s="151"/>
      <c r="AK594" s="143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144"/>
    </row>
    <row r="595" spans="2:61" ht="20.100000000000001" customHeight="1" x14ac:dyDescent="0.45">
      <c r="B595" s="138"/>
      <c r="C595" s="31"/>
      <c r="D595" s="31"/>
      <c r="E595" s="31"/>
      <c r="F595" s="31"/>
      <c r="G595" s="139"/>
      <c r="H595" s="140"/>
      <c r="I595" s="31"/>
      <c r="J595" s="149" t="s">
        <v>246</v>
      </c>
      <c r="K595" s="150"/>
      <c r="L595" s="150"/>
      <c r="M595" s="150"/>
      <c r="N595" s="150"/>
      <c r="O595" s="150"/>
      <c r="P595" s="150"/>
      <c r="Q595" s="151"/>
      <c r="R595" s="154" t="s">
        <v>498</v>
      </c>
      <c r="S595" s="150"/>
      <c r="T595" s="150"/>
      <c r="U595" s="150"/>
      <c r="V595" s="150"/>
      <c r="W595" s="150"/>
      <c r="X595" s="150"/>
      <c r="Y595" s="150"/>
      <c r="Z595" s="150"/>
      <c r="AA595" s="150"/>
      <c r="AB595" s="150"/>
      <c r="AC595" s="150"/>
      <c r="AD595" s="150"/>
      <c r="AE595" s="150"/>
      <c r="AF595" s="150"/>
      <c r="AG595" s="150"/>
      <c r="AH595" s="150"/>
      <c r="AI595" s="150"/>
      <c r="AJ595" s="151"/>
      <c r="AK595" s="143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144"/>
    </row>
    <row r="596" spans="2:61" ht="20.100000000000001" customHeight="1" x14ac:dyDescent="0.45">
      <c r="B596" s="138"/>
      <c r="C596" s="31"/>
      <c r="D596" s="31"/>
      <c r="E596" s="31"/>
      <c r="F596" s="31"/>
      <c r="G596" s="139"/>
      <c r="H596" s="140"/>
      <c r="I596" s="31"/>
      <c r="J596" s="149" t="s">
        <v>248</v>
      </c>
      <c r="K596" s="150"/>
      <c r="L596" s="150"/>
      <c r="M596" s="150"/>
      <c r="N596" s="150"/>
      <c r="O596" s="150"/>
      <c r="P596" s="150"/>
      <c r="Q596" s="151"/>
      <c r="R596" s="154" t="s">
        <v>499</v>
      </c>
      <c r="S596" s="150"/>
      <c r="T596" s="150"/>
      <c r="U596" s="150"/>
      <c r="V596" s="150"/>
      <c r="W596" s="150"/>
      <c r="X596" s="150"/>
      <c r="Y596" s="150"/>
      <c r="Z596" s="150"/>
      <c r="AA596" s="150"/>
      <c r="AB596" s="150"/>
      <c r="AC596" s="150"/>
      <c r="AD596" s="150"/>
      <c r="AE596" s="150"/>
      <c r="AF596" s="150"/>
      <c r="AG596" s="150"/>
      <c r="AH596" s="150"/>
      <c r="AI596" s="150"/>
      <c r="AJ596" s="151"/>
      <c r="AK596" s="143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144"/>
    </row>
    <row r="597" spans="2:61" ht="20.100000000000001" customHeight="1" x14ac:dyDescent="0.45">
      <c r="B597" s="138"/>
      <c r="C597" s="31"/>
      <c r="D597" s="31"/>
      <c r="E597" s="31"/>
      <c r="F597" s="31"/>
      <c r="G597" s="139"/>
      <c r="H597" s="140"/>
      <c r="I597" s="31"/>
      <c r="J597" s="149" t="s">
        <v>247</v>
      </c>
      <c r="K597" s="150"/>
      <c r="L597" s="150"/>
      <c r="M597" s="150"/>
      <c r="N597" s="150"/>
      <c r="O597" s="150"/>
      <c r="P597" s="150"/>
      <c r="Q597" s="151"/>
      <c r="R597" s="150" t="s">
        <v>558</v>
      </c>
      <c r="S597" s="150"/>
      <c r="T597" s="150"/>
      <c r="U597" s="150"/>
      <c r="V597" s="150"/>
      <c r="W597" s="150"/>
      <c r="X597" s="150"/>
      <c r="Y597" s="150"/>
      <c r="Z597" s="150"/>
      <c r="AA597" s="150"/>
      <c r="AB597" s="150"/>
      <c r="AC597" s="150"/>
      <c r="AD597" s="150"/>
      <c r="AE597" s="150"/>
      <c r="AF597" s="150"/>
      <c r="AG597" s="150"/>
      <c r="AH597" s="150"/>
      <c r="AI597" s="150"/>
      <c r="AJ597" s="151"/>
      <c r="AK597" s="143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144"/>
    </row>
    <row r="598" spans="2:61" ht="20.100000000000001" customHeight="1" x14ac:dyDescent="0.45">
      <c r="B598" s="138"/>
      <c r="C598" s="31"/>
      <c r="D598" s="31"/>
      <c r="E598" s="31"/>
      <c r="F598" s="31"/>
      <c r="G598" s="139"/>
      <c r="H598" s="140"/>
      <c r="I598" s="31"/>
      <c r="J598" s="149" t="s">
        <v>249</v>
      </c>
      <c r="K598" s="150"/>
      <c r="L598" s="150"/>
      <c r="M598" s="150"/>
      <c r="N598" s="150"/>
      <c r="O598" s="150"/>
      <c r="P598" s="150"/>
      <c r="Q598" s="151"/>
      <c r="R598" s="150" t="s">
        <v>559</v>
      </c>
      <c r="S598" s="150"/>
      <c r="T598" s="150"/>
      <c r="U598" s="150"/>
      <c r="V598" s="150"/>
      <c r="W598" s="150"/>
      <c r="X598" s="150"/>
      <c r="Y598" s="150"/>
      <c r="Z598" s="150"/>
      <c r="AA598" s="150"/>
      <c r="AB598" s="150"/>
      <c r="AC598" s="150"/>
      <c r="AD598" s="150"/>
      <c r="AE598" s="150"/>
      <c r="AF598" s="150"/>
      <c r="AG598" s="150"/>
      <c r="AH598" s="150"/>
      <c r="AI598" s="150"/>
      <c r="AJ598" s="151"/>
      <c r="AK598" s="143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144"/>
    </row>
    <row r="599" spans="2:61" ht="20.100000000000001" customHeight="1" x14ac:dyDescent="0.45">
      <c r="B599" s="138"/>
      <c r="C599" s="31"/>
      <c r="D599" s="31"/>
      <c r="E599" s="31"/>
      <c r="F599" s="31"/>
      <c r="G599" s="139"/>
      <c r="H599" s="140"/>
      <c r="I599" s="31"/>
      <c r="J599" s="149" t="s">
        <v>250</v>
      </c>
      <c r="K599" s="150"/>
      <c r="L599" s="150"/>
      <c r="M599" s="150"/>
      <c r="N599" s="150"/>
      <c r="O599" s="150"/>
      <c r="P599" s="150"/>
      <c r="Q599" s="151"/>
      <c r="R599" s="150" t="s">
        <v>560</v>
      </c>
      <c r="S599" s="150"/>
      <c r="T599" s="150"/>
      <c r="U599" s="150"/>
      <c r="V599" s="150"/>
      <c r="W599" s="150"/>
      <c r="X599" s="150"/>
      <c r="Y599" s="150"/>
      <c r="Z599" s="150"/>
      <c r="AA599" s="150"/>
      <c r="AB599" s="150"/>
      <c r="AC599" s="150"/>
      <c r="AD599" s="150"/>
      <c r="AE599" s="150"/>
      <c r="AF599" s="150"/>
      <c r="AG599" s="150"/>
      <c r="AH599" s="150"/>
      <c r="AI599" s="150"/>
      <c r="AJ599" s="151"/>
      <c r="AK599" s="143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144"/>
    </row>
    <row r="600" spans="2:61" ht="20.100000000000001" customHeight="1" x14ac:dyDescent="0.45">
      <c r="B600" s="138"/>
      <c r="C600" s="31"/>
      <c r="D600" s="31"/>
      <c r="E600" s="31"/>
      <c r="F600" s="31"/>
      <c r="G600" s="139"/>
      <c r="H600" s="140"/>
      <c r="I600" s="31"/>
      <c r="J600" s="149" t="s">
        <v>251</v>
      </c>
      <c r="K600" s="150"/>
      <c r="L600" s="150"/>
      <c r="M600" s="150"/>
      <c r="N600" s="150"/>
      <c r="O600" s="150"/>
      <c r="P600" s="150"/>
      <c r="Q600" s="151"/>
      <c r="R600" s="150" t="s">
        <v>561</v>
      </c>
      <c r="S600" s="150"/>
      <c r="T600" s="150"/>
      <c r="U600" s="150"/>
      <c r="V600" s="150"/>
      <c r="W600" s="150"/>
      <c r="X600" s="150"/>
      <c r="Y600" s="150"/>
      <c r="Z600" s="150"/>
      <c r="AA600" s="150"/>
      <c r="AB600" s="150"/>
      <c r="AC600" s="150"/>
      <c r="AD600" s="150"/>
      <c r="AE600" s="150"/>
      <c r="AF600" s="150"/>
      <c r="AG600" s="150"/>
      <c r="AH600" s="150"/>
      <c r="AI600" s="150"/>
      <c r="AJ600" s="151"/>
      <c r="AK600" s="143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144"/>
    </row>
    <row r="601" spans="2:61" ht="20.100000000000001" customHeight="1" x14ac:dyDescent="0.45">
      <c r="B601" s="138"/>
      <c r="C601" s="31"/>
      <c r="D601" s="31"/>
      <c r="E601" s="31"/>
      <c r="F601" s="31"/>
      <c r="G601" s="139"/>
      <c r="H601" s="140"/>
      <c r="I601" s="31"/>
      <c r="J601" s="149" t="s">
        <v>252</v>
      </c>
      <c r="K601" s="150"/>
      <c r="L601" s="150"/>
      <c r="M601" s="150"/>
      <c r="N601" s="150"/>
      <c r="O601" s="150"/>
      <c r="P601" s="150"/>
      <c r="Q601" s="151"/>
      <c r="R601" s="150" t="s">
        <v>562</v>
      </c>
      <c r="S601" s="150"/>
      <c r="T601" s="150"/>
      <c r="U601" s="150"/>
      <c r="V601" s="150"/>
      <c r="W601" s="150"/>
      <c r="X601" s="150"/>
      <c r="Y601" s="150"/>
      <c r="Z601" s="150"/>
      <c r="AA601" s="150"/>
      <c r="AB601" s="150"/>
      <c r="AC601" s="150"/>
      <c r="AD601" s="150"/>
      <c r="AE601" s="150"/>
      <c r="AF601" s="150"/>
      <c r="AG601" s="150"/>
      <c r="AH601" s="150"/>
      <c r="AI601" s="150"/>
      <c r="AJ601" s="151"/>
      <c r="AK601" s="143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144"/>
    </row>
    <row r="602" spans="2:61" ht="20.100000000000001" customHeight="1" x14ac:dyDescent="0.45">
      <c r="B602" s="138"/>
      <c r="C602" s="31"/>
      <c r="D602" s="31"/>
      <c r="E602" s="31"/>
      <c r="F602" s="31"/>
      <c r="G602" s="139"/>
      <c r="H602" s="140"/>
      <c r="I602" s="31"/>
      <c r="J602" s="149" t="s">
        <v>253</v>
      </c>
      <c r="K602" s="150"/>
      <c r="L602" s="150"/>
      <c r="M602" s="150"/>
      <c r="N602" s="150"/>
      <c r="O602" s="150"/>
      <c r="P602" s="150"/>
      <c r="Q602" s="151"/>
      <c r="R602" s="150" t="s">
        <v>563</v>
      </c>
      <c r="S602" s="150"/>
      <c r="T602" s="150"/>
      <c r="U602" s="150"/>
      <c r="V602" s="150"/>
      <c r="W602" s="150"/>
      <c r="X602" s="150"/>
      <c r="Y602" s="150"/>
      <c r="Z602" s="150"/>
      <c r="AA602" s="150"/>
      <c r="AB602" s="150"/>
      <c r="AC602" s="150"/>
      <c r="AD602" s="150"/>
      <c r="AE602" s="150"/>
      <c r="AF602" s="150"/>
      <c r="AG602" s="150"/>
      <c r="AH602" s="150"/>
      <c r="AI602" s="150"/>
      <c r="AJ602" s="151"/>
      <c r="AK602" s="143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144"/>
    </row>
    <row r="603" spans="2:61" ht="20.100000000000001" customHeight="1" thickBot="1" x14ac:dyDescent="0.5">
      <c r="B603" s="138"/>
      <c r="C603" s="31"/>
      <c r="D603" s="31"/>
      <c r="E603" s="31"/>
      <c r="F603" s="31"/>
      <c r="G603" s="139"/>
      <c r="H603" s="145" t="s">
        <v>169</v>
      </c>
      <c r="I603" s="55"/>
      <c r="J603" s="145" t="s">
        <v>500</v>
      </c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146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  <c r="BD603" s="55"/>
      <c r="BE603" s="55"/>
      <c r="BF603" s="55"/>
      <c r="BG603" s="55"/>
      <c r="BH603" s="55"/>
      <c r="BI603" s="147"/>
    </row>
    <row r="604" spans="2:61" ht="20.100000000000001" customHeight="1" x14ac:dyDescent="0.45">
      <c r="B604" s="129" t="s">
        <v>564</v>
      </c>
      <c r="C604" s="130"/>
      <c r="D604" s="130"/>
      <c r="E604" s="130"/>
      <c r="F604" s="130"/>
      <c r="G604" s="131"/>
      <c r="H604" s="132" t="s">
        <v>565</v>
      </c>
      <c r="I604" s="130"/>
      <c r="J604" s="133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  <c r="AB604" s="134"/>
      <c r="AC604" s="134"/>
      <c r="AD604" s="134"/>
      <c r="AE604" s="134"/>
      <c r="AF604" s="134"/>
      <c r="AG604" s="134"/>
      <c r="AH604" s="134"/>
      <c r="AI604" s="134"/>
      <c r="AJ604" s="135"/>
      <c r="AK604" s="136" t="s">
        <v>566</v>
      </c>
      <c r="AL604" s="130"/>
      <c r="AM604" s="130"/>
      <c r="AN604" s="130"/>
      <c r="AO604" s="130"/>
      <c r="AP604" s="130"/>
      <c r="AQ604" s="130"/>
      <c r="AR604" s="130"/>
      <c r="AS604" s="130"/>
      <c r="AT604" s="130"/>
      <c r="AU604" s="130"/>
      <c r="AV604" s="130"/>
      <c r="AW604" s="130"/>
      <c r="AX604" s="130"/>
      <c r="AY604" s="130"/>
      <c r="AZ604" s="130"/>
      <c r="BA604" s="130"/>
      <c r="BB604" s="130"/>
      <c r="BC604" s="130"/>
      <c r="BD604" s="130"/>
      <c r="BE604" s="130"/>
      <c r="BF604" s="130"/>
      <c r="BG604" s="130"/>
      <c r="BH604" s="130"/>
      <c r="BI604" s="137"/>
    </row>
    <row r="605" spans="2:61" ht="20.100000000000001" customHeight="1" x14ac:dyDescent="0.45">
      <c r="B605" s="138"/>
      <c r="C605" s="31"/>
      <c r="D605" s="31"/>
      <c r="E605" s="31"/>
      <c r="F605" s="31"/>
      <c r="G605" s="139"/>
      <c r="H605" s="145" t="s">
        <v>169</v>
      </c>
      <c r="I605" s="55"/>
      <c r="J605" s="145" t="s">
        <v>568</v>
      </c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146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  <c r="BD605" s="55"/>
      <c r="BE605" s="55"/>
      <c r="BF605" s="55"/>
      <c r="BG605" s="55"/>
      <c r="BH605" s="55"/>
      <c r="BI605" s="147"/>
    </row>
    <row r="606" spans="2:61" ht="20.100000000000001" customHeight="1" thickBot="1" x14ac:dyDescent="0.5">
      <c r="B606" s="138"/>
      <c r="C606" s="31"/>
      <c r="D606" s="31"/>
      <c r="E606" s="31"/>
      <c r="F606" s="31"/>
      <c r="G606" s="139"/>
      <c r="H606" s="145" t="s">
        <v>173</v>
      </c>
      <c r="I606" s="55"/>
      <c r="J606" s="145" t="s">
        <v>567</v>
      </c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146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  <c r="BD606" s="55"/>
      <c r="BE606" s="55"/>
      <c r="BF606" s="55"/>
      <c r="BG606" s="55"/>
      <c r="BH606" s="55"/>
      <c r="BI606" s="147"/>
    </row>
    <row r="607" spans="2:61" ht="20.100000000000001" customHeight="1" x14ac:dyDescent="0.45">
      <c r="B607" s="129" t="s">
        <v>569</v>
      </c>
      <c r="C607" s="130"/>
      <c r="D607" s="130"/>
      <c r="E607" s="130"/>
      <c r="F607" s="130"/>
      <c r="G607" s="131"/>
      <c r="H607" s="132" t="s">
        <v>573</v>
      </c>
      <c r="I607" s="130"/>
      <c r="J607" s="133" t="s">
        <v>160</v>
      </c>
      <c r="K607" s="134"/>
      <c r="L607" s="134"/>
      <c r="M607" s="134"/>
      <c r="N607" s="134"/>
      <c r="O607" s="134"/>
      <c r="P607" s="134"/>
      <c r="Q607" s="135"/>
      <c r="R607" s="134" t="s">
        <v>445</v>
      </c>
      <c r="S607" s="134"/>
      <c r="T607" s="134"/>
      <c r="U607" s="134"/>
      <c r="V607" s="134"/>
      <c r="W607" s="134"/>
      <c r="X607" s="134"/>
      <c r="Y607" s="134"/>
      <c r="Z607" s="134"/>
      <c r="AA607" s="134"/>
      <c r="AB607" s="134"/>
      <c r="AC607" s="134"/>
      <c r="AD607" s="134"/>
      <c r="AE607" s="134"/>
      <c r="AF607" s="134"/>
      <c r="AG607" s="134"/>
      <c r="AH607" s="134"/>
      <c r="AI607" s="134"/>
      <c r="AJ607" s="135"/>
      <c r="AK607" s="136" t="s">
        <v>571</v>
      </c>
      <c r="AL607" s="130"/>
      <c r="AM607" s="130"/>
      <c r="AN607" s="130"/>
      <c r="AO607" s="130"/>
      <c r="AP607" s="130"/>
      <c r="AQ607" s="130"/>
      <c r="AR607" s="130"/>
      <c r="AS607" s="130"/>
      <c r="AT607" s="130"/>
      <c r="AU607" s="130"/>
      <c r="AV607" s="130"/>
      <c r="AW607" s="130"/>
      <c r="AX607" s="130"/>
      <c r="AY607" s="130"/>
      <c r="AZ607" s="130"/>
      <c r="BA607" s="130"/>
      <c r="BB607" s="130"/>
      <c r="BC607" s="130"/>
      <c r="BD607" s="130"/>
      <c r="BE607" s="130"/>
      <c r="BF607" s="130"/>
      <c r="BG607" s="130"/>
      <c r="BH607" s="130"/>
      <c r="BI607" s="137"/>
    </row>
    <row r="608" spans="2:61" ht="20.100000000000001" customHeight="1" x14ac:dyDescent="0.45">
      <c r="B608" s="138"/>
      <c r="C608" s="31"/>
      <c r="D608" s="31"/>
      <c r="E608" s="31"/>
      <c r="F608" s="31"/>
      <c r="G608" s="139"/>
      <c r="H608" s="140"/>
      <c r="I608" s="31"/>
      <c r="J608" s="149" t="s">
        <v>227</v>
      </c>
      <c r="K608" s="150"/>
      <c r="L608" s="150"/>
      <c r="M608" s="150"/>
      <c r="N608" s="150"/>
      <c r="O608" s="150"/>
      <c r="P608" s="150"/>
      <c r="Q608" s="151"/>
      <c r="R608" s="154" t="s">
        <v>446</v>
      </c>
      <c r="S608" s="150"/>
      <c r="T608" s="150"/>
      <c r="U608" s="150"/>
      <c r="V608" s="150"/>
      <c r="W608" s="150"/>
      <c r="X608" s="150"/>
      <c r="Y608" s="150"/>
      <c r="Z608" s="150"/>
      <c r="AA608" s="150"/>
      <c r="AB608" s="150"/>
      <c r="AC608" s="150"/>
      <c r="AD608" s="150"/>
      <c r="AE608" s="150"/>
      <c r="AF608" s="150"/>
      <c r="AG608" s="150"/>
      <c r="AH608" s="150"/>
      <c r="AI608" s="150"/>
      <c r="AJ608" s="151"/>
      <c r="AK608" s="143" t="s">
        <v>570</v>
      </c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144"/>
    </row>
    <row r="609" spans="2:61" ht="20.100000000000001" customHeight="1" x14ac:dyDescent="0.45">
      <c r="B609" s="138"/>
      <c r="C609" s="31"/>
      <c r="D609" s="31"/>
      <c r="E609" s="31"/>
      <c r="F609" s="31"/>
      <c r="G609" s="139"/>
      <c r="H609" s="140"/>
      <c r="I609" s="31"/>
      <c r="J609" s="149" t="s">
        <v>228</v>
      </c>
      <c r="K609" s="150"/>
      <c r="L609" s="150"/>
      <c r="M609" s="150"/>
      <c r="N609" s="150"/>
      <c r="O609" s="150"/>
      <c r="P609" s="150"/>
      <c r="Q609" s="151"/>
      <c r="R609" s="154" t="s">
        <v>447</v>
      </c>
      <c r="S609" s="150"/>
      <c r="T609" s="150"/>
      <c r="U609" s="150"/>
      <c r="V609" s="150"/>
      <c r="W609" s="150"/>
      <c r="X609" s="150"/>
      <c r="Y609" s="150"/>
      <c r="Z609" s="150"/>
      <c r="AA609" s="150"/>
      <c r="AB609" s="150"/>
      <c r="AC609" s="150"/>
      <c r="AD609" s="150"/>
      <c r="AE609" s="150"/>
      <c r="AF609" s="150"/>
      <c r="AG609" s="150"/>
      <c r="AH609" s="150"/>
      <c r="AI609" s="150"/>
      <c r="AJ609" s="151"/>
      <c r="AK609" s="143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144"/>
    </row>
    <row r="610" spans="2:61" ht="20.100000000000001" customHeight="1" x14ac:dyDescent="0.45">
      <c r="B610" s="138"/>
      <c r="C610" s="31"/>
      <c r="D610" s="31"/>
      <c r="E610" s="31"/>
      <c r="F610" s="31"/>
      <c r="G610" s="139"/>
      <c r="H610" s="140"/>
      <c r="I610" s="31"/>
      <c r="J610" s="149" t="s">
        <v>229</v>
      </c>
      <c r="K610" s="150"/>
      <c r="L610" s="150"/>
      <c r="M610" s="150"/>
      <c r="N610" s="150"/>
      <c r="O610" s="150"/>
      <c r="P610" s="150"/>
      <c r="Q610" s="151"/>
      <c r="R610" s="150" t="s">
        <v>448</v>
      </c>
      <c r="S610" s="150"/>
      <c r="T610" s="150"/>
      <c r="U610" s="150"/>
      <c r="V610" s="150"/>
      <c r="W610" s="150"/>
      <c r="X610" s="150"/>
      <c r="Y610" s="150"/>
      <c r="Z610" s="150"/>
      <c r="AA610" s="150"/>
      <c r="AB610" s="150"/>
      <c r="AC610" s="150"/>
      <c r="AD610" s="150"/>
      <c r="AE610" s="150"/>
      <c r="AF610" s="150"/>
      <c r="AG610" s="150"/>
      <c r="AH610" s="150"/>
      <c r="AI610" s="150"/>
      <c r="AJ610" s="151"/>
      <c r="AK610" s="143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144"/>
    </row>
    <row r="611" spans="2:61" ht="20.100000000000001" customHeight="1" x14ac:dyDescent="0.45">
      <c r="B611" s="138"/>
      <c r="C611" s="31"/>
      <c r="D611" s="31"/>
      <c r="E611" s="31"/>
      <c r="F611" s="31"/>
      <c r="G611" s="139"/>
      <c r="H611" s="140"/>
      <c r="I611" s="31"/>
      <c r="J611" s="149" t="s">
        <v>287</v>
      </c>
      <c r="K611" s="150"/>
      <c r="L611" s="150"/>
      <c r="M611" s="150"/>
      <c r="N611" s="150"/>
      <c r="O611" s="150"/>
      <c r="P611" s="150"/>
      <c r="Q611" s="151"/>
      <c r="R611" s="154" t="s">
        <v>449</v>
      </c>
      <c r="S611" s="150"/>
      <c r="T611" s="150"/>
      <c r="U611" s="150"/>
      <c r="V611" s="150"/>
      <c r="W611" s="150"/>
      <c r="X611" s="150"/>
      <c r="Y611" s="150"/>
      <c r="Z611" s="150"/>
      <c r="AA611" s="150"/>
      <c r="AB611" s="150"/>
      <c r="AC611" s="150"/>
      <c r="AD611" s="150"/>
      <c r="AE611" s="150"/>
      <c r="AF611" s="150"/>
      <c r="AG611" s="150"/>
      <c r="AH611" s="150"/>
      <c r="AI611" s="150"/>
      <c r="AJ611" s="151"/>
      <c r="AK611" s="143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144"/>
    </row>
    <row r="612" spans="2:61" ht="20.100000000000001" customHeight="1" x14ac:dyDescent="0.45">
      <c r="B612" s="138"/>
      <c r="C612" s="31"/>
      <c r="D612" s="31"/>
      <c r="E612" s="31"/>
      <c r="F612" s="31"/>
      <c r="G612" s="139"/>
      <c r="H612" s="140"/>
      <c r="I612" s="31"/>
      <c r="J612" s="149" t="s">
        <v>288</v>
      </c>
      <c r="K612" s="150"/>
      <c r="L612" s="150"/>
      <c r="M612" s="150"/>
      <c r="N612" s="150"/>
      <c r="O612" s="150"/>
      <c r="P612" s="150"/>
      <c r="Q612" s="151"/>
      <c r="R612" s="154" t="s">
        <v>450</v>
      </c>
      <c r="S612" s="150"/>
      <c r="T612" s="150"/>
      <c r="U612" s="150"/>
      <c r="V612" s="150"/>
      <c r="W612" s="150"/>
      <c r="X612" s="150"/>
      <c r="Y612" s="150"/>
      <c r="Z612" s="150"/>
      <c r="AA612" s="150"/>
      <c r="AB612" s="150"/>
      <c r="AC612" s="150"/>
      <c r="AD612" s="150"/>
      <c r="AE612" s="150"/>
      <c r="AF612" s="150"/>
      <c r="AG612" s="150"/>
      <c r="AH612" s="150"/>
      <c r="AI612" s="150"/>
      <c r="AJ612" s="151"/>
      <c r="AK612" s="143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144"/>
    </row>
    <row r="613" spans="2:61" ht="20.100000000000001" customHeight="1" x14ac:dyDescent="0.45">
      <c r="B613" s="138"/>
      <c r="C613" s="31"/>
      <c r="D613" s="31"/>
      <c r="E613" s="31"/>
      <c r="F613" s="31"/>
      <c r="G613" s="139"/>
      <c r="H613" s="140"/>
      <c r="I613" s="31"/>
      <c r="J613" s="149" t="s">
        <v>289</v>
      </c>
      <c r="K613" s="150"/>
      <c r="L613" s="150"/>
      <c r="M613" s="150"/>
      <c r="N613" s="150"/>
      <c r="O613" s="150"/>
      <c r="P613" s="150"/>
      <c r="Q613" s="151"/>
      <c r="R613" s="154" t="s">
        <v>451</v>
      </c>
      <c r="S613" s="150"/>
      <c r="T613" s="150"/>
      <c r="U613" s="150"/>
      <c r="V613" s="150"/>
      <c r="W613" s="150"/>
      <c r="X613" s="150"/>
      <c r="Y613" s="150"/>
      <c r="Z613" s="150"/>
      <c r="AA613" s="150"/>
      <c r="AB613" s="150"/>
      <c r="AC613" s="150"/>
      <c r="AD613" s="150"/>
      <c r="AE613" s="150"/>
      <c r="AF613" s="150"/>
      <c r="AG613" s="150"/>
      <c r="AH613" s="150"/>
      <c r="AI613" s="150"/>
      <c r="AJ613" s="151"/>
      <c r="AK613" s="143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144"/>
    </row>
    <row r="614" spans="2:61" ht="20.100000000000001" customHeight="1" x14ac:dyDescent="0.45">
      <c r="B614" s="138"/>
      <c r="C614" s="31"/>
      <c r="D614" s="31"/>
      <c r="E614" s="31"/>
      <c r="F614" s="31"/>
      <c r="G614" s="139"/>
      <c r="H614" s="140"/>
      <c r="I614" s="31"/>
      <c r="J614" s="149" t="s">
        <v>290</v>
      </c>
      <c r="K614" s="150"/>
      <c r="L614" s="150"/>
      <c r="M614" s="150"/>
      <c r="N614" s="150"/>
      <c r="O614" s="150"/>
      <c r="P614" s="150"/>
      <c r="Q614" s="151"/>
      <c r="R614" s="154" t="s">
        <v>452</v>
      </c>
      <c r="S614" s="150"/>
      <c r="T614" s="150"/>
      <c r="U614" s="150"/>
      <c r="V614" s="150"/>
      <c r="W614" s="150"/>
      <c r="X614" s="150"/>
      <c r="Y614" s="150"/>
      <c r="Z614" s="150"/>
      <c r="AA614" s="150"/>
      <c r="AB614" s="150"/>
      <c r="AC614" s="150"/>
      <c r="AD614" s="150"/>
      <c r="AE614" s="150"/>
      <c r="AF614" s="150"/>
      <c r="AG614" s="150"/>
      <c r="AH614" s="150"/>
      <c r="AI614" s="150"/>
      <c r="AJ614" s="151"/>
      <c r="AK614" s="143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144"/>
    </row>
    <row r="615" spans="2:61" ht="20.100000000000001" customHeight="1" x14ac:dyDescent="0.45">
      <c r="B615" s="138"/>
      <c r="C615" s="31"/>
      <c r="D615" s="31"/>
      <c r="E615" s="31"/>
      <c r="F615" s="31"/>
      <c r="G615" s="139"/>
      <c r="H615" s="140"/>
      <c r="I615" s="31"/>
      <c r="J615" s="149" t="s">
        <v>291</v>
      </c>
      <c r="K615" s="150"/>
      <c r="L615" s="150"/>
      <c r="M615" s="150"/>
      <c r="N615" s="150"/>
      <c r="O615" s="150"/>
      <c r="P615" s="150"/>
      <c r="Q615" s="151"/>
      <c r="R615" s="154" t="s">
        <v>453</v>
      </c>
      <c r="S615" s="150"/>
      <c r="T615" s="150"/>
      <c r="U615" s="150"/>
      <c r="V615" s="150"/>
      <c r="W615" s="150"/>
      <c r="X615" s="150"/>
      <c r="Y615" s="150"/>
      <c r="Z615" s="150"/>
      <c r="AA615" s="150"/>
      <c r="AB615" s="150"/>
      <c r="AC615" s="150"/>
      <c r="AD615" s="150"/>
      <c r="AE615" s="150"/>
      <c r="AF615" s="150"/>
      <c r="AG615" s="150"/>
      <c r="AH615" s="150"/>
      <c r="AI615" s="150"/>
      <c r="AJ615" s="151"/>
      <c r="AK615" s="143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144"/>
    </row>
    <row r="616" spans="2:61" ht="20.100000000000001" customHeight="1" x14ac:dyDescent="0.45">
      <c r="B616" s="138"/>
      <c r="C616" s="31"/>
      <c r="D616" s="31"/>
      <c r="E616" s="31"/>
      <c r="F616" s="31"/>
      <c r="G616" s="139"/>
      <c r="H616" s="140"/>
      <c r="I616" s="31"/>
      <c r="J616" s="149" t="s">
        <v>230</v>
      </c>
      <c r="K616" s="150"/>
      <c r="L616" s="150"/>
      <c r="M616" s="150"/>
      <c r="N616" s="150"/>
      <c r="O616" s="150"/>
      <c r="P616" s="150"/>
      <c r="Q616" s="151"/>
      <c r="R616" s="154" t="s">
        <v>454</v>
      </c>
      <c r="S616" s="150"/>
      <c r="T616" s="150"/>
      <c r="U616" s="150"/>
      <c r="V616" s="150"/>
      <c r="W616" s="150"/>
      <c r="X616" s="150"/>
      <c r="Y616" s="150"/>
      <c r="Z616" s="150"/>
      <c r="AA616" s="150"/>
      <c r="AB616" s="150"/>
      <c r="AC616" s="150"/>
      <c r="AD616" s="150"/>
      <c r="AE616" s="150"/>
      <c r="AF616" s="150"/>
      <c r="AG616" s="150"/>
      <c r="AH616" s="150"/>
      <c r="AI616" s="150"/>
      <c r="AJ616" s="151"/>
      <c r="AK616" s="143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144"/>
    </row>
    <row r="617" spans="2:61" ht="20.100000000000001" customHeight="1" x14ac:dyDescent="0.45">
      <c r="B617" s="138"/>
      <c r="C617" s="31"/>
      <c r="D617" s="31"/>
      <c r="E617" s="31"/>
      <c r="F617" s="31"/>
      <c r="G617" s="139"/>
      <c r="H617" s="140"/>
      <c r="I617" s="31"/>
      <c r="J617" s="149" t="s">
        <v>231</v>
      </c>
      <c r="K617" s="150"/>
      <c r="L617" s="150"/>
      <c r="M617" s="150"/>
      <c r="N617" s="150"/>
      <c r="O617" s="150"/>
      <c r="P617" s="150"/>
      <c r="Q617" s="151"/>
      <c r="R617" s="154" t="s">
        <v>455</v>
      </c>
      <c r="S617" s="150"/>
      <c r="T617" s="150"/>
      <c r="U617" s="150"/>
      <c r="V617" s="150"/>
      <c r="W617" s="150"/>
      <c r="X617" s="150"/>
      <c r="Y617" s="150"/>
      <c r="Z617" s="150"/>
      <c r="AA617" s="150"/>
      <c r="AB617" s="150"/>
      <c r="AC617" s="150"/>
      <c r="AD617" s="150"/>
      <c r="AE617" s="150"/>
      <c r="AF617" s="150"/>
      <c r="AG617" s="150"/>
      <c r="AH617" s="150"/>
      <c r="AI617" s="150"/>
      <c r="AJ617" s="151"/>
      <c r="AK617" s="143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144"/>
    </row>
    <row r="618" spans="2:61" ht="20.100000000000001" customHeight="1" x14ac:dyDescent="0.45">
      <c r="B618" s="138"/>
      <c r="C618" s="31"/>
      <c r="D618" s="31"/>
      <c r="E618" s="31"/>
      <c r="F618" s="31"/>
      <c r="G618" s="139"/>
      <c r="H618" s="140"/>
      <c r="I618" s="31"/>
      <c r="J618" s="149" t="s">
        <v>232</v>
      </c>
      <c r="K618" s="150"/>
      <c r="L618" s="150"/>
      <c r="M618" s="150"/>
      <c r="N618" s="150"/>
      <c r="O618" s="150"/>
      <c r="P618" s="150"/>
      <c r="Q618" s="151"/>
      <c r="R618" s="154" t="s">
        <v>456</v>
      </c>
      <c r="S618" s="150"/>
      <c r="T618" s="150"/>
      <c r="U618" s="150"/>
      <c r="V618" s="150"/>
      <c r="W618" s="150"/>
      <c r="X618" s="150"/>
      <c r="Y618" s="150"/>
      <c r="Z618" s="150"/>
      <c r="AA618" s="150"/>
      <c r="AB618" s="150"/>
      <c r="AC618" s="150"/>
      <c r="AD618" s="150"/>
      <c r="AE618" s="150"/>
      <c r="AF618" s="150"/>
      <c r="AG618" s="150"/>
      <c r="AH618" s="150"/>
      <c r="AI618" s="150"/>
      <c r="AJ618" s="151"/>
      <c r="AK618" s="143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144"/>
    </row>
    <row r="619" spans="2:61" ht="20.100000000000001" customHeight="1" x14ac:dyDescent="0.45">
      <c r="B619" s="138"/>
      <c r="C619" s="31"/>
      <c r="D619" s="31"/>
      <c r="E619" s="31"/>
      <c r="F619" s="31"/>
      <c r="G619" s="139"/>
      <c r="H619" s="140"/>
      <c r="I619" s="31"/>
      <c r="J619" s="149" t="s">
        <v>233</v>
      </c>
      <c r="K619" s="150"/>
      <c r="L619" s="150"/>
      <c r="M619" s="150"/>
      <c r="N619" s="150"/>
      <c r="O619" s="150"/>
      <c r="P619" s="150"/>
      <c r="Q619" s="151"/>
      <c r="R619" s="154" t="s">
        <v>457</v>
      </c>
      <c r="S619" s="150"/>
      <c r="T619" s="150"/>
      <c r="U619" s="150"/>
      <c r="V619" s="150"/>
      <c r="W619" s="150"/>
      <c r="X619" s="150"/>
      <c r="Y619" s="150"/>
      <c r="Z619" s="150"/>
      <c r="AA619" s="150"/>
      <c r="AB619" s="150"/>
      <c r="AC619" s="150"/>
      <c r="AD619" s="150"/>
      <c r="AE619" s="150"/>
      <c r="AF619" s="150"/>
      <c r="AG619" s="150"/>
      <c r="AH619" s="150"/>
      <c r="AI619" s="150"/>
      <c r="AJ619" s="151"/>
      <c r="AK619" s="143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144"/>
    </row>
    <row r="620" spans="2:61" ht="20.100000000000001" customHeight="1" x14ac:dyDescent="0.45">
      <c r="B620" s="138"/>
      <c r="C620" s="31"/>
      <c r="D620" s="31"/>
      <c r="E620" s="31"/>
      <c r="F620" s="31"/>
      <c r="G620" s="139"/>
      <c r="H620" s="140"/>
      <c r="I620" s="31"/>
      <c r="J620" s="149" t="s">
        <v>234</v>
      </c>
      <c r="K620" s="150"/>
      <c r="L620" s="150"/>
      <c r="M620" s="150"/>
      <c r="N620" s="150"/>
      <c r="O620" s="150"/>
      <c r="P620" s="150"/>
      <c r="Q620" s="151"/>
      <c r="R620" s="154" t="s">
        <v>458</v>
      </c>
      <c r="S620" s="150"/>
      <c r="T620" s="150"/>
      <c r="U620" s="150"/>
      <c r="V620" s="150"/>
      <c r="W620" s="150"/>
      <c r="X620" s="150"/>
      <c r="Y620" s="150"/>
      <c r="Z620" s="150"/>
      <c r="AA620" s="150"/>
      <c r="AB620" s="150"/>
      <c r="AC620" s="150"/>
      <c r="AD620" s="150"/>
      <c r="AE620" s="150"/>
      <c r="AF620" s="150"/>
      <c r="AG620" s="150"/>
      <c r="AH620" s="150"/>
      <c r="AI620" s="150"/>
      <c r="AJ620" s="151"/>
      <c r="AK620" s="143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144"/>
    </row>
    <row r="621" spans="2:61" ht="20.100000000000001" customHeight="1" x14ac:dyDescent="0.45">
      <c r="B621" s="138"/>
      <c r="C621" s="31"/>
      <c r="D621" s="31"/>
      <c r="E621" s="31"/>
      <c r="F621" s="31"/>
      <c r="G621" s="139"/>
      <c r="H621" s="140"/>
      <c r="I621" s="31"/>
      <c r="J621" s="149" t="s">
        <v>235</v>
      </c>
      <c r="K621" s="150"/>
      <c r="L621" s="150"/>
      <c r="M621" s="150"/>
      <c r="N621" s="150"/>
      <c r="O621" s="150"/>
      <c r="P621" s="150"/>
      <c r="Q621" s="151"/>
      <c r="R621" s="154" t="s">
        <v>459</v>
      </c>
      <c r="S621" s="150"/>
      <c r="T621" s="150"/>
      <c r="U621" s="150"/>
      <c r="V621" s="150"/>
      <c r="W621" s="150"/>
      <c r="X621" s="150"/>
      <c r="Y621" s="150"/>
      <c r="Z621" s="150"/>
      <c r="AA621" s="150"/>
      <c r="AB621" s="150"/>
      <c r="AC621" s="150"/>
      <c r="AD621" s="150"/>
      <c r="AE621" s="150"/>
      <c r="AF621" s="150"/>
      <c r="AG621" s="150"/>
      <c r="AH621" s="150"/>
      <c r="AI621" s="150"/>
      <c r="AJ621" s="151"/>
      <c r="AK621" s="143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144"/>
    </row>
    <row r="622" spans="2:61" ht="20.100000000000001" customHeight="1" x14ac:dyDescent="0.45">
      <c r="B622" s="138"/>
      <c r="C622" s="31"/>
      <c r="D622" s="31"/>
      <c r="E622" s="31"/>
      <c r="F622" s="31"/>
      <c r="G622" s="139"/>
      <c r="H622" s="140"/>
      <c r="I622" s="31"/>
      <c r="J622" s="149" t="s">
        <v>236</v>
      </c>
      <c r="K622" s="150"/>
      <c r="L622" s="150"/>
      <c r="M622" s="150"/>
      <c r="N622" s="150"/>
      <c r="O622" s="150"/>
      <c r="P622" s="150"/>
      <c r="Q622" s="151"/>
      <c r="R622" s="154" t="s">
        <v>460</v>
      </c>
      <c r="S622" s="150"/>
      <c r="T622" s="150"/>
      <c r="U622" s="150"/>
      <c r="V622" s="150"/>
      <c r="W622" s="150"/>
      <c r="X622" s="150"/>
      <c r="Y622" s="150"/>
      <c r="Z622" s="150"/>
      <c r="AA622" s="150"/>
      <c r="AB622" s="150"/>
      <c r="AC622" s="150"/>
      <c r="AD622" s="150"/>
      <c r="AE622" s="150"/>
      <c r="AF622" s="150"/>
      <c r="AG622" s="150"/>
      <c r="AH622" s="150"/>
      <c r="AI622" s="150"/>
      <c r="AJ622" s="151"/>
      <c r="AK622" s="143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144"/>
    </row>
    <row r="623" spans="2:61" ht="20.100000000000001" customHeight="1" x14ac:dyDescent="0.45">
      <c r="B623" s="138"/>
      <c r="C623" s="31"/>
      <c r="D623" s="31"/>
      <c r="E623" s="31"/>
      <c r="F623" s="31"/>
      <c r="G623" s="139"/>
      <c r="H623" s="140"/>
      <c r="I623" s="31"/>
      <c r="J623" s="149" t="s">
        <v>237</v>
      </c>
      <c r="K623" s="150"/>
      <c r="L623" s="150"/>
      <c r="M623" s="150"/>
      <c r="N623" s="150"/>
      <c r="O623" s="150"/>
      <c r="P623" s="150"/>
      <c r="Q623" s="151"/>
      <c r="R623" s="154" t="s">
        <v>461</v>
      </c>
      <c r="S623" s="150"/>
      <c r="T623" s="150"/>
      <c r="U623" s="150"/>
      <c r="V623" s="150"/>
      <c r="W623" s="150"/>
      <c r="X623" s="150"/>
      <c r="Y623" s="150"/>
      <c r="Z623" s="150"/>
      <c r="AA623" s="150"/>
      <c r="AB623" s="150"/>
      <c r="AC623" s="150"/>
      <c r="AD623" s="150"/>
      <c r="AE623" s="150"/>
      <c r="AF623" s="150"/>
      <c r="AG623" s="150"/>
      <c r="AH623" s="150"/>
      <c r="AI623" s="150"/>
      <c r="AJ623" s="151"/>
      <c r="AK623" s="143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144"/>
    </row>
    <row r="624" spans="2:61" ht="20.100000000000001" customHeight="1" x14ac:dyDescent="0.45">
      <c r="B624" s="138"/>
      <c r="C624" s="31"/>
      <c r="D624" s="31"/>
      <c r="E624" s="31"/>
      <c r="F624" s="31"/>
      <c r="G624" s="139"/>
      <c r="H624" s="140"/>
      <c r="I624" s="31"/>
      <c r="J624" s="149" t="s">
        <v>238</v>
      </c>
      <c r="K624" s="150"/>
      <c r="L624" s="150"/>
      <c r="M624" s="150"/>
      <c r="N624" s="150"/>
      <c r="O624" s="150"/>
      <c r="P624" s="150"/>
      <c r="Q624" s="151"/>
      <c r="R624" s="154" t="s">
        <v>462</v>
      </c>
      <c r="S624" s="150"/>
      <c r="T624" s="150"/>
      <c r="U624" s="150"/>
      <c r="V624" s="150"/>
      <c r="W624" s="150"/>
      <c r="X624" s="150"/>
      <c r="Y624" s="150"/>
      <c r="Z624" s="150"/>
      <c r="AA624" s="150"/>
      <c r="AB624" s="150"/>
      <c r="AC624" s="150"/>
      <c r="AD624" s="150"/>
      <c r="AE624" s="150"/>
      <c r="AF624" s="150"/>
      <c r="AG624" s="150"/>
      <c r="AH624" s="150"/>
      <c r="AI624" s="150"/>
      <c r="AJ624" s="151"/>
      <c r="AK624" s="143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144"/>
    </row>
    <row r="625" spans="2:61" ht="20.100000000000001" customHeight="1" x14ac:dyDescent="0.45">
      <c r="B625" s="138"/>
      <c r="C625" s="31"/>
      <c r="D625" s="31"/>
      <c r="E625" s="31"/>
      <c r="F625" s="31"/>
      <c r="G625" s="139"/>
      <c r="H625" s="140"/>
      <c r="I625" s="31"/>
      <c r="J625" s="149" t="s">
        <v>239</v>
      </c>
      <c r="K625" s="150"/>
      <c r="L625" s="150"/>
      <c r="M625" s="150"/>
      <c r="N625" s="150"/>
      <c r="O625" s="150"/>
      <c r="P625" s="150"/>
      <c r="Q625" s="151"/>
      <c r="R625" s="154" t="s">
        <v>463</v>
      </c>
      <c r="S625" s="150"/>
      <c r="T625" s="150"/>
      <c r="U625" s="150"/>
      <c r="V625" s="150"/>
      <c r="W625" s="150"/>
      <c r="X625" s="150"/>
      <c r="Y625" s="150"/>
      <c r="Z625" s="150"/>
      <c r="AA625" s="150"/>
      <c r="AB625" s="150"/>
      <c r="AC625" s="150"/>
      <c r="AD625" s="150"/>
      <c r="AE625" s="150"/>
      <c r="AF625" s="150"/>
      <c r="AG625" s="150"/>
      <c r="AH625" s="150"/>
      <c r="AI625" s="150"/>
      <c r="AJ625" s="151"/>
      <c r="AK625" s="143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144"/>
    </row>
    <row r="626" spans="2:61" ht="20.100000000000001" customHeight="1" x14ac:dyDescent="0.45">
      <c r="B626" s="138"/>
      <c r="C626" s="31"/>
      <c r="D626" s="31"/>
      <c r="E626" s="31"/>
      <c r="F626" s="31"/>
      <c r="G626" s="139"/>
      <c r="H626" s="140"/>
      <c r="I626" s="31"/>
      <c r="J626" s="149" t="s">
        <v>240</v>
      </c>
      <c r="K626" s="150"/>
      <c r="L626" s="150"/>
      <c r="M626" s="150"/>
      <c r="N626" s="150"/>
      <c r="O626" s="150"/>
      <c r="P626" s="150"/>
      <c r="Q626" s="151"/>
      <c r="R626" s="154" t="s">
        <v>464</v>
      </c>
      <c r="S626" s="150"/>
      <c r="T626" s="150"/>
      <c r="U626" s="150"/>
      <c r="V626" s="150"/>
      <c r="W626" s="150"/>
      <c r="X626" s="150"/>
      <c r="Y626" s="150"/>
      <c r="Z626" s="150"/>
      <c r="AA626" s="150"/>
      <c r="AB626" s="150"/>
      <c r="AC626" s="150"/>
      <c r="AD626" s="150"/>
      <c r="AE626" s="150"/>
      <c r="AF626" s="150"/>
      <c r="AG626" s="150"/>
      <c r="AH626" s="150"/>
      <c r="AI626" s="150"/>
      <c r="AJ626" s="151"/>
      <c r="AK626" s="143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144"/>
    </row>
    <row r="627" spans="2:61" ht="20.100000000000001" customHeight="1" x14ac:dyDescent="0.45">
      <c r="B627" s="138"/>
      <c r="C627" s="31"/>
      <c r="D627" s="31"/>
      <c r="E627" s="31"/>
      <c r="F627" s="31"/>
      <c r="G627" s="139"/>
      <c r="H627" s="140"/>
      <c r="I627" s="31"/>
      <c r="J627" s="149" t="s">
        <v>241</v>
      </c>
      <c r="K627" s="150"/>
      <c r="L627" s="150"/>
      <c r="M627" s="150"/>
      <c r="N627" s="150"/>
      <c r="O627" s="150"/>
      <c r="P627" s="150"/>
      <c r="Q627" s="151"/>
      <c r="R627" s="154" t="s">
        <v>465</v>
      </c>
      <c r="S627" s="150"/>
      <c r="T627" s="150"/>
      <c r="U627" s="150"/>
      <c r="V627" s="150"/>
      <c r="W627" s="150"/>
      <c r="X627" s="150"/>
      <c r="Y627" s="150"/>
      <c r="Z627" s="150"/>
      <c r="AA627" s="150"/>
      <c r="AB627" s="150"/>
      <c r="AC627" s="150"/>
      <c r="AD627" s="150"/>
      <c r="AE627" s="150"/>
      <c r="AF627" s="150"/>
      <c r="AG627" s="150"/>
      <c r="AH627" s="150"/>
      <c r="AI627" s="150"/>
      <c r="AJ627" s="151"/>
      <c r="AK627" s="143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144"/>
    </row>
    <row r="628" spans="2:61" ht="20.100000000000001" customHeight="1" x14ac:dyDescent="0.45">
      <c r="B628" s="138"/>
      <c r="C628" s="31"/>
      <c r="D628" s="31"/>
      <c r="E628" s="31"/>
      <c r="F628" s="31"/>
      <c r="G628" s="139"/>
      <c r="H628" s="140"/>
      <c r="I628" s="31"/>
      <c r="J628" s="149" t="s">
        <v>242</v>
      </c>
      <c r="K628" s="150"/>
      <c r="L628" s="150"/>
      <c r="M628" s="150"/>
      <c r="N628" s="150"/>
      <c r="O628" s="150"/>
      <c r="P628" s="150"/>
      <c r="Q628" s="151"/>
      <c r="R628" s="154" t="s">
        <v>466</v>
      </c>
      <c r="S628" s="150"/>
      <c r="T628" s="150"/>
      <c r="U628" s="150"/>
      <c r="V628" s="150"/>
      <c r="W628" s="150"/>
      <c r="X628" s="150"/>
      <c r="Y628" s="150"/>
      <c r="Z628" s="150"/>
      <c r="AA628" s="150"/>
      <c r="AB628" s="150"/>
      <c r="AC628" s="150"/>
      <c r="AD628" s="150"/>
      <c r="AE628" s="150"/>
      <c r="AF628" s="150"/>
      <c r="AG628" s="150"/>
      <c r="AH628" s="150"/>
      <c r="AI628" s="150"/>
      <c r="AJ628" s="151"/>
      <c r="AK628" s="143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144"/>
    </row>
    <row r="629" spans="2:61" ht="20.100000000000001" customHeight="1" x14ac:dyDescent="0.45">
      <c r="B629" s="138"/>
      <c r="C629" s="31"/>
      <c r="D629" s="31"/>
      <c r="E629" s="31"/>
      <c r="F629" s="31"/>
      <c r="G629" s="139"/>
      <c r="H629" s="140"/>
      <c r="I629" s="31"/>
      <c r="J629" s="149" t="s">
        <v>243</v>
      </c>
      <c r="K629" s="150"/>
      <c r="L629" s="150"/>
      <c r="M629" s="150"/>
      <c r="N629" s="150"/>
      <c r="O629" s="150"/>
      <c r="P629" s="150"/>
      <c r="Q629" s="151"/>
      <c r="R629" s="154" t="s">
        <v>467</v>
      </c>
      <c r="S629" s="150"/>
      <c r="T629" s="150"/>
      <c r="U629" s="150"/>
      <c r="V629" s="150"/>
      <c r="W629" s="150"/>
      <c r="X629" s="150"/>
      <c r="Y629" s="150"/>
      <c r="Z629" s="150"/>
      <c r="AA629" s="150"/>
      <c r="AB629" s="150"/>
      <c r="AC629" s="150"/>
      <c r="AD629" s="150"/>
      <c r="AE629" s="150"/>
      <c r="AF629" s="150"/>
      <c r="AG629" s="150"/>
      <c r="AH629" s="150"/>
      <c r="AI629" s="150"/>
      <c r="AJ629" s="151"/>
      <c r="AK629" s="143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144"/>
    </row>
    <row r="630" spans="2:61" ht="20.100000000000001" customHeight="1" x14ac:dyDescent="0.45">
      <c r="B630" s="138"/>
      <c r="C630" s="31"/>
      <c r="D630" s="31"/>
      <c r="E630" s="31"/>
      <c r="F630" s="31"/>
      <c r="G630" s="139"/>
      <c r="H630" s="140"/>
      <c r="I630" s="31"/>
      <c r="J630" s="149" t="s">
        <v>244</v>
      </c>
      <c r="K630" s="150"/>
      <c r="L630" s="150"/>
      <c r="M630" s="150"/>
      <c r="N630" s="150"/>
      <c r="O630" s="150"/>
      <c r="P630" s="150"/>
      <c r="Q630" s="151"/>
      <c r="R630" s="154" t="s">
        <v>468</v>
      </c>
      <c r="S630" s="150"/>
      <c r="T630" s="150"/>
      <c r="U630" s="150"/>
      <c r="V630" s="150"/>
      <c r="W630" s="150"/>
      <c r="X630" s="150"/>
      <c r="Y630" s="150"/>
      <c r="Z630" s="150"/>
      <c r="AA630" s="150"/>
      <c r="AB630" s="150"/>
      <c r="AC630" s="150"/>
      <c r="AD630" s="150"/>
      <c r="AE630" s="150"/>
      <c r="AF630" s="150"/>
      <c r="AG630" s="150"/>
      <c r="AH630" s="150"/>
      <c r="AI630" s="150"/>
      <c r="AJ630" s="151"/>
      <c r="AK630" s="143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144"/>
    </row>
    <row r="631" spans="2:61" ht="20.100000000000001" customHeight="1" x14ac:dyDescent="0.45">
      <c r="B631" s="138"/>
      <c r="C631" s="31"/>
      <c r="D631" s="31"/>
      <c r="E631" s="31"/>
      <c r="F631" s="31"/>
      <c r="G631" s="139"/>
      <c r="H631" s="140"/>
      <c r="I631" s="31"/>
      <c r="J631" s="149" t="s">
        <v>168</v>
      </c>
      <c r="K631" s="150"/>
      <c r="L631" s="150"/>
      <c r="M631" s="150"/>
      <c r="N631" s="150"/>
      <c r="O631" s="150"/>
      <c r="P631" s="150"/>
      <c r="Q631" s="151"/>
      <c r="R631" s="154" t="s">
        <v>469</v>
      </c>
      <c r="S631" s="150"/>
      <c r="T631" s="150"/>
      <c r="U631" s="150"/>
      <c r="V631" s="150"/>
      <c r="W631" s="150"/>
      <c r="X631" s="150"/>
      <c r="Y631" s="150"/>
      <c r="Z631" s="150"/>
      <c r="AA631" s="150"/>
      <c r="AB631" s="150"/>
      <c r="AC631" s="150"/>
      <c r="AD631" s="150"/>
      <c r="AE631" s="150"/>
      <c r="AF631" s="150"/>
      <c r="AG631" s="150"/>
      <c r="AH631" s="150"/>
      <c r="AI631" s="150"/>
      <c r="AJ631" s="151"/>
      <c r="AK631" s="143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144"/>
    </row>
    <row r="632" spans="2:61" ht="20.100000000000001" customHeight="1" x14ac:dyDescent="0.45">
      <c r="B632" s="138"/>
      <c r="C632" s="31"/>
      <c r="D632" s="31"/>
      <c r="E632" s="31"/>
      <c r="F632" s="31"/>
      <c r="G632" s="139"/>
      <c r="H632" s="140"/>
      <c r="I632" s="31"/>
      <c r="J632" s="149" t="s">
        <v>245</v>
      </c>
      <c r="K632" s="150"/>
      <c r="L632" s="150"/>
      <c r="M632" s="150"/>
      <c r="N632" s="150"/>
      <c r="O632" s="150"/>
      <c r="P632" s="150"/>
      <c r="Q632" s="151"/>
      <c r="R632" s="154" t="s">
        <v>470</v>
      </c>
      <c r="S632" s="150"/>
      <c r="T632" s="150"/>
      <c r="U632" s="150"/>
      <c r="V632" s="150"/>
      <c r="W632" s="150"/>
      <c r="X632" s="150"/>
      <c r="Y632" s="150"/>
      <c r="Z632" s="150"/>
      <c r="AA632" s="150"/>
      <c r="AB632" s="150"/>
      <c r="AC632" s="150"/>
      <c r="AD632" s="150"/>
      <c r="AE632" s="150"/>
      <c r="AF632" s="150"/>
      <c r="AG632" s="150"/>
      <c r="AH632" s="150"/>
      <c r="AI632" s="150"/>
      <c r="AJ632" s="151"/>
      <c r="AK632" s="143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144"/>
    </row>
    <row r="633" spans="2:61" ht="20.100000000000001" customHeight="1" x14ac:dyDescent="0.45">
      <c r="B633" s="138"/>
      <c r="C633" s="31"/>
      <c r="D633" s="31"/>
      <c r="E633" s="31"/>
      <c r="F633" s="31"/>
      <c r="G633" s="139"/>
      <c r="H633" s="140"/>
      <c r="I633" s="31"/>
      <c r="J633" s="149" t="s">
        <v>246</v>
      </c>
      <c r="K633" s="150"/>
      <c r="L633" s="150"/>
      <c r="M633" s="150"/>
      <c r="N633" s="150"/>
      <c r="O633" s="150"/>
      <c r="P633" s="150"/>
      <c r="Q633" s="151"/>
      <c r="R633" s="154" t="s">
        <v>471</v>
      </c>
      <c r="S633" s="150"/>
      <c r="T633" s="150"/>
      <c r="U633" s="150"/>
      <c r="V633" s="150"/>
      <c r="W633" s="150"/>
      <c r="X633" s="150"/>
      <c r="Y633" s="150"/>
      <c r="Z633" s="150"/>
      <c r="AA633" s="150"/>
      <c r="AB633" s="150"/>
      <c r="AC633" s="150"/>
      <c r="AD633" s="150"/>
      <c r="AE633" s="150"/>
      <c r="AF633" s="150"/>
      <c r="AG633" s="150"/>
      <c r="AH633" s="150"/>
      <c r="AI633" s="150"/>
      <c r="AJ633" s="151"/>
      <c r="AK633" s="143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144"/>
    </row>
    <row r="634" spans="2:61" ht="20.100000000000001" customHeight="1" x14ac:dyDescent="0.45">
      <c r="B634" s="138"/>
      <c r="C634" s="31"/>
      <c r="D634" s="31"/>
      <c r="E634" s="31"/>
      <c r="F634" s="31"/>
      <c r="G634" s="139"/>
      <c r="H634" s="140"/>
      <c r="I634" s="31"/>
      <c r="J634" s="149" t="s">
        <v>248</v>
      </c>
      <c r="K634" s="150"/>
      <c r="L634" s="150"/>
      <c r="M634" s="150"/>
      <c r="N634" s="150"/>
      <c r="O634" s="150"/>
      <c r="P634" s="150"/>
      <c r="Q634" s="151"/>
      <c r="R634" s="154" t="s">
        <v>472</v>
      </c>
      <c r="S634" s="150"/>
      <c r="T634" s="150"/>
      <c r="U634" s="150"/>
      <c r="V634" s="150"/>
      <c r="W634" s="150"/>
      <c r="X634" s="150"/>
      <c r="Y634" s="150"/>
      <c r="Z634" s="150"/>
      <c r="AA634" s="150"/>
      <c r="AB634" s="150"/>
      <c r="AC634" s="150"/>
      <c r="AD634" s="150"/>
      <c r="AE634" s="150"/>
      <c r="AF634" s="150"/>
      <c r="AG634" s="150"/>
      <c r="AH634" s="150"/>
      <c r="AI634" s="150"/>
      <c r="AJ634" s="151"/>
      <c r="AK634" s="143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144"/>
    </row>
    <row r="635" spans="2:61" ht="20.100000000000001" customHeight="1" x14ac:dyDescent="0.45">
      <c r="B635" s="138"/>
      <c r="C635" s="31"/>
      <c r="D635" s="31"/>
      <c r="E635" s="31"/>
      <c r="F635" s="31"/>
      <c r="G635" s="139"/>
      <c r="H635" s="140"/>
      <c r="I635" s="31"/>
      <c r="J635" s="149" t="s">
        <v>247</v>
      </c>
      <c r="K635" s="150"/>
      <c r="L635" s="150"/>
      <c r="M635" s="150"/>
      <c r="N635" s="150"/>
      <c r="O635" s="150"/>
      <c r="P635" s="150"/>
      <c r="Q635" s="151"/>
      <c r="R635" s="154" t="s">
        <v>473</v>
      </c>
      <c r="S635" s="150"/>
      <c r="T635" s="150"/>
      <c r="U635" s="150"/>
      <c r="V635" s="150"/>
      <c r="W635" s="150"/>
      <c r="X635" s="150"/>
      <c r="Y635" s="150"/>
      <c r="Z635" s="150"/>
      <c r="AA635" s="150"/>
      <c r="AB635" s="150"/>
      <c r="AC635" s="150"/>
      <c r="AD635" s="150"/>
      <c r="AE635" s="150"/>
      <c r="AF635" s="150"/>
      <c r="AG635" s="150"/>
      <c r="AH635" s="150"/>
      <c r="AI635" s="150"/>
      <c r="AJ635" s="151"/>
      <c r="AK635" s="143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144"/>
    </row>
    <row r="636" spans="2:61" ht="20.100000000000001" customHeight="1" x14ac:dyDescent="0.45">
      <c r="B636" s="138"/>
      <c r="C636" s="31"/>
      <c r="D636" s="31"/>
      <c r="E636" s="31"/>
      <c r="F636" s="31"/>
      <c r="G636" s="139"/>
      <c r="H636" s="140"/>
      <c r="I636" s="31"/>
      <c r="J636" s="149" t="s">
        <v>249</v>
      </c>
      <c r="K636" s="150"/>
      <c r="L636" s="150"/>
      <c r="M636" s="150"/>
      <c r="N636" s="150"/>
      <c r="O636" s="150"/>
      <c r="P636" s="150"/>
      <c r="Q636" s="151"/>
      <c r="R636" s="154" t="s">
        <v>474</v>
      </c>
      <c r="S636" s="150"/>
      <c r="T636" s="150"/>
      <c r="U636" s="150"/>
      <c r="V636" s="150"/>
      <c r="W636" s="150"/>
      <c r="X636" s="150"/>
      <c r="Y636" s="150"/>
      <c r="Z636" s="150"/>
      <c r="AA636" s="150"/>
      <c r="AB636" s="150"/>
      <c r="AC636" s="150"/>
      <c r="AD636" s="150"/>
      <c r="AE636" s="150"/>
      <c r="AF636" s="150"/>
      <c r="AG636" s="150"/>
      <c r="AH636" s="150"/>
      <c r="AI636" s="150"/>
      <c r="AJ636" s="151"/>
      <c r="AK636" s="143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144"/>
    </row>
    <row r="637" spans="2:61" ht="20.100000000000001" customHeight="1" x14ac:dyDescent="0.45">
      <c r="B637" s="138"/>
      <c r="C637" s="31"/>
      <c r="D637" s="31"/>
      <c r="E637" s="31"/>
      <c r="F637" s="31"/>
      <c r="G637" s="139"/>
      <c r="H637" s="140"/>
      <c r="I637" s="31"/>
      <c r="J637" s="149" t="s">
        <v>250</v>
      </c>
      <c r="K637" s="150"/>
      <c r="L637" s="150"/>
      <c r="M637" s="150"/>
      <c r="N637" s="150"/>
      <c r="O637" s="150"/>
      <c r="P637" s="150"/>
      <c r="Q637" s="151"/>
      <c r="R637" s="154" t="s">
        <v>475</v>
      </c>
      <c r="S637" s="150"/>
      <c r="T637" s="150"/>
      <c r="U637" s="150"/>
      <c r="V637" s="150"/>
      <c r="W637" s="150"/>
      <c r="X637" s="150"/>
      <c r="Y637" s="150"/>
      <c r="Z637" s="150"/>
      <c r="AA637" s="150"/>
      <c r="AB637" s="150"/>
      <c r="AC637" s="150"/>
      <c r="AD637" s="150"/>
      <c r="AE637" s="150"/>
      <c r="AF637" s="150"/>
      <c r="AG637" s="150"/>
      <c r="AH637" s="150"/>
      <c r="AI637" s="150"/>
      <c r="AJ637" s="151"/>
      <c r="AK637" s="143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144"/>
    </row>
    <row r="638" spans="2:61" ht="20.100000000000001" customHeight="1" x14ac:dyDescent="0.45">
      <c r="B638" s="138"/>
      <c r="C638" s="31"/>
      <c r="D638" s="31"/>
      <c r="E638" s="31"/>
      <c r="F638" s="31"/>
      <c r="G638" s="139"/>
      <c r="H638" s="140"/>
      <c r="I638" s="31"/>
      <c r="J638" s="149" t="s">
        <v>251</v>
      </c>
      <c r="K638" s="150"/>
      <c r="L638" s="150"/>
      <c r="M638" s="150"/>
      <c r="N638" s="150"/>
      <c r="O638" s="150"/>
      <c r="P638" s="150"/>
      <c r="Q638" s="151"/>
      <c r="R638" s="154" t="s">
        <v>476</v>
      </c>
      <c r="S638" s="150"/>
      <c r="T638" s="150"/>
      <c r="U638" s="150"/>
      <c r="V638" s="150"/>
      <c r="W638" s="150"/>
      <c r="X638" s="150"/>
      <c r="Y638" s="150"/>
      <c r="Z638" s="150"/>
      <c r="AA638" s="150"/>
      <c r="AB638" s="150"/>
      <c r="AC638" s="150"/>
      <c r="AD638" s="150"/>
      <c r="AE638" s="150"/>
      <c r="AF638" s="150"/>
      <c r="AG638" s="150"/>
      <c r="AH638" s="150"/>
      <c r="AI638" s="150"/>
      <c r="AJ638" s="151"/>
      <c r="AK638" s="143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144"/>
    </row>
    <row r="639" spans="2:61" ht="20.100000000000001" customHeight="1" x14ac:dyDescent="0.45">
      <c r="B639" s="138"/>
      <c r="C639" s="31"/>
      <c r="D639" s="31"/>
      <c r="E639" s="31"/>
      <c r="F639" s="31"/>
      <c r="G639" s="139"/>
      <c r="H639" s="140"/>
      <c r="I639" s="31"/>
      <c r="J639" s="149" t="s">
        <v>252</v>
      </c>
      <c r="K639" s="150"/>
      <c r="L639" s="150"/>
      <c r="M639" s="150"/>
      <c r="N639" s="150"/>
      <c r="O639" s="150"/>
      <c r="P639" s="150"/>
      <c r="Q639" s="151"/>
      <c r="R639" s="154" t="s">
        <v>477</v>
      </c>
      <c r="S639" s="150"/>
      <c r="T639" s="150"/>
      <c r="U639" s="150"/>
      <c r="V639" s="150"/>
      <c r="W639" s="150"/>
      <c r="X639" s="150"/>
      <c r="Y639" s="150"/>
      <c r="Z639" s="150"/>
      <c r="AA639" s="150"/>
      <c r="AB639" s="150"/>
      <c r="AC639" s="150"/>
      <c r="AD639" s="150"/>
      <c r="AE639" s="150"/>
      <c r="AF639" s="150"/>
      <c r="AG639" s="150"/>
      <c r="AH639" s="150"/>
      <c r="AI639" s="150"/>
      <c r="AJ639" s="151"/>
      <c r="AK639" s="143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144"/>
    </row>
    <row r="640" spans="2:61" ht="20.100000000000001" customHeight="1" x14ac:dyDescent="0.45">
      <c r="B640" s="138"/>
      <c r="C640" s="31"/>
      <c r="D640" s="31"/>
      <c r="E640" s="31"/>
      <c r="F640" s="31"/>
      <c r="G640" s="139"/>
      <c r="H640" s="140"/>
      <c r="I640" s="31"/>
      <c r="J640" s="149" t="s">
        <v>253</v>
      </c>
      <c r="K640" s="150"/>
      <c r="L640" s="150"/>
      <c r="M640" s="150"/>
      <c r="N640" s="150"/>
      <c r="O640" s="150"/>
      <c r="P640" s="150"/>
      <c r="Q640" s="151"/>
      <c r="R640" s="154" t="s">
        <v>478</v>
      </c>
      <c r="S640" s="150"/>
      <c r="T640" s="150"/>
      <c r="U640" s="150"/>
      <c r="V640" s="150"/>
      <c r="W640" s="150"/>
      <c r="X640" s="150"/>
      <c r="Y640" s="150"/>
      <c r="Z640" s="150"/>
      <c r="AA640" s="150"/>
      <c r="AB640" s="150"/>
      <c r="AC640" s="150"/>
      <c r="AD640" s="150"/>
      <c r="AE640" s="150"/>
      <c r="AF640" s="150"/>
      <c r="AG640" s="150"/>
      <c r="AH640" s="150"/>
      <c r="AI640" s="150"/>
      <c r="AJ640" s="151"/>
      <c r="AK640" s="143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144"/>
    </row>
    <row r="641" spans="2:61" ht="20.100000000000001" customHeight="1" thickBot="1" x14ac:dyDescent="0.5">
      <c r="B641" s="138"/>
      <c r="C641" s="31"/>
      <c r="D641" s="31"/>
      <c r="E641" s="31"/>
      <c r="F641" s="31"/>
      <c r="G641" s="139"/>
      <c r="H641" s="145" t="s">
        <v>169</v>
      </c>
      <c r="I641" s="55"/>
      <c r="J641" s="145" t="s">
        <v>572</v>
      </c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146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  <c r="BD641" s="55"/>
      <c r="BE641" s="55"/>
      <c r="BF641" s="55"/>
      <c r="BG641" s="55"/>
      <c r="BH641" s="55"/>
      <c r="BI641" s="147"/>
    </row>
    <row r="642" spans="2:61" ht="20.100000000000001" customHeight="1" x14ac:dyDescent="0.45">
      <c r="B642" s="129" t="s">
        <v>574</v>
      </c>
      <c r="C642" s="130"/>
      <c r="D642" s="130"/>
      <c r="E642" s="130"/>
      <c r="F642" s="130"/>
      <c r="G642" s="131"/>
      <c r="H642" s="132" t="s">
        <v>159</v>
      </c>
      <c r="I642" s="130"/>
      <c r="J642" s="133" t="s">
        <v>160</v>
      </c>
      <c r="K642" s="134"/>
      <c r="L642" s="134"/>
      <c r="M642" s="134"/>
      <c r="N642" s="134"/>
      <c r="O642" s="134"/>
      <c r="P642" s="134"/>
      <c r="Q642" s="135"/>
      <c r="R642" s="133" t="s">
        <v>183</v>
      </c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  <c r="AC642" s="134"/>
      <c r="AD642" s="134"/>
      <c r="AE642" s="134"/>
      <c r="AF642" s="134"/>
      <c r="AG642" s="134"/>
      <c r="AH642" s="134"/>
      <c r="AI642" s="134"/>
      <c r="AJ642" s="135"/>
      <c r="AK642" s="136" t="s">
        <v>575</v>
      </c>
      <c r="AL642" s="130"/>
      <c r="AM642" s="130"/>
      <c r="AN642" s="130"/>
      <c r="AO642" s="130"/>
      <c r="AP642" s="130"/>
      <c r="AQ642" s="130"/>
      <c r="AR642" s="130"/>
      <c r="AS642" s="130"/>
      <c r="AT642" s="130"/>
      <c r="AU642" s="130"/>
      <c r="AV642" s="130"/>
      <c r="AW642" s="130"/>
      <c r="AX642" s="130"/>
      <c r="AY642" s="130"/>
      <c r="AZ642" s="130"/>
      <c r="BA642" s="130"/>
      <c r="BB642" s="130"/>
      <c r="BC642" s="130"/>
      <c r="BD642" s="130"/>
      <c r="BE642" s="130"/>
      <c r="BF642" s="130"/>
      <c r="BG642" s="130"/>
      <c r="BH642" s="130"/>
      <c r="BI642" s="137"/>
    </row>
    <row r="643" spans="2:61" ht="20.100000000000001" customHeight="1" x14ac:dyDescent="0.45">
      <c r="B643" s="138"/>
      <c r="C643" s="31"/>
      <c r="D643" s="31"/>
      <c r="E643" s="31"/>
      <c r="F643" s="31"/>
      <c r="G643" s="139"/>
      <c r="H643" s="140"/>
      <c r="I643" s="31"/>
      <c r="J643" s="149" t="s">
        <v>579</v>
      </c>
      <c r="K643" s="150"/>
      <c r="L643" s="150"/>
      <c r="M643" s="150"/>
      <c r="N643" s="150"/>
      <c r="O643" s="150"/>
      <c r="P643" s="150"/>
      <c r="Q643" s="151"/>
      <c r="R643" s="149" t="s">
        <v>663</v>
      </c>
      <c r="S643" s="150"/>
      <c r="T643" s="150"/>
      <c r="U643" s="150"/>
      <c r="V643" s="150"/>
      <c r="W643" s="150"/>
      <c r="X643" s="150"/>
      <c r="Y643" s="150"/>
      <c r="Z643" s="150"/>
      <c r="AA643" s="150"/>
      <c r="AB643" s="150"/>
      <c r="AC643" s="150"/>
      <c r="AD643" s="150"/>
      <c r="AE643" s="150"/>
      <c r="AF643" s="150"/>
      <c r="AG643" s="150"/>
      <c r="AH643" s="150"/>
      <c r="AI643" s="150"/>
      <c r="AJ643" s="151"/>
      <c r="AK643" s="143" t="s">
        <v>576</v>
      </c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144"/>
    </row>
    <row r="644" spans="2:61" ht="20.100000000000001" customHeight="1" x14ac:dyDescent="0.45">
      <c r="B644" s="138"/>
      <c r="C644" s="31"/>
      <c r="D644" s="31"/>
      <c r="E644" s="31"/>
      <c r="F644" s="31"/>
      <c r="G644" s="139"/>
      <c r="H644" s="140"/>
      <c r="I644" s="31"/>
      <c r="J644" s="149" t="s">
        <v>580</v>
      </c>
      <c r="K644" s="150"/>
      <c r="L644" s="150"/>
      <c r="M644" s="150"/>
      <c r="N644" s="150"/>
      <c r="O644" s="150"/>
      <c r="P644" s="150"/>
      <c r="Q644" s="151"/>
      <c r="R644" s="149" t="s">
        <v>664</v>
      </c>
      <c r="S644" s="150"/>
      <c r="T644" s="150"/>
      <c r="U644" s="150"/>
      <c r="V644" s="150"/>
      <c r="W644" s="150"/>
      <c r="X644" s="150"/>
      <c r="Y644" s="150"/>
      <c r="Z644" s="150"/>
      <c r="AA644" s="150"/>
      <c r="AB644" s="150"/>
      <c r="AC644" s="150"/>
      <c r="AD644" s="150"/>
      <c r="AE644" s="150"/>
      <c r="AF644" s="150"/>
      <c r="AG644" s="150"/>
      <c r="AH644" s="150"/>
      <c r="AI644" s="150"/>
      <c r="AJ644" s="151"/>
      <c r="AK644" s="143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144"/>
    </row>
    <row r="645" spans="2:61" ht="20.100000000000001" customHeight="1" x14ac:dyDescent="0.45">
      <c r="B645" s="138"/>
      <c r="C645" s="31"/>
      <c r="D645" s="31"/>
      <c r="E645" s="31"/>
      <c r="F645" s="31"/>
      <c r="G645" s="139"/>
      <c r="H645" s="140"/>
      <c r="I645" s="31"/>
      <c r="J645" s="149" t="s">
        <v>581</v>
      </c>
      <c r="K645" s="150"/>
      <c r="L645" s="150"/>
      <c r="M645" s="150"/>
      <c r="N645" s="150"/>
      <c r="O645" s="150"/>
      <c r="P645" s="150"/>
      <c r="Q645" s="151"/>
      <c r="R645" s="149" t="s">
        <v>665</v>
      </c>
      <c r="S645" s="150"/>
      <c r="T645" s="150"/>
      <c r="U645" s="150"/>
      <c r="V645" s="150"/>
      <c r="W645" s="150"/>
      <c r="X645" s="150"/>
      <c r="Y645" s="150"/>
      <c r="Z645" s="150"/>
      <c r="AA645" s="150"/>
      <c r="AB645" s="150"/>
      <c r="AC645" s="150"/>
      <c r="AD645" s="150"/>
      <c r="AE645" s="150"/>
      <c r="AF645" s="150"/>
      <c r="AG645" s="150"/>
      <c r="AH645" s="150"/>
      <c r="AI645" s="150"/>
      <c r="AJ645" s="151"/>
      <c r="AK645" s="143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144"/>
    </row>
    <row r="646" spans="2:61" ht="20.100000000000001" customHeight="1" x14ac:dyDescent="0.45">
      <c r="B646" s="138"/>
      <c r="C646" s="31"/>
      <c r="D646" s="31"/>
      <c r="E646" s="31"/>
      <c r="F646" s="31"/>
      <c r="G646" s="139"/>
      <c r="H646" s="140"/>
      <c r="I646" s="31"/>
      <c r="J646" s="149" t="s">
        <v>582</v>
      </c>
      <c r="K646" s="150"/>
      <c r="L646" s="150"/>
      <c r="M646" s="150"/>
      <c r="N646" s="150"/>
      <c r="O646" s="150"/>
      <c r="P646" s="150"/>
      <c r="Q646" s="151"/>
      <c r="R646" s="149" t="s">
        <v>666</v>
      </c>
      <c r="S646" s="150"/>
      <c r="T646" s="150"/>
      <c r="U646" s="150"/>
      <c r="V646" s="150"/>
      <c r="W646" s="150"/>
      <c r="X646" s="150"/>
      <c r="Y646" s="150"/>
      <c r="Z646" s="150"/>
      <c r="AA646" s="150"/>
      <c r="AB646" s="150"/>
      <c r="AC646" s="150"/>
      <c r="AD646" s="150"/>
      <c r="AE646" s="150"/>
      <c r="AF646" s="150"/>
      <c r="AG646" s="150"/>
      <c r="AH646" s="150"/>
      <c r="AI646" s="150"/>
      <c r="AJ646" s="151"/>
      <c r="AK646" s="143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144"/>
    </row>
    <row r="647" spans="2:61" ht="20.100000000000001" customHeight="1" x14ac:dyDescent="0.45">
      <c r="B647" s="138"/>
      <c r="C647" s="31"/>
      <c r="D647" s="31"/>
      <c r="E647" s="31"/>
      <c r="F647" s="31"/>
      <c r="G647" s="139"/>
      <c r="H647" s="140"/>
      <c r="I647" s="31"/>
      <c r="J647" s="149" t="s">
        <v>583</v>
      </c>
      <c r="K647" s="150"/>
      <c r="L647" s="150"/>
      <c r="M647" s="150"/>
      <c r="N647" s="150"/>
      <c r="O647" s="150"/>
      <c r="P647" s="150"/>
      <c r="Q647" s="151"/>
      <c r="R647" s="149" t="s">
        <v>667</v>
      </c>
      <c r="S647" s="150"/>
      <c r="T647" s="150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50"/>
      <c r="AF647" s="150"/>
      <c r="AG647" s="150"/>
      <c r="AH647" s="150"/>
      <c r="AI647" s="150"/>
      <c r="AJ647" s="151"/>
      <c r="AK647" s="143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144"/>
    </row>
    <row r="648" spans="2:61" ht="20.100000000000001" customHeight="1" x14ac:dyDescent="0.45">
      <c r="B648" s="138"/>
      <c r="C648" s="31"/>
      <c r="D648" s="31"/>
      <c r="E648" s="31"/>
      <c r="F648" s="31"/>
      <c r="G648" s="139"/>
      <c r="H648" s="140"/>
      <c r="I648" s="31"/>
      <c r="J648" s="149" t="s">
        <v>584</v>
      </c>
      <c r="K648" s="150"/>
      <c r="L648" s="150"/>
      <c r="M648" s="150"/>
      <c r="N648" s="150"/>
      <c r="O648" s="150"/>
      <c r="P648" s="150"/>
      <c r="Q648" s="151"/>
      <c r="R648" s="149" t="s">
        <v>668</v>
      </c>
      <c r="S648" s="150"/>
      <c r="T648" s="150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50"/>
      <c r="AF648" s="150"/>
      <c r="AG648" s="150"/>
      <c r="AH648" s="150"/>
      <c r="AI648" s="150"/>
      <c r="AJ648" s="151"/>
      <c r="AK648" s="143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144"/>
    </row>
    <row r="649" spans="2:61" ht="20.100000000000001" customHeight="1" x14ac:dyDescent="0.45">
      <c r="B649" s="138"/>
      <c r="C649" s="31"/>
      <c r="D649" s="31"/>
      <c r="E649" s="31"/>
      <c r="F649" s="31"/>
      <c r="G649" s="139"/>
      <c r="H649" s="140"/>
      <c r="I649" s="31"/>
      <c r="J649" s="149" t="s">
        <v>585</v>
      </c>
      <c r="K649" s="150"/>
      <c r="L649" s="150"/>
      <c r="M649" s="150"/>
      <c r="N649" s="150"/>
      <c r="O649" s="150"/>
      <c r="P649" s="150"/>
      <c r="Q649" s="151"/>
      <c r="R649" s="149" t="s">
        <v>669</v>
      </c>
      <c r="S649" s="150"/>
      <c r="T649" s="150"/>
      <c r="U649" s="150"/>
      <c r="V649" s="150"/>
      <c r="W649" s="150"/>
      <c r="X649" s="150"/>
      <c r="Y649" s="150"/>
      <c r="Z649" s="150"/>
      <c r="AA649" s="150"/>
      <c r="AB649" s="150"/>
      <c r="AC649" s="150"/>
      <c r="AD649" s="150"/>
      <c r="AE649" s="150"/>
      <c r="AF649" s="150"/>
      <c r="AG649" s="150"/>
      <c r="AH649" s="150"/>
      <c r="AI649" s="150"/>
      <c r="AJ649" s="151"/>
      <c r="AK649" s="143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144"/>
    </row>
    <row r="650" spans="2:61" ht="20.100000000000001" customHeight="1" x14ac:dyDescent="0.45">
      <c r="B650" s="138"/>
      <c r="C650" s="31"/>
      <c r="D650" s="31"/>
      <c r="E650" s="31"/>
      <c r="F650" s="31"/>
      <c r="G650" s="139"/>
      <c r="H650" s="140"/>
      <c r="I650" s="31"/>
      <c r="J650" s="149" t="s">
        <v>586</v>
      </c>
      <c r="K650" s="150"/>
      <c r="L650" s="150"/>
      <c r="M650" s="150"/>
      <c r="N650" s="150"/>
      <c r="O650" s="150"/>
      <c r="P650" s="150"/>
      <c r="Q650" s="151"/>
      <c r="R650" s="149" t="s">
        <v>670</v>
      </c>
      <c r="S650" s="150"/>
      <c r="T650" s="150"/>
      <c r="U650" s="150"/>
      <c r="V650" s="150"/>
      <c r="W650" s="150"/>
      <c r="X650" s="150"/>
      <c r="Y650" s="150"/>
      <c r="Z650" s="150"/>
      <c r="AA650" s="150"/>
      <c r="AB650" s="150"/>
      <c r="AC650" s="150"/>
      <c r="AD650" s="150"/>
      <c r="AE650" s="150"/>
      <c r="AF650" s="150"/>
      <c r="AG650" s="150"/>
      <c r="AH650" s="150"/>
      <c r="AI650" s="150"/>
      <c r="AJ650" s="151"/>
      <c r="AK650" s="143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144"/>
    </row>
    <row r="651" spans="2:61" ht="20.100000000000001" customHeight="1" x14ac:dyDescent="0.45">
      <c r="B651" s="138"/>
      <c r="C651" s="31"/>
      <c r="D651" s="31"/>
      <c r="E651" s="31"/>
      <c r="F651" s="31"/>
      <c r="G651" s="139"/>
      <c r="H651" s="140"/>
      <c r="I651" s="31"/>
      <c r="J651" s="149" t="s">
        <v>587</v>
      </c>
      <c r="K651" s="150"/>
      <c r="L651" s="150"/>
      <c r="M651" s="150"/>
      <c r="N651" s="150"/>
      <c r="O651" s="150"/>
      <c r="P651" s="150"/>
      <c r="Q651" s="151"/>
      <c r="R651" s="149" t="s">
        <v>671</v>
      </c>
      <c r="S651" s="150"/>
      <c r="T651" s="150"/>
      <c r="U651" s="150"/>
      <c r="V651" s="150"/>
      <c r="W651" s="150"/>
      <c r="X651" s="150"/>
      <c r="Y651" s="150"/>
      <c r="Z651" s="150"/>
      <c r="AA651" s="150"/>
      <c r="AB651" s="150"/>
      <c r="AC651" s="150"/>
      <c r="AD651" s="150"/>
      <c r="AE651" s="150"/>
      <c r="AF651" s="150"/>
      <c r="AG651" s="150"/>
      <c r="AH651" s="150"/>
      <c r="AI651" s="150"/>
      <c r="AJ651" s="151"/>
      <c r="AK651" s="143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144"/>
    </row>
    <row r="652" spans="2:61" ht="20.100000000000001" customHeight="1" x14ac:dyDescent="0.45">
      <c r="B652" s="138"/>
      <c r="C652" s="31"/>
      <c r="D652" s="31"/>
      <c r="E652" s="31"/>
      <c r="F652" s="31"/>
      <c r="G652" s="139"/>
      <c r="H652" s="140"/>
      <c r="I652" s="31"/>
      <c r="J652" s="149" t="s">
        <v>588</v>
      </c>
      <c r="K652" s="150"/>
      <c r="L652" s="150"/>
      <c r="M652" s="150"/>
      <c r="N652" s="150"/>
      <c r="O652" s="150"/>
      <c r="P652" s="150"/>
      <c r="Q652" s="151"/>
      <c r="R652" s="149" t="s">
        <v>672</v>
      </c>
      <c r="S652" s="150"/>
      <c r="T652" s="150"/>
      <c r="U652" s="150"/>
      <c r="V652" s="150"/>
      <c r="W652" s="150"/>
      <c r="X652" s="150"/>
      <c r="Y652" s="150"/>
      <c r="Z652" s="150"/>
      <c r="AA652" s="150"/>
      <c r="AB652" s="150"/>
      <c r="AC652" s="150"/>
      <c r="AD652" s="150"/>
      <c r="AE652" s="150"/>
      <c r="AF652" s="150"/>
      <c r="AG652" s="150"/>
      <c r="AH652" s="150"/>
      <c r="AI652" s="150"/>
      <c r="AJ652" s="151"/>
      <c r="AK652" s="143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144"/>
    </row>
    <row r="653" spans="2:61" ht="20.100000000000001" customHeight="1" x14ac:dyDescent="0.45">
      <c r="B653" s="138"/>
      <c r="C653" s="31"/>
      <c r="D653" s="31"/>
      <c r="E653" s="31"/>
      <c r="F653" s="31"/>
      <c r="G653" s="139"/>
      <c r="H653" s="140"/>
      <c r="I653" s="31"/>
      <c r="J653" s="149" t="s">
        <v>589</v>
      </c>
      <c r="K653" s="150"/>
      <c r="L653" s="150"/>
      <c r="M653" s="150"/>
      <c r="N653" s="150"/>
      <c r="O653" s="150"/>
      <c r="P653" s="150"/>
      <c r="Q653" s="151"/>
      <c r="R653" s="149" t="s">
        <v>673</v>
      </c>
      <c r="S653" s="150"/>
      <c r="T653" s="150"/>
      <c r="U653" s="150"/>
      <c r="V653" s="150"/>
      <c r="W653" s="150"/>
      <c r="X653" s="150"/>
      <c r="Y653" s="150"/>
      <c r="Z653" s="150"/>
      <c r="AA653" s="150"/>
      <c r="AB653" s="150"/>
      <c r="AC653" s="150"/>
      <c r="AD653" s="150"/>
      <c r="AE653" s="150"/>
      <c r="AF653" s="150"/>
      <c r="AG653" s="150"/>
      <c r="AH653" s="150"/>
      <c r="AI653" s="150"/>
      <c r="AJ653" s="151"/>
      <c r="AK653" s="143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144"/>
    </row>
    <row r="654" spans="2:61" ht="20.100000000000001" customHeight="1" x14ac:dyDescent="0.45">
      <c r="B654" s="138"/>
      <c r="C654" s="31"/>
      <c r="D654" s="31"/>
      <c r="E654" s="31"/>
      <c r="F654" s="31"/>
      <c r="G654" s="139"/>
      <c r="H654" s="140"/>
      <c r="I654" s="31"/>
      <c r="J654" s="149" t="s">
        <v>590</v>
      </c>
      <c r="K654" s="150"/>
      <c r="L654" s="150"/>
      <c r="M654" s="150"/>
      <c r="N654" s="150"/>
      <c r="O654" s="150"/>
      <c r="P654" s="150"/>
      <c r="Q654" s="151"/>
      <c r="R654" s="149" t="s">
        <v>674</v>
      </c>
      <c r="S654" s="150"/>
      <c r="T654" s="150"/>
      <c r="U654" s="150"/>
      <c r="V654" s="150"/>
      <c r="W654" s="150"/>
      <c r="X654" s="150"/>
      <c r="Y654" s="150"/>
      <c r="Z654" s="150"/>
      <c r="AA654" s="150"/>
      <c r="AB654" s="150"/>
      <c r="AC654" s="150"/>
      <c r="AD654" s="150"/>
      <c r="AE654" s="150"/>
      <c r="AF654" s="150"/>
      <c r="AG654" s="150"/>
      <c r="AH654" s="150"/>
      <c r="AI654" s="150"/>
      <c r="AJ654" s="151"/>
      <c r="AK654" s="143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144"/>
    </row>
    <row r="655" spans="2:61" ht="20.100000000000001" customHeight="1" x14ac:dyDescent="0.45">
      <c r="B655" s="138"/>
      <c r="C655" s="31"/>
      <c r="D655" s="31"/>
      <c r="E655" s="31"/>
      <c r="F655" s="31"/>
      <c r="G655" s="139"/>
      <c r="H655" s="140"/>
      <c r="I655" s="31"/>
      <c r="J655" s="149" t="s">
        <v>591</v>
      </c>
      <c r="K655" s="150"/>
      <c r="L655" s="150"/>
      <c r="M655" s="150"/>
      <c r="N655" s="150"/>
      <c r="O655" s="150"/>
      <c r="P655" s="150"/>
      <c r="Q655" s="151"/>
      <c r="R655" s="149" t="s">
        <v>675</v>
      </c>
      <c r="S655" s="150"/>
      <c r="T655" s="150"/>
      <c r="U655" s="150"/>
      <c r="V655" s="150"/>
      <c r="W655" s="150"/>
      <c r="X655" s="150"/>
      <c r="Y655" s="150"/>
      <c r="Z655" s="150"/>
      <c r="AA655" s="150"/>
      <c r="AB655" s="150"/>
      <c r="AC655" s="150"/>
      <c r="AD655" s="150"/>
      <c r="AE655" s="150"/>
      <c r="AF655" s="150"/>
      <c r="AG655" s="150"/>
      <c r="AH655" s="150"/>
      <c r="AI655" s="150"/>
      <c r="AJ655" s="151"/>
      <c r="AK655" s="143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144"/>
    </row>
    <row r="656" spans="2:61" ht="20.100000000000001" customHeight="1" x14ac:dyDescent="0.45">
      <c r="B656" s="138"/>
      <c r="C656" s="31"/>
      <c r="D656" s="31"/>
      <c r="E656" s="31"/>
      <c r="F656" s="31"/>
      <c r="G656" s="139"/>
      <c r="H656" s="140"/>
      <c r="I656" s="31"/>
      <c r="J656" s="149" t="s">
        <v>592</v>
      </c>
      <c r="K656" s="150"/>
      <c r="L656" s="150"/>
      <c r="M656" s="150"/>
      <c r="N656" s="150"/>
      <c r="O656" s="150"/>
      <c r="P656" s="150"/>
      <c r="Q656" s="151"/>
      <c r="R656" s="149" t="s">
        <v>676</v>
      </c>
      <c r="S656" s="150"/>
      <c r="T656" s="150"/>
      <c r="U656" s="150"/>
      <c r="V656" s="150"/>
      <c r="W656" s="150"/>
      <c r="X656" s="150"/>
      <c r="Y656" s="150"/>
      <c r="Z656" s="150"/>
      <c r="AA656" s="150"/>
      <c r="AB656" s="150"/>
      <c r="AC656" s="150"/>
      <c r="AD656" s="150"/>
      <c r="AE656" s="150"/>
      <c r="AF656" s="150"/>
      <c r="AG656" s="150"/>
      <c r="AH656" s="150"/>
      <c r="AI656" s="150"/>
      <c r="AJ656" s="151"/>
      <c r="AK656" s="143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144"/>
    </row>
    <row r="657" spans="2:61" ht="20.100000000000001" customHeight="1" x14ac:dyDescent="0.45">
      <c r="B657" s="138"/>
      <c r="C657" s="31"/>
      <c r="D657" s="31"/>
      <c r="E657" s="31"/>
      <c r="F657" s="31"/>
      <c r="G657" s="139"/>
      <c r="H657" s="140"/>
      <c r="I657" s="31"/>
      <c r="J657" s="149" t="s">
        <v>593</v>
      </c>
      <c r="K657" s="150"/>
      <c r="L657" s="150"/>
      <c r="M657" s="150"/>
      <c r="N657" s="150"/>
      <c r="O657" s="150"/>
      <c r="P657" s="150"/>
      <c r="Q657" s="151"/>
      <c r="R657" s="149" t="s">
        <v>677</v>
      </c>
      <c r="S657" s="150"/>
      <c r="T657" s="150"/>
      <c r="U657" s="150"/>
      <c r="V657" s="150"/>
      <c r="W657" s="150"/>
      <c r="X657" s="150"/>
      <c r="Y657" s="150"/>
      <c r="Z657" s="150"/>
      <c r="AA657" s="150"/>
      <c r="AB657" s="150"/>
      <c r="AC657" s="150"/>
      <c r="AD657" s="150"/>
      <c r="AE657" s="150"/>
      <c r="AF657" s="150"/>
      <c r="AG657" s="150"/>
      <c r="AH657" s="150"/>
      <c r="AI657" s="150"/>
      <c r="AJ657" s="151"/>
      <c r="AK657" s="143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144"/>
    </row>
    <row r="658" spans="2:61" ht="20.100000000000001" customHeight="1" x14ac:dyDescent="0.45">
      <c r="B658" s="138"/>
      <c r="C658" s="31"/>
      <c r="D658" s="31"/>
      <c r="E658" s="31"/>
      <c r="F658" s="31"/>
      <c r="G658" s="139"/>
      <c r="H658" s="140"/>
      <c r="I658" s="31"/>
      <c r="J658" s="149" t="s">
        <v>594</v>
      </c>
      <c r="K658" s="150"/>
      <c r="L658" s="150"/>
      <c r="M658" s="150"/>
      <c r="N658" s="150"/>
      <c r="O658" s="150"/>
      <c r="P658" s="150"/>
      <c r="Q658" s="151"/>
      <c r="R658" s="149" t="s">
        <v>678</v>
      </c>
      <c r="S658" s="150"/>
      <c r="T658" s="150"/>
      <c r="U658" s="150"/>
      <c r="V658" s="150"/>
      <c r="W658" s="150"/>
      <c r="X658" s="150"/>
      <c r="Y658" s="150"/>
      <c r="Z658" s="150"/>
      <c r="AA658" s="150"/>
      <c r="AB658" s="150"/>
      <c r="AC658" s="150"/>
      <c r="AD658" s="150"/>
      <c r="AE658" s="150"/>
      <c r="AF658" s="150"/>
      <c r="AG658" s="150"/>
      <c r="AH658" s="150"/>
      <c r="AI658" s="150"/>
      <c r="AJ658" s="151"/>
      <c r="AK658" s="143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144"/>
    </row>
    <row r="659" spans="2:61" ht="20.100000000000001" customHeight="1" x14ac:dyDescent="0.45">
      <c r="B659" s="138"/>
      <c r="C659" s="31"/>
      <c r="D659" s="31"/>
      <c r="E659" s="31"/>
      <c r="F659" s="31"/>
      <c r="G659" s="139"/>
      <c r="H659" s="140"/>
      <c r="I659" s="31"/>
      <c r="J659" s="149" t="s">
        <v>595</v>
      </c>
      <c r="K659" s="150"/>
      <c r="L659" s="150"/>
      <c r="M659" s="150"/>
      <c r="N659" s="150"/>
      <c r="O659" s="150"/>
      <c r="P659" s="150"/>
      <c r="Q659" s="151"/>
      <c r="R659" s="149" t="s">
        <v>679</v>
      </c>
      <c r="S659" s="150"/>
      <c r="T659" s="150"/>
      <c r="U659" s="150"/>
      <c r="V659" s="150"/>
      <c r="W659" s="150"/>
      <c r="X659" s="150"/>
      <c r="Y659" s="150"/>
      <c r="Z659" s="150"/>
      <c r="AA659" s="150"/>
      <c r="AB659" s="150"/>
      <c r="AC659" s="150"/>
      <c r="AD659" s="150"/>
      <c r="AE659" s="150"/>
      <c r="AF659" s="150"/>
      <c r="AG659" s="150"/>
      <c r="AH659" s="150"/>
      <c r="AI659" s="150"/>
      <c r="AJ659" s="151"/>
      <c r="AK659" s="143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144"/>
    </row>
    <row r="660" spans="2:61" ht="20.100000000000001" customHeight="1" x14ac:dyDescent="0.45">
      <c r="B660" s="138"/>
      <c r="C660" s="31"/>
      <c r="D660" s="31"/>
      <c r="E660" s="31"/>
      <c r="F660" s="31"/>
      <c r="G660" s="139"/>
      <c r="H660" s="140"/>
      <c r="I660" s="31"/>
      <c r="J660" s="149" t="s">
        <v>596</v>
      </c>
      <c r="K660" s="150"/>
      <c r="L660" s="150"/>
      <c r="M660" s="150"/>
      <c r="N660" s="150"/>
      <c r="O660" s="150"/>
      <c r="P660" s="150"/>
      <c r="Q660" s="151"/>
      <c r="R660" s="149" t="s">
        <v>680</v>
      </c>
      <c r="S660" s="150"/>
      <c r="T660" s="150"/>
      <c r="U660" s="150"/>
      <c r="V660" s="150"/>
      <c r="W660" s="150"/>
      <c r="X660" s="150"/>
      <c r="Y660" s="150"/>
      <c r="Z660" s="150"/>
      <c r="AA660" s="150"/>
      <c r="AB660" s="150"/>
      <c r="AC660" s="150"/>
      <c r="AD660" s="150"/>
      <c r="AE660" s="150"/>
      <c r="AF660" s="150"/>
      <c r="AG660" s="150"/>
      <c r="AH660" s="150"/>
      <c r="AI660" s="150"/>
      <c r="AJ660" s="151"/>
      <c r="AK660" s="143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144"/>
    </row>
    <row r="661" spans="2:61" ht="20.100000000000001" customHeight="1" x14ac:dyDescent="0.45">
      <c r="B661" s="138"/>
      <c r="C661" s="31"/>
      <c r="D661" s="31"/>
      <c r="E661" s="31"/>
      <c r="F661" s="31"/>
      <c r="G661" s="139"/>
      <c r="H661" s="140"/>
      <c r="I661" s="31"/>
      <c r="J661" s="149" t="s">
        <v>597</v>
      </c>
      <c r="K661" s="150"/>
      <c r="L661" s="150"/>
      <c r="M661" s="150"/>
      <c r="N661" s="150"/>
      <c r="O661" s="150"/>
      <c r="P661" s="150"/>
      <c r="Q661" s="151"/>
      <c r="R661" s="149" t="s">
        <v>681</v>
      </c>
      <c r="S661" s="150"/>
      <c r="T661" s="150"/>
      <c r="U661" s="150"/>
      <c r="V661" s="150"/>
      <c r="W661" s="150"/>
      <c r="X661" s="150"/>
      <c r="Y661" s="150"/>
      <c r="Z661" s="150"/>
      <c r="AA661" s="150"/>
      <c r="AB661" s="150"/>
      <c r="AC661" s="150"/>
      <c r="AD661" s="150"/>
      <c r="AE661" s="150"/>
      <c r="AF661" s="150"/>
      <c r="AG661" s="150"/>
      <c r="AH661" s="150"/>
      <c r="AI661" s="150"/>
      <c r="AJ661" s="151"/>
      <c r="AK661" s="143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144"/>
    </row>
    <row r="662" spans="2:61" ht="20.100000000000001" customHeight="1" x14ac:dyDescent="0.45">
      <c r="B662" s="138"/>
      <c r="C662" s="31"/>
      <c r="D662" s="31"/>
      <c r="E662" s="31"/>
      <c r="F662" s="31"/>
      <c r="G662" s="139"/>
      <c r="H662" s="140"/>
      <c r="I662" s="31"/>
      <c r="J662" s="149" t="s">
        <v>598</v>
      </c>
      <c r="K662" s="150"/>
      <c r="L662" s="150"/>
      <c r="M662" s="150"/>
      <c r="N662" s="150"/>
      <c r="O662" s="150"/>
      <c r="P662" s="150"/>
      <c r="Q662" s="151"/>
      <c r="R662" s="149" t="s">
        <v>682</v>
      </c>
      <c r="S662" s="150"/>
      <c r="T662" s="150"/>
      <c r="U662" s="150"/>
      <c r="V662" s="150"/>
      <c r="W662" s="150"/>
      <c r="X662" s="150"/>
      <c r="Y662" s="150"/>
      <c r="Z662" s="150"/>
      <c r="AA662" s="150"/>
      <c r="AB662" s="150"/>
      <c r="AC662" s="150"/>
      <c r="AD662" s="150"/>
      <c r="AE662" s="150"/>
      <c r="AF662" s="150"/>
      <c r="AG662" s="150"/>
      <c r="AH662" s="150"/>
      <c r="AI662" s="150"/>
      <c r="AJ662" s="151"/>
      <c r="AK662" s="143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144"/>
    </row>
    <row r="663" spans="2:61" ht="20.100000000000001" customHeight="1" x14ac:dyDescent="0.45">
      <c r="B663" s="138"/>
      <c r="C663" s="31"/>
      <c r="D663" s="31"/>
      <c r="E663" s="31"/>
      <c r="F663" s="31"/>
      <c r="G663" s="139"/>
      <c r="H663" s="140"/>
      <c r="I663" s="31"/>
      <c r="J663" s="149" t="s">
        <v>599</v>
      </c>
      <c r="K663" s="150"/>
      <c r="L663" s="150"/>
      <c r="M663" s="150"/>
      <c r="N663" s="150"/>
      <c r="O663" s="150"/>
      <c r="P663" s="150"/>
      <c r="Q663" s="151"/>
      <c r="R663" s="149" t="s">
        <v>683</v>
      </c>
      <c r="S663" s="150"/>
      <c r="T663" s="150"/>
      <c r="U663" s="150"/>
      <c r="V663" s="150"/>
      <c r="W663" s="150"/>
      <c r="X663" s="150"/>
      <c r="Y663" s="150"/>
      <c r="Z663" s="150"/>
      <c r="AA663" s="150"/>
      <c r="AB663" s="150"/>
      <c r="AC663" s="150"/>
      <c r="AD663" s="150"/>
      <c r="AE663" s="150"/>
      <c r="AF663" s="150"/>
      <c r="AG663" s="150"/>
      <c r="AH663" s="150"/>
      <c r="AI663" s="150"/>
      <c r="AJ663" s="151"/>
      <c r="AK663" s="143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144"/>
    </row>
    <row r="664" spans="2:61" ht="20.100000000000001" customHeight="1" x14ac:dyDescent="0.45">
      <c r="B664" s="138"/>
      <c r="C664" s="31"/>
      <c r="D664" s="31"/>
      <c r="E664" s="31"/>
      <c r="F664" s="31"/>
      <c r="G664" s="139"/>
      <c r="H664" s="140"/>
      <c r="I664" s="31"/>
      <c r="J664" s="149" t="s">
        <v>600</v>
      </c>
      <c r="K664" s="150"/>
      <c r="L664" s="150"/>
      <c r="M664" s="150"/>
      <c r="N664" s="150"/>
      <c r="O664" s="150"/>
      <c r="P664" s="150"/>
      <c r="Q664" s="151"/>
      <c r="R664" s="149" t="s">
        <v>684</v>
      </c>
      <c r="S664" s="150"/>
      <c r="T664" s="150"/>
      <c r="U664" s="150"/>
      <c r="V664" s="150"/>
      <c r="W664" s="150"/>
      <c r="X664" s="150"/>
      <c r="Y664" s="150"/>
      <c r="Z664" s="150"/>
      <c r="AA664" s="150"/>
      <c r="AB664" s="150"/>
      <c r="AC664" s="150"/>
      <c r="AD664" s="150"/>
      <c r="AE664" s="150"/>
      <c r="AF664" s="150"/>
      <c r="AG664" s="150"/>
      <c r="AH664" s="150"/>
      <c r="AI664" s="150"/>
      <c r="AJ664" s="151"/>
      <c r="AK664" s="143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144"/>
    </row>
    <row r="665" spans="2:61" ht="20.100000000000001" customHeight="1" x14ac:dyDescent="0.45">
      <c r="B665" s="138"/>
      <c r="C665" s="31"/>
      <c r="D665" s="31"/>
      <c r="E665" s="31"/>
      <c r="F665" s="31"/>
      <c r="G665" s="139"/>
      <c r="H665" s="140"/>
      <c r="I665" s="31"/>
      <c r="J665" s="149" t="s">
        <v>601</v>
      </c>
      <c r="K665" s="150"/>
      <c r="L665" s="150"/>
      <c r="M665" s="150"/>
      <c r="N665" s="150"/>
      <c r="O665" s="150"/>
      <c r="P665" s="150"/>
      <c r="Q665" s="151"/>
      <c r="R665" s="149" t="s">
        <v>685</v>
      </c>
      <c r="S665" s="150"/>
      <c r="T665" s="150"/>
      <c r="U665" s="150"/>
      <c r="V665" s="150"/>
      <c r="W665" s="150"/>
      <c r="X665" s="150"/>
      <c r="Y665" s="150"/>
      <c r="Z665" s="150"/>
      <c r="AA665" s="150"/>
      <c r="AB665" s="150"/>
      <c r="AC665" s="150"/>
      <c r="AD665" s="150"/>
      <c r="AE665" s="150"/>
      <c r="AF665" s="150"/>
      <c r="AG665" s="150"/>
      <c r="AH665" s="150"/>
      <c r="AI665" s="150"/>
      <c r="AJ665" s="151"/>
      <c r="AK665" s="143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144"/>
    </row>
    <row r="666" spans="2:61" ht="20.100000000000001" customHeight="1" x14ac:dyDescent="0.45">
      <c r="B666" s="138"/>
      <c r="C666" s="31"/>
      <c r="D666" s="31"/>
      <c r="E666" s="31"/>
      <c r="F666" s="31"/>
      <c r="G666" s="139"/>
      <c r="H666" s="140"/>
      <c r="I666" s="31"/>
      <c r="J666" s="149" t="s">
        <v>602</v>
      </c>
      <c r="K666" s="150"/>
      <c r="L666" s="150"/>
      <c r="M666" s="150"/>
      <c r="N666" s="150"/>
      <c r="O666" s="150"/>
      <c r="P666" s="150"/>
      <c r="Q666" s="151"/>
      <c r="R666" s="149" t="s">
        <v>686</v>
      </c>
      <c r="S666" s="150"/>
      <c r="T666" s="150"/>
      <c r="U666" s="150"/>
      <c r="V666" s="150"/>
      <c r="W666" s="150"/>
      <c r="X666" s="150"/>
      <c r="Y666" s="150"/>
      <c r="Z666" s="150"/>
      <c r="AA666" s="150"/>
      <c r="AB666" s="150"/>
      <c r="AC666" s="150"/>
      <c r="AD666" s="150"/>
      <c r="AE666" s="150"/>
      <c r="AF666" s="150"/>
      <c r="AG666" s="150"/>
      <c r="AH666" s="150"/>
      <c r="AI666" s="150"/>
      <c r="AJ666" s="151"/>
      <c r="AK666" s="143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144"/>
    </row>
    <row r="667" spans="2:61" ht="20.100000000000001" customHeight="1" x14ac:dyDescent="0.45">
      <c r="B667" s="138"/>
      <c r="C667" s="31"/>
      <c r="D667" s="31"/>
      <c r="E667" s="31"/>
      <c r="F667" s="31"/>
      <c r="G667" s="139"/>
      <c r="H667" s="140"/>
      <c r="I667" s="31"/>
      <c r="J667" s="149" t="s">
        <v>603</v>
      </c>
      <c r="K667" s="150"/>
      <c r="L667" s="150"/>
      <c r="M667" s="150"/>
      <c r="N667" s="150"/>
      <c r="O667" s="150"/>
      <c r="P667" s="150"/>
      <c r="Q667" s="151"/>
      <c r="R667" s="149" t="s">
        <v>687</v>
      </c>
      <c r="S667" s="150"/>
      <c r="T667" s="150"/>
      <c r="U667" s="150"/>
      <c r="V667" s="150"/>
      <c r="W667" s="150"/>
      <c r="X667" s="150"/>
      <c r="Y667" s="150"/>
      <c r="Z667" s="150"/>
      <c r="AA667" s="150"/>
      <c r="AB667" s="150"/>
      <c r="AC667" s="150"/>
      <c r="AD667" s="150"/>
      <c r="AE667" s="150"/>
      <c r="AF667" s="150"/>
      <c r="AG667" s="150"/>
      <c r="AH667" s="150"/>
      <c r="AI667" s="150"/>
      <c r="AJ667" s="151"/>
      <c r="AK667" s="143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144"/>
    </row>
    <row r="668" spans="2:61" ht="20.100000000000001" customHeight="1" x14ac:dyDescent="0.45">
      <c r="B668" s="138"/>
      <c r="C668" s="31"/>
      <c r="D668" s="31"/>
      <c r="E668" s="31"/>
      <c r="F668" s="31"/>
      <c r="G668" s="139"/>
      <c r="H668" s="140"/>
      <c r="I668" s="31"/>
      <c r="J668" s="149" t="s">
        <v>604</v>
      </c>
      <c r="K668" s="150"/>
      <c r="L668" s="150"/>
      <c r="M668" s="150"/>
      <c r="N668" s="150"/>
      <c r="O668" s="150"/>
      <c r="P668" s="150"/>
      <c r="Q668" s="151"/>
      <c r="R668" s="149" t="s">
        <v>688</v>
      </c>
      <c r="S668" s="150"/>
      <c r="T668" s="150"/>
      <c r="U668" s="150"/>
      <c r="V668" s="150"/>
      <c r="W668" s="150"/>
      <c r="X668" s="150"/>
      <c r="Y668" s="150"/>
      <c r="Z668" s="150"/>
      <c r="AA668" s="150"/>
      <c r="AB668" s="150"/>
      <c r="AC668" s="150"/>
      <c r="AD668" s="150"/>
      <c r="AE668" s="150"/>
      <c r="AF668" s="150"/>
      <c r="AG668" s="150"/>
      <c r="AH668" s="150"/>
      <c r="AI668" s="150"/>
      <c r="AJ668" s="151"/>
      <c r="AK668" s="143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144"/>
    </row>
    <row r="669" spans="2:61" ht="20.100000000000001" customHeight="1" x14ac:dyDescent="0.45">
      <c r="B669" s="138"/>
      <c r="C669" s="31"/>
      <c r="D669" s="31"/>
      <c r="E669" s="31"/>
      <c r="F669" s="31"/>
      <c r="G669" s="139"/>
      <c r="H669" s="140"/>
      <c r="I669" s="31"/>
      <c r="J669" s="149" t="s">
        <v>605</v>
      </c>
      <c r="K669" s="150"/>
      <c r="L669" s="150"/>
      <c r="M669" s="150"/>
      <c r="N669" s="150"/>
      <c r="O669" s="150"/>
      <c r="P669" s="150"/>
      <c r="Q669" s="151"/>
      <c r="R669" s="149" t="s">
        <v>689</v>
      </c>
      <c r="S669" s="150"/>
      <c r="T669" s="150"/>
      <c r="U669" s="150"/>
      <c r="V669" s="150"/>
      <c r="W669" s="150"/>
      <c r="X669" s="150"/>
      <c r="Y669" s="150"/>
      <c r="Z669" s="150"/>
      <c r="AA669" s="150"/>
      <c r="AB669" s="150"/>
      <c r="AC669" s="150"/>
      <c r="AD669" s="150"/>
      <c r="AE669" s="150"/>
      <c r="AF669" s="150"/>
      <c r="AG669" s="150"/>
      <c r="AH669" s="150"/>
      <c r="AI669" s="150"/>
      <c r="AJ669" s="151"/>
      <c r="AK669" s="143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144"/>
    </row>
    <row r="670" spans="2:61" ht="20.100000000000001" customHeight="1" x14ac:dyDescent="0.45">
      <c r="B670" s="138"/>
      <c r="C670" s="31"/>
      <c r="D670" s="31"/>
      <c r="E670" s="31"/>
      <c r="F670" s="31"/>
      <c r="G670" s="139"/>
      <c r="H670" s="140"/>
      <c r="I670" s="31"/>
      <c r="J670" s="149" t="s">
        <v>606</v>
      </c>
      <c r="K670" s="150"/>
      <c r="L670" s="150"/>
      <c r="M670" s="150"/>
      <c r="N670" s="150"/>
      <c r="O670" s="150"/>
      <c r="P670" s="150"/>
      <c r="Q670" s="151"/>
      <c r="R670" s="149" t="s">
        <v>690</v>
      </c>
      <c r="S670" s="150"/>
      <c r="T670" s="150"/>
      <c r="U670" s="150"/>
      <c r="V670" s="150"/>
      <c r="W670" s="150"/>
      <c r="X670" s="150"/>
      <c r="Y670" s="150"/>
      <c r="Z670" s="150"/>
      <c r="AA670" s="150"/>
      <c r="AB670" s="150"/>
      <c r="AC670" s="150"/>
      <c r="AD670" s="150"/>
      <c r="AE670" s="150"/>
      <c r="AF670" s="150"/>
      <c r="AG670" s="150"/>
      <c r="AH670" s="150"/>
      <c r="AI670" s="150"/>
      <c r="AJ670" s="151"/>
      <c r="AK670" s="143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144"/>
    </row>
    <row r="671" spans="2:61" ht="20.100000000000001" customHeight="1" x14ac:dyDescent="0.45">
      <c r="B671" s="138"/>
      <c r="C671" s="31"/>
      <c r="D671" s="31"/>
      <c r="E671" s="31"/>
      <c r="F671" s="31"/>
      <c r="G671" s="139"/>
      <c r="H671" s="140"/>
      <c r="I671" s="31"/>
      <c r="J671" s="149" t="s">
        <v>607</v>
      </c>
      <c r="K671" s="150"/>
      <c r="L671" s="150"/>
      <c r="M671" s="150"/>
      <c r="N671" s="150"/>
      <c r="O671" s="150"/>
      <c r="P671" s="150"/>
      <c r="Q671" s="151"/>
      <c r="R671" s="149" t="s">
        <v>691</v>
      </c>
      <c r="S671" s="150"/>
      <c r="T671" s="150"/>
      <c r="U671" s="150"/>
      <c r="V671" s="150"/>
      <c r="W671" s="150"/>
      <c r="X671" s="150"/>
      <c r="Y671" s="150"/>
      <c r="Z671" s="150"/>
      <c r="AA671" s="150"/>
      <c r="AB671" s="150"/>
      <c r="AC671" s="150"/>
      <c r="AD671" s="150"/>
      <c r="AE671" s="150"/>
      <c r="AF671" s="150"/>
      <c r="AG671" s="150"/>
      <c r="AH671" s="150"/>
      <c r="AI671" s="150"/>
      <c r="AJ671" s="151"/>
      <c r="AK671" s="143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144"/>
    </row>
    <row r="672" spans="2:61" ht="20.100000000000001" customHeight="1" x14ac:dyDescent="0.45">
      <c r="B672" s="138"/>
      <c r="C672" s="31"/>
      <c r="D672" s="31"/>
      <c r="E672" s="31"/>
      <c r="F672" s="31"/>
      <c r="G672" s="139"/>
      <c r="H672" s="140"/>
      <c r="I672" s="31"/>
      <c r="J672" s="149" t="s">
        <v>608</v>
      </c>
      <c r="K672" s="150"/>
      <c r="L672" s="150"/>
      <c r="M672" s="150"/>
      <c r="N672" s="150"/>
      <c r="O672" s="150"/>
      <c r="P672" s="150"/>
      <c r="Q672" s="151"/>
      <c r="R672" s="149" t="s">
        <v>692</v>
      </c>
      <c r="S672" s="150"/>
      <c r="T672" s="150"/>
      <c r="U672" s="150"/>
      <c r="V672" s="150"/>
      <c r="W672" s="150"/>
      <c r="X672" s="150"/>
      <c r="Y672" s="150"/>
      <c r="Z672" s="150"/>
      <c r="AA672" s="150"/>
      <c r="AB672" s="150"/>
      <c r="AC672" s="150"/>
      <c r="AD672" s="150"/>
      <c r="AE672" s="150"/>
      <c r="AF672" s="150"/>
      <c r="AG672" s="150"/>
      <c r="AH672" s="150"/>
      <c r="AI672" s="150"/>
      <c r="AJ672" s="151"/>
      <c r="AK672" s="143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144"/>
    </row>
    <row r="673" spans="2:61" ht="20.100000000000001" customHeight="1" x14ac:dyDescent="0.45">
      <c r="B673" s="138"/>
      <c r="C673" s="31"/>
      <c r="D673" s="31"/>
      <c r="E673" s="31"/>
      <c r="F673" s="31"/>
      <c r="G673" s="139"/>
      <c r="H673" s="140"/>
      <c r="I673" s="31"/>
      <c r="J673" s="149" t="s">
        <v>609</v>
      </c>
      <c r="K673" s="150"/>
      <c r="L673" s="150"/>
      <c r="M673" s="150"/>
      <c r="N673" s="150"/>
      <c r="O673" s="150"/>
      <c r="P673" s="150"/>
      <c r="Q673" s="151"/>
      <c r="R673" s="149" t="s">
        <v>693</v>
      </c>
      <c r="S673" s="150"/>
      <c r="T673" s="150"/>
      <c r="U673" s="150"/>
      <c r="V673" s="150"/>
      <c r="W673" s="150"/>
      <c r="X673" s="150"/>
      <c r="Y673" s="150"/>
      <c r="Z673" s="150"/>
      <c r="AA673" s="150"/>
      <c r="AB673" s="150"/>
      <c r="AC673" s="150"/>
      <c r="AD673" s="150"/>
      <c r="AE673" s="150"/>
      <c r="AF673" s="150"/>
      <c r="AG673" s="150"/>
      <c r="AH673" s="150"/>
      <c r="AI673" s="150"/>
      <c r="AJ673" s="151"/>
      <c r="AK673" s="143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144"/>
    </row>
    <row r="674" spans="2:61" ht="20.100000000000001" customHeight="1" x14ac:dyDescent="0.45">
      <c r="B674" s="138"/>
      <c r="C674" s="31"/>
      <c r="D674" s="31"/>
      <c r="E674" s="31"/>
      <c r="F674" s="31"/>
      <c r="G674" s="139"/>
      <c r="H674" s="140"/>
      <c r="I674" s="31"/>
      <c r="J674" s="149" t="s">
        <v>610</v>
      </c>
      <c r="K674" s="150"/>
      <c r="L674" s="150"/>
      <c r="M674" s="150"/>
      <c r="N674" s="150"/>
      <c r="O674" s="150"/>
      <c r="P674" s="150"/>
      <c r="Q674" s="151"/>
      <c r="R674" s="149" t="s">
        <v>694</v>
      </c>
      <c r="S674" s="150"/>
      <c r="T674" s="150"/>
      <c r="U674" s="150"/>
      <c r="V674" s="150"/>
      <c r="W674" s="150"/>
      <c r="X674" s="150"/>
      <c r="Y674" s="150"/>
      <c r="Z674" s="150"/>
      <c r="AA674" s="150"/>
      <c r="AB674" s="150"/>
      <c r="AC674" s="150"/>
      <c r="AD674" s="150"/>
      <c r="AE674" s="150"/>
      <c r="AF674" s="150"/>
      <c r="AG674" s="150"/>
      <c r="AH674" s="150"/>
      <c r="AI674" s="150"/>
      <c r="AJ674" s="151"/>
      <c r="AK674" s="143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144"/>
    </row>
    <row r="675" spans="2:61" ht="20.100000000000001" customHeight="1" x14ac:dyDescent="0.45">
      <c r="B675" s="138"/>
      <c r="C675" s="31"/>
      <c r="D675" s="31"/>
      <c r="E675" s="31"/>
      <c r="F675" s="31"/>
      <c r="G675" s="139"/>
      <c r="H675" s="140"/>
      <c r="I675" s="31"/>
      <c r="J675" s="149" t="s">
        <v>611</v>
      </c>
      <c r="K675" s="150"/>
      <c r="L675" s="150"/>
      <c r="M675" s="150"/>
      <c r="N675" s="150"/>
      <c r="O675" s="150"/>
      <c r="P675" s="150"/>
      <c r="Q675" s="151"/>
      <c r="R675" s="149" t="s">
        <v>695</v>
      </c>
      <c r="S675" s="150"/>
      <c r="T675" s="150"/>
      <c r="U675" s="150"/>
      <c r="V675" s="150"/>
      <c r="W675" s="150"/>
      <c r="X675" s="150"/>
      <c r="Y675" s="150"/>
      <c r="Z675" s="150"/>
      <c r="AA675" s="150"/>
      <c r="AB675" s="150"/>
      <c r="AC675" s="150"/>
      <c r="AD675" s="150"/>
      <c r="AE675" s="150"/>
      <c r="AF675" s="150"/>
      <c r="AG675" s="150"/>
      <c r="AH675" s="150"/>
      <c r="AI675" s="150"/>
      <c r="AJ675" s="151"/>
      <c r="AK675" s="143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144"/>
    </row>
    <row r="676" spans="2:61" ht="20.100000000000001" customHeight="1" x14ac:dyDescent="0.45">
      <c r="B676" s="138"/>
      <c r="C676" s="31"/>
      <c r="D676" s="31"/>
      <c r="E676" s="31"/>
      <c r="F676" s="31"/>
      <c r="G676" s="139"/>
      <c r="H676" s="140"/>
      <c r="I676" s="31"/>
      <c r="J676" s="149" t="s">
        <v>612</v>
      </c>
      <c r="K676" s="150"/>
      <c r="L676" s="150"/>
      <c r="M676" s="150"/>
      <c r="N676" s="150"/>
      <c r="O676" s="150"/>
      <c r="P676" s="150"/>
      <c r="Q676" s="151"/>
      <c r="R676" s="149" t="s">
        <v>696</v>
      </c>
      <c r="S676" s="150"/>
      <c r="T676" s="150"/>
      <c r="U676" s="150"/>
      <c r="V676" s="150"/>
      <c r="W676" s="150"/>
      <c r="X676" s="150"/>
      <c r="Y676" s="150"/>
      <c r="Z676" s="150"/>
      <c r="AA676" s="150"/>
      <c r="AB676" s="150"/>
      <c r="AC676" s="150"/>
      <c r="AD676" s="150"/>
      <c r="AE676" s="150"/>
      <c r="AF676" s="150"/>
      <c r="AG676" s="150"/>
      <c r="AH676" s="150"/>
      <c r="AI676" s="150"/>
      <c r="AJ676" s="151"/>
      <c r="AK676" s="143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144"/>
    </row>
    <row r="677" spans="2:61" ht="20.100000000000001" customHeight="1" x14ac:dyDescent="0.45">
      <c r="B677" s="138"/>
      <c r="C677" s="31"/>
      <c r="D677" s="31"/>
      <c r="E677" s="31"/>
      <c r="F677" s="31"/>
      <c r="G677" s="139"/>
      <c r="H677" s="140"/>
      <c r="I677" s="31"/>
      <c r="J677" s="149" t="s">
        <v>613</v>
      </c>
      <c r="K677" s="150"/>
      <c r="L677" s="150"/>
      <c r="M677" s="150"/>
      <c r="N677" s="150"/>
      <c r="O677" s="150"/>
      <c r="P677" s="150"/>
      <c r="Q677" s="151"/>
      <c r="R677" s="149" t="s">
        <v>697</v>
      </c>
      <c r="S677" s="150"/>
      <c r="T677" s="150"/>
      <c r="U677" s="150"/>
      <c r="V677" s="150"/>
      <c r="W677" s="150"/>
      <c r="X677" s="150"/>
      <c r="Y677" s="150"/>
      <c r="Z677" s="150"/>
      <c r="AA677" s="150"/>
      <c r="AB677" s="150"/>
      <c r="AC677" s="150"/>
      <c r="AD677" s="150"/>
      <c r="AE677" s="150"/>
      <c r="AF677" s="150"/>
      <c r="AG677" s="150"/>
      <c r="AH677" s="150"/>
      <c r="AI677" s="150"/>
      <c r="AJ677" s="151"/>
      <c r="AK677" s="143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144"/>
    </row>
    <row r="678" spans="2:61" ht="20.100000000000001" customHeight="1" x14ac:dyDescent="0.45">
      <c r="B678" s="138"/>
      <c r="C678" s="31"/>
      <c r="D678" s="31"/>
      <c r="E678" s="31"/>
      <c r="F678" s="31"/>
      <c r="G678" s="139"/>
      <c r="H678" s="140"/>
      <c r="I678" s="31"/>
      <c r="J678" s="149" t="s">
        <v>614</v>
      </c>
      <c r="K678" s="150"/>
      <c r="L678" s="150"/>
      <c r="M678" s="150"/>
      <c r="N678" s="150"/>
      <c r="O678" s="150"/>
      <c r="P678" s="150"/>
      <c r="Q678" s="151"/>
      <c r="R678" s="149" t="s">
        <v>698</v>
      </c>
      <c r="S678" s="150"/>
      <c r="T678" s="150"/>
      <c r="U678" s="150"/>
      <c r="V678" s="150"/>
      <c r="W678" s="150"/>
      <c r="X678" s="150"/>
      <c r="Y678" s="150"/>
      <c r="Z678" s="150"/>
      <c r="AA678" s="150"/>
      <c r="AB678" s="150"/>
      <c r="AC678" s="150"/>
      <c r="AD678" s="150"/>
      <c r="AE678" s="150"/>
      <c r="AF678" s="150"/>
      <c r="AG678" s="150"/>
      <c r="AH678" s="150"/>
      <c r="AI678" s="150"/>
      <c r="AJ678" s="151"/>
      <c r="AK678" s="143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144"/>
    </row>
    <row r="679" spans="2:61" ht="20.100000000000001" customHeight="1" x14ac:dyDescent="0.45">
      <c r="B679" s="138"/>
      <c r="C679" s="31"/>
      <c r="D679" s="31"/>
      <c r="E679" s="31"/>
      <c r="F679" s="31"/>
      <c r="G679" s="139"/>
      <c r="H679" s="140"/>
      <c r="I679" s="31"/>
      <c r="J679" s="149" t="s">
        <v>615</v>
      </c>
      <c r="K679" s="150"/>
      <c r="L679" s="150"/>
      <c r="M679" s="150"/>
      <c r="N679" s="150"/>
      <c r="O679" s="150"/>
      <c r="P679" s="150"/>
      <c r="Q679" s="151"/>
      <c r="R679" s="149" t="s">
        <v>699</v>
      </c>
      <c r="S679" s="150"/>
      <c r="T679" s="150"/>
      <c r="U679" s="150"/>
      <c r="V679" s="150"/>
      <c r="W679" s="150"/>
      <c r="X679" s="150"/>
      <c r="Y679" s="150"/>
      <c r="Z679" s="150"/>
      <c r="AA679" s="150"/>
      <c r="AB679" s="150"/>
      <c r="AC679" s="150"/>
      <c r="AD679" s="150"/>
      <c r="AE679" s="150"/>
      <c r="AF679" s="150"/>
      <c r="AG679" s="150"/>
      <c r="AH679" s="150"/>
      <c r="AI679" s="150"/>
      <c r="AJ679" s="151"/>
      <c r="AK679" s="143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144"/>
    </row>
    <row r="680" spans="2:61" ht="20.100000000000001" customHeight="1" x14ac:dyDescent="0.45">
      <c r="B680" s="138"/>
      <c r="C680" s="31"/>
      <c r="D680" s="31"/>
      <c r="E680" s="31"/>
      <c r="F680" s="31"/>
      <c r="G680" s="139"/>
      <c r="H680" s="140"/>
      <c r="I680" s="31"/>
      <c r="J680" s="149" t="s">
        <v>616</v>
      </c>
      <c r="K680" s="150"/>
      <c r="L680" s="150"/>
      <c r="M680" s="150"/>
      <c r="N680" s="150"/>
      <c r="O680" s="150"/>
      <c r="P680" s="150"/>
      <c r="Q680" s="151"/>
      <c r="R680" s="149" t="s">
        <v>700</v>
      </c>
      <c r="S680" s="150"/>
      <c r="T680" s="150"/>
      <c r="U680" s="150"/>
      <c r="V680" s="150"/>
      <c r="W680" s="150"/>
      <c r="X680" s="150"/>
      <c r="Y680" s="150"/>
      <c r="Z680" s="150"/>
      <c r="AA680" s="150"/>
      <c r="AB680" s="150"/>
      <c r="AC680" s="150"/>
      <c r="AD680" s="150"/>
      <c r="AE680" s="150"/>
      <c r="AF680" s="150"/>
      <c r="AG680" s="150"/>
      <c r="AH680" s="150"/>
      <c r="AI680" s="150"/>
      <c r="AJ680" s="151"/>
      <c r="AK680" s="143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144"/>
    </row>
    <row r="681" spans="2:61" ht="20.100000000000001" customHeight="1" x14ac:dyDescent="0.45">
      <c r="B681" s="138"/>
      <c r="C681" s="31"/>
      <c r="D681" s="31"/>
      <c r="E681" s="31"/>
      <c r="F681" s="31"/>
      <c r="G681" s="139"/>
      <c r="H681" s="140"/>
      <c r="I681" s="31"/>
      <c r="J681" s="149" t="s">
        <v>168</v>
      </c>
      <c r="K681" s="150"/>
      <c r="L681" s="150"/>
      <c r="M681" s="150"/>
      <c r="N681" s="150"/>
      <c r="O681" s="150"/>
      <c r="P681" s="150"/>
      <c r="Q681" s="151"/>
      <c r="R681" s="149" t="s">
        <v>190</v>
      </c>
      <c r="S681" s="150"/>
      <c r="T681" s="150"/>
      <c r="U681" s="150"/>
      <c r="V681" s="150"/>
      <c r="W681" s="150"/>
      <c r="X681" s="150"/>
      <c r="Y681" s="150"/>
      <c r="Z681" s="150"/>
      <c r="AA681" s="150"/>
      <c r="AB681" s="150"/>
      <c r="AC681" s="150"/>
      <c r="AD681" s="150"/>
      <c r="AE681" s="150"/>
      <c r="AF681" s="150"/>
      <c r="AG681" s="150"/>
      <c r="AH681" s="150"/>
      <c r="AI681" s="150"/>
      <c r="AJ681" s="151"/>
      <c r="AK681" s="143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144"/>
    </row>
    <row r="682" spans="2:61" ht="20.100000000000001" customHeight="1" x14ac:dyDescent="0.45">
      <c r="B682" s="138"/>
      <c r="C682" s="31"/>
      <c r="D682" s="31"/>
      <c r="E682" s="31"/>
      <c r="F682" s="31"/>
      <c r="G682" s="139"/>
      <c r="H682" s="140"/>
      <c r="I682" s="31"/>
      <c r="J682" s="149" t="s">
        <v>617</v>
      </c>
      <c r="K682" s="150"/>
      <c r="L682" s="150"/>
      <c r="M682" s="150"/>
      <c r="N682" s="150"/>
      <c r="O682" s="150"/>
      <c r="P682" s="150"/>
      <c r="Q682" s="151"/>
      <c r="R682" s="149" t="s">
        <v>701</v>
      </c>
      <c r="S682" s="150"/>
      <c r="T682" s="150"/>
      <c r="U682" s="150"/>
      <c r="V682" s="150"/>
      <c r="W682" s="150"/>
      <c r="X682" s="150"/>
      <c r="Y682" s="150"/>
      <c r="Z682" s="150"/>
      <c r="AA682" s="150"/>
      <c r="AB682" s="150"/>
      <c r="AC682" s="150"/>
      <c r="AD682" s="150"/>
      <c r="AE682" s="150"/>
      <c r="AF682" s="150"/>
      <c r="AG682" s="150"/>
      <c r="AH682" s="150"/>
      <c r="AI682" s="150"/>
      <c r="AJ682" s="151"/>
      <c r="AK682" s="143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144"/>
    </row>
    <row r="683" spans="2:61" ht="20.100000000000001" customHeight="1" x14ac:dyDescent="0.45">
      <c r="B683" s="138"/>
      <c r="C683" s="31"/>
      <c r="D683" s="31"/>
      <c r="E683" s="31"/>
      <c r="F683" s="31"/>
      <c r="G683" s="139"/>
      <c r="H683" s="140"/>
      <c r="I683" s="31"/>
      <c r="J683" s="149" t="s">
        <v>618</v>
      </c>
      <c r="K683" s="150"/>
      <c r="L683" s="150"/>
      <c r="M683" s="150"/>
      <c r="N683" s="150"/>
      <c r="O683" s="150"/>
      <c r="P683" s="150"/>
      <c r="Q683" s="151"/>
      <c r="R683" s="149" t="s">
        <v>702</v>
      </c>
      <c r="S683" s="150"/>
      <c r="T683" s="150"/>
      <c r="U683" s="150"/>
      <c r="V683" s="150"/>
      <c r="W683" s="150"/>
      <c r="X683" s="150"/>
      <c r="Y683" s="150"/>
      <c r="Z683" s="150"/>
      <c r="AA683" s="150"/>
      <c r="AB683" s="150"/>
      <c r="AC683" s="150"/>
      <c r="AD683" s="150"/>
      <c r="AE683" s="150"/>
      <c r="AF683" s="150"/>
      <c r="AG683" s="150"/>
      <c r="AH683" s="150"/>
      <c r="AI683" s="150"/>
      <c r="AJ683" s="151"/>
      <c r="AK683" s="143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144"/>
    </row>
    <row r="684" spans="2:61" ht="20.100000000000001" customHeight="1" x14ac:dyDescent="0.45">
      <c r="B684" s="138"/>
      <c r="C684" s="31"/>
      <c r="D684" s="31"/>
      <c r="E684" s="31"/>
      <c r="F684" s="31"/>
      <c r="G684" s="139"/>
      <c r="H684" s="140"/>
      <c r="I684" s="31"/>
      <c r="J684" s="149" t="s">
        <v>619</v>
      </c>
      <c r="K684" s="150"/>
      <c r="L684" s="150"/>
      <c r="M684" s="150"/>
      <c r="N684" s="150"/>
      <c r="O684" s="150"/>
      <c r="P684" s="150"/>
      <c r="Q684" s="151"/>
      <c r="R684" s="149" t="s">
        <v>703</v>
      </c>
      <c r="S684" s="150"/>
      <c r="T684" s="150"/>
      <c r="U684" s="150"/>
      <c r="V684" s="150"/>
      <c r="W684" s="150"/>
      <c r="X684" s="150"/>
      <c r="Y684" s="150"/>
      <c r="Z684" s="150"/>
      <c r="AA684" s="150"/>
      <c r="AB684" s="150"/>
      <c r="AC684" s="150"/>
      <c r="AD684" s="150"/>
      <c r="AE684" s="150"/>
      <c r="AF684" s="150"/>
      <c r="AG684" s="150"/>
      <c r="AH684" s="150"/>
      <c r="AI684" s="150"/>
      <c r="AJ684" s="151"/>
      <c r="AK684" s="143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144"/>
    </row>
    <row r="685" spans="2:61" ht="20.100000000000001" customHeight="1" x14ac:dyDescent="0.45">
      <c r="B685" s="138"/>
      <c r="C685" s="31"/>
      <c r="D685" s="31"/>
      <c r="E685" s="31"/>
      <c r="F685" s="31"/>
      <c r="G685" s="139"/>
      <c r="H685" s="140"/>
      <c r="I685" s="31"/>
      <c r="J685" s="149" t="s">
        <v>620</v>
      </c>
      <c r="K685" s="150"/>
      <c r="L685" s="150"/>
      <c r="M685" s="150"/>
      <c r="N685" s="150"/>
      <c r="O685" s="150"/>
      <c r="P685" s="150"/>
      <c r="Q685" s="151"/>
      <c r="R685" s="149" t="s">
        <v>704</v>
      </c>
      <c r="S685" s="150"/>
      <c r="T685" s="150"/>
      <c r="U685" s="150"/>
      <c r="V685" s="150"/>
      <c r="W685" s="150"/>
      <c r="X685" s="150"/>
      <c r="Y685" s="150"/>
      <c r="Z685" s="150"/>
      <c r="AA685" s="150"/>
      <c r="AB685" s="150"/>
      <c r="AC685" s="150"/>
      <c r="AD685" s="150"/>
      <c r="AE685" s="150"/>
      <c r="AF685" s="150"/>
      <c r="AG685" s="150"/>
      <c r="AH685" s="150"/>
      <c r="AI685" s="150"/>
      <c r="AJ685" s="151"/>
      <c r="AK685" s="143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144"/>
    </row>
    <row r="686" spans="2:61" ht="20.100000000000001" customHeight="1" x14ac:dyDescent="0.45">
      <c r="B686" s="138"/>
      <c r="C686" s="31"/>
      <c r="D686" s="31"/>
      <c r="E686" s="31"/>
      <c r="F686" s="31"/>
      <c r="G686" s="139"/>
      <c r="H686" s="140"/>
      <c r="I686" s="31"/>
      <c r="J686" s="149" t="s">
        <v>621</v>
      </c>
      <c r="K686" s="150"/>
      <c r="L686" s="150"/>
      <c r="M686" s="150"/>
      <c r="N686" s="150"/>
      <c r="O686" s="150"/>
      <c r="P686" s="150"/>
      <c r="Q686" s="151"/>
      <c r="R686" s="149" t="s">
        <v>705</v>
      </c>
      <c r="S686" s="150"/>
      <c r="T686" s="150"/>
      <c r="U686" s="150"/>
      <c r="V686" s="150"/>
      <c r="W686" s="150"/>
      <c r="X686" s="150"/>
      <c r="Y686" s="150"/>
      <c r="Z686" s="150"/>
      <c r="AA686" s="150"/>
      <c r="AB686" s="150"/>
      <c r="AC686" s="150"/>
      <c r="AD686" s="150"/>
      <c r="AE686" s="150"/>
      <c r="AF686" s="150"/>
      <c r="AG686" s="150"/>
      <c r="AH686" s="150"/>
      <c r="AI686" s="150"/>
      <c r="AJ686" s="151"/>
      <c r="AK686" s="143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144"/>
    </row>
    <row r="687" spans="2:61" ht="20.100000000000001" customHeight="1" x14ac:dyDescent="0.45">
      <c r="B687" s="138"/>
      <c r="C687" s="31"/>
      <c r="D687" s="31"/>
      <c r="E687" s="31"/>
      <c r="F687" s="31"/>
      <c r="G687" s="139"/>
      <c r="H687" s="140"/>
      <c r="I687" s="31"/>
      <c r="J687" s="149" t="s">
        <v>622</v>
      </c>
      <c r="K687" s="150"/>
      <c r="L687" s="150"/>
      <c r="M687" s="150"/>
      <c r="N687" s="150"/>
      <c r="O687" s="150"/>
      <c r="P687" s="150"/>
      <c r="Q687" s="151"/>
      <c r="R687" s="149" t="s">
        <v>706</v>
      </c>
      <c r="S687" s="150"/>
      <c r="T687" s="150"/>
      <c r="U687" s="150"/>
      <c r="V687" s="150"/>
      <c r="W687" s="150"/>
      <c r="X687" s="150"/>
      <c r="Y687" s="150"/>
      <c r="Z687" s="150"/>
      <c r="AA687" s="150"/>
      <c r="AB687" s="150"/>
      <c r="AC687" s="150"/>
      <c r="AD687" s="150"/>
      <c r="AE687" s="150"/>
      <c r="AF687" s="150"/>
      <c r="AG687" s="150"/>
      <c r="AH687" s="150"/>
      <c r="AI687" s="150"/>
      <c r="AJ687" s="151"/>
      <c r="AK687" s="143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144"/>
    </row>
    <row r="688" spans="2:61" ht="20.100000000000001" customHeight="1" x14ac:dyDescent="0.45">
      <c r="B688" s="138"/>
      <c r="C688" s="31"/>
      <c r="D688" s="31"/>
      <c r="E688" s="31"/>
      <c r="F688" s="31"/>
      <c r="G688" s="139"/>
      <c r="H688" s="140"/>
      <c r="I688" s="31"/>
      <c r="J688" s="149" t="s">
        <v>623</v>
      </c>
      <c r="K688" s="150"/>
      <c r="L688" s="150"/>
      <c r="M688" s="150"/>
      <c r="N688" s="150"/>
      <c r="O688" s="150"/>
      <c r="P688" s="150"/>
      <c r="Q688" s="151"/>
      <c r="R688" s="149" t="s">
        <v>707</v>
      </c>
      <c r="S688" s="150"/>
      <c r="T688" s="150"/>
      <c r="U688" s="150"/>
      <c r="V688" s="150"/>
      <c r="W688" s="150"/>
      <c r="X688" s="150"/>
      <c r="Y688" s="150"/>
      <c r="Z688" s="150"/>
      <c r="AA688" s="150"/>
      <c r="AB688" s="150"/>
      <c r="AC688" s="150"/>
      <c r="AD688" s="150"/>
      <c r="AE688" s="150"/>
      <c r="AF688" s="150"/>
      <c r="AG688" s="150"/>
      <c r="AH688" s="150"/>
      <c r="AI688" s="150"/>
      <c r="AJ688" s="151"/>
      <c r="AK688" s="143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144"/>
    </row>
    <row r="689" spans="2:61" ht="20.100000000000001" customHeight="1" x14ac:dyDescent="0.45">
      <c r="B689" s="138"/>
      <c r="C689" s="31"/>
      <c r="D689" s="31"/>
      <c r="E689" s="31"/>
      <c r="F689" s="31"/>
      <c r="G689" s="139"/>
      <c r="H689" s="140"/>
      <c r="I689" s="31"/>
      <c r="J689" s="149" t="s">
        <v>624</v>
      </c>
      <c r="K689" s="150"/>
      <c r="L689" s="150"/>
      <c r="M689" s="150"/>
      <c r="N689" s="150"/>
      <c r="O689" s="150"/>
      <c r="P689" s="150"/>
      <c r="Q689" s="151"/>
      <c r="R689" s="149" t="s">
        <v>708</v>
      </c>
      <c r="S689" s="150"/>
      <c r="T689" s="150"/>
      <c r="U689" s="150"/>
      <c r="V689" s="150"/>
      <c r="W689" s="150"/>
      <c r="X689" s="150"/>
      <c r="Y689" s="150"/>
      <c r="Z689" s="150"/>
      <c r="AA689" s="150"/>
      <c r="AB689" s="150"/>
      <c r="AC689" s="150"/>
      <c r="AD689" s="150"/>
      <c r="AE689" s="150"/>
      <c r="AF689" s="150"/>
      <c r="AG689" s="150"/>
      <c r="AH689" s="150"/>
      <c r="AI689" s="150"/>
      <c r="AJ689" s="151"/>
      <c r="AK689" s="143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144"/>
    </row>
    <row r="690" spans="2:61" ht="20.100000000000001" customHeight="1" x14ac:dyDescent="0.45">
      <c r="B690" s="138"/>
      <c r="C690" s="31"/>
      <c r="D690" s="31"/>
      <c r="E690" s="31"/>
      <c r="F690" s="31"/>
      <c r="G690" s="139"/>
      <c r="H690" s="140"/>
      <c r="I690" s="31"/>
      <c r="J690" s="149" t="s">
        <v>625</v>
      </c>
      <c r="K690" s="150"/>
      <c r="L690" s="150"/>
      <c r="M690" s="150"/>
      <c r="N690" s="150"/>
      <c r="O690" s="150"/>
      <c r="P690" s="150"/>
      <c r="Q690" s="151"/>
      <c r="R690" s="149" t="s">
        <v>709</v>
      </c>
      <c r="S690" s="150"/>
      <c r="T690" s="150"/>
      <c r="U690" s="150"/>
      <c r="V690" s="150"/>
      <c r="W690" s="150"/>
      <c r="X690" s="150"/>
      <c r="Y690" s="150"/>
      <c r="Z690" s="150"/>
      <c r="AA690" s="150"/>
      <c r="AB690" s="150"/>
      <c r="AC690" s="150"/>
      <c r="AD690" s="150"/>
      <c r="AE690" s="150"/>
      <c r="AF690" s="150"/>
      <c r="AG690" s="150"/>
      <c r="AH690" s="150"/>
      <c r="AI690" s="150"/>
      <c r="AJ690" s="151"/>
      <c r="AK690" s="143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144"/>
    </row>
    <row r="691" spans="2:61" ht="20.100000000000001" customHeight="1" x14ac:dyDescent="0.45">
      <c r="B691" s="138"/>
      <c r="C691" s="31"/>
      <c r="D691" s="31"/>
      <c r="E691" s="31"/>
      <c r="F691" s="31"/>
      <c r="G691" s="139"/>
      <c r="H691" s="140"/>
      <c r="I691" s="31"/>
      <c r="J691" s="149" t="s">
        <v>626</v>
      </c>
      <c r="K691" s="150"/>
      <c r="L691" s="150"/>
      <c r="M691" s="150"/>
      <c r="N691" s="150"/>
      <c r="O691" s="150"/>
      <c r="P691" s="150"/>
      <c r="Q691" s="151"/>
      <c r="R691" s="149" t="s">
        <v>710</v>
      </c>
      <c r="S691" s="150"/>
      <c r="T691" s="150"/>
      <c r="U691" s="150"/>
      <c r="V691" s="150"/>
      <c r="W691" s="150"/>
      <c r="X691" s="150"/>
      <c r="Y691" s="150"/>
      <c r="Z691" s="150"/>
      <c r="AA691" s="150"/>
      <c r="AB691" s="150"/>
      <c r="AC691" s="150"/>
      <c r="AD691" s="150"/>
      <c r="AE691" s="150"/>
      <c r="AF691" s="150"/>
      <c r="AG691" s="150"/>
      <c r="AH691" s="150"/>
      <c r="AI691" s="150"/>
      <c r="AJ691" s="151"/>
      <c r="AK691" s="143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144"/>
    </row>
    <row r="692" spans="2:61" ht="20.100000000000001" customHeight="1" x14ac:dyDescent="0.45">
      <c r="B692" s="138"/>
      <c r="C692" s="31"/>
      <c r="D692" s="31"/>
      <c r="E692" s="31"/>
      <c r="F692" s="31"/>
      <c r="G692" s="139"/>
      <c r="H692" s="140"/>
      <c r="I692" s="31"/>
      <c r="J692" s="149" t="s">
        <v>627</v>
      </c>
      <c r="K692" s="150"/>
      <c r="L692" s="150"/>
      <c r="M692" s="150"/>
      <c r="N692" s="150"/>
      <c r="O692" s="150"/>
      <c r="P692" s="150"/>
      <c r="Q692" s="151"/>
      <c r="R692" s="149" t="s">
        <v>711</v>
      </c>
      <c r="S692" s="150"/>
      <c r="T692" s="150"/>
      <c r="U692" s="150"/>
      <c r="V692" s="150"/>
      <c r="W692" s="150"/>
      <c r="X692" s="150"/>
      <c r="Y692" s="150"/>
      <c r="Z692" s="150"/>
      <c r="AA692" s="150"/>
      <c r="AB692" s="150"/>
      <c r="AC692" s="150"/>
      <c r="AD692" s="150"/>
      <c r="AE692" s="150"/>
      <c r="AF692" s="150"/>
      <c r="AG692" s="150"/>
      <c r="AH692" s="150"/>
      <c r="AI692" s="150"/>
      <c r="AJ692" s="151"/>
      <c r="AK692" s="143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144"/>
    </row>
    <row r="693" spans="2:61" ht="20.100000000000001" customHeight="1" x14ac:dyDescent="0.45">
      <c r="B693" s="138"/>
      <c r="C693" s="31"/>
      <c r="D693" s="31"/>
      <c r="E693" s="31"/>
      <c r="F693" s="31"/>
      <c r="G693" s="139"/>
      <c r="H693" s="140"/>
      <c r="I693" s="31"/>
      <c r="J693" s="149" t="s">
        <v>628</v>
      </c>
      <c r="K693" s="150"/>
      <c r="L693" s="150"/>
      <c r="M693" s="150"/>
      <c r="N693" s="150"/>
      <c r="O693" s="150"/>
      <c r="P693" s="150"/>
      <c r="Q693" s="151"/>
      <c r="R693" s="149" t="s">
        <v>712</v>
      </c>
      <c r="S693" s="150"/>
      <c r="T693" s="150"/>
      <c r="U693" s="150"/>
      <c r="V693" s="150"/>
      <c r="W693" s="150"/>
      <c r="X693" s="150"/>
      <c r="Y693" s="150"/>
      <c r="Z693" s="150"/>
      <c r="AA693" s="150"/>
      <c r="AB693" s="150"/>
      <c r="AC693" s="150"/>
      <c r="AD693" s="150"/>
      <c r="AE693" s="150"/>
      <c r="AF693" s="150"/>
      <c r="AG693" s="150"/>
      <c r="AH693" s="150"/>
      <c r="AI693" s="150"/>
      <c r="AJ693" s="151"/>
      <c r="AK693" s="143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144"/>
    </row>
    <row r="694" spans="2:61" ht="20.100000000000001" customHeight="1" x14ac:dyDescent="0.45">
      <c r="B694" s="138"/>
      <c r="C694" s="31"/>
      <c r="D694" s="31"/>
      <c r="E694" s="31"/>
      <c r="F694" s="31"/>
      <c r="G694" s="139"/>
      <c r="H694" s="140"/>
      <c r="I694" s="31"/>
      <c r="J694" s="149" t="s">
        <v>629</v>
      </c>
      <c r="K694" s="150"/>
      <c r="L694" s="150"/>
      <c r="M694" s="150"/>
      <c r="N694" s="150"/>
      <c r="O694" s="150"/>
      <c r="P694" s="150"/>
      <c r="Q694" s="151"/>
      <c r="R694" s="149" t="s">
        <v>713</v>
      </c>
      <c r="S694" s="150"/>
      <c r="T694" s="150"/>
      <c r="U694" s="150"/>
      <c r="V694" s="150"/>
      <c r="W694" s="150"/>
      <c r="X694" s="150"/>
      <c r="Y694" s="150"/>
      <c r="Z694" s="150"/>
      <c r="AA694" s="150"/>
      <c r="AB694" s="150"/>
      <c r="AC694" s="150"/>
      <c r="AD694" s="150"/>
      <c r="AE694" s="150"/>
      <c r="AF694" s="150"/>
      <c r="AG694" s="150"/>
      <c r="AH694" s="150"/>
      <c r="AI694" s="150"/>
      <c r="AJ694" s="151"/>
      <c r="AK694" s="143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144"/>
    </row>
    <row r="695" spans="2:61" ht="20.100000000000001" customHeight="1" x14ac:dyDescent="0.45">
      <c r="B695" s="138"/>
      <c r="C695" s="31"/>
      <c r="D695" s="31"/>
      <c r="E695" s="31"/>
      <c r="F695" s="31"/>
      <c r="G695" s="139"/>
      <c r="H695" s="140"/>
      <c r="I695" s="31"/>
      <c r="J695" s="149" t="s">
        <v>630</v>
      </c>
      <c r="K695" s="150"/>
      <c r="L695" s="150"/>
      <c r="M695" s="150"/>
      <c r="N695" s="150"/>
      <c r="O695" s="150"/>
      <c r="P695" s="150"/>
      <c r="Q695" s="151"/>
      <c r="R695" s="149" t="s">
        <v>714</v>
      </c>
      <c r="S695" s="150"/>
      <c r="T695" s="150"/>
      <c r="U695" s="150"/>
      <c r="V695" s="150"/>
      <c r="W695" s="150"/>
      <c r="X695" s="150"/>
      <c r="Y695" s="150"/>
      <c r="Z695" s="150"/>
      <c r="AA695" s="150"/>
      <c r="AB695" s="150"/>
      <c r="AC695" s="150"/>
      <c r="AD695" s="150"/>
      <c r="AE695" s="150"/>
      <c r="AF695" s="150"/>
      <c r="AG695" s="150"/>
      <c r="AH695" s="150"/>
      <c r="AI695" s="150"/>
      <c r="AJ695" s="151"/>
      <c r="AK695" s="143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144"/>
    </row>
    <row r="696" spans="2:61" ht="20.100000000000001" customHeight="1" x14ac:dyDescent="0.45">
      <c r="B696" s="138"/>
      <c r="C696" s="31"/>
      <c r="D696" s="31"/>
      <c r="E696" s="31"/>
      <c r="F696" s="31"/>
      <c r="G696" s="139"/>
      <c r="H696" s="140"/>
      <c r="I696" s="31"/>
      <c r="J696" s="149" t="s">
        <v>631</v>
      </c>
      <c r="K696" s="150"/>
      <c r="L696" s="150"/>
      <c r="M696" s="150"/>
      <c r="N696" s="150"/>
      <c r="O696" s="150"/>
      <c r="P696" s="150"/>
      <c r="Q696" s="151"/>
      <c r="R696" s="149" t="s">
        <v>715</v>
      </c>
      <c r="S696" s="150"/>
      <c r="T696" s="150"/>
      <c r="U696" s="150"/>
      <c r="V696" s="150"/>
      <c r="W696" s="150"/>
      <c r="X696" s="150"/>
      <c r="Y696" s="150"/>
      <c r="Z696" s="150"/>
      <c r="AA696" s="150"/>
      <c r="AB696" s="150"/>
      <c r="AC696" s="150"/>
      <c r="AD696" s="150"/>
      <c r="AE696" s="150"/>
      <c r="AF696" s="150"/>
      <c r="AG696" s="150"/>
      <c r="AH696" s="150"/>
      <c r="AI696" s="150"/>
      <c r="AJ696" s="151"/>
      <c r="AK696" s="143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144"/>
    </row>
    <row r="697" spans="2:61" ht="20.100000000000001" customHeight="1" x14ac:dyDescent="0.45">
      <c r="B697" s="138"/>
      <c r="C697" s="31"/>
      <c r="D697" s="31"/>
      <c r="E697" s="31"/>
      <c r="F697" s="31"/>
      <c r="G697" s="139"/>
      <c r="H697" s="140"/>
      <c r="I697" s="31"/>
      <c r="J697" s="149" t="s">
        <v>632</v>
      </c>
      <c r="K697" s="150"/>
      <c r="L697" s="150"/>
      <c r="M697" s="150"/>
      <c r="N697" s="150"/>
      <c r="O697" s="150"/>
      <c r="P697" s="150"/>
      <c r="Q697" s="151"/>
      <c r="R697" s="149" t="s">
        <v>716</v>
      </c>
      <c r="S697" s="150"/>
      <c r="T697" s="150"/>
      <c r="U697" s="150"/>
      <c r="V697" s="150"/>
      <c r="W697" s="150"/>
      <c r="X697" s="150"/>
      <c r="Y697" s="150"/>
      <c r="Z697" s="150"/>
      <c r="AA697" s="150"/>
      <c r="AB697" s="150"/>
      <c r="AC697" s="150"/>
      <c r="AD697" s="150"/>
      <c r="AE697" s="150"/>
      <c r="AF697" s="150"/>
      <c r="AG697" s="150"/>
      <c r="AH697" s="150"/>
      <c r="AI697" s="150"/>
      <c r="AJ697" s="151"/>
      <c r="AK697" s="143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144"/>
    </row>
    <row r="698" spans="2:61" ht="20.100000000000001" customHeight="1" x14ac:dyDescent="0.45">
      <c r="B698" s="138"/>
      <c r="C698" s="31"/>
      <c r="D698" s="31"/>
      <c r="E698" s="31"/>
      <c r="F698" s="31"/>
      <c r="G698" s="139"/>
      <c r="H698" s="140"/>
      <c r="I698" s="31"/>
      <c r="J698" s="149" t="s">
        <v>633</v>
      </c>
      <c r="K698" s="150"/>
      <c r="L698" s="150"/>
      <c r="M698" s="150"/>
      <c r="N698" s="150"/>
      <c r="O698" s="150"/>
      <c r="P698" s="150"/>
      <c r="Q698" s="151"/>
      <c r="R698" s="149" t="s">
        <v>717</v>
      </c>
      <c r="S698" s="150"/>
      <c r="T698" s="150"/>
      <c r="U698" s="150"/>
      <c r="V698" s="150"/>
      <c r="W698" s="150"/>
      <c r="X698" s="150"/>
      <c r="Y698" s="150"/>
      <c r="Z698" s="150"/>
      <c r="AA698" s="150"/>
      <c r="AB698" s="150"/>
      <c r="AC698" s="150"/>
      <c r="AD698" s="150"/>
      <c r="AE698" s="150"/>
      <c r="AF698" s="150"/>
      <c r="AG698" s="150"/>
      <c r="AH698" s="150"/>
      <c r="AI698" s="150"/>
      <c r="AJ698" s="151"/>
      <c r="AK698" s="143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144"/>
    </row>
    <row r="699" spans="2:61" ht="20.100000000000001" customHeight="1" x14ac:dyDescent="0.45">
      <c r="B699" s="138"/>
      <c r="C699" s="31"/>
      <c r="D699" s="31"/>
      <c r="E699" s="31"/>
      <c r="F699" s="31"/>
      <c r="G699" s="139"/>
      <c r="H699" s="140"/>
      <c r="I699" s="31"/>
      <c r="J699" s="149" t="s">
        <v>634</v>
      </c>
      <c r="K699" s="150"/>
      <c r="L699" s="150"/>
      <c r="M699" s="150"/>
      <c r="N699" s="150"/>
      <c r="O699" s="150"/>
      <c r="P699" s="150"/>
      <c r="Q699" s="151"/>
      <c r="R699" s="149" t="s">
        <v>718</v>
      </c>
      <c r="S699" s="150"/>
      <c r="T699" s="150"/>
      <c r="U699" s="150"/>
      <c r="V699" s="150"/>
      <c r="W699" s="150"/>
      <c r="X699" s="150"/>
      <c r="Y699" s="150"/>
      <c r="Z699" s="150"/>
      <c r="AA699" s="150"/>
      <c r="AB699" s="150"/>
      <c r="AC699" s="150"/>
      <c r="AD699" s="150"/>
      <c r="AE699" s="150"/>
      <c r="AF699" s="150"/>
      <c r="AG699" s="150"/>
      <c r="AH699" s="150"/>
      <c r="AI699" s="150"/>
      <c r="AJ699" s="151"/>
      <c r="AK699" s="143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144"/>
    </row>
    <row r="700" spans="2:61" ht="20.100000000000001" customHeight="1" x14ac:dyDescent="0.45">
      <c r="B700" s="138"/>
      <c r="C700" s="31"/>
      <c r="D700" s="31"/>
      <c r="E700" s="31"/>
      <c r="F700" s="31"/>
      <c r="G700" s="139"/>
      <c r="H700" s="140"/>
      <c r="I700" s="31"/>
      <c r="J700" s="149" t="s">
        <v>635</v>
      </c>
      <c r="K700" s="150"/>
      <c r="L700" s="150"/>
      <c r="M700" s="150"/>
      <c r="N700" s="150"/>
      <c r="O700" s="150"/>
      <c r="P700" s="150"/>
      <c r="Q700" s="151"/>
      <c r="R700" s="149" t="s">
        <v>719</v>
      </c>
      <c r="S700" s="150"/>
      <c r="T700" s="150"/>
      <c r="U700" s="150"/>
      <c r="V700" s="150"/>
      <c r="W700" s="150"/>
      <c r="X700" s="150"/>
      <c r="Y700" s="150"/>
      <c r="Z700" s="150"/>
      <c r="AA700" s="150"/>
      <c r="AB700" s="150"/>
      <c r="AC700" s="150"/>
      <c r="AD700" s="150"/>
      <c r="AE700" s="150"/>
      <c r="AF700" s="150"/>
      <c r="AG700" s="150"/>
      <c r="AH700" s="150"/>
      <c r="AI700" s="150"/>
      <c r="AJ700" s="151"/>
      <c r="AK700" s="143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144"/>
    </row>
    <row r="701" spans="2:61" ht="20.100000000000001" customHeight="1" x14ac:dyDescent="0.45">
      <c r="B701" s="138"/>
      <c r="C701" s="31"/>
      <c r="D701" s="31"/>
      <c r="E701" s="31"/>
      <c r="F701" s="31"/>
      <c r="G701" s="139"/>
      <c r="H701" s="140"/>
      <c r="I701" s="31"/>
      <c r="J701" s="149" t="s">
        <v>636</v>
      </c>
      <c r="K701" s="150"/>
      <c r="L701" s="150"/>
      <c r="M701" s="150"/>
      <c r="N701" s="150"/>
      <c r="O701" s="150"/>
      <c r="P701" s="150"/>
      <c r="Q701" s="151"/>
      <c r="R701" s="149" t="s">
        <v>720</v>
      </c>
      <c r="S701" s="150"/>
      <c r="T701" s="150"/>
      <c r="U701" s="150"/>
      <c r="V701" s="150"/>
      <c r="W701" s="150"/>
      <c r="X701" s="150"/>
      <c r="Y701" s="150"/>
      <c r="Z701" s="150"/>
      <c r="AA701" s="150"/>
      <c r="AB701" s="150"/>
      <c r="AC701" s="150"/>
      <c r="AD701" s="150"/>
      <c r="AE701" s="150"/>
      <c r="AF701" s="150"/>
      <c r="AG701" s="150"/>
      <c r="AH701" s="150"/>
      <c r="AI701" s="150"/>
      <c r="AJ701" s="151"/>
      <c r="AK701" s="143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144"/>
    </row>
    <row r="702" spans="2:61" ht="20.100000000000001" customHeight="1" x14ac:dyDescent="0.45">
      <c r="B702" s="138"/>
      <c r="C702" s="31"/>
      <c r="D702" s="31"/>
      <c r="E702" s="31"/>
      <c r="F702" s="31"/>
      <c r="G702" s="139"/>
      <c r="H702" s="140"/>
      <c r="I702" s="31"/>
      <c r="J702" s="149" t="s">
        <v>637</v>
      </c>
      <c r="K702" s="150"/>
      <c r="L702" s="150"/>
      <c r="M702" s="150"/>
      <c r="N702" s="150"/>
      <c r="O702" s="150"/>
      <c r="P702" s="150"/>
      <c r="Q702" s="151"/>
      <c r="R702" s="149" t="s">
        <v>721</v>
      </c>
      <c r="S702" s="150"/>
      <c r="T702" s="150"/>
      <c r="U702" s="150"/>
      <c r="V702" s="150"/>
      <c r="W702" s="150"/>
      <c r="X702" s="150"/>
      <c r="Y702" s="150"/>
      <c r="Z702" s="150"/>
      <c r="AA702" s="150"/>
      <c r="AB702" s="150"/>
      <c r="AC702" s="150"/>
      <c r="AD702" s="150"/>
      <c r="AE702" s="150"/>
      <c r="AF702" s="150"/>
      <c r="AG702" s="150"/>
      <c r="AH702" s="150"/>
      <c r="AI702" s="150"/>
      <c r="AJ702" s="151"/>
      <c r="AK702" s="143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144"/>
    </row>
    <row r="703" spans="2:61" ht="20.100000000000001" customHeight="1" x14ac:dyDescent="0.45">
      <c r="B703" s="138"/>
      <c r="C703" s="31"/>
      <c r="D703" s="31"/>
      <c r="E703" s="31"/>
      <c r="F703" s="31"/>
      <c r="G703" s="139"/>
      <c r="H703" s="140"/>
      <c r="I703" s="31"/>
      <c r="J703" s="149" t="s">
        <v>638</v>
      </c>
      <c r="K703" s="150"/>
      <c r="L703" s="150"/>
      <c r="M703" s="150"/>
      <c r="N703" s="150"/>
      <c r="O703" s="150"/>
      <c r="P703" s="150"/>
      <c r="Q703" s="151"/>
      <c r="R703" s="149" t="s">
        <v>722</v>
      </c>
      <c r="S703" s="150"/>
      <c r="T703" s="150"/>
      <c r="U703" s="150"/>
      <c r="V703" s="150"/>
      <c r="W703" s="150"/>
      <c r="X703" s="150"/>
      <c r="Y703" s="150"/>
      <c r="Z703" s="150"/>
      <c r="AA703" s="150"/>
      <c r="AB703" s="150"/>
      <c r="AC703" s="150"/>
      <c r="AD703" s="150"/>
      <c r="AE703" s="150"/>
      <c r="AF703" s="150"/>
      <c r="AG703" s="150"/>
      <c r="AH703" s="150"/>
      <c r="AI703" s="150"/>
      <c r="AJ703" s="151"/>
      <c r="AK703" s="143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144"/>
    </row>
    <row r="704" spans="2:61" ht="20.100000000000001" customHeight="1" x14ac:dyDescent="0.45">
      <c r="B704" s="138"/>
      <c r="C704" s="31"/>
      <c r="D704" s="31"/>
      <c r="E704" s="31"/>
      <c r="F704" s="31"/>
      <c r="G704" s="139"/>
      <c r="H704" s="140"/>
      <c r="I704" s="31"/>
      <c r="J704" s="149" t="s">
        <v>639</v>
      </c>
      <c r="K704" s="150"/>
      <c r="L704" s="150"/>
      <c r="M704" s="150"/>
      <c r="N704" s="150"/>
      <c r="O704" s="150"/>
      <c r="P704" s="150"/>
      <c r="Q704" s="151"/>
      <c r="R704" s="149" t="s">
        <v>723</v>
      </c>
      <c r="S704" s="150"/>
      <c r="T704" s="150"/>
      <c r="U704" s="150"/>
      <c r="V704" s="150"/>
      <c r="W704" s="150"/>
      <c r="X704" s="150"/>
      <c r="Y704" s="150"/>
      <c r="Z704" s="150"/>
      <c r="AA704" s="150"/>
      <c r="AB704" s="150"/>
      <c r="AC704" s="150"/>
      <c r="AD704" s="150"/>
      <c r="AE704" s="150"/>
      <c r="AF704" s="150"/>
      <c r="AG704" s="150"/>
      <c r="AH704" s="150"/>
      <c r="AI704" s="150"/>
      <c r="AJ704" s="151"/>
      <c r="AK704" s="143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144"/>
    </row>
    <row r="705" spans="2:61" ht="20.100000000000001" customHeight="1" x14ac:dyDescent="0.45">
      <c r="B705" s="138"/>
      <c r="C705" s="31"/>
      <c r="D705" s="31"/>
      <c r="E705" s="31"/>
      <c r="F705" s="31"/>
      <c r="G705" s="139"/>
      <c r="H705" s="140"/>
      <c r="I705" s="31"/>
      <c r="J705" s="149" t="s">
        <v>640</v>
      </c>
      <c r="K705" s="150"/>
      <c r="L705" s="150"/>
      <c r="M705" s="150"/>
      <c r="N705" s="150"/>
      <c r="O705" s="150"/>
      <c r="P705" s="150"/>
      <c r="Q705" s="151"/>
      <c r="R705" s="149" t="s">
        <v>724</v>
      </c>
      <c r="S705" s="150"/>
      <c r="T705" s="150"/>
      <c r="U705" s="150"/>
      <c r="V705" s="150"/>
      <c r="W705" s="150"/>
      <c r="X705" s="150"/>
      <c r="Y705" s="150"/>
      <c r="Z705" s="150"/>
      <c r="AA705" s="150"/>
      <c r="AB705" s="150"/>
      <c r="AC705" s="150"/>
      <c r="AD705" s="150"/>
      <c r="AE705" s="150"/>
      <c r="AF705" s="150"/>
      <c r="AG705" s="150"/>
      <c r="AH705" s="150"/>
      <c r="AI705" s="150"/>
      <c r="AJ705" s="151"/>
      <c r="AK705" s="143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144"/>
    </row>
    <row r="706" spans="2:61" ht="20.100000000000001" customHeight="1" x14ac:dyDescent="0.45">
      <c r="B706" s="138"/>
      <c r="C706" s="31"/>
      <c r="D706" s="31"/>
      <c r="E706" s="31"/>
      <c r="F706" s="31"/>
      <c r="G706" s="139"/>
      <c r="H706" s="140"/>
      <c r="I706" s="31"/>
      <c r="J706" s="149" t="s">
        <v>641</v>
      </c>
      <c r="K706" s="150"/>
      <c r="L706" s="150"/>
      <c r="M706" s="150"/>
      <c r="N706" s="150"/>
      <c r="O706" s="150"/>
      <c r="P706" s="150"/>
      <c r="Q706" s="151"/>
      <c r="R706" s="149" t="s">
        <v>725</v>
      </c>
      <c r="S706" s="150"/>
      <c r="T706" s="150"/>
      <c r="U706" s="150"/>
      <c r="V706" s="150"/>
      <c r="W706" s="150"/>
      <c r="X706" s="150"/>
      <c r="Y706" s="150"/>
      <c r="Z706" s="150"/>
      <c r="AA706" s="150"/>
      <c r="AB706" s="150"/>
      <c r="AC706" s="150"/>
      <c r="AD706" s="150"/>
      <c r="AE706" s="150"/>
      <c r="AF706" s="150"/>
      <c r="AG706" s="150"/>
      <c r="AH706" s="150"/>
      <c r="AI706" s="150"/>
      <c r="AJ706" s="151"/>
      <c r="AK706" s="143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144"/>
    </row>
    <row r="707" spans="2:61" ht="20.100000000000001" customHeight="1" x14ac:dyDescent="0.45">
      <c r="B707" s="138"/>
      <c r="C707" s="31"/>
      <c r="D707" s="31"/>
      <c r="E707" s="31"/>
      <c r="F707" s="31"/>
      <c r="G707" s="139"/>
      <c r="H707" s="140"/>
      <c r="I707" s="31"/>
      <c r="J707" s="149" t="s">
        <v>642</v>
      </c>
      <c r="K707" s="150"/>
      <c r="L707" s="150"/>
      <c r="M707" s="150"/>
      <c r="N707" s="150"/>
      <c r="O707" s="150"/>
      <c r="P707" s="150"/>
      <c r="Q707" s="151"/>
      <c r="R707" s="149" t="s">
        <v>726</v>
      </c>
      <c r="S707" s="150"/>
      <c r="T707" s="150"/>
      <c r="U707" s="150"/>
      <c r="V707" s="150"/>
      <c r="W707" s="150"/>
      <c r="X707" s="150"/>
      <c r="Y707" s="150"/>
      <c r="Z707" s="150"/>
      <c r="AA707" s="150"/>
      <c r="AB707" s="150"/>
      <c r="AC707" s="150"/>
      <c r="AD707" s="150"/>
      <c r="AE707" s="150"/>
      <c r="AF707" s="150"/>
      <c r="AG707" s="150"/>
      <c r="AH707" s="150"/>
      <c r="AI707" s="150"/>
      <c r="AJ707" s="151"/>
      <c r="AK707" s="143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144"/>
    </row>
    <row r="708" spans="2:61" ht="20.100000000000001" customHeight="1" x14ac:dyDescent="0.45">
      <c r="B708" s="138"/>
      <c r="C708" s="31"/>
      <c r="D708" s="31"/>
      <c r="E708" s="31"/>
      <c r="F708" s="31"/>
      <c r="G708" s="139"/>
      <c r="H708" s="140"/>
      <c r="I708" s="31"/>
      <c r="J708" s="149" t="s">
        <v>643</v>
      </c>
      <c r="K708" s="150"/>
      <c r="L708" s="150"/>
      <c r="M708" s="150"/>
      <c r="N708" s="150"/>
      <c r="O708" s="150"/>
      <c r="P708" s="150"/>
      <c r="Q708" s="151"/>
      <c r="R708" s="149" t="s">
        <v>727</v>
      </c>
      <c r="S708" s="150"/>
      <c r="T708" s="150"/>
      <c r="U708" s="150"/>
      <c r="V708" s="150"/>
      <c r="W708" s="150"/>
      <c r="X708" s="150"/>
      <c r="Y708" s="150"/>
      <c r="Z708" s="150"/>
      <c r="AA708" s="150"/>
      <c r="AB708" s="150"/>
      <c r="AC708" s="150"/>
      <c r="AD708" s="150"/>
      <c r="AE708" s="150"/>
      <c r="AF708" s="150"/>
      <c r="AG708" s="150"/>
      <c r="AH708" s="150"/>
      <c r="AI708" s="150"/>
      <c r="AJ708" s="151"/>
      <c r="AK708" s="143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144"/>
    </row>
    <row r="709" spans="2:61" ht="20.100000000000001" customHeight="1" x14ac:dyDescent="0.45">
      <c r="B709" s="138"/>
      <c r="C709" s="31"/>
      <c r="D709" s="31"/>
      <c r="E709" s="31"/>
      <c r="F709" s="31"/>
      <c r="G709" s="139"/>
      <c r="H709" s="140"/>
      <c r="I709" s="31"/>
      <c r="J709" s="149" t="s">
        <v>644</v>
      </c>
      <c r="K709" s="150"/>
      <c r="L709" s="150"/>
      <c r="M709" s="150"/>
      <c r="N709" s="150"/>
      <c r="O709" s="150"/>
      <c r="P709" s="150"/>
      <c r="Q709" s="151"/>
      <c r="R709" s="149" t="s">
        <v>728</v>
      </c>
      <c r="S709" s="150"/>
      <c r="T709" s="150"/>
      <c r="U709" s="150"/>
      <c r="V709" s="150"/>
      <c r="W709" s="150"/>
      <c r="X709" s="150"/>
      <c r="Y709" s="150"/>
      <c r="Z709" s="150"/>
      <c r="AA709" s="150"/>
      <c r="AB709" s="150"/>
      <c r="AC709" s="150"/>
      <c r="AD709" s="150"/>
      <c r="AE709" s="150"/>
      <c r="AF709" s="150"/>
      <c r="AG709" s="150"/>
      <c r="AH709" s="150"/>
      <c r="AI709" s="150"/>
      <c r="AJ709" s="151"/>
      <c r="AK709" s="143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144"/>
    </row>
    <row r="710" spans="2:61" ht="20.100000000000001" customHeight="1" x14ac:dyDescent="0.45">
      <c r="B710" s="138"/>
      <c r="C710" s="31"/>
      <c r="D710" s="31"/>
      <c r="E710" s="31"/>
      <c r="F710" s="31"/>
      <c r="G710" s="139"/>
      <c r="H710" s="140"/>
      <c r="I710" s="31"/>
      <c r="J710" s="149" t="s">
        <v>645</v>
      </c>
      <c r="K710" s="150"/>
      <c r="L710" s="150"/>
      <c r="M710" s="150"/>
      <c r="N710" s="150"/>
      <c r="O710" s="150"/>
      <c r="P710" s="150"/>
      <c r="Q710" s="151"/>
      <c r="R710" s="149" t="s">
        <v>729</v>
      </c>
      <c r="S710" s="150"/>
      <c r="T710" s="150"/>
      <c r="U710" s="150"/>
      <c r="V710" s="150"/>
      <c r="W710" s="150"/>
      <c r="X710" s="150"/>
      <c r="Y710" s="150"/>
      <c r="Z710" s="150"/>
      <c r="AA710" s="150"/>
      <c r="AB710" s="150"/>
      <c r="AC710" s="150"/>
      <c r="AD710" s="150"/>
      <c r="AE710" s="150"/>
      <c r="AF710" s="150"/>
      <c r="AG710" s="150"/>
      <c r="AH710" s="150"/>
      <c r="AI710" s="150"/>
      <c r="AJ710" s="151"/>
      <c r="AK710" s="143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144"/>
    </row>
    <row r="711" spans="2:61" ht="20.100000000000001" customHeight="1" x14ac:dyDescent="0.45">
      <c r="B711" s="138"/>
      <c r="C711" s="31"/>
      <c r="D711" s="31"/>
      <c r="E711" s="31"/>
      <c r="F711" s="31"/>
      <c r="G711" s="139"/>
      <c r="H711" s="140"/>
      <c r="I711" s="31"/>
      <c r="J711" s="149" t="s">
        <v>646</v>
      </c>
      <c r="K711" s="150"/>
      <c r="L711" s="150"/>
      <c r="M711" s="150"/>
      <c r="N711" s="150"/>
      <c r="O711" s="150"/>
      <c r="P711" s="150"/>
      <c r="Q711" s="151"/>
      <c r="R711" s="149" t="s">
        <v>730</v>
      </c>
      <c r="S711" s="150"/>
      <c r="T711" s="150"/>
      <c r="U711" s="150"/>
      <c r="V711" s="150"/>
      <c r="W711" s="150"/>
      <c r="X711" s="150"/>
      <c r="Y711" s="150"/>
      <c r="Z711" s="150"/>
      <c r="AA711" s="150"/>
      <c r="AB711" s="150"/>
      <c r="AC711" s="150"/>
      <c r="AD711" s="150"/>
      <c r="AE711" s="150"/>
      <c r="AF711" s="150"/>
      <c r="AG711" s="150"/>
      <c r="AH711" s="150"/>
      <c r="AI711" s="150"/>
      <c r="AJ711" s="151"/>
      <c r="AK711" s="143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144"/>
    </row>
    <row r="712" spans="2:61" ht="20.100000000000001" customHeight="1" x14ac:dyDescent="0.45">
      <c r="B712" s="138"/>
      <c r="C712" s="31"/>
      <c r="D712" s="31"/>
      <c r="E712" s="31"/>
      <c r="F712" s="31"/>
      <c r="G712" s="139"/>
      <c r="H712" s="140"/>
      <c r="I712" s="31"/>
      <c r="J712" s="149" t="s">
        <v>647</v>
      </c>
      <c r="K712" s="150"/>
      <c r="L712" s="150"/>
      <c r="M712" s="150"/>
      <c r="N712" s="150"/>
      <c r="O712" s="150"/>
      <c r="P712" s="150"/>
      <c r="Q712" s="151"/>
      <c r="R712" s="149" t="s">
        <v>731</v>
      </c>
      <c r="S712" s="150"/>
      <c r="T712" s="150"/>
      <c r="U712" s="150"/>
      <c r="V712" s="150"/>
      <c r="W712" s="150"/>
      <c r="X712" s="150"/>
      <c r="Y712" s="150"/>
      <c r="Z712" s="150"/>
      <c r="AA712" s="150"/>
      <c r="AB712" s="150"/>
      <c r="AC712" s="150"/>
      <c r="AD712" s="150"/>
      <c r="AE712" s="150"/>
      <c r="AF712" s="150"/>
      <c r="AG712" s="150"/>
      <c r="AH712" s="150"/>
      <c r="AI712" s="150"/>
      <c r="AJ712" s="151"/>
      <c r="AK712" s="143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144"/>
    </row>
    <row r="713" spans="2:61" ht="20.100000000000001" customHeight="1" x14ac:dyDescent="0.45">
      <c r="B713" s="138"/>
      <c r="C713" s="31"/>
      <c r="D713" s="31"/>
      <c r="E713" s="31"/>
      <c r="F713" s="31"/>
      <c r="G713" s="139"/>
      <c r="H713" s="140"/>
      <c r="I713" s="31"/>
      <c r="J713" s="149" t="s">
        <v>648</v>
      </c>
      <c r="K713" s="150"/>
      <c r="L713" s="150"/>
      <c r="M713" s="150"/>
      <c r="N713" s="150"/>
      <c r="O713" s="150"/>
      <c r="P713" s="150"/>
      <c r="Q713" s="151"/>
      <c r="R713" s="149" t="s">
        <v>732</v>
      </c>
      <c r="S713" s="150"/>
      <c r="T713" s="150"/>
      <c r="U713" s="150"/>
      <c r="V713" s="150"/>
      <c r="W713" s="150"/>
      <c r="X713" s="150"/>
      <c r="Y713" s="150"/>
      <c r="Z713" s="150"/>
      <c r="AA713" s="150"/>
      <c r="AB713" s="150"/>
      <c r="AC713" s="150"/>
      <c r="AD713" s="150"/>
      <c r="AE713" s="150"/>
      <c r="AF713" s="150"/>
      <c r="AG713" s="150"/>
      <c r="AH713" s="150"/>
      <c r="AI713" s="150"/>
      <c r="AJ713" s="151"/>
      <c r="AK713" s="143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144"/>
    </row>
    <row r="714" spans="2:61" ht="20.100000000000001" customHeight="1" x14ac:dyDescent="0.45">
      <c r="B714" s="138"/>
      <c r="C714" s="31"/>
      <c r="D714" s="31"/>
      <c r="E714" s="31"/>
      <c r="F714" s="31"/>
      <c r="G714" s="139"/>
      <c r="H714" s="140"/>
      <c r="I714" s="31"/>
      <c r="J714" s="149" t="s">
        <v>649</v>
      </c>
      <c r="K714" s="150"/>
      <c r="L714" s="150"/>
      <c r="M714" s="150"/>
      <c r="N714" s="150"/>
      <c r="O714" s="150"/>
      <c r="P714" s="150"/>
      <c r="Q714" s="151"/>
      <c r="R714" s="149" t="s">
        <v>733</v>
      </c>
      <c r="S714" s="150"/>
      <c r="T714" s="150"/>
      <c r="U714" s="150"/>
      <c r="V714" s="150"/>
      <c r="W714" s="150"/>
      <c r="X714" s="150"/>
      <c r="Y714" s="150"/>
      <c r="Z714" s="150"/>
      <c r="AA714" s="150"/>
      <c r="AB714" s="150"/>
      <c r="AC714" s="150"/>
      <c r="AD714" s="150"/>
      <c r="AE714" s="150"/>
      <c r="AF714" s="150"/>
      <c r="AG714" s="150"/>
      <c r="AH714" s="150"/>
      <c r="AI714" s="150"/>
      <c r="AJ714" s="151"/>
      <c r="AK714" s="143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144"/>
    </row>
    <row r="715" spans="2:61" ht="20.100000000000001" customHeight="1" x14ac:dyDescent="0.45">
      <c r="B715" s="138"/>
      <c r="C715" s="31"/>
      <c r="D715" s="31"/>
      <c r="E715" s="31"/>
      <c r="F715" s="31"/>
      <c r="G715" s="139"/>
      <c r="H715" s="140"/>
      <c r="I715" s="31"/>
      <c r="J715" s="149" t="s">
        <v>650</v>
      </c>
      <c r="K715" s="150"/>
      <c r="L715" s="150"/>
      <c r="M715" s="150"/>
      <c r="N715" s="150"/>
      <c r="O715" s="150"/>
      <c r="P715" s="150"/>
      <c r="Q715" s="151"/>
      <c r="R715" s="149" t="s">
        <v>734</v>
      </c>
      <c r="S715" s="150"/>
      <c r="T715" s="150"/>
      <c r="U715" s="150"/>
      <c r="V715" s="150"/>
      <c r="W715" s="150"/>
      <c r="X715" s="150"/>
      <c r="Y715" s="150"/>
      <c r="Z715" s="150"/>
      <c r="AA715" s="150"/>
      <c r="AB715" s="150"/>
      <c r="AC715" s="150"/>
      <c r="AD715" s="150"/>
      <c r="AE715" s="150"/>
      <c r="AF715" s="150"/>
      <c r="AG715" s="150"/>
      <c r="AH715" s="150"/>
      <c r="AI715" s="150"/>
      <c r="AJ715" s="151"/>
      <c r="AK715" s="143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144"/>
    </row>
    <row r="716" spans="2:61" ht="20.100000000000001" customHeight="1" x14ac:dyDescent="0.45">
      <c r="B716" s="138"/>
      <c r="C716" s="31"/>
      <c r="D716" s="31"/>
      <c r="E716" s="31"/>
      <c r="F716" s="31"/>
      <c r="G716" s="139"/>
      <c r="H716" s="140"/>
      <c r="I716" s="31"/>
      <c r="J716" s="149" t="s">
        <v>651</v>
      </c>
      <c r="K716" s="150"/>
      <c r="L716" s="150"/>
      <c r="M716" s="150"/>
      <c r="N716" s="150"/>
      <c r="O716" s="150"/>
      <c r="P716" s="150"/>
      <c r="Q716" s="151"/>
      <c r="R716" s="149" t="s">
        <v>735</v>
      </c>
      <c r="S716" s="150"/>
      <c r="T716" s="150"/>
      <c r="U716" s="150"/>
      <c r="V716" s="150"/>
      <c r="W716" s="150"/>
      <c r="X716" s="150"/>
      <c r="Y716" s="150"/>
      <c r="Z716" s="150"/>
      <c r="AA716" s="150"/>
      <c r="AB716" s="150"/>
      <c r="AC716" s="150"/>
      <c r="AD716" s="150"/>
      <c r="AE716" s="150"/>
      <c r="AF716" s="150"/>
      <c r="AG716" s="150"/>
      <c r="AH716" s="150"/>
      <c r="AI716" s="150"/>
      <c r="AJ716" s="151"/>
      <c r="AK716" s="143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144"/>
    </row>
    <row r="717" spans="2:61" ht="20.100000000000001" customHeight="1" x14ac:dyDescent="0.45">
      <c r="B717" s="138"/>
      <c r="C717" s="31"/>
      <c r="D717" s="31"/>
      <c r="E717" s="31"/>
      <c r="F717" s="31"/>
      <c r="G717" s="139"/>
      <c r="H717" s="140"/>
      <c r="I717" s="31"/>
      <c r="J717" s="149" t="s">
        <v>652</v>
      </c>
      <c r="K717" s="150"/>
      <c r="L717" s="150"/>
      <c r="M717" s="150"/>
      <c r="N717" s="150"/>
      <c r="O717" s="150"/>
      <c r="P717" s="150"/>
      <c r="Q717" s="151"/>
      <c r="R717" s="149" t="s">
        <v>736</v>
      </c>
      <c r="S717" s="150"/>
      <c r="T717" s="150"/>
      <c r="U717" s="150"/>
      <c r="V717" s="150"/>
      <c r="W717" s="150"/>
      <c r="X717" s="150"/>
      <c r="Y717" s="150"/>
      <c r="Z717" s="150"/>
      <c r="AA717" s="150"/>
      <c r="AB717" s="150"/>
      <c r="AC717" s="150"/>
      <c r="AD717" s="150"/>
      <c r="AE717" s="150"/>
      <c r="AF717" s="150"/>
      <c r="AG717" s="150"/>
      <c r="AH717" s="150"/>
      <c r="AI717" s="150"/>
      <c r="AJ717" s="151"/>
      <c r="AK717" s="143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144"/>
    </row>
    <row r="718" spans="2:61" ht="20.100000000000001" customHeight="1" x14ac:dyDescent="0.45">
      <c r="B718" s="138"/>
      <c r="C718" s="31"/>
      <c r="D718" s="31"/>
      <c r="E718" s="31"/>
      <c r="F718" s="31"/>
      <c r="G718" s="139"/>
      <c r="H718" s="140"/>
      <c r="I718" s="31"/>
      <c r="J718" s="149" t="s">
        <v>653</v>
      </c>
      <c r="K718" s="150"/>
      <c r="L718" s="150"/>
      <c r="M718" s="150"/>
      <c r="N718" s="150"/>
      <c r="O718" s="150"/>
      <c r="P718" s="150"/>
      <c r="Q718" s="151"/>
      <c r="R718" s="149" t="s">
        <v>737</v>
      </c>
      <c r="S718" s="150"/>
      <c r="T718" s="150"/>
      <c r="U718" s="150"/>
      <c r="V718" s="150"/>
      <c r="W718" s="150"/>
      <c r="X718" s="150"/>
      <c r="Y718" s="150"/>
      <c r="Z718" s="150"/>
      <c r="AA718" s="150"/>
      <c r="AB718" s="150"/>
      <c r="AC718" s="150"/>
      <c r="AD718" s="150"/>
      <c r="AE718" s="150"/>
      <c r="AF718" s="150"/>
      <c r="AG718" s="150"/>
      <c r="AH718" s="150"/>
      <c r="AI718" s="150"/>
      <c r="AJ718" s="151"/>
      <c r="AK718" s="143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144"/>
    </row>
    <row r="719" spans="2:61" ht="20.100000000000001" customHeight="1" x14ac:dyDescent="0.45">
      <c r="B719" s="138"/>
      <c r="C719" s="31"/>
      <c r="D719" s="31"/>
      <c r="E719" s="31"/>
      <c r="F719" s="31"/>
      <c r="G719" s="139"/>
      <c r="H719" s="140"/>
      <c r="I719" s="31"/>
      <c r="J719" s="149" t="s">
        <v>662</v>
      </c>
      <c r="K719" s="150"/>
      <c r="L719" s="150"/>
      <c r="M719" s="150"/>
      <c r="N719" s="150"/>
      <c r="O719" s="150"/>
      <c r="P719" s="150"/>
      <c r="Q719" s="151"/>
      <c r="R719" s="149" t="s">
        <v>738</v>
      </c>
      <c r="S719" s="150"/>
      <c r="T719" s="150"/>
      <c r="U719" s="150"/>
      <c r="V719" s="150"/>
      <c r="W719" s="150"/>
      <c r="X719" s="150"/>
      <c r="Y719" s="150"/>
      <c r="Z719" s="150"/>
      <c r="AA719" s="150"/>
      <c r="AB719" s="150"/>
      <c r="AC719" s="150"/>
      <c r="AD719" s="150"/>
      <c r="AE719" s="150"/>
      <c r="AF719" s="150"/>
      <c r="AG719" s="150"/>
      <c r="AH719" s="150"/>
      <c r="AI719" s="150"/>
      <c r="AJ719" s="151"/>
      <c r="AK719" s="143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144"/>
    </row>
    <row r="720" spans="2:61" ht="20.100000000000001" customHeight="1" x14ac:dyDescent="0.45">
      <c r="B720" s="138"/>
      <c r="C720" s="31"/>
      <c r="D720" s="31"/>
      <c r="E720" s="31"/>
      <c r="F720" s="31"/>
      <c r="G720" s="139"/>
      <c r="H720" s="140"/>
      <c r="I720" s="31"/>
      <c r="J720" s="149" t="s">
        <v>654</v>
      </c>
      <c r="K720" s="150"/>
      <c r="L720" s="150"/>
      <c r="M720" s="150"/>
      <c r="N720" s="150"/>
      <c r="O720" s="150"/>
      <c r="P720" s="150"/>
      <c r="Q720" s="151"/>
      <c r="R720" s="149" t="s">
        <v>739</v>
      </c>
      <c r="S720" s="150"/>
      <c r="T720" s="150"/>
      <c r="U720" s="150"/>
      <c r="V720" s="150"/>
      <c r="W720" s="150"/>
      <c r="X720" s="150"/>
      <c r="Y720" s="150"/>
      <c r="Z720" s="150"/>
      <c r="AA720" s="150"/>
      <c r="AB720" s="150"/>
      <c r="AC720" s="150"/>
      <c r="AD720" s="150"/>
      <c r="AE720" s="150"/>
      <c r="AF720" s="150"/>
      <c r="AG720" s="150"/>
      <c r="AH720" s="150"/>
      <c r="AI720" s="150"/>
      <c r="AJ720" s="151"/>
      <c r="AK720" s="143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144"/>
    </row>
    <row r="721" spans="2:61" ht="20.100000000000001" customHeight="1" x14ac:dyDescent="0.45">
      <c r="B721" s="138"/>
      <c r="C721" s="31"/>
      <c r="D721" s="31"/>
      <c r="E721" s="31"/>
      <c r="F721" s="31"/>
      <c r="G721" s="139"/>
      <c r="H721" s="140"/>
      <c r="I721" s="31"/>
      <c r="J721" s="149" t="s">
        <v>655</v>
      </c>
      <c r="K721" s="150"/>
      <c r="L721" s="150"/>
      <c r="M721" s="150"/>
      <c r="N721" s="150"/>
      <c r="O721" s="150"/>
      <c r="P721" s="150"/>
      <c r="Q721" s="151"/>
      <c r="R721" s="149" t="s">
        <v>740</v>
      </c>
      <c r="S721" s="150"/>
      <c r="T721" s="150"/>
      <c r="U721" s="150"/>
      <c r="V721" s="150"/>
      <c r="W721" s="150"/>
      <c r="X721" s="150"/>
      <c r="Y721" s="150"/>
      <c r="Z721" s="150"/>
      <c r="AA721" s="150"/>
      <c r="AB721" s="150"/>
      <c r="AC721" s="150"/>
      <c r="AD721" s="150"/>
      <c r="AE721" s="150"/>
      <c r="AF721" s="150"/>
      <c r="AG721" s="150"/>
      <c r="AH721" s="150"/>
      <c r="AI721" s="150"/>
      <c r="AJ721" s="151"/>
      <c r="AK721" s="143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144"/>
    </row>
    <row r="722" spans="2:61" ht="20.100000000000001" customHeight="1" x14ac:dyDescent="0.45">
      <c r="B722" s="138"/>
      <c r="C722" s="31"/>
      <c r="D722" s="31"/>
      <c r="E722" s="31"/>
      <c r="F722" s="31"/>
      <c r="G722" s="139"/>
      <c r="H722" s="140"/>
      <c r="I722" s="31"/>
      <c r="J722" s="149" t="s">
        <v>656</v>
      </c>
      <c r="K722" s="150"/>
      <c r="L722" s="150"/>
      <c r="M722" s="150"/>
      <c r="N722" s="150"/>
      <c r="O722" s="150"/>
      <c r="P722" s="150"/>
      <c r="Q722" s="151"/>
      <c r="R722" s="149" t="s">
        <v>741</v>
      </c>
      <c r="S722" s="150"/>
      <c r="T722" s="150"/>
      <c r="U722" s="150"/>
      <c r="V722" s="150"/>
      <c r="W722" s="150"/>
      <c r="X722" s="150"/>
      <c r="Y722" s="150"/>
      <c r="Z722" s="150"/>
      <c r="AA722" s="150"/>
      <c r="AB722" s="150"/>
      <c r="AC722" s="150"/>
      <c r="AD722" s="150"/>
      <c r="AE722" s="150"/>
      <c r="AF722" s="150"/>
      <c r="AG722" s="150"/>
      <c r="AH722" s="150"/>
      <c r="AI722" s="150"/>
      <c r="AJ722" s="151"/>
      <c r="AK722" s="143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144"/>
    </row>
    <row r="723" spans="2:61" ht="20.100000000000001" customHeight="1" x14ac:dyDescent="0.45">
      <c r="B723" s="138"/>
      <c r="C723" s="31"/>
      <c r="D723" s="31"/>
      <c r="E723" s="31"/>
      <c r="F723" s="31"/>
      <c r="G723" s="139"/>
      <c r="H723" s="140"/>
      <c r="I723" s="31"/>
      <c r="J723" s="149" t="s">
        <v>657</v>
      </c>
      <c r="K723" s="150"/>
      <c r="L723" s="150"/>
      <c r="M723" s="150"/>
      <c r="N723" s="150"/>
      <c r="O723" s="150"/>
      <c r="P723" s="150"/>
      <c r="Q723" s="151"/>
      <c r="R723" s="149" t="s">
        <v>742</v>
      </c>
      <c r="S723" s="150"/>
      <c r="T723" s="150"/>
      <c r="U723" s="150"/>
      <c r="V723" s="150"/>
      <c r="W723" s="150"/>
      <c r="X723" s="150"/>
      <c r="Y723" s="150"/>
      <c r="Z723" s="150"/>
      <c r="AA723" s="150"/>
      <c r="AB723" s="150"/>
      <c r="AC723" s="150"/>
      <c r="AD723" s="150"/>
      <c r="AE723" s="150"/>
      <c r="AF723" s="150"/>
      <c r="AG723" s="150"/>
      <c r="AH723" s="150"/>
      <c r="AI723" s="150"/>
      <c r="AJ723" s="151"/>
      <c r="AK723" s="143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144"/>
    </row>
    <row r="724" spans="2:61" ht="20.100000000000001" customHeight="1" x14ac:dyDescent="0.45">
      <c r="B724" s="138"/>
      <c r="C724" s="31"/>
      <c r="D724" s="31"/>
      <c r="E724" s="31"/>
      <c r="F724" s="31"/>
      <c r="G724" s="139"/>
      <c r="H724" s="140"/>
      <c r="I724" s="31"/>
      <c r="J724" s="149" t="s">
        <v>658</v>
      </c>
      <c r="K724" s="150"/>
      <c r="L724" s="150"/>
      <c r="M724" s="150"/>
      <c r="N724" s="150"/>
      <c r="O724" s="150"/>
      <c r="P724" s="150"/>
      <c r="Q724" s="151"/>
      <c r="R724" s="149" t="s">
        <v>743</v>
      </c>
      <c r="S724" s="150"/>
      <c r="T724" s="150"/>
      <c r="U724" s="150"/>
      <c r="V724" s="150"/>
      <c r="W724" s="150"/>
      <c r="X724" s="150"/>
      <c r="Y724" s="150"/>
      <c r="Z724" s="150"/>
      <c r="AA724" s="150"/>
      <c r="AB724" s="150"/>
      <c r="AC724" s="150"/>
      <c r="AD724" s="150"/>
      <c r="AE724" s="150"/>
      <c r="AF724" s="150"/>
      <c r="AG724" s="150"/>
      <c r="AH724" s="150"/>
      <c r="AI724" s="150"/>
      <c r="AJ724" s="151"/>
      <c r="AK724" s="143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144"/>
    </row>
    <row r="725" spans="2:61" ht="20.100000000000001" customHeight="1" x14ac:dyDescent="0.45">
      <c r="B725" s="138"/>
      <c r="C725" s="31"/>
      <c r="D725" s="31"/>
      <c r="E725" s="31"/>
      <c r="F725" s="31"/>
      <c r="G725" s="139"/>
      <c r="H725" s="140"/>
      <c r="I725" s="31"/>
      <c r="J725" s="149" t="s">
        <v>659</v>
      </c>
      <c r="K725" s="150"/>
      <c r="L725" s="150"/>
      <c r="M725" s="150"/>
      <c r="N725" s="150"/>
      <c r="O725" s="150"/>
      <c r="P725" s="150"/>
      <c r="Q725" s="151"/>
      <c r="R725" s="149" t="s">
        <v>744</v>
      </c>
      <c r="S725" s="150"/>
      <c r="T725" s="150"/>
      <c r="U725" s="150"/>
      <c r="V725" s="150"/>
      <c r="W725" s="150"/>
      <c r="X725" s="150"/>
      <c r="Y725" s="150"/>
      <c r="Z725" s="150"/>
      <c r="AA725" s="150"/>
      <c r="AB725" s="150"/>
      <c r="AC725" s="150"/>
      <c r="AD725" s="150"/>
      <c r="AE725" s="150"/>
      <c r="AF725" s="150"/>
      <c r="AG725" s="150"/>
      <c r="AH725" s="150"/>
      <c r="AI725" s="150"/>
      <c r="AJ725" s="151"/>
      <c r="AK725" s="143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144"/>
    </row>
    <row r="726" spans="2:61" ht="20.100000000000001" customHeight="1" x14ac:dyDescent="0.45">
      <c r="B726" s="138"/>
      <c r="C726" s="31"/>
      <c r="D726" s="31"/>
      <c r="E726" s="31"/>
      <c r="F726" s="31"/>
      <c r="G726" s="139"/>
      <c r="H726" s="140"/>
      <c r="I726" s="31"/>
      <c r="J726" s="149" t="s">
        <v>660</v>
      </c>
      <c r="K726" s="150"/>
      <c r="L726" s="150"/>
      <c r="M726" s="150"/>
      <c r="N726" s="150"/>
      <c r="O726" s="150"/>
      <c r="P726" s="150"/>
      <c r="Q726" s="151"/>
      <c r="R726" s="149" t="s">
        <v>745</v>
      </c>
      <c r="S726" s="150"/>
      <c r="T726" s="150"/>
      <c r="U726" s="150"/>
      <c r="V726" s="150"/>
      <c r="W726" s="150"/>
      <c r="X726" s="150"/>
      <c r="Y726" s="150"/>
      <c r="Z726" s="150"/>
      <c r="AA726" s="150"/>
      <c r="AB726" s="150"/>
      <c r="AC726" s="150"/>
      <c r="AD726" s="150"/>
      <c r="AE726" s="150"/>
      <c r="AF726" s="150"/>
      <c r="AG726" s="150"/>
      <c r="AH726" s="150"/>
      <c r="AI726" s="150"/>
      <c r="AJ726" s="151"/>
      <c r="AK726" s="143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144"/>
    </row>
    <row r="727" spans="2:61" ht="20.100000000000001" customHeight="1" x14ac:dyDescent="0.45">
      <c r="B727" s="138"/>
      <c r="C727" s="31"/>
      <c r="D727" s="31"/>
      <c r="E727" s="31"/>
      <c r="F727" s="31"/>
      <c r="G727" s="139"/>
      <c r="H727" s="140"/>
      <c r="I727" s="31"/>
      <c r="J727" s="149" t="s">
        <v>661</v>
      </c>
      <c r="K727" s="150"/>
      <c r="L727" s="150"/>
      <c r="M727" s="150"/>
      <c r="N727" s="150"/>
      <c r="O727" s="150"/>
      <c r="P727" s="150"/>
      <c r="Q727" s="151"/>
      <c r="R727" s="149" t="s">
        <v>746</v>
      </c>
      <c r="S727" s="150"/>
      <c r="T727" s="150"/>
      <c r="U727" s="150"/>
      <c r="V727" s="150"/>
      <c r="W727" s="150"/>
      <c r="X727" s="150"/>
      <c r="Y727" s="150"/>
      <c r="Z727" s="150"/>
      <c r="AA727" s="150"/>
      <c r="AB727" s="150"/>
      <c r="AC727" s="150"/>
      <c r="AD727" s="150"/>
      <c r="AE727" s="150"/>
      <c r="AF727" s="150"/>
      <c r="AG727" s="150"/>
      <c r="AH727" s="150"/>
      <c r="AI727" s="150"/>
      <c r="AJ727" s="151"/>
      <c r="AK727" s="143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144"/>
    </row>
    <row r="728" spans="2:61" ht="20.100000000000001" customHeight="1" x14ac:dyDescent="0.45">
      <c r="B728" s="138"/>
      <c r="C728" s="31"/>
      <c r="D728" s="31"/>
      <c r="E728" s="31"/>
      <c r="F728" s="31"/>
      <c r="G728" s="139"/>
      <c r="H728" s="140"/>
      <c r="I728" s="31"/>
      <c r="J728" s="149" t="s">
        <v>747</v>
      </c>
      <c r="K728" s="150"/>
      <c r="L728" s="150"/>
      <c r="M728" s="150"/>
      <c r="N728" s="150"/>
      <c r="O728" s="150"/>
      <c r="P728" s="150"/>
      <c r="Q728" s="151"/>
      <c r="R728" s="149" t="s">
        <v>748</v>
      </c>
      <c r="S728" s="150"/>
      <c r="T728" s="150"/>
      <c r="U728" s="150"/>
      <c r="V728" s="150"/>
      <c r="W728" s="150"/>
      <c r="X728" s="150"/>
      <c r="Y728" s="150"/>
      <c r="Z728" s="150"/>
      <c r="AA728" s="150"/>
      <c r="AB728" s="150"/>
      <c r="AC728" s="150"/>
      <c r="AD728" s="150"/>
      <c r="AE728" s="150"/>
      <c r="AF728" s="150"/>
      <c r="AG728" s="150"/>
      <c r="AH728" s="150"/>
      <c r="AI728" s="150"/>
      <c r="AJ728" s="151"/>
      <c r="AK728" s="143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144"/>
    </row>
    <row r="729" spans="2:61" ht="20.100000000000001" customHeight="1" x14ac:dyDescent="0.45">
      <c r="B729" s="138"/>
      <c r="C729" s="31"/>
      <c r="D729" s="31"/>
      <c r="E729" s="31"/>
      <c r="F729" s="31"/>
      <c r="G729" s="139"/>
      <c r="H729" s="145" t="s">
        <v>169</v>
      </c>
      <c r="I729" s="55"/>
      <c r="J729" s="145" t="s">
        <v>218</v>
      </c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146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55"/>
      <c r="BB729" s="55"/>
      <c r="BC729" s="55"/>
      <c r="BD729" s="55"/>
      <c r="BE729" s="55"/>
      <c r="BF729" s="55"/>
      <c r="BG729" s="55"/>
      <c r="BH729" s="55"/>
      <c r="BI729" s="147"/>
    </row>
    <row r="730" spans="2:61" ht="20.100000000000001" customHeight="1" x14ac:dyDescent="0.45">
      <c r="B730" s="148"/>
      <c r="C730" s="31"/>
      <c r="D730" s="31"/>
      <c r="E730" s="31"/>
      <c r="F730" s="31"/>
      <c r="G730" s="139"/>
      <c r="H730" s="145" t="s">
        <v>171</v>
      </c>
      <c r="I730" s="55"/>
      <c r="J730" s="152" t="s">
        <v>577</v>
      </c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146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  <c r="BA730" s="55"/>
      <c r="BB730" s="55"/>
      <c r="BC730" s="55"/>
      <c r="BD730" s="55"/>
      <c r="BE730" s="55"/>
      <c r="BF730" s="55"/>
      <c r="BG730" s="55"/>
      <c r="BH730" s="55"/>
      <c r="BI730" s="147"/>
    </row>
    <row r="731" spans="2:61" ht="20.100000000000001" customHeight="1" thickBot="1" x14ac:dyDescent="0.5">
      <c r="B731" s="148"/>
      <c r="C731" s="31"/>
      <c r="D731" s="31"/>
      <c r="E731" s="31"/>
      <c r="F731" s="31"/>
      <c r="G731" s="139"/>
      <c r="H731" s="145" t="s">
        <v>200</v>
      </c>
      <c r="I731" s="55"/>
      <c r="J731" s="152" t="s">
        <v>578</v>
      </c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146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  <c r="BA731" s="55"/>
      <c r="BB731" s="55"/>
      <c r="BC731" s="55"/>
      <c r="BD731" s="55"/>
      <c r="BE731" s="55"/>
      <c r="BF731" s="55"/>
      <c r="BG731" s="55"/>
      <c r="BH731" s="55"/>
      <c r="BI731" s="147"/>
    </row>
    <row r="732" spans="2:61" ht="20.100000000000001" customHeight="1" x14ac:dyDescent="0.45">
      <c r="B732" s="129" t="s">
        <v>749</v>
      </c>
      <c r="C732" s="130"/>
      <c r="D732" s="130"/>
      <c r="E732" s="130"/>
      <c r="F732" s="130"/>
      <c r="G732" s="131"/>
      <c r="H732" s="132" t="s">
        <v>159</v>
      </c>
      <c r="I732" s="130"/>
      <c r="J732" s="133" t="s">
        <v>160</v>
      </c>
      <c r="K732" s="134"/>
      <c r="L732" s="134"/>
      <c r="M732" s="134"/>
      <c r="N732" s="134"/>
      <c r="O732" s="134"/>
      <c r="P732" s="134"/>
      <c r="Q732" s="135"/>
      <c r="R732" s="134" t="s">
        <v>395</v>
      </c>
      <c r="S732" s="134"/>
      <c r="T732" s="134"/>
      <c r="U732" s="134"/>
      <c r="V732" s="134"/>
      <c r="W732" s="134"/>
      <c r="X732" s="134"/>
      <c r="Y732" s="134"/>
      <c r="Z732" s="134"/>
      <c r="AA732" s="134"/>
      <c r="AB732" s="134"/>
      <c r="AC732" s="134"/>
      <c r="AD732" s="134"/>
      <c r="AE732" s="134"/>
      <c r="AF732" s="134"/>
      <c r="AG732" s="134"/>
      <c r="AH732" s="134"/>
      <c r="AI732" s="134"/>
      <c r="AJ732" s="135"/>
      <c r="AK732" s="136" t="s">
        <v>575</v>
      </c>
      <c r="AL732" s="130"/>
      <c r="AM732" s="130"/>
      <c r="AN732" s="130"/>
      <c r="AO732" s="130"/>
      <c r="AP732" s="130"/>
      <c r="AQ732" s="130"/>
      <c r="AR732" s="130"/>
      <c r="AS732" s="130"/>
      <c r="AT732" s="130"/>
      <c r="AU732" s="130"/>
      <c r="AV732" s="130"/>
      <c r="AW732" s="130"/>
      <c r="AX732" s="130"/>
      <c r="AY732" s="130"/>
      <c r="AZ732" s="130"/>
      <c r="BA732" s="130"/>
      <c r="BB732" s="130"/>
      <c r="BC732" s="130"/>
      <c r="BD732" s="130"/>
      <c r="BE732" s="130"/>
      <c r="BF732" s="130"/>
      <c r="BG732" s="130"/>
      <c r="BH732" s="130"/>
      <c r="BI732" s="137"/>
    </row>
    <row r="733" spans="2:61" ht="20.100000000000001" customHeight="1" x14ac:dyDescent="0.45">
      <c r="B733" s="138"/>
      <c r="C733" s="31"/>
      <c r="D733" s="31"/>
      <c r="E733" s="31"/>
      <c r="F733" s="31"/>
      <c r="G733" s="139"/>
      <c r="H733" s="140"/>
      <c r="I733" s="31"/>
      <c r="J733" s="149" t="s">
        <v>227</v>
      </c>
      <c r="K733" s="150"/>
      <c r="L733" s="150"/>
      <c r="M733" s="150"/>
      <c r="N733" s="150"/>
      <c r="O733" s="150"/>
      <c r="P733" s="150"/>
      <c r="Q733" s="151"/>
      <c r="R733" s="154" t="s">
        <v>396</v>
      </c>
      <c r="S733" s="150"/>
      <c r="T733" s="150"/>
      <c r="U733" s="150"/>
      <c r="V733" s="150"/>
      <c r="W733" s="150"/>
      <c r="X733" s="150"/>
      <c r="Y733" s="150"/>
      <c r="Z733" s="150"/>
      <c r="AA733" s="150"/>
      <c r="AB733" s="150"/>
      <c r="AC733" s="150"/>
      <c r="AD733" s="150"/>
      <c r="AE733" s="150"/>
      <c r="AF733" s="150"/>
      <c r="AG733" s="150"/>
      <c r="AH733" s="150"/>
      <c r="AI733" s="150"/>
      <c r="AJ733" s="151"/>
      <c r="AK733" s="143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144"/>
    </row>
    <row r="734" spans="2:61" ht="20.100000000000001" customHeight="1" x14ac:dyDescent="0.45">
      <c r="B734" s="138"/>
      <c r="C734" s="31"/>
      <c r="D734" s="31"/>
      <c r="E734" s="31"/>
      <c r="F734" s="31"/>
      <c r="G734" s="139"/>
      <c r="H734" s="140"/>
      <c r="I734" s="31"/>
      <c r="J734" s="149" t="s">
        <v>228</v>
      </c>
      <c r="K734" s="150"/>
      <c r="L734" s="150"/>
      <c r="M734" s="150"/>
      <c r="N734" s="150"/>
      <c r="O734" s="150"/>
      <c r="P734" s="150"/>
      <c r="Q734" s="151"/>
      <c r="R734" s="154" t="s">
        <v>750</v>
      </c>
      <c r="S734" s="150"/>
      <c r="T734" s="150"/>
      <c r="U734" s="150"/>
      <c r="V734" s="150"/>
      <c r="W734" s="150"/>
      <c r="X734" s="150"/>
      <c r="Y734" s="150"/>
      <c r="Z734" s="150"/>
      <c r="AA734" s="150"/>
      <c r="AB734" s="150"/>
      <c r="AC734" s="150"/>
      <c r="AD734" s="150"/>
      <c r="AE734" s="150"/>
      <c r="AF734" s="150"/>
      <c r="AG734" s="150"/>
      <c r="AH734" s="150"/>
      <c r="AI734" s="150"/>
      <c r="AJ734" s="151"/>
      <c r="AK734" s="143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144"/>
    </row>
    <row r="735" spans="2:61" ht="20.100000000000001" customHeight="1" x14ac:dyDescent="0.45">
      <c r="B735" s="138"/>
      <c r="C735" s="31"/>
      <c r="D735" s="31"/>
      <c r="E735" s="31"/>
      <c r="F735" s="31"/>
      <c r="G735" s="139"/>
      <c r="H735" s="140"/>
      <c r="I735" s="31"/>
      <c r="J735" s="149" t="s">
        <v>240</v>
      </c>
      <c r="K735" s="150"/>
      <c r="L735" s="150"/>
      <c r="M735" s="150"/>
      <c r="N735" s="150"/>
      <c r="O735" s="150"/>
      <c r="P735" s="150"/>
      <c r="Q735" s="151"/>
      <c r="R735" s="150" t="s">
        <v>538</v>
      </c>
      <c r="S735" s="150"/>
      <c r="T735" s="150"/>
      <c r="U735" s="150"/>
      <c r="V735" s="150"/>
      <c r="W735" s="150"/>
      <c r="X735" s="150"/>
      <c r="Y735" s="150"/>
      <c r="Z735" s="150"/>
      <c r="AA735" s="150"/>
      <c r="AB735" s="150"/>
      <c r="AC735" s="150"/>
      <c r="AD735" s="150"/>
      <c r="AE735" s="150"/>
      <c r="AF735" s="150"/>
      <c r="AG735" s="150"/>
      <c r="AH735" s="150"/>
      <c r="AI735" s="150"/>
      <c r="AJ735" s="151"/>
      <c r="AK735" s="143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144"/>
    </row>
    <row r="736" spans="2:61" ht="20.100000000000001" customHeight="1" x14ac:dyDescent="0.45">
      <c r="B736" s="138"/>
      <c r="C736" s="31"/>
      <c r="D736" s="31"/>
      <c r="E736" s="31"/>
      <c r="F736" s="31"/>
      <c r="G736" s="139"/>
      <c r="H736" s="140"/>
      <c r="I736" s="31"/>
      <c r="J736" s="149" t="s">
        <v>244</v>
      </c>
      <c r="K736" s="150"/>
      <c r="L736" s="150"/>
      <c r="M736" s="150"/>
      <c r="N736" s="150"/>
      <c r="O736" s="150"/>
      <c r="P736" s="150"/>
      <c r="Q736" s="151"/>
      <c r="R736" s="150" t="s">
        <v>537</v>
      </c>
      <c r="S736" s="150"/>
      <c r="T736" s="150"/>
      <c r="U736" s="150"/>
      <c r="V736" s="150"/>
      <c r="W736" s="150"/>
      <c r="X736" s="150"/>
      <c r="Y736" s="150"/>
      <c r="Z736" s="150"/>
      <c r="AA736" s="150"/>
      <c r="AB736" s="150"/>
      <c r="AC736" s="150"/>
      <c r="AD736" s="150"/>
      <c r="AE736" s="150"/>
      <c r="AF736" s="150"/>
      <c r="AG736" s="150"/>
      <c r="AH736" s="150"/>
      <c r="AI736" s="150"/>
      <c r="AJ736" s="151"/>
      <c r="AK736" s="143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144"/>
    </row>
    <row r="737" spans="2:61" ht="20.100000000000001" customHeight="1" x14ac:dyDescent="0.45">
      <c r="B737" s="138"/>
      <c r="C737" s="31"/>
      <c r="D737" s="31"/>
      <c r="E737" s="31"/>
      <c r="F737" s="31"/>
      <c r="G737" s="139"/>
      <c r="H737" s="140"/>
      <c r="I737" s="31"/>
      <c r="J737" s="149" t="s">
        <v>168</v>
      </c>
      <c r="K737" s="150"/>
      <c r="L737" s="150"/>
      <c r="M737" s="150"/>
      <c r="N737" s="150"/>
      <c r="O737" s="150"/>
      <c r="P737" s="150"/>
      <c r="Q737" s="151"/>
      <c r="R737" s="154" t="s">
        <v>215</v>
      </c>
      <c r="S737" s="150"/>
      <c r="T737" s="150"/>
      <c r="U737" s="150"/>
      <c r="V737" s="150"/>
      <c r="W737" s="150"/>
      <c r="X737" s="150"/>
      <c r="Y737" s="150"/>
      <c r="Z737" s="150"/>
      <c r="AA737" s="150"/>
      <c r="AB737" s="150"/>
      <c r="AC737" s="150"/>
      <c r="AD737" s="150"/>
      <c r="AE737" s="150"/>
      <c r="AF737" s="150"/>
      <c r="AG737" s="150"/>
      <c r="AH737" s="150"/>
      <c r="AI737" s="150"/>
      <c r="AJ737" s="151"/>
      <c r="AK737" s="143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144"/>
    </row>
    <row r="738" spans="2:61" ht="20.100000000000001" customHeight="1" x14ac:dyDescent="0.45">
      <c r="B738" s="138"/>
      <c r="C738" s="31"/>
      <c r="D738" s="31"/>
      <c r="E738" s="31"/>
      <c r="F738" s="31"/>
      <c r="G738" s="139"/>
      <c r="H738" s="140"/>
      <c r="I738" s="31"/>
      <c r="J738" s="149" t="s">
        <v>245</v>
      </c>
      <c r="K738" s="150"/>
      <c r="L738" s="150"/>
      <c r="M738" s="150"/>
      <c r="N738" s="150"/>
      <c r="O738" s="150"/>
      <c r="P738" s="150"/>
      <c r="Q738" s="151"/>
      <c r="R738" s="154" t="s">
        <v>216</v>
      </c>
      <c r="S738" s="150"/>
      <c r="T738" s="150"/>
      <c r="U738" s="150"/>
      <c r="V738" s="150"/>
      <c r="W738" s="150"/>
      <c r="X738" s="150"/>
      <c r="Y738" s="150"/>
      <c r="Z738" s="150"/>
      <c r="AA738" s="150"/>
      <c r="AB738" s="150"/>
      <c r="AC738" s="150"/>
      <c r="AD738" s="150"/>
      <c r="AE738" s="150"/>
      <c r="AF738" s="150"/>
      <c r="AG738" s="150"/>
      <c r="AH738" s="150"/>
      <c r="AI738" s="150"/>
      <c r="AJ738" s="151"/>
      <c r="AK738" s="143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144"/>
    </row>
    <row r="739" spans="2:61" ht="20.100000000000001" customHeight="1" x14ac:dyDescent="0.45">
      <c r="B739" s="138"/>
      <c r="C739" s="31"/>
      <c r="D739" s="31"/>
      <c r="E739" s="31"/>
      <c r="F739" s="31"/>
      <c r="G739" s="139"/>
      <c r="H739" s="145" t="s">
        <v>169</v>
      </c>
      <c r="I739" s="55"/>
      <c r="J739" s="145" t="s">
        <v>751</v>
      </c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146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  <c r="BA739" s="55"/>
      <c r="BB739" s="55"/>
      <c r="BC739" s="55"/>
      <c r="BD739" s="55"/>
      <c r="BE739" s="55"/>
      <c r="BF739" s="55"/>
      <c r="BG739" s="55"/>
      <c r="BH739" s="55"/>
      <c r="BI739" s="147"/>
    </row>
    <row r="740" spans="2:61" ht="20.100000000000001" customHeight="1" x14ac:dyDescent="0.45">
      <c r="B740" s="148"/>
      <c r="C740" s="31"/>
      <c r="D740" s="31"/>
      <c r="E740" s="31"/>
      <c r="F740" s="31"/>
      <c r="G740" s="139"/>
      <c r="H740" s="145" t="s">
        <v>493</v>
      </c>
      <c r="I740" s="55"/>
      <c r="J740" s="152" t="s">
        <v>752</v>
      </c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146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  <c r="BA740" s="55"/>
      <c r="BB740" s="55"/>
      <c r="BC740" s="55"/>
      <c r="BD740" s="55"/>
      <c r="BE740" s="55"/>
      <c r="BF740" s="55"/>
      <c r="BG740" s="55"/>
      <c r="BH740" s="55"/>
      <c r="BI740" s="147"/>
    </row>
    <row r="741" spans="2:61" ht="20.100000000000001" customHeight="1" thickBot="1" x14ac:dyDescent="0.5">
      <c r="B741" s="148"/>
      <c r="C741" s="31"/>
      <c r="D741" s="31"/>
      <c r="E741" s="31"/>
      <c r="F741" s="31"/>
      <c r="G741" s="139"/>
      <c r="H741" s="145" t="s">
        <v>174</v>
      </c>
      <c r="I741" s="55"/>
      <c r="J741" s="152" t="s">
        <v>753</v>
      </c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146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  <c r="BA741" s="55"/>
      <c r="BB741" s="55"/>
      <c r="BC741" s="55"/>
      <c r="BD741" s="55"/>
      <c r="BE741" s="55"/>
      <c r="BF741" s="55"/>
      <c r="BG741" s="55"/>
      <c r="BH741" s="55"/>
      <c r="BI741" s="147"/>
    </row>
    <row r="742" spans="2:61" ht="20.100000000000001" customHeight="1" x14ac:dyDescent="0.45">
      <c r="B742" s="129" t="s">
        <v>754</v>
      </c>
      <c r="C742" s="130"/>
      <c r="D742" s="130"/>
      <c r="E742" s="130"/>
      <c r="F742" s="130"/>
      <c r="G742" s="131"/>
      <c r="H742" s="132" t="s">
        <v>159</v>
      </c>
      <c r="I742" s="130"/>
      <c r="J742" s="133" t="s">
        <v>160</v>
      </c>
      <c r="K742" s="134"/>
      <c r="L742" s="134"/>
      <c r="M742" s="134"/>
      <c r="N742" s="134"/>
      <c r="O742" s="134"/>
      <c r="P742" s="134"/>
      <c r="Q742" s="135"/>
      <c r="R742" s="133" t="s">
        <v>395</v>
      </c>
      <c r="S742" s="134"/>
      <c r="T742" s="134"/>
      <c r="U742" s="134"/>
      <c r="V742" s="134"/>
      <c r="W742" s="134"/>
      <c r="X742" s="134"/>
      <c r="Y742" s="134"/>
      <c r="Z742" s="134"/>
      <c r="AA742" s="134"/>
      <c r="AB742" s="134"/>
      <c r="AC742" s="134"/>
      <c r="AD742" s="134"/>
      <c r="AE742" s="134"/>
      <c r="AF742" s="134"/>
      <c r="AG742" s="134"/>
      <c r="AH742" s="134"/>
      <c r="AI742" s="134"/>
      <c r="AJ742" s="135"/>
      <c r="AK742" s="136" t="s">
        <v>756</v>
      </c>
      <c r="AL742" s="130"/>
      <c r="AM742" s="130"/>
      <c r="AN742" s="130"/>
      <c r="AO742" s="130"/>
      <c r="AP742" s="130"/>
      <c r="AQ742" s="130"/>
      <c r="AR742" s="130"/>
      <c r="AS742" s="130"/>
      <c r="AT742" s="130"/>
      <c r="AU742" s="130"/>
      <c r="AV742" s="130"/>
      <c r="AW742" s="130"/>
      <c r="AX742" s="130"/>
      <c r="AY742" s="130"/>
      <c r="AZ742" s="130"/>
      <c r="BA742" s="130"/>
      <c r="BB742" s="130"/>
      <c r="BC742" s="130"/>
      <c r="BD742" s="130"/>
      <c r="BE742" s="130"/>
      <c r="BF742" s="130"/>
      <c r="BG742" s="130"/>
      <c r="BH742" s="130"/>
      <c r="BI742" s="137"/>
    </row>
    <row r="743" spans="2:61" ht="20.100000000000001" customHeight="1" x14ac:dyDescent="0.45">
      <c r="B743" s="138"/>
      <c r="C743" s="31"/>
      <c r="D743" s="31"/>
      <c r="E743" s="31"/>
      <c r="F743" s="31"/>
      <c r="G743" s="139"/>
      <c r="H743" s="140"/>
      <c r="I743" s="31"/>
      <c r="J743" s="149" t="s">
        <v>227</v>
      </c>
      <c r="K743" s="150"/>
      <c r="L743" s="150"/>
      <c r="M743" s="150"/>
      <c r="N743" s="150"/>
      <c r="O743" s="150"/>
      <c r="P743" s="150"/>
      <c r="Q743" s="151"/>
      <c r="R743" s="149" t="s">
        <v>396</v>
      </c>
      <c r="S743" s="150"/>
      <c r="T743" s="150"/>
      <c r="U743" s="150"/>
      <c r="V743" s="150"/>
      <c r="W743" s="150"/>
      <c r="X743" s="150"/>
      <c r="Y743" s="150"/>
      <c r="Z743" s="150"/>
      <c r="AA743" s="150"/>
      <c r="AB743" s="150"/>
      <c r="AC743" s="150"/>
      <c r="AD743" s="150"/>
      <c r="AE743" s="150"/>
      <c r="AF743" s="150"/>
      <c r="AG743" s="150"/>
      <c r="AH743" s="150"/>
      <c r="AI743" s="150"/>
      <c r="AJ743" s="151"/>
      <c r="AK743" s="143" t="s">
        <v>755</v>
      </c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144"/>
    </row>
    <row r="744" spans="2:61" ht="20.100000000000001" customHeight="1" x14ac:dyDescent="0.45">
      <c r="B744" s="138"/>
      <c r="C744" s="31"/>
      <c r="D744" s="31"/>
      <c r="E744" s="31"/>
      <c r="F744" s="31"/>
      <c r="G744" s="139"/>
      <c r="H744" s="140"/>
      <c r="I744" s="31"/>
      <c r="J744" s="149" t="s">
        <v>228</v>
      </c>
      <c r="K744" s="150"/>
      <c r="L744" s="150"/>
      <c r="M744" s="150"/>
      <c r="N744" s="150"/>
      <c r="O744" s="150"/>
      <c r="P744" s="150"/>
      <c r="Q744" s="151"/>
      <c r="R744" s="149" t="s">
        <v>397</v>
      </c>
      <c r="S744" s="150"/>
      <c r="T744" s="150"/>
      <c r="U744" s="150"/>
      <c r="V744" s="150"/>
      <c r="W744" s="150"/>
      <c r="X744" s="150"/>
      <c r="Y744" s="150"/>
      <c r="Z744" s="150"/>
      <c r="AA744" s="150"/>
      <c r="AB744" s="150"/>
      <c r="AC744" s="150"/>
      <c r="AD744" s="150"/>
      <c r="AE744" s="150"/>
      <c r="AF744" s="150"/>
      <c r="AG744" s="150"/>
      <c r="AH744" s="150"/>
      <c r="AI744" s="150"/>
      <c r="AJ744" s="151"/>
      <c r="AK744" s="143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144"/>
    </row>
    <row r="745" spans="2:61" ht="20.100000000000001" customHeight="1" x14ac:dyDescent="0.45">
      <c r="B745" s="138"/>
      <c r="C745" s="31"/>
      <c r="D745" s="31"/>
      <c r="E745" s="31"/>
      <c r="F745" s="31"/>
      <c r="G745" s="139"/>
      <c r="H745" s="140"/>
      <c r="I745" s="31"/>
      <c r="J745" s="149" t="s">
        <v>229</v>
      </c>
      <c r="K745" s="150"/>
      <c r="L745" s="150"/>
      <c r="M745" s="150"/>
      <c r="N745" s="150"/>
      <c r="O745" s="150"/>
      <c r="P745" s="150"/>
      <c r="Q745" s="151"/>
      <c r="R745" s="149" t="s">
        <v>398</v>
      </c>
      <c r="S745" s="150"/>
      <c r="T745" s="150"/>
      <c r="U745" s="150"/>
      <c r="V745" s="150"/>
      <c r="W745" s="150"/>
      <c r="X745" s="150"/>
      <c r="Y745" s="150"/>
      <c r="Z745" s="150"/>
      <c r="AA745" s="150"/>
      <c r="AB745" s="150"/>
      <c r="AC745" s="150"/>
      <c r="AD745" s="150"/>
      <c r="AE745" s="150"/>
      <c r="AF745" s="150"/>
      <c r="AG745" s="150"/>
      <c r="AH745" s="150"/>
      <c r="AI745" s="150"/>
      <c r="AJ745" s="151"/>
      <c r="AK745" s="143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144"/>
    </row>
    <row r="746" spans="2:61" ht="20.100000000000001" customHeight="1" x14ac:dyDescent="0.45">
      <c r="B746" s="138"/>
      <c r="C746" s="31"/>
      <c r="D746" s="31"/>
      <c r="E746" s="31"/>
      <c r="F746" s="31"/>
      <c r="G746" s="139"/>
      <c r="H746" s="140"/>
      <c r="I746" s="31"/>
      <c r="J746" s="149" t="s">
        <v>287</v>
      </c>
      <c r="K746" s="150"/>
      <c r="L746" s="150"/>
      <c r="M746" s="150"/>
      <c r="N746" s="150"/>
      <c r="O746" s="150"/>
      <c r="P746" s="150"/>
      <c r="Q746" s="151"/>
      <c r="R746" s="149" t="s">
        <v>399</v>
      </c>
      <c r="S746" s="150"/>
      <c r="T746" s="150"/>
      <c r="U746" s="150"/>
      <c r="V746" s="150"/>
      <c r="W746" s="150"/>
      <c r="X746" s="150"/>
      <c r="Y746" s="150"/>
      <c r="Z746" s="150"/>
      <c r="AA746" s="150"/>
      <c r="AB746" s="150"/>
      <c r="AC746" s="150"/>
      <c r="AD746" s="150"/>
      <c r="AE746" s="150"/>
      <c r="AF746" s="150"/>
      <c r="AG746" s="150"/>
      <c r="AH746" s="150"/>
      <c r="AI746" s="150"/>
      <c r="AJ746" s="151"/>
      <c r="AK746" s="143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144"/>
    </row>
    <row r="747" spans="2:61" ht="20.100000000000001" customHeight="1" x14ac:dyDescent="0.45">
      <c r="B747" s="138"/>
      <c r="C747" s="31"/>
      <c r="D747" s="31"/>
      <c r="E747" s="31"/>
      <c r="F747" s="31"/>
      <c r="G747" s="139"/>
      <c r="H747" s="140"/>
      <c r="I747" s="31"/>
      <c r="J747" s="149" t="s">
        <v>288</v>
      </c>
      <c r="K747" s="150"/>
      <c r="L747" s="150"/>
      <c r="M747" s="150"/>
      <c r="N747" s="150"/>
      <c r="O747" s="150"/>
      <c r="P747" s="150"/>
      <c r="Q747" s="151"/>
      <c r="R747" s="149" t="s">
        <v>400</v>
      </c>
      <c r="S747" s="150"/>
      <c r="T747" s="150"/>
      <c r="U747" s="150"/>
      <c r="V747" s="150"/>
      <c r="W747" s="150"/>
      <c r="X747" s="150"/>
      <c r="Y747" s="150"/>
      <c r="Z747" s="150"/>
      <c r="AA747" s="150"/>
      <c r="AB747" s="150"/>
      <c r="AC747" s="150"/>
      <c r="AD747" s="150"/>
      <c r="AE747" s="150"/>
      <c r="AF747" s="150"/>
      <c r="AG747" s="150"/>
      <c r="AH747" s="150"/>
      <c r="AI747" s="150"/>
      <c r="AJ747" s="151"/>
      <c r="AK747" s="143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144"/>
    </row>
    <row r="748" spans="2:61" ht="20.100000000000001" customHeight="1" x14ac:dyDescent="0.45">
      <c r="B748" s="138"/>
      <c r="C748" s="31"/>
      <c r="D748" s="31"/>
      <c r="E748" s="31"/>
      <c r="F748" s="31"/>
      <c r="G748" s="139"/>
      <c r="H748" s="140"/>
      <c r="I748" s="31"/>
      <c r="J748" s="149" t="s">
        <v>289</v>
      </c>
      <c r="K748" s="150"/>
      <c r="L748" s="150"/>
      <c r="M748" s="150"/>
      <c r="N748" s="150"/>
      <c r="O748" s="150"/>
      <c r="P748" s="150"/>
      <c r="Q748" s="151"/>
      <c r="R748" s="149" t="s">
        <v>401</v>
      </c>
      <c r="S748" s="150"/>
      <c r="T748" s="150"/>
      <c r="U748" s="150"/>
      <c r="V748" s="150"/>
      <c r="W748" s="150"/>
      <c r="X748" s="150"/>
      <c r="Y748" s="150"/>
      <c r="Z748" s="150"/>
      <c r="AA748" s="150"/>
      <c r="AB748" s="150"/>
      <c r="AC748" s="150"/>
      <c r="AD748" s="150"/>
      <c r="AE748" s="150"/>
      <c r="AF748" s="150"/>
      <c r="AG748" s="150"/>
      <c r="AH748" s="150"/>
      <c r="AI748" s="150"/>
      <c r="AJ748" s="151"/>
      <c r="AK748" s="143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144"/>
    </row>
    <row r="749" spans="2:61" ht="20.100000000000001" customHeight="1" x14ac:dyDescent="0.45">
      <c r="B749" s="138"/>
      <c r="C749" s="31"/>
      <c r="D749" s="31"/>
      <c r="E749" s="31"/>
      <c r="F749" s="31"/>
      <c r="G749" s="139"/>
      <c r="H749" s="140"/>
      <c r="I749" s="31"/>
      <c r="J749" s="149" t="s">
        <v>290</v>
      </c>
      <c r="K749" s="150"/>
      <c r="L749" s="150"/>
      <c r="M749" s="150"/>
      <c r="N749" s="150"/>
      <c r="O749" s="150"/>
      <c r="P749" s="150"/>
      <c r="Q749" s="151"/>
      <c r="R749" s="149" t="s">
        <v>402</v>
      </c>
      <c r="S749" s="150"/>
      <c r="T749" s="150"/>
      <c r="U749" s="150"/>
      <c r="V749" s="150"/>
      <c r="W749" s="150"/>
      <c r="X749" s="150"/>
      <c r="Y749" s="150"/>
      <c r="Z749" s="150"/>
      <c r="AA749" s="150"/>
      <c r="AB749" s="150"/>
      <c r="AC749" s="150"/>
      <c r="AD749" s="150"/>
      <c r="AE749" s="150"/>
      <c r="AF749" s="150"/>
      <c r="AG749" s="150"/>
      <c r="AH749" s="150"/>
      <c r="AI749" s="150"/>
      <c r="AJ749" s="151"/>
      <c r="AK749" s="143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144"/>
    </row>
    <row r="750" spans="2:61" ht="20.100000000000001" customHeight="1" x14ac:dyDescent="0.45">
      <c r="B750" s="138"/>
      <c r="C750" s="31"/>
      <c r="D750" s="31"/>
      <c r="E750" s="31"/>
      <c r="F750" s="31"/>
      <c r="G750" s="139"/>
      <c r="H750" s="140"/>
      <c r="I750" s="31"/>
      <c r="J750" s="149" t="s">
        <v>291</v>
      </c>
      <c r="K750" s="150"/>
      <c r="L750" s="150"/>
      <c r="M750" s="150"/>
      <c r="N750" s="150"/>
      <c r="O750" s="150"/>
      <c r="P750" s="150"/>
      <c r="Q750" s="151"/>
      <c r="R750" s="149" t="s">
        <v>403</v>
      </c>
      <c r="S750" s="150"/>
      <c r="T750" s="150"/>
      <c r="U750" s="150"/>
      <c r="V750" s="150"/>
      <c r="W750" s="150"/>
      <c r="X750" s="150"/>
      <c r="Y750" s="150"/>
      <c r="Z750" s="150"/>
      <c r="AA750" s="150"/>
      <c r="AB750" s="150"/>
      <c r="AC750" s="150"/>
      <c r="AD750" s="150"/>
      <c r="AE750" s="150"/>
      <c r="AF750" s="150"/>
      <c r="AG750" s="150"/>
      <c r="AH750" s="150"/>
      <c r="AI750" s="150"/>
      <c r="AJ750" s="151"/>
      <c r="AK750" s="143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144"/>
    </row>
    <row r="751" spans="2:61" ht="20.100000000000001" customHeight="1" x14ac:dyDescent="0.45">
      <c r="B751" s="138"/>
      <c r="C751" s="31"/>
      <c r="D751" s="31"/>
      <c r="E751" s="31"/>
      <c r="F751" s="31"/>
      <c r="G751" s="139"/>
      <c r="H751" s="140"/>
      <c r="I751" s="31"/>
      <c r="J751" s="149" t="s">
        <v>230</v>
      </c>
      <c r="K751" s="150"/>
      <c r="L751" s="150"/>
      <c r="M751" s="150"/>
      <c r="N751" s="150"/>
      <c r="O751" s="150"/>
      <c r="P751" s="150"/>
      <c r="Q751" s="151"/>
      <c r="R751" s="149" t="s">
        <v>404</v>
      </c>
      <c r="S751" s="150"/>
      <c r="T751" s="150"/>
      <c r="U751" s="150"/>
      <c r="V751" s="150"/>
      <c r="W751" s="150"/>
      <c r="X751" s="150"/>
      <c r="Y751" s="150"/>
      <c r="Z751" s="150"/>
      <c r="AA751" s="150"/>
      <c r="AB751" s="150"/>
      <c r="AC751" s="150"/>
      <c r="AD751" s="150"/>
      <c r="AE751" s="150"/>
      <c r="AF751" s="150"/>
      <c r="AG751" s="150"/>
      <c r="AH751" s="150"/>
      <c r="AI751" s="150"/>
      <c r="AJ751" s="151"/>
      <c r="AK751" s="143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144"/>
    </row>
    <row r="752" spans="2:61" ht="20.100000000000001" customHeight="1" x14ac:dyDescent="0.45">
      <c r="B752" s="138"/>
      <c r="C752" s="31"/>
      <c r="D752" s="31"/>
      <c r="E752" s="31"/>
      <c r="F752" s="31"/>
      <c r="G752" s="139"/>
      <c r="H752" s="140"/>
      <c r="I752" s="31"/>
      <c r="J752" s="149" t="s">
        <v>231</v>
      </c>
      <c r="K752" s="150"/>
      <c r="L752" s="150"/>
      <c r="M752" s="150"/>
      <c r="N752" s="150"/>
      <c r="O752" s="150"/>
      <c r="P752" s="150"/>
      <c r="Q752" s="151"/>
      <c r="R752" s="149" t="s">
        <v>405</v>
      </c>
      <c r="S752" s="150"/>
      <c r="T752" s="150"/>
      <c r="U752" s="150"/>
      <c r="V752" s="150"/>
      <c r="W752" s="150"/>
      <c r="X752" s="150"/>
      <c r="Y752" s="150"/>
      <c r="Z752" s="150"/>
      <c r="AA752" s="150"/>
      <c r="AB752" s="150"/>
      <c r="AC752" s="150"/>
      <c r="AD752" s="150"/>
      <c r="AE752" s="150"/>
      <c r="AF752" s="150"/>
      <c r="AG752" s="150"/>
      <c r="AH752" s="150"/>
      <c r="AI752" s="150"/>
      <c r="AJ752" s="151"/>
      <c r="AK752" s="143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144"/>
    </row>
    <row r="753" spans="2:61" ht="20.100000000000001" customHeight="1" x14ac:dyDescent="0.45">
      <c r="B753" s="138"/>
      <c r="C753" s="31"/>
      <c r="D753" s="31"/>
      <c r="E753" s="31"/>
      <c r="F753" s="31"/>
      <c r="G753" s="139"/>
      <c r="H753" s="140"/>
      <c r="I753" s="31"/>
      <c r="J753" s="149" t="s">
        <v>232</v>
      </c>
      <c r="K753" s="150"/>
      <c r="L753" s="150"/>
      <c r="M753" s="150"/>
      <c r="N753" s="150"/>
      <c r="O753" s="150"/>
      <c r="P753" s="150"/>
      <c r="Q753" s="151"/>
      <c r="R753" s="149" t="s">
        <v>406</v>
      </c>
      <c r="S753" s="150"/>
      <c r="T753" s="150"/>
      <c r="U753" s="150"/>
      <c r="V753" s="150"/>
      <c r="W753" s="150"/>
      <c r="X753" s="150"/>
      <c r="Y753" s="150"/>
      <c r="Z753" s="150"/>
      <c r="AA753" s="150"/>
      <c r="AB753" s="150"/>
      <c r="AC753" s="150"/>
      <c r="AD753" s="150"/>
      <c r="AE753" s="150"/>
      <c r="AF753" s="150"/>
      <c r="AG753" s="150"/>
      <c r="AH753" s="150"/>
      <c r="AI753" s="150"/>
      <c r="AJ753" s="151"/>
      <c r="AK753" s="143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144"/>
    </row>
    <row r="754" spans="2:61" ht="20.100000000000001" customHeight="1" x14ac:dyDescent="0.45">
      <c r="B754" s="138"/>
      <c r="C754" s="31"/>
      <c r="D754" s="31"/>
      <c r="E754" s="31"/>
      <c r="F754" s="31"/>
      <c r="G754" s="139"/>
      <c r="H754" s="140"/>
      <c r="I754" s="31"/>
      <c r="J754" s="149" t="s">
        <v>233</v>
      </c>
      <c r="K754" s="150"/>
      <c r="L754" s="150"/>
      <c r="M754" s="150"/>
      <c r="N754" s="150"/>
      <c r="O754" s="150"/>
      <c r="P754" s="150"/>
      <c r="Q754" s="151"/>
      <c r="R754" s="149" t="s">
        <v>407</v>
      </c>
      <c r="S754" s="150"/>
      <c r="T754" s="150"/>
      <c r="U754" s="150"/>
      <c r="V754" s="150"/>
      <c r="W754" s="150"/>
      <c r="X754" s="150"/>
      <c r="Y754" s="150"/>
      <c r="Z754" s="150"/>
      <c r="AA754" s="150"/>
      <c r="AB754" s="150"/>
      <c r="AC754" s="150"/>
      <c r="AD754" s="150"/>
      <c r="AE754" s="150"/>
      <c r="AF754" s="150"/>
      <c r="AG754" s="150"/>
      <c r="AH754" s="150"/>
      <c r="AI754" s="150"/>
      <c r="AJ754" s="151"/>
      <c r="AK754" s="143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144"/>
    </row>
    <row r="755" spans="2:61" ht="20.100000000000001" customHeight="1" x14ac:dyDescent="0.45">
      <c r="B755" s="138"/>
      <c r="C755" s="31"/>
      <c r="D755" s="31"/>
      <c r="E755" s="31"/>
      <c r="F755" s="31"/>
      <c r="G755" s="139"/>
      <c r="H755" s="140"/>
      <c r="I755" s="31"/>
      <c r="J755" s="149" t="s">
        <v>234</v>
      </c>
      <c r="K755" s="150"/>
      <c r="L755" s="150"/>
      <c r="M755" s="150"/>
      <c r="N755" s="150"/>
      <c r="O755" s="150"/>
      <c r="P755" s="150"/>
      <c r="Q755" s="151"/>
      <c r="R755" s="149" t="s">
        <v>408</v>
      </c>
      <c r="S755" s="150"/>
      <c r="T755" s="150"/>
      <c r="U755" s="150"/>
      <c r="V755" s="150"/>
      <c r="W755" s="150"/>
      <c r="X755" s="150"/>
      <c r="Y755" s="150"/>
      <c r="Z755" s="150"/>
      <c r="AA755" s="150"/>
      <c r="AB755" s="150"/>
      <c r="AC755" s="150"/>
      <c r="AD755" s="150"/>
      <c r="AE755" s="150"/>
      <c r="AF755" s="150"/>
      <c r="AG755" s="150"/>
      <c r="AH755" s="150"/>
      <c r="AI755" s="150"/>
      <c r="AJ755" s="151"/>
      <c r="AK755" s="143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144"/>
    </row>
    <row r="756" spans="2:61" ht="20.100000000000001" customHeight="1" x14ac:dyDescent="0.45">
      <c r="B756" s="138"/>
      <c r="C756" s="31"/>
      <c r="D756" s="31"/>
      <c r="E756" s="31"/>
      <c r="F756" s="31"/>
      <c r="G756" s="139"/>
      <c r="H756" s="140"/>
      <c r="I756" s="31"/>
      <c r="J756" s="149" t="s">
        <v>235</v>
      </c>
      <c r="K756" s="150"/>
      <c r="L756" s="150"/>
      <c r="M756" s="150"/>
      <c r="N756" s="150"/>
      <c r="O756" s="150"/>
      <c r="P756" s="150"/>
      <c r="Q756" s="151"/>
      <c r="R756" s="149" t="s">
        <v>409</v>
      </c>
      <c r="S756" s="150"/>
      <c r="T756" s="150"/>
      <c r="U756" s="150"/>
      <c r="V756" s="150"/>
      <c r="W756" s="150"/>
      <c r="X756" s="150"/>
      <c r="Y756" s="150"/>
      <c r="Z756" s="150"/>
      <c r="AA756" s="150"/>
      <c r="AB756" s="150"/>
      <c r="AC756" s="150"/>
      <c r="AD756" s="150"/>
      <c r="AE756" s="150"/>
      <c r="AF756" s="150"/>
      <c r="AG756" s="150"/>
      <c r="AH756" s="150"/>
      <c r="AI756" s="150"/>
      <c r="AJ756" s="151"/>
      <c r="AK756" s="143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144"/>
    </row>
    <row r="757" spans="2:61" ht="20.100000000000001" customHeight="1" x14ac:dyDescent="0.45">
      <c r="B757" s="138"/>
      <c r="C757" s="31"/>
      <c r="D757" s="31"/>
      <c r="E757" s="31"/>
      <c r="F757" s="31"/>
      <c r="G757" s="139"/>
      <c r="H757" s="140"/>
      <c r="I757" s="31"/>
      <c r="J757" s="149" t="s">
        <v>236</v>
      </c>
      <c r="K757" s="150"/>
      <c r="L757" s="150"/>
      <c r="M757" s="150"/>
      <c r="N757" s="150"/>
      <c r="O757" s="150"/>
      <c r="P757" s="150"/>
      <c r="Q757" s="151"/>
      <c r="R757" s="149" t="s">
        <v>410</v>
      </c>
      <c r="S757" s="150"/>
      <c r="T757" s="150"/>
      <c r="U757" s="150"/>
      <c r="V757" s="150"/>
      <c r="W757" s="150"/>
      <c r="X757" s="150"/>
      <c r="Y757" s="150"/>
      <c r="Z757" s="150"/>
      <c r="AA757" s="150"/>
      <c r="AB757" s="150"/>
      <c r="AC757" s="150"/>
      <c r="AD757" s="150"/>
      <c r="AE757" s="150"/>
      <c r="AF757" s="150"/>
      <c r="AG757" s="150"/>
      <c r="AH757" s="150"/>
      <c r="AI757" s="150"/>
      <c r="AJ757" s="151"/>
      <c r="AK757" s="143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144"/>
    </row>
    <row r="758" spans="2:61" ht="20.100000000000001" customHeight="1" x14ac:dyDescent="0.45">
      <c r="B758" s="138"/>
      <c r="C758" s="31"/>
      <c r="D758" s="31"/>
      <c r="E758" s="31"/>
      <c r="F758" s="31"/>
      <c r="G758" s="139"/>
      <c r="H758" s="140"/>
      <c r="I758" s="31"/>
      <c r="J758" s="149" t="s">
        <v>237</v>
      </c>
      <c r="K758" s="150"/>
      <c r="L758" s="150"/>
      <c r="M758" s="150"/>
      <c r="N758" s="150"/>
      <c r="O758" s="150"/>
      <c r="P758" s="150"/>
      <c r="Q758" s="151"/>
      <c r="R758" s="149" t="s">
        <v>411</v>
      </c>
      <c r="S758" s="150"/>
      <c r="T758" s="150"/>
      <c r="U758" s="150"/>
      <c r="V758" s="150"/>
      <c r="W758" s="150"/>
      <c r="X758" s="150"/>
      <c r="Y758" s="150"/>
      <c r="Z758" s="150"/>
      <c r="AA758" s="150"/>
      <c r="AB758" s="150"/>
      <c r="AC758" s="150"/>
      <c r="AD758" s="150"/>
      <c r="AE758" s="150"/>
      <c r="AF758" s="150"/>
      <c r="AG758" s="150"/>
      <c r="AH758" s="150"/>
      <c r="AI758" s="150"/>
      <c r="AJ758" s="151"/>
      <c r="AK758" s="143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144"/>
    </row>
    <row r="759" spans="2:61" ht="20.100000000000001" customHeight="1" x14ac:dyDescent="0.45">
      <c r="B759" s="138"/>
      <c r="C759" s="31"/>
      <c r="D759" s="31"/>
      <c r="E759" s="31"/>
      <c r="F759" s="31"/>
      <c r="G759" s="139"/>
      <c r="H759" s="140"/>
      <c r="I759" s="31"/>
      <c r="J759" s="149" t="s">
        <v>238</v>
      </c>
      <c r="K759" s="150"/>
      <c r="L759" s="150"/>
      <c r="M759" s="150"/>
      <c r="N759" s="150"/>
      <c r="O759" s="150"/>
      <c r="P759" s="150"/>
      <c r="Q759" s="151"/>
      <c r="R759" s="149" t="s">
        <v>412</v>
      </c>
      <c r="S759" s="150"/>
      <c r="T759" s="150"/>
      <c r="U759" s="150"/>
      <c r="V759" s="150"/>
      <c r="W759" s="150"/>
      <c r="X759" s="150"/>
      <c r="Y759" s="150"/>
      <c r="Z759" s="150"/>
      <c r="AA759" s="150"/>
      <c r="AB759" s="150"/>
      <c r="AC759" s="150"/>
      <c r="AD759" s="150"/>
      <c r="AE759" s="150"/>
      <c r="AF759" s="150"/>
      <c r="AG759" s="150"/>
      <c r="AH759" s="150"/>
      <c r="AI759" s="150"/>
      <c r="AJ759" s="151"/>
      <c r="AK759" s="143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144"/>
    </row>
    <row r="760" spans="2:61" ht="20.100000000000001" customHeight="1" x14ac:dyDescent="0.45">
      <c r="B760" s="138"/>
      <c r="C760" s="31"/>
      <c r="D760" s="31"/>
      <c r="E760" s="31"/>
      <c r="F760" s="31"/>
      <c r="G760" s="139"/>
      <c r="H760" s="140"/>
      <c r="I760" s="31"/>
      <c r="J760" s="149" t="s">
        <v>239</v>
      </c>
      <c r="K760" s="150"/>
      <c r="L760" s="150"/>
      <c r="M760" s="150"/>
      <c r="N760" s="150"/>
      <c r="O760" s="150"/>
      <c r="P760" s="150"/>
      <c r="Q760" s="151"/>
      <c r="R760" s="149" t="s">
        <v>413</v>
      </c>
      <c r="S760" s="150"/>
      <c r="T760" s="150"/>
      <c r="U760" s="150"/>
      <c r="V760" s="150"/>
      <c r="W760" s="150"/>
      <c r="X760" s="150"/>
      <c r="Y760" s="150"/>
      <c r="Z760" s="150"/>
      <c r="AA760" s="150"/>
      <c r="AB760" s="150"/>
      <c r="AC760" s="150"/>
      <c r="AD760" s="150"/>
      <c r="AE760" s="150"/>
      <c r="AF760" s="150"/>
      <c r="AG760" s="150"/>
      <c r="AH760" s="150"/>
      <c r="AI760" s="150"/>
      <c r="AJ760" s="151"/>
      <c r="AK760" s="143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144"/>
    </row>
    <row r="761" spans="2:61" ht="20.100000000000001" customHeight="1" x14ac:dyDescent="0.45">
      <c r="B761" s="138"/>
      <c r="C761" s="31"/>
      <c r="D761" s="31"/>
      <c r="E761" s="31"/>
      <c r="F761" s="31"/>
      <c r="G761" s="139"/>
      <c r="H761" s="140"/>
      <c r="I761" s="31"/>
      <c r="J761" s="149" t="s">
        <v>240</v>
      </c>
      <c r="K761" s="150"/>
      <c r="L761" s="150"/>
      <c r="M761" s="150"/>
      <c r="N761" s="150"/>
      <c r="O761" s="150"/>
      <c r="P761" s="150"/>
      <c r="Q761" s="151"/>
      <c r="R761" s="149" t="s">
        <v>414</v>
      </c>
      <c r="S761" s="150"/>
      <c r="T761" s="150"/>
      <c r="U761" s="150"/>
      <c r="V761" s="150"/>
      <c r="W761" s="150"/>
      <c r="X761" s="150"/>
      <c r="Y761" s="150"/>
      <c r="Z761" s="150"/>
      <c r="AA761" s="150"/>
      <c r="AB761" s="150"/>
      <c r="AC761" s="150"/>
      <c r="AD761" s="150"/>
      <c r="AE761" s="150"/>
      <c r="AF761" s="150"/>
      <c r="AG761" s="150"/>
      <c r="AH761" s="150"/>
      <c r="AI761" s="150"/>
      <c r="AJ761" s="151"/>
      <c r="AK761" s="143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144"/>
    </row>
    <row r="762" spans="2:61" ht="20.100000000000001" customHeight="1" x14ac:dyDescent="0.45">
      <c r="B762" s="138"/>
      <c r="C762" s="31"/>
      <c r="D762" s="31"/>
      <c r="E762" s="31"/>
      <c r="F762" s="31"/>
      <c r="G762" s="139"/>
      <c r="H762" s="140"/>
      <c r="I762" s="31"/>
      <c r="J762" s="149" t="s">
        <v>241</v>
      </c>
      <c r="K762" s="150"/>
      <c r="L762" s="150"/>
      <c r="M762" s="150"/>
      <c r="N762" s="150"/>
      <c r="O762" s="150"/>
      <c r="P762" s="150"/>
      <c r="Q762" s="151"/>
      <c r="R762" s="149" t="s">
        <v>415</v>
      </c>
      <c r="S762" s="150"/>
      <c r="T762" s="150"/>
      <c r="U762" s="150"/>
      <c r="V762" s="150"/>
      <c r="W762" s="150"/>
      <c r="X762" s="150"/>
      <c r="Y762" s="150"/>
      <c r="Z762" s="150"/>
      <c r="AA762" s="150"/>
      <c r="AB762" s="150"/>
      <c r="AC762" s="150"/>
      <c r="AD762" s="150"/>
      <c r="AE762" s="150"/>
      <c r="AF762" s="150"/>
      <c r="AG762" s="150"/>
      <c r="AH762" s="150"/>
      <c r="AI762" s="150"/>
      <c r="AJ762" s="151"/>
      <c r="AK762" s="143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144"/>
    </row>
    <row r="763" spans="2:61" ht="20.100000000000001" customHeight="1" x14ac:dyDescent="0.45">
      <c r="B763" s="138"/>
      <c r="C763" s="31"/>
      <c r="D763" s="31"/>
      <c r="E763" s="31"/>
      <c r="F763" s="31"/>
      <c r="G763" s="139"/>
      <c r="H763" s="140"/>
      <c r="I763" s="31"/>
      <c r="J763" s="149" t="s">
        <v>242</v>
      </c>
      <c r="K763" s="150"/>
      <c r="L763" s="150"/>
      <c r="M763" s="150"/>
      <c r="N763" s="150"/>
      <c r="O763" s="150"/>
      <c r="P763" s="150"/>
      <c r="Q763" s="151"/>
      <c r="R763" s="149" t="s">
        <v>416</v>
      </c>
      <c r="S763" s="150"/>
      <c r="T763" s="150"/>
      <c r="U763" s="150"/>
      <c r="V763" s="150"/>
      <c r="W763" s="150"/>
      <c r="X763" s="150"/>
      <c r="Y763" s="150"/>
      <c r="Z763" s="150"/>
      <c r="AA763" s="150"/>
      <c r="AB763" s="150"/>
      <c r="AC763" s="150"/>
      <c r="AD763" s="150"/>
      <c r="AE763" s="150"/>
      <c r="AF763" s="150"/>
      <c r="AG763" s="150"/>
      <c r="AH763" s="150"/>
      <c r="AI763" s="150"/>
      <c r="AJ763" s="151"/>
      <c r="AK763" s="143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144"/>
    </row>
    <row r="764" spans="2:61" ht="20.100000000000001" customHeight="1" x14ac:dyDescent="0.45">
      <c r="B764" s="138"/>
      <c r="C764" s="31"/>
      <c r="D764" s="31"/>
      <c r="E764" s="31"/>
      <c r="F764" s="31"/>
      <c r="G764" s="139"/>
      <c r="H764" s="140"/>
      <c r="I764" s="31"/>
      <c r="J764" s="149" t="s">
        <v>243</v>
      </c>
      <c r="K764" s="150"/>
      <c r="L764" s="150"/>
      <c r="M764" s="150"/>
      <c r="N764" s="150"/>
      <c r="O764" s="150"/>
      <c r="P764" s="150"/>
      <c r="Q764" s="151"/>
      <c r="R764" s="149" t="s">
        <v>417</v>
      </c>
      <c r="S764" s="150"/>
      <c r="T764" s="150"/>
      <c r="U764" s="150"/>
      <c r="V764" s="150"/>
      <c r="W764" s="150"/>
      <c r="X764" s="150"/>
      <c r="Y764" s="150"/>
      <c r="Z764" s="150"/>
      <c r="AA764" s="150"/>
      <c r="AB764" s="150"/>
      <c r="AC764" s="150"/>
      <c r="AD764" s="150"/>
      <c r="AE764" s="150"/>
      <c r="AF764" s="150"/>
      <c r="AG764" s="150"/>
      <c r="AH764" s="150"/>
      <c r="AI764" s="150"/>
      <c r="AJ764" s="151"/>
      <c r="AK764" s="143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144"/>
    </row>
    <row r="765" spans="2:61" ht="20.100000000000001" customHeight="1" x14ac:dyDescent="0.45">
      <c r="B765" s="138"/>
      <c r="C765" s="31"/>
      <c r="D765" s="31"/>
      <c r="E765" s="31"/>
      <c r="F765" s="31"/>
      <c r="G765" s="139"/>
      <c r="H765" s="140"/>
      <c r="I765" s="31"/>
      <c r="J765" s="149" t="s">
        <v>244</v>
      </c>
      <c r="K765" s="150"/>
      <c r="L765" s="150"/>
      <c r="M765" s="150"/>
      <c r="N765" s="150"/>
      <c r="O765" s="150"/>
      <c r="P765" s="150"/>
      <c r="Q765" s="151"/>
      <c r="R765" s="149" t="s">
        <v>418</v>
      </c>
      <c r="S765" s="150"/>
      <c r="T765" s="150"/>
      <c r="U765" s="150"/>
      <c r="V765" s="150"/>
      <c r="W765" s="150"/>
      <c r="X765" s="150"/>
      <c r="Y765" s="150"/>
      <c r="Z765" s="150"/>
      <c r="AA765" s="150"/>
      <c r="AB765" s="150"/>
      <c r="AC765" s="150"/>
      <c r="AD765" s="150"/>
      <c r="AE765" s="150"/>
      <c r="AF765" s="150"/>
      <c r="AG765" s="150"/>
      <c r="AH765" s="150"/>
      <c r="AI765" s="150"/>
      <c r="AJ765" s="151"/>
      <c r="AK765" s="143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144"/>
    </row>
    <row r="766" spans="2:61" ht="20.100000000000001" customHeight="1" x14ac:dyDescent="0.45">
      <c r="B766" s="138"/>
      <c r="C766" s="31"/>
      <c r="D766" s="31"/>
      <c r="E766" s="31"/>
      <c r="F766" s="31"/>
      <c r="G766" s="139"/>
      <c r="H766" s="140"/>
      <c r="I766" s="31"/>
      <c r="J766" s="149" t="s">
        <v>168</v>
      </c>
      <c r="K766" s="150"/>
      <c r="L766" s="150"/>
      <c r="M766" s="150"/>
      <c r="N766" s="150"/>
      <c r="O766" s="150"/>
      <c r="P766" s="150"/>
      <c r="Q766" s="151"/>
      <c r="R766" s="149" t="s">
        <v>419</v>
      </c>
      <c r="S766" s="150"/>
      <c r="T766" s="150"/>
      <c r="U766" s="150"/>
      <c r="V766" s="150"/>
      <c r="W766" s="150"/>
      <c r="X766" s="150"/>
      <c r="Y766" s="150"/>
      <c r="Z766" s="150"/>
      <c r="AA766" s="150"/>
      <c r="AB766" s="150"/>
      <c r="AC766" s="150"/>
      <c r="AD766" s="150"/>
      <c r="AE766" s="150"/>
      <c r="AF766" s="150"/>
      <c r="AG766" s="150"/>
      <c r="AH766" s="150"/>
      <c r="AI766" s="150"/>
      <c r="AJ766" s="151"/>
      <c r="AK766" s="143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144"/>
    </row>
    <row r="767" spans="2:61" ht="20.100000000000001" customHeight="1" x14ac:dyDescent="0.45">
      <c r="B767" s="138"/>
      <c r="C767" s="31"/>
      <c r="D767" s="31"/>
      <c r="E767" s="31"/>
      <c r="F767" s="31"/>
      <c r="G767" s="139"/>
      <c r="H767" s="140"/>
      <c r="I767" s="31"/>
      <c r="J767" s="149" t="s">
        <v>245</v>
      </c>
      <c r="K767" s="150"/>
      <c r="L767" s="150"/>
      <c r="M767" s="150"/>
      <c r="N767" s="150"/>
      <c r="O767" s="150"/>
      <c r="P767" s="150"/>
      <c r="Q767" s="151"/>
      <c r="R767" s="149" t="s">
        <v>420</v>
      </c>
      <c r="S767" s="150"/>
      <c r="T767" s="150"/>
      <c r="U767" s="150"/>
      <c r="V767" s="150"/>
      <c r="W767" s="150"/>
      <c r="X767" s="150"/>
      <c r="Y767" s="150"/>
      <c r="Z767" s="150"/>
      <c r="AA767" s="150"/>
      <c r="AB767" s="150"/>
      <c r="AC767" s="150"/>
      <c r="AD767" s="150"/>
      <c r="AE767" s="150"/>
      <c r="AF767" s="150"/>
      <c r="AG767" s="150"/>
      <c r="AH767" s="150"/>
      <c r="AI767" s="150"/>
      <c r="AJ767" s="151"/>
      <c r="AK767" s="143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144"/>
    </row>
    <row r="768" spans="2:61" ht="20.100000000000001" customHeight="1" x14ac:dyDescent="0.45">
      <c r="B768" s="138"/>
      <c r="C768" s="31"/>
      <c r="D768" s="31"/>
      <c r="E768" s="31"/>
      <c r="F768" s="31"/>
      <c r="G768" s="139"/>
      <c r="H768" s="140"/>
      <c r="I768" s="31"/>
      <c r="J768" s="149" t="s">
        <v>246</v>
      </c>
      <c r="K768" s="150"/>
      <c r="L768" s="150"/>
      <c r="M768" s="150"/>
      <c r="N768" s="150"/>
      <c r="O768" s="150"/>
      <c r="P768" s="150"/>
      <c r="Q768" s="151"/>
      <c r="R768" s="149" t="s">
        <v>421</v>
      </c>
      <c r="S768" s="150"/>
      <c r="T768" s="150"/>
      <c r="U768" s="150"/>
      <c r="V768" s="150"/>
      <c r="W768" s="150"/>
      <c r="X768" s="150"/>
      <c r="Y768" s="150"/>
      <c r="Z768" s="150"/>
      <c r="AA768" s="150"/>
      <c r="AB768" s="150"/>
      <c r="AC768" s="150"/>
      <c r="AD768" s="150"/>
      <c r="AE768" s="150"/>
      <c r="AF768" s="150"/>
      <c r="AG768" s="150"/>
      <c r="AH768" s="150"/>
      <c r="AI768" s="150"/>
      <c r="AJ768" s="151"/>
      <c r="AK768" s="143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144"/>
    </row>
    <row r="769" spans="2:61" ht="20.100000000000001" customHeight="1" x14ac:dyDescent="0.45">
      <c r="B769" s="138"/>
      <c r="C769" s="31"/>
      <c r="D769" s="31"/>
      <c r="E769" s="31"/>
      <c r="F769" s="31"/>
      <c r="G769" s="139"/>
      <c r="H769" s="140"/>
      <c r="I769" s="31"/>
      <c r="J769" s="149" t="s">
        <v>248</v>
      </c>
      <c r="K769" s="150"/>
      <c r="L769" s="150"/>
      <c r="M769" s="150"/>
      <c r="N769" s="150"/>
      <c r="O769" s="150"/>
      <c r="P769" s="150"/>
      <c r="Q769" s="151"/>
      <c r="R769" s="149" t="s">
        <v>422</v>
      </c>
      <c r="S769" s="150"/>
      <c r="T769" s="150"/>
      <c r="U769" s="150"/>
      <c r="V769" s="150"/>
      <c r="W769" s="150"/>
      <c r="X769" s="150"/>
      <c r="Y769" s="150"/>
      <c r="Z769" s="150"/>
      <c r="AA769" s="150"/>
      <c r="AB769" s="150"/>
      <c r="AC769" s="150"/>
      <c r="AD769" s="150"/>
      <c r="AE769" s="150"/>
      <c r="AF769" s="150"/>
      <c r="AG769" s="150"/>
      <c r="AH769" s="150"/>
      <c r="AI769" s="150"/>
      <c r="AJ769" s="151"/>
      <c r="AK769" s="143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144"/>
    </row>
    <row r="770" spans="2:61" ht="20.100000000000001" customHeight="1" x14ac:dyDescent="0.45">
      <c r="B770" s="138"/>
      <c r="C770" s="31"/>
      <c r="D770" s="31"/>
      <c r="E770" s="31"/>
      <c r="F770" s="31"/>
      <c r="G770" s="139"/>
      <c r="H770" s="140"/>
      <c r="I770" s="31"/>
      <c r="J770" s="149" t="s">
        <v>247</v>
      </c>
      <c r="K770" s="150"/>
      <c r="L770" s="150"/>
      <c r="M770" s="150"/>
      <c r="N770" s="150"/>
      <c r="O770" s="150"/>
      <c r="P770" s="150"/>
      <c r="Q770" s="151"/>
      <c r="R770" s="149" t="s">
        <v>423</v>
      </c>
      <c r="S770" s="150"/>
      <c r="T770" s="150"/>
      <c r="U770" s="150"/>
      <c r="V770" s="150"/>
      <c r="W770" s="150"/>
      <c r="X770" s="150"/>
      <c r="Y770" s="150"/>
      <c r="Z770" s="150"/>
      <c r="AA770" s="150"/>
      <c r="AB770" s="150"/>
      <c r="AC770" s="150"/>
      <c r="AD770" s="150"/>
      <c r="AE770" s="150"/>
      <c r="AF770" s="150"/>
      <c r="AG770" s="150"/>
      <c r="AH770" s="150"/>
      <c r="AI770" s="150"/>
      <c r="AJ770" s="151"/>
      <c r="AK770" s="143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144"/>
    </row>
    <row r="771" spans="2:61" ht="20.100000000000001" customHeight="1" x14ac:dyDescent="0.45">
      <c r="B771" s="138"/>
      <c r="C771" s="31"/>
      <c r="D771" s="31"/>
      <c r="E771" s="31"/>
      <c r="F771" s="31"/>
      <c r="G771" s="139"/>
      <c r="H771" s="140"/>
      <c r="I771" s="31"/>
      <c r="J771" s="149" t="s">
        <v>249</v>
      </c>
      <c r="K771" s="150"/>
      <c r="L771" s="150"/>
      <c r="M771" s="150"/>
      <c r="N771" s="150"/>
      <c r="O771" s="150"/>
      <c r="P771" s="150"/>
      <c r="Q771" s="151"/>
      <c r="R771" s="149" t="s">
        <v>424</v>
      </c>
      <c r="S771" s="150"/>
      <c r="T771" s="150"/>
      <c r="U771" s="150"/>
      <c r="V771" s="150"/>
      <c r="W771" s="150"/>
      <c r="X771" s="150"/>
      <c r="Y771" s="150"/>
      <c r="Z771" s="150"/>
      <c r="AA771" s="150"/>
      <c r="AB771" s="150"/>
      <c r="AC771" s="150"/>
      <c r="AD771" s="150"/>
      <c r="AE771" s="150"/>
      <c r="AF771" s="150"/>
      <c r="AG771" s="150"/>
      <c r="AH771" s="150"/>
      <c r="AI771" s="150"/>
      <c r="AJ771" s="151"/>
      <c r="AK771" s="143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144"/>
    </row>
    <row r="772" spans="2:61" ht="20.100000000000001" customHeight="1" x14ac:dyDescent="0.45">
      <c r="B772" s="138"/>
      <c r="C772" s="31"/>
      <c r="D772" s="31"/>
      <c r="E772" s="31"/>
      <c r="F772" s="31"/>
      <c r="G772" s="139"/>
      <c r="H772" s="140"/>
      <c r="I772" s="31"/>
      <c r="J772" s="149" t="s">
        <v>250</v>
      </c>
      <c r="K772" s="150"/>
      <c r="L772" s="150"/>
      <c r="M772" s="150"/>
      <c r="N772" s="150"/>
      <c r="O772" s="150"/>
      <c r="P772" s="150"/>
      <c r="Q772" s="151"/>
      <c r="R772" s="149" t="s">
        <v>425</v>
      </c>
      <c r="S772" s="150"/>
      <c r="T772" s="150"/>
      <c r="U772" s="150"/>
      <c r="V772" s="150"/>
      <c r="W772" s="150"/>
      <c r="X772" s="150"/>
      <c r="Y772" s="150"/>
      <c r="Z772" s="150"/>
      <c r="AA772" s="150"/>
      <c r="AB772" s="150"/>
      <c r="AC772" s="150"/>
      <c r="AD772" s="150"/>
      <c r="AE772" s="150"/>
      <c r="AF772" s="150"/>
      <c r="AG772" s="150"/>
      <c r="AH772" s="150"/>
      <c r="AI772" s="150"/>
      <c r="AJ772" s="151"/>
      <c r="AK772" s="143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144"/>
    </row>
    <row r="773" spans="2:61" ht="20.100000000000001" customHeight="1" x14ac:dyDescent="0.45">
      <c r="B773" s="138"/>
      <c r="C773" s="31"/>
      <c r="D773" s="31"/>
      <c r="E773" s="31"/>
      <c r="F773" s="31"/>
      <c r="G773" s="139"/>
      <c r="H773" s="140"/>
      <c r="I773" s="31"/>
      <c r="J773" s="149" t="s">
        <v>251</v>
      </c>
      <c r="K773" s="150"/>
      <c r="L773" s="150"/>
      <c r="M773" s="150"/>
      <c r="N773" s="150"/>
      <c r="O773" s="150"/>
      <c r="P773" s="150"/>
      <c r="Q773" s="151"/>
      <c r="R773" s="149" t="s">
        <v>426</v>
      </c>
      <c r="S773" s="150"/>
      <c r="T773" s="150"/>
      <c r="U773" s="150"/>
      <c r="V773" s="150"/>
      <c r="W773" s="150"/>
      <c r="X773" s="150"/>
      <c r="Y773" s="150"/>
      <c r="Z773" s="150"/>
      <c r="AA773" s="150"/>
      <c r="AB773" s="150"/>
      <c r="AC773" s="150"/>
      <c r="AD773" s="150"/>
      <c r="AE773" s="150"/>
      <c r="AF773" s="150"/>
      <c r="AG773" s="150"/>
      <c r="AH773" s="150"/>
      <c r="AI773" s="150"/>
      <c r="AJ773" s="151"/>
      <c r="AK773" s="143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144"/>
    </row>
    <row r="774" spans="2:61" ht="20.100000000000001" customHeight="1" x14ac:dyDescent="0.45">
      <c r="B774" s="138"/>
      <c r="C774" s="31"/>
      <c r="D774" s="31"/>
      <c r="E774" s="31"/>
      <c r="F774" s="31"/>
      <c r="G774" s="139"/>
      <c r="H774" s="140"/>
      <c r="I774" s="31"/>
      <c r="J774" s="149" t="s">
        <v>252</v>
      </c>
      <c r="K774" s="150"/>
      <c r="L774" s="150"/>
      <c r="M774" s="150"/>
      <c r="N774" s="150"/>
      <c r="O774" s="150"/>
      <c r="P774" s="150"/>
      <c r="Q774" s="151"/>
      <c r="R774" s="149" t="s">
        <v>427</v>
      </c>
      <c r="S774" s="150"/>
      <c r="T774" s="150"/>
      <c r="U774" s="150"/>
      <c r="V774" s="150"/>
      <c r="W774" s="150"/>
      <c r="X774" s="150"/>
      <c r="Y774" s="150"/>
      <c r="Z774" s="150"/>
      <c r="AA774" s="150"/>
      <c r="AB774" s="150"/>
      <c r="AC774" s="150"/>
      <c r="AD774" s="150"/>
      <c r="AE774" s="150"/>
      <c r="AF774" s="150"/>
      <c r="AG774" s="150"/>
      <c r="AH774" s="150"/>
      <c r="AI774" s="150"/>
      <c r="AJ774" s="151"/>
      <c r="AK774" s="143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144"/>
    </row>
    <row r="775" spans="2:61" ht="20.100000000000001" customHeight="1" x14ac:dyDescent="0.45">
      <c r="B775" s="138"/>
      <c r="C775" s="31"/>
      <c r="D775" s="31"/>
      <c r="E775" s="31"/>
      <c r="F775" s="31"/>
      <c r="G775" s="139"/>
      <c r="H775" s="140"/>
      <c r="I775" s="31"/>
      <c r="J775" s="149" t="s">
        <v>253</v>
      </c>
      <c r="K775" s="150"/>
      <c r="L775" s="150"/>
      <c r="M775" s="150"/>
      <c r="N775" s="150"/>
      <c r="O775" s="150"/>
      <c r="P775" s="150"/>
      <c r="Q775" s="151"/>
      <c r="R775" s="149" t="s">
        <v>428</v>
      </c>
      <c r="S775" s="150"/>
      <c r="T775" s="150"/>
      <c r="U775" s="150"/>
      <c r="V775" s="150"/>
      <c r="W775" s="150"/>
      <c r="X775" s="150"/>
      <c r="Y775" s="150"/>
      <c r="Z775" s="150"/>
      <c r="AA775" s="150"/>
      <c r="AB775" s="150"/>
      <c r="AC775" s="150"/>
      <c r="AD775" s="150"/>
      <c r="AE775" s="150"/>
      <c r="AF775" s="150"/>
      <c r="AG775" s="150"/>
      <c r="AH775" s="150"/>
      <c r="AI775" s="150"/>
      <c r="AJ775" s="151"/>
      <c r="AK775" s="143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144"/>
    </row>
    <row r="776" spans="2:61" ht="20.100000000000001" customHeight="1" x14ac:dyDescent="0.45">
      <c r="B776" s="138"/>
      <c r="C776" s="31"/>
      <c r="D776" s="31"/>
      <c r="E776" s="31"/>
      <c r="F776" s="31"/>
      <c r="G776" s="139"/>
      <c r="H776" s="140"/>
      <c r="I776" s="31"/>
      <c r="J776" s="140" t="s">
        <v>757</v>
      </c>
      <c r="K776" s="31"/>
      <c r="L776" s="31"/>
      <c r="M776" s="31"/>
      <c r="N776" s="31"/>
      <c r="O776" s="31"/>
      <c r="P776" s="31"/>
      <c r="Q776" s="31"/>
      <c r="R776" s="141" t="s">
        <v>766</v>
      </c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143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144"/>
    </row>
    <row r="777" spans="2:61" ht="20.100000000000001" customHeight="1" x14ac:dyDescent="0.45">
      <c r="B777" s="138"/>
      <c r="C777" s="31"/>
      <c r="D777" s="31"/>
      <c r="E777" s="31"/>
      <c r="F777" s="31"/>
      <c r="G777" s="139"/>
      <c r="H777" s="145" t="s">
        <v>169</v>
      </c>
      <c r="I777" s="55"/>
      <c r="J777" s="145" t="s">
        <v>765</v>
      </c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146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55"/>
      <c r="BB777" s="55"/>
      <c r="BC777" s="55"/>
      <c r="BD777" s="55"/>
      <c r="BE777" s="55"/>
      <c r="BF777" s="55"/>
      <c r="BG777" s="55"/>
      <c r="BH777" s="55"/>
      <c r="BI777" s="147"/>
    </row>
    <row r="778" spans="2:61" ht="20.100000000000001" customHeight="1" x14ac:dyDescent="0.45">
      <c r="B778" s="138"/>
      <c r="C778" s="31"/>
      <c r="D778" s="31"/>
      <c r="E778" s="31"/>
      <c r="F778" s="31"/>
      <c r="G778" s="139"/>
      <c r="H778" s="145" t="s">
        <v>758</v>
      </c>
      <c r="I778" s="55"/>
      <c r="J778" s="145" t="s">
        <v>759</v>
      </c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146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55"/>
      <c r="BB778" s="55"/>
      <c r="BC778" s="55"/>
      <c r="BD778" s="55"/>
      <c r="BE778" s="55"/>
      <c r="BF778" s="55"/>
      <c r="BG778" s="55"/>
      <c r="BH778" s="55"/>
      <c r="BI778" s="147"/>
    </row>
    <row r="779" spans="2:61" ht="20.100000000000001" customHeight="1" x14ac:dyDescent="0.45">
      <c r="B779" s="138"/>
      <c r="C779" s="31"/>
      <c r="D779" s="31"/>
      <c r="E779" s="31"/>
      <c r="F779" s="31"/>
      <c r="G779" s="139"/>
      <c r="H779" s="140"/>
      <c r="I779" s="31"/>
      <c r="J779" s="140"/>
      <c r="K779" s="31" t="s">
        <v>760</v>
      </c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143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144"/>
    </row>
    <row r="780" spans="2:61" ht="20.100000000000001" customHeight="1" x14ac:dyDescent="0.45">
      <c r="B780" s="138"/>
      <c r="C780" s="31"/>
      <c r="D780" s="31"/>
      <c r="E780" s="31"/>
      <c r="F780" s="31"/>
      <c r="G780" s="139"/>
      <c r="H780" s="140"/>
      <c r="I780" s="31"/>
      <c r="J780" s="140"/>
      <c r="K780" s="31" t="s">
        <v>761</v>
      </c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143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144"/>
    </row>
    <row r="781" spans="2:61" ht="20.100000000000001" customHeight="1" x14ac:dyDescent="0.45">
      <c r="B781" s="138"/>
      <c r="C781" s="31"/>
      <c r="D781" s="31"/>
      <c r="E781" s="31"/>
      <c r="F781" s="31"/>
      <c r="G781" s="139"/>
      <c r="H781" s="140"/>
      <c r="I781" s="31"/>
      <c r="J781" s="140"/>
      <c r="K781" s="31" t="s">
        <v>762</v>
      </c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143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144"/>
    </row>
    <row r="782" spans="2:61" ht="20.100000000000001" customHeight="1" x14ac:dyDescent="0.45">
      <c r="B782" s="138"/>
      <c r="C782" s="31"/>
      <c r="D782" s="31"/>
      <c r="E782" s="31"/>
      <c r="F782" s="31"/>
      <c r="G782" s="139"/>
      <c r="H782" s="140"/>
      <c r="I782" s="31"/>
      <c r="J782" s="140"/>
      <c r="K782" s="31" t="s">
        <v>763</v>
      </c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143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144"/>
    </row>
    <row r="783" spans="2:61" ht="20.100000000000001" customHeight="1" thickBot="1" x14ac:dyDescent="0.5">
      <c r="B783" s="148"/>
      <c r="C783" s="31"/>
      <c r="D783" s="31"/>
      <c r="E783" s="31"/>
      <c r="F783" s="31"/>
      <c r="G783" s="139"/>
      <c r="H783" s="145" t="s">
        <v>174</v>
      </c>
      <c r="I783" s="55"/>
      <c r="J783" s="152" t="s">
        <v>764</v>
      </c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146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55"/>
      <c r="BB783" s="55"/>
      <c r="BC783" s="55"/>
      <c r="BD783" s="55"/>
      <c r="BE783" s="55"/>
      <c r="BF783" s="55"/>
      <c r="BG783" s="55"/>
      <c r="BH783" s="55"/>
      <c r="BI783" s="147"/>
    </row>
    <row r="784" spans="2:61" ht="20.100000000000001" customHeight="1" x14ac:dyDescent="0.45">
      <c r="B784" s="129" t="s">
        <v>767</v>
      </c>
      <c r="C784" s="130"/>
      <c r="D784" s="130"/>
      <c r="E784" s="130"/>
      <c r="F784" s="130"/>
      <c r="G784" s="131"/>
      <c r="H784" s="132" t="s">
        <v>159</v>
      </c>
      <c r="I784" s="130"/>
      <c r="J784" s="133" t="s">
        <v>160</v>
      </c>
      <c r="K784" s="134"/>
      <c r="L784" s="134"/>
      <c r="M784" s="134"/>
      <c r="N784" s="134"/>
      <c r="O784" s="134"/>
      <c r="P784" s="134"/>
      <c r="Q784" s="135"/>
      <c r="R784" s="134" t="s">
        <v>395</v>
      </c>
      <c r="S784" s="134"/>
      <c r="T784" s="134"/>
      <c r="U784" s="134"/>
      <c r="V784" s="134"/>
      <c r="W784" s="134"/>
      <c r="X784" s="134"/>
      <c r="Y784" s="134"/>
      <c r="Z784" s="134"/>
      <c r="AA784" s="134"/>
      <c r="AB784" s="134"/>
      <c r="AC784" s="134"/>
      <c r="AD784" s="134"/>
      <c r="AE784" s="134"/>
      <c r="AF784" s="134"/>
      <c r="AG784" s="134"/>
      <c r="AH784" s="134"/>
      <c r="AI784" s="134"/>
      <c r="AJ784" s="135"/>
      <c r="AK784" s="136"/>
      <c r="AL784" s="130"/>
      <c r="AM784" s="130"/>
      <c r="AN784" s="130"/>
      <c r="AO784" s="130"/>
      <c r="AP784" s="130"/>
      <c r="AQ784" s="130"/>
      <c r="AR784" s="130"/>
      <c r="AS784" s="130"/>
      <c r="AT784" s="130"/>
      <c r="AU784" s="130"/>
      <c r="AV784" s="130"/>
      <c r="AW784" s="130"/>
      <c r="AX784" s="130"/>
      <c r="AY784" s="130"/>
      <c r="AZ784" s="130"/>
      <c r="BA784" s="130"/>
      <c r="BB784" s="130"/>
      <c r="BC784" s="130"/>
      <c r="BD784" s="130"/>
      <c r="BE784" s="130"/>
      <c r="BF784" s="130"/>
      <c r="BG784" s="130"/>
      <c r="BH784" s="130"/>
      <c r="BI784" s="137"/>
    </row>
    <row r="785" spans="2:61" ht="20.100000000000001" customHeight="1" x14ac:dyDescent="0.45">
      <c r="B785" s="138"/>
      <c r="C785" s="31"/>
      <c r="D785" s="31"/>
      <c r="E785" s="31"/>
      <c r="F785" s="31"/>
      <c r="G785" s="139"/>
      <c r="H785" s="140"/>
      <c r="I785" s="31"/>
      <c r="J785" s="149" t="s">
        <v>227</v>
      </c>
      <c r="K785" s="150"/>
      <c r="L785" s="150"/>
      <c r="M785" s="150"/>
      <c r="N785" s="150"/>
      <c r="O785" s="150"/>
      <c r="P785" s="150"/>
      <c r="Q785" s="151"/>
      <c r="R785" s="154" t="s">
        <v>396</v>
      </c>
      <c r="S785" s="150"/>
      <c r="T785" s="150"/>
      <c r="U785" s="150"/>
      <c r="V785" s="150"/>
      <c r="W785" s="150"/>
      <c r="X785" s="150"/>
      <c r="Y785" s="150"/>
      <c r="Z785" s="150"/>
      <c r="AA785" s="150"/>
      <c r="AB785" s="150"/>
      <c r="AC785" s="150"/>
      <c r="AD785" s="150"/>
      <c r="AE785" s="150"/>
      <c r="AF785" s="150"/>
      <c r="AG785" s="150"/>
      <c r="AH785" s="150"/>
      <c r="AI785" s="150"/>
      <c r="AJ785" s="151"/>
      <c r="AK785" s="143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144"/>
    </row>
    <row r="786" spans="2:61" ht="20.100000000000001" customHeight="1" x14ac:dyDescent="0.45">
      <c r="B786" s="138"/>
      <c r="C786" s="31"/>
      <c r="D786" s="31"/>
      <c r="E786" s="31"/>
      <c r="F786" s="31"/>
      <c r="G786" s="139"/>
      <c r="H786" s="140"/>
      <c r="I786" s="31"/>
      <c r="J786" s="149" t="s">
        <v>228</v>
      </c>
      <c r="K786" s="150"/>
      <c r="L786" s="150"/>
      <c r="M786" s="150"/>
      <c r="N786" s="150"/>
      <c r="O786" s="150"/>
      <c r="P786" s="150"/>
      <c r="Q786" s="151"/>
      <c r="R786" s="154" t="s">
        <v>750</v>
      </c>
      <c r="S786" s="150"/>
      <c r="T786" s="150"/>
      <c r="U786" s="150"/>
      <c r="V786" s="150"/>
      <c r="W786" s="150"/>
      <c r="X786" s="150"/>
      <c r="Y786" s="150"/>
      <c r="Z786" s="150"/>
      <c r="AA786" s="150"/>
      <c r="AB786" s="150"/>
      <c r="AC786" s="150"/>
      <c r="AD786" s="150"/>
      <c r="AE786" s="150"/>
      <c r="AF786" s="150"/>
      <c r="AG786" s="150"/>
      <c r="AH786" s="150"/>
      <c r="AI786" s="150"/>
      <c r="AJ786" s="151"/>
      <c r="AK786" s="143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144"/>
    </row>
    <row r="787" spans="2:61" ht="20.100000000000001" customHeight="1" x14ac:dyDescent="0.45">
      <c r="B787" s="138"/>
      <c r="C787" s="31"/>
      <c r="D787" s="31"/>
      <c r="E787" s="31"/>
      <c r="F787" s="31"/>
      <c r="G787" s="139"/>
      <c r="H787" s="140"/>
      <c r="I787" s="31"/>
      <c r="J787" s="149" t="s">
        <v>768</v>
      </c>
      <c r="K787" s="150"/>
      <c r="L787" s="150"/>
      <c r="M787" s="150"/>
      <c r="N787" s="150"/>
      <c r="O787" s="150"/>
      <c r="P787" s="150"/>
      <c r="Q787" s="151"/>
      <c r="R787" s="150" t="s">
        <v>769</v>
      </c>
      <c r="S787" s="150"/>
      <c r="T787" s="150"/>
      <c r="U787" s="150"/>
      <c r="V787" s="150"/>
      <c r="W787" s="150"/>
      <c r="X787" s="150"/>
      <c r="Y787" s="150"/>
      <c r="Z787" s="150"/>
      <c r="AA787" s="150"/>
      <c r="AB787" s="150"/>
      <c r="AC787" s="150"/>
      <c r="AD787" s="150"/>
      <c r="AE787" s="150"/>
      <c r="AF787" s="150"/>
      <c r="AG787" s="150"/>
      <c r="AH787" s="150"/>
      <c r="AI787" s="150"/>
      <c r="AJ787" s="151"/>
      <c r="AK787" s="143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144"/>
    </row>
    <row r="788" spans="2:61" ht="20.100000000000001" customHeight="1" x14ac:dyDescent="0.45">
      <c r="B788" s="138"/>
      <c r="C788" s="31"/>
      <c r="D788" s="31"/>
      <c r="E788" s="31"/>
      <c r="F788" s="31"/>
      <c r="G788" s="139"/>
      <c r="H788" s="145" t="s">
        <v>169</v>
      </c>
      <c r="I788" s="55"/>
      <c r="J788" s="145" t="s">
        <v>751</v>
      </c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146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/>
      <c r="BD788" s="55"/>
      <c r="BE788" s="55"/>
      <c r="BF788" s="55"/>
      <c r="BG788" s="55"/>
      <c r="BH788" s="55"/>
      <c r="BI788" s="147"/>
    </row>
    <row r="789" spans="2:61" ht="20.100000000000001" customHeight="1" thickBot="1" x14ac:dyDescent="0.5">
      <c r="B789" s="148"/>
      <c r="C789" s="31"/>
      <c r="D789" s="31"/>
      <c r="E789" s="31"/>
      <c r="F789" s="31"/>
      <c r="G789" s="139"/>
      <c r="H789" s="145" t="s">
        <v>493</v>
      </c>
      <c r="I789" s="55"/>
      <c r="J789" s="152" t="s">
        <v>752</v>
      </c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146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55"/>
      <c r="BB789" s="55"/>
      <c r="BC789" s="55"/>
      <c r="BD789" s="55"/>
      <c r="BE789" s="55"/>
      <c r="BF789" s="55"/>
      <c r="BG789" s="55"/>
      <c r="BH789" s="55"/>
      <c r="BI789" s="147"/>
    </row>
    <row r="790" spans="2:61" ht="20.100000000000001" customHeight="1" x14ac:dyDescent="0.45">
      <c r="B790" s="129" t="s">
        <v>770</v>
      </c>
      <c r="C790" s="130"/>
      <c r="D790" s="130"/>
      <c r="E790" s="130"/>
      <c r="F790" s="130"/>
      <c r="G790" s="131"/>
      <c r="H790" s="132" t="s">
        <v>771</v>
      </c>
      <c r="I790" s="130"/>
      <c r="J790" s="133" t="s">
        <v>774</v>
      </c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  <c r="AC790" s="134"/>
      <c r="AD790" s="134"/>
      <c r="AE790" s="134"/>
      <c r="AF790" s="134"/>
      <c r="AG790" s="134"/>
      <c r="AH790" s="134"/>
      <c r="AI790" s="134"/>
      <c r="AJ790" s="135"/>
      <c r="AK790" s="136" t="s">
        <v>772</v>
      </c>
      <c r="AL790" s="130"/>
      <c r="AM790" s="130"/>
      <c r="AN790" s="130"/>
      <c r="AO790" s="130"/>
      <c r="AP790" s="130"/>
      <c r="AQ790" s="156" t="s">
        <v>773</v>
      </c>
      <c r="AR790" s="130"/>
      <c r="AS790" s="130"/>
      <c r="AT790" s="130"/>
      <c r="AU790" s="130"/>
      <c r="AV790" s="130"/>
      <c r="AW790" s="130"/>
      <c r="AX790" s="130"/>
      <c r="AY790" s="130"/>
      <c r="AZ790" s="130"/>
      <c r="BA790" s="130"/>
      <c r="BB790" s="130"/>
      <c r="BC790" s="130"/>
      <c r="BD790" s="130"/>
      <c r="BE790" s="130"/>
      <c r="BF790" s="130"/>
      <c r="BG790" s="130"/>
      <c r="BH790" s="130"/>
      <c r="BI790" s="137"/>
    </row>
    <row r="791" spans="2:61" ht="20.100000000000001" customHeight="1" x14ac:dyDescent="0.45">
      <c r="B791" s="138"/>
      <c r="C791" s="31"/>
      <c r="D791" s="31"/>
      <c r="E791" s="31"/>
      <c r="F791" s="31"/>
      <c r="G791" s="139"/>
      <c r="H791" s="145" t="s">
        <v>775</v>
      </c>
      <c r="I791" s="55"/>
      <c r="J791" s="145" t="s">
        <v>776</v>
      </c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146" t="s">
        <v>778</v>
      </c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/>
      <c r="BD791" s="55"/>
      <c r="BE791" s="55"/>
      <c r="BF791" s="55"/>
      <c r="BG791" s="55"/>
      <c r="BH791" s="55"/>
      <c r="BI791" s="147"/>
    </row>
    <row r="792" spans="2:61" ht="20.100000000000001" customHeight="1" thickBot="1" x14ac:dyDescent="0.5">
      <c r="B792" s="148"/>
      <c r="C792" s="31"/>
      <c r="D792" s="31"/>
      <c r="E792" s="31"/>
      <c r="F792" s="31"/>
      <c r="G792" s="139"/>
      <c r="H792" s="145" t="s">
        <v>173</v>
      </c>
      <c r="I792" s="55"/>
      <c r="J792" s="152" t="s">
        <v>777</v>
      </c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146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55"/>
      <c r="BB792" s="55"/>
      <c r="BC792" s="55"/>
      <c r="BD792" s="55"/>
      <c r="BE792" s="55"/>
      <c r="BF792" s="55"/>
      <c r="BG792" s="55"/>
      <c r="BH792" s="55"/>
      <c r="BI792" s="147"/>
    </row>
    <row r="793" spans="2:61" ht="20.100000000000001" customHeight="1" x14ac:dyDescent="0.45">
      <c r="B793" s="129" t="s">
        <v>832</v>
      </c>
      <c r="C793" s="130"/>
      <c r="D793" s="130"/>
      <c r="E793" s="130"/>
      <c r="F793" s="130"/>
      <c r="G793" s="131"/>
      <c r="H793" s="132" t="s">
        <v>159</v>
      </c>
      <c r="I793" s="130"/>
      <c r="J793" s="133" t="s">
        <v>837</v>
      </c>
      <c r="K793" s="134"/>
      <c r="L793" s="134"/>
      <c r="M793" s="134"/>
      <c r="N793" s="134"/>
      <c r="O793" s="134"/>
      <c r="P793" s="134"/>
      <c r="Q793" s="135"/>
      <c r="R793" s="133" t="s">
        <v>841</v>
      </c>
      <c r="S793" s="134"/>
      <c r="T793" s="134"/>
      <c r="U793" s="134"/>
      <c r="V793" s="134"/>
      <c r="W793" s="134"/>
      <c r="X793" s="134"/>
      <c r="Y793" s="134"/>
      <c r="Z793" s="134"/>
      <c r="AA793" s="134"/>
      <c r="AB793" s="134"/>
      <c r="AC793" s="134"/>
      <c r="AD793" s="134"/>
      <c r="AE793" s="134"/>
      <c r="AF793" s="134"/>
      <c r="AG793" s="134"/>
      <c r="AH793" s="134"/>
      <c r="AI793" s="134"/>
      <c r="AJ793" s="135"/>
      <c r="AK793" s="136" t="s">
        <v>833</v>
      </c>
      <c r="AL793" s="130"/>
      <c r="AM793" s="130"/>
      <c r="AN793" s="130"/>
      <c r="AO793" s="130"/>
      <c r="AP793" s="130"/>
      <c r="AQ793" s="130"/>
      <c r="AR793" s="130"/>
      <c r="AS793" s="130"/>
      <c r="AT793" s="130"/>
      <c r="AU793" s="130"/>
      <c r="AV793" s="130"/>
      <c r="AW793" s="130"/>
      <c r="AX793" s="130"/>
      <c r="AY793" s="130"/>
      <c r="AZ793" s="130"/>
      <c r="BA793" s="130"/>
      <c r="BB793" s="130"/>
      <c r="BC793" s="130"/>
      <c r="BD793" s="130"/>
      <c r="BE793" s="130"/>
      <c r="BF793" s="130"/>
      <c r="BG793" s="130"/>
      <c r="BH793" s="130"/>
      <c r="BI793" s="137"/>
    </row>
    <row r="794" spans="2:61" ht="20.100000000000001" customHeight="1" x14ac:dyDescent="0.45">
      <c r="B794" s="138"/>
      <c r="C794" s="31"/>
      <c r="D794" s="31"/>
      <c r="E794" s="31"/>
      <c r="F794" s="31"/>
      <c r="G794" s="139"/>
      <c r="H794" s="140"/>
      <c r="I794" s="31"/>
      <c r="J794" s="149" t="s">
        <v>838</v>
      </c>
      <c r="K794" s="150"/>
      <c r="L794" s="150"/>
      <c r="M794" s="150"/>
      <c r="N794" s="150"/>
      <c r="O794" s="150"/>
      <c r="P794" s="150"/>
      <c r="Q794" s="151"/>
      <c r="R794" s="149" t="s">
        <v>842</v>
      </c>
      <c r="S794" s="150"/>
      <c r="T794" s="150"/>
      <c r="U794" s="150"/>
      <c r="V794" s="150"/>
      <c r="W794" s="150"/>
      <c r="X794" s="150"/>
      <c r="Y794" s="150"/>
      <c r="Z794" s="150"/>
      <c r="AA794" s="150"/>
      <c r="AB794" s="150"/>
      <c r="AC794" s="150"/>
      <c r="AD794" s="150"/>
      <c r="AE794" s="150"/>
      <c r="AF794" s="150"/>
      <c r="AG794" s="150"/>
      <c r="AH794" s="150"/>
      <c r="AI794" s="150"/>
      <c r="AJ794" s="151"/>
      <c r="AK794" s="143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144"/>
    </row>
    <row r="795" spans="2:61" ht="20.100000000000001" customHeight="1" x14ac:dyDescent="0.45">
      <c r="B795" s="138"/>
      <c r="C795" s="31"/>
      <c r="D795" s="31"/>
      <c r="E795" s="31"/>
      <c r="F795" s="31"/>
      <c r="G795" s="139"/>
      <c r="H795" s="140"/>
      <c r="I795" s="31"/>
      <c r="J795" s="149" t="s">
        <v>839</v>
      </c>
      <c r="K795" s="150"/>
      <c r="L795" s="150"/>
      <c r="M795" s="150"/>
      <c r="N795" s="150"/>
      <c r="O795" s="150"/>
      <c r="P795" s="150"/>
      <c r="Q795" s="151"/>
      <c r="R795" s="149" t="s">
        <v>843</v>
      </c>
      <c r="S795" s="150"/>
      <c r="T795" s="150"/>
      <c r="U795" s="150"/>
      <c r="V795" s="150"/>
      <c r="W795" s="150"/>
      <c r="X795" s="150"/>
      <c r="Y795" s="150"/>
      <c r="Z795" s="150"/>
      <c r="AA795" s="150"/>
      <c r="AB795" s="150"/>
      <c r="AC795" s="150"/>
      <c r="AD795" s="150"/>
      <c r="AE795" s="150"/>
      <c r="AF795" s="150"/>
      <c r="AG795" s="150"/>
      <c r="AH795" s="150"/>
      <c r="AI795" s="150"/>
      <c r="AJ795" s="151"/>
      <c r="AK795" s="143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144"/>
    </row>
    <row r="796" spans="2:61" ht="20.100000000000001" customHeight="1" x14ac:dyDescent="0.45">
      <c r="B796" s="138"/>
      <c r="C796" s="31"/>
      <c r="D796" s="31"/>
      <c r="E796" s="31"/>
      <c r="F796" s="31"/>
      <c r="G796" s="139"/>
      <c r="H796" s="140"/>
      <c r="I796" s="31"/>
      <c r="J796" s="149" t="s">
        <v>840</v>
      </c>
      <c r="K796" s="150"/>
      <c r="L796" s="150"/>
      <c r="M796" s="150"/>
      <c r="N796" s="150"/>
      <c r="O796" s="150"/>
      <c r="P796" s="150"/>
      <c r="Q796" s="151"/>
      <c r="R796" s="149" t="s">
        <v>844</v>
      </c>
      <c r="S796" s="150"/>
      <c r="T796" s="150"/>
      <c r="U796" s="150"/>
      <c r="V796" s="150"/>
      <c r="W796" s="150"/>
      <c r="X796" s="150"/>
      <c r="Y796" s="150"/>
      <c r="Z796" s="150"/>
      <c r="AA796" s="150"/>
      <c r="AB796" s="150"/>
      <c r="AC796" s="150"/>
      <c r="AD796" s="150"/>
      <c r="AE796" s="150"/>
      <c r="AF796" s="150"/>
      <c r="AG796" s="150"/>
      <c r="AH796" s="150"/>
      <c r="AI796" s="150"/>
      <c r="AJ796" s="151"/>
      <c r="AK796" s="143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144"/>
    </row>
    <row r="797" spans="2:61" ht="20.100000000000001" customHeight="1" x14ac:dyDescent="0.45">
      <c r="B797" s="138"/>
      <c r="C797" s="31"/>
      <c r="D797" s="31"/>
      <c r="E797" s="31"/>
      <c r="F797" s="31"/>
      <c r="G797" s="139"/>
      <c r="H797" s="140"/>
      <c r="I797" s="31"/>
      <c r="J797" s="149" t="s">
        <v>626</v>
      </c>
      <c r="K797" s="150"/>
      <c r="L797" s="150"/>
      <c r="M797" s="150"/>
      <c r="N797" s="150"/>
      <c r="O797" s="150"/>
      <c r="P797" s="150"/>
      <c r="Q797" s="151"/>
      <c r="R797" s="149" t="s">
        <v>845</v>
      </c>
      <c r="S797" s="150"/>
      <c r="T797" s="150"/>
      <c r="U797" s="150"/>
      <c r="V797" s="150"/>
      <c r="W797" s="150"/>
      <c r="X797" s="150"/>
      <c r="Y797" s="150"/>
      <c r="Z797" s="150"/>
      <c r="AA797" s="150"/>
      <c r="AB797" s="150"/>
      <c r="AC797" s="150"/>
      <c r="AD797" s="150"/>
      <c r="AE797" s="150"/>
      <c r="AF797" s="150"/>
      <c r="AG797" s="150"/>
      <c r="AH797" s="150"/>
      <c r="AI797" s="150"/>
      <c r="AJ797" s="151"/>
      <c r="AK797" s="143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144"/>
    </row>
    <row r="798" spans="2:61" ht="20.100000000000001" customHeight="1" x14ac:dyDescent="0.45">
      <c r="B798" s="138"/>
      <c r="C798" s="31"/>
      <c r="D798" s="31"/>
      <c r="E798" s="31"/>
      <c r="F798" s="31"/>
      <c r="G798" s="139"/>
      <c r="H798" s="140"/>
      <c r="I798" s="31"/>
      <c r="J798" s="149" t="s">
        <v>627</v>
      </c>
      <c r="K798" s="150"/>
      <c r="L798" s="150"/>
      <c r="M798" s="150"/>
      <c r="N798" s="150"/>
      <c r="O798" s="150"/>
      <c r="P798" s="150"/>
      <c r="Q798" s="151"/>
      <c r="R798" s="149" t="s">
        <v>846</v>
      </c>
      <c r="S798" s="150"/>
      <c r="T798" s="150"/>
      <c r="U798" s="150"/>
      <c r="V798" s="150"/>
      <c r="W798" s="150"/>
      <c r="X798" s="150"/>
      <c r="Y798" s="150"/>
      <c r="Z798" s="150"/>
      <c r="AA798" s="150"/>
      <c r="AB798" s="150"/>
      <c r="AC798" s="150"/>
      <c r="AD798" s="150"/>
      <c r="AE798" s="150"/>
      <c r="AF798" s="150"/>
      <c r="AG798" s="150"/>
      <c r="AH798" s="150"/>
      <c r="AI798" s="150"/>
      <c r="AJ798" s="151"/>
      <c r="AK798" s="143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144"/>
    </row>
    <row r="799" spans="2:61" ht="20.100000000000001" customHeight="1" x14ac:dyDescent="0.45">
      <c r="B799" s="138"/>
      <c r="C799" s="31"/>
      <c r="D799" s="31"/>
      <c r="E799" s="31"/>
      <c r="F799" s="31"/>
      <c r="G799" s="139"/>
      <c r="H799" s="145" t="s">
        <v>169</v>
      </c>
      <c r="I799" s="55"/>
      <c r="J799" s="145" t="s">
        <v>834</v>
      </c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146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  <c r="BD799" s="55"/>
      <c r="BE799" s="55"/>
      <c r="BF799" s="55"/>
      <c r="BG799" s="55"/>
      <c r="BH799" s="55"/>
      <c r="BI799" s="147"/>
    </row>
    <row r="800" spans="2:61" ht="20.100000000000001" customHeight="1" thickBot="1" x14ac:dyDescent="0.5">
      <c r="B800" s="148"/>
      <c r="C800" s="31"/>
      <c r="D800" s="31"/>
      <c r="E800" s="31"/>
      <c r="F800" s="31"/>
      <c r="G800" s="139"/>
      <c r="H800" s="145" t="s">
        <v>173</v>
      </c>
      <c r="I800" s="55"/>
      <c r="J800" s="152" t="s">
        <v>835</v>
      </c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146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/>
      <c r="BD800" s="55"/>
      <c r="BE800" s="55"/>
      <c r="BF800" s="55"/>
      <c r="BG800" s="55"/>
      <c r="BH800" s="55"/>
      <c r="BI800" s="147"/>
    </row>
    <row r="801" spans="2:61" ht="20.100000000000001" customHeight="1" x14ac:dyDescent="0.45">
      <c r="B801" s="129" t="s">
        <v>849</v>
      </c>
      <c r="C801" s="130"/>
      <c r="D801" s="130"/>
      <c r="E801" s="130"/>
      <c r="F801" s="130"/>
      <c r="G801" s="131"/>
      <c r="H801" s="132" t="s">
        <v>159</v>
      </c>
      <c r="I801" s="130"/>
      <c r="J801" s="133" t="s">
        <v>850</v>
      </c>
      <c r="K801" s="134"/>
      <c r="L801" s="134"/>
      <c r="M801" s="134"/>
      <c r="N801" s="134"/>
      <c r="O801" s="134"/>
      <c r="P801" s="134"/>
      <c r="Q801" s="135"/>
      <c r="R801" s="133" t="s">
        <v>856</v>
      </c>
      <c r="S801" s="134"/>
      <c r="T801" s="134"/>
      <c r="U801" s="134"/>
      <c r="V801" s="134"/>
      <c r="W801" s="134"/>
      <c r="X801" s="134"/>
      <c r="Y801" s="134"/>
      <c r="Z801" s="134"/>
      <c r="AA801" s="134"/>
      <c r="AB801" s="134"/>
      <c r="AC801" s="134"/>
      <c r="AD801" s="134"/>
      <c r="AE801" s="134"/>
      <c r="AF801" s="134"/>
      <c r="AG801" s="134"/>
      <c r="AH801" s="134"/>
      <c r="AI801" s="134"/>
      <c r="AJ801" s="135"/>
      <c r="AK801" s="136" t="s">
        <v>833</v>
      </c>
      <c r="AL801" s="130"/>
      <c r="AM801" s="130"/>
      <c r="AN801" s="130"/>
      <c r="AO801" s="130"/>
      <c r="AP801" s="130"/>
      <c r="AQ801" s="130"/>
      <c r="AR801" s="130"/>
      <c r="AS801" s="130"/>
      <c r="AT801" s="130"/>
      <c r="AU801" s="130"/>
      <c r="AV801" s="130"/>
      <c r="AW801" s="130"/>
      <c r="AX801" s="130"/>
      <c r="AY801" s="130"/>
      <c r="AZ801" s="130"/>
      <c r="BA801" s="130"/>
      <c r="BB801" s="130"/>
      <c r="BC801" s="130"/>
      <c r="BD801" s="130"/>
      <c r="BE801" s="130"/>
      <c r="BF801" s="130"/>
      <c r="BG801" s="130"/>
      <c r="BH801" s="130"/>
      <c r="BI801" s="137"/>
    </row>
    <row r="802" spans="2:61" ht="20.100000000000001" customHeight="1" x14ac:dyDescent="0.45">
      <c r="B802" s="138"/>
      <c r="C802" s="31"/>
      <c r="D802" s="31"/>
      <c r="E802" s="31"/>
      <c r="F802" s="31"/>
      <c r="G802" s="139"/>
      <c r="H802" s="140"/>
      <c r="I802" s="31"/>
      <c r="J802" s="149" t="s">
        <v>747</v>
      </c>
      <c r="K802" s="150"/>
      <c r="L802" s="150"/>
      <c r="M802" s="150"/>
      <c r="N802" s="150"/>
      <c r="O802" s="150"/>
      <c r="P802" s="150"/>
      <c r="Q802" s="151"/>
      <c r="R802" s="149" t="s">
        <v>857</v>
      </c>
      <c r="S802" s="150"/>
      <c r="T802" s="150"/>
      <c r="U802" s="150"/>
      <c r="V802" s="150"/>
      <c r="W802" s="150"/>
      <c r="X802" s="150"/>
      <c r="Y802" s="150"/>
      <c r="Z802" s="150"/>
      <c r="AA802" s="150"/>
      <c r="AB802" s="150"/>
      <c r="AC802" s="150"/>
      <c r="AD802" s="150"/>
      <c r="AE802" s="150"/>
      <c r="AF802" s="150"/>
      <c r="AG802" s="150"/>
      <c r="AH802" s="150"/>
      <c r="AI802" s="150"/>
      <c r="AJ802" s="151"/>
      <c r="AK802" s="143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144"/>
    </row>
    <row r="803" spans="2:61" ht="20.100000000000001" customHeight="1" x14ac:dyDescent="0.45">
      <c r="B803" s="138"/>
      <c r="C803" s="31"/>
      <c r="D803" s="31"/>
      <c r="E803" s="31"/>
      <c r="F803" s="31"/>
      <c r="G803" s="139"/>
      <c r="H803" s="140"/>
      <c r="I803" s="31"/>
      <c r="J803" s="149" t="s">
        <v>626</v>
      </c>
      <c r="K803" s="150"/>
      <c r="L803" s="150"/>
      <c r="M803" s="150"/>
      <c r="N803" s="150"/>
      <c r="O803" s="150"/>
      <c r="P803" s="150"/>
      <c r="Q803" s="151"/>
      <c r="R803" s="149" t="s">
        <v>858</v>
      </c>
      <c r="S803" s="150"/>
      <c r="T803" s="150"/>
      <c r="U803" s="150"/>
      <c r="V803" s="150"/>
      <c r="W803" s="150"/>
      <c r="X803" s="150"/>
      <c r="Y803" s="150"/>
      <c r="Z803" s="150"/>
      <c r="AA803" s="150"/>
      <c r="AB803" s="150"/>
      <c r="AC803" s="150"/>
      <c r="AD803" s="150"/>
      <c r="AE803" s="150"/>
      <c r="AF803" s="150"/>
      <c r="AG803" s="150"/>
      <c r="AH803" s="150"/>
      <c r="AI803" s="150"/>
      <c r="AJ803" s="151"/>
      <c r="AK803" s="143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144"/>
    </row>
    <row r="804" spans="2:61" ht="20.100000000000001" customHeight="1" x14ac:dyDescent="0.45">
      <c r="B804" s="138"/>
      <c r="C804" s="31"/>
      <c r="D804" s="31"/>
      <c r="E804" s="31"/>
      <c r="F804" s="31"/>
      <c r="G804" s="139"/>
      <c r="H804" s="140"/>
      <c r="I804" s="31"/>
      <c r="J804" s="149" t="s">
        <v>627</v>
      </c>
      <c r="K804" s="150"/>
      <c r="L804" s="150"/>
      <c r="M804" s="150"/>
      <c r="N804" s="150"/>
      <c r="O804" s="150"/>
      <c r="P804" s="150"/>
      <c r="Q804" s="151"/>
      <c r="R804" s="149" t="s">
        <v>859</v>
      </c>
      <c r="S804" s="150"/>
      <c r="T804" s="150"/>
      <c r="U804" s="150"/>
      <c r="V804" s="150"/>
      <c r="W804" s="150"/>
      <c r="X804" s="150"/>
      <c r="Y804" s="150"/>
      <c r="Z804" s="150"/>
      <c r="AA804" s="150"/>
      <c r="AB804" s="150"/>
      <c r="AC804" s="150"/>
      <c r="AD804" s="150"/>
      <c r="AE804" s="150"/>
      <c r="AF804" s="150"/>
      <c r="AG804" s="150"/>
      <c r="AH804" s="150"/>
      <c r="AI804" s="150"/>
      <c r="AJ804" s="151"/>
      <c r="AK804" s="143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144"/>
    </row>
    <row r="805" spans="2:61" ht="20.100000000000001" customHeight="1" x14ac:dyDescent="0.45">
      <c r="B805" s="138"/>
      <c r="C805" s="31"/>
      <c r="D805" s="31"/>
      <c r="E805" s="31"/>
      <c r="F805" s="31"/>
      <c r="G805" s="139"/>
      <c r="H805" s="140"/>
      <c r="I805" s="31"/>
      <c r="J805" s="149" t="s">
        <v>851</v>
      </c>
      <c r="K805" s="150"/>
      <c r="L805" s="150"/>
      <c r="M805" s="150"/>
      <c r="N805" s="150"/>
      <c r="O805" s="150"/>
      <c r="P805" s="150"/>
      <c r="Q805" s="151"/>
      <c r="R805" s="149" t="s">
        <v>860</v>
      </c>
      <c r="S805" s="150"/>
      <c r="T805" s="150"/>
      <c r="U805" s="150"/>
      <c r="V805" s="150"/>
      <c r="W805" s="150"/>
      <c r="X805" s="150"/>
      <c r="Y805" s="150"/>
      <c r="Z805" s="150"/>
      <c r="AA805" s="150"/>
      <c r="AB805" s="150"/>
      <c r="AC805" s="150"/>
      <c r="AD805" s="150"/>
      <c r="AE805" s="150"/>
      <c r="AF805" s="150"/>
      <c r="AG805" s="150"/>
      <c r="AH805" s="150"/>
      <c r="AI805" s="150"/>
      <c r="AJ805" s="151"/>
      <c r="AK805" s="143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144"/>
    </row>
    <row r="806" spans="2:61" ht="20.100000000000001" customHeight="1" x14ac:dyDescent="0.45">
      <c r="B806" s="138"/>
      <c r="C806" s="31"/>
      <c r="D806" s="31"/>
      <c r="E806" s="31"/>
      <c r="F806" s="31"/>
      <c r="G806" s="139"/>
      <c r="H806" s="140"/>
      <c r="I806" s="31"/>
      <c r="J806" s="149" t="s">
        <v>630</v>
      </c>
      <c r="K806" s="150"/>
      <c r="L806" s="150"/>
      <c r="M806" s="150"/>
      <c r="N806" s="150"/>
      <c r="O806" s="150"/>
      <c r="P806" s="150"/>
      <c r="Q806" s="151"/>
      <c r="R806" s="149" t="s">
        <v>861</v>
      </c>
      <c r="S806" s="150"/>
      <c r="T806" s="150"/>
      <c r="U806" s="150"/>
      <c r="V806" s="150"/>
      <c r="W806" s="150"/>
      <c r="X806" s="150"/>
      <c r="Y806" s="150"/>
      <c r="Z806" s="150"/>
      <c r="AA806" s="150"/>
      <c r="AB806" s="150"/>
      <c r="AC806" s="150"/>
      <c r="AD806" s="150"/>
      <c r="AE806" s="150"/>
      <c r="AF806" s="150"/>
      <c r="AG806" s="150"/>
      <c r="AH806" s="150"/>
      <c r="AI806" s="150"/>
      <c r="AJ806" s="151"/>
      <c r="AK806" s="143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144"/>
    </row>
    <row r="807" spans="2:61" ht="20.100000000000001" customHeight="1" x14ac:dyDescent="0.45">
      <c r="B807" s="138"/>
      <c r="C807" s="31"/>
      <c r="D807" s="31"/>
      <c r="E807" s="31"/>
      <c r="F807" s="31"/>
      <c r="G807" s="139"/>
      <c r="H807" s="140"/>
      <c r="I807" s="31"/>
      <c r="J807" s="149" t="s">
        <v>852</v>
      </c>
      <c r="K807" s="150"/>
      <c r="L807" s="150"/>
      <c r="M807" s="150"/>
      <c r="N807" s="150"/>
      <c r="O807" s="150"/>
      <c r="P807" s="150"/>
      <c r="Q807" s="151"/>
      <c r="R807" s="149" t="s">
        <v>862</v>
      </c>
      <c r="S807" s="150"/>
      <c r="T807" s="150"/>
      <c r="U807" s="150"/>
      <c r="V807" s="150"/>
      <c r="W807" s="150"/>
      <c r="X807" s="150"/>
      <c r="Y807" s="150"/>
      <c r="Z807" s="150"/>
      <c r="AA807" s="150"/>
      <c r="AB807" s="150"/>
      <c r="AC807" s="150"/>
      <c r="AD807" s="150"/>
      <c r="AE807" s="150"/>
      <c r="AF807" s="150"/>
      <c r="AG807" s="150"/>
      <c r="AH807" s="150"/>
      <c r="AI807" s="150"/>
      <c r="AJ807" s="151"/>
      <c r="AK807" s="143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144"/>
    </row>
    <row r="808" spans="2:61" ht="20.100000000000001" customHeight="1" x14ac:dyDescent="0.45">
      <c r="B808" s="138"/>
      <c r="C808" s="31"/>
      <c r="D808" s="31"/>
      <c r="E808" s="31"/>
      <c r="F808" s="31"/>
      <c r="G808" s="139"/>
      <c r="H808" s="140"/>
      <c r="I808" s="31"/>
      <c r="J808" s="149" t="s">
        <v>853</v>
      </c>
      <c r="K808" s="150"/>
      <c r="L808" s="150"/>
      <c r="M808" s="150"/>
      <c r="N808" s="150"/>
      <c r="O808" s="150"/>
      <c r="P808" s="150"/>
      <c r="Q808" s="151"/>
      <c r="R808" s="149" t="s">
        <v>863</v>
      </c>
      <c r="S808" s="150"/>
      <c r="T808" s="150"/>
      <c r="U808" s="150"/>
      <c r="V808" s="150"/>
      <c r="W808" s="150"/>
      <c r="X808" s="150"/>
      <c r="Y808" s="150"/>
      <c r="Z808" s="150"/>
      <c r="AA808" s="150"/>
      <c r="AB808" s="150"/>
      <c r="AC808" s="150"/>
      <c r="AD808" s="150"/>
      <c r="AE808" s="150"/>
      <c r="AF808" s="150"/>
      <c r="AG808" s="150"/>
      <c r="AH808" s="150"/>
      <c r="AI808" s="150"/>
      <c r="AJ808" s="151"/>
      <c r="AK808" s="143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144"/>
    </row>
    <row r="809" spans="2:61" ht="20.100000000000001" customHeight="1" x14ac:dyDescent="0.45">
      <c r="B809" s="138"/>
      <c r="C809" s="31"/>
      <c r="D809" s="31"/>
      <c r="E809" s="31"/>
      <c r="F809" s="31"/>
      <c r="G809" s="139"/>
      <c r="H809" s="145" t="s">
        <v>169</v>
      </c>
      <c r="I809" s="55"/>
      <c r="J809" s="145" t="s">
        <v>854</v>
      </c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146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/>
      <c r="BD809" s="55"/>
      <c r="BE809" s="55"/>
      <c r="BF809" s="55"/>
      <c r="BG809" s="55"/>
      <c r="BH809" s="55"/>
      <c r="BI809" s="147"/>
    </row>
    <row r="810" spans="2:61" ht="20.100000000000001" customHeight="1" thickBot="1" x14ac:dyDescent="0.5">
      <c r="B810" s="148"/>
      <c r="C810" s="31"/>
      <c r="D810" s="31"/>
      <c r="E810" s="31"/>
      <c r="F810" s="31"/>
      <c r="G810" s="139"/>
      <c r="H810" s="145" t="s">
        <v>173</v>
      </c>
      <c r="I810" s="55"/>
      <c r="J810" s="152" t="s">
        <v>855</v>
      </c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146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/>
      <c r="BD810" s="55"/>
      <c r="BE810" s="55"/>
      <c r="BF810" s="55"/>
      <c r="BG810" s="55"/>
      <c r="BH810" s="55"/>
      <c r="BI810" s="147"/>
    </row>
    <row r="811" spans="2:61" ht="5.0999999999999996" customHeight="1" x14ac:dyDescent="0.45"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  <c r="AE811" s="130"/>
      <c r="AF811" s="130"/>
      <c r="AG811" s="130"/>
      <c r="AH811" s="130"/>
      <c r="AI811" s="130"/>
      <c r="AJ811" s="130"/>
      <c r="AK811" s="130"/>
      <c r="AL811" s="130"/>
      <c r="AM811" s="130"/>
      <c r="AN811" s="130"/>
      <c r="AO811" s="130"/>
      <c r="AP811" s="130"/>
      <c r="AQ811" s="130"/>
      <c r="AR811" s="130"/>
      <c r="AS811" s="130"/>
      <c r="AT811" s="130"/>
      <c r="AU811" s="130"/>
      <c r="AV811" s="130"/>
      <c r="AW811" s="130"/>
      <c r="AX811" s="130"/>
      <c r="AY811" s="130"/>
      <c r="AZ811" s="130"/>
      <c r="BA811" s="130"/>
      <c r="BB811" s="130"/>
      <c r="BC811" s="130"/>
      <c r="BD811" s="130"/>
      <c r="BE811" s="130"/>
      <c r="BF811" s="130"/>
      <c r="BG811" s="130"/>
      <c r="BH811" s="130"/>
      <c r="BI811" s="13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41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5"/>
  <sheetViews>
    <sheetView zoomScaleNormal="100" workbookViewId="0"/>
  </sheetViews>
  <sheetFormatPr defaultRowHeight="18" x14ac:dyDescent="0.45"/>
  <cols>
    <col min="1" max="2" width="8.796875" style="29"/>
    <col min="3" max="3" width="14.3984375" style="29" bestFit="1" customWidth="1"/>
    <col min="4" max="4" width="68.5" style="29" customWidth="1"/>
    <col min="5" max="5" width="72" style="29" customWidth="1"/>
    <col min="6" max="16384" width="8.796875" style="29"/>
  </cols>
  <sheetData>
    <row r="2" spans="2:6" ht="19.2" thickBot="1" x14ac:dyDescent="0.5">
      <c r="B2" s="87" t="s">
        <v>47</v>
      </c>
    </row>
    <row r="3" spans="2:6" ht="18.600000000000001" thickTop="1" x14ac:dyDescent="0.45">
      <c r="B3" s="38" t="s">
        <v>18</v>
      </c>
      <c r="C3" s="77" t="s">
        <v>48</v>
      </c>
      <c r="D3" s="74" t="s">
        <v>20</v>
      </c>
      <c r="E3" s="127" t="s">
        <v>143</v>
      </c>
      <c r="F3" s="78" t="s">
        <v>49</v>
      </c>
    </row>
    <row r="4" spans="2:6" x14ac:dyDescent="0.45">
      <c r="B4" s="37">
        <v>1</v>
      </c>
      <c r="C4" s="79" t="s">
        <v>138</v>
      </c>
      <c r="D4" s="82" t="s">
        <v>137</v>
      </c>
      <c r="E4" s="128" t="s">
        <v>139</v>
      </c>
      <c r="F4" s="81" t="s">
        <v>147</v>
      </c>
    </row>
    <row r="5" spans="2:6" ht="36" x14ac:dyDescent="0.45">
      <c r="B5" s="37">
        <v>2</v>
      </c>
      <c r="C5" s="79" t="s">
        <v>136</v>
      </c>
      <c r="D5" s="80" t="s">
        <v>135</v>
      </c>
      <c r="E5" s="128" t="s">
        <v>140</v>
      </c>
      <c r="F5" s="81"/>
    </row>
    <row r="6" spans="2:6" ht="54" x14ac:dyDescent="0.45">
      <c r="B6" s="37">
        <v>3</v>
      </c>
      <c r="C6" s="79" t="s">
        <v>136</v>
      </c>
      <c r="D6" s="80" t="s">
        <v>142</v>
      </c>
      <c r="E6" s="128" t="s">
        <v>141</v>
      </c>
      <c r="F6" s="81" t="s">
        <v>147</v>
      </c>
    </row>
    <row r="7" spans="2:6" x14ac:dyDescent="0.45">
      <c r="B7" s="37">
        <v>4</v>
      </c>
      <c r="C7" s="79" t="s">
        <v>144</v>
      </c>
      <c r="D7" s="82" t="s">
        <v>145</v>
      </c>
      <c r="E7" s="82" t="s">
        <v>146</v>
      </c>
      <c r="F7" s="81" t="s">
        <v>147</v>
      </c>
    </row>
    <row r="8" spans="2:6" x14ac:dyDescent="0.45">
      <c r="B8" s="37">
        <v>5</v>
      </c>
      <c r="C8" s="79" t="s">
        <v>136</v>
      </c>
      <c r="D8" s="82" t="s">
        <v>145</v>
      </c>
      <c r="E8" s="82" t="s">
        <v>148</v>
      </c>
      <c r="F8" s="81" t="s">
        <v>147</v>
      </c>
    </row>
    <row r="9" spans="2:6" x14ac:dyDescent="0.45">
      <c r="B9" s="37">
        <v>6</v>
      </c>
      <c r="C9" s="79"/>
      <c r="D9" s="82"/>
      <c r="E9" s="82"/>
      <c r="F9" s="81"/>
    </row>
    <row r="10" spans="2:6" x14ac:dyDescent="0.45">
      <c r="B10" s="37">
        <v>7</v>
      </c>
      <c r="C10" s="79"/>
      <c r="D10" s="82"/>
      <c r="E10" s="82"/>
      <c r="F10" s="81"/>
    </row>
    <row r="11" spans="2:6" x14ac:dyDescent="0.45">
      <c r="B11" s="37">
        <v>8</v>
      </c>
      <c r="C11" s="79"/>
      <c r="D11" s="82"/>
      <c r="E11" s="82"/>
      <c r="F11" s="81"/>
    </row>
    <row r="12" spans="2:6" x14ac:dyDescent="0.45">
      <c r="B12" s="37">
        <v>9</v>
      </c>
      <c r="C12" s="79"/>
      <c r="D12" s="82"/>
      <c r="E12" s="82"/>
      <c r="F12" s="81"/>
    </row>
    <row r="13" spans="2:6" x14ac:dyDescent="0.45">
      <c r="B13" s="37">
        <v>10</v>
      </c>
      <c r="C13" s="79"/>
      <c r="D13" s="82"/>
      <c r="E13" s="82"/>
      <c r="F13" s="81"/>
    </row>
    <row r="14" spans="2:6" x14ac:dyDescent="0.45">
      <c r="B14" s="37">
        <v>11</v>
      </c>
      <c r="C14" s="79"/>
      <c r="D14" s="82"/>
      <c r="E14" s="82"/>
      <c r="F14" s="81"/>
    </row>
    <row r="15" spans="2:6" x14ac:dyDescent="0.45">
      <c r="B15" s="37">
        <v>12</v>
      </c>
      <c r="C15" s="79"/>
      <c r="D15" s="82"/>
      <c r="E15" s="82"/>
      <c r="F15" s="81"/>
    </row>
    <row r="16" spans="2:6" x14ac:dyDescent="0.45">
      <c r="B16" s="37">
        <v>13</v>
      </c>
      <c r="C16" s="79"/>
      <c r="D16" s="82"/>
      <c r="E16" s="82"/>
      <c r="F16" s="81"/>
    </row>
    <row r="17" spans="2:6" x14ac:dyDescent="0.45">
      <c r="B17" s="37">
        <v>14</v>
      </c>
      <c r="C17" s="79"/>
      <c r="D17" s="82"/>
      <c r="E17" s="82"/>
      <c r="F17" s="81"/>
    </row>
    <row r="18" spans="2:6" x14ac:dyDescent="0.45">
      <c r="B18" s="37">
        <v>15</v>
      </c>
      <c r="C18" s="79"/>
      <c r="D18" s="82"/>
      <c r="E18" s="82"/>
      <c r="F18" s="81"/>
    </row>
    <row r="19" spans="2:6" x14ac:dyDescent="0.45">
      <c r="B19" s="37">
        <v>16</v>
      </c>
      <c r="C19" s="79"/>
      <c r="D19" s="82"/>
      <c r="E19" s="82"/>
      <c r="F19" s="81"/>
    </row>
    <row r="20" spans="2:6" x14ac:dyDescent="0.45">
      <c r="B20" s="37">
        <v>17</v>
      </c>
      <c r="C20" s="79"/>
      <c r="D20" s="82"/>
      <c r="E20" s="82"/>
      <c r="F20" s="81"/>
    </row>
    <row r="21" spans="2:6" x14ac:dyDescent="0.45">
      <c r="B21" s="37">
        <v>18</v>
      </c>
      <c r="C21" s="79"/>
      <c r="D21" s="82"/>
      <c r="E21" s="82"/>
      <c r="F21" s="81"/>
    </row>
    <row r="22" spans="2:6" x14ac:dyDescent="0.45">
      <c r="B22" s="37">
        <v>19</v>
      </c>
      <c r="C22" s="79"/>
      <c r="D22" s="82"/>
      <c r="E22" s="82"/>
      <c r="F22" s="81"/>
    </row>
    <row r="23" spans="2:6" x14ac:dyDescent="0.45">
      <c r="B23" s="37">
        <v>20</v>
      </c>
      <c r="C23" s="79"/>
      <c r="D23" s="82"/>
      <c r="E23" s="82"/>
      <c r="F23" s="81"/>
    </row>
    <row r="24" spans="2:6" x14ac:dyDescent="0.45">
      <c r="B24" s="37">
        <v>21</v>
      </c>
      <c r="C24" s="79"/>
      <c r="D24" s="82"/>
      <c r="E24" s="82"/>
      <c r="F24" s="81"/>
    </row>
    <row r="25" spans="2:6" x14ac:dyDescent="0.45">
      <c r="B25" s="37">
        <v>22</v>
      </c>
      <c r="C25" s="79"/>
      <c r="D25" s="82"/>
      <c r="E25" s="82"/>
      <c r="F25" s="81"/>
    </row>
    <row r="26" spans="2:6" x14ac:dyDescent="0.45">
      <c r="B26" s="37">
        <v>23</v>
      </c>
      <c r="C26" s="79"/>
      <c r="D26" s="82"/>
      <c r="E26" s="82"/>
      <c r="F26" s="81"/>
    </row>
    <row r="27" spans="2:6" x14ac:dyDescent="0.45">
      <c r="B27" s="37">
        <v>24</v>
      </c>
      <c r="C27" s="79"/>
      <c r="D27" s="82"/>
      <c r="E27" s="82"/>
      <c r="F27" s="81"/>
    </row>
    <row r="28" spans="2:6" x14ac:dyDescent="0.45">
      <c r="B28" s="37">
        <v>25</v>
      </c>
      <c r="C28" s="79"/>
      <c r="D28" s="82"/>
      <c r="E28" s="82"/>
      <c r="F28" s="81"/>
    </row>
    <row r="29" spans="2:6" x14ac:dyDescent="0.45">
      <c r="B29" s="37">
        <v>26</v>
      </c>
      <c r="C29" s="79"/>
      <c r="D29" s="82"/>
      <c r="E29" s="82"/>
      <c r="F29" s="81"/>
    </row>
    <row r="30" spans="2:6" x14ac:dyDescent="0.45">
      <c r="B30" s="37">
        <v>27</v>
      </c>
      <c r="C30" s="79"/>
      <c r="D30" s="82"/>
      <c r="E30" s="82"/>
      <c r="F30" s="81"/>
    </row>
    <row r="31" spans="2:6" x14ac:dyDescent="0.45">
      <c r="B31" s="37">
        <v>28</v>
      </c>
      <c r="C31" s="79"/>
      <c r="D31" s="82"/>
      <c r="E31" s="82"/>
      <c r="F31" s="81"/>
    </row>
    <row r="32" spans="2:6" x14ac:dyDescent="0.45">
      <c r="B32" s="37">
        <v>29</v>
      </c>
      <c r="C32" s="79"/>
      <c r="D32" s="82"/>
      <c r="E32" s="82"/>
      <c r="F32" s="81"/>
    </row>
    <row r="33" spans="2:6" x14ac:dyDescent="0.45">
      <c r="B33" s="37">
        <v>30</v>
      </c>
      <c r="C33" s="79"/>
      <c r="D33" s="82"/>
      <c r="E33" s="82"/>
      <c r="F33" s="81"/>
    </row>
    <row r="34" spans="2:6" x14ac:dyDescent="0.45">
      <c r="B34" s="37">
        <v>31</v>
      </c>
      <c r="C34" s="79"/>
      <c r="D34" s="82"/>
      <c r="E34" s="82"/>
      <c r="F34" s="81"/>
    </row>
    <row r="35" spans="2:6" x14ac:dyDescent="0.45">
      <c r="B35" s="37">
        <v>32</v>
      </c>
      <c r="C35" s="79"/>
      <c r="D35" s="82"/>
      <c r="E35" s="82"/>
      <c r="F35" s="81"/>
    </row>
    <row r="36" spans="2:6" x14ac:dyDescent="0.45">
      <c r="B36" s="37">
        <v>33</v>
      </c>
      <c r="C36" s="79"/>
      <c r="D36" s="82"/>
      <c r="E36" s="82"/>
      <c r="F36" s="81"/>
    </row>
    <row r="37" spans="2:6" x14ac:dyDescent="0.45">
      <c r="B37" s="37">
        <v>34</v>
      </c>
      <c r="C37" s="79"/>
      <c r="D37" s="82"/>
      <c r="E37" s="82"/>
      <c r="F37" s="81"/>
    </row>
    <row r="38" spans="2:6" x14ac:dyDescent="0.45">
      <c r="B38" s="37">
        <v>35</v>
      </c>
      <c r="C38" s="79"/>
      <c r="D38" s="82"/>
      <c r="E38" s="82"/>
      <c r="F38" s="81"/>
    </row>
    <row r="39" spans="2:6" x14ac:dyDescent="0.45">
      <c r="B39" s="37">
        <v>36</v>
      </c>
      <c r="C39" s="79"/>
      <c r="D39" s="82"/>
      <c r="E39" s="82"/>
      <c r="F39" s="81"/>
    </row>
    <row r="40" spans="2:6" x14ac:dyDescent="0.45">
      <c r="B40" s="37">
        <v>37</v>
      </c>
      <c r="C40" s="79"/>
      <c r="D40" s="82"/>
      <c r="E40" s="82"/>
      <c r="F40" s="81"/>
    </row>
    <row r="41" spans="2:6" x14ac:dyDescent="0.45">
      <c r="B41" s="37">
        <v>38</v>
      </c>
      <c r="C41" s="79"/>
      <c r="D41" s="82"/>
      <c r="E41" s="82"/>
      <c r="F41" s="81"/>
    </row>
    <row r="42" spans="2:6" x14ac:dyDescent="0.45">
      <c r="B42" s="37">
        <v>39</v>
      </c>
      <c r="C42" s="79"/>
      <c r="D42" s="82"/>
      <c r="E42" s="82"/>
      <c r="F42" s="81"/>
    </row>
    <row r="43" spans="2:6" x14ac:dyDescent="0.45">
      <c r="B43" s="37">
        <v>40</v>
      </c>
      <c r="C43" s="79"/>
      <c r="D43" s="82"/>
      <c r="E43" s="82"/>
      <c r="F43" s="81"/>
    </row>
    <row r="44" spans="2:6" x14ac:dyDescent="0.45">
      <c r="B44" s="37">
        <v>41</v>
      </c>
      <c r="C44" s="79"/>
      <c r="D44" s="82"/>
      <c r="E44" s="82"/>
      <c r="F44" s="81"/>
    </row>
    <row r="45" spans="2:6" x14ac:dyDescent="0.45">
      <c r="B45" s="37">
        <v>42</v>
      </c>
      <c r="C45" s="79"/>
      <c r="D45" s="82"/>
      <c r="E45" s="82"/>
      <c r="F45" s="81"/>
    </row>
    <row r="46" spans="2:6" x14ac:dyDescent="0.45">
      <c r="B46" s="37">
        <v>43</v>
      </c>
      <c r="C46" s="79"/>
      <c r="D46" s="82"/>
      <c r="E46" s="82"/>
      <c r="F46" s="81"/>
    </row>
    <row r="47" spans="2:6" x14ac:dyDescent="0.45">
      <c r="B47" s="37">
        <v>44</v>
      </c>
      <c r="C47" s="79"/>
      <c r="D47" s="82"/>
      <c r="E47" s="82"/>
      <c r="F47" s="81"/>
    </row>
    <row r="48" spans="2:6" x14ac:dyDescent="0.45">
      <c r="B48" s="37">
        <v>45</v>
      </c>
      <c r="C48" s="79"/>
      <c r="D48" s="82"/>
      <c r="E48" s="82"/>
      <c r="F48" s="81"/>
    </row>
    <row r="49" spans="2:6" x14ac:dyDescent="0.45">
      <c r="B49" s="37">
        <v>46</v>
      </c>
      <c r="C49" s="79"/>
      <c r="D49" s="82"/>
      <c r="E49" s="82"/>
      <c r="F49" s="81"/>
    </row>
    <row r="50" spans="2:6" x14ac:dyDescent="0.45">
      <c r="B50" s="37">
        <v>47</v>
      </c>
      <c r="C50" s="79"/>
      <c r="D50" s="82"/>
      <c r="E50" s="82"/>
      <c r="F50" s="81"/>
    </row>
    <row r="51" spans="2:6" x14ac:dyDescent="0.45">
      <c r="B51" s="37">
        <v>48</v>
      </c>
      <c r="C51" s="79"/>
      <c r="D51" s="82"/>
      <c r="E51" s="82"/>
      <c r="F51" s="81"/>
    </row>
    <row r="52" spans="2:6" x14ac:dyDescent="0.45">
      <c r="B52" s="37">
        <v>49</v>
      </c>
      <c r="C52" s="79"/>
      <c r="D52" s="82"/>
      <c r="E52" s="82"/>
      <c r="F52" s="81"/>
    </row>
    <row r="53" spans="2:6" x14ac:dyDescent="0.45">
      <c r="B53" s="37">
        <v>50</v>
      </c>
      <c r="C53" s="79"/>
      <c r="D53" s="82"/>
      <c r="E53" s="82"/>
      <c r="F53" s="81"/>
    </row>
    <row r="54" spans="2:6" ht="18.600000000000001" thickBot="1" x14ac:dyDescent="0.5">
      <c r="B54" s="83">
        <v>51</v>
      </c>
      <c r="C54" s="84"/>
      <c r="D54" s="85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W73"/>
  <sheetViews>
    <sheetView zoomScale="85" zoomScaleNormal="85" workbookViewId="0"/>
  </sheetViews>
  <sheetFormatPr defaultColWidth="8.09765625" defaultRowHeight="18" x14ac:dyDescent="0.2"/>
  <cols>
    <col min="1" max="1" width="4.19921875" style="94" customWidth="1"/>
    <col min="2" max="2" width="4.19921875" style="95" customWidth="1"/>
    <col min="3" max="3" width="11.796875" style="94" customWidth="1"/>
    <col min="4" max="4" width="21.796875" style="94" customWidth="1"/>
    <col min="5" max="6" width="9.59765625" style="94" customWidth="1"/>
    <col min="7" max="9" width="8.19921875" style="94" customWidth="1"/>
    <col min="10" max="10" width="6" style="121" hidden="1" customWidth="1"/>
    <col min="11" max="11" width="9.59765625" style="94" customWidth="1"/>
    <col min="12" max="12" width="5.5" style="94" customWidth="1"/>
    <col min="13" max="13" width="5.5" style="121" hidden="1" customWidth="1"/>
    <col min="14" max="15" width="13.19921875" style="94" customWidth="1"/>
    <col min="16" max="16" width="0.796875" style="94" customWidth="1"/>
    <col min="17" max="17" width="31.19921875" customWidth="1"/>
    <col min="18" max="18" width="20.3984375" customWidth="1"/>
    <col min="19" max="19" width="13.5" hidden="1" customWidth="1"/>
    <col min="20" max="20" width="5.09765625" customWidth="1"/>
    <col min="21" max="21" width="11.3984375" customWidth="1"/>
    <col min="22" max="22" width="22.19921875" hidden="1" customWidth="1"/>
    <col min="23" max="23" width="9.59765625" customWidth="1"/>
    <col min="24" max="24" width="9.59765625" hidden="1" customWidth="1"/>
    <col min="25" max="26" width="13.19921875" customWidth="1"/>
    <col min="27" max="27" width="6.8984375" customWidth="1"/>
    <col min="28" max="28" width="13.19921875" customWidth="1"/>
    <col min="29" max="29" width="14.3984375" hidden="1" customWidth="1"/>
    <col min="30" max="30" width="4" customWidth="1"/>
    <col min="76" max="256" width="8.09765625" style="94"/>
    <col min="257" max="258" width="4.19921875" style="94" customWidth="1"/>
    <col min="259" max="259" width="11.796875" style="94" customWidth="1"/>
    <col min="260" max="260" width="21.796875" style="94" customWidth="1"/>
    <col min="261" max="262" width="9.59765625" style="94" customWidth="1"/>
    <col min="263" max="265" width="8.19921875" style="94" customWidth="1"/>
    <col min="266" max="266" width="0" style="94" hidden="1" customWidth="1"/>
    <col min="267" max="267" width="9.59765625" style="94" customWidth="1"/>
    <col min="268" max="268" width="5.5" style="94" customWidth="1"/>
    <col min="269" max="269" width="0" style="94" hidden="1" customWidth="1"/>
    <col min="270" max="271" width="13.19921875" style="94" customWidth="1"/>
    <col min="272" max="272" width="0.796875" style="94" customWidth="1"/>
    <col min="273" max="273" width="31.19921875" style="94" customWidth="1"/>
    <col min="274" max="274" width="20.3984375" style="94" customWidth="1"/>
    <col min="275" max="275" width="0" style="94" hidden="1" customWidth="1"/>
    <col min="276" max="276" width="5.09765625" style="94" customWidth="1"/>
    <col min="277" max="277" width="11.3984375" style="94" customWidth="1"/>
    <col min="278" max="278" width="0" style="94" hidden="1" customWidth="1"/>
    <col min="279" max="279" width="9.59765625" style="94" customWidth="1"/>
    <col min="280" max="280" width="0" style="94" hidden="1" customWidth="1"/>
    <col min="281" max="282" width="13.19921875" style="94" customWidth="1"/>
    <col min="283" max="283" width="6.8984375" style="94" customWidth="1"/>
    <col min="284" max="284" width="13.19921875" style="94" customWidth="1"/>
    <col min="285" max="285" width="0" style="94" hidden="1" customWidth="1"/>
    <col min="286" max="286" width="4" style="94" customWidth="1"/>
    <col min="287" max="512" width="8.09765625" style="94"/>
    <col min="513" max="514" width="4.19921875" style="94" customWidth="1"/>
    <col min="515" max="515" width="11.796875" style="94" customWidth="1"/>
    <col min="516" max="516" width="21.796875" style="94" customWidth="1"/>
    <col min="517" max="518" width="9.59765625" style="94" customWidth="1"/>
    <col min="519" max="521" width="8.19921875" style="94" customWidth="1"/>
    <col min="522" max="522" width="0" style="94" hidden="1" customWidth="1"/>
    <col min="523" max="523" width="9.59765625" style="94" customWidth="1"/>
    <col min="524" max="524" width="5.5" style="94" customWidth="1"/>
    <col min="525" max="525" width="0" style="94" hidden="1" customWidth="1"/>
    <col min="526" max="527" width="13.19921875" style="94" customWidth="1"/>
    <col min="528" max="528" width="0.796875" style="94" customWidth="1"/>
    <col min="529" max="529" width="31.19921875" style="94" customWidth="1"/>
    <col min="530" max="530" width="20.3984375" style="94" customWidth="1"/>
    <col min="531" max="531" width="0" style="94" hidden="1" customWidth="1"/>
    <col min="532" max="532" width="5.09765625" style="94" customWidth="1"/>
    <col min="533" max="533" width="11.3984375" style="94" customWidth="1"/>
    <col min="534" max="534" width="0" style="94" hidden="1" customWidth="1"/>
    <col min="535" max="535" width="9.59765625" style="94" customWidth="1"/>
    <col min="536" max="536" width="0" style="94" hidden="1" customWidth="1"/>
    <col min="537" max="538" width="13.19921875" style="94" customWidth="1"/>
    <col min="539" max="539" width="6.8984375" style="94" customWidth="1"/>
    <col min="540" max="540" width="13.19921875" style="94" customWidth="1"/>
    <col min="541" max="541" width="0" style="94" hidden="1" customWidth="1"/>
    <col min="542" max="542" width="4" style="94" customWidth="1"/>
    <col min="543" max="768" width="8.09765625" style="94"/>
    <col min="769" max="770" width="4.19921875" style="94" customWidth="1"/>
    <col min="771" max="771" width="11.796875" style="94" customWidth="1"/>
    <col min="772" max="772" width="21.796875" style="94" customWidth="1"/>
    <col min="773" max="774" width="9.59765625" style="94" customWidth="1"/>
    <col min="775" max="777" width="8.19921875" style="94" customWidth="1"/>
    <col min="778" max="778" width="0" style="94" hidden="1" customWidth="1"/>
    <col min="779" max="779" width="9.59765625" style="94" customWidth="1"/>
    <col min="780" max="780" width="5.5" style="94" customWidth="1"/>
    <col min="781" max="781" width="0" style="94" hidden="1" customWidth="1"/>
    <col min="782" max="783" width="13.19921875" style="94" customWidth="1"/>
    <col min="784" max="784" width="0.796875" style="94" customWidth="1"/>
    <col min="785" max="785" width="31.19921875" style="94" customWidth="1"/>
    <col min="786" max="786" width="20.3984375" style="94" customWidth="1"/>
    <col min="787" max="787" width="0" style="94" hidden="1" customWidth="1"/>
    <col min="788" max="788" width="5.09765625" style="94" customWidth="1"/>
    <col min="789" max="789" width="11.3984375" style="94" customWidth="1"/>
    <col min="790" max="790" width="0" style="94" hidden="1" customWidth="1"/>
    <col min="791" max="791" width="9.59765625" style="94" customWidth="1"/>
    <col min="792" max="792" width="0" style="94" hidden="1" customWidth="1"/>
    <col min="793" max="794" width="13.19921875" style="94" customWidth="1"/>
    <col min="795" max="795" width="6.8984375" style="94" customWidth="1"/>
    <col min="796" max="796" width="13.19921875" style="94" customWidth="1"/>
    <col min="797" max="797" width="0" style="94" hidden="1" customWidth="1"/>
    <col min="798" max="798" width="4" style="94" customWidth="1"/>
    <col min="799" max="1024" width="8.09765625" style="94"/>
    <col min="1025" max="1026" width="4.19921875" style="94" customWidth="1"/>
    <col min="1027" max="1027" width="11.796875" style="94" customWidth="1"/>
    <col min="1028" max="1028" width="21.796875" style="94" customWidth="1"/>
    <col min="1029" max="1030" width="9.59765625" style="94" customWidth="1"/>
    <col min="1031" max="1033" width="8.19921875" style="94" customWidth="1"/>
    <col min="1034" max="1034" width="0" style="94" hidden="1" customWidth="1"/>
    <col min="1035" max="1035" width="9.59765625" style="94" customWidth="1"/>
    <col min="1036" max="1036" width="5.5" style="94" customWidth="1"/>
    <col min="1037" max="1037" width="0" style="94" hidden="1" customWidth="1"/>
    <col min="1038" max="1039" width="13.19921875" style="94" customWidth="1"/>
    <col min="1040" max="1040" width="0.796875" style="94" customWidth="1"/>
    <col min="1041" max="1041" width="31.19921875" style="94" customWidth="1"/>
    <col min="1042" max="1042" width="20.3984375" style="94" customWidth="1"/>
    <col min="1043" max="1043" width="0" style="94" hidden="1" customWidth="1"/>
    <col min="1044" max="1044" width="5.09765625" style="94" customWidth="1"/>
    <col min="1045" max="1045" width="11.3984375" style="94" customWidth="1"/>
    <col min="1046" max="1046" width="0" style="94" hidden="1" customWidth="1"/>
    <col min="1047" max="1047" width="9.59765625" style="94" customWidth="1"/>
    <col min="1048" max="1048" width="0" style="94" hidden="1" customWidth="1"/>
    <col min="1049" max="1050" width="13.19921875" style="94" customWidth="1"/>
    <col min="1051" max="1051" width="6.8984375" style="94" customWidth="1"/>
    <col min="1052" max="1052" width="13.19921875" style="94" customWidth="1"/>
    <col min="1053" max="1053" width="0" style="94" hidden="1" customWidth="1"/>
    <col min="1054" max="1054" width="4" style="94" customWidth="1"/>
    <col min="1055" max="1280" width="8.09765625" style="94"/>
    <col min="1281" max="1282" width="4.19921875" style="94" customWidth="1"/>
    <col min="1283" max="1283" width="11.796875" style="94" customWidth="1"/>
    <col min="1284" max="1284" width="21.796875" style="94" customWidth="1"/>
    <col min="1285" max="1286" width="9.59765625" style="94" customWidth="1"/>
    <col min="1287" max="1289" width="8.19921875" style="94" customWidth="1"/>
    <col min="1290" max="1290" width="0" style="94" hidden="1" customWidth="1"/>
    <col min="1291" max="1291" width="9.59765625" style="94" customWidth="1"/>
    <col min="1292" max="1292" width="5.5" style="94" customWidth="1"/>
    <col min="1293" max="1293" width="0" style="94" hidden="1" customWidth="1"/>
    <col min="1294" max="1295" width="13.19921875" style="94" customWidth="1"/>
    <col min="1296" max="1296" width="0.796875" style="94" customWidth="1"/>
    <col min="1297" max="1297" width="31.19921875" style="94" customWidth="1"/>
    <col min="1298" max="1298" width="20.3984375" style="94" customWidth="1"/>
    <col min="1299" max="1299" width="0" style="94" hidden="1" customWidth="1"/>
    <col min="1300" max="1300" width="5.09765625" style="94" customWidth="1"/>
    <col min="1301" max="1301" width="11.3984375" style="94" customWidth="1"/>
    <col min="1302" max="1302" width="0" style="94" hidden="1" customWidth="1"/>
    <col min="1303" max="1303" width="9.59765625" style="94" customWidth="1"/>
    <col min="1304" max="1304" width="0" style="94" hidden="1" customWidth="1"/>
    <col min="1305" max="1306" width="13.19921875" style="94" customWidth="1"/>
    <col min="1307" max="1307" width="6.8984375" style="94" customWidth="1"/>
    <col min="1308" max="1308" width="13.19921875" style="94" customWidth="1"/>
    <col min="1309" max="1309" width="0" style="94" hidden="1" customWidth="1"/>
    <col min="1310" max="1310" width="4" style="94" customWidth="1"/>
    <col min="1311" max="1536" width="8.09765625" style="94"/>
    <col min="1537" max="1538" width="4.19921875" style="94" customWidth="1"/>
    <col min="1539" max="1539" width="11.796875" style="94" customWidth="1"/>
    <col min="1540" max="1540" width="21.796875" style="94" customWidth="1"/>
    <col min="1541" max="1542" width="9.59765625" style="94" customWidth="1"/>
    <col min="1543" max="1545" width="8.19921875" style="94" customWidth="1"/>
    <col min="1546" max="1546" width="0" style="94" hidden="1" customWidth="1"/>
    <col min="1547" max="1547" width="9.59765625" style="94" customWidth="1"/>
    <col min="1548" max="1548" width="5.5" style="94" customWidth="1"/>
    <col min="1549" max="1549" width="0" style="94" hidden="1" customWidth="1"/>
    <col min="1550" max="1551" width="13.19921875" style="94" customWidth="1"/>
    <col min="1552" max="1552" width="0.796875" style="94" customWidth="1"/>
    <col min="1553" max="1553" width="31.19921875" style="94" customWidth="1"/>
    <col min="1554" max="1554" width="20.3984375" style="94" customWidth="1"/>
    <col min="1555" max="1555" width="0" style="94" hidden="1" customWidth="1"/>
    <col min="1556" max="1556" width="5.09765625" style="94" customWidth="1"/>
    <col min="1557" max="1557" width="11.3984375" style="94" customWidth="1"/>
    <col min="1558" max="1558" width="0" style="94" hidden="1" customWidth="1"/>
    <col min="1559" max="1559" width="9.59765625" style="94" customWidth="1"/>
    <col min="1560" max="1560" width="0" style="94" hidden="1" customWidth="1"/>
    <col min="1561" max="1562" width="13.19921875" style="94" customWidth="1"/>
    <col min="1563" max="1563" width="6.8984375" style="94" customWidth="1"/>
    <col min="1564" max="1564" width="13.19921875" style="94" customWidth="1"/>
    <col min="1565" max="1565" width="0" style="94" hidden="1" customWidth="1"/>
    <col min="1566" max="1566" width="4" style="94" customWidth="1"/>
    <col min="1567" max="1792" width="8.09765625" style="94"/>
    <col min="1793" max="1794" width="4.19921875" style="94" customWidth="1"/>
    <col min="1795" max="1795" width="11.796875" style="94" customWidth="1"/>
    <col min="1796" max="1796" width="21.796875" style="94" customWidth="1"/>
    <col min="1797" max="1798" width="9.59765625" style="94" customWidth="1"/>
    <col min="1799" max="1801" width="8.19921875" style="94" customWidth="1"/>
    <col min="1802" max="1802" width="0" style="94" hidden="1" customWidth="1"/>
    <col min="1803" max="1803" width="9.59765625" style="94" customWidth="1"/>
    <col min="1804" max="1804" width="5.5" style="94" customWidth="1"/>
    <col min="1805" max="1805" width="0" style="94" hidden="1" customWidth="1"/>
    <col min="1806" max="1807" width="13.19921875" style="94" customWidth="1"/>
    <col min="1808" max="1808" width="0.796875" style="94" customWidth="1"/>
    <col min="1809" max="1809" width="31.19921875" style="94" customWidth="1"/>
    <col min="1810" max="1810" width="20.3984375" style="94" customWidth="1"/>
    <col min="1811" max="1811" width="0" style="94" hidden="1" customWidth="1"/>
    <col min="1812" max="1812" width="5.09765625" style="94" customWidth="1"/>
    <col min="1813" max="1813" width="11.3984375" style="94" customWidth="1"/>
    <col min="1814" max="1814" width="0" style="94" hidden="1" customWidth="1"/>
    <col min="1815" max="1815" width="9.59765625" style="94" customWidth="1"/>
    <col min="1816" max="1816" width="0" style="94" hidden="1" customWidth="1"/>
    <col min="1817" max="1818" width="13.19921875" style="94" customWidth="1"/>
    <col min="1819" max="1819" width="6.8984375" style="94" customWidth="1"/>
    <col min="1820" max="1820" width="13.19921875" style="94" customWidth="1"/>
    <col min="1821" max="1821" width="0" style="94" hidden="1" customWidth="1"/>
    <col min="1822" max="1822" width="4" style="94" customWidth="1"/>
    <col min="1823" max="2048" width="8.09765625" style="94"/>
    <col min="2049" max="2050" width="4.19921875" style="94" customWidth="1"/>
    <col min="2051" max="2051" width="11.796875" style="94" customWidth="1"/>
    <col min="2052" max="2052" width="21.796875" style="94" customWidth="1"/>
    <col min="2053" max="2054" width="9.59765625" style="94" customWidth="1"/>
    <col min="2055" max="2057" width="8.19921875" style="94" customWidth="1"/>
    <col min="2058" max="2058" width="0" style="94" hidden="1" customWidth="1"/>
    <col min="2059" max="2059" width="9.59765625" style="94" customWidth="1"/>
    <col min="2060" max="2060" width="5.5" style="94" customWidth="1"/>
    <col min="2061" max="2061" width="0" style="94" hidden="1" customWidth="1"/>
    <col min="2062" max="2063" width="13.19921875" style="94" customWidth="1"/>
    <col min="2064" max="2064" width="0.796875" style="94" customWidth="1"/>
    <col min="2065" max="2065" width="31.19921875" style="94" customWidth="1"/>
    <col min="2066" max="2066" width="20.3984375" style="94" customWidth="1"/>
    <col min="2067" max="2067" width="0" style="94" hidden="1" customWidth="1"/>
    <col min="2068" max="2068" width="5.09765625" style="94" customWidth="1"/>
    <col min="2069" max="2069" width="11.3984375" style="94" customWidth="1"/>
    <col min="2070" max="2070" width="0" style="94" hidden="1" customWidth="1"/>
    <col min="2071" max="2071" width="9.59765625" style="94" customWidth="1"/>
    <col min="2072" max="2072" width="0" style="94" hidden="1" customWidth="1"/>
    <col min="2073" max="2074" width="13.19921875" style="94" customWidth="1"/>
    <col min="2075" max="2075" width="6.8984375" style="94" customWidth="1"/>
    <col min="2076" max="2076" width="13.19921875" style="94" customWidth="1"/>
    <col min="2077" max="2077" width="0" style="94" hidden="1" customWidth="1"/>
    <col min="2078" max="2078" width="4" style="94" customWidth="1"/>
    <col min="2079" max="2304" width="8.09765625" style="94"/>
    <col min="2305" max="2306" width="4.19921875" style="94" customWidth="1"/>
    <col min="2307" max="2307" width="11.796875" style="94" customWidth="1"/>
    <col min="2308" max="2308" width="21.796875" style="94" customWidth="1"/>
    <col min="2309" max="2310" width="9.59765625" style="94" customWidth="1"/>
    <col min="2311" max="2313" width="8.19921875" style="94" customWidth="1"/>
    <col min="2314" max="2314" width="0" style="94" hidden="1" customWidth="1"/>
    <col min="2315" max="2315" width="9.59765625" style="94" customWidth="1"/>
    <col min="2316" max="2316" width="5.5" style="94" customWidth="1"/>
    <col min="2317" max="2317" width="0" style="94" hidden="1" customWidth="1"/>
    <col min="2318" max="2319" width="13.19921875" style="94" customWidth="1"/>
    <col min="2320" max="2320" width="0.796875" style="94" customWidth="1"/>
    <col min="2321" max="2321" width="31.19921875" style="94" customWidth="1"/>
    <col min="2322" max="2322" width="20.3984375" style="94" customWidth="1"/>
    <col min="2323" max="2323" width="0" style="94" hidden="1" customWidth="1"/>
    <col min="2324" max="2324" width="5.09765625" style="94" customWidth="1"/>
    <col min="2325" max="2325" width="11.3984375" style="94" customWidth="1"/>
    <col min="2326" max="2326" width="0" style="94" hidden="1" customWidth="1"/>
    <col min="2327" max="2327" width="9.59765625" style="94" customWidth="1"/>
    <col min="2328" max="2328" width="0" style="94" hidden="1" customWidth="1"/>
    <col min="2329" max="2330" width="13.19921875" style="94" customWidth="1"/>
    <col min="2331" max="2331" width="6.8984375" style="94" customWidth="1"/>
    <col min="2332" max="2332" width="13.19921875" style="94" customWidth="1"/>
    <col min="2333" max="2333" width="0" style="94" hidden="1" customWidth="1"/>
    <col min="2334" max="2334" width="4" style="94" customWidth="1"/>
    <col min="2335" max="2560" width="8.09765625" style="94"/>
    <col min="2561" max="2562" width="4.19921875" style="94" customWidth="1"/>
    <col min="2563" max="2563" width="11.796875" style="94" customWidth="1"/>
    <col min="2564" max="2564" width="21.796875" style="94" customWidth="1"/>
    <col min="2565" max="2566" width="9.59765625" style="94" customWidth="1"/>
    <col min="2567" max="2569" width="8.19921875" style="94" customWidth="1"/>
    <col min="2570" max="2570" width="0" style="94" hidden="1" customWidth="1"/>
    <col min="2571" max="2571" width="9.59765625" style="94" customWidth="1"/>
    <col min="2572" max="2572" width="5.5" style="94" customWidth="1"/>
    <col min="2573" max="2573" width="0" style="94" hidden="1" customWidth="1"/>
    <col min="2574" max="2575" width="13.19921875" style="94" customWidth="1"/>
    <col min="2576" max="2576" width="0.796875" style="94" customWidth="1"/>
    <col min="2577" max="2577" width="31.19921875" style="94" customWidth="1"/>
    <col min="2578" max="2578" width="20.3984375" style="94" customWidth="1"/>
    <col min="2579" max="2579" width="0" style="94" hidden="1" customWidth="1"/>
    <col min="2580" max="2580" width="5.09765625" style="94" customWidth="1"/>
    <col min="2581" max="2581" width="11.3984375" style="94" customWidth="1"/>
    <col min="2582" max="2582" width="0" style="94" hidden="1" customWidth="1"/>
    <col min="2583" max="2583" width="9.59765625" style="94" customWidth="1"/>
    <col min="2584" max="2584" width="0" style="94" hidden="1" customWidth="1"/>
    <col min="2585" max="2586" width="13.19921875" style="94" customWidth="1"/>
    <col min="2587" max="2587" width="6.8984375" style="94" customWidth="1"/>
    <col min="2588" max="2588" width="13.19921875" style="94" customWidth="1"/>
    <col min="2589" max="2589" width="0" style="94" hidden="1" customWidth="1"/>
    <col min="2590" max="2590" width="4" style="94" customWidth="1"/>
    <col min="2591" max="2816" width="8.09765625" style="94"/>
    <col min="2817" max="2818" width="4.19921875" style="94" customWidth="1"/>
    <col min="2819" max="2819" width="11.796875" style="94" customWidth="1"/>
    <col min="2820" max="2820" width="21.796875" style="94" customWidth="1"/>
    <col min="2821" max="2822" width="9.59765625" style="94" customWidth="1"/>
    <col min="2823" max="2825" width="8.19921875" style="94" customWidth="1"/>
    <col min="2826" max="2826" width="0" style="94" hidden="1" customWidth="1"/>
    <col min="2827" max="2827" width="9.59765625" style="94" customWidth="1"/>
    <col min="2828" max="2828" width="5.5" style="94" customWidth="1"/>
    <col min="2829" max="2829" width="0" style="94" hidden="1" customWidth="1"/>
    <col min="2830" max="2831" width="13.19921875" style="94" customWidth="1"/>
    <col min="2832" max="2832" width="0.796875" style="94" customWidth="1"/>
    <col min="2833" max="2833" width="31.19921875" style="94" customWidth="1"/>
    <col min="2834" max="2834" width="20.3984375" style="94" customWidth="1"/>
    <col min="2835" max="2835" width="0" style="94" hidden="1" customWidth="1"/>
    <col min="2836" max="2836" width="5.09765625" style="94" customWidth="1"/>
    <col min="2837" max="2837" width="11.3984375" style="94" customWidth="1"/>
    <col min="2838" max="2838" width="0" style="94" hidden="1" customWidth="1"/>
    <col min="2839" max="2839" width="9.59765625" style="94" customWidth="1"/>
    <col min="2840" max="2840" width="0" style="94" hidden="1" customWidth="1"/>
    <col min="2841" max="2842" width="13.19921875" style="94" customWidth="1"/>
    <col min="2843" max="2843" width="6.8984375" style="94" customWidth="1"/>
    <col min="2844" max="2844" width="13.19921875" style="94" customWidth="1"/>
    <col min="2845" max="2845" width="0" style="94" hidden="1" customWidth="1"/>
    <col min="2846" max="2846" width="4" style="94" customWidth="1"/>
    <col min="2847" max="3072" width="8.09765625" style="94"/>
    <col min="3073" max="3074" width="4.19921875" style="94" customWidth="1"/>
    <col min="3075" max="3075" width="11.796875" style="94" customWidth="1"/>
    <col min="3076" max="3076" width="21.796875" style="94" customWidth="1"/>
    <col min="3077" max="3078" width="9.59765625" style="94" customWidth="1"/>
    <col min="3079" max="3081" width="8.19921875" style="94" customWidth="1"/>
    <col min="3082" max="3082" width="0" style="94" hidden="1" customWidth="1"/>
    <col min="3083" max="3083" width="9.59765625" style="94" customWidth="1"/>
    <col min="3084" max="3084" width="5.5" style="94" customWidth="1"/>
    <col min="3085" max="3085" width="0" style="94" hidden="1" customWidth="1"/>
    <col min="3086" max="3087" width="13.19921875" style="94" customWidth="1"/>
    <col min="3088" max="3088" width="0.796875" style="94" customWidth="1"/>
    <col min="3089" max="3089" width="31.19921875" style="94" customWidth="1"/>
    <col min="3090" max="3090" width="20.3984375" style="94" customWidth="1"/>
    <col min="3091" max="3091" width="0" style="94" hidden="1" customWidth="1"/>
    <col min="3092" max="3092" width="5.09765625" style="94" customWidth="1"/>
    <col min="3093" max="3093" width="11.3984375" style="94" customWidth="1"/>
    <col min="3094" max="3094" width="0" style="94" hidden="1" customWidth="1"/>
    <col min="3095" max="3095" width="9.59765625" style="94" customWidth="1"/>
    <col min="3096" max="3096" width="0" style="94" hidden="1" customWidth="1"/>
    <col min="3097" max="3098" width="13.19921875" style="94" customWidth="1"/>
    <col min="3099" max="3099" width="6.8984375" style="94" customWidth="1"/>
    <col min="3100" max="3100" width="13.19921875" style="94" customWidth="1"/>
    <col min="3101" max="3101" width="0" style="94" hidden="1" customWidth="1"/>
    <col min="3102" max="3102" width="4" style="94" customWidth="1"/>
    <col min="3103" max="3328" width="8.09765625" style="94"/>
    <col min="3329" max="3330" width="4.19921875" style="94" customWidth="1"/>
    <col min="3331" max="3331" width="11.796875" style="94" customWidth="1"/>
    <col min="3332" max="3332" width="21.796875" style="94" customWidth="1"/>
    <col min="3333" max="3334" width="9.59765625" style="94" customWidth="1"/>
    <col min="3335" max="3337" width="8.19921875" style="94" customWidth="1"/>
    <col min="3338" max="3338" width="0" style="94" hidden="1" customWidth="1"/>
    <col min="3339" max="3339" width="9.59765625" style="94" customWidth="1"/>
    <col min="3340" max="3340" width="5.5" style="94" customWidth="1"/>
    <col min="3341" max="3341" width="0" style="94" hidden="1" customWidth="1"/>
    <col min="3342" max="3343" width="13.19921875" style="94" customWidth="1"/>
    <col min="3344" max="3344" width="0.796875" style="94" customWidth="1"/>
    <col min="3345" max="3345" width="31.19921875" style="94" customWidth="1"/>
    <col min="3346" max="3346" width="20.3984375" style="94" customWidth="1"/>
    <col min="3347" max="3347" width="0" style="94" hidden="1" customWidth="1"/>
    <col min="3348" max="3348" width="5.09765625" style="94" customWidth="1"/>
    <col min="3349" max="3349" width="11.3984375" style="94" customWidth="1"/>
    <col min="3350" max="3350" width="0" style="94" hidden="1" customWidth="1"/>
    <col min="3351" max="3351" width="9.59765625" style="94" customWidth="1"/>
    <col min="3352" max="3352" width="0" style="94" hidden="1" customWidth="1"/>
    <col min="3353" max="3354" width="13.19921875" style="94" customWidth="1"/>
    <col min="3355" max="3355" width="6.8984375" style="94" customWidth="1"/>
    <col min="3356" max="3356" width="13.19921875" style="94" customWidth="1"/>
    <col min="3357" max="3357" width="0" style="94" hidden="1" customWidth="1"/>
    <col min="3358" max="3358" width="4" style="94" customWidth="1"/>
    <col min="3359" max="3584" width="8.09765625" style="94"/>
    <col min="3585" max="3586" width="4.19921875" style="94" customWidth="1"/>
    <col min="3587" max="3587" width="11.796875" style="94" customWidth="1"/>
    <col min="3588" max="3588" width="21.796875" style="94" customWidth="1"/>
    <col min="3589" max="3590" width="9.59765625" style="94" customWidth="1"/>
    <col min="3591" max="3593" width="8.19921875" style="94" customWidth="1"/>
    <col min="3594" max="3594" width="0" style="94" hidden="1" customWidth="1"/>
    <col min="3595" max="3595" width="9.59765625" style="94" customWidth="1"/>
    <col min="3596" max="3596" width="5.5" style="94" customWidth="1"/>
    <col min="3597" max="3597" width="0" style="94" hidden="1" customWidth="1"/>
    <col min="3598" max="3599" width="13.19921875" style="94" customWidth="1"/>
    <col min="3600" max="3600" width="0.796875" style="94" customWidth="1"/>
    <col min="3601" max="3601" width="31.19921875" style="94" customWidth="1"/>
    <col min="3602" max="3602" width="20.3984375" style="94" customWidth="1"/>
    <col min="3603" max="3603" width="0" style="94" hidden="1" customWidth="1"/>
    <col min="3604" max="3604" width="5.09765625" style="94" customWidth="1"/>
    <col min="3605" max="3605" width="11.3984375" style="94" customWidth="1"/>
    <col min="3606" max="3606" width="0" style="94" hidden="1" customWidth="1"/>
    <col min="3607" max="3607" width="9.59765625" style="94" customWidth="1"/>
    <col min="3608" max="3608" width="0" style="94" hidden="1" customWidth="1"/>
    <col min="3609" max="3610" width="13.19921875" style="94" customWidth="1"/>
    <col min="3611" max="3611" width="6.8984375" style="94" customWidth="1"/>
    <col min="3612" max="3612" width="13.19921875" style="94" customWidth="1"/>
    <col min="3613" max="3613" width="0" style="94" hidden="1" customWidth="1"/>
    <col min="3614" max="3614" width="4" style="94" customWidth="1"/>
    <col min="3615" max="3840" width="8.09765625" style="94"/>
    <col min="3841" max="3842" width="4.19921875" style="94" customWidth="1"/>
    <col min="3843" max="3843" width="11.796875" style="94" customWidth="1"/>
    <col min="3844" max="3844" width="21.796875" style="94" customWidth="1"/>
    <col min="3845" max="3846" width="9.59765625" style="94" customWidth="1"/>
    <col min="3847" max="3849" width="8.19921875" style="94" customWidth="1"/>
    <col min="3850" max="3850" width="0" style="94" hidden="1" customWidth="1"/>
    <col min="3851" max="3851" width="9.59765625" style="94" customWidth="1"/>
    <col min="3852" max="3852" width="5.5" style="94" customWidth="1"/>
    <col min="3853" max="3853" width="0" style="94" hidden="1" customWidth="1"/>
    <col min="3854" max="3855" width="13.19921875" style="94" customWidth="1"/>
    <col min="3856" max="3856" width="0.796875" style="94" customWidth="1"/>
    <col min="3857" max="3857" width="31.19921875" style="94" customWidth="1"/>
    <col min="3858" max="3858" width="20.3984375" style="94" customWidth="1"/>
    <col min="3859" max="3859" width="0" style="94" hidden="1" customWidth="1"/>
    <col min="3860" max="3860" width="5.09765625" style="94" customWidth="1"/>
    <col min="3861" max="3861" width="11.3984375" style="94" customWidth="1"/>
    <col min="3862" max="3862" width="0" style="94" hidden="1" customWidth="1"/>
    <col min="3863" max="3863" width="9.59765625" style="94" customWidth="1"/>
    <col min="3864" max="3864" width="0" style="94" hidden="1" customWidth="1"/>
    <col min="3865" max="3866" width="13.19921875" style="94" customWidth="1"/>
    <col min="3867" max="3867" width="6.8984375" style="94" customWidth="1"/>
    <col min="3868" max="3868" width="13.19921875" style="94" customWidth="1"/>
    <col min="3869" max="3869" width="0" style="94" hidden="1" customWidth="1"/>
    <col min="3870" max="3870" width="4" style="94" customWidth="1"/>
    <col min="3871" max="4096" width="8.09765625" style="94"/>
    <col min="4097" max="4098" width="4.19921875" style="94" customWidth="1"/>
    <col min="4099" max="4099" width="11.796875" style="94" customWidth="1"/>
    <col min="4100" max="4100" width="21.796875" style="94" customWidth="1"/>
    <col min="4101" max="4102" width="9.59765625" style="94" customWidth="1"/>
    <col min="4103" max="4105" width="8.19921875" style="94" customWidth="1"/>
    <col min="4106" max="4106" width="0" style="94" hidden="1" customWidth="1"/>
    <col min="4107" max="4107" width="9.59765625" style="94" customWidth="1"/>
    <col min="4108" max="4108" width="5.5" style="94" customWidth="1"/>
    <col min="4109" max="4109" width="0" style="94" hidden="1" customWidth="1"/>
    <col min="4110" max="4111" width="13.19921875" style="94" customWidth="1"/>
    <col min="4112" max="4112" width="0.796875" style="94" customWidth="1"/>
    <col min="4113" max="4113" width="31.19921875" style="94" customWidth="1"/>
    <col min="4114" max="4114" width="20.3984375" style="94" customWidth="1"/>
    <col min="4115" max="4115" width="0" style="94" hidden="1" customWidth="1"/>
    <col min="4116" max="4116" width="5.09765625" style="94" customWidth="1"/>
    <col min="4117" max="4117" width="11.3984375" style="94" customWidth="1"/>
    <col min="4118" max="4118" width="0" style="94" hidden="1" customWidth="1"/>
    <col min="4119" max="4119" width="9.59765625" style="94" customWidth="1"/>
    <col min="4120" max="4120" width="0" style="94" hidden="1" customWidth="1"/>
    <col min="4121" max="4122" width="13.19921875" style="94" customWidth="1"/>
    <col min="4123" max="4123" width="6.8984375" style="94" customWidth="1"/>
    <col min="4124" max="4124" width="13.19921875" style="94" customWidth="1"/>
    <col min="4125" max="4125" width="0" style="94" hidden="1" customWidth="1"/>
    <col min="4126" max="4126" width="4" style="94" customWidth="1"/>
    <col min="4127" max="4352" width="8.09765625" style="94"/>
    <col min="4353" max="4354" width="4.19921875" style="94" customWidth="1"/>
    <col min="4355" max="4355" width="11.796875" style="94" customWidth="1"/>
    <col min="4356" max="4356" width="21.796875" style="94" customWidth="1"/>
    <col min="4357" max="4358" width="9.59765625" style="94" customWidth="1"/>
    <col min="4359" max="4361" width="8.19921875" style="94" customWidth="1"/>
    <col min="4362" max="4362" width="0" style="94" hidden="1" customWidth="1"/>
    <col min="4363" max="4363" width="9.59765625" style="94" customWidth="1"/>
    <col min="4364" max="4364" width="5.5" style="94" customWidth="1"/>
    <col min="4365" max="4365" width="0" style="94" hidden="1" customWidth="1"/>
    <col min="4366" max="4367" width="13.19921875" style="94" customWidth="1"/>
    <col min="4368" max="4368" width="0.796875" style="94" customWidth="1"/>
    <col min="4369" max="4369" width="31.19921875" style="94" customWidth="1"/>
    <col min="4370" max="4370" width="20.3984375" style="94" customWidth="1"/>
    <col min="4371" max="4371" width="0" style="94" hidden="1" customWidth="1"/>
    <col min="4372" max="4372" width="5.09765625" style="94" customWidth="1"/>
    <col min="4373" max="4373" width="11.3984375" style="94" customWidth="1"/>
    <col min="4374" max="4374" width="0" style="94" hidden="1" customWidth="1"/>
    <col min="4375" max="4375" width="9.59765625" style="94" customWidth="1"/>
    <col min="4376" max="4376" width="0" style="94" hidden="1" customWidth="1"/>
    <col min="4377" max="4378" width="13.19921875" style="94" customWidth="1"/>
    <col min="4379" max="4379" width="6.8984375" style="94" customWidth="1"/>
    <col min="4380" max="4380" width="13.19921875" style="94" customWidth="1"/>
    <col min="4381" max="4381" width="0" style="94" hidden="1" customWidth="1"/>
    <col min="4382" max="4382" width="4" style="94" customWidth="1"/>
    <col min="4383" max="4608" width="8.09765625" style="94"/>
    <col min="4609" max="4610" width="4.19921875" style="94" customWidth="1"/>
    <col min="4611" max="4611" width="11.796875" style="94" customWidth="1"/>
    <col min="4612" max="4612" width="21.796875" style="94" customWidth="1"/>
    <col min="4613" max="4614" width="9.59765625" style="94" customWidth="1"/>
    <col min="4615" max="4617" width="8.19921875" style="94" customWidth="1"/>
    <col min="4618" max="4618" width="0" style="94" hidden="1" customWidth="1"/>
    <col min="4619" max="4619" width="9.59765625" style="94" customWidth="1"/>
    <col min="4620" max="4620" width="5.5" style="94" customWidth="1"/>
    <col min="4621" max="4621" width="0" style="94" hidden="1" customWidth="1"/>
    <col min="4622" max="4623" width="13.19921875" style="94" customWidth="1"/>
    <col min="4624" max="4624" width="0.796875" style="94" customWidth="1"/>
    <col min="4625" max="4625" width="31.19921875" style="94" customWidth="1"/>
    <col min="4626" max="4626" width="20.3984375" style="94" customWidth="1"/>
    <col min="4627" max="4627" width="0" style="94" hidden="1" customWidth="1"/>
    <col min="4628" max="4628" width="5.09765625" style="94" customWidth="1"/>
    <col min="4629" max="4629" width="11.3984375" style="94" customWidth="1"/>
    <col min="4630" max="4630" width="0" style="94" hidden="1" customWidth="1"/>
    <col min="4631" max="4631" width="9.59765625" style="94" customWidth="1"/>
    <col min="4632" max="4632" width="0" style="94" hidden="1" customWidth="1"/>
    <col min="4633" max="4634" width="13.19921875" style="94" customWidth="1"/>
    <col min="4635" max="4635" width="6.8984375" style="94" customWidth="1"/>
    <col min="4636" max="4636" width="13.19921875" style="94" customWidth="1"/>
    <col min="4637" max="4637" width="0" style="94" hidden="1" customWidth="1"/>
    <col min="4638" max="4638" width="4" style="94" customWidth="1"/>
    <col min="4639" max="4864" width="8.09765625" style="94"/>
    <col min="4865" max="4866" width="4.19921875" style="94" customWidth="1"/>
    <col min="4867" max="4867" width="11.796875" style="94" customWidth="1"/>
    <col min="4868" max="4868" width="21.796875" style="94" customWidth="1"/>
    <col min="4869" max="4870" width="9.59765625" style="94" customWidth="1"/>
    <col min="4871" max="4873" width="8.19921875" style="94" customWidth="1"/>
    <col min="4874" max="4874" width="0" style="94" hidden="1" customWidth="1"/>
    <col min="4875" max="4875" width="9.59765625" style="94" customWidth="1"/>
    <col min="4876" max="4876" width="5.5" style="94" customWidth="1"/>
    <col min="4877" max="4877" width="0" style="94" hidden="1" customWidth="1"/>
    <col min="4878" max="4879" width="13.19921875" style="94" customWidth="1"/>
    <col min="4880" max="4880" width="0.796875" style="94" customWidth="1"/>
    <col min="4881" max="4881" width="31.19921875" style="94" customWidth="1"/>
    <col min="4882" max="4882" width="20.3984375" style="94" customWidth="1"/>
    <col min="4883" max="4883" width="0" style="94" hidden="1" customWidth="1"/>
    <col min="4884" max="4884" width="5.09765625" style="94" customWidth="1"/>
    <col min="4885" max="4885" width="11.3984375" style="94" customWidth="1"/>
    <col min="4886" max="4886" width="0" style="94" hidden="1" customWidth="1"/>
    <col min="4887" max="4887" width="9.59765625" style="94" customWidth="1"/>
    <col min="4888" max="4888" width="0" style="94" hidden="1" customWidth="1"/>
    <col min="4889" max="4890" width="13.19921875" style="94" customWidth="1"/>
    <col min="4891" max="4891" width="6.8984375" style="94" customWidth="1"/>
    <col min="4892" max="4892" width="13.19921875" style="94" customWidth="1"/>
    <col min="4893" max="4893" width="0" style="94" hidden="1" customWidth="1"/>
    <col min="4894" max="4894" width="4" style="94" customWidth="1"/>
    <col min="4895" max="5120" width="8.09765625" style="94"/>
    <col min="5121" max="5122" width="4.19921875" style="94" customWidth="1"/>
    <col min="5123" max="5123" width="11.796875" style="94" customWidth="1"/>
    <col min="5124" max="5124" width="21.796875" style="94" customWidth="1"/>
    <col min="5125" max="5126" width="9.59765625" style="94" customWidth="1"/>
    <col min="5127" max="5129" width="8.19921875" style="94" customWidth="1"/>
    <col min="5130" max="5130" width="0" style="94" hidden="1" customWidth="1"/>
    <col min="5131" max="5131" width="9.59765625" style="94" customWidth="1"/>
    <col min="5132" max="5132" width="5.5" style="94" customWidth="1"/>
    <col min="5133" max="5133" width="0" style="94" hidden="1" customWidth="1"/>
    <col min="5134" max="5135" width="13.19921875" style="94" customWidth="1"/>
    <col min="5136" max="5136" width="0.796875" style="94" customWidth="1"/>
    <col min="5137" max="5137" width="31.19921875" style="94" customWidth="1"/>
    <col min="5138" max="5138" width="20.3984375" style="94" customWidth="1"/>
    <col min="5139" max="5139" width="0" style="94" hidden="1" customWidth="1"/>
    <col min="5140" max="5140" width="5.09765625" style="94" customWidth="1"/>
    <col min="5141" max="5141" width="11.3984375" style="94" customWidth="1"/>
    <col min="5142" max="5142" width="0" style="94" hidden="1" customWidth="1"/>
    <col min="5143" max="5143" width="9.59765625" style="94" customWidth="1"/>
    <col min="5144" max="5144" width="0" style="94" hidden="1" customWidth="1"/>
    <col min="5145" max="5146" width="13.19921875" style="94" customWidth="1"/>
    <col min="5147" max="5147" width="6.8984375" style="94" customWidth="1"/>
    <col min="5148" max="5148" width="13.19921875" style="94" customWidth="1"/>
    <col min="5149" max="5149" width="0" style="94" hidden="1" customWidth="1"/>
    <col min="5150" max="5150" width="4" style="94" customWidth="1"/>
    <col min="5151" max="5376" width="8.09765625" style="94"/>
    <col min="5377" max="5378" width="4.19921875" style="94" customWidth="1"/>
    <col min="5379" max="5379" width="11.796875" style="94" customWidth="1"/>
    <col min="5380" max="5380" width="21.796875" style="94" customWidth="1"/>
    <col min="5381" max="5382" width="9.59765625" style="94" customWidth="1"/>
    <col min="5383" max="5385" width="8.19921875" style="94" customWidth="1"/>
    <col min="5386" max="5386" width="0" style="94" hidden="1" customWidth="1"/>
    <col min="5387" max="5387" width="9.59765625" style="94" customWidth="1"/>
    <col min="5388" max="5388" width="5.5" style="94" customWidth="1"/>
    <col min="5389" max="5389" width="0" style="94" hidden="1" customWidth="1"/>
    <col min="5390" max="5391" width="13.19921875" style="94" customWidth="1"/>
    <col min="5392" max="5392" width="0.796875" style="94" customWidth="1"/>
    <col min="5393" max="5393" width="31.19921875" style="94" customWidth="1"/>
    <col min="5394" max="5394" width="20.3984375" style="94" customWidth="1"/>
    <col min="5395" max="5395" width="0" style="94" hidden="1" customWidth="1"/>
    <col min="5396" max="5396" width="5.09765625" style="94" customWidth="1"/>
    <col min="5397" max="5397" width="11.3984375" style="94" customWidth="1"/>
    <col min="5398" max="5398" width="0" style="94" hidden="1" customWidth="1"/>
    <col min="5399" max="5399" width="9.59765625" style="94" customWidth="1"/>
    <col min="5400" max="5400" width="0" style="94" hidden="1" customWidth="1"/>
    <col min="5401" max="5402" width="13.19921875" style="94" customWidth="1"/>
    <col min="5403" max="5403" width="6.8984375" style="94" customWidth="1"/>
    <col min="5404" max="5404" width="13.19921875" style="94" customWidth="1"/>
    <col min="5405" max="5405" width="0" style="94" hidden="1" customWidth="1"/>
    <col min="5406" max="5406" width="4" style="94" customWidth="1"/>
    <col min="5407" max="5632" width="8.09765625" style="94"/>
    <col min="5633" max="5634" width="4.19921875" style="94" customWidth="1"/>
    <col min="5635" max="5635" width="11.796875" style="94" customWidth="1"/>
    <col min="5636" max="5636" width="21.796875" style="94" customWidth="1"/>
    <col min="5637" max="5638" width="9.59765625" style="94" customWidth="1"/>
    <col min="5639" max="5641" width="8.19921875" style="94" customWidth="1"/>
    <col min="5642" max="5642" width="0" style="94" hidden="1" customWidth="1"/>
    <col min="5643" max="5643" width="9.59765625" style="94" customWidth="1"/>
    <col min="5644" max="5644" width="5.5" style="94" customWidth="1"/>
    <col min="5645" max="5645" width="0" style="94" hidden="1" customWidth="1"/>
    <col min="5646" max="5647" width="13.19921875" style="94" customWidth="1"/>
    <col min="5648" max="5648" width="0.796875" style="94" customWidth="1"/>
    <col min="5649" max="5649" width="31.19921875" style="94" customWidth="1"/>
    <col min="5650" max="5650" width="20.3984375" style="94" customWidth="1"/>
    <col min="5651" max="5651" width="0" style="94" hidden="1" customWidth="1"/>
    <col min="5652" max="5652" width="5.09765625" style="94" customWidth="1"/>
    <col min="5653" max="5653" width="11.3984375" style="94" customWidth="1"/>
    <col min="5654" max="5654" width="0" style="94" hidden="1" customWidth="1"/>
    <col min="5655" max="5655" width="9.59765625" style="94" customWidth="1"/>
    <col min="5656" max="5656" width="0" style="94" hidden="1" customWidth="1"/>
    <col min="5657" max="5658" width="13.19921875" style="94" customWidth="1"/>
    <col min="5659" max="5659" width="6.8984375" style="94" customWidth="1"/>
    <col min="5660" max="5660" width="13.19921875" style="94" customWidth="1"/>
    <col min="5661" max="5661" width="0" style="94" hidden="1" customWidth="1"/>
    <col min="5662" max="5662" width="4" style="94" customWidth="1"/>
    <col min="5663" max="5888" width="8.09765625" style="94"/>
    <col min="5889" max="5890" width="4.19921875" style="94" customWidth="1"/>
    <col min="5891" max="5891" width="11.796875" style="94" customWidth="1"/>
    <col min="5892" max="5892" width="21.796875" style="94" customWidth="1"/>
    <col min="5893" max="5894" width="9.59765625" style="94" customWidth="1"/>
    <col min="5895" max="5897" width="8.19921875" style="94" customWidth="1"/>
    <col min="5898" max="5898" width="0" style="94" hidden="1" customWidth="1"/>
    <col min="5899" max="5899" width="9.59765625" style="94" customWidth="1"/>
    <col min="5900" max="5900" width="5.5" style="94" customWidth="1"/>
    <col min="5901" max="5901" width="0" style="94" hidden="1" customWidth="1"/>
    <col min="5902" max="5903" width="13.19921875" style="94" customWidth="1"/>
    <col min="5904" max="5904" width="0.796875" style="94" customWidth="1"/>
    <col min="5905" max="5905" width="31.19921875" style="94" customWidth="1"/>
    <col min="5906" max="5906" width="20.3984375" style="94" customWidth="1"/>
    <col min="5907" max="5907" width="0" style="94" hidden="1" customWidth="1"/>
    <col min="5908" max="5908" width="5.09765625" style="94" customWidth="1"/>
    <col min="5909" max="5909" width="11.3984375" style="94" customWidth="1"/>
    <col min="5910" max="5910" width="0" style="94" hidden="1" customWidth="1"/>
    <col min="5911" max="5911" width="9.59765625" style="94" customWidth="1"/>
    <col min="5912" max="5912" width="0" style="94" hidden="1" customWidth="1"/>
    <col min="5913" max="5914" width="13.19921875" style="94" customWidth="1"/>
    <col min="5915" max="5915" width="6.8984375" style="94" customWidth="1"/>
    <col min="5916" max="5916" width="13.19921875" style="94" customWidth="1"/>
    <col min="5917" max="5917" width="0" style="94" hidden="1" customWidth="1"/>
    <col min="5918" max="5918" width="4" style="94" customWidth="1"/>
    <col min="5919" max="6144" width="8.09765625" style="94"/>
    <col min="6145" max="6146" width="4.19921875" style="94" customWidth="1"/>
    <col min="6147" max="6147" width="11.796875" style="94" customWidth="1"/>
    <col min="6148" max="6148" width="21.796875" style="94" customWidth="1"/>
    <col min="6149" max="6150" width="9.59765625" style="94" customWidth="1"/>
    <col min="6151" max="6153" width="8.19921875" style="94" customWidth="1"/>
    <col min="6154" max="6154" width="0" style="94" hidden="1" customWidth="1"/>
    <col min="6155" max="6155" width="9.59765625" style="94" customWidth="1"/>
    <col min="6156" max="6156" width="5.5" style="94" customWidth="1"/>
    <col min="6157" max="6157" width="0" style="94" hidden="1" customWidth="1"/>
    <col min="6158" max="6159" width="13.19921875" style="94" customWidth="1"/>
    <col min="6160" max="6160" width="0.796875" style="94" customWidth="1"/>
    <col min="6161" max="6161" width="31.19921875" style="94" customWidth="1"/>
    <col min="6162" max="6162" width="20.3984375" style="94" customWidth="1"/>
    <col min="6163" max="6163" width="0" style="94" hidden="1" customWidth="1"/>
    <col min="6164" max="6164" width="5.09765625" style="94" customWidth="1"/>
    <col min="6165" max="6165" width="11.3984375" style="94" customWidth="1"/>
    <col min="6166" max="6166" width="0" style="94" hidden="1" customWidth="1"/>
    <col min="6167" max="6167" width="9.59765625" style="94" customWidth="1"/>
    <col min="6168" max="6168" width="0" style="94" hidden="1" customWidth="1"/>
    <col min="6169" max="6170" width="13.19921875" style="94" customWidth="1"/>
    <col min="6171" max="6171" width="6.8984375" style="94" customWidth="1"/>
    <col min="6172" max="6172" width="13.19921875" style="94" customWidth="1"/>
    <col min="6173" max="6173" width="0" style="94" hidden="1" customWidth="1"/>
    <col min="6174" max="6174" width="4" style="94" customWidth="1"/>
    <col min="6175" max="6400" width="8.09765625" style="94"/>
    <col min="6401" max="6402" width="4.19921875" style="94" customWidth="1"/>
    <col min="6403" max="6403" width="11.796875" style="94" customWidth="1"/>
    <col min="6404" max="6404" width="21.796875" style="94" customWidth="1"/>
    <col min="6405" max="6406" width="9.59765625" style="94" customWidth="1"/>
    <col min="6407" max="6409" width="8.19921875" style="94" customWidth="1"/>
    <col min="6410" max="6410" width="0" style="94" hidden="1" customWidth="1"/>
    <col min="6411" max="6411" width="9.59765625" style="94" customWidth="1"/>
    <col min="6412" max="6412" width="5.5" style="94" customWidth="1"/>
    <col min="6413" max="6413" width="0" style="94" hidden="1" customWidth="1"/>
    <col min="6414" max="6415" width="13.19921875" style="94" customWidth="1"/>
    <col min="6416" max="6416" width="0.796875" style="94" customWidth="1"/>
    <col min="6417" max="6417" width="31.19921875" style="94" customWidth="1"/>
    <col min="6418" max="6418" width="20.3984375" style="94" customWidth="1"/>
    <col min="6419" max="6419" width="0" style="94" hidden="1" customWidth="1"/>
    <col min="6420" max="6420" width="5.09765625" style="94" customWidth="1"/>
    <col min="6421" max="6421" width="11.3984375" style="94" customWidth="1"/>
    <col min="6422" max="6422" width="0" style="94" hidden="1" customWidth="1"/>
    <col min="6423" max="6423" width="9.59765625" style="94" customWidth="1"/>
    <col min="6424" max="6424" width="0" style="94" hidden="1" customWidth="1"/>
    <col min="6425" max="6426" width="13.19921875" style="94" customWidth="1"/>
    <col min="6427" max="6427" width="6.8984375" style="94" customWidth="1"/>
    <col min="6428" max="6428" width="13.19921875" style="94" customWidth="1"/>
    <col min="6429" max="6429" width="0" style="94" hidden="1" customWidth="1"/>
    <col min="6430" max="6430" width="4" style="94" customWidth="1"/>
    <col min="6431" max="6656" width="8.09765625" style="94"/>
    <col min="6657" max="6658" width="4.19921875" style="94" customWidth="1"/>
    <col min="6659" max="6659" width="11.796875" style="94" customWidth="1"/>
    <col min="6660" max="6660" width="21.796875" style="94" customWidth="1"/>
    <col min="6661" max="6662" width="9.59765625" style="94" customWidth="1"/>
    <col min="6663" max="6665" width="8.19921875" style="94" customWidth="1"/>
    <col min="6666" max="6666" width="0" style="94" hidden="1" customWidth="1"/>
    <col min="6667" max="6667" width="9.59765625" style="94" customWidth="1"/>
    <col min="6668" max="6668" width="5.5" style="94" customWidth="1"/>
    <col min="6669" max="6669" width="0" style="94" hidden="1" customWidth="1"/>
    <col min="6670" max="6671" width="13.19921875" style="94" customWidth="1"/>
    <col min="6672" max="6672" width="0.796875" style="94" customWidth="1"/>
    <col min="6673" max="6673" width="31.19921875" style="94" customWidth="1"/>
    <col min="6674" max="6674" width="20.3984375" style="94" customWidth="1"/>
    <col min="6675" max="6675" width="0" style="94" hidden="1" customWidth="1"/>
    <col min="6676" max="6676" width="5.09765625" style="94" customWidth="1"/>
    <col min="6677" max="6677" width="11.3984375" style="94" customWidth="1"/>
    <col min="6678" max="6678" width="0" style="94" hidden="1" customWidth="1"/>
    <col min="6679" max="6679" width="9.59765625" style="94" customWidth="1"/>
    <col min="6680" max="6680" width="0" style="94" hidden="1" customWidth="1"/>
    <col min="6681" max="6682" width="13.19921875" style="94" customWidth="1"/>
    <col min="6683" max="6683" width="6.8984375" style="94" customWidth="1"/>
    <col min="6684" max="6684" width="13.19921875" style="94" customWidth="1"/>
    <col min="6685" max="6685" width="0" style="94" hidden="1" customWidth="1"/>
    <col min="6686" max="6686" width="4" style="94" customWidth="1"/>
    <col min="6687" max="6912" width="8.09765625" style="94"/>
    <col min="6913" max="6914" width="4.19921875" style="94" customWidth="1"/>
    <col min="6915" max="6915" width="11.796875" style="94" customWidth="1"/>
    <col min="6916" max="6916" width="21.796875" style="94" customWidth="1"/>
    <col min="6917" max="6918" width="9.59765625" style="94" customWidth="1"/>
    <col min="6919" max="6921" width="8.19921875" style="94" customWidth="1"/>
    <col min="6922" max="6922" width="0" style="94" hidden="1" customWidth="1"/>
    <col min="6923" max="6923" width="9.59765625" style="94" customWidth="1"/>
    <col min="6924" max="6924" width="5.5" style="94" customWidth="1"/>
    <col min="6925" max="6925" width="0" style="94" hidden="1" customWidth="1"/>
    <col min="6926" max="6927" width="13.19921875" style="94" customWidth="1"/>
    <col min="6928" max="6928" width="0.796875" style="94" customWidth="1"/>
    <col min="6929" max="6929" width="31.19921875" style="94" customWidth="1"/>
    <col min="6930" max="6930" width="20.3984375" style="94" customWidth="1"/>
    <col min="6931" max="6931" width="0" style="94" hidden="1" customWidth="1"/>
    <col min="6932" max="6932" width="5.09765625" style="94" customWidth="1"/>
    <col min="6933" max="6933" width="11.3984375" style="94" customWidth="1"/>
    <col min="6934" max="6934" width="0" style="94" hidden="1" customWidth="1"/>
    <col min="6935" max="6935" width="9.59765625" style="94" customWidth="1"/>
    <col min="6936" max="6936" width="0" style="94" hidden="1" customWidth="1"/>
    <col min="6937" max="6938" width="13.19921875" style="94" customWidth="1"/>
    <col min="6939" max="6939" width="6.8984375" style="94" customWidth="1"/>
    <col min="6940" max="6940" width="13.19921875" style="94" customWidth="1"/>
    <col min="6941" max="6941" width="0" style="94" hidden="1" customWidth="1"/>
    <col min="6942" max="6942" width="4" style="94" customWidth="1"/>
    <col min="6943" max="7168" width="8.09765625" style="94"/>
    <col min="7169" max="7170" width="4.19921875" style="94" customWidth="1"/>
    <col min="7171" max="7171" width="11.796875" style="94" customWidth="1"/>
    <col min="7172" max="7172" width="21.796875" style="94" customWidth="1"/>
    <col min="7173" max="7174" width="9.59765625" style="94" customWidth="1"/>
    <col min="7175" max="7177" width="8.19921875" style="94" customWidth="1"/>
    <col min="7178" max="7178" width="0" style="94" hidden="1" customWidth="1"/>
    <col min="7179" max="7179" width="9.59765625" style="94" customWidth="1"/>
    <col min="7180" max="7180" width="5.5" style="94" customWidth="1"/>
    <col min="7181" max="7181" width="0" style="94" hidden="1" customWidth="1"/>
    <col min="7182" max="7183" width="13.19921875" style="94" customWidth="1"/>
    <col min="7184" max="7184" width="0.796875" style="94" customWidth="1"/>
    <col min="7185" max="7185" width="31.19921875" style="94" customWidth="1"/>
    <col min="7186" max="7186" width="20.3984375" style="94" customWidth="1"/>
    <col min="7187" max="7187" width="0" style="94" hidden="1" customWidth="1"/>
    <col min="7188" max="7188" width="5.09765625" style="94" customWidth="1"/>
    <col min="7189" max="7189" width="11.3984375" style="94" customWidth="1"/>
    <col min="7190" max="7190" width="0" style="94" hidden="1" customWidth="1"/>
    <col min="7191" max="7191" width="9.59765625" style="94" customWidth="1"/>
    <col min="7192" max="7192" width="0" style="94" hidden="1" customWidth="1"/>
    <col min="7193" max="7194" width="13.19921875" style="94" customWidth="1"/>
    <col min="7195" max="7195" width="6.8984375" style="94" customWidth="1"/>
    <col min="7196" max="7196" width="13.19921875" style="94" customWidth="1"/>
    <col min="7197" max="7197" width="0" style="94" hidden="1" customWidth="1"/>
    <col min="7198" max="7198" width="4" style="94" customWidth="1"/>
    <col min="7199" max="7424" width="8.09765625" style="94"/>
    <col min="7425" max="7426" width="4.19921875" style="94" customWidth="1"/>
    <col min="7427" max="7427" width="11.796875" style="94" customWidth="1"/>
    <col min="7428" max="7428" width="21.796875" style="94" customWidth="1"/>
    <col min="7429" max="7430" width="9.59765625" style="94" customWidth="1"/>
    <col min="7431" max="7433" width="8.19921875" style="94" customWidth="1"/>
    <col min="7434" max="7434" width="0" style="94" hidden="1" customWidth="1"/>
    <col min="7435" max="7435" width="9.59765625" style="94" customWidth="1"/>
    <col min="7436" max="7436" width="5.5" style="94" customWidth="1"/>
    <col min="7437" max="7437" width="0" style="94" hidden="1" customWidth="1"/>
    <col min="7438" max="7439" width="13.19921875" style="94" customWidth="1"/>
    <col min="7440" max="7440" width="0.796875" style="94" customWidth="1"/>
    <col min="7441" max="7441" width="31.19921875" style="94" customWidth="1"/>
    <col min="7442" max="7442" width="20.3984375" style="94" customWidth="1"/>
    <col min="7443" max="7443" width="0" style="94" hidden="1" customWidth="1"/>
    <col min="7444" max="7444" width="5.09765625" style="94" customWidth="1"/>
    <col min="7445" max="7445" width="11.3984375" style="94" customWidth="1"/>
    <col min="7446" max="7446" width="0" style="94" hidden="1" customWidth="1"/>
    <col min="7447" max="7447" width="9.59765625" style="94" customWidth="1"/>
    <col min="7448" max="7448" width="0" style="94" hidden="1" customWidth="1"/>
    <col min="7449" max="7450" width="13.19921875" style="94" customWidth="1"/>
    <col min="7451" max="7451" width="6.8984375" style="94" customWidth="1"/>
    <col min="7452" max="7452" width="13.19921875" style="94" customWidth="1"/>
    <col min="7453" max="7453" width="0" style="94" hidden="1" customWidth="1"/>
    <col min="7454" max="7454" width="4" style="94" customWidth="1"/>
    <col min="7455" max="7680" width="8.09765625" style="94"/>
    <col min="7681" max="7682" width="4.19921875" style="94" customWidth="1"/>
    <col min="7683" max="7683" width="11.796875" style="94" customWidth="1"/>
    <col min="7684" max="7684" width="21.796875" style="94" customWidth="1"/>
    <col min="7685" max="7686" width="9.59765625" style="94" customWidth="1"/>
    <col min="7687" max="7689" width="8.19921875" style="94" customWidth="1"/>
    <col min="7690" max="7690" width="0" style="94" hidden="1" customWidth="1"/>
    <col min="7691" max="7691" width="9.59765625" style="94" customWidth="1"/>
    <col min="7692" max="7692" width="5.5" style="94" customWidth="1"/>
    <col min="7693" max="7693" width="0" style="94" hidden="1" customWidth="1"/>
    <col min="7694" max="7695" width="13.19921875" style="94" customWidth="1"/>
    <col min="7696" max="7696" width="0.796875" style="94" customWidth="1"/>
    <col min="7697" max="7697" width="31.19921875" style="94" customWidth="1"/>
    <col min="7698" max="7698" width="20.3984375" style="94" customWidth="1"/>
    <col min="7699" max="7699" width="0" style="94" hidden="1" customWidth="1"/>
    <col min="7700" max="7700" width="5.09765625" style="94" customWidth="1"/>
    <col min="7701" max="7701" width="11.3984375" style="94" customWidth="1"/>
    <col min="7702" max="7702" width="0" style="94" hidden="1" customWidth="1"/>
    <col min="7703" max="7703" width="9.59765625" style="94" customWidth="1"/>
    <col min="7704" max="7704" width="0" style="94" hidden="1" customWidth="1"/>
    <col min="7705" max="7706" width="13.19921875" style="94" customWidth="1"/>
    <col min="7707" max="7707" width="6.8984375" style="94" customWidth="1"/>
    <col min="7708" max="7708" width="13.19921875" style="94" customWidth="1"/>
    <col min="7709" max="7709" width="0" style="94" hidden="1" customWidth="1"/>
    <col min="7710" max="7710" width="4" style="94" customWidth="1"/>
    <col min="7711" max="7936" width="8.09765625" style="94"/>
    <col min="7937" max="7938" width="4.19921875" style="94" customWidth="1"/>
    <col min="7939" max="7939" width="11.796875" style="94" customWidth="1"/>
    <col min="7940" max="7940" width="21.796875" style="94" customWidth="1"/>
    <col min="7941" max="7942" width="9.59765625" style="94" customWidth="1"/>
    <col min="7943" max="7945" width="8.19921875" style="94" customWidth="1"/>
    <col min="7946" max="7946" width="0" style="94" hidden="1" customWidth="1"/>
    <col min="7947" max="7947" width="9.59765625" style="94" customWidth="1"/>
    <col min="7948" max="7948" width="5.5" style="94" customWidth="1"/>
    <col min="7949" max="7949" width="0" style="94" hidden="1" customWidth="1"/>
    <col min="7950" max="7951" width="13.19921875" style="94" customWidth="1"/>
    <col min="7952" max="7952" width="0.796875" style="94" customWidth="1"/>
    <col min="7953" max="7953" width="31.19921875" style="94" customWidth="1"/>
    <col min="7954" max="7954" width="20.3984375" style="94" customWidth="1"/>
    <col min="7955" max="7955" width="0" style="94" hidden="1" customWidth="1"/>
    <col min="7956" max="7956" width="5.09765625" style="94" customWidth="1"/>
    <col min="7957" max="7957" width="11.3984375" style="94" customWidth="1"/>
    <col min="7958" max="7958" width="0" style="94" hidden="1" customWidth="1"/>
    <col min="7959" max="7959" width="9.59765625" style="94" customWidth="1"/>
    <col min="7960" max="7960" width="0" style="94" hidden="1" customWidth="1"/>
    <col min="7961" max="7962" width="13.19921875" style="94" customWidth="1"/>
    <col min="7963" max="7963" width="6.8984375" style="94" customWidth="1"/>
    <col min="7964" max="7964" width="13.19921875" style="94" customWidth="1"/>
    <col min="7965" max="7965" width="0" style="94" hidden="1" customWidth="1"/>
    <col min="7966" max="7966" width="4" style="94" customWidth="1"/>
    <col min="7967" max="8192" width="8.09765625" style="94"/>
    <col min="8193" max="8194" width="4.19921875" style="94" customWidth="1"/>
    <col min="8195" max="8195" width="11.796875" style="94" customWidth="1"/>
    <col min="8196" max="8196" width="21.796875" style="94" customWidth="1"/>
    <col min="8197" max="8198" width="9.59765625" style="94" customWidth="1"/>
    <col min="8199" max="8201" width="8.19921875" style="94" customWidth="1"/>
    <col min="8202" max="8202" width="0" style="94" hidden="1" customWidth="1"/>
    <col min="8203" max="8203" width="9.59765625" style="94" customWidth="1"/>
    <col min="8204" max="8204" width="5.5" style="94" customWidth="1"/>
    <col min="8205" max="8205" width="0" style="94" hidden="1" customWidth="1"/>
    <col min="8206" max="8207" width="13.19921875" style="94" customWidth="1"/>
    <col min="8208" max="8208" width="0.796875" style="94" customWidth="1"/>
    <col min="8209" max="8209" width="31.19921875" style="94" customWidth="1"/>
    <col min="8210" max="8210" width="20.3984375" style="94" customWidth="1"/>
    <col min="8211" max="8211" width="0" style="94" hidden="1" customWidth="1"/>
    <col min="8212" max="8212" width="5.09765625" style="94" customWidth="1"/>
    <col min="8213" max="8213" width="11.3984375" style="94" customWidth="1"/>
    <col min="8214" max="8214" width="0" style="94" hidden="1" customWidth="1"/>
    <col min="8215" max="8215" width="9.59765625" style="94" customWidth="1"/>
    <col min="8216" max="8216" width="0" style="94" hidden="1" customWidth="1"/>
    <col min="8217" max="8218" width="13.19921875" style="94" customWidth="1"/>
    <col min="8219" max="8219" width="6.8984375" style="94" customWidth="1"/>
    <col min="8220" max="8220" width="13.19921875" style="94" customWidth="1"/>
    <col min="8221" max="8221" width="0" style="94" hidden="1" customWidth="1"/>
    <col min="8222" max="8222" width="4" style="94" customWidth="1"/>
    <col min="8223" max="8448" width="8.09765625" style="94"/>
    <col min="8449" max="8450" width="4.19921875" style="94" customWidth="1"/>
    <col min="8451" max="8451" width="11.796875" style="94" customWidth="1"/>
    <col min="8452" max="8452" width="21.796875" style="94" customWidth="1"/>
    <col min="8453" max="8454" width="9.59765625" style="94" customWidth="1"/>
    <col min="8455" max="8457" width="8.19921875" style="94" customWidth="1"/>
    <col min="8458" max="8458" width="0" style="94" hidden="1" customWidth="1"/>
    <col min="8459" max="8459" width="9.59765625" style="94" customWidth="1"/>
    <col min="8460" max="8460" width="5.5" style="94" customWidth="1"/>
    <col min="8461" max="8461" width="0" style="94" hidden="1" customWidth="1"/>
    <col min="8462" max="8463" width="13.19921875" style="94" customWidth="1"/>
    <col min="8464" max="8464" width="0.796875" style="94" customWidth="1"/>
    <col min="8465" max="8465" width="31.19921875" style="94" customWidth="1"/>
    <col min="8466" max="8466" width="20.3984375" style="94" customWidth="1"/>
    <col min="8467" max="8467" width="0" style="94" hidden="1" customWidth="1"/>
    <col min="8468" max="8468" width="5.09765625" style="94" customWidth="1"/>
    <col min="8469" max="8469" width="11.3984375" style="94" customWidth="1"/>
    <col min="8470" max="8470" width="0" style="94" hidden="1" customWidth="1"/>
    <col min="8471" max="8471" width="9.59765625" style="94" customWidth="1"/>
    <col min="8472" max="8472" width="0" style="94" hidden="1" customWidth="1"/>
    <col min="8473" max="8474" width="13.19921875" style="94" customWidth="1"/>
    <col min="8475" max="8475" width="6.8984375" style="94" customWidth="1"/>
    <col min="8476" max="8476" width="13.19921875" style="94" customWidth="1"/>
    <col min="8477" max="8477" width="0" style="94" hidden="1" customWidth="1"/>
    <col min="8478" max="8478" width="4" style="94" customWidth="1"/>
    <col min="8479" max="8704" width="8.09765625" style="94"/>
    <col min="8705" max="8706" width="4.19921875" style="94" customWidth="1"/>
    <col min="8707" max="8707" width="11.796875" style="94" customWidth="1"/>
    <col min="8708" max="8708" width="21.796875" style="94" customWidth="1"/>
    <col min="8709" max="8710" width="9.59765625" style="94" customWidth="1"/>
    <col min="8711" max="8713" width="8.19921875" style="94" customWidth="1"/>
    <col min="8714" max="8714" width="0" style="94" hidden="1" customWidth="1"/>
    <col min="8715" max="8715" width="9.59765625" style="94" customWidth="1"/>
    <col min="8716" max="8716" width="5.5" style="94" customWidth="1"/>
    <col min="8717" max="8717" width="0" style="94" hidden="1" customWidth="1"/>
    <col min="8718" max="8719" width="13.19921875" style="94" customWidth="1"/>
    <col min="8720" max="8720" width="0.796875" style="94" customWidth="1"/>
    <col min="8721" max="8721" width="31.19921875" style="94" customWidth="1"/>
    <col min="8722" max="8722" width="20.3984375" style="94" customWidth="1"/>
    <col min="8723" max="8723" width="0" style="94" hidden="1" customWidth="1"/>
    <col min="8724" max="8724" width="5.09765625" style="94" customWidth="1"/>
    <col min="8725" max="8725" width="11.3984375" style="94" customWidth="1"/>
    <col min="8726" max="8726" width="0" style="94" hidden="1" customWidth="1"/>
    <col min="8727" max="8727" width="9.59765625" style="94" customWidth="1"/>
    <col min="8728" max="8728" width="0" style="94" hidden="1" customWidth="1"/>
    <col min="8729" max="8730" width="13.19921875" style="94" customWidth="1"/>
    <col min="8731" max="8731" width="6.8984375" style="94" customWidth="1"/>
    <col min="8732" max="8732" width="13.19921875" style="94" customWidth="1"/>
    <col min="8733" max="8733" width="0" style="94" hidden="1" customWidth="1"/>
    <col min="8734" max="8734" width="4" style="94" customWidth="1"/>
    <col min="8735" max="8960" width="8.09765625" style="94"/>
    <col min="8961" max="8962" width="4.19921875" style="94" customWidth="1"/>
    <col min="8963" max="8963" width="11.796875" style="94" customWidth="1"/>
    <col min="8964" max="8964" width="21.796875" style="94" customWidth="1"/>
    <col min="8965" max="8966" width="9.59765625" style="94" customWidth="1"/>
    <col min="8967" max="8969" width="8.19921875" style="94" customWidth="1"/>
    <col min="8970" max="8970" width="0" style="94" hidden="1" customWidth="1"/>
    <col min="8971" max="8971" width="9.59765625" style="94" customWidth="1"/>
    <col min="8972" max="8972" width="5.5" style="94" customWidth="1"/>
    <col min="8973" max="8973" width="0" style="94" hidden="1" customWidth="1"/>
    <col min="8974" max="8975" width="13.19921875" style="94" customWidth="1"/>
    <col min="8976" max="8976" width="0.796875" style="94" customWidth="1"/>
    <col min="8977" max="8977" width="31.19921875" style="94" customWidth="1"/>
    <col min="8978" max="8978" width="20.3984375" style="94" customWidth="1"/>
    <col min="8979" max="8979" width="0" style="94" hidden="1" customWidth="1"/>
    <col min="8980" max="8980" width="5.09765625" style="94" customWidth="1"/>
    <col min="8981" max="8981" width="11.3984375" style="94" customWidth="1"/>
    <col min="8982" max="8982" width="0" style="94" hidden="1" customWidth="1"/>
    <col min="8983" max="8983" width="9.59765625" style="94" customWidth="1"/>
    <col min="8984" max="8984" width="0" style="94" hidden="1" customWidth="1"/>
    <col min="8985" max="8986" width="13.19921875" style="94" customWidth="1"/>
    <col min="8987" max="8987" width="6.8984375" style="94" customWidth="1"/>
    <col min="8988" max="8988" width="13.19921875" style="94" customWidth="1"/>
    <col min="8989" max="8989" width="0" style="94" hidden="1" customWidth="1"/>
    <col min="8990" max="8990" width="4" style="94" customWidth="1"/>
    <col min="8991" max="9216" width="8.09765625" style="94"/>
    <col min="9217" max="9218" width="4.19921875" style="94" customWidth="1"/>
    <col min="9219" max="9219" width="11.796875" style="94" customWidth="1"/>
    <col min="9220" max="9220" width="21.796875" style="94" customWidth="1"/>
    <col min="9221" max="9222" width="9.59765625" style="94" customWidth="1"/>
    <col min="9223" max="9225" width="8.19921875" style="94" customWidth="1"/>
    <col min="9226" max="9226" width="0" style="94" hidden="1" customWidth="1"/>
    <col min="9227" max="9227" width="9.59765625" style="94" customWidth="1"/>
    <col min="9228" max="9228" width="5.5" style="94" customWidth="1"/>
    <col min="9229" max="9229" width="0" style="94" hidden="1" customWidth="1"/>
    <col min="9230" max="9231" width="13.19921875" style="94" customWidth="1"/>
    <col min="9232" max="9232" width="0.796875" style="94" customWidth="1"/>
    <col min="9233" max="9233" width="31.19921875" style="94" customWidth="1"/>
    <col min="9234" max="9234" width="20.3984375" style="94" customWidth="1"/>
    <col min="9235" max="9235" width="0" style="94" hidden="1" customWidth="1"/>
    <col min="9236" max="9236" width="5.09765625" style="94" customWidth="1"/>
    <col min="9237" max="9237" width="11.3984375" style="94" customWidth="1"/>
    <col min="9238" max="9238" width="0" style="94" hidden="1" customWidth="1"/>
    <col min="9239" max="9239" width="9.59765625" style="94" customWidth="1"/>
    <col min="9240" max="9240" width="0" style="94" hidden="1" customWidth="1"/>
    <col min="9241" max="9242" width="13.19921875" style="94" customWidth="1"/>
    <col min="9243" max="9243" width="6.8984375" style="94" customWidth="1"/>
    <col min="9244" max="9244" width="13.19921875" style="94" customWidth="1"/>
    <col min="9245" max="9245" width="0" style="94" hidden="1" customWidth="1"/>
    <col min="9246" max="9246" width="4" style="94" customWidth="1"/>
    <col min="9247" max="9472" width="8.09765625" style="94"/>
    <col min="9473" max="9474" width="4.19921875" style="94" customWidth="1"/>
    <col min="9475" max="9475" width="11.796875" style="94" customWidth="1"/>
    <col min="9476" max="9476" width="21.796875" style="94" customWidth="1"/>
    <col min="9477" max="9478" width="9.59765625" style="94" customWidth="1"/>
    <col min="9479" max="9481" width="8.19921875" style="94" customWidth="1"/>
    <col min="9482" max="9482" width="0" style="94" hidden="1" customWidth="1"/>
    <col min="9483" max="9483" width="9.59765625" style="94" customWidth="1"/>
    <col min="9484" max="9484" width="5.5" style="94" customWidth="1"/>
    <col min="9485" max="9485" width="0" style="94" hidden="1" customWidth="1"/>
    <col min="9486" max="9487" width="13.19921875" style="94" customWidth="1"/>
    <col min="9488" max="9488" width="0.796875" style="94" customWidth="1"/>
    <col min="9489" max="9489" width="31.19921875" style="94" customWidth="1"/>
    <col min="9490" max="9490" width="20.3984375" style="94" customWidth="1"/>
    <col min="9491" max="9491" width="0" style="94" hidden="1" customWidth="1"/>
    <col min="9492" max="9492" width="5.09765625" style="94" customWidth="1"/>
    <col min="9493" max="9493" width="11.3984375" style="94" customWidth="1"/>
    <col min="9494" max="9494" width="0" style="94" hidden="1" customWidth="1"/>
    <col min="9495" max="9495" width="9.59765625" style="94" customWidth="1"/>
    <col min="9496" max="9496" width="0" style="94" hidden="1" customWidth="1"/>
    <col min="9497" max="9498" width="13.19921875" style="94" customWidth="1"/>
    <col min="9499" max="9499" width="6.8984375" style="94" customWidth="1"/>
    <col min="9500" max="9500" width="13.19921875" style="94" customWidth="1"/>
    <col min="9501" max="9501" width="0" style="94" hidden="1" customWidth="1"/>
    <col min="9502" max="9502" width="4" style="94" customWidth="1"/>
    <col min="9503" max="9728" width="8.09765625" style="94"/>
    <col min="9729" max="9730" width="4.19921875" style="94" customWidth="1"/>
    <col min="9731" max="9731" width="11.796875" style="94" customWidth="1"/>
    <col min="9732" max="9732" width="21.796875" style="94" customWidth="1"/>
    <col min="9733" max="9734" width="9.59765625" style="94" customWidth="1"/>
    <col min="9735" max="9737" width="8.19921875" style="94" customWidth="1"/>
    <col min="9738" max="9738" width="0" style="94" hidden="1" customWidth="1"/>
    <col min="9739" max="9739" width="9.59765625" style="94" customWidth="1"/>
    <col min="9740" max="9740" width="5.5" style="94" customWidth="1"/>
    <col min="9741" max="9741" width="0" style="94" hidden="1" customWidth="1"/>
    <col min="9742" max="9743" width="13.19921875" style="94" customWidth="1"/>
    <col min="9744" max="9744" width="0.796875" style="94" customWidth="1"/>
    <col min="9745" max="9745" width="31.19921875" style="94" customWidth="1"/>
    <col min="9746" max="9746" width="20.3984375" style="94" customWidth="1"/>
    <col min="9747" max="9747" width="0" style="94" hidden="1" customWidth="1"/>
    <col min="9748" max="9748" width="5.09765625" style="94" customWidth="1"/>
    <col min="9749" max="9749" width="11.3984375" style="94" customWidth="1"/>
    <col min="9750" max="9750" width="0" style="94" hidden="1" customWidth="1"/>
    <col min="9751" max="9751" width="9.59765625" style="94" customWidth="1"/>
    <col min="9752" max="9752" width="0" style="94" hidden="1" customWidth="1"/>
    <col min="9753" max="9754" width="13.19921875" style="94" customWidth="1"/>
    <col min="9755" max="9755" width="6.8984375" style="94" customWidth="1"/>
    <col min="9756" max="9756" width="13.19921875" style="94" customWidth="1"/>
    <col min="9757" max="9757" width="0" style="94" hidden="1" customWidth="1"/>
    <col min="9758" max="9758" width="4" style="94" customWidth="1"/>
    <col min="9759" max="9984" width="8.09765625" style="94"/>
    <col min="9985" max="9986" width="4.19921875" style="94" customWidth="1"/>
    <col min="9987" max="9987" width="11.796875" style="94" customWidth="1"/>
    <col min="9988" max="9988" width="21.796875" style="94" customWidth="1"/>
    <col min="9989" max="9990" width="9.59765625" style="94" customWidth="1"/>
    <col min="9991" max="9993" width="8.19921875" style="94" customWidth="1"/>
    <col min="9994" max="9994" width="0" style="94" hidden="1" customWidth="1"/>
    <col min="9995" max="9995" width="9.59765625" style="94" customWidth="1"/>
    <col min="9996" max="9996" width="5.5" style="94" customWidth="1"/>
    <col min="9997" max="9997" width="0" style="94" hidden="1" customWidth="1"/>
    <col min="9998" max="9999" width="13.19921875" style="94" customWidth="1"/>
    <col min="10000" max="10000" width="0.796875" style="94" customWidth="1"/>
    <col min="10001" max="10001" width="31.19921875" style="94" customWidth="1"/>
    <col min="10002" max="10002" width="20.3984375" style="94" customWidth="1"/>
    <col min="10003" max="10003" width="0" style="94" hidden="1" customWidth="1"/>
    <col min="10004" max="10004" width="5.09765625" style="94" customWidth="1"/>
    <col min="10005" max="10005" width="11.3984375" style="94" customWidth="1"/>
    <col min="10006" max="10006" width="0" style="94" hidden="1" customWidth="1"/>
    <col min="10007" max="10007" width="9.59765625" style="94" customWidth="1"/>
    <col min="10008" max="10008" width="0" style="94" hidden="1" customWidth="1"/>
    <col min="10009" max="10010" width="13.19921875" style="94" customWidth="1"/>
    <col min="10011" max="10011" width="6.8984375" style="94" customWidth="1"/>
    <col min="10012" max="10012" width="13.19921875" style="94" customWidth="1"/>
    <col min="10013" max="10013" width="0" style="94" hidden="1" customWidth="1"/>
    <col min="10014" max="10014" width="4" style="94" customWidth="1"/>
    <col min="10015" max="10240" width="8.09765625" style="94"/>
    <col min="10241" max="10242" width="4.19921875" style="94" customWidth="1"/>
    <col min="10243" max="10243" width="11.796875" style="94" customWidth="1"/>
    <col min="10244" max="10244" width="21.796875" style="94" customWidth="1"/>
    <col min="10245" max="10246" width="9.59765625" style="94" customWidth="1"/>
    <col min="10247" max="10249" width="8.19921875" style="94" customWidth="1"/>
    <col min="10250" max="10250" width="0" style="94" hidden="1" customWidth="1"/>
    <col min="10251" max="10251" width="9.59765625" style="94" customWidth="1"/>
    <col min="10252" max="10252" width="5.5" style="94" customWidth="1"/>
    <col min="10253" max="10253" width="0" style="94" hidden="1" customWidth="1"/>
    <col min="10254" max="10255" width="13.19921875" style="94" customWidth="1"/>
    <col min="10256" max="10256" width="0.796875" style="94" customWidth="1"/>
    <col min="10257" max="10257" width="31.19921875" style="94" customWidth="1"/>
    <col min="10258" max="10258" width="20.3984375" style="94" customWidth="1"/>
    <col min="10259" max="10259" width="0" style="94" hidden="1" customWidth="1"/>
    <col min="10260" max="10260" width="5.09765625" style="94" customWidth="1"/>
    <col min="10261" max="10261" width="11.3984375" style="94" customWidth="1"/>
    <col min="10262" max="10262" width="0" style="94" hidden="1" customWidth="1"/>
    <col min="10263" max="10263" width="9.59765625" style="94" customWidth="1"/>
    <col min="10264" max="10264" width="0" style="94" hidden="1" customWidth="1"/>
    <col min="10265" max="10266" width="13.19921875" style="94" customWidth="1"/>
    <col min="10267" max="10267" width="6.8984375" style="94" customWidth="1"/>
    <col min="10268" max="10268" width="13.19921875" style="94" customWidth="1"/>
    <col min="10269" max="10269" width="0" style="94" hidden="1" customWidth="1"/>
    <col min="10270" max="10270" width="4" style="94" customWidth="1"/>
    <col min="10271" max="10496" width="8.09765625" style="94"/>
    <col min="10497" max="10498" width="4.19921875" style="94" customWidth="1"/>
    <col min="10499" max="10499" width="11.796875" style="94" customWidth="1"/>
    <col min="10500" max="10500" width="21.796875" style="94" customWidth="1"/>
    <col min="10501" max="10502" width="9.59765625" style="94" customWidth="1"/>
    <col min="10503" max="10505" width="8.19921875" style="94" customWidth="1"/>
    <col min="10506" max="10506" width="0" style="94" hidden="1" customWidth="1"/>
    <col min="10507" max="10507" width="9.59765625" style="94" customWidth="1"/>
    <col min="10508" max="10508" width="5.5" style="94" customWidth="1"/>
    <col min="10509" max="10509" width="0" style="94" hidden="1" customWidth="1"/>
    <col min="10510" max="10511" width="13.19921875" style="94" customWidth="1"/>
    <col min="10512" max="10512" width="0.796875" style="94" customWidth="1"/>
    <col min="10513" max="10513" width="31.19921875" style="94" customWidth="1"/>
    <col min="10514" max="10514" width="20.3984375" style="94" customWidth="1"/>
    <col min="10515" max="10515" width="0" style="94" hidden="1" customWidth="1"/>
    <col min="10516" max="10516" width="5.09765625" style="94" customWidth="1"/>
    <col min="10517" max="10517" width="11.3984375" style="94" customWidth="1"/>
    <col min="10518" max="10518" width="0" style="94" hidden="1" customWidth="1"/>
    <col min="10519" max="10519" width="9.59765625" style="94" customWidth="1"/>
    <col min="10520" max="10520" width="0" style="94" hidden="1" customWidth="1"/>
    <col min="10521" max="10522" width="13.19921875" style="94" customWidth="1"/>
    <col min="10523" max="10523" width="6.8984375" style="94" customWidth="1"/>
    <col min="10524" max="10524" width="13.19921875" style="94" customWidth="1"/>
    <col min="10525" max="10525" width="0" style="94" hidden="1" customWidth="1"/>
    <col min="10526" max="10526" width="4" style="94" customWidth="1"/>
    <col min="10527" max="10752" width="8.09765625" style="94"/>
    <col min="10753" max="10754" width="4.19921875" style="94" customWidth="1"/>
    <col min="10755" max="10755" width="11.796875" style="94" customWidth="1"/>
    <col min="10756" max="10756" width="21.796875" style="94" customWidth="1"/>
    <col min="10757" max="10758" width="9.59765625" style="94" customWidth="1"/>
    <col min="10759" max="10761" width="8.19921875" style="94" customWidth="1"/>
    <col min="10762" max="10762" width="0" style="94" hidden="1" customWidth="1"/>
    <col min="10763" max="10763" width="9.59765625" style="94" customWidth="1"/>
    <col min="10764" max="10764" width="5.5" style="94" customWidth="1"/>
    <col min="10765" max="10765" width="0" style="94" hidden="1" customWidth="1"/>
    <col min="10766" max="10767" width="13.19921875" style="94" customWidth="1"/>
    <col min="10768" max="10768" width="0.796875" style="94" customWidth="1"/>
    <col min="10769" max="10769" width="31.19921875" style="94" customWidth="1"/>
    <col min="10770" max="10770" width="20.3984375" style="94" customWidth="1"/>
    <col min="10771" max="10771" width="0" style="94" hidden="1" customWidth="1"/>
    <col min="10772" max="10772" width="5.09765625" style="94" customWidth="1"/>
    <col min="10773" max="10773" width="11.3984375" style="94" customWidth="1"/>
    <col min="10774" max="10774" width="0" style="94" hidden="1" customWidth="1"/>
    <col min="10775" max="10775" width="9.59765625" style="94" customWidth="1"/>
    <col min="10776" max="10776" width="0" style="94" hidden="1" customWidth="1"/>
    <col min="10777" max="10778" width="13.19921875" style="94" customWidth="1"/>
    <col min="10779" max="10779" width="6.8984375" style="94" customWidth="1"/>
    <col min="10780" max="10780" width="13.19921875" style="94" customWidth="1"/>
    <col min="10781" max="10781" width="0" style="94" hidden="1" customWidth="1"/>
    <col min="10782" max="10782" width="4" style="94" customWidth="1"/>
    <col min="10783" max="11008" width="8.09765625" style="94"/>
    <col min="11009" max="11010" width="4.19921875" style="94" customWidth="1"/>
    <col min="11011" max="11011" width="11.796875" style="94" customWidth="1"/>
    <col min="11012" max="11012" width="21.796875" style="94" customWidth="1"/>
    <col min="11013" max="11014" width="9.59765625" style="94" customWidth="1"/>
    <col min="11015" max="11017" width="8.19921875" style="94" customWidth="1"/>
    <col min="11018" max="11018" width="0" style="94" hidden="1" customWidth="1"/>
    <col min="11019" max="11019" width="9.59765625" style="94" customWidth="1"/>
    <col min="11020" max="11020" width="5.5" style="94" customWidth="1"/>
    <col min="11021" max="11021" width="0" style="94" hidden="1" customWidth="1"/>
    <col min="11022" max="11023" width="13.19921875" style="94" customWidth="1"/>
    <col min="11024" max="11024" width="0.796875" style="94" customWidth="1"/>
    <col min="11025" max="11025" width="31.19921875" style="94" customWidth="1"/>
    <col min="11026" max="11026" width="20.3984375" style="94" customWidth="1"/>
    <col min="11027" max="11027" width="0" style="94" hidden="1" customWidth="1"/>
    <col min="11028" max="11028" width="5.09765625" style="94" customWidth="1"/>
    <col min="11029" max="11029" width="11.3984375" style="94" customWidth="1"/>
    <col min="11030" max="11030" width="0" style="94" hidden="1" customWidth="1"/>
    <col min="11031" max="11031" width="9.59765625" style="94" customWidth="1"/>
    <col min="11032" max="11032" width="0" style="94" hidden="1" customWidth="1"/>
    <col min="11033" max="11034" width="13.19921875" style="94" customWidth="1"/>
    <col min="11035" max="11035" width="6.8984375" style="94" customWidth="1"/>
    <col min="11036" max="11036" width="13.19921875" style="94" customWidth="1"/>
    <col min="11037" max="11037" width="0" style="94" hidden="1" customWidth="1"/>
    <col min="11038" max="11038" width="4" style="94" customWidth="1"/>
    <col min="11039" max="11264" width="8.09765625" style="94"/>
    <col min="11265" max="11266" width="4.19921875" style="94" customWidth="1"/>
    <col min="11267" max="11267" width="11.796875" style="94" customWidth="1"/>
    <col min="11268" max="11268" width="21.796875" style="94" customWidth="1"/>
    <col min="11269" max="11270" width="9.59765625" style="94" customWidth="1"/>
    <col min="11271" max="11273" width="8.19921875" style="94" customWidth="1"/>
    <col min="11274" max="11274" width="0" style="94" hidden="1" customWidth="1"/>
    <col min="11275" max="11275" width="9.59765625" style="94" customWidth="1"/>
    <col min="11276" max="11276" width="5.5" style="94" customWidth="1"/>
    <col min="11277" max="11277" width="0" style="94" hidden="1" customWidth="1"/>
    <col min="11278" max="11279" width="13.19921875" style="94" customWidth="1"/>
    <col min="11280" max="11280" width="0.796875" style="94" customWidth="1"/>
    <col min="11281" max="11281" width="31.19921875" style="94" customWidth="1"/>
    <col min="11282" max="11282" width="20.3984375" style="94" customWidth="1"/>
    <col min="11283" max="11283" width="0" style="94" hidden="1" customWidth="1"/>
    <col min="11284" max="11284" width="5.09765625" style="94" customWidth="1"/>
    <col min="11285" max="11285" width="11.3984375" style="94" customWidth="1"/>
    <col min="11286" max="11286" width="0" style="94" hidden="1" customWidth="1"/>
    <col min="11287" max="11287" width="9.59765625" style="94" customWidth="1"/>
    <col min="11288" max="11288" width="0" style="94" hidden="1" customWidth="1"/>
    <col min="11289" max="11290" width="13.19921875" style="94" customWidth="1"/>
    <col min="11291" max="11291" width="6.8984375" style="94" customWidth="1"/>
    <col min="11292" max="11292" width="13.19921875" style="94" customWidth="1"/>
    <col min="11293" max="11293" width="0" style="94" hidden="1" customWidth="1"/>
    <col min="11294" max="11294" width="4" style="94" customWidth="1"/>
    <col min="11295" max="11520" width="8.09765625" style="94"/>
    <col min="11521" max="11522" width="4.19921875" style="94" customWidth="1"/>
    <col min="11523" max="11523" width="11.796875" style="94" customWidth="1"/>
    <col min="11524" max="11524" width="21.796875" style="94" customWidth="1"/>
    <col min="11525" max="11526" width="9.59765625" style="94" customWidth="1"/>
    <col min="11527" max="11529" width="8.19921875" style="94" customWidth="1"/>
    <col min="11530" max="11530" width="0" style="94" hidden="1" customWidth="1"/>
    <col min="11531" max="11531" width="9.59765625" style="94" customWidth="1"/>
    <col min="11532" max="11532" width="5.5" style="94" customWidth="1"/>
    <col min="11533" max="11533" width="0" style="94" hidden="1" customWidth="1"/>
    <col min="11534" max="11535" width="13.19921875" style="94" customWidth="1"/>
    <col min="11536" max="11536" width="0.796875" style="94" customWidth="1"/>
    <col min="11537" max="11537" width="31.19921875" style="94" customWidth="1"/>
    <col min="11538" max="11538" width="20.3984375" style="94" customWidth="1"/>
    <col min="11539" max="11539" width="0" style="94" hidden="1" customWidth="1"/>
    <col min="11540" max="11540" width="5.09765625" style="94" customWidth="1"/>
    <col min="11541" max="11541" width="11.3984375" style="94" customWidth="1"/>
    <col min="11542" max="11542" width="0" style="94" hidden="1" customWidth="1"/>
    <col min="11543" max="11543" width="9.59765625" style="94" customWidth="1"/>
    <col min="11544" max="11544" width="0" style="94" hidden="1" customWidth="1"/>
    <col min="11545" max="11546" width="13.19921875" style="94" customWidth="1"/>
    <col min="11547" max="11547" width="6.8984375" style="94" customWidth="1"/>
    <col min="11548" max="11548" width="13.19921875" style="94" customWidth="1"/>
    <col min="11549" max="11549" width="0" style="94" hidden="1" customWidth="1"/>
    <col min="11550" max="11550" width="4" style="94" customWidth="1"/>
    <col min="11551" max="11776" width="8.09765625" style="94"/>
    <col min="11777" max="11778" width="4.19921875" style="94" customWidth="1"/>
    <col min="11779" max="11779" width="11.796875" style="94" customWidth="1"/>
    <col min="11780" max="11780" width="21.796875" style="94" customWidth="1"/>
    <col min="11781" max="11782" width="9.59765625" style="94" customWidth="1"/>
    <col min="11783" max="11785" width="8.19921875" style="94" customWidth="1"/>
    <col min="11786" max="11786" width="0" style="94" hidden="1" customWidth="1"/>
    <col min="11787" max="11787" width="9.59765625" style="94" customWidth="1"/>
    <col min="11788" max="11788" width="5.5" style="94" customWidth="1"/>
    <col min="11789" max="11789" width="0" style="94" hidden="1" customWidth="1"/>
    <col min="11790" max="11791" width="13.19921875" style="94" customWidth="1"/>
    <col min="11792" max="11792" width="0.796875" style="94" customWidth="1"/>
    <col min="11793" max="11793" width="31.19921875" style="94" customWidth="1"/>
    <col min="11794" max="11794" width="20.3984375" style="94" customWidth="1"/>
    <col min="11795" max="11795" width="0" style="94" hidden="1" customWidth="1"/>
    <col min="11796" max="11796" width="5.09765625" style="94" customWidth="1"/>
    <col min="11797" max="11797" width="11.3984375" style="94" customWidth="1"/>
    <col min="11798" max="11798" width="0" style="94" hidden="1" customWidth="1"/>
    <col min="11799" max="11799" width="9.59765625" style="94" customWidth="1"/>
    <col min="11800" max="11800" width="0" style="94" hidden="1" customWidth="1"/>
    <col min="11801" max="11802" width="13.19921875" style="94" customWidth="1"/>
    <col min="11803" max="11803" width="6.8984375" style="94" customWidth="1"/>
    <col min="11804" max="11804" width="13.19921875" style="94" customWidth="1"/>
    <col min="11805" max="11805" width="0" style="94" hidden="1" customWidth="1"/>
    <col min="11806" max="11806" width="4" style="94" customWidth="1"/>
    <col min="11807" max="12032" width="8.09765625" style="94"/>
    <col min="12033" max="12034" width="4.19921875" style="94" customWidth="1"/>
    <col min="12035" max="12035" width="11.796875" style="94" customWidth="1"/>
    <col min="12036" max="12036" width="21.796875" style="94" customWidth="1"/>
    <col min="12037" max="12038" width="9.59765625" style="94" customWidth="1"/>
    <col min="12039" max="12041" width="8.19921875" style="94" customWidth="1"/>
    <col min="12042" max="12042" width="0" style="94" hidden="1" customWidth="1"/>
    <col min="12043" max="12043" width="9.59765625" style="94" customWidth="1"/>
    <col min="12044" max="12044" width="5.5" style="94" customWidth="1"/>
    <col min="12045" max="12045" width="0" style="94" hidden="1" customWidth="1"/>
    <col min="12046" max="12047" width="13.19921875" style="94" customWidth="1"/>
    <col min="12048" max="12048" width="0.796875" style="94" customWidth="1"/>
    <col min="12049" max="12049" width="31.19921875" style="94" customWidth="1"/>
    <col min="12050" max="12050" width="20.3984375" style="94" customWidth="1"/>
    <col min="12051" max="12051" width="0" style="94" hidden="1" customWidth="1"/>
    <col min="12052" max="12052" width="5.09765625" style="94" customWidth="1"/>
    <col min="12053" max="12053" width="11.3984375" style="94" customWidth="1"/>
    <col min="12054" max="12054" width="0" style="94" hidden="1" customWidth="1"/>
    <col min="12055" max="12055" width="9.59765625" style="94" customWidth="1"/>
    <col min="12056" max="12056" width="0" style="94" hidden="1" customWidth="1"/>
    <col min="12057" max="12058" width="13.19921875" style="94" customWidth="1"/>
    <col min="12059" max="12059" width="6.8984375" style="94" customWidth="1"/>
    <col min="12060" max="12060" width="13.19921875" style="94" customWidth="1"/>
    <col min="12061" max="12061" width="0" style="94" hidden="1" customWidth="1"/>
    <col min="12062" max="12062" width="4" style="94" customWidth="1"/>
    <col min="12063" max="12288" width="8.09765625" style="94"/>
    <col min="12289" max="12290" width="4.19921875" style="94" customWidth="1"/>
    <col min="12291" max="12291" width="11.796875" style="94" customWidth="1"/>
    <col min="12292" max="12292" width="21.796875" style="94" customWidth="1"/>
    <col min="12293" max="12294" width="9.59765625" style="94" customWidth="1"/>
    <col min="12295" max="12297" width="8.19921875" style="94" customWidth="1"/>
    <col min="12298" max="12298" width="0" style="94" hidden="1" customWidth="1"/>
    <col min="12299" max="12299" width="9.59765625" style="94" customWidth="1"/>
    <col min="12300" max="12300" width="5.5" style="94" customWidth="1"/>
    <col min="12301" max="12301" width="0" style="94" hidden="1" customWidth="1"/>
    <col min="12302" max="12303" width="13.19921875" style="94" customWidth="1"/>
    <col min="12304" max="12304" width="0.796875" style="94" customWidth="1"/>
    <col min="12305" max="12305" width="31.19921875" style="94" customWidth="1"/>
    <col min="12306" max="12306" width="20.3984375" style="94" customWidth="1"/>
    <col min="12307" max="12307" width="0" style="94" hidden="1" customWidth="1"/>
    <col min="12308" max="12308" width="5.09765625" style="94" customWidth="1"/>
    <col min="12309" max="12309" width="11.3984375" style="94" customWidth="1"/>
    <col min="12310" max="12310" width="0" style="94" hidden="1" customWidth="1"/>
    <col min="12311" max="12311" width="9.59765625" style="94" customWidth="1"/>
    <col min="12312" max="12312" width="0" style="94" hidden="1" customWidth="1"/>
    <col min="12313" max="12314" width="13.19921875" style="94" customWidth="1"/>
    <col min="12315" max="12315" width="6.8984375" style="94" customWidth="1"/>
    <col min="12316" max="12316" width="13.19921875" style="94" customWidth="1"/>
    <col min="12317" max="12317" width="0" style="94" hidden="1" customWidth="1"/>
    <col min="12318" max="12318" width="4" style="94" customWidth="1"/>
    <col min="12319" max="12544" width="8.09765625" style="94"/>
    <col min="12545" max="12546" width="4.19921875" style="94" customWidth="1"/>
    <col min="12547" max="12547" width="11.796875" style="94" customWidth="1"/>
    <col min="12548" max="12548" width="21.796875" style="94" customWidth="1"/>
    <col min="12549" max="12550" width="9.59765625" style="94" customWidth="1"/>
    <col min="12551" max="12553" width="8.19921875" style="94" customWidth="1"/>
    <col min="12554" max="12554" width="0" style="94" hidden="1" customWidth="1"/>
    <col min="12555" max="12555" width="9.59765625" style="94" customWidth="1"/>
    <col min="12556" max="12556" width="5.5" style="94" customWidth="1"/>
    <col min="12557" max="12557" width="0" style="94" hidden="1" customWidth="1"/>
    <col min="12558" max="12559" width="13.19921875" style="94" customWidth="1"/>
    <col min="12560" max="12560" width="0.796875" style="94" customWidth="1"/>
    <col min="12561" max="12561" width="31.19921875" style="94" customWidth="1"/>
    <col min="12562" max="12562" width="20.3984375" style="94" customWidth="1"/>
    <col min="12563" max="12563" width="0" style="94" hidden="1" customWidth="1"/>
    <col min="12564" max="12564" width="5.09765625" style="94" customWidth="1"/>
    <col min="12565" max="12565" width="11.3984375" style="94" customWidth="1"/>
    <col min="12566" max="12566" width="0" style="94" hidden="1" customWidth="1"/>
    <col min="12567" max="12567" width="9.59765625" style="94" customWidth="1"/>
    <col min="12568" max="12568" width="0" style="94" hidden="1" customWidth="1"/>
    <col min="12569" max="12570" width="13.19921875" style="94" customWidth="1"/>
    <col min="12571" max="12571" width="6.8984375" style="94" customWidth="1"/>
    <col min="12572" max="12572" width="13.19921875" style="94" customWidth="1"/>
    <col min="12573" max="12573" width="0" style="94" hidden="1" customWidth="1"/>
    <col min="12574" max="12574" width="4" style="94" customWidth="1"/>
    <col min="12575" max="12800" width="8.09765625" style="94"/>
    <col min="12801" max="12802" width="4.19921875" style="94" customWidth="1"/>
    <col min="12803" max="12803" width="11.796875" style="94" customWidth="1"/>
    <col min="12804" max="12804" width="21.796875" style="94" customWidth="1"/>
    <col min="12805" max="12806" width="9.59765625" style="94" customWidth="1"/>
    <col min="12807" max="12809" width="8.19921875" style="94" customWidth="1"/>
    <col min="12810" max="12810" width="0" style="94" hidden="1" customWidth="1"/>
    <col min="12811" max="12811" width="9.59765625" style="94" customWidth="1"/>
    <col min="12812" max="12812" width="5.5" style="94" customWidth="1"/>
    <col min="12813" max="12813" width="0" style="94" hidden="1" customWidth="1"/>
    <col min="12814" max="12815" width="13.19921875" style="94" customWidth="1"/>
    <col min="12816" max="12816" width="0.796875" style="94" customWidth="1"/>
    <col min="12817" max="12817" width="31.19921875" style="94" customWidth="1"/>
    <col min="12818" max="12818" width="20.3984375" style="94" customWidth="1"/>
    <col min="12819" max="12819" width="0" style="94" hidden="1" customWidth="1"/>
    <col min="12820" max="12820" width="5.09765625" style="94" customWidth="1"/>
    <col min="12821" max="12821" width="11.3984375" style="94" customWidth="1"/>
    <col min="12822" max="12822" width="0" style="94" hidden="1" customWidth="1"/>
    <col min="12823" max="12823" width="9.59765625" style="94" customWidth="1"/>
    <col min="12824" max="12824" width="0" style="94" hidden="1" customWidth="1"/>
    <col min="12825" max="12826" width="13.19921875" style="94" customWidth="1"/>
    <col min="12827" max="12827" width="6.8984375" style="94" customWidth="1"/>
    <col min="12828" max="12828" width="13.19921875" style="94" customWidth="1"/>
    <col min="12829" max="12829" width="0" style="94" hidden="1" customWidth="1"/>
    <col min="12830" max="12830" width="4" style="94" customWidth="1"/>
    <col min="12831" max="13056" width="8.09765625" style="94"/>
    <col min="13057" max="13058" width="4.19921875" style="94" customWidth="1"/>
    <col min="13059" max="13059" width="11.796875" style="94" customWidth="1"/>
    <col min="13060" max="13060" width="21.796875" style="94" customWidth="1"/>
    <col min="13061" max="13062" width="9.59765625" style="94" customWidth="1"/>
    <col min="13063" max="13065" width="8.19921875" style="94" customWidth="1"/>
    <col min="13066" max="13066" width="0" style="94" hidden="1" customWidth="1"/>
    <col min="13067" max="13067" width="9.59765625" style="94" customWidth="1"/>
    <col min="13068" max="13068" width="5.5" style="94" customWidth="1"/>
    <col min="13069" max="13069" width="0" style="94" hidden="1" customWidth="1"/>
    <col min="13070" max="13071" width="13.19921875" style="94" customWidth="1"/>
    <col min="13072" max="13072" width="0.796875" style="94" customWidth="1"/>
    <col min="13073" max="13073" width="31.19921875" style="94" customWidth="1"/>
    <col min="13074" max="13074" width="20.3984375" style="94" customWidth="1"/>
    <col min="13075" max="13075" width="0" style="94" hidden="1" customWidth="1"/>
    <col min="13076" max="13076" width="5.09765625" style="94" customWidth="1"/>
    <col min="13077" max="13077" width="11.3984375" style="94" customWidth="1"/>
    <col min="13078" max="13078" width="0" style="94" hidden="1" customWidth="1"/>
    <col min="13079" max="13079" width="9.59765625" style="94" customWidth="1"/>
    <col min="13080" max="13080" width="0" style="94" hidden="1" customWidth="1"/>
    <col min="13081" max="13082" width="13.19921875" style="94" customWidth="1"/>
    <col min="13083" max="13083" width="6.8984375" style="94" customWidth="1"/>
    <col min="13084" max="13084" width="13.19921875" style="94" customWidth="1"/>
    <col min="13085" max="13085" width="0" style="94" hidden="1" customWidth="1"/>
    <col min="13086" max="13086" width="4" style="94" customWidth="1"/>
    <col min="13087" max="13312" width="8.09765625" style="94"/>
    <col min="13313" max="13314" width="4.19921875" style="94" customWidth="1"/>
    <col min="13315" max="13315" width="11.796875" style="94" customWidth="1"/>
    <col min="13316" max="13316" width="21.796875" style="94" customWidth="1"/>
    <col min="13317" max="13318" width="9.59765625" style="94" customWidth="1"/>
    <col min="13319" max="13321" width="8.19921875" style="94" customWidth="1"/>
    <col min="13322" max="13322" width="0" style="94" hidden="1" customWidth="1"/>
    <col min="13323" max="13323" width="9.59765625" style="94" customWidth="1"/>
    <col min="13324" max="13324" width="5.5" style="94" customWidth="1"/>
    <col min="13325" max="13325" width="0" style="94" hidden="1" customWidth="1"/>
    <col min="13326" max="13327" width="13.19921875" style="94" customWidth="1"/>
    <col min="13328" max="13328" width="0.796875" style="94" customWidth="1"/>
    <col min="13329" max="13329" width="31.19921875" style="94" customWidth="1"/>
    <col min="13330" max="13330" width="20.3984375" style="94" customWidth="1"/>
    <col min="13331" max="13331" width="0" style="94" hidden="1" customWidth="1"/>
    <col min="13332" max="13332" width="5.09765625" style="94" customWidth="1"/>
    <col min="13333" max="13333" width="11.3984375" style="94" customWidth="1"/>
    <col min="13334" max="13334" width="0" style="94" hidden="1" customWidth="1"/>
    <col min="13335" max="13335" width="9.59765625" style="94" customWidth="1"/>
    <col min="13336" max="13336" width="0" style="94" hidden="1" customWidth="1"/>
    <col min="13337" max="13338" width="13.19921875" style="94" customWidth="1"/>
    <col min="13339" max="13339" width="6.8984375" style="94" customWidth="1"/>
    <col min="13340" max="13340" width="13.19921875" style="94" customWidth="1"/>
    <col min="13341" max="13341" width="0" style="94" hidden="1" customWidth="1"/>
    <col min="13342" max="13342" width="4" style="94" customWidth="1"/>
    <col min="13343" max="13568" width="8.09765625" style="94"/>
    <col min="13569" max="13570" width="4.19921875" style="94" customWidth="1"/>
    <col min="13571" max="13571" width="11.796875" style="94" customWidth="1"/>
    <col min="13572" max="13572" width="21.796875" style="94" customWidth="1"/>
    <col min="13573" max="13574" width="9.59765625" style="94" customWidth="1"/>
    <col min="13575" max="13577" width="8.19921875" style="94" customWidth="1"/>
    <col min="13578" max="13578" width="0" style="94" hidden="1" customWidth="1"/>
    <col min="13579" max="13579" width="9.59765625" style="94" customWidth="1"/>
    <col min="13580" max="13580" width="5.5" style="94" customWidth="1"/>
    <col min="13581" max="13581" width="0" style="94" hidden="1" customWidth="1"/>
    <col min="13582" max="13583" width="13.19921875" style="94" customWidth="1"/>
    <col min="13584" max="13584" width="0.796875" style="94" customWidth="1"/>
    <col min="13585" max="13585" width="31.19921875" style="94" customWidth="1"/>
    <col min="13586" max="13586" width="20.3984375" style="94" customWidth="1"/>
    <col min="13587" max="13587" width="0" style="94" hidden="1" customWidth="1"/>
    <col min="13588" max="13588" width="5.09765625" style="94" customWidth="1"/>
    <col min="13589" max="13589" width="11.3984375" style="94" customWidth="1"/>
    <col min="13590" max="13590" width="0" style="94" hidden="1" customWidth="1"/>
    <col min="13591" max="13591" width="9.59765625" style="94" customWidth="1"/>
    <col min="13592" max="13592" width="0" style="94" hidden="1" customWidth="1"/>
    <col min="13593" max="13594" width="13.19921875" style="94" customWidth="1"/>
    <col min="13595" max="13595" width="6.8984375" style="94" customWidth="1"/>
    <col min="13596" max="13596" width="13.19921875" style="94" customWidth="1"/>
    <col min="13597" max="13597" width="0" style="94" hidden="1" customWidth="1"/>
    <col min="13598" max="13598" width="4" style="94" customWidth="1"/>
    <col min="13599" max="13824" width="8.09765625" style="94"/>
    <col min="13825" max="13826" width="4.19921875" style="94" customWidth="1"/>
    <col min="13827" max="13827" width="11.796875" style="94" customWidth="1"/>
    <col min="13828" max="13828" width="21.796875" style="94" customWidth="1"/>
    <col min="13829" max="13830" width="9.59765625" style="94" customWidth="1"/>
    <col min="13831" max="13833" width="8.19921875" style="94" customWidth="1"/>
    <col min="13834" max="13834" width="0" style="94" hidden="1" customWidth="1"/>
    <col min="13835" max="13835" width="9.59765625" style="94" customWidth="1"/>
    <col min="13836" max="13836" width="5.5" style="94" customWidth="1"/>
    <col min="13837" max="13837" width="0" style="94" hidden="1" customWidth="1"/>
    <col min="13838" max="13839" width="13.19921875" style="94" customWidth="1"/>
    <col min="13840" max="13840" width="0.796875" style="94" customWidth="1"/>
    <col min="13841" max="13841" width="31.19921875" style="94" customWidth="1"/>
    <col min="13842" max="13842" width="20.3984375" style="94" customWidth="1"/>
    <col min="13843" max="13843" width="0" style="94" hidden="1" customWidth="1"/>
    <col min="13844" max="13844" width="5.09765625" style="94" customWidth="1"/>
    <col min="13845" max="13845" width="11.3984375" style="94" customWidth="1"/>
    <col min="13846" max="13846" width="0" style="94" hidden="1" customWidth="1"/>
    <col min="13847" max="13847" width="9.59765625" style="94" customWidth="1"/>
    <col min="13848" max="13848" width="0" style="94" hidden="1" customWidth="1"/>
    <col min="13849" max="13850" width="13.19921875" style="94" customWidth="1"/>
    <col min="13851" max="13851" width="6.8984375" style="94" customWidth="1"/>
    <col min="13852" max="13852" width="13.19921875" style="94" customWidth="1"/>
    <col min="13853" max="13853" width="0" style="94" hidden="1" customWidth="1"/>
    <col min="13854" max="13854" width="4" style="94" customWidth="1"/>
    <col min="13855" max="14080" width="8.09765625" style="94"/>
    <col min="14081" max="14082" width="4.19921875" style="94" customWidth="1"/>
    <col min="14083" max="14083" width="11.796875" style="94" customWidth="1"/>
    <col min="14084" max="14084" width="21.796875" style="94" customWidth="1"/>
    <col min="14085" max="14086" width="9.59765625" style="94" customWidth="1"/>
    <col min="14087" max="14089" width="8.19921875" style="94" customWidth="1"/>
    <col min="14090" max="14090" width="0" style="94" hidden="1" customWidth="1"/>
    <col min="14091" max="14091" width="9.59765625" style="94" customWidth="1"/>
    <col min="14092" max="14092" width="5.5" style="94" customWidth="1"/>
    <col min="14093" max="14093" width="0" style="94" hidden="1" customWidth="1"/>
    <col min="14094" max="14095" width="13.19921875" style="94" customWidth="1"/>
    <col min="14096" max="14096" width="0.796875" style="94" customWidth="1"/>
    <col min="14097" max="14097" width="31.19921875" style="94" customWidth="1"/>
    <col min="14098" max="14098" width="20.3984375" style="94" customWidth="1"/>
    <col min="14099" max="14099" width="0" style="94" hidden="1" customWidth="1"/>
    <col min="14100" max="14100" width="5.09765625" style="94" customWidth="1"/>
    <col min="14101" max="14101" width="11.3984375" style="94" customWidth="1"/>
    <col min="14102" max="14102" width="0" style="94" hidden="1" customWidth="1"/>
    <col min="14103" max="14103" width="9.59765625" style="94" customWidth="1"/>
    <col min="14104" max="14104" width="0" style="94" hidden="1" customWidth="1"/>
    <col min="14105" max="14106" width="13.19921875" style="94" customWidth="1"/>
    <col min="14107" max="14107" width="6.8984375" style="94" customWidth="1"/>
    <col min="14108" max="14108" width="13.19921875" style="94" customWidth="1"/>
    <col min="14109" max="14109" width="0" style="94" hidden="1" customWidth="1"/>
    <col min="14110" max="14110" width="4" style="94" customWidth="1"/>
    <col min="14111" max="14336" width="8.09765625" style="94"/>
    <col min="14337" max="14338" width="4.19921875" style="94" customWidth="1"/>
    <col min="14339" max="14339" width="11.796875" style="94" customWidth="1"/>
    <col min="14340" max="14340" width="21.796875" style="94" customWidth="1"/>
    <col min="14341" max="14342" width="9.59765625" style="94" customWidth="1"/>
    <col min="14343" max="14345" width="8.19921875" style="94" customWidth="1"/>
    <col min="14346" max="14346" width="0" style="94" hidden="1" customWidth="1"/>
    <col min="14347" max="14347" width="9.59765625" style="94" customWidth="1"/>
    <col min="14348" max="14348" width="5.5" style="94" customWidth="1"/>
    <col min="14349" max="14349" width="0" style="94" hidden="1" customWidth="1"/>
    <col min="14350" max="14351" width="13.19921875" style="94" customWidth="1"/>
    <col min="14352" max="14352" width="0.796875" style="94" customWidth="1"/>
    <col min="14353" max="14353" width="31.19921875" style="94" customWidth="1"/>
    <col min="14354" max="14354" width="20.3984375" style="94" customWidth="1"/>
    <col min="14355" max="14355" width="0" style="94" hidden="1" customWidth="1"/>
    <col min="14356" max="14356" width="5.09765625" style="94" customWidth="1"/>
    <col min="14357" max="14357" width="11.3984375" style="94" customWidth="1"/>
    <col min="14358" max="14358" width="0" style="94" hidden="1" customWidth="1"/>
    <col min="14359" max="14359" width="9.59765625" style="94" customWidth="1"/>
    <col min="14360" max="14360" width="0" style="94" hidden="1" customWidth="1"/>
    <col min="14361" max="14362" width="13.19921875" style="94" customWidth="1"/>
    <col min="14363" max="14363" width="6.8984375" style="94" customWidth="1"/>
    <col min="14364" max="14364" width="13.19921875" style="94" customWidth="1"/>
    <col min="14365" max="14365" width="0" style="94" hidden="1" customWidth="1"/>
    <col min="14366" max="14366" width="4" style="94" customWidth="1"/>
    <col min="14367" max="14592" width="8.09765625" style="94"/>
    <col min="14593" max="14594" width="4.19921875" style="94" customWidth="1"/>
    <col min="14595" max="14595" width="11.796875" style="94" customWidth="1"/>
    <col min="14596" max="14596" width="21.796875" style="94" customWidth="1"/>
    <col min="14597" max="14598" width="9.59765625" style="94" customWidth="1"/>
    <col min="14599" max="14601" width="8.19921875" style="94" customWidth="1"/>
    <col min="14602" max="14602" width="0" style="94" hidden="1" customWidth="1"/>
    <col min="14603" max="14603" width="9.59765625" style="94" customWidth="1"/>
    <col min="14604" max="14604" width="5.5" style="94" customWidth="1"/>
    <col min="14605" max="14605" width="0" style="94" hidden="1" customWidth="1"/>
    <col min="14606" max="14607" width="13.19921875" style="94" customWidth="1"/>
    <col min="14608" max="14608" width="0.796875" style="94" customWidth="1"/>
    <col min="14609" max="14609" width="31.19921875" style="94" customWidth="1"/>
    <col min="14610" max="14610" width="20.3984375" style="94" customWidth="1"/>
    <col min="14611" max="14611" width="0" style="94" hidden="1" customWidth="1"/>
    <col min="14612" max="14612" width="5.09765625" style="94" customWidth="1"/>
    <col min="14613" max="14613" width="11.3984375" style="94" customWidth="1"/>
    <col min="14614" max="14614" width="0" style="94" hidden="1" customWidth="1"/>
    <col min="14615" max="14615" width="9.59765625" style="94" customWidth="1"/>
    <col min="14616" max="14616" width="0" style="94" hidden="1" customWidth="1"/>
    <col min="14617" max="14618" width="13.19921875" style="94" customWidth="1"/>
    <col min="14619" max="14619" width="6.8984375" style="94" customWidth="1"/>
    <col min="14620" max="14620" width="13.19921875" style="94" customWidth="1"/>
    <col min="14621" max="14621" width="0" style="94" hidden="1" customWidth="1"/>
    <col min="14622" max="14622" width="4" style="94" customWidth="1"/>
    <col min="14623" max="14848" width="8.09765625" style="94"/>
    <col min="14849" max="14850" width="4.19921875" style="94" customWidth="1"/>
    <col min="14851" max="14851" width="11.796875" style="94" customWidth="1"/>
    <col min="14852" max="14852" width="21.796875" style="94" customWidth="1"/>
    <col min="14853" max="14854" width="9.59765625" style="94" customWidth="1"/>
    <col min="14855" max="14857" width="8.19921875" style="94" customWidth="1"/>
    <col min="14858" max="14858" width="0" style="94" hidden="1" customWidth="1"/>
    <col min="14859" max="14859" width="9.59765625" style="94" customWidth="1"/>
    <col min="14860" max="14860" width="5.5" style="94" customWidth="1"/>
    <col min="14861" max="14861" width="0" style="94" hidden="1" customWidth="1"/>
    <col min="14862" max="14863" width="13.19921875" style="94" customWidth="1"/>
    <col min="14864" max="14864" width="0.796875" style="94" customWidth="1"/>
    <col min="14865" max="14865" width="31.19921875" style="94" customWidth="1"/>
    <col min="14866" max="14866" width="20.3984375" style="94" customWidth="1"/>
    <col min="14867" max="14867" width="0" style="94" hidden="1" customWidth="1"/>
    <col min="14868" max="14868" width="5.09765625" style="94" customWidth="1"/>
    <col min="14869" max="14869" width="11.3984375" style="94" customWidth="1"/>
    <col min="14870" max="14870" width="0" style="94" hidden="1" customWidth="1"/>
    <col min="14871" max="14871" width="9.59765625" style="94" customWidth="1"/>
    <col min="14872" max="14872" width="0" style="94" hidden="1" customWidth="1"/>
    <col min="14873" max="14874" width="13.19921875" style="94" customWidth="1"/>
    <col min="14875" max="14875" width="6.8984375" style="94" customWidth="1"/>
    <col min="14876" max="14876" width="13.19921875" style="94" customWidth="1"/>
    <col min="14877" max="14877" width="0" style="94" hidden="1" customWidth="1"/>
    <col min="14878" max="14878" width="4" style="94" customWidth="1"/>
    <col min="14879" max="15104" width="8.09765625" style="94"/>
    <col min="15105" max="15106" width="4.19921875" style="94" customWidth="1"/>
    <col min="15107" max="15107" width="11.796875" style="94" customWidth="1"/>
    <col min="15108" max="15108" width="21.796875" style="94" customWidth="1"/>
    <col min="15109" max="15110" width="9.59765625" style="94" customWidth="1"/>
    <col min="15111" max="15113" width="8.19921875" style="94" customWidth="1"/>
    <col min="15114" max="15114" width="0" style="94" hidden="1" customWidth="1"/>
    <col min="15115" max="15115" width="9.59765625" style="94" customWidth="1"/>
    <col min="15116" max="15116" width="5.5" style="94" customWidth="1"/>
    <col min="15117" max="15117" width="0" style="94" hidden="1" customWidth="1"/>
    <col min="15118" max="15119" width="13.19921875" style="94" customWidth="1"/>
    <col min="15120" max="15120" width="0.796875" style="94" customWidth="1"/>
    <col min="15121" max="15121" width="31.19921875" style="94" customWidth="1"/>
    <col min="15122" max="15122" width="20.3984375" style="94" customWidth="1"/>
    <col min="15123" max="15123" width="0" style="94" hidden="1" customWidth="1"/>
    <col min="15124" max="15124" width="5.09765625" style="94" customWidth="1"/>
    <col min="15125" max="15125" width="11.3984375" style="94" customWidth="1"/>
    <col min="15126" max="15126" width="0" style="94" hidden="1" customWidth="1"/>
    <col min="15127" max="15127" width="9.59765625" style="94" customWidth="1"/>
    <col min="15128" max="15128" width="0" style="94" hidden="1" customWidth="1"/>
    <col min="15129" max="15130" width="13.19921875" style="94" customWidth="1"/>
    <col min="15131" max="15131" width="6.8984375" style="94" customWidth="1"/>
    <col min="15132" max="15132" width="13.19921875" style="94" customWidth="1"/>
    <col min="15133" max="15133" width="0" style="94" hidden="1" customWidth="1"/>
    <col min="15134" max="15134" width="4" style="94" customWidth="1"/>
    <col min="15135" max="15360" width="8.09765625" style="94"/>
    <col min="15361" max="15362" width="4.19921875" style="94" customWidth="1"/>
    <col min="15363" max="15363" width="11.796875" style="94" customWidth="1"/>
    <col min="15364" max="15364" width="21.796875" style="94" customWidth="1"/>
    <col min="15365" max="15366" width="9.59765625" style="94" customWidth="1"/>
    <col min="15367" max="15369" width="8.19921875" style="94" customWidth="1"/>
    <col min="15370" max="15370" width="0" style="94" hidden="1" customWidth="1"/>
    <col min="15371" max="15371" width="9.59765625" style="94" customWidth="1"/>
    <col min="15372" max="15372" width="5.5" style="94" customWidth="1"/>
    <col min="15373" max="15373" width="0" style="94" hidden="1" customWidth="1"/>
    <col min="15374" max="15375" width="13.19921875" style="94" customWidth="1"/>
    <col min="15376" max="15376" width="0.796875" style="94" customWidth="1"/>
    <col min="15377" max="15377" width="31.19921875" style="94" customWidth="1"/>
    <col min="15378" max="15378" width="20.3984375" style="94" customWidth="1"/>
    <col min="15379" max="15379" width="0" style="94" hidden="1" customWidth="1"/>
    <col min="15380" max="15380" width="5.09765625" style="94" customWidth="1"/>
    <col min="15381" max="15381" width="11.3984375" style="94" customWidth="1"/>
    <col min="15382" max="15382" width="0" style="94" hidden="1" customWidth="1"/>
    <col min="15383" max="15383" width="9.59765625" style="94" customWidth="1"/>
    <col min="15384" max="15384" width="0" style="94" hidden="1" customWidth="1"/>
    <col min="15385" max="15386" width="13.19921875" style="94" customWidth="1"/>
    <col min="15387" max="15387" width="6.8984375" style="94" customWidth="1"/>
    <col min="15388" max="15388" width="13.19921875" style="94" customWidth="1"/>
    <col min="15389" max="15389" width="0" style="94" hidden="1" customWidth="1"/>
    <col min="15390" max="15390" width="4" style="94" customWidth="1"/>
    <col min="15391" max="15616" width="8.09765625" style="94"/>
    <col min="15617" max="15618" width="4.19921875" style="94" customWidth="1"/>
    <col min="15619" max="15619" width="11.796875" style="94" customWidth="1"/>
    <col min="15620" max="15620" width="21.796875" style="94" customWidth="1"/>
    <col min="15621" max="15622" width="9.59765625" style="94" customWidth="1"/>
    <col min="15623" max="15625" width="8.19921875" style="94" customWidth="1"/>
    <col min="15626" max="15626" width="0" style="94" hidden="1" customWidth="1"/>
    <col min="15627" max="15627" width="9.59765625" style="94" customWidth="1"/>
    <col min="15628" max="15628" width="5.5" style="94" customWidth="1"/>
    <col min="15629" max="15629" width="0" style="94" hidden="1" customWidth="1"/>
    <col min="15630" max="15631" width="13.19921875" style="94" customWidth="1"/>
    <col min="15632" max="15632" width="0.796875" style="94" customWidth="1"/>
    <col min="15633" max="15633" width="31.19921875" style="94" customWidth="1"/>
    <col min="15634" max="15634" width="20.3984375" style="94" customWidth="1"/>
    <col min="15635" max="15635" width="0" style="94" hidden="1" customWidth="1"/>
    <col min="15636" max="15636" width="5.09765625" style="94" customWidth="1"/>
    <col min="15637" max="15637" width="11.3984375" style="94" customWidth="1"/>
    <col min="15638" max="15638" width="0" style="94" hidden="1" customWidth="1"/>
    <col min="15639" max="15639" width="9.59765625" style="94" customWidth="1"/>
    <col min="15640" max="15640" width="0" style="94" hidden="1" customWidth="1"/>
    <col min="15641" max="15642" width="13.19921875" style="94" customWidth="1"/>
    <col min="15643" max="15643" width="6.8984375" style="94" customWidth="1"/>
    <col min="15644" max="15644" width="13.19921875" style="94" customWidth="1"/>
    <col min="15645" max="15645" width="0" style="94" hidden="1" customWidth="1"/>
    <col min="15646" max="15646" width="4" style="94" customWidth="1"/>
    <col min="15647" max="15872" width="8.09765625" style="94"/>
    <col min="15873" max="15874" width="4.19921875" style="94" customWidth="1"/>
    <col min="15875" max="15875" width="11.796875" style="94" customWidth="1"/>
    <col min="15876" max="15876" width="21.796875" style="94" customWidth="1"/>
    <col min="15877" max="15878" width="9.59765625" style="94" customWidth="1"/>
    <col min="15879" max="15881" width="8.19921875" style="94" customWidth="1"/>
    <col min="15882" max="15882" width="0" style="94" hidden="1" customWidth="1"/>
    <col min="15883" max="15883" width="9.59765625" style="94" customWidth="1"/>
    <col min="15884" max="15884" width="5.5" style="94" customWidth="1"/>
    <col min="15885" max="15885" width="0" style="94" hidden="1" customWidth="1"/>
    <col min="15886" max="15887" width="13.19921875" style="94" customWidth="1"/>
    <col min="15888" max="15888" width="0.796875" style="94" customWidth="1"/>
    <col min="15889" max="15889" width="31.19921875" style="94" customWidth="1"/>
    <col min="15890" max="15890" width="20.3984375" style="94" customWidth="1"/>
    <col min="15891" max="15891" width="0" style="94" hidden="1" customWidth="1"/>
    <col min="15892" max="15892" width="5.09765625" style="94" customWidth="1"/>
    <col min="15893" max="15893" width="11.3984375" style="94" customWidth="1"/>
    <col min="15894" max="15894" width="0" style="94" hidden="1" customWidth="1"/>
    <col min="15895" max="15895" width="9.59765625" style="94" customWidth="1"/>
    <col min="15896" max="15896" width="0" style="94" hidden="1" customWidth="1"/>
    <col min="15897" max="15898" width="13.19921875" style="94" customWidth="1"/>
    <col min="15899" max="15899" width="6.8984375" style="94" customWidth="1"/>
    <col min="15900" max="15900" width="13.19921875" style="94" customWidth="1"/>
    <col min="15901" max="15901" width="0" style="94" hidden="1" customWidth="1"/>
    <col min="15902" max="15902" width="4" style="94" customWidth="1"/>
    <col min="15903" max="16128" width="8.09765625" style="94"/>
    <col min="16129" max="16130" width="4.19921875" style="94" customWidth="1"/>
    <col min="16131" max="16131" width="11.796875" style="94" customWidth="1"/>
    <col min="16132" max="16132" width="21.796875" style="94" customWidth="1"/>
    <col min="16133" max="16134" width="9.59765625" style="94" customWidth="1"/>
    <col min="16135" max="16137" width="8.19921875" style="94" customWidth="1"/>
    <col min="16138" max="16138" width="0" style="94" hidden="1" customWidth="1"/>
    <col min="16139" max="16139" width="9.59765625" style="94" customWidth="1"/>
    <col min="16140" max="16140" width="5.5" style="94" customWidth="1"/>
    <col min="16141" max="16141" width="0" style="94" hidden="1" customWidth="1"/>
    <col min="16142" max="16143" width="13.19921875" style="94" customWidth="1"/>
    <col min="16144" max="16144" width="0.796875" style="94" customWidth="1"/>
    <col min="16145" max="16145" width="31.19921875" style="94" customWidth="1"/>
    <col min="16146" max="16146" width="20.3984375" style="94" customWidth="1"/>
    <col min="16147" max="16147" width="0" style="94" hidden="1" customWidth="1"/>
    <col min="16148" max="16148" width="5.09765625" style="94" customWidth="1"/>
    <col min="16149" max="16149" width="11.3984375" style="94" customWidth="1"/>
    <col min="16150" max="16150" width="0" style="94" hidden="1" customWidth="1"/>
    <col min="16151" max="16151" width="9.59765625" style="94" customWidth="1"/>
    <col min="16152" max="16152" width="0" style="94" hidden="1" customWidth="1"/>
    <col min="16153" max="16154" width="13.19921875" style="94" customWidth="1"/>
    <col min="16155" max="16155" width="6.8984375" style="94" customWidth="1"/>
    <col min="16156" max="16156" width="13.19921875" style="94" customWidth="1"/>
    <col min="16157" max="16157" width="0" style="94" hidden="1" customWidth="1"/>
    <col min="16158" max="16158" width="4" style="94" customWidth="1"/>
    <col min="16159" max="16384" width="8.09765625" style="94"/>
  </cols>
  <sheetData>
    <row r="1" spans="1:15" ht="21" x14ac:dyDescent="0.25">
      <c r="A1" s="89"/>
      <c r="B1" s="90"/>
      <c r="C1" s="91"/>
      <c r="D1" s="91"/>
      <c r="E1" s="92" t="s">
        <v>51</v>
      </c>
      <c r="F1" s="91"/>
      <c r="G1" s="91"/>
      <c r="H1" s="91"/>
      <c r="I1" s="91"/>
      <c r="J1" s="124"/>
      <c r="K1" s="91"/>
      <c r="L1" s="91"/>
      <c r="M1" s="124"/>
      <c r="N1" s="91"/>
      <c r="O1" s="93"/>
    </row>
    <row r="2" spans="1:15" ht="14.25" customHeight="1" x14ac:dyDescent="0.2"/>
    <row r="3" spans="1:15" ht="19.5" customHeight="1" x14ac:dyDescent="0.2">
      <c r="A3" s="236"/>
      <c r="B3" s="237"/>
      <c r="C3" s="237"/>
      <c r="D3" s="237"/>
      <c r="E3" s="96"/>
    </row>
    <row r="4" spans="1:15" ht="18.75" customHeight="1" x14ac:dyDescent="0.25">
      <c r="A4" s="238"/>
      <c r="B4" s="239"/>
      <c r="C4" s="239"/>
      <c r="D4" s="239"/>
      <c r="E4" s="97"/>
      <c r="F4" s="98"/>
    </row>
    <row r="5" spans="1:15" ht="8.25" customHeight="1" x14ac:dyDescent="0.2"/>
    <row r="6" spans="1:15" x14ac:dyDescent="0.2">
      <c r="A6" s="99" t="s">
        <v>52</v>
      </c>
    </row>
    <row r="7" spans="1:15" ht="20.25" customHeight="1" x14ac:dyDescent="0.2"/>
    <row r="8" spans="1:15" ht="19.5" customHeight="1" x14ac:dyDescent="0.25">
      <c r="A8" s="100" t="s">
        <v>53</v>
      </c>
      <c r="B8" s="101"/>
      <c r="C8" s="102"/>
      <c r="D8" s="240"/>
      <c r="E8" s="241"/>
      <c r="F8" s="102"/>
      <c r="G8" s="102"/>
      <c r="K8" s="103"/>
    </row>
    <row r="9" spans="1:15" ht="20.100000000000001" customHeight="1" x14ac:dyDescent="0.25">
      <c r="A9" s="104" t="s">
        <v>129</v>
      </c>
      <c r="B9" s="105"/>
      <c r="C9" s="106"/>
      <c r="D9" s="242"/>
      <c r="E9" s="242"/>
      <c r="F9" s="106"/>
      <c r="G9" s="106"/>
      <c r="L9" s="107"/>
      <c r="M9" s="125"/>
      <c r="N9" s="107"/>
    </row>
    <row r="10" spans="1:15" ht="20.100000000000001" customHeight="1" x14ac:dyDescent="0.25">
      <c r="A10" s="104" t="s">
        <v>54</v>
      </c>
      <c r="B10" s="105"/>
      <c r="C10" s="106"/>
      <c r="D10" s="242">
        <f>SUM(D8+D9)</f>
        <v>0</v>
      </c>
      <c r="E10" s="242"/>
      <c r="F10" s="106"/>
      <c r="G10" s="106"/>
      <c r="K10" s="94" t="s">
        <v>55</v>
      </c>
    </row>
    <row r="11" spans="1:15" x14ac:dyDescent="0.2">
      <c r="K11" s="94" t="s">
        <v>56</v>
      </c>
    </row>
    <row r="12" spans="1:15" x14ac:dyDescent="0.2">
      <c r="A12" s="102" t="s">
        <v>57</v>
      </c>
      <c r="B12" s="102"/>
      <c r="C12" s="102"/>
      <c r="D12" s="233"/>
      <c r="E12" s="233"/>
      <c r="F12" s="233"/>
      <c r="G12" s="233"/>
      <c r="K12" s="94" t="s">
        <v>58</v>
      </c>
    </row>
    <row r="13" spans="1:15" x14ac:dyDescent="0.2">
      <c r="A13" s="102" t="s">
        <v>59</v>
      </c>
      <c r="B13" s="102"/>
      <c r="C13" s="102"/>
      <c r="D13" s="234"/>
      <c r="E13" s="234"/>
      <c r="F13" s="234"/>
      <c r="G13" s="234"/>
      <c r="K13" s="94" t="s">
        <v>60</v>
      </c>
    </row>
    <row r="14" spans="1:15" x14ac:dyDescent="0.2">
      <c r="A14" s="106" t="s">
        <v>61</v>
      </c>
      <c r="B14" s="106"/>
      <c r="C14" s="106"/>
      <c r="D14" s="235"/>
      <c r="E14" s="235"/>
      <c r="F14" s="235"/>
      <c r="G14" s="109"/>
    </row>
    <row r="15" spans="1:15" ht="13.5" customHeight="1" x14ac:dyDescent="0.2">
      <c r="A15" s="102" t="s">
        <v>62</v>
      </c>
      <c r="B15" s="102"/>
      <c r="C15" s="102"/>
      <c r="D15" s="245"/>
      <c r="E15" s="245"/>
      <c r="F15" s="245"/>
      <c r="G15" s="245"/>
      <c r="K15" s="110" t="s">
        <v>63</v>
      </c>
    </row>
    <row r="16" spans="1:15" x14ac:dyDescent="0.2">
      <c r="A16" s="102" t="s">
        <v>64</v>
      </c>
      <c r="B16" s="102"/>
      <c r="C16" s="102"/>
      <c r="D16" s="111"/>
      <c r="E16" s="111"/>
      <c r="F16" s="111"/>
      <c r="G16" s="111"/>
      <c r="K16" s="94" t="s">
        <v>131</v>
      </c>
    </row>
    <row r="17" spans="1:16" x14ac:dyDescent="0.2">
      <c r="A17" s="102" t="s">
        <v>65</v>
      </c>
      <c r="B17" s="102"/>
      <c r="C17" s="102"/>
      <c r="D17" s="245"/>
      <c r="E17" s="245"/>
      <c r="F17" s="245"/>
      <c r="G17" s="245"/>
      <c r="K17" s="112" t="s">
        <v>66</v>
      </c>
    </row>
    <row r="19" spans="1:16" ht="16.5" customHeight="1" x14ac:dyDescent="0.2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108" t="s">
        <v>132</v>
      </c>
    </row>
    <row r="20" spans="1:16" ht="16.5" customHeight="1" x14ac:dyDescent="0.2">
      <c r="A20" s="113" t="s">
        <v>68</v>
      </c>
      <c r="B20" s="113" t="s">
        <v>69</v>
      </c>
      <c r="C20" s="247" t="s">
        <v>70</v>
      </c>
      <c r="D20" s="248"/>
      <c r="E20" s="113" t="s">
        <v>71</v>
      </c>
      <c r="F20" s="113" t="s">
        <v>72</v>
      </c>
      <c r="G20" s="113" t="s">
        <v>73</v>
      </c>
      <c r="H20" s="113" t="s">
        <v>74</v>
      </c>
      <c r="I20" s="113" t="s">
        <v>75</v>
      </c>
      <c r="J20" s="122"/>
      <c r="K20" s="113" t="s">
        <v>76</v>
      </c>
      <c r="L20" s="113" t="s">
        <v>77</v>
      </c>
      <c r="M20" s="122"/>
      <c r="N20" s="113" t="s">
        <v>78</v>
      </c>
      <c r="O20" s="113" t="s">
        <v>79</v>
      </c>
      <c r="P20" s="114"/>
    </row>
    <row r="21" spans="1:16" ht="16.5" customHeight="1" x14ac:dyDescent="0.2">
      <c r="A21" s="115"/>
      <c r="B21" s="115"/>
      <c r="C21" s="243"/>
      <c r="D21" s="244"/>
      <c r="E21" s="116"/>
      <c r="F21" s="115"/>
      <c r="G21" s="117"/>
      <c r="H21" s="118"/>
      <c r="I21" s="118"/>
      <c r="J21" s="126"/>
      <c r="K21" s="119" t="str">
        <f t="shared" ref="K21:K38" si="0">IF(MOD(J21,1)=0,TEXT(J21,"#,###"),TEXT(J21,"#,##0.##"))</f>
        <v/>
      </c>
      <c r="L21" s="115"/>
      <c r="M21" s="123"/>
      <c r="N21" s="119" t="str">
        <f t="shared" ref="N21:N38" si="1">IF(MOD(M21,1)=0,TEXT(M21,"#,###"),TEXT(M21,"#,##0.##"))</f>
        <v/>
      </c>
      <c r="O21" s="120"/>
      <c r="P21" s="99"/>
    </row>
    <row r="22" spans="1:16" ht="16.5" customHeight="1" x14ac:dyDescent="0.2">
      <c r="A22" s="115"/>
      <c r="B22" s="115"/>
      <c r="C22" s="243"/>
      <c r="D22" s="244"/>
      <c r="E22" s="116"/>
      <c r="F22" s="115"/>
      <c r="G22" s="117"/>
      <c r="H22" s="118"/>
      <c r="I22" s="118"/>
      <c r="J22" s="126"/>
      <c r="K22" s="119" t="str">
        <f t="shared" si="0"/>
        <v/>
      </c>
      <c r="L22" s="115"/>
      <c r="M22" s="123"/>
      <c r="N22" s="119" t="str">
        <f t="shared" si="1"/>
        <v/>
      </c>
      <c r="O22" s="120"/>
      <c r="P22" s="99"/>
    </row>
    <row r="23" spans="1:16" ht="16.5" customHeight="1" x14ac:dyDescent="0.2">
      <c r="A23" s="115"/>
      <c r="B23" s="115"/>
      <c r="C23" s="243"/>
      <c r="D23" s="244"/>
      <c r="E23" s="116"/>
      <c r="F23" s="115"/>
      <c r="G23" s="117"/>
      <c r="H23" s="118"/>
      <c r="I23" s="118"/>
      <c r="J23" s="126"/>
      <c r="K23" s="119" t="str">
        <f t="shared" si="0"/>
        <v/>
      </c>
      <c r="L23" s="115"/>
      <c r="M23" s="123"/>
      <c r="N23" s="119" t="str">
        <f t="shared" si="1"/>
        <v/>
      </c>
      <c r="O23" s="120"/>
      <c r="P23" s="99"/>
    </row>
    <row r="24" spans="1:16" ht="16.5" customHeight="1" x14ac:dyDescent="0.2">
      <c r="A24" s="115"/>
      <c r="B24" s="115"/>
      <c r="C24" s="243"/>
      <c r="D24" s="244"/>
      <c r="E24" s="116"/>
      <c r="F24" s="115"/>
      <c r="G24" s="117"/>
      <c r="H24" s="118"/>
      <c r="I24" s="118"/>
      <c r="J24" s="126"/>
      <c r="K24" s="119" t="str">
        <f t="shared" si="0"/>
        <v/>
      </c>
      <c r="L24" s="115"/>
      <c r="M24" s="123"/>
      <c r="N24" s="119" t="str">
        <f t="shared" si="1"/>
        <v/>
      </c>
      <c r="O24" s="120"/>
      <c r="P24" s="99"/>
    </row>
    <row r="25" spans="1:16" ht="16.5" customHeight="1" x14ac:dyDescent="0.2">
      <c r="A25" s="115"/>
      <c r="B25" s="115"/>
      <c r="C25" s="243"/>
      <c r="D25" s="244"/>
      <c r="E25" s="116"/>
      <c r="F25" s="115"/>
      <c r="G25" s="117"/>
      <c r="H25" s="118"/>
      <c r="I25" s="118"/>
      <c r="J25" s="126"/>
      <c r="K25" s="119" t="str">
        <f t="shared" si="0"/>
        <v/>
      </c>
      <c r="L25" s="115"/>
      <c r="M25" s="123"/>
      <c r="N25" s="119" t="str">
        <f t="shared" si="1"/>
        <v/>
      </c>
      <c r="O25" s="120"/>
      <c r="P25" s="99"/>
    </row>
    <row r="26" spans="1:16" ht="16.5" customHeight="1" x14ac:dyDescent="0.2">
      <c r="A26" s="115"/>
      <c r="B26" s="115"/>
      <c r="C26" s="243"/>
      <c r="D26" s="244"/>
      <c r="E26" s="116"/>
      <c r="F26" s="115"/>
      <c r="G26" s="117"/>
      <c r="H26" s="118"/>
      <c r="I26" s="118"/>
      <c r="J26" s="126"/>
      <c r="K26" s="119" t="str">
        <f t="shared" si="0"/>
        <v/>
      </c>
      <c r="L26" s="115"/>
      <c r="M26" s="123"/>
      <c r="N26" s="119" t="str">
        <f t="shared" si="1"/>
        <v/>
      </c>
      <c r="O26" s="120"/>
      <c r="P26" s="99"/>
    </row>
    <row r="27" spans="1:16" ht="16.5" customHeight="1" x14ac:dyDescent="0.2">
      <c r="A27" s="115"/>
      <c r="B27" s="115"/>
      <c r="C27" s="243"/>
      <c r="D27" s="244"/>
      <c r="E27" s="116"/>
      <c r="F27" s="115"/>
      <c r="G27" s="117"/>
      <c r="H27" s="118"/>
      <c r="I27" s="118"/>
      <c r="J27" s="126"/>
      <c r="K27" s="119" t="str">
        <f t="shared" si="0"/>
        <v/>
      </c>
      <c r="L27" s="115"/>
      <c r="M27" s="123"/>
      <c r="N27" s="119" t="str">
        <f t="shared" si="1"/>
        <v/>
      </c>
      <c r="O27" s="120"/>
      <c r="P27" s="99"/>
    </row>
    <row r="28" spans="1:16" ht="16.5" customHeight="1" x14ac:dyDescent="0.2">
      <c r="A28" s="115"/>
      <c r="B28" s="115"/>
      <c r="C28" s="243"/>
      <c r="D28" s="244"/>
      <c r="E28" s="116"/>
      <c r="F28" s="115"/>
      <c r="G28" s="117"/>
      <c r="H28" s="118"/>
      <c r="I28" s="118"/>
      <c r="J28" s="126"/>
      <c r="K28" s="119" t="str">
        <f t="shared" si="0"/>
        <v/>
      </c>
      <c r="L28" s="115"/>
      <c r="M28" s="123"/>
      <c r="N28" s="119" t="str">
        <f t="shared" si="1"/>
        <v/>
      </c>
      <c r="O28" s="120"/>
      <c r="P28" s="99"/>
    </row>
    <row r="29" spans="1:16" ht="16.5" customHeight="1" x14ac:dyDescent="0.2">
      <c r="A29" s="115"/>
      <c r="B29" s="115"/>
      <c r="C29" s="243"/>
      <c r="D29" s="244"/>
      <c r="E29" s="116"/>
      <c r="F29" s="115"/>
      <c r="G29" s="117"/>
      <c r="H29" s="118"/>
      <c r="I29" s="118"/>
      <c r="J29" s="126"/>
      <c r="K29" s="119" t="str">
        <f t="shared" si="0"/>
        <v/>
      </c>
      <c r="L29" s="115"/>
      <c r="M29" s="123"/>
      <c r="N29" s="119" t="str">
        <f t="shared" si="1"/>
        <v/>
      </c>
      <c r="O29" s="120"/>
      <c r="P29" s="99"/>
    </row>
    <row r="30" spans="1:16" ht="16.5" customHeight="1" x14ac:dyDescent="0.2">
      <c r="A30" s="115"/>
      <c r="B30" s="115"/>
      <c r="C30" s="243"/>
      <c r="D30" s="244"/>
      <c r="E30" s="116"/>
      <c r="F30" s="115"/>
      <c r="G30" s="117"/>
      <c r="H30" s="118"/>
      <c r="I30" s="118"/>
      <c r="J30" s="126"/>
      <c r="K30" s="119" t="str">
        <f t="shared" si="0"/>
        <v/>
      </c>
      <c r="L30" s="115"/>
      <c r="M30" s="123"/>
      <c r="N30" s="119" t="str">
        <f t="shared" si="1"/>
        <v/>
      </c>
      <c r="O30" s="120"/>
      <c r="P30" s="99"/>
    </row>
    <row r="31" spans="1:16" ht="16.5" customHeight="1" x14ac:dyDescent="0.2">
      <c r="A31" s="115"/>
      <c r="B31" s="115"/>
      <c r="C31" s="243"/>
      <c r="D31" s="244"/>
      <c r="E31" s="116"/>
      <c r="F31" s="115"/>
      <c r="G31" s="117"/>
      <c r="H31" s="118"/>
      <c r="I31" s="118"/>
      <c r="J31" s="126"/>
      <c r="K31" s="119" t="str">
        <f t="shared" si="0"/>
        <v/>
      </c>
      <c r="L31" s="115"/>
      <c r="M31" s="123"/>
      <c r="N31" s="119" t="str">
        <f t="shared" si="1"/>
        <v/>
      </c>
      <c r="O31" s="120"/>
      <c r="P31" s="99"/>
    </row>
    <row r="32" spans="1:16" ht="16.5" customHeight="1" x14ac:dyDescent="0.2">
      <c r="A32" s="115"/>
      <c r="B32" s="115"/>
      <c r="C32" s="243"/>
      <c r="D32" s="244"/>
      <c r="E32" s="116"/>
      <c r="F32" s="115"/>
      <c r="G32" s="117"/>
      <c r="H32" s="118"/>
      <c r="I32" s="118"/>
      <c r="J32" s="126"/>
      <c r="K32" s="119" t="str">
        <f t="shared" si="0"/>
        <v/>
      </c>
      <c r="L32" s="115"/>
      <c r="M32" s="123"/>
      <c r="N32" s="119" t="str">
        <f t="shared" si="1"/>
        <v/>
      </c>
      <c r="O32" s="120"/>
      <c r="P32" s="99"/>
    </row>
    <row r="33" spans="1:16" ht="16.5" customHeight="1" x14ac:dyDescent="0.2">
      <c r="A33" s="115"/>
      <c r="B33" s="115"/>
      <c r="C33" s="243"/>
      <c r="D33" s="244"/>
      <c r="E33" s="116"/>
      <c r="F33" s="115"/>
      <c r="G33" s="117"/>
      <c r="H33" s="118"/>
      <c r="I33" s="118"/>
      <c r="J33" s="126"/>
      <c r="K33" s="119" t="str">
        <f t="shared" si="0"/>
        <v/>
      </c>
      <c r="L33" s="115"/>
      <c r="M33" s="123"/>
      <c r="N33" s="119" t="str">
        <f t="shared" si="1"/>
        <v/>
      </c>
      <c r="O33" s="120"/>
      <c r="P33" s="99"/>
    </row>
    <row r="34" spans="1:16" ht="16.5" customHeight="1" x14ac:dyDescent="0.2">
      <c r="A34" s="115"/>
      <c r="B34" s="115"/>
      <c r="C34" s="243"/>
      <c r="D34" s="244"/>
      <c r="E34" s="116"/>
      <c r="F34" s="115"/>
      <c r="G34" s="117"/>
      <c r="H34" s="118"/>
      <c r="I34" s="118"/>
      <c r="J34" s="126"/>
      <c r="K34" s="119" t="str">
        <f t="shared" si="0"/>
        <v/>
      </c>
      <c r="L34" s="115"/>
      <c r="M34" s="123"/>
      <c r="N34" s="119" t="str">
        <f t="shared" si="1"/>
        <v/>
      </c>
      <c r="O34" s="120"/>
      <c r="P34" s="99"/>
    </row>
    <row r="35" spans="1:16" ht="16.5" customHeight="1" x14ac:dyDescent="0.2">
      <c r="A35" s="115"/>
      <c r="B35" s="115"/>
      <c r="C35" s="243"/>
      <c r="D35" s="244"/>
      <c r="E35" s="116"/>
      <c r="F35" s="115"/>
      <c r="G35" s="117"/>
      <c r="H35" s="118"/>
      <c r="I35" s="118"/>
      <c r="J35" s="126"/>
      <c r="K35" s="119" t="str">
        <f t="shared" si="0"/>
        <v/>
      </c>
      <c r="L35" s="115"/>
      <c r="M35" s="123"/>
      <c r="N35" s="119" t="str">
        <f t="shared" si="1"/>
        <v/>
      </c>
      <c r="O35" s="120"/>
      <c r="P35" s="99"/>
    </row>
    <row r="36" spans="1:16" ht="16.5" customHeight="1" x14ac:dyDescent="0.2">
      <c r="A36" s="115"/>
      <c r="B36" s="115"/>
      <c r="C36" s="243"/>
      <c r="D36" s="244"/>
      <c r="E36" s="116"/>
      <c r="F36" s="115"/>
      <c r="G36" s="117"/>
      <c r="H36" s="118"/>
      <c r="I36" s="118"/>
      <c r="J36" s="126"/>
      <c r="K36" s="119" t="str">
        <f t="shared" si="0"/>
        <v/>
      </c>
      <c r="L36" s="115"/>
      <c r="M36" s="123"/>
      <c r="N36" s="119" t="str">
        <f t="shared" si="1"/>
        <v/>
      </c>
      <c r="O36" s="120"/>
      <c r="P36" s="99"/>
    </row>
    <row r="37" spans="1:16" ht="16.5" customHeight="1" x14ac:dyDescent="0.2">
      <c r="A37" s="115"/>
      <c r="B37" s="115"/>
      <c r="C37" s="243"/>
      <c r="D37" s="244"/>
      <c r="E37" s="116"/>
      <c r="F37" s="115"/>
      <c r="G37" s="117"/>
      <c r="H37" s="118"/>
      <c r="I37" s="118"/>
      <c r="J37" s="126"/>
      <c r="K37" s="119" t="str">
        <f t="shared" si="0"/>
        <v/>
      </c>
      <c r="L37" s="115"/>
      <c r="M37" s="123"/>
      <c r="N37" s="119" t="str">
        <f t="shared" si="1"/>
        <v/>
      </c>
      <c r="O37" s="120"/>
      <c r="P37" s="99"/>
    </row>
    <row r="38" spans="1:16" ht="16.5" customHeight="1" x14ac:dyDescent="0.2">
      <c r="A38" s="115"/>
      <c r="B38" s="115"/>
      <c r="C38" s="243"/>
      <c r="D38" s="244"/>
      <c r="E38" s="116"/>
      <c r="F38" s="115"/>
      <c r="G38" s="117"/>
      <c r="H38" s="118"/>
      <c r="I38" s="118"/>
      <c r="J38" s="126"/>
      <c r="K38" s="119" t="str">
        <f t="shared" si="0"/>
        <v/>
      </c>
      <c r="L38" s="115"/>
      <c r="M38" s="123"/>
      <c r="N38" s="119" t="str">
        <f t="shared" si="1"/>
        <v/>
      </c>
      <c r="O38" s="120"/>
      <c r="P38" s="99"/>
    </row>
    <row r="39" spans="1:16" ht="9" customHeight="1" x14ac:dyDescent="0.2"/>
    <row r="40" spans="1:16" ht="16.5" customHeight="1" x14ac:dyDescent="0.2">
      <c r="O40" s="108" t="s">
        <v>67</v>
      </c>
    </row>
    <row r="41" spans="1:16" ht="16.5" customHeight="1" x14ac:dyDescent="0.2">
      <c r="A41" s="113" t="s">
        <v>68</v>
      </c>
      <c r="B41" s="113" t="s">
        <v>69</v>
      </c>
      <c r="C41" s="247" t="s">
        <v>70</v>
      </c>
      <c r="D41" s="249"/>
      <c r="E41" s="113" t="s">
        <v>71</v>
      </c>
      <c r="F41" s="113" t="s">
        <v>72</v>
      </c>
      <c r="G41" s="113" t="s">
        <v>73</v>
      </c>
      <c r="H41" s="113" t="s">
        <v>74</v>
      </c>
      <c r="I41" s="113" t="s">
        <v>75</v>
      </c>
      <c r="J41" s="122"/>
      <c r="K41" s="113" t="s">
        <v>76</v>
      </c>
      <c r="L41" s="113" t="s">
        <v>77</v>
      </c>
      <c r="M41" s="122"/>
      <c r="N41" s="113" t="s">
        <v>78</v>
      </c>
      <c r="O41" s="113" t="s">
        <v>79</v>
      </c>
    </row>
    <row r="42" spans="1:16" ht="16.5" customHeight="1" x14ac:dyDescent="0.2">
      <c r="A42" s="115"/>
      <c r="B42" s="115"/>
      <c r="C42" s="243"/>
      <c r="D42" s="244"/>
      <c r="E42" s="116"/>
      <c r="F42" s="115"/>
      <c r="G42" s="117"/>
      <c r="H42" s="118"/>
      <c r="I42" s="118"/>
      <c r="J42" s="126"/>
      <c r="K42" s="119" t="str">
        <f t="shared" ref="K42:K73" si="2">IF(MOD(J42,1)=0,TEXT(J42,"#,###"),TEXT(J42,"#,##0.##"))</f>
        <v/>
      </c>
      <c r="L42" s="115"/>
      <c r="M42" s="123"/>
      <c r="N42" s="119" t="str">
        <f t="shared" ref="N42:N73" si="3">IF(MOD(M42,1)=0,TEXT(M42,"#,###"),TEXT(M42,"#,##0.##"))</f>
        <v/>
      </c>
      <c r="O42" s="120"/>
    </row>
    <row r="43" spans="1:16" ht="16.5" customHeight="1" x14ac:dyDescent="0.2">
      <c r="A43" s="115"/>
      <c r="B43" s="115"/>
      <c r="C43" s="243"/>
      <c r="D43" s="244"/>
      <c r="E43" s="116"/>
      <c r="F43" s="115"/>
      <c r="G43" s="117"/>
      <c r="H43" s="118"/>
      <c r="I43" s="118"/>
      <c r="J43" s="126"/>
      <c r="K43" s="119" t="str">
        <f t="shared" si="2"/>
        <v/>
      </c>
      <c r="L43" s="115"/>
      <c r="M43" s="123"/>
      <c r="N43" s="119" t="str">
        <f t="shared" si="3"/>
        <v/>
      </c>
      <c r="O43" s="120"/>
    </row>
    <row r="44" spans="1:16" ht="16.5" customHeight="1" x14ac:dyDescent="0.2">
      <c r="A44" s="115"/>
      <c r="B44" s="115"/>
      <c r="C44" s="243"/>
      <c r="D44" s="244"/>
      <c r="E44" s="116"/>
      <c r="F44" s="115"/>
      <c r="G44" s="117"/>
      <c r="H44" s="118"/>
      <c r="I44" s="118"/>
      <c r="J44" s="126"/>
      <c r="K44" s="119" t="str">
        <f t="shared" si="2"/>
        <v/>
      </c>
      <c r="L44" s="115"/>
      <c r="M44" s="123"/>
      <c r="N44" s="119" t="str">
        <f t="shared" si="3"/>
        <v/>
      </c>
      <c r="O44" s="120"/>
    </row>
    <row r="45" spans="1:16" ht="16.5" customHeight="1" x14ac:dyDescent="0.2">
      <c r="A45" s="115"/>
      <c r="B45" s="115"/>
      <c r="C45" s="243"/>
      <c r="D45" s="244"/>
      <c r="E45" s="116"/>
      <c r="F45" s="115"/>
      <c r="G45" s="117"/>
      <c r="H45" s="118"/>
      <c r="I45" s="118"/>
      <c r="J45" s="126"/>
      <c r="K45" s="119" t="str">
        <f t="shared" si="2"/>
        <v/>
      </c>
      <c r="L45" s="115"/>
      <c r="M45" s="123"/>
      <c r="N45" s="119" t="str">
        <f t="shared" si="3"/>
        <v/>
      </c>
      <c r="O45" s="120"/>
    </row>
    <row r="46" spans="1:16" ht="16.5" customHeight="1" x14ac:dyDescent="0.2">
      <c r="A46" s="115"/>
      <c r="B46" s="115"/>
      <c r="C46" s="243"/>
      <c r="D46" s="244"/>
      <c r="E46" s="116"/>
      <c r="F46" s="115"/>
      <c r="G46" s="117"/>
      <c r="H46" s="118"/>
      <c r="I46" s="118"/>
      <c r="J46" s="126"/>
      <c r="K46" s="119" t="str">
        <f t="shared" si="2"/>
        <v/>
      </c>
      <c r="L46" s="115"/>
      <c r="M46" s="123"/>
      <c r="N46" s="119" t="str">
        <f t="shared" si="3"/>
        <v/>
      </c>
      <c r="O46" s="120"/>
    </row>
    <row r="47" spans="1:16" ht="16.5" customHeight="1" x14ac:dyDescent="0.2">
      <c r="A47" s="115"/>
      <c r="B47" s="115"/>
      <c r="C47" s="243"/>
      <c r="D47" s="244"/>
      <c r="E47" s="116"/>
      <c r="F47" s="115"/>
      <c r="G47" s="117"/>
      <c r="H47" s="118"/>
      <c r="I47" s="118"/>
      <c r="J47" s="126"/>
      <c r="K47" s="119" t="str">
        <f t="shared" si="2"/>
        <v/>
      </c>
      <c r="L47" s="115"/>
      <c r="M47" s="123"/>
      <c r="N47" s="119" t="str">
        <f t="shared" si="3"/>
        <v/>
      </c>
      <c r="O47" s="120"/>
    </row>
    <row r="48" spans="1:16" ht="16.5" customHeight="1" x14ac:dyDescent="0.2">
      <c r="A48" s="115"/>
      <c r="B48" s="115"/>
      <c r="C48" s="243"/>
      <c r="D48" s="244"/>
      <c r="E48" s="116"/>
      <c r="F48" s="115"/>
      <c r="G48" s="117"/>
      <c r="H48" s="118"/>
      <c r="I48" s="118"/>
      <c r="J48" s="126"/>
      <c r="K48" s="119" t="str">
        <f t="shared" si="2"/>
        <v/>
      </c>
      <c r="L48" s="115"/>
      <c r="M48" s="123"/>
      <c r="N48" s="119" t="str">
        <f t="shared" si="3"/>
        <v/>
      </c>
      <c r="O48" s="120"/>
    </row>
    <row r="49" spans="1:15" ht="16.5" customHeight="1" x14ac:dyDescent="0.2">
      <c r="A49" s="115"/>
      <c r="B49" s="115"/>
      <c r="C49" s="243"/>
      <c r="D49" s="244"/>
      <c r="E49" s="116"/>
      <c r="F49" s="115"/>
      <c r="G49" s="117"/>
      <c r="H49" s="118"/>
      <c r="I49" s="118"/>
      <c r="J49" s="126"/>
      <c r="K49" s="119" t="str">
        <f t="shared" si="2"/>
        <v/>
      </c>
      <c r="L49" s="115"/>
      <c r="M49" s="123"/>
      <c r="N49" s="119" t="str">
        <f t="shared" si="3"/>
        <v/>
      </c>
      <c r="O49" s="120"/>
    </row>
    <row r="50" spans="1:15" ht="16.5" customHeight="1" x14ac:dyDescent="0.2">
      <c r="A50" s="115"/>
      <c r="B50" s="115"/>
      <c r="C50" s="243"/>
      <c r="D50" s="244"/>
      <c r="E50" s="116"/>
      <c r="F50" s="115"/>
      <c r="G50" s="117"/>
      <c r="H50" s="118"/>
      <c r="I50" s="118"/>
      <c r="J50" s="126"/>
      <c r="K50" s="119" t="str">
        <f t="shared" si="2"/>
        <v/>
      </c>
      <c r="L50" s="115"/>
      <c r="M50" s="123"/>
      <c r="N50" s="119" t="str">
        <f t="shared" si="3"/>
        <v/>
      </c>
      <c r="O50" s="120"/>
    </row>
    <row r="51" spans="1:15" ht="16.5" customHeight="1" x14ac:dyDescent="0.2">
      <c r="A51" s="115"/>
      <c r="B51" s="115"/>
      <c r="C51" s="243"/>
      <c r="D51" s="244"/>
      <c r="E51" s="116"/>
      <c r="F51" s="115"/>
      <c r="G51" s="117"/>
      <c r="H51" s="118"/>
      <c r="I51" s="118"/>
      <c r="J51" s="126"/>
      <c r="K51" s="119" t="str">
        <f t="shared" si="2"/>
        <v/>
      </c>
      <c r="L51" s="115"/>
      <c r="M51" s="123"/>
      <c r="N51" s="119" t="str">
        <f t="shared" si="3"/>
        <v/>
      </c>
      <c r="O51" s="120"/>
    </row>
    <row r="52" spans="1:15" ht="16.5" customHeight="1" x14ac:dyDescent="0.2">
      <c r="A52" s="115"/>
      <c r="B52" s="115"/>
      <c r="C52" s="243"/>
      <c r="D52" s="244"/>
      <c r="E52" s="116"/>
      <c r="F52" s="115"/>
      <c r="G52" s="117"/>
      <c r="H52" s="118"/>
      <c r="I52" s="118"/>
      <c r="J52" s="126"/>
      <c r="K52" s="119" t="str">
        <f t="shared" si="2"/>
        <v/>
      </c>
      <c r="L52" s="115"/>
      <c r="M52" s="123"/>
      <c r="N52" s="119" t="str">
        <f t="shared" si="3"/>
        <v/>
      </c>
      <c r="O52" s="120"/>
    </row>
    <row r="53" spans="1:15" ht="16.5" customHeight="1" x14ac:dyDescent="0.2">
      <c r="A53" s="115"/>
      <c r="B53" s="115"/>
      <c r="C53" s="243"/>
      <c r="D53" s="244"/>
      <c r="E53" s="116"/>
      <c r="F53" s="115"/>
      <c r="G53" s="117"/>
      <c r="H53" s="118"/>
      <c r="I53" s="118"/>
      <c r="J53" s="126"/>
      <c r="K53" s="119" t="str">
        <f t="shared" si="2"/>
        <v/>
      </c>
      <c r="L53" s="115"/>
      <c r="M53" s="123"/>
      <c r="N53" s="119" t="str">
        <f t="shared" si="3"/>
        <v/>
      </c>
      <c r="O53" s="120"/>
    </row>
    <row r="54" spans="1:15" ht="16.5" customHeight="1" x14ac:dyDescent="0.2">
      <c r="A54" s="115"/>
      <c r="B54" s="115"/>
      <c r="C54" s="243"/>
      <c r="D54" s="244"/>
      <c r="E54" s="116"/>
      <c r="F54" s="115"/>
      <c r="G54" s="117"/>
      <c r="H54" s="118"/>
      <c r="I54" s="118"/>
      <c r="J54" s="126"/>
      <c r="K54" s="119" t="str">
        <f t="shared" si="2"/>
        <v/>
      </c>
      <c r="L54" s="115"/>
      <c r="M54" s="123"/>
      <c r="N54" s="119" t="str">
        <f t="shared" si="3"/>
        <v/>
      </c>
      <c r="O54" s="120"/>
    </row>
    <row r="55" spans="1:15" ht="16.5" customHeight="1" x14ac:dyDescent="0.2">
      <c r="A55" s="115"/>
      <c r="B55" s="115"/>
      <c r="C55" s="243"/>
      <c r="D55" s="244"/>
      <c r="E55" s="116"/>
      <c r="F55" s="115"/>
      <c r="G55" s="117"/>
      <c r="H55" s="118"/>
      <c r="I55" s="118"/>
      <c r="J55" s="126"/>
      <c r="K55" s="119" t="str">
        <f t="shared" si="2"/>
        <v/>
      </c>
      <c r="L55" s="115"/>
      <c r="M55" s="123"/>
      <c r="N55" s="119" t="str">
        <f t="shared" si="3"/>
        <v/>
      </c>
      <c r="O55" s="120"/>
    </row>
    <row r="56" spans="1:15" ht="16.5" customHeight="1" x14ac:dyDescent="0.2">
      <c r="A56" s="115"/>
      <c r="B56" s="115"/>
      <c r="C56" s="243"/>
      <c r="D56" s="244"/>
      <c r="E56" s="116"/>
      <c r="F56" s="115"/>
      <c r="G56" s="117"/>
      <c r="H56" s="118"/>
      <c r="I56" s="118"/>
      <c r="J56" s="126"/>
      <c r="K56" s="119" t="str">
        <f t="shared" si="2"/>
        <v/>
      </c>
      <c r="L56" s="115"/>
      <c r="M56" s="123"/>
      <c r="N56" s="119" t="str">
        <f t="shared" si="3"/>
        <v/>
      </c>
      <c r="O56" s="120"/>
    </row>
    <row r="57" spans="1:15" ht="16.5" customHeight="1" x14ac:dyDescent="0.2">
      <c r="A57" s="115"/>
      <c r="B57" s="115"/>
      <c r="C57" s="243"/>
      <c r="D57" s="244"/>
      <c r="E57" s="116"/>
      <c r="F57" s="115"/>
      <c r="G57" s="117"/>
      <c r="H57" s="118"/>
      <c r="I57" s="118"/>
      <c r="J57" s="126"/>
      <c r="K57" s="119" t="str">
        <f t="shared" si="2"/>
        <v/>
      </c>
      <c r="L57" s="115"/>
      <c r="M57" s="123"/>
      <c r="N57" s="119" t="str">
        <f t="shared" si="3"/>
        <v/>
      </c>
      <c r="O57" s="120"/>
    </row>
    <row r="58" spans="1:15" ht="16.5" customHeight="1" x14ac:dyDescent="0.2">
      <c r="A58" s="115"/>
      <c r="B58" s="115"/>
      <c r="C58" s="243"/>
      <c r="D58" s="244"/>
      <c r="E58" s="116"/>
      <c r="F58" s="115"/>
      <c r="G58" s="117"/>
      <c r="H58" s="118"/>
      <c r="I58" s="118"/>
      <c r="J58" s="126"/>
      <c r="K58" s="119" t="str">
        <f t="shared" si="2"/>
        <v/>
      </c>
      <c r="L58" s="115"/>
      <c r="M58" s="123"/>
      <c r="N58" s="119" t="str">
        <f t="shared" si="3"/>
        <v/>
      </c>
      <c r="O58" s="120"/>
    </row>
    <row r="59" spans="1:15" ht="16.5" customHeight="1" x14ac:dyDescent="0.2">
      <c r="A59" s="115"/>
      <c r="B59" s="115"/>
      <c r="C59" s="243"/>
      <c r="D59" s="244"/>
      <c r="E59" s="116"/>
      <c r="F59" s="115"/>
      <c r="G59" s="117"/>
      <c r="H59" s="118"/>
      <c r="I59" s="118"/>
      <c r="J59" s="126"/>
      <c r="K59" s="119" t="str">
        <f t="shared" si="2"/>
        <v/>
      </c>
      <c r="L59" s="115"/>
      <c r="M59" s="123"/>
      <c r="N59" s="119" t="str">
        <f t="shared" si="3"/>
        <v/>
      </c>
      <c r="O59" s="120"/>
    </row>
    <row r="60" spans="1:15" ht="16.5" customHeight="1" x14ac:dyDescent="0.2">
      <c r="A60" s="115"/>
      <c r="B60" s="115"/>
      <c r="C60" s="243"/>
      <c r="D60" s="244"/>
      <c r="E60" s="116"/>
      <c r="F60" s="115"/>
      <c r="G60" s="117"/>
      <c r="H60" s="118"/>
      <c r="I60" s="118"/>
      <c r="J60" s="126"/>
      <c r="K60" s="119" t="str">
        <f t="shared" si="2"/>
        <v/>
      </c>
      <c r="L60" s="115"/>
      <c r="M60" s="123"/>
      <c r="N60" s="119" t="str">
        <f t="shared" si="3"/>
        <v/>
      </c>
      <c r="O60" s="120"/>
    </row>
    <row r="61" spans="1:15" ht="16.5" customHeight="1" x14ac:dyDescent="0.2">
      <c r="A61" s="115"/>
      <c r="B61" s="115"/>
      <c r="C61" s="243"/>
      <c r="D61" s="244"/>
      <c r="E61" s="116"/>
      <c r="F61" s="115"/>
      <c r="G61" s="117"/>
      <c r="H61" s="118"/>
      <c r="I61" s="118"/>
      <c r="J61" s="126"/>
      <c r="K61" s="119" t="str">
        <f t="shared" si="2"/>
        <v/>
      </c>
      <c r="L61" s="115"/>
      <c r="M61" s="123"/>
      <c r="N61" s="119" t="str">
        <f t="shared" si="3"/>
        <v/>
      </c>
      <c r="O61" s="120"/>
    </row>
    <row r="62" spans="1:15" ht="16.5" customHeight="1" x14ac:dyDescent="0.2">
      <c r="A62" s="115"/>
      <c r="B62" s="115"/>
      <c r="C62" s="243"/>
      <c r="D62" s="244"/>
      <c r="E62" s="116"/>
      <c r="F62" s="115"/>
      <c r="G62" s="117"/>
      <c r="H62" s="118"/>
      <c r="I62" s="118"/>
      <c r="J62" s="126"/>
      <c r="K62" s="119" t="str">
        <f t="shared" si="2"/>
        <v/>
      </c>
      <c r="L62" s="115"/>
      <c r="M62" s="123"/>
      <c r="N62" s="119" t="str">
        <f t="shared" si="3"/>
        <v/>
      </c>
      <c r="O62" s="120"/>
    </row>
    <row r="63" spans="1:15" ht="16.5" customHeight="1" x14ac:dyDescent="0.2">
      <c r="A63" s="115"/>
      <c r="B63" s="115"/>
      <c r="C63" s="243"/>
      <c r="D63" s="244"/>
      <c r="E63" s="116"/>
      <c r="F63" s="115"/>
      <c r="G63" s="117"/>
      <c r="H63" s="118"/>
      <c r="I63" s="118"/>
      <c r="J63" s="126"/>
      <c r="K63" s="119" t="str">
        <f t="shared" si="2"/>
        <v/>
      </c>
      <c r="L63" s="115"/>
      <c r="M63" s="123"/>
      <c r="N63" s="119" t="str">
        <f t="shared" si="3"/>
        <v/>
      </c>
      <c r="O63" s="120"/>
    </row>
    <row r="64" spans="1:15" ht="16.5" customHeight="1" x14ac:dyDescent="0.2">
      <c r="A64" s="115"/>
      <c r="B64" s="115"/>
      <c r="C64" s="243"/>
      <c r="D64" s="244"/>
      <c r="E64" s="116"/>
      <c r="F64" s="115"/>
      <c r="G64" s="117"/>
      <c r="H64" s="118"/>
      <c r="I64" s="118"/>
      <c r="J64" s="126"/>
      <c r="K64" s="119" t="str">
        <f t="shared" si="2"/>
        <v/>
      </c>
      <c r="L64" s="115"/>
      <c r="M64" s="123"/>
      <c r="N64" s="119" t="str">
        <f t="shared" si="3"/>
        <v/>
      </c>
      <c r="O64" s="120"/>
    </row>
    <row r="65" spans="1:15" ht="16.5" customHeight="1" x14ac:dyDescent="0.2">
      <c r="A65" s="115"/>
      <c r="B65" s="115"/>
      <c r="C65" s="243"/>
      <c r="D65" s="244"/>
      <c r="E65" s="116"/>
      <c r="F65" s="115"/>
      <c r="G65" s="117"/>
      <c r="H65" s="118"/>
      <c r="I65" s="118"/>
      <c r="J65" s="126"/>
      <c r="K65" s="119" t="str">
        <f t="shared" si="2"/>
        <v/>
      </c>
      <c r="L65" s="115"/>
      <c r="M65" s="123"/>
      <c r="N65" s="119" t="str">
        <f t="shared" si="3"/>
        <v/>
      </c>
      <c r="O65" s="120"/>
    </row>
    <row r="66" spans="1:15" ht="16.5" customHeight="1" x14ac:dyDescent="0.2">
      <c r="A66" s="115"/>
      <c r="B66" s="115"/>
      <c r="C66" s="243"/>
      <c r="D66" s="244"/>
      <c r="E66" s="116"/>
      <c r="F66" s="115"/>
      <c r="G66" s="117"/>
      <c r="H66" s="118"/>
      <c r="I66" s="118"/>
      <c r="J66" s="126"/>
      <c r="K66" s="119" t="str">
        <f t="shared" si="2"/>
        <v/>
      </c>
      <c r="L66" s="115"/>
      <c r="M66" s="123"/>
      <c r="N66" s="119" t="str">
        <f t="shared" si="3"/>
        <v/>
      </c>
      <c r="O66" s="120"/>
    </row>
    <row r="67" spans="1:15" ht="16.5" customHeight="1" x14ac:dyDescent="0.2">
      <c r="A67" s="115"/>
      <c r="B67" s="115"/>
      <c r="C67" s="243"/>
      <c r="D67" s="244"/>
      <c r="E67" s="116"/>
      <c r="F67" s="115"/>
      <c r="G67" s="117"/>
      <c r="H67" s="118"/>
      <c r="I67" s="118"/>
      <c r="J67" s="126"/>
      <c r="K67" s="119" t="str">
        <f t="shared" si="2"/>
        <v/>
      </c>
      <c r="L67" s="115"/>
      <c r="M67" s="123"/>
      <c r="N67" s="119" t="str">
        <f t="shared" si="3"/>
        <v/>
      </c>
      <c r="O67" s="120"/>
    </row>
    <row r="68" spans="1:15" ht="16.5" customHeight="1" x14ac:dyDescent="0.2">
      <c r="A68" s="115"/>
      <c r="B68" s="115"/>
      <c r="C68" s="243"/>
      <c r="D68" s="244"/>
      <c r="E68" s="116"/>
      <c r="F68" s="115"/>
      <c r="G68" s="117"/>
      <c r="H68" s="118"/>
      <c r="I68" s="118"/>
      <c r="J68" s="126"/>
      <c r="K68" s="119" t="str">
        <f t="shared" si="2"/>
        <v/>
      </c>
      <c r="L68" s="115"/>
      <c r="M68" s="123"/>
      <c r="N68" s="119" t="str">
        <f t="shared" si="3"/>
        <v/>
      </c>
      <c r="O68" s="120"/>
    </row>
    <row r="69" spans="1:15" ht="16.5" customHeight="1" x14ac:dyDescent="0.2">
      <c r="A69" s="115"/>
      <c r="B69" s="115"/>
      <c r="C69" s="243"/>
      <c r="D69" s="244"/>
      <c r="E69" s="116"/>
      <c r="F69" s="115"/>
      <c r="G69" s="117"/>
      <c r="H69" s="118"/>
      <c r="I69" s="118"/>
      <c r="J69" s="126"/>
      <c r="K69" s="119" t="str">
        <f t="shared" si="2"/>
        <v/>
      </c>
      <c r="L69" s="115"/>
      <c r="M69" s="123"/>
      <c r="N69" s="119" t="str">
        <f t="shared" si="3"/>
        <v/>
      </c>
      <c r="O69" s="120"/>
    </row>
    <row r="70" spans="1:15" ht="16.5" customHeight="1" x14ac:dyDescent="0.2">
      <c r="A70" s="115"/>
      <c r="B70" s="115"/>
      <c r="C70" s="243"/>
      <c r="D70" s="244"/>
      <c r="E70" s="116"/>
      <c r="F70" s="115"/>
      <c r="G70" s="117"/>
      <c r="H70" s="118"/>
      <c r="I70" s="118"/>
      <c r="J70" s="126"/>
      <c r="K70" s="119" t="str">
        <f t="shared" si="2"/>
        <v/>
      </c>
      <c r="L70" s="115"/>
      <c r="M70" s="123"/>
      <c r="N70" s="119" t="str">
        <f t="shared" si="3"/>
        <v/>
      </c>
      <c r="O70" s="120"/>
    </row>
    <row r="71" spans="1:15" ht="16.5" customHeight="1" x14ac:dyDescent="0.2">
      <c r="A71" s="115"/>
      <c r="B71" s="115"/>
      <c r="C71" s="243"/>
      <c r="D71" s="244"/>
      <c r="E71" s="116"/>
      <c r="F71" s="115"/>
      <c r="G71" s="117"/>
      <c r="H71" s="118"/>
      <c r="I71" s="118"/>
      <c r="J71" s="126"/>
      <c r="K71" s="119" t="str">
        <f t="shared" si="2"/>
        <v/>
      </c>
      <c r="L71" s="115"/>
      <c r="M71" s="123"/>
      <c r="N71" s="119" t="str">
        <f t="shared" si="3"/>
        <v/>
      </c>
      <c r="O71" s="120"/>
    </row>
    <row r="72" spans="1:15" ht="16.5" customHeight="1" x14ac:dyDescent="0.2">
      <c r="A72" s="115"/>
      <c r="B72" s="115"/>
      <c r="C72" s="243"/>
      <c r="D72" s="244"/>
      <c r="E72" s="116"/>
      <c r="F72" s="115"/>
      <c r="G72" s="117"/>
      <c r="H72" s="118"/>
      <c r="I72" s="118"/>
      <c r="J72" s="126"/>
      <c r="K72" s="119" t="str">
        <f t="shared" si="2"/>
        <v/>
      </c>
      <c r="L72" s="115"/>
      <c r="M72" s="123"/>
      <c r="N72" s="119" t="str">
        <f t="shared" si="3"/>
        <v/>
      </c>
      <c r="O72" s="120"/>
    </row>
    <row r="73" spans="1:15" ht="16.5" customHeight="1" x14ac:dyDescent="0.2">
      <c r="A73" s="115"/>
      <c r="B73" s="115"/>
      <c r="C73" s="243"/>
      <c r="D73" s="244"/>
      <c r="E73" s="116"/>
      <c r="F73" s="115"/>
      <c r="G73" s="117"/>
      <c r="H73" s="118"/>
      <c r="I73" s="118"/>
      <c r="J73" s="126"/>
      <c r="K73" s="119" t="str">
        <f t="shared" si="2"/>
        <v/>
      </c>
      <c r="L73" s="115"/>
      <c r="M73" s="123"/>
      <c r="N73" s="119" t="str">
        <f t="shared" si="3"/>
        <v/>
      </c>
      <c r="O73" s="120"/>
    </row>
  </sheetData>
  <mergeCells count="63">
    <mergeCell ref="C70:D70"/>
    <mergeCell ref="C71:D71"/>
    <mergeCell ref="C72:D72"/>
    <mergeCell ref="C73:D73"/>
    <mergeCell ref="C64:D64"/>
    <mergeCell ref="C65:D65"/>
    <mergeCell ref="C66:D66"/>
    <mergeCell ref="C67:D67"/>
    <mergeCell ref="C68:D68"/>
    <mergeCell ref="C69:D69"/>
    <mergeCell ref="C63:D63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51:D51"/>
    <mergeCell ref="C38:D38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37:D37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25:D25"/>
    <mergeCell ref="D15:G15"/>
    <mergeCell ref="D17:G17"/>
    <mergeCell ref="A19:N19"/>
    <mergeCell ref="C20:D20"/>
    <mergeCell ref="C21:D21"/>
    <mergeCell ref="C22:D22"/>
    <mergeCell ref="C23:D23"/>
    <mergeCell ref="C24:D24"/>
    <mergeCell ref="D12:G12"/>
    <mergeCell ref="D13:G13"/>
    <mergeCell ref="D14:F14"/>
    <mergeCell ref="A3:D3"/>
    <mergeCell ref="A4:D4"/>
    <mergeCell ref="D8:E8"/>
    <mergeCell ref="D9:E9"/>
    <mergeCell ref="D10:E10"/>
  </mergeCells>
  <phoneticPr fontId="2"/>
  <printOptions horizontalCentered="1"/>
  <pageMargins left="0.23622047244094491" right="0.23622047244094491" top="0.23622047244094491" bottom="0.23622047244094491" header="0" footer="0"/>
  <pageSetup paperSize="9" orientation="landscape" r:id="rId1"/>
  <headerFooter alignWithMargins="0">
    <oddHeader>&amp;R&amp;10&amp;P/&amp;N 頁</oddHeader>
    <oddFooter>&amp;R©2024 SMS DataTech Corporation. All rights reserved.</oddFooter>
  </headerFooter>
  <drawing r:id="rId2"/>
  <legacyDrawing r:id="rId3"/>
  <oleObjects>
    <mc:AlternateContent xmlns:mc="http://schemas.openxmlformats.org/markup-compatibility/2006">
      <mc:Choice Requires="x14">
        <oleObject progId="Dstmp.StampObject.6" shapeId="7169" r:id="rId4">
          <objectPr defaultSize="0" autoFill="0" autoLine="0" autoPict="0" r:id="rId5">
            <anchor>
              <from>
                <xdr:col>13</xdr:col>
                <xdr:colOff>449580</xdr:colOff>
                <xdr:row>4</xdr:row>
                <xdr:rowOff>60960</xdr:rowOff>
              </from>
              <to>
                <xdr:col>14</xdr:col>
                <xdr:colOff>274320</xdr:colOff>
                <xdr:row>8</xdr:row>
                <xdr:rowOff>121920</xdr:rowOff>
              </to>
            </anchor>
          </objectPr>
        </oleObject>
      </mc:Choice>
      <mc:Fallback>
        <oleObject progId="Dstmp.StampObject.6" shapeId="7169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46</v>
      </c>
    </row>
    <row r="2" spans="1:1" x14ac:dyDescent="0.45">
      <c r="A2" s="71" t="s">
        <v>36</v>
      </c>
    </row>
    <row r="3" spans="1:1" x14ac:dyDescent="0.45">
      <c r="A3" s="70" t="s">
        <v>37</v>
      </c>
    </row>
    <row r="4" spans="1:1" x14ac:dyDescent="0.45">
      <c r="A4" s="70" t="s">
        <v>40</v>
      </c>
    </row>
    <row r="5" spans="1:1" x14ac:dyDescent="0.45">
      <c r="A5" s="70" t="s">
        <v>38</v>
      </c>
    </row>
    <row r="6" spans="1:1" x14ac:dyDescent="0.45">
      <c r="A6" s="70" t="s">
        <v>39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39</vt:i4>
      </vt:variant>
    </vt:vector>
  </HeadingPairs>
  <TitlesOfParts>
    <vt:vector size="48" baseType="lpstr">
      <vt:lpstr>変更履歴</vt:lpstr>
      <vt:lpstr>概要</vt:lpstr>
      <vt:lpstr>帳票レイアウト</vt:lpstr>
      <vt:lpstr>項目一覧</vt:lpstr>
      <vt:lpstr>処理詳細</vt:lpstr>
      <vt:lpstr>確認事項</vt:lpstr>
      <vt:lpstr>別紙_テンプレート</vt:lpstr>
      <vt:lpstr>別紙_印刷レイアウト</vt:lpstr>
      <vt:lpstr>参照</vt:lpstr>
      <vt:lpstr>CoreCells</vt:lpstr>
      <vt:lpstr>CoreCellsRow</vt:lpstr>
      <vt:lpstr>概要!Print_Area</vt:lpstr>
      <vt:lpstr>項目一覧!Print_Area</vt:lpstr>
      <vt:lpstr>処理詳細!Print_Area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帳票レイアウト!Print_Titles</vt:lpstr>
      <vt:lpstr>別紙_テンプレート!Print_Titles</vt:lpstr>
      <vt:lpstr>変更履歴!Print_Titles</vt:lpstr>
      <vt:lpstr>クレーム区分</vt:lpstr>
      <vt:lpstr>会社担当者</vt:lpstr>
      <vt:lpstr>会社担当者E_mail</vt:lpstr>
      <vt:lpstr>見積金額</vt:lpstr>
      <vt:lpstr>見積件名</vt:lpstr>
      <vt:lpstr>見積日</vt:lpstr>
      <vt:lpstr>見積番号</vt:lpstr>
      <vt:lpstr>見積有効期限</vt:lpstr>
      <vt:lpstr>現場名</vt:lpstr>
      <vt:lpstr>合計金額</vt:lpstr>
      <vt:lpstr>作成日</vt:lpstr>
      <vt:lpstr>支払条件</vt:lpstr>
      <vt:lpstr>受注区分</vt:lpstr>
      <vt:lpstr>受注先1</vt:lpstr>
      <vt:lpstr>受渡地</vt:lpstr>
      <vt:lpstr>消費税額</vt:lpstr>
      <vt:lpstr>消費税等</vt:lpstr>
      <vt:lpstr>担当者</vt:lpstr>
      <vt:lpstr>担当者名</vt:lpstr>
      <vt:lpstr>店番</vt:lpstr>
      <vt:lpstr>得意先名1</vt:lpstr>
      <vt:lpstr>得意先名2</vt:lpstr>
      <vt:lpstr>納期</vt:lpstr>
      <vt:lpstr>納入先1</vt:lpstr>
      <vt:lpstr>納入先住所1</vt:lpstr>
      <vt:lpstr>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2025-05-24T05:29:37Z</dcterms:modified>
</cp:coreProperties>
</file>