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別紙_テンプレート!$A$6:$I$6</definedName>
    <definedName name="NenRetu">別紙_テンプレート!$D:$I</definedName>
    <definedName name="_xlnm.Print_Area" localSheetId="1">概要!$A$1:$BN$31</definedName>
    <definedName name="_xlnm.Print_Area" localSheetId="3">項目一覧!$A$1:$BX$47</definedName>
    <definedName name="_xlnm.Print_Area" localSheetId="4">処理詳細!$A$1:$BR$330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別紙_テンプレート!$A:$C,別紙_テンプレート!$1:$5</definedName>
    <definedName name="_xlnm.Print_Titles" localSheetId="0">変更履歴!$1:$5</definedName>
    <definedName name="SumCore">別紙_テンプレート!#REF!</definedName>
    <definedName name="YearNamePos">別紙_テンプレート!$D$3</definedName>
    <definedName name="集計範囲">別紙_テンプレート!$C$1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O7" i="16" l="1"/>
  <c r="K7" i="16"/>
  <c r="I7" i="16"/>
  <c r="E7" i="16"/>
  <c r="O6" i="16"/>
  <c r="K6" i="16"/>
  <c r="I6" i="16"/>
  <c r="E6" i="16"/>
  <c r="N4" i="16"/>
  <c r="L4" i="16"/>
  <c r="M4" i="16" s="1"/>
  <c r="H4" i="16"/>
  <c r="F4" i="16"/>
  <c r="G4" i="16" s="1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<sst xmlns="http://schemas.openxmlformats.org/spreadsheetml/2006/main" count="813" uniqueCount="438">
  <si>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</si>
  <si>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</si>
  <si>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</si>
  <si>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</si>
  <si>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</si>
  <si>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</si>
  <si>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</si>
  <si>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</si>
  <si>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</si>
  <si>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</si>
  <si>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</si>
  <si>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</si>
  <si>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</si>
  <si>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</si>
  <si>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</si>
  <si>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</si>
  <si>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</si>
  <si>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</si>
  <si>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</si>
  <si>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</si>
  <si>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</si>
  <si>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</si>
  <si>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</si>
  <si>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</si>
  <si>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</si>
  <si>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</si>
  <si>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</si>
  <si>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</si>
  <si>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</si>
  <si>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</si>
  <si>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</si>
  <si>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</si>
  <si>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</si>
  <si>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</si>
  <si>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</si>
  <si>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</si>
  <si>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</si>
  <si>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</si>
  <si>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</si>
  <si>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</si>
  <si>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</si>
  <si>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</si>
  <si>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</si>
  <si>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</si>
  <si>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</si>
  <si>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</si>
  <si>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</si>
  <si>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</si>
  <si>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</si>
  <si>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</si>
  <si>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</si>
  <si>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</si>
  <si>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</si>
  <si>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Template得意先別年間売上順位推移表.xlsx</t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</si>
  <si>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</si>
  <si>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</si>
  <si>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</si>
  <si>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</si>
  <si>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2012年～2012年</t>
    <rPh sb="4" eb="5">
      <t>ネン</t>
    </rPh>
    <rPh sb="10" eb="11">
      <t>ネン</t>
    </rPh>
    <phoneticPr fontId="10"/>
  </si>
  <si>
    <t>得意先別年間売上順位推移表</t>
  </si>
  <si>
    <t>計</t>
    <rPh sb="0" eb="1">
      <t>ケイ</t>
    </rPh>
    <phoneticPr fontId="10"/>
  </si>
  <si>
    <t>得意先CD</t>
  </si>
  <si>
    <t>得意先名1</t>
  </si>
  <si>
    <t>得意先名2</t>
  </si>
  <si>
    <t>順位</t>
    <rPh sb="0" eb="2">
      <t>ジュンイ</t>
    </rPh>
    <phoneticPr fontId="10"/>
  </si>
  <si>
    <t>前対比</t>
    <rPh sb="0" eb="1">
      <t>ゼン</t>
    </rPh>
    <rPh sb="1" eb="3">
      <t>タイヒ</t>
    </rPh>
    <phoneticPr fontId="10"/>
  </si>
  <si>
    <t>原価金額</t>
    <rPh sb="0" eb="2">
      <t>ゲンカ</t>
    </rPh>
    <rPh sb="2" eb="4">
      <t>キンガク</t>
    </rPh>
    <phoneticPr fontId="10"/>
  </si>
  <si>
    <t>原価率</t>
    <rPh sb="0" eb="2">
      <t>ゲンカ</t>
    </rPh>
    <rPh sb="2" eb="3">
      <t>リツ</t>
    </rPh>
    <phoneticPr fontId="10"/>
  </si>
  <si>
    <t>純売上金額</t>
  </si>
  <si>
    <t>ﾊﾟｰｾﾝﾄ</t>
  </si>
  <si>
    <t>期間from</t>
    <rPh sb="0" eb="2">
      <t>キカン</t>
    </rPh>
    <phoneticPr fontId="1"/>
  </si>
  <si>
    <t>期間to</t>
    <rPh sb="0" eb="2">
      <t>キカン</t>
    </rPh>
    <phoneticPr fontId="1"/>
  </si>
  <si>
    <t>集計年</t>
    <rPh sb="0" eb="3">
      <t>シュウケイネン</t>
    </rPh>
    <phoneticPr fontId="1"/>
  </si>
  <si>
    <t>得意先CD</t>
    <rPh sb="0" eb="3">
      <t>トクイサキ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</si>
  <si>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</si>
  <si>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</si>
  <si>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原価金額合計</t>
    <rPh sb="0" eb="6">
      <t>ゲンカキンガクゴウケイ</t>
    </rPh>
    <phoneticPr fontId="1"/>
  </si>
  <si>
    <t>原価率合計</t>
    <rPh sb="0" eb="5">
      <t>ゲンカリツゴウケイ</t>
    </rPh>
    <phoneticPr fontId="1"/>
  </si>
  <si>
    <t>順位</t>
    <rPh sb="0" eb="2">
      <t>ジュンイ</t>
    </rPh>
    <phoneticPr fontId="1"/>
  </si>
  <si>
    <t>前対比</t>
    <rPh sb="0" eb="1">
      <t>マエ</t>
    </rPh>
    <rPh sb="1" eb="3">
      <t>タイヒ</t>
    </rPh>
    <phoneticPr fontId="1"/>
  </si>
  <si>
    <t>原価金額</t>
    <rPh sb="0" eb="4">
      <t>ゲンカキンガク</t>
    </rPh>
    <phoneticPr fontId="1"/>
  </si>
  <si>
    <t>原価率</t>
    <rPh sb="0" eb="3">
      <t>ゲンカリツ</t>
    </rPh>
    <phoneticPr fontId="1"/>
  </si>
  <si>
    <t>純売上金額</t>
    <rPh sb="0" eb="5">
      <t>ジュンウリアゲキンガク</t>
    </rPh>
    <phoneticPr fontId="1"/>
  </si>
  <si>
    <t>パーセント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</si>
  <si>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</si>
  <si>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</si>
  <si>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純売上金額合計</t>
    <rPh sb="0" eb="1">
      <t>ジュン</t>
    </rPh>
    <rPh sb="1" eb="3">
      <t>ウリアゲ</t>
    </rPh>
    <rPh sb="3" eb="5">
      <t>キンガク</t>
    </rPh>
    <rPh sb="5" eb="7">
      <t>ゴウケイ</t>
    </rPh>
    <phoneticPr fontId="1"/>
  </si>
  <si>
    <t>from</t>
    <phoneticPr fontId="2"/>
  </si>
  <si>
    <t>join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</si>
  <si>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</si>
  <si>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</si>
  <si>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</si>
  <si>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</si>
  <si>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</si>
  <si>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</si>
  <si>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</si>
  <si>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</si>
  <si>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</si>
  <si>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</si>
  <si>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</si>
  <si>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</si>
  <si>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</si>
  <si>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</si>
  <si>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</si>
  <si>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</si>
  <si>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</si>
  <si>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</si>
  <si>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</si>
  <si>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</si>
  <si>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</si>
  <si>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</si>
  <si>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</si>
  <si>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</si>
  <si>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</si>
  <si>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</si>
  <si>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</si>
  <si>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</si>
  <si>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</si>
  <si>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</si>
  <si>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</si>
  <si>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</si>
  <si>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</si>
  <si>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</si>
  <si>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年が古い順に左から並ぶ</t>
    <rPh sb="0" eb="1">
      <t>トシ</t>
    </rPh>
    <rPh sb="2" eb="3">
      <t>フル</t>
    </rPh>
    <rPh sb="4" eb="5">
      <t>ジュン</t>
    </rPh>
    <rPh sb="6" eb="7">
      <t>ヒダリ</t>
    </rPh>
    <rPh sb="9" eb="10">
      <t>ナラ</t>
    </rPh>
    <phoneticPr fontId="2"/>
  </si>
  <si>
    <t>INSERT SQL1</t>
    <phoneticPr fontId="2"/>
  </si>
  <si>
    <t>insert</t>
    <phoneticPr fontId="2"/>
  </si>
  <si>
    <t>原価金額</t>
    <phoneticPr fontId="2"/>
  </si>
  <si>
    <t>得意先CD</t>
    <phoneticPr fontId="2"/>
  </si>
  <si>
    <t>SQL2</t>
    <phoneticPr fontId="2"/>
  </si>
  <si>
    <t>INNER JOIN</t>
    <phoneticPr fontId="2"/>
  </si>
  <si>
    <t>group by</t>
    <phoneticPr fontId="2"/>
  </si>
  <si>
    <t>TM得意先</t>
    <phoneticPr fontId="2"/>
  </si>
  <si>
    <t>SQL9</t>
    <phoneticPr fontId="2"/>
  </si>
  <si>
    <t>#TMP</t>
    <phoneticPr fontId="2"/>
  </si>
  <si>
    <t>年</t>
    <phoneticPr fontId="2"/>
  </si>
  <si>
    <t>順位</t>
    <phoneticPr fontId="2"/>
  </si>
  <si>
    <t>税抜金額</t>
    <phoneticPr fontId="2"/>
  </si>
  <si>
    <t>比率</t>
    <phoneticPr fontId="2"/>
  </si>
  <si>
    <t>トータル税抜金額</t>
    <phoneticPr fontId="2"/>
  </si>
  <si>
    <t>IF</t>
    <phoneticPr fontId="2"/>
  </si>
  <si>
    <t>IF [画面.集計区分] = 0</t>
    <rPh sb="4" eb="6">
      <t>ガメン</t>
    </rPh>
    <rPh sb="7" eb="11">
      <t>シュウケイクブン</t>
    </rPh>
    <phoneticPr fontId="2"/>
  </si>
  <si>
    <t>ELSE</t>
    <phoneticPr fontId="2"/>
  </si>
  <si>
    <t>SQL1</t>
    <phoneticPr fontId="2"/>
  </si>
  <si>
    <t>NULL</t>
    <phoneticPr fontId="2"/>
  </si>
  <si>
    <t>SQL2.得意先CD</t>
    <phoneticPr fontId="2"/>
  </si>
  <si>
    <t>得意先CD</t>
    <phoneticPr fontId="2"/>
  </si>
  <si>
    <t>SQL2.トータル税抜金額</t>
    <phoneticPr fontId="2"/>
  </si>
  <si>
    <t>SQL2</t>
    <phoneticPr fontId="2"/>
  </si>
  <si>
    <t>select</t>
    <phoneticPr fontId="2"/>
  </si>
  <si>
    <t>U.得意先CD</t>
    <phoneticPr fontId="2"/>
  </si>
  <si>
    <t>U.年</t>
    <phoneticPr fontId="2"/>
  </si>
  <si>
    <t>U.税抜金額</t>
    <phoneticPr fontId="2"/>
  </si>
  <si>
    <t>TOTAL.トータル税抜金額</t>
    <phoneticPr fontId="2"/>
  </si>
  <si>
    <t>SQL2.年</t>
    <phoneticPr fontId="2"/>
  </si>
  <si>
    <t>SQL2.税抜金額</t>
    <phoneticPr fontId="2"/>
  </si>
  <si>
    <t>トータル税抜金額</t>
    <phoneticPr fontId="2"/>
  </si>
  <si>
    <t>SQL3 AS U</t>
    <phoneticPr fontId="2"/>
  </si>
  <si>
    <t>SQL4 AS TOTAL</t>
    <phoneticPr fontId="2"/>
  </si>
  <si>
    <t>from</t>
    <phoneticPr fontId="2"/>
  </si>
  <si>
    <t>join</t>
    <phoneticPr fontId="2"/>
  </si>
  <si>
    <t xml:space="preserve">LEFT JOIN </t>
    <phoneticPr fontId="2"/>
  </si>
  <si>
    <t>SQL4</t>
    <phoneticPr fontId="2"/>
  </si>
  <si>
    <t>U.年 = TOTAL.年</t>
    <phoneticPr fontId="2"/>
  </si>
  <si>
    <t>SQL3</t>
    <phoneticPr fontId="2"/>
  </si>
  <si>
    <t>MH.得意先CD</t>
    <phoneticPr fontId="2"/>
  </si>
  <si>
    <t>CASE WHEN MONTH(UH.売上日付) &lt;= 3 THEN YEAR(UH.売上日付) - 1 ELSE YEAR(UH.売上日付) END</t>
    <phoneticPr fontId="2"/>
  </si>
  <si>
    <t>年</t>
    <rPh sb="0" eb="1">
      <t>ネン</t>
    </rPh>
    <phoneticPr fontId="2"/>
  </si>
  <si>
    <t>SUM(CASE WHEN UM.売上税区分 = 1 THEN (UM.売上金額-UM.消費税額) ELSE UM.売上金額 END)</t>
    <phoneticPr fontId="2"/>
  </si>
  <si>
    <t>TD売上v2 AS UH</t>
    <phoneticPr fontId="2"/>
  </si>
  <si>
    <t>TD見積 AS MH</t>
    <phoneticPr fontId="2"/>
  </si>
  <si>
    <t>TD売上明細v2 AS UM</t>
    <phoneticPr fontId="2"/>
  </si>
  <si>
    <t>INNER JOIN</t>
    <phoneticPr fontId="2"/>
  </si>
  <si>
    <t>TD見積</t>
    <phoneticPr fontId="2"/>
  </si>
  <si>
    <t>UH.見積番号 = MH.見積番号</t>
    <phoneticPr fontId="2"/>
  </si>
  <si>
    <t>TD売上明細v2</t>
    <phoneticPr fontId="2"/>
  </si>
  <si>
    <t>UH.売上番号 = UM.売上番号</t>
    <phoneticPr fontId="2"/>
  </si>
  <si>
    <t>where</t>
    <phoneticPr fontId="2"/>
  </si>
  <si>
    <t>AND</t>
    <phoneticPr fontId="2"/>
  </si>
  <si>
    <t>UH.売上日付 &gt;= [画面.集計期間from]</t>
    <rPh sb="12" eb="14">
      <t>ガメン</t>
    </rPh>
    <rPh sb="15" eb="19">
      <t>シュウケイキカン</t>
    </rPh>
    <phoneticPr fontId="2"/>
  </si>
  <si>
    <t>UH.売上日付 &lt;= [画面.集計期間to]</t>
    <phoneticPr fontId="2"/>
  </si>
  <si>
    <t>group by</t>
    <phoneticPr fontId="2"/>
  </si>
  <si>
    <t>CASE WHEN MONTH(UH.売上日付) &lt;= 3</t>
    <phoneticPr fontId="2"/>
  </si>
  <si>
    <t>THEN YEAR(UH.売上日付) - 1</t>
    <phoneticPr fontId="2"/>
  </si>
  <si>
    <t>ELSE YEAR(UH.売上日付)</t>
    <phoneticPr fontId="2"/>
  </si>
  <si>
    <t>END</t>
    <phoneticPr fontId="2"/>
  </si>
  <si>
    <t>MERGE SQL5</t>
    <phoneticPr fontId="2"/>
  </si>
  <si>
    <t>merge into</t>
    <phoneticPr fontId="2"/>
  </si>
  <si>
    <t>#TMP AS A</t>
    <phoneticPr fontId="2"/>
  </si>
  <si>
    <t>using</t>
    <phoneticPr fontId="2"/>
  </si>
  <si>
    <t>SQL6</t>
    <phoneticPr fontId="2"/>
  </si>
  <si>
    <t>(</t>
    <phoneticPr fontId="2"/>
  </si>
  <si>
    <t>A.得意先CD = B.得意先CD</t>
    <phoneticPr fontId="2"/>
  </si>
  <si>
    <t>A.年 = B.年</t>
    <phoneticPr fontId="2"/>
  </si>
  <si>
    <t>)</t>
    <phoneticPr fontId="2"/>
  </si>
  <si>
    <t>matched</t>
    <phoneticPr fontId="2"/>
  </si>
  <si>
    <t>WHEN MATCHED THEN</t>
    <phoneticPr fontId="2"/>
  </si>
  <si>
    <t>UPDATE</t>
    <phoneticPr fontId="2"/>
  </si>
  <si>
    <t>SET A.原価金額 = A.原価金額 + B.原価税抜金額</t>
    <phoneticPr fontId="2"/>
  </si>
  <si>
    <t>WHEN NOT MATCHED THEN</t>
    <phoneticPr fontId="2"/>
  </si>
  <si>
    <t>INSERT</t>
    <phoneticPr fontId="2"/>
  </si>
  <si>
    <t>年</t>
    <phoneticPr fontId="2"/>
  </si>
  <si>
    <t>原価金額</t>
    <phoneticPr fontId="2"/>
  </si>
  <si>
    <t>B.得意先CD</t>
    <phoneticPr fontId="2"/>
  </si>
  <si>
    <t>B.年</t>
    <phoneticPr fontId="2"/>
  </si>
  <si>
    <t>B.原価税抜金額</t>
    <phoneticPr fontId="2"/>
  </si>
  <si>
    <t>UPDATE SQL6</t>
    <phoneticPr fontId="2"/>
  </si>
  <si>
    <t>update</t>
    <phoneticPr fontId="2"/>
  </si>
  <si>
    <t>#TMP</t>
    <phoneticPr fontId="2"/>
  </si>
  <si>
    <t>set</t>
    <phoneticPr fontId="2"/>
  </si>
  <si>
    <t>JN.順位</t>
    <phoneticPr fontId="2"/>
  </si>
  <si>
    <t>CASE WHEN #TMP.トータル税抜金額 &lt;&gt; 0 THEN dbo.fn_Round(#TMP.税抜金額 * 100 / #TMP.トータル税抜金額,1) ELSE 0 END</t>
    <phoneticPr fontId="2"/>
  </si>
  <si>
    <t>SQL7</t>
    <phoneticPr fontId="2"/>
  </si>
  <si>
    <t>#TMP.得意先CD = JN.得意先CD</t>
    <phoneticPr fontId="2"/>
  </si>
  <si>
    <t>#TMP.年 = JN.年</t>
    <phoneticPr fontId="2"/>
  </si>
  <si>
    <t>ROW_NUMBER() OVER(PARTITION BY #TMP.年 ORDER BY #TMP.税抜金額 DESC)</t>
    <phoneticPr fontId="2"/>
  </si>
  <si>
    <t>#TMP.得意先CD</t>
    <rPh sb="5" eb="8">
      <t>トクイサキ</t>
    </rPh>
    <phoneticPr fontId="2"/>
  </si>
  <si>
    <t>#TMP.年</t>
    <rPh sb="5" eb="6">
      <t>ネン</t>
    </rPh>
    <phoneticPr fontId="2"/>
  </si>
  <si>
    <t>SQL5</t>
    <phoneticPr fontId="2"/>
  </si>
  <si>
    <t>INSERT SQL8</t>
    <phoneticPr fontId="2"/>
  </si>
  <si>
    <t>SQL8</t>
    <phoneticPr fontId="2"/>
  </si>
  <si>
    <t>SQL9.得意先CD</t>
    <phoneticPr fontId="2"/>
  </si>
  <si>
    <t>SQL9.年</t>
    <phoneticPr fontId="2"/>
  </si>
  <si>
    <t>SQL9.税抜金額</t>
    <phoneticPr fontId="2"/>
  </si>
  <si>
    <t>SQL9.トータル税抜金額</t>
    <phoneticPr fontId="2"/>
  </si>
  <si>
    <t>SQL9</t>
    <phoneticPr fontId="2"/>
  </si>
  <si>
    <t>SQL10</t>
    <phoneticPr fontId="2"/>
  </si>
  <si>
    <t>SQL10 AS U</t>
    <phoneticPr fontId="2"/>
  </si>
  <si>
    <t>SQL11</t>
    <phoneticPr fontId="2"/>
  </si>
  <si>
    <t>SQL11 AS TOTAL</t>
    <phoneticPr fontId="2"/>
  </si>
  <si>
    <t>U.集計CD</t>
    <phoneticPr fontId="2"/>
  </si>
  <si>
    <t>MH.集計CD</t>
    <phoneticPr fontId="2"/>
  </si>
  <si>
    <t>集計CD</t>
    <phoneticPr fontId="2"/>
  </si>
  <si>
    <t>SUM(UM.売上金額-UM.消費税額)</t>
    <phoneticPr fontId="2"/>
  </si>
  <si>
    <t>SUM(UM.仕入金額)</t>
    <phoneticPr fontId="2"/>
  </si>
  <si>
    <t>原価金額</t>
    <rPh sb="0" eb="4">
      <t>ゲンカキンガク</t>
    </rPh>
    <phoneticPr fontId="2"/>
  </si>
  <si>
    <t>TM得意先 AS TK</t>
    <phoneticPr fontId="2"/>
  </si>
  <si>
    <t>TM得意先</t>
    <phoneticPr fontId="2"/>
  </si>
  <si>
    <t>MH.得意先CD = TK.得意先CD</t>
    <phoneticPr fontId="2"/>
  </si>
  <si>
    <t>MERGE SQL12</t>
    <phoneticPr fontId="2"/>
  </si>
  <si>
    <t>SQL12</t>
    <phoneticPr fontId="2"/>
  </si>
  <si>
    <t>A.得意先CD = B.集計CD</t>
    <phoneticPr fontId="2"/>
  </si>
  <si>
    <t>B.集計CD</t>
    <phoneticPr fontId="2"/>
  </si>
  <si>
    <t>UPDATE SQL13</t>
    <phoneticPr fontId="2"/>
  </si>
  <si>
    <t>SQL13</t>
    <phoneticPr fontId="2"/>
  </si>
  <si>
    <t>SQL14</t>
    <phoneticPr fontId="2"/>
  </si>
  <si>
    <t>SQL14 AS JN</t>
    <phoneticPr fontId="2"/>
  </si>
  <si>
    <t>SQL7 AS JN</t>
    <phoneticPr fontId="2"/>
  </si>
  <si>
    <t>SQL15</t>
    <phoneticPr fontId="2"/>
  </si>
  <si>
    <t>SQL16</t>
    <phoneticPr fontId="2"/>
  </si>
  <si>
    <t>SQL15 AS B</t>
    <phoneticPr fontId="2"/>
  </si>
  <si>
    <t>SQL16 AS B</t>
    <phoneticPr fontId="2"/>
  </si>
  <si>
    <t>CASE WHEN MONTH(SM.仕入日付) &lt;= 3 THEN YEAR(SM.仕入日付) - 1 ELSE YEAR(SM.仕入日付) END</t>
    <phoneticPr fontId="2"/>
  </si>
  <si>
    <t>原価税抜金額</t>
    <phoneticPr fontId="2"/>
  </si>
  <si>
    <t>SUM(CASE WHEN SMU.仕入税区分 = 1 THEN (SMU.仕入金額-SMU.消費税額) ELSE SMU.仕入金額 END)</t>
    <phoneticPr fontId="2"/>
  </si>
  <si>
    <t>TD仕入明細 AS SM</t>
    <phoneticPr fontId="2"/>
  </si>
  <si>
    <t>TD仕入明細内訳 AS SMU</t>
    <phoneticPr fontId="2"/>
  </si>
  <si>
    <t>TD見積シートM AS MSM</t>
    <phoneticPr fontId="2"/>
  </si>
  <si>
    <t>SM.見積番号 = MH.見積番号</t>
    <phoneticPr fontId="2"/>
  </si>
  <si>
    <t>TD仕入明細内訳</t>
    <phoneticPr fontId="2"/>
  </si>
  <si>
    <t>SM.仕入番号 = SMU.仕入番号</t>
    <phoneticPr fontId="2"/>
  </si>
  <si>
    <t>LEFT JOIN</t>
    <phoneticPr fontId="2"/>
  </si>
  <si>
    <t>TD見積シートM</t>
    <phoneticPr fontId="2"/>
  </si>
  <si>
    <t>SMU.見積明細連番 = MSM.見積明細連番</t>
    <phoneticPr fontId="2"/>
  </si>
  <si>
    <t>MH.販売先得意先CD = TK.得意先CD</t>
    <phoneticPr fontId="2"/>
  </si>
  <si>
    <t>MH.社内伝票扱い = 0</t>
    <phoneticPr fontId="2"/>
  </si>
  <si>
    <t>(SMU.伝票区分 IN ('A','C','S'))</t>
    <phoneticPr fontId="2"/>
  </si>
  <si>
    <t>NOT</t>
    <phoneticPr fontId="2"/>
  </si>
  <si>
    <t>CASE WHEN MONTH(SM.仕入日付) &lt;= 3</t>
  </si>
  <si>
    <t>THEN YEAR(SM.仕入日付) - 1</t>
  </si>
  <si>
    <t>ELSE YEAR(SM.仕入日付)</t>
  </si>
  <si>
    <t>SM.売上日付 &gt;= [画面.集計期間from]</t>
    <rPh sb="12" eb="14">
      <t>ガメン</t>
    </rPh>
    <rPh sb="15" eb="19">
      <t>シュウケイキカン</t>
    </rPh>
    <phoneticPr fontId="2"/>
  </si>
  <si>
    <t>SM.売上日付 &lt;= [画面.集計期間to]</t>
    <phoneticPr fontId="2"/>
  </si>
  <si>
    <t>MH.集計CD</t>
    <rPh sb="3" eb="5">
      <t>シュウケイ</t>
    </rPh>
    <phoneticPr fontId="2"/>
  </si>
  <si>
    <t>順位1</t>
  </si>
  <si>
    <t>TMP.順位1</t>
  </si>
  <si>
    <t>原価金額1</t>
  </si>
  <si>
    <t>TMP.原価金額1</t>
  </si>
  <si>
    <t>税抜金額1</t>
  </si>
  <si>
    <t>TMP.税抜金額1</t>
  </si>
  <si>
    <t>比率1</t>
  </si>
  <si>
    <t>TMP.比率1</t>
  </si>
  <si>
    <t>順位2</t>
  </si>
  <si>
    <t>TMP.順位2</t>
  </si>
  <si>
    <t>原価金額2</t>
  </si>
  <si>
    <t>TMP.原価金額2</t>
  </si>
  <si>
    <t>税抜金額2</t>
  </si>
  <si>
    <t>TMP.税抜金額2</t>
  </si>
  <si>
    <t>比率2</t>
  </si>
  <si>
    <t>TMP.比率2</t>
  </si>
  <si>
    <t>順位3</t>
  </si>
  <si>
    <t>TMP.順位3</t>
  </si>
  <si>
    <t>原価金額3</t>
  </si>
  <si>
    <t>TMP.原価金額3</t>
  </si>
  <si>
    <t>税抜金額3</t>
  </si>
  <si>
    <t>TMP.税抜金額3</t>
  </si>
  <si>
    <t>比率3</t>
  </si>
  <si>
    <t>TMP.比率3</t>
  </si>
  <si>
    <t>順位4</t>
  </si>
  <si>
    <t>TMP.順位4</t>
  </si>
  <si>
    <t>原価金額4</t>
  </si>
  <si>
    <t>TMP.原価金額4</t>
  </si>
  <si>
    <t>税抜金額4</t>
  </si>
  <si>
    <t>TMP.税抜金額4</t>
  </si>
  <si>
    <t>比率4</t>
  </si>
  <si>
    <t>TMP.比率4</t>
  </si>
  <si>
    <t>順位5</t>
  </si>
  <si>
    <t>TMP.順位5</t>
  </si>
  <si>
    <t>原価金額5</t>
  </si>
  <si>
    <t>TMP.原価金額5</t>
  </si>
  <si>
    <t>税抜金額5</t>
  </si>
  <si>
    <t>TMP.税抜金額5</t>
  </si>
  <si>
    <t>比率5</t>
  </si>
  <si>
    <t>TMP.比率5</t>
  </si>
  <si>
    <t>順位6</t>
  </si>
  <si>
    <t>TMP.順位6</t>
  </si>
  <si>
    <t>原価金額6</t>
  </si>
  <si>
    <t>TMP.原価金額6</t>
  </si>
  <si>
    <t>税抜金額6</t>
  </si>
  <si>
    <t>TMP.税抜金額6</t>
  </si>
  <si>
    <t>比率6</t>
  </si>
  <si>
    <t>TMP.比率6</t>
  </si>
  <si>
    <t>順位7</t>
  </si>
  <si>
    <t>TMP.順位7</t>
  </si>
  <si>
    <t>原価金額7</t>
  </si>
  <si>
    <t>TMP.原価金額7</t>
  </si>
  <si>
    <t>税抜金額7</t>
  </si>
  <si>
    <t>TMP.税抜金額7</t>
  </si>
  <si>
    <t>比率7</t>
  </si>
  <si>
    <t>TMP.比率7</t>
  </si>
  <si>
    <t>順位8</t>
  </si>
  <si>
    <t>TMP.順位8</t>
  </si>
  <si>
    <t>原価金額8</t>
  </si>
  <si>
    <t>TMP.原価金額8</t>
  </si>
  <si>
    <t>税抜金額8</t>
  </si>
  <si>
    <t>TMP.税抜金額8</t>
  </si>
  <si>
    <t>比率8</t>
  </si>
  <si>
    <t>TMP.比率8</t>
  </si>
  <si>
    <t>順位9</t>
  </si>
  <si>
    <t>TMP.順位9</t>
  </si>
  <si>
    <t>原価金額9</t>
  </si>
  <si>
    <t>TMP.原価金額9</t>
  </si>
  <si>
    <t>税抜金額9</t>
  </si>
  <si>
    <t>TMP.税抜金額9</t>
  </si>
  <si>
    <t>比率9</t>
  </si>
  <si>
    <t>TMP.比率9</t>
  </si>
  <si>
    <t>順位10</t>
  </si>
  <si>
    <t>TMP.順位10</t>
  </si>
  <si>
    <t>原価金額10</t>
  </si>
  <si>
    <t>TMP.原価金額10</t>
  </si>
  <si>
    <t>税抜金額10</t>
  </si>
  <si>
    <t>TMP.税抜金額10</t>
  </si>
  <si>
    <t>比率10</t>
  </si>
  <si>
    <t>TMP.比率10</t>
  </si>
  <si>
    <t>TMP.仕入先CD</t>
    <phoneticPr fontId="2"/>
  </si>
  <si>
    <t>順位1</t>
    <phoneticPr fontId="2"/>
  </si>
  <si>
    <t>原価金額1</t>
    <phoneticPr fontId="2"/>
  </si>
  <si>
    <t>税抜金額1</t>
    <phoneticPr fontId="2"/>
  </si>
  <si>
    <t>比率1</t>
    <phoneticPr fontId="2"/>
  </si>
  <si>
    <t>SQL17</t>
    <phoneticPr fontId="2"/>
  </si>
  <si>
    <t>得意先CD</t>
    <rPh sb="0" eb="3">
      <t>トクイサキ</t>
    </rPh>
    <phoneticPr fontId="2"/>
  </si>
  <si>
    <t>TMP.得意先CD</t>
    <phoneticPr fontId="2"/>
  </si>
  <si>
    <t>得意先名1</t>
    <rPh sb="3" eb="4">
      <t>メイ</t>
    </rPh>
    <phoneticPr fontId="2"/>
  </si>
  <si>
    <t>得意先名2</t>
    <phoneticPr fontId="2"/>
  </si>
  <si>
    <t>TK.得意先名1</t>
    <phoneticPr fontId="2"/>
  </si>
  <si>
    <t>TK.得意先名2</t>
    <phoneticPr fontId="2"/>
  </si>
  <si>
    <t>SQL18 AS TMP</t>
    <phoneticPr fontId="2"/>
  </si>
  <si>
    <t>SQL18</t>
    <phoneticPr fontId="2"/>
  </si>
  <si>
    <t>TM得意先 AS TK</t>
    <phoneticPr fontId="2"/>
  </si>
  <si>
    <t>TMP.得意先CD = TK.得意先CD</t>
    <phoneticPr fontId="2"/>
  </si>
  <si>
    <t>得意先CD</t>
    <rPh sb="0" eb="2">
      <t>トクイ</t>
    </rPh>
    <phoneticPr fontId="2"/>
  </si>
  <si>
    <t>TMP.得意先CD</t>
    <rPh sb="4" eb="6">
      <t>トクイ</t>
    </rPh>
    <phoneticPr fontId="2"/>
  </si>
  <si>
    <t>SUM(CASE WHEN TMP.年 = [集計期間年数が１以上] THEN TMP.順位 ELSE 0 END)</t>
  </si>
  <si>
    <t>SUM(CASE WHEN TMP.年 = [集計期間年数が１以上] THEN TMP.原価金額 ELSE 0 END)</t>
  </si>
  <si>
    <t>SUM(CASE WHEN TMP.年 = [集計期間年数が１以上] THEN TMP.税抜金額 ELSE 0 END)</t>
  </si>
  <si>
    <t>SUM(CASE WHEN TMP.年 = [集計期間年数が１以上] THEN TMP.比率 ELSE 0 END)</t>
  </si>
  <si>
    <t>SUM(CASE WHEN TMP.年 = [集計期間年数が２以上] THEN TMP.順位 ELSE 0 END)</t>
  </si>
  <si>
    <t>SUM(CASE WHEN TMP.年 = [集計期間年数が２以上] THEN TMP.原価金額 ELSE 0 END)</t>
  </si>
  <si>
    <t>SUM(CASE WHEN TMP.年 = [集計期間年数が２以上] THEN TMP.税抜金額 ELSE 0 END)</t>
  </si>
  <si>
    <t>SUM(CASE WHEN TMP.年 = [集計期間年数が２以上] THEN TMP.比率 ELSE 0 END)</t>
  </si>
  <si>
    <t>SUM(CASE WHEN TMP.年 = [集計期間年数が３以上] THEN TMP.順位 ELSE 0 END)</t>
  </si>
  <si>
    <t>SUM(CASE WHEN TMP.年 = [集計期間年数が３以上] THEN TMP.原価金額 ELSE 0 END)</t>
  </si>
  <si>
    <t>SUM(CASE WHEN TMP.年 = [集計期間年数が３以上] THEN TMP.税抜金額 ELSE 0 END)</t>
  </si>
  <si>
    <t>SUM(CASE WHEN TMP.年 = [集計期間年数が３以上] THEN TMP.比率 ELSE 0 END)</t>
  </si>
  <si>
    <t>SUM(CASE WHEN TMP.年 = [集計期間年数が４以上] THEN TMP.順位 ELSE 0 END)</t>
  </si>
  <si>
    <t>SUM(CASE WHEN TMP.年 = [集計期間年数が４以上] THEN TMP.原価金額 ELSE 0 END)</t>
  </si>
  <si>
    <t>SUM(CASE WHEN TMP.年 = [集計期間年数が４以上] THEN TMP.税抜金額 ELSE 0 END)</t>
  </si>
  <si>
    <t>SUM(CASE WHEN TMP.年 = [集計期間年数が４以上] THEN TMP.比率 ELSE 0 END)</t>
  </si>
  <si>
    <t>SUM(CASE WHEN TMP.年 = [集計期間年数が５以上] THEN TMP.順位 ELSE 0 END)</t>
  </si>
  <si>
    <t>SUM(CASE WHEN TMP.年 = [集計期間年数が５以上] THEN TMP.原価金額 ELSE 0 END)</t>
  </si>
  <si>
    <t>SUM(CASE WHEN TMP.年 = [集計期間年数が５以上] THEN TMP.税抜金額 ELSE 0 END)</t>
  </si>
  <si>
    <t>SUM(CASE WHEN TMP.年 = [集計期間年数が５以上] THEN TMP.比率 ELSE 0 END)</t>
  </si>
  <si>
    <t>SUM(CASE WHEN TMP.年 = [集計期間年数が６以上] THEN TMP.順位 ELSE 0 END)</t>
  </si>
  <si>
    <t>SUM(CASE WHEN TMP.年 = [集計期間年数が６以上] THEN TMP.原価金額 ELSE 0 END)</t>
  </si>
  <si>
    <t>SUM(CASE WHEN TMP.年 = [集計期間年数が６以上] THEN TMP.税抜金額 ELSE 0 END)</t>
  </si>
  <si>
    <t>SUM(CASE WHEN TMP.年 = [集計期間年数が６以上] THEN TMP.比率 ELSE 0 END)</t>
  </si>
  <si>
    <t>SUM(CASE WHEN TMP.年 = [集計期間年数が７以上] THEN TMP.順位 ELSE 0 END)</t>
  </si>
  <si>
    <t>SUM(CASE WHEN TMP.年 = [集計期間年数が７以上] THEN TMP.原価金額 ELSE 0 END)</t>
  </si>
  <si>
    <t>SUM(CASE WHEN TMP.年 = [集計期間年数が７以上] THEN TMP.税抜金額 ELSE 0 END)</t>
  </si>
  <si>
    <t>SUM(CASE WHEN TMP.年 = [集計期間年数が７以上] THEN TMP.比率 ELSE 0 END)</t>
  </si>
  <si>
    <t>SUM(CASE WHEN TMP.年 = [集計期間年数が８以上] THEN TMP.順位 ELSE 0 END)</t>
  </si>
  <si>
    <t>SUM(CASE WHEN TMP.年 = [集計期間年数が８以上] THEN TMP.原価金額 ELSE 0 END)</t>
  </si>
  <si>
    <t>SUM(CASE WHEN TMP.年 = [集計期間年数が８以上] THEN TMP.税抜金額 ELSE 0 END)</t>
  </si>
  <si>
    <t>SUM(CASE WHEN TMP.年 = [集計期間年数が８以上] THEN TMP.比率 ELSE 0 END)</t>
  </si>
  <si>
    <t>SUM(CASE WHEN TMP.年 = [集計期間年数が９以上] THEN TMP.順位 ELSE 0 END)</t>
  </si>
  <si>
    <t>SUM(CASE WHEN TMP.年 = [集計期間年数が９以上] THEN TMP.原価金額 ELSE 0 END)</t>
  </si>
  <si>
    <t>SUM(CASE WHEN TMP.年 = [集計期間年数が９以上] THEN TMP.税抜金額 ELSE 0 END)</t>
  </si>
  <si>
    <t>SUM(CASE WHEN TMP.年 = [集計期間年数が９以上] THEN TMP.比率 ELSE 0 END)</t>
  </si>
  <si>
    <t>SUM(CASE WHEN TMP.年 = [集計期間年数が１０以上] THEN TMP.順位 ELSE 0 END)</t>
  </si>
  <si>
    <t>SUM(CASE WHEN TMP.年 = [集計期間年数が１０以上] THEN TMP.原価金額 ELSE 0 END)</t>
  </si>
  <si>
    <t>SUM(CASE WHEN TMP.年 = [集計期間年数が１０以上] THEN TMP.税抜金額 ELSE 0 END)</t>
  </si>
  <si>
    <t>SUM(CASE WHEN TMP.年 = [集計期間年数が１０以上] THEN TMP.比率 ELSE 0 END)</t>
  </si>
  <si>
    <t>画面.集計年開始日</t>
    <rPh sb="0" eb="2">
      <t>ガメン</t>
    </rPh>
    <rPh sb="3" eb="5">
      <t>シュウケイ</t>
    </rPh>
    <rPh sb="5" eb="6">
      <t>ネン</t>
    </rPh>
    <rPh sb="6" eb="9">
      <t>カイシビ</t>
    </rPh>
    <phoneticPr fontId="1"/>
  </si>
  <si>
    <t>"yyyy年4月"</t>
    <phoneticPr fontId="1"/>
  </si>
  <si>
    <t>画面.集計年終了日</t>
    <rPh sb="0" eb="2">
      <t>ガメン</t>
    </rPh>
    <rPh sb="3" eb="5">
      <t>シュウケイ</t>
    </rPh>
    <rPh sb="5" eb="6">
      <t>ネン</t>
    </rPh>
    <rPh sb="6" eb="9">
      <t>シュウリョウビ</t>
    </rPh>
    <phoneticPr fontId="1"/>
  </si>
  <si>
    <t>"yyyy年3月"</t>
    <phoneticPr fontId="1"/>
  </si>
  <si>
    <t>[画面.集計年開始日]+1+i</t>
    <phoneticPr fontId="1"/>
  </si>
  <si>
    <t>"yyyy年"</t>
    <phoneticPr fontId="1"/>
  </si>
  <si>
    <t>12.原価金額</t>
    <phoneticPr fontId="1"/>
  </si>
  <si>
    <t>[12.原価金額]の合計</t>
    <rPh sb="10" eb="12">
      <t>ゴウケイ</t>
    </rPh>
    <phoneticPr fontId="1"/>
  </si>
  <si>
    <t>4.原価金額合計,6.純売上金額合計</t>
    <phoneticPr fontId="1"/>
  </si>
  <si>
    <t>[4.原価金額合計]から[6.純売上金額合計]を割って100を掛けた値</t>
    <rPh sb="24" eb="25">
      <t>ワ</t>
    </rPh>
    <rPh sb="31" eb="32">
      <t>カ</t>
    </rPh>
    <rPh sb="34" eb="35">
      <t>アタイ</t>
    </rPh>
    <phoneticPr fontId="1"/>
  </si>
  <si>
    <t>[14.純売上金額]の合計</t>
    <rPh sb="11" eb="13">
      <t>ゴウケイ</t>
    </rPh>
    <phoneticPr fontId="1"/>
  </si>
  <si>
    <t>14.純売上金額</t>
    <phoneticPr fontId="1"/>
  </si>
  <si>
    <t>SQL17.得意先CD</t>
    <phoneticPr fontId="1"/>
  </si>
  <si>
    <t>SQL17.得意先名1</t>
    <phoneticPr fontId="1"/>
  </si>
  <si>
    <t>SQL17.得意先名2</t>
    <phoneticPr fontId="1"/>
  </si>
  <si>
    <t>SQL17.順位i+1</t>
    <rPh sb="6" eb="8">
      <t>ジュンイ</t>
    </rPh>
    <phoneticPr fontId="1"/>
  </si>
  <si>
    <t>前年の純売上金額がある場合は[14.純売上金額]に100をかけて前年の[純売上金額]で割った値、ない場合は0</t>
    <phoneticPr fontId="1"/>
  </si>
  <si>
    <t>SQL17.原価金額i+1</t>
    <rPh sb="6" eb="10">
      <t>ゲンカキンガク</t>
    </rPh>
    <phoneticPr fontId="1"/>
  </si>
  <si>
    <t>SQL17.原価金額i+1,SQL17.税抜金額i+1</t>
    <rPh sb="20" eb="21">
      <t>ゼイ</t>
    </rPh>
    <rPh sb="21" eb="22">
      <t>ヌ</t>
    </rPh>
    <rPh sb="22" eb="24">
      <t>キンガク</t>
    </rPh>
    <phoneticPr fontId="1"/>
  </si>
  <si>
    <t>[SQL17.税抜金額i+1]が０の場合、[SQL17.原価金額i+1]を表示
それ以外の場合、[SQL17.原価金額i+1]/[SQL17.税抜金額i+1]*100を表示</t>
    <rPh sb="18" eb="20">
      <t>バアイ</t>
    </rPh>
    <rPh sb="37" eb="39">
      <t>ヒョウジ</t>
    </rPh>
    <rPh sb="42" eb="44">
      <t>イガイ</t>
    </rPh>
    <rPh sb="45" eb="47">
      <t>バアイ</t>
    </rPh>
    <rPh sb="84" eb="86">
      <t>ヒョウジ</t>
    </rPh>
    <phoneticPr fontId="1"/>
  </si>
  <si>
    <t>SQL17.税抜金額i+1</t>
    <phoneticPr fontId="1"/>
  </si>
  <si>
    <t>14.純売上金額,6.純売上金額合計</t>
    <phoneticPr fontId="1"/>
  </si>
  <si>
    <t>[14.純売上金額]から[6.純売上金額合計]を割って100を掛けた値</t>
    <rPh sb="24" eb="25">
      <t>ワ</t>
    </rPh>
    <rPh sb="31" eb="32">
      <t>カ</t>
    </rPh>
    <rPh sb="34" eb="35">
      <t>アタイ</t>
    </rPh>
    <phoneticPr fontId="1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</si>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</sst>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¥&quot;#,##0_);[Red]\(&quot;¥&quot;#,##0\)"/>
    <numFmt numFmtId="177" formatCode="0.0_ "/>
    <numFmt numFmtId="178" formatCode="#,##0.0;[Red]\-#,##0.0"/>
    <numFmt numFmtId="179" formatCode="0.0;[Red]\-0.0;0.0"/>
    <numFmt numFmtId="180" formatCode="0.0;[Red]\-0.0;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>
      <alignment vertical="center"/>
    </xf>
    <xf numFmtId="0" fontId="9" fillId="0" borderId="0" xfId="2" applyAlignment="1">
      <alignment horizontal="center" vertical="center"/>
    </xf>
    <xf numFmtId="0" fontId="9" fillId="0" borderId="0" xfId="2" applyAlignment="1">
      <alignment horizontal="right" vertical="center"/>
    </xf>
    <xf numFmtId="0" fontId="9" fillId="0" borderId="41" xfId="2" applyBorder="1">
      <alignment vertical="center"/>
    </xf>
    <xf numFmtId="0" fontId="9" fillId="0" borderId="42" xfId="2" applyBorder="1">
      <alignment vertical="center"/>
    </xf>
    <xf numFmtId="0" fontId="9" fillId="0" borderId="43" xfId="2" applyBorder="1">
      <alignment vertical="center"/>
    </xf>
    <xf numFmtId="0" fontId="9" fillId="0" borderId="47" xfId="2" applyBorder="1">
      <alignment vertical="center"/>
    </xf>
    <xf numFmtId="0" fontId="9" fillId="0" borderId="48" xfId="2" applyBorder="1">
      <alignment vertical="center"/>
    </xf>
    <xf numFmtId="0" fontId="9" fillId="0" borderId="0" xfId="2" applyBorder="1">
      <alignment vertical="center"/>
    </xf>
    <xf numFmtId="3" fontId="9" fillId="0" borderId="5" xfId="2" applyNumberFormat="1" applyBorder="1">
      <alignment vertical="center"/>
    </xf>
    <xf numFmtId="4" fontId="9" fillId="0" borderId="1" xfId="2" applyNumberFormat="1" applyBorder="1">
      <alignment vertical="center"/>
    </xf>
    <xf numFmtId="0" fontId="9" fillId="0" borderId="50" xfId="2" applyBorder="1" applyAlignment="1">
      <alignment horizontal="center" vertical="center"/>
    </xf>
    <xf numFmtId="0" fontId="9" fillId="0" borderId="51" xfId="2" applyBorder="1">
      <alignment vertical="center"/>
    </xf>
    <xf numFmtId="0" fontId="9" fillId="0" borderId="52" xfId="2" applyBorder="1">
      <alignment vertical="center"/>
    </xf>
    <xf numFmtId="0" fontId="9" fillId="0" borderId="53" xfId="2" applyBorder="1">
      <alignment vertical="center"/>
    </xf>
    <xf numFmtId="0" fontId="9" fillId="0" borderId="54" xfId="2" applyBorder="1" applyAlignment="1">
      <alignment horizontal="center" vertical="center"/>
    </xf>
    <xf numFmtId="0" fontId="9" fillId="0" borderId="55" xfId="2" applyBorder="1" applyAlignment="1">
      <alignment horizontal="center" vertical="center"/>
    </xf>
    <xf numFmtId="0" fontId="9" fillId="0" borderId="56" xfId="2" applyBorder="1" applyAlignment="1">
      <alignment horizontal="center" vertical="center"/>
    </xf>
    <xf numFmtId="0" fontId="9" fillId="0" borderId="57" xfId="2" applyFill="1" applyBorder="1">
      <alignment vertical="center"/>
    </xf>
    <xf numFmtId="0" fontId="9" fillId="0" borderId="9" xfId="2" applyFill="1" applyBorder="1">
      <alignment vertical="center"/>
    </xf>
    <xf numFmtId="0" fontId="9" fillId="0" borderId="58" xfId="2" applyFill="1" applyBorder="1">
      <alignment vertical="center"/>
    </xf>
    <xf numFmtId="178" fontId="0" fillId="0" borderId="9" xfId="3" applyNumberFormat="1" applyFont="1" applyFill="1" applyBorder="1">
      <alignment vertical="center"/>
    </xf>
    <xf numFmtId="38" fontId="0" fillId="0" borderId="9" xfId="3" applyNumberFormat="1" applyFont="1" applyFill="1" applyBorder="1">
      <alignment vertical="center"/>
    </xf>
    <xf numFmtId="4" fontId="9" fillId="0" borderId="9" xfId="2" applyNumberFormat="1" applyFill="1" applyBorder="1">
      <alignment vertical="center"/>
    </xf>
    <xf numFmtId="38" fontId="11" fillId="0" borderId="9" xfId="4" applyFont="1" applyFill="1" applyBorder="1">
      <alignment vertical="center"/>
    </xf>
    <xf numFmtId="179" fontId="9" fillId="0" borderId="58" xfId="2" applyNumberFormat="1" applyFill="1" applyBorder="1">
      <alignment vertical="center"/>
    </xf>
    <xf numFmtId="0" fontId="9" fillId="0" borderId="59" xfId="2" applyBorder="1">
      <alignment vertical="center"/>
    </xf>
    <xf numFmtId="0" fontId="9" fillId="0" borderId="1" xfId="2" applyBorder="1">
      <alignment vertical="center"/>
    </xf>
    <xf numFmtId="0" fontId="9" fillId="0" borderId="60" xfId="2" applyBorder="1">
      <alignment vertical="center"/>
    </xf>
    <xf numFmtId="178" fontId="0" fillId="0" borderId="1" xfId="3" applyNumberFormat="1" applyFont="1" applyBorder="1">
      <alignment vertical="center"/>
    </xf>
    <xf numFmtId="38" fontId="0" fillId="0" borderId="1" xfId="3" applyNumberFormat="1" applyFont="1" applyBorder="1">
      <alignment vertical="center"/>
    </xf>
    <xf numFmtId="38" fontId="11" fillId="0" borderId="1" xfId="4" applyFont="1" applyBorder="1">
      <alignment vertical="center"/>
    </xf>
    <xf numFmtId="179" fontId="9" fillId="0" borderId="60" xfId="2" applyNumberFormat="1" applyBorder="1">
      <alignment vertical="center"/>
    </xf>
    <xf numFmtId="0" fontId="9" fillId="0" borderId="0" xfId="2" applyAlignment="1">
      <alignment horizontal="left" vertical="center"/>
    </xf>
    <xf numFmtId="38" fontId="11" fillId="0" borderId="0" xfId="4" applyFont="1" applyBorder="1">
      <alignment vertical="center"/>
    </xf>
    <xf numFmtId="180" fontId="9" fillId="0" borderId="0" xfId="2" applyNumberFormat="1" applyBorder="1">
      <alignment vertical="center"/>
    </xf>
    <xf numFmtId="38" fontId="11" fillId="0" borderId="0" xfId="4" applyFont="1">
      <alignment vertical="center"/>
    </xf>
    <xf numFmtId="0" fontId="3" fillId="2" borderId="41" xfId="0" applyFont="1" applyFill="1" applyBorder="1" applyAlignment="1">
      <alignment horizontal="left" vertical="center"/>
    </xf>
    <xf numFmtId="0" fontId="3" fillId="2" borderId="43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68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1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5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71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71" xfId="0" applyFont="1" applyFill="1" applyBorder="1">
      <alignment vertical="center"/>
    </xf>
    <xf numFmtId="0" fontId="12" fillId="2" borderId="71" xfId="0" quotePrefix="1" applyFont="1" applyFill="1" applyBorder="1">
      <alignment vertical="center"/>
    </xf>
    <xf numFmtId="0" fontId="3" fillId="2" borderId="71" xfId="0" quotePrefix="1" applyFont="1" applyFill="1" applyBorder="1" applyAlignment="1">
      <alignment vertical="center"/>
    </xf>
    <xf numFmtId="0" fontId="3" fillId="2" borderId="51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12" fillId="2" borderId="0" xfId="0" applyFont="1" applyFill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47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2" fillId="2" borderId="61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62" xfId="0" applyFont="1" applyFill="1" applyBorder="1" applyAlignment="1">
      <alignment vertical="center"/>
    </xf>
    <xf numFmtId="0" fontId="3" fillId="2" borderId="4" xfId="0" applyFont="1" applyFill="1" applyBorder="1">
      <alignment vertical="center"/>
    </xf>
    <xf numFmtId="177" fontId="3" fillId="2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 shrinkToFit="1"/>
    </xf>
    <xf numFmtId="0" fontId="3" fillId="2" borderId="65" xfId="0" applyFont="1" applyFill="1" applyBorder="1" applyAlignment="1">
      <alignment horizontal="center" vertical="center" shrinkToFit="1"/>
    </xf>
    <xf numFmtId="0" fontId="3" fillId="2" borderId="6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14" fontId="3" fillId="2" borderId="55" xfId="0" applyNumberFormat="1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  <xf numFmtId="0" fontId="9" fillId="0" borderId="44" xfId="2" applyBorder="1" applyAlignment="1">
      <alignment horizontal="center" vertical="center"/>
    </xf>
    <xf numFmtId="0" fontId="9" fillId="0" borderId="45" xfId="2" applyBorder="1" applyAlignment="1">
      <alignment horizontal="center" vertical="center"/>
    </xf>
    <xf numFmtId="0" fontId="9" fillId="0" borderId="46" xfId="2" applyBorder="1" applyAlignment="1">
      <alignment horizontal="center" vertical="center"/>
    </xf>
    <xf numFmtId="0" fontId="9" fillId="0" borderId="49" xfId="2" applyBorder="1" applyAlignment="1">
      <alignment horizontal="center" vertical="center"/>
    </xf>
    <xf numFmtId="0" fontId="9" fillId="0" borderId="7" xfId="2" applyBorder="1" applyAlignment="1">
      <alignment horizontal="center" vertical="center"/>
    </xf>
  </cellXfs>
  <cellStyles count="5">
    <cellStyle name="桁区切り 2" xfId="4"/>
    <cellStyle name="通貨 2" xfId="3"/>
    <cellStyle name="標準" xfId="0" builtinId="0"/>
    <cellStyle name="標準 2" xfId="2"/>
    <cellStyle name="標準 2 2" xfId="1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125505</xdr:colOff>
      <xdr:row>6</xdr:row>
      <xdr:rowOff>251011</xdr:rowOff>
    </xdr:from>
    <xdr:to>
      <xdr:col>62</xdr:col>
      <xdr:colOff>43167</xdr:colOff>
      <xdr:row>23</xdr:row>
      <xdr:rowOff>152400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1380564"/>
          <a:ext cx="16314109" cy="4168589"/>
        </a:xfrm>
        <a:prstGeom prst="rect">
          <a:avLst/>
        </a:prstGeom>
      </xdr:spPr>
    </xdr:pic>
    <xdr:clientData/>
  </xdr:twoCellAnchor>
  <xdr:twoCellAnchor>
    <xdr:from>
      <xdr:col>20</xdr:col>
      <xdr:colOff>251012</xdr:colOff>
      <xdr:row>11</xdr:row>
      <xdr:rowOff>44824</xdr:rowOff>
    </xdr:from>
    <xdr:to>
      <xdr:col>22</xdr:col>
      <xdr:colOff>35858</xdr:colOff>
      <xdr:row>12</xdr:row>
      <xdr:rowOff>116542</xdr:rowOff>
    </xdr:to>
    <xdr:sp macro="" textlink="">
      <xdr:nvSpPr>
        <xdr:cNvPr id="3" name="正方形/長方形 2"/>
        <xdr:cNvSpPr/>
      </xdr:nvSpPr>
      <xdr:spPr>
        <a:xfrm>
          <a:off x="5611906" y="24294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179294</xdr:colOff>
      <xdr:row>14</xdr:row>
      <xdr:rowOff>188259</xdr:rowOff>
    </xdr:from>
    <xdr:to>
      <xdr:col>5</xdr:col>
      <xdr:colOff>242046</xdr:colOff>
      <xdr:row>16</xdr:row>
      <xdr:rowOff>8965</xdr:rowOff>
    </xdr:to>
    <xdr:sp macro="" textlink="">
      <xdr:nvSpPr>
        <xdr:cNvPr id="4" name="正方形/長方形 3"/>
        <xdr:cNvSpPr/>
      </xdr:nvSpPr>
      <xdr:spPr>
        <a:xfrm>
          <a:off x="1093694" y="33259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80683</xdr:colOff>
      <xdr:row>14</xdr:row>
      <xdr:rowOff>188260</xdr:rowOff>
    </xdr:from>
    <xdr:to>
      <xdr:col>10</xdr:col>
      <xdr:colOff>143435</xdr:colOff>
      <xdr:row>16</xdr:row>
      <xdr:rowOff>8966</xdr:rowOff>
    </xdr:to>
    <xdr:sp macro="" textlink="">
      <xdr:nvSpPr>
        <xdr:cNvPr id="5" name="正方形/長方形 4"/>
        <xdr:cNvSpPr/>
      </xdr:nvSpPr>
      <xdr:spPr>
        <a:xfrm>
          <a:off x="2384612" y="33259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259976</xdr:colOff>
      <xdr:row>14</xdr:row>
      <xdr:rowOff>170331</xdr:rowOff>
    </xdr:from>
    <xdr:to>
      <xdr:col>17</xdr:col>
      <xdr:colOff>44823</xdr:colOff>
      <xdr:row>15</xdr:row>
      <xdr:rowOff>242049</xdr:rowOff>
    </xdr:to>
    <xdr:sp macro="" textlink="">
      <xdr:nvSpPr>
        <xdr:cNvPr id="6" name="正方形/長方形 5"/>
        <xdr:cNvSpPr/>
      </xdr:nvSpPr>
      <xdr:spPr>
        <a:xfrm>
          <a:off x="4231341" y="330797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188258</xdr:colOff>
      <xdr:row>14</xdr:row>
      <xdr:rowOff>197224</xdr:rowOff>
    </xdr:from>
    <xdr:to>
      <xdr:col>31</xdr:col>
      <xdr:colOff>251010</xdr:colOff>
      <xdr:row>16</xdr:row>
      <xdr:rowOff>17930</xdr:rowOff>
    </xdr:to>
    <xdr:sp macro="" textlink="">
      <xdr:nvSpPr>
        <xdr:cNvPr id="8" name="正方形/長方形 7"/>
        <xdr:cNvSpPr/>
      </xdr:nvSpPr>
      <xdr:spPr>
        <a:xfrm>
          <a:off x="8328211" y="33348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268942</xdr:colOff>
      <xdr:row>14</xdr:row>
      <xdr:rowOff>197224</xdr:rowOff>
    </xdr:from>
    <xdr:to>
      <xdr:col>28</xdr:col>
      <xdr:colOff>53788</xdr:colOff>
      <xdr:row>16</xdr:row>
      <xdr:rowOff>17930</xdr:rowOff>
    </xdr:to>
    <xdr:sp macro="" textlink="">
      <xdr:nvSpPr>
        <xdr:cNvPr id="9" name="正方形/長方形 8"/>
        <xdr:cNvSpPr/>
      </xdr:nvSpPr>
      <xdr:spPr>
        <a:xfrm>
          <a:off x="7297271" y="33348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107576</xdr:colOff>
      <xdr:row>14</xdr:row>
      <xdr:rowOff>206189</xdr:rowOff>
    </xdr:from>
    <xdr:to>
      <xdr:col>24</xdr:col>
      <xdr:colOff>170328</xdr:colOff>
      <xdr:row>16</xdr:row>
      <xdr:rowOff>26895</xdr:rowOff>
    </xdr:to>
    <xdr:sp macro="" textlink="">
      <xdr:nvSpPr>
        <xdr:cNvPr id="10" name="正方形/長方形 9"/>
        <xdr:cNvSpPr/>
      </xdr:nvSpPr>
      <xdr:spPr>
        <a:xfrm>
          <a:off x="6302188" y="33438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242047</xdr:colOff>
      <xdr:row>14</xdr:row>
      <xdr:rowOff>215154</xdr:rowOff>
    </xdr:from>
    <xdr:to>
      <xdr:col>22</xdr:col>
      <xdr:colOff>26893</xdr:colOff>
      <xdr:row>16</xdr:row>
      <xdr:rowOff>35860</xdr:rowOff>
    </xdr:to>
    <xdr:sp macro="" textlink="">
      <xdr:nvSpPr>
        <xdr:cNvPr id="11" name="正方形/長方形 10"/>
        <xdr:cNvSpPr/>
      </xdr:nvSpPr>
      <xdr:spPr>
        <a:xfrm>
          <a:off x="5602941" y="33528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215154</xdr:colOff>
      <xdr:row>7</xdr:row>
      <xdr:rowOff>107577</xdr:rowOff>
    </xdr:from>
    <xdr:to>
      <xdr:col>19</xdr:col>
      <xdr:colOff>0</xdr:colOff>
      <xdr:row>8</xdr:row>
      <xdr:rowOff>179296</xdr:rowOff>
    </xdr:to>
    <xdr:sp macro="" textlink="">
      <xdr:nvSpPr>
        <xdr:cNvPr id="13" name="正方形/長方形 12"/>
        <xdr:cNvSpPr/>
      </xdr:nvSpPr>
      <xdr:spPr>
        <a:xfrm>
          <a:off x="4742330" y="14881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259977</xdr:colOff>
      <xdr:row>7</xdr:row>
      <xdr:rowOff>107577</xdr:rowOff>
    </xdr:from>
    <xdr:to>
      <xdr:col>15</xdr:col>
      <xdr:colOff>44823</xdr:colOff>
      <xdr:row>8</xdr:row>
      <xdr:rowOff>179296</xdr:rowOff>
    </xdr:to>
    <xdr:sp macro="" textlink="">
      <xdr:nvSpPr>
        <xdr:cNvPr id="14" name="正方形/長方形 13"/>
        <xdr:cNvSpPr/>
      </xdr:nvSpPr>
      <xdr:spPr>
        <a:xfrm>
          <a:off x="3675530" y="14881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268941</xdr:colOff>
      <xdr:row>14</xdr:row>
      <xdr:rowOff>188260</xdr:rowOff>
    </xdr:from>
    <xdr:to>
      <xdr:col>38</xdr:col>
      <xdr:colOff>53787</xdr:colOff>
      <xdr:row>16</xdr:row>
      <xdr:rowOff>8966</xdr:rowOff>
    </xdr:to>
    <xdr:sp macro="" textlink="">
      <xdr:nvSpPr>
        <xdr:cNvPr id="17" name="正方形/長方形 16"/>
        <xdr:cNvSpPr/>
      </xdr:nvSpPr>
      <xdr:spPr>
        <a:xfrm>
          <a:off x="10076329" y="33259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197223</xdr:colOff>
      <xdr:row>12</xdr:row>
      <xdr:rowOff>80683</xdr:rowOff>
    </xdr:from>
    <xdr:to>
      <xdr:col>31</xdr:col>
      <xdr:colOff>259975</xdr:colOff>
      <xdr:row>13</xdr:row>
      <xdr:rowOff>152402</xdr:rowOff>
    </xdr:to>
    <xdr:sp macro="" textlink="">
      <xdr:nvSpPr>
        <xdr:cNvPr id="20" name="正方形/長方形 19"/>
        <xdr:cNvSpPr/>
      </xdr:nvSpPr>
      <xdr:spPr>
        <a:xfrm>
          <a:off x="8337176" y="271630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251011</xdr:colOff>
      <xdr:row>12</xdr:row>
      <xdr:rowOff>80682</xdr:rowOff>
    </xdr:from>
    <xdr:to>
      <xdr:col>28</xdr:col>
      <xdr:colOff>35857</xdr:colOff>
      <xdr:row>13</xdr:row>
      <xdr:rowOff>152401</xdr:rowOff>
    </xdr:to>
    <xdr:sp macro="" textlink="">
      <xdr:nvSpPr>
        <xdr:cNvPr id="21" name="正方形/長方形 20"/>
        <xdr:cNvSpPr/>
      </xdr:nvSpPr>
      <xdr:spPr>
        <a:xfrm>
          <a:off x="7279340" y="27163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236313</xdr:colOff>
      <xdr:row>45</xdr:row>
      <xdr:rowOff>39509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318073" cy="10097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93" t="s">
        <v>0</v>
      </c>
      <c r="C2" s="176"/>
      <c r="D2" s="176"/>
      <c r="E2" s="176"/>
      <c r="F2" s="176"/>
      <c r="G2" s="176"/>
      <c r="H2" s="176" t="s">
        <v>17</v>
      </c>
      <c r="I2" s="176"/>
      <c r="J2" s="176"/>
      <c r="K2" s="176"/>
      <c r="L2" s="176" t="s">
        <v>436</v>
      </c>
      <c r="M2" s="176"/>
      <c r="N2" s="176"/>
      <c r="O2" s="176"/>
      <c r="P2" s="176"/>
      <c r="Q2" s="176"/>
      <c r="R2" s="176" t="s">
        <v>2</v>
      </c>
      <c r="S2" s="176"/>
      <c r="T2" s="176"/>
      <c r="U2" s="176"/>
      <c r="V2" s="176"/>
      <c r="W2" s="176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31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76" t="s">
        <v>5</v>
      </c>
      <c r="AY2" s="176"/>
      <c r="AZ2" s="176"/>
      <c r="BA2" s="176"/>
      <c r="BB2" s="176" t="s">
        <v>4</v>
      </c>
      <c r="BC2" s="176"/>
      <c r="BD2" s="176"/>
      <c r="BE2" s="176"/>
      <c r="BF2" s="176" t="s">
        <v>6</v>
      </c>
      <c r="BG2" s="176"/>
      <c r="BH2" s="176"/>
      <c r="BI2" s="176"/>
      <c r="BJ2" s="176" t="s">
        <v>7</v>
      </c>
      <c r="BK2" s="176"/>
      <c r="BL2" s="176"/>
      <c r="BM2" s="177"/>
      <c r="BN2" s="14"/>
    </row>
    <row r="3" spans="1:66" ht="20.100000000000001" customHeight="1" x14ac:dyDescent="0.45">
      <c r="A3" s="8"/>
      <c r="B3" s="191" t="s">
        <v>434</v>
      </c>
      <c r="C3" s="179"/>
      <c r="D3" s="179"/>
      <c r="E3" s="179"/>
      <c r="F3" s="179"/>
      <c r="G3" s="179"/>
      <c r="H3" s="179" t="str">
        <f ca="1">LEFT($X$3,FIND("_",$X$3)-1)</f>
        <v>TK0100</v>
      </c>
      <c r="I3" s="179"/>
      <c r="J3" s="179"/>
      <c r="K3" s="179"/>
      <c r="L3" s="179" t="s">
        <v>435</v>
      </c>
      <c r="M3" s="179"/>
      <c r="N3" s="179"/>
      <c r="O3" s="179"/>
      <c r="P3" s="179"/>
      <c r="Q3" s="179"/>
      <c r="R3" s="192" t="str">
        <f ca="1">MID($X$3,FIND("_",$X$3,FIND("_",$X$3)+1)+1,LEN($X$3)-FIND("_",$X$3,FIND("_",$X$3)+1))</f>
        <v>帳票設計書</v>
      </c>
      <c r="S3" s="179"/>
      <c r="T3" s="179"/>
      <c r="U3" s="179"/>
      <c r="V3" s="179"/>
      <c r="W3" s="179"/>
      <c r="X3" s="182" t="str">
        <f ca="1">REPLACE(LEFT(CELL("filename",$B$2),FIND(".x",CELL("filename",$B$2))-1),1,FIND("[",CELL("filename",$B$2)),)</f>
        <v>TK0100_得意先別年間売上順位推移表_帳票設計書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4"/>
      <c r="AK3" s="182" t="str">
        <f ca="1">MID($X$3,FIND("_",$X$3)+1,FIND("_",$X$3,FIND("_",$X$3)+1)-FIND("_",$X$3)-1)</f>
        <v>得意先別年間売上順位推移表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AX3" s="178">
        <v>45581</v>
      </c>
      <c r="AY3" s="179"/>
      <c r="AZ3" s="179"/>
      <c r="BA3" s="179"/>
      <c r="BB3" s="179" t="s">
        <v>437</v>
      </c>
      <c r="BC3" s="179"/>
      <c r="BD3" s="179"/>
      <c r="BE3" s="179"/>
      <c r="BF3" s="178">
        <v>45581</v>
      </c>
      <c r="BG3" s="179"/>
      <c r="BH3" s="179"/>
      <c r="BI3" s="179"/>
      <c r="BJ3" s="179" t="s">
        <v>437</v>
      </c>
      <c r="BK3" s="179"/>
      <c r="BL3" s="179"/>
      <c r="BM3" s="181"/>
      <c r="BN3" s="14"/>
    </row>
    <row r="4" spans="1:66" ht="20.100000000000001" customHeight="1" thickBot="1" x14ac:dyDescent="0.5">
      <c r="A4" s="8"/>
      <c r="B4" s="184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75" t="s">
        <v>8</v>
      </c>
      <c r="D8" s="175"/>
      <c r="E8" s="175"/>
      <c r="F8" s="175"/>
      <c r="G8" s="175" t="s">
        <v>9</v>
      </c>
      <c r="H8" s="175"/>
      <c r="I8" s="175"/>
      <c r="J8" s="175"/>
      <c r="K8" s="175" t="s">
        <v>10</v>
      </c>
      <c r="L8" s="175"/>
      <c r="M8" s="175"/>
      <c r="N8" s="175"/>
      <c r="O8" s="175" t="s">
        <v>11</v>
      </c>
      <c r="P8" s="175"/>
      <c r="Q8" s="175"/>
      <c r="R8" s="175"/>
      <c r="S8" s="175"/>
      <c r="T8" s="175"/>
      <c r="U8" s="175"/>
      <c r="V8" s="175"/>
      <c r="W8" s="175"/>
      <c r="X8" s="175"/>
      <c r="Y8" s="175" t="s">
        <v>12</v>
      </c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7"/>
      <c r="BN8" s="14"/>
    </row>
    <row r="9" spans="1:66" ht="20.100000000000001" customHeight="1" x14ac:dyDescent="0.45">
      <c r="A9" s="8"/>
      <c r="B9" s="7"/>
      <c r="C9" s="174">
        <v>45581</v>
      </c>
      <c r="D9" s="172"/>
      <c r="E9" s="172"/>
      <c r="F9" s="173"/>
      <c r="G9" s="168" t="s">
        <v>16</v>
      </c>
      <c r="H9" s="169"/>
      <c r="I9" s="169"/>
      <c r="J9" s="170"/>
      <c r="K9" s="174" t="s">
        <v>437</v>
      </c>
      <c r="L9" s="172"/>
      <c r="M9" s="172"/>
      <c r="N9" s="17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74"/>
      <c r="D10" s="172"/>
      <c r="E10" s="172"/>
      <c r="F10" s="173"/>
      <c r="G10" s="168"/>
      <c r="H10" s="169"/>
      <c r="I10" s="169"/>
      <c r="J10" s="170"/>
      <c r="K10" s="171"/>
      <c r="L10" s="172"/>
      <c r="M10" s="172"/>
      <c r="N10" s="17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74"/>
      <c r="D11" s="172"/>
      <c r="E11" s="172"/>
      <c r="F11" s="173"/>
      <c r="G11" s="168"/>
      <c r="H11" s="169"/>
      <c r="I11" s="169"/>
      <c r="J11" s="170"/>
      <c r="K11" s="171"/>
      <c r="L11" s="172"/>
      <c r="M11" s="172"/>
      <c r="N11" s="17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74"/>
      <c r="D36" s="172"/>
      <c r="E36" s="172"/>
      <c r="F36" s="173"/>
      <c r="G36" s="168"/>
      <c r="H36" s="169"/>
      <c r="I36" s="169"/>
      <c r="J36" s="170"/>
      <c r="K36" s="171"/>
      <c r="L36" s="172"/>
      <c r="M36" s="172"/>
      <c r="N36" s="17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74"/>
      <c r="D37" s="172"/>
      <c r="E37" s="172"/>
      <c r="F37" s="173"/>
      <c r="G37" s="168"/>
      <c r="H37" s="169"/>
      <c r="I37" s="169"/>
      <c r="J37" s="170"/>
      <c r="K37" s="171"/>
      <c r="L37" s="172"/>
      <c r="M37" s="172"/>
      <c r="N37" s="17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74"/>
      <c r="D38" s="172"/>
      <c r="E38" s="172"/>
      <c r="F38" s="173"/>
      <c r="G38" s="168"/>
      <c r="H38" s="169"/>
      <c r="I38" s="169"/>
      <c r="J38" s="170"/>
      <c r="K38" s="171"/>
      <c r="L38" s="172"/>
      <c r="M38" s="172"/>
      <c r="N38" s="17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74"/>
      <c r="D39" s="172"/>
      <c r="E39" s="172"/>
      <c r="F39" s="173"/>
      <c r="G39" s="168"/>
      <c r="H39" s="169"/>
      <c r="I39" s="169"/>
      <c r="J39" s="170"/>
      <c r="K39" s="171"/>
      <c r="L39" s="172"/>
      <c r="M39" s="172"/>
      <c r="N39" s="17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74"/>
      <c r="D40" s="172"/>
      <c r="E40" s="172"/>
      <c r="F40" s="173"/>
      <c r="G40" s="168"/>
      <c r="H40" s="169"/>
      <c r="I40" s="169"/>
      <c r="J40" s="170"/>
      <c r="K40" s="171"/>
      <c r="L40" s="172"/>
      <c r="M40" s="172"/>
      <c r="N40" s="17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74"/>
      <c r="D41" s="172"/>
      <c r="E41" s="172"/>
      <c r="F41" s="173"/>
      <c r="G41" s="168"/>
      <c r="H41" s="169"/>
      <c r="I41" s="169"/>
      <c r="J41" s="170"/>
      <c r="K41" s="171"/>
      <c r="L41" s="172"/>
      <c r="M41" s="172"/>
      <c r="N41" s="17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74"/>
      <c r="D42" s="172"/>
      <c r="E42" s="172"/>
      <c r="F42" s="173"/>
      <c r="G42" s="168"/>
      <c r="H42" s="169"/>
      <c r="I42" s="169"/>
      <c r="J42" s="170"/>
      <c r="K42" s="171"/>
      <c r="L42" s="172"/>
      <c r="M42" s="172"/>
      <c r="N42" s="17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74"/>
      <c r="D43" s="172"/>
      <c r="E43" s="172"/>
      <c r="F43" s="173"/>
      <c r="G43" s="168"/>
      <c r="H43" s="169"/>
      <c r="I43" s="169"/>
      <c r="J43" s="170"/>
      <c r="K43" s="171"/>
      <c r="L43" s="172"/>
      <c r="M43" s="172"/>
      <c r="N43" s="17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74"/>
      <c r="D44" s="172"/>
      <c r="E44" s="172"/>
      <c r="F44" s="173"/>
      <c r="G44" s="168"/>
      <c r="H44" s="169"/>
      <c r="I44" s="169"/>
      <c r="J44" s="170"/>
      <c r="K44" s="171"/>
      <c r="L44" s="172"/>
      <c r="M44" s="172"/>
      <c r="N44" s="17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74"/>
      <c r="D45" s="172"/>
      <c r="E45" s="172"/>
      <c r="F45" s="173"/>
      <c r="G45" s="168"/>
      <c r="H45" s="169"/>
      <c r="I45" s="169"/>
      <c r="J45" s="170"/>
      <c r="K45" s="171"/>
      <c r="L45" s="172"/>
      <c r="M45" s="172"/>
      <c r="N45" s="17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74"/>
      <c r="D46" s="172"/>
      <c r="E46" s="172"/>
      <c r="F46" s="173"/>
      <c r="G46" s="168"/>
      <c r="H46" s="169"/>
      <c r="I46" s="169"/>
      <c r="J46" s="170"/>
      <c r="K46" s="171"/>
      <c r="L46" s="172"/>
      <c r="M46" s="172"/>
      <c r="N46" s="17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74"/>
      <c r="D47" s="172"/>
      <c r="E47" s="172"/>
      <c r="F47" s="173"/>
      <c r="G47" s="168"/>
      <c r="H47" s="169"/>
      <c r="I47" s="169"/>
      <c r="J47" s="170"/>
      <c r="K47" s="171"/>
      <c r="L47" s="172"/>
      <c r="M47" s="172"/>
      <c r="N47" s="17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93" t="s">
        <v>0</v>
      </c>
      <c r="C2" s="176"/>
      <c r="D2" s="176"/>
      <c r="E2" s="176"/>
      <c r="F2" s="176"/>
      <c r="G2" s="176"/>
      <c r="H2" s="176" t="s">
        <v>17</v>
      </c>
      <c r="I2" s="176"/>
      <c r="J2" s="176"/>
      <c r="K2" s="176"/>
      <c r="L2" s="176" t="s">
        <v>436</v>
      </c>
      <c r="M2" s="176"/>
      <c r="N2" s="176"/>
      <c r="O2" s="176"/>
      <c r="P2" s="176"/>
      <c r="Q2" s="176"/>
      <c r="R2" s="176" t="s">
        <v>2</v>
      </c>
      <c r="S2" s="176"/>
      <c r="T2" s="176"/>
      <c r="U2" s="176"/>
      <c r="V2" s="176"/>
      <c r="W2" s="176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32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76" t="s">
        <v>5</v>
      </c>
      <c r="AY2" s="176"/>
      <c r="AZ2" s="176"/>
      <c r="BA2" s="176"/>
      <c r="BB2" s="176" t="s">
        <v>4</v>
      </c>
      <c r="BC2" s="176"/>
      <c r="BD2" s="176"/>
      <c r="BE2" s="176"/>
      <c r="BF2" s="176" t="s">
        <v>6</v>
      </c>
      <c r="BG2" s="176"/>
      <c r="BH2" s="176"/>
      <c r="BI2" s="176"/>
      <c r="BJ2" s="176" t="s">
        <v>7</v>
      </c>
      <c r="BK2" s="176"/>
      <c r="BL2" s="176"/>
      <c r="BM2" s="177"/>
      <c r="BN2" s="35"/>
    </row>
    <row r="3" spans="1:66" ht="20.100000000000001" customHeight="1" x14ac:dyDescent="0.45">
      <c r="A3" s="32"/>
      <c r="B3" s="191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TK0100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2" t="str">
        <f ca="1">変更履歴!X3</f>
        <v>TK0100_得意先別年間売上順位推移表_帳票設計書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4"/>
      <c r="AK3" s="182" t="str">
        <f ca="1">変更履歴!AK3</f>
        <v>得意先別年間売上順位推移表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AX3" s="178">
        <f>変更履歴!AX3</f>
        <v>45581</v>
      </c>
      <c r="AY3" s="178"/>
      <c r="AZ3" s="178"/>
      <c r="BA3" s="178"/>
      <c r="BB3" s="179" t="str">
        <f>変更履歴!BB3</f>
        <v>大谷</v>
      </c>
      <c r="BC3" s="179"/>
      <c r="BD3" s="179"/>
      <c r="BE3" s="179"/>
      <c r="BF3" s="178">
        <f>変更履歴!BF3</f>
        <v>45581</v>
      </c>
      <c r="BG3" s="178"/>
      <c r="BH3" s="178"/>
      <c r="BI3" s="178"/>
      <c r="BJ3" s="179" t="str">
        <f>変更履歴!BJ3</f>
        <v>大谷</v>
      </c>
      <c r="BK3" s="179"/>
      <c r="BL3" s="179"/>
      <c r="BM3" s="181"/>
      <c r="BN3" s="35"/>
    </row>
    <row r="4" spans="1:66" ht="20.100000000000001" customHeight="1" thickBot="1" x14ac:dyDescent="0.5">
      <c r="A4" s="32"/>
      <c r="B4" s="184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4"/>
      <c r="AY4" s="194"/>
      <c r="AZ4" s="194"/>
      <c r="BA4" s="194"/>
      <c r="BB4" s="180"/>
      <c r="BC4" s="180"/>
      <c r="BD4" s="180"/>
      <c r="BE4" s="180"/>
      <c r="BF4" s="194"/>
      <c r="BG4" s="194"/>
      <c r="BH4" s="194"/>
      <c r="BI4" s="194"/>
      <c r="BJ4" s="180"/>
      <c r="BK4" s="180"/>
      <c r="BL4" s="180"/>
      <c r="BM4" s="18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得意先別年間売上順位推移表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57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/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123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93" t="s">
        <v>0</v>
      </c>
      <c r="C2" s="176"/>
      <c r="D2" s="176"/>
      <c r="E2" s="176"/>
      <c r="F2" s="176"/>
      <c r="G2" s="176"/>
      <c r="H2" s="176" t="s">
        <v>17</v>
      </c>
      <c r="I2" s="176"/>
      <c r="J2" s="176"/>
      <c r="K2" s="176"/>
      <c r="L2" s="176" t="s">
        <v>436</v>
      </c>
      <c r="M2" s="176"/>
      <c r="N2" s="176"/>
      <c r="O2" s="176"/>
      <c r="P2" s="176"/>
      <c r="Q2" s="176"/>
      <c r="R2" s="176" t="s">
        <v>2</v>
      </c>
      <c r="S2" s="176"/>
      <c r="T2" s="176"/>
      <c r="U2" s="176"/>
      <c r="V2" s="176"/>
      <c r="W2" s="176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32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76" t="s">
        <v>5</v>
      </c>
      <c r="AY2" s="176"/>
      <c r="AZ2" s="176"/>
      <c r="BA2" s="176"/>
      <c r="BB2" s="176" t="s">
        <v>4</v>
      </c>
      <c r="BC2" s="176"/>
      <c r="BD2" s="176"/>
      <c r="BE2" s="176"/>
      <c r="BF2" s="176" t="s">
        <v>6</v>
      </c>
      <c r="BG2" s="176"/>
      <c r="BH2" s="176"/>
      <c r="BI2" s="176"/>
      <c r="BJ2" s="176" t="s">
        <v>7</v>
      </c>
      <c r="BK2" s="176"/>
      <c r="BL2" s="176"/>
      <c r="BM2" s="177"/>
      <c r="BN2" s="15"/>
    </row>
    <row r="3" spans="1:66" ht="20.100000000000001" customHeight="1" x14ac:dyDescent="0.45">
      <c r="A3" s="9"/>
      <c r="B3" s="191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TK0100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2" t="str">
        <f ca="1">変更履歴!X3</f>
        <v>TK0100_得意先別年間売上順位推移表_帳票設計書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4"/>
      <c r="AK3" s="182" t="str">
        <f ca="1">変更履歴!AK3</f>
        <v>得意先別年間売上順位推移表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AX3" s="178">
        <f>変更履歴!AX3</f>
        <v>45581</v>
      </c>
      <c r="AY3" s="178"/>
      <c r="AZ3" s="178"/>
      <c r="BA3" s="178"/>
      <c r="BB3" s="179" t="str">
        <f>変更履歴!BB3</f>
        <v>大谷</v>
      </c>
      <c r="BC3" s="179"/>
      <c r="BD3" s="179"/>
      <c r="BE3" s="179"/>
      <c r="BF3" s="178">
        <f>変更履歴!BF3</f>
        <v>45581</v>
      </c>
      <c r="BG3" s="178"/>
      <c r="BH3" s="178"/>
      <c r="BI3" s="178"/>
      <c r="BJ3" s="179" t="str">
        <f>変更履歴!BJ3</f>
        <v>大谷</v>
      </c>
      <c r="BK3" s="179"/>
      <c r="BL3" s="179"/>
      <c r="BM3" s="181"/>
      <c r="BN3" s="15"/>
    </row>
    <row r="4" spans="1:66" ht="20.100000000000001" customHeight="1" thickBot="1" x14ac:dyDescent="0.5">
      <c r="A4" s="9"/>
      <c r="B4" s="184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4"/>
      <c r="AY4" s="194"/>
      <c r="AZ4" s="194"/>
      <c r="BA4" s="194"/>
      <c r="BB4" s="180"/>
      <c r="BC4" s="180"/>
      <c r="BD4" s="180"/>
      <c r="BE4" s="180"/>
      <c r="BF4" s="194"/>
      <c r="BG4" s="194"/>
      <c r="BH4" s="194"/>
      <c r="BI4" s="194"/>
      <c r="BJ4" s="180"/>
      <c r="BK4" s="180"/>
      <c r="BL4" s="180"/>
      <c r="BM4" s="18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4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93" t="s">
        <v>0</v>
      </c>
      <c r="C2" s="176"/>
      <c r="D2" s="176"/>
      <c r="E2" s="176"/>
      <c r="F2" s="176"/>
      <c r="G2" s="176"/>
      <c r="H2" s="176" t="s">
        <v>17</v>
      </c>
      <c r="I2" s="176"/>
      <c r="J2" s="176"/>
      <c r="K2" s="176"/>
      <c r="L2" s="176" t="s">
        <v>436</v>
      </c>
      <c r="M2" s="176"/>
      <c r="N2" s="176"/>
      <c r="O2" s="176"/>
      <c r="P2" s="176"/>
      <c r="Q2" s="176"/>
      <c r="R2" s="176" t="s">
        <v>2</v>
      </c>
      <c r="S2" s="176"/>
      <c r="T2" s="176"/>
      <c r="U2" s="176"/>
      <c r="V2" s="176"/>
      <c r="W2" s="176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32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76" t="s">
        <v>5</v>
      </c>
      <c r="AY2" s="176"/>
      <c r="AZ2" s="176"/>
      <c r="BA2" s="176"/>
      <c r="BB2" s="176" t="s">
        <v>4</v>
      </c>
      <c r="BC2" s="176"/>
      <c r="BD2" s="176"/>
      <c r="BE2" s="176"/>
      <c r="BF2" s="176" t="s">
        <v>6</v>
      </c>
      <c r="BG2" s="176"/>
      <c r="BH2" s="176"/>
      <c r="BI2" s="176"/>
      <c r="BJ2" s="176" t="s">
        <v>7</v>
      </c>
      <c r="BK2" s="176"/>
      <c r="BL2" s="176"/>
      <c r="BM2" s="177"/>
      <c r="BN2" s="15"/>
    </row>
    <row r="3" spans="1:85" ht="20.100000000000001" customHeight="1" x14ac:dyDescent="0.45">
      <c r="A3" s="9"/>
      <c r="B3" s="191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TK0100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2" t="str">
        <f ca="1">変更履歴!X3</f>
        <v>TK0100_得意先別年間売上順位推移表_帳票設計書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4"/>
      <c r="AK3" s="182" t="str">
        <f ca="1">変更履歴!AK3</f>
        <v>得意先別年間売上順位推移表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AX3" s="178">
        <f>変更履歴!AX3</f>
        <v>45581</v>
      </c>
      <c r="AY3" s="178"/>
      <c r="AZ3" s="178"/>
      <c r="BA3" s="178"/>
      <c r="BB3" s="179" t="str">
        <f>変更履歴!BB3</f>
        <v>大谷</v>
      </c>
      <c r="BC3" s="179"/>
      <c r="BD3" s="179"/>
      <c r="BE3" s="179"/>
      <c r="BF3" s="178">
        <f>変更履歴!BF3</f>
        <v>45581</v>
      </c>
      <c r="BG3" s="178"/>
      <c r="BH3" s="178"/>
      <c r="BI3" s="178"/>
      <c r="BJ3" s="179" t="str">
        <f>変更履歴!BJ3</f>
        <v>大谷</v>
      </c>
      <c r="BK3" s="179"/>
      <c r="BL3" s="179"/>
      <c r="BM3" s="181"/>
      <c r="BN3" s="15"/>
    </row>
    <row r="4" spans="1:85" ht="20.100000000000001" customHeight="1" thickBot="1" x14ac:dyDescent="0.5">
      <c r="A4" s="9"/>
      <c r="B4" s="184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5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7"/>
      <c r="AK4" s="185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7"/>
      <c r="AX4" s="194"/>
      <c r="AY4" s="194"/>
      <c r="AZ4" s="194"/>
      <c r="BA4" s="194"/>
      <c r="BB4" s="180"/>
      <c r="BC4" s="180"/>
      <c r="BD4" s="180"/>
      <c r="BE4" s="180"/>
      <c r="BF4" s="194"/>
      <c r="BG4" s="194"/>
      <c r="BH4" s="194"/>
      <c r="BI4" s="194"/>
      <c r="BJ4" s="180"/>
      <c r="BK4" s="180"/>
      <c r="BL4" s="180"/>
      <c r="BM4" s="182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16" t="s">
        <v>20</v>
      </c>
      <c r="F10" s="217"/>
      <c r="G10" s="217"/>
      <c r="H10" s="217"/>
      <c r="I10" s="217"/>
      <c r="J10" s="217"/>
      <c r="K10" s="217"/>
      <c r="L10" s="218"/>
      <c r="M10" s="219" t="s">
        <v>24</v>
      </c>
      <c r="N10" s="220"/>
      <c r="O10" s="220"/>
      <c r="P10" s="219" t="s">
        <v>33</v>
      </c>
      <c r="Q10" s="220"/>
      <c r="R10" s="220"/>
      <c r="S10" s="219" t="s">
        <v>34</v>
      </c>
      <c r="T10" s="220"/>
      <c r="U10" s="220"/>
      <c r="V10" s="219" t="s">
        <v>36</v>
      </c>
      <c r="W10" s="220"/>
      <c r="X10" s="220"/>
      <c r="Y10" s="220"/>
      <c r="Z10" s="220"/>
      <c r="AA10" s="222"/>
      <c r="AB10" s="219" t="s">
        <v>35</v>
      </c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2"/>
      <c r="AR10" s="219" t="s">
        <v>42</v>
      </c>
      <c r="AS10" s="220"/>
      <c r="AT10" s="220"/>
      <c r="AU10" s="220"/>
      <c r="AV10" s="220"/>
      <c r="AW10" s="222"/>
      <c r="AX10" s="219" t="s">
        <v>43</v>
      </c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95" t="s">
        <v>70</v>
      </c>
      <c r="F11" s="196"/>
      <c r="G11" s="196"/>
      <c r="H11" s="196"/>
      <c r="I11" s="196"/>
      <c r="J11" s="196"/>
      <c r="K11" s="196"/>
      <c r="L11" s="197"/>
      <c r="M11" s="171" t="s">
        <v>8</v>
      </c>
      <c r="N11" s="172"/>
      <c r="O11" s="172"/>
      <c r="P11" s="171" t="s">
        <v>84</v>
      </c>
      <c r="Q11" s="172"/>
      <c r="R11" s="172"/>
      <c r="S11" s="171">
        <v>4</v>
      </c>
      <c r="T11" s="172"/>
      <c r="U11" s="172"/>
      <c r="V11" s="203" t="s">
        <v>411</v>
      </c>
      <c r="W11" s="204"/>
      <c r="X11" s="204"/>
      <c r="Y11" s="204"/>
      <c r="Z11" s="204"/>
      <c r="AA11" s="205"/>
      <c r="AB11" s="203" t="s">
        <v>412</v>
      </c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5"/>
      <c r="AR11" s="171" t="s">
        <v>412</v>
      </c>
      <c r="AS11" s="172"/>
      <c r="AT11" s="172"/>
      <c r="AU11" s="172"/>
      <c r="AV11" s="172"/>
      <c r="AW11" s="173"/>
      <c r="AX11" s="200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1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95" t="s">
        <v>71</v>
      </c>
      <c r="F12" s="196"/>
      <c r="G12" s="196"/>
      <c r="H12" s="196"/>
      <c r="I12" s="196"/>
      <c r="J12" s="196"/>
      <c r="K12" s="196"/>
      <c r="L12" s="197"/>
      <c r="M12" s="171" t="s">
        <v>8</v>
      </c>
      <c r="N12" s="172"/>
      <c r="O12" s="172"/>
      <c r="P12" s="171" t="s">
        <v>84</v>
      </c>
      <c r="Q12" s="172"/>
      <c r="R12" s="172"/>
      <c r="S12" s="171">
        <v>4</v>
      </c>
      <c r="T12" s="172"/>
      <c r="U12" s="172"/>
      <c r="V12" s="203" t="s">
        <v>413</v>
      </c>
      <c r="W12" s="204"/>
      <c r="X12" s="204"/>
      <c r="Y12" s="204"/>
      <c r="Z12" s="204"/>
      <c r="AA12" s="205"/>
      <c r="AB12" s="203" t="s">
        <v>414</v>
      </c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5"/>
      <c r="AR12" s="171" t="s">
        <v>414</v>
      </c>
      <c r="AS12" s="172"/>
      <c r="AT12" s="172"/>
      <c r="AU12" s="172"/>
      <c r="AV12" s="172"/>
      <c r="AW12" s="173"/>
      <c r="AX12" s="200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11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95" t="s">
        <v>72</v>
      </c>
      <c r="F13" s="196"/>
      <c r="G13" s="196"/>
      <c r="H13" s="196"/>
      <c r="I13" s="196"/>
      <c r="J13" s="196"/>
      <c r="K13" s="196"/>
      <c r="L13" s="197"/>
      <c r="M13" s="171" t="s">
        <v>8</v>
      </c>
      <c r="N13" s="172"/>
      <c r="O13" s="172"/>
      <c r="P13" s="171" t="s">
        <v>84</v>
      </c>
      <c r="Q13" s="172"/>
      <c r="R13" s="172"/>
      <c r="S13" s="171">
        <v>4</v>
      </c>
      <c r="T13" s="172"/>
      <c r="U13" s="172"/>
      <c r="V13" s="203" t="s">
        <v>411</v>
      </c>
      <c r="W13" s="204"/>
      <c r="X13" s="204"/>
      <c r="Y13" s="204"/>
      <c r="Z13" s="204"/>
      <c r="AA13" s="205"/>
      <c r="AB13" s="203" t="s">
        <v>415</v>
      </c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5"/>
      <c r="AR13" s="171" t="s">
        <v>416</v>
      </c>
      <c r="AS13" s="172"/>
      <c r="AT13" s="172"/>
      <c r="AU13" s="172"/>
      <c r="AV13" s="172"/>
      <c r="AW13" s="173"/>
      <c r="AX13" s="200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1"/>
      <c r="BS13" s="201"/>
      <c r="BT13" s="211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29"/>
      <c r="B14" s="35"/>
      <c r="C14"/>
      <c r="D14" s="37">
        <v>4</v>
      </c>
      <c r="E14" s="195" t="s">
        <v>76</v>
      </c>
      <c r="F14" s="196"/>
      <c r="G14" s="196"/>
      <c r="H14" s="196"/>
      <c r="I14" s="196"/>
      <c r="J14" s="196"/>
      <c r="K14" s="196"/>
      <c r="L14" s="197"/>
      <c r="M14" s="171" t="s">
        <v>47</v>
      </c>
      <c r="N14" s="172"/>
      <c r="O14" s="172"/>
      <c r="P14" s="171" t="s">
        <v>84</v>
      </c>
      <c r="Q14" s="172"/>
      <c r="R14" s="172"/>
      <c r="S14" s="171">
        <v>6</v>
      </c>
      <c r="T14" s="172"/>
      <c r="U14" s="172"/>
      <c r="V14" s="200" t="s">
        <v>417</v>
      </c>
      <c r="W14" s="201"/>
      <c r="X14" s="201"/>
      <c r="Y14" s="201"/>
      <c r="Z14" s="201"/>
      <c r="AA14" s="202"/>
      <c r="AB14" s="203" t="s">
        <v>418</v>
      </c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5"/>
      <c r="AR14" s="223">
        <v>9999</v>
      </c>
      <c r="AS14" s="172"/>
      <c r="AT14" s="172"/>
      <c r="AU14" s="172"/>
      <c r="AV14" s="172"/>
      <c r="AW14" s="173"/>
      <c r="AX14" s="200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11"/>
      <c r="BU14" s="29"/>
      <c r="BV14" s="40"/>
      <c r="BW14" s="41"/>
      <c r="BX14" s="41"/>
      <c r="BY14" s="41"/>
      <c r="BZ14" s="41"/>
      <c r="CA14" s="41"/>
      <c r="CB14" s="41"/>
      <c r="CC14" s="41"/>
      <c r="CD14" s="41"/>
      <c r="CE14" s="41"/>
      <c r="CF14" s="31"/>
      <c r="CG14" s="31"/>
    </row>
    <row r="15" spans="1:85" s="5" customFormat="1" ht="20.100000000000001" customHeight="1" x14ac:dyDescent="0.45">
      <c r="A15" s="29"/>
      <c r="B15" s="35"/>
      <c r="C15"/>
      <c r="D15" s="37">
        <v>5</v>
      </c>
      <c r="E15" s="195" t="s">
        <v>77</v>
      </c>
      <c r="F15" s="196"/>
      <c r="G15" s="196"/>
      <c r="H15" s="196"/>
      <c r="I15" s="196"/>
      <c r="J15" s="196"/>
      <c r="K15" s="196"/>
      <c r="L15" s="197"/>
      <c r="M15" s="171" t="s">
        <v>47</v>
      </c>
      <c r="N15" s="172"/>
      <c r="O15" s="172"/>
      <c r="P15" s="171" t="s">
        <v>84</v>
      </c>
      <c r="Q15" s="172"/>
      <c r="R15" s="172"/>
      <c r="S15" s="171">
        <v>10</v>
      </c>
      <c r="T15" s="172"/>
      <c r="U15" s="172"/>
      <c r="V15" s="200" t="s">
        <v>419</v>
      </c>
      <c r="W15" s="201"/>
      <c r="X15" s="201"/>
      <c r="Y15" s="201"/>
      <c r="Z15" s="201"/>
      <c r="AA15" s="202"/>
      <c r="AB15" s="203" t="s">
        <v>420</v>
      </c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5"/>
      <c r="AR15" s="171">
        <v>9.99</v>
      </c>
      <c r="AS15" s="172"/>
      <c r="AT15" s="172"/>
      <c r="AU15" s="172"/>
      <c r="AV15" s="172"/>
      <c r="AW15" s="173"/>
      <c r="AX15" s="200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201"/>
      <c r="BS15" s="201"/>
      <c r="BT15" s="211"/>
      <c r="BU15" s="41"/>
      <c r="BV15" s="40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</row>
    <row r="16" spans="1:85" s="5" customFormat="1" ht="20.100000000000001" customHeight="1" x14ac:dyDescent="0.45">
      <c r="A16" s="29"/>
      <c r="B16" s="35"/>
      <c r="C16"/>
      <c r="D16" s="37">
        <v>6</v>
      </c>
      <c r="E16" s="195" t="s">
        <v>86</v>
      </c>
      <c r="F16" s="196"/>
      <c r="G16" s="196"/>
      <c r="H16" s="196"/>
      <c r="I16" s="196"/>
      <c r="J16" s="196"/>
      <c r="K16" s="196"/>
      <c r="L16" s="197"/>
      <c r="M16" s="171" t="s">
        <v>47</v>
      </c>
      <c r="N16" s="172"/>
      <c r="O16" s="172"/>
      <c r="P16" s="171" t="s">
        <v>84</v>
      </c>
      <c r="Q16" s="172"/>
      <c r="R16" s="172"/>
      <c r="S16" s="171">
        <v>10</v>
      </c>
      <c r="T16" s="172"/>
      <c r="U16" s="172"/>
      <c r="V16" s="200" t="s">
        <v>422</v>
      </c>
      <c r="W16" s="201"/>
      <c r="X16" s="201"/>
      <c r="Y16" s="201"/>
      <c r="Z16" s="201"/>
      <c r="AA16" s="202"/>
      <c r="AB16" s="203" t="s">
        <v>421</v>
      </c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5"/>
      <c r="AR16" s="223">
        <v>9999</v>
      </c>
      <c r="AS16" s="172"/>
      <c r="AT16" s="172"/>
      <c r="AU16" s="172"/>
      <c r="AV16" s="172"/>
      <c r="AW16" s="173"/>
      <c r="AX16" s="200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1"/>
      <c r="BK16" s="201"/>
      <c r="BL16" s="201"/>
      <c r="BM16" s="201"/>
      <c r="BN16" s="201"/>
      <c r="BO16" s="201"/>
      <c r="BP16" s="201"/>
      <c r="BQ16" s="201"/>
      <c r="BR16" s="201"/>
      <c r="BS16" s="201"/>
      <c r="BT16" s="211"/>
      <c r="BU16" s="41"/>
      <c r="BV16" s="40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</row>
    <row r="17" spans="1:85" s="5" customFormat="1" ht="20.100000000000001" customHeight="1" x14ac:dyDescent="0.45">
      <c r="A17" s="29"/>
      <c r="B17" s="35"/>
      <c r="C17"/>
      <c r="D17" s="37">
        <v>7</v>
      </c>
      <c r="E17" s="195" t="s">
        <v>73</v>
      </c>
      <c r="F17" s="196"/>
      <c r="G17" s="196"/>
      <c r="H17" s="196"/>
      <c r="I17" s="196"/>
      <c r="J17" s="196"/>
      <c r="K17" s="196"/>
      <c r="L17" s="197"/>
      <c r="M17" s="171" t="s">
        <v>47</v>
      </c>
      <c r="N17" s="172"/>
      <c r="O17" s="172"/>
      <c r="P17" s="171" t="s">
        <v>84</v>
      </c>
      <c r="Q17" s="172"/>
      <c r="R17" s="172"/>
      <c r="S17" s="171">
        <v>8</v>
      </c>
      <c r="T17" s="172"/>
      <c r="U17" s="172"/>
      <c r="V17" s="200" t="s">
        <v>423</v>
      </c>
      <c r="W17" s="201"/>
      <c r="X17" s="201"/>
      <c r="Y17" s="201"/>
      <c r="Z17" s="201"/>
      <c r="AA17" s="202"/>
      <c r="AB17" s="203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5"/>
      <c r="AR17" s="171"/>
      <c r="AS17" s="172"/>
      <c r="AT17" s="172"/>
      <c r="AU17" s="172"/>
      <c r="AV17" s="172"/>
      <c r="AW17" s="173"/>
      <c r="AX17" s="200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1"/>
      <c r="BK17" s="201"/>
      <c r="BL17" s="201"/>
      <c r="BM17" s="201"/>
      <c r="BN17" s="201"/>
      <c r="BO17" s="201"/>
      <c r="BP17" s="201"/>
      <c r="BQ17" s="201"/>
      <c r="BR17" s="201"/>
      <c r="BS17" s="201"/>
      <c r="BT17" s="211"/>
      <c r="BU17" s="41"/>
      <c r="BV17" s="40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</row>
    <row r="18" spans="1:85" s="5" customFormat="1" ht="20.100000000000001" customHeight="1" x14ac:dyDescent="0.45">
      <c r="A18" s="29"/>
      <c r="B18" s="35"/>
      <c r="C18"/>
      <c r="D18" s="37">
        <v>8</v>
      </c>
      <c r="E18" s="195" t="s">
        <v>74</v>
      </c>
      <c r="F18" s="196"/>
      <c r="G18" s="196"/>
      <c r="H18" s="196"/>
      <c r="I18" s="196"/>
      <c r="J18" s="196"/>
      <c r="K18" s="196"/>
      <c r="L18" s="197"/>
      <c r="M18" s="171" t="s">
        <v>38</v>
      </c>
      <c r="N18" s="172"/>
      <c r="O18" s="172"/>
      <c r="P18" s="171" t="s">
        <v>85</v>
      </c>
      <c r="Q18" s="172"/>
      <c r="R18" s="172"/>
      <c r="S18" s="171">
        <v>7</v>
      </c>
      <c r="T18" s="172"/>
      <c r="U18" s="172"/>
      <c r="V18" s="200" t="s">
        <v>424</v>
      </c>
      <c r="W18" s="201"/>
      <c r="X18" s="201"/>
      <c r="Y18" s="201"/>
      <c r="Z18" s="201"/>
      <c r="AA18" s="202"/>
      <c r="AB18" s="203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5"/>
      <c r="AR18" s="171"/>
      <c r="AS18" s="172"/>
      <c r="AT18" s="172"/>
      <c r="AU18" s="172"/>
      <c r="AV18" s="172"/>
      <c r="AW18" s="173"/>
      <c r="AX18" s="200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1"/>
      <c r="BO18" s="201"/>
      <c r="BP18" s="201"/>
      <c r="BQ18" s="201"/>
      <c r="BR18" s="201"/>
      <c r="BS18" s="201"/>
      <c r="BT18" s="211"/>
      <c r="BU18" s="41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</row>
    <row r="19" spans="1:85" s="5" customFormat="1" ht="20.100000000000001" customHeight="1" x14ac:dyDescent="0.45">
      <c r="A19" s="29"/>
      <c r="B19" s="35"/>
      <c r="C19"/>
      <c r="D19" s="37">
        <v>9</v>
      </c>
      <c r="E19" s="195" t="s">
        <v>75</v>
      </c>
      <c r="F19" s="196"/>
      <c r="G19" s="196"/>
      <c r="H19" s="196"/>
      <c r="I19" s="196"/>
      <c r="J19" s="196"/>
      <c r="K19" s="196"/>
      <c r="L19" s="197"/>
      <c r="M19" s="171" t="s">
        <v>38</v>
      </c>
      <c r="N19" s="172"/>
      <c r="O19" s="172"/>
      <c r="P19" s="171" t="s">
        <v>85</v>
      </c>
      <c r="Q19" s="172"/>
      <c r="R19" s="172"/>
      <c r="S19" s="171">
        <v>5</v>
      </c>
      <c r="T19" s="172"/>
      <c r="U19" s="172"/>
      <c r="V19" s="200" t="s">
        <v>425</v>
      </c>
      <c r="W19" s="201"/>
      <c r="X19" s="201"/>
      <c r="Y19" s="201"/>
      <c r="Z19" s="201"/>
      <c r="AA19" s="202"/>
      <c r="AB19" s="203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5"/>
      <c r="AR19" s="171"/>
      <c r="AS19" s="172"/>
      <c r="AT19" s="172"/>
      <c r="AU19" s="172"/>
      <c r="AV19" s="172"/>
      <c r="AW19" s="173"/>
      <c r="AX19" s="200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  <c r="BO19" s="201"/>
      <c r="BP19" s="201"/>
      <c r="BQ19" s="201"/>
      <c r="BR19" s="201"/>
      <c r="BS19" s="201"/>
      <c r="BT19" s="211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ht="19.8" customHeight="1" x14ac:dyDescent="0.45">
      <c r="A20" s="29"/>
      <c r="B20" s="44"/>
      <c r="C20"/>
      <c r="D20" s="37">
        <v>10</v>
      </c>
      <c r="E20" s="195" t="s">
        <v>78</v>
      </c>
      <c r="F20" s="196"/>
      <c r="G20" s="196"/>
      <c r="H20" s="196"/>
      <c r="I20" s="196"/>
      <c r="J20" s="196"/>
      <c r="K20" s="196"/>
      <c r="L20" s="197"/>
      <c r="M20" s="171" t="s">
        <v>47</v>
      </c>
      <c r="N20" s="172"/>
      <c r="O20" s="172"/>
      <c r="P20" s="171" t="s">
        <v>84</v>
      </c>
      <c r="Q20" s="172"/>
      <c r="R20" s="172"/>
      <c r="S20" s="198">
        <v>4</v>
      </c>
      <c r="T20" s="199"/>
      <c r="U20" s="199"/>
      <c r="V20" s="200" t="s">
        <v>426</v>
      </c>
      <c r="W20" s="201"/>
      <c r="X20" s="201"/>
      <c r="Y20" s="201"/>
      <c r="Z20" s="201"/>
      <c r="AA20" s="202"/>
      <c r="AB20" s="213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5"/>
      <c r="AR20" s="198"/>
      <c r="AS20" s="199"/>
      <c r="AT20" s="199"/>
      <c r="AU20" s="199"/>
      <c r="AV20" s="199"/>
      <c r="AW20" s="206"/>
      <c r="AX20" s="207"/>
      <c r="AY20" s="208"/>
      <c r="AZ20" s="208"/>
      <c r="BA20" s="208"/>
      <c r="BB20" s="208"/>
      <c r="BC20" s="208"/>
      <c r="BD20" s="208"/>
      <c r="BE20" s="208"/>
      <c r="BF20" s="208"/>
      <c r="BG20" s="208"/>
      <c r="BH20" s="208"/>
      <c r="BI20" s="208"/>
      <c r="BJ20" s="208"/>
      <c r="BK20" s="208"/>
      <c r="BL20" s="208"/>
      <c r="BM20" s="208"/>
      <c r="BN20" s="208"/>
      <c r="BO20" s="208"/>
      <c r="BP20" s="208"/>
      <c r="BQ20" s="208"/>
      <c r="BR20" s="208"/>
      <c r="BS20" s="208"/>
      <c r="BT20" s="209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 s="29"/>
      <c r="D21" s="37">
        <v>11</v>
      </c>
      <c r="E21" s="195" t="s">
        <v>79</v>
      </c>
      <c r="F21" s="196"/>
      <c r="G21" s="196"/>
      <c r="H21" s="196"/>
      <c r="I21" s="196"/>
      <c r="J21" s="196"/>
      <c r="K21" s="196"/>
      <c r="L21" s="197"/>
      <c r="M21" s="171" t="s">
        <v>47</v>
      </c>
      <c r="N21" s="172"/>
      <c r="O21" s="172"/>
      <c r="P21" s="171" t="s">
        <v>84</v>
      </c>
      <c r="Q21" s="172"/>
      <c r="R21" s="172"/>
      <c r="S21" s="171">
        <v>4</v>
      </c>
      <c r="T21" s="172"/>
      <c r="U21" s="172"/>
      <c r="V21" s="207" t="s">
        <v>422</v>
      </c>
      <c r="W21" s="208"/>
      <c r="X21" s="208"/>
      <c r="Y21" s="208"/>
      <c r="Z21" s="208"/>
      <c r="AA21" s="212"/>
      <c r="AB21" s="213" t="s">
        <v>427</v>
      </c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5"/>
      <c r="AR21" s="171">
        <v>99.9</v>
      </c>
      <c r="AS21" s="172"/>
      <c r="AT21" s="172"/>
      <c r="AU21" s="172"/>
      <c r="AV21" s="172"/>
      <c r="AW21" s="173"/>
      <c r="AX21" s="200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201"/>
      <c r="BS21" s="201"/>
      <c r="BT21" s="211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ht="19.8" customHeight="1" x14ac:dyDescent="0.45">
      <c r="A22" s="29"/>
      <c r="B22" s="44"/>
      <c r="C22" s="29"/>
      <c r="D22" s="37">
        <v>12</v>
      </c>
      <c r="E22" s="195" t="s">
        <v>80</v>
      </c>
      <c r="F22" s="196"/>
      <c r="G22" s="196"/>
      <c r="H22" s="196"/>
      <c r="I22" s="196"/>
      <c r="J22" s="196"/>
      <c r="K22" s="196"/>
      <c r="L22" s="197"/>
      <c r="M22" s="171" t="s">
        <v>47</v>
      </c>
      <c r="N22" s="172"/>
      <c r="O22" s="172"/>
      <c r="P22" s="171" t="s">
        <v>84</v>
      </c>
      <c r="Q22" s="172"/>
      <c r="R22" s="172"/>
      <c r="S22" s="171">
        <v>6</v>
      </c>
      <c r="T22" s="172"/>
      <c r="U22" s="172"/>
      <c r="V22" s="200" t="s">
        <v>428</v>
      </c>
      <c r="W22" s="201"/>
      <c r="X22" s="201"/>
      <c r="Y22" s="201"/>
      <c r="Z22" s="201"/>
      <c r="AA22" s="202"/>
      <c r="AB22" s="203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5"/>
      <c r="AR22" s="171">
        <v>999999</v>
      </c>
      <c r="AS22" s="172"/>
      <c r="AT22" s="172"/>
      <c r="AU22" s="172"/>
      <c r="AV22" s="172"/>
      <c r="AW22" s="173"/>
      <c r="AX22" s="200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1"/>
      <c r="BK22" s="201"/>
      <c r="BL22" s="201"/>
      <c r="BM22" s="201"/>
      <c r="BN22" s="201"/>
      <c r="BO22" s="201"/>
      <c r="BP22" s="201"/>
      <c r="BQ22" s="201"/>
      <c r="BR22" s="201"/>
      <c r="BS22" s="201"/>
      <c r="BT22" s="211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ht="27.6" customHeight="1" x14ac:dyDescent="0.45">
      <c r="A23" s="29"/>
      <c r="B23" s="44"/>
      <c r="C23" s="29"/>
      <c r="D23" s="37">
        <v>13</v>
      </c>
      <c r="E23" s="195" t="s">
        <v>81</v>
      </c>
      <c r="F23" s="196"/>
      <c r="G23" s="196"/>
      <c r="H23" s="196"/>
      <c r="I23" s="196"/>
      <c r="J23" s="196"/>
      <c r="K23" s="196"/>
      <c r="L23" s="197"/>
      <c r="M23" s="171" t="s">
        <v>47</v>
      </c>
      <c r="N23" s="172"/>
      <c r="O23" s="172"/>
      <c r="P23" s="171" t="s">
        <v>84</v>
      </c>
      <c r="Q23" s="172"/>
      <c r="R23" s="172"/>
      <c r="S23" s="171">
        <v>5</v>
      </c>
      <c r="T23" s="172"/>
      <c r="U23" s="172"/>
      <c r="V23" s="200" t="s">
        <v>429</v>
      </c>
      <c r="W23" s="201"/>
      <c r="X23" s="201"/>
      <c r="Y23" s="201"/>
      <c r="Z23" s="201"/>
      <c r="AA23" s="202"/>
      <c r="AB23" s="210" t="s">
        <v>430</v>
      </c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4"/>
      <c r="AQ23" s="205"/>
      <c r="AR23" s="171">
        <v>99.99</v>
      </c>
      <c r="AS23" s="172"/>
      <c r="AT23" s="172"/>
      <c r="AU23" s="172"/>
      <c r="AV23" s="172"/>
      <c r="AW23" s="173"/>
      <c r="AX23" s="200"/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1"/>
      <c r="BK23" s="201"/>
      <c r="BL23" s="201"/>
      <c r="BM23" s="201"/>
      <c r="BN23" s="201"/>
      <c r="BO23" s="201"/>
      <c r="BP23" s="201"/>
      <c r="BQ23" s="201"/>
      <c r="BR23" s="201"/>
      <c r="BS23" s="201"/>
      <c r="BT23" s="211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ht="19.2" customHeight="1" x14ac:dyDescent="0.45">
      <c r="A24" s="29"/>
      <c r="B24" s="44"/>
      <c r="C24" s="29"/>
      <c r="D24" s="37">
        <v>14</v>
      </c>
      <c r="E24" s="195" t="s">
        <v>82</v>
      </c>
      <c r="F24" s="196"/>
      <c r="G24" s="196"/>
      <c r="H24" s="196"/>
      <c r="I24" s="196"/>
      <c r="J24" s="196"/>
      <c r="K24" s="196"/>
      <c r="L24" s="197"/>
      <c r="M24" s="171" t="s">
        <v>47</v>
      </c>
      <c r="N24" s="172"/>
      <c r="O24" s="172"/>
      <c r="P24" s="171" t="s">
        <v>84</v>
      </c>
      <c r="Q24" s="172"/>
      <c r="R24" s="172"/>
      <c r="S24" s="171">
        <v>10</v>
      </c>
      <c r="T24" s="172"/>
      <c r="U24" s="172"/>
      <c r="V24" s="200" t="s">
        <v>431</v>
      </c>
      <c r="W24" s="201"/>
      <c r="X24" s="201"/>
      <c r="Y24" s="201"/>
      <c r="Z24" s="201"/>
      <c r="AA24" s="202"/>
      <c r="AB24" s="203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5"/>
      <c r="AR24" s="171">
        <v>999999</v>
      </c>
      <c r="AS24" s="172"/>
      <c r="AT24" s="172"/>
      <c r="AU24" s="172"/>
      <c r="AV24" s="172"/>
      <c r="AW24" s="173"/>
      <c r="AX24" s="200"/>
      <c r="AY24" s="201"/>
      <c r="AZ24" s="201"/>
      <c r="BA24" s="201"/>
      <c r="BB24" s="201"/>
      <c r="BC24" s="201"/>
      <c r="BD24" s="201"/>
      <c r="BE24" s="201"/>
      <c r="BF24" s="201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201"/>
      <c r="BS24" s="201"/>
      <c r="BT24" s="211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ht="19.8" customHeight="1" thickBot="1" x14ac:dyDescent="0.5">
      <c r="A25" s="29"/>
      <c r="B25" s="44"/>
      <c r="C25" s="29"/>
      <c r="D25" s="37">
        <v>15</v>
      </c>
      <c r="E25" s="195" t="s">
        <v>83</v>
      </c>
      <c r="F25" s="196"/>
      <c r="G25" s="196"/>
      <c r="H25" s="196"/>
      <c r="I25" s="196"/>
      <c r="J25" s="196"/>
      <c r="K25" s="196"/>
      <c r="L25" s="197"/>
      <c r="M25" s="171" t="s">
        <v>47</v>
      </c>
      <c r="N25" s="172"/>
      <c r="O25" s="172"/>
      <c r="P25" s="171" t="s">
        <v>84</v>
      </c>
      <c r="Q25" s="172"/>
      <c r="R25" s="172"/>
      <c r="S25" s="198">
        <v>4</v>
      </c>
      <c r="T25" s="199"/>
      <c r="U25" s="199"/>
      <c r="V25" s="200" t="s">
        <v>432</v>
      </c>
      <c r="W25" s="201"/>
      <c r="X25" s="201"/>
      <c r="Y25" s="201"/>
      <c r="Z25" s="201"/>
      <c r="AA25" s="202"/>
      <c r="AB25" s="203" t="s">
        <v>433</v>
      </c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5"/>
      <c r="AR25" s="198">
        <v>99.9</v>
      </c>
      <c r="AS25" s="199"/>
      <c r="AT25" s="199"/>
      <c r="AU25" s="199"/>
      <c r="AV25" s="199"/>
      <c r="AW25" s="206"/>
      <c r="AX25" s="207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8"/>
      <c r="BK25" s="208"/>
      <c r="BL25" s="208"/>
      <c r="BM25" s="208"/>
      <c r="BN25" s="208"/>
      <c r="BO25" s="208"/>
      <c r="BP25" s="208"/>
      <c r="BQ25" s="208"/>
      <c r="BR25" s="208"/>
      <c r="BS25" s="208"/>
      <c r="BT25" s="209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ht="20.100000000000001" customHeight="1" thickTop="1" thickBot="1" x14ac:dyDescent="0.5">
      <c r="A26" s="29"/>
      <c r="B26" s="40"/>
      <c r="C26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46"/>
      <c r="BR26" s="46"/>
      <c r="BS26" s="46"/>
      <c r="BT26" s="46"/>
      <c r="BU26" s="28"/>
    </row>
    <row r="27" spans="1:85" ht="20.100000000000001" customHeight="1" thickTop="1" x14ac:dyDescent="0.45">
      <c r="A27" s="29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33"/>
      <c r="BD27" s="33"/>
      <c r="BE27" s="33"/>
      <c r="BF27" s="33"/>
      <c r="BG27" s="33"/>
      <c r="BH27" s="33"/>
      <c r="BI27" s="42"/>
      <c r="BJ27" s="42"/>
      <c r="BK27" s="42"/>
      <c r="BL27" s="42"/>
      <c r="BM27" s="42"/>
      <c r="BN27" s="42"/>
      <c r="BO27" s="42"/>
      <c r="BP27" s="41"/>
    </row>
    <row r="28" spans="1:85" ht="20.100000000000001" customHeight="1" x14ac:dyDescent="0.45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</row>
    <row r="29" spans="1:85" ht="20.100000000000001" customHeight="1" x14ac:dyDescent="0.4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31"/>
      <c r="BH29" s="31"/>
      <c r="BI29" s="31"/>
      <c r="BJ29" s="31"/>
      <c r="BK29" s="31"/>
      <c r="BL29" s="31"/>
      <c r="BM29" s="31"/>
      <c r="BN29" s="31"/>
      <c r="BO29" s="31"/>
      <c r="BP29" s="31"/>
    </row>
    <row r="30" spans="1:85" ht="20.100000000000001" customHeight="1" x14ac:dyDescent="0.4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31"/>
      <c r="BH30" s="31"/>
      <c r="BI30" s="31"/>
      <c r="BJ30" s="31"/>
      <c r="BK30" s="31"/>
      <c r="BL30" s="31"/>
      <c r="BM30" s="31"/>
      <c r="BN30" s="31"/>
      <c r="BO30" s="31"/>
      <c r="BP30" s="31"/>
    </row>
    <row r="31" spans="1:85" ht="20.100000000000001" customHeight="1" x14ac:dyDescent="0.4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31"/>
      <c r="BH31" s="31"/>
      <c r="BI31" s="31"/>
      <c r="BJ31" s="31"/>
      <c r="BK31" s="31"/>
      <c r="BL31" s="31"/>
      <c r="BM31" s="31"/>
      <c r="BN31" s="31"/>
      <c r="BO31" s="31"/>
      <c r="BP31" s="31"/>
    </row>
    <row r="32" spans="1:85" ht="20.100000000000001" customHeight="1" x14ac:dyDescent="0.45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31"/>
      <c r="BH32" s="31"/>
      <c r="BI32" s="31"/>
      <c r="BJ32" s="31"/>
      <c r="BK32" s="31"/>
      <c r="BL32" s="31"/>
      <c r="BM32" s="31"/>
      <c r="BN32" s="31"/>
      <c r="BO32" s="31"/>
      <c r="BP32" s="31"/>
    </row>
    <row r="33" spans="1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31"/>
      <c r="BH33" s="31"/>
      <c r="BI33" s="31"/>
      <c r="BJ33" s="31"/>
      <c r="BK33" s="31"/>
      <c r="BL33" s="31"/>
      <c r="BM33" s="31"/>
      <c r="BN33" s="31"/>
      <c r="BO33" s="31"/>
      <c r="BP33" s="31"/>
    </row>
    <row r="34" spans="1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1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1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68" ht="20.100000000000001" customHeight="1" x14ac:dyDescent="0.45">
      <c r="B40" s="3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31"/>
      <c r="BP41" s="31"/>
    </row>
    <row r="42" spans="1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31"/>
      <c r="BP42" s="31"/>
    </row>
    <row r="43" spans="1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31"/>
      <c r="BP43" s="31"/>
    </row>
    <row r="44" spans="1:68" ht="20.100000000000001" customHeight="1" x14ac:dyDescent="0.45">
      <c r="A44" s="29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31"/>
      <c r="BP44" s="31"/>
    </row>
    <row r="45" spans="1:68" ht="20.100000000000001" customHeight="1" x14ac:dyDescent="0.45">
      <c r="A45" s="29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31"/>
      <c r="BP45" s="31"/>
    </row>
    <row r="46" spans="1:68" ht="20.100000000000001" customHeight="1" x14ac:dyDescent="0.4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</row>
    <row r="47" spans="1:68" ht="20.100000000000001" customHeight="1" x14ac:dyDescent="0.4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</row>
    <row r="48" spans="1:68" ht="20.100000000000001" customHeight="1" x14ac:dyDescent="0.4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</row>
  </sheetData>
  <mergeCells count="148">
    <mergeCell ref="AB16:AQ16"/>
    <mergeCell ref="AB17:AQ17"/>
    <mergeCell ref="AB18:AQ18"/>
    <mergeCell ref="AB19:AQ19"/>
    <mergeCell ref="AR20:AW2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X10:BT10"/>
    <mergeCell ref="AX11:BT11"/>
    <mergeCell ref="AX12:BT12"/>
    <mergeCell ref="AX13:BT13"/>
    <mergeCell ref="V20:AA20"/>
    <mergeCell ref="S10:U10"/>
    <mergeCell ref="V10:AA10"/>
    <mergeCell ref="S20:U20"/>
    <mergeCell ref="V11:AA11"/>
    <mergeCell ref="V12:AA12"/>
    <mergeCell ref="V13:AA13"/>
    <mergeCell ref="V14:AA14"/>
    <mergeCell ref="AX16:BT16"/>
    <mergeCell ref="AX17:BT17"/>
    <mergeCell ref="AX18:BT18"/>
    <mergeCell ref="AX19:BT19"/>
    <mergeCell ref="AX14:BT14"/>
    <mergeCell ref="AX15:BT15"/>
    <mergeCell ref="AB20:AQ20"/>
    <mergeCell ref="AX20:BT20"/>
    <mergeCell ref="AB10:AQ10"/>
    <mergeCell ref="AB11:AQ11"/>
    <mergeCell ref="AB12:AQ12"/>
    <mergeCell ref="AB13:AQ13"/>
    <mergeCell ref="P20:R2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X2:AJ2"/>
    <mergeCell ref="X3:AJ4"/>
    <mergeCell ref="M16:O16"/>
    <mergeCell ref="M17:O17"/>
    <mergeCell ref="M18:O18"/>
    <mergeCell ref="M19:O19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V19:AA19"/>
    <mergeCell ref="V15:AA15"/>
    <mergeCell ref="V16:AA16"/>
    <mergeCell ref="V17:AA17"/>
    <mergeCell ref="V18:AA18"/>
    <mergeCell ref="AB14:AQ14"/>
    <mergeCell ref="AB15:AQ15"/>
    <mergeCell ref="E17:L17"/>
    <mergeCell ref="E18:L18"/>
    <mergeCell ref="E13:L13"/>
    <mergeCell ref="M10:O10"/>
    <mergeCell ref="M11:O11"/>
    <mergeCell ref="M12:O12"/>
    <mergeCell ref="M13:O13"/>
    <mergeCell ref="M15:O15"/>
    <mergeCell ref="E14:L14"/>
    <mergeCell ref="E15:L15"/>
    <mergeCell ref="M14:O14"/>
    <mergeCell ref="E20:L20"/>
    <mergeCell ref="M20:O20"/>
    <mergeCell ref="E19:L19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B2:G2"/>
    <mergeCell ref="H2:K2"/>
    <mergeCell ref="L2:Q2"/>
    <mergeCell ref="R2:W2"/>
    <mergeCell ref="E10:L10"/>
    <mergeCell ref="E11:L11"/>
    <mergeCell ref="E16:L16"/>
    <mergeCell ref="E21:L21"/>
    <mergeCell ref="M21:O21"/>
    <mergeCell ref="P21:R21"/>
    <mergeCell ref="S21:U21"/>
    <mergeCell ref="V21:AA21"/>
    <mergeCell ref="AB21:AQ21"/>
    <mergeCell ref="AR21:AW21"/>
    <mergeCell ref="AX21:BT21"/>
    <mergeCell ref="E22:L22"/>
    <mergeCell ref="M22:O22"/>
    <mergeCell ref="P22:R22"/>
    <mergeCell ref="S22:U22"/>
    <mergeCell ref="V22:AA22"/>
    <mergeCell ref="AB22:AQ22"/>
    <mergeCell ref="AR22:AW22"/>
    <mergeCell ref="AX22:BT22"/>
    <mergeCell ref="E25:L25"/>
    <mergeCell ref="M25:O25"/>
    <mergeCell ref="P25:R25"/>
    <mergeCell ref="S25:U25"/>
    <mergeCell ref="V25:AA25"/>
    <mergeCell ref="AB25:AQ25"/>
    <mergeCell ref="AR25:AW25"/>
    <mergeCell ref="AX25:BT25"/>
    <mergeCell ref="E23:L23"/>
    <mergeCell ref="M23:O23"/>
    <mergeCell ref="P23:R23"/>
    <mergeCell ref="S23:U23"/>
    <mergeCell ref="V23:AA23"/>
    <mergeCell ref="AB23:AQ23"/>
    <mergeCell ref="AR23:AW23"/>
    <mergeCell ref="AX23:BT23"/>
    <mergeCell ref="E24:L24"/>
    <mergeCell ref="M24:O24"/>
    <mergeCell ref="P24:R24"/>
    <mergeCell ref="S24:U24"/>
    <mergeCell ref="V24:AA24"/>
    <mergeCell ref="AB24:AQ24"/>
    <mergeCell ref="AR24:AW24"/>
    <mergeCell ref="AX24:BT24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30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7" t="s">
        <v>0</v>
      </c>
      <c r="C2" s="228"/>
      <c r="D2" s="228"/>
      <c r="E2" s="228"/>
      <c r="F2" s="228"/>
      <c r="G2" s="228"/>
      <c r="H2" s="228" t="s">
        <v>17</v>
      </c>
      <c r="I2" s="228"/>
      <c r="J2" s="228"/>
      <c r="K2" s="228"/>
      <c r="L2" s="228" t="s">
        <v>436</v>
      </c>
      <c r="M2" s="228"/>
      <c r="N2" s="228"/>
      <c r="O2" s="228"/>
      <c r="P2" s="228"/>
      <c r="Q2" s="228"/>
      <c r="R2" s="228" t="s">
        <v>2</v>
      </c>
      <c r="S2" s="228"/>
      <c r="T2" s="228"/>
      <c r="U2" s="228"/>
      <c r="V2" s="228"/>
      <c r="W2" s="228"/>
      <c r="X2" s="229" t="s">
        <v>3</v>
      </c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1"/>
      <c r="AK2" s="229" t="s">
        <v>32</v>
      </c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1"/>
      <c r="AX2" s="228" t="s">
        <v>5</v>
      </c>
      <c r="AY2" s="228"/>
      <c r="AZ2" s="228"/>
      <c r="BA2" s="228"/>
      <c r="BB2" s="228" t="s">
        <v>4</v>
      </c>
      <c r="BC2" s="228"/>
      <c r="BD2" s="228"/>
      <c r="BE2" s="228"/>
      <c r="BF2" s="228" t="s">
        <v>6</v>
      </c>
      <c r="BG2" s="228"/>
      <c r="BH2" s="228"/>
      <c r="BI2" s="228"/>
      <c r="BJ2" s="228" t="s">
        <v>7</v>
      </c>
      <c r="BK2" s="228"/>
      <c r="BL2" s="228"/>
      <c r="BM2" s="238"/>
    </row>
    <row r="3" spans="2:65" ht="20.100000000000001" customHeight="1" x14ac:dyDescent="0.45">
      <c r="B3" s="232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TK0100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2" t="str">
        <f ca="1">変更履歴!X3</f>
        <v>TK0100_得意先別年間売上順位推移表_帳票設計書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4"/>
      <c r="AK3" s="182" t="str">
        <f ca="1">変更履歴!AK3</f>
        <v>得意先別年間売上順位推移表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AX3" s="178">
        <f>変更履歴!AX3</f>
        <v>45581</v>
      </c>
      <c r="AY3" s="178"/>
      <c r="AZ3" s="178"/>
      <c r="BA3" s="178"/>
      <c r="BB3" s="179" t="str">
        <f>変更履歴!BB3</f>
        <v>大谷</v>
      </c>
      <c r="BC3" s="179"/>
      <c r="BD3" s="179"/>
      <c r="BE3" s="179"/>
      <c r="BF3" s="178">
        <f>変更履歴!BF3</f>
        <v>45581</v>
      </c>
      <c r="BG3" s="178"/>
      <c r="BH3" s="178"/>
      <c r="BI3" s="178"/>
      <c r="BJ3" s="179" t="str">
        <f>変更履歴!BJ3</f>
        <v>大谷</v>
      </c>
      <c r="BK3" s="179"/>
      <c r="BL3" s="179"/>
      <c r="BM3" s="236"/>
    </row>
    <row r="4" spans="2:65" ht="20.100000000000001" customHeight="1" thickBot="1" x14ac:dyDescent="0.5">
      <c r="B4" s="233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6"/>
      <c r="AK4" s="224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6"/>
      <c r="AX4" s="235"/>
      <c r="AY4" s="235"/>
      <c r="AZ4" s="235"/>
      <c r="BA4" s="235"/>
      <c r="BB4" s="234"/>
      <c r="BC4" s="234"/>
      <c r="BD4" s="234"/>
      <c r="BE4" s="234"/>
      <c r="BF4" s="235"/>
      <c r="BG4" s="235"/>
      <c r="BH4" s="235"/>
      <c r="BI4" s="235"/>
      <c r="BJ4" s="234"/>
      <c r="BK4" s="234"/>
      <c r="BL4" s="234"/>
      <c r="BM4" s="237"/>
    </row>
    <row r="5" spans="2:65" ht="5.0999999999999996" customHeight="1" thickBot="1" x14ac:dyDescent="0.5"/>
    <row r="6" spans="2:65" ht="20.100000000000001" customHeight="1" x14ac:dyDescent="0.45">
      <c r="B6" s="165" t="s">
        <v>139</v>
      </c>
      <c r="C6" s="127"/>
      <c r="D6" s="127"/>
      <c r="E6" s="127"/>
      <c r="F6" s="127"/>
      <c r="G6" s="128"/>
      <c r="H6" s="129"/>
      <c r="I6" s="127"/>
      <c r="J6" s="129" t="s">
        <v>140</v>
      </c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30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31"/>
    </row>
    <row r="7" spans="2:65" ht="20.100000000000001" customHeight="1" x14ac:dyDescent="0.45">
      <c r="B7" s="132"/>
      <c r="C7" s="31"/>
      <c r="D7" s="31"/>
      <c r="E7" s="31"/>
      <c r="F7" s="31"/>
      <c r="G7" s="133"/>
      <c r="H7" s="134"/>
      <c r="I7" s="31"/>
      <c r="J7" s="134"/>
      <c r="K7" s="31" t="s">
        <v>142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135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6"/>
    </row>
    <row r="8" spans="2:65" ht="20.100000000000001" customHeight="1" x14ac:dyDescent="0.45">
      <c r="B8" s="132"/>
      <c r="C8" s="31"/>
      <c r="D8" s="31"/>
      <c r="E8" s="31"/>
      <c r="F8" s="31"/>
      <c r="G8" s="133"/>
      <c r="H8" s="134"/>
      <c r="I8" s="31"/>
      <c r="J8" s="134"/>
      <c r="K8" s="31" t="s">
        <v>217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13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6"/>
    </row>
    <row r="9" spans="2:65" ht="20.100000000000001" customHeight="1" x14ac:dyDescent="0.45">
      <c r="B9" s="132"/>
      <c r="C9" s="31"/>
      <c r="D9" s="31"/>
      <c r="E9" s="31"/>
      <c r="F9" s="31"/>
      <c r="G9" s="133"/>
      <c r="H9" s="134"/>
      <c r="I9" s="31"/>
      <c r="J9" s="134"/>
      <c r="K9" s="31" t="s">
        <v>189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35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6"/>
    </row>
    <row r="10" spans="2:65" ht="20.100000000000001" customHeight="1" x14ac:dyDescent="0.45">
      <c r="B10" s="132"/>
      <c r="C10" s="31"/>
      <c r="D10" s="31"/>
      <c r="E10" s="31"/>
      <c r="F10" s="31"/>
      <c r="G10" s="133"/>
      <c r="H10" s="134"/>
      <c r="I10" s="31"/>
      <c r="J10" s="134" t="s">
        <v>141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6"/>
    </row>
    <row r="11" spans="2:65" ht="20.100000000000001" customHeight="1" x14ac:dyDescent="0.45">
      <c r="B11" s="132"/>
      <c r="C11" s="31"/>
      <c r="D11" s="31"/>
      <c r="E11" s="31"/>
      <c r="F11" s="31"/>
      <c r="G11" s="133"/>
      <c r="H11" s="134"/>
      <c r="I11" s="31"/>
      <c r="J11" s="134"/>
      <c r="K11" s="31" t="s">
        <v>219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6"/>
    </row>
    <row r="12" spans="2:65" ht="20.100000000000001" customHeight="1" x14ac:dyDescent="0.45">
      <c r="B12" s="132"/>
      <c r="C12" s="31"/>
      <c r="D12" s="31"/>
      <c r="E12" s="31"/>
      <c r="F12" s="31"/>
      <c r="G12" s="133"/>
      <c r="H12" s="134"/>
      <c r="I12" s="31"/>
      <c r="J12" s="134"/>
      <c r="K12" s="31" t="s">
        <v>239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6"/>
    </row>
    <row r="13" spans="2:65" ht="20.100000000000001" customHeight="1" thickBot="1" x14ac:dyDescent="0.5">
      <c r="B13" s="132"/>
      <c r="C13" s="31"/>
      <c r="D13" s="31"/>
      <c r="E13" s="31"/>
      <c r="F13" s="31"/>
      <c r="G13" s="133"/>
      <c r="H13" s="140"/>
      <c r="I13" s="141"/>
      <c r="J13" s="140"/>
      <c r="K13" s="141" t="s">
        <v>243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2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3"/>
    </row>
    <row r="14" spans="2:65" ht="20.100000000000001" customHeight="1" x14ac:dyDescent="0.45">
      <c r="B14" s="126" t="s">
        <v>124</v>
      </c>
      <c r="C14" s="127"/>
      <c r="D14" s="127"/>
      <c r="E14" s="127"/>
      <c r="F14" s="127"/>
      <c r="G14" s="128"/>
      <c r="H14" s="129" t="s">
        <v>125</v>
      </c>
      <c r="I14" s="127"/>
      <c r="J14" s="129" t="s">
        <v>133</v>
      </c>
      <c r="K14" s="127"/>
      <c r="L14" s="127"/>
      <c r="M14" s="127"/>
      <c r="N14" s="127"/>
      <c r="O14" s="127"/>
      <c r="P14" s="127"/>
      <c r="Q14" s="127"/>
      <c r="R14" s="158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8"/>
      <c r="AK14" s="130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31"/>
    </row>
    <row r="15" spans="2:65" ht="20.100000000000001" customHeight="1" x14ac:dyDescent="0.45">
      <c r="B15" s="160"/>
      <c r="C15" s="31"/>
      <c r="D15" s="31"/>
      <c r="E15" s="31"/>
      <c r="F15" s="31"/>
      <c r="G15" s="133"/>
      <c r="H15" s="137" t="s">
        <v>117</v>
      </c>
      <c r="I15" s="55"/>
      <c r="J15" s="161" t="s">
        <v>127</v>
      </c>
      <c r="K15" s="52"/>
      <c r="L15" s="52"/>
      <c r="M15" s="52"/>
      <c r="N15" s="52"/>
      <c r="O15" s="52"/>
      <c r="P15" s="52"/>
      <c r="Q15" s="162"/>
      <c r="R15" s="52" t="s">
        <v>144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62"/>
      <c r="AK15" s="13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6"/>
    </row>
    <row r="16" spans="2:65" ht="20.100000000000001" customHeight="1" x14ac:dyDescent="0.45">
      <c r="B16" s="160"/>
      <c r="C16" s="31"/>
      <c r="D16" s="31"/>
      <c r="E16" s="31"/>
      <c r="F16" s="31"/>
      <c r="G16" s="133"/>
      <c r="H16" s="134"/>
      <c r="I16" s="31"/>
      <c r="J16" s="161" t="s">
        <v>134</v>
      </c>
      <c r="K16" s="52"/>
      <c r="L16" s="52"/>
      <c r="M16" s="52"/>
      <c r="N16" s="52"/>
      <c r="O16" s="52"/>
      <c r="P16" s="52"/>
      <c r="Q16" s="162"/>
      <c r="R16" s="52" t="s">
        <v>153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62"/>
      <c r="AK16" s="13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6"/>
    </row>
    <row r="17" spans="2:61" ht="20.100000000000001" customHeight="1" x14ac:dyDescent="0.45">
      <c r="B17" s="160"/>
      <c r="C17" s="31"/>
      <c r="D17" s="31"/>
      <c r="E17" s="31"/>
      <c r="F17" s="31"/>
      <c r="G17" s="133"/>
      <c r="H17" s="134"/>
      <c r="I17" s="31"/>
      <c r="J17" s="161" t="s">
        <v>135</v>
      </c>
      <c r="K17" s="52"/>
      <c r="L17" s="52"/>
      <c r="M17" s="52"/>
      <c r="N17" s="52"/>
      <c r="O17" s="52"/>
      <c r="P17" s="52"/>
      <c r="Q17" s="162"/>
      <c r="R17" s="52" t="s">
        <v>143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62"/>
      <c r="AK17" s="13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6"/>
    </row>
    <row r="18" spans="2:61" ht="20.100000000000001" customHeight="1" x14ac:dyDescent="0.45">
      <c r="B18" s="160"/>
      <c r="C18" s="31"/>
      <c r="D18" s="31"/>
      <c r="E18" s="31"/>
      <c r="F18" s="31"/>
      <c r="G18" s="133"/>
      <c r="H18" s="134"/>
      <c r="I18" s="31"/>
      <c r="J18" s="161" t="s">
        <v>126</v>
      </c>
      <c r="K18" s="52"/>
      <c r="L18" s="52"/>
      <c r="M18" s="52"/>
      <c r="N18" s="52"/>
      <c r="O18" s="52"/>
      <c r="P18" s="52"/>
      <c r="Q18" s="162"/>
      <c r="R18" s="52" t="s">
        <v>143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62"/>
      <c r="AK18" s="135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6"/>
    </row>
    <row r="19" spans="2:61" ht="20.100000000000001" customHeight="1" x14ac:dyDescent="0.45">
      <c r="B19" s="160"/>
      <c r="C19" s="31"/>
      <c r="D19" s="31"/>
      <c r="E19" s="31"/>
      <c r="F19" s="31"/>
      <c r="G19" s="133"/>
      <c r="H19" s="134"/>
      <c r="I19" s="31"/>
      <c r="J19" s="161" t="s">
        <v>136</v>
      </c>
      <c r="K19" s="52"/>
      <c r="L19" s="52"/>
      <c r="M19" s="52"/>
      <c r="N19" s="52"/>
      <c r="O19" s="52"/>
      <c r="P19" s="52"/>
      <c r="Q19" s="162"/>
      <c r="R19" s="52" t="s">
        <v>154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62"/>
      <c r="AK19" s="13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6"/>
    </row>
    <row r="20" spans="2:61" ht="20.100000000000001" customHeight="1" x14ac:dyDescent="0.45">
      <c r="B20" s="160"/>
      <c r="C20" s="31"/>
      <c r="D20" s="31"/>
      <c r="E20" s="31"/>
      <c r="F20" s="31"/>
      <c r="G20" s="133"/>
      <c r="H20" s="134"/>
      <c r="I20" s="31"/>
      <c r="J20" s="161" t="s">
        <v>137</v>
      </c>
      <c r="K20" s="52"/>
      <c r="L20" s="52"/>
      <c r="M20" s="52"/>
      <c r="N20" s="52"/>
      <c r="O20" s="52"/>
      <c r="P20" s="52"/>
      <c r="Q20" s="162"/>
      <c r="R20" s="52" t="s">
        <v>143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62"/>
      <c r="AK20" s="13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6"/>
    </row>
    <row r="21" spans="2:61" ht="20.100000000000001" customHeight="1" x14ac:dyDescent="0.45">
      <c r="B21" s="160"/>
      <c r="C21" s="31"/>
      <c r="D21" s="31"/>
      <c r="E21" s="31"/>
      <c r="F21" s="31"/>
      <c r="G21" s="133"/>
      <c r="H21" s="134"/>
      <c r="I21" s="31"/>
      <c r="J21" s="161" t="s">
        <v>138</v>
      </c>
      <c r="K21" s="52"/>
      <c r="L21" s="52"/>
      <c r="M21" s="52"/>
      <c r="N21" s="52"/>
      <c r="O21" s="52"/>
      <c r="P21" s="52"/>
      <c r="Q21" s="162"/>
      <c r="R21" s="52" t="s">
        <v>146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62"/>
      <c r="AK21" s="13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6"/>
    </row>
    <row r="22" spans="2:61" ht="20.100000000000001" customHeight="1" thickBot="1" x14ac:dyDescent="0.5">
      <c r="B22" s="160"/>
      <c r="C22" s="31"/>
      <c r="D22" s="31"/>
      <c r="E22" s="31"/>
      <c r="F22" s="31"/>
      <c r="G22" s="133"/>
      <c r="H22" s="137" t="s">
        <v>87</v>
      </c>
      <c r="I22" s="55"/>
      <c r="J22" s="137" t="s">
        <v>128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38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139"/>
    </row>
    <row r="23" spans="2:61" ht="20.100000000000001" customHeight="1" x14ac:dyDescent="0.45">
      <c r="B23" s="126" t="s">
        <v>147</v>
      </c>
      <c r="C23" s="127"/>
      <c r="D23" s="127"/>
      <c r="E23" s="127"/>
      <c r="F23" s="127"/>
      <c r="G23" s="128"/>
      <c r="H23" s="129" t="s">
        <v>148</v>
      </c>
      <c r="I23" s="127"/>
      <c r="J23" s="157" t="s">
        <v>145</v>
      </c>
      <c r="K23" s="158"/>
      <c r="L23" s="158"/>
      <c r="M23" s="158"/>
      <c r="N23" s="158"/>
      <c r="O23" s="158"/>
      <c r="P23" s="158"/>
      <c r="Q23" s="159"/>
      <c r="R23" s="158" t="s">
        <v>149</v>
      </c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30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31"/>
    </row>
    <row r="24" spans="2:61" ht="20.100000000000001" customHeight="1" x14ac:dyDescent="0.45">
      <c r="B24" s="160"/>
      <c r="C24" s="31"/>
      <c r="D24" s="31"/>
      <c r="E24" s="31"/>
      <c r="F24" s="31"/>
      <c r="G24" s="133"/>
      <c r="H24" s="134"/>
      <c r="I24" s="31"/>
      <c r="J24" s="161" t="s">
        <v>134</v>
      </c>
      <c r="K24" s="52"/>
      <c r="L24" s="52"/>
      <c r="M24" s="52"/>
      <c r="N24" s="52"/>
      <c r="O24" s="52"/>
      <c r="P24" s="52"/>
      <c r="Q24" s="162"/>
      <c r="R24" s="52" t="s">
        <v>150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62"/>
      <c r="AK24" s="13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6"/>
    </row>
    <row r="25" spans="2:61" ht="20.100000000000001" customHeight="1" x14ac:dyDescent="0.45">
      <c r="B25" s="160"/>
      <c r="C25" s="31"/>
      <c r="D25" s="31"/>
      <c r="E25" s="31"/>
      <c r="F25" s="31"/>
      <c r="G25" s="133"/>
      <c r="H25" s="134"/>
      <c r="I25" s="31"/>
      <c r="J25" s="161" t="s">
        <v>136</v>
      </c>
      <c r="K25" s="52"/>
      <c r="L25" s="52"/>
      <c r="M25" s="52"/>
      <c r="N25" s="52"/>
      <c r="O25" s="52"/>
      <c r="P25" s="52"/>
      <c r="Q25" s="162"/>
      <c r="R25" s="52" t="s">
        <v>151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62"/>
      <c r="AK25" s="13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6"/>
    </row>
    <row r="26" spans="2:61" ht="20.100000000000001" customHeight="1" x14ac:dyDescent="0.45">
      <c r="B26" s="160"/>
      <c r="C26" s="31"/>
      <c r="D26" s="31"/>
      <c r="E26" s="31"/>
      <c r="F26" s="31"/>
      <c r="G26" s="133"/>
      <c r="H26" s="134"/>
      <c r="I26" s="31"/>
      <c r="J26" s="161" t="s">
        <v>155</v>
      </c>
      <c r="K26" s="52"/>
      <c r="L26" s="52"/>
      <c r="M26" s="52"/>
      <c r="N26" s="52"/>
      <c r="O26" s="52"/>
      <c r="P26" s="52"/>
      <c r="Q26" s="162"/>
      <c r="R26" s="52" t="s">
        <v>152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62"/>
      <c r="AK26" s="13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6"/>
    </row>
    <row r="27" spans="2:61" ht="20.100000000000001" customHeight="1" x14ac:dyDescent="0.45">
      <c r="B27" s="160"/>
      <c r="C27" s="31"/>
      <c r="D27" s="31"/>
      <c r="E27" s="31"/>
      <c r="F27" s="31"/>
      <c r="G27" s="133"/>
      <c r="H27" s="137" t="s">
        <v>158</v>
      </c>
      <c r="I27" s="55"/>
      <c r="J27" s="137" t="s">
        <v>156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138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139"/>
    </row>
    <row r="28" spans="2:61" ht="20.100000000000001" customHeight="1" x14ac:dyDescent="0.45">
      <c r="B28" s="160"/>
      <c r="C28" s="31"/>
      <c r="D28" s="31"/>
      <c r="E28" s="31"/>
      <c r="F28" s="31"/>
      <c r="G28" s="133"/>
      <c r="H28" s="134"/>
      <c r="I28" s="31"/>
      <c r="J28" s="134" t="s">
        <v>157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6"/>
    </row>
    <row r="29" spans="2:61" ht="20.100000000000001" customHeight="1" x14ac:dyDescent="0.45">
      <c r="B29" s="132"/>
      <c r="C29" s="31"/>
      <c r="D29" s="31"/>
      <c r="E29" s="31"/>
      <c r="F29" s="31"/>
      <c r="G29" s="133"/>
      <c r="H29" s="137" t="s">
        <v>159</v>
      </c>
      <c r="I29" s="55"/>
      <c r="J29" s="137" t="s">
        <v>160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138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139"/>
    </row>
    <row r="30" spans="2:61" ht="20.100000000000001" customHeight="1" x14ac:dyDescent="0.45">
      <c r="B30" s="132"/>
      <c r="C30" s="31"/>
      <c r="D30" s="31"/>
      <c r="E30" s="31"/>
      <c r="F30" s="31"/>
      <c r="G30" s="133"/>
      <c r="H30" s="134"/>
      <c r="I30" s="31"/>
      <c r="J30" s="134"/>
      <c r="K30" s="31" t="s">
        <v>161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6"/>
    </row>
    <row r="31" spans="2:61" ht="20.100000000000001" customHeight="1" thickBot="1" x14ac:dyDescent="0.5">
      <c r="B31" s="132"/>
      <c r="C31" s="31"/>
      <c r="D31" s="31"/>
      <c r="E31" s="31"/>
      <c r="F31" s="31"/>
      <c r="G31" s="133"/>
      <c r="H31" s="134"/>
      <c r="I31" s="31"/>
      <c r="J31" s="134"/>
      <c r="K31" s="31"/>
      <c r="L31" s="31"/>
      <c r="M31" s="31" t="s">
        <v>162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35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6"/>
    </row>
    <row r="32" spans="2:61" ht="20.100000000000001" customHeight="1" x14ac:dyDescent="0.45">
      <c r="B32" s="126" t="s">
        <v>163</v>
      </c>
      <c r="C32" s="127"/>
      <c r="D32" s="127"/>
      <c r="E32" s="127"/>
      <c r="F32" s="127"/>
      <c r="G32" s="128"/>
      <c r="H32" s="129" t="s">
        <v>148</v>
      </c>
      <c r="I32" s="127"/>
      <c r="J32" s="157" t="s">
        <v>145</v>
      </c>
      <c r="K32" s="158"/>
      <c r="L32" s="158"/>
      <c r="M32" s="158"/>
      <c r="N32" s="158"/>
      <c r="O32" s="158"/>
      <c r="P32" s="158"/>
      <c r="Q32" s="159"/>
      <c r="R32" s="158" t="s">
        <v>164</v>
      </c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9"/>
      <c r="AK32" s="130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31"/>
    </row>
    <row r="33" spans="2:61" ht="20.100000000000001" customHeight="1" x14ac:dyDescent="0.45">
      <c r="B33" s="160"/>
      <c r="C33" s="31"/>
      <c r="D33" s="31"/>
      <c r="E33" s="31"/>
      <c r="F33" s="31"/>
      <c r="G33" s="133"/>
      <c r="H33" s="134"/>
      <c r="I33" s="31"/>
      <c r="J33" s="161" t="s">
        <v>166</v>
      </c>
      <c r="K33" s="52"/>
      <c r="L33" s="52"/>
      <c r="M33" s="52"/>
      <c r="N33" s="52"/>
      <c r="O33" s="52"/>
      <c r="P33" s="52"/>
      <c r="Q33" s="162"/>
      <c r="R33" s="51" t="s">
        <v>165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62"/>
      <c r="AK33" s="13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6"/>
    </row>
    <row r="34" spans="2:61" ht="20.100000000000001" customHeight="1" x14ac:dyDescent="0.45">
      <c r="B34" s="160"/>
      <c r="C34" s="31"/>
      <c r="D34" s="31"/>
      <c r="E34" s="31"/>
      <c r="F34" s="31"/>
      <c r="G34" s="133"/>
      <c r="H34" s="134"/>
      <c r="I34" s="31"/>
      <c r="J34" s="161" t="s">
        <v>136</v>
      </c>
      <c r="K34" s="52"/>
      <c r="L34" s="52"/>
      <c r="M34" s="52"/>
      <c r="N34" s="52"/>
      <c r="O34" s="52"/>
      <c r="P34" s="52"/>
      <c r="Q34" s="162"/>
      <c r="R34" s="52" t="s">
        <v>167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62"/>
      <c r="AK34" s="135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6"/>
    </row>
    <row r="35" spans="2:61" ht="20.100000000000001" customHeight="1" x14ac:dyDescent="0.45">
      <c r="B35" s="160"/>
      <c r="C35" s="31"/>
      <c r="D35" s="31"/>
      <c r="E35" s="31"/>
      <c r="F35" s="31"/>
      <c r="G35" s="133"/>
      <c r="H35" s="137" t="s">
        <v>158</v>
      </c>
      <c r="I35" s="55"/>
      <c r="J35" s="137" t="s">
        <v>168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38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39"/>
    </row>
    <row r="36" spans="2:61" ht="20.100000000000001" customHeight="1" x14ac:dyDescent="0.45">
      <c r="B36" s="160"/>
      <c r="C36" s="31"/>
      <c r="D36" s="31"/>
      <c r="E36" s="31"/>
      <c r="F36" s="31"/>
      <c r="G36" s="133"/>
      <c r="H36" s="134"/>
      <c r="I36" s="31"/>
      <c r="J36" s="134" t="s">
        <v>169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35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6"/>
    </row>
    <row r="37" spans="2:61" ht="20.100000000000001" customHeight="1" x14ac:dyDescent="0.45">
      <c r="B37" s="160"/>
      <c r="C37" s="31"/>
      <c r="D37" s="31"/>
      <c r="E37" s="31"/>
      <c r="F37" s="31"/>
      <c r="G37" s="133"/>
      <c r="H37" s="31"/>
      <c r="I37" s="31"/>
      <c r="J37" s="134" t="s">
        <v>170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35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6"/>
    </row>
    <row r="38" spans="2:61" ht="20.100000000000001" customHeight="1" x14ac:dyDescent="0.45">
      <c r="B38" s="132"/>
      <c r="C38" s="31"/>
      <c r="D38" s="31"/>
      <c r="E38" s="31"/>
      <c r="F38" s="31"/>
      <c r="G38" s="133"/>
      <c r="H38" s="137" t="s">
        <v>159</v>
      </c>
      <c r="I38" s="55"/>
      <c r="J38" s="137" t="s">
        <v>171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138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139"/>
    </row>
    <row r="39" spans="2:61" ht="20.100000000000001" customHeight="1" x14ac:dyDescent="0.45">
      <c r="B39" s="132"/>
      <c r="C39" s="31"/>
      <c r="D39" s="31"/>
      <c r="E39" s="31"/>
      <c r="F39" s="31"/>
      <c r="G39" s="133"/>
      <c r="H39" s="134"/>
      <c r="I39" s="31"/>
      <c r="J39" s="134"/>
      <c r="K39" s="31" t="s">
        <v>172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35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6"/>
    </row>
    <row r="40" spans="2:61" ht="20.100000000000001" customHeight="1" x14ac:dyDescent="0.45">
      <c r="B40" s="132"/>
      <c r="C40" s="31"/>
      <c r="D40" s="31"/>
      <c r="E40" s="31"/>
      <c r="F40" s="31"/>
      <c r="G40" s="133"/>
      <c r="H40" s="134"/>
      <c r="I40" s="31"/>
      <c r="J40" s="134"/>
      <c r="K40" s="31"/>
      <c r="L40" s="31"/>
      <c r="M40" s="31" t="s">
        <v>173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35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6"/>
    </row>
    <row r="41" spans="2:61" ht="20.100000000000001" customHeight="1" x14ac:dyDescent="0.45">
      <c r="B41" s="132"/>
      <c r="C41" s="31"/>
      <c r="D41" s="31"/>
      <c r="E41" s="31"/>
      <c r="F41" s="31"/>
      <c r="G41" s="133"/>
      <c r="H41" s="134"/>
      <c r="I41" s="31"/>
      <c r="J41" s="134" t="s">
        <v>171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35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6"/>
    </row>
    <row r="42" spans="2:61" ht="20.100000000000001" customHeight="1" x14ac:dyDescent="0.45">
      <c r="B42" s="132"/>
      <c r="C42" s="31"/>
      <c r="D42" s="31"/>
      <c r="E42" s="31"/>
      <c r="F42" s="31"/>
      <c r="G42" s="133"/>
      <c r="H42" s="134"/>
      <c r="I42" s="31"/>
      <c r="J42" s="134"/>
      <c r="K42" s="31" t="s">
        <v>174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35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6"/>
    </row>
    <row r="43" spans="2:61" ht="20.100000000000001" customHeight="1" x14ac:dyDescent="0.45">
      <c r="B43" s="132"/>
      <c r="C43" s="31"/>
      <c r="D43" s="31"/>
      <c r="E43" s="31"/>
      <c r="F43" s="31"/>
      <c r="G43" s="133"/>
      <c r="H43" s="140"/>
      <c r="I43" s="141"/>
      <c r="J43" s="140"/>
      <c r="K43" s="141"/>
      <c r="L43" s="141"/>
      <c r="M43" s="141" t="s">
        <v>175</v>
      </c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2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3"/>
    </row>
    <row r="44" spans="2:61" ht="20.100000000000001" customHeight="1" x14ac:dyDescent="0.45">
      <c r="B44" s="132"/>
      <c r="C44" s="31"/>
      <c r="D44" s="31"/>
      <c r="E44" s="31"/>
      <c r="F44" s="31"/>
      <c r="G44" s="133"/>
      <c r="H44" s="134" t="s">
        <v>176</v>
      </c>
      <c r="I44" s="31"/>
      <c r="J44" s="134"/>
      <c r="K44" s="31" t="s">
        <v>178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35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6"/>
    </row>
    <row r="45" spans="2:61" ht="20.100000000000001" customHeight="1" x14ac:dyDescent="0.45">
      <c r="B45" s="132"/>
      <c r="C45" s="31"/>
      <c r="D45" s="31"/>
      <c r="E45" s="31"/>
      <c r="F45" s="31"/>
      <c r="G45" s="133"/>
      <c r="H45" s="134"/>
      <c r="I45" s="31"/>
      <c r="J45" s="134" t="s">
        <v>177</v>
      </c>
      <c r="K45" s="31" t="s">
        <v>179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34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6"/>
    </row>
    <row r="46" spans="2:61" ht="20.100000000000001" customHeight="1" x14ac:dyDescent="0.45">
      <c r="B46" s="132"/>
      <c r="C46" s="31"/>
      <c r="D46" s="31"/>
      <c r="E46" s="31"/>
      <c r="F46" s="31"/>
      <c r="G46" s="133"/>
      <c r="H46" s="137" t="s">
        <v>180</v>
      </c>
      <c r="I46" s="55"/>
      <c r="J46" s="137" t="s">
        <v>164</v>
      </c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137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139"/>
    </row>
    <row r="47" spans="2:61" ht="20.100000000000001" customHeight="1" x14ac:dyDescent="0.45">
      <c r="B47" s="132"/>
      <c r="C47" s="31"/>
      <c r="D47" s="31"/>
      <c r="E47" s="31"/>
      <c r="F47" s="31"/>
      <c r="G47" s="133"/>
      <c r="H47" s="134"/>
      <c r="I47" s="31"/>
      <c r="J47" s="134" t="s">
        <v>181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34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6"/>
    </row>
    <row r="48" spans="2:61" ht="20.100000000000001" customHeight="1" x14ac:dyDescent="0.45">
      <c r="B48" s="132"/>
      <c r="C48" s="31"/>
      <c r="D48" s="31"/>
      <c r="E48" s="31"/>
      <c r="F48" s="31"/>
      <c r="G48" s="133"/>
      <c r="H48" s="134"/>
      <c r="I48" s="31"/>
      <c r="J48" s="134"/>
      <c r="K48" s="31" t="s">
        <v>182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34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6"/>
    </row>
    <row r="49" spans="2:61" ht="20.100000000000001" customHeight="1" x14ac:dyDescent="0.45">
      <c r="B49" s="132"/>
      <c r="C49" s="31"/>
      <c r="D49" s="31"/>
      <c r="E49" s="31"/>
      <c r="F49" s="31"/>
      <c r="G49" s="133"/>
      <c r="H49" s="134"/>
      <c r="I49" s="31"/>
      <c r="J49" s="134"/>
      <c r="K49" s="31" t="s">
        <v>183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34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6"/>
    </row>
    <row r="50" spans="2:61" ht="20.100000000000001" customHeight="1" thickBot="1" x14ac:dyDescent="0.5">
      <c r="B50" s="132"/>
      <c r="C50" s="31"/>
      <c r="D50" s="31"/>
      <c r="E50" s="31"/>
      <c r="F50" s="31"/>
      <c r="G50" s="133"/>
      <c r="H50" s="134"/>
      <c r="I50" s="31"/>
      <c r="J50" s="134" t="s">
        <v>184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34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6"/>
    </row>
    <row r="51" spans="2:61" ht="20.100000000000001" customHeight="1" x14ac:dyDescent="0.45">
      <c r="B51" s="126" t="s">
        <v>161</v>
      </c>
      <c r="C51" s="127"/>
      <c r="D51" s="127"/>
      <c r="E51" s="127"/>
      <c r="F51" s="127"/>
      <c r="G51" s="128"/>
      <c r="H51" s="129" t="s">
        <v>148</v>
      </c>
      <c r="I51" s="127"/>
      <c r="J51" s="157" t="s">
        <v>166</v>
      </c>
      <c r="K51" s="158"/>
      <c r="L51" s="158"/>
      <c r="M51" s="158"/>
      <c r="N51" s="158"/>
      <c r="O51" s="158"/>
      <c r="P51" s="158"/>
      <c r="Q51" s="159"/>
      <c r="R51" s="166" t="s">
        <v>165</v>
      </c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9"/>
      <c r="AK51" s="130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31"/>
    </row>
    <row r="52" spans="2:61" ht="20.100000000000001" customHeight="1" x14ac:dyDescent="0.45">
      <c r="B52" s="160"/>
      <c r="C52" s="31"/>
      <c r="D52" s="31"/>
      <c r="E52" s="31"/>
      <c r="F52" s="31"/>
      <c r="G52" s="133"/>
      <c r="H52" s="134"/>
      <c r="I52" s="31"/>
      <c r="J52" s="161" t="s">
        <v>155</v>
      </c>
      <c r="K52" s="52"/>
      <c r="L52" s="52"/>
      <c r="M52" s="52"/>
      <c r="N52" s="52"/>
      <c r="O52" s="52"/>
      <c r="P52" s="52"/>
      <c r="Q52" s="162"/>
      <c r="R52" s="52" t="s">
        <v>167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62"/>
      <c r="AK52" s="135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6"/>
    </row>
    <row r="53" spans="2:61" ht="20.100000000000001" customHeight="1" x14ac:dyDescent="0.45">
      <c r="B53" s="160"/>
      <c r="C53" s="31"/>
      <c r="D53" s="31"/>
      <c r="E53" s="31"/>
      <c r="F53" s="31"/>
      <c r="G53" s="133"/>
      <c r="H53" s="137" t="s">
        <v>158</v>
      </c>
      <c r="I53" s="55"/>
      <c r="J53" s="137" t="s">
        <v>168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138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139"/>
    </row>
    <row r="54" spans="2:61" ht="20.100000000000001" customHeight="1" x14ac:dyDescent="0.45">
      <c r="B54" s="160"/>
      <c r="C54" s="31"/>
      <c r="D54" s="31"/>
      <c r="E54" s="31"/>
      <c r="F54" s="31"/>
      <c r="G54" s="133"/>
      <c r="H54" s="134"/>
      <c r="I54" s="31"/>
      <c r="J54" s="134" t="s">
        <v>169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35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6"/>
    </row>
    <row r="55" spans="2:61" ht="20.100000000000001" customHeight="1" x14ac:dyDescent="0.45">
      <c r="B55" s="132"/>
      <c r="C55" s="31"/>
      <c r="D55" s="31"/>
      <c r="E55" s="31"/>
      <c r="F55" s="31"/>
      <c r="G55" s="133"/>
      <c r="H55" s="31"/>
      <c r="I55" s="31"/>
      <c r="J55" s="134" t="s">
        <v>170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35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6"/>
    </row>
    <row r="56" spans="2:61" ht="20.100000000000001" customHeight="1" x14ac:dyDescent="0.45">
      <c r="B56" s="132"/>
      <c r="C56" s="31"/>
      <c r="D56" s="31"/>
      <c r="E56" s="31"/>
      <c r="F56" s="31"/>
      <c r="G56" s="133"/>
      <c r="H56" s="137" t="s">
        <v>159</v>
      </c>
      <c r="I56" s="55"/>
      <c r="J56" s="137" t="s">
        <v>171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138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139"/>
    </row>
    <row r="57" spans="2:61" ht="20.100000000000001" customHeight="1" x14ac:dyDescent="0.45">
      <c r="B57" s="132"/>
      <c r="C57" s="31"/>
      <c r="D57" s="31"/>
      <c r="E57" s="31"/>
      <c r="F57" s="31"/>
      <c r="G57" s="133"/>
      <c r="H57" s="134"/>
      <c r="I57" s="31"/>
      <c r="J57" s="134"/>
      <c r="K57" s="31" t="s">
        <v>172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35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6"/>
    </row>
    <row r="58" spans="2:61" ht="20.100000000000001" customHeight="1" x14ac:dyDescent="0.45">
      <c r="B58" s="132"/>
      <c r="C58" s="31"/>
      <c r="D58" s="31"/>
      <c r="E58" s="31"/>
      <c r="F58" s="31"/>
      <c r="G58" s="133"/>
      <c r="H58" s="134"/>
      <c r="I58" s="31"/>
      <c r="J58" s="134"/>
      <c r="K58" s="31"/>
      <c r="L58" s="31"/>
      <c r="M58" s="31" t="s">
        <v>173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35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6"/>
    </row>
    <row r="59" spans="2:61" ht="20.100000000000001" customHeight="1" x14ac:dyDescent="0.45">
      <c r="B59" s="132"/>
      <c r="C59" s="31"/>
      <c r="D59" s="31"/>
      <c r="E59" s="31"/>
      <c r="F59" s="31"/>
      <c r="G59" s="133"/>
      <c r="H59" s="134"/>
      <c r="I59" s="31"/>
      <c r="J59" s="134" t="s">
        <v>171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35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6"/>
    </row>
    <row r="60" spans="2:61" ht="20.100000000000001" customHeight="1" x14ac:dyDescent="0.45">
      <c r="B60" s="132"/>
      <c r="C60" s="31"/>
      <c r="D60" s="31"/>
      <c r="E60" s="31"/>
      <c r="F60" s="31"/>
      <c r="G60" s="133"/>
      <c r="H60" s="134"/>
      <c r="I60" s="31"/>
      <c r="J60" s="134"/>
      <c r="K60" s="31" t="s">
        <v>174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35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6"/>
    </row>
    <row r="61" spans="2:61" ht="20.100000000000001" customHeight="1" x14ac:dyDescent="0.45">
      <c r="B61" s="132"/>
      <c r="C61" s="31"/>
      <c r="D61" s="31"/>
      <c r="E61" s="31"/>
      <c r="F61" s="31"/>
      <c r="G61" s="133"/>
      <c r="H61" s="140"/>
      <c r="I61" s="141"/>
      <c r="J61" s="140"/>
      <c r="K61" s="141"/>
      <c r="L61" s="141"/>
      <c r="M61" s="141" t="s">
        <v>175</v>
      </c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2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3"/>
    </row>
    <row r="62" spans="2:61" ht="20.100000000000001" customHeight="1" x14ac:dyDescent="0.45">
      <c r="B62" s="132"/>
      <c r="C62" s="31"/>
      <c r="D62" s="31"/>
      <c r="E62" s="31"/>
      <c r="F62" s="31"/>
      <c r="G62" s="133"/>
      <c r="H62" s="134" t="s">
        <v>176</v>
      </c>
      <c r="I62" s="31"/>
      <c r="J62" s="134"/>
      <c r="K62" s="31" t="s">
        <v>178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35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6"/>
    </row>
    <row r="63" spans="2:61" ht="20.100000000000001" customHeight="1" x14ac:dyDescent="0.45">
      <c r="B63" s="132"/>
      <c r="C63" s="31"/>
      <c r="D63" s="31"/>
      <c r="E63" s="31"/>
      <c r="F63" s="31"/>
      <c r="G63" s="133"/>
      <c r="H63" s="134"/>
      <c r="I63" s="31"/>
      <c r="J63" s="134" t="s">
        <v>177</v>
      </c>
      <c r="K63" s="31" t="s">
        <v>179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34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6"/>
    </row>
    <row r="64" spans="2:61" ht="20.100000000000001" customHeight="1" x14ac:dyDescent="0.45">
      <c r="B64" s="132"/>
      <c r="C64" s="31"/>
      <c r="D64" s="31"/>
      <c r="E64" s="31"/>
      <c r="F64" s="31"/>
      <c r="G64" s="133"/>
      <c r="H64" s="137" t="s">
        <v>180</v>
      </c>
      <c r="I64" s="55"/>
      <c r="J64" s="137" t="s">
        <v>181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137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139"/>
    </row>
    <row r="65" spans="2:61" ht="20.100000000000001" customHeight="1" x14ac:dyDescent="0.45">
      <c r="B65" s="132"/>
      <c r="C65" s="31"/>
      <c r="D65" s="31"/>
      <c r="E65" s="31"/>
      <c r="F65" s="31"/>
      <c r="G65" s="133"/>
      <c r="H65" s="134"/>
      <c r="I65" s="31"/>
      <c r="J65" s="134"/>
      <c r="K65" s="31" t="s">
        <v>182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4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6"/>
    </row>
    <row r="66" spans="2:61" ht="20.100000000000001" customHeight="1" x14ac:dyDescent="0.45">
      <c r="B66" s="132"/>
      <c r="C66" s="31"/>
      <c r="D66" s="31"/>
      <c r="E66" s="31"/>
      <c r="F66" s="31"/>
      <c r="G66" s="133"/>
      <c r="H66" s="134"/>
      <c r="I66" s="31"/>
      <c r="J66" s="134"/>
      <c r="K66" s="31" t="s">
        <v>183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34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6"/>
    </row>
    <row r="67" spans="2:61" ht="20.100000000000001" customHeight="1" thickBot="1" x14ac:dyDescent="0.5">
      <c r="B67" s="132"/>
      <c r="C67" s="31"/>
      <c r="D67" s="31"/>
      <c r="E67" s="31"/>
      <c r="F67" s="31"/>
      <c r="G67" s="133"/>
      <c r="H67" s="134"/>
      <c r="I67" s="31"/>
      <c r="J67" s="134" t="s">
        <v>184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34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6"/>
    </row>
    <row r="68" spans="2:61" ht="20.100000000000001" customHeight="1" x14ac:dyDescent="0.45">
      <c r="B68" s="126" t="s">
        <v>185</v>
      </c>
      <c r="C68" s="127"/>
      <c r="D68" s="127"/>
      <c r="E68" s="127"/>
      <c r="F68" s="127"/>
      <c r="G68" s="128"/>
      <c r="H68" s="129" t="s">
        <v>186</v>
      </c>
      <c r="I68" s="127"/>
      <c r="J68" s="129" t="s">
        <v>187</v>
      </c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8"/>
      <c r="AK68" s="130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  <c r="BI68" s="131"/>
    </row>
    <row r="69" spans="2:61" ht="20.100000000000001" customHeight="1" x14ac:dyDescent="0.45">
      <c r="B69" s="160"/>
      <c r="C69" s="31"/>
      <c r="D69" s="31"/>
      <c r="E69" s="31"/>
      <c r="F69" s="31"/>
      <c r="G69" s="133"/>
      <c r="H69" s="137" t="s">
        <v>188</v>
      </c>
      <c r="I69" s="55"/>
      <c r="J69" s="137" t="s">
        <v>249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138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139"/>
    </row>
    <row r="70" spans="2:61" ht="20.100000000000001" customHeight="1" x14ac:dyDescent="0.45">
      <c r="B70" s="160"/>
      <c r="C70" s="31"/>
      <c r="D70" s="31"/>
      <c r="E70" s="31"/>
      <c r="F70" s="31"/>
      <c r="G70" s="133"/>
      <c r="H70" s="134"/>
      <c r="I70" s="31"/>
      <c r="J70" s="134"/>
      <c r="K70" s="31" t="s">
        <v>190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5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6"/>
    </row>
    <row r="71" spans="2:61" ht="20.100000000000001" customHeight="1" x14ac:dyDescent="0.45">
      <c r="B71" s="160"/>
      <c r="C71" s="31"/>
      <c r="D71" s="31"/>
      <c r="E71" s="31"/>
      <c r="F71" s="31"/>
      <c r="G71" s="133"/>
      <c r="H71" s="134"/>
      <c r="I71" s="31"/>
      <c r="J71" s="134"/>
      <c r="K71" s="31"/>
      <c r="L71" s="31"/>
      <c r="M71" s="31" t="s">
        <v>191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35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6"/>
    </row>
    <row r="72" spans="2:61" ht="20.100000000000001" customHeight="1" x14ac:dyDescent="0.45">
      <c r="B72" s="160"/>
      <c r="C72" s="31"/>
      <c r="D72" s="31"/>
      <c r="E72" s="31"/>
      <c r="F72" s="31"/>
      <c r="G72" s="133"/>
      <c r="H72" s="134"/>
      <c r="I72" s="31"/>
      <c r="J72" s="134"/>
      <c r="K72" s="31"/>
      <c r="L72" s="31" t="s">
        <v>177</v>
      </c>
      <c r="M72" s="31" t="s">
        <v>192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35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6"/>
    </row>
    <row r="73" spans="2:61" ht="20.100000000000001" customHeight="1" x14ac:dyDescent="0.45">
      <c r="B73" s="160"/>
      <c r="C73" s="31"/>
      <c r="D73" s="31"/>
      <c r="E73" s="31"/>
      <c r="F73" s="31"/>
      <c r="G73" s="133"/>
      <c r="H73" s="134"/>
      <c r="I73" s="31"/>
      <c r="J73" s="134"/>
      <c r="K73" s="31" t="s">
        <v>193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35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6"/>
    </row>
    <row r="74" spans="2:61" ht="20.100000000000001" customHeight="1" x14ac:dyDescent="0.45">
      <c r="B74" s="132"/>
      <c r="C74" s="31"/>
      <c r="D74" s="31"/>
      <c r="E74" s="31"/>
      <c r="F74" s="31"/>
      <c r="G74" s="133"/>
      <c r="H74" s="137" t="s">
        <v>194</v>
      </c>
      <c r="I74" s="55"/>
      <c r="J74" s="137" t="s">
        <v>195</v>
      </c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138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139"/>
    </row>
    <row r="75" spans="2:61" ht="20.100000000000001" customHeight="1" x14ac:dyDescent="0.45">
      <c r="B75" s="132"/>
      <c r="C75" s="31"/>
      <c r="D75" s="31"/>
      <c r="E75" s="31"/>
      <c r="F75" s="31"/>
      <c r="G75" s="133"/>
      <c r="H75" s="134"/>
      <c r="I75" s="31"/>
      <c r="J75" s="134"/>
      <c r="K75" s="31" t="s">
        <v>196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35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6"/>
    </row>
    <row r="76" spans="2:61" ht="20.100000000000001" customHeight="1" x14ac:dyDescent="0.45">
      <c r="B76" s="132"/>
      <c r="C76" s="31"/>
      <c r="D76" s="31"/>
      <c r="E76" s="31"/>
      <c r="F76" s="31"/>
      <c r="G76" s="133"/>
      <c r="H76" s="134"/>
      <c r="I76" s="31"/>
      <c r="J76" s="134"/>
      <c r="K76" s="31"/>
      <c r="L76" s="31" t="s">
        <v>197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35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6"/>
    </row>
    <row r="77" spans="2:61" ht="20.100000000000001" customHeight="1" x14ac:dyDescent="0.45">
      <c r="B77" s="132"/>
      <c r="C77" s="31"/>
      <c r="D77" s="31"/>
      <c r="E77" s="31"/>
      <c r="F77" s="31"/>
      <c r="G77" s="133"/>
      <c r="H77" s="134"/>
      <c r="I77" s="31"/>
      <c r="J77" s="134" t="s">
        <v>198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35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6"/>
    </row>
    <row r="78" spans="2:61" ht="20.100000000000001" customHeight="1" x14ac:dyDescent="0.45">
      <c r="B78" s="132"/>
      <c r="C78" s="31"/>
      <c r="D78" s="31"/>
      <c r="E78" s="31"/>
      <c r="F78" s="31"/>
      <c r="G78" s="133"/>
      <c r="H78" s="134"/>
      <c r="I78" s="31"/>
      <c r="J78" s="134"/>
      <c r="K78" s="31" t="s">
        <v>199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35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36"/>
    </row>
    <row r="79" spans="2:61" ht="20.100000000000001" customHeight="1" x14ac:dyDescent="0.45">
      <c r="B79" s="160"/>
      <c r="C79" s="31"/>
      <c r="D79" s="31"/>
      <c r="E79" s="31"/>
      <c r="F79" s="31"/>
      <c r="G79" s="133"/>
      <c r="H79" s="134"/>
      <c r="I79" s="133"/>
      <c r="J79" s="161" t="s">
        <v>145</v>
      </c>
      <c r="K79" s="52"/>
      <c r="L79" s="52"/>
      <c r="M79" s="52"/>
      <c r="N79" s="52"/>
      <c r="O79" s="52"/>
      <c r="P79" s="52"/>
      <c r="Q79" s="162"/>
      <c r="R79" s="52" t="s">
        <v>202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62"/>
      <c r="AK79" s="138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139"/>
    </row>
    <row r="80" spans="2:61" ht="20.100000000000001" customHeight="1" x14ac:dyDescent="0.45">
      <c r="B80" s="160"/>
      <c r="C80" s="31"/>
      <c r="D80" s="31"/>
      <c r="E80" s="31"/>
      <c r="F80" s="31"/>
      <c r="G80" s="133"/>
      <c r="H80" s="134"/>
      <c r="I80" s="31"/>
      <c r="J80" s="161" t="s">
        <v>200</v>
      </c>
      <c r="K80" s="52"/>
      <c r="L80" s="52"/>
      <c r="M80" s="52"/>
      <c r="N80" s="52"/>
      <c r="O80" s="52"/>
      <c r="P80" s="52"/>
      <c r="Q80" s="162"/>
      <c r="R80" s="52" t="s">
        <v>203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62"/>
      <c r="AK80" s="135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6"/>
    </row>
    <row r="81" spans="2:61" ht="20.100000000000001" customHeight="1" thickBot="1" x14ac:dyDescent="0.5">
      <c r="B81" s="160"/>
      <c r="C81" s="31"/>
      <c r="D81" s="31"/>
      <c r="E81" s="31"/>
      <c r="F81" s="31"/>
      <c r="G81" s="133"/>
      <c r="H81" s="134"/>
      <c r="I81" s="31"/>
      <c r="J81" s="161" t="s">
        <v>201</v>
      </c>
      <c r="K81" s="52"/>
      <c r="L81" s="52"/>
      <c r="M81" s="52"/>
      <c r="N81" s="52"/>
      <c r="O81" s="52"/>
      <c r="P81" s="52"/>
      <c r="Q81" s="162"/>
      <c r="R81" s="52" t="s">
        <v>204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62"/>
      <c r="AK81" s="135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6"/>
    </row>
    <row r="82" spans="2:61" ht="20.100000000000001" customHeight="1" x14ac:dyDescent="0.45">
      <c r="B82" s="126" t="s">
        <v>205</v>
      </c>
      <c r="C82" s="127"/>
      <c r="D82" s="127"/>
      <c r="E82" s="127"/>
      <c r="F82" s="127"/>
      <c r="G82" s="128"/>
      <c r="H82" s="129" t="s">
        <v>206</v>
      </c>
      <c r="I82" s="127"/>
      <c r="J82" s="157" t="s">
        <v>207</v>
      </c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9"/>
      <c r="AK82" s="130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31"/>
    </row>
    <row r="83" spans="2:61" ht="20.100000000000001" customHeight="1" x14ac:dyDescent="0.45">
      <c r="B83" s="160"/>
      <c r="C83" s="31"/>
      <c r="D83" s="31"/>
      <c r="E83" s="31"/>
      <c r="F83" s="31"/>
      <c r="G83" s="133"/>
      <c r="H83" s="137" t="s">
        <v>208</v>
      </c>
      <c r="I83" s="167"/>
      <c r="J83" s="161" t="s">
        <v>135</v>
      </c>
      <c r="K83" s="52"/>
      <c r="L83" s="52"/>
      <c r="M83" s="52"/>
      <c r="N83" s="52"/>
      <c r="O83" s="52"/>
      <c r="P83" s="52"/>
      <c r="Q83" s="162"/>
      <c r="R83" s="52" t="s">
        <v>209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62"/>
      <c r="AK83" s="135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6"/>
    </row>
    <row r="84" spans="2:61" ht="20.100000000000001" customHeight="1" x14ac:dyDescent="0.45">
      <c r="B84" s="160"/>
      <c r="C84" s="31"/>
      <c r="D84" s="31"/>
      <c r="E84" s="31"/>
      <c r="F84" s="31"/>
      <c r="G84" s="133"/>
      <c r="H84" s="134"/>
      <c r="I84" s="31"/>
      <c r="J84" s="161" t="s">
        <v>137</v>
      </c>
      <c r="K84" s="52"/>
      <c r="L84" s="52"/>
      <c r="M84" s="52"/>
      <c r="N84" s="52"/>
      <c r="O84" s="52"/>
      <c r="P84" s="52"/>
      <c r="Q84" s="162"/>
      <c r="R84" s="52" t="s">
        <v>210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62"/>
      <c r="AK84" s="135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6"/>
    </row>
    <row r="85" spans="2:61" ht="20.100000000000001" customHeight="1" x14ac:dyDescent="0.45">
      <c r="B85" s="160"/>
      <c r="C85" s="31"/>
      <c r="D85" s="31"/>
      <c r="E85" s="31"/>
      <c r="F85" s="31"/>
      <c r="G85" s="133"/>
      <c r="H85" s="137" t="s">
        <v>158</v>
      </c>
      <c r="I85" s="55"/>
      <c r="J85" s="137" t="s">
        <v>207</v>
      </c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138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139"/>
    </row>
    <row r="86" spans="2:61" ht="20.100000000000001" customHeight="1" x14ac:dyDescent="0.45">
      <c r="B86" s="132"/>
      <c r="C86" s="31"/>
      <c r="D86" s="31"/>
      <c r="E86" s="31"/>
      <c r="F86" s="31"/>
      <c r="G86" s="133"/>
      <c r="H86" s="134"/>
      <c r="I86" s="31"/>
      <c r="J86" s="134" t="s">
        <v>246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35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6"/>
    </row>
    <row r="87" spans="2:61" ht="20.100000000000001" customHeight="1" x14ac:dyDescent="0.45">
      <c r="B87" s="132"/>
      <c r="C87" s="31"/>
      <c r="D87" s="31"/>
      <c r="E87" s="31"/>
      <c r="F87" s="31"/>
      <c r="G87" s="133"/>
      <c r="H87" s="137" t="s">
        <v>159</v>
      </c>
      <c r="I87" s="55"/>
      <c r="J87" s="137" t="s">
        <v>171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138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139"/>
    </row>
    <row r="88" spans="2:61" ht="20.100000000000001" customHeight="1" x14ac:dyDescent="0.45">
      <c r="B88" s="132"/>
      <c r="C88" s="31"/>
      <c r="D88" s="31"/>
      <c r="E88" s="31"/>
      <c r="F88" s="31"/>
      <c r="G88" s="133"/>
      <c r="H88" s="134"/>
      <c r="I88" s="31"/>
      <c r="J88" s="134"/>
      <c r="K88" s="31" t="s">
        <v>211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135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6"/>
    </row>
    <row r="89" spans="2:61" ht="20.100000000000001" customHeight="1" x14ac:dyDescent="0.45">
      <c r="B89" s="132"/>
      <c r="C89" s="31"/>
      <c r="D89" s="31"/>
      <c r="E89" s="31"/>
      <c r="F89" s="31"/>
      <c r="G89" s="133"/>
      <c r="H89" s="134"/>
      <c r="I89" s="31"/>
      <c r="J89" s="134"/>
      <c r="K89" s="31"/>
      <c r="L89" s="31"/>
      <c r="M89" s="31" t="s">
        <v>212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135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6"/>
    </row>
    <row r="90" spans="2:61" ht="20.100000000000001" customHeight="1" thickBot="1" x14ac:dyDescent="0.5">
      <c r="B90" s="132"/>
      <c r="C90" s="31"/>
      <c r="D90" s="31"/>
      <c r="E90" s="31"/>
      <c r="F90" s="31"/>
      <c r="G90" s="133"/>
      <c r="H90" s="134"/>
      <c r="I90" s="31"/>
      <c r="J90" s="134"/>
      <c r="K90" s="31"/>
      <c r="L90" s="31" t="s">
        <v>177</v>
      </c>
      <c r="M90" s="31" t="s">
        <v>213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135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6"/>
    </row>
    <row r="91" spans="2:61" ht="20.100000000000001" customHeight="1" x14ac:dyDescent="0.45">
      <c r="B91" s="126" t="s">
        <v>211</v>
      </c>
      <c r="C91" s="127"/>
      <c r="D91" s="127"/>
      <c r="E91" s="127"/>
      <c r="F91" s="127"/>
      <c r="G91" s="128"/>
      <c r="H91" s="129" t="s">
        <v>148</v>
      </c>
      <c r="I91" s="127"/>
      <c r="J91" s="157" t="s">
        <v>145</v>
      </c>
      <c r="K91" s="158"/>
      <c r="L91" s="158"/>
      <c r="M91" s="158"/>
      <c r="N91" s="158"/>
      <c r="O91" s="158"/>
      <c r="P91" s="158"/>
      <c r="Q91" s="159"/>
      <c r="R91" s="158" t="s">
        <v>215</v>
      </c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9"/>
      <c r="AK91" s="130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31"/>
    </row>
    <row r="92" spans="2:61" ht="20.100000000000001" customHeight="1" x14ac:dyDescent="0.45">
      <c r="B92" s="160"/>
      <c r="C92" s="31"/>
      <c r="D92" s="31"/>
      <c r="E92" s="31"/>
      <c r="F92" s="31"/>
      <c r="G92" s="133"/>
      <c r="H92" s="134"/>
      <c r="I92" s="31"/>
      <c r="J92" s="161" t="s">
        <v>200</v>
      </c>
      <c r="K92" s="52"/>
      <c r="L92" s="52"/>
      <c r="M92" s="52"/>
      <c r="N92" s="52"/>
      <c r="O92" s="52"/>
      <c r="P92" s="52"/>
      <c r="Q92" s="162"/>
      <c r="R92" s="52" t="s">
        <v>216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62"/>
      <c r="AK92" s="135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6"/>
    </row>
    <row r="93" spans="2:61" ht="20.100000000000001" customHeight="1" x14ac:dyDescent="0.45">
      <c r="B93" s="160"/>
      <c r="C93" s="31"/>
      <c r="D93" s="31"/>
      <c r="E93" s="31"/>
      <c r="F93" s="31"/>
      <c r="G93" s="133"/>
      <c r="H93" s="134"/>
      <c r="I93" s="31"/>
      <c r="J93" s="161" t="s">
        <v>135</v>
      </c>
      <c r="K93" s="52"/>
      <c r="L93" s="52"/>
      <c r="M93" s="52"/>
      <c r="N93" s="52"/>
      <c r="O93" s="52"/>
      <c r="P93" s="52"/>
      <c r="Q93" s="162"/>
      <c r="R93" s="52" t="s">
        <v>214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62"/>
      <c r="AK93" s="135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6"/>
    </row>
    <row r="94" spans="2:61" ht="20.100000000000001" customHeight="1" thickBot="1" x14ac:dyDescent="0.5">
      <c r="B94" s="160"/>
      <c r="C94" s="31"/>
      <c r="D94" s="31"/>
      <c r="E94" s="31"/>
      <c r="F94" s="31"/>
      <c r="G94" s="133"/>
      <c r="H94" s="137" t="s">
        <v>158</v>
      </c>
      <c r="I94" s="55"/>
      <c r="J94" s="137" t="s">
        <v>207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138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139"/>
    </row>
    <row r="95" spans="2:61" ht="20.100000000000001" customHeight="1" x14ac:dyDescent="0.45">
      <c r="B95" s="126" t="s">
        <v>218</v>
      </c>
      <c r="C95" s="127"/>
      <c r="D95" s="127"/>
      <c r="E95" s="127"/>
      <c r="F95" s="127"/>
      <c r="G95" s="128"/>
      <c r="H95" s="129" t="s">
        <v>125</v>
      </c>
      <c r="I95" s="127"/>
      <c r="J95" s="129" t="s">
        <v>133</v>
      </c>
      <c r="K95" s="127"/>
      <c r="L95" s="127"/>
      <c r="M95" s="127"/>
      <c r="N95" s="127"/>
      <c r="O95" s="127"/>
      <c r="P95" s="127"/>
      <c r="Q95" s="127"/>
      <c r="R95" s="158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8"/>
      <c r="AK95" s="130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31"/>
    </row>
    <row r="96" spans="2:61" ht="20.100000000000001" customHeight="1" x14ac:dyDescent="0.45">
      <c r="B96" s="160"/>
      <c r="C96" s="31"/>
      <c r="D96" s="31"/>
      <c r="E96" s="31"/>
      <c r="F96" s="31"/>
      <c r="G96" s="133"/>
      <c r="H96" s="137" t="s">
        <v>117</v>
      </c>
      <c r="I96" s="55"/>
      <c r="J96" s="161" t="s">
        <v>127</v>
      </c>
      <c r="K96" s="52"/>
      <c r="L96" s="52"/>
      <c r="M96" s="52"/>
      <c r="N96" s="52"/>
      <c r="O96" s="52"/>
      <c r="P96" s="52"/>
      <c r="Q96" s="162"/>
      <c r="R96" s="52" t="s">
        <v>220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62"/>
      <c r="AK96" s="135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6"/>
    </row>
    <row r="97" spans="2:61" ht="20.100000000000001" customHeight="1" x14ac:dyDescent="0.45">
      <c r="B97" s="160"/>
      <c r="C97" s="31"/>
      <c r="D97" s="31"/>
      <c r="E97" s="31"/>
      <c r="F97" s="31"/>
      <c r="G97" s="133"/>
      <c r="H97" s="134"/>
      <c r="I97" s="31"/>
      <c r="J97" s="161" t="s">
        <v>134</v>
      </c>
      <c r="K97" s="52"/>
      <c r="L97" s="52"/>
      <c r="M97" s="52"/>
      <c r="N97" s="52"/>
      <c r="O97" s="52"/>
      <c r="P97" s="52"/>
      <c r="Q97" s="162"/>
      <c r="R97" s="52" t="s">
        <v>221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62"/>
      <c r="AK97" s="135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6"/>
    </row>
    <row r="98" spans="2:61" ht="20.100000000000001" customHeight="1" x14ac:dyDescent="0.45">
      <c r="B98" s="160"/>
      <c r="C98" s="31"/>
      <c r="D98" s="31"/>
      <c r="E98" s="31"/>
      <c r="F98" s="31"/>
      <c r="G98" s="133"/>
      <c r="H98" s="134"/>
      <c r="I98" s="31"/>
      <c r="J98" s="161" t="s">
        <v>135</v>
      </c>
      <c r="K98" s="52"/>
      <c r="L98" s="52"/>
      <c r="M98" s="52"/>
      <c r="N98" s="52"/>
      <c r="O98" s="52"/>
      <c r="P98" s="52"/>
      <c r="Q98" s="162"/>
      <c r="R98" s="52" t="s">
        <v>143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62"/>
      <c r="AK98" s="135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6"/>
    </row>
    <row r="99" spans="2:61" ht="20.100000000000001" customHeight="1" x14ac:dyDescent="0.45">
      <c r="B99" s="160"/>
      <c r="C99" s="31"/>
      <c r="D99" s="31"/>
      <c r="E99" s="31"/>
      <c r="F99" s="31"/>
      <c r="G99" s="133"/>
      <c r="H99" s="134"/>
      <c r="I99" s="31"/>
      <c r="J99" s="161" t="s">
        <v>126</v>
      </c>
      <c r="K99" s="52"/>
      <c r="L99" s="52"/>
      <c r="M99" s="52"/>
      <c r="N99" s="52"/>
      <c r="O99" s="52"/>
      <c r="P99" s="52"/>
      <c r="Q99" s="162"/>
      <c r="R99" s="52" t="s">
        <v>143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62"/>
      <c r="AK99" s="135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6"/>
    </row>
    <row r="100" spans="2:61" ht="20.100000000000001" customHeight="1" x14ac:dyDescent="0.45">
      <c r="B100" s="160"/>
      <c r="C100" s="31"/>
      <c r="D100" s="31"/>
      <c r="E100" s="31"/>
      <c r="F100" s="31"/>
      <c r="G100" s="133"/>
      <c r="H100" s="134"/>
      <c r="I100" s="31"/>
      <c r="J100" s="161" t="s">
        <v>136</v>
      </c>
      <c r="K100" s="52"/>
      <c r="L100" s="52"/>
      <c r="M100" s="52"/>
      <c r="N100" s="52"/>
      <c r="O100" s="52"/>
      <c r="P100" s="52"/>
      <c r="Q100" s="162"/>
      <c r="R100" s="52" t="s">
        <v>222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62"/>
      <c r="AK100" s="135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6"/>
    </row>
    <row r="101" spans="2:61" ht="20.100000000000001" customHeight="1" x14ac:dyDescent="0.45">
      <c r="B101" s="160"/>
      <c r="C101" s="31"/>
      <c r="D101" s="31"/>
      <c r="E101" s="31"/>
      <c r="F101" s="31"/>
      <c r="G101" s="133"/>
      <c r="H101" s="134"/>
      <c r="I101" s="31"/>
      <c r="J101" s="161" t="s">
        <v>137</v>
      </c>
      <c r="K101" s="52"/>
      <c r="L101" s="52"/>
      <c r="M101" s="52"/>
      <c r="N101" s="52"/>
      <c r="O101" s="52"/>
      <c r="P101" s="52"/>
      <c r="Q101" s="162"/>
      <c r="R101" s="52" t="s">
        <v>143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162"/>
      <c r="AK101" s="135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6"/>
    </row>
    <row r="102" spans="2:61" ht="20.100000000000001" customHeight="1" x14ac:dyDescent="0.45">
      <c r="B102" s="160"/>
      <c r="C102" s="31"/>
      <c r="D102" s="31"/>
      <c r="E102" s="31"/>
      <c r="F102" s="31"/>
      <c r="G102" s="133"/>
      <c r="H102" s="134"/>
      <c r="I102" s="31"/>
      <c r="J102" s="161" t="s">
        <v>138</v>
      </c>
      <c r="K102" s="52"/>
      <c r="L102" s="52"/>
      <c r="M102" s="52"/>
      <c r="N102" s="52"/>
      <c r="O102" s="52"/>
      <c r="P102" s="52"/>
      <c r="Q102" s="162"/>
      <c r="R102" s="52" t="s">
        <v>223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162"/>
      <c r="AK102" s="135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36"/>
    </row>
    <row r="103" spans="2:61" ht="20.100000000000001" customHeight="1" thickBot="1" x14ac:dyDescent="0.5">
      <c r="B103" s="160"/>
      <c r="C103" s="31"/>
      <c r="D103" s="31"/>
      <c r="E103" s="31"/>
      <c r="F103" s="31"/>
      <c r="G103" s="133"/>
      <c r="H103" s="137" t="s">
        <v>87</v>
      </c>
      <c r="I103" s="55"/>
      <c r="J103" s="137" t="s">
        <v>132</v>
      </c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138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139"/>
    </row>
    <row r="104" spans="2:61" ht="20.100000000000001" customHeight="1" x14ac:dyDescent="0.45">
      <c r="B104" s="126" t="s">
        <v>224</v>
      </c>
      <c r="C104" s="127"/>
      <c r="D104" s="127"/>
      <c r="E104" s="127"/>
      <c r="F104" s="127"/>
      <c r="G104" s="128"/>
      <c r="H104" s="129" t="s">
        <v>148</v>
      </c>
      <c r="I104" s="127"/>
      <c r="J104" s="157" t="s">
        <v>145</v>
      </c>
      <c r="K104" s="158"/>
      <c r="L104" s="158"/>
      <c r="M104" s="158"/>
      <c r="N104" s="158"/>
      <c r="O104" s="158"/>
      <c r="P104" s="158"/>
      <c r="Q104" s="159"/>
      <c r="R104" s="158" t="s">
        <v>229</v>
      </c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9"/>
      <c r="AK104" s="130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31"/>
    </row>
    <row r="105" spans="2:61" ht="20.100000000000001" customHeight="1" x14ac:dyDescent="0.45">
      <c r="B105" s="160"/>
      <c r="C105" s="31"/>
      <c r="D105" s="31"/>
      <c r="E105" s="31"/>
      <c r="F105" s="31"/>
      <c r="G105" s="133"/>
      <c r="H105" s="134"/>
      <c r="I105" s="31"/>
      <c r="J105" s="161" t="s">
        <v>134</v>
      </c>
      <c r="K105" s="52"/>
      <c r="L105" s="52"/>
      <c r="M105" s="52"/>
      <c r="N105" s="52"/>
      <c r="O105" s="52"/>
      <c r="P105" s="52"/>
      <c r="Q105" s="162"/>
      <c r="R105" s="52" t="s">
        <v>150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162"/>
      <c r="AK105" s="135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6"/>
    </row>
    <row r="106" spans="2:61" ht="20.100000000000001" customHeight="1" x14ac:dyDescent="0.45">
      <c r="B106" s="160"/>
      <c r="C106" s="31"/>
      <c r="D106" s="31"/>
      <c r="E106" s="31"/>
      <c r="F106" s="31"/>
      <c r="G106" s="133"/>
      <c r="H106" s="134"/>
      <c r="I106" s="31"/>
      <c r="J106" s="161" t="s">
        <v>136</v>
      </c>
      <c r="K106" s="52"/>
      <c r="L106" s="52"/>
      <c r="M106" s="52"/>
      <c r="N106" s="52"/>
      <c r="O106" s="52"/>
      <c r="P106" s="52"/>
      <c r="Q106" s="162"/>
      <c r="R106" s="52" t="s">
        <v>151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162"/>
      <c r="AK106" s="135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6"/>
    </row>
    <row r="107" spans="2:61" ht="20.100000000000001" customHeight="1" x14ac:dyDescent="0.45">
      <c r="B107" s="160"/>
      <c r="C107" s="31"/>
      <c r="D107" s="31"/>
      <c r="E107" s="31"/>
      <c r="F107" s="31"/>
      <c r="G107" s="133"/>
      <c r="H107" s="134"/>
      <c r="I107" s="31"/>
      <c r="J107" s="161" t="s">
        <v>155</v>
      </c>
      <c r="K107" s="52"/>
      <c r="L107" s="52"/>
      <c r="M107" s="52"/>
      <c r="N107" s="52"/>
      <c r="O107" s="52"/>
      <c r="P107" s="52"/>
      <c r="Q107" s="162"/>
      <c r="R107" s="52" t="s">
        <v>152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62"/>
      <c r="AK107" s="135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6"/>
    </row>
    <row r="108" spans="2:61" ht="20.100000000000001" customHeight="1" x14ac:dyDescent="0.45">
      <c r="B108" s="160"/>
      <c r="C108" s="31"/>
      <c r="D108" s="31"/>
      <c r="E108" s="31"/>
      <c r="F108" s="31"/>
      <c r="G108" s="133"/>
      <c r="H108" s="137" t="s">
        <v>158</v>
      </c>
      <c r="I108" s="55"/>
      <c r="J108" s="137" t="s">
        <v>226</v>
      </c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138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139"/>
    </row>
    <row r="109" spans="2:61" ht="20.100000000000001" customHeight="1" x14ac:dyDescent="0.45">
      <c r="B109" s="160"/>
      <c r="C109" s="31"/>
      <c r="D109" s="31"/>
      <c r="E109" s="31"/>
      <c r="F109" s="31"/>
      <c r="G109" s="133"/>
      <c r="H109" s="134"/>
      <c r="I109" s="31"/>
      <c r="J109" s="134" t="s">
        <v>228</v>
      </c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35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6"/>
    </row>
    <row r="110" spans="2:61" ht="20.100000000000001" customHeight="1" x14ac:dyDescent="0.45">
      <c r="B110" s="132"/>
      <c r="C110" s="31"/>
      <c r="D110" s="31"/>
      <c r="E110" s="31"/>
      <c r="F110" s="31"/>
      <c r="G110" s="133"/>
      <c r="H110" s="137" t="s">
        <v>159</v>
      </c>
      <c r="I110" s="55"/>
      <c r="J110" s="137" t="s">
        <v>160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138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139"/>
    </row>
    <row r="111" spans="2:61" ht="20.100000000000001" customHeight="1" x14ac:dyDescent="0.45">
      <c r="B111" s="132"/>
      <c r="C111" s="31"/>
      <c r="D111" s="31"/>
      <c r="E111" s="31"/>
      <c r="F111" s="31"/>
      <c r="G111" s="133"/>
      <c r="H111" s="134"/>
      <c r="I111" s="31"/>
      <c r="J111" s="134"/>
      <c r="K111" s="31" t="s">
        <v>227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35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6"/>
    </row>
    <row r="112" spans="2:61" ht="20.100000000000001" customHeight="1" thickBot="1" x14ac:dyDescent="0.5">
      <c r="B112" s="132"/>
      <c r="C112" s="31"/>
      <c r="D112" s="31"/>
      <c r="E112" s="31"/>
      <c r="F112" s="31"/>
      <c r="G112" s="133"/>
      <c r="H112" s="134"/>
      <c r="I112" s="31"/>
      <c r="J112" s="134"/>
      <c r="K112" s="31"/>
      <c r="L112" s="31"/>
      <c r="M112" s="31" t="s">
        <v>162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35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6"/>
    </row>
    <row r="113" spans="2:61" ht="20.100000000000001" customHeight="1" x14ac:dyDescent="0.45">
      <c r="B113" s="126" t="s">
        <v>225</v>
      </c>
      <c r="C113" s="127"/>
      <c r="D113" s="127"/>
      <c r="E113" s="127"/>
      <c r="F113" s="127"/>
      <c r="G113" s="128"/>
      <c r="H113" s="129" t="s">
        <v>148</v>
      </c>
      <c r="I113" s="127"/>
      <c r="J113" s="157" t="s">
        <v>231</v>
      </c>
      <c r="K113" s="158"/>
      <c r="L113" s="158"/>
      <c r="M113" s="158"/>
      <c r="N113" s="158"/>
      <c r="O113" s="158"/>
      <c r="P113" s="158"/>
      <c r="Q113" s="159"/>
      <c r="R113" s="158" t="s">
        <v>230</v>
      </c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9"/>
      <c r="AK113" s="130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31"/>
    </row>
    <row r="114" spans="2:61" ht="20.100000000000001" customHeight="1" x14ac:dyDescent="0.45">
      <c r="B114" s="160"/>
      <c r="C114" s="31"/>
      <c r="D114" s="31"/>
      <c r="E114" s="31"/>
      <c r="F114" s="31"/>
      <c r="G114" s="133"/>
      <c r="H114" s="134"/>
      <c r="I114" s="31"/>
      <c r="J114" s="161" t="s">
        <v>166</v>
      </c>
      <c r="K114" s="52"/>
      <c r="L114" s="52"/>
      <c r="M114" s="52"/>
      <c r="N114" s="52"/>
      <c r="O114" s="52"/>
      <c r="P114" s="52"/>
      <c r="Q114" s="162"/>
      <c r="R114" s="51" t="s">
        <v>165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62"/>
      <c r="AK114" s="135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6"/>
    </row>
    <row r="115" spans="2:61" ht="20.100000000000001" customHeight="1" x14ac:dyDescent="0.45">
      <c r="B115" s="160"/>
      <c r="C115" s="31"/>
      <c r="D115" s="31"/>
      <c r="E115" s="31"/>
      <c r="F115" s="31"/>
      <c r="G115" s="133"/>
      <c r="H115" s="134"/>
      <c r="I115" s="31"/>
      <c r="J115" s="161" t="s">
        <v>136</v>
      </c>
      <c r="K115" s="52"/>
      <c r="L115" s="52"/>
      <c r="M115" s="52"/>
      <c r="N115" s="52"/>
      <c r="O115" s="52"/>
      <c r="P115" s="52"/>
      <c r="Q115" s="162"/>
      <c r="R115" s="52" t="s">
        <v>232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62"/>
      <c r="AK115" s="135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6"/>
    </row>
    <row r="116" spans="2:61" ht="20.100000000000001" customHeight="1" x14ac:dyDescent="0.45">
      <c r="B116" s="160"/>
      <c r="C116" s="31"/>
      <c r="D116" s="31"/>
      <c r="E116" s="31"/>
      <c r="F116" s="31"/>
      <c r="G116" s="133"/>
      <c r="H116" s="134"/>
      <c r="I116" s="31"/>
      <c r="J116" s="161" t="s">
        <v>234</v>
      </c>
      <c r="K116" s="52"/>
      <c r="L116" s="52"/>
      <c r="M116" s="52"/>
      <c r="N116" s="52"/>
      <c r="O116" s="52"/>
      <c r="P116" s="52"/>
      <c r="Q116" s="162"/>
      <c r="R116" s="52" t="s">
        <v>233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62"/>
      <c r="AK116" s="135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6"/>
    </row>
    <row r="117" spans="2:61" ht="20.100000000000001" customHeight="1" x14ac:dyDescent="0.45">
      <c r="B117" s="160"/>
      <c r="C117" s="31"/>
      <c r="D117" s="31"/>
      <c r="E117" s="31"/>
      <c r="F117" s="31"/>
      <c r="G117" s="133"/>
      <c r="H117" s="137" t="s">
        <v>158</v>
      </c>
      <c r="I117" s="55"/>
      <c r="J117" s="137" t="s">
        <v>168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138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139"/>
    </row>
    <row r="118" spans="2:61" ht="20.100000000000001" customHeight="1" x14ac:dyDescent="0.45">
      <c r="B118" s="160"/>
      <c r="C118" s="31"/>
      <c r="D118" s="31"/>
      <c r="E118" s="31"/>
      <c r="F118" s="31"/>
      <c r="G118" s="133"/>
      <c r="H118" s="134"/>
      <c r="I118" s="31"/>
      <c r="J118" s="134" t="s">
        <v>169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135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6"/>
    </row>
    <row r="119" spans="2:61" ht="20.100000000000001" customHeight="1" x14ac:dyDescent="0.45">
      <c r="B119" s="160"/>
      <c r="C119" s="31"/>
      <c r="D119" s="31"/>
      <c r="E119" s="31"/>
      <c r="F119" s="31"/>
      <c r="G119" s="133"/>
      <c r="H119" s="31"/>
      <c r="I119" s="31"/>
      <c r="J119" s="134" t="s">
        <v>170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5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6"/>
    </row>
    <row r="120" spans="2:61" ht="20.100000000000001" customHeight="1" x14ac:dyDescent="0.45">
      <c r="B120" s="160"/>
      <c r="C120" s="31"/>
      <c r="D120" s="31"/>
      <c r="E120" s="31"/>
      <c r="F120" s="31"/>
      <c r="G120" s="133"/>
      <c r="H120" s="31"/>
      <c r="I120" s="31"/>
      <c r="J120" s="134" t="s">
        <v>235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5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6"/>
    </row>
    <row r="121" spans="2:61" ht="20.100000000000001" customHeight="1" x14ac:dyDescent="0.45">
      <c r="B121" s="132"/>
      <c r="C121" s="31"/>
      <c r="D121" s="31"/>
      <c r="E121" s="31"/>
      <c r="F121" s="31"/>
      <c r="G121" s="133"/>
      <c r="H121" s="137" t="s">
        <v>159</v>
      </c>
      <c r="I121" s="55"/>
      <c r="J121" s="137" t="s">
        <v>171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138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139"/>
    </row>
    <row r="122" spans="2:61" ht="20.100000000000001" customHeight="1" x14ac:dyDescent="0.45">
      <c r="B122" s="132"/>
      <c r="C122" s="31"/>
      <c r="D122" s="31"/>
      <c r="E122" s="31"/>
      <c r="F122" s="31"/>
      <c r="G122" s="133"/>
      <c r="H122" s="134"/>
      <c r="I122" s="31"/>
      <c r="J122" s="134"/>
      <c r="K122" s="31" t="s">
        <v>172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135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6"/>
    </row>
    <row r="123" spans="2:61" ht="20.100000000000001" customHeight="1" x14ac:dyDescent="0.45">
      <c r="B123" s="132"/>
      <c r="C123" s="31"/>
      <c r="D123" s="31"/>
      <c r="E123" s="31"/>
      <c r="F123" s="31"/>
      <c r="G123" s="133"/>
      <c r="H123" s="134"/>
      <c r="I123" s="31"/>
      <c r="J123" s="134"/>
      <c r="K123" s="31"/>
      <c r="L123" s="31"/>
      <c r="M123" s="31" t="s">
        <v>173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135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6"/>
    </row>
    <row r="124" spans="2:61" ht="20.100000000000001" customHeight="1" x14ac:dyDescent="0.45">
      <c r="B124" s="132"/>
      <c r="C124" s="31"/>
      <c r="D124" s="31"/>
      <c r="E124" s="31"/>
      <c r="F124" s="31"/>
      <c r="G124" s="133"/>
      <c r="H124" s="134"/>
      <c r="I124" s="31"/>
      <c r="J124" s="134" t="s">
        <v>171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135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6"/>
    </row>
    <row r="125" spans="2:61" ht="20.100000000000001" customHeight="1" x14ac:dyDescent="0.45">
      <c r="B125" s="132"/>
      <c r="C125" s="31"/>
      <c r="D125" s="31"/>
      <c r="E125" s="31"/>
      <c r="F125" s="31"/>
      <c r="G125" s="133"/>
      <c r="H125" s="134"/>
      <c r="I125" s="31"/>
      <c r="J125" s="134"/>
      <c r="K125" s="31" t="s">
        <v>174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135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6"/>
    </row>
    <row r="126" spans="2:61" ht="20.100000000000001" customHeight="1" x14ac:dyDescent="0.45">
      <c r="B126" s="132"/>
      <c r="C126" s="31"/>
      <c r="D126" s="31"/>
      <c r="E126" s="31"/>
      <c r="F126" s="31"/>
      <c r="G126" s="133"/>
      <c r="H126" s="134"/>
      <c r="I126" s="31"/>
      <c r="J126" s="134"/>
      <c r="K126" s="31"/>
      <c r="L126" s="31"/>
      <c r="M126" s="31" t="s">
        <v>175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135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6"/>
    </row>
    <row r="127" spans="2:61" ht="20.100000000000001" customHeight="1" x14ac:dyDescent="0.45">
      <c r="B127" s="132"/>
      <c r="C127" s="31"/>
      <c r="D127" s="31"/>
      <c r="E127" s="31"/>
      <c r="F127" s="31"/>
      <c r="G127" s="133"/>
      <c r="H127" s="134"/>
      <c r="I127" s="31"/>
      <c r="J127" s="134" t="s">
        <v>171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135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6"/>
    </row>
    <row r="128" spans="2:61" ht="20.100000000000001" customHeight="1" x14ac:dyDescent="0.45">
      <c r="B128" s="132"/>
      <c r="C128" s="31"/>
      <c r="D128" s="31"/>
      <c r="E128" s="31"/>
      <c r="F128" s="31"/>
      <c r="G128" s="133"/>
      <c r="H128" s="134"/>
      <c r="I128" s="31"/>
      <c r="J128" s="134"/>
      <c r="K128" s="31" t="s">
        <v>236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135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6"/>
    </row>
    <row r="129" spans="2:61" ht="20.100000000000001" customHeight="1" x14ac:dyDescent="0.45">
      <c r="B129" s="132"/>
      <c r="C129" s="31"/>
      <c r="D129" s="31"/>
      <c r="E129" s="31"/>
      <c r="F129" s="31"/>
      <c r="G129" s="133"/>
      <c r="H129" s="140"/>
      <c r="I129" s="141"/>
      <c r="J129" s="140"/>
      <c r="K129" s="141"/>
      <c r="L129" s="141"/>
      <c r="M129" s="141" t="s">
        <v>237</v>
      </c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41"/>
      <c r="AJ129" s="141"/>
      <c r="AK129" s="142"/>
      <c r="AL129" s="141"/>
      <c r="AM129" s="141"/>
      <c r="AN129" s="141"/>
      <c r="AO129" s="141"/>
      <c r="AP129" s="141"/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A129" s="141"/>
      <c r="BB129" s="141"/>
      <c r="BC129" s="141"/>
      <c r="BD129" s="141"/>
      <c r="BE129" s="141"/>
      <c r="BF129" s="141"/>
      <c r="BG129" s="141"/>
      <c r="BH129" s="141"/>
      <c r="BI129" s="143"/>
    </row>
    <row r="130" spans="2:61" ht="20.100000000000001" customHeight="1" x14ac:dyDescent="0.45">
      <c r="B130" s="132"/>
      <c r="C130" s="31"/>
      <c r="D130" s="31"/>
      <c r="E130" s="31"/>
      <c r="F130" s="31"/>
      <c r="G130" s="133"/>
      <c r="H130" s="134" t="s">
        <v>176</v>
      </c>
      <c r="I130" s="31"/>
      <c r="J130" s="134"/>
      <c r="K130" s="31" t="s">
        <v>178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135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6"/>
    </row>
    <row r="131" spans="2:61" ht="20.100000000000001" customHeight="1" x14ac:dyDescent="0.45">
      <c r="B131" s="132"/>
      <c r="C131" s="31"/>
      <c r="D131" s="31"/>
      <c r="E131" s="31"/>
      <c r="F131" s="31"/>
      <c r="G131" s="133"/>
      <c r="H131" s="134"/>
      <c r="I131" s="31"/>
      <c r="J131" s="134" t="s">
        <v>177</v>
      </c>
      <c r="K131" s="31" t="s">
        <v>179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134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6"/>
    </row>
    <row r="132" spans="2:61" ht="20.100000000000001" customHeight="1" x14ac:dyDescent="0.45">
      <c r="B132" s="132"/>
      <c r="C132" s="31"/>
      <c r="D132" s="31"/>
      <c r="E132" s="31"/>
      <c r="F132" s="31"/>
      <c r="G132" s="133"/>
      <c r="H132" s="137" t="s">
        <v>180</v>
      </c>
      <c r="I132" s="55"/>
      <c r="J132" s="137" t="s">
        <v>230</v>
      </c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137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139"/>
    </row>
    <row r="133" spans="2:61" ht="20.100000000000001" customHeight="1" x14ac:dyDescent="0.45">
      <c r="B133" s="132"/>
      <c r="C133" s="31"/>
      <c r="D133" s="31"/>
      <c r="E133" s="31"/>
      <c r="F133" s="31"/>
      <c r="G133" s="133"/>
      <c r="H133" s="134"/>
      <c r="I133" s="31"/>
      <c r="J133" s="134" t="s">
        <v>181</v>
      </c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134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6"/>
    </row>
    <row r="134" spans="2:61" ht="20.100000000000001" customHeight="1" x14ac:dyDescent="0.45">
      <c r="B134" s="132"/>
      <c r="C134" s="31"/>
      <c r="D134" s="31"/>
      <c r="E134" s="31"/>
      <c r="F134" s="31"/>
      <c r="G134" s="133"/>
      <c r="H134" s="134"/>
      <c r="I134" s="31"/>
      <c r="J134" s="134"/>
      <c r="K134" s="31" t="s">
        <v>182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134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6"/>
    </row>
    <row r="135" spans="2:61" ht="20.100000000000001" customHeight="1" x14ac:dyDescent="0.45">
      <c r="B135" s="132"/>
      <c r="C135" s="31"/>
      <c r="D135" s="31"/>
      <c r="E135" s="31"/>
      <c r="F135" s="31"/>
      <c r="G135" s="133"/>
      <c r="H135" s="134"/>
      <c r="I135" s="31"/>
      <c r="J135" s="134"/>
      <c r="K135" s="31" t="s">
        <v>183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134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6"/>
    </row>
    <row r="136" spans="2:61" ht="20.100000000000001" customHeight="1" thickBot="1" x14ac:dyDescent="0.5">
      <c r="B136" s="132"/>
      <c r="C136" s="31"/>
      <c r="D136" s="31"/>
      <c r="E136" s="31"/>
      <c r="F136" s="31"/>
      <c r="G136" s="133"/>
      <c r="H136" s="134"/>
      <c r="I136" s="31"/>
      <c r="J136" s="134" t="s">
        <v>184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134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6"/>
    </row>
    <row r="137" spans="2:61" ht="20.100000000000001" customHeight="1" x14ac:dyDescent="0.45">
      <c r="B137" s="126" t="s">
        <v>227</v>
      </c>
      <c r="C137" s="127"/>
      <c r="D137" s="127"/>
      <c r="E137" s="127"/>
      <c r="F137" s="127"/>
      <c r="G137" s="128"/>
      <c r="H137" s="129" t="s">
        <v>148</v>
      </c>
      <c r="I137" s="127"/>
      <c r="J137" s="157" t="s">
        <v>166</v>
      </c>
      <c r="K137" s="158"/>
      <c r="L137" s="158"/>
      <c r="M137" s="158"/>
      <c r="N137" s="158"/>
      <c r="O137" s="158"/>
      <c r="P137" s="158"/>
      <c r="Q137" s="159"/>
      <c r="R137" s="166" t="s">
        <v>165</v>
      </c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9"/>
      <c r="AK137" s="130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31"/>
    </row>
    <row r="138" spans="2:61" ht="20.100000000000001" customHeight="1" x14ac:dyDescent="0.45">
      <c r="B138" s="160"/>
      <c r="C138" s="31"/>
      <c r="D138" s="31"/>
      <c r="E138" s="31"/>
      <c r="F138" s="31"/>
      <c r="G138" s="133"/>
      <c r="H138" s="134"/>
      <c r="I138" s="31"/>
      <c r="J138" s="161" t="s">
        <v>155</v>
      </c>
      <c r="K138" s="52"/>
      <c r="L138" s="52"/>
      <c r="M138" s="52"/>
      <c r="N138" s="52"/>
      <c r="O138" s="52"/>
      <c r="P138" s="52"/>
      <c r="Q138" s="162"/>
      <c r="R138" s="52" t="s">
        <v>167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62"/>
      <c r="AK138" s="135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6"/>
    </row>
    <row r="139" spans="2:61" ht="20.100000000000001" customHeight="1" x14ac:dyDescent="0.45">
      <c r="B139" s="160"/>
      <c r="C139" s="31"/>
      <c r="D139" s="31"/>
      <c r="E139" s="31"/>
      <c r="F139" s="31"/>
      <c r="G139" s="133"/>
      <c r="H139" s="137" t="s">
        <v>158</v>
      </c>
      <c r="I139" s="55"/>
      <c r="J139" s="137" t="s">
        <v>168</v>
      </c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138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139"/>
    </row>
    <row r="140" spans="2:61" ht="20.100000000000001" customHeight="1" x14ac:dyDescent="0.45">
      <c r="B140" s="160"/>
      <c r="C140" s="31"/>
      <c r="D140" s="31"/>
      <c r="E140" s="31"/>
      <c r="F140" s="31"/>
      <c r="G140" s="133"/>
      <c r="H140" s="134"/>
      <c r="I140" s="31"/>
      <c r="J140" s="134" t="s">
        <v>169</v>
      </c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135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6"/>
    </row>
    <row r="141" spans="2:61" ht="20.100000000000001" customHeight="1" x14ac:dyDescent="0.45">
      <c r="B141" s="132"/>
      <c r="C141" s="31"/>
      <c r="D141" s="31"/>
      <c r="E141" s="31"/>
      <c r="F141" s="31"/>
      <c r="G141" s="133"/>
      <c r="H141" s="31"/>
      <c r="I141" s="31"/>
      <c r="J141" s="134" t="s">
        <v>170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135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6"/>
    </row>
    <row r="142" spans="2:61" ht="20.100000000000001" customHeight="1" x14ac:dyDescent="0.45">
      <c r="B142" s="132"/>
      <c r="C142" s="31"/>
      <c r="D142" s="31"/>
      <c r="E142" s="31"/>
      <c r="F142" s="31"/>
      <c r="G142" s="133"/>
      <c r="H142" s="137" t="s">
        <v>159</v>
      </c>
      <c r="I142" s="55"/>
      <c r="J142" s="137" t="s">
        <v>171</v>
      </c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138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139"/>
    </row>
    <row r="143" spans="2:61" ht="20.100000000000001" customHeight="1" x14ac:dyDescent="0.45">
      <c r="B143" s="132"/>
      <c r="C143" s="31"/>
      <c r="D143" s="31"/>
      <c r="E143" s="31"/>
      <c r="F143" s="31"/>
      <c r="G143" s="133"/>
      <c r="H143" s="134"/>
      <c r="I143" s="31"/>
      <c r="J143" s="134"/>
      <c r="K143" s="31" t="s">
        <v>172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135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6"/>
    </row>
    <row r="144" spans="2:61" ht="20.100000000000001" customHeight="1" x14ac:dyDescent="0.45">
      <c r="B144" s="132"/>
      <c r="C144" s="31"/>
      <c r="D144" s="31"/>
      <c r="E144" s="31"/>
      <c r="F144" s="31"/>
      <c r="G144" s="133"/>
      <c r="H144" s="134"/>
      <c r="I144" s="31"/>
      <c r="J144" s="134"/>
      <c r="K144" s="31"/>
      <c r="L144" s="31"/>
      <c r="M144" s="31" t="s">
        <v>173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135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6"/>
    </row>
    <row r="145" spans="2:61" ht="20.100000000000001" customHeight="1" x14ac:dyDescent="0.45">
      <c r="B145" s="132"/>
      <c r="C145" s="31"/>
      <c r="D145" s="31"/>
      <c r="E145" s="31"/>
      <c r="F145" s="31"/>
      <c r="G145" s="133"/>
      <c r="H145" s="134"/>
      <c r="I145" s="31"/>
      <c r="J145" s="134" t="s">
        <v>171</v>
      </c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135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6"/>
    </row>
    <row r="146" spans="2:61" ht="20.100000000000001" customHeight="1" x14ac:dyDescent="0.45">
      <c r="B146" s="132"/>
      <c r="C146" s="31"/>
      <c r="D146" s="31"/>
      <c r="E146" s="31"/>
      <c r="F146" s="31"/>
      <c r="G146" s="133"/>
      <c r="H146" s="134"/>
      <c r="I146" s="31"/>
      <c r="J146" s="134"/>
      <c r="K146" s="31" t="s">
        <v>174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135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6"/>
    </row>
    <row r="147" spans="2:61" ht="20.100000000000001" customHeight="1" x14ac:dyDescent="0.45">
      <c r="B147" s="132"/>
      <c r="C147" s="31"/>
      <c r="D147" s="31"/>
      <c r="E147" s="31"/>
      <c r="F147" s="31"/>
      <c r="G147" s="133"/>
      <c r="H147" s="140"/>
      <c r="I147" s="141"/>
      <c r="J147" s="140"/>
      <c r="K147" s="141"/>
      <c r="L147" s="141"/>
      <c r="M147" s="141" t="s">
        <v>175</v>
      </c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41"/>
      <c r="AJ147" s="141"/>
      <c r="AK147" s="142"/>
      <c r="AL147" s="141"/>
      <c r="AM147" s="141"/>
      <c r="AN147" s="141"/>
      <c r="AO147" s="141"/>
      <c r="AP147" s="141"/>
      <c r="AQ147" s="141"/>
      <c r="AR147" s="141"/>
      <c r="AS147" s="141"/>
      <c r="AT147" s="141"/>
      <c r="AU147" s="141"/>
      <c r="AV147" s="141"/>
      <c r="AW147" s="141"/>
      <c r="AX147" s="141"/>
      <c r="AY147" s="141"/>
      <c r="AZ147" s="141"/>
      <c r="BA147" s="141"/>
      <c r="BB147" s="141"/>
      <c r="BC147" s="141"/>
      <c r="BD147" s="141"/>
      <c r="BE147" s="141"/>
      <c r="BF147" s="141"/>
      <c r="BG147" s="141"/>
      <c r="BH147" s="141"/>
      <c r="BI147" s="143"/>
    </row>
    <row r="148" spans="2:61" ht="20.100000000000001" customHeight="1" x14ac:dyDescent="0.45">
      <c r="B148" s="132"/>
      <c r="C148" s="31"/>
      <c r="D148" s="31"/>
      <c r="E148" s="31"/>
      <c r="F148" s="31"/>
      <c r="G148" s="133"/>
      <c r="H148" s="134" t="s">
        <v>176</v>
      </c>
      <c r="I148" s="31"/>
      <c r="J148" s="134"/>
      <c r="K148" s="31" t="s">
        <v>178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135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6"/>
    </row>
    <row r="149" spans="2:61" ht="20.100000000000001" customHeight="1" x14ac:dyDescent="0.45">
      <c r="B149" s="132"/>
      <c r="C149" s="31"/>
      <c r="D149" s="31"/>
      <c r="E149" s="31"/>
      <c r="F149" s="31"/>
      <c r="G149" s="133"/>
      <c r="H149" s="140"/>
      <c r="I149" s="141"/>
      <c r="J149" s="140" t="s">
        <v>177</v>
      </c>
      <c r="K149" s="141" t="s">
        <v>179</v>
      </c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2"/>
      <c r="AL149" s="141"/>
      <c r="AM149" s="141"/>
      <c r="AN149" s="141"/>
      <c r="AO149" s="141"/>
      <c r="AP149" s="141"/>
      <c r="AQ149" s="141"/>
      <c r="AR149" s="141"/>
      <c r="AS149" s="141"/>
      <c r="AT149" s="141"/>
      <c r="AU149" s="141"/>
      <c r="AV149" s="141"/>
      <c r="AW149" s="141"/>
      <c r="AX149" s="141"/>
      <c r="AY149" s="141"/>
      <c r="AZ149" s="141"/>
      <c r="BA149" s="141"/>
      <c r="BB149" s="141"/>
      <c r="BC149" s="141"/>
      <c r="BD149" s="141"/>
      <c r="BE149" s="141"/>
      <c r="BF149" s="141"/>
      <c r="BG149" s="141"/>
      <c r="BH149" s="141"/>
      <c r="BI149" s="143"/>
    </row>
    <row r="150" spans="2:61" ht="20.100000000000001" customHeight="1" x14ac:dyDescent="0.45">
      <c r="B150" s="132"/>
      <c r="C150" s="31"/>
      <c r="D150" s="31"/>
      <c r="E150" s="31"/>
      <c r="F150" s="31"/>
      <c r="G150" s="133"/>
      <c r="H150" s="134" t="s">
        <v>180</v>
      </c>
      <c r="I150" s="31"/>
      <c r="J150" s="134" t="s">
        <v>181</v>
      </c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134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6"/>
    </row>
    <row r="151" spans="2:61" ht="20.100000000000001" customHeight="1" x14ac:dyDescent="0.45">
      <c r="B151" s="132"/>
      <c r="C151" s="31"/>
      <c r="D151" s="31"/>
      <c r="E151" s="31"/>
      <c r="F151" s="31"/>
      <c r="G151" s="133"/>
      <c r="H151" s="134"/>
      <c r="I151" s="31"/>
      <c r="J151" s="134"/>
      <c r="K151" s="31" t="s">
        <v>182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134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6"/>
    </row>
    <row r="152" spans="2:61" ht="20.100000000000001" customHeight="1" x14ac:dyDescent="0.45">
      <c r="B152" s="132"/>
      <c r="C152" s="31"/>
      <c r="D152" s="31"/>
      <c r="E152" s="31"/>
      <c r="F152" s="31"/>
      <c r="G152" s="133"/>
      <c r="H152" s="134"/>
      <c r="I152" s="31"/>
      <c r="J152" s="134"/>
      <c r="K152" s="31" t="s">
        <v>183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134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6"/>
    </row>
    <row r="153" spans="2:61" ht="20.100000000000001" customHeight="1" thickBot="1" x14ac:dyDescent="0.5">
      <c r="B153" s="132"/>
      <c r="C153" s="31"/>
      <c r="D153" s="31"/>
      <c r="E153" s="31"/>
      <c r="F153" s="31"/>
      <c r="G153" s="133"/>
      <c r="H153" s="134"/>
      <c r="I153" s="31"/>
      <c r="J153" s="134" t="s">
        <v>184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134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6"/>
    </row>
    <row r="154" spans="2:61" ht="20.100000000000001" customHeight="1" x14ac:dyDescent="0.45">
      <c r="B154" s="126" t="s">
        <v>238</v>
      </c>
      <c r="C154" s="127"/>
      <c r="D154" s="127"/>
      <c r="E154" s="127"/>
      <c r="F154" s="127"/>
      <c r="G154" s="128"/>
      <c r="H154" s="129" t="s">
        <v>186</v>
      </c>
      <c r="I154" s="127"/>
      <c r="J154" s="129" t="s">
        <v>187</v>
      </c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8"/>
      <c r="AK154" s="130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31"/>
    </row>
    <row r="155" spans="2:61" ht="20.100000000000001" customHeight="1" x14ac:dyDescent="0.45">
      <c r="B155" s="160"/>
      <c r="C155" s="31"/>
      <c r="D155" s="31"/>
      <c r="E155" s="31"/>
      <c r="F155" s="31"/>
      <c r="G155" s="133"/>
      <c r="H155" s="137" t="s">
        <v>188</v>
      </c>
      <c r="I155" s="55"/>
      <c r="J155" s="137" t="s">
        <v>250</v>
      </c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138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139"/>
    </row>
    <row r="156" spans="2:61" ht="20.100000000000001" customHeight="1" x14ac:dyDescent="0.45">
      <c r="B156" s="160"/>
      <c r="C156" s="31"/>
      <c r="D156" s="31"/>
      <c r="E156" s="31"/>
      <c r="F156" s="31"/>
      <c r="G156" s="133"/>
      <c r="H156" s="134"/>
      <c r="I156" s="31"/>
      <c r="J156" s="134"/>
      <c r="K156" s="31" t="s">
        <v>190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135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6"/>
    </row>
    <row r="157" spans="2:61" ht="20.100000000000001" customHeight="1" x14ac:dyDescent="0.45">
      <c r="B157" s="160"/>
      <c r="C157" s="31"/>
      <c r="D157" s="31"/>
      <c r="E157" s="31"/>
      <c r="F157" s="31"/>
      <c r="G157" s="133"/>
      <c r="H157" s="134"/>
      <c r="I157" s="31"/>
      <c r="J157" s="134"/>
      <c r="K157" s="31"/>
      <c r="L157" s="31"/>
      <c r="M157" s="31" t="s">
        <v>240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135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36"/>
    </row>
    <row r="158" spans="2:61" ht="20.100000000000001" customHeight="1" x14ac:dyDescent="0.45">
      <c r="B158" s="160"/>
      <c r="C158" s="31"/>
      <c r="D158" s="31"/>
      <c r="E158" s="31"/>
      <c r="F158" s="31"/>
      <c r="G158" s="133"/>
      <c r="H158" s="134"/>
      <c r="I158" s="31"/>
      <c r="J158" s="134"/>
      <c r="K158" s="31"/>
      <c r="L158" s="31" t="s">
        <v>177</v>
      </c>
      <c r="M158" s="31" t="s">
        <v>192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5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6"/>
    </row>
    <row r="159" spans="2:61" ht="20.100000000000001" customHeight="1" x14ac:dyDescent="0.45">
      <c r="B159" s="160"/>
      <c r="C159" s="31"/>
      <c r="D159" s="31"/>
      <c r="E159" s="31"/>
      <c r="F159" s="31"/>
      <c r="G159" s="133"/>
      <c r="H159" s="134"/>
      <c r="I159" s="31"/>
      <c r="J159" s="134"/>
      <c r="K159" s="31" t="s">
        <v>193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35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6"/>
    </row>
    <row r="160" spans="2:61" ht="20.100000000000001" customHeight="1" x14ac:dyDescent="0.45">
      <c r="B160" s="132"/>
      <c r="C160" s="31"/>
      <c r="D160" s="31"/>
      <c r="E160" s="31"/>
      <c r="F160" s="31"/>
      <c r="G160" s="133"/>
      <c r="H160" s="137" t="s">
        <v>194</v>
      </c>
      <c r="I160" s="55"/>
      <c r="J160" s="137" t="s">
        <v>195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138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139"/>
    </row>
    <row r="161" spans="2:61" ht="20.100000000000001" customHeight="1" x14ac:dyDescent="0.45">
      <c r="B161" s="132"/>
      <c r="C161" s="31"/>
      <c r="D161" s="31"/>
      <c r="E161" s="31"/>
      <c r="F161" s="31"/>
      <c r="G161" s="133"/>
      <c r="H161" s="134"/>
      <c r="I161" s="31"/>
      <c r="J161" s="134"/>
      <c r="K161" s="31" t="s">
        <v>196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35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6"/>
    </row>
    <row r="162" spans="2:61" ht="20.100000000000001" customHeight="1" x14ac:dyDescent="0.45">
      <c r="B162" s="132"/>
      <c r="C162" s="31"/>
      <c r="D162" s="31"/>
      <c r="E162" s="31"/>
      <c r="F162" s="31"/>
      <c r="G162" s="133"/>
      <c r="H162" s="134"/>
      <c r="I162" s="31"/>
      <c r="J162" s="134"/>
      <c r="K162" s="31"/>
      <c r="L162" s="31" t="s">
        <v>197</v>
      </c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135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36"/>
    </row>
    <row r="163" spans="2:61" ht="20.100000000000001" customHeight="1" x14ac:dyDescent="0.45">
      <c r="B163" s="132"/>
      <c r="C163" s="31"/>
      <c r="D163" s="31"/>
      <c r="E163" s="31"/>
      <c r="F163" s="31"/>
      <c r="G163" s="133"/>
      <c r="H163" s="134"/>
      <c r="I163" s="31"/>
      <c r="J163" s="134" t="s">
        <v>198</v>
      </c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35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6"/>
    </row>
    <row r="164" spans="2:61" ht="20.100000000000001" customHeight="1" x14ac:dyDescent="0.45">
      <c r="B164" s="132"/>
      <c r="C164" s="31"/>
      <c r="D164" s="31"/>
      <c r="E164" s="31"/>
      <c r="F164" s="31"/>
      <c r="G164" s="133"/>
      <c r="H164" s="134"/>
      <c r="I164" s="31"/>
      <c r="J164" s="134"/>
      <c r="K164" s="31" t="s">
        <v>199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35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6"/>
    </row>
    <row r="165" spans="2:61" ht="20.100000000000001" customHeight="1" x14ac:dyDescent="0.45">
      <c r="B165" s="160"/>
      <c r="C165" s="31"/>
      <c r="D165" s="31"/>
      <c r="E165" s="31"/>
      <c r="F165" s="31"/>
      <c r="G165" s="133"/>
      <c r="H165" s="134"/>
      <c r="I165" s="133"/>
      <c r="J165" s="161" t="s">
        <v>145</v>
      </c>
      <c r="K165" s="52"/>
      <c r="L165" s="52"/>
      <c r="M165" s="52"/>
      <c r="N165" s="52"/>
      <c r="O165" s="52"/>
      <c r="P165" s="52"/>
      <c r="Q165" s="162"/>
      <c r="R165" s="52" t="s">
        <v>241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162"/>
      <c r="AK165" s="138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139"/>
    </row>
    <row r="166" spans="2:61" ht="20.100000000000001" customHeight="1" x14ac:dyDescent="0.45">
      <c r="B166" s="160"/>
      <c r="C166" s="31"/>
      <c r="D166" s="31"/>
      <c r="E166" s="31"/>
      <c r="F166" s="31"/>
      <c r="G166" s="133"/>
      <c r="H166" s="134"/>
      <c r="I166" s="31"/>
      <c r="J166" s="161" t="s">
        <v>200</v>
      </c>
      <c r="K166" s="52"/>
      <c r="L166" s="52"/>
      <c r="M166" s="52"/>
      <c r="N166" s="52"/>
      <c r="O166" s="52"/>
      <c r="P166" s="52"/>
      <c r="Q166" s="162"/>
      <c r="R166" s="52" t="s">
        <v>203</v>
      </c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162"/>
      <c r="AK166" s="135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6"/>
    </row>
    <row r="167" spans="2:61" ht="20.100000000000001" customHeight="1" thickBot="1" x14ac:dyDescent="0.5">
      <c r="B167" s="160"/>
      <c r="C167" s="31"/>
      <c r="D167" s="31"/>
      <c r="E167" s="31"/>
      <c r="F167" s="31"/>
      <c r="G167" s="133"/>
      <c r="H167" s="134"/>
      <c r="I167" s="31"/>
      <c r="J167" s="161" t="s">
        <v>201</v>
      </c>
      <c r="K167" s="52"/>
      <c r="L167" s="52"/>
      <c r="M167" s="52"/>
      <c r="N167" s="52"/>
      <c r="O167" s="52"/>
      <c r="P167" s="52"/>
      <c r="Q167" s="162"/>
      <c r="R167" s="52" t="s">
        <v>204</v>
      </c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162"/>
      <c r="AK167" s="135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6"/>
    </row>
    <row r="168" spans="2:61" ht="20.100000000000001" customHeight="1" x14ac:dyDescent="0.45">
      <c r="B168" s="126" t="s">
        <v>242</v>
      </c>
      <c r="C168" s="127"/>
      <c r="D168" s="127"/>
      <c r="E168" s="127"/>
      <c r="F168" s="127"/>
      <c r="G168" s="128"/>
      <c r="H168" s="129" t="s">
        <v>206</v>
      </c>
      <c r="I168" s="127"/>
      <c r="J168" s="157" t="s">
        <v>207</v>
      </c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9"/>
      <c r="AK168" s="130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31"/>
    </row>
    <row r="169" spans="2:61" ht="20.100000000000001" customHeight="1" x14ac:dyDescent="0.45">
      <c r="B169" s="160"/>
      <c r="C169" s="31"/>
      <c r="D169" s="31"/>
      <c r="E169" s="31"/>
      <c r="F169" s="31"/>
      <c r="G169" s="133"/>
      <c r="H169" s="137" t="s">
        <v>208</v>
      </c>
      <c r="I169" s="167"/>
      <c r="J169" s="161" t="s">
        <v>135</v>
      </c>
      <c r="K169" s="52"/>
      <c r="L169" s="52"/>
      <c r="M169" s="52"/>
      <c r="N169" s="52"/>
      <c r="O169" s="52"/>
      <c r="P169" s="52"/>
      <c r="Q169" s="162"/>
      <c r="R169" s="52" t="s">
        <v>209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162"/>
      <c r="AK169" s="135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36"/>
    </row>
    <row r="170" spans="2:61" ht="20.100000000000001" customHeight="1" x14ac:dyDescent="0.45">
      <c r="B170" s="160"/>
      <c r="C170" s="31"/>
      <c r="D170" s="31"/>
      <c r="E170" s="31"/>
      <c r="F170" s="31"/>
      <c r="G170" s="133"/>
      <c r="H170" s="134"/>
      <c r="I170" s="31"/>
      <c r="J170" s="161" t="s">
        <v>137</v>
      </c>
      <c r="K170" s="52"/>
      <c r="L170" s="52"/>
      <c r="M170" s="52"/>
      <c r="N170" s="52"/>
      <c r="O170" s="52"/>
      <c r="P170" s="52"/>
      <c r="Q170" s="162"/>
      <c r="R170" s="52" t="s">
        <v>210</v>
      </c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162"/>
      <c r="AK170" s="135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36"/>
    </row>
    <row r="171" spans="2:61" ht="20.100000000000001" customHeight="1" x14ac:dyDescent="0.45">
      <c r="B171" s="160"/>
      <c r="C171" s="31"/>
      <c r="D171" s="31"/>
      <c r="E171" s="31"/>
      <c r="F171" s="31"/>
      <c r="G171" s="133"/>
      <c r="H171" s="137" t="s">
        <v>158</v>
      </c>
      <c r="I171" s="55"/>
      <c r="J171" s="137" t="s">
        <v>207</v>
      </c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138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139"/>
    </row>
    <row r="172" spans="2:61" ht="20.100000000000001" customHeight="1" x14ac:dyDescent="0.45">
      <c r="B172" s="132"/>
      <c r="C172" s="31"/>
      <c r="D172" s="31"/>
      <c r="E172" s="31"/>
      <c r="F172" s="31"/>
      <c r="G172" s="133"/>
      <c r="H172" s="134"/>
      <c r="I172" s="31"/>
      <c r="J172" s="134" t="s">
        <v>245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135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36"/>
    </row>
    <row r="173" spans="2:61" ht="20.100000000000001" customHeight="1" x14ac:dyDescent="0.45">
      <c r="B173" s="132"/>
      <c r="C173" s="31"/>
      <c r="D173" s="31"/>
      <c r="E173" s="31"/>
      <c r="F173" s="31"/>
      <c r="G173" s="133"/>
      <c r="H173" s="137" t="s">
        <v>159</v>
      </c>
      <c r="I173" s="55"/>
      <c r="J173" s="137" t="s">
        <v>171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138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139"/>
    </row>
    <row r="174" spans="2:61" ht="20.100000000000001" customHeight="1" x14ac:dyDescent="0.45">
      <c r="B174" s="132"/>
      <c r="C174" s="31"/>
      <c r="D174" s="31"/>
      <c r="E174" s="31"/>
      <c r="F174" s="31"/>
      <c r="G174" s="133"/>
      <c r="H174" s="134"/>
      <c r="I174" s="31"/>
      <c r="J174" s="134"/>
      <c r="K174" s="31" t="s">
        <v>244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135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136"/>
    </row>
    <row r="175" spans="2:61" ht="20.100000000000001" customHeight="1" x14ac:dyDescent="0.45">
      <c r="B175" s="132"/>
      <c r="C175" s="31"/>
      <c r="D175" s="31"/>
      <c r="E175" s="31"/>
      <c r="F175" s="31"/>
      <c r="G175" s="133"/>
      <c r="H175" s="134"/>
      <c r="I175" s="31"/>
      <c r="J175" s="134"/>
      <c r="K175" s="31"/>
      <c r="L175" s="31"/>
      <c r="M175" s="31" t="s">
        <v>212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135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36"/>
    </row>
    <row r="176" spans="2:61" ht="20.100000000000001" customHeight="1" thickBot="1" x14ac:dyDescent="0.5">
      <c r="B176" s="132"/>
      <c r="C176" s="31"/>
      <c r="D176" s="31"/>
      <c r="E176" s="31"/>
      <c r="F176" s="31"/>
      <c r="G176" s="133"/>
      <c r="H176" s="134"/>
      <c r="I176" s="31"/>
      <c r="J176" s="134"/>
      <c r="K176" s="31"/>
      <c r="L176" s="31" t="s">
        <v>177</v>
      </c>
      <c r="M176" s="31" t="s">
        <v>213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135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36"/>
    </row>
    <row r="177" spans="2:61" ht="20.100000000000001" customHeight="1" x14ac:dyDescent="0.45">
      <c r="B177" s="126" t="s">
        <v>244</v>
      </c>
      <c r="C177" s="127"/>
      <c r="D177" s="127"/>
      <c r="E177" s="127"/>
      <c r="F177" s="127"/>
      <c r="G177" s="128"/>
      <c r="H177" s="129" t="s">
        <v>148</v>
      </c>
      <c r="I177" s="127"/>
      <c r="J177" s="157" t="s">
        <v>145</v>
      </c>
      <c r="K177" s="158"/>
      <c r="L177" s="158"/>
      <c r="M177" s="158"/>
      <c r="N177" s="158"/>
      <c r="O177" s="158"/>
      <c r="P177" s="158"/>
      <c r="Q177" s="159"/>
      <c r="R177" s="158" t="s">
        <v>215</v>
      </c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9"/>
      <c r="AK177" s="130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31"/>
    </row>
    <row r="178" spans="2:61" ht="20.100000000000001" customHeight="1" x14ac:dyDescent="0.45">
      <c r="B178" s="160"/>
      <c r="C178" s="31"/>
      <c r="D178" s="31"/>
      <c r="E178" s="31"/>
      <c r="F178" s="31"/>
      <c r="G178" s="133"/>
      <c r="H178" s="134"/>
      <c r="I178" s="31"/>
      <c r="J178" s="161" t="s">
        <v>200</v>
      </c>
      <c r="K178" s="52"/>
      <c r="L178" s="52"/>
      <c r="M178" s="52"/>
      <c r="N178" s="52"/>
      <c r="O178" s="52"/>
      <c r="P178" s="52"/>
      <c r="Q178" s="162"/>
      <c r="R178" s="52" t="s">
        <v>216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162"/>
      <c r="AK178" s="135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6"/>
    </row>
    <row r="179" spans="2:61" ht="20.100000000000001" customHeight="1" x14ac:dyDescent="0.45">
      <c r="B179" s="160"/>
      <c r="C179" s="31"/>
      <c r="D179" s="31"/>
      <c r="E179" s="31"/>
      <c r="F179" s="31"/>
      <c r="G179" s="133"/>
      <c r="H179" s="134"/>
      <c r="I179" s="31"/>
      <c r="J179" s="161" t="s">
        <v>135</v>
      </c>
      <c r="K179" s="52"/>
      <c r="L179" s="52"/>
      <c r="M179" s="52"/>
      <c r="N179" s="52"/>
      <c r="O179" s="52"/>
      <c r="P179" s="52"/>
      <c r="Q179" s="162"/>
      <c r="R179" s="52" t="s">
        <v>214</v>
      </c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162"/>
      <c r="AK179" s="135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136"/>
    </row>
    <row r="180" spans="2:61" ht="20.100000000000001" customHeight="1" thickBot="1" x14ac:dyDescent="0.5">
      <c r="B180" s="160"/>
      <c r="C180" s="31"/>
      <c r="D180" s="31"/>
      <c r="E180" s="31"/>
      <c r="F180" s="31"/>
      <c r="G180" s="133"/>
      <c r="H180" s="137" t="s">
        <v>158</v>
      </c>
      <c r="I180" s="55"/>
      <c r="J180" s="137" t="s">
        <v>207</v>
      </c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138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139"/>
    </row>
    <row r="181" spans="2:61" ht="20.100000000000001" customHeight="1" x14ac:dyDescent="0.45">
      <c r="B181" s="126" t="s">
        <v>247</v>
      </c>
      <c r="C181" s="127"/>
      <c r="D181" s="127"/>
      <c r="E181" s="127"/>
      <c r="F181" s="127"/>
      <c r="G181" s="128"/>
      <c r="H181" s="129" t="s">
        <v>148</v>
      </c>
      <c r="I181" s="127"/>
      <c r="J181" s="157" t="s">
        <v>145</v>
      </c>
      <c r="K181" s="158"/>
      <c r="L181" s="158"/>
      <c r="M181" s="158"/>
      <c r="N181" s="158"/>
      <c r="O181" s="158"/>
      <c r="P181" s="158"/>
      <c r="Q181" s="159"/>
      <c r="R181" s="158" t="s">
        <v>164</v>
      </c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9"/>
      <c r="AK181" s="130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31"/>
    </row>
    <row r="182" spans="2:61" ht="20.100000000000001" customHeight="1" x14ac:dyDescent="0.45">
      <c r="B182" s="160"/>
      <c r="C182" s="31"/>
      <c r="D182" s="31"/>
      <c r="E182" s="31"/>
      <c r="F182" s="31"/>
      <c r="G182" s="133"/>
      <c r="H182" s="134"/>
      <c r="I182" s="31"/>
      <c r="J182" s="161" t="s">
        <v>166</v>
      </c>
      <c r="K182" s="52"/>
      <c r="L182" s="52"/>
      <c r="M182" s="52"/>
      <c r="N182" s="52"/>
      <c r="O182" s="52"/>
      <c r="P182" s="52"/>
      <c r="Q182" s="162"/>
      <c r="R182" s="51" t="s">
        <v>251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62"/>
      <c r="AK182" s="135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136"/>
    </row>
    <row r="183" spans="2:61" ht="20.100000000000001" customHeight="1" x14ac:dyDescent="0.45">
      <c r="B183" s="160"/>
      <c r="C183" s="31"/>
      <c r="D183" s="31"/>
      <c r="E183" s="31"/>
      <c r="F183" s="31"/>
      <c r="G183" s="133"/>
      <c r="H183" s="134"/>
      <c r="I183" s="31"/>
      <c r="J183" s="161" t="s">
        <v>252</v>
      </c>
      <c r="K183" s="52"/>
      <c r="L183" s="52"/>
      <c r="M183" s="52"/>
      <c r="N183" s="52"/>
      <c r="O183" s="52"/>
      <c r="P183" s="52"/>
      <c r="Q183" s="162"/>
      <c r="R183" s="52" t="s">
        <v>253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62"/>
      <c r="AK183" s="135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36"/>
    </row>
    <row r="184" spans="2:61" ht="20.100000000000001" customHeight="1" x14ac:dyDescent="0.45">
      <c r="B184" s="160"/>
      <c r="C184" s="31"/>
      <c r="D184" s="31"/>
      <c r="E184" s="31"/>
      <c r="F184" s="31"/>
      <c r="G184" s="133"/>
      <c r="H184" s="137" t="s">
        <v>158</v>
      </c>
      <c r="I184" s="55"/>
      <c r="J184" s="137" t="s">
        <v>254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138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139"/>
    </row>
    <row r="185" spans="2:61" ht="20.100000000000001" customHeight="1" x14ac:dyDescent="0.45">
      <c r="B185" s="160"/>
      <c r="C185" s="31"/>
      <c r="D185" s="31"/>
      <c r="E185" s="31"/>
      <c r="F185" s="31"/>
      <c r="G185" s="133"/>
      <c r="H185" s="134"/>
      <c r="I185" s="31"/>
      <c r="J185" s="134" t="s">
        <v>169</v>
      </c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135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36"/>
    </row>
    <row r="186" spans="2:61" ht="20.100000000000001" customHeight="1" x14ac:dyDescent="0.45">
      <c r="B186" s="132"/>
      <c r="C186" s="31"/>
      <c r="D186" s="31"/>
      <c r="E186" s="31"/>
      <c r="F186" s="31"/>
      <c r="G186" s="133"/>
      <c r="I186" s="31"/>
      <c r="J186" s="134" t="s">
        <v>255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135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36"/>
    </row>
    <row r="187" spans="2:61" ht="20.100000000000001" customHeight="1" x14ac:dyDescent="0.45">
      <c r="B187" s="132"/>
      <c r="C187" s="31"/>
      <c r="D187" s="31"/>
      <c r="E187" s="31"/>
      <c r="F187" s="31"/>
      <c r="G187" s="133"/>
      <c r="H187" s="134"/>
      <c r="I187" s="31"/>
      <c r="J187" s="134" t="s">
        <v>256</v>
      </c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135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36"/>
    </row>
    <row r="188" spans="2:61" ht="20.100000000000001" customHeight="1" x14ac:dyDescent="0.45">
      <c r="B188" s="132"/>
      <c r="C188" s="31"/>
      <c r="D188" s="31"/>
      <c r="E188" s="31"/>
      <c r="F188" s="31"/>
      <c r="G188" s="133"/>
      <c r="H188" s="134"/>
      <c r="I188" s="31"/>
      <c r="J188" s="134" t="s">
        <v>235</v>
      </c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135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36"/>
    </row>
    <row r="189" spans="2:61" ht="20.100000000000001" customHeight="1" x14ac:dyDescent="0.45">
      <c r="B189" s="132"/>
      <c r="C189" s="31"/>
      <c r="D189" s="31"/>
      <c r="E189" s="31"/>
      <c r="F189" s="31"/>
      <c r="G189" s="133"/>
      <c r="H189" s="137" t="s">
        <v>159</v>
      </c>
      <c r="I189" s="55"/>
      <c r="J189" s="137" t="s">
        <v>171</v>
      </c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138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139"/>
    </row>
    <row r="190" spans="2:61" ht="20.100000000000001" customHeight="1" x14ac:dyDescent="0.45">
      <c r="B190" s="132"/>
      <c r="C190" s="31"/>
      <c r="D190" s="31"/>
      <c r="E190" s="31"/>
      <c r="F190" s="31"/>
      <c r="G190" s="133"/>
      <c r="H190" s="134"/>
      <c r="I190" s="31"/>
      <c r="J190" s="134"/>
      <c r="K190" s="31" t="s">
        <v>172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135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36"/>
    </row>
    <row r="191" spans="2:61" ht="20.100000000000001" customHeight="1" x14ac:dyDescent="0.45">
      <c r="B191" s="132"/>
      <c r="C191" s="31"/>
      <c r="D191" s="31"/>
      <c r="E191" s="31"/>
      <c r="F191" s="31"/>
      <c r="G191" s="133"/>
      <c r="H191" s="134"/>
      <c r="I191" s="31"/>
      <c r="J191" s="134"/>
      <c r="K191" s="31"/>
      <c r="L191" s="31"/>
      <c r="M191" s="31" t="s">
        <v>257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135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36"/>
    </row>
    <row r="192" spans="2:61" ht="20.100000000000001" customHeight="1" x14ac:dyDescent="0.45">
      <c r="B192" s="132"/>
      <c r="C192" s="31"/>
      <c r="D192" s="31"/>
      <c r="E192" s="31"/>
      <c r="F192" s="31"/>
      <c r="G192" s="133"/>
      <c r="H192" s="134"/>
      <c r="I192" s="31"/>
      <c r="J192" s="134" t="s">
        <v>171</v>
      </c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135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36"/>
    </row>
    <row r="193" spans="2:61" ht="20.100000000000001" customHeight="1" x14ac:dyDescent="0.45">
      <c r="B193" s="132"/>
      <c r="C193" s="31"/>
      <c r="D193" s="31"/>
      <c r="E193" s="31"/>
      <c r="F193" s="31"/>
      <c r="G193" s="133"/>
      <c r="H193" s="134"/>
      <c r="I193" s="31"/>
      <c r="J193" s="134"/>
      <c r="K193" s="31" t="s">
        <v>258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135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36"/>
    </row>
    <row r="194" spans="2:61" ht="20.100000000000001" customHeight="1" x14ac:dyDescent="0.45">
      <c r="B194" s="132"/>
      <c r="C194" s="31"/>
      <c r="D194" s="31"/>
      <c r="E194" s="31"/>
      <c r="F194" s="31"/>
      <c r="G194" s="133"/>
      <c r="H194" s="134"/>
      <c r="I194" s="31"/>
      <c r="J194" s="134"/>
      <c r="K194" s="31"/>
      <c r="L194" s="31"/>
      <c r="M194" s="31" t="s">
        <v>259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135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36"/>
    </row>
    <row r="195" spans="2:61" ht="20.100000000000001" customHeight="1" x14ac:dyDescent="0.45">
      <c r="B195" s="132"/>
      <c r="C195" s="31"/>
      <c r="D195" s="31"/>
      <c r="E195" s="31"/>
      <c r="F195" s="31"/>
      <c r="G195" s="133"/>
      <c r="H195" s="134"/>
      <c r="I195" s="31"/>
      <c r="J195" s="134" t="s">
        <v>260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135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36"/>
    </row>
    <row r="196" spans="2:61" ht="20.100000000000001" customHeight="1" x14ac:dyDescent="0.45">
      <c r="B196" s="132"/>
      <c r="C196" s="31"/>
      <c r="D196" s="31"/>
      <c r="E196" s="31"/>
      <c r="F196" s="31"/>
      <c r="G196" s="133"/>
      <c r="H196" s="134"/>
      <c r="I196" s="31"/>
      <c r="J196" s="134"/>
      <c r="K196" s="31" t="s">
        <v>261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135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36"/>
    </row>
    <row r="197" spans="2:61" ht="20.100000000000001" customHeight="1" x14ac:dyDescent="0.45">
      <c r="B197" s="132"/>
      <c r="C197" s="31"/>
      <c r="D197" s="31"/>
      <c r="E197" s="31"/>
      <c r="F197" s="31"/>
      <c r="G197" s="133"/>
      <c r="H197" s="134"/>
      <c r="I197" s="31"/>
      <c r="J197" s="134"/>
      <c r="K197" s="31"/>
      <c r="L197" s="31"/>
      <c r="M197" s="31" t="s">
        <v>262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135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36"/>
    </row>
    <row r="198" spans="2:61" ht="20.100000000000001" customHeight="1" x14ac:dyDescent="0.45">
      <c r="B198" s="132"/>
      <c r="C198" s="31"/>
      <c r="D198" s="31"/>
      <c r="E198" s="31"/>
      <c r="F198" s="31"/>
      <c r="G198" s="133"/>
      <c r="H198" s="134"/>
      <c r="I198" s="31"/>
      <c r="J198" s="134" t="s">
        <v>171</v>
      </c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135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36"/>
    </row>
    <row r="199" spans="2:61" ht="20.100000000000001" customHeight="1" x14ac:dyDescent="0.45">
      <c r="B199" s="132"/>
      <c r="C199" s="31"/>
      <c r="D199" s="31"/>
      <c r="E199" s="31"/>
      <c r="F199" s="31"/>
      <c r="G199" s="133"/>
      <c r="H199" s="134"/>
      <c r="I199" s="31"/>
      <c r="J199" s="134"/>
      <c r="K199" s="31" t="s">
        <v>236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135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36"/>
    </row>
    <row r="200" spans="2:61" ht="20.100000000000001" customHeight="1" x14ac:dyDescent="0.45">
      <c r="B200" s="132"/>
      <c r="C200" s="31"/>
      <c r="D200" s="31"/>
      <c r="E200" s="31"/>
      <c r="F200" s="31"/>
      <c r="G200" s="133"/>
      <c r="H200" s="134"/>
      <c r="I200" s="31"/>
      <c r="J200" s="134"/>
      <c r="K200" s="31"/>
      <c r="L200" s="31"/>
      <c r="M200" s="31" t="s">
        <v>263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135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36"/>
    </row>
    <row r="201" spans="2:61" ht="20.100000000000001" customHeight="1" x14ac:dyDescent="0.45">
      <c r="B201" s="132"/>
      <c r="C201" s="31"/>
      <c r="D201" s="31"/>
      <c r="E201" s="31"/>
      <c r="F201" s="31"/>
      <c r="G201" s="133"/>
      <c r="H201" s="137" t="s">
        <v>176</v>
      </c>
      <c r="I201" s="55"/>
      <c r="J201" s="137"/>
      <c r="K201" s="55"/>
      <c r="L201" s="55" t="s">
        <v>264</v>
      </c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138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139"/>
    </row>
    <row r="202" spans="2:61" ht="20.100000000000001" customHeight="1" x14ac:dyDescent="0.45">
      <c r="B202" s="132"/>
      <c r="C202" s="31"/>
      <c r="D202" s="31"/>
      <c r="E202" s="31"/>
      <c r="F202" s="31"/>
      <c r="G202" s="133"/>
      <c r="H202" s="134"/>
      <c r="I202" s="31"/>
      <c r="J202" s="134" t="s">
        <v>177</v>
      </c>
      <c r="K202" s="31" t="s">
        <v>266</v>
      </c>
      <c r="L202" s="31" t="s">
        <v>265</v>
      </c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134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36"/>
    </row>
    <row r="203" spans="2:61" ht="20.100000000000001" customHeight="1" x14ac:dyDescent="0.45">
      <c r="B203" s="132"/>
      <c r="C203" s="31"/>
      <c r="D203" s="31"/>
      <c r="E203" s="31"/>
      <c r="F203" s="31"/>
      <c r="G203" s="133"/>
      <c r="H203" s="134"/>
      <c r="I203" s="31"/>
      <c r="J203" s="134" t="s">
        <v>177</v>
      </c>
      <c r="K203" s="31"/>
      <c r="L203" s="31" t="s">
        <v>270</v>
      </c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134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36"/>
    </row>
    <row r="204" spans="2:61" ht="20.100000000000001" customHeight="1" x14ac:dyDescent="0.45">
      <c r="B204" s="132"/>
      <c r="C204" s="31"/>
      <c r="D204" s="31"/>
      <c r="E204" s="31"/>
      <c r="F204" s="31"/>
      <c r="G204" s="133"/>
      <c r="H204" s="134"/>
      <c r="I204" s="31"/>
      <c r="J204" s="134" t="s">
        <v>177</v>
      </c>
      <c r="K204" s="31"/>
      <c r="L204" s="31" t="s">
        <v>271</v>
      </c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134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36"/>
    </row>
    <row r="205" spans="2:61" ht="20.100000000000001" customHeight="1" x14ac:dyDescent="0.45">
      <c r="B205" s="132"/>
      <c r="C205" s="31"/>
      <c r="D205" s="31"/>
      <c r="E205" s="31"/>
      <c r="F205" s="31"/>
      <c r="G205" s="133"/>
      <c r="H205" s="137" t="s">
        <v>180</v>
      </c>
      <c r="I205" s="55"/>
      <c r="J205" s="137" t="s">
        <v>164</v>
      </c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137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139"/>
    </row>
    <row r="206" spans="2:61" ht="20.100000000000001" customHeight="1" x14ac:dyDescent="0.45">
      <c r="B206" s="132"/>
      <c r="C206" s="31"/>
      <c r="D206" s="31"/>
      <c r="E206" s="31"/>
      <c r="F206" s="31"/>
      <c r="G206" s="133"/>
      <c r="H206" s="134"/>
      <c r="I206" s="31"/>
      <c r="J206" s="134" t="s">
        <v>267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134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36"/>
    </row>
    <row r="207" spans="2:61" ht="20.100000000000001" customHeight="1" x14ac:dyDescent="0.45">
      <c r="B207" s="132"/>
      <c r="C207" s="31"/>
      <c r="D207" s="31"/>
      <c r="E207" s="31"/>
      <c r="F207" s="31"/>
      <c r="G207" s="133"/>
      <c r="H207" s="134"/>
      <c r="I207" s="31"/>
      <c r="J207" s="134"/>
      <c r="K207" s="31" t="s">
        <v>268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134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36"/>
    </row>
    <row r="208" spans="2:61" ht="20.100000000000001" customHeight="1" x14ac:dyDescent="0.45">
      <c r="B208" s="132"/>
      <c r="C208" s="31"/>
      <c r="D208" s="31"/>
      <c r="E208" s="31"/>
      <c r="F208" s="31"/>
      <c r="G208" s="133"/>
      <c r="H208" s="134"/>
      <c r="I208" s="31"/>
      <c r="J208" s="134"/>
      <c r="K208" s="31" t="s">
        <v>269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134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36"/>
    </row>
    <row r="209" spans="2:61" ht="20.100000000000001" customHeight="1" thickBot="1" x14ac:dyDescent="0.5">
      <c r="B209" s="132"/>
      <c r="C209" s="31"/>
      <c r="D209" s="31"/>
      <c r="E209" s="31"/>
      <c r="F209" s="31"/>
      <c r="G209" s="133"/>
      <c r="H209" s="140"/>
      <c r="I209" s="141"/>
      <c r="J209" s="134" t="s">
        <v>184</v>
      </c>
      <c r="K209" s="3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41"/>
      <c r="AJ209" s="141"/>
      <c r="AK209" s="140"/>
      <c r="AL209" s="141"/>
      <c r="AM209" s="141"/>
      <c r="AN209" s="141"/>
      <c r="AO209" s="141"/>
      <c r="AP209" s="141"/>
      <c r="AQ209" s="141"/>
      <c r="AR209" s="141"/>
      <c r="AS209" s="141"/>
      <c r="AT209" s="141"/>
      <c r="AU209" s="141"/>
      <c r="AV209" s="141"/>
      <c r="AW209" s="141"/>
      <c r="AX209" s="141"/>
      <c r="AY209" s="141"/>
      <c r="AZ209" s="141"/>
      <c r="BA209" s="141"/>
      <c r="BB209" s="141"/>
      <c r="BC209" s="141"/>
      <c r="BD209" s="141"/>
      <c r="BE209" s="141"/>
      <c r="BF209" s="141"/>
      <c r="BG209" s="141"/>
      <c r="BH209" s="141"/>
      <c r="BI209" s="143"/>
    </row>
    <row r="210" spans="2:61" ht="20.100000000000001" customHeight="1" x14ac:dyDescent="0.45">
      <c r="B210" s="126" t="s">
        <v>248</v>
      </c>
      <c r="C210" s="127"/>
      <c r="D210" s="127"/>
      <c r="E210" s="127"/>
      <c r="F210" s="127"/>
      <c r="G210" s="128"/>
      <c r="H210" s="129" t="s">
        <v>148</v>
      </c>
      <c r="I210" s="127"/>
      <c r="J210" s="157" t="s">
        <v>231</v>
      </c>
      <c r="K210" s="158"/>
      <c r="L210" s="158"/>
      <c r="M210" s="158"/>
      <c r="N210" s="158"/>
      <c r="O210" s="158"/>
      <c r="P210" s="158"/>
      <c r="Q210" s="159"/>
      <c r="R210" s="158" t="s">
        <v>230</v>
      </c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9"/>
      <c r="AK210" s="130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31"/>
    </row>
    <row r="211" spans="2:61" ht="20.100000000000001" customHeight="1" x14ac:dyDescent="0.45">
      <c r="B211" s="160"/>
      <c r="C211" s="31"/>
      <c r="D211" s="31"/>
      <c r="E211" s="31"/>
      <c r="F211" s="31"/>
      <c r="G211" s="133"/>
      <c r="H211" s="134"/>
      <c r="I211" s="31"/>
      <c r="J211" s="161" t="s">
        <v>166</v>
      </c>
      <c r="K211" s="52"/>
      <c r="L211" s="52"/>
      <c r="M211" s="52"/>
      <c r="N211" s="52"/>
      <c r="O211" s="52"/>
      <c r="P211" s="52"/>
      <c r="Q211" s="162"/>
      <c r="R211" s="51" t="s">
        <v>251</v>
      </c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162"/>
      <c r="AK211" s="135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36"/>
    </row>
    <row r="212" spans="2:61" ht="20.100000000000001" customHeight="1" x14ac:dyDescent="0.45">
      <c r="B212" s="160"/>
      <c r="C212" s="31"/>
      <c r="D212" s="31"/>
      <c r="E212" s="31"/>
      <c r="F212" s="31"/>
      <c r="G212" s="133"/>
      <c r="H212" s="134"/>
      <c r="I212" s="31"/>
      <c r="J212" s="161" t="s">
        <v>252</v>
      </c>
      <c r="K212" s="52"/>
      <c r="L212" s="52"/>
      <c r="M212" s="52"/>
      <c r="N212" s="52"/>
      <c r="O212" s="52"/>
      <c r="P212" s="52"/>
      <c r="Q212" s="162"/>
      <c r="R212" s="52" t="s">
        <v>253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162"/>
      <c r="AK212" s="135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36"/>
    </row>
    <row r="213" spans="2:61" ht="20.100000000000001" customHeight="1" x14ac:dyDescent="0.45">
      <c r="B213" s="160"/>
      <c r="C213" s="31"/>
      <c r="D213" s="31"/>
      <c r="E213" s="31"/>
      <c r="F213" s="31"/>
      <c r="G213" s="133"/>
      <c r="H213" s="137" t="s">
        <v>158</v>
      </c>
      <c r="I213" s="55"/>
      <c r="J213" s="137" t="s">
        <v>254</v>
      </c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138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139"/>
    </row>
    <row r="214" spans="2:61" ht="20.100000000000001" customHeight="1" x14ac:dyDescent="0.45">
      <c r="B214" s="160"/>
      <c r="C214" s="31"/>
      <c r="D214" s="31"/>
      <c r="E214" s="31"/>
      <c r="F214" s="31"/>
      <c r="G214" s="133"/>
      <c r="H214" s="134"/>
      <c r="I214" s="31"/>
      <c r="J214" s="134" t="s">
        <v>169</v>
      </c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135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136"/>
    </row>
    <row r="215" spans="2:61" ht="20.100000000000001" customHeight="1" x14ac:dyDescent="0.45">
      <c r="B215" s="132"/>
      <c r="C215" s="31"/>
      <c r="D215" s="31"/>
      <c r="E215" s="31"/>
      <c r="F215" s="31"/>
      <c r="G215" s="133"/>
      <c r="I215" s="31"/>
      <c r="J215" s="134" t="s">
        <v>255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135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36"/>
    </row>
    <row r="216" spans="2:61" ht="20.100000000000001" customHeight="1" x14ac:dyDescent="0.45">
      <c r="B216" s="132"/>
      <c r="C216" s="31"/>
      <c r="D216" s="31"/>
      <c r="E216" s="31"/>
      <c r="F216" s="31"/>
      <c r="G216" s="133"/>
      <c r="H216" s="134"/>
      <c r="I216" s="31"/>
      <c r="J216" s="134" t="s">
        <v>256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135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36"/>
    </row>
    <row r="217" spans="2:61" ht="20.100000000000001" customHeight="1" x14ac:dyDescent="0.45">
      <c r="B217" s="132"/>
      <c r="C217" s="31"/>
      <c r="D217" s="31"/>
      <c r="E217" s="31"/>
      <c r="F217" s="31"/>
      <c r="G217" s="133"/>
      <c r="H217" s="134"/>
      <c r="I217" s="31"/>
      <c r="J217" s="134" t="s">
        <v>235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135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36"/>
    </row>
    <row r="218" spans="2:61" ht="20.100000000000001" customHeight="1" x14ac:dyDescent="0.45">
      <c r="B218" s="132"/>
      <c r="C218" s="31"/>
      <c r="D218" s="31"/>
      <c r="E218" s="31"/>
      <c r="F218" s="31"/>
      <c r="G218" s="133"/>
      <c r="H218" s="137" t="s">
        <v>159</v>
      </c>
      <c r="I218" s="55"/>
      <c r="J218" s="137" t="s">
        <v>171</v>
      </c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138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139"/>
    </row>
    <row r="219" spans="2:61" ht="20.100000000000001" customHeight="1" x14ac:dyDescent="0.45">
      <c r="B219" s="132"/>
      <c r="C219" s="31"/>
      <c r="D219" s="31"/>
      <c r="E219" s="31"/>
      <c r="F219" s="31"/>
      <c r="G219" s="133"/>
      <c r="H219" s="134"/>
      <c r="I219" s="31"/>
      <c r="J219" s="134"/>
      <c r="K219" s="31" t="s">
        <v>172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135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136"/>
    </row>
    <row r="220" spans="2:61" ht="20.100000000000001" customHeight="1" x14ac:dyDescent="0.45">
      <c r="B220" s="132"/>
      <c r="C220" s="31"/>
      <c r="D220" s="31"/>
      <c r="E220" s="31"/>
      <c r="F220" s="31"/>
      <c r="G220" s="133"/>
      <c r="H220" s="134"/>
      <c r="I220" s="31"/>
      <c r="J220" s="134"/>
      <c r="K220" s="31"/>
      <c r="L220" s="31"/>
      <c r="M220" s="31" t="s">
        <v>257</v>
      </c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135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36"/>
    </row>
    <row r="221" spans="2:61" ht="20.100000000000001" customHeight="1" x14ac:dyDescent="0.45">
      <c r="B221" s="132"/>
      <c r="C221" s="31"/>
      <c r="D221" s="31"/>
      <c r="E221" s="31"/>
      <c r="F221" s="31"/>
      <c r="G221" s="133"/>
      <c r="H221" s="134"/>
      <c r="I221" s="31"/>
      <c r="J221" s="134" t="s">
        <v>171</v>
      </c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135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136"/>
    </row>
    <row r="222" spans="2:61" ht="20.100000000000001" customHeight="1" x14ac:dyDescent="0.45">
      <c r="B222" s="132"/>
      <c r="C222" s="31"/>
      <c r="D222" s="31"/>
      <c r="E222" s="31"/>
      <c r="F222" s="31"/>
      <c r="G222" s="133"/>
      <c r="H222" s="134"/>
      <c r="I222" s="31"/>
      <c r="J222" s="134"/>
      <c r="K222" s="31" t="s">
        <v>258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135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136"/>
    </row>
    <row r="223" spans="2:61" ht="20.100000000000001" customHeight="1" x14ac:dyDescent="0.45">
      <c r="B223" s="132"/>
      <c r="C223" s="31"/>
      <c r="D223" s="31"/>
      <c r="E223" s="31"/>
      <c r="F223" s="31"/>
      <c r="G223" s="133"/>
      <c r="H223" s="134"/>
      <c r="I223" s="31"/>
      <c r="J223" s="134"/>
      <c r="K223" s="31"/>
      <c r="L223" s="31"/>
      <c r="M223" s="31" t="s">
        <v>259</v>
      </c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135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36"/>
    </row>
    <row r="224" spans="2:61" ht="20.100000000000001" customHeight="1" x14ac:dyDescent="0.45">
      <c r="B224" s="132"/>
      <c r="C224" s="31"/>
      <c r="D224" s="31"/>
      <c r="E224" s="31"/>
      <c r="F224" s="31"/>
      <c r="G224" s="133"/>
      <c r="H224" s="134"/>
      <c r="I224" s="31"/>
      <c r="J224" s="134" t="s">
        <v>260</v>
      </c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135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36"/>
    </row>
    <row r="225" spans="2:61" ht="20.100000000000001" customHeight="1" x14ac:dyDescent="0.45">
      <c r="B225" s="132"/>
      <c r="C225" s="31"/>
      <c r="D225" s="31"/>
      <c r="E225" s="31"/>
      <c r="F225" s="31"/>
      <c r="G225" s="133"/>
      <c r="H225" s="134"/>
      <c r="I225" s="31"/>
      <c r="J225" s="134"/>
      <c r="K225" s="31" t="s">
        <v>261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135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36"/>
    </row>
    <row r="226" spans="2:61" ht="20.100000000000001" customHeight="1" x14ac:dyDescent="0.45">
      <c r="B226" s="132"/>
      <c r="C226" s="31"/>
      <c r="D226" s="31"/>
      <c r="E226" s="31"/>
      <c r="F226" s="31"/>
      <c r="G226" s="133"/>
      <c r="H226" s="134"/>
      <c r="I226" s="31"/>
      <c r="J226" s="134"/>
      <c r="K226" s="31"/>
      <c r="L226" s="31"/>
      <c r="M226" s="31" t="s">
        <v>262</v>
      </c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135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136"/>
    </row>
    <row r="227" spans="2:61" ht="20.100000000000001" customHeight="1" x14ac:dyDescent="0.45">
      <c r="B227" s="132"/>
      <c r="C227" s="31"/>
      <c r="D227" s="31"/>
      <c r="E227" s="31"/>
      <c r="F227" s="31"/>
      <c r="G227" s="133"/>
      <c r="H227" s="134"/>
      <c r="I227" s="31"/>
      <c r="J227" s="134" t="s">
        <v>171</v>
      </c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135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136"/>
    </row>
    <row r="228" spans="2:61" ht="20.100000000000001" customHeight="1" x14ac:dyDescent="0.45">
      <c r="B228" s="132"/>
      <c r="C228" s="31"/>
      <c r="D228" s="31"/>
      <c r="E228" s="31"/>
      <c r="F228" s="31"/>
      <c r="G228" s="133"/>
      <c r="H228" s="134"/>
      <c r="I228" s="31"/>
      <c r="J228" s="134"/>
      <c r="K228" s="31" t="s">
        <v>236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135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36"/>
    </row>
    <row r="229" spans="2:61" ht="20.100000000000001" customHeight="1" x14ac:dyDescent="0.45">
      <c r="B229" s="132"/>
      <c r="C229" s="31"/>
      <c r="D229" s="31"/>
      <c r="E229" s="31"/>
      <c r="F229" s="31"/>
      <c r="G229" s="133"/>
      <c r="H229" s="134"/>
      <c r="I229" s="31"/>
      <c r="J229" s="134"/>
      <c r="K229" s="31"/>
      <c r="L229" s="31"/>
      <c r="M229" s="31" t="s">
        <v>263</v>
      </c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135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36"/>
    </row>
    <row r="230" spans="2:61" ht="20.100000000000001" customHeight="1" x14ac:dyDescent="0.45">
      <c r="B230" s="132"/>
      <c r="C230" s="31"/>
      <c r="D230" s="31"/>
      <c r="E230" s="31"/>
      <c r="F230" s="31"/>
      <c r="G230" s="133"/>
      <c r="H230" s="137" t="s">
        <v>176</v>
      </c>
      <c r="I230" s="55"/>
      <c r="J230" s="137"/>
      <c r="K230" s="55"/>
      <c r="L230" s="55" t="s">
        <v>264</v>
      </c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138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139"/>
    </row>
    <row r="231" spans="2:61" ht="20.100000000000001" customHeight="1" x14ac:dyDescent="0.45">
      <c r="B231" s="132"/>
      <c r="C231" s="31"/>
      <c r="D231" s="31"/>
      <c r="E231" s="31"/>
      <c r="F231" s="31"/>
      <c r="G231" s="133"/>
      <c r="H231" s="134"/>
      <c r="I231" s="31"/>
      <c r="J231" s="134" t="s">
        <v>177</v>
      </c>
      <c r="K231" s="31" t="s">
        <v>266</v>
      </c>
      <c r="L231" s="31" t="s">
        <v>265</v>
      </c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134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136"/>
    </row>
    <row r="232" spans="2:61" ht="20.100000000000001" customHeight="1" x14ac:dyDescent="0.45">
      <c r="B232" s="132"/>
      <c r="C232" s="31"/>
      <c r="D232" s="31"/>
      <c r="E232" s="31"/>
      <c r="F232" s="31"/>
      <c r="G232" s="133"/>
      <c r="H232" s="134"/>
      <c r="I232" s="31"/>
      <c r="J232" s="134" t="s">
        <v>177</v>
      </c>
      <c r="K232" s="31"/>
      <c r="L232" s="31" t="s">
        <v>270</v>
      </c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134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36"/>
    </row>
    <row r="233" spans="2:61" ht="20.100000000000001" customHeight="1" x14ac:dyDescent="0.45">
      <c r="B233" s="132"/>
      <c r="C233" s="31"/>
      <c r="D233" s="31"/>
      <c r="E233" s="31"/>
      <c r="F233" s="31"/>
      <c r="G233" s="133"/>
      <c r="H233" s="134"/>
      <c r="I233" s="31"/>
      <c r="J233" s="134" t="s">
        <v>177</v>
      </c>
      <c r="K233" s="31"/>
      <c r="L233" s="31" t="s">
        <v>271</v>
      </c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134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36"/>
    </row>
    <row r="234" spans="2:61" ht="20.100000000000001" customHeight="1" x14ac:dyDescent="0.45">
      <c r="B234" s="132"/>
      <c r="C234" s="31"/>
      <c r="D234" s="31"/>
      <c r="E234" s="31"/>
      <c r="F234" s="31"/>
      <c r="G234" s="133"/>
      <c r="H234" s="137" t="s">
        <v>180</v>
      </c>
      <c r="I234" s="55"/>
      <c r="J234" s="137" t="s">
        <v>272</v>
      </c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137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139"/>
    </row>
    <row r="235" spans="2:61" ht="20.100000000000001" customHeight="1" x14ac:dyDescent="0.45">
      <c r="B235" s="132"/>
      <c r="C235" s="31"/>
      <c r="D235" s="31"/>
      <c r="E235" s="31"/>
      <c r="F235" s="31"/>
      <c r="G235" s="133"/>
      <c r="H235" s="134"/>
      <c r="I235" s="31"/>
      <c r="J235" s="134" t="s">
        <v>267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134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136"/>
    </row>
    <row r="236" spans="2:61" ht="20.100000000000001" customHeight="1" x14ac:dyDescent="0.45">
      <c r="B236" s="132"/>
      <c r="C236" s="31"/>
      <c r="D236" s="31"/>
      <c r="E236" s="31"/>
      <c r="F236" s="31"/>
      <c r="G236" s="133"/>
      <c r="H236" s="134"/>
      <c r="I236" s="31"/>
      <c r="J236" s="134"/>
      <c r="K236" s="31" t="s">
        <v>268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134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136"/>
    </row>
    <row r="237" spans="2:61" ht="20.100000000000001" customHeight="1" x14ac:dyDescent="0.45">
      <c r="B237" s="132"/>
      <c r="C237" s="31"/>
      <c r="D237" s="31"/>
      <c r="E237" s="31"/>
      <c r="F237" s="31"/>
      <c r="G237" s="133"/>
      <c r="H237" s="134"/>
      <c r="I237" s="31"/>
      <c r="J237" s="134"/>
      <c r="K237" s="31" t="s">
        <v>269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34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36"/>
    </row>
    <row r="238" spans="2:61" ht="20.100000000000001" customHeight="1" thickBot="1" x14ac:dyDescent="0.5">
      <c r="B238" s="132"/>
      <c r="C238" s="31"/>
      <c r="D238" s="31"/>
      <c r="E238" s="31"/>
      <c r="F238" s="31"/>
      <c r="G238" s="133"/>
      <c r="H238" s="140"/>
      <c r="I238" s="141"/>
      <c r="J238" s="134" t="s">
        <v>184</v>
      </c>
      <c r="K238" s="3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0"/>
      <c r="AL238" s="141"/>
      <c r="AM238" s="141"/>
      <c r="AN238" s="141"/>
      <c r="AO238" s="141"/>
      <c r="AP238" s="141"/>
      <c r="AQ238" s="141"/>
      <c r="AR238" s="141"/>
      <c r="AS238" s="141"/>
      <c r="AT238" s="141"/>
      <c r="AU238" s="141"/>
      <c r="AV238" s="141"/>
      <c r="AW238" s="141"/>
      <c r="AX238" s="141"/>
      <c r="AY238" s="141"/>
      <c r="AZ238" s="141"/>
      <c r="BA238" s="141"/>
      <c r="BB238" s="141"/>
      <c r="BC238" s="141"/>
      <c r="BD238" s="141"/>
      <c r="BE238" s="141"/>
      <c r="BF238" s="141"/>
      <c r="BG238" s="141"/>
      <c r="BH238" s="141"/>
      <c r="BI238" s="143"/>
    </row>
    <row r="239" spans="2:61" ht="20.100000000000001" customHeight="1" x14ac:dyDescent="0.45">
      <c r="B239" s="126" t="s">
        <v>358</v>
      </c>
      <c r="C239" s="127"/>
      <c r="D239" s="127"/>
      <c r="E239" s="127"/>
      <c r="F239" s="127"/>
      <c r="G239" s="128"/>
      <c r="H239" s="129" t="s">
        <v>117</v>
      </c>
      <c r="I239" s="127"/>
      <c r="J239" s="129" t="s">
        <v>359</v>
      </c>
      <c r="K239" s="127"/>
      <c r="L239" s="127"/>
      <c r="M239" s="127"/>
      <c r="N239" s="127"/>
      <c r="O239" s="127"/>
      <c r="P239" s="127"/>
      <c r="Q239" s="159"/>
      <c r="R239" s="158" t="s">
        <v>360</v>
      </c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8"/>
      <c r="AK239" s="130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31"/>
    </row>
    <row r="240" spans="2:61" ht="20.100000000000001" customHeight="1" x14ac:dyDescent="0.45">
      <c r="B240" s="160"/>
      <c r="C240" s="31"/>
      <c r="D240" s="31"/>
      <c r="E240" s="31"/>
      <c r="F240" s="31"/>
      <c r="G240" s="133"/>
      <c r="H240" s="134"/>
      <c r="I240" s="133"/>
      <c r="J240" s="161" t="s">
        <v>361</v>
      </c>
      <c r="K240" s="52"/>
      <c r="L240" s="52"/>
      <c r="M240" s="52"/>
      <c r="N240" s="52"/>
      <c r="O240" s="52"/>
      <c r="P240" s="52"/>
      <c r="Q240" s="162"/>
      <c r="R240" s="52" t="s">
        <v>363</v>
      </c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162"/>
      <c r="AK240" s="135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136"/>
    </row>
    <row r="241" spans="2:61" ht="20.100000000000001" customHeight="1" x14ac:dyDescent="0.45">
      <c r="B241" s="160"/>
      <c r="C241" s="31"/>
      <c r="D241" s="31"/>
      <c r="E241" s="31"/>
      <c r="F241" s="31"/>
      <c r="G241" s="133"/>
      <c r="H241" s="134"/>
      <c r="I241" s="31"/>
      <c r="J241" s="161" t="s">
        <v>362</v>
      </c>
      <c r="K241" s="52"/>
      <c r="L241" s="52"/>
      <c r="M241" s="52"/>
      <c r="N241" s="52"/>
      <c r="O241" s="52"/>
      <c r="P241" s="52"/>
      <c r="Q241" s="162"/>
      <c r="R241" s="52" t="s">
        <v>364</v>
      </c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162"/>
      <c r="AK241" s="135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136"/>
    </row>
    <row r="242" spans="2:61" ht="20.100000000000001" customHeight="1" x14ac:dyDescent="0.45">
      <c r="B242" s="160"/>
      <c r="C242" s="31"/>
      <c r="D242" s="31"/>
      <c r="E242" s="31"/>
      <c r="F242" s="31"/>
      <c r="G242" s="133"/>
      <c r="H242" s="134"/>
      <c r="I242" s="31"/>
      <c r="J242" s="161" t="s">
        <v>273</v>
      </c>
      <c r="K242" s="52"/>
      <c r="L242" s="52"/>
      <c r="M242" s="52"/>
      <c r="N242" s="52"/>
      <c r="O242" s="52"/>
      <c r="P242" s="52"/>
      <c r="Q242" s="162"/>
      <c r="R242" s="52" t="s">
        <v>274</v>
      </c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162"/>
      <c r="AK242" s="135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36"/>
    </row>
    <row r="243" spans="2:61" ht="20.100000000000001" customHeight="1" x14ac:dyDescent="0.45">
      <c r="B243" s="160"/>
      <c r="C243" s="31"/>
      <c r="D243" s="31"/>
      <c r="E243" s="31"/>
      <c r="F243" s="31"/>
      <c r="G243" s="133"/>
      <c r="H243" s="134"/>
      <c r="I243" s="31"/>
      <c r="J243" s="161" t="s">
        <v>275</v>
      </c>
      <c r="K243" s="52"/>
      <c r="L243" s="52"/>
      <c r="M243" s="52"/>
      <c r="N243" s="52"/>
      <c r="O243" s="52"/>
      <c r="P243" s="52"/>
      <c r="Q243" s="162"/>
      <c r="R243" s="52" t="s">
        <v>276</v>
      </c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162"/>
      <c r="AK243" s="135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136"/>
    </row>
    <row r="244" spans="2:61" ht="20.100000000000001" customHeight="1" x14ac:dyDescent="0.45">
      <c r="B244" s="160"/>
      <c r="C244" s="31"/>
      <c r="D244" s="31"/>
      <c r="E244" s="31"/>
      <c r="F244" s="31"/>
      <c r="G244" s="133"/>
      <c r="H244" s="31"/>
      <c r="I244" s="31"/>
      <c r="J244" s="161" t="s">
        <v>277</v>
      </c>
      <c r="K244" s="52"/>
      <c r="L244" s="52"/>
      <c r="M244" s="52"/>
      <c r="N244" s="52"/>
      <c r="O244" s="52"/>
      <c r="P244" s="52"/>
      <c r="Q244" s="162"/>
      <c r="R244" s="52" t="s">
        <v>278</v>
      </c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162"/>
      <c r="AK244" s="135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136"/>
    </row>
    <row r="245" spans="2:61" ht="20.100000000000001" customHeight="1" x14ac:dyDescent="0.45">
      <c r="B245" s="160"/>
      <c r="C245" s="31"/>
      <c r="D245" s="31"/>
      <c r="E245" s="31"/>
      <c r="F245" s="31"/>
      <c r="G245" s="133"/>
      <c r="H245" s="31"/>
      <c r="I245" s="31"/>
      <c r="J245" s="161" t="s">
        <v>279</v>
      </c>
      <c r="K245" s="52"/>
      <c r="L245" s="52"/>
      <c r="M245" s="52"/>
      <c r="N245" s="52"/>
      <c r="O245" s="52"/>
      <c r="P245" s="52"/>
      <c r="Q245" s="162"/>
      <c r="R245" s="52" t="s">
        <v>280</v>
      </c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162"/>
      <c r="AK245" s="135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136"/>
    </row>
    <row r="246" spans="2:61" ht="20.100000000000001" customHeight="1" x14ac:dyDescent="0.45">
      <c r="B246" s="160"/>
      <c r="C246" s="31"/>
      <c r="D246" s="31"/>
      <c r="E246" s="31"/>
      <c r="F246" s="31"/>
      <c r="G246" s="133"/>
      <c r="H246" s="31"/>
      <c r="I246" s="31"/>
      <c r="J246" s="161" t="s">
        <v>281</v>
      </c>
      <c r="K246" s="52"/>
      <c r="L246" s="52"/>
      <c r="M246" s="52"/>
      <c r="N246" s="52"/>
      <c r="O246" s="52"/>
      <c r="P246" s="52"/>
      <c r="Q246" s="162"/>
      <c r="R246" s="52" t="s">
        <v>282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162"/>
      <c r="AK246" s="135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136"/>
    </row>
    <row r="247" spans="2:61" ht="20.100000000000001" customHeight="1" x14ac:dyDescent="0.45">
      <c r="B247" s="160"/>
      <c r="C247" s="31"/>
      <c r="D247" s="31"/>
      <c r="E247" s="31"/>
      <c r="F247" s="31"/>
      <c r="G247" s="133"/>
      <c r="H247" s="31"/>
      <c r="I247" s="31"/>
      <c r="J247" s="161" t="s">
        <v>283</v>
      </c>
      <c r="K247" s="52"/>
      <c r="L247" s="52"/>
      <c r="M247" s="52"/>
      <c r="N247" s="52"/>
      <c r="O247" s="52"/>
      <c r="P247" s="52"/>
      <c r="Q247" s="162"/>
      <c r="R247" s="52" t="s">
        <v>284</v>
      </c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162"/>
      <c r="AK247" s="135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136"/>
    </row>
    <row r="248" spans="2:61" ht="20.100000000000001" customHeight="1" x14ac:dyDescent="0.45">
      <c r="B248" s="160"/>
      <c r="C248" s="31"/>
      <c r="D248" s="31"/>
      <c r="E248" s="31"/>
      <c r="F248" s="31"/>
      <c r="G248" s="133"/>
      <c r="H248" s="31"/>
      <c r="I248" s="31"/>
      <c r="J248" s="161" t="s">
        <v>285</v>
      </c>
      <c r="K248" s="52"/>
      <c r="L248" s="52"/>
      <c r="M248" s="52"/>
      <c r="N248" s="52"/>
      <c r="O248" s="52"/>
      <c r="P248" s="52"/>
      <c r="Q248" s="162"/>
      <c r="R248" s="52" t="s">
        <v>286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162"/>
      <c r="AK248" s="135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136"/>
    </row>
    <row r="249" spans="2:61" ht="20.100000000000001" customHeight="1" x14ac:dyDescent="0.45">
      <c r="B249" s="160"/>
      <c r="C249" s="31"/>
      <c r="D249" s="31"/>
      <c r="E249" s="31"/>
      <c r="F249" s="31"/>
      <c r="G249" s="133"/>
      <c r="H249" s="31"/>
      <c r="I249" s="31"/>
      <c r="J249" s="161" t="s">
        <v>287</v>
      </c>
      <c r="K249" s="52"/>
      <c r="L249" s="52"/>
      <c r="M249" s="52"/>
      <c r="N249" s="52"/>
      <c r="O249" s="52"/>
      <c r="P249" s="52"/>
      <c r="Q249" s="162"/>
      <c r="R249" s="52" t="s">
        <v>288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162"/>
      <c r="AK249" s="135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36"/>
    </row>
    <row r="250" spans="2:61" ht="20.100000000000001" customHeight="1" x14ac:dyDescent="0.45">
      <c r="B250" s="160"/>
      <c r="C250" s="31"/>
      <c r="D250" s="31"/>
      <c r="E250" s="31"/>
      <c r="F250" s="31"/>
      <c r="G250" s="133"/>
      <c r="H250" s="31"/>
      <c r="I250" s="31"/>
      <c r="J250" s="161" t="s">
        <v>289</v>
      </c>
      <c r="K250" s="52"/>
      <c r="L250" s="52"/>
      <c r="M250" s="52"/>
      <c r="N250" s="52"/>
      <c r="O250" s="52"/>
      <c r="P250" s="52"/>
      <c r="Q250" s="162"/>
      <c r="R250" s="52" t="s">
        <v>290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162"/>
      <c r="AK250" s="135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136"/>
    </row>
    <row r="251" spans="2:61" ht="20.100000000000001" customHeight="1" x14ac:dyDescent="0.45">
      <c r="B251" s="160"/>
      <c r="C251" s="31"/>
      <c r="D251" s="31"/>
      <c r="E251" s="31"/>
      <c r="F251" s="31"/>
      <c r="G251" s="133"/>
      <c r="H251" s="31"/>
      <c r="I251" s="31"/>
      <c r="J251" s="161" t="s">
        <v>291</v>
      </c>
      <c r="K251" s="52"/>
      <c r="L251" s="52"/>
      <c r="M251" s="52"/>
      <c r="N251" s="52"/>
      <c r="O251" s="52"/>
      <c r="P251" s="52"/>
      <c r="Q251" s="162"/>
      <c r="R251" s="52" t="s">
        <v>292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162"/>
      <c r="AK251" s="135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136"/>
    </row>
    <row r="252" spans="2:61" ht="20.100000000000001" customHeight="1" x14ac:dyDescent="0.45">
      <c r="B252" s="160"/>
      <c r="C252" s="31"/>
      <c r="D252" s="31"/>
      <c r="E252" s="31"/>
      <c r="F252" s="31"/>
      <c r="G252" s="133"/>
      <c r="H252" s="31"/>
      <c r="I252" s="31"/>
      <c r="J252" s="161" t="s">
        <v>293</v>
      </c>
      <c r="K252" s="52"/>
      <c r="L252" s="52"/>
      <c r="M252" s="52"/>
      <c r="N252" s="52"/>
      <c r="O252" s="52"/>
      <c r="P252" s="52"/>
      <c r="Q252" s="162"/>
      <c r="R252" s="52" t="s">
        <v>294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162"/>
      <c r="AK252" s="135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136"/>
    </row>
    <row r="253" spans="2:61" ht="20.100000000000001" customHeight="1" x14ac:dyDescent="0.45">
      <c r="B253" s="160"/>
      <c r="C253" s="31"/>
      <c r="D253" s="31"/>
      <c r="E253" s="31"/>
      <c r="F253" s="31"/>
      <c r="G253" s="133"/>
      <c r="H253" s="31"/>
      <c r="I253" s="31"/>
      <c r="J253" s="161" t="s">
        <v>295</v>
      </c>
      <c r="K253" s="52"/>
      <c r="L253" s="52"/>
      <c r="M253" s="52"/>
      <c r="N253" s="52"/>
      <c r="O253" s="52"/>
      <c r="P253" s="52"/>
      <c r="Q253" s="162"/>
      <c r="R253" s="52" t="s">
        <v>296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162"/>
      <c r="AK253" s="135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136"/>
    </row>
    <row r="254" spans="2:61" ht="20.100000000000001" customHeight="1" x14ac:dyDescent="0.45">
      <c r="B254" s="160"/>
      <c r="C254" s="31"/>
      <c r="D254" s="31"/>
      <c r="E254" s="31"/>
      <c r="F254" s="31"/>
      <c r="G254" s="133"/>
      <c r="H254" s="31"/>
      <c r="I254" s="31"/>
      <c r="J254" s="161" t="s">
        <v>297</v>
      </c>
      <c r="K254" s="52"/>
      <c r="L254" s="52"/>
      <c r="M254" s="52"/>
      <c r="N254" s="52"/>
      <c r="O254" s="52"/>
      <c r="P254" s="52"/>
      <c r="Q254" s="162"/>
      <c r="R254" s="52" t="s">
        <v>298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162"/>
      <c r="AK254" s="135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136"/>
    </row>
    <row r="255" spans="2:61" ht="20.100000000000001" customHeight="1" x14ac:dyDescent="0.45">
      <c r="B255" s="160"/>
      <c r="C255" s="31"/>
      <c r="D255" s="31"/>
      <c r="E255" s="31"/>
      <c r="F255" s="31"/>
      <c r="G255" s="133"/>
      <c r="H255" s="31"/>
      <c r="I255" s="31"/>
      <c r="J255" s="161" t="s">
        <v>299</v>
      </c>
      <c r="K255" s="52"/>
      <c r="L255" s="52"/>
      <c r="M255" s="52"/>
      <c r="N255" s="52"/>
      <c r="O255" s="52"/>
      <c r="P255" s="52"/>
      <c r="Q255" s="162"/>
      <c r="R255" s="52" t="s">
        <v>300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162"/>
      <c r="AK255" s="135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136"/>
    </row>
    <row r="256" spans="2:61" ht="20.100000000000001" customHeight="1" x14ac:dyDescent="0.45">
      <c r="B256" s="160"/>
      <c r="C256" s="31"/>
      <c r="D256" s="31"/>
      <c r="E256" s="31"/>
      <c r="F256" s="31"/>
      <c r="G256" s="133"/>
      <c r="H256" s="31"/>
      <c r="I256" s="31"/>
      <c r="J256" s="161" t="s">
        <v>301</v>
      </c>
      <c r="K256" s="52"/>
      <c r="L256" s="52"/>
      <c r="M256" s="52"/>
      <c r="N256" s="52"/>
      <c r="O256" s="52"/>
      <c r="P256" s="52"/>
      <c r="Q256" s="162"/>
      <c r="R256" s="52" t="s">
        <v>302</v>
      </c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162"/>
      <c r="AK256" s="135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136"/>
    </row>
    <row r="257" spans="2:61" ht="20.100000000000001" customHeight="1" x14ac:dyDescent="0.45">
      <c r="B257" s="160"/>
      <c r="C257" s="31"/>
      <c r="D257" s="31"/>
      <c r="E257" s="31"/>
      <c r="F257" s="31"/>
      <c r="G257" s="133"/>
      <c r="H257" s="31"/>
      <c r="I257" s="31"/>
      <c r="J257" s="161" t="s">
        <v>303</v>
      </c>
      <c r="K257" s="52"/>
      <c r="L257" s="52"/>
      <c r="M257" s="52"/>
      <c r="N257" s="52"/>
      <c r="O257" s="52"/>
      <c r="P257" s="52"/>
      <c r="Q257" s="162"/>
      <c r="R257" s="52" t="s">
        <v>304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162"/>
      <c r="AK257" s="135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136"/>
    </row>
    <row r="258" spans="2:61" ht="20.100000000000001" customHeight="1" x14ac:dyDescent="0.45">
      <c r="B258" s="160"/>
      <c r="C258" s="31"/>
      <c r="D258" s="31"/>
      <c r="E258" s="31"/>
      <c r="F258" s="31"/>
      <c r="G258" s="133"/>
      <c r="H258" s="31"/>
      <c r="I258" s="31"/>
      <c r="J258" s="161" t="s">
        <v>305</v>
      </c>
      <c r="K258" s="52"/>
      <c r="L258" s="52"/>
      <c r="M258" s="52"/>
      <c r="N258" s="52"/>
      <c r="O258" s="52"/>
      <c r="P258" s="52"/>
      <c r="Q258" s="162"/>
      <c r="R258" s="52" t="s">
        <v>306</v>
      </c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162"/>
      <c r="AK258" s="135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136"/>
    </row>
    <row r="259" spans="2:61" ht="20.100000000000001" customHeight="1" x14ac:dyDescent="0.45">
      <c r="B259" s="160"/>
      <c r="C259" s="31"/>
      <c r="D259" s="31"/>
      <c r="E259" s="31"/>
      <c r="F259" s="31"/>
      <c r="G259" s="133"/>
      <c r="H259" s="31"/>
      <c r="I259" s="31"/>
      <c r="J259" s="161" t="s">
        <v>307</v>
      </c>
      <c r="K259" s="52"/>
      <c r="L259" s="52"/>
      <c r="M259" s="52"/>
      <c r="N259" s="52"/>
      <c r="O259" s="52"/>
      <c r="P259" s="52"/>
      <c r="Q259" s="162"/>
      <c r="R259" s="52" t="s">
        <v>308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62"/>
      <c r="AK259" s="135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136"/>
    </row>
    <row r="260" spans="2:61" ht="20.100000000000001" customHeight="1" x14ac:dyDescent="0.45">
      <c r="B260" s="160"/>
      <c r="C260" s="31"/>
      <c r="D260" s="31"/>
      <c r="E260" s="31"/>
      <c r="F260" s="31"/>
      <c r="G260" s="133"/>
      <c r="H260" s="31"/>
      <c r="I260" s="31"/>
      <c r="J260" s="161" t="s">
        <v>309</v>
      </c>
      <c r="K260" s="52"/>
      <c r="L260" s="52"/>
      <c r="M260" s="52"/>
      <c r="N260" s="52"/>
      <c r="O260" s="52"/>
      <c r="P260" s="52"/>
      <c r="Q260" s="162"/>
      <c r="R260" s="52" t="s">
        <v>310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162"/>
      <c r="AK260" s="135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136"/>
    </row>
    <row r="261" spans="2:61" ht="20.100000000000001" customHeight="1" x14ac:dyDescent="0.45">
      <c r="B261" s="160"/>
      <c r="C261" s="31"/>
      <c r="D261" s="31"/>
      <c r="E261" s="31"/>
      <c r="F261" s="31"/>
      <c r="G261" s="133"/>
      <c r="H261" s="31"/>
      <c r="I261" s="31"/>
      <c r="J261" s="161" t="s">
        <v>311</v>
      </c>
      <c r="K261" s="52"/>
      <c r="L261" s="52"/>
      <c r="M261" s="52"/>
      <c r="N261" s="52"/>
      <c r="O261" s="52"/>
      <c r="P261" s="52"/>
      <c r="Q261" s="162"/>
      <c r="R261" s="52" t="s">
        <v>312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162"/>
      <c r="AK261" s="135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136"/>
    </row>
    <row r="262" spans="2:61" ht="20.100000000000001" customHeight="1" x14ac:dyDescent="0.45">
      <c r="B262" s="160"/>
      <c r="C262" s="31"/>
      <c r="D262" s="31"/>
      <c r="E262" s="31"/>
      <c r="F262" s="31"/>
      <c r="G262" s="133"/>
      <c r="H262" s="31"/>
      <c r="I262" s="31"/>
      <c r="J262" s="161" t="s">
        <v>313</v>
      </c>
      <c r="K262" s="52"/>
      <c r="L262" s="52"/>
      <c r="M262" s="52"/>
      <c r="N262" s="52"/>
      <c r="O262" s="52"/>
      <c r="P262" s="52"/>
      <c r="Q262" s="162"/>
      <c r="R262" s="52" t="s">
        <v>314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162"/>
      <c r="AK262" s="135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136"/>
    </row>
    <row r="263" spans="2:61" ht="20.100000000000001" customHeight="1" x14ac:dyDescent="0.45">
      <c r="B263" s="160"/>
      <c r="C263" s="31"/>
      <c r="D263" s="31"/>
      <c r="E263" s="31"/>
      <c r="F263" s="31"/>
      <c r="G263" s="133"/>
      <c r="H263" s="31"/>
      <c r="I263" s="31"/>
      <c r="J263" s="161" t="s">
        <v>315</v>
      </c>
      <c r="K263" s="52"/>
      <c r="L263" s="52"/>
      <c r="M263" s="52"/>
      <c r="N263" s="52"/>
      <c r="O263" s="52"/>
      <c r="P263" s="52"/>
      <c r="Q263" s="162"/>
      <c r="R263" s="52" t="s">
        <v>316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162"/>
      <c r="AK263" s="135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136"/>
    </row>
    <row r="264" spans="2:61" ht="20.100000000000001" customHeight="1" x14ac:dyDescent="0.45">
      <c r="B264" s="160"/>
      <c r="C264" s="31"/>
      <c r="D264" s="31"/>
      <c r="E264" s="31"/>
      <c r="F264" s="31"/>
      <c r="G264" s="133"/>
      <c r="H264" s="31"/>
      <c r="I264" s="31"/>
      <c r="J264" s="161" t="s">
        <v>317</v>
      </c>
      <c r="K264" s="52"/>
      <c r="L264" s="52"/>
      <c r="M264" s="52"/>
      <c r="N264" s="52"/>
      <c r="O264" s="52"/>
      <c r="P264" s="52"/>
      <c r="Q264" s="162"/>
      <c r="R264" s="52" t="s">
        <v>318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62"/>
      <c r="AK264" s="135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36"/>
    </row>
    <row r="265" spans="2:61" ht="20.100000000000001" customHeight="1" x14ac:dyDescent="0.45">
      <c r="B265" s="160"/>
      <c r="C265" s="31"/>
      <c r="D265" s="31"/>
      <c r="E265" s="31"/>
      <c r="F265" s="31"/>
      <c r="G265" s="133"/>
      <c r="H265" s="31"/>
      <c r="I265" s="31"/>
      <c r="J265" s="161" t="s">
        <v>319</v>
      </c>
      <c r="K265" s="52"/>
      <c r="L265" s="52"/>
      <c r="M265" s="52"/>
      <c r="N265" s="52"/>
      <c r="O265" s="52"/>
      <c r="P265" s="52"/>
      <c r="Q265" s="162"/>
      <c r="R265" s="52" t="s">
        <v>320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162"/>
      <c r="AK265" s="135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136"/>
    </row>
    <row r="266" spans="2:61" ht="20.100000000000001" customHeight="1" x14ac:dyDescent="0.45">
      <c r="B266" s="160"/>
      <c r="C266" s="31"/>
      <c r="D266" s="31"/>
      <c r="E266" s="31"/>
      <c r="F266" s="31"/>
      <c r="G266" s="133"/>
      <c r="H266" s="31"/>
      <c r="I266" s="31"/>
      <c r="J266" s="161" t="s">
        <v>321</v>
      </c>
      <c r="K266" s="52"/>
      <c r="L266" s="52"/>
      <c r="M266" s="52"/>
      <c r="N266" s="52"/>
      <c r="O266" s="52"/>
      <c r="P266" s="52"/>
      <c r="Q266" s="162"/>
      <c r="R266" s="52" t="s">
        <v>322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162"/>
      <c r="AK266" s="135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136"/>
    </row>
    <row r="267" spans="2:61" ht="20.100000000000001" customHeight="1" x14ac:dyDescent="0.45">
      <c r="B267" s="160"/>
      <c r="C267" s="31"/>
      <c r="D267" s="31"/>
      <c r="E267" s="31"/>
      <c r="F267" s="31"/>
      <c r="G267" s="133"/>
      <c r="H267" s="31"/>
      <c r="I267" s="31"/>
      <c r="J267" s="161" t="s">
        <v>323</v>
      </c>
      <c r="K267" s="52"/>
      <c r="L267" s="52"/>
      <c r="M267" s="52"/>
      <c r="N267" s="52"/>
      <c r="O267" s="52"/>
      <c r="P267" s="52"/>
      <c r="Q267" s="162"/>
      <c r="R267" s="52" t="s">
        <v>324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162"/>
      <c r="AK267" s="135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136"/>
    </row>
    <row r="268" spans="2:61" ht="20.100000000000001" customHeight="1" x14ac:dyDescent="0.45">
      <c r="B268" s="160"/>
      <c r="C268" s="31"/>
      <c r="D268" s="31"/>
      <c r="E268" s="31"/>
      <c r="F268" s="31"/>
      <c r="G268" s="133"/>
      <c r="H268" s="31"/>
      <c r="I268" s="31"/>
      <c r="J268" s="161" t="s">
        <v>325</v>
      </c>
      <c r="K268" s="52"/>
      <c r="L268" s="52"/>
      <c r="M268" s="52"/>
      <c r="N268" s="52"/>
      <c r="O268" s="52"/>
      <c r="P268" s="52"/>
      <c r="Q268" s="162"/>
      <c r="R268" s="52" t="s">
        <v>326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162"/>
      <c r="AK268" s="135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136"/>
    </row>
    <row r="269" spans="2:61" ht="20.100000000000001" customHeight="1" x14ac:dyDescent="0.45">
      <c r="B269" s="160"/>
      <c r="C269" s="31"/>
      <c r="D269" s="31"/>
      <c r="E269" s="31"/>
      <c r="F269" s="31"/>
      <c r="G269" s="133"/>
      <c r="H269" s="31"/>
      <c r="I269" s="31"/>
      <c r="J269" s="161" t="s">
        <v>327</v>
      </c>
      <c r="K269" s="52"/>
      <c r="L269" s="52"/>
      <c r="M269" s="52"/>
      <c r="N269" s="52"/>
      <c r="O269" s="52"/>
      <c r="P269" s="52"/>
      <c r="Q269" s="162"/>
      <c r="R269" s="52" t="s">
        <v>328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162"/>
      <c r="AK269" s="135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36"/>
    </row>
    <row r="270" spans="2:61" ht="20.100000000000001" customHeight="1" x14ac:dyDescent="0.45">
      <c r="B270" s="160"/>
      <c r="C270" s="31"/>
      <c r="D270" s="31"/>
      <c r="E270" s="31"/>
      <c r="F270" s="31"/>
      <c r="G270" s="133"/>
      <c r="H270" s="31"/>
      <c r="I270" s="31"/>
      <c r="J270" s="161" t="s">
        <v>329</v>
      </c>
      <c r="K270" s="52"/>
      <c r="L270" s="52"/>
      <c r="M270" s="52"/>
      <c r="N270" s="52"/>
      <c r="O270" s="52"/>
      <c r="P270" s="52"/>
      <c r="Q270" s="162"/>
      <c r="R270" s="52" t="s">
        <v>330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162"/>
      <c r="AK270" s="135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36"/>
    </row>
    <row r="271" spans="2:61" ht="20.100000000000001" customHeight="1" x14ac:dyDescent="0.45">
      <c r="B271" s="160"/>
      <c r="C271" s="31"/>
      <c r="D271" s="31"/>
      <c r="E271" s="31"/>
      <c r="F271" s="31"/>
      <c r="G271" s="133"/>
      <c r="H271" s="31"/>
      <c r="I271" s="31"/>
      <c r="J271" s="161" t="s">
        <v>331</v>
      </c>
      <c r="K271" s="52"/>
      <c r="L271" s="52"/>
      <c r="M271" s="52"/>
      <c r="N271" s="52"/>
      <c r="O271" s="52"/>
      <c r="P271" s="52"/>
      <c r="Q271" s="162"/>
      <c r="R271" s="52" t="s">
        <v>332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162"/>
      <c r="AK271" s="135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136"/>
    </row>
    <row r="272" spans="2:61" ht="20.100000000000001" customHeight="1" x14ac:dyDescent="0.45">
      <c r="B272" s="160"/>
      <c r="C272" s="31"/>
      <c r="D272" s="31"/>
      <c r="E272" s="31"/>
      <c r="F272" s="31"/>
      <c r="G272" s="133"/>
      <c r="H272" s="31"/>
      <c r="I272" s="31"/>
      <c r="J272" s="161" t="s">
        <v>333</v>
      </c>
      <c r="K272" s="52"/>
      <c r="L272" s="52"/>
      <c r="M272" s="52"/>
      <c r="N272" s="52"/>
      <c r="O272" s="52"/>
      <c r="P272" s="52"/>
      <c r="Q272" s="162"/>
      <c r="R272" s="52" t="s">
        <v>334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162"/>
      <c r="AK272" s="135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136"/>
    </row>
    <row r="273" spans="2:61" ht="20.100000000000001" customHeight="1" x14ac:dyDescent="0.45">
      <c r="B273" s="160"/>
      <c r="C273" s="31"/>
      <c r="D273" s="31"/>
      <c r="E273" s="31"/>
      <c r="F273" s="31"/>
      <c r="G273" s="133"/>
      <c r="H273" s="31"/>
      <c r="I273" s="31"/>
      <c r="J273" s="161" t="s">
        <v>335</v>
      </c>
      <c r="K273" s="52"/>
      <c r="L273" s="52"/>
      <c r="M273" s="52"/>
      <c r="N273" s="52"/>
      <c r="O273" s="52"/>
      <c r="P273" s="52"/>
      <c r="Q273" s="162"/>
      <c r="R273" s="52" t="s">
        <v>336</v>
      </c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162"/>
      <c r="AK273" s="135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36"/>
    </row>
    <row r="274" spans="2:61" ht="20.100000000000001" customHeight="1" x14ac:dyDescent="0.45">
      <c r="B274" s="160"/>
      <c r="C274" s="31"/>
      <c r="D274" s="31"/>
      <c r="E274" s="31"/>
      <c r="F274" s="31"/>
      <c r="G274" s="133"/>
      <c r="H274" s="31"/>
      <c r="I274" s="31"/>
      <c r="J274" s="161" t="s">
        <v>337</v>
      </c>
      <c r="K274" s="52"/>
      <c r="L274" s="52"/>
      <c r="M274" s="52"/>
      <c r="N274" s="52"/>
      <c r="O274" s="52"/>
      <c r="P274" s="52"/>
      <c r="Q274" s="162"/>
      <c r="R274" s="52" t="s">
        <v>338</v>
      </c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162"/>
      <c r="AK274" s="135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136"/>
    </row>
    <row r="275" spans="2:61" ht="20.100000000000001" customHeight="1" x14ac:dyDescent="0.45">
      <c r="B275" s="160"/>
      <c r="C275" s="31"/>
      <c r="D275" s="31"/>
      <c r="E275" s="31"/>
      <c r="F275" s="31"/>
      <c r="G275" s="133"/>
      <c r="H275" s="31"/>
      <c r="I275" s="31"/>
      <c r="J275" s="161" t="s">
        <v>339</v>
      </c>
      <c r="K275" s="52"/>
      <c r="L275" s="52"/>
      <c r="M275" s="52"/>
      <c r="N275" s="52"/>
      <c r="O275" s="52"/>
      <c r="P275" s="52"/>
      <c r="Q275" s="162"/>
      <c r="R275" s="52" t="s">
        <v>340</v>
      </c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162"/>
      <c r="AK275" s="135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36"/>
    </row>
    <row r="276" spans="2:61" ht="20.100000000000001" customHeight="1" x14ac:dyDescent="0.45">
      <c r="B276" s="160"/>
      <c r="C276" s="31"/>
      <c r="D276" s="31"/>
      <c r="E276" s="31"/>
      <c r="F276" s="31"/>
      <c r="G276" s="133"/>
      <c r="H276" s="31"/>
      <c r="I276" s="31"/>
      <c r="J276" s="161" t="s">
        <v>341</v>
      </c>
      <c r="K276" s="52"/>
      <c r="L276" s="52"/>
      <c r="M276" s="52"/>
      <c r="N276" s="52"/>
      <c r="O276" s="52"/>
      <c r="P276" s="52"/>
      <c r="Q276" s="162"/>
      <c r="R276" s="52" t="s">
        <v>342</v>
      </c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162"/>
      <c r="AK276" s="135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36"/>
    </row>
    <row r="277" spans="2:61" ht="20.100000000000001" customHeight="1" x14ac:dyDescent="0.45">
      <c r="B277" s="160"/>
      <c r="C277" s="31"/>
      <c r="D277" s="31"/>
      <c r="E277" s="31"/>
      <c r="F277" s="31"/>
      <c r="G277" s="133"/>
      <c r="H277" s="31"/>
      <c r="I277" s="31"/>
      <c r="J277" s="161" t="s">
        <v>343</v>
      </c>
      <c r="K277" s="52"/>
      <c r="L277" s="52"/>
      <c r="M277" s="52"/>
      <c r="N277" s="52"/>
      <c r="O277" s="52"/>
      <c r="P277" s="52"/>
      <c r="Q277" s="162"/>
      <c r="R277" s="52" t="s">
        <v>344</v>
      </c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162"/>
      <c r="AK277" s="135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136"/>
    </row>
    <row r="278" spans="2:61" ht="20.100000000000001" customHeight="1" x14ac:dyDescent="0.45">
      <c r="B278" s="160"/>
      <c r="C278" s="31"/>
      <c r="D278" s="31"/>
      <c r="E278" s="31"/>
      <c r="F278" s="31"/>
      <c r="G278" s="133"/>
      <c r="H278" s="31"/>
      <c r="I278" s="31"/>
      <c r="J278" s="161" t="s">
        <v>345</v>
      </c>
      <c r="K278" s="52"/>
      <c r="L278" s="52"/>
      <c r="M278" s="52"/>
      <c r="N278" s="52"/>
      <c r="O278" s="52"/>
      <c r="P278" s="52"/>
      <c r="Q278" s="162"/>
      <c r="R278" s="52" t="s">
        <v>346</v>
      </c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162"/>
      <c r="AK278" s="135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36"/>
    </row>
    <row r="279" spans="2:61" ht="20.100000000000001" customHeight="1" x14ac:dyDescent="0.45">
      <c r="B279" s="160"/>
      <c r="C279" s="31"/>
      <c r="D279" s="31"/>
      <c r="E279" s="31"/>
      <c r="F279" s="31"/>
      <c r="G279" s="133"/>
      <c r="H279" s="31"/>
      <c r="I279" s="31"/>
      <c r="J279" s="161" t="s">
        <v>347</v>
      </c>
      <c r="K279" s="52"/>
      <c r="L279" s="52"/>
      <c r="M279" s="52"/>
      <c r="N279" s="52"/>
      <c r="O279" s="52"/>
      <c r="P279" s="52"/>
      <c r="Q279" s="162"/>
      <c r="R279" s="52" t="s">
        <v>348</v>
      </c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162"/>
      <c r="AK279" s="135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36"/>
    </row>
    <row r="280" spans="2:61" ht="20.100000000000001" customHeight="1" x14ac:dyDescent="0.45">
      <c r="B280" s="160"/>
      <c r="C280" s="31"/>
      <c r="D280" s="31"/>
      <c r="E280" s="31"/>
      <c r="F280" s="31"/>
      <c r="G280" s="133"/>
      <c r="H280" s="31"/>
      <c r="I280" s="31"/>
      <c r="J280" s="161" t="s">
        <v>349</v>
      </c>
      <c r="K280" s="52"/>
      <c r="L280" s="52"/>
      <c r="M280" s="52"/>
      <c r="N280" s="52"/>
      <c r="O280" s="52"/>
      <c r="P280" s="52"/>
      <c r="Q280" s="162"/>
      <c r="R280" s="52" t="s">
        <v>350</v>
      </c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162"/>
      <c r="AK280" s="135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36"/>
    </row>
    <row r="281" spans="2:61" ht="20.100000000000001" customHeight="1" x14ac:dyDescent="0.45">
      <c r="B281" s="160"/>
      <c r="C281" s="31"/>
      <c r="D281" s="31"/>
      <c r="E281" s="31"/>
      <c r="F281" s="31"/>
      <c r="G281" s="133"/>
      <c r="H281" s="31"/>
      <c r="I281" s="31"/>
      <c r="J281" s="161" t="s">
        <v>351</v>
      </c>
      <c r="K281" s="52"/>
      <c r="L281" s="52"/>
      <c r="M281" s="52"/>
      <c r="N281" s="52"/>
      <c r="O281" s="52"/>
      <c r="P281" s="52"/>
      <c r="Q281" s="162"/>
      <c r="R281" s="52" t="s">
        <v>352</v>
      </c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162"/>
      <c r="AK281" s="135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36"/>
    </row>
    <row r="282" spans="2:61" ht="20.100000000000001" customHeight="1" x14ac:dyDescent="0.45">
      <c r="B282" s="160"/>
      <c r="C282" s="31"/>
      <c r="D282" s="31"/>
      <c r="E282" s="31"/>
      <c r="F282" s="31"/>
      <c r="G282" s="133"/>
      <c r="H282" s="137" t="s">
        <v>87</v>
      </c>
      <c r="I282" s="55"/>
      <c r="J282" s="137" t="s">
        <v>365</v>
      </c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138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139"/>
    </row>
    <row r="283" spans="2:61" ht="20.100000000000001" customHeight="1" x14ac:dyDescent="0.45">
      <c r="B283" s="160"/>
      <c r="C283" s="31"/>
      <c r="D283" s="31"/>
      <c r="E283" s="31"/>
      <c r="F283" s="31"/>
      <c r="G283" s="133"/>
      <c r="H283" s="134"/>
      <c r="I283" s="31"/>
      <c r="J283" s="134" t="s">
        <v>367</v>
      </c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135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36"/>
    </row>
    <row r="284" spans="2:61" ht="20.100000000000001" customHeight="1" x14ac:dyDescent="0.45">
      <c r="B284" s="132"/>
      <c r="C284" s="31"/>
      <c r="D284" s="31"/>
      <c r="E284" s="31"/>
      <c r="F284" s="31"/>
      <c r="G284" s="133"/>
      <c r="H284" s="137" t="s">
        <v>88</v>
      </c>
      <c r="I284" s="55"/>
      <c r="J284" s="137" t="s">
        <v>129</v>
      </c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138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  <c r="BI284" s="139"/>
    </row>
    <row r="285" spans="2:61" ht="20.100000000000001" customHeight="1" x14ac:dyDescent="0.45">
      <c r="B285" s="132"/>
      <c r="C285" s="31"/>
      <c r="D285" s="31"/>
      <c r="E285" s="31"/>
      <c r="F285" s="31"/>
      <c r="G285" s="133"/>
      <c r="H285" s="134"/>
      <c r="I285" s="31"/>
      <c r="J285" s="134"/>
      <c r="K285" s="31" t="s">
        <v>131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135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36"/>
    </row>
    <row r="286" spans="2:61" ht="20.100000000000001" customHeight="1" thickBot="1" x14ac:dyDescent="0.5">
      <c r="B286" s="132"/>
      <c r="C286" s="31"/>
      <c r="D286" s="31"/>
      <c r="E286" s="31"/>
      <c r="F286" s="31"/>
      <c r="G286" s="133"/>
      <c r="H286" s="134"/>
      <c r="I286" s="31"/>
      <c r="J286" s="134"/>
      <c r="K286" s="31"/>
      <c r="L286" s="31"/>
      <c r="M286" s="31" t="s">
        <v>368</v>
      </c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135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36"/>
    </row>
    <row r="287" spans="2:61" ht="20.100000000000001" customHeight="1" x14ac:dyDescent="0.45">
      <c r="B287" s="126" t="s">
        <v>366</v>
      </c>
      <c r="C287" s="127"/>
      <c r="D287" s="127"/>
      <c r="E287" s="127"/>
      <c r="F287" s="127"/>
      <c r="G287" s="128"/>
      <c r="H287" s="129" t="s">
        <v>117</v>
      </c>
      <c r="I287" s="127"/>
      <c r="J287" s="157" t="s">
        <v>369</v>
      </c>
      <c r="K287" s="158"/>
      <c r="L287" s="158"/>
      <c r="M287" s="158"/>
      <c r="N287" s="158"/>
      <c r="O287" s="158"/>
      <c r="P287" s="158"/>
      <c r="Q287" s="159"/>
      <c r="R287" s="158" t="s">
        <v>370</v>
      </c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9"/>
      <c r="AK287" s="130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31"/>
    </row>
    <row r="288" spans="2:61" ht="20.100000000000001" customHeight="1" x14ac:dyDescent="0.45">
      <c r="B288" s="160"/>
      <c r="C288" s="31"/>
      <c r="D288" s="31"/>
      <c r="E288" s="31"/>
      <c r="F288" s="31"/>
      <c r="G288" s="133"/>
      <c r="H288" s="31"/>
      <c r="I288" s="31"/>
      <c r="J288" s="161" t="s">
        <v>354</v>
      </c>
      <c r="K288" s="52"/>
      <c r="L288" s="52"/>
      <c r="M288" s="52"/>
      <c r="N288" s="52"/>
      <c r="O288" s="52"/>
      <c r="P288" s="52"/>
      <c r="Q288" s="162"/>
      <c r="R288" s="52" t="s">
        <v>371</v>
      </c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162"/>
      <c r="AK288" s="135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36"/>
    </row>
    <row r="289" spans="2:61" ht="20.100000000000001" customHeight="1" x14ac:dyDescent="0.45">
      <c r="B289" s="160"/>
      <c r="C289" s="31"/>
      <c r="D289" s="31"/>
      <c r="E289" s="31"/>
      <c r="F289" s="31"/>
      <c r="G289" s="133"/>
      <c r="H289" s="31"/>
      <c r="I289" s="31"/>
      <c r="J289" s="137" t="s">
        <v>355</v>
      </c>
      <c r="K289" s="55"/>
      <c r="L289" s="55"/>
      <c r="M289" s="55"/>
      <c r="N289" s="55"/>
      <c r="O289" s="55"/>
      <c r="P289" s="55"/>
      <c r="Q289" s="162"/>
      <c r="R289" s="55" t="s">
        <v>372</v>
      </c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135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36"/>
    </row>
    <row r="290" spans="2:61" ht="20.100000000000001" customHeight="1" x14ac:dyDescent="0.45">
      <c r="B290" s="160"/>
      <c r="C290" s="31"/>
      <c r="D290" s="31"/>
      <c r="E290" s="31"/>
      <c r="F290" s="31"/>
      <c r="G290" s="133"/>
      <c r="H290" s="31"/>
      <c r="I290" s="31"/>
      <c r="J290" s="137" t="s">
        <v>356</v>
      </c>
      <c r="K290" s="55"/>
      <c r="L290" s="55"/>
      <c r="M290" s="55"/>
      <c r="N290" s="55"/>
      <c r="O290" s="55"/>
      <c r="P290" s="55"/>
      <c r="Q290" s="162"/>
      <c r="R290" s="55" t="s">
        <v>373</v>
      </c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135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136"/>
    </row>
    <row r="291" spans="2:61" ht="20.100000000000001" customHeight="1" x14ac:dyDescent="0.45">
      <c r="B291" s="160"/>
      <c r="C291" s="31"/>
      <c r="D291" s="31"/>
      <c r="E291" s="31"/>
      <c r="F291" s="31"/>
      <c r="G291" s="133"/>
      <c r="H291" s="31"/>
      <c r="I291" s="31"/>
      <c r="J291" s="137" t="s">
        <v>357</v>
      </c>
      <c r="K291" s="55"/>
      <c r="L291" s="55"/>
      <c r="M291" s="55"/>
      <c r="N291" s="55"/>
      <c r="O291" s="55"/>
      <c r="P291" s="55"/>
      <c r="Q291" s="162"/>
      <c r="R291" s="55" t="s">
        <v>374</v>
      </c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135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36"/>
    </row>
    <row r="292" spans="2:61" ht="20.100000000000001" customHeight="1" x14ac:dyDescent="0.45">
      <c r="B292" s="160"/>
      <c r="C292" s="31"/>
      <c r="D292" s="31"/>
      <c r="E292" s="31"/>
      <c r="F292" s="31"/>
      <c r="G292" s="133"/>
      <c r="H292" s="31"/>
      <c r="I292" s="31"/>
      <c r="J292" s="137" t="s">
        <v>281</v>
      </c>
      <c r="K292" s="55"/>
      <c r="L292" s="55"/>
      <c r="M292" s="55"/>
      <c r="N292" s="55"/>
      <c r="O292" s="55"/>
      <c r="P292" s="55"/>
      <c r="Q292" s="162"/>
      <c r="R292" s="55" t="s">
        <v>375</v>
      </c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135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136"/>
    </row>
    <row r="293" spans="2:61" ht="20.100000000000001" customHeight="1" x14ac:dyDescent="0.45">
      <c r="B293" s="160"/>
      <c r="C293" s="31"/>
      <c r="D293" s="31"/>
      <c r="E293" s="31"/>
      <c r="F293" s="31"/>
      <c r="G293" s="133"/>
      <c r="H293" s="31"/>
      <c r="I293" s="31"/>
      <c r="J293" s="137" t="s">
        <v>283</v>
      </c>
      <c r="K293" s="55"/>
      <c r="L293" s="55"/>
      <c r="M293" s="55"/>
      <c r="N293" s="55"/>
      <c r="O293" s="55"/>
      <c r="P293" s="55"/>
      <c r="Q293" s="162"/>
      <c r="R293" s="55" t="s">
        <v>376</v>
      </c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135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136"/>
    </row>
    <row r="294" spans="2:61" ht="20.100000000000001" customHeight="1" x14ac:dyDescent="0.45">
      <c r="B294" s="160"/>
      <c r="C294" s="31"/>
      <c r="D294" s="31"/>
      <c r="E294" s="31"/>
      <c r="F294" s="31"/>
      <c r="G294" s="133"/>
      <c r="H294" s="31"/>
      <c r="I294" s="31"/>
      <c r="J294" s="137" t="s">
        <v>285</v>
      </c>
      <c r="K294" s="55"/>
      <c r="L294" s="55"/>
      <c r="M294" s="55"/>
      <c r="N294" s="55"/>
      <c r="O294" s="55"/>
      <c r="P294" s="55"/>
      <c r="Q294" s="162"/>
      <c r="R294" s="55" t="s">
        <v>377</v>
      </c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135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136"/>
    </row>
    <row r="295" spans="2:61" ht="20.100000000000001" customHeight="1" x14ac:dyDescent="0.45">
      <c r="B295" s="160"/>
      <c r="C295" s="31"/>
      <c r="D295" s="31"/>
      <c r="E295" s="31"/>
      <c r="F295" s="31"/>
      <c r="G295" s="133"/>
      <c r="H295" s="31"/>
      <c r="I295" s="31"/>
      <c r="J295" s="137" t="s">
        <v>287</v>
      </c>
      <c r="K295" s="55"/>
      <c r="L295" s="55"/>
      <c r="M295" s="55"/>
      <c r="N295" s="55"/>
      <c r="O295" s="55"/>
      <c r="P295" s="55"/>
      <c r="Q295" s="162"/>
      <c r="R295" s="55" t="s">
        <v>378</v>
      </c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135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36"/>
    </row>
    <row r="296" spans="2:61" ht="20.100000000000001" customHeight="1" x14ac:dyDescent="0.45">
      <c r="B296" s="160"/>
      <c r="C296" s="31"/>
      <c r="D296" s="31"/>
      <c r="E296" s="31"/>
      <c r="F296" s="31"/>
      <c r="G296" s="133"/>
      <c r="H296" s="31"/>
      <c r="I296" s="31"/>
      <c r="J296" s="137" t="s">
        <v>289</v>
      </c>
      <c r="K296" s="55"/>
      <c r="L296" s="55"/>
      <c r="M296" s="55"/>
      <c r="N296" s="55"/>
      <c r="O296" s="55"/>
      <c r="P296" s="55"/>
      <c r="Q296" s="162"/>
      <c r="R296" s="55" t="s">
        <v>379</v>
      </c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135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36"/>
    </row>
    <row r="297" spans="2:61" ht="20.100000000000001" customHeight="1" x14ac:dyDescent="0.45">
      <c r="B297" s="160"/>
      <c r="C297" s="31"/>
      <c r="D297" s="31"/>
      <c r="E297" s="31"/>
      <c r="F297" s="31"/>
      <c r="G297" s="133"/>
      <c r="H297" s="31"/>
      <c r="I297" s="31"/>
      <c r="J297" s="137" t="s">
        <v>291</v>
      </c>
      <c r="K297" s="55"/>
      <c r="L297" s="55"/>
      <c r="M297" s="55"/>
      <c r="N297" s="55"/>
      <c r="O297" s="55"/>
      <c r="P297" s="55"/>
      <c r="Q297" s="162"/>
      <c r="R297" s="55" t="s">
        <v>380</v>
      </c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135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136"/>
    </row>
    <row r="298" spans="2:61" ht="20.100000000000001" customHeight="1" x14ac:dyDescent="0.45">
      <c r="B298" s="160"/>
      <c r="C298" s="31"/>
      <c r="D298" s="31"/>
      <c r="E298" s="31"/>
      <c r="F298" s="31"/>
      <c r="G298" s="133"/>
      <c r="H298" s="31"/>
      <c r="I298" s="31"/>
      <c r="J298" s="137" t="s">
        <v>293</v>
      </c>
      <c r="K298" s="55"/>
      <c r="L298" s="55"/>
      <c r="M298" s="55"/>
      <c r="N298" s="55"/>
      <c r="O298" s="55"/>
      <c r="P298" s="55"/>
      <c r="Q298" s="162"/>
      <c r="R298" s="55" t="s">
        <v>381</v>
      </c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135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136"/>
    </row>
    <row r="299" spans="2:61" ht="20.100000000000001" customHeight="1" x14ac:dyDescent="0.45">
      <c r="B299" s="160"/>
      <c r="C299" s="31"/>
      <c r="D299" s="31"/>
      <c r="E299" s="31"/>
      <c r="F299" s="31"/>
      <c r="G299" s="133"/>
      <c r="H299" s="31"/>
      <c r="I299" s="31"/>
      <c r="J299" s="137" t="s">
        <v>295</v>
      </c>
      <c r="K299" s="55"/>
      <c r="L299" s="55"/>
      <c r="M299" s="55"/>
      <c r="N299" s="55"/>
      <c r="O299" s="55"/>
      <c r="P299" s="55"/>
      <c r="Q299" s="162"/>
      <c r="R299" s="55" t="s">
        <v>382</v>
      </c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135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136"/>
    </row>
    <row r="300" spans="2:61" ht="20.100000000000001" customHeight="1" x14ac:dyDescent="0.45">
      <c r="B300" s="160"/>
      <c r="C300" s="31"/>
      <c r="D300" s="31"/>
      <c r="E300" s="31"/>
      <c r="F300" s="31"/>
      <c r="G300" s="133"/>
      <c r="H300" s="31"/>
      <c r="I300" s="31"/>
      <c r="J300" s="137" t="s">
        <v>297</v>
      </c>
      <c r="K300" s="55"/>
      <c r="L300" s="55"/>
      <c r="M300" s="55"/>
      <c r="N300" s="55"/>
      <c r="O300" s="55"/>
      <c r="P300" s="55"/>
      <c r="Q300" s="162"/>
      <c r="R300" s="55" t="s">
        <v>383</v>
      </c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135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36"/>
    </row>
    <row r="301" spans="2:61" ht="20.100000000000001" customHeight="1" x14ac:dyDescent="0.45">
      <c r="B301" s="160"/>
      <c r="C301" s="31"/>
      <c r="D301" s="31"/>
      <c r="E301" s="31"/>
      <c r="F301" s="31"/>
      <c r="G301" s="133"/>
      <c r="H301" s="31"/>
      <c r="I301" s="31"/>
      <c r="J301" s="137" t="s">
        <v>299</v>
      </c>
      <c r="K301" s="55"/>
      <c r="L301" s="55"/>
      <c r="M301" s="55"/>
      <c r="N301" s="55"/>
      <c r="O301" s="55"/>
      <c r="P301" s="55"/>
      <c r="Q301" s="162"/>
      <c r="R301" s="55" t="s">
        <v>384</v>
      </c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135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36"/>
    </row>
    <row r="302" spans="2:61" ht="20.100000000000001" customHeight="1" x14ac:dyDescent="0.45">
      <c r="B302" s="160"/>
      <c r="C302" s="31"/>
      <c r="D302" s="31"/>
      <c r="E302" s="31"/>
      <c r="F302" s="31"/>
      <c r="G302" s="133"/>
      <c r="H302" s="31"/>
      <c r="I302" s="31"/>
      <c r="J302" s="137" t="s">
        <v>301</v>
      </c>
      <c r="K302" s="55"/>
      <c r="L302" s="55"/>
      <c r="M302" s="55"/>
      <c r="N302" s="55"/>
      <c r="O302" s="55"/>
      <c r="P302" s="55"/>
      <c r="Q302" s="162"/>
      <c r="R302" s="55" t="s">
        <v>385</v>
      </c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135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36"/>
    </row>
    <row r="303" spans="2:61" ht="20.100000000000001" customHeight="1" x14ac:dyDescent="0.45">
      <c r="B303" s="160"/>
      <c r="C303" s="31"/>
      <c r="D303" s="31"/>
      <c r="E303" s="31"/>
      <c r="F303" s="31"/>
      <c r="G303" s="133"/>
      <c r="H303" s="31"/>
      <c r="I303" s="31"/>
      <c r="J303" s="137" t="s">
        <v>303</v>
      </c>
      <c r="K303" s="55"/>
      <c r="L303" s="55"/>
      <c r="M303" s="55"/>
      <c r="N303" s="55"/>
      <c r="O303" s="55"/>
      <c r="P303" s="55"/>
      <c r="Q303" s="162"/>
      <c r="R303" s="55" t="s">
        <v>386</v>
      </c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135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36"/>
    </row>
    <row r="304" spans="2:61" ht="20.100000000000001" customHeight="1" x14ac:dyDescent="0.45">
      <c r="B304" s="160"/>
      <c r="C304" s="31"/>
      <c r="D304" s="31"/>
      <c r="E304" s="31"/>
      <c r="F304" s="31"/>
      <c r="G304" s="133"/>
      <c r="H304" s="31"/>
      <c r="I304" s="31"/>
      <c r="J304" s="137" t="s">
        <v>305</v>
      </c>
      <c r="K304" s="55"/>
      <c r="L304" s="55"/>
      <c r="M304" s="55"/>
      <c r="N304" s="55"/>
      <c r="O304" s="55"/>
      <c r="P304" s="55"/>
      <c r="Q304" s="162"/>
      <c r="R304" s="55" t="s">
        <v>387</v>
      </c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135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136"/>
    </row>
    <row r="305" spans="2:61" ht="20.100000000000001" customHeight="1" x14ac:dyDescent="0.45">
      <c r="B305" s="160"/>
      <c r="C305" s="31"/>
      <c r="D305" s="31"/>
      <c r="E305" s="31"/>
      <c r="F305" s="31"/>
      <c r="G305" s="133"/>
      <c r="H305" s="31"/>
      <c r="I305" s="31"/>
      <c r="J305" s="137" t="s">
        <v>307</v>
      </c>
      <c r="K305" s="55"/>
      <c r="L305" s="55"/>
      <c r="M305" s="55"/>
      <c r="N305" s="55"/>
      <c r="O305" s="55"/>
      <c r="P305" s="55"/>
      <c r="Q305" s="162"/>
      <c r="R305" s="55" t="s">
        <v>388</v>
      </c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135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36"/>
    </row>
    <row r="306" spans="2:61" ht="20.100000000000001" customHeight="1" x14ac:dyDescent="0.45">
      <c r="B306" s="160"/>
      <c r="C306" s="31"/>
      <c r="D306" s="31"/>
      <c r="E306" s="31"/>
      <c r="F306" s="31"/>
      <c r="G306" s="133"/>
      <c r="H306" s="31"/>
      <c r="I306" s="31"/>
      <c r="J306" s="137" t="s">
        <v>309</v>
      </c>
      <c r="K306" s="55"/>
      <c r="L306" s="55"/>
      <c r="M306" s="55"/>
      <c r="N306" s="55"/>
      <c r="O306" s="55"/>
      <c r="P306" s="55"/>
      <c r="Q306" s="162"/>
      <c r="R306" s="55" t="s">
        <v>389</v>
      </c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35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136"/>
    </row>
    <row r="307" spans="2:61" ht="20.100000000000001" customHeight="1" x14ac:dyDescent="0.45">
      <c r="B307" s="160"/>
      <c r="C307" s="31"/>
      <c r="D307" s="31"/>
      <c r="E307" s="31"/>
      <c r="F307" s="31"/>
      <c r="G307" s="133"/>
      <c r="H307" s="31"/>
      <c r="I307" s="31"/>
      <c r="J307" s="137" t="s">
        <v>311</v>
      </c>
      <c r="K307" s="55"/>
      <c r="L307" s="55"/>
      <c r="M307" s="55"/>
      <c r="N307" s="55"/>
      <c r="O307" s="55"/>
      <c r="P307" s="55"/>
      <c r="Q307" s="162"/>
      <c r="R307" s="55" t="s">
        <v>390</v>
      </c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35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36"/>
    </row>
    <row r="308" spans="2:61" ht="20.100000000000001" customHeight="1" x14ac:dyDescent="0.45">
      <c r="B308" s="160"/>
      <c r="C308" s="31"/>
      <c r="D308" s="31"/>
      <c r="E308" s="31"/>
      <c r="F308" s="31"/>
      <c r="G308" s="133"/>
      <c r="H308" s="31"/>
      <c r="I308" s="31"/>
      <c r="J308" s="137" t="s">
        <v>313</v>
      </c>
      <c r="K308" s="55"/>
      <c r="L308" s="55"/>
      <c r="M308" s="55"/>
      <c r="N308" s="55"/>
      <c r="O308" s="55"/>
      <c r="P308" s="55"/>
      <c r="Q308" s="162"/>
      <c r="R308" s="55" t="s">
        <v>391</v>
      </c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35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136"/>
    </row>
    <row r="309" spans="2:61" ht="20.100000000000001" customHeight="1" x14ac:dyDescent="0.45">
      <c r="B309" s="160"/>
      <c r="C309" s="31"/>
      <c r="D309" s="31"/>
      <c r="E309" s="31"/>
      <c r="F309" s="31"/>
      <c r="G309" s="133"/>
      <c r="H309" s="31"/>
      <c r="I309" s="31"/>
      <c r="J309" s="137" t="s">
        <v>315</v>
      </c>
      <c r="K309" s="55"/>
      <c r="L309" s="55"/>
      <c r="M309" s="55"/>
      <c r="N309" s="55"/>
      <c r="O309" s="55"/>
      <c r="P309" s="55"/>
      <c r="Q309" s="162"/>
      <c r="R309" s="55" t="s">
        <v>392</v>
      </c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135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36"/>
    </row>
    <row r="310" spans="2:61" ht="20.100000000000001" customHeight="1" x14ac:dyDescent="0.45">
      <c r="B310" s="160"/>
      <c r="C310" s="31"/>
      <c r="D310" s="31"/>
      <c r="E310" s="31"/>
      <c r="F310" s="31"/>
      <c r="G310" s="133"/>
      <c r="H310" s="31"/>
      <c r="I310" s="31"/>
      <c r="J310" s="137" t="s">
        <v>317</v>
      </c>
      <c r="K310" s="55"/>
      <c r="L310" s="55"/>
      <c r="M310" s="55"/>
      <c r="N310" s="55"/>
      <c r="O310" s="55"/>
      <c r="P310" s="55"/>
      <c r="Q310" s="162"/>
      <c r="R310" s="55" t="s">
        <v>393</v>
      </c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135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36"/>
    </row>
    <row r="311" spans="2:61" ht="20.100000000000001" customHeight="1" x14ac:dyDescent="0.45">
      <c r="B311" s="160"/>
      <c r="C311" s="31"/>
      <c r="D311" s="31"/>
      <c r="E311" s="31"/>
      <c r="F311" s="31"/>
      <c r="G311" s="133"/>
      <c r="H311" s="31"/>
      <c r="I311" s="31"/>
      <c r="J311" s="137" t="s">
        <v>319</v>
      </c>
      <c r="K311" s="55"/>
      <c r="L311" s="55"/>
      <c r="M311" s="55"/>
      <c r="N311" s="55"/>
      <c r="O311" s="55"/>
      <c r="P311" s="55"/>
      <c r="Q311" s="162"/>
      <c r="R311" s="55" t="s">
        <v>394</v>
      </c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135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36"/>
    </row>
    <row r="312" spans="2:61" ht="20.100000000000001" customHeight="1" x14ac:dyDescent="0.45">
      <c r="B312" s="160"/>
      <c r="C312" s="31"/>
      <c r="D312" s="31"/>
      <c r="E312" s="31"/>
      <c r="F312" s="31"/>
      <c r="G312" s="133"/>
      <c r="H312" s="31"/>
      <c r="I312" s="31"/>
      <c r="J312" s="137" t="s">
        <v>321</v>
      </c>
      <c r="K312" s="55"/>
      <c r="L312" s="55"/>
      <c r="M312" s="55"/>
      <c r="N312" s="55"/>
      <c r="O312" s="55"/>
      <c r="P312" s="55"/>
      <c r="Q312" s="162"/>
      <c r="R312" s="55" t="s">
        <v>395</v>
      </c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135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36"/>
    </row>
    <row r="313" spans="2:61" ht="20.100000000000001" customHeight="1" x14ac:dyDescent="0.45">
      <c r="B313" s="160"/>
      <c r="C313" s="31"/>
      <c r="D313" s="31"/>
      <c r="E313" s="31"/>
      <c r="F313" s="31"/>
      <c r="G313" s="133"/>
      <c r="H313" s="31"/>
      <c r="I313" s="31"/>
      <c r="J313" s="137" t="s">
        <v>323</v>
      </c>
      <c r="K313" s="55"/>
      <c r="L313" s="55"/>
      <c r="M313" s="55"/>
      <c r="N313" s="55"/>
      <c r="O313" s="55"/>
      <c r="P313" s="55"/>
      <c r="Q313" s="162"/>
      <c r="R313" s="55" t="s">
        <v>396</v>
      </c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135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136"/>
    </row>
    <row r="314" spans="2:61" ht="20.100000000000001" customHeight="1" x14ac:dyDescent="0.45">
      <c r="B314" s="160"/>
      <c r="C314" s="31"/>
      <c r="D314" s="31"/>
      <c r="E314" s="31"/>
      <c r="F314" s="31"/>
      <c r="G314" s="133"/>
      <c r="H314" s="31"/>
      <c r="I314" s="31"/>
      <c r="J314" s="137" t="s">
        <v>325</v>
      </c>
      <c r="K314" s="55"/>
      <c r="L314" s="55"/>
      <c r="M314" s="55"/>
      <c r="N314" s="55"/>
      <c r="O314" s="55"/>
      <c r="P314" s="55"/>
      <c r="Q314" s="162"/>
      <c r="R314" s="55" t="s">
        <v>397</v>
      </c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135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36"/>
    </row>
    <row r="315" spans="2:61" ht="20.100000000000001" customHeight="1" x14ac:dyDescent="0.45">
      <c r="B315" s="160"/>
      <c r="C315" s="31"/>
      <c r="D315" s="31"/>
      <c r="E315" s="31"/>
      <c r="F315" s="31"/>
      <c r="G315" s="133"/>
      <c r="H315" s="31"/>
      <c r="I315" s="31"/>
      <c r="J315" s="137" t="s">
        <v>327</v>
      </c>
      <c r="K315" s="55"/>
      <c r="L315" s="55"/>
      <c r="M315" s="55"/>
      <c r="N315" s="55"/>
      <c r="O315" s="55"/>
      <c r="P315" s="55"/>
      <c r="Q315" s="162"/>
      <c r="R315" s="55" t="s">
        <v>398</v>
      </c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135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36"/>
    </row>
    <row r="316" spans="2:61" ht="20.100000000000001" customHeight="1" x14ac:dyDescent="0.45">
      <c r="B316" s="160"/>
      <c r="C316" s="31"/>
      <c r="D316" s="31"/>
      <c r="E316" s="31"/>
      <c r="F316" s="31"/>
      <c r="G316" s="133"/>
      <c r="H316" s="31"/>
      <c r="I316" s="31"/>
      <c r="J316" s="137" t="s">
        <v>329</v>
      </c>
      <c r="K316" s="55"/>
      <c r="L316" s="55"/>
      <c r="M316" s="55"/>
      <c r="N316" s="55"/>
      <c r="O316" s="55"/>
      <c r="P316" s="55"/>
      <c r="Q316" s="162"/>
      <c r="R316" s="55" t="s">
        <v>399</v>
      </c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135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36"/>
    </row>
    <row r="317" spans="2:61" ht="20.100000000000001" customHeight="1" x14ac:dyDescent="0.45">
      <c r="B317" s="160"/>
      <c r="C317" s="31"/>
      <c r="D317" s="31"/>
      <c r="E317" s="31"/>
      <c r="F317" s="31"/>
      <c r="G317" s="133"/>
      <c r="H317" s="31"/>
      <c r="I317" s="31"/>
      <c r="J317" s="137" t="s">
        <v>331</v>
      </c>
      <c r="K317" s="55"/>
      <c r="L317" s="55"/>
      <c r="M317" s="55"/>
      <c r="N317" s="55"/>
      <c r="O317" s="55"/>
      <c r="P317" s="55"/>
      <c r="Q317" s="162"/>
      <c r="R317" s="55" t="s">
        <v>400</v>
      </c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135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36"/>
    </row>
    <row r="318" spans="2:61" ht="20.100000000000001" customHeight="1" x14ac:dyDescent="0.45">
      <c r="B318" s="160"/>
      <c r="C318" s="31"/>
      <c r="D318" s="31"/>
      <c r="E318" s="31"/>
      <c r="F318" s="31"/>
      <c r="G318" s="133"/>
      <c r="H318" s="31"/>
      <c r="I318" s="31"/>
      <c r="J318" s="137" t="s">
        <v>333</v>
      </c>
      <c r="K318" s="55"/>
      <c r="L318" s="55"/>
      <c r="M318" s="55"/>
      <c r="N318" s="55"/>
      <c r="O318" s="55"/>
      <c r="P318" s="55"/>
      <c r="Q318" s="162"/>
      <c r="R318" s="55" t="s">
        <v>401</v>
      </c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135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36"/>
    </row>
    <row r="319" spans="2:61" ht="20.100000000000001" customHeight="1" x14ac:dyDescent="0.45">
      <c r="B319" s="160"/>
      <c r="C319" s="31"/>
      <c r="D319" s="31"/>
      <c r="E319" s="31"/>
      <c r="F319" s="31"/>
      <c r="G319" s="133"/>
      <c r="H319" s="31"/>
      <c r="I319" s="31"/>
      <c r="J319" s="137" t="s">
        <v>335</v>
      </c>
      <c r="K319" s="55"/>
      <c r="L319" s="55"/>
      <c r="M319" s="55"/>
      <c r="N319" s="55"/>
      <c r="O319" s="55"/>
      <c r="P319" s="55"/>
      <c r="Q319" s="162"/>
      <c r="R319" s="55" t="s">
        <v>402</v>
      </c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135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36"/>
    </row>
    <row r="320" spans="2:61" ht="20.100000000000001" customHeight="1" x14ac:dyDescent="0.45">
      <c r="B320" s="160"/>
      <c r="C320" s="31"/>
      <c r="D320" s="31"/>
      <c r="E320" s="31"/>
      <c r="F320" s="31"/>
      <c r="G320" s="133"/>
      <c r="H320" s="31"/>
      <c r="I320" s="31"/>
      <c r="J320" s="137" t="s">
        <v>337</v>
      </c>
      <c r="K320" s="55"/>
      <c r="L320" s="55"/>
      <c r="M320" s="55"/>
      <c r="N320" s="55"/>
      <c r="O320" s="55"/>
      <c r="P320" s="55"/>
      <c r="Q320" s="162"/>
      <c r="R320" s="55" t="s">
        <v>403</v>
      </c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135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36"/>
    </row>
    <row r="321" spans="2:61" ht="20.100000000000001" customHeight="1" x14ac:dyDescent="0.45">
      <c r="B321" s="160"/>
      <c r="C321" s="31"/>
      <c r="D321" s="31"/>
      <c r="E321" s="31"/>
      <c r="F321" s="31"/>
      <c r="G321" s="133"/>
      <c r="H321" s="31"/>
      <c r="I321" s="31"/>
      <c r="J321" s="137" t="s">
        <v>339</v>
      </c>
      <c r="K321" s="55"/>
      <c r="L321" s="55"/>
      <c r="M321" s="55"/>
      <c r="N321" s="55"/>
      <c r="O321" s="55"/>
      <c r="P321" s="55"/>
      <c r="Q321" s="162"/>
      <c r="R321" s="55" t="s">
        <v>404</v>
      </c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135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36"/>
    </row>
    <row r="322" spans="2:61" ht="20.100000000000001" customHeight="1" x14ac:dyDescent="0.45">
      <c r="B322" s="160"/>
      <c r="C322" s="31"/>
      <c r="D322" s="31"/>
      <c r="E322" s="31"/>
      <c r="F322" s="31"/>
      <c r="G322" s="133"/>
      <c r="H322" s="31"/>
      <c r="I322" s="31"/>
      <c r="J322" s="137" t="s">
        <v>341</v>
      </c>
      <c r="K322" s="55"/>
      <c r="L322" s="55"/>
      <c r="M322" s="55"/>
      <c r="N322" s="55"/>
      <c r="O322" s="55"/>
      <c r="P322" s="55"/>
      <c r="Q322" s="162"/>
      <c r="R322" s="55" t="s">
        <v>405</v>
      </c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135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36"/>
    </row>
    <row r="323" spans="2:61" ht="20.100000000000001" customHeight="1" x14ac:dyDescent="0.45">
      <c r="B323" s="160"/>
      <c r="C323" s="31"/>
      <c r="D323" s="31"/>
      <c r="E323" s="31"/>
      <c r="F323" s="31"/>
      <c r="G323" s="133"/>
      <c r="H323" s="31"/>
      <c r="I323" s="31"/>
      <c r="J323" s="137" t="s">
        <v>343</v>
      </c>
      <c r="K323" s="55"/>
      <c r="L323" s="55"/>
      <c r="M323" s="55"/>
      <c r="N323" s="55"/>
      <c r="O323" s="55"/>
      <c r="P323" s="55"/>
      <c r="Q323" s="162"/>
      <c r="R323" s="55" t="s">
        <v>406</v>
      </c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135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36"/>
    </row>
    <row r="324" spans="2:61" ht="20.100000000000001" customHeight="1" x14ac:dyDescent="0.45">
      <c r="B324" s="160"/>
      <c r="C324" s="31"/>
      <c r="D324" s="31"/>
      <c r="E324" s="31"/>
      <c r="F324" s="31"/>
      <c r="G324" s="133"/>
      <c r="H324" s="31"/>
      <c r="I324" s="31"/>
      <c r="J324" s="137" t="s">
        <v>345</v>
      </c>
      <c r="K324" s="55"/>
      <c r="L324" s="55"/>
      <c r="M324" s="55"/>
      <c r="N324" s="55"/>
      <c r="O324" s="55"/>
      <c r="P324" s="55"/>
      <c r="Q324" s="162"/>
      <c r="R324" s="55" t="s">
        <v>407</v>
      </c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135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36"/>
    </row>
    <row r="325" spans="2:61" ht="20.100000000000001" customHeight="1" x14ac:dyDescent="0.45">
      <c r="B325" s="160"/>
      <c r="C325" s="31"/>
      <c r="D325" s="31"/>
      <c r="E325" s="31"/>
      <c r="F325" s="31"/>
      <c r="G325" s="133"/>
      <c r="H325" s="31"/>
      <c r="I325" s="31"/>
      <c r="J325" s="137" t="s">
        <v>347</v>
      </c>
      <c r="K325" s="55"/>
      <c r="L325" s="55"/>
      <c r="M325" s="55"/>
      <c r="N325" s="55"/>
      <c r="O325" s="55"/>
      <c r="P325" s="55"/>
      <c r="Q325" s="162"/>
      <c r="R325" s="55" t="s">
        <v>408</v>
      </c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135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136"/>
    </row>
    <row r="326" spans="2:61" ht="20.100000000000001" customHeight="1" x14ac:dyDescent="0.45">
      <c r="B326" s="160"/>
      <c r="C326" s="31"/>
      <c r="D326" s="31"/>
      <c r="E326" s="31"/>
      <c r="F326" s="31"/>
      <c r="G326" s="133"/>
      <c r="H326" s="31"/>
      <c r="I326" s="31"/>
      <c r="J326" s="137" t="s">
        <v>349</v>
      </c>
      <c r="K326" s="55"/>
      <c r="L326" s="55"/>
      <c r="M326" s="55"/>
      <c r="N326" s="55"/>
      <c r="O326" s="55"/>
      <c r="P326" s="55"/>
      <c r="Q326" s="162"/>
      <c r="R326" s="55" t="s">
        <v>409</v>
      </c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135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36"/>
    </row>
    <row r="327" spans="2:61" ht="20.100000000000001" customHeight="1" x14ac:dyDescent="0.45">
      <c r="B327" s="160"/>
      <c r="C327" s="31"/>
      <c r="D327" s="31"/>
      <c r="E327" s="31"/>
      <c r="F327" s="31"/>
      <c r="G327" s="133"/>
      <c r="H327" s="31"/>
      <c r="I327" s="31"/>
      <c r="J327" s="137" t="s">
        <v>351</v>
      </c>
      <c r="K327" s="55"/>
      <c r="L327" s="55"/>
      <c r="M327" s="55"/>
      <c r="N327" s="55"/>
      <c r="O327" s="55"/>
      <c r="P327" s="55"/>
      <c r="Q327" s="162"/>
      <c r="R327" s="55" t="s">
        <v>410</v>
      </c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135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36"/>
    </row>
    <row r="328" spans="2:61" ht="20.100000000000001" customHeight="1" x14ac:dyDescent="0.45">
      <c r="B328" s="160"/>
      <c r="C328" s="31"/>
      <c r="D328" s="31"/>
      <c r="E328" s="31"/>
      <c r="F328" s="31"/>
      <c r="G328" s="133"/>
      <c r="H328" s="137" t="s">
        <v>87</v>
      </c>
      <c r="I328" s="55"/>
      <c r="J328" s="137" t="s">
        <v>133</v>
      </c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135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136"/>
    </row>
    <row r="329" spans="2:61" ht="20.100000000000001" customHeight="1" thickBot="1" x14ac:dyDescent="0.5">
      <c r="B329" s="160"/>
      <c r="C329" s="31"/>
      <c r="D329" s="31"/>
      <c r="E329" s="31"/>
      <c r="F329" s="31"/>
      <c r="G329" s="133"/>
      <c r="H329" s="137" t="s">
        <v>130</v>
      </c>
      <c r="I329" s="55"/>
      <c r="J329" s="137" t="s">
        <v>353</v>
      </c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138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  <c r="BI329" s="139"/>
    </row>
    <row r="330" spans="2:61" ht="5.0999999999999996" customHeight="1" x14ac:dyDescent="0.45"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7" t="s">
        <v>0</v>
      </c>
      <c r="C2" s="228"/>
      <c r="D2" s="228"/>
      <c r="E2" s="228"/>
      <c r="F2" s="228"/>
      <c r="G2" s="228"/>
      <c r="H2" s="228" t="s">
        <v>17</v>
      </c>
      <c r="I2" s="228"/>
      <c r="J2" s="228"/>
      <c r="K2" s="228"/>
      <c r="L2" s="228" t="s">
        <v>1</v>
      </c>
      <c r="M2" s="228"/>
      <c r="N2" s="228"/>
      <c r="O2" s="228"/>
      <c r="P2" s="228"/>
      <c r="Q2" s="228"/>
      <c r="R2" s="228" t="s">
        <v>2</v>
      </c>
      <c r="S2" s="228"/>
      <c r="T2" s="228"/>
      <c r="U2" s="228"/>
      <c r="V2" s="228"/>
      <c r="W2" s="228"/>
      <c r="X2" s="229" t="s">
        <v>3</v>
      </c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1"/>
      <c r="AK2" s="229" t="s">
        <v>32</v>
      </c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1"/>
      <c r="AX2" s="228" t="s">
        <v>5</v>
      </c>
      <c r="AY2" s="228"/>
      <c r="AZ2" s="228"/>
      <c r="BA2" s="228"/>
      <c r="BB2" s="228" t="s">
        <v>4</v>
      </c>
      <c r="BC2" s="228"/>
      <c r="BD2" s="228"/>
      <c r="BE2" s="228"/>
      <c r="BF2" s="228" t="s">
        <v>6</v>
      </c>
      <c r="BG2" s="228"/>
      <c r="BH2" s="228"/>
      <c r="BI2" s="228"/>
      <c r="BJ2" s="228" t="s">
        <v>7</v>
      </c>
      <c r="BK2" s="228"/>
      <c r="BL2" s="228"/>
      <c r="BM2" s="238"/>
    </row>
    <row r="3" spans="2:65" ht="20.100000000000001" customHeight="1" x14ac:dyDescent="0.45">
      <c r="B3" s="232" t="str">
        <f>変更履歴!B3</f>
        <v>受発注システム</v>
      </c>
      <c r="C3" s="179"/>
      <c r="D3" s="179"/>
      <c r="E3" s="179"/>
      <c r="F3" s="179"/>
      <c r="G3" s="179"/>
      <c r="H3" s="179" t="str">
        <f ca="1">変更履歴!H3</f>
        <v>TK0100</v>
      </c>
      <c r="I3" s="179"/>
      <c r="J3" s="179"/>
      <c r="K3" s="179"/>
      <c r="L3" s="179" t="str">
        <f>変更履歴!L3</f>
        <v>受発注</v>
      </c>
      <c r="M3" s="179"/>
      <c r="N3" s="179"/>
      <c r="O3" s="179"/>
      <c r="P3" s="179"/>
      <c r="Q3" s="179"/>
      <c r="R3" s="179" t="str">
        <f ca="1">変更履歴!R3</f>
        <v>帳票設計書</v>
      </c>
      <c r="S3" s="179"/>
      <c r="T3" s="179"/>
      <c r="U3" s="179"/>
      <c r="V3" s="179"/>
      <c r="W3" s="179"/>
      <c r="X3" s="182" t="str">
        <f ca="1">変更履歴!X3</f>
        <v>TK0100_得意先別年間売上順位推移表_帳票設計書</v>
      </c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4"/>
      <c r="AK3" s="182" t="str">
        <f ca="1">変更履歴!AK3</f>
        <v>得意先別年間売上順位推移表</v>
      </c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AX3" s="178">
        <f>変更履歴!AX3</f>
        <v>45581</v>
      </c>
      <c r="AY3" s="178"/>
      <c r="AZ3" s="178"/>
      <c r="BA3" s="178"/>
      <c r="BB3" s="179" t="str">
        <f>変更履歴!BB3</f>
        <v>大谷</v>
      </c>
      <c r="BC3" s="179"/>
      <c r="BD3" s="179"/>
      <c r="BE3" s="179"/>
      <c r="BF3" s="178">
        <f>変更履歴!BF3</f>
        <v>45581</v>
      </c>
      <c r="BG3" s="178"/>
      <c r="BH3" s="178"/>
      <c r="BI3" s="178"/>
      <c r="BJ3" s="179" t="str">
        <f>変更履歴!BJ3</f>
        <v>大谷</v>
      </c>
      <c r="BK3" s="179"/>
      <c r="BL3" s="179"/>
      <c r="BM3" s="236"/>
    </row>
    <row r="4" spans="2:65" ht="20.100000000000001" customHeight="1" thickBot="1" x14ac:dyDescent="0.5">
      <c r="B4" s="233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6"/>
      <c r="AK4" s="224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6"/>
      <c r="AX4" s="235"/>
      <c r="AY4" s="235"/>
      <c r="AZ4" s="235"/>
      <c r="BA4" s="235"/>
      <c r="BB4" s="234"/>
      <c r="BC4" s="234"/>
      <c r="BD4" s="234"/>
      <c r="BE4" s="234"/>
      <c r="BF4" s="235"/>
      <c r="BG4" s="235"/>
      <c r="BH4" s="235"/>
      <c r="BI4" s="235"/>
      <c r="BJ4" s="234"/>
      <c r="BK4" s="234"/>
      <c r="BL4" s="234"/>
      <c r="BM4" s="23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6" t="s">
        <v>89</v>
      </c>
      <c r="C7" s="127"/>
      <c r="D7" s="127"/>
      <c r="E7" s="127"/>
      <c r="F7" s="127"/>
      <c r="G7" s="127"/>
      <c r="H7" s="129" t="s">
        <v>117</v>
      </c>
      <c r="I7" s="128"/>
      <c r="J7" s="163" t="s">
        <v>20</v>
      </c>
      <c r="K7" s="158"/>
      <c r="L7" s="158"/>
      <c r="M7" s="158"/>
      <c r="N7" s="158"/>
      <c r="O7" s="158"/>
      <c r="P7" s="158"/>
      <c r="Q7" s="158"/>
      <c r="R7" s="163" t="s">
        <v>118</v>
      </c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9"/>
      <c r="AK7" s="130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31"/>
      <c r="BJ7" s="29"/>
      <c r="BK7" s="29"/>
      <c r="BL7" s="29"/>
      <c r="BM7" s="29"/>
    </row>
    <row r="8" spans="2:65" ht="20.100000000000001" customHeight="1" x14ac:dyDescent="0.45">
      <c r="B8" s="160"/>
      <c r="C8" s="31"/>
      <c r="D8" s="31"/>
      <c r="E8" s="31"/>
      <c r="F8" s="31"/>
      <c r="G8" s="31"/>
      <c r="H8" s="134"/>
      <c r="I8" s="133"/>
      <c r="J8" s="161" t="s">
        <v>119</v>
      </c>
      <c r="K8" s="52"/>
      <c r="L8" s="52"/>
      <c r="M8" s="52"/>
      <c r="N8" s="52"/>
      <c r="O8" s="52"/>
      <c r="P8" s="52"/>
      <c r="Q8" s="52"/>
      <c r="R8" s="161" t="s">
        <v>120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2"/>
      <c r="AK8" s="13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6"/>
      <c r="BJ8" s="29"/>
      <c r="BK8" s="29"/>
      <c r="BL8" s="29"/>
      <c r="BM8" s="29"/>
    </row>
    <row r="9" spans="2:65" ht="20.100000000000001" customHeight="1" x14ac:dyDescent="0.45">
      <c r="B9" s="160"/>
      <c r="C9" s="31"/>
      <c r="D9" s="31"/>
      <c r="E9" s="31"/>
      <c r="F9" s="31"/>
      <c r="G9" s="31"/>
      <c r="H9" s="140"/>
      <c r="I9" s="164"/>
      <c r="J9" s="161" t="s">
        <v>121</v>
      </c>
      <c r="K9" s="52"/>
      <c r="L9" s="52"/>
      <c r="M9" s="52"/>
      <c r="N9" s="52"/>
      <c r="O9" s="52"/>
      <c r="P9" s="52"/>
      <c r="Q9" s="52"/>
      <c r="R9" s="161" t="s">
        <v>122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2"/>
      <c r="AK9" s="142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3"/>
      <c r="BJ9" s="29"/>
      <c r="BK9" s="29"/>
      <c r="BL9" s="29"/>
      <c r="BM9" s="29"/>
    </row>
    <row r="10" spans="2:65" ht="20.100000000000001" customHeight="1" x14ac:dyDescent="0.45">
      <c r="B10" s="160"/>
      <c r="C10" s="31"/>
      <c r="D10" s="31"/>
      <c r="E10" s="31"/>
      <c r="F10" s="31"/>
      <c r="G10" s="133"/>
      <c r="H10" s="134" t="s">
        <v>90</v>
      </c>
      <c r="I10" s="31"/>
      <c r="J10" s="148" t="s">
        <v>91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6"/>
      <c r="BJ10" s="29"/>
      <c r="BK10" s="29"/>
      <c r="BL10" s="29"/>
      <c r="BM10" s="29"/>
    </row>
    <row r="11" spans="2:65" ht="20.100000000000001" customHeight="1" x14ac:dyDescent="0.45">
      <c r="B11" s="132"/>
      <c r="C11" s="31"/>
      <c r="D11" s="31"/>
      <c r="E11" s="31"/>
      <c r="F11" s="31"/>
      <c r="G11" s="133"/>
      <c r="H11" s="134"/>
      <c r="I11" s="31"/>
      <c r="J11" s="134" t="s">
        <v>92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6"/>
      <c r="BJ11" s="29"/>
      <c r="BK11" s="29"/>
      <c r="BL11" s="29"/>
      <c r="BM11" s="29"/>
    </row>
    <row r="12" spans="2:65" ht="20.100000000000001" customHeight="1" x14ac:dyDescent="0.45">
      <c r="B12" s="132"/>
      <c r="C12" s="31"/>
      <c r="D12" s="31"/>
      <c r="E12" s="31"/>
      <c r="F12" s="31"/>
      <c r="G12" s="133"/>
      <c r="H12" s="134"/>
      <c r="I12" s="31"/>
      <c r="J12" s="134" t="s">
        <v>93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6"/>
      <c r="BJ12" s="29"/>
      <c r="BK12" s="29"/>
      <c r="BL12" s="29"/>
      <c r="BM12" s="29"/>
    </row>
    <row r="13" spans="2:65" ht="20.100000000000001" customHeight="1" x14ac:dyDescent="0.45">
      <c r="B13" s="132"/>
      <c r="C13" s="31"/>
      <c r="D13" s="31"/>
      <c r="E13" s="31"/>
      <c r="F13" s="31"/>
      <c r="G13" s="133"/>
      <c r="H13" s="134"/>
      <c r="I13" s="31"/>
      <c r="J13" s="134" t="s">
        <v>94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6"/>
      <c r="BJ13" s="29"/>
      <c r="BK13" s="29"/>
      <c r="BL13" s="29"/>
      <c r="BM13" s="29"/>
    </row>
    <row r="14" spans="2:65" ht="20.100000000000001" customHeight="1" x14ac:dyDescent="0.45">
      <c r="B14" s="132"/>
      <c r="C14" s="31"/>
      <c r="D14" s="31"/>
      <c r="E14" s="31"/>
      <c r="F14" s="31"/>
      <c r="G14" s="133"/>
      <c r="H14" s="137" t="s">
        <v>95</v>
      </c>
      <c r="I14" s="55"/>
      <c r="J14" s="144" t="s">
        <v>96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8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9"/>
      <c r="BJ14" s="29"/>
      <c r="BK14" s="29"/>
      <c r="BL14" s="29"/>
      <c r="BM14" s="29"/>
    </row>
    <row r="15" spans="2:65" ht="20.100000000000001" customHeight="1" x14ac:dyDescent="0.45">
      <c r="B15" s="132"/>
      <c r="C15" s="31"/>
      <c r="D15" s="31"/>
      <c r="E15" s="31"/>
      <c r="F15" s="31"/>
      <c r="G15" s="133"/>
      <c r="H15" s="134"/>
      <c r="I15" s="31"/>
      <c r="J15" s="145"/>
      <c r="K15" s="146" t="s">
        <v>97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6"/>
      <c r="BJ15" s="29"/>
      <c r="BK15" s="29"/>
      <c r="BL15" s="29"/>
      <c r="BM15" s="29"/>
    </row>
    <row r="16" spans="2:65" ht="20.100000000000001" customHeight="1" x14ac:dyDescent="0.45">
      <c r="B16" s="132"/>
      <c r="C16" s="31"/>
      <c r="D16" s="31"/>
      <c r="E16" s="31"/>
      <c r="F16" s="31"/>
      <c r="G16" s="133"/>
      <c r="H16" s="134"/>
      <c r="I16" s="31"/>
      <c r="J16" s="134"/>
      <c r="K16" s="29"/>
      <c r="L16" s="147"/>
      <c r="M16" s="146" t="s">
        <v>98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6"/>
      <c r="BJ16" s="29"/>
      <c r="BK16" s="29"/>
      <c r="BL16" s="29"/>
      <c r="BM16" s="29"/>
    </row>
    <row r="17" spans="2:65" ht="20.100000000000001" customHeight="1" x14ac:dyDescent="0.45">
      <c r="B17" s="132"/>
      <c r="C17" s="31"/>
      <c r="D17" s="31"/>
      <c r="E17" s="31"/>
      <c r="F17" s="31"/>
      <c r="G17" s="133"/>
      <c r="H17" s="134"/>
      <c r="I17" s="31"/>
      <c r="J17" s="134"/>
      <c r="K17" s="29"/>
      <c r="L17" s="147" t="s">
        <v>99</v>
      </c>
      <c r="M17" s="146" t="s">
        <v>98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6"/>
      <c r="BJ17" s="29"/>
      <c r="BK17" s="29"/>
      <c r="BL17" s="29"/>
      <c r="BM17" s="29"/>
    </row>
    <row r="18" spans="2:65" ht="20.100000000000001" customHeight="1" x14ac:dyDescent="0.45">
      <c r="B18" s="132"/>
      <c r="C18" s="31"/>
      <c r="D18" s="31"/>
      <c r="E18" s="31"/>
      <c r="F18" s="31"/>
      <c r="G18" s="133"/>
      <c r="H18" s="134"/>
      <c r="I18" s="31"/>
      <c r="J18" s="134"/>
      <c r="K18" s="29"/>
      <c r="L18" s="147" t="s">
        <v>100</v>
      </c>
      <c r="M18" s="146" t="s">
        <v>98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5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6"/>
      <c r="BJ18" s="29"/>
      <c r="BK18" s="29"/>
      <c r="BL18" s="29"/>
      <c r="BM18" s="29"/>
    </row>
    <row r="19" spans="2:65" ht="20.100000000000001" customHeight="1" x14ac:dyDescent="0.45">
      <c r="B19" s="132"/>
      <c r="C19" s="31"/>
      <c r="D19" s="31"/>
      <c r="E19" s="31"/>
      <c r="F19" s="31"/>
      <c r="G19" s="133"/>
      <c r="H19" s="134"/>
      <c r="I19" s="31"/>
      <c r="J19" s="134" t="s">
        <v>101</v>
      </c>
      <c r="K19" s="147"/>
      <c r="L19" s="14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6"/>
      <c r="BJ19" s="29"/>
      <c r="BK19" s="29"/>
      <c r="BL19" s="29"/>
      <c r="BM19" s="29"/>
    </row>
    <row r="20" spans="2:65" ht="20.100000000000001" customHeight="1" x14ac:dyDescent="0.45">
      <c r="B20" s="132"/>
      <c r="C20" s="31"/>
      <c r="D20" s="31"/>
      <c r="E20" s="31"/>
      <c r="F20" s="31"/>
      <c r="G20" s="133"/>
      <c r="H20" s="134"/>
      <c r="I20" s="31"/>
      <c r="J20" s="134"/>
      <c r="K20" s="31" t="s">
        <v>102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6"/>
      <c r="BJ20" s="29"/>
      <c r="BK20" s="29"/>
      <c r="BL20" s="29"/>
      <c r="BM20" s="29"/>
    </row>
    <row r="21" spans="2:65" ht="20.100000000000001" customHeight="1" x14ac:dyDescent="0.45">
      <c r="B21" s="132"/>
      <c r="C21" s="31"/>
      <c r="D21" s="31"/>
      <c r="E21" s="31"/>
      <c r="F21" s="31"/>
      <c r="G21" s="133"/>
      <c r="H21" s="134"/>
      <c r="I21" s="31"/>
      <c r="J21" s="134"/>
      <c r="K21" s="29"/>
      <c r="L21" s="31"/>
      <c r="M21" s="31" t="s">
        <v>103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6"/>
    </row>
    <row r="22" spans="2:65" ht="20.100000000000001" customHeight="1" x14ac:dyDescent="0.45">
      <c r="B22" s="132"/>
      <c r="C22" s="31"/>
      <c r="D22" s="31"/>
      <c r="E22" s="31"/>
      <c r="F22" s="31"/>
      <c r="G22" s="133"/>
      <c r="H22" s="140"/>
      <c r="I22" s="141"/>
      <c r="J22" s="140"/>
      <c r="K22" s="141"/>
      <c r="L22" s="141" t="s">
        <v>99</v>
      </c>
      <c r="M22" s="141" t="s">
        <v>104</v>
      </c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2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3"/>
    </row>
    <row r="23" spans="2:65" ht="20.100000000000001" customHeight="1" x14ac:dyDescent="0.45">
      <c r="B23" s="132"/>
      <c r="C23" s="31"/>
      <c r="D23" s="31"/>
      <c r="E23" s="31"/>
      <c r="F23" s="31"/>
      <c r="G23" s="133"/>
      <c r="H23" s="134" t="s">
        <v>105</v>
      </c>
      <c r="I23" s="31"/>
      <c r="J23" s="148"/>
      <c r="K23" s="146" t="s">
        <v>106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9" t="s">
        <v>107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6"/>
    </row>
    <row r="24" spans="2:65" ht="20.100000000000001" customHeight="1" x14ac:dyDescent="0.45">
      <c r="B24" s="132"/>
      <c r="C24" s="31"/>
      <c r="D24" s="31"/>
      <c r="E24" s="31"/>
      <c r="F24" s="31"/>
      <c r="G24" s="133"/>
      <c r="H24" s="134"/>
      <c r="I24" s="31"/>
      <c r="J24" s="148" t="s">
        <v>99</v>
      </c>
      <c r="K24" s="146" t="s">
        <v>108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6"/>
    </row>
    <row r="25" spans="2:65" ht="20.100000000000001" customHeight="1" x14ac:dyDescent="0.45">
      <c r="B25" s="132"/>
      <c r="C25" s="31"/>
      <c r="D25" s="31"/>
      <c r="E25" s="31"/>
      <c r="F25" s="31"/>
      <c r="G25" s="133"/>
      <c r="H25" s="134"/>
      <c r="I25" s="31"/>
      <c r="J25" s="148" t="s">
        <v>100</v>
      </c>
      <c r="K25" s="146" t="s">
        <v>108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6"/>
    </row>
    <row r="26" spans="2:65" ht="20.100000000000001" customHeight="1" x14ac:dyDescent="0.45">
      <c r="B26" s="132"/>
      <c r="C26" s="31"/>
      <c r="D26" s="31"/>
      <c r="E26" s="31"/>
      <c r="F26" s="31"/>
      <c r="G26" s="133"/>
      <c r="H26" s="134"/>
      <c r="I26" s="31"/>
      <c r="J26" s="148" t="s">
        <v>109</v>
      </c>
      <c r="K26" s="14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6"/>
    </row>
    <row r="27" spans="2:65" ht="20.100000000000001" customHeight="1" x14ac:dyDescent="0.45">
      <c r="B27" s="132"/>
      <c r="C27" s="31"/>
      <c r="D27" s="31"/>
      <c r="E27" s="31"/>
      <c r="F27" s="31"/>
      <c r="G27" s="133"/>
      <c r="H27" s="134"/>
      <c r="I27" s="31"/>
      <c r="J27" s="134"/>
      <c r="K27" s="31" t="s">
        <v>110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0" t="s">
        <v>111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6"/>
    </row>
    <row r="28" spans="2:65" ht="20.100000000000001" customHeight="1" x14ac:dyDescent="0.45">
      <c r="B28" s="132"/>
      <c r="C28" s="31"/>
      <c r="D28" s="31"/>
      <c r="E28" s="31"/>
      <c r="F28" s="31"/>
      <c r="G28" s="133"/>
      <c r="H28" s="134"/>
      <c r="I28" s="31"/>
      <c r="J28" s="134" t="s">
        <v>99</v>
      </c>
      <c r="K28" s="31" t="s">
        <v>112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6"/>
    </row>
    <row r="29" spans="2:65" ht="20.100000000000001" customHeight="1" x14ac:dyDescent="0.45">
      <c r="B29" s="132"/>
      <c r="C29" s="31"/>
      <c r="D29" s="31"/>
      <c r="E29" s="31"/>
      <c r="F29" s="31"/>
      <c r="G29" s="133"/>
      <c r="H29" s="134"/>
      <c r="I29" s="31"/>
      <c r="J29" s="148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4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6"/>
    </row>
    <row r="30" spans="2:65" ht="20.100000000000001" customHeight="1" x14ac:dyDescent="0.45">
      <c r="B30" s="132"/>
      <c r="C30" s="31"/>
      <c r="D30" s="31"/>
      <c r="E30" s="31"/>
      <c r="F30" s="31"/>
      <c r="G30" s="133"/>
      <c r="H30" s="134"/>
      <c r="I30" s="31"/>
      <c r="J30" s="134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4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6"/>
    </row>
    <row r="31" spans="2:65" ht="20.100000000000001" customHeight="1" x14ac:dyDescent="0.45">
      <c r="B31" s="132"/>
      <c r="C31" s="31"/>
      <c r="D31" s="31"/>
      <c r="E31" s="31"/>
      <c r="F31" s="31"/>
      <c r="G31" s="133"/>
      <c r="H31" s="140"/>
      <c r="I31" s="141"/>
      <c r="J31" s="140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0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3"/>
    </row>
    <row r="32" spans="2:65" ht="20.100000000000001" customHeight="1" x14ac:dyDescent="0.45">
      <c r="B32" s="132"/>
      <c r="C32" s="31"/>
      <c r="D32" s="31"/>
      <c r="E32" s="31"/>
      <c r="F32" s="31"/>
      <c r="G32" s="133"/>
      <c r="H32" s="134" t="s">
        <v>113</v>
      </c>
      <c r="I32" s="31"/>
      <c r="J32" s="148" t="s">
        <v>114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4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6"/>
    </row>
    <row r="33" spans="2:61" ht="20.100000000000001" customHeight="1" x14ac:dyDescent="0.45">
      <c r="B33" s="132"/>
      <c r="C33" s="31"/>
      <c r="D33" s="31"/>
      <c r="E33" s="31"/>
      <c r="F33" s="31"/>
      <c r="G33" s="133"/>
      <c r="H33" s="134"/>
      <c r="I33" s="31"/>
      <c r="J33" s="148" t="s">
        <v>115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4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6"/>
    </row>
    <row r="34" spans="2:61" ht="20.100000000000001" customHeight="1" thickBot="1" x14ac:dyDescent="0.5">
      <c r="B34" s="151"/>
      <c r="C34" s="152"/>
      <c r="D34" s="152"/>
      <c r="E34" s="152"/>
      <c r="F34" s="152"/>
      <c r="G34" s="153"/>
      <c r="H34" s="154"/>
      <c r="I34" s="152"/>
      <c r="J34" s="154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4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5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6" t="s">
        <v>116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10"/>
  <sheetViews>
    <sheetView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3.2" x14ac:dyDescent="0.45"/>
  <cols>
    <col min="1" max="1" width="8.69921875" style="89" customWidth="1"/>
    <col min="2" max="2" width="12.296875" style="89" customWidth="1"/>
    <col min="3" max="3" width="9" style="89" customWidth="1"/>
    <col min="4" max="4" width="4.8984375" style="89" bestFit="1" customWidth="1"/>
    <col min="5" max="5" width="6.3984375" style="89" bestFit="1" customWidth="1"/>
    <col min="6" max="6" width="7.296875" style="89" hidden="1" customWidth="1"/>
    <col min="7" max="7" width="7" style="89" bestFit="1" customWidth="1"/>
    <col min="8" max="8" width="11.59765625" style="125" bestFit="1" customWidth="1"/>
    <col min="9" max="9" width="6.5" style="89" bestFit="1" customWidth="1"/>
    <col min="10" max="10" width="4.8984375" style="89" bestFit="1" customWidth="1"/>
    <col min="11" max="11" width="6.3984375" style="89" customWidth="1"/>
    <col min="12" max="12" width="7.8984375" style="89" hidden="1" customWidth="1"/>
    <col min="13" max="13" width="6.3984375" style="89" bestFit="1" customWidth="1"/>
    <col min="14" max="14" width="11.59765625" style="125" bestFit="1" customWidth="1"/>
    <col min="15" max="15" width="6.5" style="89" bestFit="1" customWidth="1"/>
    <col min="16" max="16" width="0.59765625" style="89" customWidth="1"/>
    <col min="17" max="256" width="8.796875" style="89"/>
    <col min="257" max="257" width="8.69921875" style="89" customWidth="1"/>
    <col min="258" max="258" width="12.296875" style="89" customWidth="1"/>
    <col min="259" max="259" width="9" style="89" customWidth="1"/>
    <col min="260" max="260" width="4.8984375" style="89" bestFit="1" customWidth="1"/>
    <col min="261" max="261" width="6.3984375" style="89" bestFit="1" customWidth="1"/>
    <col min="262" max="262" width="0" style="89" hidden="1" customWidth="1"/>
    <col min="263" max="263" width="7" style="89" bestFit="1" customWidth="1"/>
    <col min="264" max="264" width="11.59765625" style="89" bestFit="1" customWidth="1"/>
    <col min="265" max="265" width="6.5" style="89" bestFit="1" customWidth="1"/>
    <col min="266" max="266" width="4.8984375" style="89" bestFit="1" customWidth="1"/>
    <col min="267" max="267" width="6.3984375" style="89" customWidth="1"/>
    <col min="268" max="268" width="0" style="89" hidden="1" customWidth="1"/>
    <col min="269" max="269" width="6.3984375" style="89" bestFit="1" customWidth="1"/>
    <col min="270" max="270" width="11.59765625" style="89" bestFit="1" customWidth="1"/>
    <col min="271" max="271" width="6.5" style="89" bestFit="1" customWidth="1"/>
    <col min="272" max="272" width="0.59765625" style="89" customWidth="1"/>
    <col min="273" max="512" width="8.796875" style="89"/>
    <col min="513" max="513" width="8.69921875" style="89" customWidth="1"/>
    <col min="514" max="514" width="12.296875" style="89" customWidth="1"/>
    <col min="515" max="515" width="9" style="89" customWidth="1"/>
    <col min="516" max="516" width="4.8984375" style="89" bestFit="1" customWidth="1"/>
    <col min="517" max="517" width="6.3984375" style="89" bestFit="1" customWidth="1"/>
    <col min="518" max="518" width="0" style="89" hidden="1" customWidth="1"/>
    <col min="519" max="519" width="7" style="89" bestFit="1" customWidth="1"/>
    <col min="520" max="520" width="11.59765625" style="89" bestFit="1" customWidth="1"/>
    <col min="521" max="521" width="6.5" style="89" bestFit="1" customWidth="1"/>
    <col min="522" max="522" width="4.8984375" style="89" bestFit="1" customWidth="1"/>
    <col min="523" max="523" width="6.3984375" style="89" customWidth="1"/>
    <col min="524" max="524" width="0" style="89" hidden="1" customWidth="1"/>
    <col min="525" max="525" width="6.3984375" style="89" bestFit="1" customWidth="1"/>
    <col min="526" max="526" width="11.59765625" style="89" bestFit="1" customWidth="1"/>
    <col min="527" max="527" width="6.5" style="89" bestFit="1" customWidth="1"/>
    <col min="528" max="528" width="0.59765625" style="89" customWidth="1"/>
    <col min="529" max="768" width="8.796875" style="89"/>
    <col min="769" max="769" width="8.69921875" style="89" customWidth="1"/>
    <col min="770" max="770" width="12.296875" style="89" customWidth="1"/>
    <col min="771" max="771" width="9" style="89" customWidth="1"/>
    <col min="772" max="772" width="4.8984375" style="89" bestFit="1" customWidth="1"/>
    <col min="773" max="773" width="6.3984375" style="89" bestFit="1" customWidth="1"/>
    <col min="774" max="774" width="0" style="89" hidden="1" customWidth="1"/>
    <col min="775" max="775" width="7" style="89" bestFit="1" customWidth="1"/>
    <col min="776" max="776" width="11.59765625" style="89" bestFit="1" customWidth="1"/>
    <col min="777" max="777" width="6.5" style="89" bestFit="1" customWidth="1"/>
    <col min="778" max="778" width="4.8984375" style="89" bestFit="1" customWidth="1"/>
    <col min="779" max="779" width="6.3984375" style="89" customWidth="1"/>
    <col min="780" max="780" width="0" style="89" hidden="1" customWidth="1"/>
    <col min="781" max="781" width="6.3984375" style="89" bestFit="1" customWidth="1"/>
    <col min="782" max="782" width="11.59765625" style="89" bestFit="1" customWidth="1"/>
    <col min="783" max="783" width="6.5" style="89" bestFit="1" customWidth="1"/>
    <col min="784" max="784" width="0.59765625" style="89" customWidth="1"/>
    <col min="785" max="1024" width="8.796875" style="89"/>
    <col min="1025" max="1025" width="8.69921875" style="89" customWidth="1"/>
    <col min="1026" max="1026" width="12.296875" style="89" customWidth="1"/>
    <col min="1027" max="1027" width="9" style="89" customWidth="1"/>
    <col min="1028" max="1028" width="4.8984375" style="89" bestFit="1" customWidth="1"/>
    <col min="1029" max="1029" width="6.3984375" style="89" bestFit="1" customWidth="1"/>
    <col min="1030" max="1030" width="0" style="89" hidden="1" customWidth="1"/>
    <col min="1031" max="1031" width="7" style="89" bestFit="1" customWidth="1"/>
    <col min="1032" max="1032" width="11.59765625" style="89" bestFit="1" customWidth="1"/>
    <col min="1033" max="1033" width="6.5" style="89" bestFit="1" customWidth="1"/>
    <col min="1034" max="1034" width="4.8984375" style="89" bestFit="1" customWidth="1"/>
    <col min="1035" max="1035" width="6.3984375" style="89" customWidth="1"/>
    <col min="1036" max="1036" width="0" style="89" hidden="1" customWidth="1"/>
    <col min="1037" max="1037" width="6.3984375" style="89" bestFit="1" customWidth="1"/>
    <col min="1038" max="1038" width="11.59765625" style="89" bestFit="1" customWidth="1"/>
    <col min="1039" max="1039" width="6.5" style="89" bestFit="1" customWidth="1"/>
    <col min="1040" max="1040" width="0.59765625" style="89" customWidth="1"/>
    <col min="1041" max="1280" width="8.796875" style="89"/>
    <col min="1281" max="1281" width="8.69921875" style="89" customWidth="1"/>
    <col min="1282" max="1282" width="12.296875" style="89" customWidth="1"/>
    <col min="1283" max="1283" width="9" style="89" customWidth="1"/>
    <col min="1284" max="1284" width="4.8984375" style="89" bestFit="1" customWidth="1"/>
    <col min="1285" max="1285" width="6.3984375" style="89" bestFit="1" customWidth="1"/>
    <col min="1286" max="1286" width="0" style="89" hidden="1" customWidth="1"/>
    <col min="1287" max="1287" width="7" style="89" bestFit="1" customWidth="1"/>
    <col min="1288" max="1288" width="11.59765625" style="89" bestFit="1" customWidth="1"/>
    <col min="1289" max="1289" width="6.5" style="89" bestFit="1" customWidth="1"/>
    <col min="1290" max="1290" width="4.8984375" style="89" bestFit="1" customWidth="1"/>
    <col min="1291" max="1291" width="6.3984375" style="89" customWidth="1"/>
    <col min="1292" max="1292" width="0" style="89" hidden="1" customWidth="1"/>
    <col min="1293" max="1293" width="6.3984375" style="89" bestFit="1" customWidth="1"/>
    <col min="1294" max="1294" width="11.59765625" style="89" bestFit="1" customWidth="1"/>
    <col min="1295" max="1295" width="6.5" style="89" bestFit="1" customWidth="1"/>
    <col min="1296" max="1296" width="0.59765625" style="89" customWidth="1"/>
    <col min="1297" max="1536" width="8.796875" style="89"/>
    <col min="1537" max="1537" width="8.69921875" style="89" customWidth="1"/>
    <col min="1538" max="1538" width="12.296875" style="89" customWidth="1"/>
    <col min="1539" max="1539" width="9" style="89" customWidth="1"/>
    <col min="1540" max="1540" width="4.8984375" style="89" bestFit="1" customWidth="1"/>
    <col min="1541" max="1541" width="6.3984375" style="89" bestFit="1" customWidth="1"/>
    <col min="1542" max="1542" width="0" style="89" hidden="1" customWidth="1"/>
    <col min="1543" max="1543" width="7" style="89" bestFit="1" customWidth="1"/>
    <col min="1544" max="1544" width="11.59765625" style="89" bestFit="1" customWidth="1"/>
    <col min="1545" max="1545" width="6.5" style="89" bestFit="1" customWidth="1"/>
    <col min="1546" max="1546" width="4.8984375" style="89" bestFit="1" customWidth="1"/>
    <col min="1547" max="1547" width="6.3984375" style="89" customWidth="1"/>
    <col min="1548" max="1548" width="0" style="89" hidden="1" customWidth="1"/>
    <col min="1549" max="1549" width="6.3984375" style="89" bestFit="1" customWidth="1"/>
    <col min="1550" max="1550" width="11.59765625" style="89" bestFit="1" customWidth="1"/>
    <col min="1551" max="1551" width="6.5" style="89" bestFit="1" customWidth="1"/>
    <col min="1552" max="1552" width="0.59765625" style="89" customWidth="1"/>
    <col min="1553" max="1792" width="8.796875" style="89"/>
    <col min="1793" max="1793" width="8.69921875" style="89" customWidth="1"/>
    <col min="1794" max="1794" width="12.296875" style="89" customWidth="1"/>
    <col min="1795" max="1795" width="9" style="89" customWidth="1"/>
    <col min="1796" max="1796" width="4.8984375" style="89" bestFit="1" customWidth="1"/>
    <col min="1797" max="1797" width="6.3984375" style="89" bestFit="1" customWidth="1"/>
    <col min="1798" max="1798" width="0" style="89" hidden="1" customWidth="1"/>
    <col min="1799" max="1799" width="7" style="89" bestFit="1" customWidth="1"/>
    <col min="1800" max="1800" width="11.59765625" style="89" bestFit="1" customWidth="1"/>
    <col min="1801" max="1801" width="6.5" style="89" bestFit="1" customWidth="1"/>
    <col min="1802" max="1802" width="4.8984375" style="89" bestFit="1" customWidth="1"/>
    <col min="1803" max="1803" width="6.3984375" style="89" customWidth="1"/>
    <col min="1804" max="1804" width="0" style="89" hidden="1" customWidth="1"/>
    <col min="1805" max="1805" width="6.3984375" style="89" bestFit="1" customWidth="1"/>
    <col min="1806" max="1806" width="11.59765625" style="89" bestFit="1" customWidth="1"/>
    <col min="1807" max="1807" width="6.5" style="89" bestFit="1" customWidth="1"/>
    <col min="1808" max="1808" width="0.59765625" style="89" customWidth="1"/>
    <col min="1809" max="2048" width="8.796875" style="89"/>
    <col min="2049" max="2049" width="8.69921875" style="89" customWidth="1"/>
    <col min="2050" max="2050" width="12.296875" style="89" customWidth="1"/>
    <col min="2051" max="2051" width="9" style="89" customWidth="1"/>
    <col min="2052" max="2052" width="4.8984375" style="89" bestFit="1" customWidth="1"/>
    <col min="2053" max="2053" width="6.3984375" style="89" bestFit="1" customWidth="1"/>
    <col min="2054" max="2054" width="0" style="89" hidden="1" customWidth="1"/>
    <col min="2055" max="2055" width="7" style="89" bestFit="1" customWidth="1"/>
    <col min="2056" max="2056" width="11.59765625" style="89" bestFit="1" customWidth="1"/>
    <col min="2057" max="2057" width="6.5" style="89" bestFit="1" customWidth="1"/>
    <col min="2058" max="2058" width="4.8984375" style="89" bestFit="1" customWidth="1"/>
    <col min="2059" max="2059" width="6.3984375" style="89" customWidth="1"/>
    <col min="2060" max="2060" width="0" style="89" hidden="1" customWidth="1"/>
    <col min="2061" max="2061" width="6.3984375" style="89" bestFit="1" customWidth="1"/>
    <col min="2062" max="2062" width="11.59765625" style="89" bestFit="1" customWidth="1"/>
    <col min="2063" max="2063" width="6.5" style="89" bestFit="1" customWidth="1"/>
    <col min="2064" max="2064" width="0.59765625" style="89" customWidth="1"/>
    <col min="2065" max="2304" width="8.796875" style="89"/>
    <col min="2305" max="2305" width="8.69921875" style="89" customWidth="1"/>
    <col min="2306" max="2306" width="12.296875" style="89" customWidth="1"/>
    <col min="2307" max="2307" width="9" style="89" customWidth="1"/>
    <col min="2308" max="2308" width="4.8984375" style="89" bestFit="1" customWidth="1"/>
    <col min="2309" max="2309" width="6.3984375" style="89" bestFit="1" customWidth="1"/>
    <col min="2310" max="2310" width="0" style="89" hidden="1" customWidth="1"/>
    <col min="2311" max="2311" width="7" style="89" bestFit="1" customWidth="1"/>
    <col min="2312" max="2312" width="11.59765625" style="89" bestFit="1" customWidth="1"/>
    <col min="2313" max="2313" width="6.5" style="89" bestFit="1" customWidth="1"/>
    <col min="2314" max="2314" width="4.8984375" style="89" bestFit="1" customWidth="1"/>
    <col min="2315" max="2315" width="6.3984375" style="89" customWidth="1"/>
    <col min="2316" max="2316" width="0" style="89" hidden="1" customWidth="1"/>
    <col min="2317" max="2317" width="6.3984375" style="89" bestFit="1" customWidth="1"/>
    <col min="2318" max="2318" width="11.59765625" style="89" bestFit="1" customWidth="1"/>
    <col min="2319" max="2319" width="6.5" style="89" bestFit="1" customWidth="1"/>
    <col min="2320" max="2320" width="0.59765625" style="89" customWidth="1"/>
    <col min="2321" max="2560" width="8.796875" style="89"/>
    <col min="2561" max="2561" width="8.69921875" style="89" customWidth="1"/>
    <col min="2562" max="2562" width="12.296875" style="89" customWidth="1"/>
    <col min="2563" max="2563" width="9" style="89" customWidth="1"/>
    <col min="2564" max="2564" width="4.8984375" style="89" bestFit="1" customWidth="1"/>
    <col min="2565" max="2565" width="6.3984375" style="89" bestFit="1" customWidth="1"/>
    <col min="2566" max="2566" width="0" style="89" hidden="1" customWidth="1"/>
    <col min="2567" max="2567" width="7" style="89" bestFit="1" customWidth="1"/>
    <col min="2568" max="2568" width="11.59765625" style="89" bestFit="1" customWidth="1"/>
    <col min="2569" max="2569" width="6.5" style="89" bestFit="1" customWidth="1"/>
    <col min="2570" max="2570" width="4.8984375" style="89" bestFit="1" customWidth="1"/>
    <col min="2571" max="2571" width="6.3984375" style="89" customWidth="1"/>
    <col min="2572" max="2572" width="0" style="89" hidden="1" customWidth="1"/>
    <col min="2573" max="2573" width="6.3984375" style="89" bestFit="1" customWidth="1"/>
    <col min="2574" max="2574" width="11.59765625" style="89" bestFit="1" customWidth="1"/>
    <col min="2575" max="2575" width="6.5" style="89" bestFit="1" customWidth="1"/>
    <col min="2576" max="2576" width="0.59765625" style="89" customWidth="1"/>
    <col min="2577" max="2816" width="8.796875" style="89"/>
    <col min="2817" max="2817" width="8.69921875" style="89" customWidth="1"/>
    <col min="2818" max="2818" width="12.296875" style="89" customWidth="1"/>
    <col min="2819" max="2819" width="9" style="89" customWidth="1"/>
    <col min="2820" max="2820" width="4.8984375" style="89" bestFit="1" customWidth="1"/>
    <col min="2821" max="2821" width="6.3984375" style="89" bestFit="1" customWidth="1"/>
    <col min="2822" max="2822" width="0" style="89" hidden="1" customWidth="1"/>
    <col min="2823" max="2823" width="7" style="89" bestFit="1" customWidth="1"/>
    <col min="2824" max="2824" width="11.59765625" style="89" bestFit="1" customWidth="1"/>
    <col min="2825" max="2825" width="6.5" style="89" bestFit="1" customWidth="1"/>
    <col min="2826" max="2826" width="4.8984375" style="89" bestFit="1" customWidth="1"/>
    <col min="2827" max="2827" width="6.3984375" style="89" customWidth="1"/>
    <col min="2828" max="2828" width="0" style="89" hidden="1" customWidth="1"/>
    <col min="2829" max="2829" width="6.3984375" style="89" bestFit="1" customWidth="1"/>
    <col min="2830" max="2830" width="11.59765625" style="89" bestFit="1" customWidth="1"/>
    <col min="2831" max="2831" width="6.5" style="89" bestFit="1" customWidth="1"/>
    <col min="2832" max="2832" width="0.59765625" style="89" customWidth="1"/>
    <col min="2833" max="3072" width="8.796875" style="89"/>
    <col min="3073" max="3073" width="8.69921875" style="89" customWidth="1"/>
    <col min="3074" max="3074" width="12.296875" style="89" customWidth="1"/>
    <col min="3075" max="3075" width="9" style="89" customWidth="1"/>
    <col min="3076" max="3076" width="4.8984375" style="89" bestFit="1" customWidth="1"/>
    <col min="3077" max="3077" width="6.3984375" style="89" bestFit="1" customWidth="1"/>
    <col min="3078" max="3078" width="0" style="89" hidden="1" customWidth="1"/>
    <col min="3079" max="3079" width="7" style="89" bestFit="1" customWidth="1"/>
    <col min="3080" max="3080" width="11.59765625" style="89" bestFit="1" customWidth="1"/>
    <col min="3081" max="3081" width="6.5" style="89" bestFit="1" customWidth="1"/>
    <col min="3082" max="3082" width="4.8984375" style="89" bestFit="1" customWidth="1"/>
    <col min="3083" max="3083" width="6.3984375" style="89" customWidth="1"/>
    <col min="3084" max="3084" width="0" style="89" hidden="1" customWidth="1"/>
    <col min="3085" max="3085" width="6.3984375" style="89" bestFit="1" customWidth="1"/>
    <col min="3086" max="3086" width="11.59765625" style="89" bestFit="1" customWidth="1"/>
    <col min="3087" max="3087" width="6.5" style="89" bestFit="1" customWidth="1"/>
    <col min="3088" max="3088" width="0.59765625" style="89" customWidth="1"/>
    <col min="3089" max="3328" width="8.796875" style="89"/>
    <col min="3329" max="3329" width="8.69921875" style="89" customWidth="1"/>
    <col min="3330" max="3330" width="12.296875" style="89" customWidth="1"/>
    <col min="3331" max="3331" width="9" style="89" customWidth="1"/>
    <col min="3332" max="3332" width="4.8984375" style="89" bestFit="1" customWidth="1"/>
    <col min="3333" max="3333" width="6.3984375" style="89" bestFit="1" customWidth="1"/>
    <col min="3334" max="3334" width="0" style="89" hidden="1" customWidth="1"/>
    <col min="3335" max="3335" width="7" style="89" bestFit="1" customWidth="1"/>
    <col min="3336" max="3336" width="11.59765625" style="89" bestFit="1" customWidth="1"/>
    <col min="3337" max="3337" width="6.5" style="89" bestFit="1" customWidth="1"/>
    <col min="3338" max="3338" width="4.8984375" style="89" bestFit="1" customWidth="1"/>
    <col min="3339" max="3339" width="6.3984375" style="89" customWidth="1"/>
    <col min="3340" max="3340" width="0" style="89" hidden="1" customWidth="1"/>
    <col min="3341" max="3341" width="6.3984375" style="89" bestFit="1" customWidth="1"/>
    <col min="3342" max="3342" width="11.59765625" style="89" bestFit="1" customWidth="1"/>
    <col min="3343" max="3343" width="6.5" style="89" bestFit="1" customWidth="1"/>
    <col min="3344" max="3344" width="0.59765625" style="89" customWidth="1"/>
    <col min="3345" max="3584" width="8.796875" style="89"/>
    <col min="3585" max="3585" width="8.69921875" style="89" customWidth="1"/>
    <col min="3586" max="3586" width="12.296875" style="89" customWidth="1"/>
    <col min="3587" max="3587" width="9" style="89" customWidth="1"/>
    <col min="3588" max="3588" width="4.8984375" style="89" bestFit="1" customWidth="1"/>
    <col min="3589" max="3589" width="6.3984375" style="89" bestFit="1" customWidth="1"/>
    <col min="3590" max="3590" width="0" style="89" hidden="1" customWidth="1"/>
    <col min="3591" max="3591" width="7" style="89" bestFit="1" customWidth="1"/>
    <col min="3592" max="3592" width="11.59765625" style="89" bestFit="1" customWidth="1"/>
    <col min="3593" max="3593" width="6.5" style="89" bestFit="1" customWidth="1"/>
    <col min="3594" max="3594" width="4.8984375" style="89" bestFit="1" customWidth="1"/>
    <col min="3595" max="3595" width="6.3984375" style="89" customWidth="1"/>
    <col min="3596" max="3596" width="0" style="89" hidden="1" customWidth="1"/>
    <col min="3597" max="3597" width="6.3984375" style="89" bestFit="1" customWidth="1"/>
    <col min="3598" max="3598" width="11.59765625" style="89" bestFit="1" customWidth="1"/>
    <col min="3599" max="3599" width="6.5" style="89" bestFit="1" customWidth="1"/>
    <col min="3600" max="3600" width="0.59765625" style="89" customWidth="1"/>
    <col min="3601" max="3840" width="8.796875" style="89"/>
    <col min="3841" max="3841" width="8.69921875" style="89" customWidth="1"/>
    <col min="3842" max="3842" width="12.296875" style="89" customWidth="1"/>
    <col min="3843" max="3843" width="9" style="89" customWidth="1"/>
    <col min="3844" max="3844" width="4.8984375" style="89" bestFit="1" customWidth="1"/>
    <col min="3845" max="3845" width="6.3984375" style="89" bestFit="1" customWidth="1"/>
    <col min="3846" max="3846" width="0" style="89" hidden="1" customWidth="1"/>
    <col min="3847" max="3847" width="7" style="89" bestFit="1" customWidth="1"/>
    <col min="3848" max="3848" width="11.59765625" style="89" bestFit="1" customWidth="1"/>
    <col min="3849" max="3849" width="6.5" style="89" bestFit="1" customWidth="1"/>
    <col min="3850" max="3850" width="4.8984375" style="89" bestFit="1" customWidth="1"/>
    <col min="3851" max="3851" width="6.3984375" style="89" customWidth="1"/>
    <col min="3852" max="3852" width="0" style="89" hidden="1" customWidth="1"/>
    <col min="3853" max="3853" width="6.3984375" style="89" bestFit="1" customWidth="1"/>
    <col min="3854" max="3854" width="11.59765625" style="89" bestFit="1" customWidth="1"/>
    <col min="3855" max="3855" width="6.5" style="89" bestFit="1" customWidth="1"/>
    <col min="3856" max="3856" width="0.59765625" style="89" customWidth="1"/>
    <col min="3857" max="4096" width="8.796875" style="89"/>
    <col min="4097" max="4097" width="8.69921875" style="89" customWidth="1"/>
    <col min="4098" max="4098" width="12.296875" style="89" customWidth="1"/>
    <col min="4099" max="4099" width="9" style="89" customWidth="1"/>
    <col min="4100" max="4100" width="4.8984375" style="89" bestFit="1" customWidth="1"/>
    <col min="4101" max="4101" width="6.3984375" style="89" bestFit="1" customWidth="1"/>
    <col min="4102" max="4102" width="0" style="89" hidden="1" customWidth="1"/>
    <col min="4103" max="4103" width="7" style="89" bestFit="1" customWidth="1"/>
    <col min="4104" max="4104" width="11.59765625" style="89" bestFit="1" customWidth="1"/>
    <col min="4105" max="4105" width="6.5" style="89" bestFit="1" customWidth="1"/>
    <col min="4106" max="4106" width="4.8984375" style="89" bestFit="1" customWidth="1"/>
    <col min="4107" max="4107" width="6.3984375" style="89" customWidth="1"/>
    <col min="4108" max="4108" width="0" style="89" hidden="1" customWidth="1"/>
    <col min="4109" max="4109" width="6.3984375" style="89" bestFit="1" customWidth="1"/>
    <col min="4110" max="4110" width="11.59765625" style="89" bestFit="1" customWidth="1"/>
    <col min="4111" max="4111" width="6.5" style="89" bestFit="1" customWidth="1"/>
    <col min="4112" max="4112" width="0.59765625" style="89" customWidth="1"/>
    <col min="4113" max="4352" width="8.796875" style="89"/>
    <col min="4353" max="4353" width="8.69921875" style="89" customWidth="1"/>
    <col min="4354" max="4354" width="12.296875" style="89" customWidth="1"/>
    <col min="4355" max="4355" width="9" style="89" customWidth="1"/>
    <col min="4356" max="4356" width="4.8984375" style="89" bestFit="1" customWidth="1"/>
    <col min="4357" max="4357" width="6.3984375" style="89" bestFit="1" customWidth="1"/>
    <col min="4358" max="4358" width="0" style="89" hidden="1" customWidth="1"/>
    <col min="4359" max="4359" width="7" style="89" bestFit="1" customWidth="1"/>
    <col min="4360" max="4360" width="11.59765625" style="89" bestFit="1" customWidth="1"/>
    <col min="4361" max="4361" width="6.5" style="89" bestFit="1" customWidth="1"/>
    <col min="4362" max="4362" width="4.8984375" style="89" bestFit="1" customWidth="1"/>
    <col min="4363" max="4363" width="6.3984375" style="89" customWidth="1"/>
    <col min="4364" max="4364" width="0" style="89" hidden="1" customWidth="1"/>
    <col min="4365" max="4365" width="6.3984375" style="89" bestFit="1" customWidth="1"/>
    <col min="4366" max="4366" width="11.59765625" style="89" bestFit="1" customWidth="1"/>
    <col min="4367" max="4367" width="6.5" style="89" bestFit="1" customWidth="1"/>
    <col min="4368" max="4368" width="0.59765625" style="89" customWidth="1"/>
    <col min="4369" max="4608" width="8.796875" style="89"/>
    <col min="4609" max="4609" width="8.69921875" style="89" customWidth="1"/>
    <col min="4610" max="4610" width="12.296875" style="89" customWidth="1"/>
    <col min="4611" max="4611" width="9" style="89" customWidth="1"/>
    <col min="4612" max="4612" width="4.8984375" style="89" bestFit="1" customWidth="1"/>
    <col min="4613" max="4613" width="6.3984375" style="89" bestFit="1" customWidth="1"/>
    <col min="4614" max="4614" width="0" style="89" hidden="1" customWidth="1"/>
    <col min="4615" max="4615" width="7" style="89" bestFit="1" customWidth="1"/>
    <col min="4616" max="4616" width="11.59765625" style="89" bestFit="1" customWidth="1"/>
    <col min="4617" max="4617" width="6.5" style="89" bestFit="1" customWidth="1"/>
    <col min="4618" max="4618" width="4.8984375" style="89" bestFit="1" customWidth="1"/>
    <col min="4619" max="4619" width="6.3984375" style="89" customWidth="1"/>
    <col min="4620" max="4620" width="0" style="89" hidden="1" customWidth="1"/>
    <col min="4621" max="4621" width="6.3984375" style="89" bestFit="1" customWidth="1"/>
    <col min="4622" max="4622" width="11.59765625" style="89" bestFit="1" customWidth="1"/>
    <col min="4623" max="4623" width="6.5" style="89" bestFit="1" customWidth="1"/>
    <col min="4624" max="4624" width="0.59765625" style="89" customWidth="1"/>
    <col min="4625" max="4864" width="8.796875" style="89"/>
    <col min="4865" max="4865" width="8.69921875" style="89" customWidth="1"/>
    <col min="4866" max="4866" width="12.296875" style="89" customWidth="1"/>
    <col min="4867" max="4867" width="9" style="89" customWidth="1"/>
    <col min="4868" max="4868" width="4.8984375" style="89" bestFit="1" customWidth="1"/>
    <col min="4869" max="4869" width="6.3984375" style="89" bestFit="1" customWidth="1"/>
    <col min="4870" max="4870" width="0" style="89" hidden="1" customWidth="1"/>
    <col min="4871" max="4871" width="7" style="89" bestFit="1" customWidth="1"/>
    <col min="4872" max="4872" width="11.59765625" style="89" bestFit="1" customWidth="1"/>
    <col min="4873" max="4873" width="6.5" style="89" bestFit="1" customWidth="1"/>
    <col min="4874" max="4874" width="4.8984375" style="89" bestFit="1" customWidth="1"/>
    <col min="4875" max="4875" width="6.3984375" style="89" customWidth="1"/>
    <col min="4876" max="4876" width="0" style="89" hidden="1" customWidth="1"/>
    <col min="4877" max="4877" width="6.3984375" style="89" bestFit="1" customWidth="1"/>
    <col min="4878" max="4878" width="11.59765625" style="89" bestFit="1" customWidth="1"/>
    <col min="4879" max="4879" width="6.5" style="89" bestFit="1" customWidth="1"/>
    <col min="4880" max="4880" width="0.59765625" style="89" customWidth="1"/>
    <col min="4881" max="5120" width="8.796875" style="89"/>
    <col min="5121" max="5121" width="8.69921875" style="89" customWidth="1"/>
    <col min="5122" max="5122" width="12.296875" style="89" customWidth="1"/>
    <col min="5123" max="5123" width="9" style="89" customWidth="1"/>
    <col min="5124" max="5124" width="4.8984375" style="89" bestFit="1" customWidth="1"/>
    <col min="5125" max="5125" width="6.3984375" style="89" bestFit="1" customWidth="1"/>
    <col min="5126" max="5126" width="0" style="89" hidden="1" customWidth="1"/>
    <col min="5127" max="5127" width="7" style="89" bestFit="1" customWidth="1"/>
    <col min="5128" max="5128" width="11.59765625" style="89" bestFit="1" customWidth="1"/>
    <col min="5129" max="5129" width="6.5" style="89" bestFit="1" customWidth="1"/>
    <col min="5130" max="5130" width="4.8984375" style="89" bestFit="1" customWidth="1"/>
    <col min="5131" max="5131" width="6.3984375" style="89" customWidth="1"/>
    <col min="5132" max="5132" width="0" style="89" hidden="1" customWidth="1"/>
    <col min="5133" max="5133" width="6.3984375" style="89" bestFit="1" customWidth="1"/>
    <col min="5134" max="5134" width="11.59765625" style="89" bestFit="1" customWidth="1"/>
    <col min="5135" max="5135" width="6.5" style="89" bestFit="1" customWidth="1"/>
    <col min="5136" max="5136" width="0.59765625" style="89" customWidth="1"/>
    <col min="5137" max="5376" width="8.796875" style="89"/>
    <col min="5377" max="5377" width="8.69921875" style="89" customWidth="1"/>
    <col min="5378" max="5378" width="12.296875" style="89" customWidth="1"/>
    <col min="5379" max="5379" width="9" style="89" customWidth="1"/>
    <col min="5380" max="5380" width="4.8984375" style="89" bestFit="1" customWidth="1"/>
    <col min="5381" max="5381" width="6.3984375" style="89" bestFit="1" customWidth="1"/>
    <col min="5382" max="5382" width="0" style="89" hidden="1" customWidth="1"/>
    <col min="5383" max="5383" width="7" style="89" bestFit="1" customWidth="1"/>
    <col min="5384" max="5384" width="11.59765625" style="89" bestFit="1" customWidth="1"/>
    <col min="5385" max="5385" width="6.5" style="89" bestFit="1" customWidth="1"/>
    <col min="5386" max="5386" width="4.8984375" style="89" bestFit="1" customWidth="1"/>
    <col min="5387" max="5387" width="6.3984375" style="89" customWidth="1"/>
    <col min="5388" max="5388" width="0" style="89" hidden="1" customWidth="1"/>
    <col min="5389" max="5389" width="6.3984375" style="89" bestFit="1" customWidth="1"/>
    <col min="5390" max="5390" width="11.59765625" style="89" bestFit="1" customWidth="1"/>
    <col min="5391" max="5391" width="6.5" style="89" bestFit="1" customWidth="1"/>
    <col min="5392" max="5392" width="0.59765625" style="89" customWidth="1"/>
    <col min="5393" max="5632" width="8.796875" style="89"/>
    <col min="5633" max="5633" width="8.69921875" style="89" customWidth="1"/>
    <col min="5634" max="5634" width="12.296875" style="89" customWidth="1"/>
    <col min="5635" max="5635" width="9" style="89" customWidth="1"/>
    <col min="5636" max="5636" width="4.8984375" style="89" bestFit="1" customWidth="1"/>
    <col min="5637" max="5637" width="6.3984375" style="89" bestFit="1" customWidth="1"/>
    <col min="5638" max="5638" width="0" style="89" hidden="1" customWidth="1"/>
    <col min="5639" max="5639" width="7" style="89" bestFit="1" customWidth="1"/>
    <col min="5640" max="5640" width="11.59765625" style="89" bestFit="1" customWidth="1"/>
    <col min="5641" max="5641" width="6.5" style="89" bestFit="1" customWidth="1"/>
    <col min="5642" max="5642" width="4.8984375" style="89" bestFit="1" customWidth="1"/>
    <col min="5643" max="5643" width="6.3984375" style="89" customWidth="1"/>
    <col min="5644" max="5644" width="0" style="89" hidden="1" customWidth="1"/>
    <col min="5645" max="5645" width="6.3984375" style="89" bestFit="1" customWidth="1"/>
    <col min="5646" max="5646" width="11.59765625" style="89" bestFit="1" customWidth="1"/>
    <col min="5647" max="5647" width="6.5" style="89" bestFit="1" customWidth="1"/>
    <col min="5648" max="5648" width="0.59765625" style="89" customWidth="1"/>
    <col min="5649" max="5888" width="8.796875" style="89"/>
    <col min="5889" max="5889" width="8.69921875" style="89" customWidth="1"/>
    <col min="5890" max="5890" width="12.296875" style="89" customWidth="1"/>
    <col min="5891" max="5891" width="9" style="89" customWidth="1"/>
    <col min="5892" max="5892" width="4.8984375" style="89" bestFit="1" customWidth="1"/>
    <col min="5893" max="5893" width="6.3984375" style="89" bestFit="1" customWidth="1"/>
    <col min="5894" max="5894" width="0" style="89" hidden="1" customWidth="1"/>
    <col min="5895" max="5895" width="7" style="89" bestFit="1" customWidth="1"/>
    <col min="5896" max="5896" width="11.59765625" style="89" bestFit="1" customWidth="1"/>
    <col min="5897" max="5897" width="6.5" style="89" bestFit="1" customWidth="1"/>
    <col min="5898" max="5898" width="4.8984375" style="89" bestFit="1" customWidth="1"/>
    <col min="5899" max="5899" width="6.3984375" style="89" customWidth="1"/>
    <col min="5900" max="5900" width="0" style="89" hidden="1" customWidth="1"/>
    <col min="5901" max="5901" width="6.3984375" style="89" bestFit="1" customWidth="1"/>
    <col min="5902" max="5902" width="11.59765625" style="89" bestFit="1" customWidth="1"/>
    <col min="5903" max="5903" width="6.5" style="89" bestFit="1" customWidth="1"/>
    <col min="5904" max="5904" width="0.59765625" style="89" customWidth="1"/>
    <col min="5905" max="6144" width="8.796875" style="89"/>
    <col min="6145" max="6145" width="8.69921875" style="89" customWidth="1"/>
    <col min="6146" max="6146" width="12.296875" style="89" customWidth="1"/>
    <col min="6147" max="6147" width="9" style="89" customWidth="1"/>
    <col min="6148" max="6148" width="4.8984375" style="89" bestFit="1" customWidth="1"/>
    <col min="6149" max="6149" width="6.3984375" style="89" bestFit="1" customWidth="1"/>
    <col min="6150" max="6150" width="0" style="89" hidden="1" customWidth="1"/>
    <col min="6151" max="6151" width="7" style="89" bestFit="1" customWidth="1"/>
    <col min="6152" max="6152" width="11.59765625" style="89" bestFit="1" customWidth="1"/>
    <col min="6153" max="6153" width="6.5" style="89" bestFit="1" customWidth="1"/>
    <col min="6154" max="6154" width="4.8984375" style="89" bestFit="1" customWidth="1"/>
    <col min="6155" max="6155" width="6.3984375" style="89" customWidth="1"/>
    <col min="6156" max="6156" width="0" style="89" hidden="1" customWidth="1"/>
    <col min="6157" max="6157" width="6.3984375" style="89" bestFit="1" customWidth="1"/>
    <col min="6158" max="6158" width="11.59765625" style="89" bestFit="1" customWidth="1"/>
    <col min="6159" max="6159" width="6.5" style="89" bestFit="1" customWidth="1"/>
    <col min="6160" max="6160" width="0.59765625" style="89" customWidth="1"/>
    <col min="6161" max="6400" width="8.796875" style="89"/>
    <col min="6401" max="6401" width="8.69921875" style="89" customWidth="1"/>
    <col min="6402" max="6402" width="12.296875" style="89" customWidth="1"/>
    <col min="6403" max="6403" width="9" style="89" customWidth="1"/>
    <col min="6404" max="6404" width="4.8984375" style="89" bestFit="1" customWidth="1"/>
    <col min="6405" max="6405" width="6.3984375" style="89" bestFit="1" customWidth="1"/>
    <col min="6406" max="6406" width="0" style="89" hidden="1" customWidth="1"/>
    <col min="6407" max="6407" width="7" style="89" bestFit="1" customWidth="1"/>
    <col min="6408" max="6408" width="11.59765625" style="89" bestFit="1" customWidth="1"/>
    <col min="6409" max="6409" width="6.5" style="89" bestFit="1" customWidth="1"/>
    <col min="6410" max="6410" width="4.8984375" style="89" bestFit="1" customWidth="1"/>
    <col min="6411" max="6411" width="6.3984375" style="89" customWidth="1"/>
    <col min="6412" max="6412" width="0" style="89" hidden="1" customWidth="1"/>
    <col min="6413" max="6413" width="6.3984375" style="89" bestFit="1" customWidth="1"/>
    <col min="6414" max="6414" width="11.59765625" style="89" bestFit="1" customWidth="1"/>
    <col min="6415" max="6415" width="6.5" style="89" bestFit="1" customWidth="1"/>
    <col min="6416" max="6416" width="0.59765625" style="89" customWidth="1"/>
    <col min="6417" max="6656" width="8.796875" style="89"/>
    <col min="6657" max="6657" width="8.69921875" style="89" customWidth="1"/>
    <col min="6658" max="6658" width="12.296875" style="89" customWidth="1"/>
    <col min="6659" max="6659" width="9" style="89" customWidth="1"/>
    <col min="6660" max="6660" width="4.8984375" style="89" bestFit="1" customWidth="1"/>
    <col min="6661" max="6661" width="6.3984375" style="89" bestFit="1" customWidth="1"/>
    <col min="6662" max="6662" width="0" style="89" hidden="1" customWidth="1"/>
    <col min="6663" max="6663" width="7" style="89" bestFit="1" customWidth="1"/>
    <col min="6664" max="6664" width="11.59765625" style="89" bestFit="1" customWidth="1"/>
    <col min="6665" max="6665" width="6.5" style="89" bestFit="1" customWidth="1"/>
    <col min="6666" max="6666" width="4.8984375" style="89" bestFit="1" customWidth="1"/>
    <col min="6667" max="6667" width="6.3984375" style="89" customWidth="1"/>
    <col min="6668" max="6668" width="0" style="89" hidden="1" customWidth="1"/>
    <col min="6669" max="6669" width="6.3984375" style="89" bestFit="1" customWidth="1"/>
    <col min="6670" max="6670" width="11.59765625" style="89" bestFit="1" customWidth="1"/>
    <col min="6671" max="6671" width="6.5" style="89" bestFit="1" customWidth="1"/>
    <col min="6672" max="6672" width="0.59765625" style="89" customWidth="1"/>
    <col min="6673" max="6912" width="8.796875" style="89"/>
    <col min="6913" max="6913" width="8.69921875" style="89" customWidth="1"/>
    <col min="6914" max="6914" width="12.296875" style="89" customWidth="1"/>
    <col min="6915" max="6915" width="9" style="89" customWidth="1"/>
    <col min="6916" max="6916" width="4.8984375" style="89" bestFit="1" customWidth="1"/>
    <col min="6917" max="6917" width="6.3984375" style="89" bestFit="1" customWidth="1"/>
    <col min="6918" max="6918" width="0" style="89" hidden="1" customWidth="1"/>
    <col min="6919" max="6919" width="7" style="89" bestFit="1" customWidth="1"/>
    <col min="6920" max="6920" width="11.59765625" style="89" bestFit="1" customWidth="1"/>
    <col min="6921" max="6921" width="6.5" style="89" bestFit="1" customWidth="1"/>
    <col min="6922" max="6922" width="4.8984375" style="89" bestFit="1" customWidth="1"/>
    <col min="6923" max="6923" width="6.3984375" style="89" customWidth="1"/>
    <col min="6924" max="6924" width="0" style="89" hidden="1" customWidth="1"/>
    <col min="6925" max="6925" width="6.3984375" style="89" bestFit="1" customWidth="1"/>
    <col min="6926" max="6926" width="11.59765625" style="89" bestFit="1" customWidth="1"/>
    <col min="6927" max="6927" width="6.5" style="89" bestFit="1" customWidth="1"/>
    <col min="6928" max="6928" width="0.59765625" style="89" customWidth="1"/>
    <col min="6929" max="7168" width="8.796875" style="89"/>
    <col min="7169" max="7169" width="8.69921875" style="89" customWidth="1"/>
    <col min="7170" max="7170" width="12.296875" style="89" customWidth="1"/>
    <col min="7171" max="7171" width="9" style="89" customWidth="1"/>
    <col min="7172" max="7172" width="4.8984375" style="89" bestFit="1" customWidth="1"/>
    <col min="7173" max="7173" width="6.3984375" style="89" bestFit="1" customWidth="1"/>
    <col min="7174" max="7174" width="0" style="89" hidden="1" customWidth="1"/>
    <col min="7175" max="7175" width="7" style="89" bestFit="1" customWidth="1"/>
    <col min="7176" max="7176" width="11.59765625" style="89" bestFit="1" customWidth="1"/>
    <col min="7177" max="7177" width="6.5" style="89" bestFit="1" customWidth="1"/>
    <col min="7178" max="7178" width="4.8984375" style="89" bestFit="1" customWidth="1"/>
    <col min="7179" max="7179" width="6.3984375" style="89" customWidth="1"/>
    <col min="7180" max="7180" width="0" style="89" hidden="1" customWidth="1"/>
    <col min="7181" max="7181" width="6.3984375" style="89" bestFit="1" customWidth="1"/>
    <col min="7182" max="7182" width="11.59765625" style="89" bestFit="1" customWidth="1"/>
    <col min="7183" max="7183" width="6.5" style="89" bestFit="1" customWidth="1"/>
    <col min="7184" max="7184" width="0.59765625" style="89" customWidth="1"/>
    <col min="7185" max="7424" width="8.796875" style="89"/>
    <col min="7425" max="7425" width="8.69921875" style="89" customWidth="1"/>
    <col min="7426" max="7426" width="12.296875" style="89" customWidth="1"/>
    <col min="7427" max="7427" width="9" style="89" customWidth="1"/>
    <col min="7428" max="7428" width="4.8984375" style="89" bestFit="1" customWidth="1"/>
    <col min="7429" max="7429" width="6.3984375" style="89" bestFit="1" customWidth="1"/>
    <col min="7430" max="7430" width="0" style="89" hidden="1" customWidth="1"/>
    <col min="7431" max="7431" width="7" style="89" bestFit="1" customWidth="1"/>
    <col min="7432" max="7432" width="11.59765625" style="89" bestFit="1" customWidth="1"/>
    <col min="7433" max="7433" width="6.5" style="89" bestFit="1" customWidth="1"/>
    <col min="7434" max="7434" width="4.8984375" style="89" bestFit="1" customWidth="1"/>
    <col min="7435" max="7435" width="6.3984375" style="89" customWidth="1"/>
    <col min="7436" max="7436" width="0" style="89" hidden="1" customWidth="1"/>
    <col min="7437" max="7437" width="6.3984375" style="89" bestFit="1" customWidth="1"/>
    <col min="7438" max="7438" width="11.59765625" style="89" bestFit="1" customWidth="1"/>
    <col min="7439" max="7439" width="6.5" style="89" bestFit="1" customWidth="1"/>
    <col min="7440" max="7440" width="0.59765625" style="89" customWidth="1"/>
    <col min="7441" max="7680" width="8.796875" style="89"/>
    <col min="7681" max="7681" width="8.69921875" style="89" customWidth="1"/>
    <col min="7682" max="7682" width="12.296875" style="89" customWidth="1"/>
    <col min="7683" max="7683" width="9" style="89" customWidth="1"/>
    <col min="7684" max="7684" width="4.8984375" style="89" bestFit="1" customWidth="1"/>
    <col min="7685" max="7685" width="6.3984375" style="89" bestFit="1" customWidth="1"/>
    <col min="7686" max="7686" width="0" style="89" hidden="1" customWidth="1"/>
    <col min="7687" max="7687" width="7" style="89" bestFit="1" customWidth="1"/>
    <col min="7688" max="7688" width="11.59765625" style="89" bestFit="1" customWidth="1"/>
    <col min="7689" max="7689" width="6.5" style="89" bestFit="1" customWidth="1"/>
    <col min="7690" max="7690" width="4.8984375" style="89" bestFit="1" customWidth="1"/>
    <col min="7691" max="7691" width="6.3984375" style="89" customWidth="1"/>
    <col min="7692" max="7692" width="0" style="89" hidden="1" customWidth="1"/>
    <col min="7693" max="7693" width="6.3984375" style="89" bestFit="1" customWidth="1"/>
    <col min="7694" max="7694" width="11.59765625" style="89" bestFit="1" customWidth="1"/>
    <col min="7695" max="7695" width="6.5" style="89" bestFit="1" customWidth="1"/>
    <col min="7696" max="7696" width="0.59765625" style="89" customWidth="1"/>
    <col min="7697" max="7936" width="8.796875" style="89"/>
    <col min="7937" max="7937" width="8.69921875" style="89" customWidth="1"/>
    <col min="7938" max="7938" width="12.296875" style="89" customWidth="1"/>
    <col min="7939" max="7939" width="9" style="89" customWidth="1"/>
    <col min="7940" max="7940" width="4.8984375" style="89" bestFit="1" customWidth="1"/>
    <col min="7941" max="7941" width="6.3984375" style="89" bestFit="1" customWidth="1"/>
    <col min="7942" max="7942" width="0" style="89" hidden="1" customWidth="1"/>
    <col min="7943" max="7943" width="7" style="89" bestFit="1" customWidth="1"/>
    <col min="7944" max="7944" width="11.59765625" style="89" bestFit="1" customWidth="1"/>
    <col min="7945" max="7945" width="6.5" style="89" bestFit="1" customWidth="1"/>
    <col min="7946" max="7946" width="4.8984375" style="89" bestFit="1" customWidth="1"/>
    <col min="7947" max="7947" width="6.3984375" style="89" customWidth="1"/>
    <col min="7948" max="7948" width="0" style="89" hidden="1" customWidth="1"/>
    <col min="7949" max="7949" width="6.3984375" style="89" bestFit="1" customWidth="1"/>
    <col min="7950" max="7950" width="11.59765625" style="89" bestFit="1" customWidth="1"/>
    <col min="7951" max="7951" width="6.5" style="89" bestFit="1" customWidth="1"/>
    <col min="7952" max="7952" width="0.59765625" style="89" customWidth="1"/>
    <col min="7953" max="8192" width="8.796875" style="89"/>
    <col min="8193" max="8193" width="8.69921875" style="89" customWidth="1"/>
    <col min="8194" max="8194" width="12.296875" style="89" customWidth="1"/>
    <col min="8195" max="8195" width="9" style="89" customWidth="1"/>
    <col min="8196" max="8196" width="4.8984375" style="89" bestFit="1" customWidth="1"/>
    <col min="8197" max="8197" width="6.3984375" style="89" bestFit="1" customWidth="1"/>
    <col min="8198" max="8198" width="0" style="89" hidden="1" customWidth="1"/>
    <col min="8199" max="8199" width="7" style="89" bestFit="1" customWidth="1"/>
    <col min="8200" max="8200" width="11.59765625" style="89" bestFit="1" customWidth="1"/>
    <col min="8201" max="8201" width="6.5" style="89" bestFit="1" customWidth="1"/>
    <col min="8202" max="8202" width="4.8984375" style="89" bestFit="1" customWidth="1"/>
    <col min="8203" max="8203" width="6.3984375" style="89" customWidth="1"/>
    <col min="8204" max="8204" width="0" style="89" hidden="1" customWidth="1"/>
    <col min="8205" max="8205" width="6.3984375" style="89" bestFit="1" customWidth="1"/>
    <col min="8206" max="8206" width="11.59765625" style="89" bestFit="1" customWidth="1"/>
    <col min="8207" max="8207" width="6.5" style="89" bestFit="1" customWidth="1"/>
    <col min="8208" max="8208" width="0.59765625" style="89" customWidth="1"/>
    <col min="8209" max="8448" width="8.796875" style="89"/>
    <col min="8449" max="8449" width="8.69921875" style="89" customWidth="1"/>
    <col min="8450" max="8450" width="12.296875" style="89" customWidth="1"/>
    <col min="8451" max="8451" width="9" style="89" customWidth="1"/>
    <col min="8452" max="8452" width="4.8984375" style="89" bestFit="1" customWidth="1"/>
    <col min="8453" max="8453" width="6.3984375" style="89" bestFit="1" customWidth="1"/>
    <col min="8454" max="8454" width="0" style="89" hidden="1" customWidth="1"/>
    <col min="8455" max="8455" width="7" style="89" bestFit="1" customWidth="1"/>
    <col min="8456" max="8456" width="11.59765625" style="89" bestFit="1" customWidth="1"/>
    <col min="8457" max="8457" width="6.5" style="89" bestFit="1" customWidth="1"/>
    <col min="8458" max="8458" width="4.8984375" style="89" bestFit="1" customWidth="1"/>
    <col min="8459" max="8459" width="6.3984375" style="89" customWidth="1"/>
    <col min="8460" max="8460" width="0" style="89" hidden="1" customWidth="1"/>
    <col min="8461" max="8461" width="6.3984375" style="89" bestFit="1" customWidth="1"/>
    <col min="8462" max="8462" width="11.59765625" style="89" bestFit="1" customWidth="1"/>
    <col min="8463" max="8463" width="6.5" style="89" bestFit="1" customWidth="1"/>
    <col min="8464" max="8464" width="0.59765625" style="89" customWidth="1"/>
    <col min="8465" max="8704" width="8.796875" style="89"/>
    <col min="8705" max="8705" width="8.69921875" style="89" customWidth="1"/>
    <col min="8706" max="8706" width="12.296875" style="89" customWidth="1"/>
    <col min="8707" max="8707" width="9" style="89" customWidth="1"/>
    <col min="8708" max="8708" width="4.8984375" style="89" bestFit="1" customWidth="1"/>
    <col min="8709" max="8709" width="6.3984375" style="89" bestFit="1" customWidth="1"/>
    <col min="8710" max="8710" width="0" style="89" hidden="1" customWidth="1"/>
    <col min="8711" max="8711" width="7" style="89" bestFit="1" customWidth="1"/>
    <col min="8712" max="8712" width="11.59765625" style="89" bestFit="1" customWidth="1"/>
    <col min="8713" max="8713" width="6.5" style="89" bestFit="1" customWidth="1"/>
    <col min="8714" max="8714" width="4.8984375" style="89" bestFit="1" customWidth="1"/>
    <col min="8715" max="8715" width="6.3984375" style="89" customWidth="1"/>
    <col min="8716" max="8716" width="0" style="89" hidden="1" customWidth="1"/>
    <col min="8717" max="8717" width="6.3984375" style="89" bestFit="1" customWidth="1"/>
    <col min="8718" max="8718" width="11.59765625" style="89" bestFit="1" customWidth="1"/>
    <col min="8719" max="8719" width="6.5" style="89" bestFit="1" customWidth="1"/>
    <col min="8720" max="8720" width="0.59765625" style="89" customWidth="1"/>
    <col min="8721" max="8960" width="8.796875" style="89"/>
    <col min="8961" max="8961" width="8.69921875" style="89" customWidth="1"/>
    <col min="8962" max="8962" width="12.296875" style="89" customWidth="1"/>
    <col min="8963" max="8963" width="9" style="89" customWidth="1"/>
    <col min="8964" max="8964" width="4.8984375" style="89" bestFit="1" customWidth="1"/>
    <col min="8965" max="8965" width="6.3984375" style="89" bestFit="1" customWidth="1"/>
    <col min="8966" max="8966" width="0" style="89" hidden="1" customWidth="1"/>
    <col min="8967" max="8967" width="7" style="89" bestFit="1" customWidth="1"/>
    <col min="8968" max="8968" width="11.59765625" style="89" bestFit="1" customWidth="1"/>
    <col min="8969" max="8969" width="6.5" style="89" bestFit="1" customWidth="1"/>
    <col min="8970" max="8970" width="4.8984375" style="89" bestFit="1" customWidth="1"/>
    <col min="8971" max="8971" width="6.3984375" style="89" customWidth="1"/>
    <col min="8972" max="8972" width="0" style="89" hidden="1" customWidth="1"/>
    <col min="8973" max="8973" width="6.3984375" style="89" bestFit="1" customWidth="1"/>
    <col min="8974" max="8974" width="11.59765625" style="89" bestFit="1" customWidth="1"/>
    <col min="8975" max="8975" width="6.5" style="89" bestFit="1" customWidth="1"/>
    <col min="8976" max="8976" width="0.59765625" style="89" customWidth="1"/>
    <col min="8977" max="9216" width="8.796875" style="89"/>
    <col min="9217" max="9217" width="8.69921875" style="89" customWidth="1"/>
    <col min="9218" max="9218" width="12.296875" style="89" customWidth="1"/>
    <col min="9219" max="9219" width="9" style="89" customWidth="1"/>
    <col min="9220" max="9220" width="4.8984375" style="89" bestFit="1" customWidth="1"/>
    <col min="9221" max="9221" width="6.3984375" style="89" bestFit="1" customWidth="1"/>
    <col min="9222" max="9222" width="0" style="89" hidden="1" customWidth="1"/>
    <col min="9223" max="9223" width="7" style="89" bestFit="1" customWidth="1"/>
    <col min="9224" max="9224" width="11.59765625" style="89" bestFit="1" customWidth="1"/>
    <col min="9225" max="9225" width="6.5" style="89" bestFit="1" customWidth="1"/>
    <col min="9226" max="9226" width="4.8984375" style="89" bestFit="1" customWidth="1"/>
    <col min="9227" max="9227" width="6.3984375" style="89" customWidth="1"/>
    <col min="9228" max="9228" width="0" style="89" hidden="1" customWidth="1"/>
    <col min="9229" max="9229" width="6.3984375" style="89" bestFit="1" customWidth="1"/>
    <col min="9230" max="9230" width="11.59765625" style="89" bestFit="1" customWidth="1"/>
    <col min="9231" max="9231" width="6.5" style="89" bestFit="1" customWidth="1"/>
    <col min="9232" max="9232" width="0.59765625" style="89" customWidth="1"/>
    <col min="9233" max="9472" width="8.796875" style="89"/>
    <col min="9473" max="9473" width="8.69921875" style="89" customWidth="1"/>
    <col min="9474" max="9474" width="12.296875" style="89" customWidth="1"/>
    <col min="9475" max="9475" width="9" style="89" customWidth="1"/>
    <col min="9476" max="9476" width="4.8984375" style="89" bestFit="1" customWidth="1"/>
    <col min="9477" max="9477" width="6.3984375" style="89" bestFit="1" customWidth="1"/>
    <col min="9478" max="9478" width="0" style="89" hidden="1" customWidth="1"/>
    <col min="9479" max="9479" width="7" style="89" bestFit="1" customWidth="1"/>
    <col min="9480" max="9480" width="11.59765625" style="89" bestFit="1" customWidth="1"/>
    <col min="9481" max="9481" width="6.5" style="89" bestFit="1" customWidth="1"/>
    <col min="9482" max="9482" width="4.8984375" style="89" bestFit="1" customWidth="1"/>
    <col min="9483" max="9483" width="6.3984375" style="89" customWidth="1"/>
    <col min="9484" max="9484" width="0" style="89" hidden="1" customWidth="1"/>
    <col min="9485" max="9485" width="6.3984375" style="89" bestFit="1" customWidth="1"/>
    <col min="9486" max="9486" width="11.59765625" style="89" bestFit="1" customWidth="1"/>
    <col min="9487" max="9487" width="6.5" style="89" bestFit="1" customWidth="1"/>
    <col min="9488" max="9488" width="0.59765625" style="89" customWidth="1"/>
    <col min="9489" max="9728" width="8.796875" style="89"/>
    <col min="9729" max="9729" width="8.69921875" style="89" customWidth="1"/>
    <col min="9730" max="9730" width="12.296875" style="89" customWidth="1"/>
    <col min="9731" max="9731" width="9" style="89" customWidth="1"/>
    <col min="9732" max="9732" width="4.8984375" style="89" bestFit="1" customWidth="1"/>
    <col min="9733" max="9733" width="6.3984375" style="89" bestFit="1" customWidth="1"/>
    <col min="9734" max="9734" width="0" style="89" hidden="1" customWidth="1"/>
    <col min="9735" max="9735" width="7" style="89" bestFit="1" customWidth="1"/>
    <col min="9736" max="9736" width="11.59765625" style="89" bestFit="1" customWidth="1"/>
    <col min="9737" max="9737" width="6.5" style="89" bestFit="1" customWidth="1"/>
    <col min="9738" max="9738" width="4.8984375" style="89" bestFit="1" customWidth="1"/>
    <col min="9739" max="9739" width="6.3984375" style="89" customWidth="1"/>
    <col min="9740" max="9740" width="0" style="89" hidden="1" customWidth="1"/>
    <col min="9741" max="9741" width="6.3984375" style="89" bestFit="1" customWidth="1"/>
    <col min="9742" max="9742" width="11.59765625" style="89" bestFit="1" customWidth="1"/>
    <col min="9743" max="9743" width="6.5" style="89" bestFit="1" customWidth="1"/>
    <col min="9744" max="9744" width="0.59765625" style="89" customWidth="1"/>
    <col min="9745" max="9984" width="8.796875" style="89"/>
    <col min="9985" max="9985" width="8.69921875" style="89" customWidth="1"/>
    <col min="9986" max="9986" width="12.296875" style="89" customWidth="1"/>
    <col min="9987" max="9987" width="9" style="89" customWidth="1"/>
    <col min="9988" max="9988" width="4.8984375" style="89" bestFit="1" customWidth="1"/>
    <col min="9989" max="9989" width="6.3984375" style="89" bestFit="1" customWidth="1"/>
    <col min="9990" max="9990" width="0" style="89" hidden="1" customWidth="1"/>
    <col min="9991" max="9991" width="7" style="89" bestFit="1" customWidth="1"/>
    <col min="9992" max="9992" width="11.59765625" style="89" bestFit="1" customWidth="1"/>
    <col min="9993" max="9993" width="6.5" style="89" bestFit="1" customWidth="1"/>
    <col min="9994" max="9994" width="4.8984375" style="89" bestFit="1" customWidth="1"/>
    <col min="9995" max="9995" width="6.3984375" style="89" customWidth="1"/>
    <col min="9996" max="9996" width="0" style="89" hidden="1" customWidth="1"/>
    <col min="9997" max="9997" width="6.3984375" style="89" bestFit="1" customWidth="1"/>
    <col min="9998" max="9998" width="11.59765625" style="89" bestFit="1" customWidth="1"/>
    <col min="9999" max="9999" width="6.5" style="89" bestFit="1" customWidth="1"/>
    <col min="10000" max="10000" width="0.59765625" style="89" customWidth="1"/>
    <col min="10001" max="10240" width="8.796875" style="89"/>
    <col min="10241" max="10241" width="8.69921875" style="89" customWidth="1"/>
    <col min="10242" max="10242" width="12.296875" style="89" customWidth="1"/>
    <col min="10243" max="10243" width="9" style="89" customWidth="1"/>
    <col min="10244" max="10244" width="4.8984375" style="89" bestFit="1" customWidth="1"/>
    <col min="10245" max="10245" width="6.3984375" style="89" bestFit="1" customWidth="1"/>
    <col min="10246" max="10246" width="0" style="89" hidden="1" customWidth="1"/>
    <col min="10247" max="10247" width="7" style="89" bestFit="1" customWidth="1"/>
    <col min="10248" max="10248" width="11.59765625" style="89" bestFit="1" customWidth="1"/>
    <col min="10249" max="10249" width="6.5" style="89" bestFit="1" customWidth="1"/>
    <col min="10250" max="10250" width="4.8984375" style="89" bestFit="1" customWidth="1"/>
    <col min="10251" max="10251" width="6.3984375" style="89" customWidth="1"/>
    <col min="10252" max="10252" width="0" style="89" hidden="1" customWidth="1"/>
    <col min="10253" max="10253" width="6.3984375" style="89" bestFit="1" customWidth="1"/>
    <col min="10254" max="10254" width="11.59765625" style="89" bestFit="1" customWidth="1"/>
    <col min="10255" max="10255" width="6.5" style="89" bestFit="1" customWidth="1"/>
    <col min="10256" max="10256" width="0.59765625" style="89" customWidth="1"/>
    <col min="10257" max="10496" width="8.796875" style="89"/>
    <col min="10497" max="10497" width="8.69921875" style="89" customWidth="1"/>
    <col min="10498" max="10498" width="12.296875" style="89" customWidth="1"/>
    <col min="10499" max="10499" width="9" style="89" customWidth="1"/>
    <col min="10500" max="10500" width="4.8984375" style="89" bestFit="1" customWidth="1"/>
    <col min="10501" max="10501" width="6.3984375" style="89" bestFit="1" customWidth="1"/>
    <col min="10502" max="10502" width="0" style="89" hidden="1" customWidth="1"/>
    <col min="10503" max="10503" width="7" style="89" bestFit="1" customWidth="1"/>
    <col min="10504" max="10504" width="11.59765625" style="89" bestFit="1" customWidth="1"/>
    <col min="10505" max="10505" width="6.5" style="89" bestFit="1" customWidth="1"/>
    <col min="10506" max="10506" width="4.8984375" style="89" bestFit="1" customWidth="1"/>
    <col min="10507" max="10507" width="6.3984375" style="89" customWidth="1"/>
    <col min="10508" max="10508" width="0" style="89" hidden="1" customWidth="1"/>
    <col min="10509" max="10509" width="6.3984375" style="89" bestFit="1" customWidth="1"/>
    <col min="10510" max="10510" width="11.59765625" style="89" bestFit="1" customWidth="1"/>
    <col min="10511" max="10511" width="6.5" style="89" bestFit="1" customWidth="1"/>
    <col min="10512" max="10512" width="0.59765625" style="89" customWidth="1"/>
    <col min="10513" max="10752" width="8.796875" style="89"/>
    <col min="10753" max="10753" width="8.69921875" style="89" customWidth="1"/>
    <col min="10754" max="10754" width="12.296875" style="89" customWidth="1"/>
    <col min="10755" max="10755" width="9" style="89" customWidth="1"/>
    <col min="10756" max="10756" width="4.8984375" style="89" bestFit="1" customWidth="1"/>
    <col min="10757" max="10757" width="6.3984375" style="89" bestFit="1" customWidth="1"/>
    <col min="10758" max="10758" width="0" style="89" hidden="1" customWidth="1"/>
    <col min="10759" max="10759" width="7" style="89" bestFit="1" customWidth="1"/>
    <col min="10760" max="10760" width="11.59765625" style="89" bestFit="1" customWidth="1"/>
    <col min="10761" max="10761" width="6.5" style="89" bestFit="1" customWidth="1"/>
    <col min="10762" max="10762" width="4.8984375" style="89" bestFit="1" customWidth="1"/>
    <col min="10763" max="10763" width="6.3984375" style="89" customWidth="1"/>
    <col min="10764" max="10764" width="0" style="89" hidden="1" customWidth="1"/>
    <col min="10765" max="10765" width="6.3984375" style="89" bestFit="1" customWidth="1"/>
    <col min="10766" max="10766" width="11.59765625" style="89" bestFit="1" customWidth="1"/>
    <col min="10767" max="10767" width="6.5" style="89" bestFit="1" customWidth="1"/>
    <col min="10768" max="10768" width="0.59765625" style="89" customWidth="1"/>
    <col min="10769" max="11008" width="8.796875" style="89"/>
    <col min="11009" max="11009" width="8.69921875" style="89" customWidth="1"/>
    <col min="11010" max="11010" width="12.296875" style="89" customWidth="1"/>
    <col min="11011" max="11011" width="9" style="89" customWidth="1"/>
    <col min="11012" max="11012" width="4.8984375" style="89" bestFit="1" customWidth="1"/>
    <col min="11013" max="11013" width="6.3984375" style="89" bestFit="1" customWidth="1"/>
    <col min="11014" max="11014" width="0" style="89" hidden="1" customWidth="1"/>
    <col min="11015" max="11015" width="7" style="89" bestFit="1" customWidth="1"/>
    <col min="11016" max="11016" width="11.59765625" style="89" bestFit="1" customWidth="1"/>
    <col min="11017" max="11017" width="6.5" style="89" bestFit="1" customWidth="1"/>
    <col min="11018" max="11018" width="4.8984375" style="89" bestFit="1" customWidth="1"/>
    <col min="11019" max="11019" width="6.3984375" style="89" customWidth="1"/>
    <col min="11020" max="11020" width="0" style="89" hidden="1" customWidth="1"/>
    <col min="11021" max="11021" width="6.3984375" style="89" bestFit="1" customWidth="1"/>
    <col min="11022" max="11022" width="11.59765625" style="89" bestFit="1" customWidth="1"/>
    <col min="11023" max="11023" width="6.5" style="89" bestFit="1" customWidth="1"/>
    <col min="11024" max="11024" width="0.59765625" style="89" customWidth="1"/>
    <col min="11025" max="11264" width="8.796875" style="89"/>
    <col min="11265" max="11265" width="8.69921875" style="89" customWidth="1"/>
    <col min="11266" max="11266" width="12.296875" style="89" customWidth="1"/>
    <col min="11267" max="11267" width="9" style="89" customWidth="1"/>
    <col min="11268" max="11268" width="4.8984375" style="89" bestFit="1" customWidth="1"/>
    <col min="11269" max="11269" width="6.3984375" style="89" bestFit="1" customWidth="1"/>
    <col min="11270" max="11270" width="0" style="89" hidden="1" customWidth="1"/>
    <col min="11271" max="11271" width="7" style="89" bestFit="1" customWidth="1"/>
    <col min="11272" max="11272" width="11.59765625" style="89" bestFit="1" customWidth="1"/>
    <col min="11273" max="11273" width="6.5" style="89" bestFit="1" customWidth="1"/>
    <col min="11274" max="11274" width="4.8984375" style="89" bestFit="1" customWidth="1"/>
    <col min="11275" max="11275" width="6.3984375" style="89" customWidth="1"/>
    <col min="11276" max="11276" width="0" style="89" hidden="1" customWidth="1"/>
    <col min="11277" max="11277" width="6.3984375" style="89" bestFit="1" customWidth="1"/>
    <col min="11278" max="11278" width="11.59765625" style="89" bestFit="1" customWidth="1"/>
    <col min="11279" max="11279" width="6.5" style="89" bestFit="1" customWidth="1"/>
    <col min="11280" max="11280" width="0.59765625" style="89" customWidth="1"/>
    <col min="11281" max="11520" width="8.796875" style="89"/>
    <col min="11521" max="11521" width="8.69921875" style="89" customWidth="1"/>
    <col min="11522" max="11522" width="12.296875" style="89" customWidth="1"/>
    <col min="11523" max="11523" width="9" style="89" customWidth="1"/>
    <col min="11524" max="11524" width="4.8984375" style="89" bestFit="1" customWidth="1"/>
    <col min="11525" max="11525" width="6.3984375" style="89" bestFit="1" customWidth="1"/>
    <col min="11526" max="11526" width="0" style="89" hidden="1" customWidth="1"/>
    <col min="11527" max="11527" width="7" style="89" bestFit="1" customWidth="1"/>
    <col min="11528" max="11528" width="11.59765625" style="89" bestFit="1" customWidth="1"/>
    <col min="11529" max="11529" width="6.5" style="89" bestFit="1" customWidth="1"/>
    <col min="11530" max="11530" width="4.8984375" style="89" bestFit="1" customWidth="1"/>
    <col min="11531" max="11531" width="6.3984375" style="89" customWidth="1"/>
    <col min="11532" max="11532" width="0" style="89" hidden="1" customWidth="1"/>
    <col min="11533" max="11533" width="6.3984375" style="89" bestFit="1" customWidth="1"/>
    <col min="11534" max="11534" width="11.59765625" style="89" bestFit="1" customWidth="1"/>
    <col min="11535" max="11535" width="6.5" style="89" bestFit="1" customWidth="1"/>
    <col min="11536" max="11536" width="0.59765625" style="89" customWidth="1"/>
    <col min="11537" max="11776" width="8.796875" style="89"/>
    <col min="11777" max="11777" width="8.69921875" style="89" customWidth="1"/>
    <col min="11778" max="11778" width="12.296875" style="89" customWidth="1"/>
    <col min="11779" max="11779" width="9" style="89" customWidth="1"/>
    <col min="11780" max="11780" width="4.8984375" style="89" bestFit="1" customWidth="1"/>
    <col min="11781" max="11781" width="6.3984375" style="89" bestFit="1" customWidth="1"/>
    <col min="11782" max="11782" width="0" style="89" hidden="1" customWidth="1"/>
    <col min="11783" max="11783" width="7" style="89" bestFit="1" customWidth="1"/>
    <col min="11784" max="11784" width="11.59765625" style="89" bestFit="1" customWidth="1"/>
    <col min="11785" max="11785" width="6.5" style="89" bestFit="1" customWidth="1"/>
    <col min="11786" max="11786" width="4.8984375" style="89" bestFit="1" customWidth="1"/>
    <col min="11787" max="11787" width="6.3984375" style="89" customWidth="1"/>
    <col min="11788" max="11788" width="0" style="89" hidden="1" customWidth="1"/>
    <col min="11789" max="11789" width="6.3984375" style="89" bestFit="1" customWidth="1"/>
    <col min="11790" max="11790" width="11.59765625" style="89" bestFit="1" customWidth="1"/>
    <col min="11791" max="11791" width="6.5" style="89" bestFit="1" customWidth="1"/>
    <col min="11792" max="11792" width="0.59765625" style="89" customWidth="1"/>
    <col min="11793" max="12032" width="8.796875" style="89"/>
    <col min="12033" max="12033" width="8.69921875" style="89" customWidth="1"/>
    <col min="12034" max="12034" width="12.296875" style="89" customWidth="1"/>
    <col min="12035" max="12035" width="9" style="89" customWidth="1"/>
    <col min="12036" max="12036" width="4.8984375" style="89" bestFit="1" customWidth="1"/>
    <col min="12037" max="12037" width="6.3984375" style="89" bestFit="1" customWidth="1"/>
    <col min="12038" max="12038" width="0" style="89" hidden="1" customWidth="1"/>
    <col min="12039" max="12039" width="7" style="89" bestFit="1" customWidth="1"/>
    <col min="12040" max="12040" width="11.59765625" style="89" bestFit="1" customWidth="1"/>
    <col min="12041" max="12041" width="6.5" style="89" bestFit="1" customWidth="1"/>
    <col min="12042" max="12042" width="4.8984375" style="89" bestFit="1" customWidth="1"/>
    <col min="12043" max="12043" width="6.3984375" style="89" customWidth="1"/>
    <col min="12044" max="12044" width="0" style="89" hidden="1" customWidth="1"/>
    <col min="12045" max="12045" width="6.3984375" style="89" bestFit="1" customWidth="1"/>
    <col min="12046" max="12046" width="11.59765625" style="89" bestFit="1" customWidth="1"/>
    <col min="12047" max="12047" width="6.5" style="89" bestFit="1" customWidth="1"/>
    <col min="12048" max="12048" width="0.59765625" style="89" customWidth="1"/>
    <col min="12049" max="12288" width="8.796875" style="89"/>
    <col min="12289" max="12289" width="8.69921875" style="89" customWidth="1"/>
    <col min="12290" max="12290" width="12.296875" style="89" customWidth="1"/>
    <col min="12291" max="12291" width="9" style="89" customWidth="1"/>
    <col min="12292" max="12292" width="4.8984375" style="89" bestFit="1" customWidth="1"/>
    <col min="12293" max="12293" width="6.3984375" style="89" bestFit="1" customWidth="1"/>
    <col min="12294" max="12294" width="0" style="89" hidden="1" customWidth="1"/>
    <col min="12295" max="12295" width="7" style="89" bestFit="1" customWidth="1"/>
    <col min="12296" max="12296" width="11.59765625" style="89" bestFit="1" customWidth="1"/>
    <col min="12297" max="12297" width="6.5" style="89" bestFit="1" customWidth="1"/>
    <col min="12298" max="12298" width="4.8984375" style="89" bestFit="1" customWidth="1"/>
    <col min="12299" max="12299" width="6.3984375" style="89" customWidth="1"/>
    <col min="12300" max="12300" width="0" style="89" hidden="1" customWidth="1"/>
    <col min="12301" max="12301" width="6.3984375" style="89" bestFit="1" customWidth="1"/>
    <col min="12302" max="12302" width="11.59765625" style="89" bestFit="1" customWidth="1"/>
    <col min="12303" max="12303" width="6.5" style="89" bestFit="1" customWidth="1"/>
    <col min="12304" max="12304" width="0.59765625" style="89" customWidth="1"/>
    <col min="12305" max="12544" width="8.796875" style="89"/>
    <col min="12545" max="12545" width="8.69921875" style="89" customWidth="1"/>
    <col min="12546" max="12546" width="12.296875" style="89" customWidth="1"/>
    <col min="12547" max="12547" width="9" style="89" customWidth="1"/>
    <col min="12548" max="12548" width="4.8984375" style="89" bestFit="1" customWidth="1"/>
    <col min="12549" max="12549" width="6.3984375" style="89" bestFit="1" customWidth="1"/>
    <col min="12550" max="12550" width="0" style="89" hidden="1" customWidth="1"/>
    <col min="12551" max="12551" width="7" style="89" bestFit="1" customWidth="1"/>
    <col min="12552" max="12552" width="11.59765625" style="89" bestFit="1" customWidth="1"/>
    <col min="12553" max="12553" width="6.5" style="89" bestFit="1" customWidth="1"/>
    <col min="12554" max="12554" width="4.8984375" style="89" bestFit="1" customWidth="1"/>
    <col min="12555" max="12555" width="6.3984375" style="89" customWidth="1"/>
    <col min="12556" max="12556" width="0" style="89" hidden="1" customWidth="1"/>
    <col min="12557" max="12557" width="6.3984375" style="89" bestFit="1" customWidth="1"/>
    <col min="12558" max="12558" width="11.59765625" style="89" bestFit="1" customWidth="1"/>
    <col min="12559" max="12559" width="6.5" style="89" bestFit="1" customWidth="1"/>
    <col min="12560" max="12560" width="0.59765625" style="89" customWidth="1"/>
    <col min="12561" max="12800" width="8.796875" style="89"/>
    <col min="12801" max="12801" width="8.69921875" style="89" customWidth="1"/>
    <col min="12802" max="12802" width="12.296875" style="89" customWidth="1"/>
    <col min="12803" max="12803" width="9" style="89" customWidth="1"/>
    <col min="12804" max="12804" width="4.8984375" style="89" bestFit="1" customWidth="1"/>
    <col min="12805" max="12805" width="6.3984375" style="89" bestFit="1" customWidth="1"/>
    <col min="12806" max="12806" width="0" style="89" hidden="1" customWidth="1"/>
    <col min="12807" max="12807" width="7" style="89" bestFit="1" customWidth="1"/>
    <col min="12808" max="12808" width="11.59765625" style="89" bestFit="1" customWidth="1"/>
    <col min="12809" max="12809" width="6.5" style="89" bestFit="1" customWidth="1"/>
    <col min="12810" max="12810" width="4.8984375" style="89" bestFit="1" customWidth="1"/>
    <col min="12811" max="12811" width="6.3984375" style="89" customWidth="1"/>
    <col min="12812" max="12812" width="0" style="89" hidden="1" customWidth="1"/>
    <col min="12813" max="12813" width="6.3984375" style="89" bestFit="1" customWidth="1"/>
    <col min="12814" max="12814" width="11.59765625" style="89" bestFit="1" customWidth="1"/>
    <col min="12815" max="12815" width="6.5" style="89" bestFit="1" customWidth="1"/>
    <col min="12816" max="12816" width="0.59765625" style="89" customWidth="1"/>
    <col min="12817" max="13056" width="8.796875" style="89"/>
    <col min="13057" max="13057" width="8.69921875" style="89" customWidth="1"/>
    <col min="13058" max="13058" width="12.296875" style="89" customWidth="1"/>
    <col min="13059" max="13059" width="9" style="89" customWidth="1"/>
    <col min="13060" max="13060" width="4.8984375" style="89" bestFit="1" customWidth="1"/>
    <col min="13061" max="13061" width="6.3984375" style="89" bestFit="1" customWidth="1"/>
    <col min="13062" max="13062" width="0" style="89" hidden="1" customWidth="1"/>
    <col min="13063" max="13063" width="7" style="89" bestFit="1" customWidth="1"/>
    <col min="13064" max="13064" width="11.59765625" style="89" bestFit="1" customWidth="1"/>
    <col min="13065" max="13065" width="6.5" style="89" bestFit="1" customWidth="1"/>
    <col min="13066" max="13066" width="4.8984375" style="89" bestFit="1" customWidth="1"/>
    <col min="13067" max="13067" width="6.3984375" style="89" customWidth="1"/>
    <col min="13068" max="13068" width="0" style="89" hidden="1" customWidth="1"/>
    <col min="13069" max="13069" width="6.3984375" style="89" bestFit="1" customWidth="1"/>
    <col min="13070" max="13070" width="11.59765625" style="89" bestFit="1" customWidth="1"/>
    <col min="13071" max="13071" width="6.5" style="89" bestFit="1" customWidth="1"/>
    <col min="13072" max="13072" width="0.59765625" style="89" customWidth="1"/>
    <col min="13073" max="13312" width="8.796875" style="89"/>
    <col min="13313" max="13313" width="8.69921875" style="89" customWidth="1"/>
    <col min="13314" max="13314" width="12.296875" style="89" customWidth="1"/>
    <col min="13315" max="13315" width="9" style="89" customWidth="1"/>
    <col min="13316" max="13316" width="4.8984375" style="89" bestFit="1" customWidth="1"/>
    <col min="13317" max="13317" width="6.3984375" style="89" bestFit="1" customWidth="1"/>
    <col min="13318" max="13318" width="0" style="89" hidden="1" customWidth="1"/>
    <col min="13319" max="13319" width="7" style="89" bestFit="1" customWidth="1"/>
    <col min="13320" max="13320" width="11.59765625" style="89" bestFit="1" customWidth="1"/>
    <col min="13321" max="13321" width="6.5" style="89" bestFit="1" customWidth="1"/>
    <col min="13322" max="13322" width="4.8984375" style="89" bestFit="1" customWidth="1"/>
    <col min="13323" max="13323" width="6.3984375" style="89" customWidth="1"/>
    <col min="13324" max="13324" width="0" style="89" hidden="1" customWidth="1"/>
    <col min="13325" max="13325" width="6.3984375" style="89" bestFit="1" customWidth="1"/>
    <col min="13326" max="13326" width="11.59765625" style="89" bestFit="1" customWidth="1"/>
    <col min="13327" max="13327" width="6.5" style="89" bestFit="1" customWidth="1"/>
    <col min="13328" max="13328" width="0.59765625" style="89" customWidth="1"/>
    <col min="13329" max="13568" width="8.796875" style="89"/>
    <col min="13569" max="13569" width="8.69921875" style="89" customWidth="1"/>
    <col min="13570" max="13570" width="12.296875" style="89" customWidth="1"/>
    <col min="13571" max="13571" width="9" style="89" customWidth="1"/>
    <col min="13572" max="13572" width="4.8984375" style="89" bestFit="1" customWidth="1"/>
    <col min="13573" max="13573" width="6.3984375" style="89" bestFit="1" customWidth="1"/>
    <col min="13574" max="13574" width="0" style="89" hidden="1" customWidth="1"/>
    <col min="13575" max="13575" width="7" style="89" bestFit="1" customWidth="1"/>
    <col min="13576" max="13576" width="11.59765625" style="89" bestFit="1" customWidth="1"/>
    <col min="13577" max="13577" width="6.5" style="89" bestFit="1" customWidth="1"/>
    <col min="13578" max="13578" width="4.8984375" style="89" bestFit="1" customWidth="1"/>
    <col min="13579" max="13579" width="6.3984375" style="89" customWidth="1"/>
    <col min="13580" max="13580" width="0" style="89" hidden="1" customWidth="1"/>
    <col min="13581" max="13581" width="6.3984375" style="89" bestFit="1" customWidth="1"/>
    <col min="13582" max="13582" width="11.59765625" style="89" bestFit="1" customWidth="1"/>
    <col min="13583" max="13583" width="6.5" style="89" bestFit="1" customWidth="1"/>
    <col min="13584" max="13584" width="0.59765625" style="89" customWidth="1"/>
    <col min="13585" max="13824" width="8.796875" style="89"/>
    <col min="13825" max="13825" width="8.69921875" style="89" customWidth="1"/>
    <col min="13826" max="13826" width="12.296875" style="89" customWidth="1"/>
    <col min="13827" max="13827" width="9" style="89" customWidth="1"/>
    <col min="13828" max="13828" width="4.8984375" style="89" bestFit="1" customWidth="1"/>
    <col min="13829" max="13829" width="6.3984375" style="89" bestFit="1" customWidth="1"/>
    <col min="13830" max="13830" width="0" style="89" hidden="1" customWidth="1"/>
    <col min="13831" max="13831" width="7" style="89" bestFit="1" customWidth="1"/>
    <col min="13832" max="13832" width="11.59765625" style="89" bestFit="1" customWidth="1"/>
    <col min="13833" max="13833" width="6.5" style="89" bestFit="1" customWidth="1"/>
    <col min="13834" max="13834" width="4.8984375" style="89" bestFit="1" customWidth="1"/>
    <col min="13835" max="13835" width="6.3984375" style="89" customWidth="1"/>
    <col min="13836" max="13836" width="0" style="89" hidden="1" customWidth="1"/>
    <col min="13837" max="13837" width="6.3984375" style="89" bestFit="1" customWidth="1"/>
    <col min="13838" max="13838" width="11.59765625" style="89" bestFit="1" customWidth="1"/>
    <col min="13839" max="13839" width="6.5" style="89" bestFit="1" customWidth="1"/>
    <col min="13840" max="13840" width="0.59765625" style="89" customWidth="1"/>
    <col min="13841" max="14080" width="8.796875" style="89"/>
    <col min="14081" max="14081" width="8.69921875" style="89" customWidth="1"/>
    <col min="14082" max="14082" width="12.296875" style="89" customWidth="1"/>
    <col min="14083" max="14083" width="9" style="89" customWidth="1"/>
    <col min="14084" max="14084" width="4.8984375" style="89" bestFit="1" customWidth="1"/>
    <col min="14085" max="14085" width="6.3984375" style="89" bestFit="1" customWidth="1"/>
    <col min="14086" max="14086" width="0" style="89" hidden="1" customWidth="1"/>
    <col min="14087" max="14087" width="7" style="89" bestFit="1" customWidth="1"/>
    <col min="14088" max="14088" width="11.59765625" style="89" bestFit="1" customWidth="1"/>
    <col min="14089" max="14089" width="6.5" style="89" bestFit="1" customWidth="1"/>
    <col min="14090" max="14090" width="4.8984375" style="89" bestFit="1" customWidth="1"/>
    <col min="14091" max="14091" width="6.3984375" style="89" customWidth="1"/>
    <col min="14092" max="14092" width="0" style="89" hidden="1" customWidth="1"/>
    <col min="14093" max="14093" width="6.3984375" style="89" bestFit="1" customWidth="1"/>
    <col min="14094" max="14094" width="11.59765625" style="89" bestFit="1" customWidth="1"/>
    <col min="14095" max="14095" width="6.5" style="89" bestFit="1" customWidth="1"/>
    <col min="14096" max="14096" width="0.59765625" style="89" customWidth="1"/>
    <col min="14097" max="14336" width="8.796875" style="89"/>
    <col min="14337" max="14337" width="8.69921875" style="89" customWidth="1"/>
    <col min="14338" max="14338" width="12.296875" style="89" customWidth="1"/>
    <col min="14339" max="14339" width="9" style="89" customWidth="1"/>
    <col min="14340" max="14340" width="4.8984375" style="89" bestFit="1" customWidth="1"/>
    <col min="14341" max="14341" width="6.3984375" style="89" bestFit="1" customWidth="1"/>
    <col min="14342" max="14342" width="0" style="89" hidden="1" customWidth="1"/>
    <col min="14343" max="14343" width="7" style="89" bestFit="1" customWidth="1"/>
    <col min="14344" max="14344" width="11.59765625" style="89" bestFit="1" customWidth="1"/>
    <col min="14345" max="14345" width="6.5" style="89" bestFit="1" customWidth="1"/>
    <col min="14346" max="14346" width="4.8984375" style="89" bestFit="1" customWidth="1"/>
    <col min="14347" max="14347" width="6.3984375" style="89" customWidth="1"/>
    <col min="14348" max="14348" width="0" style="89" hidden="1" customWidth="1"/>
    <col min="14349" max="14349" width="6.3984375" style="89" bestFit="1" customWidth="1"/>
    <col min="14350" max="14350" width="11.59765625" style="89" bestFit="1" customWidth="1"/>
    <col min="14351" max="14351" width="6.5" style="89" bestFit="1" customWidth="1"/>
    <col min="14352" max="14352" width="0.59765625" style="89" customWidth="1"/>
    <col min="14353" max="14592" width="8.796875" style="89"/>
    <col min="14593" max="14593" width="8.69921875" style="89" customWidth="1"/>
    <col min="14594" max="14594" width="12.296875" style="89" customWidth="1"/>
    <col min="14595" max="14595" width="9" style="89" customWidth="1"/>
    <col min="14596" max="14596" width="4.8984375" style="89" bestFit="1" customWidth="1"/>
    <col min="14597" max="14597" width="6.3984375" style="89" bestFit="1" customWidth="1"/>
    <col min="14598" max="14598" width="0" style="89" hidden="1" customWidth="1"/>
    <col min="14599" max="14599" width="7" style="89" bestFit="1" customWidth="1"/>
    <col min="14600" max="14600" width="11.59765625" style="89" bestFit="1" customWidth="1"/>
    <col min="14601" max="14601" width="6.5" style="89" bestFit="1" customWidth="1"/>
    <col min="14602" max="14602" width="4.8984375" style="89" bestFit="1" customWidth="1"/>
    <col min="14603" max="14603" width="6.3984375" style="89" customWidth="1"/>
    <col min="14604" max="14604" width="0" style="89" hidden="1" customWidth="1"/>
    <col min="14605" max="14605" width="6.3984375" style="89" bestFit="1" customWidth="1"/>
    <col min="14606" max="14606" width="11.59765625" style="89" bestFit="1" customWidth="1"/>
    <col min="14607" max="14607" width="6.5" style="89" bestFit="1" customWidth="1"/>
    <col min="14608" max="14608" width="0.59765625" style="89" customWidth="1"/>
    <col min="14609" max="14848" width="8.796875" style="89"/>
    <col min="14849" max="14849" width="8.69921875" style="89" customWidth="1"/>
    <col min="14850" max="14850" width="12.296875" style="89" customWidth="1"/>
    <col min="14851" max="14851" width="9" style="89" customWidth="1"/>
    <col min="14852" max="14852" width="4.8984375" style="89" bestFit="1" customWidth="1"/>
    <col min="14853" max="14853" width="6.3984375" style="89" bestFit="1" customWidth="1"/>
    <col min="14854" max="14854" width="0" style="89" hidden="1" customWidth="1"/>
    <col min="14855" max="14855" width="7" style="89" bestFit="1" customWidth="1"/>
    <col min="14856" max="14856" width="11.59765625" style="89" bestFit="1" customWidth="1"/>
    <col min="14857" max="14857" width="6.5" style="89" bestFit="1" customWidth="1"/>
    <col min="14858" max="14858" width="4.8984375" style="89" bestFit="1" customWidth="1"/>
    <col min="14859" max="14859" width="6.3984375" style="89" customWidth="1"/>
    <col min="14860" max="14860" width="0" style="89" hidden="1" customWidth="1"/>
    <col min="14861" max="14861" width="6.3984375" style="89" bestFit="1" customWidth="1"/>
    <col min="14862" max="14862" width="11.59765625" style="89" bestFit="1" customWidth="1"/>
    <col min="14863" max="14863" width="6.5" style="89" bestFit="1" customWidth="1"/>
    <col min="14864" max="14864" width="0.59765625" style="89" customWidth="1"/>
    <col min="14865" max="15104" width="8.796875" style="89"/>
    <col min="15105" max="15105" width="8.69921875" style="89" customWidth="1"/>
    <col min="15106" max="15106" width="12.296875" style="89" customWidth="1"/>
    <col min="15107" max="15107" width="9" style="89" customWidth="1"/>
    <col min="15108" max="15108" width="4.8984375" style="89" bestFit="1" customWidth="1"/>
    <col min="15109" max="15109" width="6.3984375" style="89" bestFit="1" customWidth="1"/>
    <col min="15110" max="15110" width="0" style="89" hidden="1" customWidth="1"/>
    <col min="15111" max="15111" width="7" style="89" bestFit="1" customWidth="1"/>
    <col min="15112" max="15112" width="11.59765625" style="89" bestFit="1" customWidth="1"/>
    <col min="15113" max="15113" width="6.5" style="89" bestFit="1" customWidth="1"/>
    <col min="15114" max="15114" width="4.8984375" style="89" bestFit="1" customWidth="1"/>
    <col min="15115" max="15115" width="6.3984375" style="89" customWidth="1"/>
    <col min="15116" max="15116" width="0" style="89" hidden="1" customWidth="1"/>
    <col min="15117" max="15117" width="6.3984375" style="89" bestFit="1" customWidth="1"/>
    <col min="15118" max="15118" width="11.59765625" style="89" bestFit="1" customWidth="1"/>
    <col min="15119" max="15119" width="6.5" style="89" bestFit="1" customWidth="1"/>
    <col min="15120" max="15120" width="0.59765625" style="89" customWidth="1"/>
    <col min="15121" max="15360" width="8.796875" style="89"/>
    <col min="15361" max="15361" width="8.69921875" style="89" customWidth="1"/>
    <col min="15362" max="15362" width="12.296875" style="89" customWidth="1"/>
    <col min="15363" max="15363" width="9" style="89" customWidth="1"/>
    <col min="15364" max="15364" width="4.8984375" style="89" bestFit="1" customWidth="1"/>
    <col min="15365" max="15365" width="6.3984375" style="89" bestFit="1" customWidth="1"/>
    <col min="15366" max="15366" width="0" style="89" hidden="1" customWidth="1"/>
    <col min="15367" max="15367" width="7" style="89" bestFit="1" customWidth="1"/>
    <col min="15368" max="15368" width="11.59765625" style="89" bestFit="1" customWidth="1"/>
    <col min="15369" max="15369" width="6.5" style="89" bestFit="1" customWidth="1"/>
    <col min="15370" max="15370" width="4.8984375" style="89" bestFit="1" customWidth="1"/>
    <col min="15371" max="15371" width="6.3984375" style="89" customWidth="1"/>
    <col min="15372" max="15372" width="0" style="89" hidden="1" customWidth="1"/>
    <col min="15373" max="15373" width="6.3984375" style="89" bestFit="1" customWidth="1"/>
    <col min="15374" max="15374" width="11.59765625" style="89" bestFit="1" customWidth="1"/>
    <col min="15375" max="15375" width="6.5" style="89" bestFit="1" customWidth="1"/>
    <col min="15376" max="15376" width="0.59765625" style="89" customWidth="1"/>
    <col min="15377" max="15616" width="8.796875" style="89"/>
    <col min="15617" max="15617" width="8.69921875" style="89" customWidth="1"/>
    <col min="15618" max="15618" width="12.296875" style="89" customWidth="1"/>
    <col min="15619" max="15619" width="9" style="89" customWidth="1"/>
    <col min="15620" max="15620" width="4.8984375" style="89" bestFit="1" customWidth="1"/>
    <col min="15621" max="15621" width="6.3984375" style="89" bestFit="1" customWidth="1"/>
    <col min="15622" max="15622" width="0" style="89" hidden="1" customWidth="1"/>
    <col min="15623" max="15623" width="7" style="89" bestFit="1" customWidth="1"/>
    <col min="15624" max="15624" width="11.59765625" style="89" bestFit="1" customWidth="1"/>
    <col min="15625" max="15625" width="6.5" style="89" bestFit="1" customWidth="1"/>
    <col min="15626" max="15626" width="4.8984375" style="89" bestFit="1" customWidth="1"/>
    <col min="15627" max="15627" width="6.3984375" style="89" customWidth="1"/>
    <col min="15628" max="15628" width="0" style="89" hidden="1" customWidth="1"/>
    <col min="15629" max="15629" width="6.3984375" style="89" bestFit="1" customWidth="1"/>
    <col min="15630" max="15630" width="11.59765625" style="89" bestFit="1" customWidth="1"/>
    <col min="15631" max="15631" width="6.5" style="89" bestFit="1" customWidth="1"/>
    <col min="15632" max="15632" width="0.59765625" style="89" customWidth="1"/>
    <col min="15633" max="15872" width="8.796875" style="89"/>
    <col min="15873" max="15873" width="8.69921875" style="89" customWidth="1"/>
    <col min="15874" max="15874" width="12.296875" style="89" customWidth="1"/>
    <col min="15875" max="15875" width="9" style="89" customWidth="1"/>
    <col min="15876" max="15876" width="4.8984375" style="89" bestFit="1" customWidth="1"/>
    <col min="15877" max="15877" width="6.3984375" style="89" bestFit="1" customWidth="1"/>
    <col min="15878" max="15878" width="0" style="89" hidden="1" customWidth="1"/>
    <col min="15879" max="15879" width="7" style="89" bestFit="1" customWidth="1"/>
    <col min="15880" max="15880" width="11.59765625" style="89" bestFit="1" customWidth="1"/>
    <col min="15881" max="15881" width="6.5" style="89" bestFit="1" customWidth="1"/>
    <col min="15882" max="15882" width="4.8984375" style="89" bestFit="1" customWidth="1"/>
    <col min="15883" max="15883" width="6.3984375" style="89" customWidth="1"/>
    <col min="15884" max="15884" width="0" style="89" hidden="1" customWidth="1"/>
    <col min="15885" max="15885" width="6.3984375" style="89" bestFit="1" customWidth="1"/>
    <col min="15886" max="15886" width="11.59765625" style="89" bestFit="1" customWidth="1"/>
    <col min="15887" max="15887" width="6.5" style="89" bestFit="1" customWidth="1"/>
    <col min="15888" max="15888" width="0.59765625" style="89" customWidth="1"/>
    <col min="15889" max="16128" width="8.796875" style="89"/>
    <col min="16129" max="16129" width="8.69921875" style="89" customWidth="1"/>
    <col min="16130" max="16130" width="12.296875" style="89" customWidth="1"/>
    <col min="16131" max="16131" width="9" style="89" customWidth="1"/>
    <col min="16132" max="16132" width="4.8984375" style="89" bestFit="1" customWidth="1"/>
    <col min="16133" max="16133" width="6.3984375" style="89" bestFit="1" customWidth="1"/>
    <col min="16134" max="16134" width="0" style="89" hidden="1" customWidth="1"/>
    <col min="16135" max="16135" width="7" style="89" bestFit="1" customWidth="1"/>
    <col min="16136" max="16136" width="11.59765625" style="89" bestFit="1" customWidth="1"/>
    <col min="16137" max="16137" width="6.5" style="89" bestFit="1" customWidth="1"/>
    <col min="16138" max="16138" width="4.8984375" style="89" bestFit="1" customWidth="1"/>
    <col min="16139" max="16139" width="6.3984375" style="89" customWidth="1"/>
    <col min="16140" max="16140" width="0" style="89" hidden="1" customWidth="1"/>
    <col min="16141" max="16141" width="6.3984375" style="89" bestFit="1" customWidth="1"/>
    <col min="16142" max="16142" width="11.59765625" style="89" bestFit="1" customWidth="1"/>
    <col min="16143" max="16143" width="6.5" style="89" bestFit="1" customWidth="1"/>
    <col min="16144" max="16144" width="0.59765625" style="89" customWidth="1"/>
    <col min="16145" max="16384" width="8.796875" style="89"/>
  </cols>
  <sheetData>
    <row r="1" spans="1:16" x14ac:dyDescent="0.45">
      <c r="B1" s="90"/>
      <c r="C1" s="91" t="s">
        <v>58</v>
      </c>
      <c r="D1" s="91"/>
      <c r="E1" s="91"/>
      <c r="F1" s="91"/>
      <c r="G1" s="91"/>
      <c r="H1" s="89"/>
      <c r="J1" s="91"/>
      <c r="K1" s="91"/>
      <c r="L1" s="91"/>
      <c r="M1" s="91"/>
      <c r="N1" s="89"/>
    </row>
    <row r="2" spans="1:16" ht="13.8" thickBot="1" x14ac:dyDescent="0.5">
      <c r="A2" s="89" t="s">
        <v>59</v>
      </c>
      <c r="H2" s="89"/>
      <c r="N2" s="89"/>
    </row>
    <row r="3" spans="1:16" x14ac:dyDescent="0.45">
      <c r="A3" s="92"/>
      <c r="B3" s="93"/>
      <c r="C3" s="94"/>
      <c r="D3" s="239"/>
      <c r="E3" s="240"/>
      <c r="F3" s="240"/>
      <c r="G3" s="240"/>
      <c r="H3" s="240"/>
      <c r="I3" s="241"/>
      <c r="J3" s="239"/>
      <c r="K3" s="240"/>
      <c r="L3" s="240"/>
      <c r="M3" s="240"/>
      <c r="N3" s="240"/>
      <c r="O3" s="241"/>
    </row>
    <row r="4" spans="1:16" x14ac:dyDescent="0.45">
      <c r="A4" s="95"/>
      <c r="B4" s="96"/>
      <c r="C4" s="97"/>
      <c r="D4" s="242" t="s">
        <v>60</v>
      </c>
      <c r="E4" s="243"/>
      <c r="F4" s="98">
        <f>SUM(F6:F7)</f>
        <v>0</v>
      </c>
      <c r="G4" s="99">
        <f>IF(ISERROR(F4*100/H4),0,F4*100/H4)</f>
        <v>0</v>
      </c>
      <c r="H4" s="98">
        <f>SUM(H6:H7)</f>
        <v>0</v>
      </c>
      <c r="I4" s="100"/>
      <c r="J4" s="242" t="s">
        <v>60</v>
      </c>
      <c r="K4" s="243"/>
      <c r="L4" s="98">
        <f>SUM(L6:L7)</f>
        <v>0</v>
      </c>
      <c r="M4" s="99">
        <f>IF(ISERROR(L4*100/N4),0,L4*100/N4)</f>
        <v>0</v>
      </c>
      <c r="N4" s="98">
        <f>SUM(N6:N7)</f>
        <v>0</v>
      </c>
      <c r="O4" s="100"/>
    </row>
    <row r="5" spans="1:16" ht="13.8" thickBot="1" x14ac:dyDescent="0.5">
      <c r="A5" s="101" t="s">
        <v>61</v>
      </c>
      <c r="B5" s="102" t="s">
        <v>62</v>
      </c>
      <c r="C5" s="103" t="s">
        <v>63</v>
      </c>
      <c r="D5" s="104" t="s">
        <v>64</v>
      </c>
      <c r="E5" s="105" t="s">
        <v>65</v>
      </c>
      <c r="F5" s="105" t="s">
        <v>66</v>
      </c>
      <c r="G5" s="105" t="s">
        <v>67</v>
      </c>
      <c r="H5" s="105" t="s">
        <v>68</v>
      </c>
      <c r="I5" s="106" t="s">
        <v>69</v>
      </c>
      <c r="J5" s="104" t="s">
        <v>64</v>
      </c>
      <c r="K5" s="105" t="s">
        <v>65</v>
      </c>
      <c r="L5" s="105"/>
      <c r="M5" s="105" t="s">
        <v>67</v>
      </c>
      <c r="N5" s="105" t="s">
        <v>68</v>
      </c>
      <c r="O5" s="106" t="s">
        <v>69</v>
      </c>
    </row>
    <row r="6" spans="1:16" ht="20.100000000000001" customHeight="1" x14ac:dyDescent="0.45">
      <c r="A6" s="107"/>
      <c r="B6" s="108"/>
      <c r="C6" s="109"/>
      <c r="D6" s="107"/>
      <c r="E6" s="110">
        <f ca="1">IF(ISERROR(H6*100/OFFSET(H6,0,-6)),0,IF(OFFSET(H6,0,-6)=0,0,H6*100/OFFSET(H6,0,-6)))</f>
        <v>0</v>
      </c>
      <c r="F6" s="111"/>
      <c r="G6" s="112"/>
      <c r="H6" s="113"/>
      <c r="I6" s="114">
        <f>IF(H6=0,0,H6*100/H$4)</f>
        <v>0</v>
      </c>
      <c r="J6" s="107"/>
      <c r="K6" s="110">
        <f ca="1">IF(ISERROR(N6*100/OFFSET(N6,0,-6)),0,IF(OFFSET(N6,0,-6)=0,0,N6*100/OFFSET(N6,0,-6)))</f>
        <v>0</v>
      </c>
      <c r="L6" s="111"/>
      <c r="M6" s="112"/>
      <c r="N6" s="113"/>
      <c r="O6" s="114">
        <f>IF(N6=0,0,N6*100/N$4)</f>
        <v>0</v>
      </c>
      <c r="P6" s="95"/>
    </row>
    <row r="7" spans="1:16" ht="20.100000000000001" customHeight="1" x14ac:dyDescent="0.45">
      <c r="A7" s="115"/>
      <c r="B7" s="116"/>
      <c r="C7" s="117"/>
      <c r="D7" s="115"/>
      <c r="E7" s="118">
        <f ca="1">IF(ISERROR(H7*100/OFFSET(H7,0,-6)),0,IF(OFFSET(H7,0,-6)=0,0,H7*100/OFFSET(H7,0,-6)))</f>
        <v>0</v>
      </c>
      <c r="F7" s="119"/>
      <c r="G7" s="99"/>
      <c r="H7" s="120"/>
      <c r="I7" s="121">
        <f>IF(H7=0,0,H7*100/H$4)</f>
        <v>0</v>
      </c>
      <c r="J7" s="115"/>
      <c r="K7" s="118">
        <f ca="1">IF(ISERROR(N7*100/OFFSET(N7,0,-6)),0,IF(OFFSET(N7,0,-6)=0,0,N7*100/OFFSET(N7,0,-6)))</f>
        <v>0</v>
      </c>
      <c r="L7" s="119"/>
      <c r="M7" s="99"/>
      <c r="N7" s="120"/>
      <c r="O7" s="121">
        <f>IF(N7=0,0,N7*100/N$4)</f>
        <v>0</v>
      </c>
      <c r="P7" s="95"/>
    </row>
    <row r="9" spans="1:16" x14ac:dyDescent="0.45">
      <c r="B9" s="122"/>
      <c r="C9" s="122"/>
      <c r="D9" s="122"/>
      <c r="E9" s="122"/>
      <c r="F9" s="122"/>
      <c r="G9" s="122"/>
      <c r="H9" s="123"/>
      <c r="I9" s="124"/>
      <c r="J9" s="122"/>
      <c r="K9" s="122"/>
      <c r="L9" s="122"/>
      <c r="M9" s="122"/>
      <c r="N9" s="123"/>
      <c r="O9" s="124"/>
    </row>
    <row r="10" spans="1:16" x14ac:dyDescent="0.45">
      <c r="B10" s="122"/>
      <c r="C10" s="122"/>
      <c r="D10" s="122"/>
      <c r="E10" s="122"/>
      <c r="F10" s="122"/>
      <c r="G10" s="122"/>
      <c r="H10" s="123"/>
      <c r="I10" s="124"/>
      <c r="J10" s="122"/>
      <c r="K10" s="122"/>
      <c r="L10" s="122"/>
      <c r="M10" s="122"/>
      <c r="N10" s="123"/>
      <c r="O10" s="124"/>
    </row>
  </sheetData>
  <mergeCells count="4">
    <mergeCell ref="D3:I3"/>
    <mergeCell ref="J3:O3"/>
    <mergeCell ref="D4:E4"/>
    <mergeCell ref="J4:K4"/>
  </mergeCells>
  <phoneticPr fontId="2"/>
  <conditionalFormatting sqref="M6:M7 G6:G7 G4 M4">
    <cfRule type="expression" dxfId="3" priority="1" stopIfTrue="1">
      <formula>G4&gt;=90</formula>
    </cfRule>
  </conditionalFormatting>
  <conditionalFormatting sqref="J6:J7 D6:D7">
    <cfRule type="expression" dxfId="2" priority="2" stopIfTrue="1">
      <formula>D6&gt;OFFSET(D6,0,-5)</formula>
    </cfRule>
  </conditionalFormatting>
  <conditionalFormatting sqref="N6:N7 H6:H7">
    <cfRule type="expression" dxfId="1" priority="3" stopIfTrue="1">
      <formula>IF(ISERROR(H6*100/OFFSET(H6,0,-5)),FALSE,E6&lt;100)</formula>
    </cfRule>
  </conditionalFormatting>
  <conditionalFormatting sqref="K6:L7 E6:F7">
    <cfRule type="expression" dxfId="0" priority="4" stopIfTrue="1">
      <formula>IF(ISERROR(H6*100/OFFSET(H6,0,-5)),FALSE,E6&lt;100)</formula>
    </cfRule>
  </conditionalFormatting>
  <pageMargins left="0.7" right="0.75" top="0.75" bottom="0.5" header="0.3" footer="0.3"/>
  <pageSetup paperSize="8" orientation="landscape" r:id="rId1"/>
  <headerFooter>
    <oddFooter>&amp;C㈱三和商研&amp;P/&amp;N&amp;R©2024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NenRetu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YearNamePos</vt:lpstr>
      <vt:lpstr>集計範囲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2025-05-24T05:35:08Z</dcterms:modified>
</cp:coreProperties>
</file>