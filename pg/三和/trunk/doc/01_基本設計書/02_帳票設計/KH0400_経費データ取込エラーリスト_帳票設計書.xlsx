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別紙_印刷レイアウト" sheetId="20" r:id="rId8"/>
    <sheet name="参照" sheetId="12" state="hidden" r:id="rId9"/>
  </sheets>
  <externalReferences>
    <externalReference r:id="rId10"/>
  </externalReferences>
  <definedNames>
    <definedName name="_xlnm.Print_Area" localSheetId="1">概要!$A$1:$BN$31</definedName>
    <definedName name="_xlnm.Print_Area" localSheetId="3">項目一覧!$A$1:$BX$52</definedName>
    <definedName name="_xlnm.Print_Area" localSheetId="4">処理詳細!$A$1:$BR$28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<sst xmlns="http://schemas.openxmlformats.org/spreadsheetml/2006/main" count="238" uniqueCount="156">
  <si>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</si>
  <si>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</si>
  <si>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</si>
  <si>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</si>
  <si>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</si>
  <si>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</si>
  <si>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</si>
  <si>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</si>
  <si>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</si>
  <si>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</si>
  <si>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</si>
  <si>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</si>
  <si>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</si>
  <si>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</si>
  <si>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</si>
  <si>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</si>
  <si>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</si>
  <si>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</si>
  <si>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</si>
  <si>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</si>
  <si>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</si>
  <si>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</si>
  <si>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</si>
  <si>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</si>
  <si>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</si>
  <si>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</si>
  <si>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</si>
  <si>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</si>
  <si>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</si>
  <si>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</si>
  <si>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</si>
  <si>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</si>
  <si>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</si>
  <si>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</si>
  <si>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</si>
  <si>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</si>
  <si>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</si>
  <si>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</si>
  <si>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</si>
  <si>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</si>
  <si>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</si>
  <si>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</si>
  <si>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</si>
  <si>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</si>
  <si>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</si>
  <si>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</si>
  <si>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</si>
  <si>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</si>
  <si>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</si>
  <si>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</si>
  <si>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</si>
  <si>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</si>
  <si>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</si>
  <si>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</si>
  <si>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</si>
  <si>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</si>
  <si>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</si>
  <si>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</si>
  <si>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</si>
  <si>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</si>
  <si>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</si>
  <si>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</si>
  <si>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</si>
  <si>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</si>
  <si>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</si>
  <si>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</si>
  <si>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</si>
  <si>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</si>
  <si>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</si>
  <si>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</si>
  <si>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</si>
  <si>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</si>
  <si>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</si>
  <si>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</si>
  <si>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</si>
  <si>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</si>
  <si>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</si>
  <si>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</si>
  <si>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</si>
  <si>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</si>
  <si>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</si>
  <si>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</si>
  <si>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</si>
  <si>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</si>
  <si>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</si>
  <si>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</si>
  <si>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</si>
  <si>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</si>
  <si>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</si>
  <si>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作成日</t>
    <rPh sb="0" eb="3">
      <t>サクセイビ</t>
    </rPh>
    <phoneticPr fontId="1"/>
  </si>
  <si>
    <t>半角</t>
    <rPh sb="0" eb="2">
      <t>ハンカク</t>
    </rPh>
    <phoneticPr fontId="1"/>
  </si>
  <si>
    <t>現在日付</t>
    <rPh sb="0" eb="4">
      <t>ゲンザイヒヅケ</t>
    </rPh>
    <phoneticPr fontId="1"/>
  </si>
  <si>
    <t>日付</t>
    <rPh sb="0" eb="2">
      <t>ヒヅケ</t>
    </rPh>
    <phoneticPr fontId="1"/>
  </si>
  <si>
    <t>貸方科目CD</t>
    <rPh sb="0" eb="2">
      <t>カシカタ</t>
    </rPh>
    <rPh sb="2" eb="4">
      <t>カモク</t>
    </rPh>
    <phoneticPr fontId="1"/>
  </si>
  <si>
    <t>補助科目CD</t>
    <rPh sb="0" eb="4">
      <t>ホジョカモク</t>
    </rPh>
    <phoneticPr fontId="1"/>
  </si>
  <si>
    <t>金額</t>
    <rPh sb="0" eb="2">
      <t>キンガク</t>
    </rPh>
    <phoneticPr fontId="1"/>
  </si>
  <si>
    <t>消費税</t>
    <rPh sb="0" eb="3">
      <t>ショウヒゼイ</t>
    </rPh>
    <phoneticPr fontId="1"/>
  </si>
  <si>
    <t>摘要</t>
    <rPh sb="0" eb="2">
      <t>テキヨウ</t>
    </rPh>
    <phoneticPr fontId="1"/>
  </si>
  <si>
    <t>全角</t>
    <rPh sb="0" eb="2">
      <t>ゼンカク</t>
    </rPh>
    <phoneticPr fontId="1"/>
  </si>
  <si>
    <t>-</t>
    <phoneticPr fontId="2"/>
  </si>
  <si>
    <t>PDF</t>
    <phoneticPr fontId="2"/>
  </si>
  <si>
    <t>pdf</t>
    <phoneticPr fontId="2"/>
  </si>
  <si>
    <t>-</t>
    <phoneticPr fontId="2"/>
  </si>
  <si>
    <t>取込CSV.25列目</t>
    <phoneticPr fontId="1"/>
  </si>
  <si>
    <t>取込CSV.15列目</t>
    <phoneticPr fontId="1"/>
  </si>
  <si>
    <t>取込CSV.20列目</t>
    <phoneticPr fontId="1"/>
  </si>
  <si>
    <t>取込CSV.1,2,3列目</t>
    <rPh sb="0" eb="2">
      <t>トリコミ</t>
    </rPh>
    <rPh sb="11" eb="13">
      <t>レツメ</t>
    </rPh>
    <phoneticPr fontId="1"/>
  </si>
  <si>
    <t>取込CSV.5列目</t>
    <rPh sb="0" eb="2">
      <t>トリコミ</t>
    </rPh>
    <rPh sb="7" eb="9">
      <t>レツメ</t>
    </rPh>
    <phoneticPr fontId="1"/>
  </si>
  <si>
    <t>取込CSV.25列目の左から30文字を抽出</t>
    <phoneticPr fontId="1"/>
  </si>
  <si>
    <t>SQL1</t>
    <phoneticPr fontId="2"/>
  </si>
  <si>
    <t>経費番号</t>
    <rPh sb="0" eb="4">
      <t>ケイヒバンゴウ</t>
    </rPh>
    <phoneticPr fontId="2"/>
  </si>
  <si>
    <t>TD経費.経費番号</t>
    <rPh sb="5" eb="9">
      <t>ケイヒバンゴウ</t>
    </rPh>
    <phoneticPr fontId="2"/>
  </si>
  <si>
    <t>select *</t>
    <phoneticPr fontId="2"/>
  </si>
  <si>
    <t>経費日付</t>
    <rPh sb="0" eb="4">
      <t>ケイヒヒヅケ</t>
    </rPh>
    <phoneticPr fontId="2"/>
  </si>
  <si>
    <t>TD経費.経費日付</t>
    <rPh sb="5" eb="9">
      <t>ケイヒヒヅケ</t>
    </rPh>
    <phoneticPr fontId="2"/>
  </si>
  <si>
    <t>初期登録日</t>
    <rPh sb="0" eb="5">
      <t>ショキトウロクビ</t>
    </rPh>
    <phoneticPr fontId="2"/>
  </si>
  <si>
    <t>TD経費.初期登録日</t>
    <rPh sb="5" eb="10">
      <t>ショキトウロクビ</t>
    </rPh>
    <phoneticPr fontId="2"/>
  </si>
  <si>
    <t>登録変更日</t>
    <rPh sb="0" eb="5">
      <t>トウロクヘンコウビ</t>
    </rPh>
    <phoneticPr fontId="2"/>
  </si>
  <si>
    <t>TD経費.登録変更日</t>
    <rPh sb="5" eb="10">
      <t>トウロクヘンコウビ</t>
    </rPh>
    <phoneticPr fontId="2"/>
  </si>
  <si>
    <t>from TD経費</t>
    <phoneticPr fontId="2"/>
  </si>
  <si>
    <t>where 経費番号 = TM.Countersの経費番号+1</t>
    <phoneticPr fontId="2"/>
  </si>
  <si>
    <t>SQL2</t>
    <phoneticPr fontId="2"/>
  </si>
  <si>
    <t>TD経費明細.経費番号</t>
    <rPh sb="7" eb="11">
      <t>ケイヒバンゴウ</t>
    </rPh>
    <phoneticPr fontId="2"/>
  </si>
  <si>
    <t>枝番</t>
    <rPh sb="0" eb="2">
      <t>エダバン</t>
    </rPh>
    <phoneticPr fontId="2"/>
  </si>
  <si>
    <t>TD経費明細.枝番</t>
    <rPh sb="7" eb="9">
      <t>エダバン</t>
    </rPh>
    <phoneticPr fontId="2"/>
  </si>
  <si>
    <t>科目Cd</t>
    <rPh sb="0" eb="2">
      <t>カモク</t>
    </rPh>
    <phoneticPr fontId="2"/>
  </si>
  <si>
    <t>TD経費明細.科目CD</t>
    <rPh sb="7" eb="9">
      <t>カモク</t>
    </rPh>
    <phoneticPr fontId="2"/>
  </si>
  <si>
    <t>科目名</t>
    <rPh sb="0" eb="3">
      <t>カモクメイ</t>
    </rPh>
    <phoneticPr fontId="2"/>
  </si>
  <si>
    <t>TD経費明細.科目名</t>
    <rPh sb="7" eb="10">
      <t>カモクメイ</t>
    </rPh>
    <phoneticPr fontId="2"/>
  </si>
  <si>
    <t>金額</t>
    <rPh sb="0" eb="2">
      <t>キンガク</t>
    </rPh>
    <phoneticPr fontId="2"/>
  </si>
  <si>
    <t>TD経費明細.金額</t>
    <rPh sb="7" eb="9">
      <t>キンガク</t>
    </rPh>
    <phoneticPr fontId="2"/>
  </si>
  <si>
    <t>担当者CD</t>
    <rPh sb="0" eb="3">
      <t>タントウシャ</t>
    </rPh>
    <phoneticPr fontId="2"/>
  </si>
  <si>
    <t>TD経費明細.担当者CD</t>
    <rPh sb="7" eb="10">
      <t>タントウシャ</t>
    </rPh>
    <phoneticPr fontId="2"/>
  </si>
  <si>
    <t>担当者名</t>
    <rPh sb="0" eb="4">
      <t>タントウシャメイ</t>
    </rPh>
    <phoneticPr fontId="2"/>
  </si>
  <si>
    <t>TD経費明細.担当者名</t>
    <rPh sb="7" eb="11">
      <t>タントウシャメイ</t>
    </rPh>
    <phoneticPr fontId="2"/>
  </si>
  <si>
    <t>購入者名</t>
    <rPh sb="0" eb="4">
      <t>コウニュウシャメイ</t>
    </rPh>
    <phoneticPr fontId="2"/>
  </si>
  <si>
    <t>TD経費明細.購入者名</t>
    <rPh sb="7" eb="11">
      <t>コウニュウシャメイ</t>
    </rPh>
    <phoneticPr fontId="2"/>
  </si>
  <si>
    <t>科目摘要CD</t>
    <rPh sb="0" eb="2">
      <t>カモク</t>
    </rPh>
    <rPh sb="2" eb="4">
      <t>テキヨウ</t>
    </rPh>
    <phoneticPr fontId="2"/>
  </si>
  <si>
    <t>TD経費明細.科目摘要CD</t>
    <rPh sb="7" eb="9">
      <t>カモク</t>
    </rPh>
    <rPh sb="9" eb="11">
      <t>テキヨウ</t>
    </rPh>
    <phoneticPr fontId="2"/>
  </si>
  <si>
    <t>科目摘要名</t>
    <rPh sb="0" eb="4">
      <t>カモクテキヨウ</t>
    </rPh>
    <rPh sb="4" eb="5">
      <t>メイ</t>
    </rPh>
    <phoneticPr fontId="2"/>
  </si>
  <si>
    <t>TD経費明細.科目摘要名</t>
    <rPh sb="7" eb="11">
      <t>カモクテキヨウ</t>
    </rPh>
    <rPh sb="11" eb="12">
      <t>メイ</t>
    </rPh>
    <phoneticPr fontId="2"/>
  </si>
  <si>
    <t>TD経費明細.初期登録日</t>
    <rPh sb="7" eb="12">
      <t>ショキトウロクビ</t>
    </rPh>
    <phoneticPr fontId="2"/>
  </si>
  <si>
    <t>TD経費明細.登録変更日</t>
    <rPh sb="7" eb="12">
      <t>トウロクヘンコウビ</t>
    </rPh>
    <phoneticPr fontId="2"/>
  </si>
  <si>
    <t>消費税額</t>
    <rPh sb="0" eb="4">
      <t>ショウヒゼイガク</t>
    </rPh>
    <phoneticPr fontId="2"/>
  </si>
  <si>
    <t>TD経費明細.消費税額</t>
    <rPh sb="7" eb="11">
      <t>ショウヒゼイガク</t>
    </rPh>
    <phoneticPr fontId="2"/>
  </si>
  <si>
    <t>補助CD</t>
    <rPh sb="0" eb="2">
      <t>ホジョ</t>
    </rPh>
    <phoneticPr fontId="2"/>
  </si>
  <si>
    <t>TD経費明細.補助CD</t>
    <rPh sb="7" eb="9">
      <t>ホジョ</t>
    </rPh>
    <phoneticPr fontId="2"/>
  </si>
  <si>
    <t>from TD経費明細</t>
    <phoneticPr fontId="2"/>
  </si>
  <si>
    <t>where 0 &lt;&gt; 0</t>
    <phoneticPr fontId="2"/>
  </si>
  <si>
    <t>必ずFalseになる条件</t>
    <rPh sb="9" eb="11">
      <t>ジョウケン</t>
    </rPh>
    <phoneticPr fontId="2"/>
  </si>
  <si>
    <t>項目のみ取得</t>
    <rPh sb="0" eb="2">
      <t>コウモク</t>
    </rPh>
    <rPh sb="4" eb="6">
      <t>シュトク</t>
    </rPh>
    <phoneticPr fontId="2"/>
  </si>
  <si>
    <t>A4縦</t>
    <rPh sb="2" eb="3">
      <t>タテ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</si>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</sst>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6" borderId="2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6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1" fillId="6" borderId="6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268941</xdr:colOff>
      <xdr:row>7</xdr:row>
      <xdr:rowOff>215153</xdr:rowOff>
    </xdr:from>
    <xdr:to>
      <xdr:col>59</xdr:col>
      <xdr:colOff>19046</xdr:colOff>
      <xdr:row>22</xdr:row>
      <xdr:rowOff>215153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435" y="1595718"/>
          <a:ext cx="15312835" cy="3765176"/>
        </a:xfrm>
        <a:prstGeom prst="rect">
          <a:avLst/>
        </a:prstGeom>
      </xdr:spPr>
    </xdr:pic>
    <xdr:clientData/>
  </xdr:twoCellAnchor>
  <xdr:twoCellAnchor>
    <xdr:from>
      <xdr:col>28</xdr:col>
      <xdr:colOff>259977</xdr:colOff>
      <xdr:row>11</xdr:row>
      <xdr:rowOff>1</xdr:rowOff>
    </xdr:from>
    <xdr:to>
      <xdr:col>30</xdr:col>
      <xdr:colOff>44823</xdr:colOff>
      <xdr:row>12</xdr:row>
      <xdr:rowOff>71719</xdr:rowOff>
    </xdr:to>
    <xdr:sp macro="" textlink="">
      <xdr:nvSpPr>
        <xdr:cNvPr id="3" name="正方形/長方形 2"/>
        <xdr:cNvSpPr/>
      </xdr:nvSpPr>
      <xdr:spPr>
        <a:xfrm>
          <a:off x="7844118" y="238461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161365</xdr:colOff>
      <xdr:row>15</xdr:row>
      <xdr:rowOff>179295</xdr:rowOff>
    </xdr:from>
    <xdr:to>
      <xdr:col>6</xdr:col>
      <xdr:colOff>224117</xdr:colOff>
      <xdr:row>17</xdr:row>
      <xdr:rowOff>2</xdr:rowOff>
    </xdr:to>
    <xdr:sp macro="" textlink="">
      <xdr:nvSpPr>
        <xdr:cNvPr id="6" name="正方形/長方形 5"/>
        <xdr:cNvSpPr/>
      </xdr:nvSpPr>
      <xdr:spPr>
        <a:xfrm>
          <a:off x="1353671" y="356795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89646</xdr:colOff>
      <xdr:row>15</xdr:row>
      <xdr:rowOff>161366</xdr:rowOff>
    </xdr:from>
    <xdr:to>
      <xdr:col>13</xdr:col>
      <xdr:colOff>152398</xdr:colOff>
      <xdr:row>16</xdr:row>
      <xdr:rowOff>233084</xdr:rowOff>
    </xdr:to>
    <xdr:sp macro="" textlink="">
      <xdr:nvSpPr>
        <xdr:cNvPr id="7" name="正方形/長方形 6"/>
        <xdr:cNvSpPr/>
      </xdr:nvSpPr>
      <xdr:spPr>
        <a:xfrm>
          <a:off x="3227293" y="355002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26895</xdr:colOff>
      <xdr:row>15</xdr:row>
      <xdr:rowOff>170329</xdr:rowOff>
    </xdr:from>
    <xdr:to>
      <xdr:col>20</xdr:col>
      <xdr:colOff>89647</xdr:colOff>
      <xdr:row>16</xdr:row>
      <xdr:rowOff>242047</xdr:rowOff>
    </xdr:to>
    <xdr:sp macro="" textlink="">
      <xdr:nvSpPr>
        <xdr:cNvPr id="8" name="正方形/長方形 7"/>
        <xdr:cNvSpPr/>
      </xdr:nvSpPr>
      <xdr:spPr>
        <a:xfrm>
          <a:off x="5109883" y="355898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71719</xdr:colOff>
      <xdr:row>15</xdr:row>
      <xdr:rowOff>170330</xdr:rowOff>
    </xdr:from>
    <xdr:to>
      <xdr:col>31</xdr:col>
      <xdr:colOff>134471</xdr:colOff>
      <xdr:row>16</xdr:row>
      <xdr:rowOff>242048</xdr:rowOff>
    </xdr:to>
    <xdr:sp macro="" textlink="">
      <xdr:nvSpPr>
        <xdr:cNvPr id="9" name="正方形/長方形 8"/>
        <xdr:cNvSpPr/>
      </xdr:nvSpPr>
      <xdr:spPr>
        <a:xfrm>
          <a:off x="8211672" y="355898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71718</xdr:colOff>
      <xdr:row>15</xdr:row>
      <xdr:rowOff>179295</xdr:rowOff>
    </xdr:from>
    <xdr:to>
      <xdr:col>35</xdr:col>
      <xdr:colOff>134470</xdr:colOff>
      <xdr:row>17</xdr:row>
      <xdr:rowOff>2</xdr:rowOff>
    </xdr:to>
    <xdr:sp macro="" textlink="">
      <xdr:nvSpPr>
        <xdr:cNvPr id="10" name="正方形/長方形 9"/>
        <xdr:cNvSpPr/>
      </xdr:nvSpPr>
      <xdr:spPr>
        <a:xfrm>
          <a:off x="9323294" y="356795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8965</xdr:colOff>
      <xdr:row>15</xdr:row>
      <xdr:rowOff>161365</xdr:rowOff>
    </xdr:from>
    <xdr:to>
      <xdr:col>42</xdr:col>
      <xdr:colOff>71717</xdr:colOff>
      <xdr:row>16</xdr:row>
      <xdr:rowOff>233083</xdr:rowOff>
    </xdr:to>
    <xdr:sp macro="" textlink="">
      <xdr:nvSpPr>
        <xdr:cNvPr id="11" name="正方形/長方形 10"/>
        <xdr:cNvSpPr/>
      </xdr:nvSpPr>
      <xdr:spPr>
        <a:xfrm>
          <a:off x="11205883" y="35500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469351</xdr:colOff>
      <xdr:row>33</xdr:row>
      <xdr:rowOff>86758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5163271" cy="74019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2_&#24115;&#31080;&#35373;&#35336;\KH0300_&#32076;&#36027;&#12487;&#12540;&#12479;&#21462;&#36796;_&#24115;&#31080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照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>
      <selection activeCell="AY22" sqref="AY22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29" t="s">
        <v>0</v>
      </c>
      <c r="C2" s="130"/>
      <c r="D2" s="130"/>
      <c r="E2" s="130"/>
      <c r="F2" s="130"/>
      <c r="G2" s="130"/>
      <c r="H2" s="130" t="s">
        <v>17</v>
      </c>
      <c r="I2" s="130"/>
      <c r="J2" s="130"/>
      <c r="K2" s="130"/>
      <c r="L2" s="130" t="s">
        <v>154</v>
      </c>
      <c r="M2" s="130"/>
      <c r="N2" s="130"/>
      <c r="O2" s="130"/>
      <c r="P2" s="130"/>
      <c r="Q2" s="130"/>
      <c r="R2" s="130" t="s">
        <v>2</v>
      </c>
      <c r="S2" s="130"/>
      <c r="T2" s="130"/>
      <c r="U2" s="130"/>
      <c r="V2" s="130"/>
      <c r="W2" s="130"/>
      <c r="X2" s="131" t="s">
        <v>3</v>
      </c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3"/>
      <c r="AK2" s="131" t="s">
        <v>31</v>
      </c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3"/>
      <c r="AX2" s="130" t="s">
        <v>5</v>
      </c>
      <c r="AY2" s="130"/>
      <c r="AZ2" s="130"/>
      <c r="BA2" s="130"/>
      <c r="BB2" s="130" t="s">
        <v>4</v>
      </c>
      <c r="BC2" s="130"/>
      <c r="BD2" s="130"/>
      <c r="BE2" s="130"/>
      <c r="BF2" s="130" t="s">
        <v>6</v>
      </c>
      <c r="BG2" s="130"/>
      <c r="BH2" s="130"/>
      <c r="BI2" s="130"/>
      <c r="BJ2" s="130" t="s">
        <v>7</v>
      </c>
      <c r="BK2" s="130"/>
      <c r="BL2" s="130"/>
      <c r="BM2" s="144"/>
      <c r="BN2" s="14"/>
    </row>
    <row r="3" spans="1:66" ht="20.100000000000001" customHeight="1" x14ac:dyDescent="0.45">
      <c r="A3" s="8"/>
      <c r="B3" s="134" t="s">
        <v>152</v>
      </c>
      <c r="C3" s="135"/>
      <c r="D3" s="135"/>
      <c r="E3" s="135"/>
      <c r="F3" s="135"/>
      <c r="G3" s="135"/>
      <c r="H3" s="135" t="str">
        <f ca="1">LEFT($X$3,FIND("_",$X$3)-1)</f>
        <v>KH0400</v>
      </c>
      <c r="I3" s="135"/>
      <c r="J3" s="135"/>
      <c r="K3" s="135"/>
      <c r="L3" s="135" t="s">
        <v>153</v>
      </c>
      <c r="M3" s="135"/>
      <c r="N3" s="135"/>
      <c r="O3" s="135"/>
      <c r="P3" s="135"/>
      <c r="Q3" s="135"/>
      <c r="R3" s="138" t="str">
        <f ca="1">MID($X$3,FIND("_",$X$3,FIND("_",$X$3)+1)+1,LEN($X$3)-FIND("_",$X$3,FIND("_",$X$3)+1))</f>
        <v>帳票設計書</v>
      </c>
      <c r="S3" s="135"/>
      <c r="T3" s="135"/>
      <c r="U3" s="135"/>
      <c r="V3" s="135"/>
      <c r="W3" s="135"/>
      <c r="X3" s="139" t="str">
        <f ca="1">REPLACE(LEFT(CELL("filename",$B$2),FIND(".x",CELL("filename",$B$2))-1),1,FIND("[",CELL("filename",$B$2)),)</f>
        <v>KH0400_経費データ取込エラーリスト_帳票設計書</v>
      </c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36"/>
      <c r="AK3" s="139" t="str">
        <f ca="1">MID($X$3,FIND("_",$X$3)+1,FIND("_",$X$3,FIND("_",$X$3)+1)-FIND("_",$X$3)-1)</f>
        <v>経費データ取込エラーリスト</v>
      </c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36"/>
      <c r="AX3" s="146">
        <v>45583</v>
      </c>
      <c r="AY3" s="135"/>
      <c r="AZ3" s="135"/>
      <c r="BA3" s="135"/>
      <c r="BB3" s="146" t="s">
        <v>155</v>
      </c>
      <c r="BC3" s="135"/>
      <c r="BD3" s="135"/>
      <c r="BE3" s="135"/>
      <c r="BF3" s="146">
        <v>45583</v>
      </c>
      <c r="BG3" s="135"/>
      <c r="BH3" s="135"/>
      <c r="BI3" s="135"/>
      <c r="BJ3" s="135"/>
      <c r="BK3" s="135"/>
      <c r="BL3" s="135"/>
      <c r="BM3" s="147"/>
      <c r="BN3" s="14"/>
    </row>
    <row r="4" spans="1:66" ht="20.100000000000001" customHeight="1" thickBot="1" x14ac:dyDescent="0.5">
      <c r="A4" s="8"/>
      <c r="B4" s="136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41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3"/>
      <c r="AK4" s="141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3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9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45" t="s">
        <v>8</v>
      </c>
      <c r="D8" s="145"/>
      <c r="E8" s="145"/>
      <c r="F8" s="145"/>
      <c r="G8" s="145" t="s">
        <v>9</v>
      </c>
      <c r="H8" s="145"/>
      <c r="I8" s="145"/>
      <c r="J8" s="145"/>
      <c r="K8" s="145" t="s">
        <v>10</v>
      </c>
      <c r="L8" s="145"/>
      <c r="M8" s="145"/>
      <c r="N8" s="145"/>
      <c r="O8" s="145" t="s">
        <v>11</v>
      </c>
      <c r="P8" s="145"/>
      <c r="Q8" s="145"/>
      <c r="R8" s="145"/>
      <c r="S8" s="145"/>
      <c r="T8" s="145"/>
      <c r="U8" s="145"/>
      <c r="V8" s="145"/>
      <c r="W8" s="145"/>
      <c r="X8" s="145"/>
      <c r="Y8" s="145" t="s">
        <v>12</v>
      </c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7"/>
      <c r="BN8" s="14"/>
    </row>
    <row r="9" spans="1:66" ht="20.100000000000001" customHeight="1" x14ac:dyDescent="0.45">
      <c r="A9" s="8"/>
      <c r="B9" s="7"/>
      <c r="C9" s="148">
        <v>45583</v>
      </c>
      <c r="D9" s="149"/>
      <c r="E9" s="149"/>
      <c r="F9" s="150"/>
      <c r="G9" s="151" t="s">
        <v>16</v>
      </c>
      <c r="H9" s="152"/>
      <c r="I9" s="152"/>
      <c r="J9" s="153"/>
      <c r="K9" s="154" t="s">
        <v>155</v>
      </c>
      <c r="L9" s="149"/>
      <c r="M9" s="149"/>
      <c r="N9" s="150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48"/>
      <c r="D10" s="149"/>
      <c r="E10" s="149"/>
      <c r="F10" s="150"/>
      <c r="G10" s="151"/>
      <c r="H10" s="152"/>
      <c r="I10" s="152"/>
      <c r="J10" s="153"/>
      <c r="K10" s="154"/>
      <c r="L10" s="149"/>
      <c r="M10" s="149"/>
      <c r="N10" s="15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48"/>
      <c r="D11" s="149"/>
      <c r="E11" s="149"/>
      <c r="F11" s="150"/>
      <c r="G11" s="151"/>
      <c r="H11" s="152"/>
      <c r="I11" s="152"/>
      <c r="J11" s="153"/>
      <c r="K11" s="154"/>
      <c r="L11" s="149"/>
      <c r="M11" s="149"/>
      <c r="N11" s="15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48"/>
      <c r="D36" s="149"/>
      <c r="E36" s="149"/>
      <c r="F36" s="150"/>
      <c r="G36" s="151"/>
      <c r="H36" s="152"/>
      <c r="I36" s="152"/>
      <c r="J36" s="153"/>
      <c r="K36" s="154"/>
      <c r="L36" s="149"/>
      <c r="M36" s="149"/>
      <c r="N36" s="15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48"/>
      <c r="D37" s="149"/>
      <c r="E37" s="149"/>
      <c r="F37" s="150"/>
      <c r="G37" s="151"/>
      <c r="H37" s="152"/>
      <c r="I37" s="152"/>
      <c r="J37" s="153"/>
      <c r="K37" s="154"/>
      <c r="L37" s="149"/>
      <c r="M37" s="149"/>
      <c r="N37" s="15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48"/>
      <c r="D38" s="149"/>
      <c r="E38" s="149"/>
      <c r="F38" s="150"/>
      <c r="G38" s="151"/>
      <c r="H38" s="152"/>
      <c r="I38" s="152"/>
      <c r="J38" s="153"/>
      <c r="K38" s="154"/>
      <c r="L38" s="149"/>
      <c r="M38" s="149"/>
      <c r="N38" s="15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48"/>
      <c r="D39" s="149"/>
      <c r="E39" s="149"/>
      <c r="F39" s="150"/>
      <c r="G39" s="151"/>
      <c r="H39" s="152"/>
      <c r="I39" s="152"/>
      <c r="J39" s="153"/>
      <c r="K39" s="154"/>
      <c r="L39" s="149"/>
      <c r="M39" s="149"/>
      <c r="N39" s="15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48"/>
      <c r="D40" s="149"/>
      <c r="E40" s="149"/>
      <c r="F40" s="150"/>
      <c r="G40" s="151"/>
      <c r="H40" s="152"/>
      <c r="I40" s="152"/>
      <c r="J40" s="153"/>
      <c r="K40" s="154"/>
      <c r="L40" s="149"/>
      <c r="M40" s="149"/>
      <c r="N40" s="15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48"/>
      <c r="D41" s="149"/>
      <c r="E41" s="149"/>
      <c r="F41" s="150"/>
      <c r="G41" s="151"/>
      <c r="H41" s="152"/>
      <c r="I41" s="152"/>
      <c r="J41" s="153"/>
      <c r="K41" s="154"/>
      <c r="L41" s="149"/>
      <c r="M41" s="149"/>
      <c r="N41" s="15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48"/>
      <c r="D42" s="149"/>
      <c r="E42" s="149"/>
      <c r="F42" s="150"/>
      <c r="G42" s="151"/>
      <c r="H42" s="152"/>
      <c r="I42" s="152"/>
      <c r="J42" s="153"/>
      <c r="K42" s="154"/>
      <c r="L42" s="149"/>
      <c r="M42" s="149"/>
      <c r="N42" s="15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48"/>
      <c r="D43" s="149"/>
      <c r="E43" s="149"/>
      <c r="F43" s="150"/>
      <c r="G43" s="151"/>
      <c r="H43" s="152"/>
      <c r="I43" s="152"/>
      <c r="J43" s="153"/>
      <c r="K43" s="154"/>
      <c r="L43" s="149"/>
      <c r="M43" s="149"/>
      <c r="N43" s="15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48"/>
      <c r="D44" s="149"/>
      <c r="E44" s="149"/>
      <c r="F44" s="150"/>
      <c r="G44" s="151"/>
      <c r="H44" s="152"/>
      <c r="I44" s="152"/>
      <c r="J44" s="153"/>
      <c r="K44" s="154"/>
      <c r="L44" s="149"/>
      <c r="M44" s="149"/>
      <c r="N44" s="15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48"/>
      <c r="D45" s="149"/>
      <c r="E45" s="149"/>
      <c r="F45" s="150"/>
      <c r="G45" s="151"/>
      <c r="H45" s="152"/>
      <c r="I45" s="152"/>
      <c r="J45" s="153"/>
      <c r="K45" s="154"/>
      <c r="L45" s="149"/>
      <c r="M45" s="149"/>
      <c r="N45" s="15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48"/>
      <c r="D46" s="149"/>
      <c r="E46" s="149"/>
      <c r="F46" s="150"/>
      <c r="G46" s="151"/>
      <c r="H46" s="152"/>
      <c r="I46" s="152"/>
      <c r="J46" s="153"/>
      <c r="K46" s="154"/>
      <c r="L46" s="149"/>
      <c r="M46" s="149"/>
      <c r="N46" s="15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48"/>
      <c r="D47" s="149"/>
      <c r="E47" s="149"/>
      <c r="F47" s="150"/>
      <c r="G47" s="151"/>
      <c r="H47" s="152"/>
      <c r="I47" s="152"/>
      <c r="J47" s="153"/>
      <c r="K47" s="154"/>
      <c r="L47" s="149"/>
      <c r="M47" s="149"/>
      <c r="N47" s="15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29" t="s">
        <v>0</v>
      </c>
      <c r="C2" s="130"/>
      <c r="D2" s="130"/>
      <c r="E2" s="130"/>
      <c r="F2" s="130"/>
      <c r="G2" s="130"/>
      <c r="H2" s="130" t="s">
        <v>17</v>
      </c>
      <c r="I2" s="130"/>
      <c r="J2" s="130"/>
      <c r="K2" s="130"/>
      <c r="L2" s="130" t="s">
        <v>154</v>
      </c>
      <c r="M2" s="130"/>
      <c r="N2" s="130"/>
      <c r="O2" s="130"/>
      <c r="P2" s="130"/>
      <c r="Q2" s="130"/>
      <c r="R2" s="130" t="s">
        <v>2</v>
      </c>
      <c r="S2" s="130"/>
      <c r="T2" s="130"/>
      <c r="U2" s="130"/>
      <c r="V2" s="130"/>
      <c r="W2" s="130"/>
      <c r="X2" s="131" t="s">
        <v>3</v>
      </c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3"/>
      <c r="AK2" s="131" t="s">
        <v>32</v>
      </c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3"/>
      <c r="AX2" s="130" t="s">
        <v>5</v>
      </c>
      <c r="AY2" s="130"/>
      <c r="AZ2" s="130"/>
      <c r="BA2" s="130"/>
      <c r="BB2" s="130" t="s">
        <v>4</v>
      </c>
      <c r="BC2" s="130"/>
      <c r="BD2" s="130"/>
      <c r="BE2" s="130"/>
      <c r="BF2" s="130" t="s">
        <v>6</v>
      </c>
      <c r="BG2" s="130"/>
      <c r="BH2" s="130"/>
      <c r="BI2" s="130"/>
      <c r="BJ2" s="130" t="s">
        <v>7</v>
      </c>
      <c r="BK2" s="130"/>
      <c r="BL2" s="130"/>
      <c r="BM2" s="144"/>
      <c r="BN2" s="35"/>
    </row>
    <row r="3" spans="1:66" ht="20.100000000000001" customHeight="1" x14ac:dyDescent="0.45">
      <c r="A3" s="32"/>
      <c r="B3" s="134" t="str">
        <f>変更履歴!B3</f>
        <v>受発注システム</v>
      </c>
      <c r="C3" s="135"/>
      <c r="D3" s="135"/>
      <c r="E3" s="135"/>
      <c r="F3" s="135"/>
      <c r="G3" s="135"/>
      <c r="H3" s="135" t="str">
        <f ca="1">変更履歴!H3</f>
        <v>KH0400</v>
      </c>
      <c r="I3" s="135"/>
      <c r="J3" s="135"/>
      <c r="K3" s="135"/>
      <c r="L3" s="135" t="str">
        <f>変更履歴!L3</f>
        <v>受発注</v>
      </c>
      <c r="M3" s="135"/>
      <c r="N3" s="135"/>
      <c r="O3" s="135"/>
      <c r="P3" s="135"/>
      <c r="Q3" s="135"/>
      <c r="R3" s="135" t="str">
        <f ca="1">変更履歴!R3</f>
        <v>帳票設計書</v>
      </c>
      <c r="S3" s="135"/>
      <c r="T3" s="135"/>
      <c r="U3" s="135"/>
      <c r="V3" s="135"/>
      <c r="W3" s="135"/>
      <c r="X3" s="139" t="str">
        <f ca="1">変更履歴!X3</f>
        <v>KH0400_経費データ取込エラーリスト_帳票設計書</v>
      </c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36"/>
      <c r="AK3" s="139" t="str">
        <f ca="1">変更履歴!AK3</f>
        <v>経費データ取込エラーリスト</v>
      </c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36"/>
      <c r="AX3" s="146">
        <f>変更履歴!AX3</f>
        <v>45583</v>
      </c>
      <c r="AY3" s="146"/>
      <c r="AZ3" s="146"/>
      <c r="BA3" s="146"/>
      <c r="BB3" s="135" t="str">
        <f>変更履歴!BB3</f>
        <v>大谷</v>
      </c>
      <c r="BC3" s="135"/>
      <c r="BD3" s="135"/>
      <c r="BE3" s="135"/>
      <c r="BF3" s="146">
        <f>変更履歴!BF3</f>
        <v>45583</v>
      </c>
      <c r="BG3" s="146"/>
      <c r="BH3" s="146"/>
      <c r="BI3" s="146"/>
      <c r="BJ3" s="135">
        <f>変更履歴!BJ3</f>
        <v>0</v>
      </c>
      <c r="BK3" s="135"/>
      <c r="BL3" s="135"/>
      <c r="BM3" s="147"/>
      <c r="BN3" s="35"/>
    </row>
    <row r="4" spans="1:66" ht="20.100000000000001" customHeight="1" thickBot="1" x14ac:dyDescent="0.5">
      <c r="A4" s="32"/>
      <c r="B4" s="136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41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3"/>
      <c r="AK4" s="141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3"/>
      <c r="AX4" s="155"/>
      <c r="AY4" s="155"/>
      <c r="AZ4" s="155"/>
      <c r="BA4" s="155"/>
      <c r="BB4" s="137"/>
      <c r="BC4" s="137"/>
      <c r="BD4" s="137"/>
      <c r="BE4" s="137"/>
      <c r="BF4" s="155"/>
      <c r="BG4" s="155"/>
      <c r="BH4" s="155"/>
      <c r="BI4" s="155"/>
      <c r="BJ4" s="137"/>
      <c r="BK4" s="137"/>
      <c r="BL4" s="137"/>
      <c r="BM4" s="139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経費データ取込エラーリスト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99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100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101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102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102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102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102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151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29" t="s">
        <v>0</v>
      </c>
      <c r="C2" s="130"/>
      <c r="D2" s="130"/>
      <c r="E2" s="130"/>
      <c r="F2" s="130"/>
      <c r="G2" s="130"/>
      <c r="H2" s="130" t="s">
        <v>17</v>
      </c>
      <c r="I2" s="130"/>
      <c r="J2" s="130"/>
      <c r="K2" s="130"/>
      <c r="L2" s="130" t="s">
        <v>154</v>
      </c>
      <c r="M2" s="130"/>
      <c r="N2" s="130"/>
      <c r="O2" s="130"/>
      <c r="P2" s="130"/>
      <c r="Q2" s="130"/>
      <c r="R2" s="130" t="s">
        <v>2</v>
      </c>
      <c r="S2" s="130"/>
      <c r="T2" s="130"/>
      <c r="U2" s="130"/>
      <c r="V2" s="130"/>
      <c r="W2" s="130"/>
      <c r="X2" s="131" t="s">
        <v>3</v>
      </c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3"/>
      <c r="AK2" s="131" t="s">
        <v>32</v>
      </c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3"/>
      <c r="AX2" s="130" t="s">
        <v>5</v>
      </c>
      <c r="AY2" s="130"/>
      <c r="AZ2" s="130"/>
      <c r="BA2" s="130"/>
      <c r="BB2" s="130" t="s">
        <v>4</v>
      </c>
      <c r="BC2" s="130"/>
      <c r="BD2" s="130"/>
      <c r="BE2" s="130"/>
      <c r="BF2" s="130" t="s">
        <v>6</v>
      </c>
      <c r="BG2" s="130"/>
      <c r="BH2" s="130"/>
      <c r="BI2" s="130"/>
      <c r="BJ2" s="130" t="s">
        <v>7</v>
      </c>
      <c r="BK2" s="130"/>
      <c r="BL2" s="130"/>
      <c r="BM2" s="144"/>
      <c r="BN2" s="15"/>
    </row>
    <row r="3" spans="1:66" ht="20.100000000000001" customHeight="1" x14ac:dyDescent="0.45">
      <c r="A3" s="9"/>
      <c r="B3" s="134" t="str">
        <f>変更履歴!B3</f>
        <v>受発注システム</v>
      </c>
      <c r="C3" s="135"/>
      <c r="D3" s="135"/>
      <c r="E3" s="135"/>
      <c r="F3" s="135"/>
      <c r="G3" s="135"/>
      <c r="H3" s="135" t="str">
        <f ca="1">変更履歴!H3</f>
        <v>KH0400</v>
      </c>
      <c r="I3" s="135"/>
      <c r="J3" s="135"/>
      <c r="K3" s="135"/>
      <c r="L3" s="135" t="str">
        <f>変更履歴!L3</f>
        <v>受発注</v>
      </c>
      <c r="M3" s="135"/>
      <c r="N3" s="135"/>
      <c r="O3" s="135"/>
      <c r="P3" s="135"/>
      <c r="Q3" s="135"/>
      <c r="R3" s="135" t="str">
        <f ca="1">変更履歴!R3</f>
        <v>帳票設計書</v>
      </c>
      <c r="S3" s="135"/>
      <c r="T3" s="135"/>
      <c r="U3" s="135"/>
      <c r="V3" s="135"/>
      <c r="W3" s="135"/>
      <c r="X3" s="139" t="str">
        <f ca="1">変更履歴!X3</f>
        <v>KH0400_経費データ取込エラーリスト_帳票設計書</v>
      </c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36"/>
      <c r="AK3" s="139" t="str">
        <f ca="1">変更履歴!AK3</f>
        <v>経費データ取込エラーリスト</v>
      </c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36"/>
      <c r="AX3" s="146">
        <f>変更履歴!AX3</f>
        <v>45583</v>
      </c>
      <c r="AY3" s="146"/>
      <c r="AZ3" s="146"/>
      <c r="BA3" s="146"/>
      <c r="BB3" s="135" t="str">
        <f>変更履歴!BB3</f>
        <v>大谷</v>
      </c>
      <c r="BC3" s="135"/>
      <c r="BD3" s="135"/>
      <c r="BE3" s="135"/>
      <c r="BF3" s="146">
        <f>変更履歴!BF3</f>
        <v>45583</v>
      </c>
      <c r="BG3" s="146"/>
      <c r="BH3" s="146"/>
      <c r="BI3" s="146"/>
      <c r="BJ3" s="135">
        <f>変更履歴!BJ3</f>
        <v>0</v>
      </c>
      <c r="BK3" s="135"/>
      <c r="BL3" s="135"/>
      <c r="BM3" s="147"/>
      <c r="BN3" s="15"/>
    </row>
    <row r="4" spans="1:66" ht="20.100000000000001" customHeight="1" thickBot="1" x14ac:dyDescent="0.5">
      <c r="A4" s="9"/>
      <c r="B4" s="136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41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3"/>
      <c r="AK4" s="141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3"/>
      <c r="AX4" s="155"/>
      <c r="AY4" s="155"/>
      <c r="AZ4" s="155"/>
      <c r="BA4" s="155"/>
      <c r="BB4" s="137"/>
      <c r="BC4" s="137"/>
      <c r="BD4" s="137"/>
      <c r="BE4" s="137"/>
      <c r="BF4" s="155"/>
      <c r="BG4" s="155"/>
      <c r="BH4" s="155"/>
      <c r="BI4" s="155"/>
      <c r="BJ4" s="137"/>
      <c r="BK4" s="137"/>
      <c r="BL4" s="137"/>
      <c r="BM4" s="139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29" t="s">
        <v>0</v>
      </c>
      <c r="C2" s="130"/>
      <c r="D2" s="130"/>
      <c r="E2" s="130"/>
      <c r="F2" s="130"/>
      <c r="G2" s="130"/>
      <c r="H2" s="130" t="s">
        <v>17</v>
      </c>
      <c r="I2" s="130"/>
      <c r="J2" s="130"/>
      <c r="K2" s="130"/>
      <c r="L2" s="130" t="s">
        <v>154</v>
      </c>
      <c r="M2" s="130"/>
      <c r="N2" s="130"/>
      <c r="O2" s="130"/>
      <c r="P2" s="130"/>
      <c r="Q2" s="130"/>
      <c r="R2" s="130" t="s">
        <v>2</v>
      </c>
      <c r="S2" s="130"/>
      <c r="T2" s="130"/>
      <c r="U2" s="130"/>
      <c r="V2" s="130"/>
      <c r="W2" s="130"/>
      <c r="X2" s="131" t="s">
        <v>3</v>
      </c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3"/>
      <c r="AK2" s="131" t="s">
        <v>32</v>
      </c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3"/>
      <c r="AX2" s="130" t="s">
        <v>5</v>
      </c>
      <c r="AY2" s="130"/>
      <c r="AZ2" s="130"/>
      <c r="BA2" s="130"/>
      <c r="BB2" s="130" t="s">
        <v>4</v>
      </c>
      <c r="BC2" s="130"/>
      <c r="BD2" s="130"/>
      <c r="BE2" s="130"/>
      <c r="BF2" s="130" t="s">
        <v>6</v>
      </c>
      <c r="BG2" s="130"/>
      <c r="BH2" s="130"/>
      <c r="BI2" s="130"/>
      <c r="BJ2" s="130" t="s">
        <v>7</v>
      </c>
      <c r="BK2" s="130"/>
      <c r="BL2" s="130"/>
      <c r="BM2" s="144"/>
      <c r="BN2" s="15"/>
    </row>
    <row r="3" spans="1:85" ht="20.100000000000001" customHeight="1" x14ac:dyDescent="0.45">
      <c r="A3" s="9"/>
      <c r="B3" s="134" t="str">
        <f>変更履歴!B3</f>
        <v>受発注システム</v>
      </c>
      <c r="C3" s="135"/>
      <c r="D3" s="135"/>
      <c r="E3" s="135"/>
      <c r="F3" s="135"/>
      <c r="G3" s="135"/>
      <c r="H3" s="135" t="str">
        <f ca="1">変更履歴!H3</f>
        <v>KH0400</v>
      </c>
      <c r="I3" s="135"/>
      <c r="J3" s="135"/>
      <c r="K3" s="135"/>
      <c r="L3" s="135" t="str">
        <f>変更履歴!L3</f>
        <v>受発注</v>
      </c>
      <c r="M3" s="135"/>
      <c r="N3" s="135"/>
      <c r="O3" s="135"/>
      <c r="P3" s="135"/>
      <c r="Q3" s="135"/>
      <c r="R3" s="135" t="str">
        <f ca="1">変更履歴!R3</f>
        <v>帳票設計書</v>
      </c>
      <c r="S3" s="135"/>
      <c r="T3" s="135"/>
      <c r="U3" s="135"/>
      <c r="V3" s="135"/>
      <c r="W3" s="135"/>
      <c r="X3" s="139" t="str">
        <f ca="1">変更履歴!X3</f>
        <v>KH0400_経費データ取込エラーリスト_帳票設計書</v>
      </c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36"/>
      <c r="AK3" s="139" t="str">
        <f ca="1">変更履歴!AK3</f>
        <v>経費データ取込エラーリスト</v>
      </c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36"/>
      <c r="AX3" s="146">
        <f>変更履歴!AX3</f>
        <v>45583</v>
      </c>
      <c r="AY3" s="146"/>
      <c r="AZ3" s="146"/>
      <c r="BA3" s="146"/>
      <c r="BB3" s="135" t="str">
        <f>変更履歴!BB3</f>
        <v>大谷</v>
      </c>
      <c r="BC3" s="135"/>
      <c r="BD3" s="135"/>
      <c r="BE3" s="135"/>
      <c r="BF3" s="146">
        <f>変更履歴!BF3</f>
        <v>45583</v>
      </c>
      <c r="BG3" s="146"/>
      <c r="BH3" s="146"/>
      <c r="BI3" s="146"/>
      <c r="BJ3" s="135">
        <f>変更履歴!BJ3</f>
        <v>0</v>
      </c>
      <c r="BK3" s="135"/>
      <c r="BL3" s="135"/>
      <c r="BM3" s="147"/>
      <c r="BN3" s="15"/>
    </row>
    <row r="4" spans="1:85" ht="20.100000000000001" customHeight="1" thickBot="1" x14ac:dyDescent="0.5">
      <c r="A4" s="9"/>
      <c r="B4" s="136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41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3"/>
      <c r="AK4" s="141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3"/>
      <c r="AX4" s="155"/>
      <c r="AY4" s="155"/>
      <c r="AZ4" s="155"/>
      <c r="BA4" s="155"/>
      <c r="BB4" s="137"/>
      <c r="BC4" s="137"/>
      <c r="BD4" s="137"/>
      <c r="BE4" s="137"/>
      <c r="BF4" s="155"/>
      <c r="BG4" s="155"/>
      <c r="BH4" s="155"/>
      <c r="BI4" s="155"/>
      <c r="BJ4" s="137"/>
      <c r="BK4" s="137"/>
      <c r="BL4" s="137"/>
      <c r="BM4" s="139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90" t="s">
        <v>20</v>
      </c>
      <c r="F10" s="191"/>
      <c r="G10" s="191"/>
      <c r="H10" s="191"/>
      <c r="I10" s="191"/>
      <c r="J10" s="191"/>
      <c r="K10" s="191"/>
      <c r="L10" s="192"/>
      <c r="M10" s="159" t="s">
        <v>24</v>
      </c>
      <c r="N10" s="160"/>
      <c r="O10" s="160"/>
      <c r="P10" s="159" t="s">
        <v>33</v>
      </c>
      <c r="Q10" s="160"/>
      <c r="R10" s="160"/>
      <c r="S10" s="159" t="s">
        <v>34</v>
      </c>
      <c r="T10" s="160"/>
      <c r="U10" s="160"/>
      <c r="V10" s="159" t="s">
        <v>36</v>
      </c>
      <c r="W10" s="160"/>
      <c r="X10" s="160"/>
      <c r="Y10" s="160"/>
      <c r="Z10" s="160"/>
      <c r="AA10" s="161"/>
      <c r="AB10" s="159" t="s">
        <v>35</v>
      </c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1"/>
      <c r="AR10" s="159" t="s">
        <v>42</v>
      </c>
      <c r="AS10" s="160"/>
      <c r="AT10" s="160"/>
      <c r="AU10" s="160"/>
      <c r="AV10" s="160"/>
      <c r="AW10" s="161"/>
      <c r="AX10" s="159" t="s">
        <v>43</v>
      </c>
      <c r="AY10" s="160"/>
      <c r="AZ10" s="160"/>
      <c r="BA10" s="160"/>
      <c r="BB10" s="160"/>
      <c r="BC10" s="160"/>
      <c r="BD10" s="160"/>
      <c r="BE10" s="160"/>
      <c r="BF10" s="160"/>
      <c r="BG10" s="160"/>
      <c r="BH10" s="160"/>
      <c r="BI10" s="160"/>
      <c r="BJ10" s="160"/>
      <c r="BK10" s="160"/>
      <c r="BL10" s="160"/>
      <c r="BM10" s="160"/>
      <c r="BN10" s="160"/>
      <c r="BO10" s="160"/>
      <c r="BP10" s="160"/>
      <c r="BQ10" s="160"/>
      <c r="BR10" s="160"/>
      <c r="BS10" s="160"/>
      <c r="BT10" s="181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84" t="s">
        <v>89</v>
      </c>
      <c r="F11" s="185"/>
      <c r="G11" s="185"/>
      <c r="H11" s="185"/>
      <c r="I11" s="185"/>
      <c r="J11" s="185"/>
      <c r="K11" s="185"/>
      <c r="L11" s="186"/>
      <c r="M11" s="154" t="s">
        <v>8</v>
      </c>
      <c r="N11" s="149"/>
      <c r="O11" s="149"/>
      <c r="P11" s="154" t="s">
        <v>90</v>
      </c>
      <c r="Q11" s="149"/>
      <c r="R11" s="149"/>
      <c r="S11" s="154">
        <v>8</v>
      </c>
      <c r="T11" s="149"/>
      <c r="U11" s="149"/>
      <c r="V11" s="177" t="s">
        <v>91</v>
      </c>
      <c r="W11" s="178"/>
      <c r="X11" s="178"/>
      <c r="Y11" s="178"/>
      <c r="Z11" s="178"/>
      <c r="AA11" s="182"/>
      <c r="AB11" s="165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7"/>
      <c r="AR11" s="154"/>
      <c r="AS11" s="149"/>
      <c r="AT11" s="149"/>
      <c r="AU11" s="149"/>
      <c r="AV11" s="149"/>
      <c r="AW11" s="150"/>
      <c r="AX11" s="177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78"/>
      <c r="BP11" s="178"/>
      <c r="BQ11" s="178"/>
      <c r="BR11" s="178"/>
      <c r="BS11" s="178"/>
      <c r="BT11" s="179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84" t="s">
        <v>92</v>
      </c>
      <c r="F12" s="185"/>
      <c r="G12" s="185"/>
      <c r="H12" s="185"/>
      <c r="I12" s="185"/>
      <c r="J12" s="185"/>
      <c r="K12" s="185"/>
      <c r="L12" s="186"/>
      <c r="M12" s="154" t="s">
        <v>8</v>
      </c>
      <c r="N12" s="149"/>
      <c r="O12" s="149"/>
      <c r="P12" s="154" t="s">
        <v>90</v>
      </c>
      <c r="Q12" s="149"/>
      <c r="R12" s="149"/>
      <c r="S12" s="154">
        <v>8</v>
      </c>
      <c r="T12" s="149"/>
      <c r="U12" s="149"/>
      <c r="V12" s="177" t="s">
        <v>106</v>
      </c>
      <c r="W12" s="178"/>
      <c r="X12" s="178"/>
      <c r="Y12" s="178"/>
      <c r="Z12" s="178"/>
      <c r="AA12" s="182"/>
      <c r="AB12" s="165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7"/>
      <c r="AR12" s="154"/>
      <c r="AS12" s="149"/>
      <c r="AT12" s="149"/>
      <c r="AU12" s="149"/>
      <c r="AV12" s="149"/>
      <c r="AW12" s="150"/>
      <c r="AX12" s="177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78"/>
      <c r="BJ12" s="178"/>
      <c r="BK12" s="178"/>
      <c r="BL12" s="178"/>
      <c r="BM12" s="178"/>
      <c r="BN12" s="178"/>
      <c r="BO12" s="178"/>
      <c r="BP12" s="178"/>
      <c r="BQ12" s="178"/>
      <c r="BR12" s="178"/>
      <c r="BS12" s="178"/>
      <c r="BT12" s="179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84" t="s">
        <v>93</v>
      </c>
      <c r="F13" s="185"/>
      <c r="G13" s="185"/>
      <c r="H13" s="185"/>
      <c r="I13" s="185"/>
      <c r="J13" s="185"/>
      <c r="K13" s="185"/>
      <c r="L13" s="186"/>
      <c r="M13" s="154" t="s">
        <v>47</v>
      </c>
      <c r="N13" s="149"/>
      <c r="O13" s="149"/>
      <c r="P13" s="154" t="s">
        <v>90</v>
      </c>
      <c r="Q13" s="149"/>
      <c r="R13" s="149"/>
      <c r="S13" s="154">
        <v>4</v>
      </c>
      <c r="T13" s="149"/>
      <c r="U13" s="149"/>
      <c r="V13" s="177" t="s">
        <v>104</v>
      </c>
      <c r="W13" s="178"/>
      <c r="X13" s="178"/>
      <c r="Y13" s="178"/>
      <c r="Z13" s="178"/>
      <c r="AA13" s="182"/>
      <c r="AB13" s="165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7"/>
      <c r="AR13" s="154"/>
      <c r="AS13" s="149"/>
      <c r="AT13" s="149"/>
      <c r="AU13" s="149"/>
      <c r="AV13" s="149"/>
      <c r="AW13" s="150"/>
      <c r="AX13" s="177"/>
      <c r="AY13" s="178"/>
      <c r="AZ13" s="178"/>
      <c r="BA13" s="178"/>
      <c r="BB13" s="178"/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/>
      <c r="BO13" s="178"/>
      <c r="BP13" s="178"/>
      <c r="BQ13" s="178"/>
      <c r="BR13" s="178"/>
      <c r="BS13" s="178"/>
      <c r="BT13" s="179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84" t="s">
        <v>94</v>
      </c>
      <c r="F14" s="185"/>
      <c r="G14" s="185"/>
      <c r="H14" s="185"/>
      <c r="I14" s="185"/>
      <c r="J14" s="185"/>
      <c r="K14" s="185"/>
      <c r="L14" s="186"/>
      <c r="M14" s="154" t="s">
        <v>47</v>
      </c>
      <c r="N14" s="149"/>
      <c r="O14" s="149"/>
      <c r="P14" s="154" t="s">
        <v>90</v>
      </c>
      <c r="Q14" s="149"/>
      <c r="R14" s="149"/>
      <c r="S14" s="154">
        <v>4</v>
      </c>
      <c r="T14" s="149"/>
      <c r="U14" s="149"/>
      <c r="V14" s="177" t="s">
        <v>105</v>
      </c>
      <c r="W14" s="178"/>
      <c r="X14" s="178"/>
      <c r="Y14" s="178"/>
      <c r="Z14" s="178"/>
      <c r="AA14" s="182"/>
      <c r="AB14" s="165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7"/>
      <c r="AR14" s="154"/>
      <c r="AS14" s="149"/>
      <c r="AT14" s="149"/>
      <c r="AU14" s="149"/>
      <c r="AV14" s="149"/>
      <c r="AW14" s="150"/>
      <c r="AX14" s="177"/>
      <c r="AY14" s="178"/>
      <c r="AZ14" s="178"/>
      <c r="BA14" s="178"/>
      <c r="BB14" s="178"/>
      <c r="BC14" s="178"/>
      <c r="BD14" s="178"/>
      <c r="BE14" s="178"/>
      <c r="BF14" s="178"/>
      <c r="BG14" s="178"/>
      <c r="BH14" s="178"/>
      <c r="BI14" s="178"/>
      <c r="BJ14" s="178"/>
      <c r="BK14" s="178"/>
      <c r="BL14" s="178"/>
      <c r="BM14" s="178"/>
      <c r="BN14" s="178"/>
      <c r="BO14" s="178"/>
      <c r="BP14" s="178"/>
      <c r="BQ14" s="178"/>
      <c r="BR14" s="178"/>
      <c r="BS14" s="178"/>
      <c r="BT14" s="179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84" t="s">
        <v>95</v>
      </c>
      <c r="F15" s="185"/>
      <c r="G15" s="185"/>
      <c r="H15" s="185"/>
      <c r="I15" s="185"/>
      <c r="J15" s="185"/>
      <c r="K15" s="185"/>
      <c r="L15" s="186"/>
      <c r="M15" s="154" t="s">
        <v>47</v>
      </c>
      <c r="N15" s="149"/>
      <c r="O15" s="149"/>
      <c r="P15" s="154" t="s">
        <v>90</v>
      </c>
      <c r="Q15" s="149"/>
      <c r="R15" s="149"/>
      <c r="S15" s="154"/>
      <c r="T15" s="149"/>
      <c r="U15" s="149"/>
      <c r="V15" s="177" t="s">
        <v>107</v>
      </c>
      <c r="W15" s="178"/>
      <c r="X15" s="178"/>
      <c r="Y15" s="178"/>
      <c r="Z15" s="178"/>
      <c r="AA15" s="182"/>
      <c r="AB15" s="165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7"/>
      <c r="AR15" s="154"/>
      <c r="AS15" s="149"/>
      <c r="AT15" s="149"/>
      <c r="AU15" s="149"/>
      <c r="AV15" s="149"/>
      <c r="AW15" s="150"/>
      <c r="AX15" s="177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178"/>
      <c r="BT15" s="179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128">
        <v>6</v>
      </c>
      <c r="E16" s="187" t="s">
        <v>96</v>
      </c>
      <c r="F16" s="188"/>
      <c r="G16" s="188"/>
      <c r="H16" s="188"/>
      <c r="I16" s="188"/>
      <c r="J16" s="188"/>
      <c r="K16" s="188"/>
      <c r="L16" s="189"/>
      <c r="M16" s="162" t="s">
        <v>47</v>
      </c>
      <c r="N16" s="163"/>
      <c r="O16" s="163"/>
      <c r="P16" s="162" t="s">
        <v>90</v>
      </c>
      <c r="Q16" s="163"/>
      <c r="R16" s="163"/>
      <c r="S16" s="162"/>
      <c r="T16" s="163"/>
      <c r="U16" s="163"/>
      <c r="V16" s="174"/>
      <c r="W16" s="175"/>
      <c r="X16" s="175"/>
      <c r="Y16" s="175"/>
      <c r="Z16" s="175"/>
      <c r="AA16" s="176"/>
      <c r="AB16" s="174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/>
      <c r="AQ16" s="176"/>
      <c r="AR16" s="162"/>
      <c r="AS16" s="163"/>
      <c r="AT16" s="163"/>
      <c r="AU16" s="163"/>
      <c r="AV16" s="163"/>
      <c r="AW16" s="164"/>
      <c r="AX16" s="174"/>
      <c r="AY16" s="175"/>
      <c r="AZ16" s="175"/>
      <c r="BA16" s="175"/>
      <c r="BB16" s="175"/>
      <c r="BC16" s="175"/>
      <c r="BD16" s="175"/>
      <c r="BE16" s="175"/>
      <c r="BF16" s="175"/>
      <c r="BG16" s="175"/>
      <c r="BH16" s="175"/>
      <c r="BI16" s="175"/>
      <c r="BJ16" s="175"/>
      <c r="BK16" s="175"/>
      <c r="BL16" s="175"/>
      <c r="BM16" s="175"/>
      <c r="BN16" s="175"/>
      <c r="BO16" s="175"/>
      <c r="BP16" s="175"/>
      <c r="BQ16" s="175"/>
      <c r="BR16" s="175"/>
      <c r="BS16" s="175"/>
      <c r="BT16" s="180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84" t="s">
        <v>97</v>
      </c>
      <c r="F17" s="185"/>
      <c r="G17" s="185"/>
      <c r="H17" s="185"/>
      <c r="I17" s="185"/>
      <c r="J17" s="185"/>
      <c r="K17" s="185"/>
      <c r="L17" s="186"/>
      <c r="M17" s="154" t="s">
        <v>38</v>
      </c>
      <c r="N17" s="149"/>
      <c r="O17" s="149"/>
      <c r="P17" s="154" t="s">
        <v>98</v>
      </c>
      <c r="Q17" s="149"/>
      <c r="R17" s="149"/>
      <c r="S17" s="154"/>
      <c r="T17" s="149"/>
      <c r="U17" s="149"/>
      <c r="V17" s="177" t="s">
        <v>103</v>
      </c>
      <c r="W17" s="178"/>
      <c r="X17" s="178"/>
      <c r="Y17" s="178"/>
      <c r="Z17" s="178"/>
      <c r="AA17" s="182"/>
      <c r="AB17" s="165" t="s">
        <v>108</v>
      </c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7"/>
      <c r="AR17" s="154"/>
      <c r="AS17" s="149"/>
      <c r="AT17" s="149"/>
      <c r="AU17" s="149"/>
      <c r="AV17" s="149"/>
      <c r="AW17" s="150"/>
      <c r="AX17" s="177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178"/>
      <c r="BJ17" s="178"/>
      <c r="BK17" s="178"/>
      <c r="BL17" s="178"/>
      <c r="BM17" s="178"/>
      <c r="BN17" s="178"/>
      <c r="BO17" s="178"/>
      <c r="BP17" s="178"/>
      <c r="BQ17" s="178"/>
      <c r="BR17" s="178"/>
      <c r="BS17" s="178"/>
      <c r="BT17" s="179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84"/>
      <c r="F18" s="185"/>
      <c r="G18" s="185"/>
      <c r="H18" s="185"/>
      <c r="I18" s="185"/>
      <c r="J18" s="185"/>
      <c r="K18" s="185"/>
      <c r="L18" s="186"/>
      <c r="M18" s="154"/>
      <c r="N18" s="149"/>
      <c r="O18" s="149"/>
      <c r="P18" s="154"/>
      <c r="Q18" s="149"/>
      <c r="R18" s="149"/>
      <c r="S18" s="154"/>
      <c r="T18" s="149"/>
      <c r="U18" s="149"/>
      <c r="V18" s="177"/>
      <c r="W18" s="178"/>
      <c r="X18" s="178"/>
      <c r="Y18" s="178"/>
      <c r="Z18" s="178"/>
      <c r="AA18" s="182"/>
      <c r="AB18" s="165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7"/>
      <c r="AR18" s="154"/>
      <c r="AS18" s="149"/>
      <c r="AT18" s="149"/>
      <c r="AU18" s="149"/>
      <c r="AV18" s="149"/>
      <c r="AW18" s="150"/>
      <c r="AX18" s="177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9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84"/>
      <c r="F19" s="185"/>
      <c r="G19" s="185"/>
      <c r="H19" s="185"/>
      <c r="I19" s="185"/>
      <c r="J19" s="185"/>
      <c r="K19" s="185"/>
      <c r="L19" s="186"/>
      <c r="M19" s="154"/>
      <c r="N19" s="149"/>
      <c r="O19" s="149"/>
      <c r="P19" s="154"/>
      <c r="Q19" s="149"/>
      <c r="R19" s="149"/>
      <c r="S19" s="154"/>
      <c r="T19" s="149"/>
      <c r="U19" s="149"/>
      <c r="V19" s="177"/>
      <c r="W19" s="178"/>
      <c r="X19" s="178"/>
      <c r="Y19" s="178"/>
      <c r="Z19" s="178"/>
      <c r="AA19" s="182"/>
      <c r="AB19" s="165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7"/>
      <c r="AR19" s="154"/>
      <c r="AS19" s="149"/>
      <c r="AT19" s="149"/>
      <c r="AU19" s="149"/>
      <c r="AV19" s="149"/>
      <c r="AW19" s="150"/>
      <c r="AX19" s="177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9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84"/>
      <c r="F20" s="185"/>
      <c r="G20" s="185"/>
      <c r="H20" s="185"/>
      <c r="I20" s="185"/>
      <c r="J20" s="185"/>
      <c r="K20" s="185"/>
      <c r="L20" s="186"/>
      <c r="M20" s="154"/>
      <c r="N20" s="149"/>
      <c r="O20" s="149"/>
      <c r="P20" s="154"/>
      <c r="Q20" s="149"/>
      <c r="R20" s="149"/>
      <c r="S20" s="154"/>
      <c r="T20" s="149"/>
      <c r="U20" s="149"/>
      <c r="V20" s="177"/>
      <c r="W20" s="178"/>
      <c r="X20" s="178"/>
      <c r="Y20" s="178"/>
      <c r="Z20" s="178"/>
      <c r="AA20" s="182"/>
      <c r="AB20" s="165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7"/>
      <c r="AR20" s="154"/>
      <c r="AS20" s="149"/>
      <c r="AT20" s="149"/>
      <c r="AU20" s="149"/>
      <c r="AV20" s="149"/>
      <c r="AW20" s="150"/>
      <c r="AX20" s="177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9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84"/>
      <c r="F21" s="185"/>
      <c r="G21" s="185"/>
      <c r="H21" s="185"/>
      <c r="I21" s="185"/>
      <c r="J21" s="185"/>
      <c r="K21" s="185"/>
      <c r="L21" s="186"/>
      <c r="M21" s="154"/>
      <c r="N21" s="149"/>
      <c r="O21" s="149"/>
      <c r="P21" s="154"/>
      <c r="Q21" s="149"/>
      <c r="R21" s="149"/>
      <c r="S21" s="154"/>
      <c r="T21" s="149"/>
      <c r="U21" s="149"/>
      <c r="V21" s="177"/>
      <c r="W21" s="178"/>
      <c r="X21" s="178"/>
      <c r="Y21" s="178"/>
      <c r="Z21" s="178"/>
      <c r="AA21" s="182"/>
      <c r="AB21" s="165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7"/>
      <c r="AR21" s="154"/>
      <c r="AS21" s="149"/>
      <c r="AT21" s="149"/>
      <c r="AU21" s="149"/>
      <c r="AV21" s="149"/>
      <c r="AW21" s="150"/>
      <c r="AX21" s="177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178"/>
      <c r="BT21" s="179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84"/>
      <c r="F22" s="185"/>
      <c r="G22" s="185"/>
      <c r="H22" s="185"/>
      <c r="I22" s="185"/>
      <c r="J22" s="185"/>
      <c r="K22" s="185"/>
      <c r="L22" s="186"/>
      <c r="M22" s="154"/>
      <c r="N22" s="149"/>
      <c r="O22" s="149"/>
      <c r="P22" s="154"/>
      <c r="Q22" s="149"/>
      <c r="R22" s="149"/>
      <c r="S22" s="154"/>
      <c r="T22" s="149"/>
      <c r="U22" s="149"/>
      <c r="V22" s="177"/>
      <c r="W22" s="178"/>
      <c r="X22" s="178"/>
      <c r="Y22" s="178"/>
      <c r="Z22" s="178"/>
      <c r="AA22" s="182"/>
      <c r="AB22" s="165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7"/>
      <c r="AR22" s="154"/>
      <c r="AS22" s="149"/>
      <c r="AT22" s="149"/>
      <c r="AU22" s="149"/>
      <c r="AV22" s="149"/>
      <c r="AW22" s="150"/>
      <c r="AX22" s="177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  <c r="BS22" s="178"/>
      <c r="BT22" s="179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84"/>
      <c r="F23" s="185"/>
      <c r="G23" s="185"/>
      <c r="H23" s="185"/>
      <c r="I23" s="185"/>
      <c r="J23" s="185"/>
      <c r="K23" s="185"/>
      <c r="L23" s="186"/>
      <c r="M23" s="154"/>
      <c r="N23" s="149"/>
      <c r="O23" s="149"/>
      <c r="P23" s="154"/>
      <c r="Q23" s="149"/>
      <c r="R23" s="149"/>
      <c r="S23" s="154"/>
      <c r="T23" s="149"/>
      <c r="U23" s="149"/>
      <c r="V23" s="177"/>
      <c r="W23" s="178"/>
      <c r="X23" s="178"/>
      <c r="Y23" s="178"/>
      <c r="Z23" s="178"/>
      <c r="AA23" s="182"/>
      <c r="AB23" s="165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7"/>
      <c r="AR23" s="154"/>
      <c r="AS23" s="149"/>
      <c r="AT23" s="149"/>
      <c r="AU23" s="149"/>
      <c r="AV23" s="149"/>
      <c r="AW23" s="150"/>
      <c r="AX23" s="177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78"/>
      <c r="BP23" s="178"/>
      <c r="BQ23" s="178"/>
      <c r="BR23" s="178"/>
      <c r="BS23" s="178"/>
      <c r="BT23" s="179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84"/>
      <c r="F24" s="185"/>
      <c r="G24" s="185"/>
      <c r="H24" s="185"/>
      <c r="I24" s="185"/>
      <c r="J24" s="185"/>
      <c r="K24" s="185"/>
      <c r="L24" s="186"/>
      <c r="M24" s="154"/>
      <c r="N24" s="149"/>
      <c r="O24" s="149"/>
      <c r="P24" s="154"/>
      <c r="Q24" s="149"/>
      <c r="R24" s="149"/>
      <c r="S24" s="154"/>
      <c r="T24" s="149"/>
      <c r="U24" s="149"/>
      <c r="V24" s="177"/>
      <c r="W24" s="178"/>
      <c r="X24" s="178"/>
      <c r="Y24" s="178"/>
      <c r="Z24" s="178"/>
      <c r="AA24" s="182"/>
      <c r="AB24" s="165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7"/>
      <c r="AR24" s="154"/>
      <c r="AS24" s="149"/>
      <c r="AT24" s="149"/>
      <c r="AU24" s="149"/>
      <c r="AV24" s="149"/>
      <c r="AW24" s="150"/>
      <c r="AX24" s="177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178"/>
      <c r="BT24" s="179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84"/>
      <c r="F25" s="185"/>
      <c r="G25" s="185"/>
      <c r="H25" s="185"/>
      <c r="I25" s="185"/>
      <c r="J25" s="185"/>
      <c r="K25" s="185"/>
      <c r="L25" s="186"/>
      <c r="M25" s="154"/>
      <c r="N25" s="149"/>
      <c r="O25" s="149"/>
      <c r="P25" s="154"/>
      <c r="Q25" s="149"/>
      <c r="R25" s="149"/>
      <c r="S25" s="154"/>
      <c r="T25" s="149"/>
      <c r="U25" s="149"/>
      <c r="V25" s="177"/>
      <c r="W25" s="178"/>
      <c r="X25" s="178"/>
      <c r="Y25" s="178"/>
      <c r="Z25" s="178"/>
      <c r="AA25" s="182"/>
      <c r="AB25" s="165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7"/>
      <c r="AR25" s="154"/>
      <c r="AS25" s="149"/>
      <c r="AT25" s="149"/>
      <c r="AU25" s="149"/>
      <c r="AV25" s="149"/>
      <c r="AW25" s="150"/>
      <c r="AX25" s="177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178"/>
      <c r="BS25" s="178"/>
      <c r="BT25" s="179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84"/>
      <c r="F26" s="185"/>
      <c r="G26" s="185"/>
      <c r="H26" s="185"/>
      <c r="I26" s="185"/>
      <c r="J26" s="185"/>
      <c r="K26" s="185"/>
      <c r="L26" s="186"/>
      <c r="M26" s="154"/>
      <c r="N26" s="149"/>
      <c r="O26" s="149"/>
      <c r="P26" s="154"/>
      <c r="Q26" s="149"/>
      <c r="R26" s="149"/>
      <c r="S26" s="154"/>
      <c r="T26" s="149"/>
      <c r="U26" s="149"/>
      <c r="V26" s="177"/>
      <c r="W26" s="178"/>
      <c r="X26" s="178"/>
      <c r="Y26" s="178"/>
      <c r="Z26" s="178"/>
      <c r="AA26" s="182"/>
      <c r="AB26" s="165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7"/>
      <c r="AR26" s="154"/>
      <c r="AS26" s="149"/>
      <c r="AT26" s="149"/>
      <c r="AU26" s="149"/>
      <c r="AV26" s="149"/>
      <c r="AW26" s="150"/>
      <c r="AX26" s="177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8"/>
      <c r="BT26" s="179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84"/>
      <c r="F27" s="185"/>
      <c r="G27" s="185"/>
      <c r="H27" s="185"/>
      <c r="I27" s="185"/>
      <c r="J27" s="185"/>
      <c r="K27" s="185"/>
      <c r="L27" s="186"/>
      <c r="M27" s="154"/>
      <c r="N27" s="149"/>
      <c r="O27" s="149"/>
      <c r="P27" s="154"/>
      <c r="Q27" s="149"/>
      <c r="R27" s="149"/>
      <c r="S27" s="154"/>
      <c r="T27" s="149"/>
      <c r="U27" s="149"/>
      <c r="V27" s="177"/>
      <c r="W27" s="178"/>
      <c r="X27" s="178"/>
      <c r="Y27" s="178"/>
      <c r="Z27" s="178"/>
      <c r="AA27" s="182"/>
      <c r="AB27" s="165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7"/>
      <c r="AR27" s="154"/>
      <c r="AS27" s="149"/>
      <c r="AT27" s="149"/>
      <c r="AU27" s="149"/>
      <c r="AV27" s="149"/>
      <c r="AW27" s="150"/>
      <c r="AX27" s="177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9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84"/>
      <c r="F28" s="185"/>
      <c r="G28" s="185"/>
      <c r="H28" s="185"/>
      <c r="I28" s="185"/>
      <c r="J28" s="185"/>
      <c r="K28" s="185"/>
      <c r="L28" s="186"/>
      <c r="M28" s="154"/>
      <c r="N28" s="149"/>
      <c r="O28" s="149"/>
      <c r="P28" s="154"/>
      <c r="Q28" s="149"/>
      <c r="R28" s="149"/>
      <c r="S28" s="154"/>
      <c r="T28" s="149"/>
      <c r="U28" s="149"/>
      <c r="V28" s="177"/>
      <c r="W28" s="178"/>
      <c r="X28" s="178"/>
      <c r="Y28" s="178"/>
      <c r="Z28" s="178"/>
      <c r="AA28" s="182"/>
      <c r="AB28" s="165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7"/>
      <c r="AR28" s="154"/>
      <c r="AS28" s="149"/>
      <c r="AT28" s="149"/>
      <c r="AU28" s="149"/>
      <c r="AV28" s="149"/>
      <c r="AW28" s="150"/>
      <c r="AX28" s="177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  <c r="BQ28" s="178"/>
      <c r="BR28" s="178"/>
      <c r="BS28" s="178"/>
      <c r="BT28" s="179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84"/>
      <c r="F29" s="185"/>
      <c r="G29" s="185"/>
      <c r="H29" s="185"/>
      <c r="I29" s="185"/>
      <c r="J29" s="185"/>
      <c r="K29" s="185"/>
      <c r="L29" s="186"/>
      <c r="M29" s="154"/>
      <c r="N29" s="149"/>
      <c r="O29" s="149"/>
      <c r="P29" s="154"/>
      <c r="Q29" s="149"/>
      <c r="R29" s="149"/>
      <c r="S29" s="154"/>
      <c r="T29" s="149"/>
      <c r="U29" s="149"/>
      <c r="V29" s="177"/>
      <c r="W29" s="178"/>
      <c r="X29" s="178"/>
      <c r="Y29" s="178"/>
      <c r="Z29" s="178"/>
      <c r="AA29" s="182"/>
      <c r="AB29" s="165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7"/>
      <c r="AR29" s="154"/>
      <c r="AS29" s="149"/>
      <c r="AT29" s="149"/>
      <c r="AU29" s="149"/>
      <c r="AV29" s="149"/>
      <c r="AW29" s="150"/>
      <c r="AX29" s="177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78"/>
      <c r="BP29" s="178"/>
      <c r="BQ29" s="178"/>
      <c r="BR29" s="178"/>
      <c r="BS29" s="178"/>
      <c r="BT29" s="179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thickBot="1" x14ac:dyDescent="0.5">
      <c r="A30" s="29"/>
      <c r="B30" s="44"/>
      <c r="C30"/>
      <c r="D30" s="37">
        <v>20</v>
      </c>
      <c r="E30" s="193"/>
      <c r="F30" s="194"/>
      <c r="G30" s="194"/>
      <c r="H30" s="194"/>
      <c r="I30" s="194"/>
      <c r="J30" s="194"/>
      <c r="K30" s="194"/>
      <c r="L30" s="195"/>
      <c r="M30" s="156"/>
      <c r="N30" s="157"/>
      <c r="O30" s="158"/>
      <c r="P30" s="156"/>
      <c r="Q30" s="157"/>
      <c r="R30" s="157"/>
      <c r="S30" s="156"/>
      <c r="T30" s="157"/>
      <c r="U30" s="157"/>
      <c r="V30" s="171"/>
      <c r="W30" s="172"/>
      <c r="X30" s="172"/>
      <c r="Y30" s="172"/>
      <c r="Z30" s="172"/>
      <c r="AA30" s="183"/>
      <c r="AB30" s="168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70"/>
      <c r="AR30" s="156"/>
      <c r="AS30" s="157"/>
      <c r="AT30" s="157"/>
      <c r="AU30" s="157"/>
      <c r="AV30" s="157"/>
      <c r="AW30" s="158"/>
      <c r="AX30" s="171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3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Top="1" thickBot="1" x14ac:dyDescent="0.5">
      <c r="A31" s="29"/>
      <c r="B31" s="40"/>
      <c r="C31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46"/>
      <c r="BR31" s="46"/>
      <c r="BS31" s="46"/>
      <c r="BT31" s="46"/>
      <c r="BU31" s="28"/>
    </row>
    <row r="32" spans="1:85" ht="20.100000000000001" customHeight="1" thickTop="1" x14ac:dyDescent="0.45">
      <c r="A32" s="2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  <c r="BD32" s="33"/>
      <c r="BE32" s="33"/>
      <c r="BF32" s="33"/>
      <c r="BG32" s="33"/>
      <c r="BH32" s="33"/>
      <c r="BI32" s="42"/>
      <c r="BJ32" s="42"/>
      <c r="BK32" s="42"/>
      <c r="BL32" s="42"/>
      <c r="BM32" s="42"/>
      <c r="BN32" s="42"/>
      <c r="BO32" s="42"/>
      <c r="BP32" s="41"/>
    </row>
    <row r="33" spans="2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2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2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2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2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2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2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2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2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2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2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2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2:68" ht="20.100000000000001" customHeight="1" x14ac:dyDescent="0.45">
      <c r="B45" s="3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2:68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31"/>
      <c r="BP46" s="31"/>
    </row>
    <row r="47" spans="2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2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A49" s="2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</sheetData>
  <mergeCells count="188"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参照!$A$1:$A$6</xm:f>
          </x14:formula1>
          <xm:sqref>M13:O30</xm:sqref>
        </x14:dataValidation>
        <x14:dataValidation type="list" allowBlank="1" showInputMessage="1" showErrorMessage="1">
          <x14:formula1>
            <xm:f>'\\192.168.10.37\share\02_開発\【YJY】2023_三和商研受発注システム開発\03_基本設計\02_帳票設計\[KH0300_経費データ取込_帳票設計書.xlsx]参照'!#REF!</xm:f>
          </x14:formula1>
          <xm:sqref>M11:O12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28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5" t="s">
        <v>0</v>
      </c>
      <c r="C2" s="200"/>
      <c r="D2" s="200"/>
      <c r="E2" s="200"/>
      <c r="F2" s="200"/>
      <c r="G2" s="200"/>
      <c r="H2" s="200" t="s">
        <v>17</v>
      </c>
      <c r="I2" s="200"/>
      <c r="J2" s="200"/>
      <c r="K2" s="200"/>
      <c r="L2" s="200" t="s">
        <v>154</v>
      </c>
      <c r="M2" s="200"/>
      <c r="N2" s="200"/>
      <c r="O2" s="200"/>
      <c r="P2" s="200"/>
      <c r="Q2" s="200"/>
      <c r="R2" s="200" t="s">
        <v>2</v>
      </c>
      <c r="S2" s="200"/>
      <c r="T2" s="200"/>
      <c r="U2" s="200"/>
      <c r="V2" s="200"/>
      <c r="W2" s="200"/>
      <c r="X2" s="206" t="s">
        <v>3</v>
      </c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8"/>
      <c r="AK2" s="206" t="s">
        <v>32</v>
      </c>
      <c r="AL2" s="207"/>
      <c r="AM2" s="207"/>
      <c r="AN2" s="207"/>
      <c r="AO2" s="207"/>
      <c r="AP2" s="207"/>
      <c r="AQ2" s="207"/>
      <c r="AR2" s="207"/>
      <c r="AS2" s="207"/>
      <c r="AT2" s="207"/>
      <c r="AU2" s="207"/>
      <c r="AV2" s="207"/>
      <c r="AW2" s="208"/>
      <c r="AX2" s="200" t="s">
        <v>5</v>
      </c>
      <c r="AY2" s="200"/>
      <c r="AZ2" s="200"/>
      <c r="BA2" s="200"/>
      <c r="BB2" s="200" t="s">
        <v>4</v>
      </c>
      <c r="BC2" s="200"/>
      <c r="BD2" s="200"/>
      <c r="BE2" s="200"/>
      <c r="BF2" s="200" t="s">
        <v>6</v>
      </c>
      <c r="BG2" s="200"/>
      <c r="BH2" s="200"/>
      <c r="BI2" s="200"/>
      <c r="BJ2" s="200" t="s">
        <v>7</v>
      </c>
      <c r="BK2" s="200"/>
      <c r="BL2" s="200"/>
      <c r="BM2" s="201"/>
    </row>
    <row r="3" spans="2:65" ht="20.100000000000001" customHeight="1" x14ac:dyDescent="0.45">
      <c r="B3" s="209" t="str">
        <f>変更履歴!B3</f>
        <v>受発注システム</v>
      </c>
      <c r="C3" s="135"/>
      <c r="D3" s="135"/>
      <c r="E3" s="135"/>
      <c r="F3" s="135"/>
      <c r="G3" s="135"/>
      <c r="H3" s="135" t="str">
        <f ca="1">変更履歴!H3</f>
        <v>KH0400</v>
      </c>
      <c r="I3" s="135"/>
      <c r="J3" s="135"/>
      <c r="K3" s="135"/>
      <c r="L3" s="135" t="str">
        <f>変更履歴!L3</f>
        <v>受発注</v>
      </c>
      <c r="M3" s="135"/>
      <c r="N3" s="135"/>
      <c r="O3" s="135"/>
      <c r="P3" s="135"/>
      <c r="Q3" s="135"/>
      <c r="R3" s="135" t="str">
        <f ca="1">変更履歴!R3</f>
        <v>帳票設計書</v>
      </c>
      <c r="S3" s="135"/>
      <c r="T3" s="135"/>
      <c r="U3" s="135"/>
      <c r="V3" s="135"/>
      <c r="W3" s="135"/>
      <c r="X3" s="139" t="str">
        <f ca="1">変更履歴!X3</f>
        <v>KH0400_経費データ取込エラーリスト_帳票設計書</v>
      </c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36"/>
      <c r="AK3" s="139" t="str">
        <f ca="1">変更履歴!AK3</f>
        <v>経費データ取込エラーリスト</v>
      </c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36"/>
      <c r="AX3" s="146">
        <f>変更履歴!AX3</f>
        <v>45583</v>
      </c>
      <c r="AY3" s="146"/>
      <c r="AZ3" s="146"/>
      <c r="BA3" s="146"/>
      <c r="BB3" s="135" t="str">
        <f>変更履歴!BB3</f>
        <v>大谷</v>
      </c>
      <c r="BC3" s="135"/>
      <c r="BD3" s="135"/>
      <c r="BE3" s="135"/>
      <c r="BF3" s="146">
        <f>変更履歴!BF3</f>
        <v>45583</v>
      </c>
      <c r="BG3" s="146"/>
      <c r="BH3" s="146"/>
      <c r="BI3" s="146"/>
      <c r="BJ3" s="135">
        <f>変更履歴!BJ3</f>
        <v>0</v>
      </c>
      <c r="BK3" s="135"/>
      <c r="BL3" s="135"/>
      <c r="BM3" s="198"/>
    </row>
    <row r="4" spans="2:65" ht="20.100000000000001" customHeight="1" thickBot="1" x14ac:dyDescent="0.5">
      <c r="B4" s="210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202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4"/>
      <c r="AK4" s="202"/>
      <c r="AL4" s="203"/>
      <c r="AM4" s="203"/>
      <c r="AN4" s="203"/>
      <c r="AO4" s="203"/>
      <c r="AP4" s="203"/>
      <c r="AQ4" s="203"/>
      <c r="AR4" s="203"/>
      <c r="AS4" s="203"/>
      <c r="AT4" s="203"/>
      <c r="AU4" s="203"/>
      <c r="AV4" s="203"/>
      <c r="AW4" s="204"/>
      <c r="AX4" s="196"/>
      <c r="AY4" s="196"/>
      <c r="AZ4" s="196"/>
      <c r="BA4" s="196"/>
      <c r="BB4" s="197"/>
      <c r="BC4" s="197"/>
      <c r="BD4" s="197"/>
      <c r="BE4" s="197"/>
      <c r="BF4" s="196"/>
      <c r="BG4" s="196"/>
      <c r="BH4" s="196"/>
      <c r="BI4" s="196"/>
      <c r="BJ4" s="197"/>
      <c r="BK4" s="197"/>
      <c r="BL4" s="197"/>
      <c r="BM4" s="199"/>
    </row>
    <row r="5" spans="2:65" ht="5.0999999999999996" customHeight="1" thickBot="1" x14ac:dyDescent="0.5"/>
    <row r="6" spans="2:65" ht="20.100000000000001" customHeight="1" x14ac:dyDescent="0.45">
      <c r="B6" s="89" t="s">
        <v>109</v>
      </c>
      <c r="C6" s="90"/>
      <c r="D6" s="90"/>
      <c r="E6" s="90"/>
      <c r="F6" s="90"/>
      <c r="G6" s="91"/>
      <c r="H6" s="92" t="s">
        <v>83</v>
      </c>
      <c r="I6" s="90"/>
      <c r="J6" s="120" t="s">
        <v>110</v>
      </c>
      <c r="K6" s="121"/>
      <c r="L6" s="121"/>
      <c r="M6" s="121"/>
      <c r="N6" s="121"/>
      <c r="O6" s="121"/>
      <c r="P6" s="121"/>
      <c r="Q6" s="122"/>
      <c r="R6" s="120" t="s">
        <v>111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 t="s">
        <v>112</v>
      </c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03" t="s">
        <v>113</v>
      </c>
      <c r="K7" s="104"/>
      <c r="L7" s="104"/>
      <c r="M7" s="104"/>
      <c r="N7" s="104"/>
      <c r="O7" s="104"/>
      <c r="P7" s="104"/>
      <c r="Q7" s="127"/>
      <c r="R7" s="103" t="s">
        <v>114</v>
      </c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27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03" t="s">
        <v>115</v>
      </c>
      <c r="K8" s="104"/>
      <c r="L8" s="104"/>
      <c r="M8" s="104"/>
      <c r="N8" s="104"/>
      <c r="O8" s="104"/>
      <c r="P8" s="104"/>
      <c r="Q8" s="127"/>
      <c r="R8" s="103" t="s">
        <v>116</v>
      </c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27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03" t="s">
        <v>117</v>
      </c>
      <c r="K9" s="104"/>
      <c r="L9" s="104"/>
      <c r="M9" s="104"/>
      <c r="N9" s="104"/>
      <c r="O9" s="104"/>
      <c r="P9" s="104"/>
      <c r="Q9" s="127"/>
      <c r="R9" s="103" t="s">
        <v>118</v>
      </c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27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100" t="s">
        <v>53</v>
      </c>
      <c r="I10" s="55"/>
      <c r="J10" s="100" t="s">
        <v>119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101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102"/>
    </row>
    <row r="11" spans="2:65" ht="20.100000000000001" customHeight="1" thickBot="1" x14ac:dyDescent="0.5">
      <c r="B11" s="123"/>
      <c r="C11" s="31"/>
      <c r="D11" s="31"/>
      <c r="E11" s="31"/>
      <c r="F11" s="31"/>
      <c r="G11" s="96"/>
      <c r="H11" s="100" t="s">
        <v>54</v>
      </c>
      <c r="I11" s="55"/>
      <c r="J11" s="100" t="s">
        <v>120</v>
      </c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101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102"/>
    </row>
    <row r="12" spans="2:65" ht="20.100000000000001" customHeight="1" x14ac:dyDescent="0.45">
      <c r="B12" s="89" t="s">
        <v>121</v>
      </c>
      <c r="C12" s="90"/>
      <c r="D12" s="90"/>
      <c r="E12" s="90"/>
      <c r="F12" s="90"/>
      <c r="G12" s="91"/>
      <c r="H12" s="92" t="s">
        <v>83</v>
      </c>
      <c r="I12" s="90"/>
      <c r="J12" s="120" t="s">
        <v>110</v>
      </c>
      <c r="K12" s="121"/>
      <c r="L12" s="121"/>
      <c r="M12" s="121"/>
      <c r="N12" s="121"/>
      <c r="O12" s="121"/>
      <c r="P12" s="121"/>
      <c r="Q12" s="122"/>
      <c r="R12" s="120" t="s">
        <v>122</v>
      </c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2"/>
      <c r="AK12" s="93" t="s">
        <v>112</v>
      </c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4"/>
    </row>
    <row r="13" spans="2:65" ht="20.100000000000001" customHeight="1" x14ac:dyDescent="0.45">
      <c r="B13" s="123"/>
      <c r="C13" s="31"/>
      <c r="D13" s="31"/>
      <c r="E13" s="31"/>
      <c r="F13" s="31"/>
      <c r="G13" s="96"/>
      <c r="H13" s="97"/>
      <c r="I13" s="31"/>
      <c r="J13" s="103" t="s">
        <v>123</v>
      </c>
      <c r="K13" s="104"/>
      <c r="L13" s="104"/>
      <c r="M13" s="104"/>
      <c r="N13" s="104"/>
      <c r="O13" s="104"/>
      <c r="P13" s="104"/>
      <c r="Q13" s="127"/>
      <c r="R13" s="103" t="s">
        <v>124</v>
      </c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27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97"/>
      <c r="I14" s="31"/>
      <c r="J14" s="103" t="s">
        <v>125</v>
      </c>
      <c r="K14" s="104"/>
      <c r="L14" s="104"/>
      <c r="M14" s="104"/>
      <c r="N14" s="104"/>
      <c r="O14" s="104"/>
      <c r="P14" s="104"/>
      <c r="Q14" s="127"/>
      <c r="R14" s="103" t="s">
        <v>126</v>
      </c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27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97"/>
      <c r="I15" s="31"/>
      <c r="J15" s="103" t="s">
        <v>127</v>
      </c>
      <c r="K15" s="104"/>
      <c r="L15" s="104"/>
      <c r="M15" s="104"/>
      <c r="N15" s="104"/>
      <c r="O15" s="104"/>
      <c r="P15" s="104"/>
      <c r="Q15" s="127"/>
      <c r="R15" s="103" t="s">
        <v>128</v>
      </c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27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3"/>
      <c r="C16" s="31"/>
      <c r="D16" s="31"/>
      <c r="E16" s="31"/>
      <c r="F16" s="31"/>
      <c r="G16" s="96"/>
      <c r="H16" s="97"/>
      <c r="I16" s="31"/>
      <c r="J16" s="103" t="s">
        <v>129</v>
      </c>
      <c r="K16" s="104"/>
      <c r="L16" s="104"/>
      <c r="M16" s="104"/>
      <c r="N16" s="104"/>
      <c r="O16" s="104"/>
      <c r="P16" s="104"/>
      <c r="Q16" s="127"/>
      <c r="R16" s="103" t="s">
        <v>130</v>
      </c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27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123"/>
      <c r="C17" s="31"/>
      <c r="D17" s="31"/>
      <c r="E17" s="31"/>
      <c r="F17" s="31"/>
      <c r="G17" s="96"/>
      <c r="H17" s="97"/>
      <c r="I17" s="31"/>
      <c r="J17" s="103" t="s">
        <v>131</v>
      </c>
      <c r="K17" s="104"/>
      <c r="L17" s="104"/>
      <c r="M17" s="104"/>
      <c r="N17" s="104"/>
      <c r="O17" s="104"/>
      <c r="P17" s="104"/>
      <c r="Q17" s="127"/>
      <c r="R17" s="103" t="s">
        <v>132</v>
      </c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27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123"/>
      <c r="C18" s="31"/>
      <c r="D18" s="31"/>
      <c r="E18" s="31"/>
      <c r="F18" s="31"/>
      <c r="G18" s="96"/>
      <c r="H18" s="97"/>
      <c r="I18" s="31"/>
      <c r="J18" s="103" t="s">
        <v>133</v>
      </c>
      <c r="K18" s="104"/>
      <c r="L18" s="104"/>
      <c r="M18" s="104"/>
      <c r="N18" s="104"/>
      <c r="O18" s="104"/>
      <c r="P18" s="104"/>
      <c r="Q18" s="127"/>
      <c r="R18" s="103" t="s">
        <v>134</v>
      </c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27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H19" s="97"/>
      <c r="I19" s="31"/>
      <c r="J19" s="103" t="s">
        <v>135</v>
      </c>
      <c r="K19" s="104"/>
      <c r="L19" s="104"/>
      <c r="M19" s="104"/>
      <c r="N19" s="104"/>
      <c r="O19" s="104"/>
      <c r="P19" s="104"/>
      <c r="Q19" s="127"/>
      <c r="R19" s="103" t="s">
        <v>136</v>
      </c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27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H20" s="97"/>
      <c r="I20" s="31"/>
      <c r="J20" s="103" t="s">
        <v>137</v>
      </c>
      <c r="K20" s="104"/>
      <c r="L20" s="104"/>
      <c r="M20" s="104"/>
      <c r="N20" s="104"/>
      <c r="O20" s="104"/>
      <c r="P20" s="104"/>
      <c r="Q20" s="127"/>
      <c r="R20" s="103" t="s">
        <v>138</v>
      </c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27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123"/>
      <c r="C21" s="31"/>
      <c r="D21" s="31"/>
      <c r="E21" s="31"/>
      <c r="F21" s="31"/>
      <c r="G21" s="96"/>
      <c r="H21" s="97"/>
      <c r="I21" s="31"/>
      <c r="J21" s="103" t="s">
        <v>139</v>
      </c>
      <c r="K21" s="104"/>
      <c r="L21" s="104"/>
      <c r="M21" s="104"/>
      <c r="N21" s="104"/>
      <c r="O21" s="104"/>
      <c r="P21" s="104"/>
      <c r="Q21" s="127"/>
      <c r="R21" s="103" t="s">
        <v>140</v>
      </c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27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123"/>
      <c r="C22" s="31"/>
      <c r="D22" s="31"/>
      <c r="E22" s="31"/>
      <c r="F22" s="31"/>
      <c r="G22" s="96"/>
      <c r="H22" s="97"/>
      <c r="I22" s="31"/>
      <c r="J22" s="103" t="s">
        <v>115</v>
      </c>
      <c r="K22" s="104"/>
      <c r="L22" s="104"/>
      <c r="M22" s="104"/>
      <c r="N22" s="104"/>
      <c r="O22" s="104"/>
      <c r="P22" s="104"/>
      <c r="Q22" s="127"/>
      <c r="R22" s="103" t="s">
        <v>141</v>
      </c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27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123"/>
      <c r="C23" s="31"/>
      <c r="D23" s="31"/>
      <c r="E23" s="31"/>
      <c r="F23" s="31"/>
      <c r="G23" s="96"/>
      <c r="H23" s="97"/>
      <c r="I23" s="31"/>
      <c r="J23" s="103" t="s">
        <v>117</v>
      </c>
      <c r="K23" s="104"/>
      <c r="L23" s="104"/>
      <c r="M23" s="104"/>
      <c r="N23" s="104"/>
      <c r="O23" s="104"/>
      <c r="P23" s="104"/>
      <c r="Q23" s="127"/>
      <c r="R23" s="103" t="s">
        <v>142</v>
      </c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27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123"/>
      <c r="C24" s="31"/>
      <c r="D24" s="31"/>
      <c r="E24" s="31"/>
      <c r="F24" s="31"/>
      <c r="G24" s="96"/>
      <c r="H24" s="97"/>
      <c r="I24" s="31"/>
      <c r="J24" s="103" t="s">
        <v>143</v>
      </c>
      <c r="K24" s="104"/>
      <c r="L24" s="104"/>
      <c r="M24" s="104"/>
      <c r="N24" s="104"/>
      <c r="O24" s="104"/>
      <c r="P24" s="104"/>
      <c r="Q24" s="127"/>
      <c r="R24" s="103" t="s">
        <v>144</v>
      </c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27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1" ht="20.100000000000001" customHeight="1" x14ac:dyDescent="0.45">
      <c r="B25" s="123"/>
      <c r="C25" s="31"/>
      <c r="D25" s="31"/>
      <c r="E25" s="31"/>
      <c r="F25" s="31"/>
      <c r="G25" s="96"/>
      <c r="H25" s="97"/>
      <c r="I25" s="31"/>
      <c r="J25" s="103" t="s">
        <v>145</v>
      </c>
      <c r="K25" s="104"/>
      <c r="L25" s="104"/>
      <c r="M25" s="104"/>
      <c r="N25" s="104"/>
      <c r="O25" s="104"/>
      <c r="P25" s="104"/>
      <c r="Q25" s="127"/>
      <c r="R25" s="103" t="s">
        <v>146</v>
      </c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27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1" ht="20.100000000000001" customHeight="1" x14ac:dyDescent="0.45">
      <c r="B26" s="123"/>
      <c r="C26" s="31"/>
      <c r="D26" s="31"/>
      <c r="E26" s="31"/>
      <c r="F26" s="31"/>
      <c r="G26" s="96"/>
      <c r="H26" s="100" t="s">
        <v>53</v>
      </c>
      <c r="I26" s="55"/>
      <c r="J26" s="100" t="s">
        <v>147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101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102"/>
    </row>
    <row r="27" spans="2:61" ht="20.100000000000001" customHeight="1" thickBot="1" x14ac:dyDescent="0.5">
      <c r="B27" s="123"/>
      <c r="C27" s="31"/>
      <c r="D27" s="31"/>
      <c r="E27" s="31"/>
      <c r="F27" s="31"/>
      <c r="G27" s="96"/>
      <c r="H27" s="100" t="s">
        <v>54</v>
      </c>
      <c r="I27" s="55"/>
      <c r="J27" s="100" t="s">
        <v>148</v>
      </c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101" t="s">
        <v>149</v>
      </c>
      <c r="AL27" s="55"/>
      <c r="AM27" s="55"/>
      <c r="AN27" s="55"/>
      <c r="AO27" s="55"/>
      <c r="AP27" s="55" t="s">
        <v>150</v>
      </c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102"/>
    </row>
    <row r="28" spans="2:61" ht="5.0999999999999996" customHeight="1" x14ac:dyDescent="0.45"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5" t="s">
        <v>0</v>
      </c>
      <c r="C2" s="200"/>
      <c r="D2" s="200"/>
      <c r="E2" s="200"/>
      <c r="F2" s="200"/>
      <c r="G2" s="200"/>
      <c r="H2" s="200" t="s">
        <v>17</v>
      </c>
      <c r="I2" s="200"/>
      <c r="J2" s="200"/>
      <c r="K2" s="200"/>
      <c r="L2" s="200" t="s">
        <v>1</v>
      </c>
      <c r="M2" s="200"/>
      <c r="N2" s="200"/>
      <c r="O2" s="200"/>
      <c r="P2" s="200"/>
      <c r="Q2" s="200"/>
      <c r="R2" s="200" t="s">
        <v>2</v>
      </c>
      <c r="S2" s="200"/>
      <c r="T2" s="200"/>
      <c r="U2" s="200"/>
      <c r="V2" s="200"/>
      <c r="W2" s="200"/>
      <c r="X2" s="206" t="s">
        <v>3</v>
      </c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8"/>
      <c r="AK2" s="206" t="s">
        <v>32</v>
      </c>
      <c r="AL2" s="207"/>
      <c r="AM2" s="207"/>
      <c r="AN2" s="207"/>
      <c r="AO2" s="207"/>
      <c r="AP2" s="207"/>
      <c r="AQ2" s="207"/>
      <c r="AR2" s="207"/>
      <c r="AS2" s="207"/>
      <c r="AT2" s="207"/>
      <c r="AU2" s="207"/>
      <c r="AV2" s="207"/>
      <c r="AW2" s="208"/>
      <c r="AX2" s="200" t="s">
        <v>5</v>
      </c>
      <c r="AY2" s="200"/>
      <c r="AZ2" s="200"/>
      <c r="BA2" s="200"/>
      <c r="BB2" s="200" t="s">
        <v>4</v>
      </c>
      <c r="BC2" s="200"/>
      <c r="BD2" s="200"/>
      <c r="BE2" s="200"/>
      <c r="BF2" s="200" t="s">
        <v>6</v>
      </c>
      <c r="BG2" s="200"/>
      <c r="BH2" s="200"/>
      <c r="BI2" s="200"/>
      <c r="BJ2" s="200" t="s">
        <v>7</v>
      </c>
      <c r="BK2" s="200"/>
      <c r="BL2" s="200"/>
      <c r="BM2" s="201"/>
    </row>
    <row r="3" spans="2:65" ht="20.100000000000001" customHeight="1" x14ac:dyDescent="0.45">
      <c r="B3" s="209" t="str">
        <f>変更履歴!B3</f>
        <v>受発注システム</v>
      </c>
      <c r="C3" s="135"/>
      <c r="D3" s="135"/>
      <c r="E3" s="135"/>
      <c r="F3" s="135"/>
      <c r="G3" s="135"/>
      <c r="H3" s="135" t="str">
        <f ca="1">変更履歴!H3</f>
        <v>KH0400</v>
      </c>
      <c r="I3" s="135"/>
      <c r="J3" s="135"/>
      <c r="K3" s="135"/>
      <c r="L3" s="135" t="str">
        <f>変更履歴!L3</f>
        <v>受発注</v>
      </c>
      <c r="M3" s="135"/>
      <c r="N3" s="135"/>
      <c r="O3" s="135"/>
      <c r="P3" s="135"/>
      <c r="Q3" s="135"/>
      <c r="R3" s="135" t="str">
        <f ca="1">変更履歴!R3</f>
        <v>帳票設計書</v>
      </c>
      <c r="S3" s="135"/>
      <c r="T3" s="135"/>
      <c r="U3" s="135"/>
      <c r="V3" s="135"/>
      <c r="W3" s="135"/>
      <c r="X3" s="139" t="str">
        <f ca="1">変更履歴!X3</f>
        <v>KH0400_経費データ取込エラーリスト_帳票設計書</v>
      </c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36"/>
      <c r="AK3" s="139" t="str">
        <f ca="1">変更履歴!AK3</f>
        <v>経費データ取込エラーリスト</v>
      </c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36"/>
      <c r="AX3" s="146">
        <f>変更履歴!AX3</f>
        <v>45583</v>
      </c>
      <c r="AY3" s="146"/>
      <c r="AZ3" s="146"/>
      <c r="BA3" s="146"/>
      <c r="BB3" s="135" t="str">
        <f>変更履歴!BB3</f>
        <v>大谷</v>
      </c>
      <c r="BC3" s="135"/>
      <c r="BD3" s="135"/>
      <c r="BE3" s="135"/>
      <c r="BF3" s="146">
        <f>変更履歴!BF3</f>
        <v>45583</v>
      </c>
      <c r="BG3" s="146"/>
      <c r="BH3" s="146"/>
      <c r="BI3" s="146"/>
      <c r="BJ3" s="135">
        <f>変更履歴!BJ3</f>
        <v>0</v>
      </c>
      <c r="BK3" s="135"/>
      <c r="BL3" s="135"/>
      <c r="BM3" s="198"/>
    </row>
    <row r="4" spans="2:65" ht="20.100000000000001" customHeight="1" thickBot="1" x14ac:dyDescent="0.5">
      <c r="B4" s="210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202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4"/>
      <c r="AK4" s="202"/>
      <c r="AL4" s="203"/>
      <c r="AM4" s="203"/>
      <c r="AN4" s="203"/>
      <c r="AO4" s="203"/>
      <c r="AP4" s="203"/>
      <c r="AQ4" s="203"/>
      <c r="AR4" s="203"/>
      <c r="AS4" s="203"/>
      <c r="AT4" s="203"/>
      <c r="AU4" s="203"/>
      <c r="AV4" s="203"/>
      <c r="AW4" s="204"/>
      <c r="AX4" s="196"/>
      <c r="AY4" s="196"/>
      <c r="AZ4" s="196"/>
      <c r="BA4" s="196"/>
      <c r="BB4" s="197"/>
      <c r="BC4" s="197"/>
      <c r="BD4" s="197"/>
      <c r="BE4" s="197"/>
      <c r="BF4" s="196"/>
      <c r="BG4" s="196"/>
      <c r="BH4" s="196"/>
      <c r="BI4" s="196"/>
      <c r="BJ4" s="197"/>
      <c r="BK4" s="197"/>
      <c r="BL4" s="197"/>
      <c r="BM4" s="199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55</v>
      </c>
      <c r="C7" s="90"/>
      <c r="D7" s="90"/>
      <c r="E7" s="90"/>
      <c r="F7" s="90"/>
      <c r="G7" s="90"/>
      <c r="H7" s="92" t="s">
        <v>83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84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85</v>
      </c>
      <c r="K8" s="52"/>
      <c r="L8" s="52"/>
      <c r="M8" s="52"/>
      <c r="N8" s="52"/>
      <c r="O8" s="52"/>
      <c r="P8" s="52"/>
      <c r="Q8" s="52"/>
      <c r="R8" s="124" t="s">
        <v>86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87</v>
      </c>
      <c r="K9" s="52"/>
      <c r="L9" s="52"/>
      <c r="M9" s="52"/>
      <c r="N9" s="52"/>
      <c r="O9" s="52"/>
      <c r="P9" s="52"/>
      <c r="Q9" s="52"/>
      <c r="R9" s="124" t="s">
        <v>88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56</v>
      </c>
      <c r="I10" s="31"/>
      <c r="J10" s="111" t="s">
        <v>57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58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59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61</v>
      </c>
      <c r="I14" s="55"/>
      <c r="J14" s="107" t="s">
        <v>62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63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64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65</v>
      </c>
      <c r="M17" s="109" t="s">
        <v>64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66</v>
      </c>
      <c r="M18" s="109" t="s">
        <v>64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67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68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69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65</v>
      </c>
      <c r="M22" s="104" t="s">
        <v>70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71</v>
      </c>
      <c r="I23" s="31"/>
      <c r="J23" s="111"/>
      <c r="K23" s="109" t="s">
        <v>72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73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65</v>
      </c>
      <c r="K24" s="109" t="s">
        <v>74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66</v>
      </c>
      <c r="K25" s="109" t="s">
        <v>74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75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76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77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65</v>
      </c>
      <c r="K28" s="31" t="s">
        <v>78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79</v>
      </c>
      <c r="I32" s="31"/>
      <c r="J32" s="111" t="s">
        <v>80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81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7" sqref="M17"/>
    </sheetView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12</vt:i4>
      </vt:variant>
    </vt:vector>
  </HeadingPairs>
  <TitlesOfParts>
    <vt:vector size="21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2025-05-24T05:28:58Z</dcterms:modified>
</cp:coreProperties>
</file>