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 _新システム" sheetId="21" r:id="rId8"/>
    <sheet name="別紙_テンプレート_現行" sheetId="16" r:id="rId9"/>
    <sheet name="別紙_印刷レイアウト" sheetId="22" r:id="rId10"/>
    <sheet name="参照" sheetId="12" state="hidden" r:id="rId11"/>
  </sheets>
  <definedNames>
    <definedName name="_xlnm.Print_Area" localSheetId="1">概要!$A$1:$BN$31</definedName>
    <definedName name="_xlnm.Print_Area" localSheetId="3">項目一覧!$A$1:$BX$42</definedName>
    <definedName name="_xlnm.Print_Area" localSheetId="4">処理詳細!$A$1:$BR$21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7">'別紙_テンプレート _新システム'!$A$1:$L$35</definedName>
    <definedName name="_xlnm.Print_Area" localSheetId="8">別紙_テンプレート_現行!$A$1:$L$40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  <definedName name="依頼者" localSheetId="7">'別紙_テンプレート _新システム'!$J$3</definedName>
    <definedName name="依頼者">別紙_テンプレート_現行!$J$3</definedName>
    <definedName name="作業内容" localSheetId="7">'別紙_テンプレート _新システム'!$A$18</definedName>
    <definedName name="作業内容">別紙_テンプレート_現行!$A$23</definedName>
    <definedName name="施工日" localSheetId="7">'別紙_テンプレート _新システム'!$C$8</definedName>
    <definedName name="施工日">別紙_テンプレート_現行!$C$8</definedName>
    <definedName name="受注先Adr" localSheetId="7">'別紙_テンプレート _新システム'!$C$11</definedName>
    <definedName name="受注先Adr">別紙_テンプレート_現行!$E$11</definedName>
    <definedName name="受注先TEL" localSheetId="7">'別紙_テンプレート _新システム'!$C$12</definedName>
    <definedName name="受注先TEL">別紙_テンプレート_現行!$E$12</definedName>
    <definedName name="受注番号" localSheetId="7">'別紙_テンプレート _新システム'!$A$8</definedName>
    <definedName name="受注番号">別紙_テンプレート_現行!$A$8</definedName>
    <definedName name="出力日" localSheetId="7">'別紙_テンプレート _新システム'!$F$1</definedName>
    <definedName name="出力日">別紙_テンプレート_現行!$F$1</definedName>
    <definedName name="店舗番号" localSheetId="7">'別紙_テンプレート _新システム'!$A$6</definedName>
    <definedName name="店舗番号">別紙_テンプレート_現行!$A$6</definedName>
    <definedName name="店舗名" localSheetId="7">'別紙_テンプレート _新システム'!$C$6</definedName>
    <definedName name="店舗名">別紙_テンプレート_現行!$C$6</definedName>
    <definedName name="備考" localSheetId="7">'別紙_テンプレート _新システム'!$A$15</definedName>
    <definedName name="備考">別紙_テンプレート_現行!$A$20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<sst xmlns="http://schemas.openxmlformats.org/spreadsheetml/2006/main" count="313" uniqueCount="200">
  <si>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</si>
  <si>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</si>
  <si>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</si>
  <si>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</si>
  <si>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</si>
  <si>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</si>
  <si>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</si>
  <si>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</si>
  <si>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</si>
  <si>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</si>
  <si>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</si>
  <si>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</si>
  <si>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</si>
  <si>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</si>
  <si>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</si>
  <si>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</si>
  <si>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</si>
  <si>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</si>
  <si>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</si>
  <si>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</si>
  <si>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</si>
  <si>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</si>
  <si>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</si>
  <si>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</si>
  <si>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</si>
  <si>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</si>
  <si>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</si>
  <si>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</si>
  <si>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</si>
  <si>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</si>
  <si>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</si>
  <si>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</si>
  <si>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</si>
  <si>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</si>
  <si>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</si>
  <si>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</si>
  <si>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</si>
  <si>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</si>
  <si>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</si>
  <si>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</si>
  <si>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</si>
  <si>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</si>
  <si>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</si>
  <si>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</si>
  <si>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</si>
  <si>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</si>
  <si>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</si>
  <si>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</si>
  <si>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</si>
  <si>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</si>
  <si>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</si>
  <si>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</si>
  <si>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</si>
  <si>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依頼日</t>
    <rPh sb="0" eb="2">
      <t>イライ</t>
    </rPh>
    <rPh sb="2" eb="3">
      <t>ビ</t>
    </rPh>
    <phoneticPr fontId="11"/>
  </si>
  <si>
    <t>メンテ</t>
    <phoneticPr fontId="11"/>
  </si>
  <si>
    <t>依頼書</t>
    <rPh sb="0" eb="2">
      <t>イライ</t>
    </rPh>
    <rPh sb="2" eb="3">
      <t>ショ</t>
    </rPh>
    <phoneticPr fontId="11"/>
  </si>
  <si>
    <t>依頼者</t>
    <rPh sb="0" eb="3">
      <t>イライシャ</t>
    </rPh>
    <phoneticPr fontId="11"/>
  </si>
  <si>
    <t>店舗NO.</t>
    <rPh sb="0" eb="2">
      <t>テンポ</t>
    </rPh>
    <phoneticPr fontId="11"/>
  </si>
  <si>
    <t>物件名</t>
    <rPh sb="0" eb="2">
      <t>ブッケン</t>
    </rPh>
    <rPh sb="2" eb="3">
      <t>メイ</t>
    </rPh>
    <phoneticPr fontId="11"/>
  </si>
  <si>
    <t>ベルク　ぐりーんうぉーく店</t>
    <rPh sb="12" eb="13">
      <t>テン</t>
    </rPh>
    <phoneticPr fontId="11"/>
  </si>
  <si>
    <t>見積りNO.</t>
    <rPh sb="0" eb="2">
      <t>ミツモ</t>
    </rPh>
    <phoneticPr fontId="11"/>
  </si>
  <si>
    <t>施工日</t>
    <rPh sb="0" eb="2">
      <t>セコウ</t>
    </rPh>
    <rPh sb="2" eb="3">
      <t>ビ</t>
    </rPh>
    <phoneticPr fontId="11"/>
  </si>
  <si>
    <t>店舗情報</t>
    <rPh sb="0" eb="2">
      <t>テンポ</t>
    </rPh>
    <rPh sb="2" eb="4">
      <t>ジョウホウ</t>
    </rPh>
    <phoneticPr fontId="11"/>
  </si>
  <si>
    <t>住所</t>
    <rPh sb="0" eb="2">
      <t>ジュウショ</t>
    </rPh>
    <phoneticPr fontId="11"/>
  </si>
  <si>
    <t>電話</t>
    <rPh sb="0" eb="2">
      <t>デンワ</t>
    </rPh>
    <phoneticPr fontId="11"/>
  </si>
  <si>
    <t>現調・施工</t>
    <rPh sb="0" eb="2">
      <t>ゲンチョウ</t>
    </rPh>
    <rPh sb="3" eb="5">
      <t>セコウ</t>
    </rPh>
    <phoneticPr fontId="11"/>
  </si>
  <si>
    <r>
      <t>依頼金額（予算）</t>
    </r>
    <r>
      <rPr>
        <sz val="14"/>
        <color indexed="10"/>
        <rFont val="ＭＳ Ｐゴシック"/>
        <family val="3"/>
        <charset val="128"/>
      </rPr>
      <t>※必須</t>
    </r>
    <rPh sb="0" eb="2">
      <t>イライ</t>
    </rPh>
    <rPh sb="2" eb="4">
      <t>キンガク</t>
    </rPh>
    <rPh sb="5" eb="7">
      <t>ヨサン</t>
    </rPh>
    <rPh sb="9" eb="11">
      <t>ヒッス</t>
    </rPh>
    <phoneticPr fontId="11"/>
  </si>
  <si>
    <r>
      <t>必要部材（</t>
    </r>
    <r>
      <rPr>
        <sz val="14"/>
        <color indexed="10"/>
        <rFont val="ＭＳ Ｐゴシック"/>
        <family val="3"/>
        <charset val="128"/>
      </rPr>
      <t>※メンテの場合、必須</t>
    </r>
    <r>
      <rPr>
        <sz val="14"/>
        <color indexed="8"/>
        <rFont val="ＭＳ Ｐゴシック"/>
        <family val="3"/>
        <charset val="128"/>
      </rPr>
      <t>）</t>
    </r>
    <rPh sb="0" eb="2">
      <t>ヒツヨウ</t>
    </rPh>
    <rPh sb="2" eb="4">
      <t>ブザイ</t>
    </rPh>
    <rPh sb="10" eb="12">
      <t>バアイ</t>
    </rPh>
    <rPh sb="13" eb="15">
      <t>ヒッス</t>
    </rPh>
    <phoneticPr fontId="11"/>
  </si>
  <si>
    <t>円（税別）</t>
    <rPh sb="0" eb="1">
      <t>エン</t>
    </rPh>
    <rPh sb="2" eb="4">
      <t>ゼイベツ</t>
    </rPh>
    <phoneticPr fontId="11"/>
  </si>
  <si>
    <t>社内在庫対応</t>
    <rPh sb="0" eb="2">
      <t>シャナイ</t>
    </rPh>
    <rPh sb="2" eb="4">
      <t>ザイコ</t>
    </rPh>
    <rPh sb="4" eb="6">
      <t>タイオウ</t>
    </rPh>
    <phoneticPr fontId="11"/>
  </si>
  <si>
    <t>会社入れ</t>
    <rPh sb="0" eb="2">
      <t>カイシャ</t>
    </rPh>
    <rPh sb="2" eb="3">
      <t>イ</t>
    </rPh>
    <phoneticPr fontId="11"/>
  </si>
  <si>
    <t>引取</t>
    <rPh sb="0" eb="2">
      <t>ヒキトリ</t>
    </rPh>
    <phoneticPr fontId="11"/>
  </si>
  <si>
    <t>直送</t>
    <rPh sb="0" eb="2">
      <t>チョクソウ</t>
    </rPh>
    <phoneticPr fontId="11"/>
  </si>
  <si>
    <t>詳細内容（必要人員・依頼トラック積載量・荷姿寸法等）</t>
    <rPh sb="0" eb="2">
      <t>ショウサイ</t>
    </rPh>
    <rPh sb="2" eb="4">
      <t>ナイヨウ</t>
    </rPh>
    <rPh sb="5" eb="7">
      <t>ヒツヨウ</t>
    </rPh>
    <rPh sb="7" eb="9">
      <t>ジンイン</t>
    </rPh>
    <rPh sb="10" eb="12">
      <t>イライ</t>
    </rPh>
    <rPh sb="16" eb="19">
      <t>セキサイリョウ</t>
    </rPh>
    <rPh sb="20" eb="22">
      <t>ニスガタ</t>
    </rPh>
    <rPh sb="22" eb="24">
      <t>スンポウ</t>
    </rPh>
    <rPh sb="24" eb="25">
      <t>ナド</t>
    </rPh>
    <phoneticPr fontId="11"/>
  </si>
  <si>
    <t>備考</t>
    <rPh sb="0" eb="2">
      <t>ビコウ</t>
    </rPh>
    <phoneticPr fontId="11"/>
  </si>
  <si>
    <t>作業内容</t>
    <rPh sb="0" eb="2">
      <t>サギョウ</t>
    </rPh>
    <rPh sb="2" eb="4">
      <t>ナイヨウ</t>
    </rPh>
    <phoneticPr fontId="11"/>
  </si>
  <si>
    <t>お客様印</t>
    <rPh sb="1" eb="3">
      <t>キャクサマ</t>
    </rPh>
    <rPh sb="3" eb="4">
      <t>イン</t>
    </rPh>
    <phoneticPr fontId="11"/>
  </si>
  <si>
    <t>施工者</t>
    <rPh sb="0" eb="3">
      <t>セコウシャ</t>
    </rPh>
    <phoneticPr fontId="11"/>
  </si>
  <si>
    <t>CC</t>
    <phoneticPr fontId="11"/>
  </si>
  <si>
    <t>社長</t>
    <rPh sb="0" eb="2">
      <t>シャチョウ</t>
    </rPh>
    <phoneticPr fontId="11"/>
  </si>
  <si>
    <t>※作業前・作業後の写真を必ず撮って下さい</t>
    <rPh sb="1" eb="3">
      <t>サギョウ</t>
    </rPh>
    <rPh sb="3" eb="4">
      <t>マエ</t>
    </rPh>
    <rPh sb="5" eb="7">
      <t>サギョウ</t>
    </rPh>
    <rPh sb="7" eb="8">
      <t>ゴ</t>
    </rPh>
    <rPh sb="9" eb="11">
      <t>シャシン</t>
    </rPh>
    <rPh sb="12" eb="13">
      <t>カナラ</t>
    </rPh>
    <rPh sb="14" eb="15">
      <t>ト</t>
    </rPh>
    <rPh sb="17" eb="18">
      <t>クダ</t>
    </rPh>
    <phoneticPr fontId="11"/>
  </si>
  <si>
    <t>　追加、変更があった場合必ず報告してください。　</t>
    <rPh sb="1" eb="3">
      <t>ツイカ</t>
    </rPh>
    <rPh sb="4" eb="6">
      <t>ヘンコウ</t>
    </rPh>
    <rPh sb="10" eb="12">
      <t>バアイ</t>
    </rPh>
    <rPh sb="12" eb="13">
      <t>カナラ</t>
    </rPh>
    <rPh sb="14" eb="16">
      <t>ホウコク</t>
    </rPh>
    <phoneticPr fontId="11"/>
  </si>
  <si>
    <t>　</t>
    <phoneticPr fontId="11"/>
  </si>
  <si>
    <t>出力日</t>
    <rPh sb="0" eb="3">
      <t>シュツリョクビ</t>
    </rPh>
    <phoneticPr fontId="1"/>
  </si>
  <si>
    <t>依頼者</t>
    <rPh sb="0" eb="3">
      <t>イライシャ</t>
    </rPh>
    <phoneticPr fontId="1"/>
  </si>
  <si>
    <t>店舗NO.</t>
    <rPh sb="0" eb="2">
      <t>テンポ</t>
    </rPh>
    <phoneticPr fontId="1"/>
  </si>
  <si>
    <t>物件名</t>
    <rPh sb="0" eb="3">
      <t>ブッケンメイ</t>
    </rPh>
    <phoneticPr fontId="1"/>
  </si>
  <si>
    <t>見積りNO.</t>
    <rPh sb="0" eb="2">
      <t>ミツモリ</t>
    </rPh>
    <phoneticPr fontId="1"/>
  </si>
  <si>
    <t>施工日</t>
    <rPh sb="0" eb="3">
      <t>セコウビ</t>
    </rPh>
    <phoneticPr fontId="1"/>
  </si>
  <si>
    <t>住所</t>
    <rPh sb="0" eb="2">
      <t>ジュウショ</t>
    </rPh>
    <phoneticPr fontId="1"/>
  </si>
  <si>
    <t>電話</t>
    <rPh sb="0" eb="2">
      <t>デンワ</t>
    </rPh>
    <phoneticPr fontId="1"/>
  </si>
  <si>
    <t>備考</t>
    <rPh sb="0" eb="2">
      <t>ビコウ</t>
    </rPh>
    <phoneticPr fontId="1"/>
  </si>
  <si>
    <t>作業内容</t>
    <rPh sb="0" eb="4">
      <t>サギョウナイヨウ</t>
    </rPh>
    <phoneticPr fontId="1"/>
  </si>
  <si>
    <t>現在日付</t>
    <rPh sb="0" eb="4">
      <t>ゲンザイヒヅケ</t>
    </rPh>
    <phoneticPr fontId="1"/>
  </si>
  <si>
    <t>ログインしているユーザーの名前</t>
    <rPh sb="13" eb="15">
      <t>ナマエ</t>
    </rPh>
    <phoneticPr fontId="1"/>
  </si>
  <si>
    <t>東京都八王子市別所2-56</t>
    <phoneticPr fontId="11"/>
  </si>
  <si>
    <t>全角</t>
    <rPh sb="0" eb="2">
      <t>ゼンカク</t>
    </rPh>
    <phoneticPr fontId="1"/>
  </si>
  <si>
    <t>半角</t>
    <rPh sb="0" eb="2">
      <t>ハンカク</t>
    </rPh>
    <phoneticPr fontId="1"/>
  </si>
  <si>
    <t>大澤</t>
    <phoneticPr fontId="11"/>
  </si>
  <si>
    <t>縮小して全体表示</t>
    <rPh sb="0" eb="2">
      <t>シュクショウ</t>
    </rPh>
    <rPh sb="4" eb="8">
      <t>ゼンタイヒョウジ</t>
    </rPh>
    <phoneticPr fontId="1"/>
  </si>
  <si>
    <t>042-679-7100</t>
    <phoneticPr fontId="2"/>
  </si>
  <si>
    <t>項目一覧</t>
    <rPh sb="0" eb="4">
      <t>コウモクイチラン</t>
    </rPh>
    <phoneticPr fontId="2"/>
  </si>
  <si>
    <t>どこからのデータが入るのか</t>
    <rPh sb="9" eb="10">
      <t>ハイ</t>
    </rPh>
    <phoneticPr fontId="2"/>
  </si>
  <si>
    <t>項目9～14について</t>
    <rPh sb="0" eb="2">
      <t>コウモク</t>
    </rPh>
    <phoneticPr fontId="2"/>
  </si>
  <si>
    <t>[画面.希望納期]</t>
    <rPh sb="1" eb="3">
      <t>ガメン</t>
    </rPh>
    <rPh sb="4" eb="8">
      <t>キボウノウキ</t>
    </rPh>
    <phoneticPr fontId="1"/>
  </si>
  <si>
    <t>9999年99月99日</t>
    <rPh sb="4" eb="5">
      <t>ネン</t>
    </rPh>
    <rPh sb="7" eb="8">
      <t>ガツ</t>
    </rPh>
    <rPh sb="10" eb="11">
      <t>ニチ</t>
    </rPh>
    <phoneticPr fontId="1"/>
  </si>
  <si>
    <t>/</t>
    <phoneticPr fontId="2"/>
  </si>
  <si>
    <t>-</t>
    <phoneticPr fontId="2"/>
  </si>
  <si>
    <t>-</t>
    <phoneticPr fontId="2"/>
  </si>
  <si>
    <t>xlsx</t>
    <phoneticPr fontId="2"/>
  </si>
  <si>
    <t>Excel</t>
    <phoneticPr fontId="2"/>
  </si>
  <si>
    <t>Temp施工依頼書.xlsx</t>
    <rPh sb="4" eb="6">
      <t>セコウ</t>
    </rPh>
    <rPh sb="6" eb="9">
      <t>イライショ</t>
    </rPh>
    <phoneticPr fontId="2"/>
  </si>
  <si>
    <t>from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</si>
  <si>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</si>
  <si>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</si>
  <si>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</si>
  <si>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</si>
  <si>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</si>
  <si>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</si>
  <si>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</si>
  <si>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</si>
  <si>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</si>
  <si>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</si>
  <si>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</si>
  <si>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</si>
  <si>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</si>
  <si>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</si>
  <si>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</si>
  <si>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</si>
  <si>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</si>
  <si>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</si>
  <si>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</si>
  <si>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</si>
  <si>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</si>
  <si>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</si>
  <si>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</si>
  <si>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</si>
  <si>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</si>
  <si>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</si>
  <si>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</si>
  <si>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</si>
  <si>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</si>
  <si>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</si>
  <si>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</si>
  <si>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</si>
  <si>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</si>
  <si>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</si>
  <si>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</si>
  <si>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項目15,16</t>
    <rPh sb="0" eb="2">
      <t>コウモク</t>
    </rPh>
    <phoneticPr fontId="2"/>
  </si>
  <si>
    <t>それぞれ20行目、24行目に設定されているが問題ないか。(1行下から入れるべきか)</t>
    <rPh sb="6" eb="8">
      <t>ギョウメ</t>
    </rPh>
    <rPh sb="11" eb="13">
      <t>ギョウメ</t>
    </rPh>
    <rPh sb="14" eb="16">
      <t>セッテイ</t>
    </rPh>
    <rPh sb="22" eb="24">
      <t>モンダイ</t>
    </rPh>
    <rPh sb="30" eb="32">
      <t>ギョウシタ</t>
    </rPh>
    <rPh sb="34" eb="35">
      <t>イ</t>
    </rPh>
    <phoneticPr fontId="2"/>
  </si>
  <si>
    <t>〇</t>
    <phoneticPr fontId="2"/>
  </si>
  <si>
    <t>〇</t>
    <phoneticPr fontId="2"/>
  </si>
  <si>
    <t>対応</t>
    <rPh sb="0" eb="2">
      <t>タイオウ</t>
    </rPh>
    <phoneticPr fontId="2"/>
  </si>
  <si>
    <t>項目自体不要</t>
    <rPh sb="0" eb="6">
      <t>コウモクジタイフヨウ</t>
    </rPh>
    <phoneticPr fontId="2"/>
  </si>
  <si>
    <t>問題ない。</t>
    <rPh sb="0" eb="2">
      <t>モンダイ</t>
    </rPh>
    <phoneticPr fontId="2"/>
  </si>
  <si>
    <t>施工者</t>
    <phoneticPr fontId="11"/>
  </si>
  <si>
    <t>お客様印</t>
    <rPh sb="1" eb="2">
      <t>キャク</t>
    </rPh>
    <rPh sb="2" eb="3">
      <t>サマ</t>
    </rPh>
    <rPh sb="3" eb="4">
      <t>ジルシ</t>
    </rPh>
    <phoneticPr fontId="11"/>
  </si>
  <si>
    <t>SQL1</t>
    <phoneticPr fontId="2"/>
  </si>
  <si>
    <t>見積番号</t>
    <rPh sb="0" eb="4">
      <t>ミツモリバンゴウ</t>
    </rPh>
    <phoneticPr fontId="2"/>
  </si>
  <si>
    <t>見積日付</t>
    <rPh sb="0" eb="4">
      <t>ミツモリヒヅケ</t>
    </rPh>
    <phoneticPr fontId="2"/>
  </si>
  <si>
    <t>見積件名</t>
    <rPh sb="0" eb="4">
      <t>ミツモリケンメイ</t>
    </rPh>
    <phoneticPr fontId="2"/>
  </si>
  <si>
    <t>納入先名1</t>
    <rPh sb="0" eb="4">
      <t>ノウニュウサキメイ</t>
    </rPh>
    <phoneticPr fontId="2"/>
  </si>
  <si>
    <t>納入先名2</t>
    <rPh sb="0" eb="4">
      <t>ノウニュウサキメイ</t>
    </rPh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</si>
  <si>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</si>
  <si>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</si>
  <si>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</si>
  <si>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納TEL</t>
    <rPh sb="0" eb="1">
      <t>オサメ</t>
    </rPh>
    <phoneticPr fontId="2"/>
  </si>
  <si>
    <t>納FAX</t>
    <rPh sb="0" eb="1">
      <t>オサメ</t>
    </rPh>
    <phoneticPr fontId="2"/>
  </si>
  <si>
    <t>備考</t>
    <rPh sb="0" eb="2">
      <t>ビコウ</t>
    </rPh>
    <phoneticPr fontId="2"/>
  </si>
  <si>
    <t>納入先CD</t>
    <rPh sb="0" eb="3">
      <t>ノウニュウサキ</t>
    </rPh>
    <phoneticPr fontId="2"/>
  </si>
  <si>
    <t>作業内容</t>
    <rPh sb="0" eb="4">
      <t>サギョウナイヨウ</t>
    </rPh>
    <phoneticPr fontId="2"/>
  </si>
  <si>
    <t>TD見積.見積番号</t>
    <rPh sb="2" eb="4">
      <t>ミツモリ</t>
    </rPh>
    <rPh sb="5" eb="9">
      <t>ミツモリバンゴウ</t>
    </rPh>
    <phoneticPr fontId="2"/>
  </si>
  <si>
    <t>TD見積.見積日付</t>
    <rPh sb="2" eb="4">
      <t>ミツモリ</t>
    </rPh>
    <rPh sb="5" eb="9">
      <t>ミツモリヒヅケ</t>
    </rPh>
    <phoneticPr fontId="2"/>
  </si>
  <si>
    <t>TD見積.見積件名</t>
    <rPh sb="2" eb="4">
      <t>ミツモリ</t>
    </rPh>
    <rPh sb="5" eb="9">
      <t>ミツモリケンメイ</t>
    </rPh>
    <phoneticPr fontId="2"/>
  </si>
  <si>
    <t>TD見積.納入先名1</t>
    <rPh sb="2" eb="4">
      <t>ミツモリ</t>
    </rPh>
    <rPh sb="5" eb="9">
      <t>ノウニュウサキメイ</t>
    </rPh>
    <phoneticPr fontId="2"/>
  </si>
  <si>
    <t>TD見積.納入先名2</t>
    <rPh sb="2" eb="4">
      <t>ミツモリ</t>
    </rPh>
    <rPh sb="5" eb="9">
      <t>ノウニュウサキメイ</t>
    </rPh>
    <phoneticPr fontId="2"/>
  </si>
  <si>
    <t>TD見積.郵便番号</t>
    <rPh sb="2" eb="4">
      <t>ミツモリ</t>
    </rPh>
    <rPh sb="5" eb="9">
      <t>ユウビンバンゴウ</t>
    </rPh>
    <phoneticPr fontId="2"/>
  </si>
  <si>
    <t>TD見積.住所1</t>
    <rPh sb="2" eb="4">
      <t>ミツモリ</t>
    </rPh>
    <rPh sb="5" eb="7">
      <t>ジュウショ</t>
    </rPh>
    <phoneticPr fontId="2"/>
  </si>
  <si>
    <t>TD見積.住所2</t>
    <rPh sb="2" eb="4">
      <t>ミツモリ</t>
    </rPh>
    <rPh sb="5" eb="7">
      <t>ジュウショ</t>
    </rPh>
    <phoneticPr fontId="2"/>
  </si>
  <si>
    <t>TD見積.納TEL</t>
    <rPh sb="2" eb="4">
      <t>ミツモリ</t>
    </rPh>
    <rPh sb="5" eb="6">
      <t>オサメ</t>
    </rPh>
    <phoneticPr fontId="2"/>
  </si>
  <si>
    <t>TD見積.納FAX</t>
    <rPh sb="2" eb="4">
      <t>ミツモリ</t>
    </rPh>
    <rPh sb="5" eb="6">
      <t>オサメ</t>
    </rPh>
    <phoneticPr fontId="2"/>
  </si>
  <si>
    <t>TD見積.納入先CD</t>
    <rPh sb="2" eb="4">
      <t>ミツモリ</t>
    </rPh>
    <rPh sb="5" eb="8">
      <t>ノウニュウサキ</t>
    </rPh>
    <phoneticPr fontId="2"/>
  </si>
  <si>
    <t>TD見積.備考</t>
    <rPh sb="2" eb="4">
      <t>ミツモリ</t>
    </rPh>
    <rPh sb="5" eb="7">
      <t>ビコウ</t>
    </rPh>
    <phoneticPr fontId="2"/>
  </si>
  <si>
    <t>TD見積.作業内容</t>
    <rPh sb="2" eb="4">
      <t>ミツモリ</t>
    </rPh>
    <rPh sb="5" eb="9">
      <t>サギョウナイヨウ</t>
    </rPh>
    <phoneticPr fontId="2"/>
  </si>
  <si>
    <t>TD見積</t>
    <rPh sb="2" eb="4">
      <t>ミツモリ</t>
    </rPh>
    <phoneticPr fontId="2"/>
  </si>
  <si>
    <t>[TD見積.見積番号]=[画面.見積番号]</t>
    <rPh sb="3" eb="5">
      <t>ミツモリ</t>
    </rPh>
    <rPh sb="6" eb="10">
      <t>ミツモリバンゴウ</t>
    </rPh>
    <rPh sb="13" eb="15">
      <t>ガメン</t>
    </rPh>
    <rPh sb="16" eb="20">
      <t>ミツモリバンゴウ</t>
    </rPh>
    <phoneticPr fontId="2"/>
  </si>
  <si>
    <t>[SQL1.納入先CD]</t>
    <rPh sb="6" eb="9">
      <t>ノウニュウサキ</t>
    </rPh>
    <phoneticPr fontId="1"/>
  </si>
  <si>
    <t>[SQL1.納入先名1],[SQL1.納入先名2]</t>
    <rPh sb="6" eb="9">
      <t>ノウニュウサキ</t>
    </rPh>
    <rPh sb="9" eb="10">
      <t>メイ</t>
    </rPh>
    <rPh sb="19" eb="22">
      <t>ノウニュウサキ</t>
    </rPh>
    <rPh sb="22" eb="23">
      <t>メイ</t>
    </rPh>
    <phoneticPr fontId="1"/>
  </si>
  <si>
    <t>[SQL1.見積番号]</t>
    <rPh sb="6" eb="8">
      <t>ミツモリ</t>
    </rPh>
    <rPh sb="8" eb="10">
      <t>バンゴウ</t>
    </rPh>
    <phoneticPr fontId="1"/>
  </si>
  <si>
    <t>[SQL1.住所1],[SQL1.住所2]</t>
    <rPh sb="6" eb="8">
      <t>ジュウショ</t>
    </rPh>
    <rPh sb="17" eb="19">
      <t>ジュウショ</t>
    </rPh>
    <phoneticPr fontId="1"/>
  </si>
  <si>
    <t>[SQL1.納TEL]</t>
    <rPh sb="6" eb="7">
      <t>オサメ</t>
    </rPh>
    <phoneticPr fontId="1"/>
  </si>
  <si>
    <t>[SQL1.備考]</t>
    <rPh sb="6" eb="8">
      <t>ビコウ</t>
    </rPh>
    <phoneticPr fontId="1"/>
  </si>
  <si>
    <t>[SQL1.作業内容]</t>
    <rPh sb="6" eb="10">
      <t>サギョウナイヨウ</t>
    </rPh>
    <phoneticPr fontId="1"/>
  </si>
  <si>
    <t>[SQL1.住所2]が空の場合は[SQL1.住所1]のみ、空でない場合は[SQL1.住所1]+[改行]+[SQL1.住所2]</t>
    <rPh sb="6" eb="8">
      <t>ジュウショ</t>
    </rPh>
    <rPh sb="11" eb="12">
      <t>ソラ</t>
    </rPh>
    <rPh sb="13" eb="15">
      <t>バアイ</t>
    </rPh>
    <rPh sb="22" eb="24">
      <t>ジュウショ</t>
    </rPh>
    <rPh sb="29" eb="30">
      <t>カラ</t>
    </rPh>
    <rPh sb="33" eb="35">
      <t>バアイ</t>
    </rPh>
    <rPh sb="42" eb="44">
      <t>ジュウショ</t>
    </rPh>
    <rPh sb="48" eb="50">
      <t>カイギョウ</t>
    </rPh>
    <rPh sb="58" eb="60">
      <t>ジュウショ</t>
    </rPh>
    <phoneticPr fontId="1"/>
  </si>
  <si>
    <t>[SQL1.納入先名2]が空の場合は[SQL1.納入先名1]のみ、空でない場合は[SQL1.納入先名1]+[改行]+[SQL1.納入先名2]</t>
    <rPh sb="6" eb="9">
      <t>ノウニュウサキ</t>
    </rPh>
    <rPh sb="9" eb="10">
      <t>メイ</t>
    </rPh>
    <rPh sb="13" eb="14">
      <t>ソラ</t>
    </rPh>
    <rPh sb="15" eb="17">
      <t>バアイ</t>
    </rPh>
    <rPh sb="24" eb="28">
      <t>ノウニュウサキメイ</t>
    </rPh>
    <rPh sb="33" eb="34">
      <t>カラ</t>
    </rPh>
    <rPh sb="37" eb="39">
      <t>バアイ</t>
    </rPh>
    <rPh sb="46" eb="50">
      <t>ノウニュウサキメイ</t>
    </rPh>
    <rPh sb="54" eb="56">
      <t>カイギョウ</t>
    </rPh>
    <rPh sb="64" eb="67">
      <t>ノウニュウサキ</t>
    </rPh>
    <rPh sb="67" eb="68">
      <t>メイ</t>
    </rPh>
    <phoneticPr fontId="1"/>
  </si>
  <si>
    <t>A4縦</t>
    <rPh sb="2" eb="3">
      <t>タテ</t>
    </rPh>
    <phoneticPr fontId="2"/>
  </si>
  <si>
    <t>Pleasanterのログインユーザ名取得</t>
    <rPh sb="18" eb="21">
      <t>メイシュトク</t>
    </rPh>
    <phoneticPr fontId="1"/>
  </si>
  <si>
    <t>受発注システム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</si>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</sst>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&quot;¥&quot;#,##0_);\(&quot;¥&quot;#,##0\)"/>
    <numFmt numFmtId="177" formatCode="0.0_ "/>
    <numFmt numFmtId="178" formatCode="yyyy&quot;年&quot;m&quot;月&quot;d&quot;日&quot;;@"/>
    <numFmt numFmtId="179" formatCode="[$-F800]dddd\,\ mmmm\ dd\,\ yyyy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indexed="10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2.1"/>
      <color indexed="8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6"/>
      <name val="Arial"/>
      <family val="2"/>
    </font>
    <font>
      <sz val="14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9" fillId="0" borderId="0">
      <alignment vertical="center"/>
    </xf>
  </cellStyleXfs>
  <cellXfs count="31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10" fillId="0" borderId="41" xfId="2" applyFont="1" applyBorder="1" applyAlignment="1">
      <alignment vertical="center" shrinkToFit="1"/>
    </xf>
    <xf numFmtId="0" fontId="10" fillId="0" borderId="42" xfId="2" applyFont="1" applyBorder="1" applyAlignment="1">
      <alignment vertical="center" shrinkToFit="1"/>
    </xf>
    <xf numFmtId="178" fontId="10" fillId="0" borderId="42" xfId="2" applyNumberFormat="1" applyFont="1" applyBorder="1" applyAlignment="1">
      <alignment horizontal="right" vertical="center" shrinkToFit="1"/>
    </xf>
    <xf numFmtId="0" fontId="10" fillId="0" borderId="42" xfId="2" applyFont="1" applyBorder="1" applyAlignment="1" applyProtection="1">
      <alignment vertical="center" shrinkToFit="1"/>
      <protection locked="0"/>
    </xf>
    <xf numFmtId="0" fontId="10" fillId="0" borderId="43" xfId="2" applyFont="1" applyBorder="1" applyAlignment="1">
      <alignment horizontal="left" vertical="center" shrinkToFit="1"/>
    </xf>
    <xf numFmtId="0" fontId="9" fillId="0" borderId="0" xfId="2">
      <alignment vertical="center"/>
    </xf>
    <xf numFmtId="0" fontId="10" fillId="0" borderId="44" xfId="2" applyFont="1" applyBorder="1" applyAlignment="1">
      <alignment vertical="center" shrinkToFit="1"/>
    </xf>
    <xf numFmtId="0" fontId="10" fillId="0" borderId="0" xfId="2" applyFont="1" applyBorder="1" applyAlignment="1">
      <alignment vertical="center" shrinkToFit="1"/>
    </xf>
    <xf numFmtId="0" fontId="10" fillId="0" borderId="0" xfId="2" applyFont="1" applyBorder="1" applyAlignment="1">
      <alignment horizontal="right" vertical="center" shrinkToFit="1"/>
    </xf>
    <xf numFmtId="0" fontId="10" fillId="0" borderId="45" xfId="2" applyFont="1" applyBorder="1" applyAlignment="1">
      <alignment horizontal="right" vertical="center" shrinkToFit="1"/>
    </xf>
    <xf numFmtId="0" fontId="10" fillId="0" borderId="44" xfId="2" applyFont="1" applyBorder="1" applyAlignment="1">
      <alignment horizontal="center" vertical="center" shrinkToFit="1"/>
    </xf>
    <xf numFmtId="0" fontId="10" fillId="0" borderId="0" xfId="2" applyFont="1" applyBorder="1" applyAlignment="1">
      <alignment horizontal="center" vertical="center" shrinkToFit="1"/>
    </xf>
    <xf numFmtId="0" fontId="10" fillId="0" borderId="45" xfId="2" applyFont="1" applyBorder="1" applyAlignment="1">
      <alignment horizontal="center" vertical="center" shrinkToFit="1"/>
    </xf>
    <xf numFmtId="0" fontId="9" fillId="0" borderId="0" xfId="2" applyAlignment="1">
      <alignment horizontal="center" vertical="center"/>
    </xf>
    <xf numFmtId="0" fontId="10" fillId="0" borderId="44" xfId="2" applyFont="1" applyBorder="1" applyAlignment="1">
      <alignment horizontal="left" vertical="center" shrinkToFit="1"/>
    </xf>
    <xf numFmtId="0" fontId="10" fillId="0" borderId="0" xfId="2" applyFont="1" applyBorder="1" applyAlignment="1">
      <alignment horizontal="left" vertical="center" shrinkToFit="1"/>
    </xf>
    <xf numFmtId="0" fontId="9" fillId="0" borderId="0" xfId="2" applyBorder="1">
      <alignment vertical="center"/>
    </xf>
    <xf numFmtId="0" fontId="10" fillId="0" borderId="45" xfId="2" applyFont="1" applyBorder="1" applyAlignment="1">
      <alignment vertical="center" shrinkToFit="1"/>
    </xf>
    <xf numFmtId="0" fontId="20" fillId="0" borderId="0" xfId="2" applyFont="1">
      <alignment vertical="center"/>
    </xf>
    <xf numFmtId="56" fontId="21" fillId="0" borderId="83" xfId="2" applyNumberFormat="1" applyFont="1" applyBorder="1" applyAlignment="1" applyProtection="1">
      <alignment vertical="center" shrinkToFit="1"/>
      <protection locked="0"/>
    </xf>
    <xf numFmtId="0" fontId="25" fillId="0" borderId="0" xfId="2" applyFont="1">
      <alignment vertical="center"/>
    </xf>
    <xf numFmtId="0" fontId="9" fillId="0" borderId="0" xfId="2" applyAlignment="1">
      <alignment vertical="center" shrinkToFit="1"/>
    </xf>
    <xf numFmtId="0" fontId="3" fillId="2" borderId="41" xfId="0" applyFont="1" applyFill="1" applyBorder="1" applyAlignment="1">
      <alignment horizontal="left" vertical="center"/>
    </xf>
    <xf numFmtId="0" fontId="3" fillId="2" borderId="42" xfId="0" applyFont="1" applyFill="1" applyBorder="1">
      <alignment vertical="center"/>
    </xf>
    <xf numFmtId="0" fontId="3" fillId="2" borderId="92" xfId="0" applyFont="1" applyFill="1" applyBorder="1">
      <alignment vertical="center"/>
    </xf>
    <xf numFmtId="0" fontId="3" fillId="2" borderId="93" xfId="0" applyFont="1" applyFill="1" applyBorder="1">
      <alignment vertical="center"/>
    </xf>
    <xf numFmtId="0" fontId="3" fillId="2" borderId="93" xfId="0" quotePrefix="1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94" xfId="0" applyFont="1" applyFill="1" applyBorder="1">
      <alignment vertical="center"/>
    </xf>
    <xf numFmtId="0" fontId="3" fillId="2" borderId="95" xfId="0" applyFont="1" applyFill="1" applyBorder="1">
      <alignment vertical="center"/>
    </xf>
    <xf numFmtId="0" fontId="3" fillId="2" borderId="95" xfId="0" quotePrefix="1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96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27" fillId="2" borderId="2" xfId="0" applyFont="1" applyFill="1" applyBorder="1">
      <alignment vertical="center"/>
    </xf>
    <xf numFmtId="0" fontId="27" fillId="2" borderId="95" xfId="0" applyFont="1" applyFill="1" applyBorder="1">
      <alignment vertical="center"/>
    </xf>
    <xf numFmtId="0" fontId="26" fillId="2" borderId="0" xfId="0" applyFont="1" applyFill="1" applyBorder="1">
      <alignment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95" xfId="0" applyFont="1" applyFill="1" applyBorder="1">
      <alignment vertical="center"/>
    </xf>
    <xf numFmtId="0" fontId="26" fillId="2" borderId="95" xfId="0" quotePrefix="1" applyFont="1" applyFill="1" applyBorder="1">
      <alignment vertical="center"/>
    </xf>
    <xf numFmtId="0" fontId="3" fillId="2" borderId="95" xfId="0" quotePrefix="1" applyFont="1" applyFill="1" applyBorder="1" applyAlignment="1">
      <alignment vertical="center"/>
    </xf>
    <xf numFmtId="0" fontId="3" fillId="2" borderId="71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90" xfId="0" applyFont="1" applyFill="1" applyBorder="1">
      <alignment vertical="center"/>
    </xf>
    <xf numFmtId="0" fontId="3" fillId="2" borderId="89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26" fillId="2" borderId="0" xfId="0" applyFont="1" applyFill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86" xfId="0" applyFont="1" applyFill="1" applyBorder="1">
      <alignment vertical="center"/>
    </xf>
    <xf numFmtId="0" fontId="3" fillId="2" borderId="44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26" fillId="2" borderId="60" xfId="0" applyFont="1" applyFill="1" applyBorder="1">
      <alignment vertical="center"/>
    </xf>
    <xf numFmtId="0" fontId="3" fillId="2" borderId="8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14" fontId="3" fillId="2" borderId="66" xfId="0" applyNumberFormat="1" applyFont="1" applyFill="1" applyBorder="1" applyAlignment="1">
      <alignment horizontal="center" vertical="center" shrinkToFit="1"/>
    </xf>
    <xf numFmtId="0" fontId="3" fillId="2" borderId="66" xfId="0" applyFont="1" applyFill="1" applyBorder="1" applyAlignment="1">
      <alignment horizontal="center" vertical="center" shrinkToFit="1"/>
    </xf>
    <xf numFmtId="0" fontId="3" fillId="2" borderId="88" xfId="0" applyFont="1" applyFill="1" applyBorder="1" applyAlignment="1">
      <alignment horizontal="center" vertical="center" shrinkToFit="1"/>
    </xf>
    <xf numFmtId="0" fontId="3" fillId="2" borderId="91" xfId="0" applyFont="1" applyFill="1" applyBorder="1" applyAlignment="1">
      <alignment horizontal="center" vertical="center" shrinkToFit="1"/>
    </xf>
    <xf numFmtId="0" fontId="3" fillId="3" borderId="59" xfId="0" applyFont="1" applyFill="1" applyBorder="1" applyAlignment="1">
      <alignment horizontal="center" vertical="center"/>
    </xf>
    <xf numFmtId="0" fontId="3" fillId="3" borderId="87" xfId="0" applyFont="1" applyFill="1" applyBorder="1" applyAlignment="1">
      <alignment horizontal="center" vertical="center"/>
    </xf>
    <xf numFmtId="0" fontId="3" fillId="2" borderId="89" xfId="0" applyFont="1" applyFill="1" applyBorder="1" applyAlignment="1">
      <alignment horizontal="center" vertical="center" shrinkToFit="1"/>
    </xf>
    <xf numFmtId="0" fontId="3" fillId="2" borderId="72" xfId="0" applyFont="1" applyFill="1" applyBorder="1" applyAlignment="1">
      <alignment horizontal="center" vertical="center" shrinkToFit="1"/>
    </xf>
    <xf numFmtId="0" fontId="3" fillId="2" borderId="90" xfId="0" applyFont="1" applyFill="1" applyBorder="1" applyAlignment="1">
      <alignment horizontal="center" vertical="center" shrinkToFit="1"/>
    </xf>
    <xf numFmtId="0" fontId="3" fillId="3" borderId="58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86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 shrinkToFit="1"/>
    </xf>
    <xf numFmtId="0" fontId="3" fillId="2" borderId="65" xfId="0" applyFont="1" applyFill="1" applyBorder="1" applyAlignment="1">
      <alignment horizontal="center" vertical="center" shrinkToFit="1"/>
    </xf>
    <xf numFmtId="0" fontId="24" fillId="0" borderId="44" xfId="2" applyFont="1" applyBorder="1" applyAlignment="1">
      <alignment horizontal="left" vertical="center" shrinkToFit="1"/>
    </xf>
    <xf numFmtId="0" fontId="24" fillId="0" borderId="0" xfId="2" applyFont="1" applyBorder="1" applyAlignment="1">
      <alignment horizontal="left" vertical="center" shrinkToFit="1"/>
    </xf>
    <xf numFmtId="0" fontId="24" fillId="0" borderId="45" xfId="2" applyFont="1" applyBorder="1" applyAlignment="1">
      <alignment horizontal="left" vertical="center" shrinkToFit="1"/>
    </xf>
    <xf numFmtId="0" fontId="9" fillId="0" borderId="44" xfId="2" applyFont="1" applyBorder="1" applyAlignment="1">
      <alignment horizontal="left" vertical="center" shrinkToFit="1"/>
    </xf>
    <xf numFmtId="0" fontId="9" fillId="0" borderId="0" xfId="2" applyFont="1" applyBorder="1" applyAlignment="1">
      <alignment horizontal="left" vertical="center" shrinkToFit="1"/>
    </xf>
    <xf numFmtId="0" fontId="9" fillId="0" borderId="45" xfId="2" applyFont="1" applyBorder="1" applyAlignment="1">
      <alignment horizontal="left" vertical="center" shrinkToFit="1"/>
    </xf>
    <xf numFmtId="0" fontId="25" fillId="0" borderId="71" xfId="2" applyFont="1" applyBorder="1" applyAlignment="1">
      <alignment horizontal="left" vertical="center" shrinkToFit="1"/>
    </xf>
    <xf numFmtId="0" fontId="25" fillId="0" borderId="72" xfId="2" applyFont="1" applyBorder="1" applyAlignment="1">
      <alignment horizontal="left" vertical="center" shrinkToFit="1"/>
    </xf>
    <xf numFmtId="0" fontId="25" fillId="0" borderId="73" xfId="2" applyFont="1" applyBorder="1" applyAlignment="1">
      <alignment horizontal="left" vertical="center" shrinkToFit="1"/>
    </xf>
    <xf numFmtId="0" fontId="16" fillId="0" borderId="60" xfId="2" applyFont="1" applyBorder="1" applyAlignment="1">
      <alignment horizontal="center" vertical="center" wrapText="1" shrinkToFit="1"/>
    </xf>
    <xf numFmtId="0" fontId="16" fillId="0" borderId="61" xfId="2" applyFont="1" applyBorder="1" applyAlignment="1">
      <alignment horizontal="center" vertical="center" wrapText="1" shrinkToFit="1"/>
    </xf>
    <xf numFmtId="0" fontId="16" fillId="0" borderId="62" xfId="2" applyFont="1" applyBorder="1" applyAlignment="1">
      <alignment horizontal="center" vertical="center" wrapText="1" shrinkToFit="1"/>
    </xf>
    <xf numFmtId="0" fontId="17" fillId="0" borderId="5" xfId="2" applyFont="1" applyBorder="1" applyAlignment="1">
      <alignment horizontal="center" wrapText="1"/>
    </xf>
    <xf numFmtId="0" fontId="17" fillId="0" borderId="6" xfId="2" applyFont="1" applyBorder="1" applyAlignment="1">
      <alignment horizontal="center" wrapText="1"/>
    </xf>
    <xf numFmtId="0" fontId="17" fillId="0" borderId="64" xfId="2" applyFont="1" applyBorder="1" applyAlignment="1">
      <alignment horizontal="center" wrapText="1"/>
    </xf>
    <xf numFmtId="56" fontId="21" fillId="0" borderId="41" xfId="2" applyNumberFormat="1" applyFont="1" applyBorder="1" applyAlignment="1" applyProtection="1">
      <alignment horizontal="center" vertical="center" shrinkToFit="1"/>
      <protection locked="0"/>
    </xf>
    <xf numFmtId="56" fontId="21" fillId="0" borderId="42" xfId="2" applyNumberFormat="1" applyFont="1" applyBorder="1" applyAlignment="1" applyProtection="1">
      <alignment horizontal="center" vertical="center" shrinkToFit="1"/>
      <protection locked="0"/>
    </xf>
    <xf numFmtId="56" fontId="21" fillId="0" borderId="43" xfId="2" applyNumberFormat="1" applyFont="1" applyBorder="1" applyAlignment="1" applyProtection="1">
      <alignment horizontal="center" vertical="center" shrinkToFit="1"/>
      <protection locked="0"/>
    </xf>
    <xf numFmtId="56" fontId="22" fillId="0" borderId="44" xfId="2" applyNumberFormat="1" applyFont="1" applyBorder="1" applyAlignment="1" applyProtection="1">
      <alignment horizontal="center" vertical="center" shrinkToFit="1"/>
      <protection locked="0"/>
    </xf>
    <xf numFmtId="56" fontId="22" fillId="0" borderId="0" xfId="2" applyNumberFormat="1" applyFont="1" applyBorder="1" applyAlignment="1" applyProtection="1">
      <alignment horizontal="center" vertical="center" shrinkToFit="1"/>
      <protection locked="0"/>
    </xf>
    <xf numFmtId="56" fontId="22" fillId="0" borderId="45" xfId="2" applyNumberFormat="1" applyFont="1" applyBorder="1" applyAlignment="1" applyProtection="1">
      <alignment horizontal="center" vertical="center" shrinkToFit="1"/>
      <protection locked="0"/>
    </xf>
    <xf numFmtId="56" fontId="22" fillId="0" borderId="71" xfId="2" applyNumberFormat="1" applyFont="1" applyBorder="1" applyAlignment="1" applyProtection="1">
      <alignment horizontal="center" vertical="center" shrinkToFit="1"/>
      <protection locked="0"/>
    </xf>
    <xf numFmtId="56" fontId="22" fillId="0" borderId="72" xfId="2" applyNumberFormat="1" applyFont="1" applyBorder="1" applyAlignment="1" applyProtection="1">
      <alignment horizontal="center" vertical="center" shrinkToFit="1"/>
      <protection locked="0"/>
    </xf>
    <xf numFmtId="56" fontId="22" fillId="0" borderId="73" xfId="2" applyNumberFormat="1" applyFont="1" applyBorder="1" applyAlignment="1" applyProtection="1">
      <alignment horizontal="center" vertical="center" shrinkToFit="1"/>
      <protection locked="0"/>
    </xf>
    <xf numFmtId="56" fontId="21" fillId="0" borderId="77" xfId="2" applyNumberFormat="1" applyFont="1" applyBorder="1" applyAlignment="1" applyProtection="1">
      <alignment horizontal="left" vertical="center" shrinkToFit="1"/>
      <protection locked="0"/>
    </xf>
    <xf numFmtId="56" fontId="21" fillId="0" borderId="78" xfId="2" applyNumberFormat="1" applyFont="1" applyBorder="1" applyAlignment="1" applyProtection="1">
      <alignment horizontal="left" vertical="center" shrinkToFit="1"/>
      <protection locked="0"/>
    </xf>
    <xf numFmtId="56" fontId="21" fillId="0" borderId="79" xfId="2" applyNumberFormat="1" applyFont="1" applyBorder="1" applyAlignment="1" applyProtection="1">
      <alignment horizontal="left" vertical="center" shrinkToFit="1"/>
      <protection locked="0"/>
    </xf>
    <xf numFmtId="56" fontId="22" fillId="0" borderId="80" xfId="2" applyNumberFormat="1" applyFont="1" applyBorder="1" applyAlignment="1" applyProtection="1">
      <alignment horizontal="left" vertical="center" shrinkToFit="1"/>
      <protection locked="0"/>
    </xf>
    <xf numFmtId="56" fontId="22" fillId="0" borderId="81" xfId="2" applyNumberFormat="1" applyFont="1" applyBorder="1" applyAlignment="1" applyProtection="1">
      <alignment horizontal="left" vertical="center" shrinkToFit="1"/>
      <protection locked="0"/>
    </xf>
    <xf numFmtId="56" fontId="22" fillId="0" borderId="82" xfId="2" applyNumberFormat="1" applyFont="1" applyBorder="1" applyAlignment="1" applyProtection="1">
      <alignment horizontal="left" vertical="center" shrinkToFit="1"/>
      <protection locked="0"/>
    </xf>
    <xf numFmtId="56" fontId="23" fillId="0" borderId="51" xfId="2" applyNumberFormat="1" applyFont="1" applyBorder="1" applyAlignment="1" applyProtection="1">
      <alignment horizontal="center" vertical="center" shrinkToFit="1"/>
      <protection locked="0"/>
    </xf>
    <xf numFmtId="56" fontId="23" fillId="0" borderId="54" xfId="2" applyNumberFormat="1" applyFont="1" applyBorder="1" applyAlignment="1" applyProtection="1">
      <alignment horizontal="center" vertical="center" shrinkToFit="1"/>
      <protection locked="0"/>
    </xf>
    <xf numFmtId="56" fontId="23" fillId="0" borderId="55" xfId="2" applyNumberFormat="1" applyFont="1" applyBorder="1" applyAlignment="1" applyProtection="1">
      <alignment horizontal="center" vertical="center" shrinkToFit="1"/>
      <protection locked="0"/>
    </xf>
    <xf numFmtId="56" fontId="15" fillId="0" borderId="77" xfId="2" applyNumberFormat="1" applyFont="1" applyBorder="1" applyAlignment="1" applyProtection="1">
      <alignment horizontal="left" vertical="center" wrapText="1" shrinkToFit="1"/>
      <protection locked="0"/>
    </xf>
    <xf numFmtId="56" fontId="15" fillId="0" borderId="78" xfId="2" applyNumberFormat="1" applyFont="1" applyBorder="1" applyAlignment="1" applyProtection="1">
      <alignment horizontal="left" vertical="center" shrinkToFit="1"/>
      <protection locked="0"/>
    </xf>
    <xf numFmtId="56" fontId="15" fillId="0" borderId="79" xfId="2" applyNumberFormat="1" applyFont="1" applyBorder="1" applyAlignment="1" applyProtection="1">
      <alignment horizontal="left" vertical="center" shrinkToFit="1"/>
      <protection locked="0"/>
    </xf>
    <xf numFmtId="56" fontId="15" fillId="0" borderId="77" xfId="2" applyNumberFormat="1" applyFont="1" applyBorder="1" applyAlignment="1" applyProtection="1">
      <alignment horizontal="left" vertical="center" shrinkToFit="1"/>
      <protection locked="0"/>
    </xf>
    <xf numFmtId="0" fontId="10" fillId="0" borderId="51" xfId="2" applyFont="1" applyBorder="1" applyAlignment="1">
      <alignment horizontal="center" vertical="center" shrinkToFit="1"/>
    </xf>
    <xf numFmtId="0" fontId="10" fillId="0" borderId="54" xfId="2" applyFont="1" applyBorder="1" applyAlignment="1">
      <alignment horizontal="center" vertical="center" shrinkToFit="1"/>
    </xf>
    <xf numFmtId="0" fontId="10" fillId="0" borderId="55" xfId="2" applyFont="1" applyBorder="1" applyAlignment="1">
      <alignment horizontal="center" vertical="center" shrinkToFit="1"/>
    </xf>
    <xf numFmtId="0" fontId="10" fillId="0" borderId="48" xfId="2" applyFont="1" applyBorder="1" applyAlignment="1">
      <alignment horizontal="center" vertical="center" shrinkToFit="1"/>
    </xf>
    <xf numFmtId="0" fontId="10" fillId="0" borderId="49" xfId="2" applyFont="1" applyBorder="1" applyAlignment="1">
      <alignment horizontal="center" vertical="center" shrinkToFit="1"/>
    </xf>
    <xf numFmtId="0" fontId="10" fillId="0" borderId="50" xfId="2" applyFont="1" applyBorder="1" applyAlignment="1">
      <alignment horizontal="center" vertical="center" shrinkToFit="1"/>
    </xf>
    <xf numFmtId="0" fontId="10" fillId="0" borderId="59" xfId="2" applyFont="1" applyBorder="1" applyAlignment="1">
      <alignment horizontal="center" vertical="center" shrinkToFit="1"/>
    </xf>
    <xf numFmtId="0" fontId="10" fillId="0" borderId="60" xfId="2" applyFont="1" applyBorder="1" applyAlignment="1">
      <alignment horizontal="center" vertical="center" shrinkToFit="1"/>
    </xf>
    <xf numFmtId="0" fontId="10" fillId="0" borderId="1" xfId="2" applyFont="1" applyBorder="1" applyAlignment="1">
      <alignment horizontal="center" vertical="center" shrinkToFit="1"/>
    </xf>
    <xf numFmtId="0" fontId="10" fillId="0" borderId="5" xfId="2" applyFont="1" applyBorder="1" applyAlignment="1">
      <alignment horizontal="center" vertical="center" shrinkToFit="1"/>
    </xf>
    <xf numFmtId="56" fontId="15" fillId="0" borderId="74" xfId="2" applyNumberFormat="1" applyFont="1" applyBorder="1" applyAlignment="1" applyProtection="1">
      <alignment horizontal="left" vertical="center" shrinkToFit="1"/>
      <protection locked="0"/>
    </xf>
    <xf numFmtId="56" fontId="15" fillId="0" borderId="75" xfId="2" applyNumberFormat="1" applyFont="1" applyBorder="1" applyAlignment="1" applyProtection="1">
      <alignment horizontal="left" vertical="center" shrinkToFit="1"/>
      <protection locked="0"/>
    </xf>
    <xf numFmtId="56" fontId="15" fillId="0" borderId="76" xfId="2" applyNumberFormat="1" applyFont="1" applyBorder="1" applyAlignment="1" applyProtection="1">
      <alignment horizontal="left" vertical="center" shrinkToFit="1"/>
      <protection locked="0"/>
    </xf>
    <xf numFmtId="0" fontId="10" fillId="0" borderId="51" xfId="2" quotePrefix="1" applyFont="1" applyBorder="1" applyAlignment="1" applyProtection="1">
      <alignment horizontal="center" vertical="center" shrinkToFit="1"/>
      <protection locked="0"/>
    </xf>
    <xf numFmtId="0" fontId="10" fillId="0" borderId="52" xfId="2" applyFont="1" applyBorder="1" applyAlignment="1" applyProtection="1">
      <alignment horizontal="center" vertical="center" shrinkToFit="1"/>
      <protection locked="0"/>
    </xf>
    <xf numFmtId="0" fontId="15" fillId="0" borderId="53" xfId="2" applyFont="1" applyBorder="1" applyAlignment="1" applyProtection="1">
      <alignment horizontal="center" vertical="center" shrinkToFit="1"/>
      <protection locked="0"/>
    </xf>
    <xf numFmtId="0" fontId="15" fillId="0" borderId="54" xfId="2" applyFont="1" applyBorder="1" applyAlignment="1" applyProtection="1">
      <alignment horizontal="center" vertical="center" shrinkToFit="1"/>
      <protection locked="0"/>
    </xf>
    <xf numFmtId="0" fontId="15" fillId="0" borderId="55" xfId="2" applyFont="1" applyBorder="1" applyAlignment="1" applyProtection="1">
      <alignment horizontal="center" vertical="center" shrinkToFit="1"/>
      <protection locked="0"/>
    </xf>
    <xf numFmtId="0" fontId="10" fillId="0" borderId="56" xfId="2" quotePrefix="1" applyNumberFormat="1" applyFont="1" applyBorder="1" applyAlignment="1" applyProtection="1">
      <alignment horizontal="center" vertical="center" shrinkToFit="1"/>
      <protection locked="0"/>
    </xf>
    <xf numFmtId="0" fontId="10" fillId="0" borderId="57" xfId="2" applyNumberFormat="1" applyFont="1" applyBorder="1" applyAlignment="1" applyProtection="1">
      <alignment horizontal="center" vertical="center" shrinkToFit="1"/>
      <protection locked="0"/>
    </xf>
    <xf numFmtId="178" fontId="10" fillId="0" borderId="53" xfId="2" quotePrefix="1" applyNumberFormat="1" applyFont="1" applyBorder="1" applyAlignment="1" applyProtection="1">
      <alignment horizontal="center" vertical="center" shrinkToFit="1"/>
      <protection locked="0"/>
    </xf>
    <xf numFmtId="178" fontId="10" fillId="0" borderId="54" xfId="2" applyNumberFormat="1" applyFont="1" applyBorder="1" applyAlignment="1" applyProtection="1">
      <alignment horizontal="center" vertical="center" shrinkToFit="1"/>
      <protection locked="0"/>
    </xf>
    <xf numFmtId="178" fontId="10" fillId="0" borderId="55" xfId="2" applyNumberFormat="1" applyFont="1" applyBorder="1" applyAlignment="1" applyProtection="1">
      <alignment horizontal="center" vertical="center" shrinkToFit="1"/>
      <protection locked="0"/>
    </xf>
    <xf numFmtId="178" fontId="10" fillId="0" borderId="42" xfId="2" applyNumberFormat="1" applyFont="1" applyBorder="1" applyAlignment="1" applyProtection="1">
      <alignment horizontal="center" vertical="center" shrinkToFit="1"/>
      <protection locked="0"/>
    </xf>
    <xf numFmtId="0" fontId="12" fillId="0" borderId="44" xfId="2" applyFont="1" applyBorder="1" applyAlignment="1" applyProtection="1">
      <alignment horizontal="center" vertical="center" shrinkToFit="1"/>
      <protection locked="0"/>
    </xf>
    <xf numFmtId="0" fontId="13" fillId="0" borderId="0" xfId="2" applyFont="1" applyBorder="1" applyAlignment="1" applyProtection="1">
      <alignment horizontal="center" vertical="center" shrinkToFit="1"/>
      <protection locked="0"/>
    </xf>
    <xf numFmtId="0" fontId="13" fillId="0" borderId="0" xfId="2" applyFont="1" applyBorder="1" applyAlignment="1">
      <alignment horizontal="left" vertical="center" shrinkToFit="1"/>
    </xf>
    <xf numFmtId="0" fontId="14" fillId="0" borderId="46" xfId="2" applyFont="1" applyBorder="1" applyAlignment="1">
      <alignment horizontal="center" vertical="center" shrinkToFit="1"/>
    </xf>
    <xf numFmtId="0" fontId="13" fillId="0" borderId="46" xfId="2" applyFont="1" applyBorder="1" applyAlignment="1" applyProtection="1">
      <alignment horizontal="center" vertical="center" shrinkToFit="1"/>
      <protection locked="0"/>
    </xf>
    <xf numFmtId="0" fontId="13" fillId="0" borderId="47" xfId="2" applyFont="1" applyBorder="1" applyAlignment="1" applyProtection="1">
      <alignment horizontal="center" vertical="center" shrinkToFit="1"/>
      <protection locked="0"/>
    </xf>
    <xf numFmtId="56" fontId="22" fillId="0" borderId="44" xfId="2" applyNumberFormat="1" applyFont="1" applyBorder="1" applyAlignment="1" applyProtection="1">
      <alignment horizontal="left" vertical="center" shrinkToFit="1"/>
      <protection locked="0"/>
    </xf>
    <xf numFmtId="56" fontId="22" fillId="0" borderId="0" xfId="2" applyNumberFormat="1" applyFont="1" applyBorder="1" applyAlignment="1" applyProtection="1">
      <alignment horizontal="left" vertical="center" shrinkToFit="1"/>
      <protection locked="0"/>
    </xf>
    <xf numFmtId="56" fontId="22" fillId="0" borderId="45" xfId="2" applyNumberFormat="1" applyFont="1" applyBorder="1" applyAlignment="1" applyProtection="1">
      <alignment horizontal="left" vertical="center" shrinkToFit="1"/>
      <protection locked="0"/>
    </xf>
    <xf numFmtId="56" fontId="22" fillId="0" borderId="84" xfId="2" applyNumberFormat="1" applyFont="1" applyBorder="1" applyAlignment="1" applyProtection="1">
      <alignment horizontal="center" vertical="center" shrinkToFit="1"/>
      <protection locked="0"/>
    </xf>
    <xf numFmtId="56" fontId="22" fillId="0" borderId="85" xfId="2" applyNumberFormat="1" applyFont="1" applyBorder="1" applyAlignment="1" applyProtection="1">
      <alignment horizontal="center" vertical="center" shrinkToFit="1"/>
      <protection locked="0"/>
    </xf>
    <xf numFmtId="56" fontId="22" fillId="0" borderId="71" xfId="2" applyNumberFormat="1" applyFont="1" applyBorder="1" applyAlignment="1" applyProtection="1">
      <alignment horizontal="left" vertical="center" shrinkToFit="1"/>
      <protection locked="0"/>
    </xf>
    <xf numFmtId="56" fontId="22" fillId="0" borderId="72" xfId="2" applyNumberFormat="1" applyFont="1" applyBorder="1" applyAlignment="1" applyProtection="1">
      <alignment horizontal="left" vertical="center" shrinkToFit="1"/>
      <protection locked="0"/>
    </xf>
    <xf numFmtId="56" fontId="22" fillId="0" borderId="73" xfId="2" applyNumberFormat="1" applyFont="1" applyBorder="1" applyAlignment="1" applyProtection="1">
      <alignment horizontal="left" vertical="center" shrinkToFit="1"/>
      <protection locked="0"/>
    </xf>
    <xf numFmtId="56" fontId="21" fillId="0" borderId="41" xfId="2" applyNumberFormat="1" applyFont="1" applyBorder="1" applyAlignment="1" applyProtection="1">
      <alignment horizontal="left" vertical="center" shrinkToFit="1"/>
      <protection locked="0"/>
    </xf>
    <xf numFmtId="56" fontId="21" fillId="0" borderId="42" xfId="2" applyNumberFormat="1" applyFont="1" applyBorder="1" applyAlignment="1" applyProtection="1">
      <alignment horizontal="left" vertical="center" shrinkToFit="1"/>
      <protection locked="0"/>
    </xf>
    <xf numFmtId="56" fontId="21" fillId="0" borderId="43" xfId="2" applyNumberFormat="1" applyFont="1" applyBorder="1" applyAlignment="1" applyProtection="1">
      <alignment horizontal="left" vertical="center" shrinkToFit="1"/>
      <protection locked="0"/>
    </xf>
    <xf numFmtId="0" fontId="10" fillId="0" borderId="65" xfId="2" applyFont="1" applyBorder="1" applyAlignment="1" applyProtection="1">
      <alignment horizontal="center" vertical="center" shrinkToFit="1"/>
      <protection locked="0"/>
    </xf>
    <xf numFmtId="0" fontId="10" fillId="0" borderId="66" xfId="2" applyFont="1" applyBorder="1" applyAlignment="1" applyProtection="1">
      <alignment horizontal="center" vertical="center" shrinkToFit="1"/>
      <protection locked="0"/>
    </xf>
    <xf numFmtId="0" fontId="10" fillId="0" borderId="66" xfId="2" applyFont="1" applyBorder="1" applyAlignment="1">
      <alignment horizontal="center" vertical="center" shrinkToFit="1"/>
    </xf>
    <xf numFmtId="0" fontId="10" fillId="0" borderId="67" xfId="2" applyFont="1" applyBorder="1" applyAlignment="1">
      <alignment horizontal="center" vertical="center" shrinkToFit="1"/>
    </xf>
    <xf numFmtId="179" fontId="10" fillId="0" borderId="67" xfId="2" applyNumberFormat="1" applyFont="1" applyBorder="1" applyAlignment="1" applyProtection="1">
      <alignment vertical="center" shrinkToFit="1"/>
      <protection locked="0"/>
    </xf>
    <xf numFmtId="179" fontId="10" fillId="0" borderId="68" xfId="2" applyNumberFormat="1" applyFont="1" applyBorder="1" applyAlignment="1" applyProtection="1">
      <alignment vertical="center" shrinkToFit="1"/>
      <protection locked="0"/>
    </xf>
    <xf numFmtId="179" fontId="10" fillId="0" borderId="69" xfId="2" applyNumberFormat="1" applyFont="1" applyBorder="1" applyAlignment="1" applyProtection="1">
      <alignment vertical="center" shrinkToFit="1"/>
      <protection locked="0"/>
    </xf>
    <xf numFmtId="176" fontId="19" fillId="0" borderId="41" xfId="2" applyNumberFormat="1" applyFont="1" applyBorder="1" applyAlignment="1" applyProtection="1">
      <alignment vertical="center" shrinkToFit="1"/>
      <protection locked="0"/>
    </xf>
    <xf numFmtId="176" fontId="19" fillId="0" borderId="42" xfId="2" applyNumberFormat="1" applyFont="1" applyBorder="1" applyAlignment="1" applyProtection="1">
      <alignment vertical="center" shrinkToFit="1"/>
      <protection locked="0"/>
    </xf>
    <xf numFmtId="176" fontId="19" fillId="0" borderId="71" xfId="2" applyNumberFormat="1" applyFont="1" applyBorder="1" applyAlignment="1" applyProtection="1">
      <alignment vertical="center" shrinkToFit="1"/>
      <protection locked="0"/>
    </xf>
    <xf numFmtId="176" fontId="19" fillId="0" borderId="72" xfId="2" applyNumberFormat="1" applyFont="1" applyBorder="1" applyAlignment="1" applyProtection="1">
      <alignment vertical="center" shrinkToFit="1"/>
      <protection locked="0"/>
    </xf>
    <xf numFmtId="0" fontId="10" fillId="0" borderId="43" xfId="2" applyFont="1" applyBorder="1" applyAlignment="1">
      <alignment horizontal="center" vertical="center" shrinkToFit="1"/>
    </xf>
    <xf numFmtId="0" fontId="10" fillId="0" borderId="73" xfId="2" applyFont="1" applyBorder="1" applyAlignment="1">
      <alignment horizontal="center" vertical="center" shrinkToFit="1"/>
    </xf>
    <xf numFmtId="0" fontId="10" fillId="0" borderId="70" xfId="2" applyFont="1" applyBorder="1" applyAlignment="1">
      <alignment horizontal="center" vertical="center" shrinkToFit="1"/>
    </xf>
    <xf numFmtId="0" fontId="10" fillId="0" borderId="62" xfId="2" applyFont="1" applyBorder="1" applyAlignment="1">
      <alignment horizontal="center" vertical="center" shrinkToFit="1"/>
    </xf>
    <xf numFmtId="0" fontId="15" fillId="0" borderId="70" xfId="2" applyFont="1" applyBorder="1" applyAlignment="1">
      <alignment horizontal="center" vertical="center" shrinkToFit="1"/>
    </xf>
    <xf numFmtId="0" fontId="15" fillId="0" borderId="62" xfId="2" applyFont="1" applyBorder="1" applyAlignment="1">
      <alignment horizontal="center" vertical="center" shrinkToFit="1"/>
    </xf>
    <xf numFmtId="56" fontId="10" fillId="0" borderId="71" xfId="2" applyNumberFormat="1" applyFont="1" applyBorder="1" applyAlignment="1" applyProtection="1">
      <alignment horizontal="center" vertical="center" shrinkToFit="1"/>
      <protection locked="0"/>
    </xf>
    <xf numFmtId="0" fontId="10" fillId="0" borderId="73" xfId="2" applyFont="1" applyBorder="1" applyAlignment="1" applyProtection="1">
      <alignment horizontal="center" vertical="center" shrinkToFit="1"/>
      <protection locked="0"/>
    </xf>
    <xf numFmtId="0" fontId="10" fillId="0" borderId="58" xfId="2" applyFont="1" applyFill="1" applyBorder="1" applyAlignment="1" applyProtection="1">
      <alignment horizontal="center" vertical="center" shrinkToFit="1"/>
      <protection locked="0"/>
    </xf>
    <xf numFmtId="0" fontId="10" fillId="0" borderId="59" xfId="2" applyFont="1" applyFill="1" applyBorder="1" applyAlignment="1" applyProtection="1">
      <alignment horizontal="center" vertical="center" shrinkToFit="1"/>
      <protection locked="0"/>
    </xf>
    <xf numFmtId="0" fontId="16" fillId="0" borderId="60" xfId="2" applyFont="1" applyBorder="1" applyAlignment="1">
      <alignment horizontal="left" vertical="center" wrapText="1" shrinkToFit="1"/>
    </xf>
    <xf numFmtId="0" fontId="16" fillId="0" borderId="61" xfId="2" applyFont="1" applyBorder="1" applyAlignment="1">
      <alignment horizontal="left" vertical="center" shrinkToFit="1"/>
    </xf>
    <xf numFmtId="0" fontId="16" fillId="0" borderId="62" xfId="2" applyFont="1" applyBorder="1" applyAlignment="1">
      <alignment horizontal="left" vertical="center" shrinkToFit="1"/>
    </xf>
    <xf numFmtId="0" fontId="10" fillId="0" borderId="63" xfId="2" applyFont="1" applyFill="1" applyBorder="1" applyAlignment="1" applyProtection="1">
      <alignment horizontal="center" vertical="center" shrinkToFit="1"/>
      <protection locked="0"/>
    </xf>
    <xf numFmtId="0" fontId="10" fillId="0" borderId="1" xfId="2" applyFont="1" applyFill="1" applyBorder="1" applyAlignment="1" applyProtection="1">
      <alignment horizontal="center" vertical="center" shrinkToFit="1"/>
      <protection locked="0"/>
    </xf>
    <xf numFmtId="0" fontId="17" fillId="0" borderId="5" xfId="2" applyFont="1" applyBorder="1" applyAlignment="1">
      <alignment wrapText="1"/>
    </xf>
    <xf numFmtId="0" fontId="18" fillId="0" borderId="6" xfId="2" applyFont="1" applyBorder="1" applyAlignment="1"/>
    <xf numFmtId="0" fontId="18" fillId="0" borderId="64" xfId="2" applyFont="1" applyBorder="1" applyAlignment="1"/>
  </cellXfs>
  <cellStyles count="3"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125505</xdr:colOff>
      <xdr:row>6</xdr:row>
      <xdr:rowOff>35860</xdr:rowOff>
    </xdr:from>
    <xdr:to>
      <xdr:col>40</xdr:col>
      <xdr:colOff>205197</xdr:colOff>
      <xdr:row>46</xdr:row>
      <xdr:rowOff>71719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2681" y="1165413"/>
          <a:ext cx="6471528" cy="10076330"/>
        </a:xfrm>
        <a:prstGeom prst="rect">
          <a:avLst/>
        </a:prstGeom>
      </xdr:spPr>
    </xdr:pic>
    <xdr:clientData/>
  </xdr:twoCellAnchor>
  <xdr:twoCellAnchor>
    <xdr:from>
      <xdr:col>30</xdr:col>
      <xdr:colOff>63568</xdr:colOff>
      <xdr:row>6</xdr:row>
      <xdr:rowOff>163810</xdr:rowOff>
    </xdr:from>
    <xdr:to>
      <xdr:col>31</xdr:col>
      <xdr:colOff>126320</xdr:colOff>
      <xdr:row>7</xdr:row>
      <xdr:rowOff>233899</xdr:rowOff>
    </xdr:to>
    <xdr:sp macro="" textlink="">
      <xdr:nvSpPr>
        <xdr:cNvPr id="3" name="正方形/長方形 2"/>
        <xdr:cNvSpPr/>
      </xdr:nvSpPr>
      <xdr:spPr>
        <a:xfrm>
          <a:off x="8203521" y="1293363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260792</xdr:colOff>
      <xdr:row>8</xdr:row>
      <xdr:rowOff>110022</xdr:rowOff>
    </xdr:from>
    <xdr:to>
      <xdr:col>37</xdr:col>
      <xdr:colOff>45638</xdr:colOff>
      <xdr:row>9</xdr:row>
      <xdr:rowOff>180111</xdr:rowOff>
    </xdr:to>
    <xdr:sp macro="" textlink="">
      <xdr:nvSpPr>
        <xdr:cNvPr id="5" name="正方形/長方形 4"/>
        <xdr:cNvSpPr/>
      </xdr:nvSpPr>
      <xdr:spPr>
        <a:xfrm>
          <a:off x="9790274" y="1741598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816</xdr:colOff>
      <xdr:row>11</xdr:row>
      <xdr:rowOff>47270</xdr:rowOff>
    </xdr:from>
    <xdr:to>
      <xdr:col>19</xdr:col>
      <xdr:colOff>63568</xdr:colOff>
      <xdr:row>12</xdr:row>
      <xdr:rowOff>117359</xdr:rowOff>
    </xdr:to>
    <xdr:sp macro="" textlink="">
      <xdr:nvSpPr>
        <xdr:cNvPr id="6" name="正方形/長方形 5"/>
        <xdr:cNvSpPr/>
      </xdr:nvSpPr>
      <xdr:spPr>
        <a:xfrm>
          <a:off x="4805898" y="2431882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817</xdr:colOff>
      <xdr:row>13</xdr:row>
      <xdr:rowOff>163811</xdr:rowOff>
    </xdr:from>
    <xdr:to>
      <xdr:col>19</xdr:col>
      <xdr:colOff>63569</xdr:colOff>
      <xdr:row>14</xdr:row>
      <xdr:rowOff>233900</xdr:rowOff>
    </xdr:to>
    <xdr:sp macro="" textlink="">
      <xdr:nvSpPr>
        <xdr:cNvPr id="7" name="正方形/長方形 6"/>
        <xdr:cNvSpPr/>
      </xdr:nvSpPr>
      <xdr:spPr>
        <a:xfrm>
          <a:off x="4805899" y="3050446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9782</xdr:colOff>
      <xdr:row>11</xdr:row>
      <xdr:rowOff>65198</xdr:rowOff>
    </xdr:from>
    <xdr:to>
      <xdr:col>24</xdr:col>
      <xdr:colOff>72534</xdr:colOff>
      <xdr:row>12</xdr:row>
      <xdr:rowOff>135287</xdr:rowOff>
    </xdr:to>
    <xdr:sp macro="" textlink="">
      <xdr:nvSpPr>
        <xdr:cNvPr id="8" name="正方形/長方形 7"/>
        <xdr:cNvSpPr/>
      </xdr:nvSpPr>
      <xdr:spPr>
        <a:xfrm>
          <a:off x="6204394" y="2449810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9783</xdr:colOff>
      <xdr:row>13</xdr:row>
      <xdr:rowOff>154846</xdr:rowOff>
    </xdr:from>
    <xdr:to>
      <xdr:col>24</xdr:col>
      <xdr:colOff>72535</xdr:colOff>
      <xdr:row>14</xdr:row>
      <xdr:rowOff>224935</xdr:rowOff>
    </xdr:to>
    <xdr:sp macro="" textlink="">
      <xdr:nvSpPr>
        <xdr:cNvPr id="9" name="正方形/長方形 8"/>
        <xdr:cNvSpPr/>
      </xdr:nvSpPr>
      <xdr:spPr>
        <a:xfrm>
          <a:off x="6204395" y="3041481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9788</xdr:colOff>
      <xdr:row>16</xdr:row>
      <xdr:rowOff>74165</xdr:rowOff>
    </xdr:from>
    <xdr:to>
      <xdr:col>24</xdr:col>
      <xdr:colOff>72540</xdr:colOff>
      <xdr:row>17</xdr:row>
      <xdr:rowOff>144255</xdr:rowOff>
    </xdr:to>
    <xdr:sp macro="" textlink="">
      <xdr:nvSpPr>
        <xdr:cNvPr id="14" name="正方形/長方形 13"/>
        <xdr:cNvSpPr/>
      </xdr:nvSpPr>
      <xdr:spPr>
        <a:xfrm>
          <a:off x="6204400" y="3713836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824</xdr:colOff>
      <xdr:row>18</xdr:row>
      <xdr:rowOff>20379</xdr:rowOff>
    </xdr:from>
    <xdr:to>
      <xdr:col>24</xdr:col>
      <xdr:colOff>63576</xdr:colOff>
      <xdr:row>19</xdr:row>
      <xdr:rowOff>90468</xdr:rowOff>
    </xdr:to>
    <xdr:sp macro="" textlink="">
      <xdr:nvSpPr>
        <xdr:cNvPr id="15" name="正方形/長方形 14"/>
        <xdr:cNvSpPr/>
      </xdr:nvSpPr>
      <xdr:spPr>
        <a:xfrm>
          <a:off x="6195436" y="4162073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144260</xdr:colOff>
      <xdr:row>21</xdr:row>
      <xdr:rowOff>29344</xdr:rowOff>
    </xdr:from>
    <xdr:to>
      <xdr:col>20</xdr:col>
      <xdr:colOff>207012</xdr:colOff>
      <xdr:row>22</xdr:row>
      <xdr:rowOff>99433</xdr:rowOff>
    </xdr:to>
    <xdr:sp macro="" textlink="">
      <xdr:nvSpPr>
        <xdr:cNvPr id="16" name="正方形/長方形 15"/>
        <xdr:cNvSpPr/>
      </xdr:nvSpPr>
      <xdr:spPr>
        <a:xfrm>
          <a:off x="5227248" y="4924073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9792</xdr:colOff>
      <xdr:row>24</xdr:row>
      <xdr:rowOff>244498</xdr:rowOff>
    </xdr:from>
    <xdr:to>
      <xdr:col>22</xdr:col>
      <xdr:colOff>72544</xdr:colOff>
      <xdr:row>26</xdr:row>
      <xdr:rowOff>63576</xdr:rowOff>
    </xdr:to>
    <xdr:sp macro="" textlink="">
      <xdr:nvSpPr>
        <xdr:cNvPr id="17" name="正方形/長方形 16"/>
        <xdr:cNvSpPr/>
      </xdr:nvSpPr>
      <xdr:spPr>
        <a:xfrm>
          <a:off x="5648592" y="5892263"/>
          <a:ext cx="340658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439147</xdr:colOff>
      <xdr:row>45</xdr:row>
      <xdr:rowOff>87141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44747" cy="10145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74" t="s">
        <v>0</v>
      </c>
      <c r="C2" s="157"/>
      <c r="D2" s="157"/>
      <c r="E2" s="157"/>
      <c r="F2" s="157"/>
      <c r="G2" s="157"/>
      <c r="H2" s="157" t="s">
        <v>17</v>
      </c>
      <c r="I2" s="157"/>
      <c r="J2" s="157"/>
      <c r="K2" s="157"/>
      <c r="L2" s="157" t="s">
        <v>198</v>
      </c>
      <c r="M2" s="157"/>
      <c r="N2" s="157"/>
      <c r="O2" s="157"/>
      <c r="P2" s="157"/>
      <c r="Q2" s="157"/>
      <c r="R2" s="157" t="s">
        <v>2</v>
      </c>
      <c r="S2" s="157"/>
      <c r="T2" s="157"/>
      <c r="U2" s="157"/>
      <c r="V2" s="157"/>
      <c r="W2" s="157"/>
      <c r="X2" s="169" t="s">
        <v>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1"/>
      <c r="AK2" s="169" t="s">
        <v>31</v>
      </c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57" t="s">
        <v>5</v>
      </c>
      <c r="AY2" s="157"/>
      <c r="AZ2" s="157"/>
      <c r="BA2" s="157"/>
      <c r="BB2" s="157" t="s">
        <v>4</v>
      </c>
      <c r="BC2" s="157"/>
      <c r="BD2" s="157"/>
      <c r="BE2" s="157"/>
      <c r="BF2" s="157" t="s">
        <v>6</v>
      </c>
      <c r="BG2" s="157"/>
      <c r="BH2" s="157"/>
      <c r="BI2" s="157"/>
      <c r="BJ2" s="157" t="s">
        <v>7</v>
      </c>
      <c r="BK2" s="157"/>
      <c r="BL2" s="157"/>
      <c r="BM2" s="158"/>
      <c r="BN2" s="14"/>
    </row>
    <row r="3" spans="1:66" ht="20.100000000000001" customHeight="1" x14ac:dyDescent="0.45">
      <c r="A3" s="8"/>
      <c r="B3" s="172" t="s">
        <v>197</v>
      </c>
      <c r="C3" s="160"/>
      <c r="D3" s="160"/>
      <c r="E3" s="160"/>
      <c r="F3" s="160"/>
      <c r="G3" s="160"/>
      <c r="H3" s="160" t="str">
        <f ca="1">LEFT($X$3,FIND("_",$X$3)-1)</f>
        <v>MH1300</v>
      </c>
      <c r="I3" s="160"/>
      <c r="J3" s="160"/>
      <c r="K3" s="160"/>
      <c r="L3" s="160" t="s">
        <v>197</v>
      </c>
      <c r="M3" s="160"/>
      <c r="N3" s="160"/>
      <c r="O3" s="160"/>
      <c r="P3" s="160"/>
      <c r="Q3" s="160"/>
      <c r="R3" s="173" t="str">
        <f ca="1">MID($X$3,FIND("_",$X$3,FIND("_",$X$3)+1)+1,LEN($X$3)-FIND("_",$X$3,FIND("_",$X$3)+1))</f>
        <v>帳票設計書</v>
      </c>
      <c r="S3" s="160"/>
      <c r="T3" s="160"/>
      <c r="U3" s="160"/>
      <c r="V3" s="160"/>
      <c r="W3" s="160"/>
      <c r="X3" s="163" t="str">
        <f ca="1">REPLACE(LEFT(CELL("filename",$B$2),FIND(".x",CELL("filename",$B$2))-1),1,FIND("[",CELL("filename",$B$2)),)</f>
        <v>MH1300_施工依頼表_帳票設計書</v>
      </c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5"/>
      <c r="AK3" s="163" t="str">
        <f ca="1">MID($X$3,FIND("_",$X$3)+1,FIND("_",$X$3,FIND("_",$X$3)+1)-FIND("_",$X$3)-1)</f>
        <v>施工依頼表</v>
      </c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5"/>
      <c r="AX3" s="159">
        <v>45583</v>
      </c>
      <c r="AY3" s="160"/>
      <c r="AZ3" s="160"/>
      <c r="BA3" s="160"/>
      <c r="BB3" s="160" t="s">
        <v>199</v>
      </c>
      <c r="BC3" s="160"/>
      <c r="BD3" s="160"/>
      <c r="BE3" s="160"/>
      <c r="BF3" s="159">
        <v>45583</v>
      </c>
      <c r="BG3" s="160"/>
      <c r="BH3" s="160"/>
      <c r="BI3" s="160"/>
      <c r="BJ3" s="160" t="s">
        <v>199</v>
      </c>
      <c r="BK3" s="160"/>
      <c r="BL3" s="160"/>
      <c r="BM3" s="162"/>
      <c r="BN3" s="14"/>
    </row>
    <row r="4" spans="1:66" ht="20.100000000000001" customHeight="1" thickBot="1" x14ac:dyDescent="0.5">
      <c r="A4" s="8"/>
      <c r="B4" s="165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56" t="s">
        <v>8</v>
      </c>
      <c r="D8" s="156"/>
      <c r="E8" s="156"/>
      <c r="F8" s="156"/>
      <c r="G8" s="156" t="s">
        <v>9</v>
      </c>
      <c r="H8" s="156"/>
      <c r="I8" s="156"/>
      <c r="J8" s="156"/>
      <c r="K8" s="156" t="s">
        <v>10</v>
      </c>
      <c r="L8" s="156"/>
      <c r="M8" s="156"/>
      <c r="N8" s="156"/>
      <c r="O8" s="156" t="s">
        <v>11</v>
      </c>
      <c r="P8" s="156"/>
      <c r="Q8" s="156"/>
      <c r="R8" s="156"/>
      <c r="S8" s="156"/>
      <c r="T8" s="156"/>
      <c r="U8" s="156"/>
      <c r="V8" s="156"/>
      <c r="W8" s="156"/>
      <c r="X8" s="156"/>
      <c r="Y8" s="156" t="s">
        <v>12</v>
      </c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7"/>
      <c r="BN8" s="14"/>
    </row>
    <row r="9" spans="1:66" ht="20.100000000000001" customHeight="1" x14ac:dyDescent="0.45">
      <c r="A9" s="8"/>
      <c r="B9" s="7"/>
      <c r="C9" s="155">
        <v>45583</v>
      </c>
      <c r="D9" s="153"/>
      <c r="E9" s="153"/>
      <c r="F9" s="154"/>
      <c r="G9" s="149" t="s">
        <v>16</v>
      </c>
      <c r="H9" s="150"/>
      <c r="I9" s="150"/>
      <c r="J9" s="151"/>
      <c r="K9" s="152" t="s">
        <v>199</v>
      </c>
      <c r="L9" s="153"/>
      <c r="M9" s="153"/>
      <c r="N9" s="154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5"/>
      <c r="D10" s="153"/>
      <c r="E10" s="153"/>
      <c r="F10" s="154"/>
      <c r="G10" s="149"/>
      <c r="H10" s="150"/>
      <c r="I10" s="150"/>
      <c r="J10" s="151"/>
      <c r="K10" s="152"/>
      <c r="L10" s="153"/>
      <c r="M10" s="153"/>
      <c r="N10" s="15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5"/>
      <c r="D11" s="153"/>
      <c r="E11" s="153"/>
      <c r="F11" s="154"/>
      <c r="G11" s="149"/>
      <c r="H11" s="150"/>
      <c r="I11" s="150"/>
      <c r="J11" s="151"/>
      <c r="K11" s="152"/>
      <c r="L11" s="153"/>
      <c r="M11" s="153"/>
      <c r="N11" s="15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5"/>
      <c r="D36" s="153"/>
      <c r="E36" s="153"/>
      <c r="F36" s="154"/>
      <c r="G36" s="149"/>
      <c r="H36" s="150"/>
      <c r="I36" s="150"/>
      <c r="J36" s="151"/>
      <c r="K36" s="152"/>
      <c r="L36" s="153"/>
      <c r="M36" s="153"/>
      <c r="N36" s="15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5"/>
      <c r="D37" s="153"/>
      <c r="E37" s="153"/>
      <c r="F37" s="154"/>
      <c r="G37" s="149"/>
      <c r="H37" s="150"/>
      <c r="I37" s="150"/>
      <c r="J37" s="151"/>
      <c r="K37" s="152"/>
      <c r="L37" s="153"/>
      <c r="M37" s="153"/>
      <c r="N37" s="15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5"/>
      <c r="D38" s="153"/>
      <c r="E38" s="153"/>
      <c r="F38" s="154"/>
      <c r="G38" s="149"/>
      <c r="H38" s="150"/>
      <c r="I38" s="150"/>
      <c r="J38" s="151"/>
      <c r="K38" s="152"/>
      <c r="L38" s="153"/>
      <c r="M38" s="153"/>
      <c r="N38" s="15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5"/>
      <c r="D39" s="153"/>
      <c r="E39" s="153"/>
      <c r="F39" s="154"/>
      <c r="G39" s="149"/>
      <c r="H39" s="150"/>
      <c r="I39" s="150"/>
      <c r="J39" s="151"/>
      <c r="K39" s="152"/>
      <c r="L39" s="153"/>
      <c r="M39" s="153"/>
      <c r="N39" s="15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5"/>
      <c r="D40" s="153"/>
      <c r="E40" s="153"/>
      <c r="F40" s="154"/>
      <c r="G40" s="149"/>
      <c r="H40" s="150"/>
      <c r="I40" s="150"/>
      <c r="J40" s="151"/>
      <c r="K40" s="152"/>
      <c r="L40" s="153"/>
      <c r="M40" s="153"/>
      <c r="N40" s="15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5"/>
      <c r="D41" s="153"/>
      <c r="E41" s="153"/>
      <c r="F41" s="154"/>
      <c r="G41" s="149"/>
      <c r="H41" s="150"/>
      <c r="I41" s="150"/>
      <c r="J41" s="151"/>
      <c r="K41" s="152"/>
      <c r="L41" s="153"/>
      <c r="M41" s="153"/>
      <c r="N41" s="15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5"/>
      <c r="D42" s="153"/>
      <c r="E42" s="153"/>
      <c r="F42" s="154"/>
      <c r="G42" s="149"/>
      <c r="H42" s="150"/>
      <c r="I42" s="150"/>
      <c r="J42" s="151"/>
      <c r="K42" s="152"/>
      <c r="L42" s="153"/>
      <c r="M42" s="153"/>
      <c r="N42" s="15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5"/>
      <c r="D43" s="153"/>
      <c r="E43" s="153"/>
      <c r="F43" s="154"/>
      <c r="G43" s="149"/>
      <c r="H43" s="150"/>
      <c r="I43" s="150"/>
      <c r="J43" s="151"/>
      <c r="K43" s="152"/>
      <c r="L43" s="153"/>
      <c r="M43" s="153"/>
      <c r="N43" s="15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5"/>
      <c r="D44" s="153"/>
      <c r="E44" s="153"/>
      <c r="F44" s="154"/>
      <c r="G44" s="149"/>
      <c r="H44" s="150"/>
      <c r="I44" s="150"/>
      <c r="J44" s="151"/>
      <c r="K44" s="152"/>
      <c r="L44" s="153"/>
      <c r="M44" s="153"/>
      <c r="N44" s="15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5"/>
      <c r="D45" s="153"/>
      <c r="E45" s="153"/>
      <c r="F45" s="154"/>
      <c r="G45" s="149"/>
      <c r="H45" s="150"/>
      <c r="I45" s="150"/>
      <c r="J45" s="151"/>
      <c r="K45" s="152"/>
      <c r="L45" s="153"/>
      <c r="M45" s="153"/>
      <c r="N45" s="15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5"/>
      <c r="D46" s="153"/>
      <c r="E46" s="153"/>
      <c r="F46" s="154"/>
      <c r="G46" s="149"/>
      <c r="H46" s="150"/>
      <c r="I46" s="150"/>
      <c r="J46" s="151"/>
      <c r="K46" s="152"/>
      <c r="L46" s="153"/>
      <c r="M46" s="153"/>
      <c r="N46" s="15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5"/>
      <c r="D47" s="153"/>
      <c r="E47" s="153"/>
      <c r="F47" s="154"/>
      <c r="G47" s="149"/>
      <c r="H47" s="150"/>
      <c r="I47" s="150"/>
      <c r="J47" s="151"/>
      <c r="K47" s="152"/>
      <c r="L47" s="153"/>
      <c r="M47" s="153"/>
      <c r="N47" s="15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74" t="s">
        <v>0</v>
      </c>
      <c r="C2" s="157"/>
      <c r="D2" s="157"/>
      <c r="E2" s="157"/>
      <c r="F2" s="157"/>
      <c r="G2" s="157"/>
      <c r="H2" s="157" t="s">
        <v>17</v>
      </c>
      <c r="I2" s="157"/>
      <c r="J2" s="157"/>
      <c r="K2" s="157"/>
      <c r="L2" s="157" t="s">
        <v>198</v>
      </c>
      <c r="M2" s="157"/>
      <c r="N2" s="157"/>
      <c r="O2" s="157"/>
      <c r="P2" s="157"/>
      <c r="Q2" s="157"/>
      <c r="R2" s="157" t="s">
        <v>2</v>
      </c>
      <c r="S2" s="157"/>
      <c r="T2" s="157"/>
      <c r="U2" s="157"/>
      <c r="V2" s="157"/>
      <c r="W2" s="157"/>
      <c r="X2" s="169" t="s">
        <v>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1"/>
      <c r="AK2" s="169" t="s">
        <v>32</v>
      </c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57" t="s">
        <v>5</v>
      </c>
      <c r="AY2" s="157"/>
      <c r="AZ2" s="157"/>
      <c r="BA2" s="157"/>
      <c r="BB2" s="157" t="s">
        <v>4</v>
      </c>
      <c r="BC2" s="157"/>
      <c r="BD2" s="157"/>
      <c r="BE2" s="157"/>
      <c r="BF2" s="157" t="s">
        <v>6</v>
      </c>
      <c r="BG2" s="157"/>
      <c r="BH2" s="157"/>
      <c r="BI2" s="157"/>
      <c r="BJ2" s="157" t="s">
        <v>7</v>
      </c>
      <c r="BK2" s="157"/>
      <c r="BL2" s="157"/>
      <c r="BM2" s="158"/>
      <c r="BN2" s="35"/>
    </row>
    <row r="3" spans="1:66" ht="20.100000000000001" customHeight="1" x14ac:dyDescent="0.45">
      <c r="A3" s="32"/>
      <c r="B3" s="172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MH1300</v>
      </c>
      <c r="I3" s="160"/>
      <c r="J3" s="160"/>
      <c r="K3" s="160"/>
      <c r="L3" s="160" t="str">
        <f>変更履歴!L3</f>
        <v>受発注システム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3" t="str">
        <f ca="1">変更履歴!X3</f>
        <v>MH1300_施工依頼表_帳票設計書</v>
      </c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5"/>
      <c r="AK3" s="163" t="str">
        <f ca="1">変更履歴!AK3</f>
        <v>施工依頼表</v>
      </c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5"/>
      <c r="AX3" s="159">
        <f>変更履歴!AX3</f>
        <v>45583</v>
      </c>
      <c r="AY3" s="159"/>
      <c r="AZ3" s="159"/>
      <c r="BA3" s="159"/>
      <c r="BB3" s="160" t="str">
        <f>変更履歴!BB3</f>
        <v>大谷</v>
      </c>
      <c r="BC3" s="160"/>
      <c r="BD3" s="160"/>
      <c r="BE3" s="160"/>
      <c r="BF3" s="159">
        <f>変更履歴!BF3</f>
        <v>45583</v>
      </c>
      <c r="BG3" s="159"/>
      <c r="BH3" s="159"/>
      <c r="BI3" s="159"/>
      <c r="BJ3" s="160" t="str">
        <f>変更履歴!BJ3</f>
        <v>大谷</v>
      </c>
      <c r="BK3" s="160"/>
      <c r="BL3" s="160"/>
      <c r="BM3" s="162"/>
      <c r="BN3" s="35"/>
    </row>
    <row r="4" spans="1:66" ht="20.100000000000001" customHeight="1" thickBot="1" x14ac:dyDescent="0.5">
      <c r="A4" s="32"/>
      <c r="B4" s="165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75"/>
      <c r="AY4" s="175"/>
      <c r="AZ4" s="175"/>
      <c r="BA4" s="175"/>
      <c r="BB4" s="161"/>
      <c r="BC4" s="161"/>
      <c r="BD4" s="161"/>
      <c r="BE4" s="161"/>
      <c r="BF4" s="175"/>
      <c r="BG4" s="175"/>
      <c r="BH4" s="175"/>
      <c r="BI4" s="175"/>
      <c r="BJ4" s="161"/>
      <c r="BK4" s="161"/>
      <c r="BL4" s="161"/>
      <c r="BM4" s="163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施工依頼表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111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110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109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107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107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107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108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195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4" t="s">
        <v>0</v>
      </c>
      <c r="C2" s="157"/>
      <c r="D2" s="157"/>
      <c r="E2" s="157"/>
      <c r="F2" s="157"/>
      <c r="G2" s="157"/>
      <c r="H2" s="157" t="s">
        <v>17</v>
      </c>
      <c r="I2" s="157"/>
      <c r="J2" s="157"/>
      <c r="K2" s="157"/>
      <c r="L2" s="157" t="s">
        <v>198</v>
      </c>
      <c r="M2" s="157"/>
      <c r="N2" s="157"/>
      <c r="O2" s="157"/>
      <c r="P2" s="157"/>
      <c r="Q2" s="157"/>
      <c r="R2" s="157" t="s">
        <v>2</v>
      </c>
      <c r="S2" s="157"/>
      <c r="T2" s="157"/>
      <c r="U2" s="157"/>
      <c r="V2" s="157"/>
      <c r="W2" s="157"/>
      <c r="X2" s="169" t="s">
        <v>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1"/>
      <c r="AK2" s="169" t="s">
        <v>32</v>
      </c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57" t="s">
        <v>5</v>
      </c>
      <c r="AY2" s="157"/>
      <c r="AZ2" s="157"/>
      <c r="BA2" s="157"/>
      <c r="BB2" s="157" t="s">
        <v>4</v>
      </c>
      <c r="BC2" s="157"/>
      <c r="BD2" s="157"/>
      <c r="BE2" s="157"/>
      <c r="BF2" s="157" t="s">
        <v>6</v>
      </c>
      <c r="BG2" s="157"/>
      <c r="BH2" s="157"/>
      <c r="BI2" s="157"/>
      <c r="BJ2" s="157" t="s">
        <v>7</v>
      </c>
      <c r="BK2" s="157"/>
      <c r="BL2" s="157"/>
      <c r="BM2" s="158"/>
      <c r="BN2" s="15"/>
    </row>
    <row r="3" spans="1:66" ht="20.100000000000001" customHeight="1" x14ac:dyDescent="0.45">
      <c r="A3" s="9"/>
      <c r="B3" s="172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MH1300</v>
      </c>
      <c r="I3" s="160"/>
      <c r="J3" s="160"/>
      <c r="K3" s="160"/>
      <c r="L3" s="160" t="str">
        <f>変更履歴!L3</f>
        <v>受発注システム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3" t="str">
        <f ca="1">変更履歴!X3</f>
        <v>MH1300_施工依頼表_帳票設計書</v>
      </c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5"/>
      <c r="AK3" s="163" t="str">
        <f ca="1">変更履歴!AK3</f>
        <v>施工依頼表</v>
      </c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5"/>
      <c r="AX3" s="159">
        <f>変更履歴!AX3</f>
        <v>45583</v>
      </c>
      <c r="AY3" s="159"/>
      <c r="AZ3" s="159"/>
      <c r="BA3" s="159"/>
      <c r="BB3" s="160" t="str">
        <f>変更履歴!BB3</f>
        <v>大谷</v>
      </c>
      <c r="BC3" s="160"/>
      <c r="BD3" s="160"/>
      <c r="BE3" s="160"/>
      <c r="BF3" s="159">
        <f>変更履歴!BF3</f>
        <v>45583</v>
      </c>
      <c r="BG3" s="159"/>
      <c r="BH3" s="159"/>
      <c r="BI3" s="159"/>
      <c r="BJ3" s="160" t="str">
        <f>変更履歴!BJ3</f>
        <v>大谷</v>
      </c>
      <c r="BK3" s="160"/>
      <c r="BL3" s="160"/>
      <c r="BM3" s="162"/>
      <c r="BN3" s="15"/>
    </row>
    <row r="4" spans="1:66" ht="20.100000000000001" customHeight="1" thickBot="1" x14ac:dyDescent="0.5">
      <c r="A4" s="9"/>
      <c r="B4" s="165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75"/>
      <c r="AY4" s="175"/>
      <c r="AZ4" s="175"/>
      <c r="BA4" s="175"/>
      <c r="BB4" s="161"/>
      <c r="BC4" s="161"/>
      <c r="BD4" s="161"/>
      <c r="BE4" s="161"/>
      <c r="BF4" s="175"/>
      <c r="BG4" s="175"/>
      <c r="BH4" s="175"/>
      <c r="BI4" s="175"/>
      <c r="BJ4" s="161"/>
      <c r="BK4" s="161"/>
      <c r="BL4" s="161"/>
      <c r="BM4" s="163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7" width="5" style="6" customWidth="1"/>
    <col min="28" max="43" width="5.5" style="6" customWidth="1"/>
    <col min="44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74" t="s">
        <v>0</v>
      </c>
      <c r="C2" s="157"/>
      <c r="D2" s="157"/>
      <c r="E2" s="157"/>
      <c r="F2" s="157"/>
      <c r="G2" s="157"/>
      <c r="H2" s="157" t="s">
        <v>17</v>
      </c>
      <c r="I2" s="157"/>
      <c r="J2" s="157"/>
      <c r="K2" s="157"/>
      <c r="L2" s="157" t="s">
        <v>198</v>
      </c>
      <c r="M2" s="157"/>
      <c r="N2" s="157"/>
      <c r="O2" s="157"/>
      <c r="P2" s="157"/>
      <c r="Q2" s="157"/>
      <c r="R2" s="157" t="s">
        <v>2</v>
      </c>
      <c r="S2" s="157"/>
      <c r="T2" s="157"/>
      <c r="U2" s="157"/>
      <c r="V2" s="157"/>
      <c r="W2" s="157"/>
      <c r="X2" s="169" t="s">
        <v>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1"/>
      <c r="AK2" s="169" t="s">
        <v>32</v>
      </c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57" t="s">
        <v>5</v>
      </c>
      <c r="AY2" s="157"/>
      <c r="AZ2" s="157"/>
      <c r="BA2" s="157"/>
      <c r="BB2" s="157" t="s">
        <v>4</v>
      </c>
      <c r="BC2" s="157"/>
      <c r="BD2" s="157"/>
      <c r="BE2" s="157"/>
      <c r="BF2" s="157" t="s">
        <v>6</v>
      </c>
      <c r="BG2" s="157"/>
      <c r="BH2" s="157"/>
      <c r="BI2" s="157"/>
      <c r="BJ2" s="157" t="s">
        <v>7</v>
      </c>
      <c r="BK2" s="157"/>
      <c r="BL2" s="157"/>
      <c r="BM2" s="158"/>
      <c r="BN2" s="15"/>
    </row>
    <row r="3" spans="1:85" ht="20.100000000000001" customHeight="1" x14ac:dyDescent="0.45">
      <c r="A3" s="9"/>
      <c r="B3" s="172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MH1300</v>
      </c>
      <c r="I3" s="160"/>
      <c r="J3" s="160"/>
      <c r="K3" s="160"/>
      <c r="L3" s="160" t="str">
        <f>変更履歴!L3</f>
        <v>受発注システム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3" t="str">
        <f ca="1">変更履歴!X3</f>
        <v>MH1300_施工依頼表_帳票設計書</v>
      </c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5"/>
      <c r="AK3" s="163" t="str">
        <f ca="1">変更履歴!AK3</f>
        <v>施工依頼表</v>
      </c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5"/>
      <c r="AX3" s="159">
        <f>変更履歴!AX3</f>
        <v>45583</v>
      </c>
      <c r="AY3" s="159"/>
      <c r="AZ3" s="159"/>
      <c r="BA3" s="159"/>
      <c r="BB3" s="160" t="str">
        <f>変更履歴!BB3</f>
        <v>大谷</v>
      </c>
      <c r="BC3" s="160"/>
      <c r="BD3" s="160"/>
      <c r="BE3" s="160"/>
      <c r="BF3" s="159">
        <f>変更履歴!BF3</f>
        <v>45583</v>
      </c>
      <c r="BG3" s="159"/>
      <c r="BH3" s="159"/>
      <c r="BI3" s="159"/>
      <c r="BJ3" s="160" t="str">
        <f>変更履歴!BJ3</f>
        <v>大谷</v>
      </c>
      <c r="BK3" s="160"/>
      <c r="BL3" s="160"/>
      <c r="BM3" s="162"/>
      <c r="BN3" s="15"/>
    </row>
    <row r="4" spans="1:85" ht="20.100000000000001" customHeight="1" thickBot="1" x14ac:dyDescent="0.5">
      <c r="A4" s="9"/>
      <c r="B4" s="165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75"/>
      <c r="AY4" s="175"/>
      <c r="AZ4" s="175"/>
      <c r="BA4" s="175"/>
      <c r="BB4" s="161"/>
      <c r="BC4" s="161"/>
      <c r="BD4" s="161"/>
      <c r="BE4" s="161"/>
      <c r="BF4" s="175"/>
      <c r="BG4" s="175"/>
      <c r="BH4" s="175"/>
      <c r="BI4" s="175"/>
      <c r="BJ4" s="161"/>
      <c r="BK4" s="161"/>
      <c r="BL4" s="161"/>
      <c r="BM4" s="163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7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79" t="s">
        <v>20</v>
      </c>
      <c r="F10" s="180"/>
      <c r="G10" s="180"/>
      <c r="H10" s="180"/>
      <c r="I10" s="180"/>
      <c r="J10" s="180"/>
      <c r="K10" s="180"/>
      <c r="L10" s="181"/>
      <c r="M10" s="182" t="s">
        <v>24</v>
      </c>
      <c r="N10" s="183"/>
      <c r="O10" s="183"/>
      <c r="P10" s="182" t="s">
        <v>33</v>
      </c>
      <c r="Q10" s="183"/>
      <c r="R10" s="183"/>
      <c r="S10" s="182" t="s">
        <v>34</v>
      </c>
      <c r="T10" s="183"/>
      <c r="U10" s="183"/>
      <c r="V10" s="182" t="s">
        <v>36</v>
      </c>
      <c r="W10" s="183"/>
      <c r="X10" s="183"/>
      <c r="Y10" s="183"/>
      <c r="Z10" s="183"/>
      <c r="AA10" s="190"/>
      <c r="AB10" s="182" t="s">
        <v>35</v>
      </c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90"/>
      <c r="AR10" s="182" t="s">
        <v>42</v>
      </c>
      <c r="AS10" s="183"/>
      <c r="AT10" s="183"/>
      <c r="AU10" s="183"/>
      <c r="AV10" s="183"/>
      <c r="AW10" s="190"/>
      <c r="AX10" s="182" t="s">
        <v>43</v>
      </c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92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76" t="s">
        <v>83</v>
      </c>
      <c r="F11" s="177"/>
      <c r="G11" s="177"/>
      <c r="H11" s="177"/>
      <c r="I11" s="177"/>
      <c r="J11" s="177"/>
      <c r="K11" s="177"/>
      <c r="L11" s="178"/>
      <c r="M11" s="152" t="s">
        <v>8</v>
      </c>
      <c r="N11" s="153"/>
      <c r="O11" s="153"/>
      <c r="P11" s="152" t="s">
        <v>97</v>
      </c>
      <c r="Q11" s="153"/>
      <c r="R11" s="153"/>
      <c r="S11" s="152" t="s">
        <v>99</v>
      </c>
      <c r="T11" s="153"/>
      <c r="U11" s="153"/>
      <c r="V11" s="187" t="s">
        <v>93</v>
      </c>
      <c r="W11" s="188"/>
      <c r="X11" s="188"/>
      <c r="Y11" s="188"/>
      <c r="Z11" s="188"/>
      <c r="AA11" s="189"/>
      <c r="AB11" s="184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6"/>
      <c r="AR11" s="152" t="s">
        <v>105</v>
      </c>
      <c r="AS11" s="153"/>
      <c r="AT11" s="153"/>
      <c r="AU11" s="153"/>
      <c r="AV11" s="153"/>
      <c r="AW11" s="154"/>
      <c r="AX11" s="187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9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76" t="s">
        <v>84</v>
      </c>
      <c r="F12" s="177"/>
      <c r="G12" s="177"/>
      <c r="H12" s="177"/>
      <c r="I12" s="177"/>
      <c r="J12" s="177"/>
      <c r="K12" s="177"/>
      <c r="L12" s="178"/>
      <c r="M12" s="152" t="s">
        <v>38</v>
      </c>
      <c r="N12" s="153"/>
      <c r="O12" s="153"/>
      <c r="P12" s="152" t="s">
        <v>96</v>
      </c>
      <c r="Q12" s="153"/>
      <c r="R12" s="153"/>
      <c r="S12" s="152" t="s">
        <v>99</v>
      </c>
      <c r="T12" s="153"/>
      <c r="U12" s="153"/>
      <c r="V12" s="187" t="s">
        <v>94</v>
      </c>
      <c r="W12" s="188"/>
      <c r="X12" s="188"/>
      <c r="Y12" s="188"/>
      <c r="Z12" s="188"/>
      <c r="AA12" s="189"/>
      <c r="AB12" s="184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6"/>
      <c r="AR12" s="152"/>
      <c r="AS12" s="153"/>
      <c r="AT12" s="153"/>
      <c r="AU12" s="153"/>
      <c r="AV12" s="153"/>
      <c r="AW12" s="154"/>
      <c r="AX12" s="193" t="s">
        <v>196</v>
      </c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194"/>
      <c r="BR12" s="194"/>
      <c r="BS12" s="194"/>
      <c r="BT12" s="19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76" t="s">
        <v>85</v>
      </c>
      <c r="F13" s="177"/>
      <c r="G13" s="177"/>
      <c r="H13" s="177"/>
      <c r="I13" s="177"/>
      <c r="J13" s="177"/>
      <c r="K13" s="177"/>
      <c r="L13" s="178"/>
      <c r="M13" s="152" t="s">
        <v>38</v>
      </c>
      <c r="N13" s="153"/>
      <c r="O13" s="153"/>
      <c r="P13" s="152" t="s">
        <v>97</v>
      </c>
      <c r="Q13" s="153"/>
      <c r="R13" s="153"/>
      <c r="S13" s="152" t="s">
        <v>99</v>
      </c>
      <c r="T13" s="153"/>
      <c r="U13" s="153"/>
      <c r="V13" s="187" t="s">
        <v>186</v>
      </c>
      <c r="W13" s="188"/>
      <c r="X13" s="188"/>
      <c r="Y13" s="188"/>
      <c r="Z13" s="188"/>
      <c r="AA13" s="189"/>
      <c r="AB13" s="184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6"/>
      <c r="AR13" s="152"/>
      <c r="AS13" s="153"/>
      <c r="AT13" s="153"/>
      <c r="AU13" s="153"/>
      <c r="AV13" s="153"/>
      <c r="AW13" s="154"/>
      <c r="AX13" s="187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  <c r="BP13" s="188"/>
      <c r="BQ13" s="188"/>
      <c r="BR13" s="188"/>
      <c r="BS13" s="188"/>
      <c r="BT13" s="191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76" t="s">
        <v>86</v>
      </c>
      <c r="F14" s="177"/>
      <c r="G14" s="177"/>
      <c r="H14" s="177"/>
      <c r="I14" s="177"/>
      <c r="J14" s="177"/>
      <c r="K14" s="177"/>
      <c r="L14" s="178"/>
      <c r="M14" s="152" t="s">
        <v>38</v>
      </c>
      <c r="N14" s="153"/>
      <c r="O14" s="153"/>
      <c r="P14" s="152" t="s">
        <v>96</v>
      </c>
      <c r="Q14" s="153"/>
      <c r="R14" s="153"/>
      <c r="S14" s="152" t="s">
        <v>99</v>
      </c>
      <c r="T14" s="153"/>
      <c r="U14" s="153"/>
      <c r="V14" s="187" t="s">
        <v>187</v>
      </c>
      <c r="W14" s="188"/>
      <c r="X14" s="188"/>
      <c r="Y14" s="188"/>
      <c r="Z14" s="188"/>
      <c r="AA14" s="189"/>
      <c r="AB14" s="184" t="s">
        <v>194</v>
      </c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6"/>
      <c r="AR14" s="152"/>
      <c r="AS14" s="153"/>
      <c r="AT14" s="153"/>
      <c r="AU14" s="153"/>
      <c r="AV14" s="153"/>
      <c r="AW14" s="154"/>
      <c r="AX14" s="187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/>
      <c r="BS14" s="188"/>
      <c r="BT14" s="191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76" t="s">
        <v>87</v>
      </c>
      <c r="F15" s="177"/>
      <c r="G15" s="177"/>
      <c r="H15" s="177"/>
      <c r="I15" s="177"/>
      <c r="J15" s="177"/>
      <c r="K15" s="177"/>
      <c r="L15" s="178"/>
      <c r="M15" s="152" t="s">
        <v>38</v>
      </c>
      <c r="N15" s="153"/>
      <c r="O15" s="153"/>
      <c r="P15" s="152" t="s">
        <v>97</v>
      </c>
      <c r="Q15" s="153"/>
      <c r="R15" s="153"/>
      <c r="S15" s="152" t="s">
        <v>99</v>
      </c>
      <c r="T15" s="153"/>
      <c r="U15" s="153"/>
      <c r="V15" s="187" t="s">
        <v>188</v>
      </c>
      <c r="W15" s="188"/>
      <c r="X15" s="188"/>
      <c r="Y15" s="188"/>
      <c r="Z15" s="188"/>
      <c r="AA15" s="189"/>
      <c r="AB15" s="184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6"/>
      <c r="AR15" s="152"/>
      <c r="AS15" s="153"/>
      <c r="AT15" s="153"/>
      <c r="AU15" s="153"/>
      <c r="AV15" s="153"/>
      <c r="AW15" s="154"/>
      <c r="AX15" s="187"/>
      <c r="AY15" s="188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8"/>
      <c r="BT15" s="191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76" t="s">
        <v>88</v>
      </c>
      <c r="F16" s="177"/>
      <c r="G16" s="177"/>
      <c r="H16" s="177"/>
      <c r="I16" s="177"/>
      <c r="J16" s="177"/>
      <c r="K16" s="177"/>
      <c r="L16" s="178"/>
      <c r="M16" s="152" t="s">
        <v>8</v>
      </c>
      <c r="N16" s="153"/>
      <c r="O16" s="153"/>
      <c r="P16" s="152" t="s">
        <v>97</v>
      </c>
      <c r="Q16" s="153"/>
      <c r="R16" s="153"/>
      <c r="S16" s="152" t="s">
        <v>99</v>
      </c>
      <c r="T16" s="153"/>
      <c r="U16" s="153"/>
      <c r="V16" s="184" t="s">
        <v>104</v>
      </c>
      <c r="W16" s="185"/>
      <c r="X16" s="185"/>
      <c r="Y16" s="185"/>
      <c r="Z16" s="185"/>
      <c r="AA16" s="186"/>
      <c r="AB16" s="184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6"/>
      <c r="AR16" s="152"/>
      <c r="AS16" s="153"/>
      <c r="AT16" s="153"/>
      <c r="AU16" s="153"/>
      <c r="AV16" s="153"/>
      <c r="AW16" s="154"/>
      <c r="AX16" s="187"/>
      <c r="AY16" s="188"/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88"/>
      <c r="BK16" s="188"/>
      <c r="BL16" s="188"/>
      <c r="BM16" s="188"/>
      <c r="BN16" s="188"/>
      <c r="BO16" s="188"/>
      <c r="BP16" s="188"/>
      <c r="BQ16" s="188"/>
      <c r="BR16" s="188"/>
      <c r="BS16" s="188"/>
      <c r="BT16" s="191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76" t="s">
        <v>89</v>
      </c>
      <c r="F17" s="177"/>
      <c r="G17" s="177"/>
      <c r="H17" s="177"/>
      <c r="I17" s="177"/>
      <c r="J17" s="177"/>
      <c r="K17" s="177"/>
      <c r="L17" s="178"/>
      <c r="M17" s="152" t="s">
        <v>38</v>
      </c>
      <c r="N17" s="153"/>
      <c r="O17" s="153"/>
      <c r="P17" s="152" t="s">
        <v>96</v>
      </c>
      <c r="Q17" s="153"/>
      <c r="R17" s="153"/>
      <c r="S17" s="152">
        <v>44</v>
      </c>
      <c r="T17" s="153"/>
      <c r="U17" s="153"/>
      <c r="V17" s="187" t="s">
        <v>189</v>
      </c>
      <c r="W17" s="188"/>
      <c r="X17" s="188"/>
      <c r="Y17" s="188"/>
      <c r="Z17" s="188"/>
      <c r="AA17" s="189"/>
      <c r="AB17" s="184" t="s">
        <v>193</v>
      </c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6"/>
      <c r="AR17" s="152"/>
      <c r="AS17" s="153"/>
      <c r="AT17" s="153"/>
      <c r="AU17" s="153"/>
      <c r="AV17" s="153"/>
      <c r="AW17" s="154"/>
      <c r="AX17" s="187"/>
      <c r="AY17" s="188"/>
      <c r="AZ17" s="188"/>
      <c r="BA17" s="188"/>
      <c r="BB17" s="188"/>
      <c r="BC17" s="188"/>
      <c r="BD17" s="188"/>
      <c r="BE17" s="188"/>
      <c r="BF17" s="188"/>
      <c r="BG17" s="188"/>
      <c r="BH17" s="188"/>
      <c r="BI17" s="188"/>
      <c r="BJ17" s="188"/>
      <c r="BK17" s="188"/>
      <c r="BL17" s="188"/>
      <c r="BM17" s="188"/>
      <c r="BN17" s="188"/>
      <c r="BO17" s="188"/>
      <c r="BP17" s="188"/>
      <c r="BQ17" s="188"/>
      <c r="BR17" s="188"/>
      <c r="BS17" s="188"/>
      <c r="BT17" s="19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76" t="s">
        <v>90</v>
      </c>
      <c r="F18" s="177"/>
      <c r="G18" s="177"/>
      <c r="H18" s="177"/>
      <c r="I18" s="177"/>
      <c r="J18" s="177"/>
      <c r="K18" s="177"/>
      <c r="L18" s="178"/>
      <c r="M18" s="152" t="s">
        <v>38</v>
      </c>
      <c r="N18" s="153"/>
      <c r="O18" s="153"/>
      <c r="P18" s="152" t="s">
        <v>97</v>
      </c>
      <c r="Q18" s="153"/>
      <c r="R18" s="153"/>
      <c r="S18" s="152">
        <v>11</v>
      </c>
      <c r="T18" s="153"/>
      <c r="U18" s="153"/>
      <c r="V18" s="187" t="s">
        <v>190</v>
      </c>
      <c r="W18" s="188"/>
      <c r="X18" s="188"/>
      <c r="Y18" s="188"/>
      <c r="Z18" s="188"/>
      <c r="AA18" s="189"/>
      <c r="AB18" s="184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6"/>
      <c r="AR18" s="152"/>
      <c r="AS18" s="153"/>
      <c r="AT18" s="153"/>
      <c r="AU18" s="153"/>
      <c r="AV18" s="153"/>
      <c r="AW18" s="154"/>
      <c r="AX18" s="187"/>
      <c r="AY18" s="188"/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88"/>
      <c r="BK18" s="188"/>
      <c r="BL18" s="188"/>
      <c r="BM18" s="188"/>
      <c r="BN18" s="188"/>
      <c r="BO18" s="188"/>
      <c r="BP18" s="188"/>
      <c r="BQ18" s="188"/>
      <c r="BR18" s="188"/>
      <c r="BS18" s="188"/>
      <c r="BT18" s="191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76" t="s">
        <v>91</v>
      </c>
      <c r="F19" s="177"/>
      <c r="G19" s="177"/>
      <c r="H19" s="177"/>
      <c r="I19" s="177"/>
      <c r="J19" s="177"/>
      <c r="K19" s="177"/>
      <c r="L19" s="178"/>
      <c r="M19" s="152" t="s">
        <v>38</v>
      </c>
      <c r="N19" s="153"/>
      <c r="O19" s="153"/>
      <c r="P19" s="152" t="s">
        <v>96</v>
      </c>
      <c r="Q19" s="153"/>
      <c r="R19" s="153"/>
      <c r="S19" s="152" t="s">
        <v>99</v>
      </c>
      <c r="T19" s="153"/>
      <c r="U19" s="153"/>
      <c r="V19" s="187" t="s">
        <v>191</v>
      </c>
      <c r="W19" s="188"/>
      <c r="X19" s="188"/>
      <c r="Y19" s="188"/>
      <c r="Z19" s="188"/>
      <c r="AA19" s="189"/>
      <c r="AB19" s="184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6"/>
      <c r="AR19" s="152"/>
      <c r="AS19" s="153"/>
      <c r="AT19" s="153"/>
      <c r="AU19" s="153"/>
      <c r="AV19" s="153"/>
      <c r="AW19" s="154"/>
      <c r="AX19" s="187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188"/>
      <c r="BK19" s="188"/>
      <c r="BL19" s="188"/>
      <c r="BM19" s="188"/>
      <c r="BN19" s="188"/>
      <c r="BO19" s="188"/>
      <c r="BP19" s="188"/>
      <c r="BQ19" s="188"/>
      <c r="BR19" s="188"/>
      <c r="BS19" s="188"/>
      <c r="BT19" s="191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thickBot="1" x14ac:dyDescent="0.5">
      <c r="A20" s="29"/>
      <c r="B20" s="35"/>
      <c r="C20"/>
      <c r="D20" s="37">
        <v>10</v>
      </c>
      <c r="E20" s="176" t="s">
        <v>92</v>
      </c>
      <c r="F20" s="177"/>
      <c r="G20" s="177"/>
      <c r="H20" s="177"/>
      <c r="I20" s="177"/>
      <c r="J20" s="177"/>
      <c r="K20" s="177"/>
      <c r="L20" s="178"/>
      <c r="M20" s="152" t="s">
        <v>38</v>
      </c>
      <c r="N20" s="153"/>
      <c r="O20" s="153"/>
      <c r="P20" s="152" t="s">
        <v>96</v>
      </c>
      <c r="Q20" s="153"/>
      <c r="R20" s="153"/>
      <c r="S20" s="152" t="s">
        <v>99</v>
      </c>
      <c r="T20" s="153"/>
      <c r="U20" s="153"/>
      <c r="V20" s="187" t="s">
        <v>192</v>
      </c>
      <c r="W20" s="188"/>
      <c r="X20" s="188"/>
      <c r="Y20" s="188"/>
      <c r="Z20" s="188"/>
      <c r="AA20" s="189"/>
      <c r="AB20" s="184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6"/>
      <c r="AR20" s="152"/>
      <c r="AS20" s="153"/>
      <c r="AT20" s="153"/>
      <c r="AU20" s="153"/>
      <c r="AV20" s="153"/>
      <c r="AW20" s="154"/>
      <c r="AX20" s="187"/>
      <c r="AY20" s="188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188"/>
      <c r="BL20" s="188"/>
      <c r="BM20" s="188"/>
      <c r="BN20" s="188"/>
      <c r="BO20" s="188"/>
      <c r="BP20" s="188"/>
      <c r="BQ20" s="188"/>
      <c r="BR20" s="188"/>
      <c r="BS20" s="188"/>
      <c r="BT20" s="191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ht="20.100000000000001" customHeight="1" thickTop="1" thickBot="1" x14ac:dyDescent="0.5">
      <c r="A21" s="29"/>
      <c r="B21" s="40"/>
      <c r="C21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46"/>
      <c r="BR21" s="46"/>
      <c r="BS21" s="46"/>
      <c r="BT21" s="46"/>
      <c r="BU21" s="28"/>
    </row>
    <row r="22" spans="1:85" ht="20.100000000000001" customHeight="1" thickTop="1" x14ac:dyDescent="0.45">
      <c r="A22" s="29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33"/>
      <c r="BD22" s="33"/>
      <c r="BE22" s="33"/>
      <c r="BF22" s="33"/>
      <c r="BG22" s="33"/>
      <c r="BH22" s="33"/>
      <c r="BI22" s="42"/>
      <c r="BJ22" s="42"/>
      <c r="BK22" s="42"/>
      <c r="BL22" s="42"/>
      <c r="BM22" s="42"/>
      <c r="BN22" s="42"/>
      <c r="BO22" s="42"/>
      <c r="BP22" s="41"/>
    </row>
    <row r="23" spans="1:85" ht="20.100000000000001" customHeight="1" x14ac:dyDescent="0.45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</row>
    <row r="24" spans="1:85" ht="20.100000000000001" customHeight="1" x14ac:dyDescent="0.45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31"/>
      <c r="BH24" s="31"/>
      <c r="BI24" s="31"/>
      <c r="BJ24" s="31"/>
      <c r="BK24" s="31"/>
      <c r="BL24" s="31"/>
      <c r="BM24" s="31"/>
      <c r="BN24" s="31"/>
      <c r="BO24" s="31"/>
      <c r="BP24" s="31"/>
    </row>
    <row r="25" spans="1:85" ht="20.100000000000001" customHeight="1" x14ac:dyDescent="0.45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31"/>
      <c r="BH25" s="31"/>
      <c r="BI25" s="31"/>
      <c r="BJ25" s="31"/>
      <c r="BK25" s="31"/>
      <c r="BL25" s="31"/>
      <c r="BM25" s="31"/>
      <c r="BN25" s="31"/>
      <c r="BO25" s="31"/>
      <c r="BP25" s="31"/>
    </row>
    <row r="26" spans="1:85" ht="20.100000000000001" customHeight="1" x14ac:dyDescent="0.45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31"/>
      <c r="BH26" s="31"/>
      <c r="BI26" s="31"/>
      <c r="BJ26" s="31"/>
      <c r="BK26" s="31"/>
      <c r="BL26" s="31"/>
      <c r="BM26" s="31"/>
      <c r="BN26" s="31"/>
      <c r="BO26" s="31"/>
      <c r="BP26" s="31"/>
    </row>
    <row r="27" spans="1:85" ht="20.100000000000001" customHeight="1" x14ac:dyDescent="0.45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31"/>
      <c r="BH27" s="31"/>
      <c r="BI27" s="31"/>
      <c r="BJ27" s="31"/>
      <c r="BK27" s="31"/>
      <c r="BL27" s="31"/>
      <c r="BM27" s="31"/>
      <c r="BN27" s="31"/>
      <c r="BO27" s="31"/>
      <c r="BP27" s="31"/>
    </row>
    <row r="28" spans="1:85" ht="20.100000000000001" customHeight="1" x14ac:dyDescent="0.45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31"/>
      <c r="BH28" s="31"/>
      <c r="BI28" s="31"/>
      <c r="BJ28" s="31"/>
      <c r="BK28" s="31"/>
      <c r="BL28" s="31"/>
      <c r="BM28" s="31"/>
      <c r="BN28" s="31"/>
      <c r="BO28" s="31"/>
      <c r="BP28" s="31"/>
    </row>
    <row r="29" spans="1:85" ht="20.100000000000001" customHeight="1" x14ac:dyDescent="0.4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31"/>
      <c r="BH29" s="31"/>
      <c r="BI29" s="31"/>
      <c r="BJ29" s="31"/>
      <c r="BK29" s="31"/>
      <c r="BL29" s="31"/>
      <c r="BM29" s="31"/>
      <c r="BN29" s="31"/>
      <c r="BO29" s="31"/>
      <c r="BP29" s="31"/>
    </row>
    <row r="30" spans="1:85" ht="20.100000000000001" customHeight="1" x14ac:dyDescent="0.45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31"/>
      <c r="BH30" s="31"/>
      <c r="BI30" s="31"/>
      <c r="BJ30" s="31"/>
      <c r="BK30" s="31"/>
      <c r="BL30" s="31"/>
      <c r="BM30" s="31"/>
      <c r="BN30" s="31"/>
      <c r="BO30" s="31"/>
      <c r="BP30" s="31"/>
    </row>
    <row r="31" spans="1:85" ht="20.100000000000001" customHeight="1" x14ac:dyDescent="0.45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31"/>
      <c r="BH31" s="31"/>
      <c r="BI31" s="31"/>
      <c r="BJ31" s="31"/>
      <c r="BK31" s="31"/>
      <c r="BL31" s="31"/>
      <c r="BM31" s="31"/>
      <c r="BN31" s="31"/>
      <c r="BO31" s="31"/>
      <c r="BP31" s="31"/>
    </row>
    <row r="32" spans="1:85" ht="20.100000000000001" customHeight="1" x14ac:dyDescent="0.45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31"/>
      <c r="BH32" s="31"/>
      <c r="BI32" s="31"/>
      <c r="BJ32" s="31"/>
      <c r="BK32" s="31"/>
      <c r="BL32" s="31"/>
      <c r="BM32" s="31"/>
      <c r="BN32" s="31"/>
      <c r="BO32" s="31"/>
      <c r="BP32" s="31"/>
    </row>
    <row r="33" spans="1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31"/>
      <c r="BH33" s="31"/>
      <c r="BI33" s="31"/>
      <c r="BJ33" s="31"/>
      <c r="BK33" s="31"/>
      <c r="BL33" s="31"/>
      <c r="BM33" s="31"/>
      <c r="BN33" s="31"/>
      <c r="BO33" s="31"/>
      <c r="BP33" s="31"/>
    </row>
    <row r="34" spans="1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1:68" ht="20.100000000000001" customHeight="1" x14ac:dyDescent="0.45">
      <c r="B35" s="3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1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31"/>
      <c r="BP36" s="31"/>
    </row>
    <row r="37" spans="1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31"/>
      <c r="BP37" s="31"/>
    </row>
    <row r="38" spans="1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31"/>
      <c r="BP38" s="31"/>
    </row>
    <row r="39" spans="1:68" ht="20.100000000000001" customHeight="1" x14ac:dyDescent="0.45">
      <c r="A39" s="29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31"/>
      <c r="BP39" s="31"/>
    </row>
    <row r="40" spans="1:68" ht="20.100000000000001" customHeight="1" x14ac:dyDescent="0.45">
      <c r="A40" s="29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31"/>
      <c r="BP40" s="31"/>
    </row>
    <row r="41" spans="1:68" ht="20.100000000000001" customHeight="1" x14ac:dyDescent="0.4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</row>
    <row r="42" spans="1:68" ht="20.100000000000001" customHeight="1" x14ac:dyDescent="0.4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</row>
    <row r="43" spans="1:68" ht="20.100000000000001" customHeigh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</row>
  </sheetData>
  <mergeCells count="108">
    <mergeCell ref="V17:AA17"/>
    <mergeCell ref="V18:AA18"/>
    <mergeCell ref="AB16:AQ16"/>
    <mergeCell ref="AB17:AQ17"/>
    <mergeCell ref="AB18:AQ18"/>
    <mergeCell ref="AX19:BT19"/>
    <mergeCell ref="AX20:BT2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X10:BT10"/>
    <mergeCell ref="AX11:BT11"/>
    <mergeCell ref="AX12:BT12"/>
    <mergeCell ref="AX13:BT13"/>
    <mergeCell ref="AX14:BT14"/>
    <mergeCell ref="AX18:BT18"/>
    <mergeCell ref="AX15:BT15"/>
    <mergeCell ref="AX16:BT16"/>
    <mergeCell ref="AX17:BT17"/>
    <mergeCell ref="AB19:AQ19"/>
    <mergeCell ref="AB20:AQ20"/>
    <mergeCell ref="AB10:AQ10"/>
    <mergeCell ref="P16:R16"/>
    <mergeCell ref="P17:R17"/>
    <mergeCell ref="P18:R18"/>
    <mergeCell ref="V19:AA19"/>
    <mergeCell ref="V20:AA20"/>
    <mergeCell ref="S11:U11"/>
    <mergeCell ref="S12:U12"/>
    <mergeCell ref="S13:U13"/>
    <mergeCell ref="S14:U14"/>
    <mergeCell ref="S15:U15"/>
    <mergeCell ref="S16:U16"/>
    <mergeCell ref="S17:U17"/>
    <mergeCell ref="S18:U18"/>
    <mergeCell ref="P19:R19"/>
    <mergeCell ref="P20:R20"/>
    <mergeCell ref="S10:U10"/>
    <mergeCell ref="S19:U19"/>
    <mergeCell ref="S20:U20"/>
    <mergeCell ref="V10:AA10"/>
    <mergeCell ref="V11:AA11"/>
    <mergeCell ref="V16:AA16"/>
    <mergeCell ref="X2:AJ2"/>
    <mergeCell ref="X3:AJ4"/>
    <mergeCell ref="R3:W4"/>
    <mergeCell ref="P10:R10"/>
    <mergeCell ref="P11:R11"/>
    <mergeCell ref="P12:R12"/>
    <mergeCell ref="P13:R13"/>
    <mergeCell ref="P14:R14"/>
    <mergeCell ref="P15:R15"/>
    <mergeCell ref="AB11:AQ11"/>
    <mergeCell ref="AB12:AQ12"/>
    <mergeCell ref="AB13:AQ13"/>
    <mergeCell ref="AB14:AQ14"/>
    <mergeCell ref="AB15:AQ15"/>
    <mergeCell ref="V12:AA12"/>
    <mergeCell ref="V13:AA13"/>
    <mergeCell ref="V14:AA14"/>
    <mergeCell ref="V15:AA15"/>
    <mergeCell ref="E11:L11"/>
    <mergeCell ref="E14:L14"/>
    <mergeCell ref="E15:L15"/>
    <mergeCell ref="M10:O10"/>
    <mergeCell ref="M11:O11"/>
    <mergeCell ref="M12:O12"/>
    <mergeCell ref="M13:O13"/>
    <mergeCell ref="M14:O14"/>
    <mergeCell ref="E18:L18"/>
    <mergeCell ref="M15:O15"/>
    <mergeCell ref="M16:O16"/>
    <mergeCell ref="M17:O17"/>
    <mergeCell ref="M18:O18"/>
    <mergeCell ref="E16:L16"/>
    <mergeCell ref="E17:L17"/>
    <mergeCell ref="M20:O20"/>
    <mergeCell ref="E20:L20"/>
    <mergeCell ref="E19:L19"/>
    <mergeCell ref="M19:O19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</mergeCells>
  <phoneticPr fontId="1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2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5" t="s">
        <v>0</v>
      </c>
      <c r="C2" s="200"/>
      <c r="D2" s="200"/>
      <c r="E2" s="200"/>
      <c r="F2" s="200"/>
      <c r="G2" s="200"/>
      <c r="H2" s="200" t="s">
        <v>17</v>
      </c>
      <c r="I2" s="200"/>
      <c r="J2" s="200"/>
      <c r="K2" s="200"/>
      <c r="L2" s="200" t="s">
        <v>198</v>
      </c>
      <c r="M2" s="200"/>
      <c r="N2" s="200"/>
      <c r="O2" s="200"/>
      <c r="P2" s="200"/>
      <c r="Q2" s="200"/>
      <c r="R2" s="200" t="s">
        <v>2</v>
      </c>
      <c r="S2" s="200"/>
      <c r="T2" s="200"/>
      <c r="U2" s="200"/>
      <c r="V2" s="200"/>
      <c r="W2" s="200"/>
      <c r="X2" s="206" t="s">
        <v>3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32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0" t="s">
        <v>5</v>
      </c>
      <c r="AY2" s="200"/>
      <c r="AZ2" s="200"/>
      <c r="BA2" s="200"/>
      <c r="BB2" s="200" t="s">
        <v>4</v>
      </c>
      <c r="BC2" s="200"/>
      <c r="BD2" s="200"/>
      <c r="BE2" s="200"/>
      <c r="BF2" s="200" t="s">
        <v>6</v>
      </c>
      <c r="BG2" s="200"/>
      <c r="BH2" s="200"/>
      <c r="BI2" s="200"/>
      <c r="BJ2" s="200" t="s">
        <v>7</v>
      </c>
      <c r="BK2" s="200"/>
      <c r="BL2" s="200"/>
      <c r="BM2" s="201"/>
    </row>
    <row r="3" spans="2:65" ht="20.100000000000001" customHeight="1" x14ac:dyDescent="0.45">
      <c r="B3" s="20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MH1300</v>
      </c>
      <c r="I3" s="160"/>
      <c r="J3" s="160"/>
      <c r="K3" s="160"/>
      <c r="L3" s="160" t="str">
        <f>変更履歴!L3</f>
        <v>受発注システム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3" t="str">
        <f ca="1">変更履歴!X3</f>
        <v>MH1300_施工依頼表_帳票設計書</v>
      </c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5"/>
      <c r="AK3" s="163" t="str">
        <f ca="1">変更履歴!AK3</f>
        <v>施工依頼表</v>
      </c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5"/>
      <c r="AX3" s="159">
        <f>変更履歴!AX3</f>
        <v>45583</v>
      </c>
      <c r="AY3" s="159"/>
      <c r="AZ3" s="159"/>
      <c r="BA3" s="159"/>
      <c r="BB3" s="160" t="str">
        <f>変更履歴!BB3</f>
        <v>大谷</v>
      </c>
      <c r="BC3" s="160"/>
      <c r="BD3" s="160"/>
      <c r="BE3" s="160"/>
      <c r="BF3" s="159">
        <f>変更履歴!BF3</f>
        <v>45583</v>
      </c>
      <c r="BG3" s="159"/>
      <c r="BH3" s="159"/>
      <c r="BI3" s="159"/>
      <c r="BJ3" s="160" t="str">
        <f>変更履歴!BJ3</f>
        <v>大谷</v>
      </c>
      <c r="BK3" s="160"/>
      <c r="BL3" s="160"/>
      <c r="BM3" s="198"/>
    </row>
    <row r="4" spans="2:65" ht="20.100000000000001" customHeight="1" thickBot="1" x14ac:dyDescent="0.5">
      <c r="B4" s="210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202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4"/>
      <c r="AK4" s="202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4"/>
      <c r="AX4" s="196"/>
      <c r="AY4" s="196"/>
      <c r="AZ4" s="196"/>
      <c r="BA4" s="196"/>
      <c r="BB4" s="197"/>
      <c r="BC4" s="197"/>
      <c r="BD4" s="197"/>
      <c r="BE4" s="197"/>
      <c r="BF4" s="196"/>
      <c r="BG4" s="196"/>
      <c r="BH4" s="196"/>
      <c r="BI4" s="196"/>
      <c r="BJ4" s="197"/>
      <c r="BK4" s="197"/>
      <c r="BL4" s="197"/>
      <c r="BM4" s="199"/>
    </row>
    <row r="5" spans="2:65" ht="5.0999999999999996" customHeight="1" thickBot="1" x14ac:dyDescent="0.5"/>
    <row r="6" spans="2:65" ht="20.100000000000001" customHeight="1" x14ac:dyDescent="0.45">
      <c r="B6" s="110" t="s">
        <v>157</v>
      </c>
      <c r="C6" s="111"/>
      <c r="D6" s="111"/>
      <c r="E6" s="111"/>
      <c r="F6" s="111"/>
      <c r="G6" s="112"/>
      <c r="H6" s="113" t="s">
        <v>142</v>
      </c>
      <c r="I6" s="111"/>
      <c r="J6" s="141" t="s">
        <v>158</v>
      </c>
      <c r="K6" s="142"/>
      <c r="L6" s="142"/>
      <c r="M6" s="142"/>
      <c r="N6" s="142"/>
      <c r="O6" s="142"/>
      <c r="P6" s="142"/>
      <c r="Q6" s="143"/>
      <c r="R6" s="142" t="s">
        <v>171</v>
      </c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3"/>
      <c r="AK6" s="114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5"/>
    </row>
    <row r="7" spans="2:65" ht="20.100000000000001" customHeight="1" x14ac:dyDescent="0.45">
      <c r="B7" s="144"/>
      <c r="C7" s="31"/>
      <c r="D7" s="31"/>
      <c r="E7" s="31"/>
      <c r="F7" s="31"/>
      <c r="G7" s="117"/>
      <c r="H7" s="118"/>
      <c r="I7" s="31"/>
      <c r="J7" s="145" t="s">
        <v>159</v>
      </c>
      <c r="K7" s="52"/>
      <c r="L7" s="52"/>
      <c r="M7" s="52"/>
      <c r="N7" s="52"/>
      <c r="O7" s="52"/>
      <c r="P7" s="52"/>
      <c r="Q7" s="146"/>
      <c r="R7" s="52" t="s">
        <v>172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6"/>
      <c r="AK7" s="119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0"/>
    </row>
    <row r="8" spans="2:65" ht="20.100000000000001" customHeight="1" x14ac:dyDescent="0.45">
      <c r="B8" s="144"/>
      <c r="C8" s="31"/>
      <c r="D8" s="31"/>
      <c r="E8" s="31"/>
      <c r="F8" s="31"/>
      <c r="G8" s="117"/>
      <c r="H8" s="118"/>
      <c r="I8" s="31"/>
      <c r="J8" s="145" t="s">
        <v>160</v>
      </c>
      <c r="K8" s="52"/>
      <c r="L8" s="52"/>
      <c r="M8" s="52"/>
      <c r="N8" s="52"/>
      <c r="O8" s="52"/>
      <c r="P8" s="52"/>
      <c r="Q8" s="146"/>
      <c r="R8" s="52" t="s">
        <v>173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6"/>
      <c r="AK8" s="119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0"/>
    </row>
    <row r="9" spans="2:65" ht="20.100000000000001" customHeight="1" x14ac:dyDescent="0.45">
      <c r="B9" s="144"/>
      <c r="C9" s="31"/>
      <c r="D9" s="31"/>
      <c r="E9" s="31"/>
      <c r="F9" s="31"/>
      <c r="G9" s="117"/>
      <c r="H9" s="118"/>
      <c r="I9" s="31"/>
      <c r="J9" s="145" t="s">
        <v>161</v>
      </c>
      <c r="K9" s="52"/>
      <c r="L9" s="52"/>
      <c r="M9" s="52"/>
      <c r="N9" s="52"/>
      <c r="O9" s="52"/>
      <c r="P9" s="52"/>
      <c r="Q9" s="146"/>
      <c r="R9" s="52" t="s">
        <v>174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6"/>
      <c r="AK9" s="119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0"/>
    </row>
    <row r="10" spans="2:65" ht="20.100000000000001" customHeight="1" x14ac:dyDescent="0.45">
      <c r="B10" s="144"/>
      <c r="C10" s="31"/>
      <c r="D10" s="31"/>
      <c r="E10" s="31"/>
      <c r="F10" s="31"/>
      <c r="G10" s="117"/>
      <c r="H10" s="31"/>
      <c r="I10" s="31"/>
      <c r="J10" s="145" t="s">
        <v>162</v>
      </c>
      <c r="K10" s="52"/>
      <c r="L10" s="52"/>
      <c r="M10" s="52"/>
      <c r="N10" s="52"/>
      <c r="O10" s="52"/>
      <c r="P10" s="52"/>
      <c r="Q10" s="146"/>
      <c r="R10" s="52" t="s">
        <v>175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6"/>
      <c r="AK10" s="11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0"/>
    </row>
    <row r="11" spans="2:65" ht="20.100000000000001" customHeight="1" x14ac:dyDescent="0.45">
      <c r="B11" s="144"/>
      <c r="C11" s="31"/>
      <c r="D11" s="31"/>
      <c r="E11" s="31"/>
      <c r="F11" s="31"/>
      <c r="G11" s="117"/>
      <c r="H11" s="31"/>
      <c r="I11" s="31"/>
      <c r="J11" s="145" t="s">
        <v>163</v>
      </c>
      <c r="K11" s="52"/>
      <c r="L11" s="52"/>
      <c r="M11" s="52"/>
      <c r="N11" s="52"/>
      <c r="O11" s="52"/>
      <c r="P11" s="52"/>
      <c r="Q11" s="146"/>
      <c r="R11" s="52" t="s">
        <v>176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6"/>
      <c r="AK11" s="11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0"/>
    </row>
    <row r="12" spans="2:65" ht="20.100000000000001" customHeight="1" x14ac:dyDescent="0.45">
      <c r="B12" s="144"/>
      <c r="C12" s="31"/>
      <c r="D12" s="31"/>
      <c r="E12" s="31"/>
      <c r="F12" s="31"/>
      <c r="G12" s="117"/>
      <c r="H12" s="31"/>
      <c r="I12" s="31"/>
      <c r="J12" s="145" t="s">
        <v>164</v>
      </c>
      <c r="K12" s="52"/>
      <c r="L12" s="52"/>
      <c r="M12" s="52"/>
      <c r="N12" s="52"/>
      <c r="O12" s="52"/>
      <c r="P12" s="52"/>
      <c r="Q12" s="146"/>
      <c r="R12" s="52" t="s">
        <v>177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6"/>
      <c r="AK12" s="11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0"/>
    </row>
    <row r="13" spans="2:65" ht="20.100000000000001" customHeight="1" x14ac:dyDescent="0.45">
      <c r="B13" s="144"/>
      <c r="C13" s="31"/>
      <c r="D13" s="31"/>
      <c r="E13" s="31"/>
      <c r="F13" s="31"/>
      <c r="G13" s="117"/>
      <c r="H13" s="31"/>
      <c r="I13" s="31"/>
      <c r="J13" s="145" t="s">
        <v>165</v>
      </c>
      <c r="K13" s="52"/>
      <c r="L13" s="52"/>
      <c r="M13" s="52"/>
      <c r="N13" s="52"/>
      <c r="O13" s="52"/>
      <c r="P13" s="52"/>
      <c r="Q13" s="146"/>
      <c r="R13" s="52" t="s">
        <v>178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46"/>
      <c r="AK13" s="11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0"/>
    </row>
    <row r="14" spans="2:65" ht="20.100000000000001" customHeight="1" x14ac:dyDescent="0.45">
      <c r="B14" s="144"/>
      <c r="C14" s="31"/>
      <c r="D14" s="31"/>
      <c r="E14" s="31"/>
      <c r="F14" s="31"/>
      <c r="G14" s="117"/>
      <c r="H14" s="31"/>
      <c r="I14" s="31"/>
      <c r="J14" s="145" t="s">
        <v>166</v>
      </c>
      <c r="K14" s="52"/>
      <c r="L14" s="52"/>
      <c r="M14" s="52"/>
      <c r="N14" s="52"/>
      <c r="O14" s="52"/>
      <c r="P14" s="52"/>
      <c r="Q14" s="146"/>
      <c r="R14" s="52" t="s">
        <v>179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46"/>
      <c r="AK14" s="11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0"/>
    </row>
    <row r="15" spans="2:65" ht="20.100000000000001" customHeight="1" x14ac:dyDescent="0.45">
      <c r="B15" s="144"/>
      <c r="C15" s="31"/>
      <c r="D15" s="31"/>
      <c r="E15" s="31"/>
      <c r="F15" s="31"/>
      <c r="G15" s="117"/>
      <c r="H15" s="31"/>
      <c r="I15" s="31"/>
      <c r="J15" s="145" t="s">
        <v>167</v>
      </c>
      <c r="K15" s="52"/>
      <c r="L15" s="52"/>
      <c r="M15" s="52"/>
      <c r="N15" s="52"/>
      <c r="O15" s="52"/>
      <c r="P15" s="52"/>
      <c r="Q15" s="146"/>
      <c r="R15" s="52" t="s">
        <v>180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46"/>
      <c r="AK15" s="11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0"/>
    </row>
    <row r="16" spans="2:65" ht="20.100000000000001" customHeight="1" x14ac:dyDescent="0.45">
      <c r="B16" s="144"/>
      <c r="C16" s="31"/>
      <c r="D16" s="31"/>
      <c r="E16" s="31"/>
      <c r="F16" s="31"/>
      <c r="G16" s="117"/>
      <c r="H16" s="31"/>
      <c r="I16" s="31"/>
      <c r="J16" s="145" t="s">
        <v>169</v>
      </c>
      <c r="K16" s="52"/>
      <c r="L16" s="52"/>
      <c r="M16" s="52"/>
      <c r="N16" s="52"/>
      <c r="O16" s="52"/>
      <c r="P16" s="52"/>
      <c r="Q16" s="146"/>
      <c r="R16" s="52" t="s">
        <v>181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46"/>
      <c r="AK16" s="11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0"/>
    </row>
    <row r="17" spans="2:61" ht="20.100000000000001" customHeight="1" x14ac:dyDescent="0.45">
      <c r="B17" s="144"/>
      <c r="C17" s="31"/>
      <c r="D17" s="31"/>
      <c r="E17" s="31"/>
      <c r="F17" s="31"/>
      <c r="G17" s="117"/>
      <c r="H17" s="31"/>
      <c r="I17" s="31"/>
      <c r="J17" s="145" t="s">
        <v>168</v>
      </c>
      <c r="K17" s="52"/>
      <c r="L17" s="52"/>
      <c r="M17" s="52"/>
      <c r="N17" s="52"/>
      <c r="O17" s="52"/>
      <c r="P17" s="52"/>
      <c r="Q17" s="146"/>
      <c r="R17" s="52" t="s">
        <v>182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46"/>
      <c r="AK17" s="11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0"/>
    </row>
    <row r="18" spans="2:61" ht="20.100000000000001" customHeight="1" x14ac:dyDescent="0.45">
      <c r="B18" s="144"/>
      <c r="C18" s="31"/>
      <c r="D18" s="31"/>
      <c r="E18" s="31"/>
      <c r="F18" s="31"/>
      <c r="G18" s="117"/>
      <c r="I18" s="31"/>
      <c r="J18" s="145" t="s">
        <v>170</v>
      </c>
      <c r="K18" s="52"/>
      <c r="L18" s="52"/>
      <c r="M18" s="52"/>
      <c r="N18" s="52"/>
      <c r="O18" s="52"/>
      <c r="P18" s="52"/>
      <c r="Q18" s="146"/>
      <c r="R18" s="52" t="s">
        <v>183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46"/>
      <c r="AK18" s="119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0"/>
    </row>
    <row r="19" spans="2:61" ht="20.100000000000001" customHeight="1" x14ac:dyDescent="0.45">
      <c r="B19" s="144"/>
      <c r="C19" s="31"/>
      <c r="D19" s="31"/>
      <c r="E19" s="31"/>
      <c r="F19" s="31"/>
      <c r="G19" s="117"/>
      <c r="H19" s="121" t="s">
        <v>112</v>
      </c>
      <c r="I19" s="55"/>
      <c r="J19" s="121" t="s">
        <v>184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22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123"/>
    </row>
    <row r="20" spans="2:61" ht="20.100000000000001" customHeight="1" thickBot="1" x14ac:dyDescent="0.5">
      <c r="B20" s="116"/>
      <c r="C20" s="31"/>
      <c r="D20" s="31"/>
      <c r="E20" s="31"/>
      <c r="F20" s="31"/>
      <c r="G20" s="117"/>
      <c r="H20" s="121" t="s">
        <v>113</v>
      </c>
      <c r="I20" s="55"/>
      <c r="J20" s="121" t="s">
        <v>185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22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123"/>
    </row>
    <row r="21" spans="2:61" ht="5.0999999999999996" customHeight="1" x14ac:dyDescent="0.45"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5" t="s">
        <v>0</v>
      </c>
      <c r="C2" s="200"/>
      <c r="D2" s="200"/>
      <c r="E2" s="200"/>
      <c r="F2" s="200"/>
      <c r="G2" s="200"/>
      <c r="H2" s="200" t="s">
        <v>17</v>
      </c>
      <c r="I2" s="200"/>
      <c r="J2" s="200"/>
      <c r="K2" s="200"/>
      <c r="L2" s="200" t="s">
        <v>1</v>
      </c>
      <c r="M2" s="200"/>
      <c r="N2" s="200"/>
      <c r="O2" s="200"/>
      <c r="P2" s="200"/>
      <c r="Q2" s="200"/>
      <c r="R2" s="200" t="s">
        <v>2</v>
      </c>
      <c r="S2" s="200"/>
      <c r="T2" s="200"/>
      <c r="U2" s="200"/>
      <c r="V2" s="200"/>
      <c r="W2" s="200"/>
      <c r="X2" s="206" t="s">
        <v>3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/>
      <c r="AK2" s="206" t="s">
        <v>32</v>
      </c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8"/>
      <c r="AX2" s="200" t="s">
        <v>5</v>
      </c>
      <c r="AY2" s="200"/>
      <c r="AZ2" s="200"/>
      <c r="BA2" s="200"/>
      <c r="BB2" s="200" t="s">
        <v>4</v>
      </c>
      <c r="BC2" s="200"/>
      <c r="BD2" s="200"/>
      <c r="BE2" s="200"/>
      <c r="BF2" s="200" t="s">
        <v>6</v>
      </c>
      <c r="BG2" s="200"/>
      <c r="BH2" s="200"/>
      <c r="BI2" s="200"/>
      <c r="BJ2" s="200" t="s">
        <v>7</v>
      </c>
      <c r="BK2" s="200"/>
      <c r="BL2" s="200"/>
      <c r="BM2" s="201"/>
    </row>
    <row r="3" spans="2:65" ht="20.100000000000001" customHeight="1" x14ac:dyDescent="0.45">
      <c r="B3" s="20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MH1300</v>
      </c>
      <c r="I3" s="160"/>
      <c r="J3" s="160"/>
      <c r="K3" s="160"/>
      <c r="L3" s="160" t="str">
        <f>変更履歴!L3</f>
        <v>受発注システム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3" t="str">
        <f ca="1">変更履歴!X3</f>
        <v>MH1300_施工依頼表_帳票設計書</v>
      </c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5"/>
      <c r="AK3" s="163" t="str">
        <f ca="1">変更履歴!AK3</f>
        <v>施工依頼表</v>
      </c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5"/>
      <c r="AX3" s="159">
        <f>変更履歴!AX3</f>
        <v>45583</v>
      </c>
      <c r="AY3" s="159"/>
      <c r="AZ3" s="159"/>
      <c r="BA3" s="159"/>
      <c r="BB3" s="160" t="str">
        <f>変更履歴!BB3</f>
        <v>大谷</v>
      </c>
      <c r="BC3" s="160"/>
      <c r="BD3" s="160"/>
      <c r="BE3" s="160"/>
      <c r="BF3" s="159">
        <f>変更履歴!BF3</f>
        <v>45583</v>
      </c>
      <c r="BG3" s="159"/>
      <c r="BH3" s="159"/>
      <c r="BI3" s="159"/>
      <c r="BJ3" s="160" t="str">
        <f>変更履歴!BJ3</f>
        <v>大谷</v>
      </c>
      <c r="BK3" s="160"/>
      <c r="BL3" s="160"/>
      <c r="BM3" s="198"/>
    </row>
    <row r="4" spans="2:65" ht="20.100000000000001" customHeight="1" thickBot="1" x14ac:dyDescent="0.5">
      <c r="B4" s="210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202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4"/>
      <c r="AK4" s="202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4"/>
      <c r="AX4" s="196"/>
      <c r="AY4" s="196"/>
      <c r="AZ4" s="196"/>
      <c r="BA4" s="196"/>
      <c r="BB4" s="197"/>
      <c r="BC4" s="197"/>
      <c r="BD4" s="197"/>
      <c r="BE4" s="197"/>
      <c r="BF4" s="196"/>
      <c r="BG4" s="196"/>
      <c r="BH4" s="196"/>
      <c r="BI4" s="196"/>
      <c r="BJ4" s="197"/>
      <c r="BK4" s="197"/>
      <c r="BL4" s="197"/>
      <c r="BM4" s="199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10" t="s">
        <v>114</v>
      </c>
      <c r="C7" s="111"/>
      <c r="D7" s="111"/>
      <c r="E7" s="111"/>
      <c r="F7" s="111"/>
      <c r="G7" s="111"/>
      <c r="H7" s="113" t="s">
        <v>142</v>
      </c>
      <c r="I7" s="112"/>
      <c r="J7" s="147" t="s">
        <v>20</v>
      </c>
      <c r="K7" s="142"/>
      <c r="L7" s="142"/>
      <c r="M7" s="142"/>
      <c r="N7" s="142"/>
      <c r="O7" s="142"/>
      <c r="P7" s="142"/>
      <c r="Q7" s="142"/>
      <c r="R7" s="147" t="s">
        <v>143</v>
      </c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3"/>
      <c r="AK7" s="114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5"/>
      <c r="BJ7" s="29"/>
      <c r="BK7" s="29"/>
      <c r="BL7" s="29"/>
      <c r="BM7" s="29"/>
    </row>
    <row r="8" spans="2:65" ht="20.100000000000001" customHeight="1" x14ac:dyDescent="0.45">
      <c r="B8" s="144"/>
      <c r="C8" s="31"/>
      <c r="D8" s="31"/>
      <c r="E8" s="31"/>
      <c r="F8" s="31"/>
      <c r="G8" s="31"/>
      <c r="H8" s="118"/>
      <c r="I8" s="117"/>
      <c r="J8" s="145" t="s">
        <v>144</v>
      </c>
      <c r="K8" s="52"/>
      <c r="L8" s="52"/>
      <c r="M8" s="52"/>
      <c r="N8" s="52"/>
      <c r="O8" s="52"/>
      <c r="P8" s="52"/>
      <c r="Q8" s="52"/>
      <c r="R8" s="145" t="s">
        <v>145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6"/>
      <c r="AK8" s="119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0"/>
      <c r="BJ8" s="29"/>
      <c r="BK8" s="29"/>
      <c r="BL8" s="29"/>
      <c r="BM8" s="29"/>
    </row>
    <row r="9" spans="2:65" ht="20.100000000000001" customHeight="1" x14ac:dyDescent="0.45">
      <c r="B9" s="144"/>
      <c r="C9" s="31"/>
      <c r="D9" s="31"/>
      <c r="E9" s="31"/>
      <c r="F9" s="31"/>
      <c r="G9" s="31"/>
      <c r="H9" s="124"/>
      <c r="I9" s="148"/>
      <c r="J9" s="145" t="s">
        <v>146</v>
      </c>
      <c r="K9" s="52"/>
      <c r="L9" s="52"/>
      <c r="M9" s="52"/>
      <c r="N9" s="52"/>
      <c r="O9" s="52"/>
      <c r="P9" s="52"/>
      <c r="Q9" s="52"/>
      <c r="R9" s="145" t="s">
        <v>147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6"/>
      <c r="AK9" s="126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7"/>
      <c r="BJ9" s="29"/>
      <c r="BK9" s="29"/>
      <c r="BL9" s="29"/>
      <c r="BM9" s="29"/>
    </row>
    <row r="10" spans="2:65" ht="20.100000000000001" customHeight="1" x14ac:dyDescent="0.45">
      <c r="B10" s="144"/>
      <c r="C10" s="31"/>
      <c r="D10" s="31"/>
      <c r="E10" s="31"/>
      <c r="F10" s="31"/>
      <c r="G10" s="117"/>
      <c r="H10" s="118" t="s">
        <v>115</v>
      </c>
      <c r="I10" s="31"/>
      <c r="J10" s="132" t="s">
        <v>116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1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0"/>
      <c r="BJ10" s="29"/>
      <c r="BK10" s="29"/>
      <c r="BL10" s="29"/>
      <c r="BM10" s="29"/>
    </row>
    <row r="11" spans="2:65" ht="20.100000000000001" customHeight="1" x14ac:dyDescent="0.45">
      <c r="B11" s="116"/>
      <c r="C11" s="31"/>
      <c r="D11" s="31"/>
      <c r="E11" s="31"/>
      <c r="F11" s="31"/>
      <c r="G11" s="117"/>
      <c r="H11" s="118"/>
      <c r="I11" s="31"/>
      <c r="J11" s="118" t="s">
        <v>117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1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0"/>
      <c r="BJ11" s="29"/>
      <c r="BK11" s="29"/>
      <c r="BL11" s="29"/>
      <c r="BM11" s="29"/>
    </row>
    <row r="12" spans="2:65" ht="20.100000000000001" customHeight="1" x14ac:dyDescent="0.45">
      <c r="B12" s="116"/>
      <c r="C12" s="31"/>
      <c r="D12" s="31"/>
      <c r="E12" s="31"/>
      <c r="F12" s="31"/>
      <c r="G12" s="117"/>
      <c r="H12" s="118"/>
      <c r="I12" s="31"/>
      <c r="J12" s="118" t="s">
        <v>118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1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0"/>
      <c r="BJ12" s="29"/>
      <c r="BK12" s="29"/>
      <c r="BL12" s="29"/>
      <c r="BM12" s="29"/>
    </row>
    <row r="13" spans="2:65" ht="20.100000000000001" customHeight="1" x14ac:dyDescent="0.45">
      <c r="B13" s="116"/>
      <c r="C13" s="31"/>
      <c r="D13" s="31"/>
      <c r="E13" s="31"/>
      <c r="F13" s="31"/>
      <c r="G13" s="117"/>
      <c r="H13" s="118"/>
      <c r="I13" s="31"/>
      <c r="J13" s="118" t="s">
        <v>119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1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0"/>
      <c r="BJ13" s="29"/>
      <c r="BK13" s="29"/>
      <c r="BL13" s="29"/>
      <c r="BM13" s="29"/>
    </row>
    <row r="14" spans="2:65" ht="20.100000000000001" customHeight="1" x14ac:dyDescent="0.45">
      <c r="B14" s="116"/>
      <c r="C14" s="31"/>
      <c r="D14" s="31"/>
      <c r="E14" s="31"/>
      <c r="F14" s="31"/>
      <c r="G14" s="117"/>
      <c r="H14" s="121" t="s">
        <v>120</v>
      </c>
      <c r="I14" s="55"/>
      <c r="J14" s="128" t="s">
        <v>121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22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23"/>
      <c r="BJ14" s="29"/>
      <c r="BK14" s="29"/>
      <c r="BL14" s="29"/>
      <c r="BM14" s="29"/>
    </row>
    <row r="15" spans="2:65" ht="20.100000000000001" customHeight="1" x14ac:dyDescent="0.45">
      <c r="B15" s="116"/>
      <c r="C15" s="31"/>
      <c r="D15" s="31"/>
      <c r="E15" s="31"/>
      <c r="F15" s="31"/>
      <c r="G15" s="117"/>
      <c r="H15" s="118"/>
      <c r="I15" s="31"/>
      <c r="J15" s="129"/>
      <c r="K15" s="130" t="s">
        <v>122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0"/>
      <c r="BJ15" s="29"/>
      <c r="BK15" s="29"/>
      <c r="BL15" s="29"/>
      <c r="BM15" s="29"/>
    </row>
    <row r="16" spans="2:65" ht="20.100000000000001" customHeight="1" x14ac:dyDescent="0.45">
      <c r="B16" s="116"/>
      <c r="C16" s="31"/>
      <c r="D16" s="31"/>
      <c r="E16" s="31"/>
      <c r="F16" s="31"/>
      <c r="G16" s="117"/>
      <c r="H16" s="118"/>
      <c r="I16" s="31"/>
      <c r="J16" s="118"/>
      <c r="K16" s="29"/>
      <c r="L16" s="131"/>
      <c r="M16" s="130" t="s">
        <v>123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0"/>
      <c r="BJ16" s="29"/>
      <c r="BK16" s="29"/>
      <c r="BL16" s="29"/>
      <c r="BM16" s="29"/>
    </row>
    <row r="17" spans="2:65" ht="20.100000000000001" customHeight="1" x14ac:dyDescent="0.45">
      <c r="B17" s="116"/>
      <c r="C17" s="31"/>
      <c r="D17" s="31"/>
      <c r="E17" s="31"/>
      <c r="F17" s="31"/>
      <c r="G17" s="117"/>
      <c r="H17" s="118"/>
      <c r="I17" s="31"/>
      <c r="J17" s="118"/>
      <c r="K17" s="29"/>
      <c r="L17" s="131" t="s">
        <v>124</v>
      </c>
      <c r="M17" s="130" t="s">
        <v>123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0"/>
      <c r="BJ17" s="29"/>
      <c r="BK17" s="29"/>
      <c r="BL17" s="29"/>
      <c r="BM17" s="29"/>
    </row>
    <row r="18" spans="2:65" ht="20.100000000000001" customHeight="1" x14ac:dyDescent="0.45">
      <c r="B18" s="116"/>
      <c r="C18" s="31"/>
      <c r="D18" s="31"/>
      <c r="E18" s="31"/>
      <c r="F18" s="31"/>
      <c r="G18" s="117"/>
      <c r="H18" s="118"/>
      <c r="I18" s="31"/>
      <c r="J18" s="118"/>
      <c r="K18" s="29"/>
      <c r="L18" s="131" t="s">
        <v>125</v>
      </c>
      <c r="M18" s="130" t="s">
        <v>123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19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0"/>
      <c r="BJ18" s="29"/>
      <c r="BK18" s="29"/>
      <c r="BL18" s="29"/>
      <c r="BM18" s="29"/>
    </row>
    <row r="19" spans="2:65" ht="20.100000000000001" customHeight="1" x14ac:dyDescent="0.45">
      <c r="B19" s="116"/>
      <c r="C19" s="31"/>
      <c r="D19" s="31"/>
      <c r="E19" s="31"/>
      <c r="F19" s="31"/>
      <c r="G19" s="117"/>
      <c r="H19" s="118"/>
      <c r="I19" s="31"/>
      <c r="J19" s="118" t="s">
        <v>126</v>
      </c>
      <c r="K19" s="131"/>
      <c r="L19" s="1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19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0"/>
      <c r="BJ19" s="29"/>
      <c r="BK19" s="29"/>
      <c r="BL19" s="29"/>
      <c r="BM19" s="29"/>
    </row>
    <row r="20" spans="2:65" ht="20.100000000000001" customHeight="1" x14ac:dyDescent="0.45">
      <c r="B20" s="116"/>
      <c r="C20" s="31"/>
      <c r="D20" s="31"/>
      <c r="E20" s="31"/>
      <c r="F20" s="31"/>
      <c r="G20" s="117"/>
      <c r="H20" s="118"/>
      <c r="I20" s="31"/>
      <c r="J20" s="118"/>
      <c r="K20" s="31" t="s">
        <v>127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9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0"/>
      <c r="BJ20" s="29"/>
      <c r="BK20" s="29"/>
      <c r="BL20" s="29"/>
      <c r="BM20" s="29"/>
    </row>
    <row r="21" spans="2:65" ht="20.100000000000001" customHeight="1" x14ac:dyDescent="0.45">
      <c r="B21" s="116"/>
      <c r="C21" s="31"/>
      <c r="D21" s="31"/>
      <c r="E21" s="31"/>
      <c r="F21" s="31"/>
      <c r="G21" s="117"/>
      <c r="H21" s="118"/>
      <c r="I21" s="31"/>
      <c r="J21" s="118"/>
      <c r="K21" s="29"/>
      <c r="L21" s="31"/>
      <c r="M21" s="31" t="s">
        <v>128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9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0"/>
    </row>
    <row r="22" spans="2:65" ht="20.100000000000001" customHeight="1" x14ac:dyDescent="0.45">
      <c r="B22" s="116"/>
      <c r="C22" s="31"/>
      <c r="D22" s="31"/>
      <c r="E22" s="31"/>
      <c r="F22" s="31"/>
      <c r="G22" s="117"/>
      <c r="H22" s="124"/>
      <c r="I22" s="125"/>
      <c r="J22" s="124"/>
      <c r="K22" s="125"/>
      <c r="L22" s="125" t="s">
        <v>124</v>
      </c>
      <c r="M22" s="125" t="s">
        <v>129</v>
      </c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6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7"/>
    </row>
    <row r="23" spans="2:65" ht="20.100000000000001" customHeight="1" x14ac:dyDescent="0.45">
      <c r="B23" s="116"/>
      <c r="C23" s="31"/>
      <c r="D23" s="31"/>
      <c r="E23" s="31"/>
      <c r="F23" s="31"/>
      <c r="G23" s="117"/>
      <c r="H23" s="118" t="s">
        <v>130</v>
      </c>
      <c r="I23" s="31"/>
      <c r="J23" s="132"/>
      <c r="K23" s="130" t="s">
        <v>131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3" t="s">
        <v>132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0"/>
    </row>
    <row r="24" spans="2:65" ht="20.100000000000001" customHeight="1" x14ac:dyDescent="0.45">
      <c r="B24" s="116"/>
      <c r="C24" s="31"/>
      <c r="D24" s="31"/>
      <c r="E24" s="31"/>
      <c r="F24" s="31"/>
      <c r="G24" s="117"/>
      <c r="H24" s="118"/>
      <c r="I24" s="31"/>
      <c r="J24" s="132" t="s">
        <v>124</v>
      </c>
      <c r="K24" s="130" t="s">
        <v>133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9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0"/>
    </row>
    <row r="25" spans="2:65" ht="20.100000000000001" customHeight="1" x14ac:dyDescent="0.45">
      <c r="B25" s="116"/>
      <c r="C25" s="31"/>
      <c r="D25" s="31"/>
      <c r="E25" s="31"/>
      <c r="F25" s="31"/>
      <c r="G25" s="117"/>
      <c r="H25" s="118"/>
      <c r="I25" s="31"/>
      <c r="J25" s="132" t="s">
        <v>125</v>
      </c>
      <c r="K25" s="130" t="s">
        <v>133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9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0"/>
    </row>
    <row r="26" spans="2:65" ht="20.100000000000001" customHeight="1" x14ac:dyDescent="0.45">
      <c r="B26" s="116"/>
      <c r="C26" s="31"/>
      <c r="D26" s="31"/>
      <c r="E26" s="31"/>
      <c r="F26" s="31"/>
      <c r="G26" s="117"/>
      <c r="H26" s="118"/>
      <c r="I26" s="31"/>
      <c r="J26" s="132" t="s">
        <v>134</v>
      </c>
      <c r="K26" s="13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9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0"/>
    </row>
    <row r="27" spans="2:65" ht="20.100000000000001" customHeight="1" x14ac:dyDescent="0.45">
      <c r="B27" s="116"/>
      <c r="C27" s="31"/>
      <c r="D27" s="31"/>
      <c r="E27" s="31"/>
      <c r="F27" s="31"/>
      <c r="G27" s="117"/>
      <c r="H27" s="118"/>
      <c r="I27" s="31"/>
      <c r="J27" s="118"/>
      <c r="K27" s="31" t="s">
        <v>135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4" t="s">
        <v>136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0"/>
    </row>
    <row r="28" spans="2:65" ht="20.100000000000001" customHeight="1" x14ac:dyDescent="0.45">
      <c r="B28" s="116"/>
      <c r="C28" s="31"/>
      <c r="D28" s="31"/>
      <c r="E28" s="31"/>
      <c r="F28" s="31"/>
      <c r="G28" s="117"/>
      <c r="H28" s="118"/>
      <c r="I28" s="31"/>
      <c r="J28" s="118" t="s">
        <v>124</v>
      </c>
      <c r="K28" s="31" t="s">
        <v>137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0"/>
    </row>
    <row r="29" spans="2:65" ht="20.100000000000001" customHeight="1" x14ac:dyDescent="0.45">
      <c r="B29" s="116"/>
      <c r="C29" s="31"/>
      <c r="D29" s="31"/>
      <c r="E29" s="31"/>
      <c r="F29" s="31"/>
      <c r="G29" s="117"/>
      <c r="H29" s="118"/>
      <c r="I29" s="31"/>
      <c r="J29" s="13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0"/>
    </row>
    <row r="30" spans="2:65" ht="20.100000000000001" customHeight="1" x14ac:dyDescent="0.45">
      <c r="B30" s="116"/>
      <c r="C30" s="31"/>
      <c r="D30" s="31"/>
      <c r="E30" s="31"/>
      <c r="F30" s="31"/>
      <c r="G30" s="117"/>
      <c r="H30" s="118"/>
      <c r="I30" s="31"/>
      <c r="J30" s="118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0"/>
    </row>
    <row r="31" spans="2:65" ht="20.100000000000001" customHeight="1" x14ac:dyDescent="0.45">
      <c r="B31" s="116"/>
      <c r="C31" s="31"/>
      <c r="D31" s="31"/>
      <c r="E31" s="31"/>
      <c r="F31" s="31"/>
      <c r="G31" s="117"/>
      <c r="H31" s="124"/>
      <c r="I31" s="125"/>
      <c r="J31" s="124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4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7"/>
    </row>
    <row r="32" spans="2:65" ht="20.100000000000001" customHeight="1" x14ac:dyDescent="0.45">
      <c r="B32" s="116"/>
      <c r="C32" s="31"/>
      <c r="D32" s="31"/>
      <c r="E32" s="31"/>
      <c r="F32" s="31"/>
      <c r="G32" s="117"/>
      <c r="H32" s="118" t="s">
        <v>138</v>
      </c>
      <c r="I32" s="31"/>
      <c r="J32" s="132" t="s">
        <v>139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0"/>
    </row>
    <row r="33" spans="2:61" ht="20.100000000000001" customHeight="1" x14ac:dyDescent="0.45">
      <c r="B33" s="116"/>
      <c r="C33" s="31"/>
      <c r="D33" s="31"/>
      <c r="E33" s="31"/>
      <c r="F33" s="31"/>
      <c r="G33" s="117"/>
      <c r="H33" s="118"/>
      <c r="I33" s="31"/>
      <c r="J33" s="132" t="s">
        <v>140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0"/>
    </row>
    <row r="34" spans="2:61" ht="20.100000000000001" customHeight="1" thickBot="1" x14ac:dyDescent="0.5">
      <c r="B34" s="135"/>
      <c r="C34" s="136"/>
      <c r="D34" s="136"/>
      <c r="E34" s="136"/>
      <c r="F34" s="136"/>
      <c r="G34" s="137"/>
      <c r="H34" s="138"/>
      <c r="I34" s="136"/>
      <c r="J34" s="138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8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9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40" t="s">
        <v>141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17.59765625" style="29" bestFit="1" customWidth="1"/>
    <col min="5" max="5" width="74.19921875" style="29" bestFit="1" customWidth="1"/>
    <col min="6" max="6" width="17.59765625" style="29" bestFit="1" customWidth="1"/>
    <col min="7" max="16384" width="8.796875" style="29"/>
  </cols>
  <sheetData>
    <row r="2" spans="2:7" ht="19.2" thickBot="1" x14ac:dyDescent="0.5">
      <c r="B2" s="86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7" t="s">
        <v>152</v>
      </c>
      <c r="G3" s="78" t="s">
        <v>51</v>
      </c>
    </row>
    <row r="4" spans="2:7" x14ac:dyDescent="0.45">
      <c r="B4" s="37">
        <v>1</v>
      </c>
      <c r="C4" s="79" t="s">
        <v>18</v>
      </c>
      <c r="D4" s="79" t="s">
        <v>103</v>
      </c>
      <c r="E4" s="81" t="s">
        <v>102</v>
      </c>
      <c r="F4" s="79" t="s">
        <v>153</v>
      </c>
      <c r="G4" s="80" t="s">
        <v>150</v>
      </c>
    </row>
    <row r="5" spans="2:7" x14ac:dyDescent="0.45">
      <c r="B5" s="37">
        <v>2</v>
      </c>
      <c r="C5" s="79" t="s">
        <v>101</v>
      </c>
      <c r="D5" s="79" t="s">
        <v>148</v>
      </c>
      <c r="E5" s="81" t="s">
        <v>149</v>
      </c>
      <c r="F5" s="79" t="s">
        <v>154</v>
      </c>
      <c r="G5" s="80" t="s">
        <v>151</v>
      </c>
    </row>
    <row r="6" spans="2:7" x14ac:dyDescent="0.45">
      <c r="B6" s="37">
        <v>3</v>
      </c>
      <c r="C6" s="79"/>
      <c r="D6" s="79"/>
      <c r="E6" s="81"/>
      <c r="F6" s="79"/>
      <c r="G6" s="80"/>
    </row>
    <row r="7" spans="2:7" x14ac:dyDescent="0.45">
      <c r="B7" s="37">
        <v>4</v>
      </c>
      <c r="C7" s="79"/>
      <c r="D7" s="79"/>
      <c r="E7" s="81"/>
      <c r="F7" s="79"/>
      <c r="G7" s="80"/>
    </row>
    <row r="8" spans="2:7" x14ac:dyDescent="0.45">
      <c r="B8" s="37">
        <v>5</v>
      </c>
      <c r="C8" s="79"/>
      <c r="D8" s="79"/>
      <c r="E8" s="81"/>
      <c r="F8" s="79"/>
      <c r="G8" s="80"/>
    </row>
    <row r="9" spans="2:7" x14ac:dyDescent="0.45">
      <c r="B9" s="37">
        <v>6</v>
      </c>
      <c r="C9" s="79"/>
      <c r="D9" s="79"/>
      <c r="E9" s="81"/>
      <c r="F9" s="79"/>
      <c r="G9" s="80"/>
    </row>
    <row r="10" spans="2:7" x14ac:dyDescent="0.45">
      <c r="B10" s="37">
        <v>7</v>
      </c>
      <c r="C10" s="79"/>
      <c r="D10" s="79"/>
      <c r="E10" s="81"/>
      <c r="F10" s="79"/>
      <c r="G10" s="80"/>
    </row>
    <row r="11" spans="2:7" x14ac:dyDescent="0.45">
      <c r="B11" s="37">
        <v>8</v>
      </c>
      <c r="C11" s="79"/>
      <c r="D11" s="79"/>
      <c r="E11" s="81"/>
      <c r="F11" s="79"/>
      <c r="G11" s="80"/>
    </row>
    <row r="12" spans="2:7" x14ac:dyDescent="0.45">
      <c r="B12" s="37">
        <v>9</v>
      </c>
      <c r="C12" s="79"/>
      <c r="D12" s="79"/>
      <c r="E12" s="81"/>
      <c r="F12" s="79"/>
      <c r="G12" s="80"/>
    </row>
    <row r="13" spans="2:7" x14ac:dyDescent="0.45">
      <c r="B13" s="37">
        <v>10</v>
      </c>
      <c r="C13" s="79"/>
      <c r="D13" s="79"/>
      <c r="E13" s="81"/>
      <c r="F13" s="79"/>
      <c r="G13" s="80"/>
    </row>
    <row r="14" spans="2:7" x14ac:dyDescent="0.45">
      <c r="B14" s="37">
        <v>11</v>
      </c>
      <c r="C14" s="79"/>
      <c r="D14" s="79"/>
      <c r="E14" s="81"/>
      <c r="F14" s="79"/>
      <c r="G14" s="80"/>
    </row>
    <row r="15" spans="2:7" x14ac:dyDescent="0.45">
      <c r="B15" s="37">
        <v>12</v>
      </c>
      <c r="C15" s="79"/>
      <c r="D15" s="79"/>
      <c r="E15" s="81"/>
      <c r="F15" s="79"/>
      <c r="G15" s="80"/>
    </row>
    <row r="16" spans="2:7" x14ac:dyDescent="0.45">
      <c r="B16" s="37">
        <v>13</v>
      </c>
      <c r="C16" s="79"/>
      <c r="D16" s="79"/>
      <c r="E16" s="81"/>
      <c r="F16" s="79"/>
      <c r="G16" s="80"/>
    </row>
    <row r="17" spans="2:7" x14ac:dyDescent="0.45">
      <c r="B17" s="37">
        <v>14</v>
      </c>
      <c r="C17" s="79"/>
      <c r="D17" s="79"/>
      <c r="E17" s="81"/>
      <c r="F17" s="79"/>
      <c r="G17" s="80"/>
    </row>
    <row r="18" spans="2:7" x14ac:dyDescent="0.45">
      <c r="B18" s="37">
        <v>15</v>
      </c>
      <c r="C18" s="79"/>
      <c r="D18" s="79"/>
      <c r="E18" s="81"/>
      <c r="F18" s="79"/>
      <c r="G18" s="80"/>
    </row>
    <row r="19" spans="2:7" x14ac:dyDescent="0.45">
      <c r="B19" s="37">
        <v>16</v>
      </c>
      <c r="C19" s="79"/>
      <c r="D19" s="79"/>
      <c r="E19" s="81"/>
      <c r="F19" s="79"/>
      <c r="G19" s="80"/>
    </row>
    <row r="20" spans="2:7" x14ac:dyDescent="0.45">
      <c r="B20" s="37">
        <v>17</v>
      </c>
      <c r="C20" s="79"/>
      <c r="D20" s="79"/>
      <c r="E20" s="81"/>
      <c r="F20" s="79"/>
      <c r="G20" s="80"/>
    </row>
    <row r="21" spans="2:7" x14ac:dyDescent="0.45">
      <c r="B21" s="37">
        <v>18</v>
      </c>
      <c r="C21" s="79"/>
      <c r="D21" s="79"/>
      <c r="E21" s="81"/>
      <c r="F21" s="79"/>
      <c r="G21" s="80"/>
    </row>
    <row r="22" spans="2:7" x14ac:dyDescent="0.45">
      <c r="B22" s="37">
        <v>19</v>
      </c>
      <c r="C22" s="79"/>
      <c r="D22" s="79"/>
      <c r="E22" s="81"/>
      <c r="F22" s="79"/>
      <c r="G22" s="80"/>
    </row>
    <row r="23" spans="2:7" x14ac:dyDescent="0.45">
      <c r="B23" s="37">
        <v>20</v>
      </c>
      <c r="C23" s="79"/>
      <c r="D23" s="79"/>
      <c r="E23" s="81"/>
      <c r="F23" s="79"/>
      <c r="G23" s="80"/>
    </row>
    <row r="24" spans="2:7" x14ac:dyDescent="0.45">
      <c r="B24" s="37">
        <v>21</v>
      </c>
      <c r="C24" s="79"/>
      <c r="D24" s="79"/>
      <c r="E24" s="81"/>
      <c r="F24" s="79"/>
      <c r="G24" s="80"/>
    </row>
    <row r="25" spans="2:7" x14ac:dyDescent="0.45">
      <c r="B25" s="37">
        <v>22</v>
      </c>
      <c r="C25" s="79"/>
      <c r="D25" s="79"/>
      <c r="E25" s="81"/>
      <c r="F25" s="79"/>
      <c r="G25" s="80"/>
    </row>
    <row r="26" spans="2:7" x14ac:dyDescent="0.45">
      <c r="B26" s="37">
        <v>23</v>
      </c>
      <c r="C26" s="79"/>
      <c r="D26" s="79"/>
      <c r="E26" s="81"/>
      <c r="F26" s="79"/>
      <c r="G26" s="80"/>
    </row>
    <row r="27" spans="2:7" x14ac:dyDescent="0.45">
      <c r="B27" s="37">
        <v>24</v>
      </c>
      <c r="C27" s="79"/>
      <c r="D27" s="79"/>
      <c r="E27" s="81"/>
      <c r="F27" s="79"/>
      <c r="G27" s="80"/>
    </row>
    <row r="28" spans="2:7" x14ac:dyDescent="0.45">
      <c r="B28" s="37">
        <v>25</v>
      </c>
      <c r="C28" s="79"/>
      <c r="D28" s="79"/>
      <c r="E28" s="81"/>
      <c r="F28" s="79"/>
      <c r="G28" s="80"/>
    </row>
    <row r="29" spans="2:7" x14ac:dyDescent="0.45">
      <c r="B29" s="37">
        <v>26</v>
      </c>
      <c r="C29" s="79"/>
      <c r="D29" s="79"/>
      <c r="E29" s="81"/>
      <c r="F29" s="79"/>
      <c r="G29" s="80"/>
    </row>
    <row r="30" spans="2:7" x14ac:dyDescent="0.45">
      <c r="B30" s="37">
        <v>27</v>
      </c>
      <c r="C30" s="79"/>
      <c r="D30" s="79"/>
      <c r="E30" s="81"/>
      <c r="F30" s="79"/>
      <c r="G30" s="80"/>
    </row>
    <row r="31" spans="2:7" x14ac:dyDescent="0.45">
      <c r="B31" s="37">
        <v>28</v>
      </c>
      <c r="C31" s="79"/>
      <c r="D31" s="79"/>
      <c r="E31" s="81"/>
      <c r="F31" s="79"/>
      <c r="G31" s="80"/>
    </row>
    <row r="32" spans="2:7" x14ac:dyDescent="0.45">
      <c r="B32" s="37">
        <v>29</v>
      </c>
      <c r="C32" s="79"/>
      <c r="D32" s="79"/>
      <c r="E32" s="81"/>
      <c r="F32" s="79"/>
      <c r="G32" s="80"/>
    </row>
    <row r="33" spans="2:7" x14ac:dyDescent="0.45">
      <c r="B33" s="37">
        <v>30</v>
      </c>
      <c r="C33" s="79"/>
      <c r="D33" s="79"/>
      <c r="E33" s="81"/>
      <c r="F33" s="79"/>
      <c r="G33" s="80"/>
    </row>
    <row r="34" spans="2:7" x14ac:dyDescent="0.45">
      <c r="B34" s="37">
        <v>31</v>
      </c>
      <c r="C34" s="79"/>
      <c r="D34" s="79"/>
      <c r="E34" s="81"/>
      <c r="F34" s="79"/>
      <c r="G34" s="80"/>
    </row>
    <row r="35" spans="2:7" x14ac:dyDescent="0.45">
      <c r="B35" s="37">
        <v>32</v>
      </c>
      <c r="C35" s="79"/>
      <c r="D35" s="79"/>
      <c r="E35" s="81"/>
      <c r="F35" s="79"/>
      <c r="G35" s="80"/>
    </row>
    <row r="36" spans="2:7" x14ac:dyDescent="0.45">
      <c r="B36" s="37">
        <v>33</v>
      </c>
      <c r="C36" s="79"/>
      <c r="D36" s="79"/>
      <c r="E36" s="81"/>
      <c r="F36" s="79"/>
      <c r="G36" s="80"/>
    </row>
    <row r="37" spans="2:7" x14ac:dyDescent="0.45">
      <c r="B37" s="37">
        <v>34</v>
      </c>
      <c r="C37" s="79"/>
      <c r="D37" s="79"/>
      <c r="E37" s="81"/>
      <c r="F37" s="79"/>
      <c r="G37" s="80"/>
    </row>
    <row r="38" spans="2:7" x14ac:dyDescent="0.45">
      <c r="B38" s="37">
        <v>35</v>
      </c>
      <c r="C38" s="79"/>
      <c r="D38" s="79"/>
      <c r="E38" s="81"/>
      <c r="F38" s="79"/>
      <c r="G38" s="80"/>
    </row>
    <row r="39" spans="2:7" x14ac:dyDescent="0.45">
      <c r="B39" s="37">
        <v>36</v>
      </c>
      <c r="C39" s="79"/>
      <c r="D39" s="79"/>
      <c r="E39" s="81"/>
      <c r="F39" s="79"/>
      <c r="G39" s="80"/>
    </row>
    <row r="40" spans="2:7" x14ac:dyDescent="0.45">
      <c r="B40" s="37">
        <v>37</v>
      </c>
      <c r="C40" s="79"/>
      <c r="D40" s="79"/>
      <c r="E40" s="81"/>
      <c r="F40" s="79"/>
      <c r="G40" s="80"/>
    </row>
    <row r="41" spans="2:7" x14ac:dyDescent="0.45">
      <c r="B41" s="37">
        <v>38</v>
      </c>
      <c r="C41" s="79"/>
      <c r="D41" s="79"/>
      <c r="E41" s="81"/>
      <c r="F41" s="79"/>
      <c r="G41" s="80"/>
    </row>
    <row r="42" spans="2:7" x14ac:dyDescent="0.45">
      <c r="B42" s="37">
        <v>39</v>
      </c>
      <c r="C42" s="79"/>
      <c r="D42" s="79"/>
      <c r="E42" s="81"/>
      <c r="F42" s="79"/>
      <c r="G42" s="80"/>
    </row>
    <row r="43" spans="2:7" x14ac:dyDescent="0.45">
      <c r="B43" s="37">
        <v>40</v>
      </c>
      <c r="C43" s="79"/>
      <c r="D43" s="79"/>
      <c r="E43" s="81"/>
      <c r="F43" s="79"/>
      <c r="G43" s="80"/>
    </row>
    <row r="44" spans="2:7" x14ac:dyDescent="0.45">
      <c r="B44" s="37">
        <v>41</v>
      </c>
      <c r="C44" s="79"/>
      <c r="D44" s="79"/>
      <c r="E44" s="81"/>
      <c r="F44" s="79"/>
      <c r="G44" s="80"/>
    </row>
    <row r="45" spans="2:7" x14ac:dyDescent="0.45">
      <c r="B45" s="37">
        <v>42</v>
      </c>
      <c r="C45" s="79"/>
      <c r="D45" s="79"/>
      <c r="E45" s="81"/>
      <c r="F45" s="79"/>
      <c r="G45" s="80"/>
    </row>
    <row r="46" spans="2:7" x14ac:dyDescent="0.45">
      <c r="B46" s="37">
        <v>43</v>
      </c>
      <c r="C46" s="79"/>
      <c r="D46" s="79"/>
      <c r="E46" s="81"/>
      <c r="F46" s="79"/>
      <c r="G46" s="80"/>
    </row>
    <row r="47" spans="2:7" x14ac:dyDescent="0.45">
      <c r="B47" s="37">
        <v>44</v>
      </c>
      <c r="C47" s="79"/>
      <c r="D47" s="79"/>
      <c r="E47" s="81"/>
      <c r="F47" s="79"/>
      <c r="G47" s="80"/>
    </row>
    <row r="48" spans="2:7" x14ac:dyDescent="0.45">
      <c r="B48" s="37">
        <v>45</v>
      </c>
      <c r="C48" s="79"/>
      <c r="D48" s="79"/>
      <c r="E48" s="81"/>
      <c r="F48" s="79"/>
      <c r="G48" s="80"/>
    </row>
    <row r="49" spans="2:7" x14ac:dyDescent="0.45">
      <c r="B49" s="37">
        <v>46</v>
      </c>
      <c r="C49" s="79"/>
      <c r="D49" s="79"/>
      <c r="E49" s="81"/>
      <c r="F49" s="79"/>
      <c r="G49" s="80"/>
    </row>
    <row r="50" spans="2:7" x14ac:dyDescent="0.45">
      <c r="B50" s="37">
        <v>47</v>
      </c>
      <c r="C50" s="79"/>
      <c r="D50" s="79"/>
      <c r="E50" s="81"/>
      <c r="F50" s="79"/>
      <c r="G50" s="80"/>
    </row>
    <row r="51" spans="2:7" x14ac:dyDescent="0.45">
      <c r="B51" s="37">
        <v>48</v>
      </c>
      <c r="C51" s="79"/>
      <c r="D51" s="79"/>
      <c r="E51" s="81"/>
      <c r="F51" s="79"/>
      <c r="G51" s="80"/>
    </row>
    <row r="52" spans="2:7" x14ac:dyDescent="0.45">
      <c r="B52" s="37">
        <v>49</v>
      </c>
      <c r="C52" s="79"/>
      <c r="D52" s="79"/>
      <c r="E52" s="81"/>
      <c r="F52" s="79"/>
      <c r="G52" s="80"/>
    </row>
    <row r="53" spans="2:7" x14ac:dyDescent="0.45">
      <c r="B53" s="37">
        <v>50</v>
      </c>
      <c r="C53" s="79"/>
      <c r="D53" s="79"/>
      <c r="E53" s="81"/>
      <c r="F53" s="79"/>
      <c r="G53" s="80"/>
    </row>
    <row r="54" spans="2:7" ht="18.600000000000001" thickBot="1" x14ac:dyDescent="0.5">
      <c r="B54" s="82">
        <v>51</v>
      </c>
      <c r="C54" s="83"/>
      <c r="D54" s="83"/>
      <c r="E54" s="84"/>
      <c r="F54" s="83"/>
      <c r="G54" s="8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view="pageBreakPreview" zoomScaleNormal="100" zoomScaleSheetLayoutView="100" workbookViewId="0"/>
  </sheetViews>
  <sheetFormatPr defaultRowHeight="13.2" x14ac:dyDescent="0.45"/>
  <cols>
    <col min="1" max="3" width="8.796875" style="93"/>
    <col min="4" max="5" width="8.796875" style="93" customWidth="1"/>
    <col min="6" max="6" width="9" style="93" customWidth="1"/>
    <col min="7" max="12" width="4.19921875" style="93" customWidth="1"/>
    <col min="13" max="261" width="8.796875" style="93"/>
    <col min="262" max="262" width="9" style="93" bestFit="1" customWidth="1"/>
    <col min="263" max="268" width="4.19921875" style="93" customWidth="1"/>
    <col min="269" max="517" width="8.796875" style="93"/>
    <col min="518" max="518" width="9" style="93" bestFit="1" customWidth="1"/>
    <col min="519" max="524" width="4.19921875" style="93" customWidth="1"/>
    <col min="525" max="773" width="8.796875" style="93"/>
    <col min="774" max="774" width="9" style="93" bestFit="1" customWidth="1"/>
    <col min="775" max="780" width="4.19921875" style="93" customWidth="1"/>
    <col min="781" max="1029" width="8.796875" style="93"/>
    <col min="1030" max="1030" width="9" style="93" bestFit="1" customWidth="1"/>
    <col min="1031" max="1036" width="4.19921875" style="93" customWidth="1"/>
    <col min="1037" max="1285" width="8.796875" style="93"/>
    <col min="1286" max="1286" width="9" style="93" bestFit="1" customWidth="1"/>
    <col min="1287" max="1292" width="4.19921875" style="93" customWidth="1"/>
    <col min="1293" max="1541" width="8.796875" style="93"/>
    <col min="1542" max="1542" width="9" style="93" bestFit="1" customWidth="1"/>
    <col min="1543" max="1548" width="4.19921875" style="93" customWidth="1"/>
    <col min="1549" max="1797" width="8.796875" style="93"/>
    <col min="1798" max="1798" width="9" style="93" bestFit="1" customWidth="1"/>
    <col min="1799" max="1804" width="4.19921875" style="93" customWidth="1"/>
    <col min="1805" max="2053" width="8.796875" style="93"/>
    <col min="2054" max="2054" width="9" style="93" bestFit="1" customWidth="1"/>
    <col min="2055" max="2060" width="4.19921875" style="93" customWidth="1"/>
    <col min="2061" max="2309" width="8.796875" style="93"/>
    <col min="2310" max="2310" width="9" style="93" bestFit="1" customWidth="1"/>
    <col min="2311" max="2316" width="4.19921875" style="93" customWidth="1"/>
    <col min="2317" max="2565" width="8.796875" style="93"/>
    <col min="2566" max="2566" width="9" style="93" bestFit="1" customWidth="1"/>
    <col min="2567" max="2572" width="4.19921875" style="93" customWidth="1"/>
    <col min="2573" max="2821" width="8.796875" style="93"/>
    <col min="2822" max="2822" width="9" style="93" bestFit="1" customWidth="1"/>
    <col min="2823" max="2828" width="4.19921875" style="93" customWidth="1"/>
    <col min="2829" max="3077" width="8.796875" style="93"/>
    <col min="3078" max="3078" width="9" style="93" bestFit="1" customWidth="1"/>
    <col min="3079" max="3084" width="4.19921875" style="93" customWidth="1"/>
    <col min="3085" max="3333" width="8.796875" style="93"/>
    <col min="3334" max="3334" width="9" style="93" bestFit="1" customWidth="1"/>
    <col min="3335" max="3340" width="4.19921875" style="93" customWidth="1"/>
    <col min="3341" max="3589" width="8.796875" style="93"/>
    <col min="3590" max="3590" width="9" style="93" bestFit="1" customWidth="1"/>
    <col min="3591" max="3596" width="4.19921875" style="93" customWidth="1"/>
    <col min="3597" max="3845" width="8.796875" style="93"/>
    <col min="3846" max="3846" width="9" style="93" bestFit="1" customWidth="1"/>
    <col min="3847" max="3852" width="4.19921875" style="93" customWidth="1"/>
    <col min="3853" max="4101" width="8.796875" style="93"/>
    <col min="4102" max="4102" width="9" style="93" bestFit="1" customWidth="1"/>
    <col min="4103" max="4108" width="4.19921875" style="93" customWidth="1"/>
    <col min="4109" max="4357" width="8.796875" style="93"/>
    <col min="4358" max="4358" width="9" style="93" bestFit="1" customWidth="1"/>
    <col min="4359" max="4364" width="4.19921875" style="93" customWidth="1"/>
    <col min="4365" max="4613" width="8.796875" style="93"/>
    <col min="4614" max="4614" width="9" style="93" bestFit="1" customWidth="1"/>
    <col min="4615" max="4620" width="4.19921875" style="93" customWidth="1"/>
    <col min="4621" max="4869" width="8.796875" style="93"/>
    <col min="4870" max="4870" width="9" style="93" bestFit="1" customWidth="1"/>
    <col min="4871" max="4876" width="4.19921875" style="93" customWidth="1"/>
    <col min="4877" max="5125" width="8.796875" style="93"/>
    <col min="5126" max="5126" width="9" style="93" bestFit="1" customWidth="1"/>
    <col min="5127" max="5132" width="4.19921875" style="93" customWidth="1"/>
    <col min="5133" max="5381" width="8.796875" style="93"/>
    <col min="5382" max="5382" width="9" style="93" bestFit="1" customWidth="1"/>
    <col min="5383" max="5388" width="4.19921875" style="93" customWidth="1"/>
    <col min="5389" max="5637" width="8.796875" style="93"/>
    <col min="5638" max="5638" width="9" style="93" bestFit="1" customWidth="1"/>
    <col min="5639" max="5644" width="4.19921875" style="93" customWidth="1"/>
    <col min="5645" max="5893" width="8.796875" style="93"/>
    <col min="5894" max="5894" width="9" style="93" bestFit="1" customWidth="1"/>
    <col min="5895" max="5900" width="4.19921875" style="93" customWidth="1"/>
    <col min="5901" max="6149" width="8.796875" style="93"/>
    <col min="6150" max="6150" width="9" style="93" bestFit="1" customWidth="1"/>
    <col min="6151" max="6156" width="4.19921875" style="93" customWidth="1"/>
    <col min="6157" max="6405" width="8.796875" style="93"/>
    <col min="6406" max="6406" width="9" style="93" bestFit="1" customWidth="1"/>
    <col min="6407" max="6412" width="4.19921875" style="93" customWidth="1"/>
    <col min="6413" max="6661" width="8.796875" style="93"/>
    <col min="6662" max="6662" width="9" style="93" bestFit="1" customWidth="1"/>
    <col min="6663" max="6668" width="4.19921875" style="93" customWidth="1"/>
    <col min="6669" max="6917" width="8.796875" style="93"/>
    <col min="6918" max="6918" width="9" style="93" bestFit="1" customWidth="1"/>
    <col min="6919" max="6924" width="4.19921875" style="93" customWidth="1"/>
    <col min="6925" max="7173" width="8.796875" style="93"/>
    <col min="7174" max="7174" width="9" style="93" bestFit="1" customWidth="1"/>
    <col min="7175" max="7180" width="4.19921875" style="93" customWidth="1"/>
    <col min="7181" max="7429" width="8.796875" style="93"/>
    <col min="7430" max="7430" width="9" style="93" bestFit="1" customWidth="1"/>
    <col min="7431" max="7436" width="4.19921875" style="93" customWidth="1"/>
    <col min="7437" max="7685" width="8.796875" style="93"/>
    <col min="7686" max="7686" width="9" style="93" bestFit="1" customWidth="1"/>
    <col min="7687" max="7692" width="4.19921875" style="93" customWidth="1"/>
    <col min="7693" max="7941" width="8.796875" style="93"/>
    <col min="7942" max="7942" width="9" style="93" bestFit="1" customWidth="1"/>
    <col min="7943" max="7948" width="4.19921875" style="93" customWidth="1"/>
    <col min="7949" max="8197" width="8.796875" style="93"/>
    <col min="8198" max="8198" width="9" style="93" bestFit="1" customWidth="1"/>
    <col min="8199" max="8204" width="4.19921875" style="93" customWidth="1"/>
    <col min="8205" max="8453" width="8.796875" style="93"/>
    <col min="8454" max="8454" width="9" style="93" bestFit="1" customWidth="1"/>
    <col min="8455" max="8460" width="4.19921875" style="93" customWidth="1"/>
    <col min="8461" max="8709" width="8.796875" style="93"/>
    <col min="8710" max="8710" width="9" style="93" bestFit="1" customWidth="1"/>
    <col min="8711" max="8716" width="4.19921875" style="93" customWidth="1"/>
    <col min="8717" max="8965" width="8.796875" style="93"/>
    <col min="8966" max="8966" width="9" style="93" bestFit="1" customWidth="1"/>
    <col min="8967" max="8972" width="4.19921875" style="93" customWidth="1"/>
    <col min="8973" max="9221" width="8.796875" style="93"/>
    <col min="9222" max="9222" width="9" style="93" bestFit="1" customWidth="1"/>
    <col min="9223" max="9228" width="4.19921875" style="93" customWidth="1"/>
    <col min="9229" max="9477" width="8.796875" style="93"/>
    <col min="9478" max="9478" width="9" style="93" bestFit="1" customWidth="1"/>
    <col min="9479" max="9484" width="4.19921875" style="93" customWidth="1"/>
    <col min="9485" max="9733" width="8.796875" style="93"/>
    <col min="9734" max="9734" width="9" style="93" bestFit="1" customWidth="1"/>
    <col min="9735" max="9740" width="4.19921875" style="93" customWidth="1"/>
    <col min="9741" max="9989" width="8.796875" style="93"/>
    <col min="9990" max="9990" width="9" style="93" bestFit="1" customWidth="1"/>
    <col min="9991" max="9996" width="4.19921875" style="93" customWidth="1"/>
    <col min="9997" max="10245" width="8.796875" style="93"/>
    <col min="10246" max="10246" width="9" style="93" bestFit="1" customWidth="1"/>
    <col min="10247" max="10252" width="4.19921875" style="93" customWidth="1"/>
    <col min="10253" max="10501" width="8.796875" style="93"/>
    <col min="10502" max="10502" width="9" style="93" bestFit="1" customWidth="1"/>
    <col min="10503" max="10508" width="4.19921875" style="93" customWidth="1"/>
    <col min="10509" max="10757" width="8.796875" style="93"/>
    <col min="10758" max="10758" width="9" style="93" bestFit="1" customWidth="1"/>
    <col min="10759" max="10764" width="4.19921875" style="93" customWidth="1"/>
    <col min="10765" max="11013" width="8.796875" style="93"/>
    <col min="11014" max="11014" width="9" style="93" bestFit="1" customWidth="1"/>
    <col min="11015" max="11020" width="4.19921875" style="93" customWidth="1"/>
    <col min="11021" max="11269" width="8.796875" style="93"/>
    <col min="11270" max="11270" width="9" style="93" bestFit="1" customWidth="1"/>
    <col min="11271" max="11276" width="4.19921875" style="93" customWidth="1"/>
    <col min="11277" max="11525" width="8.796875" style="93"/>
    <col min="11526" max="11526" width="9" style="93" bestFit="1" customWidth="1"/>
    <col min="11527" max="11532" width="4.19921875" style="93" customWidth="1"/>
    <col min="11533" max="11781" width="8.796875" style="93"/>
    <col min="11782" max="11782" width="9" style="93" bestFit="1" customWidth="1"/>
    <col min="11783" max="11788" width="4.19921875" style="93" customWidth="1"/>
    <col min="11789" max="12037" width="8.796875" style="93"/>
    <col min="12038" max="12038" width="9" style="93" bestFit="1" customWidth="1"/>
    <col min="12039" max="12044" width="4.19921875" style="93" customWidth="1"/>
    <col min="12045" max="12293" width="8.796875" style="93"/>
    <col min="12294" max="12294" width="9" style="93" bestFit="1" customWidth="1"/>
    <col min="12295" max="12300" width="4.19921875" style="93" customWidth="1"/>
    <col min="12301" max="12549" width="8.796875" style="93"/>
    <col min="12550" max="12550" width="9" style="93" bestFit="1" customWidth="1"/>
    <col min="12551" max="12556" width="4.19921875" style="93" customWidth="1"/>
    <col min="12557" max="12805" width="8.796875" style="93"/>
    <col min="12806" max="12806" width="9" style="93" bestFit="1" customWidth="1"/>
    <col min="12807" max="12812" width="4.19921875" style="93" customWidth="1"/>
    <col min="12813" max="13061" width="8.796875" style="93"/>
    <col min="13062" max="13062" width="9" style="93" bestFit="1" customWidth="1"/>
    <col min="13063" max="13068" width="4.19921875" style="93" customWidth="1"/>
    <col min="13069" max="13317" width="8.796875" style="93"/>
    <col min="13318" max="13318" width="9" style="93" bestFit="1" customWidth="1"/>
    <col min="13319" max="13324" width="4.19921875" style="93" customWidth="1"/>
    <col min="13325" max="13573" width="8.796875" style="93"/>
    <col min="13574" max="13574" width="9" style="93" bestFit="1" customWidth="1"/>
    <col min="13575" max="13580" width="4.19921875" style="93" customWidth="1"/>
    <col min="13581" max="13829" width="8.796875" style="93"/>
    <col min="13830" max="13830" width="9" style="93" bestFit="1" customWidth="1"/>
    <col min="13831" max="13836" width="4.19921875" style="93" customWidth="1"/>
    <col min="13837" max="14085" width="8.796875" style="93"/>
    <col min="14086" max="14086" width="9" style="93" bestFit="1" customWidth="1"/>
    <col min="14087" max="14092" width="4.19921875" style="93" customWidth="1"/>
    <col min="14093" max="14341" width="8.796875" style="93"/>
    <col min="14342" max="14342" width="9" style="93" bestFit="1" customWidth="1"/>
    <col min="14343" max="14348" width="4.19921875" style="93" customWidth="1"/>
    <col min="14349" max="14597" width="8.796875" style="93"/>
    <col min="14598" max="14598" width="9" style="93" bestFit="1" customWidth="1"/>
    <col min="14599" max="14604" width="4.19921875" style="93" customWidth="1"/>
    <col min="14605" max="14853" width="8.796875" style="93"/>
    <col min="14854" max="14854" width="9" style="93" bestFit="1" customWidth="1"/>
    <col min="14855" max="14860" width="4.19921875" style="93" customWidth="1"/>
    <col min="14861" max="15109" width="8.796875" style="93"/>
    <col min="15110" max="15110" width="9" style="93" bestFit="1" customWidth="1"/>
    <col min="15111" max="15116" width="4.19921875" style="93" customWidth="1"/>
    <col min="15117" max="15365" width="8.796875" style="93"/>
    <col min="15366" max="15366" width="9" style="93" bestFit="1" customWidth="1"/>
    <col min="15367" max="15372" width="4.19921875" style="93" customWidth="1"/>
    <col min="15373" max="15621" width="8.796875" style="93"/>
    <col min="15622" max="15622" width="9" style="93" bestFit="1" customWidth="1"/>
    <col min="15623" max="15628" width="4.19921875" style="93" customWidth="1"/>
    <col min="15629" max="15877" width="8.796875" style="93"/>
    <col min="15878" max="15878" width="9" style="93" bestFit="1" customWidth="1"/>
    <col min="15879" max="15884" width="4.19921875" style="93" customWidth="1"/>
    <col min="15885" max="16133" width="8.796875" style="93"/>
    <col min="16134" max="16134" width="9" style="93" bestFit="1" customWidth="1"/>
    <col min="16135" max="16140" width="4.19921875" style="93" customWidth="1"/>
    <col min="16141" max="16384" width="8.796875" style="93"/>
  </cols>
  <sheetData>
    <row r="1" spans="1:13" ht="20.100000000000001" customHeight="1" x14ac:dyDescent="0.45">
      <c r="A1" s="88"/>
      <c r="B1" s="89"/>
      <c r="C1" s="89"/>
      <c r="D1" s="89"/>
      <c r="E1" s="89" t="s">
        <v>53</v>
      </c>
      <c r="F1" s="271">
        <v>44022</v>
      </c>
      <c r="G1" s="271"/>
      <c r="H1" s="271"/>
      <c r="I1" s="271"/>
      <c r="J1" s="90"/>
      <c r="K1" s="91"/>
      <c r="L1" s="92"/>
    </row>
    <row r="2" spans="1:13" ht="8.1" customHeight="1" x14ac:dyDescent="0.45">
      <c r="A2" s="94"/>
      <c r="B2" s="95"/>
      <c r="C2" s="95"/>
      <c r="D2" s="95"/>
      <c r="E2" s="95"/>
      <c r="F2" s="95"/>
      <c r="G2" s="95"/>
      <c r="H2" s="96"/>
      <c r="I2" s="95"/>
      <c r="J2" s="96"/>
      <c r="K2" s="95"/>
      <c r="L2" s="97"/>
    </row>
    <row r="3" spans="1:13" ht="28.5" customHeight="1" x14ac:dyDescent="0.45">
      <c r="A3" s="272" t="s">
        <v>54</v>
      </c>
      <c r="B3" s="273"/>
      <c r="C3" s="273"/>
      <c r="D3" s="273"/>
      <c r="E3" s="274" t="s">
        <v>55</v>
      </c>
      <c r="F3" s="274"/>
      <c r="G3" s="275" t="s">
        <v>56</v>
      </c>
      <c r="H3" s="275"/>
      <c r="I3" s="275"/>
      <c r="J3" s="276" t="s">
        <v>98</v>
      </c>
      <c r="K3" s="276"/>
      <c r="L3" s="277"/>
    </row>
    <row r="4" spans="1:13" ht="8.1" customHeight="1" thickBot="1" x14ac:dyDescent="0.5">
      <c r="A4" s="98"/>
      <c r="B4" s="99"/>
      <c r="C4" s="99"/>
      <c r="D4" s="99"/>
      <c r="E4" s="99"/>
      <c r="F4" s="99"/>
      <c r="G4" s="99"/>
      <c r="H4" s="99"/>
      <c r="I4" s="99"/>
      <c r="J4" s="99"/>
      <c r="K4" s="99"/>
      <c r="L4" s="100"/>
    </row>
    <row r="5" spans="1:13" ht="20.100000000000001" customHeight="1" thickBot="1" x14ac:dyDescent="0.5">
      <c r="A5" s="251" t="s">
        <v>57</v>
      </c>
      <c r="B5" s="252"/>
      <c r="C5" s="252" t="s">
        <v>58</v>
      </c>
      <c r="D5" s="252"/>
      <c r="E5" s="252"/>
      <c r="F5" s="252"/>
      <c r="G5" s="252"/>
      <c r="H5" s="252"/>
      <c r="I5" s="252"/>
      <c r="J5" s="252"/>
      <c r="K5" s="252"/>
      <c r="L5" s="253"/>
    </row>
    <row r="6" spans="1:13" ht="26.1" customHeight="1" thickBot="1" x14ac:dyDescent="0.5">
      <c r="A6" s="261"/>
      <c r="B6" s="262"/>
      <c r="C6" s="263" t="s">
        <v>59</v>
      </c>
      <c r="D6" s="264"/>
      <c r="E6" s="264"/>
      <c r="F6" s="264"/>
      <c r="G6" s="264"/>
      <c r="H6" s="264"/>
      <c r="I6" s="264"/>
      <c r="J6" s="264"/>
      <c r="K6" s="264"/>
      <c r="L6" s="265"/>
    </row>
    <row r="7" spans="1:13" ht="20.100000000000001" customHeight="1" thickBot="1" x14ac:dyDescent="0.5">
      <c r="A7" s="251" t="s">
        <v>60</v>
      </c>
      <c r="B7" s="252"/>
      <c r="C7" s="252" t="s">
        <v>61</v>
      </c>
      <c r="D7" s="252"/>
      <c r="E7" s="252"/>
      <c r="F7" s="252"/>
      <c r="G7" s="252"/>
      <c r="H7" s="252"/>
      <c r="I7" s="252"/>
      <c r="J7" s="252"/>
      <c r="K7" s="252"/>
      <c r="L7" s="253"/>
    </row>
    <row r="8" spans="1:13" ht="26.1" customHeight="1" thickBot="1" x14ac:dyDescent="0.5">
      <c r="A8" s="266"/>
      <c r="B8" s="267"/>
      <c r="C8" s="268">
        <v>44041</v>
      </c>
      <c r="D8" s="269"/>
      <c r="E8" s="269"/>
      <c r="F8" s="269"/>
      <c r="G8" s="269"/>
      <c r="H8" s="269"/>
      <c r="I8" s="269"/>
      <c r="J8" s="269"/>
      <c r="K8" s="269"/>
      <c r="L8" s="270"/>
      <c r="M8" s="101"/>
    </row>
    <row r="9" spans="1:13" ht="4.2" customHeight="1" thickBot="1" x14ac:dyDescent="0.5">
      <c r="A9" s="102"/>
      <c r="B9" s="103"/>
      <c r="C9" s="99"/>
      <c r="D9" s="99"/>
      <c r="E9" s="99"/>
      <c r="F9" s="99"/>
      <c r="G9" s="99"/>
      <c r="H9" s="99"/>
      <c r="I9" s="99"/>
      <c r="J9" s="99"/>
      <c r="K9" s="99"/>
      <c r="L9" s="100"/>
      <c r="M9" s="104"/>
    </row>
    <row r="10" spans="1:13" ht="20.100000000000001" customHeight="1" thickBot="1" x14ac:dyDescent="0.5">
      <c r="A10" s="251" t="s">
        <v>62</v>
      </c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3"/>
    </row>
    <row r="11" spans="1:13" ht="33" customHeight="1" x14ac:dyDescent="0.45">
      <c r="A11" s="254" t="s">
        <v>63</v>
      </c>
      <c r="B11" s="255"/>
      <c r="C11" s="220" t="s">
        <v>95</v>
      </c>
      <c r="D11" s="221"/>
      <c r="E11" s="221"/>
      <c r="F11" s="221"/>
      <c r="G11" s="221"/>
      <c r="H11" s="221"/>
      <c r="I11" s="221"/>
      <c r="J11" s="221"/>
      <c r="K11" s="221"/>
      <c r="L11" s="222"/>
    </row>
    <row r="12" spans="1:13" ht="26.1" customHeight="1" x14ac:dyDescent="0.25">
      <c r="A12" s="256" t="s">
        <v>64</v>
      </c>
      <c r="B12" s="257"/>
      <c r="C12" s="223" t="s">
        <v>100</v>
      </c>
      <c r="D12" s="224"/>
      <c r="E12" s="224"/>
      <c r="F12" s="224"/>
      <c r="G12" s="224"/>
      <c r="H12" s="224"/>
      <c r="I12" s="224"/>
      <c r="J12" s="224"/>
      <c r="K12" s="224"/>
      <c r="L12" s="225"/>
    </row>
    <row r="13" spans="1:13" ht="4.2" customHeight="1" thickBot="1" x14ac:dyDescent="0.5">
      <c r="A13" s="94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105"/>
    </row>
    <row r="14" spans="1:13" ht="27.9" customHeight="1" thickBot="1" x14ac:dyDescent="0.5">
      <c r="A14" s="248" t="s">
        <v>73</v>
      </c>
      <c r="B14" s="249"/>
      <c r="C14" s="249"/>
      <c r="D14" s="249"/>
      <c r="E14" s="249"/>
      <c r="F14" s="249"/>
      <c r="G14" s="249"/>
      <c r="H14" s="249"/>
      <c r="I14" s="249"/>
      <c r="J14" s="249"/>
      <c r="K14" s="249"/>
      <c r="L14" s="250"/>
    </row>
    <row r="15" spans="1:13" ht="24" customHeight="1" x14ac:dyDescent="0.45">
      <c r="A15" s="258" t="s">
        <v>74</v>
      </c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60"/>
    </row>
    <row r="16" spans="1:13" ht="24" customHeight="1" x14ac:dyDescent="0.45">
      <c r="A16" s="247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6"/>
    </row>
    <row r="17" spans="1:12" ht="24" customHeight="1" x14ac:dyDescent="0.45">
      <c r="A17" s="247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6"/>
    </row>
    <row r="18" spans="1:12" ht="24" customHeight="1" x14ac:dyDescent="0.45">
      <c r="A18" s="247" t="s">
        <v>75</v>
      </c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6"/>
    </row>
    <row r="19" spans="1:12" ht="24" customHeight="1" x14ac:dyDescent="0.45">
      <c r="A19" s="244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6"/>
    </row>
    <row r="20" spans="1:12" ht="24" customHeight="1" x14ac:dyDescent="0.45">
      <c r="A20" s="247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6"/>
    </row>
    <row r="21" spans="1:12" ht="24" customHeight="1" x14ac:dyDescent="0.45">
      <c r="A21" s="244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6"/>
    </row>
    <row r="22" spans="1:12" ht="24" customHeight="1" x14ac:dyDescent="0.45">
      <c r="A22" s="247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6"/>
    </row>
    <row r="23" spans="1:12" ht="24" customHeight="1" x14ac:dyDescent="0.45">
      <c r="A23" s="247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6"/>
    </row>
    <row r="24" spans="1:12" s="106" customFormat="1" ht="24" customHeight="1" x14ac:dyDescent="0.45">
      <c r="A24" s="247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6"/>
    </row>
    <row r="25" spans="1:12" s="106" customFormat="1" ht="24" customHeight="1" x14ac:dyDescent="0.45">
      <c r="A25" s="247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6"/>
    </row>
    <row r="26" spans="1:12" s="106" customFormat="1" ht="24" customHeight="1" x14ac:dyDescent="0.45">
      <c r="A26" s="235"/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7"/>
    </row>
    <row r="27" spans="1:12" s="106" customFormat="1" ht="24" customHeight="1" x14ac:dyDescent="0.45">
      <c r="A27" s="235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7"/>
    </row>
    <row r="28" spans="1:12" s="106" customFormat="1" ht="24" customHeight="1" thickBot="1" x14ac:dyDescent="0.5">
      <c r="A28" s="238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40"/>
    </row>
    <row r="29" spans="1:12" s="106" customFormat="1" ht="24" customHeight="1" thickBot="1" x14ac:dyDescent="0.5">
      <c r="A29" s="226"/>
      <c r="B29" s="227"/>
      <c r="C29" s="227"/>
      <c r="D29" s="227"/>
      <c r="E29" s="227"/>
      <c r="F29" s="228"/>
      <c r="G29" s="241" t="s">
        <v>156</v>
      </c>
      <c r="H29" s="242"/>
      <c r="I29" s="241" t="s">
        <v>155</v>
      </c>
      <c r="J29" s="243"/>
      <c r="K29" s="242" t="s">
        <v>78</v>
      </c>
      <c r="L29" s="243"/>
    </row>
    <row r="30" spans="1:12" s="106" customFormat="1" ht="24" customHeight="1" x14ac:dyDescent="0.45">
      <c r="A30" s="229"/>
      <c r="B30" s="230"/>
      <c r="C30" s="230"/>
      <c r="D30" s="230"/>
      <c r="E30" s="230"/>
      <c r="F30" s="231"/>
      <c r="G30" s="229"/>
      <c r="H30" s="230"/>
      <c r="I30" s="229"/>
      <c r="J30" s="231"/>
      <c r="K30" s="230"/>
      <c r="L30" s="231"/>
    </row>
    <row r="31" spans="1:12" s="106" customFormat="1" ht="24" customHeight="1" thickBot="1" x14ac:dyDescent="0.5">
      <c r="A31" s="232"/>
      <c r="B31" s="233"/>
      <c r="C31" s="233"/>
      <c r="D31" s="233"/>
      <c r="E31" s="233"/>
      <c r="F31" s="234"/>
      <c r="G31" s="232"/>
      <c r="H31" s="233"/>
      <c r="I31" s="232"/>
      <c r="J31" s="234"/>
      <c r="K31" s="233"/>
      <c r="L31" s="234"/>
    </row>
    <row r="32" spans="1:12" s="108" customFormat="1" ht="14.4" x14ac:dyDescent="0.45">
      <c r="A32" s="211" t="s">
        <v>80</v>
      </c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3"/>
    </row>
    <row r="33" spans="1:12" s="108" customFormat="1" x14ac:dyDescent="0.45">
      <c r="A33" s="214" t="s">
        <v>81</v>
      </c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6"/>
    </row>
    <row r="34" spans="1:12" s="108" customFormat="1" x14ac:dyDescent="0.45">
      <c r="A34" s="214" t="s">
        <v>82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6"/>
    </row>
    <row r="35" spans="1:12" s="108" customFormat="1" ht="13.8" thickBot="1" x14ac:dyDescent="0.5">
      <c r="A35" s="217"/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1:12" ht="24" customHeight="1" x14ac:dyDescent="0.45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</row>
    <row r="37" spans="1:12" ht="24" customHeight="1" x14ac:dyDescent="0.45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</row>
    <row r="38" spans="1:12" ht="24" customHeight="1" x14ac:dyDescent="0.45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ht="24" customHeight="1" x14ac:dyDescent="0.45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</row>
    <row r="40" spans="1:12" ht="24" customHeight="1" x14ac:dyDescent="0.45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</row>
    <row r="41" spans="1:12" ht="24" customHeight="1" x14ac:dyDescent="0.45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ht="24" customHeight="1" x14ac:dyDescent="0.4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</row>
    <row r="43" spans="1:12" ht="24" customHeight="1" x14ac:dyDescent="0.45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</row>
    <row r="44" spans="1:12" ht="24" customHeight="1" x14ac:dyDescent="0.4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</row>
    <row r="45" spans="1:12" x14ac:dyDescent="0.4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</row>
    <row r="46" spans="1:12" x14ac:dyDescent="0.4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</row>
    <row r="47" spans="1:12" x14ac:dyDescent="0.45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</row>
    <row r="48" spans="1:12" x14ac:dyDescent="0.4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</row>
  </sheetData>
  <sheetProtection selectLockedCells="1"/>
  <mergeCells count="46">
    <mergeCell ref="A5:B5"/>
    <mergeCell ref="C5:L5"/>
    <mergeCell ref="F1:I1"/>
    <mergeCell ref="A3:D3"/>
    <mergeCell ref="E3:F3"/>
    <mergeCell ref="G3:I3"/>
    <mergeCell ref="J3:L3"/>
    <mergeCell ref="A6:B6"/>
    <mergeCell ref="C6:L6"/>
    <mergeCell ref="A7:B7"/>
    <mergeCell ref="C7:L7"/>
    <mergeCell ref="A8:B8"/>
    <mergeCell ref="C8:L8"/>
    <mergeCell ref="A20:L20"/>
    <mergeCell ref="A14:L14"/>
    <mergeCell ref="A10:L10"/>
    <mergeCell ref="A11:B11"/>
    <mergeCell ref="A12:B12"/>
    <mergeCell ref="A15:L15"/>
    <mergeCell ref="A16:L16"/>
    <mergeCell ref="A17:L17"/>
    <mergeCell ref="A18:L18"/>
    <mergeCell ref="A19:L19"/>
    <mergeCell ref="K29:L29"/>
    <mergeCell ref="A21:L21"/>
    <mergeCell ref="A22:L22"/>
    <mergeCell ref="A23:L23"/>
    <mergeCell ref="A24:L24"/>
    <mergeCell ref="A25:L25"/>
    <mergeCell ref="A26:L26"/>
    <mergeCell ref="A32:L32"/>
    <mergeCell ref="A33:L33"/>
    <mergeCell ref="A34:L34"/>
    <mergeCell ref="A35:L35"/>
    <mergeCell ref="C11:L11"/>
    <mergeCell ref="C12:L12"/>
    <mergeCell ref="A29:F29"/>
    <mergeCell ref="A30:F30"/>
    <mergeCell ref="A31:F31"/>
    <mergeCell ref="G30:H31"/>
    <mergeCell ref="I30:J31"/>
    <mergeCell ref="K30:L31"/>
    <mergeCell ref="A27:L27"/>
    <mergeCell ref="A28:L28"/>
    <mergeCell ref="G29:H29"/>
    <mergeCell ref="I29:J29"/>
  </mergeCells>
  <phoneticPr fontId="2"/>
  <pageMargins left="1.1023622047244095" right="0.70866141732283472" top="0.35433070866141736" bottom="0.35433070866141736" header="0.31496062992125984" footer="0.31496062992125984"/>
  <pageSetup paperSize="9" scale="96" orientation="portrait" r:id="rId1"/>
  <headerFooter>
    <oddFooter>&amp;R©2024 SMS DataTech Corporation. All rights reserved.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53"/>
  <sheetViews>
    <sheetView view="pageBreakPreview" zoomScaleNormal="100" zoomScaleSheetLayoutView="100" workbookViewId="0"/>
  </sheetViews>
  <sheetFormatPr defaultRowHeight="13.2" x14ac:dyDescent="0.45"/>
  <cols>
    <col min="1" max="3" width="8.796875" style="93"/>
    <col min="4" max="5" width="8.796875" style="93" customWidth="1"/>
    <col min="6" max="6" width="9" style="93" customWidth="1"/>
    <col min="7" max="12" width="4.19921875" style="93" customWidth="1"/>
    <col min="13" max="261" width="8.796875" style="93"/>
    <col min="262" max="262" width="9" style="93" bestFit="1" customWidth="1"/>
    <col min="263" max="268" width="4.19921875" style="93" customWidth="1"/>
    <col min="269" max="517" width="8.796875" style="93"/>
    <col min="518" max="518" width="9" style="93" bestFit="1" customWidth="1"/>
    <col min="519" max="524" width="4.19921875" style="93" customWidth="1"/>
    <col min="525" max="773" width="8.796875" style="93"/>
    <col min="774" max="774" width="9" style="93" bestFit="1" customWidth="1"/>
    <col min="775" max="780" width="4.19921875" style="93" customWidth="1"/>
    <col min="781" max="1029" width="8.796875" style="93"/>
    <col min="1030" max="1030" width="9" style="93" bestFit="1" customWidth="1"/>
    <col min="1031" max="1036" width="4.19921875" style="93" customWidth="1"/>
    <col min="1037" max="1285" width="8.796875" style="93"/>
    <col min="1286" max="1286" width="9" style="93" bestFit="1" customWidth="1"/>
    <col min="1287" max="1292" width="4.19921875" style="93" customWidth="1"/>
    <col min="1293" max="1541" width="8.796875" style="93"/>
    <col min="1542" max="1542" width="9" style="93" bestFit="1" customWidth="1"/>
    <col min="1543" max="1548" width="4.19921875" style="93" customWidth="1"/>
    <col min="1549" max="1797" width="8.796875" style="93"/>
    <col min="1798" max="1798" width="9" style="93" bestFit="1" customWidth="1"/>
    <col min="1799" max="1804" width="4.19921875" style="93" customWidth="1"/>
    <col min="1805" max="2053" width="8.796875" style="93"/>
    <col min="2054" max="2054" width="9" style="93" bestFit="1" customWidth="1"/>
    <col min="2055" max="2060" width="4.19921875" style="93" customWidth="1"/>
    <col min="2061" max="2309" width="8.796875" style="93"/>
    <col min="2310" max="2310" width="9" style="93" bestFit="1" customWidth="1"/>
    <col min="2311" max="2316" width="4.19921875" style="93" customWidth="1"/>
    <col min="2317" max="2565" width="8.796875" style="93"/>
    <col min="2566" max="2566" width="9" style="93" bestFit="1" customWidth="1"/>
    <col min="2567" max="2572" width="4.19921875" style="93" customWidth="1"/>
    <col min="2573" max="2821" width="8.796875" style="93"/>
    <col min="2822" max="2822" width="9" style="93" bestFit="1" customWidth="1"/>
    <col min="2823" max="2828" width="4.19921875" style="93" customWidth="1"/>
    <col min="2829" max="3077" width="8.796875" style="93"/>
    <col min="3078" max="3078" width="9" style="93" bestFit="1" customWidth="1"/>
    <col min="3079" max="3084" width="4.19921875" style="93" customWidth="1"/>
    <col min="3085" max="3333" width="8.796875" style="93"/>
    <col min="3334" max="3334" width="9" style="93" bestFit="1" customWidth="1"/>
    <col min="3335" max="3340" width="4.19921875" style="93" customWidth="1"/>
    <col min="3341" max="3589" width="8.796875" style="93"/>
    <col min="3590" max="3590" width="9" style="93" bestFit="1" customWidth="1"/>
    <col min="3591" max="3596" width="4.19921875" style="93" customWidth="1"/>
    <col min="3597" max="3845" width="8.796875" style="93"/>
    <col min="3846" max="3846" width="9" style="93" bestFit="1" customWidth="1"/>
    <col min="3847" max="3852" width="4.19921875" style="93" customWidth="1"/>
    <col min="3853" max="4101" width="8.796875" style="93"/>
    <col min="4102" max="4102" width="9" style="93" bestFit="1" customWidth="1"/>
    <col min="4103" max="4108" width="4.19921875" style="93" customWidth="1"/>
    <col min="4109" max="4357" width="8.796875" style="93"/>
    <col min="4358" max="4358" width="9" style="93" bestFit="1" customWidth="1"/>
    <col min="4359" max="4364" width="4.19921875" style="93" customWidth="1"/>
    <col min="4365" max="4613" width="8.796875" style="93"/>
    <col min="4614" max="4614" width="9" style="93" bestFit="1" customWidth="1"/>
    <col min="4615" max="4620" width="4.19921875" style="93" customWidth="1"/>
    <col min="4621" max="4869" width="8.796875" style="93"/>
    <col min="4870" max="4870" width="9" style="93" bestFit="1" customWidth="1"/>
    <col min="4871" max="4876" width="4.19921875" style="93" customWidth="1"/>
    <col min="4877" max="5125" width="8.796875" style="93"/>
    <col min="5126" max="5126" width="9" style="93" bestFit="1" customWidth="1"/>
    <col min="5127" max="5132" width="4.19921875" style="93" customWidth="1"/>
    <col min="5133" max="5381" width="8.796875" style="93"/>
    <col min="5382" max="5382" width="9" style="93" bestFit="1" customWidth="1"/>
    <col min="5383" max="5388" width="4.19921875" style="93" customWidth="1"/>
    <col min="5389" max="5637" width="8.796875" style="93"/>
    <col min="5638" max="5638" width="9" style="93" bestFit="1" customWidth="1"/>
    <col min="5639" max="5644" width="4.19921875" style="93" customWidth="1"/>
    <col min="5645" max="5893" width="8.796875" style="93"/>
    <col min="5894" max="5894" width="9" style="93" bestFit="1" customWidth="1"/>
    <col min="5895" max="5900" width="4.19921875" style="93" customWidth="1"/>
    <col min="5901" max="6149" width="8.796875" style="93"/>
    <col min="6150" max="6150" width="9" style="93" bestFit="1" customWidth="1"/>
    <col min="6151" max="6156" width="4.19921875" style="93" customWidth="1"/>
    <col min="6157" max="6405" width="8.796875" style="93"/>
    <col min="6406" max="6406" width="9" style="93" bestFit="1" customWidth="1"/>
    <col min="6407" max="6412" width="4.19921875" style="93" customWidth="1"/>
    <col min="6413" max="6661" width="8.796875" style="93"/>
    <col min="6662" max="6662" width="9" style="93" bestFit="1" customWidth="1"/>
    <col min="6663" max="6668" width="4.19921875" style="93" customWidth="1"/>
    <col min="6669" max="6917" width="8.796875" style="93"/>
    <col min="6918" max="6918" width="9" style="93" bestFit="1" customWidth="1"/>
    <col min="6919" max="6924" width="4.19921875" style="93" customWidth="1"/>
    <col min="6925" max="7173" width="8.796875" style="93"/>
    <col min="7174" max="7174" width="9" style="93" bestFit="1" customWidth="1"/>
    <col min="7175" max="7180" width="4.19921875" style="93" customWidth="1"/>
    <col min="7181" max="7429" width="8.796875" style="93"/>
    <col min="7430" max="7430" width="9" style="93" bestFit="1" customWidth="1"/>
    <col min="7431" max="7436" width="4.19921875" style="93" customWidth="1"/>
    <col min="7437" max="7685" width="8.796875" style="93"/>
    <col min="7686" max="7686" width="9" style="93" bestFit="1" customWidth="1"/>
    <col min="7687" max="7692" width="4.19921875" style="93" customWidth="1"/>
    <col min="7693" max="7941" width="8.796875" style="93"/>
    <col min="7942" max="7942" width="9" style="93" bestFit="1" customWidth="1"/>
    <col min="7943" max="7948" width="4.19921875" style="93" customWidth="1"/>
    <col min="7949" max="8197" width="8.796875" style="93"/>
    <col min="8198" max="8198" width="9" style="93" bestFit="1" customWidth="1"/>
    <col min="8199" max="8204" width="4.19921875" style="93" customWidth="1"/>
    <col min="8205" max="8453" width="8.796875" style="93"/>
    <col min="8454" max="8454" width="9" style="93" bestFit="1" customWidth="1"/>
    <col min="8455" max="8460" width="4.19921875" style="93" customWidth="1"/>
    <col min="8461" max="8709" width="8.796875" style="93"/>
    <col min="8710" max="8710" width="9" style="93" bestFit="1" customWidth="1"/>
    <col min="8711" max="8716" width="4.19921875" style="93" customWidth="1"/>
    <col min="8717" max="8965" width="8.796875" style="93"/>
    <col min="8966" max="8966" width="9" style="93" bestFit="1" customWidth="1"/>
    <col min="8967" max="8972" width="4.19921875" style="93" customWidth="1"/>
    <col min="8973" max="9221" width="8.796875" style="93"/>
    <col min="9222" max="9222" width="9" style="93" bestFit="1" customWidth="1"/>
    <col min="9223" max="9228" width="4.19921875" style="93" customWidth="1"/>
    <col min="9229" max="9477" width="8.796875" style="93"/>
    <col min="9478" max="9478" width="9" style="93" bestFit="1" customWidth="1"/>
    <col min="9479" max="9484" width="4.19921875" style="93" customWidth="1"/>
    <col min="9485" max="9733" width="8.796875" style="93"/>
    <col min="9734" max="9734" width="9" style="93" bestFit="1" customWidth="1"/>
    <col min="9735" max="9740" width="4.19921875" style="93" customWidth="1"/>
    <col min="9741" max="9989" width="8.796875" style="93"/>
    <col min="9990" max="9990" width="9" style="93" bestFit="1" customWidth="1"/>
    <col min="9991" max="9996" width="4.19921875" style="93" customWidth="1"/>
    <col min="9997" max="10245" width="8.796875" style="93"/>
    <col min="10246" max="10246" width="9" style="93" bestFit="1" customWidth="1"/>
    <col min="10247" max="10252" width="4.19921875" style="93" customWidth="1"/>
    <col min="10253" max="10501" width="8.796875" style="93"/>
    <col min="10502" max="10502" width="9" style="93" bestFit="1" customWidth="1"/>
    <col min="10503" max="10508" width="4.19921875" style="93" customWidth="1"/>
    <col min="10509" max="10757" width="8.796875" style="93"/>
    <col min="10758" max="10758" width="9" style="93" bestFit="1" customWidth="1"/>
    <col min="10759" max="10764" width="4.19921875" style="93" customWidth="1"/>
    <col min="10765" max="11013" width="8.796875" style="93"/>
    <col min="11014" max="11014" width="9" style="93" bestFit="1" customWidth="1"/>
    <col min="11015" max="11020" width="4.19921875" style="93" customWidth="1"/>
    <col min="11021" max="11269" width="8.796875" style="93"/>
    <col min="11270" max="11270" width="9" style="93" bestFit="1" customWidth="1"/>
    <col min="11271" max="11276" width="4.19921875" style="93" customWidth="1"/>
    <col min="11277" max="11525" width="8.796875" style="93"/>
    <col min="11526" max="11526" width="9" style="93" bestFit="1" customWidth="1"/>
    <col min="11527" max="11532" width="4.19921875" style="93" customWidth="1"/>
    <col min="11533" max="11781" width="8.796875" style="93"/>
    <col min="11782" max="11782" width="9" style="93" bestFit="1" customWidth="1"/>
    <col min="11783" max="11788" width="4.19921875" style="93" customWidth="1"/>
    <col min="11789" max="12037" width="8.796875" style="93"/>
    <col min="12038" max="12038" width="9" style="93" bestFit="1" customWidth="1"/>
    <col min="12039" max="12044" width="4.19921875" style="93" customWidth="1"/>
    <col min="12045" max="12293" width="8.796875" style="93"/>
    <col min="12294" max="12294" width="9" style="93" bestFit="1" customWidth="1"/>
    <col min="12295" max="12300" width="4.19921875" style="93" customWidth="1"/>
    <col min="12301" max="12549" width="8.796875" style="93"/>
    <col min="12550" max="12550" width="9" style="93" bestFit="1" customWidth="1"/>
    <col min="12551" max="12556" width="4.19921875" style="93" customWidth="1"/>
    <col min="12557" max="12805" width="8.796875" style="93"/>
    <col min="12806" max="12806" width="9" style="93" bestFit="1" customWidth="1"/>
    <col min="12807" max="12812" width="4.19921875" style="93" customWidth="1"/>
    <col min="12813" max="13061" width="8.796875" style="93"/>
    <col min="13062" max="13062" width="9" style="93" bestFit="1" customWidth="1"/>
    <col min="13063" max="13068" width="4.19921875" style="93" customWidth="1"/>
    <col min="13069" max="13317" width="8.796875" style="93"/>
    <col min="13318" max="13318" width="9" style="93" bestFit="1" customWidth="1"/>
    <col min="13319" max="13324" width="4.19921875" style="93" customWidth="1"/>
    <col min="13325" max="13573" width="8.796875" style="93"/>
    <col min="13574" max="13574" width="9" style="93" bestFit="1" customWidth="1"/>
    <col min="13575" max="13580" width="4.19921875" style="93" customWidth="1"/>
    <col min="13581" max="13829" width="8.796875" style="93"/>
    <col min="13830" max="13830" width="9" style="93" bestFit="1" customWidth="1"/>
    <col min="13831" max="13836" width="4.19921875" style="93" customWidth="1"/>
    <col min="13837" max="14085" width="8.796875" style="93"/>
    <col min="14086" max="14086" width="9" style="93" bestFit="1" customWidth="1"/>
    <col min="14087" max="14092" width="4.19921875" style="93" customWidth="1"/>
    <col min="14093" max="14341" width="8.796875" style="93"/>
    <col min="14342" max="14342" width="9" style="93" bestFit="1" customWidth="1"/>
    <col min="14343" max="14348" width="4.19921875" style="93" customWidth="1"/>
    <col min="14349" max="14597" width="8.796875" style="93"/>
    <col min="14598" max="14598" width="9" style="93" bestFit="1" customWidth="1"/>
    <col min="14599" max="14604" width="4.19921875" style="93" customWidth="1"/>
    <col min="14605" max="14853" width="8.796875" style="93"/>
    <col min="14854" max="14854" width="9" style="93" bestFit="1" customWidth="1"/>
    <col min="14855" max="14860" width="4.19921875" style="93" customWidth="1"/>
    <col min="14861" max="15109" width="8.796875" style="93"/>
    <col min="15110" max="15110" width="9" style="93" bestFit="1" customWidth="1"/>
    <col min="15111" max="15116" width="4.19921875" style="93" customWidth="1"/>
    <col min="15117" max="15365" width="8.796875" style="93"/>
    <col min="15366" max="15366" width="9" style="93" bestFit="1" customWidth="1"/>
    <col min="15367" max="15372" width="4.19921875" style="93" customWidth="1"/>
    <col min="15373" max="15621" width="8.796875" style="93"/>
    <col min="15622" max="15622" width="9" style="93" bestFit="1" customWidth="1"/>
    <col min="15623" max="15628" width="4.19921875" style="93" customWidth="1"/>
    <col min="15629" max="15877" width="8.796875" style="93"/>
    <col min="15878" max="15878" width="9" style="93" bestFit="1" customWidth="1"/>
    <col min="15879" max="15884" width="4.19921875" style="93" customWidth="1"/>
    <col min="15885" max="16133" width="8.796875" style="93"/>
    <col min="16134" max="16134" width="9" style="93" bestFit="1" customWidth="1"/>
    <col min="16135" max="16140" width="4.19921875" style="93" customWidth="1"/>
    <col min="16141" max="16384" width="8.796875" style="93"/>
  </cols>
  <sheetData>
    <row r="1" spans="1:13" ht="20.100000000000001" customHeight="1" x14ac:dyDescent="0.45">
      <c r="A1" s="88"/>
      <c r="B1" s="89"/>
      <c r="C1" s="89"/>
      <c r="D1" s="89"/>
      <c r="E1" s="89" t="s">
        <v>53</v>
      </c>
      <c r="F1" s="271">
        <v>44022</v>
      </c>
      <c r="G1" s="271"/>
      <c r="H1" s="271"/>
      <c r="I1" s="271"/>
      <c r="J1" s="90"/>
      <c r="K1" s="91"/>
      <c r="L1" s="92"/>
    </row>
    <row r="2" spans="1:13" ht="8.1" customHeight="1" x14ac:dyDescent="0.45">
      <c r="A2" s="94"/>
      <c r="B2" s="95"/>
      <c r="C2" s="95"/>
      <c r="D2" s="95"/>
      <c r="E2" s="95"/>
      <c r="F2" s="95"/>
      <c r="G2" s="95"/>
      <c r="H2" s="96"/>
      <c r="I2" s="95"/>
      <c r="J2" s="96"/>
      <c r="K2" s="95"/>
      <c r="L2" s="97"/>
    </row>
    <row r="3" spans="1:13" ht="28.5" customHeight="1" x14ac:dyDescent="0.45">
      <c r="A3" s="272" t="s">
        <v>54</v>
      </c>
      <c r="B3" s="273"/>
      <c r="C3" s="273"/>
      <c r="D3" s="273"/>
      <c r="E3" s="274" t="s">
        <v>55</v>
      </c>
      <c r="F3" s="274"/>
      <c r="G3" s="275" t="s">
        <v>56</v>
      </c>
      <c r="H3" s="275"/>
      <c r="I3" s="275"/>
      <c r="J3" s="276" t="s">
        <v>98</v>
      </c>
      <c r="K3" s="276"/>
      <c r="L3" s="277"/>
    </row>
    <row r="4" spans="1:13" ht="8.1" customHeight="1" thickBot="1" x14ac:dyDescent="0.5">
      <c r="A4" s="98"/>
      <c r="B4" s="99"/>
      <c r="C4" s="99"/>
      <c r="D4" s="99"/>
      <c r="E4" s="99"/>
      <c r="F4" s="99"/>
      <c r="G4" s="99"/>
      <c r="H4" s="99"/>
      <c r="I4" s="99"/>
      <c r="J4" s="99"/>
      <c r="K4" s="99"/>
      <c r="L4" s="100"/>
    </row>
    <row r="5" spans="1:13" ht="20.100000000000001" customHeight="1" thickBot="1" x14ac:dyDescent="0.5">
      <c r="A5" s="251" t="s">
        <v>57</v>
      </c>
      <c r="B5" s="252"/>
      <c r="C5" s="252" t="s">
        <v>58</v>
      </c>
      <c r="D5" s="252"/>
      <c r="E5" s="252"/>
      <c r="F5" s="252"/>
      <c r="G5" s="252"/>
      <c r="H5" s="252"/>
      <c r="I5" s="252"/>
      <c r="J5" s="252"/>
      <c r="K5" s="252"/>
      <c r="L5" s="253"/>
    </row>
    <row r="6" spans="1:13" ht="26.1" customHeight="1" thickBot="1" x14ac:dyDescent="0.5">
      <c r="A6" s="261"/>
      <c r="B6" s="262"/>
      <c r="C6" s="263" t="s">
        <v>59</v>
      </c>
      <c r="D6" s="264"/>
      <c r="E6" s="264"/>
      <c r="F6" s="264"/>
      <c r="G6" s="264"/>
      <c r="H6" s="264"/>
      <c r="I6" s="264"/>
      <c r="J6" s="264"/>
      <c r="K6" s="264"/>
      <c r="L6" s="265"/>
    </row>
    <row r="7" spans="1:13" ht="20.100000000000001" customHeight="1" thickBot="1" x14ac:dyDescent="0.5">
      <c r="A7" s="251" t="s">
        <v>60</v>
      </c>
      <c r="B7" s="252"/>
      <c r="C7" s="252" t="s">
        <v>61</v>
      </c>
      <c r="D7" s="252"/>
      <c r="E7" s="252"/>
      <c r="F7" s="252"/>
      <c r="G7" s="252"/>
      <c r="H7" s="252"/>
      <c r="I7" s="252"/>
      <c r="J7" s="252"/>
      <c r="K7" s="252"/>
      <c r="L7" s="253"/>
    </row>
    <row r="8" spans="1:13" ht="26.1" customHeight="1" thickBot="1" x14ac:dyDescent="0.5">
      <c r="A8" s="266"/>
      <c r="B8" s="267"/>
      <c r="C8" s="268">
        <v>44041</v>
      </c>
      <c r="D8" s="269"/>
      <c r="E8" s="269"/>
      <c r="F8" s="269"/>
      <c r="G8" s="269"/>
      <c r="H8" s="269"/>
      <c r="I8" s="269"/>
      <c r="J8" s="269"/>
      <c r="K8" s="269"/>
      <c r="L8" s="270"/>
      <c r="M8" s="101"/>
    </row>
    <row r="9" spans="1:13" ht="4.2" customHeight="1" thickBot="1" x14ac:dyDescent="0.5">
      <c r="A9" s="102"/>
      <c r="B9" s="103"/>
      <c r="C9" s="99"/>
      <c r="D9" s="99"/>
      <c r="E9" s="99"/>
      <c r="F9" s="99"/>
      <c r="G9" s="99"/>
      <c r="H9" s="99"/>
      <c r="I9" s="99"/>
      <c r="J9" s="99"/>
      <c r="K9" s="99"/>
      <c r="L9" s="100"/>
      <c r="M9" s="104"/>
    </row>
    <row r="10" spans="1:13" ht="20.100000000000001" customHeight="1" thickBot="1" x14ac:dyDescent="0.5">
      <c r="A10" s="251" t="s">
        <v>62</v>
      </c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3"/>
    </row>
    <row r="11" spans="1:13" ht="33" customHeight="1" x14ac:dyDescent="0.45">
      <c r="A11" s="308"/>
      <c r="B11" s="309"/>
      <c r="C11" s="254" t="s">
        <v>63</v>
      </c>
      <c r="D11" s="255"/>
      <c r="E11" s="310" t="s">
        <v>95</v>
      </c>
      <c r="F11" s="311"/>
      <c r="G11" s="311"/>
      <c r="H11" s="311"/>
      <c r="I11" s="311"/>
      <c r="J11" s="311"/>
      <c r="K11" s="311"/>
      <c r="L11" s="312"/>
    </row>
    <row r="12" spans="1:13" ht="26.1" customHeight="1" x14ac:dyDescent="0.4">
      <c r="A12" s="313"/>
      <c r="B12" s="314"/>
      <c r="C12" s="256" t="s">
        <v>64</v>
      </c>
      <c r="D12" s="257"/>
      <c r="E12" s="315" t="s">
        <v>100</v>
      </c>
      <c r="F12" s="316"/>
      <c r="G12" s="316"/>
      <c r="H12" s="316"/>
      <c r="I12" s="316"/>
      <c r="J12" s="316"/>
      <c r="K12" s="316"/>
      <c r="L12" s="317"/>
    </row>
    <row r="13" spans="1:13" ht="26.1" customHeight="1" thickBot="1" x14ac:dyDescent="0.5">
      <c r="A13" s="289" t="s">
        <v>54</v>
      </c>
      <c r="B13" s="290"/>
      <c r="C13" s="291" t="s">
        <v>65</v>
      </c>
      <c r="D13" s="292"/>
      <c r="E13" s="293"/>
      <c r="F13" s="294"/>
      <c r="G13" s="294"/>
      <c r="H13" s="294"/>
      <c r="I13" s="294"/>
      <c r="J13" s="294"/>
      <c r="K13" s="294"/>
      <c r="L13" s="295"/>
    </row>
    <row r="14" spans="1:13" ht="4.2" customHeight="1" thickBot="1" x14ac:dyDescent="0.5">
      <c r="A14" s="94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105"/>
    </row>
    <row r="15" spans="1:13" ht="20.100000000000001" customHeight="1" thickBot="1" x14ac:dyDescent="0.5">
      <c r="A15" s="248" t="s">
        <v>66</v>
      </c>
      <c r="B15" s="249"/>
      <c r="C15" s="249"/>
      <c r="D15" s="250"/>
      <c r="E15" s="248" t="s">
        <v>67</v>
      </c>
      <c r="F15" s="249"/>
      <c r="G15" s="249"/>
      <c r="H15" s="249"/>
      <c r="I15" s="249"/>
      <c r="J15" s="249"/>
      <c r="K15" s="249"/>
      <c r="L15" s="250"/>
    </row>
    <row r="16" spans="1:13" ht="20.100000000000001" customHeight="1" x14ac:dyDescent="0.45">
      <c r="A16" s="296"/>
      <c r="B16" s="297"/>
      <c r="C16" s="297"/>
      <c r="D16" s="300" t="s">
        <v>68</v>
      </c>
      <c r="E16" s="302" t="s">
        <v>69</v>
      </c>
      <c r="F16" s="303"/>
      <c r="G16" s="304" t="s">
        <v>70</v>
      </c>
      <c r="H16" s="305"/>
      <c r="I16" s="302" t="s">
        <v>71</v>
      </c>
      <c r="J16" s="303"/>
      <c r="K16" s="302" t="s">
        <v>72</v>
      </c>
      <c r="L16" s="303"/>
    </row>
    <row r="17" spans="1:12" ht="20.25" customHeight="1" thickBot="1" x14ac:dyDescent="0.5">
      <c r="A17" s="298"/>
      <c r="B17" s="299"/>
      <c r="C17" s="299"/>
      <c r="D17" s="301"/>
      <c r="E17" s="306"/>
      <c r="F17" s="307"/>
      <c r="G17" s="306"/>
      <c r="H17" s="307"/>
      <c r="I17" s="306"/>
      <c r="J17" s="307"/>
      <c r="K17" s="306" t="s">
        <v>106</v>
      </c>
      <c r="L17" s="307"/>
    </row>
    <row r="18" spans="1:12" ht="4.2" customHeight="1" thickBot="1" x14ac:dyDescent="0.5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105"/>
    </row>
    <row r="19" spans="1:12" ht="27.9" customHeight="1" thickBot="1" x14ac:dyDescent="0.5">
      <c r="A19" s="248" t="s">
        <v>73</v>
      </c>
      <c r="B19" s="249"/>
      <c r="C19" s="249"/>
      <c r="D19" s="249"/>
      <c r="E19" s="249"/>
      <c r="F19" s="249"/>
      <c r="G19" s="249"/>
      <c r="H19" s="249"/>
      <c r="I19" s="249"/>
      <c r="J19" s="249"/>
      <c r="K19" s="249"/>
      <c r="L19" s="250"/>
    </row>
    <row r="20" spans="1:12" ht="24" customHeight="1" x14ac:dyDescent="0.45">
      <c r="A20" s="258" t="s">
        <v>74</v>
      </c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60"/>
    </row>
    <row r="21" spans="1:12" ht="24" customHeight="1" x14ac:dyDescent="0.45">
      <c r="A21" s="247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6"/>
    </row>
    <row r="22" spans="1:12" ht="24" customHeight="1" x14ac:dyDescent="0.45">
      <c r="A22" s="247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6"/>
    </row>
    <row r="23" spans="1:12" ht="24" customHeight="1" x14ac:dyDescent="0.45">
      <c r="A23" s="247" t="s">
        <v>75</v>
      </c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6"/>
    </row>
    <row r="24" spans="1:12" ht="24" customHeight="1" x14ac:dyDescent="0.45">
      <c r="A24" s="244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6"/>
    </row>
    <row r="25" spans="1:12" ht="24" customHeight="1" x14ac:dyDescent="0.45">
      <c r="A25" s="247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6"/>
    </row>
    <row r="26" spans="1:12" ht="24" customHeight="1" x14ac:dyDescent="0.45">
      <c r="A26" s="244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6"/>
    </row>
    <row r="27" spans="1:12" ht="24" customHeight="1" x14ac:dyDescent="0.45">
      <c r="A27" s="247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6"/>
    </row>
    <row r="28" spans="1:12" ht="24" customHeight="1" x14ac:dyDescent="0.45">
      <c r="A28" s="247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6"/>
    </row>
    <row r="29" spans="1:12" s="106" customFormat="1" ht="24" customHeight="1" x14ac:dyDescent="0.45">
      <c r="A29" s="247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6"/>
    </row>
    <row r="30" spans="1:12" s="106" customFormat="1" ht="24" customHeight="1" x14ac:dyDescent="0.45">
      <c r="A30" s="247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6"/>
    </row>
    <row r="31" spans="1:12" s="106" customFormat="1" ht="24" customHeight="1" x14ac:dyDescent="0.45">
      <c r="A31" s="235"/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7"/>
    </row>
    <row r="32" spans="1:12" s="106" customFormat="1" ht="24" customHeight="1" x14ac:dyDescent="0.45">
      <c r="A32" s="235"/>
      <c r="B32" s="236"/>
      <c r="C32" s="236"/>
      <c r="D32" s="236"/>
      <c r="E32" s="236"/>
      <c r="F32" s="236"/>
      <c r="G32" s="236"/>
      <c r="H32" s="236"/>
      <c r="I32" s="236"/>
      <c r="J32" s="236"/>
      <c r="K32" s="236"/>
      <c r="L32" s="237"/>
    </row>
    <row r="33" spans="1:12" s="106" customFormat="1" ht="24" customHeight="1" thickBot="1" x14ac:dyDescent="0.5">
      <c r="A33" s="238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40"/>
    </row>
    <row r="34" spans="1:12" s="106" customFormat="1" ht="24" customHeight="1" thickBot="1" x14ac:dyDescent="0.5">
      <c r="A34" s="286"/>
      <c r="B34" s="287"/>
      <c r="C34" s="287"/>
      <c r="D34" s="287"/>
      <c r="E34" s="288"/>
      <c r="F34" s="107" t="s">
        <v>76</v>
      </c>
      <c r="G34" s="241" t="s">
        <v>77</v>
      </c>
      <c r="H34" s="242"/>
      <c r="I34" s="241" t="s">
        <v>78</v>
      </c>
      <c r="J34" s="243"/>
      <c r="K34" s="242" t="s">
        <v>79</v>
      </c>
      <c r="L34" s="243"/>
    </row>
    <row r="35" spans="1:12" s="106" customFormat="1" ht="24" customHeight="1" x14ac:dyDescent="0.45">
      <c r="A35" s="278"/>
      <c r="B35" s="279"/>
      <c r="C35" s="279"/>
      <c r="D35" s="279"/>
      <c r="E35" s="280"/>
      <c r="F35" s="281"/>
      <c r="G35" s="229"/>
      <c r="H35" s="230"/>
      <c r="I35" s="229"/>
      <c r="J35" s="231"/>
      <c r="K35" s="230"/>
      <c r="L35" s="231"/>
    </row>
    <row r="36" spans="1:12" s="106" customFormat="1" ht="24" customHeight="1" thickBot="1" x14ac:dyDescent="0.5">
      <c r="A36" s="283"/>
      <c r="B36" s="284"/>
      <c r="C36" s="284"/>
      <c r="D36" s="284"/>
      <c r="E36" s="285"/>
      <c r="F36" s="282"/>
      <c r="G36" s="232"/>
      <c r="H36" s="233"/>
      <c r="I36" s="232"/>
      <c r="J36" s="234"/>
      <c r="K36" s="233"/>
      <c r="L36" s="234"/>
    </row>
    <row r="37" spans="1:12" s="108" customFormat="1" ht="14.4" x14ac:dyDescent="0.45">
      <c r="A37" s="211" t="s">
        <v>80</v>
      </c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3"/>
    </row>
    <row r="38" spans="1:12" s="108" customFormat="1" x14ac:dyDescent="0.45">
      <c r="A38" s="214" t="s">
        <v>81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6"/>
    </row>
    <row r="39" spans="1:12" s="108" customFormat="1" x14ac:dyDescent="0.45">
      <c r="A39" s="214" t="s">
        <v>82</v>
      </c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6"/>
    </row>
    <row r="40" spans="1:12" s="108" customFormat="1" ht="13.8" thickBot="1" x14ac:dyDescent="0.5">
      <c r="A40" s="217"/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9"/>
    </row>
    <row r="41" spans="1:12" ht="24" customHeight="1" x14ac:dyDescent="0.45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ht="24" customHeight="1" x14ac:dyDescent="0.4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</row>
    <row r="43" spans="1:12" ht="24" customHeight="1" x14ac:dyDescent="0.45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</row>
    <row r="44" spans="1:12" ht="24" customHeight="1" x14ac:dyDescent="0.4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</row>
    <row r="45" spans="1:12" ht="24" customHeight="1" x14ac:dyDescent="0.4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</row>
    <row r="46" spans="1:12" ht="24" customHeight="1" x14ac:dyDescent="0.4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</row>
    <row r="47" spans="1:12" ht="24" customHeight="1" x14ac:dyDescent="0.45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</row>
    <row r="48" spans="1:12" ht="24" customHeight="1" x14ac:dyDescent="0.4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</row>
    <row r="49" spans="1:12" ht="24" customHeight="1" x14ac:dyDescent="0.45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x14ac:dyDescent="0.45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x14ac:dyDescent="0.45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x14ac:dyDescent="0.45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x14ac:dyDescent="0.45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</sheetData>
  <sheetProtection selectLockedCells="1"/>
  <mergeCells count="64">
    <mergeCell ref="A5:B5"/>
    <mergeCell ref="C5:L5"/>
    <mergeCell ref="F1:I1"/>
    <mergeCell ref="A3:D3"/>
    <mergeCell ref="E3:F3"/>
    <mergeCell ref="G3:I3"/>
    <mergeCell ref="J3:L3"/>
    <mergeCell ref="A6:B6"/>
    <mergeCell ref="C6:L6"/>
    <mergeCell ref="A7:B7"/>
    <mergeCell ref="C7:L7"/>
    <mergeCell ref="A8:B8"/>
    <mergeCell ref="C8:L8"/>
    <mergeCell ref="A10:L10"/>
    <mergeCell ref="A11:B11"/>
    <mergeCell ref="C11:D11"/>
    <mergeCell ref="E11:L11"/>
    <mergeCell ref="A12:B12"/>
    <mergeCell ref="C12:D12"/>
    <mergeCell ref="E12:L12"/>
    <mergeCell ref="A19:L19"/>
    <mergeCell ref="A13:B13"/>
    <mergeCell ref="C13:D13"/>
    <mergeCell ref="E13:L13"/>
    <mergeCell ref="A15:D15"/>
    <mergeCell ref="E15:L15"/>
    <mergeCell ref="A16:C17"/>
    <mergeCell ref="D16:D17"/>
    <mergeCell ref="E16:F16"/>
    <mergeCell ref="G16:H16"/>
    <mergeCell ref="I16:J16"/>
    <mergeCell ref="K16:L16"/>
    <mergeCell ref="E17:F17"/>
    <mergeCell ref="G17:H17"/>
    <mergeCell ref="I17:J17"/>
    <mergeCell ref="K17:L17"/>
    <mergeCell ref="A31:L31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2:L32"/>
    <mergeCell ref="A33:L33"/>
    <mergeCell ref="A34:E34"/>
    <mergeCell ref="G34:H34"/>
    <mergeCell ref="I34:J34"/>
    <mergeCell ref="K34:L34"/>
    <mergeCell ref="A37:L37"/>
    <mergeCell ref="A38:L38"/>
    <mergeCell ref="A39:L39"/>
    <mergeCell ref="A40:L40"/>
    <mergeCell ref="A35:E35"/>
    <mergeCell ref="F35:F36"/>
    <mergeCell ref="G35:H36"/>
    <mergeCell ref="I35:J36"/>
    <mergeCell ref="K35:L36"/>
    <mergeCell ref="A36:E36"/>
  </mergeCells>
  <phoneticPr fontId="2"/>
  <pageMargins left="1.1023622047244095" right="0.70866141732283472" top="0.35433070866141736" bottom="0.35433070866141736" header="0.31496062992125984" footer="0.31496062992125984"/>
  <pageSetup paperSize="9" scale="93" orientation="portrait" r:id="rId1"/>
  <headerFooter>
    <oddFooter>&amp;R©2024 SMS DataTech Corporation. All rights reserved.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34</vt:i4>
      </vt:variant>
    </vt:vector>
  </HeadingPairs>
  <TitlesOfParts>
    <vt:vector size="45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 _新システム</vt:lpstr>
      <vt:lpstr>別紙_テンプレート_現行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'別紙_テンプレート _新システム'!Print_Area</vt:lpstr>
      <vt:lpstr>別紙_テンプレート_現行!Print_Area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  <vt:lpstr>'別紙_テンプレート _新システム'!依頼者</vt:lpstr>
      <vt:lpstr>依頼者</vt:lpstr>
      <vt:lpstr>'別紙_テンプレート _新システム'!作業内容</vt:lpstr>
      <vt:lpstr>作業内容</vt:lpstr>
      <vt:lpstr>'別紙_テンプレート _新システム'!施工日</vt:lpstr>
      <vt:lpstr>施工日</vt:lpstr>
      <vt:lpstr>'別紙_テンプレート _新システム'!受注先Adr</vt:lpstr>
      <vt:lpstr>受注先Adr</vt:lpstr>
      <vt:lpstr>'別紙_テンプレート _新システム'!受注先TEL</vt:lpstr>
      <vt:lpstr>受注先TEL</vt:lpstr>
      <vt:lpstr>'別紙_テンプレート _新システム'!受注番号</vt:lpstr>
      <vt:lpstr>受注番号</vt:lpstr>
      <vt:lpstr>'別紙_テンプレート _新システム'!出力日</vt:lpstr>
      <vt:lpstr>出力日</vt:lpstr>
      <vt:lpstr>'別紙_テンプレート _新システム'!店舗番号</vt:lpstr>
      <vt:lpstr>店舗番号</vt:lpstr>
      <vt:lpstr>'別紙_テンプレート _新システム'!店舗名</vt:lpstr>
      <vt:lpstr>店舗名</vt:lpstr>
      <vt:lpstr>'別紙_テンプレート _新システム'!備考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2024-10-16T04:51:06Z</cp:lastPrinted>
  <dcterms:created xsi:type="dcterms:W3CDTF">2021-04-12T04:47:05Z</dcterms:created>
  <dcterms:modified xsi:type="dcterms:W3CDTF">2025-05-24T05:30:54Z</dcterms:modified>
</cp:coreProperties>
</file>